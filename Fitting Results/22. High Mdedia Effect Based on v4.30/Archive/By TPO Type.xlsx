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33555" windowHeight="19470" activeTab="1"/>
  </bookViews>
  <sheets>
    <sheet name="Distribution of data" sheetId="1" r:id="rId1"/>
    <sheet name="Baseline" sheetId="2" r:id="rId2"/>
    <sheet name="Spline Pre-Adj" sheetId="4" r:id="rId3"/>
  </sheets>
  <definedNames>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2147483647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nwt" localSheetId="1" hidden="1">1</definedName>
    <definedName name="solver_opt" localSheetId="1" hidden="1">Baseline!$P$32</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1</definedName>
    <definedName name="solver_ver" localSheetId="1" hidden="1">3</definedName>
  </definedNames>
  <calcPr calcId="145621"/>
  <pivotCaches>
    <pivotCache cacheId="26" r:id="rId4"/>
  </pivotCaches>
</workbook>
</file>

<file path=xl/calcChain.xml><?xml version="1.0" encoding="utf-8"?>
<calcChain xmlns="http://schemas.openxmlformats.org/spreadsheetml/2006/main">
  <c r="N107" i="2" l="1"/>
  <c r="O107" i="2" s="1"/>
  <c r="E107" i="2"/>
  <c r="H107" i="2" s="1"/>
  <c r="D107" i="2"/>
  <c r="F107" i="2" s="1"/>
  <c r="C107" i="2"/>
  <c r="B107" i="2"/>
  <c r="A107" i="2"/>
  <c r="AC107" i="2" s="1"/>
  <c r="AD107" i="2" s="1"/>
  <c r="AE107" i="2" s="1"/>
  <c r="N106" i="2"/>
  <c r="O106" i="2" s="1"/>
  <c r="E106" i="2"/>
  <c r="H106" i="2" s="1"/>
  <c r="D106" i="2"/>
  <c r="P106" i="2" s="1"/>
  <c r="C106" i="2"/>
  <c r="B106" i="2"/>
  <c r="A106" i="2"/>
  <c r="AC106" i="2" s="1"/>
  <c r="AD106" i="2" s="1"/>
  <c r="AE106" i="2" s="1"/>
  <c r="N105" i="2"/>
  <c r="O105" i="2" s="1"/>
  <c r="E105" i="2"/>
  <c r="H105" i="2" s="1"/>
  <c r="D105" i="2"/>
  <c r="C105" i="2"/>
  <c r="B105" i="2"/>
  <c r="A105" i="2"/>
  <c r="AC105" i="2" s="1"/>
  <c r="AD105" i="2" s="1"/>
  <c r="AE105" i="2" s="1"/>
  <c r="O104" i="2"/>
  <c r="N104" i="2"/>
  <c r="E104" i="2"/>
  <c r="H104" i="2" s="1"/>
  <c r="D104" i="2"/>
  <c r="P104" i="2" s="1"/>
  <c r="C104" i="2"/>
  <c r="B104" i="2"/>
  <c r="A104" i="2"/>
  <c r="X104" i="2" s="1"/>
  <c r="Y104" i="2" s="1"/>
  <c r="Z104" i="2" s="1"/>
  <c r="N103" i="2"/>
  <c r="O103" i="2" s="1"/>
  <c r="E103" i="2"/>
  <c r="H103" i="2" s="1"/>
  <c r="D103" i="2"/>
  <c r="G103" i="2" s="1"/>
  <c r="C103" i="2"/>
  <c r="B103" i="2"/>
  <c r="A103" i="2"/>
  <c r="AC103" i="2" s="1"/>
  <c r="AD103" i="2" s="1"/>
  <c r="AE103" i="2" s="1"/>
  <c r="N102" i="2"/>
  <c r="O102" i="2" s="1"/>
  <c r="H102" i="2"/>
  <c r="G102" i="2"/>
  <c r="E102" i="2"/>
  <c r="D102" i="2"/>
  <c r="P102" i="2" s="1"/>
  <c r="C102" i="2"/>
  <c r="B102" i="2"/>
  <c r="A102" i="2"/>
  <c r="AC102" i="2" s="1"/>
  <c r="AD102" i="2" s="1"/>
  <c r="AE102" i="2" s="1"/>
  <c r="P101" i="2"/>
  <c r="O101" i="2"/>
  <c r="N101" i="2"/>
  <c r="E101" i="2"/>
  <c r="H101" i="2" s="1"/>
  <c r="D101" i="2"/>
  <c r="G101" i="2" s="1"/>
  <c r="C101" i="2"/>
  <c r="B101" i="2"/>
  <c r="A101" i="2"/>
  <c r="X101" i="2" s="1"/>
  <c r="Y101" i="2" s="1"/>
  <c r="Z101" i="2" s="1"/>
  <c r="AC100" i="2"/>
  <c r="AD100" i="2" s="1"/>
  <c r="AE100" i="2" s="1"/>
  <c r="N100" i="2"/>
  <c r="O100" i="2" s="1"/>
  <c r="G100" i="2"/>
  <c r="E100" i="2"/>
  <c r="H100" i="2" s="1"/>
  <c r="D100" i="2"/>
  <c r="C100" i="2"/>
  <c r="B100" i="2"/>
  <c r="A100" i="2"/>
  <c r="X100" i="2" s="1"/>
  <c r="Y100" i="2" s="1"/>
  <c r="Z100" i="2" s="1"/>
  <c r="N99" i="2"/>
  <c r="O99" i="2" s="1"/>
  <c r="H99" i="2"/>
  <c r="F99" i="2"/>
  <c r="E99" i="2"/>
  <c r="D99" i="2"/>
  <c r="C99" i="2"/>
  <c r="B99" i="2"/>
  <c r="A99" i="2"/>
  <c r="S99" i="2" s="1"/>
  <c r="T99" i="2" s="1"/>
  <c r="U99" i="2" s="1"/>
  <c r="N98" i="2"/>
  <c r="O98" i="2" s="1"/>
  <c r="E98" i="2"/>
  <c r="H98" i="2" s="1"/>
  <c r="D98" i="2"/>
  <c r="G98" i="2" s="1"/>
  <c r="C98" i="2"/>
  <c r="B98" i="2"/>
  <c r="A98" i="2"/>
  <c r="AC98" i="2" s="1"/>
  <c r="AD98" i="2" s="1"/>
  <c r="AE98" i="2" s="1"/>
  <c r="N97" i="2"/>
  <c r="O97" i="2" s="1"/>
  <c r="E97" i="2"/>
  <c r="H97" i="2" s="1"/>
  <c r="D97" i="2"/>
  <c r="G97" i="2" s="1"/>
  <c r="C97" i="2"/>
  <c r="B97" i="2"/>
  <c r="A97" i="2"/>
  <c r="AC97" i="2" s="1"/>
  <c r="AD97" i="2" s="1"/>
  <c r="AE97" i="2" s="1"/>
  <c r="P96" i="2"/>
  <c r="N96" i="2"/>
  <c r="O96" i="2" s="1"/>
  <c r="G96" i="2"/>
  <c r="E96" i="2"/>
  <c r="H96" i="2" s="1"/>
  <c r="D96" i="2"/>
  <c r="C96" i="2"/>
  <c r="B96" i="2"/>
  <c r="A96" i="2"/>
  <c r="AC96" i="2" s="1"/>
  <c r="AD96" i="2" s="1"/>
  <c r="AE96" i="2" s="1"/>
  <c r="N95" i="2"/>
  <c r="O95" i="2" s="1"/>
  <c r="E95" i="2"/>
  <c r="H95" i="2" s="1"/>
  <c r="D95" i="2"/>
  <c r="C95" i="2"/>
  <c r="B95" i="2"/>
  <c r="A95" i="2"/>
  <c r="X95" i="2" s="1"/>
  <c r="Y95" i="2" s="1"/>
  <c r="Z95" i="2" s="1"/>
  <c r="O94" i="2"/>
  <c r="N94" i="2"/>
  <c r="E94" i="2"/>
  <c r="H94" i="2" s="1"/>
  <c r="D94" i="2"/>
  <c r="C94" i="2"/>
  <c r="B94" i="2"/>
  <c r="A94" i="2"/>
  <c r="X94" i="2" s="1"/>
  <c r="Y94" i="2" s="1"/>
  <c r="Z94" i="2" s="1"/>
  <c r="S93" i="2"/>
  <c r="T93" i="2" s="1"/>
  <c r="U93" i="2" s="1"/>
  <c r="N93" i="2"/>
  <c r="O93" i="2" s="1"/>
  <c r="E93" i="2"/>
  <c r="H93" i="2" s="1"/>
  <c r="D93" i="2"/>
  <c r="F93" i="2" s="1"/>
  <c r="C93" i="2"/>
  <c r="B93" i="2"/>
  <c r="A93" i="2"/>
  <c r="H92" i="2"/>
  <c r="G92" i="2"/>
  <c r="E92" i="2"/>
  <c r="D92" i="2"/>
  <c r="C92" i="2"/>
  <c r="B92" i="2"/>
  <c r="AP72" i="2"/>
  <c r="AP71" i="2"/>
  <c r="AP70" i="2"/>
  <c r="AP69" i="2"/>
  <c r="G392" i="2"/>
  <c r="F392" i="2"/>
  <c r="E392" i="2"/>
  <c r="D392" i="2"/>
  <c r="AP345" i="2"/>
  <c r="AP346" i="2"/>
  <c r="AP347" i="2"/>
  <c r="AP348" i="2"/>
  <c r="AP349" i="2"/>
  <c r="X381" i="2"/>
  <c r="Y381" i="2" s="1"/>
  <c r="E381" i="2"/>
  <c r="H381" i="2" s="1"/>
  <c r="D381" i="2"/>
  <c r="F381" i="2" s="1"/>
  <c r="C381" i="2"/>
  <c r="B381" i="2"/>
  <c r="A381" i="2"/>
  <c r="AC381" i="2" s="1"/>
  <c r="AD381" i="2" s="1"/>
  <c r="E380" i="2"/>
  <c r="H380" i="2" s="1"/>
  <c r="D380" i="2"/>
  <c r="C380" i="2"/>
  <c r="B380" i="2"/>
  <c r="A380" i="2"/>
  <c r="X380" i="2" s="1"/>
  <c r="Y380" i="2" s="1"/>
  <c r="E379" i="2"/>
  <c r="H379" i="2" s="1"/>
  <c r="D379" i="2"/>
  <c r="G379" i="2" s="1"/>
  <c r="C379" i="2"/>
  <c r="B379" i="2"/>
  <c r="A379" i="2"/>
  <c r="AC379" i="2" s="1"/>
  <c r="AD379" i="2" s="1"/>
  <c r="S378" i="2"/>
  <c r="T378" i="2" s="1"/>
  <c r="G378" i="2"/>
  <c r="E378" i="2"/>
  <c r="H378" i="2" s="1"/>
  <c r="D378" i="2"/>
  <c r="C378" i="2"/>
  <c r="B378" i="2"/>
  <c r="A378" i="2"/>
  <c r="X378" i="2" s="1"/>
  <c r="Y378" i="2" s="1"/>
  <c r="X377" i="2"/>
  <c r="Y377" i="2" s="1"/>
  <c r="S377" i="2"/>
  <c r="T377" i="2" s="1"/>
  <c r="E377" i="2"/>
  <c r="H377" i="2" s="1"/>
  <c r="D377" i="2"/>
  <c r="G377" i="2" s="1"/>
  <c r="C377" i="2"/>
  <c r="B377" i="2"/>
  <c r="A377" i="2"/>
  <c r="AC377" i="2" s="1"/>
  <c r="AD377" i="2" s="1"/>
  <c r="S376" i="2"/>
  <c r="T376" i="2" s="1"/>
  <c r="E376" i="2"/>
  <c r="H376" i="2" s="1"/>
  <c r="D376" i="2"/>
  <c r="C376" i="2"/>
  <c r="B376" i="2"/>
  <c r="A376" i="2"/>
  <c r="X376" i="2" s="1"/>
  <c r="Y376" i="2" s="1"/>
  <c r="E375" i="2"/>
  <c r="H375" i="2" s="1"/>
  <c r="D375" i="2"/>
  <c r="C375" i="2"/>
  <c r="B375" i="2"/>
  <c r="A375" i="2"/>
  <c r="S375" i="2" s="1"/>
  <c r="T375" i="2" s="1"/>
  <c r="E374" i="2"/>
  <c r="H374" i="2" s="1"/>
  <c r="D374" i="2"/>
  <c r="G374" i="2" s="1"/>
  <c r="C374" i="2"/>
  <c r="B374" i="2"/>
  <c r="A374" i="2"/>
  <c r="X374" i="2" s="1"/>
  <c r="Y374" i="2" s="1"/>
  <c r="E373" i="2"/>
  <c r="H373" i="2" s="1"/>
  <c r="D373" i="2"/>
  <c r="G373" i="2" s="1"/>
  <c r="C373" i="2"/>
  <c r="B373" i="2"/>
  <c r="A373" i="2"/>
  <c r="S373" i="2" s="1"/>
  <c r="T373" i="2" s="1"/>
  <c r="E372" i="2"/>
  <c r="H372" i="2" s="1"/>
  <c r="D372" i="2"/>
  <c r="G372" i="2" s="1"/>
  <c r="C372" i="2"/>
  <c r="B372" i="2"/>
  <c r="A372" i="2"/>
  <c r="X372" i="2" s="1"/>
  <c r="Y372" i="2" s="1"/>
  <c r="E371" i="2"/>
  <c r="H371" i="2" s="1"/>
  <c r="D371" i="2"/>
  <c r="G371" i="2" s="1"/>
  <c r="C371" i="2"/>
  <c r="B371" i="2"/>
  <c r="A371" i="2"/>
  <c r="X371" i="2" s="1"/>
  <c r="Y371" i="2" s="1"/>
  <c r="E370" i="2"/>
  <c r="H370" i="2" s="1"/>
  <c r="D370" i="2"/>
  <c r="G370" i="2" s="1"/>
  <c r="C370" i="2"/>
  <c r="B370" i="2"/>
  <c r="A370" i="2"/>
  <c r="X370" i="2" s="1"/>
  <c r="Y370" i="2" s="1"/>
  <c r="E369" i="2"/>
  <c r="H369" i="2" s="1"/>
  <c r="D369" i="2"/>
  <c r="G369" i="2" s="1"/>
  <c r="C369" i="2"/>
  <c r="B369" i="2"/>
  <c r="A369" i="2"/>
  <c r="S369" i="2" s="1"/>
  <c r="T369" i="2" s="1"/>
  <c r="H368" i="2"/>
  <c r="G368" i="2"/>
  <c r="E368" i="2"/>
  <c r="D368" i="2"/>
  <c r="C368" i="2"/>
  <c r="G393" i="2" s="1"/>
  <c r="B368" i="2"/>
  <c r="AP297" i="2"/>
  <c r="AP298" i="2"/>
  <c r="AP299" i="2"/>
  <c r="AP300" i="2"/>
  <c r="AP301" i="2"/>
  <c r="AP302" i="2"/>
  <c r="E333" i="2"/>
  <c r="H333" i="2" s="1"/>
  <c r="D333" i="2"/>
  <c r="G333" i="2" s="1"/>
  <c r="C333" i="2"/>
  <c r="B333" i="2"/>
  <c r="A333" i="2"/>
  <c r="AC333" i="2" s="1"/>
  <c r="AD333" i="2" s="1"/>
  <c r="E332" i="2"/>
  <c r="H332" i="2" s="1"/>
  <c r="D332" i="2"/>
  <c r="G332" i="2" s="1"/>
  <c r="C332" i="2"/>
  <c r="B332" i="2"/>
  <c r="A332" i="2"/>
  <c r="AC332" i="2" s="1"/>
  <c r="AD332" i="2" s="1"/>
  <c r="E331" i="2"/>
  <c r="H331" i="2" s="1"/>
  <c r="D331" i="2"/>
  <c r="C331" i="2"/>
  <c r="B331" i="2"/>
  <c r="A331" i="2"/>
  <c r="AC331" i="2" s="1"/>
  <c r="AD331" i="2" s="1"/>
  <c r="E330" i="2"/>
  <c r="D330" i="2"/>
  <c r="G330" i="2" s="1"/>
  <c r="C330" i="2"/>
  <c r="B330" i="2"/>
  <c r="A330" i="2"/>
  <c r="X330" i="2" s="1"/>
  <c r="Y330" i="2" s="1"/>
  <c r="E329" i="2"/>
  <c r="H329" i="2" s="1"/>
  <c r="D329" i="2"/>
  <c r="C329" i="2"/>
  <c r="B329" i="2"/>
  <c r="A329" i="2"/>
  <c r="AC329" i="2" s="1"/>
  <c r="AD329" i="2" s="1"/>
  <c r="E328" i="2"/>
  <c r="H328" i="2" s="1"/>
  <c r="D328" i="2"/>
  <c r="G328" i="2" s="1"/>
  <c r="C328" i="2"/>
  <c r="B328" i="2"/>
  <c r="A328" i="2"/>
  <c r="X328" i="2" s="1"/>
  <c r="Y328" i="2" s="1"/>
  <c r="S327" i="2"/>
  <c r="T327" i="2" s="1"/>
  <c r="E327" i="2"/>
  <c r="H327" i="2" s="1"/>
  <c r="D327" i="2"/>
  <c r="C327" i="2"/>
  <c r="B327" i="2"/>
  <c r="A327" i="2"/>
  <c r="AC327" i="2" s="1"/>
  <c r="AD327" i="2" s="1"/>
  <c r="E326" i="2"/>
  <c r="H326" i="2" s="1"/>
  <c r="D326" i="2"/>
  <c r="G326" i="2" s="1"/>
  <c r="C326" i="2"/>
  <c r="B326" i="2"/>
  <c r="A326" i="2"/>
  <c r="X326" i="2" s="1"/>
  <c r="Y326" i="2" s="1"/>
  <c r="E325" i="2"/>
  <c r="H325" i="2" s="1"/>
  <c r="D325" i="2"/>
  <c r="C325" i="2"/>
  <c r="B325" i="2"/>
  <c r="A325" i="2"/>
  <c r="AC325" i="2" s="1"/>
  <c r="AD325" i="2" s="1"/>
  <c r="G324" i="2"/>
  <c r="E324" i="2"/>
  <c r="F324" i="2" s="1"/>
  <c r="D324" i="2"/>
  <c r="C324" i="2"/>
  <c r="B324" i="2"/>
  <c r="A324" i="2"/>
  <c r="X324" i="2" s="1"/>
  <c r="Y324" i="2" s="1"/>
  <c r="E323" i="2"/>
  <c r="H323" i="2" s="1"/>
  <c r="D323" i="2"/>
  <c r="G323" i="2" s="1"/>
  <c r="C323" i="2"/>
  <c r="B323" i="2"/>
  <c r="A323" i="2"/>
  <c r="X323" i="2" s="1"/>
  <c r="Y323" i="2" s="1"/>
  <c r="E322" i="2"/>
  <c r="H322" i="2" s="1"/>
  <c r="D322" i="2"/>
  <c r="G322" i="2" s="1"/>
  <c r="C322" i="2"/>
  <c r="B322" i="2"/>
  <c r="A322" i="2"/>
  <c r="X322" i="2" s="1"/>
  <c r="Y322" i="2" s="1"/>
  <c r="E321" i="2"/>
  <c r="D321" i="2"/>
  <c r="G321" i="2" s="1"/>
  <c r="C321" i="2"/>
  <c r="B321" i="2"/>
  <c r="A321" i="2"/>
  <c r="S321" i="2" s="1"/>
  <c r="T321" i="2" s="1"/>
  <c r="H320" i="2"/>
  <c r="G320" i="2"/>
  <c r="E320" i="2"/>
  <c r="D320" i="2"/>
  <c r="C320" i="2"/>
  <c r="F401" i="2" s="1"/>
  <c r="B320" i="2"/>
  <c r="AP249" i="2"/>
  <c r="AP250" i="2"/>
  <c r="AP251" i="2"/>
  <c r="AP252" i="2"/>
  <c r="AP253" i="2"/>
  <c r="E285" i="2"/>
  <c r="H285" i="2" s="1"/>
  <c r="D285" i="2"/>
  <c r="G285" i="2" s="1"/>
  <c r="C285" i="2"/>
  <c r="B285" i="2"/>
  <c r="A285" i="2"/>
  <c r="AC285" i="2" s="1"/>
  <c r="AD285" i="2" s="1"/>
  <c r="E284" i="2"/>
  <c r="H284" i="2" s="1"/>
  <c r="D284" i="2"/>
  <c r="G284" i="2" s="1"/>
  <c r="C284" i="2"/>
  <c r="B284" i="2"/>
  <c r="A284" i="2"/>
  <c r="AC284" i="2" s="1"/>
  <c r="AD284" i="2" s="1"/>
  <c r="E283" i="2"/>
  <c r="H283" i="2" s="1"/>
  <c r="D283" i="2"/>
  <c r="C283" i="2"/>
  <c r="B283" i="2"/>
  <c r="A283" i="2"/>
  <c r="AC283" i="2" s="1"/>
  <c r="AD283" i="2" s="1"/>
  <c r="E282" i="2"/>
  <c r="H282" i="2" s="1"/>
  <c r="D282" i="2"/>
  <c r="G282" i="2" s="1"/>
  <c r="C282" i="2"/>
  <c r="B282" i="2"/>
  <c r="A282" i="2"/>
  <c r="X282" i="2" s="1"/>
  <c r="Y282" i="2" s="1"/>
  <c r="E281" i="2"/>
  <c r="H281" i="2" s="1"/>
  <c r="D281" i="2"/>
  <c r="C281" i="2"/>
  <c r="B281" i="2"/>
  <c r="A281" i="2"/>
  <c r="AC281" i="2" s="1"/>
  <c r="AD281" i="2" s="1"/>
  <c r="E280" i="2"/>
  <c r="H280" i="2" s="1"/>
  <c r="D280" i="2"/>
  <c r="G280" i="2" s="1"/>
  <c r="C280" i="2"/>
  <c r="B280" i="2"/>
  <c r="A280" i="2"/>
  <c r="X280" i="2" s="1"/>
  <c r="Y280" i="2" s="1"/>
  <c r="E279" i="2"/>
  <c r="H279" i="2" s="1"/>
  <c r="D279" i="2"/>
  <c r="C279" i="2"/>
  <c r="B279" i="2"/>
  <c r="A279" i="2"/>
  <c r="AC279" i="2" s="1"/>
  <c r="AD279" i="2" s="1"/>
  <c r="E278" i="2"/>
  <c r="H278" i="2" s="1"/>
  <c r="D278" i="2"/>
  <c r="G278" i="2" s="1"/>
  <c r="C278" i="2"/>
  <c r="B278" i="2"/>
  <c r="A278" i="2"/>
  <c r="X278" i="2" s="1"/>
  <c r="Y278" i="2" s="1"/>
  <c r="E277" i="2"/>
  <c r="H277" i="2" s="1"/>
  <c r="D277" i="2"/>
  <c r="C277" i="2"/>
  <c r="B277" i="2"/>
  <c r="A277" i="2"/>
  <c r="AC277" i="2" s="1"/>
  <c r="AD277" i="2" s="1"/>
  <c r="E276" i="2"/>
  <c r="H276" i="2" s="1"/>
  <c r="D276" i="2"/>
  <c r="G276" i="2" s="1"/>
  <c r="C276" i="2"/>
  <c r="B276" i="2"/>
  <c r="A276" i="2"/>
  <c r="X276" i="2" s="1"/>
  <c r="Y276" i="2" s="1"/>
  <c r="E275" i="2"/>
  <c r="H275" i="2" s="1"/>
  <c r="D275" i="2"/>
  <c r="G275" i="2" s="1"/>
  <c r="C275" i="2"/>
  <c r="B275" i="2"/>
  <c r="A275" i="2"/>
  <c r="X275" i="2" s="1"/>
  <c r="Y275" i="2" s="1"/>
  <c r="E274" i="2"/>
  <c r="H274" i="2" s="1"/>
  <c r="D274" i="2"/>
  <c r="G274" i="2" s="1"/>
  <c r="C274" i="2"/>
  <c r="B274" i="2"/>
  <c r="A274" i="2"/>
  <c r="S274" i="2" s="1"/>
  <c r="T274" i="2" s="1"/>
  <c r="E273" i="2"/>
  <c r="H273" i="2" s="1"/>
  <c r="D273" i="2"/>
  <c r="G273" i="2" s="1"/>
  <c r="C273" i="2"/>
  <c r="B273" i="2"/>
  <c r="A273" i="2"/>
  <c r="S273" i="2" s="1"/>
  <c r="T273" i="2" s="1"/>
  <c r="H272" i="2"/>
  <c r="G272" i="2"/>
  <c r="E272" i="2"/>
  <c r="D272" i="2"/>
  <c r="C272" i="2"/>
  <c r="B272" i="2"/>
  <c r="AP201" i="2"/>
  <c r="AP202" i="2"/>
  <c r="AP203" i="2"/>
  <c r="AP136" i="2"/>
  <c r="AP137" i="2"/>
  <c r="AP138" i="2"/>
  <c r="AP139" i="2"/>
  <c r="AP140" i="2"/>
  <c r="AP141" i="2"/>
  <c r="A173" i="2"/>
  <c r="X173" i="2" s="1"/>
  <c r="Y173" i="2" s="1"/>
  <c r="B173" i="2"/>
  <c r="C173" i="2"/>
  <c r="D173" i="2"/>
  <c r="E173" i="2"/>
  <c r="H173" i="2" s="1"/>
  <c r="A174" i="2"/>
  <c r="X174" i="2" s="1"/>
  <c r="Y174" i="2" s="1"/>
  <c r="B174" i="2"/>
  <c r="C174" i="2"/>
  <c r="D174" i="2"/>
  <c r="E174" i="2"/>
  <c r="H174" i="2" s="1"/>
  <c r="A175" i="2"/>
  <c r="X175" i="2" s="1"/>
  <c r="Y175" i="2" s="1"/>
  <c r="B175" i="2"/>
  <c r="C175" i="2"/>
  <c r="D175" i="2"/>
  <c r="E175" i="2"/>
  <c r="H175" i="2" s="1"/>
  <c r="A176" i="2"/>
  <c r="AC176" i="2" s="1"/>
  <c r="AD176" i="2" s="1"/>
  <c r="B176" i="2"/>
  <c r="C176" i="2"/>
  <c r="D176" i="2"/>
  <c r="E176" i="2"/>
  <c r="H176" i="2" s="1"/>
  <c r="AP6" i="2"/>
  <c r="AP5" i="2"/>
  <c r="AP4" i="2"/>
  <c r="AP3" i="2"/>
  <c r="E237" i="2"/>
  <c r="H237" i="2" s="1"/>
  <c r="D237" i="2"/>
  <c r="C237" i="2"/>
  <c r="B237" i="2"/>
  <c r="A237" i="2"/>
  <c r="X237" i="2" s="1"/>
  <c r="Y237" i="2" s="1"/>
  <c r="E236" i="2"/>
  <c r="H236" i="2" s="1"/>
  <c r="D236" i="2"/>
  <c r="C236" i="2"/>
  <c r="B236" i="2"/>
  <c r="A236" i="2"/>
  <c r="X236" i="2" s="1"/>
  <c r="Y236" i="2" s="1"/>
  <c r="E235" i="2"/>
  <c r="H235" i="2" s="1"/>
  <c r="D235" i="2"/>
  <c r="G235" i="2" s="1"/>
  <c r="C235" i="2"/>
  <c r="B235" i="2"/>
  <c r="A235" i="2"/>
  <c r="E234" i="2"/>
  <c r="H234" i="2" s="1"/>
  <c r="D234" i="2"/>
  <c r="C234" i="2"/>
  <c r="B234" i="2"/>
  <c r="A234" i="2"/>
  <c r="AC234" i="2" s="1"/>
  <c r="AD234" i="2" s="1"/>
  <c r="E233" i="2"/>
  <c r="H233" i="2" s="1"/>
  <c r="D233" i="2"/>
  <c r="G233" i="2" s="1"/>
  <c r="C233" i="2"/>
  <c r="B233" i="2"/>
  <c r="A233" i="2"/>
  <c r="E232" i="2"/>
  <c r="H232" i="2" s="1"/>
  <c r="D232" i="2"/>
  <c r="C232" i="2"/>
  <c r="B232" i="2"/>
  <c r="A232" i="2"/>
  <c r="AC232" i="2" s="1"/>
  <c r="AD232" i="2" s="1"/>
  <c r="E231" i="2"/>
  <c r="H231" i="2" s="1"/>
  <c r="D231" i="2"/>
  <c r="G231" i="2" s="1"/>
  <c r="C231" i="2"/>
  <c r="B231" i="2"/>
  <c r="A231" i="2"/>
  <c r="E230" i="2"/>
  <c r="H230" i="2" s="1"/>
  <c r="D230" i="2"/>
  <c r="C230" i="2"/>
  <c r="B230" i="2"/>
  <c r="A230" i="2"/>
  <c r="AC230" i="2" s="1"/>
  <c r="AD230" i="2" s="1"/>
  <c r="E229" i="2"/>
  <c r="H229" i="2" s="1"/>
  <c r="D229" i="2"/>
  <c r="G229" i="2" s="1"/>
  <c r="C229" i="2"/>
  <c r="B229" i="2"/>
  <c r="A229" i="2"/>
  <c r="E228" i="2"/>
  <c r="H228" i="2" s="1"/>
  <c r="D228" i="2"/>
  <c r="C228" i="2"/>
  <c r="B228" i="2"/>
  <c r="A228" i="2"/>
  <c r="AC228" i="2" s="1"/>
  <c r="AD228" i="2" s="1"/>
  <c r="E227" i="2"/>
  <c r="H227" i="2" s="1"/>
  <c r="D227" i="2"/>
  <c r="C227" i="2"/>
  <c r="B227" i="2"/>
  <c r="A227" i="2"/>
  <c r="S227" i="2" s="1"/>
  <c r="T227" i="2" s="1"/>
  <c r="E226" i="2"/>
  <c r="H226" i="2" s="1"/>
  <c r="D226" i="2"/>
  <c r="G226" i="2" s="1"/>
  <c r="C226" i="2"/>
  <c r="B226" i="2"/>
  <c r="A226" i="2"/>
  <c r="S226" i="2" s="1"/>
  <c r="T226" i="2" s="1"/>
  <c r="E225" i="2"/>
  <c r="H225" i="2" s="1"/>
  <c r="D225" i="2"/>
  <c r="C225" i="2"/>
  <c r="B225" i="2"/>
  <c r="A225" i="2"/>
  <c r="S225" i="2" s="1"/>
  <c r="T225" i="2" s="1"/>
  <c r="H224" i="2"/>
  <c r="G224" i="2"/>
  <c r="E224" i="2"/>
  <c r="D224" i="2"/>
  <c r="C224" i="2"/>
  <c r="B224" i="2"/>
  <c r="D396" i="2" l="1"/>
  <c r="F321" i="2"/>
  <c r="AC376" i="2"/>
  <c r="AD376" i="2" s="1"/>
  <c r="P99" i="2"/>
  <c r="F104" i="2"/>
  <c r="E395" i="2"/>
  <c r="F404" i="2"/>
  <c r="X375" i="2"/>
  <c r="Y375" i="2" s="1"/>
  <c r="P97" i="2"/>
  <c r="P100" i="2"/>
  <c r="X103" i="2"/>
  <c r="Y103" i="2" s="1"/>
  <c r="Z103" i="2" s="1"/>
  <c r="G398" i="2"/>
  <c r="AC101" i="2"/>
  <c r="AD101" i="2" s="1"/>
  <c r="AE101" i="2" s="1"/>
  <c r="G402" i="2"/>
  <c r="X98" i="2"/>
  <c r="Y98" i="2" s="1"/>
  <c r="Z98" i="2" s="1"/>
  <c r="G99" i="2"/>
  <c r="AC104" i="2"/>
  <c r="AD104" i="2" s="1"/>
  <c r="AE104" i="2" s="1"/>
  <c r="X106" i="2"/>
  <c r="Y106" i="2" s="1"/>
  <c r="Z106" i="2" s="1"/>
  <c r="X107" i="2"/>
  <c r="Y107" i="2" s="1"/>
  <c r="Z107" i="2" s="1"/>
  <c r="E394" i="2"/>
  <c r="E402" i="2"/>
  <c r="S329" i="2"/>
  <c r="T329" i="2" s="1"/>
  <c r="P93" i="2"/>
  <c r="S98" i="2"/>
  <c r="T98" i="2" s="1"/>
  <c r="U98" i="2" s="1"/>
  <c r="X379" i="2"/>
  <c r="Y379" i="2" s="1"/>
  <c r="H321" i="2"/>
  <c r="F328" i="2"/>
  <c r="F399" i="2"/>
  <c r="G397" i="2"/>
  <c r="S94" i="2"/>
  <c r="T94" i="2" s="1"/>
  <c r="U94" i="2" s="1"/>
  <c r="S97" i="2"/>
  <c r="T97" i="2" s="1"/>
  <c r="U97" i="2" s="1"/>
  <c r="F98" i="2"/>
  <c r="X99" i="2"/>
  <c r="Y99" i="2" s="1"/>
  <c r="Z99" i="2" s="1"/>
  <c r="P103" i="2"/>
  <c r="E400" i="2"/>
  <c r="F393" i="2"/>
  <c r="G396" i="2"/>
  <c r="X97" i="2"/>
  <c r="Y97" i="2" s="1"/>
  <c r="Z97" i="2" s="1"/>
  <c r="AC99" i="2"/>
  <c r="AD99" i="2" s="1"/>
  <c r="AE99" i="2" s="1"/>
  <c r="G107" i="2"/>
  <c r="AC378" i="2"/>
  <c r="AD378" i="2" s="1"/>
  <c r="E399" i="2"/>
  <c r="F405" i="2"/>
  <c r="F397" i="2"/>
  <c r="G403" i="2"/>
  <c r="G395" i="2"/>
  <c r="E393" i="2"/>
  <c r="G394" i="2"/>
  <c r="G93" i="2"/>
  <c r="S96" i="2"/>
  <c r="T96" i="2" s="1"/>
  <c r="U96" i="2" s="1"/>
  <c r="S101" i="2"/>
  <c r="T101" i="2" s="1"/>
  <c r="U101" i="2" s="1"/>
  <c r="S102" i="2"/>
  <c r="T102" i="2" s="1"/>
  <c r="U102" i="2" s="1"/>
  <c r="F103" i="2"/>
  <c r="G104" i="2"/>
  <c r="S371" i="2"/>
  <c r="T371" i="2" s="1"/>
  <c r="AC375" i="2"/>
  <c r="AD375" i="2" s="1"/>
  <c r="E405" i="2"/>
  <c r="F403" i="2"/>
  <c r="F395" i="2"/>
  <c r="G401" i="2"/>
  <c r="F96" i="2"/>
  <c r="X96" i="2"/>
  <c r="Y96" i="2" s="1"/>
  <c r="Z96" i="2" s="1"/>
  <c r="F102" i="2"/>
  <c r="X102" i="2"/>
  <c r="Y102" i="2" s="1"/>
  <c r="Z102" i="2" s="1"/>
  <c r="P107" i="2"/>
  <c r="E398" i="2"/>
  <c r="X333" i="2"/>
  <c r="Y333" i="2" s="1"/>
  <c r="E404" i="2"/>
  <c r="E396" i="2"/>
  <c r="F394" i="2"/>
  <c r="S100" i="2"/>
  <c r="T100" i="2" s="1"/>
  <c r="U100" i="2" s="1"/>
  <c r="F101" i="2"/>
  <c r="D399" i="2"/>
  <c r="S325" i="2"/>
  <c r="T325" i="2" s="1"/>
  <c r="P98" i="2"/>
  <c r="F100" i="2"/>
  <c r="P95" i="2"/>
  <c r="F97" i="2"/>
  <c r="P105" i="2"/>
  <c r="G105" i="2"/>
  <c r="F105" i="2"/>
  <c r="S95" i="2"/>
  <c r="T95" i="2" s="1"/>
  <c r="U95" i="2" s="1"/>
  <c r="G106" i="2"/>
  <c r="F106" i="2"/>
  <c r="P94" i="2"/>
  <c r="G94" i="2"/>
  <c r="F94" i="2"/>
  <c r="D403" i="2"/>
  <c r="X105" i="2"/>
  <c r="Y105" i="2" s="1"/>
  <c r="Z105" i="2" s="1"/>
  <c r="D393" i="2"/>
  <c r="G95" i="2"/>
  <c r="F95" i="2"/>
  <c r="D405" i="2"/>
  <c r="D394" i="2"/>
  <c r="D401" i="2"/>
  <c r="S372" i="2"/>
  <c r="T372" i="2" s="1"/>
  <c r="G381" i="2"/>
  <c r="G405" i="2" s="1"/>
  <c r="F379" i="2"/>
  <c r="S370" i="2"/>
  <c r="T370" i="2" s="1"/>
  <c r="AC380" i="2"/>
  <c r="AD380" i="2" s="1"/>
  <c r="F376" i="2"/>
  <c r="F371" i="2"/>
  <c r="AC374" i="2"/>
  <c r="AD374" i="2" s="1"/>
  <c r="G376" i="2"/>
  <c r="G400" i="2" s="1"/>
  <c r="AC373" i="2"/>
  <c r="AD373" i="2" s="1"/>
  <c r="F374" i="2"/>
  <c r="G375" i="2"/>
  <c r="G399" i="2" s="1"/>
  <c r="G380" i="2"/>
  <c r="G404" i="2" s="1"/>
  <c r="X373" i="2"/>
  <c r="Y373" i="2" s="1"/>
  <c r="F375" i="2"/>
  <c r="F380" i="2"/>
  <c r="F369" i="2"/>
  <c r="AC372" i="2"/>
  <c r="AD372" i="2" s="1"/>
  <c r="F373" i="2"/>
  <c r="S374" i="2"/>
  <c r="T374" i="2" s="1"/>
  <c r="F378" i="2"/>
  <c r="F377" i="2"/>
  <c r="F370" i="2"/>
  <c r="F372" i="2"/>
  <c r="F323" i="2"/>
  <c r="S322" i="2"/>
  <c r="T322" i="2" s="1"/>
  <c r="H324" i="2"/>
  <c r="F330" i="2"/>
  <c r="F326" i="2"/>
  <c r="H330" i="2"/>
  <c r="X331" i="2"/>
  <c r="Y331" i="2" s="1"/>
  <c r="X332" i="2"/>
  <c r="Y332" i="2" s="1"/>
  <c r="AC324" i="2"/>
  <c r="AD324" i="2" s="1"/>
  <c r="F325" i="2"/>
  <c r="AC326" i="2"/>
  <c r="AD326" i="2" s="1"/>
  <c r="F327" i="2"/>
  <c r="AC328" i="2"/>
  <c r="AD328" i="2" s="1"/>
  <c r="F329" i="2"/>
  <c r="AC330" i="2"/>
  <c r="AD330" i="2" s="1"/>
  <c r="F331" i="2"/>
  <c r="S323" i="2"/>
  <c r="T323" i="2" s="1"/>
  <c r="G325" i="2"/>
  <c r="F396" i="2" s="1"/>
  <c r="X325" i="2"/>
  <c r="Y325" i="2" s="1"/>
  <c r="G327" i="2"/>
  <c r="F398" i="2" s="1"/>
  <c r="X327" i="2"/>
  <c r="Y327" i="2" s="1"/>
  <c r="G329" i="2"/>
  <c r="F400" i="2" s="1"/>
  <c r="X329" i="2"/>
  <c r="Y329" i="2" s="1"/>
  <c r="G331" i="2"/>
  <c r="F402" i="2" s="1"/>
  <c r="F332" i="2"/>
  <c r="F322" i="2"/>
  <c r="S324" i="2"/>
  <c r="T324" i="2" s="1"/>
  <c r="S326" i="2"/>
  <c r="T326" i="2" s="1"/>
  <c r="S328" i="2"/>
  <c r="T328" i="2" s="1"/>
  <c r="S330" i="2"/>
  <c r="T330" i="2" s="1"/>
  <c r="F333" i="2"/>
  <c r="S277" i="2"/>
  <c r="T277" i="2" s="1"/>
  <c r="X283" i="2"/>
  <c r="Y283" i="2" s="1"/>
  <c r="S281" i="2"/>
  <c r="T281" i="2" s="1"/>
  <c r="F237" i="2"/>
  <c r="F174" i="2"/>
  <c r="F285" i="2"/>
  <c r="X284" i="2"/>
  <c r="Y284" i="2" s="1"/>
  <c r="X274" i="2"/>
  <c r="Y274" i="2" s="1"/>
  <c r="S279" i="2"/>
  <c r="T279" i="2" s="1"/>
  <c r="X285" i="2"/>
  <c r="Y285" i="2" s="1"/>
  <c r="F274" i="2"/>
  <c r="AC276" i="2"/>
  <c r="AD276" i="2" s="1"/>
  <c r="F277" i="2"/>
  <c r="AC278" i="2"/>
  <c r="AD278" i="2" s="1"/>
  <c r="F279" i="2"/>
  <c r="AC280" i="2"/>
  <c r="AD280" i="2" s="1"/>
  <c r="F281" i="2"/>
  <c r="AC282" i="2"/>
  <c r="AD282" i="2" s="1"/>
  <c r="F283" i="2"/>
  <c r="S275" i="2"/>
  <c r="T275" i="2" s="1"/>
  <c r="G277" i="2"/>
  <c r="E397" i="2" s="1"/>
  <c r="X277" i="2"/>
  <c r="Y277" i="2" s="1"/>
  <c r="G279" i="2"/>
  <c r="X279" i="2"/>
  <c r="Y279" i="2" s="1"/>
  <c r="G281" i="2"/>
  <c r="E401" i="2" s="1"/>
  <c r="X281" i="2"/>
  <c r="Y281" i="2" s="1"/>
  <c r="G283" i="2"/>
  <c r="E403" i="2" s="1"/>
  <c r="F284" i="2"/>
  <c r="S278" i="2"/>
  <c r="T278" i="2" s="1"/>
  <c r="S280" i="2"/>
  <c r="T280" i="2" s="1"/>
  <c r="F273" i="2"/>
  <c r="F276" i="2"/>
  <c r="F278" i="2"/>
  <c r="F280" i="2"/>
  <c r="F282" i="2"/>
  <c r="S276" i="2"/>
  <c r="T276" i="2" s="1"/>
  <c r="S282" i="2"/>
  <c r="T282" i="2" s="1"/>
  <c r="F275" i="2"/>
  <c r="X176" i="2"/>
  <c r="Y176" i="2" s="1"/>
  <c r="AC175" i="2"/>
  <c r="AD175" i="2" s="1"/>
  <c r="F173" i="2"/>
  <c r="G174" i="2"/>
  <c r="G173" i="2"/>
  <c r="F176" i="2"/>
  <c r="AC174" i="2"/>
  <c r="AD174" i="2" s="1"/>
  <c r="G175" i="2"/>
  <c r="F175" i="2"/>
  <c r="AC173" i="2"/>
  <c r="AD173" i="2" s="1"/>
  <c r="G176" i="2"/>
  <c r="F236" i="2"/>
  <c r="X230" i="2"/>
  <c r="Y230" i="2" s="1"/>
  <c r="G227" i="2"/>
  <c r="D397" i="2" s="1"/>
  <c r="X228" i="2"/>
  <c r="Y228" i="2" s="1"/>
  <c r="G237" i="2"/>
  <c r="X227" i="2"/>
  <c r="Y227" i="2" s="1"/>
  <c r="F226" i="2"/>
  <c r="AC237" i="2"/>
  <c r="AD237" i="2" s="1"/>
  <c r="X234" i="2"/>
  <c r="Y234" i="2" s="1"/>
  <c r="AC236" i="2"/>
  <c r="AD236" i="2" s="1"/>
  <c r="G236" i="2"/>
  <c r="S232" i="2"/>
  <c r="T232" i="2" s="1"/>
  <c r="S234" i="2"/>
  <c r="T234" i="2" s="1"/>
  <c r="X232" i="2"/>
  <c r="Y232" i="2" s="1"/>
  <c r="X226" i="2"/>
  <c r="Y226" i="2" s="1"/>
  <c r="S228" i="2"/>
  <c r="T228" i="2" s="1"/>
  <c r="S230" i="2"/>
  <c r="T230" i="2" s="1"/>
  <c r="G228" i="2"/>
  <c r="D398" i="2" s="1"/>
  <c r="X229" i="2"/>
  <c r="Y229" i="2" s="1"/>
  <c r="AC229" i="2"/>
  <c r="AD229" i="2" s="1"/>
  <c r="S229" i="2"/>
  <c r="T229" i="2" s="1"/>
  <c r="G225" i="2"/>
  <c r="D395" i="2" s="1"/>
  <c r="AC235" i="2"/>
  <c r="AD235" i="2" s="1"/>
  <c r="X235" i="2"/>
  <c r="Y235" i="2" s="1"/>
  <c r="F228" i="2"/>
  <c r="G234" i="2"/>
  <c r="D404" i="2" s="1"/>
  <c r="F234" i="2"/>
  <c r="X233" i="2"/>
  <c r="Y233" i="2" s="1"/>
  <c r="S233" i="2"/>
  <c r="T233" i="2" s="1"/>
  <c r="AC233" i="2"/>
  <c r="AD233" i="2" s="1"/>
  <c r="F227" i="2"/>
  <c r="G232" i="2"/>
  <c r="D402" i="2" s="1"/>
  <c r="F232" i="2"/>
  <c r="F225" i="2"/>
  <c r="X231" i="2"/>
  <c r="Y231" i="2" s="1"/>
  <c r="S231" i="2"/>
  <c r="T231" i="2" s="1"/>
  <c r="AC231" i="2"/>
  <c r="AD231" i="2" s="1"/>
  <c r="G230" i="2"/>
  <c r="D400" i="2" s="1"/>
  <c r="F230" i="2"/>
  <c r="F229" i="2"/>
  <c r="F231" i="2"/>
  <c r="F233" i="2"/>
  <c r="F235" i="2"/>
  <c r="I3" i="1" l="1"/>
  <c r="I2" i="1"/>
  <c r="N41" i="2" l="1"/>
  <c r="O41" i="2" s="1"/>
  <c r="E41" i="2"/>
  <c r="H41" i="2" s="1"/>
  <c r="D41" i="2"/>
  <c r="C41" i="2"/>
  <c r="B41" i="2"/>
  <c r="A41" i="2"/>
  <c r="AC41" i="2" s="1"/>
  <c r="AD41" i="2" s="1"/>
  <c r="AE41" i="2" s="1"/>
  <c r="N40" i="2"/>
  <c r="O40" i="2" s="1"/>
  <c r="E40" i="2"/>
  <c r="D40" i="2"/>
  <c r="G40" i="2" s="1"/>
  <c r="C40" i="2"/>
  <c r="B40" i="2"/>
  <c r="A40" i="2"/>
  <c r="AC40" i="2" s="1"/>
  <c r="AD40" i="2" s="1"/>
  <c r="AE40" i="2" s="1"/>
  <c r="N39" i="2"/>
  <c r="O39" i="2" s="1"/>
  <c r="E39" i="2"/>
  <c r="H39" i="2" s="1"/>
  <c r="D39" i="2"/>
  <c r="C39" i="2"/>
  <c r="B39" i="2"/>
  <c r="A39" i="2"/>
  <c r="AC39" i="2" s="1"/>
  <c r="AD39" i="2" s="1"/>
  <c r="AE39" i="2" s="1"/>
  <c r="N38" i="2"/>
  <c r="O38" i="2" s="1"/>
  <c r="E38" i="2"/>
  <c r="H38" i="2" s="1"/>
  <c r="D38" i="2"/>
  <c r="C38" i="2"/>
  <c r="B38" i="2"/>
  <c r="A38" i="2"/>
  <c r="X38" i="2" s="1"/>
  <c r="Y38" i="2" s="1"/>
  <c r="Z38" i="2" s="1"/>
  <c r="N37" i="2"/>
  <c r="O37" i="2" s="1"/>
  <c r="E37" i="2"/>
  <c r="H37" i="2" s="1"/>
  <c r="D37" i="2"/>
  <c r="C37" i="2"/>
  <c r="B37" i="2"/>
  <c r="A37" i="2"/>
  <c r="AC37" i="2" s="1"/>
  <c r="AD37" i="2" s="1"/>
  <c r="AE37" i="2" s="1"/>
  <c r="N36" i="2"/>
  <c r="O36" i="2" s="1"/>
  <c r="E36" i="2"/>
  <c r="H36" i="2" s="1"/>
  <c r="D36" i="2"/>
  <c r="C36" i="2"/>
  <c r="B36" i="2"/>
  <c r="A36" i="2"/>
  <c r="X36" i="2" s="1"/>
  <c r="Y36" i="2" s="1"/>
  <c r="Z36" i="2" s="1"/>
  <c r="N35" i="2"/>
  <c r="O35" i="2" s="1"/>
  <c r="E35" i="2"/>
  <c r="D35" i="2"/>
  <c r="G35" i="2" s="1"/>
  <c r="C35" i="2"/>
  <c r="B35" i="2"/>
  <c r="A35" i="2"/>
  <c r="X35" i="2" s="1"/>
  <c r="Y35" i="2" s="1"/>
  <c r="Z35" i="2" s="1"/>
  <c r="N34" i="2"/>
  <c r="O34" i="2" s="1"/>
  <c r="E34" i="2"/>
  <c r="H34" i="2" s="1"/>
  <c r="D34" i="2"/>
  <c r="C34" i="2"/>
  <c r="B34" i="2"/>
  <c r="A34" i="2"/>
  <c r="X34" i="2" s="1"/>
  <c r="Y34" i="2" s="1"/>
  <c r="Z34" i="2" s="1"/>
  <c r="N33" i="2"/>
  <c r="O33" i="2" s="1"/>
  <c r="E33" i="2"/>
  <c r="H33" i="2" s="1"/>
  <c r="D33" i="2"/>
  <c r="C33" i="2"/>
  <c r="B33" i="2"/>
  <c r="A33" i="2"/>
  <c r="X33" i="2" s="1"/>
  <c r="Y33" i="2" s="1"/>
  <c r="Z33" i="2" s="1"/>
  <c r="N32" i="2"/>
  <c r="O32" i="2" s="1"/>
  <c r="E32" i="2"/>
  <c r="H32" i="2" s="1"/>
  <c r="D32" i="2"/>
  <c r="C32" i="2"/>
  <c r="B32" i="2"/>
  <c r="A32" i="2"/>
  <c r="X32" i="2" s="1"/>
  <c r="Y32" i="2" s="1"/>
  <c r="Z32" i="2" s="1"/>
  <c r="N31" i="2"/>
  <c r="O31" i="2" s="1"/>
  <c r="E31" i="2"/>
  <c r="H31" i="2" s="1"/>
  <c r="D31" i="2"/>
  <c r="C31" i="2"/>
  <c r="B31" i="2"/>
  <c r="A31" i="2"/>
  <c r="X31" i="2" s="1"/>
  <c r="Y31" i="2" s="1"/>
  <c r="Z31" i="2" s="1"/>
  <c r="N30" i="2"/>
  <c r="O30" i="2" s="1"/>
  <c r="E30" i="2"/>
  <c r="H30" i="2" s="1"/>
  <c r="D30" i="2"/>
  <c r="C30" i="2"/>
  <c r="B30" i="2"/>
  <c r="A30" i="2"/>
  <c r="X30" i="2" s="1"/>
  <c r="Y30" i="2" s="1"/>
  <c r="Z30" i="2" s="1"/>
  <c r="N29" i="2"/>
  <c r="E29" i="2"/>
  <c r="D29" i="2"/>
  <c r="G29" i="2" s="1"/>
  <c r="C29" i="2"/>
  <c r="B29" i="2"/>
  <c r="A29" i="2"/>
  <c r="X29" i="2" s="1"/>
  <c r="Y29" i="2" s="1"/>
  <c r="Z29" i="2" s="1"/>
  <c r="N28" i="2"/>
  <c r="O28" i="2" s="1"/>
  <c r="E28" i="2"/>
  <c r="H28" i="2" s="1"/>
  <c r="D28" i="2"/>
  <c r="C28" i="2"/>
  <c r="B28" i="2"/>
  <c r="A28" i="2"/>
  <c r="X28" i="2" s="1"/>
  <c r="Y28" i="2" s="1"/>
  <c r="Z28" i="2" s="1"/>
  <c r="N27" i="2"/>
  <c r="O27" i="2" s="1"/>
  <c r="E27" i="2"/>
  <c r="H27" i="2" s="1"/>
  <c r="D27" i="2"/>
  <c r="C27" i="2"/>
  <c r="B27" i="2"/>
  <c r="A27" i="2"/>
  <c r="S27" i="2" s="1"/>
  <c r="T27" i="2" s="1"/>
  <c r="U27" i="2" s="1"/>
  <c r="H26" i="2"/>
  <c r="G26" i="2"/>
  <c r="E26" i="2"/>
  <c r="D26" i="2"/>
  <c r="C26" i="2"/>
  <c r="B26" i="2"/>
  <c r="K175" i="2" l="1"/>
  <c r="K238" i="2"/>
  <c r="L227" i="2"/>
  <c r="Z227" i="2" s="1"/>
  <c r="K275" i="2"/>
  <c r="U275" i="2" s="1"/>
  <c r="L286" i="2"/>
  <c r="M283" i="2"/>
  <c r="K281" i="2"/>
  <c r="L278" i="2"/>
  <c r="M275" i="2"/>
  <c r="L382" i="2"/>
  <c r="L377" i="2"/>
  <c r="Z377" i="2" s="1"/>
  <c r="L334" i="2"/>
  <c r="M331" i="2"/>
  <c r="AE331" i="2" s="1"/>
  <c r="K329" i="2"/>
  <c r="L326" i="2"/>
  <c r="Z326" i="2" s="1"/>
  <c r="M323" i="2"/>
  <c r="M176" i="2"/>
  <c r="AE176" i="2" s="1"/>
  <c r="K174" i="2"/>
  <c r="K229" i="2"/>
  <c r="L226" i="2"/>
  <c r="Z226" i="2" s="1"/>
  <c r="K288" i="2"/>
  <c r="L285" i="2"/>
  <c r="Z285" i="2" s="1"/>
  <c r="M282" i="2"/>
  <c r="AE282" i="2" s="1"/>
  <c r="K280" i="2"/>
  <c r="U280" i="2" s="1"/>
  <c r="L277" i="2"/>
  <c r="Z277" i="2" s="1"/>
  <c r="L274" i="2"/>
  <c r="Z274" i="2" s="1"/>
  <c r="K384" i="2"/>
  <c r="L381" i="2"/>
  <c r="Z381" i="2" s="1"/>
  <c r="L372" i="2"/>
  <c r="Z372" i="2" s="1"/>
  <c r="K370" i="2"/>
  <c r="L369" i="2"/>
  <c r="K336" i="2"/>
  <c r="L333" i="2"/>
  <c r="Z333" i="2" s="1"/>
  <c r="M330" i="2"/>
  <c r="AE330" i="2" s="1"/>
  <c r="K328" i="2"/>
  <c r="L325" i="2"/>
  <c r="Z325" i="2" s="1"/>
  <c r="M322" i="2"/>
  <c r="L176" i="2"/>
  <c r="Z176" i="2" s="1"/>
  <c r="M173" i="2"/>
  <c r="AE173" i="2" s="1"/>
  <c r="M228" i="2"/>
  <c r="AE228" i="2" s="1"/>
  <c r="K226" i="2"/>
  <c r="M287" i="2"/>
  <c r="K285" i="2"/>
  <c r="L282" i="2"/>
  <c r="Z282" i="2" s="1"/>
  <c r="M279" i="2"/>
  <c r="AE279" i="2" s="1"/>
  <c r="K277" i="2"/>
  <c r="K274" i="2"/>
  <c r="M383" i="2"/>
  <c r="L373" i="2"/>
  <c r="Z373" i="2" s="1"/>
  <c r="K372" i="2"/>
  <c r="K369" i="2"/>
  <c r="M335" i="2"/>
  <c r="K333" i="2"/>
  <c r="L330" i="2"/>
  <c r="Z330" i="2" s="1"/>
  <c r="M327" i="2"/>
  <c r="AE327" i="2" s="1"/>
  <c r="K325" i="2"/>
  <c r="U325" i="2" s="1"/>
  <c r="L322" i="2"/>
  <c r="Z322" i="2" s="1"/>
  <c r="K176" i="2"/>
  <c r="L173" i="2"/>
  <c r="Z173" i="2" s="1"/>
  <c r="L236" i="2"/>
  <c r="L228" i="2"/>
  <c r="M225" i="2"/>
  <c r="L287" i="2"/>
  <c r="M284" i="2"/>
  <c r="AE284" i="2" s="1"/>
  <c r="K282" i="2"/>
  <c r="L279" i="2"/>
  <c r="Z279" i="2" s="1"/>
  <c r="M276" i="2"/>
  <c r="AE276" i="2" s="1"/>
  <c r="M273" i="2"/>
  <c r="L383" i="2"/>
  <c r="K225" i="2"/>
  <c r="K284" i="2"/>
  <c r="M278" i="2"/>
  <c r="AE278" i="2" s="1"/>
  <c r="K273" i="2"/>
  <c r="L374" i="2"/>
  <c r="Z374" i="2" s="1"/>
  <c r="L335" i="2"/>
  <c r="L331" i="2"/>
  <c r="Z331" i="2" s="1"/>
  <c r="K327" i="2"/>
  <c r="K323" i="2"/>
  <c r="M333" i="2"/>
  <c r="AE333" i="2" s="1"/>
  <c r="L329" i="2"/>
  <c r="Z329" i="2" s="1"/>
  <c r="K286" i="2"/>
  <c r="L275" i="2"/>
  <c r="Z275" i="2" s="1"/>
  <c r="M332" i="2"/>
  <c r="AE332" i="2" s="1"/>
  <c r="M230" i="2"/>
  <c r="AE230" i="2" s="1"/>
  <c r="L284" i="2"/>
  <c r="Z284" i="2" s="1"/>
  <c r="L273" i="2"/>
  <c r="K373" i="2"/>
  <c r="M229" i="2"/>
  <c r="AE229" i="2" s="1"/>
  <c r="M288" i="2"/>
  <c r="L283" i="2"/>
  <c r="Z283" i="2" s="1"/>
  <c r="K278" i="2"/>
  <c r="U278" i="2" s="1"/>
  <c r="K374" i="2"/>
  <c r="K335" i="2"/>
  <c r="K331" i="2"/>
  <c r="N331" i="2" s="1"/>
  <c r="M326" i="2"/>
  <c r="AE326" i="2" s="1"/>
  <c r="K322" i="2"/>
  <c r="K321" i="2"/>
  <c r="M226" i="2"/>
  <c r="L280" i="2"/>
  <c r="K382" i="2"/>
  <c r="L332" i="2"/>
  <c r="Z332" i="2" s="1"/>
  <c r="K324" i="2"/>
  <c r="L336" i="2"/>
  <c r="K332" i="2"/>
  <c r="N332" i="2" s="1"/>
  <c r="L327" i="2"/>
  <c r="Z327" i="2" s="1"/>
  <c r="L323" i="2"/>
  <c r="Z323" i="2" s="1"/>
  <c r="L229" i="2"/>
  <c r="Z229" i="2" s="1"/>
  <c r="L288" i="2"/>
  <c r="K283" i="2"/>
  <c r="M277" i="2"/>
  <c r="AE277" i="2" s="1"/>
  <c r="M384" i="2"/>
  <c r="L375" i="2"/>
  <c r="Z375" i="2" s="1"/>
  <c r="L370" i="2"/>
  <c r="Z370" i="2" s="1"/>
  <c r="M334" i="2"/>
  <c r="K330" i="2"/>
  <c r="K326" i="2"/>
  <c r="M321" i="2"/>
  <c r="M324" i="2"/>
  <c r="AE324" i="2" s="1"/>
  <c r="L324" i="2"/>
  <c r="Z324" i="2" s="1"/>
  <c r="L174" i="2"/>
  <c r="M285" i="2"/>
  <c r="AE285" i="2" s="1"/>
  <c r="M274" i="2"/>
  <c r="M336" i="2"/>
  <c r="L328" i="2"/>
  <c r="Z328" i="2" s="1"/>
  <c r="K173" i="2"/>
  <c r="K236" i="2"/>
  <c r="L225" i="2"/>
  <c r="K279" i="2"/>
  <c r="M175" i="2"/>
  <c r="AE175" i="2" s="1"/>
  <c r="M238" i="2"/>
  <c r="L233" i="2"/>
  <c r="Z233" i="2" s="1"/>
  <c r="K228" i="2"/>
  <c r="U228" i="2" s="1"/>
  <c r="K287" i="2"/>
  <c r="M281" i="2"/>
  <c r="AE281" i="2" s="1"/>
  <c r="L276" i="2"/>
  <c r="Z276" i="2" s="1"/>
  <c r="L384" i="2"/>
  <c r="L379" i="2"/>
  <c r="Z379" i="2" s="1"/>
  <c r="K378" i="2"/>
  <c r="K334" i="2"/>
  <c r="M329" i="2"/>
  <c r="AE329" i="2" s="1"/>
  <c r="M325" i="2"/>
  <c r="L321" i="2"/>
  <c r="L175" i="2"/>
  <c r="L238" i="2"/>
  <c r="K233" i="2"/>
  <c r="M227" i="2"/>
  <c r="M286" i="2"/>
  <c r="L281" i="2"/>
  <c r="Z281" i="2" s="1"/>
  <c r="K276" i="2"/>
  <c r="K383" i="2"/>
  <c r="M174" i="2"/>
  <c r="AE174" i="2" s="1"/>
  <c r="K227" i="2"/>
  <c r="M280" i="2"/>
  <c r="AE280" i="2" s="1"/>
  <c r="M382" i="2"/>
  <c r="M328" i="2"/>
  <c r="AE328" i="2" s="1"/>
  <c r="K235" i="2"/>
  <c r="L371" i="2"/>
  <c r="Z371" i="2" s="1"/>
  <c r="M237" i="2"/>
  <c r="AE237" i="2" s="1"/>
  <c r="K380" i="2"/>
  <c r="K379" i="2"/>
  <c r="K232" i="2"/>
  <c r="M379" i="2"/>
  <c r="AE379" i="2" s="1"/>
  <c r="M233" i="2"/>
  <c r="AE233" i="2" s="1"/>
  <c r="M369" i="2"/>
  <c r="L380" i="2"/>
  <c r="Z380" i="2" s="1"/>
  <c r="K376" i="2"/>
  <c r="M234" i="2"/>
  <c r="AE234" i="2" s="1"/>
  <c r="L237" i="2"/>
  <c r="Z237" i="2" s="1"/>
  <c r="K230" i="2"/>
  <c r="L230" i="2"/>
  <c r="Z230" i="2" s="1"/>
  <c r="M370" i="2"/>
  <c r="K237" i="2"/>
  <c r="M235" i="2"/>
  <c r="AE235" i="2" s="1"/>
  <c r="M373" i="2"/>
  <c r="AE373" i="2" s="1"/>
  <c r="K381" i="2"/>
  <c r="N381" i="2" s="1"/>
  <c r="M371" i="2"/>
  <c r="K377" i="2"/>
  <c r="L376" i="2"/>
  <c r="Z376" i="2" s="1"/>
  <c r="M377" i="2"/>
  <c r="AE377" i="2" s="1"/>
  <c r="M376" i="2"/>
  <c r="AE376" i="2" s="1"/>
  <c r="M236" i="2"/>
  <c r="AE236" i="2" s="1"/>
  <c r="M381" i="2"/>
  <c r="AE381" i="2" s="1"/>
  <c r="M372" i="2"/>
  <c r="AE372" i="2" s="1"/>
  <c r="L234" i="2"/>
  <c r="Z234" i="2" s="1"/>
  <c r="L235" i="2"/>
  <c r="Z235" i="2" s="1"/>
  <c r="M375" i="2"/>
  <c r="L378" i="2"/>
  <c r="Z378" i="2" s="1"/>
  <c r="K371" i="2"/>
  <c r="K375" i="2"/>
  <c r="U375" i="2" s="1"/>
  <c r="M231" i="2"/>
  <c r="AE231" i="2" s="1"/>
  <c r="K234" i="2"/>
  <c r="M374" i="2"/>
  <c r="AE374" i="2" s="1"/>
  <c r="L231" i="2"/>
  <c r="Z231" i="2" s="1"/>
  <c r="L232" i="2"/>
  <c r="Z232" i="2" s="1"/>
  <c r="M380" i="2"/>
  <c r="M378" i="2"/>
  <c r="AE378" i="2" s="1"/>
  <c r="M232" i="2"/>
  <c r="AE232" i="2" s="1"/>
  <c r="K231" i="2"/>
  <c r="F33" i="2"/>
  <c r="G33" i="2"/>
  <c r="F35" i="2"/>
  <c r="F38" i="2"/>
  <c r="S34" i="2"/>
  <c r="T34" i="2" s="1"/>
  <c r="U34" i="2" s="1"/>
  <c r="P37" i="2"/>
  <c r="S32" i="2"/>
  <c r="T32" i="2" s="1"/>
  <c r="U32" i="2" s="1"/>
  <c r="P36" i="2"/>
  <c r="P29" i="2"/>
  <c r="X41" i="2"/>
  <c r="Y41" i="2" s="1"/>
  <c r="Z41" i="2" s="1"/>
  <c r="F29" i="2"/>
  <c r="S28" i="2"/>
  <c r="T28" i="2" s="1"/>
  <c r="U28" i="2" s="1"/>
  <c r="S36" i="2"/>
  <c r="T36" i="2" s="1"/>
  <c r="U36" i="2" s="1"/>
  <c r="P30" i="2"/>
  <c r="P32" i="2"/>
  <c r="P40" i="2"/>
  <c r="P39" i="2"/>
  <c r="AC32" i="2"/>
  <c r="AD32" i="2" s="1"/>
  <c r="AE32" i="2" s="1"/>
  <c r="X40" i="2"/>
  <c r="Y40" i="2" s="1"/>
  <c r="Z40" i="2" s="1"/>
  <c r="H35" i="2"/>
  <c r="F37" i="2"/>
  <c r="G37" i="2"/>
  <c r="G38" i="2"/>
  <c r="F40" i="2"/>
  <c r="O29" i="2"/>
  <c r="P31" i="2"/>
  <c r="AC34" i="2"/>
  <c r="AD34" i="2" s="1"/>
  <c r="AE34" i="2" s="1"/>
  <c r="P28" i="2"/>
  <c r="P33" i="2"/>
  <c r="AC36" i="2"/>
  <c r="AD36" i="2" s="1"/>
  <c r="AE36" i="2" s="1"/>
  <c r="S29" i="2"/>
  <c r="T29" i="2" s="1"/>
  <c r="U29" i="2" s="1"/>
  <c r="P27" i="2"/>
  <c r="F31" i="2"/>
  <c r="S30" i="2"/>
  <c r="T30" i="2" s="1"/>
  <c r="U30" i="2" s="1"/>
  <c r="G31" i="2"/>
  <c r="P34" i="2"/>
  <c r="AC38" i="2"/>
  <c r="AD38" i="2" s="1"/>
  <c r="AE38" i="2" s="1"/>
  <c r="X39" i="2"/>
  <c r="Y39" i="2" s="1"/>
  <c r="Z39" i="2" s="1"/>
  <c r="AC30" i="2"/>
  <c r="AD30" i="2" s="1"/>
  <c r="AE30" i="2" s="1"/>
  <c r="P35" i="2"/>
  <c r="P41" i="2"/>
  <c r="F28" i="2"/>
  <c r="G28" i="2"/>
  <c r="F30" i="2"/>
  <c r="F32" i="2"/>
  <c r="AC33" i="2"/>
  <c r="AD33" i="2" s="1"/>
  <c r="AE33" i="2" s="1"/>
  <c r="F36" i="2"/>
  <c r="F41" i="2"/>
  <c r="G27" i="2"/>
  <c r="H29" i="2"/>
  <c r="G30" i="2"/>
  <c r="G32" i="2"/>
  <c r="G34" i="2"/>
  <c r="G36" i="2"/>
  <c r="H40" i="2"/>
  <c r="G41" i="2"/>
  <c r="AC31" i="2"/>
  <c r="AD31" i="2" s="1"/>
  <c r="AE31" i="2" s="1"/>
  <c r="F34" i="2"/>
  <c r="AC35" i="2"/>
  <c r="AD35" i="2" s="1"/>
  <c r="AE35" i="2" s="1"/>
  <c r="S31" i="2"/>
  <c r="T31" i="2" s="1"/>
  <c r="U31" i="2" s="1"/>
  <c r="S33" i="2"/>
  <c r="T33" i="2" s="1"/>
  <c r="U33" i="2" s="1"/>
  <c r="S35" i="2"/>
  <c r="T35" i="2" s="1"/>
  <c r="U35" i="2" s="1"/>
  <c r="X37" i="2"/>
  <c r="Y37" i="2" s="1"/>
  <c r="Z37" i="2" s="1"/>
  <c r="P38" i="2"/>
  <c r="F39" i="2"/>
  <c r="G39" i="2"/>
  <c r="F27" i="2"/>
  <c r="N173" i="2" l="1"/>
  <c r="N379" i="2"/>
  <c r="P379" i="2" s="1"/>
  <c r="N333" i="2"/>
  <c r="P333" i="2" s="1"/>
  <c r="N377" i="2"/>
  <c r="U377" i="2"/>
  <c r="N273" i="2"/>
  <c r="U273" i="2"/>
  <c r="N226" i="2"/>
  <c r="U226" i="2"/>
  <c r="N227" i="2"/>
  <c r="U227" i="2"/>
  <c r="O173" i="2"/>
  <c r="P173" i="2"/>
  <c r="O381" i="2"/>
  <c r="P381" i="2"/>
  <c r="N378" i="2"/>
  <c r="U378" i="2"/>
  <c r="O332" i="2"/>
  <c r="P332" i="2"/>
  <c r="N321" i="2"/>
  <c r="U321" i="2"/>
  <c r="N284" i="2"/>
  <c r="N274" i="2"/>
  <c r="U274" i="2"/>
  <c r="N275" i="2"/>
  <c r="N232" i="2"/>
  <c r="U232" i="2"/>
  <c r="N236" i="2"/>
  <c r="Z236" i="2"/>
  <c r="N370" i="2"/>
  <c r="U370" i="2"/>
  <c r="O379" i="2"/>
  <c r="N233" i="2"/>
  <c r="U233" i="2"/>
  <c r="N234" i="2"/>
  <c r="U234" i="2"/>
  <c r="N231" i="2"/>
  <c r="U231" i="2"/>
  <c r="U376" i="2"/>
  <c r="N376" i="2"/>
  <c r="N326" i="2"/>
  <c r="U326" i="2"/>
  <c r="N322" i="2"/>
  <c r="U322" i="2"/>
  <c r="N323" i="2"/>
  <c r="U323" i="2"/>
  <c r="N225" i="2"/>
  <c r="U225" i="2"/>
  <c r="N282" i="2"/>
  <c r="U282" i="2"/>
  <c r="N277" i="2"/>
  <c r="U277" i="2"/>
  <c r="N328" i="2"/>
  <c r="U328" i="2"/>
  <c r="N229" i="2"/>
  <c r="U229" i="2"/>
  <c r="N278" i="2"/>
  <c r="Z278" i="2"/>
  <c r="N330" i="2"/>
  <c r="U330" i="2"/>
  <c r="N327" i="2"/>
  <c r="U327" i="2"/>
  <c r="O333" i="2"/>
  <c r="N281" i="2"/>
  <c r="U281" i="2"/>
  <c r="U371" i="2"/>
  <c r="N371" i="2"/>
  <c r="N237" i="2"/>
  <c r="N235" i="2"/>
  <c r="N276" i="2"/>
  <c r="U276" i="2"/>
  <c r="N175" i="2"/>
  <c r="Z175" i="2"/>
  <c r="O331" i="2"/>
  <c r="P331" i="2"/>
  <c r="N329" i="2"/>
  <c r="U329" i="2"/>
  <c r="N283" i="2"/>
  <c r="AE283" i="2"/>
  <c r="N380" i="2"/>
  <c r="AE380" i="2"/>
  <c r="N279" i="2"/>
  <c r="U279" i="2"/>
  <c r="U369" i="2"/>
  <c r="N369" i="2"/>
  <c r="N285" i="2"/>
  <c r="N230" i="2"/>
  <c r="U230" i="2"/>
  <c r="N324" i="2"/>
  <c r="U324" i="2"/>
  <c r="N375" i="2"/>
  <c r="AE375" i="2"/>
  <c r="N325" i="2"/>
  <c r="AE325" i="2"/>
  <c r="N174" i="2"/>
  <c r="Z174" i="2"/>
  <c r="N280" i="2"/>
  <c r="Z280" i="2"/>
  <c r="N374" i="2"/>
  <c r="U374" i="2"/>
  <c r="N373" i="2"/>
  <c r="U373" i="2"/>
  <c r="N228" i="2"/>
  <c r="Z228" i="2"/>
  <c r="N176" i="2"/>
  <c r="N372" i="2"/>
  <c r="U372" i="2"/>
  <c r="H159" i="2"/>
  <c r="G159" i="2"/>
  <c r="E160" i="2"/>
  <c r="H160" i="2" s="1"/>
  <c r="E161" i="2"/>
  <c r="H161" i="2" s="1"/>
  <c r="E162" i="2"/>
  <c r="H162" i="2" s="1"/>
  <c r="E163" i="2"/>
  <c r="H163" i="2" s="1"/>
  <c r="E164" i="2"/>
  <c r="H164" i="2" s="1"/>
  <c r="E165" i="2"/>
  <c r="H165" i="2" s="1"/>
  <c r="E166" i="2"/>
  <c r="E167" i="2"/>
  <c r="H167" i="2" s="1"/>
  <c r="E168" i="2"/>
  <c r="H168" i="2" s="1"/>
  <c r="E169" i="2"/>
  <c r="H169" i="2" s="1"/>
  <c r="E170" i="2"/>
  <c r="H170" i="2" s="1"/>
  <c r="E171" i="2"/>
  <c r="E172" i="2"/>
  <c r="H172" i="2" s="1"/>
  <c r="D160" i="2"/>
  <c r="G160" i="2" s="1"/>
  <c r="D161" i="2"/>
  <c r="G161" i="2" s="1"/>
  <c r="D162" i="2"/>
  <c r="G162" i="2" s="1"/>
  <c r="D163" i="2"/>
  <c r="D164" i="2"/>
  <c r="D165" i="2"/>
  <c r="G165" i="2" s="1"/>
  <c r="D166" i="2"/>
  <c r="G166" i="2" s="1"/>
  <c r="D167" i="2"/>
  <c r="G167" i="2" s="1"/>
  <c r="D168" i="2"/>
  <c r="G168" i="2" s="1"/>
  <c r="D169" i="2"/>
  <c r="G169" i="2" s="1"/>
  <c r="D170" i="2"/>
  <c r="G170" i="2" s="1"/>
  <c r="D171" i="2"/>
  <c r="G171" i="2" s="1"/>
  <c r="D172" i="2"/>
  <c r="E159" i="2"/>
  <c r="D159" i="2"/>
  <c r="A160" i="2"/>
  <c r="S160" i="2" s="1"/>
  <c r="T160" i="2" s="1"/>
  <c r="A161" i="2"/>
  <c r="S161" i="2" s="1"/>
  <c r="T161" i="2" s="1"/>
  <c r="A162" i="2"/>
  <c r="A163" i="2"/>
  <c r="A164" i="2"/>
  <c r="AC164" i="2" s="1"/>
  <c r="AD164" i="2" s="1"/>
  <c r="A165" i="2"/>
  <c r="S165" i="2" s="1"/>
  <c r="T165" i="2" s="1"/>
  <c r="A166" i="2"/>
  <c r="X166" i="2" s="1"/>
  <c r="Y166" i="2" s="1"/>
  <c r="A167" i="2"/>
  <c r="X167" i="2" s="1"/>
  <c r="Y167" i="2" s="1"/>
  <c r="A168" i="2"/>
  <c r="AC168" i="2" s="1"/>
  <c r="AD168" i="2" s="1"/>
  <c r="A169" i="2"/>
  <c r="AC169" i="2" s="1"/>
  <c r="AD169" i="2" s="1"/>
  <c r="A170" i="2"/>
  <c r="AC170" i="2" s="1"/>
  <c r="AD170" i="2" s="1"/>
  <c r="A171" i="2"/>
  <c r="X171" i="2" s="1"/>
  <c r="Y171" i="2" s="1"/>
  <c r="A172" i="2"/>
  <c r="AC172" i="2" s="1"/>
  <c r="AD172" i="2" s="1"/>
  <c r="B160" i="2"/>
  <c r="B161" i="2"/>
  <c r="B162" i="2"/>
  <c r="B163" i="2"/>
  <c r="B164" i="2"/>
  <c r="B165" i="2"/>
  <c r="B166" i="2"/>
  <c r="B167" i="2"/>
  <c r="B168" i="2"/>
  <c r="B169" i="2"/>
  <c r="B170" i="2"/>
  <c r="B171" i="2"/>
  <c r="B172" i="2"/>
  <c r="C160" i="2"/>
  <c r="C161" i="2"/>
  <c r="C162" i="2"/>
  <c r="C163" i="2"/>
  <c r="C164" i="2"/>
  <c r="C165" i="2"/>
  <c r="C166" i="2"/>
  <c r="C167" i="2"/>
  <c r="C168" i="2"/>
  <c r="C169" i="2"/>
  <c r="C170" i="2"/>
  <c r="C171" i="2"/>
  <c r="C172" i="2"/>
  <c r="C159" i="2"/>
  <c r="B159" i="2"/>
  <c r="M162" i="2" l="1"/>
  <c r="L162" i="2"/>
  <c r="K162" i="2"/>
  <c r="N162" i="2" s="1"/>
  <c r="O162" i="2" s="1"/>
  <c r="Z166" i="2"/>
  <c r="M171" i="2"/>
  <c r="K171" i="2"/>
  <c r="L171" i="2"/>
  <c r="Z171" i="2" s="1"/>
  <c r="M163" i="2"/>
  <c r="L163" i="2"/>
  <c r="K163" i="2"/>
  <c r="N163" i="2" s="1"/>
  <c r="P163" i="2" s="1"/>
  <c r="M170" i="2"/>
  <c r="L170" i="2"/>
  <c r="K170" i="2"/>
  <c r="N170" i="2" s="1"/>
  <c r="P170" i="2" s="1"/>
  <c r="L169" i="2"/>
  <c r="M169" i="2"/>
  <c r="AE169" i="2" s="1"/>
  <c r="K169" i="2"/>
  <c r="M161" i="2"/>
  <c r="K161" i="2"/>
  <c r="N161" i="2" s="1"/>
  <c r="O161" i="2" s="1"/>
  <c r="L161" i="2"/>
  <c r="AE170" i="2"/>
  <c r="L167" i="2"/>
  <c r="Z167" i="2" s="1"/>
  <c r="K167" i="2"/>
  <c r="N167" i="2" s="1"/>
  <c r="O167" i="2" s="1"/>
  <c r="M167" i="2"/>
  <c r="L164" i="2"/>
  <c r="K164" i="2"/>
  <c r="M164" i="2"/>
  <c r="AE164" i="2" s="1"/>
  <c r="L160" i="2"/>
  <c r="M160" i="2"/>
  <c r="K160" i="2"/>
  <c r="U160" i="2" s="1"/>
  <c r="K166" i="2"/>
  <c r="L166" i="2"/>
  <c r="M166" i="2"/>
  <c r="L172" i="2"/>
  <c r="M172" i="2"/>
  <c r="AE172" i="2" s="1"/>
  <c r="K172" i="2"/>
  <c r="M168" i="2"/>
  <c r="AE168" i="2" s="1"/>
  <c r="L168" i="2"/>
  <c r="K168" i="2"/>
  <c r="L165" i="2"/>
  <c r="K165" i="2"/>
  <c r="M165" i="2"/>
  <c r="O374" i="2"/>
  <c r="P374" i="2"/>
  <c r="O175" i="2"/>
  <c r="P175" i="2"/>
  <c r="O278" i="2"/>
  <c r="P278" i="2"/>
  <c r="P326" i="2"/>
  <c r="O326" i="2"/>
  <c r="O227" i="2"/>
  <c r="P227" i="2"/>
  <c r="O174" i="2"/>
  <c r="P174" i="2"/>
  <c r="O285" i="2"/>
  <c r="P285" i="2"/>
  <c r="O283" i="2"/>
  <c r="P283" i="2"/>
  <c r="O276" i="2"/>
  <c r="P276" i="2"/>
  <c r="P229" i="2"/>
  <c r="O229" i="2"/>
  <c r="O225" i="2"/>
  <c r="P225" i="2"/>
  <c r="P378" i="2"/>
  <c r="O378" i="2"/>
  <c r="O226" i="2"/>
  <c r="P226" i="2"/>
  <c r="O176" i="2"/>
  <c r="P176" i="2"/>
  <c r="O280" i="2"/>
  <c r="P280" i="2"/>
  <c r="O380" i="2"/>
  <c r="P380" i="2"/>
  <c r="O281" i="2"/>
  <c r="P281" i="2"/>
  <c r="O282" i="2"/>
  <c r="P282" i="2"/>
  <c r="O233" i="2"/>
  <c r="P233" i="2"/>
  <c r="O232" i="2"/>
  <c r="P232" i="2"/>
  <c r="O230" i="2"/>
  <c r="P230" i="2"/>
  <c r="O275" i="2"/>
  <c r="P275" i="2"/>
  <c r="O373" i="2"/>
  <c r="P373" i="2"/>
  <c r="O325" i="2"/>
  <c r="P325" i="2"/>
  <c r="O369" i="2"/>
  <c r="P369" i="2"/>
  <c r="O235" i="2"/>
  <c r="P235" i="2"/>
  <c r="O274" i="2"/>
  <c r="P274" i="2"/>
  <c r="P324" i="2"/>
  <c r="O324" i="2"/>
  <c r="O228" i="2"/>
  <c r="P228" i="2"/>
  <c r="O376" i="2"/>
  <c r="P376" i="2"/>
  <c r="O329" i="2"/>
  <c r="P329" i="2"/>
  <c r="O237" i="2"/>
  <c r="P237" i="2"/>
  <c r="O327" i="2"/>
  <c r="P327" i="2"/>
  <c r="P328" i="2"/>
  <c r="O328" i="2"/>
  <c r="O323" i="2"/>
  <c r="P323" i="2"/>
  <c r="P231" i="2"/>
  <c r="O231" i="2"/>
  <c r="O370" i="2"/>
  <c r="P370" i="2"/>
  <c r="O284" i="2"/>
  <c r="P284" i="2"/>
  <c r="O273" i="2"/>
  <c r="P273" i="2"/>
  <c r="O375" i="2"/>
  <c r="P375" i="2"/>
  <c r="O371" i="2"/>
  <c r="P371" i="2"/>
  <c r="O372" i="2"/>
  <c r="P372" i="2"/>
  <c r="O279" i="2"/>
  <c r="P279" i="2"/>
  <c r="P330" i="2"/>
  <c r="O330" i="2"/>
  <c r="O277" i="2"/>
  <c r="P277" i="2"/>
  <c r="O322" i="2"/>
  <c r="P322" i="2"/>
  <c r="O234" i="2"/>
  <c r="P234" i="2"/>
  <c r="O236" i="2"/>
  <c r="P236" i="2"/>
  <c r="P321" i="2"/>
  <c r="O321" i="2"/>
  <c r="O377" i="2"/>
  <c r="P377" i="2"/>
  <c r="S163" i="2"/>
  <c r="T163" i="2" s="1"/>
  <c r="U163" i="2" s="1"/>
  <c r="X163" i="2"/>
  <c r="Y163" i="2" s="1"/>
  <c r="Z163" i="2" s="1"/>
  <c r="S162" i="2"/>
  <c r="T162" i="2" s="1"/>
  <c r="U162" i="2" s="1"/>
  <c r="X162" i="2"/>
  <c r="Y162" i="2" s="1"/>
  <c r="Z162" i="2" s="1"/>
  <c r="F172" i="2"/>
  <c r="F164" i="2"/>
  <c r="F171" i="2"/>
  <c r="AC166" i="2"/>
  <c r="AD166" i="2" s="1"/>
  <c r="X165" i="2"/>
  <c r="Y165" i="2" s="1"/>
  <c r="Z165" i="2" s="1"/>
  <c r="F170" i="2"/>
  <c r="F162" i="2"/>
  <c r="AC165" i="2"/>
  <c r="AD165" i="2" s="1"/>
  <c r="AE165" i="2" s="1"/>
  <c r="F169" i="2"/>
  <c r="G164" i="2"/>
  <c r="X168" i="2"/>
  <c r="Y168" i="2" s="1"/>
  <c r="F166" i="2"/>
  <c r="G172" i="2"/>
  <c r="X169" i="2"/>
  <c r="Y169" i="2" s="1"/>
  <c r="F163" i="2"/>
  <c r="F161" i="2"/>
  <c r="H171" i="2"/>
  <c r="G163" i="2"/>
  <c r="X172" i="2"/>
  <c r="Y172" i="2" s="1"/>
  <c r="S168" i="2"/>
  <c r="T168" i="2" s="1"/>
  <c r="U168" i="2" s="1"/>
  <c r="S169" i="2"/>
  <c r="T169" i="2" s="1"/>
  <c r="U169" i="2" s="1"/>
  <c r="S167" i="2"/>
  <c r="T167" i="2" s="1"/>
  <c r="S166" i="2"/>
  <c r="T166" i="2" s="1"/>
  <c r="X164" i="2"/>
  <c r="Y164" i="2" s="1"/>
  <c r="AC167" i="2"/>
  <c r="AD167" i="2" s="1"/>
  <c r="AE167" i="2" s="1"/>
  <c r="S164" i="2"/>
  <c r="T164" i="2" s="1"/>
  <c r="U164" i="2" s="1"/>
  <c r="AC171" i="2"/>
  <c r="AD171" i="2" s="1"/>
  <c r="X161" i="2"/>
  <c r="Y161" i="2" s="1"/>
  <c r="Z161" i="2" s="1"/>
  <c r="F165" i="2"/>
  <c r="AC163" i="2"/>
  <c r="AD163" i="2" s="1"/>
  <c r="AE163" i="2" s="1"/>
  <c r="H166" i="2"/>
  <c r="F168" i="2"/>
  <c r="F160" i="2"/>
  <c r="X170" i="2"/>
  <c r="Y170" i="2" s="1"/>
  <c r="Z170" i="2" s="1"/>
  <c r="F167" i="2"/>
  <c r="O163" i="2"/>
  <c r="A10" i="1"/>
  <c r="P167" i="2" l="1"/>
  <c r="U167" i="2"/>
  <c r="Z169" i="2"/>
  <c r="N165" i="2"/>
  <c r="O165" i="2" s="1"/>
  <c r="P161" i="2"/>
  <c r="U166" i="2"/>
  <c r="P162" i="2"/>
  <c r="Z168" i="2"/>
  <c r="N168" i="2"/>
  <c r="Z172" i="2"/>
  <c r="Z164" i="2"/>
  <c r="AE166" i="2"/>
  <c r="N164" i="2"/>
  <c r="U161" i="2"/>
  <c r="O170" i="2"/>
  <c r="N166" i="2"/>
  <c r="N169" i="2"/>
  <c r="AE171" i="2"/>
  <c r="N172" i="2"/>
  <c r="N160" i="2"/>
  <c r="N171" i="2"/>
  <c r="P165" i="2"/>
  <c r="U165" i="2"/>
  <c r="O168" i="2" l="1"/>
  <c r="P168" i="2"/>
  <c r="O169" i="2"/>
  <c r="P169" i="2"/>
  <c r="P166" i="2"/>
  <c r="O166" i="2"/>
  <c r="O171" i="2"/>
  <c r="P171" i="2"/>
  <c r="O164" i="2"/>
  <c r="P164" i="2"/>
  <c r="O160" i="2"/>
  <c r="P160" i="2"/>
  <c r="O172" i="2"/>
  <c r="P172" i="2"/>
</calcChain>
</file>

<file path=xl/sharedStrings.xml><?xml version="1.0" encoding="utf-8"?>
<sst xmlns="http://schemas.openxmlformats.org/spreadsheetml/2006/main" count="801" uniqueCount="139">
  <si>
    <t>count()</t>
  </si>
  <si>
    <t>bucket</t>
  </si>
  <si>
    <t>'Done'</t>
  </si>
  <si>
    <t>&lt;= 417 &gt;= 740 no lien no invest cltv &lt;= 80</t>
  </si>
  <si>
    <t>'FICO'</t>
  </si>
  <si>
    <t>'2nd Lien'</t>
  </si>
  <si>
    <t>'INV'</t>
  </si>
  <si>
    <t>'CLTV'</t>
  </si>
  <si>
    <t>'Jumbo'</t>
  </si>
  <si>
    <t>'Not Done'</t>
  </si>
  <si>
    <t>total</t>
  </si>
  <si>
    <t>tag</t>
  </si>
  <si>
    <t>Baseline</t>
  </si>
  <si>
    <t>loansize</t>
  </si>
  <si>
    <t>fico</t>
  </si>
  <si>
    <t>lien</t>
  </si>
  <si>
    <t>invest</t>
  </si>
  <si>
    <t>cltv</t>
  </si>
  <si>
    <t>no</t>
  </si>
  <si>
    <t>state</t>
  </si>
  <si>
    <t>not in ('NY','PR')</t>
  </si>
  <si>
    <t>modelId</t>
  </si>
  <si>
    <t>SFACTOR_PREPAY_TRACKING_CPR</t>
  </si>
  <si>
    <t>PREPAY_CPR1</t>
  </si>
  <si>
    <t>PREPAY_TRACKING_CPR1</t>
  </si>
  <si>
    <t>PCT_LOANTYPE</t>
  </si>
  <si>
    <t>_ORIGNOTERATE</t>
  </si>
  <si>
    <t>_ZEROSATO</t>
  </si>
  <si>
    <t>_SATO</t>
  </si>
  <si>
    <t>_REFI_INCENTIVE_Fixed</t>
  </si>
  <si>
    <t>_Fixed_cost</t>
  </si>
  <si>
    <t>_LOANAGE</t>
  </si>
  <si>
    <t>_LTV</t>
  </si>
  <si>
    <t>_CLTV</t>
  </si>
  <si>
    <t>_AVG_LOANSIZE_SCHAMBALANCE</t>
  </si>
  <si>
    <t>_WACLS</t>
  </si>
  <si>
    <t>_FICO</t>
  </si>
  <si>
    <t>PCT_ISSECONDLIEN</t>
  </si>
  <si>
    <t>_OrigCombLTV</t>
  </si>
  <si>
    <t>PCT_SVC</t>
  </si>
  <si>
    <t>PCT_TPO</t>
  </si>
  <si>
    <t>PCT_GEO</t>
  </si>
  <si>
    <t>PCT_LOANPURPOSE</t>
  </si>
  <si>
    <t>PCT_OCC</t>
  </si>
  <si>
    <t>curtailsmm</t>
  </si>
  <si>
    <t>defaultsmm</t>
  </si>
  <si>
    <t>toverSmm</t>
  </si>
  <si>
    <t>cashoutSmm</t>
  </si>
  <si>
    <t>refiSmm</t>
  </si>
  <si>
    <t>cumHPA</t>
  </si>
  <si>
    <t>cumHPA05Pct</t>
  </si>
  <si>
    <t>cumHPA15Pct</t>
  </si>
  <si>
    <t>cumHPA20Pct</t>
  </si>
  <si>
    <t>cumHPA25Pct</t>
  </si>
  <si>
    <t>cumHPA30Pct</t>
  </si>
  <si>
    <t>cumHPA35Pct</t>
  </si>
  <si>
    <t>cumHPA40Pct</t>
  </si>
  <si>
    <t>adjtoverSmm</t>
  </si>
  <si>
    <t>adjRefiSmm</t>
  </si>
  <si>
    <t>groupByColumn</t>
  </si>
  <si>
    <t>curve</t>
  </si>
  <si>
    <t>Balance</t>
  </si>
  <si>
    <t>LoanCount</t>
  </si>
  <si>
    <t>03:-150--125</t>
  </si>
  <si>
    <t>04:-125--100</t>
  </si>
  <si>
    <t>05:-100--75</t>
  </si>
  <si>
    <t>06:-75--50</t>
  </si>
  <si>
    <t>07:-50--25</t>
  </si>
  <si>
    <t>08:-25-0</t>
  </si>
  <si>
    <t>09:0-25</t>
  </si>
  <si>
    <t>0-25</t>
  </si>
  <si>
    <t>10:25-50</t>
  </si>
  <si>
    <t>25-50</t>
  </si>
  <si>
    <t>11:50-75</t>
  </si>
  <si>
    <t>50-75</t>
  </si>
  <si>
    <t>12:75-100</t>
  </si>
  <si>
    <t>75-100</t>
  </si>
  <si>
    <t>13:100-125</t>
  </si>
  <si>
    <t>100-125</t>
  </si>
  <si>
    <t>14:125-150</t>
  </si>
  <si>
    <t>125-150</t>
  </si>
  <si>
    <t>15:150-175</t>
  </si>
  <si>
    <t>150-175</t>
  </si>
  <si>
    <t>16:175-200</t>
  </si>
  <si>
    <t>175-200</t>
  </si>
  <si>
    <t>17:200-225</t>
  </si>
  <si>
    <t>200-225</t>
  </si>
  <si>
    <t>18:225-250</t>
  </si>
  <si>
    <t>225-250</t>
  </si>
  <si>
    <t>999:&gt;= 250</t>
  </si>
  <si>
    <t>&gt;= 250</t>
  </si>
  <si>
    <t>tover</t>
  </si>
  <si>
    <t>cash</t>
  </si>
  <si>
    <t>refi</t>
  </si>
  <si>
    <t>ratio</t>
  </si>
  <si>
    <t>adj</t>
  </si>
  <si>
    <t>Knot</t>
  </si>
  <si>
    <t>incentive</t>
  </si>
  <si>
    <t>x</t>
  </si>
  <si>
    <t>PREPAY_SMM1</t>
  </si>
  <si>
    <t>PREPAY_TRACKING_SMM1</t>
  </si>
  <si>
    <t>adj Knot</t>
  </si>
  <si>
    <t>mdl_smm</t>
  </si>
  <si>
    <t>mdl_cpr</t>
  </si>
  <si>
    <t>turn</t>
  </si>
  <si>
    <t>adj x</t>
  </si>
  <si>
    <t>Row Labels</t>
  </si>
  <si>
    <t>Average of knotValues</t>
  </si>
  <si>
    <t>Grand Total</t>
  </si>
  <si>
    <t>conventional_cashout_incentive</t>
  </si>
  <si>
    <t>spline</t>
  </si>
  <si>
    <t>conventional_turnover_incentive</t>
  </si>
  <si>
    <t>conventional_refinance_himedia_incentive</t>
  </si>
  <si>
    <t>asOf</t>
  </si>
  <si>
    <t>Ticker</t>
  </si>
  <si>
    <t>All 4</t>
  </si>
  <si>
    <t>Orig Date</t>
  </si>
  <si>
    <t>post HARP</t>
  </si>
  <si>
    <t>wala</t>
  </si>
  <si>
    <t>(175,417]</t>
  </si>
  <si>
    <t>[740,860]</t>
  </si>
  <si>
    <t>(0,80]</t>
  </si>
  <si>
    <t>[20120101,20130401]</t>
  </si>
  <si>
    <t>[12,24)</t>
  </si>
  <si>
    <t>[24,+)</t>
  </si>
  <si>
    <t>Loan Age</t>
  </si>
  <si>
    <t>WALA [24,+)</t>
  </si>
  <si>
    <t>WALA [12,24)</t>
  </si>
  <si>
    <t>Better fit for WALA&lt;24</t>
  </si>
  <si>
    <t>PCT_BROKER</t>
  </si>
  <si>
    <t>PCT_CORRES</t>
  </si>
  <si>
    <t>PCT_NonRETAIL</t>
  </si>
  <si>
    <t>PCT_RETAIL</t>
  </si>
  <si>
    <t>PCT_CashWindow</t>
  </si>
  <si>
    <t>PCT_NonCashWindow</t>
  </si>
  <si>
    <t>Broker</t>
  </si>
  <si>
    <t>CORRES</t>
  </si>
  <si>
    <t>CashWindow</t>
  </si>
  <si>
    <t>NonCashWindow</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</si>
</sst>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000"/>
    <numFmt numFmtId="166" formatCode="_(* #,##0_);_(* \(#,##0\);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11"/>
      <color rgb="FFC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39">
    <xf numFmtId="0" fontId="0" fillId="0" borderId="0" xfId="0"/>
    <xf numFmtId="0" fontId="2" fillId="0" borderId="0" xfId="0" applyFont="1"/>
    <xf numFmtId="2" fontId="0" fillId="0" borderId="0" xfId="0" applyNumberFormat="1"/>
    <xf numFmtId="43" fontId="0" fillId="0" borderId="0" xfId="1" applyFont="1"/>
    <xf numFmtId="2" fontId="0" fillId="0" borderId="0" xfId="1" applyNumberFormat="1" applyFont="1"/>
    <xf numFmtId="165" fontId="0" fillId="0" borderId="0" xfId="1" applyNumberFormat="1" applyFont="1"/>
    <xf numFmtId="166" fontId="0" fillId="0" borderId="0" xfId="1" applyNumberFormat="1" applyFont="1"/>
    <xf numFmtId="43" fontId="0" fillId="0" borderId="0" xfId="0" applyNumberFormat="1"/>
    <xf numFmtId="164" fontId="0" fillId="0" borderId="0" xfId="0" applyNumberFormat="1"/>
    <xf numFmtId="1" fontId="0" fillId="0" borderId="0" xfId="0" applyNumberFormat="1"/>
    <xf numFmtId="165" fontId="2" fillId="0" borderId="0" xfId="1" applyNumberFormat="1" applyFont="1"/>
    <xf numFmtId="0" fontId="0" fillId="0" borderId="0" xfId="0" applyAlignment="1">
      <alignment horizontal="left"/>
    </xf>
    <xf numFmtId="0" fontId="0" fillId="0" borderId="0" xfId="0" applyNumberFormat="1"/>
    <xf numFmtId="0" fontId="0" fillId="0" borderId="0" xfId="0" pivotButton="1"/>
    <xf numFmtId="2" fontId="3" fillId="0" borderId="0" xfId="1" applyNumberFormat="1" applyFont="1"/>
    <xf numFmtId="0" fontId="3" fillId="0" borderId="0" xfId="0" applyFont="1"/>
    <xf numFmtId="2" fontId="4" fillId="0" borderId="0" xfId="1" applyNumberFormat="1" applyFont="1"/>
    <xf numFmtId="164" fontId="4" fillId="0" borderId="0" xfId="0" applyNumberFormat="1" applyFont="1"/>
    <xf numFmtId="0" fontId="4" fillId="0" borderId="0" xfId="0" applyFont="1"/>
    <xf numFmtId="1" fontId="4" fillId="0" borderId="0" xfId="0" applyNumberFormat="1" applyFont="1"/>
    <xf numFmtId="164" fontId="5" fillId="0" borderId="0" xfId="0" applyNumberFormat="1" applyFont="1"/>
    <xf numFmtId="1" fontId="5" fillId="0" borderId="0" xfId="0" applyNumberFormat="1" applyFont="1"/>
    <xf numFmtId="0" fontId="4" fillId="2" borderId="0" xfId="0" applyFont="1" applyFill="1"/>
    <xf numFmtId="43" fontId="4" fillId="0" borderId="0" xfId="1" applyFont="1"/>
    <xf numFmtId="2" fontId="4" fillId="0" borderId="0" xfId="0" applyNumberFormat="1" applyFont="1"/>
    <xf numFmtId="43" fontId="4" fillId="0" borderId="0" xfId="0" applyNumberFormat="1" applyFont="1"/>
    <xf numFmtId="16" fontId="0" fillId="0" borderId="0" xfId="0" applyNumberFormat="1"/>
    <xf numFmtId="2" fontId="5" fillId="0" borderId="0" xfId="1" applyNumberFormat="1" applyFont="1"/>
    <xf numFmtId="43" fontId="5" fillId="0" borderId="0" xfId="1" applyFont="1"/>
    <xf numFmtId="2" fontId="5" fillId="0" borderId="0" xfId="0" applyNumberFormat="1" applyFont="1"/>
    <xf numFmtId="0" fontId="5" fillId="0" borderId="0" xfId="0" applyFont="1"/>
    <xf numFmtId="43" fontId="5" fillId="0" borderId="0" xfId="0" applyNumberFormat="1" applyFont="1"/>
    <xf numFmtId="0" fontId="0" fillId="3" borderId="0" xfId="0" applyFill="1"/>
    <xf numFmtId="16" fontId="6" fillId="0" borderId="0" xfId="0" applyNumberFormat="1" applyFont="1"/>
    <xf numFmtId="0" fontId="0" fillId="4" borderId="0" xfId="0" applyFill="1"/>
    <xf numFmtId="11" fontId="0" fillId="0" borderId="0" xfId="0" applyNumberFormat="1"/>
    <xf numFmtId="0" fontId="0" fillId="0" borderId="0" xfId="0" applyFont="1"/>
    <xf numFmtId="0" fontId="3" fillId="0" borderId="0" xfId="0" applyFont="1" applyFill="1"/>
    <xf numFmtId="2" fontId="3" fillId="0" borderId="0" xfId="1" applyNumberFormat="1" applyFon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c:v>
          </c:tx>
          <c:xVal>
            <c:numRef>
              <c:f>Baseline!$A$163:$A$173</c:f>
              <c:numCache>
                <c:formatCode>0.00</c:formatCode>
                <c:ptCount val="11"/>
                <c:pt idx="0">
                  <c:v>-57.340959844646001</c:v>
                </c:pt>
                <c:pt idx="1">
                  <c:v>-33.260099520149197</c:v>
                </c:pt>
                <c:pt idx="2">
                  <c:v>-8.92345924469676</c:v>
                </c:pt>
                <c:pt idx="3">
                  <c:v>15.341775522777199</c:v>
                </c:pt>
                <c:pt idx="4">
                  <c:v>37.7097864846059</c:v>
                </c:pt>
                <c:pt idx="5">
                  <c:v>62.6401223444797</c:v>
                </c:pt>
                <c:pt idx="6">
                  <c:v>86.158905824089203</c:v>
                </c:pt>
                <c:pt idx="7">
                  <c:v>111.70776691100799</c:v>
                </c:pt>
                <c:pt idx="8">
                  <c:v>134.63538146328699</c:v>
                </c:pt>
                <c:pt idx="9">
                  <c:v>160.542481226337</c:v>
                </c:pt>
                <c:pt idx="10">
                  <c:v>182.94834548867701</c:v>
                </c:pt>
              </c:numCache>
            </c:numRef>
          </c:xVal>
          <c:yVal>
            <c:numRef>
              <c:f>Baseline!$G$163:$G$173</c:f>
              <c:numCache>
                <c:formatCode>0.00</c:formatCode>
                <c:ptCount val="11"/>
                <c:pt idx="0">
                  <c:v>5.3431785680875592</c:v>
                </c:pt>
                <c:pt idx="1">
                  <c:v>3.8902771649641621</c:v>
                </c:pt>
                <c:pt idx="2">
                  <c:v>9.2499995761007305</c:v>
                </c:pt>
                <c:pt idx="3">
                  <c:v>17.967974233733528</c:v>
                </c:pt>
                <c:pt idx="4">
                  <c:v>28.046175674218986</c:v>
                </c:pt>
                <c:pt idx="5">
                  <c:v>35.134115122229318</c:v>
                </c:pt>
                <c:pt idx="6">
                  <c:v>38.328603390415786</c:v>
                </c:pt>
                <c:pt idx="7">
                  <c:v>40.056401802181604</c:v>
                </c:pt>
                <c:pt idx="8">
                  <c:v>40.72089029144076</c:v>
                </c:pt>
                <c:pt idx="9">
                  <c:v>38.624862244360678</c:v>
                </c:pt>
                <c:pt idx="10">
                  <c:v>42.746844979188594</c:v>
                </c:pt>
              </c:numCache>
            </c:numRef>
          </c:yVal>
          <c:smooth val="1"/>
        </c:ser>
        <c:ser>
          <c:idx val="1"/>
          <c:order val="1"/>
          <c:tx>
            <c:v>model</c:v>
          </c:tx>
          <c:xVal>
            <c:numRef>
              <c:f>Baseline!$A$163:$A$173</c:f>
              <c:numCache>
                <c:formatCode>0.00</c:formatCode>
                <c:ptCount val="11"/>
                <c:pt idx="0">
                  <c:v>-57.340959844646001</c:v>
                </c:pt>
                <c:pt idx="1">
                  <c:v>-33.260099520149197</c:v>
                </c:pt>
                <c:pt idx="2">
                  <c:v>-8.92345924469676</c:v>
                </c:pt>
                <c:pt idx="3">
                  <c:v>15.341775522777199</c:v>
                </c:pt>
                <c:pt idx="4">
                  <c:v>37.7097864846059</c:v>
                </c:pt>
                <c:pt idx="5">
                  <c:v>62.6401223444797</c:v>
                </c:pt>
                <c:pt idx="6">
                  <c:v>86.158905824089203</c:v>
                </c:pt>
                <c:pt idx="7">
                  <c:v>111.70776691100799</c:v>
                </c:pt>
                <c:pt idx="8">
                  <c:v>134.63538146328699</c:v>
                </c:pt>
                <c:pt idx="9">
                  <c:v>160.542481226337</c:v>
                </c:pt>
                <c:pt idx="10">
                  <c:v>182.94834548867701</c:v>
                </c:pt>
              </c:numCache>
            </c:numRef>
          </c:xVal>
          <c:yVal>
            <c:numRef>
              <c:f>Baseline!$H$163:$H$173</c:f>
              <c:numCache>
                <c:formatCode>0.00</c:formatCode>
                <c:ptCount val="11"/>
                <c:pt idx="0">
                  <c:v>6.0154978623384707</c:v>
                </c:pt>
                <c:pt idx="1">
                  <c:v>7.1086441315123539</c:v>
                </c:pt>
                <c:pt idx="2">
                  <c:v>12.475693308809177</c:v>
                </c:pt>
                <c:pt idx="3">
                  <c:v>17.163856759722595</c:v>
                </c:pt>
                <c:pt idx="4">
                  <c:v>23.29826287928266</c:v>
                </c:pt>
                <c:pt idx="5">
                  <c:v>29.565736201230088</c:v>
                </c:pt>
                <c:pt idx="6">
                  <c:v>34.170549053667735</c:v>
                </c:pt>
                <c:pt idx="7">
                  <c:v>38.009341937242411</c:v>
                </c:pt>
                <c:pt idx="8">
                  <c:v>41.324286686533554</c:v>
                </c:pt>
                <c:pt idx="9">
                  <c:v>43.56205175891953</c:v>
                </c:pt>
                <c:pt idx="10">
                  <c:v>47.002720609089096</c:v>
                </c:pt>
              </c:numCache>
            </c:numRef>
          </c:yVal>
          <c:smooth val="1"/>
        </c:ser>
        <c:ser>
          <c:idx val="2"/>
          <c:order val="2"/>
          <c:tx>
            <c:v>model_adj</c:v>
          </c:tx>
          <c:xVal>
            <c:numRef>
              <c:f>Baseline!$A$163:$A$173</c:f>
              <c:numCache>
                <c:formatCode>0.00</c:formatCode>
                <c:ptCount val="11"/>
                <c:pt idx="0">
                  <c:v>-57.340959844646001</c:v>
                </c:pt>
                <c:pt idx="1">
                  <c:v>-33.260099520149197</c:v>
                </c:pt>
                <c:pt idx="2">
                  <c:v>-8.92345924469676</c:v>
                </c:pt>
                <c:pt idx="3">
                  <c:v>15.341775522777199</c:v>
                </c:pt>
                <c:pt idx="4">
                  <c:v>37.7097864846059</c:v>
                </c:pt>
                <c:pt idx="5">
                  <c:v>62.6401223444797</c:v>
                </c:pt>
                <c:pt idx="6">
                  <c:v>86.158905824089203</c:v>
                </c:pt>
                <c:pt idx="7">
                  <c:v>111.70776691100799</c:v>
                </c:pt>
                <c:pt idx="8">
                  <c:v>134.63538146328699</c:v>
                </c:pt>
                <c:pt idx="9">
                  <c:v>160.542481226337</c:v>
                </c:pt>
                <c:pt idx="10">
                  <c:v>182.94834548867701</c:v>
                </c:pt>
              </c:numCache>
            </c:numRef>
          </c:xVal>
          <c:yVal>
            <c:numRef>
              <c:f>Baseline!$O$163:$O$173</c:f>
              <c:numCache>
                <c:formatCode>0.00</c:formatCode>
                <c:ptCount val="11"/>
                <c:pt idx="0">
                  <c:v>6.0154978623384707</c:v>
                </c:pt>
                <c:pt idx="1">
                  <c:v>7.1086441315123539</c:v>
                </c:pt>
                <c:pt idx="2">
                  <c:v>12.475693308809177</c:v>
                </c:pt>
                <c:pt idx="3">
                  <c:v>17.163856759722595</c:v>
                </c:pt>
                <c:pt idx="4">
                  <c:v>24.669298651526216</c:v>
                </c:pt>
                <c:pt idx="5">
                  <c:v>34.01589332969364</c:v>
                </c:pt>
                <c:pt idx="6">
                  <c:v>39.89591572992245</c:v>
                </c:pt>
                <c:pt idx="7">
                  <c:v>42.455296711861401</c:v>
                </c:pt>
                <c:pt idx="8">
                  <c:v>44.150472439585961</c:v>
                </c:pt>
                <c:pt idx="9">
                  <c:v>45.03749123670422</c:v>
                </c:pt>
                <c:pt idx="10">
                  <c:v>47.315002709593621</c:v>
                </c:pt>
              </c:numCache>
            </c:numRef>
          </c:yVal>
          <c:smooth val="1"/>
        </c:ser>
        <c:dLbls>
          <c:showLegendKey val="0"/>
          <c:showVal val="0"/>
          <c:showCatName val="0"/>
          <c:showSerName val="0"/>
          <c:showPercent val="0"/>
          <c:showBubbleSize val="0"/>
        </c:dLbls>
        <c:axId val="194304640"/>
        <c:axId val="194537728"/>
      </c:scatterChart>
      <c:valAx>
        <c:axId val="194304640"/>
        <c:scaling>
          <c:orientation val="minMax"/>
        </c:scaling>
        <c:delete val="0"/>
        <c:axPos val="b"/>
        <c:numFmt formatCode="0" sourceLinked="0"/>
        <c:majorTickMark val="out"/>
        <c:minorTickMark val="none"/>
        <c:tickLblPos val="nextTo"/>
        <c:crossAx val="194537728"/>
        <c:crosses val="autoZero"/>
        <c:crossBetween val="midCat"/>
      </c:valAx>
      <c:valAx>
        <c:axId val="194537728"/>
        <c:scaling>
          <c:orientation val="minMax"/>
        </c:scaling>
        <c:delete val="0"/>
        <c:axPos val="l"/>
        <c:majorGridlines/>
        <c:numFmt formatCode="0.00" sourceLinked="1"/>
        <c:majorTickMark val="out"/>
        <c:minorTickMark val="none"/>
        <c:tickLblPos val="nextTo"/>
        <c:crossAx val="194304640"/>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Baseline!$AD$159:$AD$162</c:f>
              <c:strCache>
                <c:ptCount val="1"/>
                <c:pt idx="0">
                  <c:v>Knot</c:v>
                </c:pt>
              </c:strCache>
            </c:strRef>
          </c:tx>
          <c:marker>
            <c:symbol val="none"/>
          </c:marker>
          <c:cat>
            <c:numRef>
              <c:f>Baseline!$AC$163:$AC$173</c:f>
              <c:numCache>
                <c:formatCode>0</c:formatCode>
                <c:ptCount val="11"/>
                <c:pt idx="0">
                  <c:v>-57.340959844646001</c:v>
                </c:pt>
                <c:pt idx="1">
                  <c:v>-33.260099520149197</c:v>
                </c:pt>
                <c:pt idx="2">
                  <c:v>-8.92345924469676</c:v>
                </c:pt>
                <c:pt idx="3">
                  <c:v>15.341775522777199</c:v>
                </c:pt>
                <c:pt idx="4">
                  <c:v>37.7097864846059</c:v>
                </c:pt>
                <c:pt idx="5">
                  <c:v>62.6401223444797</c:v>
                </c:pt>
                <c:pt idx="6">
                  <c:v>86.158905824089203</c:v>
                </c:pt>
                <c:pt idx="7">
                  <c:v>111.70776691100799</c:v>
                </c:pt>
                <c:pt idx="8">
                  <c:v>134.63538146328699</c:v>
                </c:pt>
                <c:pt idx="9">
                  <c:v>160.542481226337</c:v>
                </c:pt>
                <c:pt idx="10">
                  <c:v>182.94834548867701</c:v>
                </c:pt>
              </c:numCache>
            </c:numRef>
          </c:cat>
          <c:val>
            <c:numRef>
              <c:f>Baseline!$AD$163:$AD$173</c:f>
              <c:numCache>
                <c:formatCode>0.000</c:formatCode>
                <c:ptCount val="11"/>
                <c:pt idx="0">
                  <c:v>0</c:v>
                </c:pt>
                <c:pt idx="1">
                  <c:v>0.39387319081357403</c:v>
                </c:pt>
                <c:pt idx="2">
                  <c:v>1.1762837415319201</c:v>
                </c:pt>
                <c:pt idx="3">
                  <c:v>1.7164152091598801</c:v>
                </c:pt>
                <c:pt idx="4">
                  <c:v>2.4264029166777901</c:v>
                </c:pt>
                <c:pt idx="5">
                  <c:v>3.3536482047599101</c:v>
                </c:pt>
                <c:pt idx="6">
                  <c:v>4.1191352784208304</c:v>
                </c:pt>
                <c:pt idx="7">
                  <c:v>4.7299139704548203</c:v>
                </c:pt>
                <c:pt idx="8">
                  <c:v>5.2051069926153799</c:v>
                </c:pt>
                <c:pt idx="9">
                  <c:v>5.6662697466415004</c:v>
                </c:pt>
                <c:pt idx="10">
                  <c:v>6.0126180729972596</c:v>
                </c:pt>
              </c:numCache>
            </c:numRef>
          </c:val>
          <c:smooth val="0"/>
        </c:ser>
        <c:ser>
          <c:idx val="1"/>
          <c:order val="1"/>
          <c:tx>
            <c:strRef>
              <c:f>Baseline!$AE$159:$AE$162</c:f>
              <c:strCache>
                <c:ptCount val="1"/>
                <c:pt idx="0">
                  <c:v>adj Knot</c:v>
                </c:pt>
              </c:strCache>
            </c:strRef>
          </c:tx>
          <c:marker>
            <c:symbol val="none"/>
          </c:marker>
          <c:cat>
            <c:numRef>
              <c:f>Baseline!$AC$163:$AC$173</c:f>
              <c:numCache>
                <c:formatCode>0</c:formatCode>
                <c:ptCount val="11"/>
                <c:pt idx="0">
                  <c:v>-57.340959844646001</c:v>
                </c:pt>
                <c:pt idx="1">
                  <c:v>-33.260099520149197</c:v>
                </c:pt>
                <c:pt idx="2">
                  <c:v>-8.92345924469676</c:v>
                </c:pt>
                <c:pt idx="3">
                  <c:v>15.341775522777199</c:v>
                </c:pt>
                <c:pt idx="4">
                  <c:v>37.7097864846059</c:v>
                </c:pt>
                <c:pt idx="5">
                  <c:v>62.6401223444797</c:v>
                </c:pt>
                <c:pt idx="6">
                  <c:v>86.158905824089203</c:v>
                </c:pt>
                <c:pt idx="7">
                  <c:v>111.70776691100799</c:v>
                </c:pt>
                <c:pt idx="8">
                  <c:v>134.63538146328699</c:v>
                </c:pt>
                <c:pt idx="9">
                  <c:v>160.542481226337</c:v>
                </c:pt>
                <c:pt idx="10">
                  <c:v>182.94834548867701</c:v>
                </c:pt>
              </c:numCache>
            </c:numRef>
          </c:cat>
          <c:val>
            <c:numRef>
              <c:f>Baseline!$AE$163:$AE$173</c:f>
              <c:numCache>
                <c:formatCode>0.000</c:formatCode>
                <c:ptCount val="11"/>
                <c:pt idx="0">
                  <c:v>0</c:v>
                </c:pt>
                <c:pt idx="1">
                  <c:v>0.39387319081357403</c:v>
                </c:pt>
                <c:pt idx="2">
                  <c:v>1.1762837415319201</c:v>
                </c:pt>
                <c:pt idx="3">
                  <c:v>1.7164152091598801</c:v>
                </c:pt>
                <c:pt idx="4">
                  <c:v>2.6205151500120136</c:v>
                </c:pt>
                <c:pt idx="5">
                  <c:v>4.0579143277594909</c:v>
                </c:pt>
                <c:pt idx="6">
                  <c:v>5.1077277452418297</c:v>
                </c:pt>
                <c:pt idx="7">
                  <c:v>5.5339993454321394</c:v>
                </c:pt>
                <c:pt idx="8">
                  <c:v>5.7256176918769182</c:v>
                </c:pt>
                <c:pt idx="9">
                  <c:v>5.9495832339735752</c:v>
                </c:pt>
                <c:pt idx="10">
                  <c:v>6.0727442537272323</c:v>
                </c:pt>
              </c:numCache>
            </c:numRef>
          </c:val>
          <c:smooth val="0"/>
        </c:ser>
        <c:dLbls>
          <c:showLegendKey val="0"/>
          <c:showVal val="0"/>
          <c:showCatName val="0"/>
          <c:showSerName val="0"/>
          <c:showPercent val="0"/>
          <c:showBubbleSize val="0"/>
        </c:dLbls>
        <c:marker val="1"/>
        <c:smooth val="0"/>
        <c:axId val="195342720"/>
        <c:axId val="195345024"/>
      </c:lineChart>
      <c:catAx>
        <c:axId val="195342720"/>
        <c:scaling>
          <c:orientation val="minMax"/>
        </c:scaling>
        <c:delete val="0"/>
        <c:axPos val="b"/>
        <c:numFmt formatCode="0" sourceLinked="1"/>
        <c:majorTickMark val="out"/>
        <c:minorTickMark val="none"/>
        <c:tickLblPos val="nextTo"/>
        <c:crossAx val="195345024"/>
        <c:crosses val="autoZero"/>
        <c:auto val="1"/>
        <c:lblAlgn val="ctr"/>
        <c:lblOffset val="100"/>
        <c:noMultiLvlLbl val="0"/>
      </c:catAx>
      <c:valAx>
        <c:axId val="195345024"/>
        <c:scaling>
          <c:orientation val="minMax"/>
        </c:scaling>
        <c:delete val="0"/>
        <c:axPos val="l"/>
        <c:numFmt formatCode="0" sourceLinked="0"/>
        <c:majorTickMark val="out"/>
        <c:minorTickMark val="none"/>
        <c:tickLblPos val="nextTo"/>
        <c:crossAx val="195342720"/>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Baseline!$Y$159</c:f>
              <c:strCache>
                <c:ptCount val="1"/>
                <c:pt idx="0">
                  <c:v>Knot</c:v>
                </c:pt>
              </c:strCache>
            </c:strRef>
          </c:tx>
          <c:marker>
            <c:symbol val="none"/>
          </c:marker>
          <c:cat>
            <c:numRef>
              <c:f>Baseline!$X$160:$X$173</c:f>
              <c:numCache>
                <c:formatCode>0</c:formatCode>
                <c:ptCount val="14"/>
                <c:pt idx="1">
                  <c:v>-109.521065613342</c:v>
                </c:pt>
                <c:pt idx="2">
                  <c:v>-83.259099964223196</c:v>
                </c:pt>
                <c:pt idx="3">
                  <c:v>-57.340959844646001</c:v>
                </c:pt>
                <c:pt idx="4">
                  <c:v>-33.260099520149197</c:v>
                </c:pt>
                <c:pt idx="5">
                  <c:v>-8.92345924469676</c:v>
                </c:pt>
                <c:pt idx="6">
                  <c:v>15.341775522777199</c:v>
                </c:pt>
                <c:pt idx="7">
                  <c:v>37.7097864846059</c:v>
                </c:pt>
                <c:pt idx="8">
                  <c:v>62.6401223444797</c:v>
                </c:pt>
                <c:pt idx="9">
                  <c:v>86.158905824089203</c:v>
                </c:pt>
                <c:pt idx="10">
                  <c:v>111.70776691100799</c:v>
                </c:pt>
                <c:pt idx="11">
                  <c:v>134.63538146328699</c:v>
                </c:pt>
                <c:pt idx="12">
                  <c:v>160.542481226337</c:v>
                </c:pt>
                <c:pt idx="13">
                  <c:v>182.94834548867701</c:v>
                </c:pt>
              </c:numCache>
            </c:numRef>
          </c:cat>
          <c:val>
            <c:numRef>
              <c:f>Baseline!$Y$160:$Y$173</c:f>
              <c:numCache>
                <c:formatCode>0.000</c:formatCode>
                <c:ptCount val="14"/>
                <c:pt idx="1">
                  <c:v>0</c:v>
                </c:pt>
                <c:pt idx="2">
                  <c:v>3.1256266951590402E-2</c:v>
                </c:pt>
                <c:pt idx="3">
                  <c:v>0.183833391304348</c:v>
                </c:pt>
                <c:pt idx="4">
                  <c:v>0.30615060763888902</c:v>
                </c:pt>
                <c:pt idx="5">
                  <c:v>0.53185287373913004</c:v>
                </c:pt>
                <c:pt idx="6">
                  <c:v>0.98856376263664003</c:v>
                </c:pt>
                <c:pt idx="7">
                  <c:v>1.89537379409471</c:v>
                </c:pt>
                <c:pt idx="8">
                  <c:v>3.3799457765415402</c:v>
                </c:pt>
                <c:pt idx="9">
                  <c:v>4.7646640542534699</c:v>
                </c:pt>
                <c:pt idx="10">
                  <c:v>6.2168084690133298</c:v>
                </c:pt>
                <c:pt idx="11">
                  <c:v>7.60662891263856</c:v>
                </c:pt>
                <c:pt idx="12">
                  <c:v>8.7434835551418502</c:v>
                </c:pt>
                <c:pt idx="13">
                  <c:v>8.8893165458857606</c:v>
                </c:pt>
              </c:numCache>
            </c:numRef>
          </c:val>
          <c:smooth val="0"/>
        </c:ser>
        <c:ser>
          <c:idx val="1"/>
          <c:order val="1"/>
          <c:tx>
            <c:strRef>
              <c:f>Baseline!$Z$159</c:f>
              <c:strCache>
                <c:ptCount val="1"/>
                <c:pt idx="0">
                  <c:v>adj Knot</c:v>
                </c:pt>
              </c:strCache>
            </c:strRef>
          </c:tx>
          <c:marker>
            <c:symbol val="none"/>
          </c:marker>
          <c:cat>
            <c:numRef>
              <c:f>Baseline!$X$160:$X$173</c:f>
              <c:numCache>
                <c:formatCode>0</c:formatCode>
                <c:ptCount val="14"/>
                <c:pt idx="1">
                  <c:v>-109.521065613342</c:v>
                </c:pt>
                <c:pt idx="2">
                  <c:v>-83.259099964223196</c:v>
                </c:pt>
                <c:pt idx="3">
                  <c:v>-57.340959844646001</c:v>
                </c:pt>
                <c:pt idx="4">
                  <c:v>-33.260099520149197</c:v>
                </c:pt>
                <c:pt idx="5">
                  <c:v>-8.92345924469676</c:v>
                </c:pt>
                <c:pt idx="6">
                  <c:v>15.341775522777199</c:v>
                </c:pt>
                <c:pt idx="7">
                  <c:v>37.7097864846059</c:v>
                </c:pt>
                <c:pt idx="8">
                  <c:v>62.6401223444797</c:v>
                </c:pt>
                <c:pt idx="9">
                  <c:v>86.158905824089203</c:v>
                </c:pt>
                <c:pt idx="10">
                  <c:v>111.70776691100799</c:v>
                </c:pt>
                <c:pt idx="11">
                  <c:v>134.63538146328699</c:v>
                </c:pt>
                <c:pt idx="12">
                  <c:v>160.542481226337</c:v>
                </c:pt>
                <c:pt idx="13">
                  <c:v>182.94834548867701</c:v>
                </c:pt>
              </c:numCache>
            </c:numRef>
          </c:cat>
          <c:val>
            <c:numRef>
              <c:f>Baseline!$Z$160:$Z$173</c:f>
              <c:numCache>
                <c:formatCode>0.000</c:formatCode>
                <c:ptCount val="14"/>
                <c:pt idx="1">
                  <c:v>#N/A</c:v>
                </c:pt>
                <c:pt idx="2">
                  <c:v>3.1256266951590402E-2</c:v>
                </c:pt>
                <c:pt idx="3">
                  <c:v>0.183833391304348</c:v>
                </c:pt>
                <c:pt idx="4">
                  <c:v>0.30615060763888902</c:v>
                </c:pt>
                <c:pt idx="5">
                  <c:v>0.53185287373913004</c:v>
                </c:pt>
                <c:pt idx="6">
                  <c:v>0.98856376263664003</c:v>
                </c:pt>
                <c:pt idx="7">
                  <c:v>1.89537379409471</c:v>
                </c:pt>
                <c:pt idx="8">
                  <c:v>3.3799457765415402</c:v>
                </c:pt>
                <c:pt idx="9">
                  <c:v>4.7646640542534699</c:v>
                </c:pt>
                <c:pt idx="10">
                  <c:v>6.2168084690133298</c:v>
                </c:pt>
                <c:pt idx="11">
                  <c:v>7.60662891263856</c:v>
                </c:pt>
                <c:pt idx="12">
                  <c:v>8.7434835551418502</c:v>
                </c:pt>
                <c:pt idx="13">
                  <c:v>8.8893165458857606</c:v>
                </c:pt>
              </c:numCache>
            </c:numRef>
          </c:val>
          <c:smooth val="0"/>
        </c:ser>
        <c:dLbls>
          <c:showLegendKey val="0"/>
          <c:showVal val="0"/>
          <c:showCatName val="0"/>
          <c:showSerName val="0"/>
          <c:showPercent val="0"/>
          <c:showBubbleSize val="0"/>
        </c:dLbls>
        <c:marker val="1"/>
        <c:smooth val="0"/>
        <c:axId val="196425216"/>
        <c:axId val="196426752"/>
      </c:lineChart>
      <c:catAx>
        <c:axId val="196425216"/>
        <c:scaling>
          <c:orientation val="minMax"/>
        </c:scaling>
        <c:delete val="0"/>
        <c:axPos val="b"/>
        <c:numFmt formatCode="General" sourceLinked="1"/>
        <c:majorTickMark val="out"/>
        <c:minorTickMark val="none"/>
        <c:tickLblPos val="nextTo"/>
        <c:crossAx val="196426752"/>
        <c:crosses val="autoZero"/>
        <c:auto val="1"/>
        <c:lblAlgn val="ctr"/>
        <c:lblOffset val="100"/>
        <c:noMultiLvlLbl val="0"/>
      </c:catAx>
      <c:valAx>
        <c:axId val="196426752"/>
        <c:scaling>
          <c:orientation val="minMax"/>
        </c:scaling>
        <c:delete val="0"/>
        <c:axPos val="l"/>
        <c:numFmt formatCode="0" sourceLinked="0"/>
        <c:majorTickMark val="out"/>
        <c:minorTickMark val="none"/>
        <c:tickLblPos val="nextTo"/>
        <c:crossAx val="19642521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Baseline!$T$159</c:f>
              <c:strCache>
                <c:ptCount val="1"/>
                <c:pt idx="0">
                  <c:v>Knot</c:v>
                </c:pt>
              </c:strCache>
            </c:strRef>
          </c:tx>
          <c:marker>
            <c:symbol val="none"/>
          </c:marker>
          <c:cat>
            <c:numRef>
              <c:f>Baseline!$S$160:$S$169</c:f>
              <c:numCache>
                <c:formatCode>0</c:formatCode>
                <c:ptCount val="10"/>
                <c:pt idx="0">
                  <c:v>-131.94999999999999</c:v>
                </c:pt>
                <c:pt idx="1">
                  <c:v>-109.521065613342</c:v>
                </c:pt>
                <c:pt idx="2">
                  <c:v>-83.259099964223196</c:v>
                </c:pt>
                <c:pt idx="3">
                  <c:v>-57.340959844646001</c:v>
                </c:pt>
                <c:pt idx="4">
                  <c:v>-33.260099520149197</c:v>
                </c:pt>
                <c:pt idx="5">
                  <c:v>-8.92345924469676</c:v>
                </c:pt>
                <c:pt idx="6">
                  <c:v>15.341775522777199</c:v>
                </c:pt>
                <c:pt idx="7">
                  <c:v>37.7097864846059</c:v>
                </c:pt>
                <c:pt idx="8">
                  <c:v>62.6401223444797</c:v>
                </c:pt>
                <c:pt idx="9">
                  <c:v>86.158905824089203</c:v>
                </c:pt>
              </c:numCache>
            </c:numRef>
          </c:cat>
          <c:val>
            <c:numRef>
              <c:f>Baseline!$T$160:$T$169</c:f>
              <c:numCache>
                <c:formatCode>0.000</c:formatCode>
                <c:ptCount val="10"/>
                <c:pt idx="0">
                  <c:v>0.95832877400000005</c:v>
                </c:pt>
                <c:pt idx="1">
                  <c:v>1.016004106</c:v>
                </c:pt>
                <c:pt idx="2">
                  <c:v>1.135228248</c:v>
                </c:pt>
                <c:pt idx="3">
                  <c:v>1.276980872</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Baseline!$U$159</c:f>
              <c:strCache>
                <c:ptCount val="1"/>
                <c:pt idx="0">
                  <c:v>adj Knot</c:v>
                </c:pt>
              </c:strCache>
            </c:strRef>
          </c:tx>
          <c:marker>
            <c:symbol val="none"/>
          </c:marker>
          <c:cat>
            <c:numRef>
              <c:f>Baseline!$S$160:$S$169</c:f>
              <c:numCache>
                <c:formatCode>0</c:formatCode>
                <c:ptCount val="10"/>
                <c:pt idx="0">
                  <c:v>-131.94999999999999</c:v>
                </c:pt>
                <c:pt idx="1">
                  <c:v>-109.521065613342</c:v>
                </c:pt>
                <c:pt idx="2">
                  <c:v>-83.259099964223196</c:v>
                </c:pt>
                <c:pt idx="3">
                  <c:v>-57.340959844646001</c:v>
                </c:pt>
                <c:pt idx="4">
                  <c:v>-33.260099520149197</c:v>
                </c:pt>
                <c:pt idx="5">
                  <c:v>-8.92345924469676</c:v>
                </c:pt>
                <c:pt idx="6">
                  <c:v>15.341775522777199</c:v>
                </c:pt>
                <c:pt idx="7">
                  <c:v>37.7097864846059</c:v>
                </c:pt>
                <c:pt idx="8">
                  <c:v>62.6401223444797</c:v>
                </c:pt>
                <c:pt idx="9">
                  <c:v>86.158905824089203</c:v>
                </c:pt>
              </c:numCache>
            </c:numRef>
          </c:cat>
          <c:val>
            <c:numRef>
              <c:f>Baseline!$U$160:$U$169</c:f>
              <c:numCache>
                <c:formatCode>0.000</c:formatCode>
                <c:ptCount val="10"/>
                <c:pt idx="0">
                  <c:v>#N/A</c:v>
                </c:pt>
                <c:pt idx="1">
                  <c:v>#N/A</c:v>
                </c:pt>
                <c:pt idx="2">
                  <c:v>1.135228248</c:v>
                </c:pt>
                <c:pt idx="3">
                  <c:v>1.276980872</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201016448"/>
        <c:axId val="201040640"/>
      </c:lineChart>
      <c:catAx>
        <c:axId val="201016448"/>
        <c:scaling>
          <c:orientation val="minMax"/>
        </c:scaling>
        <c:delete val="0"/>
        <c:axPos val="b"/>
        <c:numFmt formatCode="0" sourceLinked="1"/>
        <c:majorTickMark val="out"/>
        <c:minorTickMark val="none"/>
        <c:tickLblPos val="nextTo"/>
        <c:crossAx val="201040640"/>
        <c:crosses val="autoZero"/>
        <c:auto val="1"/>
        <c:lblAlgn val="ctr"/>
        <c:lblOffset val="100"/>
        <c:noMultiLvlLbl val="0"/>
      </c:catAx>
      <c:valAx>
        <c:axId val="201040640"/>
        <c:scaling>
          <c:orientation val="minMax"/>
        </c:scaling>
        <c:delete val="0"/>
        <c:axPos val="l"/>
        <c:numFmt formatCode="0" sourceLinked="0"/>
        <c:majorTickMark val="out"/>
        <c:minorTickMark val="none"/>
        <c:tickLblPos val="nextTo"/>
        <c:crossAx val="20101644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c:v>
          </c:tx>
          <c:xVal>
            <c:numRef>
              <c:f>Baseline!$A$30:$A$40</c:f>
              <c:numCache>
                <c:formatCode>0.00</c:formatCode>
                <c:ptCount val="11"/>
                <c:pt idx="0">
                  <c:v>-8.0399625616296202</c:v>
                </c:pt>
                <c:pt idx="1">
                  <c:v>16.717603686421</c:v>
                </c:pt>
                <c:pt idx="2">
                  <c:v>40.560416627556798</c:v>
                </c:pt>
                <c:pt idx="3">
                  <c:v>65.130418138261206</c:v>
                </c:pt>
                <c:pt idx="4">
                  <c:v>87.109982420119195</c:v>
                </c:pt>
                <c:pt idx="5">
                  <c:v>112.777591972545</c:v>
                </c:pt>
                <c:pt idx="6">
                  <c:v>135.92957671409101</c:v>
                </c:pt>
                <c:pt idx="7">
                  <c:v>161.00603318595199</c:v>
                </c:pt>
                <c:pt idx="8">
                  <c:v>183.95939863203901</c:v>
                </c:pt>
                <c:pt idx="9">
                  <c:v>209.45370462217099</c:v>
                </c:pt>
                <c:pt idx="10">
                  <c:v>233.68844069790299</c:v>
                </c:pt>
              </c:numCache>
            </c:numRef>
          </c:xVal>
          <c:yVal>
            <c:numRef>
              <c:f>Baseline!$G$30:$G$40</c:f>
              <c:numCache>
                <c:formatCode>0.00</c:formatCode>
                <c:ptCount val="11"/>
                <c:pt idx="0">
                  <c:v>18.945653501219649</c:v>
                </c:pt>
                <c:pt idx="1">
                  <c:v>16.629976906850132</c:v>
                </c:pt>
                <c:pt idx="2">
                  <c:v>25.083658507400418</c:v>
                </c:pt>
                <c:pt idx="3">
                  <c:v>34.060882863644892</c:v>
                </c:pt>
                <c:pt idx="4">
                  <c:v>40.334988693478778</c:v>
                </c:pt>
                <c:pt idx="5">
                  <c:v>42.229864150514317</c:v>
                </c:pt>
                <c:pt idx="6">
                  <c:v>43.430516045098187</c:v>
                </c:pt>
                <c:pt idx="7">
                  <c:v>42.817031810010043</c:v>
                </c:pt>
                <c:pt idx="8">
                  <c:v>40.848321284894908</c:v>
                </c:pt>
                <c:pt idx="9">
                  <c:v>39.326351237253085</c:v>
                </c:pt>
                <c:pt idx="10">
                  <c:v>39.004870469422023</c:v>
                </c:pt>
              </c:numCache>
            </c:numRef>
          </c:yVal>
          <c:smooth val="1"/>
        </c:ser>
        <c:ser>
          <c:idx val="1"/>
          <c:order val="1"/>
          <c:tx>
            <c:v>model</c:v>
          </c:tx>
          <c:xVal>
            <c:numRef>
              <c:f>Baseline!$A$30:$A$40</c:f>
              <c:numCache>
                <c:formatCode>0.00</c:formatCode>
                <c:ptCount val="11"/>
                <c:pt idx="0">
                  <c:v>-8.0399625616296202</c:v>
                </c:pt>
                <c:pt idx="1">
                  <c:v>16.717603686421</c:v>
                </c:pt>
                <c:pt idx="2">
                  <c:v>40.560416627556798</c:v>
                </c:pt>
                <c:pt idx="3">
                  <c:v>65.130418138261206</c:v>
                </c:pt>
                <c:pt idx="4">
                  <c:v>87.109982420119195</c:v>
                </c:pt>
                <c:pt idx="5">
                  <c:v>112.777591972545</c:v>
                </c:pt>
                <c:pt idx="6">
                  <c:v>135.92957671409101</c:v>
                </c:pt>
                <c:pt idx="7">
                  <c:v>161.00603318595199</c:v>
                </c:pt>
                <c:pt idx="8">
                  <c:v>183.95939863203901</c:v>
                </c:pt>
                <c:pt idx="9">
                  <c:v>209.45370462217099</c:v>
                </c:pt>
                <c:pt idx="10">
                  <c:v>233.68844069790299</c:v>
                </c:pt>
              </c:numCache>
            </c:numRef>
          </c:xVal>
          <c:yVal>
            <c:numRef>
              <c:f>Baseline!$H$30:$H$40</c:f>
              <c:numCache>
                <c:formatCode>0.00</c:formatCode>
                <c:ptCount val="11"/>
                <c:pt idx="0">
                  <c:v>15.578152156105352</c:v>
                </c:pt>
                <c:pt idx="1">
                  <c:v>17.92600524639041</c:v>
                </c:pt>
                <c:pt idx="2">
                  <c:v>23.539181333392644</c:v>
                </c:pt>
                <c:pt idx="3">
                  <c:v>29.486170088588558</c:v>
                </c:pt>
                <c:pt idx="4">
                  <c:v>34.538775775486783</c:v>
                </c:pt>
                <c:pt idx="5">
                  <c:v>37.78317081313056</c:v>
                </c:pt>
                <c:pt idx="6">
                  <c:v>40.432669568915749</c:v>
                </c:pt>
                <c:pt idx="7">
                  <c:v>41.030380980041102</c:v>
                </c:pt>
                <c:pt idx="8">
                  <c:v>41.143845568150773</c:v>
                </c:pt>
                <c:pt idx="9">
                  <c:v>38.996286280262325</c:v>
                </c:pt>
                <c:pt idx="10">
                  <c:v>37.73728720686109</c:v>
                </c:pt>
              </c:numCache>
            </c:numRef>
          </c:yVal>
          <c:smooth val="1"/>
        </c:ser>
        <c:ser>
          <c:idx val="2"/>
          <c:order val="2"/>
          <c:tx>
            <c:v>model_adj</c:v>
          </c:tx>
          <c:xVal>
            <c:numRef>
              <c:f>Baseline!$A$30:$A$40</c:f>
              <c:numCache>
                <c:formatCode>0.00</c:formatCode>
                <c:ptCount val="11"/>
                <c:pt idx="0">
                  <c:v>-8.0399625616296202</c:v>
                </c:pt>
                <c:pt idx="1">
                  <c:v>16.717603686421</c:v>
                </c:pt>
                <c:pt idx="2">
                  <c:v>40.560416627556798</c:v>
                </c:pt>
                <c:pt idx="3">
                  <c:v>65.130418138261206</c:v>
                </c:pt>
                <c:pt idx="4">
                  <c:v>87.109982420119195</c:v>
                </c:pt>
                <c:pt idx="5">
                  <c:v>112.777591972545</c:v>
                </c:pt>
                <c:pt idx="6">
                  <c:v>135.92957671409101</c:v>
                </c:pt>
                <c:pt idx="7">
                  <c:v>161.00603318595199</c:v>
                </c:pt>
                <c:pt idx="8">
                  <c:v>183.95939863203901</c:v>
                </c:pt>
                <c:pt idx="9">
                  <c:v>209.45370462217099</c:v>
                </c:pt>
                <c:pt idx="10">
                  <c:v>233.68844069790299</c:v>
                </c:pt>
              </c:numCache>
            </c:numRef>
          </c:xVal>
          <c:yVal>
            <c:numRef>
              <c:f>Baseline!$O$30:$O$40</c:f>
              <c:numCache>
                <c:formatCode>0.00</c:formatCode>
                <c:ptCount val="11"/>
                <c:pt idx="0">
                  <c:v>15.578152156105352</c:v>
                </c:pt>
                <c:pt idx="1">
                  <c:v>17.92600524639041</c:v>
                </c:pt>
                <c:pt idx="2">
                  <c:v>24.862297777509625</c:v>
                </c:pt>
                <c:pt idx="3">
                  <c:v>33.819201928132451</c:v>
                </c:pt>
                <c:pt idx="4">
                  <c:v>40.206403475980679</c:v>
                </c:pt>
                <c:pt idx="5">
                  <c:v>42.127624111427295</c:v>
                </c:pt>
                <c:pt idx="6">
                  <c:v>43.173153495603309</c:v>
                </c:pt>
                <c:pt idx="7">
                  <c:v>42.421274635374786</c:v>
                </c:pt>
                <c:pt idx="8">
                  <c:v>41.424458412422126</c:v>
                </c:pt>
                <c:pt idx="9">
                  <c:v>38.996286280262325</c:v>
                </c:pt>
                <c:pt idx="10">
                  <c:v>37.73728720686109</c:v>
                </c:pt>
              </c:numCache>
            </c:numRef>
          </c:yVal>
          <c:smooth val="1"/>
        </c:ser>
        <c:dLbls>
          <c:showLegendKey val="0"/>
          <c:showVal val="0"/>
          <c:showCatName val="0"/>
          <c:showSerName val="0"/>
          <c:showPercent val="0"/>
          <c:showBubbleSize val="0"/>
        </c:dLbls>
        <c:axId val="260883968"/>
        <c:axId val="260895104"/>
      </c:scatterChart>
      <c:valAx>
        <c:axId val="260883968"/>
        <c:scaling>
          <c:orientation val="minMax"/>
        </c:scaling>
        <c:delete val="0"/>
        <c:axPos val="b"/>
        <c:numFmt formatCode="0" sourceLinked="0"/>
        <c:majorTickMark val="out"/>
        <c:minorTickMark val="none"/>
        <c:tickLblPos val="nextTo"/>
        <c:crossAx val="260895104"/>
        <c:crosses val="autoZero"/>
        <c:crossBetween val="midCat"/>
      </c:valAx>
      <c:valAx>
        <c:axId val="260895104"/>
        <c:scaling>
          <c:orientation val="minMax"/>
        </c:scaling>
        <c:delete val="0"/>
        <c:axPos val="l"/>
        <c:majorGridlines/>
        <c:numFmt formatCode="0.00" sourceLinked="1"/>
        <c:majorTickMark val="out"/>
        <c:minorTickMark val="none"/>
        <c:tickLblPos val="nextTo"/>
        <c:crossAx val="260883968"/>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Baseline!$AD$159:$AD$162</c:f>
              <c:strCache>
                <c:ptCount val="1"/>
                <c:pt idx="0">
                  <c:v>Knot</c:v>
                </c:pt>
              </c:strCache>
            </c:strRef>
          </c:tx>
          <c:marker>
            <c:symbol val="none"/>
          </c:marker>
          <c:cat>
            <c:numRef>
              <c:f>Baseline!$AC$30:$AC$40</c:f>
              <c:numCache>
                <c:formatCode>0</c:formatCode>
                <c:ptCount val="11"/>
                <c:pt idx="0">
                  <c:v>-8.0399625616296202</c:v>
                </c:pt>
                <c:pt idx="1">
                  <c:v>16.717603686421</c:v>
                </c:pt>
                <c:pt idx="2">
                  <c:v>40.560416627556798</c:v>
                </c:pt>
                <c:pt idx="3">
                  <c:v>65.130418138261206</c:v>
                </c:pt>
                <c:pt idx="4">
                  <c:v>87.109982420119195</c:v>
                </c:pt>
                <c:pt idx="5">
                  <c:v>112.777591972545</c:v>
                </c:pt>
                <c:pt idx="6">
                  <c:v>135.92957671409101</c:v>
                </c:pt>
                <c:pt idx="7">
                  <c:v>161.00603318595199</c:v>
                </c:pt>
                <c:pt idx="8">
                  <c:v>183.95939863203901</c:v>
                </c:pt>
                <c:pt idx="9">
                  <c:v>209.45370462217099</c:v>
                </c:pt>
                <c:pt idx="10">
                  <c:v>233.68844069790299</c:v>
                </c:pt>
              </c:numCache>
            </c:numRef>
          </c:cat>
          <c:val>
            <c:numRef>
              <c:f>Baseline!$AD$30:$AD$40</c:f>
              <c:numCache>
                <c:formatCode>0.000</c:formatCode>
                <c:ptCount val="11"/>
                <c:pt idx="0">
                  <c:v>1.1762837415319201</c:v>
                </c:pt>
                <c:pt idx="1">
                  <c:v>1.7435287487101601</c:v>
                </c:pt>
                <c:pt idx="2">
                  <c:v>2.5357969334519801</c:v>
                </c:pt>
                <c:pt idx="3">
                  <c:v>3.4611348963631601</c:v>
                </c:pt>
                <c:pt idx="4">
                  <c:v>4.1457396580159296</c:v>
                </c:pt>
                <c:pt idx="5">
                  <c:v>4.75215670710576</c:v>
                </c:pt>
                <c:pt idx="6">
                  <c:v>5.2241824620250199</c:v>
                </c:pt>
                <c:pt idx="7">
                  <c:v>5.6827404574273999</c:v>
                </c:pt>
                <c:pt idx="8">
                  <c:v>6.0276934430763003</c:v>
                </c:pt>
                <c:pt idx="9">
                  <c:v>6.3657668913125001</c:v>
                </c:pt>
                <c:pt idx="10">
                  <c:v>6.6052587481674401</c:v>
                </c:pt>
              </c:numCache>
            </c:numRef>
          </c:val>
          <c:smooth val="0"/>
        </c:ser>
        <c:ser>
          <c:idx val="1"/>
          <c:order val="1"/>
          <c:tx>
            <c:strRef>
              <c:f>Baseline!$AE$159:$AE$162</c:f>
              <c:strCache>
                <c:ptCount val="1"/>
                <c:pt idx="0">
                  <c:v>adj Knot</c:v>
                </c:pt>
              </c:strCache>
            </c:strRef>
          </c:tx>
          <c:marker>
            <c:symbol val="none"/>
          </c:marker>
          <c:cat>
            <c:numRef>
              <c:f>Baseline!$AC$30:$AC$40</c:f>
              <c:numCache>
                <c:formatCode>0</c:formatCode>
                <c:ptCount val="11"/>
                <c:pt idx="0">
                  <c:v>-8.0399625616296202</c:v>
                </c:pt>
                <c:pt idx="1">
                  <c:v>16.717603686421</c:v>
                </c:pt>
                <c:pt idx="2">
                  <c:v>40.560416627556798</c:v>
                </c:pt>
                <c:pt idx="3">
                  <c:v>65.130418138261206</c:v>
                </c:pt>
                <c:pt idx="4">
                  <c:v>87.109982420119195</c:v>
                </c:pt>
                <c:pt idx="5">
                  <c:v>112.777591972545</c:v>
                </c:pt>
                <c:pt idx="6">
                  <c:v>135.92957671409101</c:v>
                </c:pt>
                <c:pt idx="7">
                  <c:v>161.00603318595199</c:v>
                </c:pt>
                <c:pt idx="8">
                  <c:v>183.95939863203901</c:v>
                </c:pt>
                <c:pt idx="9">
                  <c:v>209.45370462217099</c:v>
                </c:pt>
                <c:pt idx="10">
                  <c:v>233.68844069790299</c:v>
                </c:pt>
              </c:numCache>
            </c:numRef>
          </c:cat>
          <c:val>
            <c:numRef>
              <c:f>Baseline!$AE$30:$AE$40</c:f>
              <c:numCache>
                <c:formatCode>0.000</c:formatCode>
                <c:ptCount val="11"/>
                <c:pt idx="0">
                  <c:v>1.1762837415319201</c:v>
                </c:pt>
                <c:pt idx="1">
                  <c:v>1.7435287487101601</c:v>
                </c:pt>
                <c:pt idx="2">
                  <c:v>2.7386606881281388</c:v>
                </c:pt>
                <c:pt idx="3">
                  <c:v>4.1879732245994239</c:v>
                </c:pt>
                <c:pt idx="4">
                  <c:v>5.140717175939753</c:v>
                </c:pt>
                <c:pt idx="5">
                  <c:v>5.5600233473137388</c:v>
                </c:pt>
                <c:pt idx="6">
                  <c:v>5.7466007082275228</c:v>
                </c:pt>
                <c:pt idx="7">
                  <c:v>5.9668774802987699</c:v>
                </c:pt>
                <c:pt idx="8">
                  <c:v>6.0879703775070633</c:v>
                </c:pt>
                <c:pt idx="9">
                  <c:v>6.3657668913125001</c:v>
                </c:pt>
                <c:pt idx="10">
                  <c:v>6.6052587481674401</c:v>
                </c:pt>
              </c:numCache>
            </c:numRef>
          </c:val>
          <c:smooth val="0"/>
        </c:ser>
        <c:dLbls>
          <c:showLegendKey val="0"/>
          <c:showVal val="0"/>
          <c:showCatName val="0"/>
          <c:showSerName val="0"/>
          <c:showPercent val="0"/>
          <c:showBubbleSize val="0"/>
        </c:dLbls>
        <c:marker val="1"/>
        <c:smooth val="0"/>
        <c:axId val="261767168"/>
        <c:axId val="261816704"/>
      </c:lineChart>
      <c:catAx>
        <c:axId val="261767168"/>
        <c:scaling>
          <c:orientation val="minMax"/>
        </c:scaling>
        <c:delete val="0"/>
        <c:axPos val="b"/>
        <c:numFmt formatCode="0" sourceLinked="1"/>
        <c:majorTickMark val="out"/>
        <c:minorTickMark val="none"/>
        <c:tickLblPos val="nextTo"/>
        <c:crossAx val="261816704"/>
        <c:crosses val="autoZero"/>
        <c:auto val="1"/>
        <c:lblAlgn val="ctr"/>
        <c:lblOffset val="100"/>
        <c:noMultiLvlLbl val="0"/>
      </c:catAx>
      <c:valAx>
        <c:axId val="261816704"/>
        <c:scaling>
          <c:orientation val="minMax"/>
        </c:scaling>
        <c:delete val="0"/>
        <c:axPos val="l"/>
        <c:numFmt formatCode="0" sourceLinked="0"/>
        <c:majorTickMark val="out"/>
        <c:minorTickMark val="none"/>
        <c:tickLblPos val="nextTo"/>
        <c:crossAx val="26176716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Baseline!$Y$159</c:f>
              <c:strCache>
                <c:ptCount val="1"/>
                <c:pt idx="0">
                  <c:v>Knot</c:v>
                </c:pt>
              </c:strCache>
            </c:strRef>
          </c:tx>
          <c:marker>
            <c:symbol val="none"/>
          </c:marker>
          <c:cat>
            <c:numRef>
              <c:f>Baseline!$X$28:$X$41</c:f>
              <c:numCache>
                <c:formatCode>0</c:formatCode>
                <c:ptCount val="14"/>
                <c:pt idx="0">
                  <c:v>-60.076868837927201</c:v>
                </c:pt>
                <c:pt idx="1">
                  <c:v>-33.483850125560203</c:v>
                </c:pt>
                <c:pt idx="2">
                  <c:v>-8.0399625616296202</c:v>
                </c:pt>
                <c:pt idx="3">
                  <c:v>16.717603686421</c:v>
                </c:pt>
                <c:pt idx="4">
                  <c:v>40.560416627556798</c:v>
                </c:pt>
                <c:pt idx="5">
                  <c:v>65.130418138261206</c:v>
                </c:pt>
                <c:pt idx="6">
                  <c:v>87.109982420119195</c:v>
                </c:pt>
                <c:pt idx="7">
                  <c:v>112.777591972545</c:v>
                </c:pt>
                <c:pt idx="8">
                  <c:v>135.92957671409101</c:v>
                </c:pt>
                <c:pt idx="9">
                  <c:v>161.00603318595199</c:v>
                </c:pt>
                <c:pt idx="10">
                  <c:v>183.95939863203901</c:v>
                </c:pt>
                <c:pt idx="11">
                  <c:v>209.45370462217099</c:v>
                </c:pt>
                <c:pt idx="12">
                  <c:v>233.68844069790299</c:v>
                </c:pt>
                <c:pt idx="13">
                  <c:v>271.38147049753798</c:v>
                </c:pt>
              </c:numCache>
            </c:numRef>
          </c:cat>
          <c:val>
            <c:numRef>
              <c:f>Baseline!$Y$28:$Y$41</c:f>
              <c:numCache>
                <c:formatCode>0.000</c:formatCode>
                <c:ptCount val="14"/>
                <c:pt idx="0">
                  <c:v>0.169505391304348</c:v>
                </c:pt>
                <c:pt idx="1">
                  <c:v>0.30615060763888902</c:v>
                </c:pt>
                <c:pt idx="2">
                  <c:v>0.53185287373913004</c:v>
                </c:pt>
                <c:pt idx="3">
                  <c:v>1.01594124675193</c:v>
                </c:pt>
                <c:pt idx="4">
                  <c:v>2.0717371897488701</c:v>
                </c:pt>
                <c:pt idx="5">
                  <c:v>3.5525412195015398</c:v>
                </c:pt>
                <c:pt idx="6">
                  <c:v>4.8225583111111101</c:v>
                </c:pt>
                <c:pt idx="7">
                  <c:v>6.2750975705599998</c:v>
                </c:pt>
                <c:pt idx="8">
                  <c:v>7.6782094614435499</c:v>
                </c:pt>
                <c:pt idx="9">
                  <c:v>8.7557674712905893</c:v>
                </c:pt>
                <c:pt idx="10">
                  <c:v>8.8912890705385497</c:v>
                </c:pt>
                <c:pt idx="11">
                  <c:v>8.9</c:v>
                </c:pt>
                <c:pt idx="12">
                  <c:v>8.9</c:v>
                </c:pt>
                <c:pt idx="13">
                  <c:v>8.9</c:v>
                </c:pt>
              </c:numCache>
            </c:numRef>
          </c:val>
          <c:smooth val="0"/>
        </c:ser>
        <c:ser>
          <c:idx val="1"/>
          <c:order val="1"/>
          <c:tx>
            <c:strRef>
              <c:f>Baseline!$Z$159</c:f>
              <c:strCache>
                <c:ptCount val="1"/>
                <c:pt idx="0">
                  <c:v>adj Knot</c:v>
                </c:pt>
              </c:strCache>
            </c:strRef>
          </c:tx>
          <c:marker>
            <c:symbol val="none"/>
          </c:marker>
          <c:cat>
            <c:numRef>
              <c:f>Baseline!$X$28:$X$41</c:f>
              <c:numCache>
                <c:formatCode>0</c:formatCode>
                <c:ptCount val="14"/>
                <c:pt idx="0">
                  <c:v>-60.076868837927201</c:v>
                </c:pt>
                <c:pt idx="1">
                  <c:v>-33.483850125560203</c:v>
                </c:pt>
                <c:pt idx="2">
                  <c:v>-8.0399625616296202</c:v>
                </c:pt>
                <c:pt idx="3">
                  <c:v>16.717603686421</c:v>
                </c:pt>
                <c:pt idx="4">
                  <c:v>40.560416627556798</c:v>
                </c:pt>
                <c:pt idx="5">
                  <c:v>65.130418138261206</c:v>
                </c:pt>
                <c:pt idx="6">
                  <c:v>87.109982420119195</c:v>
                </c:pt>
                <c:pt idx="7">
                  <c:v>112.777591972545</c:v>
                </c:pt>
                <c:pt idx="8">
                  <c:v>135.92957671409101</c:v>
                </c:pt>
                <c:pt idx="9">
                  <c:v>161.00603318595199</c:v>
                </c:pt>
                <c:pt idx="10">
                  <c:v>183.95939863203901</c:v>
                </c:pt>
                <c:pt idx="11">
                  <c:v>209.45370462217099</c:v>
                </c:pt>
                <c:pt idx="12">
                  <c:v>233.68844069790299</c:v>
                </c:pt>
                <c:pt idx="13">
                  <c:v>271.38147049753798</c:v>
                </c:pt>
              </c:numCache>
            </c:numRef>
          </c:cat>
          <c:val>
            <c:numRef>
              <c:f>Baseline!$Z$28:$Z$41</c:f>
              <c:numCache>
                <c:formatCode>0.000</c:formatCode>
                <c:ptCount val="14"/>
                <c:pt idx="0">
                  <c:v>0.169505391304348</c:v>
                </c:pt>
                <c:pt idx="1">
                  <c:v>0.30615060763888902</c:v>
                </c:pt>
                <c:pt idx="2">
                  <c:v>0.53185287373913004</c:v>
                </c:pt>
                <c:pt idx="3">
                  <c:v>1.01594124675193</c:v>
                </c:pt>
                <c:pt idx="4">
                  <c:v>2.0717371897488701</c:v>
                </c:pt>
                <c:pt idx="5">
                  <c:v>3.5525412195015398</c:v>
                </c:pt>
                <c:pt idx="6">
                  <c:v>4.8225583111111101</c:v>
                </c:pt>
                <c:pt idx="7">
                  <c:v>6.2750975705599998</c:v>
                </c:pt>
                <c:pt idx="8">
                  <c:v>7.6782094614435499</c:v>
                </c:pt>
                <c:pt idx="9">
                  <c:v>8.7557674712905893</c:v>
                </c:pt>
                <c:pt idx="10">
                  <c:v>8.8912890705385497</c:v>
                </c:pt>
                <c:pt idx="11">
                  <c:v>8.9</c:v>
                </c:pt>
                <c:pt idx="12">
                  <c:v>8.9</c:v>
                </c:pt>
                <c:pt idx="13">
                  <c:v>8.9</c:v>
                </c:pt>
              </c:numCache>
            </c:numRef>
          </c:val>
          <c:smooth val="0"/>
        </c:ser>
        <c:dLbls>
          <c:showLegendKey val="0"/>
          <c:showVal val="0"/>
          <c:showCatName val="0"/>
          <c:showSerName val="0"/>
          <c:showPercent val="0"/>
          <c:showBubbleSize val="0"/>
        </c:dLbls>
        <c:marker val="1"/>
        <c:smooth val="0"/>
        <c:axId val="263214592"/>
        <c:axId val="263225344"/>
      </c:lineChart>
      <c:catAx>
        <c:axId val="263214592"/>
        <c:scaling>
          <c:orientation val="minMax"/>
        </c:scaling>
        <c:delete val="0"/>
        <c:axPos val="b"/>
        <c:numFmt formatCode="0" sourceLinked="1"/>
        <c:majorTickMark val="out"/>
        <c:minorTickMark val="none"/>
        <c:tickLblPos val="nextTo"/>
        <c:crossAx val="263225344"/>
        <c:crosses val="autoZero"/>
        <c:auto val="1"/>
        <c:lblAlgn val="ctr"/>
        <c:lblOffset val="100"/>
        <c:noMultiLvlLbl val="0"/>
      </c:catAx>
      <c:valAx>
        <c:axId val="263225344"/>
        <c:scaling>
          <c:orientation val="minMax"/>
        </c:scaling>
        <c:delete val="0"/>
        <c:axPos val="l"/>
        <c:numFmt formatCode="0" sourceLinked="0"/>
        <c:majorTickMark val="out"/>
        <c:minorTickMark val="none"/>
        <c:tickLblPos val="nextTo"/>
        <c:crossAx val="263214592"/>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Baseline!$T$159</c:f>
              <c:strCache>
                <c:ptCount val="1"/>
                <c:pt idx="0">
                  <c:v>Knot</c:v>
                </c:pt>
              </c:strCache>
            </c:strRef>
          </c:tx>
          <c:marker>
            <c:symbol val="none"/>
          </c:marker>
          <c:cat>
            <c:numRef>
              <c:f>Baseline!$S$27:$S$36</c:f>
              <c:numCache>
                <c:formatCode>0</c:formatCode>
                <c:ptCount val="10"/>
                <c:pt idx="0">
                  <c:v>-82.984204191452207</c:v>
                </c:pt>
                <c:pt idx="1">
                  <c:v>-60.076868837927201</c:v>
                </c:pt>
                <c:pt idx="2">
                  <c:v>-33.483850125560203</c:v>
                </c:pt>
                <c:pt idx="3">
                  <c:v>-8.0399625616296202</c:v>
                </c:pt>
                <c:pt idx="4">
                  <c:v>16.717603686421</c:v>
                </c:pt>
                <c:pt idx="5">
                  <c:v>40.560416627556798</c:v>
                </c:pt>
                <c:pt idx="6">
                  <c:v>65.130418138261206</c:v>
                </c:pt>
                <c:pt idx="7">
                  <c:v>87.109982420119195</c:v>
                </c:pt>
                <c:pt idx="8">
                  <c:v>112.777591972545</c:v>
                </c:pt>
                <c:pt idx="9">
                  <c:v>135.92957671409101</c:v>
                </c:pt>
              </c:numCache>
            </c:numRef>
          </c:cat>
          <c:val>
            <c:numRef>
              <c:f>Baseline!$T$27:$T$36</c:f>
              <c:numCache>
                <c:formatCode>0.000</c:formatCode>
                <c:ptCount val="10"/>
                <c:pt idx="0">
                  <c:v>1.141723072</c:v>
                </c:pt>
                <c:pt idx="1">
                  <c:v>1.267304</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Baseline!$U$159</c:f>
              <c:strCache>
                <c:ptCount val="1"/>
                <c:pt idx="0">
                  <c:v>adj Knot</c:v>
                </c:pt>
              </c:strCache>
            </c:strRef>
          </c:tx>
          <c:marker>
            <c:symbol val="none"/>
          </c:marker>
          <c:cat>
            <c:numRef>
              <c:f>Baseline!$S$27:$S$36</c:f>
              <c:numCache>
                <c:formatCode>0</c:formatCode>
                <c:ptCount val="10"/>
                <c:pt idx="0">
                  <c:v>-82.984204191452207</c:v>
                </c:pt>
                <c:pt idx="1">
                  <c:v>-60.076868837927201</c:v>
                </c:pt>
                <c:pt idx="2">
                  <c:v>-33.483850125560203</c:v>
                </c:pt>
                <c:pt idx="3">
                  <c:v>-8.0399625616296202</c:v>
                </c:pt>
                <c:pt idx="4">
                  <c:v>16.717603686421</c:v>
                </c:pt>
                <c:pt idx="5">
                  <c:v>40.560416627556798</c:v>
                </c:pt>
                <c:pt idx="6">
                  <c:v>65.130418138261206</c:v>
                </c:pt>
                <c:pt idx="7">
                  <c:v>87.109982420119195</c:v>
                </c:pt>
                <c:pt idx="8">
                  <c:v>112.777591972545</c:v>
                </c:pt>
                <c:pt idx="9">
                  <c:v>135.92957671409101</c:v>
                </c:pt>
              </c:numCache>
            </c:numRef>
          </c:cat>
          <c:val>
            <c:numRef>
              <c:f>Baseline!$U$27:$U$36</c:f>
              <c:numCache>
                <c:formatCode>0.000</c:formatCode>
                <c:ptCount val="10"/>
                <c:pt idx="0">
                  <c:v>1.141723072</c:v>
                </c:pt>
                <c:pt idx="1">
                  <c:v>1.267304</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265796224"/>
        <c:axId val="266531584"/>
      </c:lineChart>
      <c:catAx>
        <c:axId val="265796224"/>
        <c:scaling>
          <c:orientation val="minMax"/>
        </c:scaling>
        <c:delete val="0"/>
        <c:axPos val="b"/>
        <c:numFmt formatCode="0" sourceLinked="1"/>
        <c:majorTickMark val="out"/>
        <c:minorTickMark val="none"/>
        <c:tickLblPos val="nextTo"/>
        <c:crossAx val="266531584"/>
        <c:crosses val="autoZero"/>
        <c:auto val="1"/>
        <c:lblAlgn val="ctr"/>
        <c:lblOffset val="100"/>
        <c:noMultiLvlLbl val="0"/>
      </c:catAx>
      <c:valAx>
        <c:axId val="266531584"/>
        <c:scaling>
          <c:orientation val="minMax"/>
        </c:scaling>
        <c:delete val="0"/>
        <c:axPos val="l"/>
        <c:numFmt formatCode="0" sourceLinked="0"/>
        <c:majorTickMark val="out"/>
        <c:minorTickMark val="none"/>
        <c:tickLblPos val="nextTo"/>
        <c:crossAx val="265796224"/>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xVal>
            <c:numRef>
              <c:f>Baseline!$A$225:$A$235</c:f>
              <c:numCache>
                <c:formatCode>0.00</c:formatCode>
                <c:ptCount val="11"/>
                <c:pt idx="0">
                  <c:v>-57.210404834917597</c:v>
                </c:pt>
                <c:pt idx="1">
                  <c:v>-32.594270536739103</c:v>
                </c:pt>
                <c:pt idx="2">
                  <c:v>-8.5060139715854</c:v>
                </c:pt>
                <c:pt idx="3">
                  <c:v>15.7442331989037</c:v>
                </c:pt>
                <c:pt idx="4">
                  <c:v>37.409773690442798</c:v>
                </c:pt>
                <c:pt idx="5">
                  <c:v>62.476421052563801</c:v>
                </c:pt>
                <c:pt idx="6">
                  <c:v>85.669606730613907</c:v>
                </c:pt>
                <c:pt idx="7">
                  <c:v>111.768434390067</c:v>
                </c:pt>
                <c:pt idx="8">
                  <c:v>134.373235124464</c:v>
                </c:pt>
                <c:pt idx="9">
                  <c:v>160.18516166213001</c:v>
                </c:pt>
                <c:pt idx="10">
                  <c:v>183.94350489017</c:v>
                </c:pt>
              </c:numCache>
            </c:numRef>
          </c:xVal>
          <c:yVal>
            <c:numRef>
              <c:f>Baseline!$G$225:$G$235</c:f>
              <c:numCache>
                <c:formatCode>0.00</c:formatCode>
                <c:ptCount val="11"/>
                <c:pt idx="0">
                  <c:v>3.4080264717968878</c:v>
                </c:pt>
                <c:pt idx="1">
                  <c:v>2.6756425653229554</c:v>
                </c:pt>
                <c:pt idx="2">
                  <c:v>14.515442637879495</c:v>
                </c:pt>
                <c:pt idx="3">
                  <c:v>27.05031859673861</c:v>
                </c:pt>
                <c:pt idx="4">
                  <c:v>39.513548144822266</c:v>
                </c:pt>
                <c:pt idx="5">
                  <c:v>47.214702074901403</c:v>
                </c:pt>
                <c:pt idx="6">
                  <c:v>45.766741434565049</c:v>
                </c:pt>
                <c:pt idx="7">
                  <c:v>45.909203181044674</c:v>
                </c:pt>
                <c:pt idx="8">
                  <c:v>46.476872003021043</c:v>
                </c:pt>
                <c:pt idx="9">
                  <c:v>44.242835662966016</c:v>
                </c:pt>
                <c:pt idx="10">
                  <c:v>53.130436470808448</c:v>
                </c:pt>
              </c:numCache>
            </c:numRef>
          </c:yVal>
          <c:smooth val="1"/>
        </c:ser>
        <c:ser>
          <c:idx val="1"/>
          <c:order val="1"/>
          <c:xVal>
            <c:numRef>
              <c:f>Baseline!$A$225:$A$235</c:f>
              <c:numCache>
                <c:formatCode>0.00</c:formatCode>
                <c:ptCount val="11"/>
                <c:pt idx="0">
                  <c:v>-57.210404834917597</c:v>
                </c:pt>
                <c:pt idx="1">
                  <c:v>-32.594270536739103</c:v>
                </c:pt>
                <c:pt idx="2">
                  <c:v>-8.5060139715854</c:v>
                </c:pt>
                <c:pt idx="3">
                  <c:v>15.7442331989037</c:v>
                </c:pt>
                <c:pt idx="4">
                  <c:v>37.409773690442798</c:v>
                </c:pt>
                <c:pt idx="5">
                  <c:v>62.476421052563801</c:v>
                </c:pt>
                <c:pt idx="6">
                  <c:v>85.669606730613907</c:v>
                </c:pt>
                <c:pt idx="7">
                  <c:v>111.768434390067</c:v>
                </c:pt>
                <c:pt idx="8">
                  <c:v>134.373235124464</c:v>
                </c:pt>
                <c:pt idx="9">
                  <c:v>160.18516166213001</c:v>
                </c:pt>
                <c:pt idx="10">
                  <c:v>183.94350489017</c:v>
                </c:pt>
              </c:numCache>
            </c:numRef>
          </c:xVal>
          <c:yVal>
            <c:numRef>
              <c:f>Baseline!$H$225:$H$235</c:f>
              <c:numCache>
                <c:formatCode>0.00</c:formatCode>
                <c:ptCount val="11"/>
                <c:pt idx="0">
                  <c:v>7.4604590956861454</c:v>
                </c:pt>
                <c:pt idx="1">
                  <c:v>7.5936319650785737</c:v>
                </c:pt>
                <c:pt idx="2">
                  <c:v>13.375224625001925</c:v>
                </c:pt>
                <c:pt idx="3">
                  <c:v>18.550034929437931</c:v>
                </c:pt>
                <c:pt idx="4">
                  <c:v>25.716245611522069</c:v>
                </c:pt>
                <c:pt idx="5">
                  <c:v>32.736859910093926</c:v>
                </c:pt>
                <c:pt idx="6">
                  <c:v>37.424240145162834</c:v>
                </c:pt>
                <c:pt idx="7">
                  <c:v>41.644445809623512</c:v>
                </c:pt>
                <c:pt idx="8">
                  <c:v>45.006132903299736</c:v>
                </c:pt>
                <c:pt idx="9">
                  <c:v>48.208906548976913</c:v>
                </c:pt>
                <c:pt idx="10">
                  <c:v>51.297353928229739</c:v>
                </c:pt>
              </c:numCache>
            </c:numRef>
          </c:yVal>
          <c:smooth val="1"/>
        </c:ser>
        <c:ser>
          <c:idx val="2"/>
          <c:order val="2"/>
          <c:xVal>
            <c:numRef>
              <c:f>Baseline!$A$225:$A$235</c:f>
              <c:numCache>
                <c:formatCode>0.00</c:formatCode>
                <c:ptCount val="11"/>
                <c:pt idx="0">
                  <c:v>-57.210404834917597</c:v>
                </c:pt>
                <c:pt idx="1">
                  <c:v>-32.594270536739103</c:v>
                </c:pt>
                <c:pt idx="2">
                  <c:v>-8.5060139715854</c:v>
                </c:pt>
                <c:pt idx="3">
                  <c:v>15.7442331989037</c:v>
                </c:pt>
                <c:pt idx="4">
                  <c:v>37.409773690442798</c:v>
                </c:pt>
                <c:pt idx="5">
                  <c:v>62.476421052563801</c:v>
                </c:pt>
                <c:pt idx="6">
                  <c:v>85.669606730613907</c:v>
                </c:pt>
                <c:pt idx="7">
                  <c:v>111.768434390067</c:v>
                </c:pt>
                <c:pt idx="8">
                  <c:v>134.373235124464</c:v>
                </c:pt>
                <c:pt idx="9">
                  <c:v>160.18516166213001</c:v>
                </c:pt>
                <c:pt idx="10">
                  <c:v>183.94350489017</c:v>
                </c:pt>
              </c:numCache>
            </c:numRef>
          </c:xVal>
          <c:yVal>
            <c:numRef>
              <c:f>Baseline!$O$225:$O$235</c:f>
              <c:numCache>
                <c:formatCode>0.00</c:formatCode>
                <c:ptCount val="11"/>
                <c:pt idx="0">
                  <c:v>7.4604590956861454</c:v>
                </c:pt>
                <c:pt idx="1">
                  <c:v>7.5936319650785737</c:v>
                </c:pt>
                <c:pt idx="2">
                  <c:v>13.375224625001925</c:v>
                </c:pt>
                <c:pt idx="3">
                  <c:v>18.550034929437931</c:v>
                </c:pt>
                <c:pt idx="4">
                  <c:v>27.233205884156952</c:v>
                </c:pt>
                <c:pt idx="5">
                  <c:v>37.611331702449846</c:v>
                </c:pt>
                <c:pt idx="6">
                  <c:v>43.583857822596762</c:v>
                </c:pt>
                <c:pt idx="7">
                  <c:v>46.393050520942481</c:v>
                </c:pt>
                <c:pt idx="8">
                  <c:v>48.001074517577372</c:v>
                </c:pt>
                <c:pt idx="9">
                  <c:v>49.785606007370276</c:v>
                </c:pt>
                <c:pt idx="10">
                  <c:v>51.625439700791695</c:v>
                </c:pt>
              </c:numCache>
            </c:numRef>
          </c:yVal>
          <c:smooth val="1"/>
        </c:ser>
        <c:dLbls>
          <c:showLegendKey val="0"/>
          <c:showVal val="0"/>
          <c:showCatName val="0"/>
          <c:showSerName val="0"/>
          <c:showPercent val="0"/>
          <c:showBubbleSize val="0"/>
        </c:dLbls>
        <c:axId val="518895488"/>
        <c:axId val="518897024"/>
      </c:scatterChart>
      <c:valAx>
        <c:axId val="518895488"/>
        <c:scaling>
          <c:orientation val="minMax"/>
        </c:scaling>
        <c:delete val="0"/>
        <c:axPos val="b"/>
        <c:numFmt formatCode="0" sourceLinked="0"/>
        <c:majorTickMark val="out"/>
        <c:minorTickMark val="none"/>
        <c:tickLblPos val="nextTo"/>
        <c:crossAx val="518897024"/>
        <c:crosses val="autoZero"/>
        <c:crossBetween val="midCat"/>
      </c:valAx>
      <c:valAx>
        <c:axId val="518897024"/>
        <c:scaling>
          <c:orientation val="minMax"/>
        </c:scaling>
        <c:delete val="0"/>
        <c:axPos val="l"/>
        <c:majorGridlines/>
        <c:numFmt formatCode="0.00" sourceLinked="1"/>
        <c:majorTickMark val="out"/>
        <c:minorTickMark val="none"/>
        <c:tickLblPos val="nextTo"/>
        <c:crossAx val="518895488"/>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xVal>
            <c:numRef>
              <c:f>Baseline!$A$275:$A$285</c:f>
              <c:numCache>
                <c:formatCode>0.00</c:formatCode>
                <c:ptCount val="11"/>
                <c:pt idx="0">
                  <c:v>-56.9058788127074</c:v>
                </c:pt>
                <c:pt idx="1">
                  <c:v>-33.387746159817397</c:v>
                </c:pt>
                <c:pt idx="2">
                  <c:v>-9.3601744294780893</c:v>
                </c:pt>
                <c:pt idx="3">
                  <c:v>15.1591449142802</c:v>
                </c:pt>
                <c:pt idx="4">
                  <c:v>37.381477333595498</c:v>
                </c:pt>
                <c:pt idx="5">
                  <c:v>62.663678760894598</c:v>
                </c:pt>
                <c:pt idx="6">
                  <c:v>86.082845729492504</c:v>
                </c:pt>
                <c:pt idx="7">
                  <c:v>111.90841165136</c:v>
                </c:pt>
                <c:pt idx="8">
                  <c:v>134.28081895348899</c:v>
                </c:pt>
                <c:pt idx="9">
                  <c:v>160.877956975899</c:v>
                </c:pt>
                <c:pt idx="10">
                  <c:v>183.233073537423</c:v>
                </c:pt>
              </c:numCache>
            </c:numRef>
          </c:xVal>
          <c:yVal>
            <c:numRef>
              <c:f>Baseline!$G$275:$G$285</c:f>
              <c:numCache>
                <c:formatCode>0.00</c:formatCode>
                <c:ptCount val="11"/>
                <c:pt idx="0">
                  <c:v>1.8301087366494606</c:v>
                </c:pt>
                <c:pt idx="1">
                  <c:v>3.4070806667749864</c:v>
                </c:pt>
                <c:pt idx="2">
                  <c:v>8.6866820253213799</c:v>
                </c:pt>
                <c:pt idx="3">
                  <c:v>18.623371498250151</c:v>
                </c:pt>
                <c:pt idx="4">
                  <c:v>30.174218473375369</c:v>
                </c:pt>
                <c:pt idx="5">
                  <c:v>38.016294907704427</c:v>
                </c:pt>
                <c:pt idx="6">
                  <c:v>42.414665854834354</c:v>
                </c:pt>
                <c:pt idx="7">
                  <c:v>42.852394616922126</c:v>
                </c:pt>
                <c:pt idx="8">
                  <c:v>44.798998302592217</c:v>
                </c:pt>
                <c:pt idx="9">
                  <c:v>41.969116557867217</c:v>
                </c:pt>
                <c:pt idx="10">
                  <c:v>48.614261930598261</c:v>
                </c:pt>
              </c:numCache>
            </c:numRef>
          </c:yVal>
          <c:smooth val="1"/>
        </c:ser>
        <c:ser>
          <c:idx val="1"/>
          <c:order val="1"/>
          <c:xVal>
            <c:numRef>
              <c:f>Baseline!$A$275:$A$285</c:f>
              <c:numCache>
                <c:formatCode>0.00</c:formatCode>
                <c:ptCount val="11"/>
                <c:pt idx="0">
                  <c:v>-56.9058788127074</c:v>
                </c:pt>
                <c:pt idx="1">
                  <c:v>-33.387746159817397</c:v>
                </c:pt>
                <c:pt idx="2">
                  <c:v>-9.3601744294780893</c:v>
                </c:pt>
                <c:pt idx="3">
                  <c:v>15.1591449142802</c:v>
                </c:pt>
                <c:pt idx="4">
                  <c:v>37.381477333595498</c:v>
                </c:pt>
                <c:pt idx="5">
                  <c:v>62.663678760894598</c:v>
                </c:pt>
                <c:pt idx="6">
                  <c:v>86.082845729492504</c:v>
                </c:pt>
                <c:pt idx="7">
                  <c:v>111.90841165136</c:v>
                </c:pt>
                <c:pt idx="8">
                  <c:v>134.28081895348899</c:v>
                </c:pt>
                <c:pt idx="9">
                  <c:v>160.877956975899</c:v>
                </c:pt>
                <c:pt idx="10">
                  <c:v>183.233073537423</c:v>
                </c:pt>
              </c:numCache>
            </c:numRef>
          </c:xVal>
          <c:yVal>
            <c:numRef>
              <c:f>Baseline!$H$275:$H$285</c:f>
              <c:numCache>
                <c:formatCode>0.00</c:formatCode>
                <c:ptCount val="11"/>
                <c:pt idx="0">
                  <c:v>5.4828453463806941</c:v>
                </c:pt>
                <c:pt idx="1">
                  <c:v>7.116093152816461</c:v>
                </c:pt>
                <c:pt idx="2">
                  <c:v>12.988458780187507</c:v>
                </c:pt>
                <c:pt idx="3">
                  <c:v>18.200422385994763</c:v>
                </c:pt>
                <c:pt idx="4">
                  <c:v>24.948252515567503</c:v>
                </c:pt>
                <c:pt idx="5">
                  <c:v>31.680981536935938</c:v>
                </c:pt>
                <c:pt idx="6">
                  <c:v>36.520843547049672</c:v>
                </c:pt>
                <c:pt idx="7">
                  <c:v>40.520985823687106</c:v>
                </c:pt>
                <c:pt idx="8">
                  <c:v>44.079486340897233</c:v>
                </c:pt>
                <c:pt idx="9">
                  <c:v>46.605469626008542</c:v>
                </c:pt>
                <c:pt idx="10">
                  <c:v>50.658989222407612</c:v>
                </c:pt>
              </c:numCache>
            </c:numRef>
          </c:yVal>
          <c:smooth val="1"/>
        </c:ser>
        <c:ser>
          <c:idx val="2"/>
          <c:order val="2"/>
          <c:xVal>
            <c:numRef>
              <c:f>Baseline!$A$275:$A$285</c:f>
              <c:numCache>
                <c:formatCode>0.00</c:formatCode>
                <c:ptCount val="11"/>
                <c:pt idx="0">
                  <c:v>-56.9058788127074</c:v>
                </c:pt>
                <c:pt idx="1">
                  <c:v>-33.387746159817397</c:v>
                </c:pt>
                <c:pt idx="2">
                  <c:v>-9.3601744294780893</c:v>
                </c:pt>
                <c:pt idx="3">
                  <c:v>15.1591449142802</c:v>
                </c:pt>
                <c:pt idx="4">
                  <c:v>37.381477333595498</c:v>
                </c:pt>
                <c:pt idx="5">
                  <c:v>62.663678760894598</c:v>
                </c:pt>
                <c:pt idx="6">
                  <c:v>86.082845729492504</c:v>
                </c:pt>
                <c:pt idx="7">
                  <c:v>111.90841165136</c:v>
                </c:pt>
                <c:pt idx="8">
                  <c:v>134.28081895348899</c:v>
                </c:pt>
                <c:pt idx="9">
                  <c:v>160.877956975899</c:v>
                </c:pt>
                <c:pt idx="10">
                  <c:v>183.233073537423</c:v>
                </c:pt>
              </c:numCache>
            </c:numRef>
          </c:xVal>
          <c:yVal>
            <c:numRef>
              <c:f>Baseline!$O$275:$O$285</c:f>
              <c:numCache>
                <c:formatCode>0.00</c:formatCode>
                <c:ptCount val="11"/>
                <c:pt idx="0">
                  <c:v>5.4828453463806941</c:v>
                </c:pt>
                <c:pt idx="1">
                  <c:v>7.116093152816461</c:v>
                </c:pt>
                <c:pt idx="2">
                  <c:v>12.988458780187507</c:v>
                </c:pt>
                <c:pt idx="3">
                  <c:v>18.200422385994763</c:v>
                </c:pt>
                <c:pt idx="4">
                  <c:v>26.419927709652779</c:v>
                </c:pt>
                <c:pt idx="5">
                  <c:v>36.424509454651819</c:v>
                </c:pt>
                <c:pt idx="6">
                  <c:v>42.568998964803761</c:v>
                </c:pt>
                <c:pt idx="7">
                  <c:v>45.188770501834256</c:v>
                </c:pt>
                <c:pt idx="8">
                  <c:v>47.042453424526855</c:v>
                </c:pt>
                <c:pt idx="9">
                  <c:v>48.1488847630553</c:v>
                </c:pt>
                <c:pt idx="10">
                  <c:v>50.985354461582347</c:v>
                </c:pt>
              </c:numCache>
            </c:numRef>
          </c:yVal>
          <c:smooth val="1"/>
        </c:ser>
        <c:dLbls>
          <c:showLegendKey val="0"/>
          <c:showVal val="0"/>
          <c:showCatName val="0"/>
          <c:showSerName val="0"/>
          <c:showPercent val="0"/>
          <c:showBubbleSize val="0"/>
        </c:dLbls>
        <c:axId val="519351680"/>
        <c:axId val="519390336"/>
      </c:scatterChart>
      <c:valAx>
        <c:axId val="519351680"/>
        <c:scaling>
          <c:orientation val="minMax"/>
        </c:scaling>
        <c:delete val="0"/>
        <c:axPos val="b"/>
        <c:numFmt formatCode="0" sourceLinked="0"/>
        <c:majorTickMark val="out"/>
        <c:minorTickMark val="none"/>
        <c:tickLblPos val="nextTo"/>
        <c:crossAx val="519390336"/>
        <c:crosses val="autoZero"/>
        <c:crossBetween val="midCat"/>
      </c:valAx>
      <c:valAx>
        <c:axId val="519390336"/>
        <c:scaling>
          <c:orientation val="minMax"/>
        </c:scaling>
        <c:delete val="0"/>
        <c:axPos val="l"/>
        <c:majorGridlines/>
        <c:numFmt formatCode="0.00" sourceLinked="1"/>
        <c:majorTickMark val="out"/>
        <c:minorTickMark val="none"/>
        <c:tickLblPos val="nextTo"/>
        <c:crossAx val="519351680"/>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xVal>
            <c:numRef>
              <c:f>Baseline!$A$323:$A$333</c:f>
              <c:numCache>
                <c:formatCode>0.00</c:formatCode>
                <c:ptCount val="11"/>
                <c:pt idx="0">
                  <c:v>-83.452033435034593</c:v>
                </c:pt>
                <c:pt idx="1">
                  <c:v>-57.932898037517504</c:v>
                </c:pt>
                <c:pt idx="2">
                  <c:v>-32.3134018442613</c:v>
                </c:pt>
                <c:pt idx="3">
                  <c:v>-8.5263263960701394</c:v>
                </c:pt>
                <c:pt idx="4">
                  <c:v>15.6085089959707</c:v>
                </c:pt>
                <c:pt idx="5">
                  <c:v>38.013826345629099</c:v>
                </c:pt>
                <c:pt idx="6">
                  <c:v>61.818098269145203</c:v>
                </c:pt>
                <c:pt idx="7">
                  <c:v>86.110873117962697</c:v>
                </c:pt>
                <c:pt idx="8">
                  <c:v>111.23497696885499</c:v>
                </c:pt>
                <c:pt idx="9">
                  <c:v>134.98955507538901</c:v>
                </c:pt>
                <c:pt idx="10">
                  <c:v>159.207056068414</c:v>
                </c:pt>
              </c:numCache>
            </c:numRef>
          </c:xVal>
          <c:yVal>
            <c:numRef>
              <c:f>Baseline!$G$323:$G$333</c:f>
              <c:numCache>
                <c:formatCode>0.00</c:formatCode>
                <c:ptCount val="11"/>
                <c:pt idx="0">
                  <c:v>12.107776852550668</c:v>
                </c:pt>
                <c:pt idx="1">
                  <c:v>27.432197884991893</c:v>
                </c:pt>
                <c:pt idx="2">
                  <c:v>2.6971999783365286</c:v>
                </c:pt>
                <c:pt idx="3">
                  <c:v>10.270991707432175</c:v>
                </c:pt>
                <c:pt idx="4">
                  <c:v>18.571484040300057</c:v>
                </c:pt>
                <c:pt idx="5">
                  <c:v>30.160270358457154</c:v>
                </c:pt>
                <c:pt idx="6">
                  <c:v>40.148690228741756</c:v>
                </c:pt>
                <c:pt idx="7">
                  <c:v>42.720470590534674</c:v>
                </c:pt>
                <c:pt idx="8">
                  <c:v>43.680267125954742</c:v>
                </c:pt>
                <c:pt idx="9">
                  <c:v>42.101363524771784</c:v>
                </c:pt>
                <c:pt idx="10">
                  <c:v>43.882881380966985</c:v>
                </c:pt>
              </c:numCache>
            </c:numRef>
          </c:yVal>
          <c:smooth val="1"/>
        </c:ser>
        <c:ser>
          <c:idx val="1"/>
          <c:order val="1"/>
          <c:xVal>
            <c:numRef>
              <c:f>Baseline!$A$323:$A$333</c:f>
              <c:numCache>
                <c:formatCode>0.00</c:formatCode>
                <c:ptCount val="11"/>
                <c:pt idx="0">
                  <c:v>-83.452033435034593</c:v>
                </c:pt>
                <c:pt idx="1">
                  <c:v>-57.932898037517504</c:v>
                </c:pt>
                <c:pt idx="2">
                  <c:v>-32.3134018442613</c:v>
                </c:pt>
                <c:pt idx="3">
                  <c:v>-8.5263263960701394</c:v>
                </c:pt>
                <c:pt idx="4">
                  <c:v>15.6085089959707</c:v>
                </c:pt>
                <c:pt idx="5">
                  <c:v>38.013826345629099</c:v>
                </c:pt>
                <c:pt idx="6">
                  <c:v>61.818098269145203</c:v>
                </c:pt>
                <c:pt idx="7">
                  <c:v>86.110873117962697</c:v>
                </c:pt>
                <c:pt idx="8">
                  <c:v>111.23497696885499</c:v>
                </c:pt>
                <c:pt idx="9">
                  <c:v>134.98955507538901</c:v>
                </c:pt>
                <c:pt idx="10">
                  <c:v>159.207056068414</c:v>
                </c:pt>
              </c:numCache>
            </c:numRef>
          </c:xVal>
          <c:yVal>
            <c:numRef>
              <c:f>Baseline!$H$323:$H$333</c:f>
              <c:numCache>
                <c:formatCode>0.00</c:formatCode>
                <c:ptCount val="11"/>
                <c:pt idx="0">
                  <c:v>11.438618875231787</c:v>
                </c:pt>
                <c:pt idx="1">
                  <c:v>12.059896701386396</c:v>
                </c:pt>
                <c:pt idx="2">
                  <c:v>7.2708026310271512</c:v>
                </c:pt>
                <c:pt idx="3">
                  <c:v>11.262956405107005</c:v>
                </c:pt>
                <c:pt idx="4">
                  <c:v>15.251656493630605</c:v>
                </c:pt>
                <c:pt idx="5">
                  <c:v>20.941645700215982</c:v>
                </c:pt>
                <c:pt idx="6">
                  <c:v>27.198589748751012</c:v>
                </c:pt>
                <c:pt idx="7">
                  <c:v>31.732289571093762</c:v>
                </c:pt>
                <c:pt idx="8">
                  <c:v>34.991074202328207</c:v>
                </c:pt>
                <c:pt idx="9">
                  <c:v>38.024420015761763</c:v>
                </c:pt>
                <c:pt idx="10">
                  <c:v>40.902299300299994</c:v>
                </c:pt>
              </c:numCache>
            </c:numRef>
          </c:yVal>
          <c:smooth val="1"/>
        </c:ser>
        <c:ser>
          <c:idx val="2"/>
          <c:order val="2"/>
          <c:xVal>
            <c:numRef>
              <c:f>Baseline!$A$323:$A$333</c:f>
              <c:numCache>
                <c:formatCode>0.00</c:formatCode>
                <c:ptCount val="11"/>
                <c:pt idx="0">
                  <c:v>-83.452033435034593</c:v>
                </c:pt>
                <c:pt idx="1">
                  <c:v>-57.932898037517504</c:v>
                </c:pt>
                <c:pt idx="2">
                  <c:v>-32.3134018442613</c:v>
                </c:pt>
                <c:pt idx="3">
                  <c:v>-8.5263263960701394</c:v>
                </c:pt>
                <c:pt idx="4">
                  <c:v>15.6085089959707</c:v>
                </c:pt>
                <c:pt idx="5">
                  <c:v>38.013826345629099</c:v>
                </c:pt>
                <c:pt idx="6">
                  <c:v>61.818098269145203</c:v>
                </c:pt>
                <c:pt idx="7">
                  <c:v>86.110873117962697</c:v>
                </c:pt>
                <c:pt idx="8">
                  <c:v>111.23497696885499</c:v>
                </c:pt>
                <c:pt idx="9">
                  <c:v>134.98955507538901</c:v>
                </c:pt>
                <c:pt idx="10">
                  <c:v>159.207056068414</c:v>
                </c:pt>
              </c:numCache>
            </c:numRef>
          </c:xVal>
          <c:yVal>
            <c:numRef>
              <c:f>Baseline!$O$323:$O$333</c:f>
              <c:numCache>
                <c:formatCode>0.00</c:formatCode>
                <c:ptCount val="11"/>
                <c:pt idx="0">
                  <c:v>11.438618875231787</c:v>
                </c:pt>
                <c:pt idx="1">
                  <c:v>12.059896701386396</c:v>
                </c:pt>
                <c:pt idx="2">
                  <c:v>7.2708026310271512</c:v>
                </c:pt>
                <c:pt idx="3">
                  <c:v>11.262956405107005</c:v>
                </c:pt>
                <c:pt idx="4">
                  <c:v>15.251656493630605</c:v>
                </c:pt>
                <c:pt idx="5">
                  <c:v>22.165000071764208</c:v>
                </c:pt>
                <c:pt idx="6">
                  <c:v>31.320244073374461</c:v>
                </c:pt>
                <c:pt idx="7">
                  <c:v>37.11683731479544</c:v>
                </c:pt>
                <c:pt idx="8">
                  <c:v>39.168404005647226</c:v>
                </c:pt>
                <c:pt idx="9">
                  <c:v>40.686846204191504</c:v>
                </c:pt>
                <c:pt idx="10">
                  <c:v>42.321785307971027</c:v>
                </c:pt>
              </c:numCache>
            </c:numRef>
          </c:yVal>
          <c:smooth val="1"/>
        </c:ser>
        <c:dLbls>
          <c:showLegendKey val="0"/>
          <c:showVal val="0"/>
          <c:showCatName val="0"/>
          <c:showSerName val="0"/>
          <c:showPercent val="0"/>
          <c:showBubbleSize val="0"/>
        </c:dLbls>
        <c:axId val="520390912"/>
        <c:axId val="520393088"/>
      </c:scatterChart>
      <c:valAx>
        <c:axId val="520390912"/>
        <c:scaling>
          <c:orientation val="minMax"/>
        </c:scaling>
        <c:delete val="0"/>
        <c:axPos val="b"/>
        <c:numFmt formatCode="0" sourceLinked="0"/>
        <c:majorTickMark val="out"/>
        <c:minorTickMark val="none"/>
        <c:tickLblPos val="nextTo"/>
        <c:crossAx val="520393088"/>
        <c:crosses val="autoZero"/>
        <c:crossBetween val="midCat"/>
      </c:valAx>
      <c:valAx>
        <c:axId val="520393088"/>
        <c:scaling>
          <c:orientation val="minMax"/>
        </c:scaling>
        <c:delete val="0"/>
        <c:axPos val="l"/>
        <c:majorGridlines/>
        <c:numFmt formatCode="0.00" sourceLinked="1"/>
        <c:majorTickMark val="out"/>
        <c:minorTickMark val="none"/>
        <c:tickLblPos val="nextTo"/>
        <c:crossAx val="520390912"/>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xVal>
            <c:numRef>
              <c:f>Baseline!$A$371:$A$381</c:f>
              <c:numCache>
                <c:formatCode>0.00</c:formatCode>
                <c:ptCount val="11"/>
                <c:pt idx="0">
                  <c:v>-58.362227838696299</c:v>
                </c:pt>
                <c:pt idx="1">
                  <c:v>-33.5047409308822</c:v>
                </c:pt>
                <c:pt idx="2">
                  <c:v>-8.3611912096424508</c:v>
                </c:pt>
                <c:pt idx="3">
                  <c:v>15.3277209750925</c:v>
                </c:pt>
                <c:pt idx="4">
                  <c:v>38.111712213331302</c:v>
                </c:pt>
                <c:pt idx="5">
                  <c:v>62.972851251297797</c:v>
                </c:pt>
                <c:pt idx="6">
                  <c:v>86.340781994112504</c:v>
                </c:pt>
                <c:pt idx="7">
                  <c:v>111.620461991638</c:v>
                </c:pt>
                <c:pt idx="8">
                  <c:v>134.928554450935</c:v>
                </c:pt>
                <c:pt idx="9">
                  <c:v>160.59355514797099</c:v>
                </c:pt>
                <c:pt idx="10">
                  <c:v>182.55437546943199</c:v>
                </c:pt>
              </c:numCache>
            </c:numRef>
          </c:xVal>
          <c:yVal>
            <c:numRef>
              <c:f>Baseline!$G$371:$G$381</c:f>
              <c:numCache>
                <c:formatCode>0.00</c:formatCode>
                <c:ptCount val="11"/>
                <c:pt idx="0">
                  <c:v>8.845266053677193</c:v>
                </c:pt>
                <c:pt idx="1">
                  <c:v>6.1091154215680232</c:v>
                </c:pt>
                <c:pt idx="2">
                  <c:v>7.5476108074383212</c:v>
                </c:pt>
                <c:pt idx="3">
                  <c:v>11.798006158275431</c:v>
                </c:pt>
                <c:pt idx="4">
                  <c:v>17.55946068188581</c:v>
                </c:pt>
                <c:pt idx="5">
                  <c:v>25.675999419036689</c:v>
                </c:pt>
                <c:pt idx="6">
                  <c:v>31.506262362421911</c:v>
                </c:pt>
                <c:pt idx="7">
                  <c:v>35.203065759167515</c:v>
                </c:pt>
                <c:pt idx="8">
                  <c:v>35.29394411836855</c:v>
                </c:pt>
                <c:pt idx="9">
                  <c:v>34.087346563707968</c:v>
                </c:pt>
                <c:pt idx="10">
                  <c:v>33.665359871941824</c:v>
                </c:pt>
              </c:numCache>
            </c:numRef>
          </c:yVal>
          <c:smooth val="1"/>
        </c:ser>
        <c:ser>
          <c:idx val="1"/>
          <c:order val="1"/>
          <c:xVal>
            <c:numRef>
              <c:f>Baseline!$A$371:$A$381</c:f>
              <c:numCache>
                <c:formatCode>0.00</c:formatCode>
                <c:ptCount val="11"/>
                <c:pt idx="0">
                  <c:v>-58.362227838696299</c:v>
                </c:pt>
                <c:pt idx="1">
                  <c:v>-33.5047409308822</c:v>
                </c:pt>
                <c:pt idx="2">
                  <c:v>-8.3611912096424508</c:v>
                </c:pt>
                <c:pt idx="3">
                  <c:v>15.3277209750925</c:v>
                </c:pt>
                <c:pt idx="4">
                  <c:v>38.111712213331302</c:v>
                </c:pt>
                <c:pt idx="5">
                  <c:v>62.972851251297797</c:v>
                </c:pt>
                <c:pt idx="6">
                  <c:v>86.340781994112504</c:v>
                </c:pt>
                <c:pt idx="7">
                  <c:v>111.620461991638</c:v>
                </c:pt>
                <c:pt idx="8">
                  <c:v>134.928554450935</c:v>
                </c:pt>
                <c:pt idx="9">
                  <c:v>160.59355514797099</c:v>
                </c:pt>
                <c:pt idx="10">
                  <c:v>182.55437546943199</c:v>
                </c:pt>
              </c:numCache>
            </c:numRef>
          </c:xVal>
          <c:yVal>
            <c:numRef>
              <c:f>Baseline!$H$371:$H$381</c:f>
              <c:numCache>
                <c:formatCode>0.00</c:formatCode>
                <c:ptCount val="11"/>
                <c:pt idx="0">
                  <c:v>5.2610779618120436</c:v>
                </c:pt>
                <c:pt idx="1">
                  <c:v>6.8276621405041986</c:v>
                </c:pt>
                <c:pt idx="2">
                  <c:v>11.520526968644662</c:v>
                </c:pt>
                <c:pt idx="3">
                  <c:v>15.652090026839428</c:v>
                </c:pt>
                <c:pt idx="4">
                  <c:v>21.237172001408023</c:v>
                </c:pt>
                <c:pt idx="5">
                  <c:v>27.246806957521674</c:v>
                </c:pt>
                <c:pt idx="6">
                  <c:v>31.991299325873999</c:v>
                </c:pt>
                <c:pt idx="7">
                  <c:v>35.573415758923652</c:v>
                </c:pt>
                <c:pt idx="8">
                  <c:v>38.711316333769375</c:v>
                </c:pt>
                <c:pt idx="9">
                  <c:v>41.047275344615464</c:v>
                </c:pt>
                <c:pt idx="10">
                  <c:v>43.706702291598717</c:v>
                </c:pt>
              </c:numCache>
            </c:numRef>
          </c:yVal>
          <c:smooth val="1"/>
        </c:ser>
        <c:ser>
          <c:idx val="2"/>
          <c:order val="2"/>
          <c:xVal>
            <c:numRef>
              <c:f>Baseline!$A$371:$A$381</c:f>
              <c:numCache>
                <c:formatCode>0.00</c:formatCode>
                <c:ptCount val="11"/>
                <c:pt idx="0">
                  <c:v>-58.362227838696299</c:v>
                </c:pt>
                <c:pt idx="1">
                  <c:v>-33.5047409308822</c:v>
                </c:pt>
                <c:pt idx="2">
                  <c:v>-8.3611912096424508</c:v>
                </c:pt>
                <c:pt idx="3">
                  <c:v>15.3277209750925</c:v>
                </c:pt>
                <c:pt idx="4">
                  <c:v>38.111712213331302</c:v>
                </c:pt>
                <c:pt idx="5">
                  <c:v>62.972851251297797</c:v>
                </c:pt>
                <c:pt idx="6">
                  <c:v>86.340781994112504</c:v>
                </c:pt>
                <c:pt idx="7">
                  <c:v>111.620461991638</c:v>
                </c:pt>
                <c:pt idx="8">
                  <c:v>134.928554450935</c:v>
                </c:pt>
                <c:pt idx="9">
                  <c:v>160.59355514797099</c:v>
                </c:pt>
                <c:pt idx="10">
                  <c:v>182.55437546943199</c:v>
                </c:pt>
              </c:numCache>
            </c:numRef>
          </c:xVal>
          <c:yVal>
            <c:numRef>
              <c:f>Baseline!$O$371:$O$381</c:f>
              <c:numCache>
                <c:formatCode>0.00</c:formatCode>
                <c:ptCount val="11"/>
                <c:pt idx="0">
                  <c:v>5.2610779618120436</c:v>
                </c:pt>
                <c:pt idx="1">
                  <c:v>6.8276621405041986</c:v>
                </c:pt>
                <c:pt idx="2">
                  <c:v>11.520526968644662</c:v>
                </c:pt>
                <c:pt idx="3">
                  <c:v>15.652090026839428</c:v>
                </c:pt>
                <c:pt idx="4">
                  <c:v>22.478341813289592</c:v>
                </c:pt>
                <c:pt idx="5">
                  <c:v>31.355371248560836</c:v>
                </c:pt>
                <c:pt idx="6">
                  <c:v>37.394695999028293</c:v>
                </c:pt>
                <c:pt idx="7">
                  <c:v>39.78467461003158</c:v>
                </c:pt>
                <c:pt idx="8">
                  <c:v>41.394280829530302</c:v>
                </c:pt>
                <c:pt idx="9">
                  <c:v>42.45855663766315</c:v>
                </c:pt>
                <c:pt idx="10">
                  <c:v>44.004126949118593</c:v>
                </c:pt>
              </c:numCache>
            </c:numRef>
          </c:yVal>
          <c:smooth val="1"/>
        </c:ser>
        <c:dLbls>
          <c:showLegendKey val="0"/>
          <c:showVal val="0"/>
          <c:showCatName val="0"/>
          <c:showSerName val="0"/>
          <c:showPercent val="0"/>
          <c:showBubbleSize val="0"/>
        </c:dLbls>
        <c:axId val="522628096"/>
        <c:axId val="522646656"/>
      </c:scatterChart>
      <c:valAx>
        <c:axId val="522628096"/>
        <c:scaling>
          <c:orientation val="minMax"/>
        </c:scaling>
        <c:delete val="0"/>
        <c:axPos val="b"/>
        <c:numFmt formatCode="0" sourceLinked="0"/>
        <c:majorTickMark val="out"/>
        <c:minorTickMark val="none"/>
        <c:tickLblPos val="nextTo"/>
        <c:crossAx val="522646656"/>
        <c:crosses val="autoZero"/>
        <c:crossBetween val="midCat"/>
      </c:valAx>
      <c:valAx>
        <c:axId val="522646656"/>
        <c:scaling>
          <c:orientation val="minMax"/>
        </c:scaling>
        <c:delete val="0"/>
        <c:axPos val="l"/>
        <c:majorGridlines/>
        <c:numFmt formatCode="0.00" sourceLinked="1"/>
        <c:majorTickMark val="out"/>
        <c:minorTickMark val="none"/>
        <c:tickLblPos val="nextTo"/>
        <c:crossAx val="522628096"/>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Baseline!$D$392</c:f>
              <c:strCache>
                <c:ptCount val="1"/>
                <c:pt idx="0">
                  <c:v>Broker</c:v>
                </c:pt>
              </c:strCache>
            </c:strRef>
          </c:tx>
          <c:marker>
            <c:symbol val="none"/>
          </c:marker>
          <c:cat>
            <c:strRef>
              <c:f>Baseline!$C$393:$C$405</c:f>
              <c:strCache>
                <c:ptCount val="13"/>
                <c:pt idx="0">
                  <c:v>04:-125--100</c:v>
                </c:pt>
                <c:pt idx="1">
                  <c:v>05:-100--75</c:v>
                </c:pt>
                <c:pt idx="2">
                  <c:v>06:-75--50</c:v>
                </c:pt>
                <c:pt idx="3">
                  <c:v>07:-50--25</c:v>
                </c:pt>
                <c:pt idx="4">
                  <c:v>08:-25-0</c:v>
                </c:pt>
                <c:pt idx="5">
                  <c:v>09:0-25</c:v>
                </c:pt>
                <c:pt idx="6">
                  <c:v>10:25-50</c:v>
                </c:pt>
                <c:pt idx="7">
                  <c:v>11:50-75</c:v>
                </c:pt>
                <c:pt idx="8">
                  <c:v>12:75-100</c:v>
                </c:pt>
                <c:pt idx="9">
                  <c:v>13:100-125</c:v>
                </c:pt>
                <c:pt idx="10">
                  <c:v>14:125-150</c:v>
                </c:pt>
                <c:pt idx="11">
                  <c:v>15:150-175</c:v>
                </c:pt>
                <c:pt idx="12">
                  <c:v>16:175-200</c:v>
                </c:pt>
              </c:strCache>
            </c:strRef>
          </c:cat>
          <c:val>
            <c:numRef>
              <c:f>Baseline!$D$393:$D$405</c:f>
              <c:numCache>
                <c:formatCode>General</c:formatCode>
                <c:ptCount val="13"/>
                <c:pt idx="0">
                  <c:v>#N/A</c:v>
                </c:pt>
                <c:pt idx="1">
                  <c:v>#N/A</c:v>
                </c:pt>
                <c:pt idx="2">
                  <c:v>3.4080264717968878</c:v>
                </c:pt>
                <c:pt idx="3">
                  <c:v>2.6756425653229554</c:v>
                </c:pt>
                <c:pt idx="4">
                  <c:v>14.515442637879495</c:v>
                </c:pt>
                <c:pt idx="5">
                  <c:v>27.05031859673861</c:v>
                </c:pt>
                <c:pt idx="6">
                  <c:v>39.513548144822266</c:v>
                </c:pt>
                <c:pt idx="7">
                  <c:v>47.214702074901403</c:v>
                </c:pt>
                <c:pt idx="8">
                  <c:v>45.766741434565049</c:v>
                </c:pt>
                <c:pt idx="9">
                  <c:v>45.909203181044674</c:v>
                </c:pt>
                <c:pt idx="10">
                  <c:v>46.476872003021043</c:v>
                </c:pt>
                <c:pt idx="11">
                  <c:v>44.242835662966016</c:v>
                </c:pt>
                <c:pt idx="12">
                  <c:v>53.130436470808448</c:v>
                </c:pt>
              </c:numCache>
            </c:numRef>
          </c:val>
          <c:smooth val="0"/>
        </c:ser>
        <c:ser>
          <c:idx val="1"/>
          <c:order val="1"/>
          <c:tx>
            <c:strRef>
              <c:f>Baseline!$E$392</c:f>
              <c:strCache>
                <c:ptCount val="1"/>
                <c:pt idx="0">
                  <c:v>CORRES</c:v>
                </c:pt>
              </c:strCache>
            </c:strRef>
          </c:tx>
          <c:marker>
            <c:symbol val="none"/>
          </c:marker>
          <c:cat>
            <c:strRef>
              <c:f>Baseline!$C$393:$C$405</c:f>
              <c:strCache>
                <c:ptCount val="13"/>
                <c:pt idx="0">
                  <c:v>04:-125--100</c:v>
                </c:pt>
                <c:pt idx="1">
                  <c:v>05:-100--75</c:v>
                </c:pt>
                <c:pt idx="2">
                  <c:v>06:-75--50</c:v>
                </c:pt>
                <c:pt idx="3">
                  <c:v>07:-50--25</c:v>
                </c:pt>
                <c:pt idx="4">
                  <c:v>08:-25-0</c:v>
                </c:pt>
                <c:pt idx="5">
                  <c:v>09:0-25</c:v>
                </c:pt>
                <c:pt idx="6">
                  <c:v>10:25-50</c:v>
                </c:pt>
                <c:pt idx="7">
                  <c:v>11:50-75</c:v>
                </c:pt>
                <c:pt idx="8">
                  <c:v>12:75-100</c:v>
                </c:pt>
                <c:pt idx="9">
                  <c:v>13:100-125</c:v>
                </c:pt>
                <c:pt idx="10">
                  <c:v>14:125-150</c:v>
                </c:pt>
                <c:pt idx="11">
                  <c:v>15:150-175</c:v>
                </c:pt>
                <c:pt idx="12">
                  <c:v>16:175-200</c:v>
                </c:pt>
              </c:strCache>
            </c:strRef>
          </c:cat>
          <c:val>
            <c:numRef>
              <c:f>Baseline!$E$393:$E$405</c:f>
              <c:numCache>
                <c:formatCode>General</c:formatCode>
                <c:ptCount val="13"/>
                <c:pt idx="0">
                  <c:v>1.2100204682674587E-5</c:v>
                </c:pt>
                <c:pt idx="1">
                  <c:v>7.9358739953947595</c:v>
                </c:pt>
                <c:pt idx="2">
                  <c:v>1.8301087366494606</c:v>
                </c:pt>
                <c:pt idx="3">
                  <c:v>3.4070806667749864</c:v>
                </c:pt>
                <c:pt idx="4">
                  <c:v>8.6866820253213799</c:v>
                </c:pt>
                <c:pt idx="5">
                  <c:v>18.623371498250151</c:v>
                </c:pt>
                <c:pt idx="6">
                  <c:v>30.174218473375369</c:v>
                </c:pt>
                <c:pt idx="7">
                  <c:v>38.016294907704427</c:v>
                </c:pt>
                <c:pt idx="8">
                  <c:v>42.414665854834354</c:v>
                </c:pt>
                <c:pt idx="9">
                  <c:v>42.852394616922126</c:v>
                </c:pt>
                <c:pt idx="10">
                  <c:v>44.798998302592217</c:v>
                </c:pt>
                <c:pt idx="11">
                  <c:v>41.969116557867217</c:v>
                </c:pt>
                <c:pt idx="12">
                  <c:v>48.614261930598261</c:v>
                </c:pt>
              </c:numCache>
            </c:numRef>
          </c:val>
          <c:smooth val="0"/>
        </c:ser>
        <c:ser>
          <c:idx val="2"/>
          <c:order val="2"/>
          <c:tx>
            <c:strRef>
              <c:f>Baseline!$F$392</c:f>
              <c:strCache>
                <c:ptCount val="1"/>
                <c:pt idx="0">
                  <c:v>CashWindow</c:v>
                </c:pt>
              </c:strCache>
            </c:strRef>
          </c:tx>
          <c:marker>
            <c:symbol val="none"/>
          </c:marker>
          <c:cat>
            <c:strRef>
              <c:f>Baseline!$C$393:$C$405</c:f>
              <c:strCache>
                <c:ptCount val="13"/>
                <c:pt idx="0">
                  <c:v>04:-125--100</c:v>
                </c:pt>
                <c:pt idx="1">
                  <c:v>05:-100--75</c:v>
                </c:pt>
                <c:pt idx="2">
                  <c:v>06:-75--50</c:v>
                </c:pt>
                <c:pt idx="3">
                  <c:v>07:-50--25</c:v>
                </c:pt>
                <c:pt idx="4">
                  <c:v>08:-25-0</c:v>
                </c:pt>
                <c:pt idx="5">
                  <c:v>09:0-25</c:v>
                </c:pt>
                <c:pt idx="6">
                  <c:v>10:25-50</c:v>
                </c:pt>
                <c:pt idx="7">
                  <c:v>11:50-75</c:v>
                </c:pt>
                <c:pt idx="8">
                  <c:v>12:75-100</c:v>
                </c:pt>
                <c:pt idx="9">
                  <c:v>13:100-125</c:v>
                </c:pt>
                <c:pt idx="10">
                  <c:v>14:125-150</c:v>
                </c:pt>
                <c:pt idx="11">
                  <c:v>15:150-175</c:v>
                </c:pt>
                <c:pt idx="12">
                  <c:v>16:175-200</c:v>
                </c:pt>
              </c:strCache>
            </c:strRef>
          </c:cat>
          <c:val>
            <c:numRef>
              <c:f>Baseline!$F$393:$F$405</c:f>
              <c:numCache>
                <c:formatCode>General</c:formatCode>
                <c:ptCount val="13"/>
                <c:pt idx="0">
                  <c:v>0</c:v>
                </c:pt>
                <c:pt idx="1">
                  <c:v>12.107776852550668</c:v>
                </c:pt>
                <c:pt idx="2">
                  <c:v>27.432197884991893</c:v>
                </c:pt>
                <c:pt idx="3">
                  <c:v>2.6971999783365286</c:v>
                </c:pt>
                <c:pt idx="4">
                  <c:v>10.270991707432175</c:v>
                </c:pt>
                <c:pt idx="5">
                  <c:v>18.571484040300057</c:v>
                </c:pt>
                <c:pt idx="6">
                  <c:v>30.160270358457154</c:v>
                </c:pt>
                <c:pt idx="7">
                  <c:v>40.148690228741756</c:v>
                </c:pt>
                <c:pt idx="8">
                  <c:v>42.720470590534674</c:v>
                </c:pt>
                <c:pt idx="9">
                  <c:v>43.680267125954742</c:v>
                </c:pt>
                <c:pt idx="10">
                  <c:v>42.101363524771784</c:v>
                </c:pt>
                <c:pt idx="11">
                  <c:v>43.882881380966985</c:v>
                </c:pt>
                <c:pt idx="12">
                  <c:v>#N/A</c:v>
                </c:pt>
              </c:numCache>
            </c:numRef>
          </c:val>
          <c:smooth val="0"/>
        </c:ser>
        <c:ser>
          <c:idx val="3"/>
          <c:order val="3"/>
          <c:tx>
            <c:strRef>
              <c:f>Baseline!$G$392</c:f>
              <c:strCache>
                <c:ptCount val="1"/>
                <c:pt idx="0">
                  <c:v>NonCashWindow</c:v>
                </c:pt>
              </c:strCache>
            </c:strRef>
          </c:tx>
          <c:marker>
            <c:symbol val="none"/>
          </c:marker>
          <c:cat>
            <c:strRef>
              <c:f>Baseline!$C$393:$C$405</c:f>
              <c:strCache>
                <c:ptCount val="13"/>
                <c:pt idx="0">
                  <c:v>04:-125--100</c:v>
                </c:pt>
                <c:pt idx="1">
                  <c:v>05:-100--75</c:v>
                </c:pt>
                <c:pt idx="2">
                  <c:v>06:-75--50</c:v>
                </c:pt>
                <c:pt idx="3">
                  <c:v>07:-50--25</c:v>
                </c:pt>
                <c:pt idx="4">
                  <c:v>08:-25-0</c:v>
                </c:pt>
                <c:pt idx="5">
                  <c:v>09:0-25</c:v>
                </c:pt>
                <c:pt idx="6">
                  <c:v>10:25-50</c:v>
                </c:pt>
                <c:pt idx="7">
                  <c:v>11:50-75</c:v>
                </c:pt>
                <c:pt idx="8">
                  <c:v>12:75-100</c:v>
                </c:pt>
                <c:pt idx="9">
                  <c:v>13:100-125</c:v>
                </c:pt>
                <c:pt idx="10">
                  <c:v>14:125-150</c:v>
                </c:pt>
                <c:pt idx="11">
                  <c:v>15:150-175</c:v>
                </c:pt>
                <c:pt idx="12">
                  <c:v>16:175-200</c:v>
                </c:pt>
              </c:strCache>
            </c:strRef>
          </c:cat>
          <c:val>
            <c:numRef>
              <c:f>Baseline!$G$393:$G$405</c:f>
              <c:numCache>
                <c:formatCode>General</c:formatCode>
                <c:ptCount val="13"/>
                <c:pt idx="0">
                  <c:v>0</c:v>
                </c:pt>
                <c:pt idx="1">
                  <c:v>2.1576303824957122</c:v>
                </c:pt>
                <c:pt idx="2">
                  <c:v>8.845266053677193</c:v>
                </c:pt>
                <c:pt idx="3">
                  <c:v>6.1091154215680232</c:v>
                </c:pt>
                <c:pt idx="4">
                  <c:v>7.5476108074383212</c:v>
                </c:pt>
                <c:pt idx="5">
                  <c:v>11.798006158275431</c:v>
                </c:pt>
                <c:pt idx="6">
                  <c:v>17.55946068188581</c:v>
                </c:pt>
                <c:pt idx="7">
                  <c:v>25.675999419036689</c:v>
                </c:pt>
                <c:pt idx="8">
                  <c:v>31.506262362421911</c:v>
                </c:pt>
                <c:pt idx="9">
                  <c:v>35.203065759167515</c:v>
                </c:pt>
                <c:pt idx="10">
                  <c:v>35.29394411836855</c:v>
                </c:pt>
                <c:pt idx="11">
                  <c:v>34.087346563707968</c:v>
                </c:pt>
                <c:pt idx="12">
                  <c:v>33.665359871941824</c:v>
                </c:pt>
              </c:numCache>
            </c:numRef>
          </c:val>
          <c:smooth val="0"/>
        </c:ser>
        <c:dLbls>
          <c:showLegendKey val="0"/>
          <c:showVal val="0"/>
          <c:showCatName val="0"/>
          <c:showSerName val="0"/>
          <c:showPercent val="0"/>
          <c:showBubbleSize val="0"/>
        </c:dLbls>
        <c:marker val="1"/>
        <c:smooth val="0"/>
        <c:axId val="419154176"/>
        <c:axId val="419834880"/>
      </c:lineChart>
      <c:catAx>
        <c:axId val="419154176"/>
        <c:scaling>
          <c:orientation val="minMax"/>
        </c:scaling>
        <c:delete val="0"/>
        <c:axPos val="b"/>
        <c:majorTickMark val="out"/>
        <c:minorTickMark val="none"/>
        <c:tickLblPos val="nextTo"/>
        <c:crossAx val="419834880"/>
        <c:crosses val="autoZero"/>
        <c:auto val="1"/>
        <c:lblAlgn val="ctr"/>
        <c:lblOffset val="100"/>
        <c:noMultiLvlLbl val="0"/>
      </c:catAx>
      <c:valAx>
        <c:axId val="419834880"/>
        <c:scaling>
          <c:orientation val="minMax"/>
        </c:scaling>
        <c:delete val="0"/>
        <c:axPos val="l"/>
        <c:majorGridlines/>
        <c:numFmt formatCode="General" sourceLinked="1"/>
        <c:majorTickMark val="out"/>
        <c:minorTickMark val="none"/>
        <c:tickLblPos val="nextTo"/>
        <c:crossAx val="41915417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c:v>
          </c:tx>
          <c:xVal>
            <c:numRef>
              <c:f>Baseline!$A$30:$A$40</c:f>
              <c:numCache>
                <c:formatCode>0.00</c:formatCode>
                <c:ptCount val="11"/>
                <c:pt idx="0">
                  <c:v>-8.0399625616296202</c:v>
                </c:pt>
                <c:pt idx="1">
                  <c:v>16.717603686421</c:v>
                </c:pt>
                <c:pt idx="2">
                  <c:v>40.560416627556798</c:v>
                </c:pt>
                <c:pt idx="3">
                  <c:v>65.130418138261206</c:v>
                </c:pt>
                <c:pt idx="4">
                  <c:v>87.109982420119195</c:v>
                </c:pt>
                <c:pt idx="5">
                  <c:v>112.777591972545</c:v>
                </c:pt>
                <c:pt idx="6">
                  <c:v>135.92957671409101</c:v>
                </c:pt>
                <c:pt idx="7">
                  <c:v>161.00603318595199</c:v>
                </c:pt>
                <c:pt idx="8">
                  <c:v>183.95939863203901</c:v>
                </c:pt>
                <c:pt idx="9">
                  <c:v>209.45370462217099</c:v>
                </c:pt>
                <c:pt idx="10">
                  <c:v>233.68844069790299</c:v>
                </c:pt>
              </c:numCache>
            </c:numRef>
          </c:xVal>
          <c:yVal>
            <c:numRef>
              <c:f>Baseline!$G$30:$G$40</c:f>
              <c:numCache>
                <c:formatCode>0.00</c:formatCode>
                <c:ptCount val="11"/>
                <c:pt idx="0">
                  <c:v>18.945653501219649</c:v>
                </c:pt>
                <c:pt idx="1">
                  <c:v>16.629976906850132</c:v>
                </c:pt>
                <c:pt idx="2">
                  <c:v>25.083658507400418</c:v>
                </c:pt>
                <c:pt idx="3">
                  <c:v>34.060882863644892</c:v>
                </c:pt>
                <c:pt idx="4">
                  <c:v>40.334988693478778</c:v>
                </c:pt>
                <c:pt idx="5">
                  <c:v>42.229864150514317</c:v>
                </c:pt>
                <c:pt idx="6">
                  <c:v>43.430516045098187</c:v>
                </c:pt>
                <c:pt idx="7">
                  <c:v>42.817031810010043</c:v>
                </c:pt>
                <c:pt idx="8">
                  <c:v>40.848321284894908</c:v>
                </c:pt>
                <c:pt idx="9">
                  <c:v>39.326351237253085</c:v>
                </c:pt>
                <c:pt idx="10">
                  <c:v>39.004870469422023</c:v>
                </c:pt>
              </c:numCache>
            </c:numRef>
          </c:yVal>
          <c:smooth val="1"/>
        </c:ser>
        <c:ser>
          <c:idx val="1"/>
          <c:order val="1"/>
          <c:tx>
            <c:v>model</c:v>
          </c:tx>
          <c:xVal>
            <c:numRef>
              <c:f>Baseline!$A$30:$A$40</c:f>
              <c:numCache>
                <c:formatCode>0.00</c:formatCode>
                <c:ptCount val="11"/>
                <c:pt idx="0">
                  <c:v>-8.0399625616296202</c:v>
                </c:pt>
                <c:pt idx="1">
                  <c:v>16.717603686421</c:v>
                </c:pt>
                <c:pt idx="2">
                  <c:v>40.560416627556798</c:v>
                </c:pt>
                <c:pt idx="3">
                  <c:v>65.130418138261206</c:v>
                </c:pt>
                <c:pt idx="4">
                  <c:v>87.109982420119195</c:v>
                </c:pt>
                <c:pt idx="5">
                  <c:v>112.777591972545</c:v>
                </c:pt>
                <c:pt idx="6">
                  <c:v>135.92957671409101</c:v>
                </c:pt>
                <c:pt idx="7">
                  <c:v>161.00603318595199</c:v>
                </c:pt>
                <c:pt idx="8">
                  <c:v>183.95939863203901</c:v>
                </c:pt>
                <c:pt idx="9">
                  <c:v>209.45370462217099</c:v>
                </c:pt>
                <c:pt idx="10">
                  <c:v>233.68844069790299</c:v>
                </c:pt>
              </c:numCache>
            </c:numRef>
          </c:xVal>
          <c:yVal>
            <c:numRef>
              <c:f>Baseline!$H$30:$H$40</c:f>
              <c:numCache>
                <c:formatCode>0.00</c:formatCode>
                <c:ptCount val="11"/>
                <c:pt idx="0">
                  <c:v>15.578152156105352</c:v>
                </c:pt>
                <c:pt idx="1">
                  <c:v>17.92600524639041</c:v>
                </c:pt>
                <c:pt idx="2">
                  <c:v>23.539181333392644</c:v>
                </c:pt>
                <c:pt idx="3">
                  <c:v>29.486170088588558</c:v>
                </c:pt>
                <c:pt idx="4">
                  <c:v>34.538775775486783</c:v>
                </c:pt>
                <c:pt idx="5">
                  <c:v>37.78317081313056</c:v>
                </c:pt>
                <c:pt idx="6">
                  <c:v>40.432669568915749</c:v>
                </c:pt>
                <c:pt idx="7">
                  <c:v>41.030380980041102</c:v>
                </c:pt>
                <c:pt idx="8">
                  <c:v>41.143845568150773</c:v>
                </c:pt>
                <c:pt idx="9">
                  <c:v>38.996286280262325</c:v>
                </c:pt>
                <c:pt idx="10">
                  <c:v>37.73728720686109</c:v>
                </c:pt>
              </c:numCache>
            </c:numRef>
          </c:yVal>
          <c:smooth val="1"/>
        </c:ser>
        <c:ser>
          <c:idx val="2"/>
          <c:order val="2"/>
          <c:tx>
            <c:v>model_adj</c:v>
          </c:tx>
          <c:xVal>
            <c:numRef>
              <c:f>Baseline!$A$30:$A$40</c:f>
              <c:numCache>
                <c:formatCode>0.00</c:formatCode>
                <c:ptCount val="11"/>
                <c:pt idx="0">
                  <c:v>-8.0399625616296202</c:v>
                </c:pt>
                <c:pt idx="1">
                  <c:v>16.717603686421</c:v>
                </c:pt>
                <c:pt idx="2">
                  <c:v>40.560416627556798</c:v>
                </c:pt>
                <c:pt idx="3">
                  <c:v>65.130418138261206</c:v>
                </c:pt>
                <c:pt idx="4">
                  <c:v>87.109982420119195</c:v>
                </c:pt>
                <c:pt idx="5">
                  <c:v>112.777591972545</c:v>
                </c:pt>
                <c:pt idx="6">
                  <c:v>135.92957671409101</c:v>
                </c:pt>
                <c:pt idx="7">
                  <c:v>161.00603318595199</c:v>
                </c:pt>
                <c:pt idx="8">
                  <c:v>183.95939863203901</c:v>
                </c:pt>
                <c:pt idx="9">
                  <c:v>209.45370462217099</c:v>
                </c:pt>
                <c:pt idx="10">
                  <c:v>233.68844069790299</c:v>
                </c:pt>
              </c:numCache>
            </c:numRef>
          </c:xVal>
          <c:yVal>
            <c:numRef>
              <c:f>Baseline!$O$30:$O$40</c:f>
              <c:numCache>
                <c:formatCode>0.00</c:formatCode>
                <c:ptCount val="11"/>
                <c:pt idx="0">
                  <c:v>15.578152156105352</c:v>
                </c:pt>
                <c:pt idx="1">
                  <c:v>17.92600524639041</c:v>
                </c:pt>
                <c:pt idx="2">
                  <c:v>24.862297777509625</c:v>
                </c:pt>
                <c:pt idx="3">
                  <c:v>33.819201928132451</c:v>
                </c:pt>
                <c:pt idx="4">
                  <c:v>40.206403475980679</c:v>
                </c:pt>
                <c:pt idx="5">
                  <c:v>42.127624111427295</c:v>
                </c:pt>
                <c:pt idx="6">
                  <c:v>43.173153495603309</c:v>
                </c:pt>
                <c:pt idx="7">
                  <c:v>42.421274635374786</c:v>
                </c:pt>
                <c:pt idx="8">
                  <c:v>41.424458412422126</c:v>
                </c:pt>
                <c:pt idx="9">
                  <c:v>38.996286280262325</c:v>
                </c:pt>
                <c:pt idx="10">
                  <c:v>37.73728720686109</c:v>
                </c:pt>
              </c:numCache>
            </c:numRef>
          </c:yVal>
          <c:smooth val="1"/>
        </c:ser>
        <c:dLbls>
          <c:showLegendKey val="0"/>
          <c:showVal val="0"/>
          <c:showCatName val="0"/>
          <c:showSerName val="0"/>
          <c:showPercent val="0"/>
          <c:showBubbleSize val="0"/>
        </c:dLbls>
        <c:axId val="522648960"/>
        <c:axId val="522728960"/>
      </c:scatterChart>
      <c:valAx>
        <c:axId val="522648960"/>
        <c:scaling>
          <c:orientation val="minMax"/>
        </c:scaling>
        <c:delete val="0"/>
        <c:axPos val="b"/>
        <c:numFmt formatCode="0" sourceLinked="0"/>
        <c:majorTickMark val="out"/>
        <c:minorTickMark val="none"/>
        <c:tickLblPos val="nextTo"/>
        <c:crossAx val="522728960"/>
        <c:crosses val="autoZero"/>
        <c:crossBetween val="midCat"/>
      </c:valAx>
      <c:valAx>
        <c:axId val="522728960"/>
        <c:scaling>
          <c:orientation val="minMax"/>
        </c:scaling>
        <c:delete val="0"/>
        <c:axPos val="l"/>
        <c:majorGridlines/>
        <c:numFmt formatCode="0.00" sourceLinked="1"/>
        <c:majorTickMark val="out"/>
        <c:minorTickMark val="none"/>
        <c:tickLblPos val="nextTo"/>
        <c:crossAx val="522648960"/>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Baseline!$AD$159:$AD$162</c:f>
              <c:strCache>
                <c:ptCount val="1"/>
                <c:pt idx="0">
                  <c:v>Knot</c:v>
                </c:pt>
              </c:strCache>
            </c:strRef>
          </c:tx>
          <c:marker>
            <c:symbol val="none"/>
          </c:marker>
          <c:cat>
            <c:numRef>
              <c:f>Baseline!$AC$30:$AC$40</c:f>
              <c:numCache>
                <c:formatCode>0</c:formatCode>
                <c:ptCount val="11"/>
                <c:pt idx="0">
                  <c:v>-8.0399625616296202</c:v>
                </c:pt>
                <c:pt idx="1">
                  <c:v>16.717603686421</c:v>
                </c:pt>
                <c:pt idx="2">
                  <c:v>40.560416627556798</c:v>
                </c:pt>
                <c:pt idx="3">
                  <c:v>65.130418138261206</c:v>
                </c:pt>
                <c:pt idx="4">
                  <c:v>87.109982420119195</c:v>
                </c:pt>
                <c:pt idx="5">
                  <c:v>112.777591972545</c:v>
                </c:pt>
                <c:pt idx="6">
                  <c:v>135.92957671409101</c:v>
                </c:pt>
                <c:pt idx="7">
                  <c:v>161.00603318595199</c:v>
                </c:pt>
                <c:pt idx="8">
                  <c:v>183.95939863203901</c:v>
                </c:pt>
                <c:pt idx="9">
                  <c:v>209.45370462217099</c:v>
                </c:pt>
                <c:pt idx="10">
                  <c:v>233.68844069790299</c:v>
                </c:pt>
              </c:numCache>
            </c:numRef>
          </c:cat>
          <c:val>
            <c:numRef>
              <c:f>Baseline!$AD$30:$AD$40</c:f>
              <c:numCache>
                <c:formatCode>0.000</c:formatCode>
                <c:ptCount val="11"/>
                <c:pt idx="0">
                  <c:v>1.1762837415319201</c:v>
                </c:pt>
                <c:pt idx="1">
                  <c:v>1.7435287487101601</c:v>
                </c:pt>
                <c:pt idx="2">
                  <c:v>2.5357969334519801</c:v>
                </c:pt>
                <c:pt idx="3">
                  <c:v>3.4611348963631601</c:v>
                </c:pt>
                <c:pt idx="4">
                  <c:v>4.1457396580159296</c:v>
                </c:pt>
                <c:pt idx="5">
                  <c:v>4.75215670710576</c:v>
                </c:pt>
                <c:pt idx="6">
                  <c:v>5.2241824620250199</c:v>
                </c:pt>
                <c:pt idx="7">
                  <c:v>5.6827404574273999</c:v>
                </c:pt>
                <c:pt idx="8">
                  <c:v>6.0276934430763003</c:v>
                </c:pt>
                <c:pt idx="9">
                  <c:v>6.3657668913125001</c:v>
                </c:pt>
                <c:pt idx="10">
                  <c:v>6.6052587481674401</c:v>
                </c:pt>
              </c:numCache>
            </c:numRef>
          </c:val>
          <c:smooth val="0"/>
        </c:ser>
        <c:ser>
          <c:idx val="1"/>
          <c:order val="1"/>
          <c:tx>
            <c:strRef>
              <c:f>Baseline!$AE$159:$AE$162</c:f>
              <c:strCache>
                <c:ptCount val="1"/>
                <c:pt idx="0">
                  <c:v>adj Knot</c:v>
                </c:pt>
              </c:strCache>
            </c:strRef>
          </c:tx>
          <c:marker>
            <c:symbol val="none"/>
          </c:marker>
          <c:cat>
            <c:numRef>
              <c:f>Baseline!$AC$30:$AC$40</c:f>
              <c:numCache>
                <c:formatCode>0</c:formatCode>
                <c:ptCount val="11"/>
                <c:pt idx="0">
                  <c:v>-8.0399625616296202</c:v>
                </c:pt>
                <c:pt idx="1">
                  <c:v>16.717603686421</c:v>
                </c:pt>
                <c:pt idx="2">
                  <c:v>40.560416627556798</c:v>
                </c:pt>
                <c:pt idx="3">
                  <c:v>65.130418138261206</c:v>
                </c:pt>
                <c:pt idx="4">
                  <c:v>87.109982420119195</c:v>
                </c:pt>
                <c:pt idx="5">
                  <c:v>112.777591972545</c:v>
                </c:pt>
                <c:pt idx="6">
                  <c:v>135.92957671409101</c:v>
                </c:pt>
                <c:pt idx="7">
                  <c:v>161.00603318595199</c:v>
                </c:pt>
                <c:pt idx="8">
                  <c:v>183.95939863203901</c:v>
                </c:pt>
                <c:pt idx="9">
                  <c:v>209.45370462217099</c:v>
                </c:pt>
                <c:pt idx="10">
                  <c:v>233.68844069790299</c:v>
                </c:pt>
              </c:numCache>
            </c:numRef>
          </c:cat>
          <c:val>
            <c:numRef>
              <c:f>Baseline!$AE$30:$AE$40</c:f>
              <c:numCache>
                <c:formatCode>0.000</c:formatCode>
                <c:ptCount val="11"/>
                <c:pt idx="0">
                  <c:v>1.1762837415319201</c:v>
                </c:pt>
                <c:pt idx="1">
                  <c:v>1.7435287487101601</c:v>
                </c:pt>
                <c:pt idx="2">
                  <c:v>2.7386606881281388</c:v>
                </c:pt>
                <c:pt idx="3">
                  <c:v>4.1879732245994239</c:v>
                </c:pt>
                <c:pt idx="4">
                  <c:v>5.140717175939753</c:v>
                </c:pt>
                <c:pt idx="5">
                  <c:v>5.5600233473137388</c:v>
                </c:pt>
                <c:pt idx="6">
                  <c:v>5.7466007082275228</c:v>
                </c:pt>
                <c:pt idx="7">
                  <c:v>5.9668774802987699</c:v>
                </c:pt>
                <c:pt idx="8">
                  <c:v>6.0879703775070633</c:v>
                </c:pt>
                <c:pt idx="9">
                  <c:v>6.3657668913125001</c:v>
                </c:pt>
                <c:pt idx="10">
                  <c:v>6.6052587481674401</c:v>
                </c:pt>
              </c:numCache>
            </c:numRef>
          </c:val>
          <c:smooth val="0"/>
        </c:ser>
        <c:dLbls>
          <c:showLegendKey val="0"/>
          <c:showVal val="0"/>
          <c:showCatName val="0"/>
          <c:showSerName val="0"/>
          <c:showPercent val="0"/>
          <c:showBubbleSize val="0"/>
        </c:dLbls>
        <c:marker val="1"/>
        <c:smooth val="0"/>
        <c:axId val="522795648"/>
        <c:axId val="523073024"/>
      </c:lineChart>
      <c:catAx>
        <c:axId val="522795648"/>
        <c:scaling>
          <c:orientation val="minMax"/>
        </c:scaling>
        <c:delete val="0"/>
        <c:axPos val="b"/>
        <c:numFmt formatCode="0" sourceLinked="1"/>
        <c:majorTickMark val="out"/>
        <c:minorTickMark val="none"/>
        <c:tickLblPos val="nextTo"/>
        <c:crossAx val="523073024"/>
        <c:crosses val="autoZero"/>
        <c:auto val="1"/>
        <c:lblAlgn val="ctr"/>
        <c:lblOffset val="100"/>
        <c:noMultiLvlLbl val="0"/>
      </c:catAx>
      <c:valAx>
        <c:axId val="523073024"/>
        <c:scaling>
          <c:orientation val="minMax"/>
        </c:scaling>
        <c:delete val="0"/>
        <c:axPos val="l"/>
        <c:numFmt formatCode="0" sourceLinked="0"/>
        <c:majorTickMark val="out"/>
        <c:minorTickMark val="none"/>
        <c:tickLblPos val="nextTo"/>
        <c:crossAx val="52279564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Baseline!$Y$159</c:f>
              <c:strCache>
                <c:ptCount val="1"/>
                <c:pt idx="0">
                  <c:v>Knot</c:v>
                </c:pt>
              </c:strCache>
            </c:strRef>
          </c:tx>
          <c:marker>
            <c:symbol val="none"/>
          </c:marker>
          <c:cat>
            <c:numRef>
              <c:f>Baseline!$X$28:$X$41</c:f>
              <c:numCache>
                <c:formatCode>0</c:formatCode>
                <c:ptCount val="14"/>
                <c:pt idx="0">
                  <c:v>-60.076868837927201</c:v>
                </c:pt>
                <c:pt idx="1">
                  <c:v>-33.483850125560203</c:v>
                </c:pt>
                <c:pt idx="2">
                  <c:v>-8.0399625616296202</c:v>
                </c:pt>
                <c:pt idx="3">
                  <c:v>16.717603686421</c:v>
                </c:pt>
                <c:pt idx="4">
                  <c:v>40.560416627556798</c:v>
                </c:pt>
                <c:pt idx="5">
                  <c:v>65.130418138261206</c:v>
                </c:pt>
                <c:pt idx="6">
                  <c:v>87.109982420119195</c:v>
                </c:pt>
                <c:pt idx="7">
                  <c:v>112.777591972545</c:v>
                </c:pt>
                <c:pt idx="8">
                  <c:v>135.92957671409101</c:v>
                </c:pt>
                <c:pt idx="9">
                  <c:v>161.00603318595199</c:v>
                </c:pt>
                <c:pt idx="10">
                  <c:v>183.95939863203901</c:v>
                </c:pt>
                <c:pt idx="11">
                  <c:v>209.45370462217099</c:v>
                </c:pt>
                <c:pt idx="12">
                  <c:v>233.68844069790299</c:v>
                </c:pt>
                <c:pt idx="13">
                  <c:v>271.38147049753798</c:v>
                </c:pt>
              </c:numCache>
            </c:numRef>
          </c:cat>
          <c:val>
            <c:numRef>
              <c:f>Baseline!$Y$28:$Y$41</c:f>
              <c:numCache>
                <c:formatCode>0.000</c:formatCode>
                <c:ptCount val="14"/>
                <c:pt idx="0">
                  <c:v>0.169505391304348</c:v>
                </c:pt>
                <c:pt idx="1">
                  <c:v>0.30615060763888902</c:v>
                </c:pt>
                <c:pt idx="2">
                  <c:v>0.53185287373913004</c:v>
                </c:pt>
                <c:pt idx="3">
                  <c:v>1.01594124675193</c:v>
                </c:pt>
                <c:pt idx="4">
                  <c:v>2.0717371897488701</c:v>
                </c:pt>
                <c:pt idx="5">
                  <c:v>3.5525412195015398</c:v>
                </c:pt>
                <c:pt idx="6">
                  <c:v>4.8225583111111101</c:v>
                </c:pt>
                <c:pt idx="7">
                  <c:v>6.2750975705599998</c:v>
                </c:pt>
                <c:pt idx="8">
                  <c:v>7.6782094614435499</c:v>
                </c:pt>
                <c:pt idx="9">
                  <c:v>8.7557674712905893</c:v>
                </c:pt>
                <c:pt idx="10">
                  <c:v>8.8912890705385497</c:v>
                </c:pt>
                <c:pt idx="11">
                  <c:v>8.9</c:v>
                </c:pt>
                <c:pt idx="12">
                  <c:v>8.9</c:v>
                </c:pt>
                <c:pt idx="13">
                  <c:v>8.9</c:v>
                </c:pt>
              </c:numCache>
            </c:numRef>
          </c:val>
          <c:smooth val="0"/>
        </c:ser>
        <c:ser>
          <c:idx val="1"/>
          <c:order val="1"/>
          <c:tx>
            <c:strRef>
              <c:f>Baseline!$Z$159</c:f>
              <c:strCache>
                <c:ptCount val="1"/>
                <c:pt idx="0">
                  <c:v>adj Knot</c:v>
                </c:pt>
              </c:strCache>
            </c:strRef>
          </c:tx>
          <c:marker>
            <c:symbol val="none"/>
          </c:marker>
          <c:cat>
            <c:numRef>
              <c:f>Baseline!$X$28:$X$41</c:f>
              <c:numCache>
                <c:formatCode>0</c:formatCode>
                <c:ptCount val="14"/>
                <c:pt idx="0">
                  <c:v>-60.076868837927201</c:v>
                </c:pt>
                <c:pt idx="1">
                  <c:v>-33.483850125560203</c:v>
                </c:pt>
                <c:pt idx="2">
                  <c:v>-8.0399625616296202</c:v>
                </c:pt>
                <c:pt idx="3">
                  <c:v>16.717603686421</c:v>
                </c:pt>
                <c:pt idx="4">
                  <c:v>40.560416627556798</c:v>
                </c:pt>
                <c:pt idx="5">
                  <c:v>65.130418138261206</c:v>
                </c:pt>
                <c:pt idx="6">
                  <c:v>87.109982420119195</c:v>
                </c:pt>
                <c:pt idx="7">
                  <c:v>112.777591972545</c:v>
                </c:pt>
                <c:pt idx="8">
                  <c:v>135.92957671409101</c:v>
                </c:pt>
                <c:pt idx="9">
                  <c:v>161.00603318595199</c:v>
                </c:pt>
                <c:pt idx="10">
                  <c:v>183.95939863203901</c:v>
                </c:pt>
                <c:pt idx="11">
                  <c:v>209.45370462217099</c:v>
                </c:pt>
                <c:pt idx="12">
                  <c:v>233.68844069790299</c:v>
                </c:pt>
                <c:pt idx="13">
                  <c:v>271.38147049753798</c:v>
                </c:pt>
              </c:numCache>
            </c:numRef>
          </c:cat>
          <c:val>
            <c:numRef>
              <c:f>Baseline!$Z$28:$Z$41</c:f>
              <c:numCache>
                <c:formatCode>0.000</c:formatCode>
                <c:ptCount val="14"/>
                <c:pt idx="0">
                  <c:v>0.169505391304348</c:v>
                </c:pt>
                <c:pt idx="1">
                  <c:v>0.30615060763888902</c:v>
                </c:pt>
                <c:pt idx="2">
                  <c:v>0.53185287373913004</c:v>
                </c:pt>
                <c:pt idx="3">
                  <c:v>1.01594124675193</c:v>
                </c:pt>
                <c:pt idx="4">
                  <c:v>2.0717371897488701</c:v>
                </c:pt>
                <c:pt idx="5">
                  <c:v>3.5525412195015398</c:v>
                </c:pt>
                <c:pt idx="6">
                  <c:v>4.8225583111111101</c:v>
                </c:pt>
                <c:pt idx="7">
                  <c:v>6.2750975705599998</c:v>
                </c:pt>
                <c:pt idx="8">
                  <c:v>7.6782094614435499</c:v>
                </c:pt>
                <c:pt idx="9">
                  <c:v>8.7557674712905893</c:v>
                </c:pt>
                <c:pt idx="10">
                  <c:v>8.8912890705385497</c:v>
                </c:pt>
                <c:pt idx="11">
                  <c:v>8.9</c:v>
                </c:pt>
                <c:pt idx="12">
                  <c:v>8.9</c:v>
                </c:pt>
                <c:pt idx="13">
                  <c:v>8.9</c:v>
                </c:pt>
              </c:numCache>
            </c:numRef>
          </c:val>
          <c:smooth val="0"/>
        </c:ser>
        <c:dLbls>
          <c:showLegendKey val="0"/>
          <c:showVal val="0"/>
          <c:showCatName val="0"/>
          <c:showSerName val="0"/>
          <c:showPercent val="0"/>
          <c:showBubbleSize val="0"/>
        </c:dLbls>
        <c:marker val="1"/>
        <c:smooth val="0"/>
        <c:axId val="523922816"/>
        <c:axId val="524887168"/>
      </c:lineChart>
      <c:catAx>
        <c:axId val="523922816"/>
        <c:scaling>
          <c:orientation val="minMax"/>
        </c:scaling>
        <c:delete val="0"/>
        <c:axPos val="b"/>
        <c:numFmt formatCode="0" sourceLinked="1"/>
        <c:majorTickMark val="out"/>
        <c:minorTickMark val="none"/>
        <c:tickLblPos val="nextTo"/>
        <c:crossAx val="524887168"/>
        <c:crosses val="autoZero"/>
        <c:auto val="1"/>
        <c:lblAlgn val="ctr"/>
        <c:lblOffset val="100"/>
        <c:noMultiLvlLbl val="0"/>
      </c:catAx>
      <c:valAx>
        <c:axId val="524887168"/>
        <c:scaling>
          <c:orientation val="minMax"/>
        </c:scaling>
        <c:delete val="0"/>
        <c:axPos val="l"/>
        <c:numFmt formatCode="0" sourceLinked="0"/>
        <c:majorTickMark val="out"/>
        <c:minorTickMark val="none"/>
        <c:tickLblPos val="nextTo"/>
        <c:crossAx val="52392281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Baseline!$T$159</c:f>
              <c:strCache>
                <c:ptCount val="1"/>
                <c:pt idx="0">
                  <c:v>Knot</c:v>
                </c:pt>
              </c:strCache>
            </c:strRef>
          </c:tx>
          <c:marker>
            <c:symbol val="none"/>
          </c:marker>
          <c:cat>
            <c:numRef>
              <c:f>Baseline!$S$27:$S$36</c:f>
              <c:numCache>
                <c:formatCode>0</c:formatCode>
                <c:ptCount val="10"/>
                <c:pt idx="0">
                  <c:v>-82.984204191452207</c:v>
                </c:pt>
                <c:pt idx="1">
                  <c:v>-60.076868837927201</c:v>
                </c:pt>
                <c:pt idx="2">
                  <c:v>-33.483850125560203</c:v>
                </c:pt>
                <c:pt idx="3">
                  <c:v>-8.0399625616296202</c:v>
                </c:pt>
                <c:pt idx="4">
                  <c:v>16.717603686421</c:v>
                </c:pt>
                <c:pt idx="5">
                  <c:v>40.560416627556798</c:v>
                </c:pt>
                <c:pt idx="6">
                  <c:v>65.130418138261206</c:v>
                </c:pt>
                <c:pt idx="7">
                  <c:v>87.109982420119195</c:v>
                </c:pt>
                <c:pt idx="8">
                  <c:v>112.777591972545</c:v>
                </c:pt>
                <c:pt idx="9">
                  <c:v>135.92957671409101</c:v>
                </c:pt>
              </c:numCache>
            </c:numRef>
          </c:cat>
          <c:val>
            <c:numRef>
              <c:f>Baseline!$T$27:$T$36</c:f>
              <c:numCache>
                <c:formatCode>0.000</c:formatCode>
                <c:ptCount val="10"/>
                <c:pt idx="0">
                  <c:v>1.141723072</c:v>
                </c:pt>
                <c:pt idx="1">
                  <c:v>1.267304</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Baseline!$U$159</c:f>
              <c:strCache>
                <c:ptCount val="1"/>
                <c:pt idx="0">
                  <c:v>adj Knot</c:v>
                </c:pt>
              </c:strCache>
            </c:strRef>
          </c:tx>
          <c:marker>
            <c:symbol val="none"/>
          </c:marker>
          <c:cat>
            <c:numRef>
              <c:f>Baseline!$S$27:$S$36</c:f>
              <c:numCache>
                <c:formatCode>0</c:formatCode>
                <c:ptCount val="10"/>
                <c:pt idx="0">
                  <c:v>-82.984204191452207</c:v>
                </c:pt>
                <c:pt idx="1">
                  <c:v>-60.076868837927201</c:v>
                </c:pt>
                <c:pt idx="2">
                  <c:v>-33.483850125560203</c:v>
                </c:pt>
                <c:pt idx="3">
                  <c:v>-8.0399625616296202</c:v>
                </c:pt>
                <c:pt idx="4">
                  <c:v>16.717603686421</c:v>
                </c:pt>
                <c:pt idx="5">
                  <c:v>40.560416627556798</c:v>
                </c:pt>
                <c:pt idx="6">
                  <c:v>65.130418138261206</c:v>
                </c:pt>
                <c:pt idx="7">
                  <c:v>87.109982420119195</c:v>
                </c:pt>
                <c:pt idx="8">
                  <c:v>112.777591972545</c:v>
                </c:pt>
                <c:pt idx="9">
                  <c:v>135.92957671409101</c:v>
                </c:pt>
              </c:numCache>
            </c:numRef>
          </c:cat>
          <c:val>
            <c:numRef>
              <c:f>Baseline!$U$27:$U$36</c:f>
              <c:numCache>
                <c:formatCode>0.000</c:formatCode>
                <c:ptCount val="10"/>
                <c:pt idx="0">
                  <c:v>1.141723072</c:v>
                </c:pt>
                <c:pt idx="1">
                  <c:v>1.267304</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530377344"/>
        <c:axId val="530452864"/>
      </c:lineChart>
      <c:catAx>
        <c:axId val="530377344"/>
        <c:scaling>
          <c:orientation val="minMax"/>
        </c:scaling>
        <c:delete val="0"/>
        <c:axPos val="b"/>
        <c:numFmt formatCode="0" sourceLinked="1"/>
        <c:majorTickMark val="out"/>
        <c:minorTickMark val="none"/>
        <c:tickLblPos val="nextTo"/>
        <c:crossAx val="530452864"/>
        <c:crosses val="autoZero"/>
        <c:auto val="1"/>
        <c:lblAlgn val="ctr"/>
        <c:lblOffset val="100"/>
        <c:noMultiLvlLbl val="0"/>
      </c:catAx>
      <c:valAx>
        <c:axId val="530452864"/>
        <c:scaling>
          <c:orientation val="minMax"/>
        </c:scaling>
        <c:delete val="0"/>
        <c:axPos val="l"/>
        <c:numFmt formatCode="0" sourceLinked="0"/>
        <c:majorTickMark val="out"/>
        <c:minorTickMark val="none"/>
        <c:tickLblPos val="nextTo"/>
        <c:crossAx val="530377344"/>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Baseline!$AS$68</c:f>
              <c:strCache>
                <c:ptCount val="1"/>
                <c:pt idx="0">
                  <c:v>PCT_BROKER</c:v>
                </c:pt>
              </c:strCache>
            </c:strRef>
          </c:tx>
          <c:marker>
            <c:symbol val="none"/>
          </c:marker>
          <c:cat>
            <c:strRef>
              <c:f>Baseline!$AO$73:$AO$81</c:f>
              <c:strCache>
                <c:ptCount val="9"/>
                <c:pt idx="0">
                  <c:v>09:0-25</c:v>
                </c:pt>
                <c:pt idx="1">
                  <c:v>10:25-50</c:v>
                </c:pt>
                <c:pt idx="2">
                  <c:v>11:50-75</c:v>
                </c:pt>
                <c:pt idx="3">
                  <c:v>12:75-100</c:v>
                </c:pt>
                <c:pt idx="4">
                  <c:v>13:100-125</c:v>
                </c:pt>
                <c:pt idx="5">
                  <c:v>14:125-150</c:v>
                </c:pt>
                <c:pt idx="6">
                  <c:v>15:150-175</c:v>
                </c:pt>
                <c:pt idx="7">
                  <c:v>16:175-200</c:v>
                </c:pt>
                <c:pt idx="8">
                  <c:v>17:200-225</c:v>
                </c:pt>
              </c:strCache>
            </c:strRef>
          </c:cat>
          <c:val>
            <c:numRef>
              <c:f>Baseline!$AS$73:$AS$81</c:f>
              <c:numCache>
                <c:formatCode>0.00</c:formatCode>
                <c:ptCount val="9"/>
                <c:pt idx="0">
                  <c:v>12.309750608347199</c:v>
                </c:pt>
                <c:pt idx="1">
                  <c:v>14.361943268053601</c:v>
                </c:pt>
                <c:pt idx="2">
                  <c:v>14.0702186314223</c:v>
                </c:pt>
                <c:pt idx="3">
                  <c:v>13.9481118807279</c:v>
                </c:pt>
                <c:pt idx="4">
                  <c:v>13.1831377170439</c:v>
                </c:pt>
                <c:pt idx="5">
                  <c:v>13.462637740082799</c:v>
                </c:pt>
                <c:pt idx="6">
                  <c:v>12.1117664032724</c:v>
                </c:pt>
                <c:pt idx="7">
                  <c:v>11.9677320264211</c:v>
                </c:pt>
                <c:pt idx="8">
                  <c:v>10.496757691419701</c:v>
                </c:pt>
              </c:numCache>
            </c:numRef>
          </c:val>
          <c:smooth val="0"/>
        </c:ser>
        <c:ser>
          <c:idx val="1"/>
          <c:order val="1"/>
          <c:tx>
            <c:strRef>
              <c:f>Baseline!$AT$68</c:f>
              <c:strCache>
                <c:ptCount val="1"/>
                <c:pt idx="0">
                  <c:v>PCT_CORRES</c:v>
                </c:pt>
              </c:strCache>
            </c:strRef>
          </c:tx>
          <c:marker>
            <c:symbol val="none"/>
          </c:marker>
          <c:cat>
            <c:strRef>
              <c:f>Baseline!$AO$73:$AO$81</c:f>
              <c:strCache>
                <c:ptCount val="9"/>
                <c:pt idx="0">
                  <c:v>09:0-25</c:v>
                </c:pt>
                <c:pt idx="1">
                  <c:v>10:25-50</c:v>
                </c:pt>
                <c:pt idx="2">
                  <c:v>11:50-75</c:v>
                </c:pt>
                <c:pt idx="3">
                  <c:v>12:75-100</c:v>
                </c:pt>
                <c:pt idx="4">
                  <c:v>13:100-125</c:v>
                </c:pt>
                <c:pt idx="5">
                  <c:v>14:125-150</c:v>
                </c:pt>
                <c:pt idx="6">
                  <c:v>15:150-175</c:v>
                </c:pt>
                <c:pt idx="7">
                  <c:v>16:175-200</c:v>
                </c:pt>
                <c:pt idx="8">
                  <c:v>17:200-225</c:v>
                </c:pt>
              </c:strCache>
            </c:strRef>
          </c:cat>
          <c:val>
            <c:numRef>
              <c:f>Baseline!$AT$73:$AT$81</c:f>
              <c:numCache>
                <c:formatCode>0.00</c:formatCode>
                <c:ptCount val="9"/>
                <c:pt idx="0">
                  <c:v>44.374427799505398</c:v>
                </c:pt>
                <c:pt idx="1">
                  <c:v>43.259564438312303</c:v>
                </c:pt>
                <c:pt idx="2">
                  <c:v>42.373699789375699</c:v>
                </c:pt>
                <c:pt idx="3">
                  <c:v>35.483856732396397</c:v>
                </c:pt>
                <c:pt idx="4">
                  <c:v>33.132763233747397</c:v>
                </c:pt>
                <c:pt idx="5">
                  <c:v>31.984386894053799</c:v>
                </c:pt>
                <c:pt idx="6">
                  <c:v>28.018284269006202</c:v>
                </c:pt>
                <c:pt idx="7">
                  <c:v>27.1034569143631</c:v>
                </c:pt>
                <c:pt idx="8">
                  <c:v>26.415427136245</c:v>
                </c:pt>
              </c:numCache>
            </c:numRef>
          </c:val>
          <c:smooth val="0"/>
        </c:ser>
        <c:ser>
          <c:idx val="4"/>
          <c:order val="2"/>
          <c:tx>
            <c:strRef>
              <c:f>Baseline!$AU$68</c:f>
              <c:strCache>
                <c:ptCount val="1"/>
                <c:pt idx="0">
                  <c:v>PCT_CashWindow</c:v>
                </c:pt>
              </c:strCache>
            </c:strRef>
          </c:tx>
          <c:marker>
            <c:symbol val="none"/>
          </c:marker>
          <c:cat>
            <c:strRef>
              <c:f>Baseline!$AO$73:$AO$81</c:f>
              <c:strCache>
                <c:ptCount val="9"/>
                <c:pt idx="0">
                  <c:v>09:0-25</c:v>
                </c:pt>
                <c:pt idx="1">
                  <c:v>10:25-50</c:v>
                </c:pt>
                <c:pt idx="2">
                  <c:v>11:50-75</c:v>
                </c:pt>
                <c:pt idx="3">
                  <c:v>12:75-100</c:v>
                </c:pt>
                <c:pt idx="4">
                  <c:v>13:100-125</c:v>
                </c:pt>
                <c:pt idx="5">
                  <c:v>14:125-150</c:v>
                </c:pt>
                <c:pt idx="6">
                  <c:v>15:150-175</c:v>
                </c:pt>
                <c:pt idx="7">
                  <c:v>16:175-200</c:v>
                </c:pt>
                <c:pt idx="8">
                  <c:v>17:200-225</c:v>
                </c:pt>
              </c:strCache>
            </c:strRef>
          </c:cat>
          <c:val>
            <c:numRef>
              <c:f>Baseline!$AU$73:$AU$81</c:f>
              <c:numCache>
                <c:formatCode>0.00</c:formatCode>
                <c:ptCount val="9"/>
                <c:pt idx="0">
                  <c:v>8.2534879032123794</c:v>
                </c:pt>
                <c:pt idx="1">
                  <c:v>10.685003700789601</c:v>
                </c:pt>
                <c:pt idx="2">
                  <c:v>10.7276748388025</c:v>
                </c:pt>
                <c:pt idx="3">
                  <c:v>12.8122630960452</c:v>
                </c:pt>
                <c:pt idx="4">
                  <c:v>11.5885853199745</c:v>
                </c:pt>
                <c:pt idx="5">
                  <c:v>11.738894943562601</c:v>
                </c:pt>
                <c:pt idx="6">
                  <c:v>12.150352706578699</c:v>
                </c:pt>
                <c:pt idx="7">
                  <c:v>11.469666840328999</c:v>
                </c:pt>
                <c:pt idx="8">
                  <c:v>11.030447210943001</c:v>
                </c:pt>
              </c:numCache>
            </c:numRef>
          </c:val>
          <c:smooth val="0"/>
        </c:ser>
        <c:ser>
          <c:idx val="5"/>
          <c:order val="3"/>
          <c:tx>
            <c:strRef>
              <c:f>Baseline!$AV$68</c:f>
              <c:strCache>
                <c:ptCount val="1"/>
                <c:pt idx="0">
                  <c:v>PCT_NonCashWindow</c:v>
                </c:pt>
              </c:strCache>
            </c:strRef>
          </c:tx>
          <c:marker>
            <c:symbol val="none"/>
          </c:marker>
          <c:cat>
            <c:strRef>
              <c:f>Baseline!$AO$73:$AO$81</c:f>
              <c:strCache>
                <c:ptCount val="9"/>
                <c:pt idx="0">
                  <c:v>09:0-25</c:v>
                </c:pt>
                <c:pt idx="1">
                  <c:v>10:25-50</c:v>
                </c:pt>
                <c:pt idx="2">
                  <c:v>11:50-75</c:v>
                </c:pt>
                <c:pt idx="3">
                  <c:v>12:75-100</c:v>
                </c:pt>
                <c:pt idx="4">
                  <c:v>13:100-125</c:v>
                </c:pt>
                <c:pt idx="5">
                  <c:v>14:125-150</c:v>
                </c:pt>
                <c:pt idx="6">
                  <c:v>15:150-175</c:v>
                </c:pt>
                <c:pt idx="7">
                  <c:v>16:175-200</c:v>
                </c:pt>
                <c:pt idx="8">
                  <c:v>17:200-225</c:v>
                </c:pt>
              </c:strCache>
            </c:strRef>
          </c:cat>
          <c:val>
            <c:numRef>
              <c:f>Baseline!$AV$73:$AV$81</c:f>
              <c:numCache>
                <c:formatCode>0.00</c:formatCode>
                <c:ptCount val="9"/>
                <c:pt idx="0">
                  <c:v>35.062333688934899</c:v>
                </c:pt>
                <c:pt idx="1">
                  <c:v>31.6934885928444</c:v>
                </c:pt>
                <c:pt idx="2">
                  <c:v>32.828406740399302</c:v>
                </c:pt>
                <c:pt idx="3">
                  <c:v>37.755768290830197</c:v>
                </c:pt>
                <c:pt idx="4">
                  <c:v>42.095513729234</c:v>
                </c:pt>
                <c:pt idx="5">
                  <c:v>42.814080422300599</c:v>
                </c:pt>
                <c:pt idx="6">
                  <c:v>47.7195966211426</c:v>
                </c:pt>
                <c:pt idx="7">
                  <c:v>49.4591442188865</c:v>
                </c:pt>
                <c:pt idx="8">
                  <c:v>52.057367961392103</c:v>
                </c:pt>
              </c:numCache>
            </c:numRef>
          </c:val>
          <c:smooth val="0"/>
        </c:ser>
        <c:dLbls>
          <c:showLegendKey val="0"/>
          <c:showVal val="0"/>
          <c:showCatName val="0"/>
          <c:showSerName val="0"/>
          <c:showPercent val="0"/>
          <c:showBubbleSize val="0"/>
        </c:dLbls>
        <c:marker val="1"/>
        <c:smooth val="0"/>
        <c:axId val="530278656"/>
        <c:axId val="533790720"/>
      </c:lineChart>
      <c:catAx>
        <c:axId val="530278656"/>
        <c:scaling>
          <c:orientation val="minMax"/>
        </c:scaling>
        <c:delete val="0"/>
        <c:axPos val="b"/>
        <c:majorTickMark val="out"/>
        <c:minorTickMark val="none"/>
        <c:tickLblPos val="nextTo"/>
        <c:crossAx val="533790720"/>
        <c:crosses val="autoZero"/>
        <c:auto val="1"/>
        <c:lblAlgn val="ctr"/>
        <c:lblOffset val="100"/>
        <c:noMultiLvlLbl val="0"/>
      </c:catAx>
      <c:valAx>
        <c:axId val="533790720"/>
        <c:scaling>
          <c:orientation val="minMax"/>
        </c:scaling>
        <c:delete val="0"/>
        <c:axPos val="l"/>
        <c:majorGridlines/>
        <c:numFmt formatCode="0.00" sourceLinked="1"/>
        <c:majorTickMark val="out"/>
        <c:minorTickMark val="none"/>
        <c:tickLblPos val="nextTo"/>
        <c:crossAx val="5302786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Baseline!$AS$135</c:f>
              <c:strCache>
                <c:ptCount val="1"/>
                <c:pt idx="0">
                  <c:v>PCT_BROKER</c:v>
                </c:pt>
              </c:strCache>
            </c:strRef>
          </c:tx>
          <c:marker>
            <c:symbol val="none"/>
          </c:marker>
          <c:cat>
            <c:strRef>
              <c:f>Baseline!$AO$140:$AO$149</c:f>
              <c:strCache>
                <c:ptCount val="10"/>
                <c:pt idx="0">
                  <c:v>07:-50--25</c:v>
                </c:pt>
                <c:pt idx="1">
                  <c:v>08:-25-0</c:v>
                </c:pt>
                <c:pt idx="2">
                  <c:v>09:0-25</c:v>
                </c:pt>
                <c:pt idx="3">
                  <c:v>10:25-50</c:v>
                </c:pt>
                <c:pt idx="4">
                  <c:v>11:50-75</c:v>
                </c:pt>
                <c:pt idx="5">
                  <c:v>12:75-100</c:v>
                </c:pt>
                <c:pt idx="6">
                  <c:v>13:100-125</c:v>
                </c:pt>
                <c:pt idx="7">
                  <c:v>14:125-150</c:v>
                </c:pt>
                <c:pt idx="8">
                  <c:v>15:150-175</c:v>
                </c:pt>
                <c:pt idx="9">
                  <c:v>16:175-200</c:v>
                </c:pt>
              </c:strCache>
            </c:strRef>
          </c:cat>
          <c:val>
            <c:numRef>
              <c:f>Baseline!$AS$140:$AS$149</c:f>
              <c:numCache>
                <c:formatCode>0.00</c:formatCode>
                <c:ptCount val="10"/>
                <c:pt idx="0">
                  <c:v>9.3476428194761993</c:v>
                </c:pt>
                <c:pt idx="1">
                  <c:v>11.0900413834121</c:v>
                </c:pt>
                <c:pt idx="2">
                  <c:v>13.052060757277999</c:v>
                </c:pt>
                <c:pt idx="3">
                  <c:v>13.962235763648801</c:v>
                </c:pt>
                <c:pt idx="4">
                  <c:v>10.8817861751377</c:v>
                </c:pt>
                <c:pt idx="5">
                  <c:v>9.0559604467332893</c:v>
                </c:pt>
                <c:pt idx="6">
                  <c:v>8.0621905437650394</c:v>
                </c:pt>
                <c:pt idx="7">
                  <c:v>8.0917924822012495</c:v>
                </c:pt>
                <c:pt idx="8">
                  <c:v>6.1703459734070503</c:v>
                </c:pt>
                <c:pt idx="9">
                  <c:v>5.5780500463215601</c:v>
                </c:pt>
              </c:numCache>
            </c:numRef>
          </c:val>
          <c:smooth val="0"/>
        </c:ser>
        <c:ser>
          <c:idx val="1"/>
          <c:order val="1"/>
          <c:tx>
            <c:strRef>
              <c:f>Baseline!$AT$135</c:f>
              <c:strCache>
                <c:ptCount val="1"/>
                <c:pt idx="0">
                  <c:v>PCT_CORRES</c:v>
                </c:pt>
              </c:strCache>
            </c:strRef>
          </c:tx>
          <c:marker>
            <c:symbol val="none"/>
          </c:marker>
          <c:cat>
            <c:strRef>
              <c:f>Baseline!$AO$140:$AO$149</c:f>
              <c:strCache>
                <c:ptCount val="10"/>
                <c:pt idx="0">
                  <c:v>07:-50--25</c:v>
                </c:pt>
                <c:pt idx="1">
                  <c:v>08:-25-0</c:v>
                </c:pt>
                <c:pt idx="2">
                  <c:v>09:0-25</c:v>
                </c:pt>
                <c:pt idx="3">
                  <c:v>10:25-50</c:v>
                </c:pt>
                <c:pt idx="4">
                  <c:v>11:50-75</c:v>
                </c:pt>
                <c:pt idx="5">
                  <c:v>12:75-100</c:v>
                </c:pt>
                <c:pt idx="6">
                  <c:v>13:100-125</c:v>
                </c:pt>
                <c:pt idx="7">
                  <c:v>14:125-150</c:v>
                </c:pt>
                <c:pt idx="8">
                  <c:v>15:150-175</c:v>
                </c:pt>
                <c:pt idx="9">
                  <c:v>16:175-200</c:v>
                </c:pt>
              </c:strCache>
            </c:strRef>
          </c:cat>
          <c:val>
            <c:numRef>
              <c:f>Baseline!$AT$140:$AT$149</c:f>
              <c:numCache>
                <c:formatCode>0.00</c:formatCode>
                <c:ptCount val="10"/>
                <c:pt idx="0">
                  <c:v>61.179284953143302</c:v>
                </c:pt>
                <c:pt idx="1">
                  <c:v>52.813431886961403</c:v>
                </c:pt>
                <c:pt idx="2">
                  <c:v>46.179136331207502</c:v>
                </c:pt>
                <c:pt idx="3">
                  <c:v>39.367563952541701</c:v>
                </c:pt>
                <c:pt idx="4">
                  <c:v>38.155934030835198</c:v>
                </c:pt>
                <c:pt idx="5">
                  <c:v>37.008196920708599</c:v>
                </c:pt>
                <c:pt idx="6">
                  <c:v>39.463590778625097</c:v>
                </c:pt>
                <c:pt idx="7">
                  <c:v>39.191378165796799</c:v>
                </c:pt>
                <c:pt idx="8">
                  <c:v>36.295856996137402</c:v>
                </c:pt>
                <c:pt idx="9">
                  <c:v>39.699954437663301</c:v>
                </c:pt>
              </c:numCache>
            </c:numRef>
          </c:val>
          <c:smooth val="0"/>
        </c:ser>
        <c:ser>
          <c:idx val="4"/>
          <c:order val="2"/>
          <c:tx>
            <c:strRef>
              <c:f>Baseline!$AU$135</c:f>
              <c:strCache>
                <c:ptCount val="1"/>
                <c:pt idx="0">
                  <c:v>PCT_CashWindow</c:v>
                </c:pt>
              </c:strCache>
            </c:strRef>
          </c:tx>
          <c:marker>
            <c:symbol val="none"/>
          </c:marker>
          <c:cat>
            <c:strRef>
              <c:f>Baseline!$AO$140:$AO$149</c:f>
              <c:strCache>
                <c:ptCount val="10"/>
                <c:pt idx="0">
                  <c:v>07:-50--25</c:v>
                </c:pt>
                <c:pt idx="1">
                  <c:v>08:-25-0</c:v>
                </c:pt>
                <c:pt idx="2">
                  <c:v>09:0-25</c:v>
                </c:pt>
                <c:pt idx="3">
                  <c:v>10:25-50</c:v>
                </c:pt>
                <c:pt idx="4">
                  <c:v>11:50-75</c:v>
                </c:pt>
                <c:pt idx="5">
                  <c:v>12:75-100</c:v>
                </c:pt>
                <c:pt idx="6">
                  <c:v>13:100-125</c:v>
                </c:pt>
                <c:pt idx="7">
                  <c:v>14:125-150</c:v>
                </c:pt>
                <c:pt idx="8">
                  <c:v>15:150-175</c:v>
                </c:pt>
                <c:pt idx="9">
                  <c:v>16:175-200</c:v>
                </c:pt>
              </c:strCache>
            </c:strRef>
          </c:cat>
          <c:val>
            <c:numRef>
              <c:f>Baseline!$AU$140:$AU$149</c:f>
              <c:numCache>
                <c:formatCode>0.00</c:formatCode>
                <c:ptCount val="10"/>
                <c:pt idx="0">
                  <c:v>7.3830638924867404</c:v>
                </c:pt>
                <c:pt idx="1">
                  <c:v>11.2694386064836</c:v>
                </c:pt>
                <c:pt idx="2">
                  <c:v>13.3688353221808</c:v>
                </c:pt>
                <c:pt idx="3">
                  <c:v>16.798884605200101</c:v>
                </c:pt>
                <c:pt idx="4">
                  <c:v>13.919927905590001</c:v>
                </c:pt>
                <c:pt idx="5">
                  <c:v>11.151045284309101</c:v>
                </c:pt>
                <c:pt idx="6">
                  <c:v>9.9252034303949408</c:v>
                </c:pt>
                <c:pt idx="7">
                  <c:v>9.2110010864493805</c:v>
                </c:pt>
                <c:pt idx="8">
                  <c:v>9.3112727795994008</c:v>
                </c:pt>
                <c:pt idx="9">
                  <c:v>6.9344216739615598</c:v>
                </c:pt>
              </c:numCache>
            </c:numRef>
          </c:val>
          <c:smooth val="0"/>
        </c:ser>
        <c:ser>
          <c:idx val="5"/>
          <c:order val="3"/>
          <c:tx>
            <c:strRef>
              <c:f>Baseline!$AV$135</c:f>
              <c:strCache>
                <c:ptCount val="1"/>
                <c:pt idx="0">
                  <c:v>PCT_NonCashWindow</c:v>
                </c:pt>
              </c:strCache>
            </c:strRef>
          </c:tx>
          <c:marker>
            <c:symbol val="none"/>
          </c:marker>
          <c:cat>
            <c:strRef>
              <c:f>Baseline!$AO$140:$AO$149</c:f>
              <c:strCache>
                <c:ptCount val="10"/>
                <c:pt idx="0">
                  <c:v>07:-50--25</c:v>
                </c:pt>
                <c:pt idx="1">
                  <c:v>08:-25-0</c:v>
                </c:pt>
                <c:pt idx="2">
                  <c:v>09:0-25</c:v>
                </c:pt>
                <c:pt idx="3">
                  <c:v>10:25-50</c:v>
                </c:pt>
                <c:pt idx="4">
                  <c:v>11:50-75</c:v>
                </c:pt>
                <c:pt idx="5">
                  <c:v>12:75-100</c:v>
                </c:pt>
                <c:pt idx="6">
                  <c:v>13:100-125</c:v>
                </c:pt>
                <c:pt idx="7">
                  <c:v>14:125-150</c:v>
                </c:pt>
                <c:pt idx="8">
                  <c:v>15:150-175</c:v>
                </c:pt>
                <c:pt idx="9">
                  <c:v>16:175-200</c:v>
                </c:pt>
              </c:strCache>
            </c:strRef>
          </c:cat>
          <c:val>
            <c:numRef>
              <c:f>Baseline!$AV$140:$AV$149</c:f>
              <c:numCache>
                <c:formatCode>0.00</c:formatCode>
                <c:ptCount val="10"/>
                <c:pt idx="0">
                  <c:v>22.0900083348936</c:v>
                </c:pt>
                <c:pt idx="1">
                  <c:v>24.827088123142602</c:v>
                </c:pt>
                <c:pt idx="2">
                  <c:v>27.3999675893335</c:v>
                </c:pt>
                <c:pt idx="3">
                  <c:v>29.8713156786092</c:v>
                </c:pt>
                <c:pt idx="4">
                  <c:v>37.042351888436897</c:v>
                </c:pt>
                <c:pt idx="5">
                  <c:v>42.784797348248901</c:v>
                </c:pt>
                <c:pt idx="6">
                  <c:v>42.549015247214797</c:v>
                </c:pt>
                <c:pt idx="7">
                  <c:v>43.505828265552502</c:v>
                </c:pt>
                <c:pt idx="8">
                  <c:v>48.222524250856097</c:v>
                </c:pt>
                <c:pt idx="9">
                  <c:v>47.787573842053497</c:v>
                </c:pt>
              </c:numCache>
            </c:numRef>
          </c:val>
          <c:smooth val="0"/>
        </c:ser>
        <c:dLbls>
          <c:showLegendKey val="0"/>
          <c:showVal val="0"/>
          <c:showCatName val="0"/>
          <c:showSerName val="0"/>
          <c:showPercent val="0"/>
          <c:showBubbleSize val="0"/>
        </c:dLbls>
        <c:marker val="1"/>
        <c:smooth val="0"/>
        <c:axId val="526470144"/>
        <c:axId val="527037568"/>
      </c:lineChart>
      <c:catAx>
        <c:axId val="526470144"/>
        <c:scaling>
          <c:orientation val="minMax"/>
        </c:scaling>
        <c:delete val="0"/>
        <c:axPos val="b"/>
        <c:majorTickMark val="out"/>
        <c:minorTickMark val="none"/>
        <c:tickLblPos val="nextTo"/>
        <c:crossAx val="527037568"/>
        <c:crosses val="autoZero"/>
        <c:auto val="1"/>
        <c:lblAlgn val="ctr"/>
        <c:lblOffset val="100"/>
        <c:noMultiLvlLbl val="0"/>
      </c:catAx>
      <c:valAx>
        <c:axId val="527037568"/>
        <c:scaling>
          <c:orientation val="minMax"/>
        </c:scaling>
        <c:delete val="0"/>
        <c:axPos val="l"/>
        <c:majorGridlines/>
        <c:numFmt formatCode="0.00" sourceLinked="1"/>
        <c:majorTickMark val="out"/>
        <c:minorTickMark val="none"/>
        <c:tickLblPos val="nextTo"/>
        <c:crossAx val="5264701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60</xdr:col>
      <xdr:colOff>0</xdr:colOff>
      <xdr:row>135</xdr:row>
      <xdr:rowOff>0</xdr:rowOff>
    </xdr:from>
    <xdr:to>
      <xdr:col>89</xdr:col>
      <xdr:colOff>154781</xdr:colOff>
      <xdr:row>163</xdr:row>
      <xdr:rowOff>130969</xdr:rowOff>
    </xdr:to>
    <xdr:sp macro="" textlink="">
      <xdr:nvSpPr>
        <xdr:cNvPr id="4" name="TextBox 3"/>
        <xdr:cNvSpPr txBox="1"/>
      </xdr:nvSpPr>
      <xdr:spPr>
        <a:xfrm>
          <a:off x="41148000" y="392907"/>
          <a:ext cx="17764125" cy="5834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157</xdr:row>
      <xdr:rowOff>0</xdr:rowOff>
    </xdr:from>
    <xdr:to>
      <xdr:col>59</xdr:col>
      <xdr:colOff>23812</xdr:colOff>
      <xdr:row>177</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83345</xdr:colOff>
      <xdr:row>180</xdr:row>
      <xdr:rowOff>71437</xdr:rowOff>
    </xdr:from>
    <xdr:to>
      <xdr:col>31</xdr:col>
      <xdr:colOff>404813</xdr:colOff>
      <xdr:row>194</xdr:row>
      <xdr:rowOff>147637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41672</xdr:colOff>
      <xdr:row>180</xdr:row>
      <xdr:rowOff>71437</xdr:rowOff>
    </xdr:from>
    <xdr:to>
      <xdr:col>26</xdr:col>
      <xdr:colOff>363140</xdr:colOff>
      <xdr:row>194</xdr:row>
      <xdr:rowOff>147637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180</xdr:row>
      <xdr:rowOff>71437</xdr:rowOff>
    </xdr:from>
    <xdr:to>
      <xdr:col>21</xdr:col>
      <xdr:colOff>321468</xdr:colOff>
      <xdr:row>194</xdr:row>
      <xdr:rowOff>147637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60</xdr:col>
      <xdr:colOff>0</xdr:colOff>
      <xdr:row>2</xdr:row>
      <xdr:rowOff>0</xdr:rowOff>
    </xdr:from>
    <xdr:to>
      <xdr:col>89</xdr:col>
      <xdr:colOff>154781</xdr:colOff>
      <xdr:row>30</xdr:row>
      <xdr:rowOff>130969</xdr:rowOff>
    </xdr:to>
    <xdr:sp macro="" textlink="">
      <xdr:nvSpPr>
        <xdr:cNvPr id="7" name="TextBox 6"/>
        <xdr:cNvSpPr txBox="1"/>
      </xdr:nvSpPr>
      <xdr:spPr>
        <a:xfrm>
          <a:off x="41148000" y="381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24</xdr:row>
      <xdr:rowOff>0</xdr:rowOff>
    </xdr:from>
    <xdr:to>
      <xdr:col>59</xdr:col>
      <xdr:colOff>23812</xdr:colOff>
      <xdr:row>44</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83345</xdr:colOff>
      <xdr:row>47</xdr:row>
      <xdr:rowOff>71437</xdr:rowOff>
    </xdr:from>
    <xdr:to>
      <xdr:col>31</xdr:col>
      <xdr:colOff>404813</xdr:colOff>
      <xdr:row>61</xdr:row>
      <xdr:rowOff>147637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41672</xdr:colOff>
      <xdr:row>47</xdr:row>
      <xdr:rowOff>71437</xdr:rowOff>
    </xdr:from>
    <xdr:to>
      <xdr:col>26</xdr:col>
      <xdr:colOff>363140</xdr:colOff>
      <xdr:row>61</xdr:row>
      <xdr:rowOff>147637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47</xdr:row>
      <xdr:rowOff>71437</xdr:rowOff>
    </xdr:from>
    <xdr:to>
      <xdr:col>21</xdr:col>
      <xdr:colOff>321468</xdr:colOff>
      <xdr:row>61</xdr:row>
      <xdr:rowOff>147637</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60</xdr:col>
      <xdr:colOff>0</xdr:colOff>
      <xdr:row>200</xdr:row>
      <xdr:rowOff>0</xdr:rowOff>
    </xdr:from>
    <xdr:to>
      <xdr:col>89</xdr:col>
      <xdr:colOff>154781</xdr:colOff>
      <xdr:row>228</xdr:row>
      <xdr:rowOff>130969</xdr:rowOff>
    </xdr:to>
    <xdr:sp macro="" textlink="">
      <xdr:nvSpPr>
        <xdr:cNvPr id="15" name="TextBox 14"/>
        <xdr:cNvSpPr txBox="1"/>
      </xdr:nvSpPr>
      <xdr:spPr>
        <a:xfrm>
          <a:off x="41445656" y="131445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222</xdr:row>
      <xdr:rowOff>0</xdr:rowOff>
    </xdr:from>
    <xdr:to>
      <xdr:col>59</xdr:col>
      <xdr:colOff>23812</xdr:colOff>
      <xdr:row>242</xdr:row>
      <xdr:rowOff>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0</xdr:colOff>
      <xdr:row>248</xdr:row>
      <xdr:rowOff>0</xdr:rowOff>
    </xdr:from>
    <xdr:to>
      <xdr:col>89</xdr:col>
      <xdr:colOff>154781</xdr:colOff>
      <xdr:row>276</xdr:row>
      <xdr:rowOff>130969</xdr:rowOff>
    </xdr:to>
    <xdr:sp macro="" textlink="">
      <xdr:nvSpPr>
        <xdr:cNvPr id="20" name="TextBox 19"/>
        <xdr:cNvSpPr txBox="1"/>
      </xdr:nvSpPr>
      <xdr:spPr>
        <a:xfrm>
          <a:off x="41445656" y="25527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270</xdr:row>
      <xdr:rowOff>0</xdr:rowOff>
    </xdr:from>
    <xdr:to>
      <xdr:col>59</xdr:col>
      <xdr:colOff>23812</xdr:colOff>
      <xdr:row>290</xdr:row>
      <xdr:rowOff>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60</xdr:col>
      <xdr:colOff>0</xdr:colOff>
      <xdr:row>296</xdr:row>
      <xdr:rowOff>0</xdr:rowOff>
    </xdr:from>
    <xdr:to>
      <xdr:col>89</xdr:col>
      <xdr:colOff>154781</xdr:colOff>
      <xdr:row>324</xdr:row>
      <xdr:rowOff>130969</xdr:rowOff>
    </xdr:to>
    <xdr:sp macro="" textlink="">
      <xdr:nvSpPr>
        <xdr:cNvPr id="22" name="TextBox 21"/>
        <xdr:cNvSpPr txBox="1"/>
      </xdr:nvSpPr>
      <xdr:spPr>
        <a:xfrm>
          <a:off x="41445656" y="34671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318</xdr:row>
      <xdr:rowOff>0</xdr:rowOff>
    </xdr:from>
    <xdr:to>
      <xdr:col>59</xdr:col>
      <xdr:colOff>23812</xdr:colOff>
      <xdr:row>338</xdr:row>
      <xdr:rowOff>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60</xdr:col>
      <xdr:colOff>0</xdr:colOff>
      <xdr:row>344</xdr:row>
      <xdr:rowOff>0</xdr:rowOff>
    </xdr:from>
    <xdr:to>
      <xdr:col>89</xdr:col>
      <xdr:colOff>154781</xdr:colOff>
      <xdr:row>372</xdr:row>
      <xdr:rowOff>130969</xdr:rowOff>
    </xdr:to>
    <xdr:sp macro="" textlink="">
      <xdr:nvSpPr>
        <xdr:cNvPr id="24" name="TextBox 23"/>
        <xdr:cNvSpPr txBox="1"/>
      </xdr:nvSpPr>
      <xdr:spPr>
        <a:xfrm>
          <a:off x="41445656" y="43815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366</xdr:row>
      <xdr:rowOff>0</xdr:rowOff>
    </xdr:from>
    <xdr:to>
      <xdr:col>59</xdr:col>
      <xdr:colOff>23812</xdr:colOff>
      <xdr:row>386</xdr:row>
      <xdr:rowOff>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49</xdr:col>
      <xdr:colOff>607218</xdr:colOff>
      <xdr:row>389</xdr:row>
      <xdr:rowOff>86914</xdr:rowOff>
    </xdr:from>
    <xdr:to>
      <xdr:col>59</xdr:col>
      <xdr:colOff>95249</xdr:colOff>
      <xdr:row>408</xdr:row>
      <xdr:rowOff>83343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60</xdr:col>
      <xdr:colOff>0</xdr:colOff>
      <xdr:row>68</xdr:row>
      <xdr:rowOff>0</xdr:rowOff>
    </xdr:from>
    <xdr:to>
      <xdr:col>89</xdr:col>
      <xdr:colOff>154781</xdr:colOff>
      <xdr:row>96</xdr:row>
      <xdr:rowOff>130969</xdr:rowOff>
    </xdr:to>
    <xdr:sp macro="" textlink="">
      <xdr:nvSpPr>
        <xdr:cNvPr id="26" name="TextBox 25"/>
        <xdr:cNvSpPr txBox="1"/>
      </xdr:nvSpPr>
      <xdr:spPr>
        <a:xfrm>
          <a:off x="41445656" y="381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90</xdr:row>
      <xdr:rowOff>0</xdr:rowOff>
    </xdr:from>
    <xdr:to>
      <xdr:col>59</xdr:col>
      <xdr:colOff>23812</xdr:colOff>
      <xdr:row>110</xdr:row>
      <xdr:rowOff>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27</xdr:col>
      <xdr:colOff>83345</xdr:colOff>
      <xdr:row>113</xdr:row>
      <xdr:rowOff>71437</xdr:rowOff>
    </xdr:from>
    <xdr:to>
      <xdr:col>31</xdr:col>
      <xdr:colOff>404813</xdr:colOff>
      <xdr:row>127</xdr:row>
      <xdr:rowOff>147637</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41672</xdr:colOff>
      <xdr:row>113</xdr:row>
      <xdr:rowOff>71437</xdr:rowOff>
    </xdr:from>
    <xdr:to>
      <xdr:col>26</xdr:col>
      <xdr:colOff>363140</xdr:colOff>
      <xdr:row>127</xdr:row>
      <xdr:rowOff>147637</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0</xdr:colOff>
      <xdr:row>113</xdr:row>
      <xdr:rowOff>71437</xdr:rowOff>
    </xdr:from>
    <xdr:to>
      <xdr:col>21</xdr:col>
      <xdr:colOff>321468</xdr:colOff>
      <xdr:row>127</xdr:row>
      <xdr:rowOff>147637</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35</xdr:col>
      <xdr:colOff>535781</xdr:colOff>
      <xdr:row>92</xdr:row>
      <xdr:rowOff>75009</xdr:rowOff>
    </xdr:from>
    <xdr:to>
      <xdr:col>42</xdr:col>
      <xdr:colOff>95250</xdr:colOff>
      <xdr:row>106</xdr:row>
      <xdr:rowOff>151209</xdr:rowOff>
    </xdr:to>
    <xdr:graphicFrame macro="">
      <xdr:nvGraphicFramePr>
        <xdr:cNvPr id="31" name="Chart 3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35</xdr:col>
      <xdr:colOff>511968</xdr:colOff>
      <xdr:row>161</xdr:row>
      <xdr:rowOff>3571</xdr:rowOff>
    </xdr:from>
    <xdr:to>
      <xdr:col>42</xdr:col>
      <xdr:colOff>71437</xdr:colOff>
      <xdr:row>175</xdr:row>
      <xdr:rowOff>79771</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Cello\cello-it-dev\trunk\Research\AgencyPrepayment\Baton2\output\spline_tieout\conventional_all_spline_testing.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339.466046875001" createdVersion="4" refreshedVersion="4" minRefreshableVersion="3" recordCount="21761">
  <cacheSource type="worksheet">
    <worksheetSource ref="B1:H1048576" sheet="conventional_all_spline_testing" r:id="rId2"/>
  </cacheSource>
  <cacheFields count="7">
    <cacheField name="spline" numFmtId="0">
      <sharedItems containsBlank="1" count="72">
        <s v="conventional_refinance_cai"/>
        <s v="conventional_refinance_hpa2yr"/>
        <s v="conventional_refinance_wala"/>
        <s v="conventional_refinance_lomedia_incentive"/>
        <s v="conventional_refinance_himedia_incentive"/>
        <s v="conventional_refinance_cltv"/>
        <s v="conventional_refinance_wacls"/>
        <s v="conventional_refinance_fico"/>
        <s v="conventional_refinance_refi_elig_pct"/>
        <s v="conventional_refinance_pct_2nd"/>
        <s v="conventional_refinance_pct_second_lien"/>
        <s v="conventional_refinance_pct_tpo"/>
        <s v="conventional_refinance_media_effect"/>
        <s v="conventional_refinance_burnout"/>
        <s v="conventional_refinance_pct_inv"/>
        <s v="conventional_refinance_pct_purchase"/>
        <s v="conventional_refinance_pct_dq"/>
        <s v="conventional_refinance_pct_HARPed"/>
        <s v="conventional_refinance_HARP_eligible"/>
        <s v="conventional_refinance_purch_oltv"/>
        <s v="conventional_refinance_refi_HARP_oltv"/>
        <s v="conventional_refinance_refi_NonHARP_oltv"/>
        <s v="conventional_turnover_cai"/>
        <s v="conventional_turnover_hpa_annual"/>
        <s v="conventional_turnover_hpa2yr"/>
        <s v="conventional_turnover_pct_hihpa_wala"/>
        <s v="conventional_turnover_lohpa_wala"/>
        <s v="conventional_turnover_hihpa_wala"/>
        <s v="conventional_turnover_wala"/>
        <s v="conventional_turnover_incentive"/>
        <s v="conventional_turnover_cltv"/>
        <s v="conventional_turnover_acls"/>
        <s v="conventional_turnover_wacls"/>
        <s v="conventional_turnover_fico"/>
        <s v="conventional_turnover_sato"/>
        <s v="conventional_turnover_pct_HARPed"/>
        <s v="conventional_turnover_HARP_eligible"/>
        <s v="conventional_turnover_pct_purchase"/>
        <s v="conventional_turnover_pct_REFI"/>
        <s v="conventional_turnover_pct_inv"/>
        <s v="conventional_turnover_pct_second_lien"/>
        <s v="conventional_turnover_purch_oltv"/>
        <s v="conventional_turnover_refi_HARP_oltv"/>
        <s v="conventional_turnover_refi_NonHARP_oltv"/>
        <s v="conventional_turnover_fico_acls_interact_1_acls"/>
        <s v="conventional_turnover_fico_acls_interact_2_fico"/>
        <s v="conventional_default_current_cai"/>
        <s v="conventional_default_current_wala"/>
        <s v="conventional_default_current_monthsSince"/>
        <s v="conventional_default_current_cltv"/>
        <s v="conventional_default_current_fico"/>
        <s v="conventional_default_dq_cai"/>
        <s v="conventional_default_dq_wala"/>
        <s v="conventional_default_dq_monthsSince"/>
        <s v="conventional_default_dq_cltv"/>
        <s v="conventional_default_dq_fico"/>
        <s v="conventional_curtailment_wala"/>
        <s v="conventional_curtailment_wam"/>
        <s v="conventional_curtailment_cltv"/>
        <s v="conventional_curtailment_fico"/>
        <s v="conventional_cashout_cai"/>
        <s v="conventional_cashout_wala"/>
        <s v="conventional_cashout_incentive"/>
        <s v="conventional_cashout_cltv"/>
        <s v="conventional_cashout_pct_HARPed"/>
        <s v="conventional_cashout_wacls"/>
        <s v="conventional_cashout_fico"/>
        <s v="conventional_cashout_refi_elig_pct"/>
        <s v="conventional_cashout_pct_tpo"/>
        <s v="conventional_cashout_hpa2yr"/>
        <s v="conventional_cashout_hpa_cum"/>
        <m/>
      </sharedItems>
    </cacheField>
    <cacheField name="id" numFmtId="0">
      <sharedItems containsBlank="1"/>
    </cacheField>
    <cacheField name="knots" numFmtId="0">
      <sharedItems containsString="0" containsBlank="1" containsNumber="1" containsInteger="1" minValue="-3200" maxValue="19200" count="1900">
        <n v="-40"/>
        <n v="-39"/>
        <n v="-38"/>
        <n v="-37"/>
        <n v="-36"/>
        <n v="-35"/>
        <n v="-34"/>
        <n v="-33"/>
        <n v="-32"/>
        <n v="-31"/>
        <n v="-30"/>
        <n v="-29"/>
        <n v="-28"/>
        <n v="-27"/>
        <n v="-26"/>
        <n v="-25"/>
        <n v="-24"/>
        <n v="-23"/>
        <n v="-22"/>
        <n v="-21"/>
        <n v="-20"/>
        <n v="-19"/>
        <n v="-18"/>
        <n v="-17"/>
        <n v="-16"/>
        <n v="-15"/>
        <n v="-14"/>
        <n v="-13"/>
        <n v="-12"/>
        <n v="-11"/>
        <n v="-10"/>
        <n v="-9"/>
        <n v="-8"/>
        <n v="-7"/>
        <n v="-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3200"/>
        <n v="-3100"/>
        <n v="-3000"/>
        <n v="-2900"/>
        <n v="-2800"/>
        <n v="-2700"/>
        <n v="-2600"/>
        <n v="-2500"/>
        <n v="-2400"/>
        <n v="-2300"/>
        <n v="-2200"/>
        <n v="-2100"/>
        <n v="-2000"/>
        <n v="-1900"/>
        <n v="-1800"/>
        <n v="-1700"/>
        <n v="-1600"/>
        <n v="-1500"/>
        <n v="-1400"/>
        <n v="-1300"/>
        <n v="-1200"/>
        <n v="-1100"/>
        <n v="-1000"/>
        <n v="-900"/>
        <n v="-800"/>
        <n v="-700"/>
        <n v="-600"/>
        <n v="-500"/>
        <n v="-400"/>
        <n v="-3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730"/>
        <n v="-729"/>
        <n v="-728"/>
        <n v="-727"/>
        <n v="-726"/>
        <n v="-725"/>
        <n v="-724"/>
        <n v="-723"/>
        <n v="-722"/>
        <n v="-721"/>
        <n v="-720"/>
        <n v="-719"/>
        <n v="-718"/>
        <n v="-717"/>
        <n v="-716"/>
        <n v="-715"/>
        <n v="-714"/>
        <n v="-713"/>
        <n v="-712"/>
        <n v="-711"/>
        <n v="-710"/>
        <n v="-709"/>
        <n v="-708"/>
        <n v="-707"/>
        <n v="-706"/>
        <n v="-705"/>
        <n v="-704"/>
        <n v="-703"/>
        <n v="-702"/>
        <n v="-701"/>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299"/>
        <n v="-298"/>
        <n v="-297"/>
        <n v="-296"/>
        <n v="-295"/>
        <n v="-294"/>
        <n v="-293"/>
        <n v="-292"/>
        <n v="-291"/>
        <n v="941"/>
        <n v="942"/>
        <n v="943"/>
        <n v="944"/>
        <n v="945"/>
        <n v="946"/>
        <n v="947"/>
        <n v="948"/>
        <n v="949"/>
        <n v="950"/>
        <n v="951"/>
        <n v="952"/>
        <n v="953"/>
        <n v="954"/>
        <n v="955"/>
        <n v="956"/>
        <n v="957"/>
        <n v="958"/>
        <n v="959"/>
        <n v="960"/>
        <m/>
      </sharedItems>
    </cacheField>
    <cacheField name="knotValues" numFmtId="0">
      <sharedItems containsString="0" containsBlank="1" containsNumber="1" minValue="-3.15" maxValue="10.058"/>
    </cacheField>
    <cacheField name="step" numFmtId="0">
      <sharedItems containsString="0" containsBlank="1" containsNumber="1" containsInteger="1" minValue="1" maxValue="100"/>
    </cacheField>
    <cacheField name="min" numFmtId="0">
      <sharedItems containsString="0" containsBlank="1" containsNumber="1" containsInteger="1" minValue="-3200" maxValue="564"/>
    </cacheField>
    <cacheField name="max" numFmtId="0">
      <sharedItems containsString="0" containsBlank="1" containsNumber="1" containsInteger="1" minValue="10" maxValue="19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61">
  <r>
    <x v="0"/>
    <s v="conventional_refinance_cai_-40"/>
    <x v="0"/>
    <n v="0.57999999999999996"/>
    <n v="1"/>
    <n v="-40"/>
    <n v="940"/>
  </r>
  <r>
    <x v="0"/>
    <s v="conventional_refinance_cai_-39"/>
    <x v="1"/>
    <n v="0.57999999999999996"/>
    <n v="1"/>
    <n v="-40"/>
    <n v="940"/>
  </r>
  <r>
    <x v="0"/>
    <s v="conventional_refinance_cai_-38"/>
    <x v="2"/>
    <n v="0.57999999999999996"/>
    <n v="1"/>
    <n v="-40"/>
    <n v="940"/>
  </r>
  <r>
    <x v="0"/>
    <s v="conventional_refinance_cai_-37"/>
    <x v="3"/>
    <n v="0.57999999999999996"/>
    <n v="1"/>
    <n v="-40"/>
    <n v="940"/>
  </r>
  <r>
    <x v="0"/>
    <s v="conventional_refinance_cai_-36"/>
    <x v="4"/>
    <n v="0.57999999999999996"/>
    <n v="1"/>
    <n v="-40"/>
    <n v="940"/>
  </r>
  <r>
    <x v="0"/>
    <s v="conventional_refinance_cai_-35"/>
    <x v="5"/>
    <n v="0.57999999999999996"/>
    <n v="1"/>
    <n v="-40"/>
    <n v="940"/>
  </r>
  <r>
    <x v="0"/>
    <s v="conventional_refinance_cai_-34"/>
    <x v="6"/>
    <n v="0.57999999999999996"/>
    <n v="1"/>
    <n v="-40"/>
    <n v="940"/>
  </r>
  <r>
    <x v="0"/>
    <s v="conventional_refinance_cai_-33"/>
    <x v="7"/>
    <n v="0.57999999999999996"/>
    <n v="1"/>
    <n v="-40"/>
    <n v="940"/>
  </r>
  <r>
    <x v="0"/>
    <s v="conventional_refinance_cai_-32"/>
    <x v="8"/>
    <n v="0.57999999999999996"/>
    <n v="1"/>
    <n v="-40"/>
    <n v="940"/>
  </r>
  <r>
    <x v="0"/>
    <s v="conventional_refinance_cai_-31"/>
    <x v="9"/>
    <n v="0.57999999999999996"/>
    <n v="1"/>
    <n v="-40"/>
    <n v="940"/>
  </r>
  <r>
    <x v="0"/>
    <s v="conventional_refinance_cai_-30"/>
    <x v="10"/>
    <n v="0.57999999999999996"/>
    <n v="1"/>
    <n v="-40"/>
    <n v="940"/>
  </r>
  <r>
    <x v="0"/>
    <s v="conventional_refinance_cai_-29"/>
    <x v="11"/>
    <n v="0.57999999999999996"/>
    <n v="1"/>
    <n v="-40"/>
    <n v="940"/>
  </r>
  <r>
    <x v="0"/>
    <s v="conventional_refinance_cai_-28"/>
    <x v="12"/>
    <n v="0.57999999999999996"/>
    <n v="1"/>
    <n v="-40"/>
    <n v="940"/>
  </r>
  <r>
    <x v="0"/>
    <s v="conventional_refinance_cai_-27"/>
    <x v="13"/>
    <n v="0.57999999999999996"/>
    <n v="1"/>
    <n v="-40"/>
    <n v="940"/>
  </r>
  <r>
    <x v="0"/>
    <s v="conventional_refinance_cai_-26"/>
    <x v="14"/>
    <n v="0.57999999999999996"/>
    <n v="1"/>
    <n v="-40"/>
    <n v="940"/>
  </r>
  <r>
    <x v="0"/>
    <s v="conventional_refinance_cai_-25"/>
    <x v="15"/>
    <n v="0.57999999999999996"/>
    <n v="1"/>
    <n v="-40"/>
    <n v="940"/>
  </r>
  <r>
    <x v="0"/>
    <s v="conventional_refinance_cai_-24"/>
    <x v="16"/>
    <n v="0.57999999999999996"/>
    <n v="1"/>
    <n v="-40"/>
    <n v="940"/>
  </r>
  <r>
    <x v="0"/>
    <s v="conventional_refinance_cai_-23"/>
    <x v="17"/>
    <n v="0.57999999999999996"/>
    <n v="1"/>
    <n v="-40"/>
    <n v="940"/>
  </r>
  <r>
    <x v="0"/>
    <s v="conventional_refinance_cai_-22"/>
    <x v="18"/>
    <n v="0.57999999999999996"/>
    <n v="1"/>
    <n v="-40"/>
    <n v="940"/>
  </r>
  <r>
    <x v="0"/>
    <s v="conventional_refinance_cai_-21"/>
    <x v="19"/>
    <n v="0.57999999999999996"/>
    <n v="1"/>
    <n v="-40"/>
    <n v="940"/>
  </r>
  <r>
    <x v="0"/>
    <s v="conventional_refinance_cai_-20"/>
    <x v="20"/>
    <n v="0.57999999999999996"/>
    <n v="1"/>
    <n v="-40"/>
    <n v="940"/>
  </r>
  <r>
    <x v="0"/>
    <s v="conventional_refinance_cai_-19"/>
    <x v="21"/>
    <n v="0.57999999999999996"/>
    <n v="1"/>
    <n v="-40"/>
    <n v="940"/>
  </r>
  <r>
    <x v="0"/>
    <s v="conventional_refinance_cai_-18"/>
    <x v="22"/>
    <n v="0.57999999999999996"/>
    <n v="1"/>
    <n v="-40"/>
    <n v="940"/>
  </r>
  <r>
    <x v="0"/>
    <s v="conventional_refinance_cai_-17"/>
    <x v="23"/>
    <n v="0.57999999999999996"/>
    <n v="1"/>
    <n v="-40"/>
    <n v="940"/>
  </r>
  <r>
    <x v="0"/>
    <s v="conventional_refinance_cai_-16"/>
    <x v="24"/>
    <n v="0.57999999999999996"/>
    <n v="1"/>
    <n v="-40"/>
    <n v="940"/>
  </r>
  <r>
    <x v="0"/>
    <s v="conventional_refinance_cai_-15"/>
    <x v="25"/>
    <n v="0.57999999999999996"/>
    <n v="1"/>
    <n v="-40"/>
    <n v="940"/>
  </r>
  <r>
    <x v="0"/>
    <s v="conventional_refinance_cai_-14"/>
    <x v="26"/>
    <n v="0.57999999999999996"/>
    <n v="1"/>
    <n v="-40"/>
    <n v="940"/>
  </r>
  <r>
    <x v="0"/>
    <s v="conventional_refinance_cai_-13"/>
    <x v="27"/>
    <n v="0.57999999999999996"/>
    <n v="1"/>
    <n v="-40"/>
    <n v="940"/>
  </r>
  <r>
    <x v="0"/>
    <s v="conventional_refinance_cai_-12"/>
    <x v="28"/>
    <n v="0.57999999999999996"/>
    <n v="1"/>
    <n v="-40"/>
    <n v="940"/>
  </r>
  <r>
    <x v="0"/>
    <s v="conventional_refinance_cai_-11"/>
    <x v="29"/>
    <n v="0.57999999999999996"/>
    <n v="1"/>
    <n v="-40"/>
    <n v="940"/>
  </r>
  <r>
    <x v="0"/>
    <s v="conventional_refinance_cai_-10"/>
    <x v="30"/>
    <n v="0.57999999999999996"/>
    <n v="1"/>
    <n v="-40"/>
    <n v="940"/>
  </r>
  <r>
    <x v="0"/>
    <s v="conventional_refinance_cai_-9"/>
    <x v="31"/>
    <n v="0.57999999999999996"/>
    <n v="1"/>
    <n v="-40"/>
    <n v="940"/>
  </r>
  <r>
    <x v="0"/>
    <s v="conventional_refinance_cai_-8"/>
    <x v="32"/>
    <n v="0.57999999999999996"/>
    <n v="1"/>
    <n v="-40"/>
    <n v="940"/>
  </r>
  <r>
    <x v="0"/>
    <s v="conventional_refinance_cai_-7"/>
    <x v="33"/>
    <n v="0.57999999999999996"/>
    <n v="1"/>
    <n v="-40"/>
    <n v="940"/>
  </r>
  <r>
    <x v="0"/>
    <s v="conventional_refinance_cai_-6"/>
    <x v="34"/>
    <n v="0.57999999999999996"/>
    <n v="1"/>
    <n v="-40"/>
    <n v="940"/>
  </r>
  <r>
    <x v="0"/>
    <s v="conventional_refinance_cai_-5"/>
    <x v="35"/>
    <n v="0.57999999999999996"/>
    <n v="1"/>
    <n v="-40"/>
    <n v="940"/>
  </r>
  <r>
    <x v="0"/>
    <s v="conventional_refinance_cai_-4"/>
    <x v="36"/>
    <n v="0.57999999999999996"/>
    <n v="1"/>
    <n v="-40"/>
    <n v="940"/>
  </r>
  <r>
    <x v="0"/>
    <s v="conventional_refinance_cai_-3"/>
    <x v="37"/>
    <n v="0.57999999999999996"/>
    <n v="1"/>
    <n v="-40"/>
    <n v="940"/>
  </r>
  <r>
    <x v="0"/>
    <s v="conventional_refinance_cai_-2"/>
    <x v="38"/>
    <n v="0.57999999999999996"/>
    <n v="1"/>
    <n v="-40"/>
    <n v="940"/>
  </r>
  <r>
    <x v="0"/>
    <s v="conventional_refinance_cai_-1"/>
    <x v="39"/>
    <n v="0.57999999999999996"/>
    <n v="1"/>
    <n v="-40"/>
    <n v="940"/>
  </r>
  <r>
    <x v="0"/>
    <s v="conventional_refinance_cai_0"/>
    <x v="40"/>
    <n v="0.57999999999999996"/>
    <n v="1"/>
    <n v="-40"/>
    <n v="940"/>
  </r>
  <r>
    <x v="0"/>
    <s v="conventional_refinance_cai_1"/>
    <x v="41"/>
    <n v="0.57999999999999996"/>
    <n v="1"/>
    <n v="-40"/>
    <n v="940"/>
  </r>
  <r>
    <x v="0"/>
    <s v="conventional_refinance_cai_2"/>
    <x v="42"/>
    <n v="0.57999999999999996"/>
    <n v="1"/>
    <n v="-40"/>
    <n v="940"/>
  </r>
  <r>
    <x v="0"/>
    <s v="conventional_refinance_cai_3"/>
    <x v="43"/>
    <n v="0.57999999999999996"/>
    <n v="1"/>
    <n v="-40"/>
    <n v="940"/>
  </r>
  <r>
    <x v="0"/>
    <s v="conventional_refinance_cai_4"/>
    <x v="44"/>
    <n v="0.57999999999999996"/>
    <n v="1"/>
    <n v="-40"/>
    <n v="940"/>
  </r>
  <r>
    <x v="0"/>
    <s v="conventional_refinance_cai_5"/>
    <x v="45"/>
    <n v="0.57999999999999996"/>
    <n v="1"/>
    <n v="-40"/>
    <n v="940"/>
  </r>
  <r>
    <x v="0"/>
    <s v="conventional_refinance_cai_6"/>
    <x v="46"/>
    <n v="0.57999999999999996"/>
    <n v="1"/>
    <n v="-40"/>
    <n v="940"/>
  </r>
  <r>
    <x v="0"/>
    <s v="conventional_refinance_cai_7"/>
    <x v="47"/>
    <n v="0.57999999999999996"/>
    <n v="1"/>
    <n v="-40"/>
    <n v="940"/>
  </r>
  <r>
    <x v="0"/>
    <s v="conventional_refinance_cai_8"/>
    <x v="48"/>
    <n v="0.57999999999999996"/>
    <n v="1"/>
    <n v="-40"/>
    <n v="940"/>
  </r>
  <r>
    <x v="0"/>
    <s v="conventional_refinance_cai_9"/>
    <x v="49"/>
    <n v="0.57999999999999996"/>
    <n v="1"/>
    <n v="-40"/>
    <n v="940"/>
  </r>
  <r>
    <x v="0"/>
    <s v="conventional_refinance_cai_10"/>
    <x v="50"/>
    <n v="0.57999999999999996"/>
    <n v="1"/>
    <n v="-40"/>
    <n v="940"/>
  </r>
  <r>
    <x v="0"/>
    <s v="conventional_refinance_cai_11"/>
    <x v="51"/>
    <n v="0.57999999999999996"/>
    <n v="1"/>
    <n v="-40"/>
    <n v="940"/>
  </r>
  <r>
    <x v="0"/>
    <s v="conventional_refinance_cai_12"/>
    <x v="52"/>
    <n v="0.57999999999999996"/>
    <n v="1"/>
    <n v="-40"/>
    <n v="940"/>
  </r>
  <r>
    <x v="0"/>
    <s v="conventional_refinance_cai_13"/>
    <x v="53"/>
    <n v="0.57999999999999996"/>
    <n v="1"/>
    <n v="-40"/>
    <n v="940"/>
  </r>
  <r>
    <x v="0"/>
    <s v="conventional_refinance_cai_14"/>
    <x v="54"/>
    <n v="0.57999999999999996"/>
    <n v="1"/>
    <n v="-40"/>
    <n v="940"/>
  </r>
  <r>
    <x v="0"/>
    <s v="conventional_refinance_cai_15"/>
    <x v="55"/>
    <n v="0.57999999999999996"/>
    <n v="1"/>
    <n v="-40"/>
    <n v="940"/>
  </r>
  <r>
    <x v="0"/>
    <s v="conventional_refinance_cai_16"/>
    <x v="56"/>
    <n v="0.57999999999999996"/>
    <n v="1"/>
    <n v="-40"/>
    <n v="940"/>
  </r>
  <r>
    <x v="0"/>
    <s v="conventional_refinance_cai_17"/>
    <x v="57"/>
    <n v="0.57999999999999996"/>
    <n v="1"/>
    <n v="-40"/>
    <n v="940"/>
  </r>
  <r>
    <x v="0"/>
    <s v="conventional_refinance_cai_18"/>
    <x v="58"/>
    <n v="0.57999999999999996"/>
    <n v="1"/>
    <n v="-40"/>
    <n v="940"/>
  </r>
  <r>
    <x v="0"/>
    <s v="conventional_refinance_cai_19"/>
    <x v="59"/>
    <n v="0.57999999999999996"/>
    <n v="1"/>
    <n v="-40"/>
    <n v="940"/>
  </r>
  <r>
    <x v="0"/>
    <s v="conventional_refinance_cai_20"/>
    <x v="60"/>
    <n v="0.57999999999999996"/>
    <n v="1"/>
    <n v="-40"/>
    <n v="940"/>
  </r>
  <r>
    <x v="0"/>
    <s v="conventional_refinance_cai_21"/>
    <x v="61"/>
    <n v="0.57999999999999996"/>
    <n v="1"/>
    <n v="-40"/>
    <n v="940"/>
  </r>
  <r>
    <x v="0"/>
    <s v="conventional_refinance_cai_22"/>
    <x v="62"/>
    <n v="0.57999999999999996"/>
    <n v="1"/>
    <n v="-40"/>
    <n v="940"/>
  </r>
  <r>
    <x v="0"/>
    <s v="conventional_refinance_cai_23"/>
    <x v="63"/>
    <n v="0.57999999999999996"/>
    <n v="1"/>
    <n v="-40"/>
    <n v="940"/>
  </r>
  <r>
    <x v="0"/>
    <s v="conventional_refinance_cai_24"/>
    <x v="64"/>
    <n v="0.57999999999999996"/>
    <n v="1"/>
    <n v="-40"/>
    <n v="940"/>
  </r>
  <r>
    <x v="0"/>
    <s v="conventional_refinance_cai_25"/>
    <x v="65"/>
    <n v="0.57999999999999996"/>
    <n v="1"/>
    <n v="-40"/>
    <n v="940"/>
  </r>
  <r>
    <x v="0"/>
    <s v="conventional_refinance_cai_26"/>
    <x v="66"/>
    <n v="0.57999999999999996"/>
    <n v="1"/>
    <n v="-40"/>
    <n v="940"/>
  </r>
  <r>
    <x v="0"/>
    <s v="conventional_refinance_cai_27"/>
    <x v="67"/>
    <n v="0.57999999999999996"/>
    <n v="1"/>
    <n v="-40"/>
    <n v="940"/>
  </r>
  <r>
    <x v="0"/>
    <s v="conventional_refinance_cai_28"/>
    <x v="68"/>
    <n v="0.57999999999999996"/>
    <n v="1"/>
    <n v="-40"/>
    <n v="940"/>
  </r>
  <r>
    <x v="0"/>
    <s v="conventional_refinance_cai_29"/>
    <x v="69"/>
    <n v="0.57999999999999996"/>
    <n v="1"/>
    <n v="-40"/>
    <n v="940"/>
  </r>
  <r>
    <x v="0"/>
    <s v="conventional_refinance_cai_30"/>
    <x v="70"/>
    <n v="0.57999999999999996"/>
    <n v="1"/>
    <n v="-40"/>
    <n v="940"/>
  </r>
  <r>
    <x v="0"/>
    <s v="conventional_refinance_cai_31"/>
    <x v="71"/>
    <n v="0.57999999999999996"/>
    <n v="1"/>
    <n v="-40"/>
    <n v="940"/>
  </r>
  <r>
    <x v="0"/>
    <s v="conventional_refinance_cai_32"/>
    <x v="72"/>
    <n v="0.57999999999999996"/>
    <n v="1"/>
    <n v="-40"/>
    <n v="940"/>
  </r>
  <r>
    <x v="0"/>
    <s v="conventional_refinance_cai_33"/>
    <x v="73"/>
    <n v="0.57999999999999996"/>
    <n v="1"/>
    <n v="-40"/>
    <n v="940"/>
  </r>
  <r>
    <x v="0"/>
    <s v="conventional_refinance_cai_34"/>
    <x v="74"/>
    <n v="0.57999999999999996"/>
    <n v="1"/>
    <n v="-40"/>
    <n v="940"/>
  </r>
  <r>
    <x v="0"/>
    <s v="conventional_refinance_cai_35"/>
    <x v="75"/>
    <n v="0.57999999999999996"/>
    <n v="1"/>
    <n v="-40"/>
    <n v="940"/>
  </r>
  <r>
    <x v="0"/>
    <s v="conventional_refinance_cai_36"/>
    <x v="76"/>
    <n v="0.57999999999999996"/>
    <n v="1"/>
    <n v="-40"/>
    <n v="940"/>
  </r>
  <r>
    <x v="0"/>
    <s v="conventional_refinance_cai_37"/>
    <x v="77"/>
    <n v="0.57999999999999996"/>
    <n v="1"/>
    <n v="-40"/>
    <n v="940"/>
  </r>
  <r>
    <x v="0"/>
    <s v="conventional_refinance_cai_38"/>
    <x v="78"/>
    <n v="0.57999999999999996"/>
    <n v="1"/>
    <n v="-40"/>
    <n v="940"/>
  </r>
  <r>
    <x v="0"/>
    <s v="conventional_refinance_cai_39"/>
    <x v="79"/>
    <n v="0.57999999999999996"/>
    <n v="1"/>
    <n v="-40"/>
    <n v="940"/>
  </r>
  <r>
    <x v="0"/>
    <s v="conventional_refinance_cai_40"/>
    <x v="80"/>
    <n v="0.57999999999999996"/>
    <n v="1"/>
    <n v="-40"/>
    <n v="940"/>
  </r>
  <r>
    <x v="0"/>
    <s v="conventional_refinance_cai_41"/>
    <x v="81"/>
    <n v="0.57999999999999996"/>
    <n v="1"/>
    <n v="-40"/>
    <n v="940"/>
  </r>
  <r>
    <x v="0"/>
    <s v="conventional_refinance_cai_42"/>
    <x v="82"/>
    <n v="0.57999999999999996"/>
    <n v="1"/>
    <n v="-40"/>
    <n v="940"/>
  </r>
  <r>
    <x v="0"/>
    <s v="conventional_refinance_cai_43"/>
    <x v="83"/>
    <n v="0.57999999999999996"/>
    <n v="1"/>
    <n v="-40"/>
    <n v="940"/>
  </r>
  <r>
    <x v="0"/>
    <s v="conventional_refinance_cai_44"/>
    <x v="84"/>
    <n v="0.57999999999999996"/>
    <n v="1"/>
    <n v="-40"/>
    <n v="940"/>
  </r>
  <r>
    <x v="0"/>
    <s v="conventional_refinance_cai_45"/>
    <x v="85"/>
    <n v="0.57999999999999996"/>
    <n v="1"/>
    <n v="-40"/>
    <n v="940"/>
  </r>
  <r>
    <x v="0"/>
    <s v="conventional_refinance_cai_46"/>
    <x v="86"/>
    <n v="0.57999999999999996"/>
    <n v="1"/>
    <n v="-40"/>
    <n v="940"/>
  </r>
  <r>
    <x v="0"/>
    <s v="conventional_refinance_cai_47"/>
    <x v="87"/>
    <n v="0.57999999999999996"/>
    <n v="1"/>
    <n v="-40"/>
    <n v="940"/>
  </r>
  <r>
    <x v="0"/>
    <s v="conventional_refinance_cai_48"/>
    <x v="88"/>
    <n v="0.57999999999999996"/>
    <n v="1"/>
    <n v="-40"/>
    <n v="940"/>
  </r>
  <r>
    <x v="0"/>
    <s v="conventional_refinance_cai_49"/>
    <x v="89"/>
    <n v="0.57999999999999996"/>
    <n v="1"/>
    <n v="-40"/>
    <n v="940"/>
  </r>
  <r>
    <x v="0"/>
    <s v="conventional_refinance_cai_50"/>
    <x v="90"/>
    <n v="0.57999999999999996"/>
    <n v="1"/>
    <n v="-40"/>
    <n v="940"/>
  </r>
  <r>
    <x v="0"/>
    <s v="conventional_refinance_cai_51"/>
    <x v="91"/>
    <n v="0.57999999999999996"/>
    <n v="1"/>
    <n v="-40"/>
    <n v="940"/>
  </r>
  <r>
    <x v="0"/>
    <s v="conventional_refinance_cai_52"/>
    <x v="92"/>
    <n v="0.57999999999999996"/>
    <n v="1"/>
    <n v="-40"/>
    <n v="940"/>
  </r>
  <r>
    <x v="0"/>
    <s v="conventional_refinance_cai_53"/>
    <x v="93"/>
    <n v="0.57999999999999996"/>
    <n v="1"/>
    <n v="-40"/>
    <n v="940"/>
  </r>
  <r>
    <x v="0"/>
    <s v="conventional_refinance_cai_54"/>
    <x v="94"/>
    <n v="0.57999999999999996"/>
    <n v="1"/>
    <n v="-40"/>
    <n v="940"/>
  </r>
  <r>
    <x v="0"/>
    <s v="conventional_refinance_cai_55"/>
    <x v="95"/>
    <n v="0.57999999999999996"/>
    <n v="1"/>
    <n v="-40"/>
    <n v="940"/>
  </r>
  <r>
    <x v="0"/>
    <s v="conventional_refinance_cai_56"/>
    <x v="96"/>
    <n v="0.57999999999999996"/>
    <n v="1"/>
    <n v="-40"/>
    <n v="940"/>
  </r>
  <r>
    <x v="0"/>
    <s v="conventional_refinance_cai_57"/>
    <x v="97"/>
    <n v="0.57999999999999996"/>
    <n v="1"/>
    <n v="-40"/>
    <n v="940"/>
  </r>
  <r>
    <x v="0"/>
    <s v="conventional_refinance_cai_58"/>
    <x v="98"/>
    <n v="0.57999999999999996"/>
    <n v="1"/>
    <n v="-40"/>
    <n v="940"/>
  </r>
  <r>
    <x v="0"/>
    <s v="conventional_refinance_cai_59"/>
    <x v="99"/>
    <n v="0.57999999999999996"/>
    <n v="1"/>
    <n v="-40"/>
    <n v="940"/>
  </r>
  <r>
    <x v="0"/>
    <s v="conventional_refinance_cai_60"/>
    <x v="100"/>
    <n v="0.57999999999999996"/>
    <n v="1"/>
    <n v="-40"/>
    <n v="940"/>
  </r>
  <r>
    <x v="0"/>
    <s v="conventional_refinance_cai_61"/>
    <x v="101"/>
    <n v="0.57999999999999996"/>
    <n v="1"/>
    <n v="-40"/>
    <n v="940"/>
  </r>
  <r>
    <x v="0"/>
    <s v="conventional_refinance_cai_62"/>
    <x v="102"/>
    <n v="0.57999999999999996"/>
    <n v="1"/>
    <n v="-40"/>
    <n v="940"/>
  </r>
  <r>
    <x v="0"/>
    <s v="conventional_refinance_cai_63"/>
    <x v="103"/>
    <n v="0.57999999999999996"/>
    <n v="1"/>
    <n v="-40"/>
    <n v="940"/>
  </r>
  <r>
    <x v="0"/>
    <s v="conventional_refinance_cai_64"/>
    <x v="104"/>
    <n v="0.57999999999999996"/>
    <n v="1"/>
    <n v="-40"/>
    <n v="940"/>
  </r>
  <r>
    <x v="0"/>
    <s v="conventional_refinance_cai_65"/>
    <x v="105"/>
    <n v="0.57999999999999996"/>
    <n v="1"/>
    <n v="-40"/>
    <n v="940"/>
  </r>
  <r>
    <x v="0"/>
    <s v="conventional_refinance_cai_66"/>
    <x v="106"/>
    <n v="0.57999999999999996"/>
    <n v="1"/>
    <n v="-40"/>
    <n v="940"/>
  </r>
  <r>
    <x v="0"/>
    <s v="conventional_refinance_cai_67"/>
    <x v="107"/>
    <n v="0.57999999999999996"/>
    <n v="1"/>
    <n v="-40"/>
    <n v="940"/>
  </r>
  <r>
    <x v="0"/>
    <s v="conventional_refinance_cai_68"/>
    <x v="108"/>
    <n v="0.57999999999999996"/>
    <n v="1"/>
    <n v="-40"/>
    <n v="940"/>
  </r>
  <r>
    <x v="0"/>
    <s v="conventional_refinance_cai_69"/>
    <x v="109"/>
    <n v="0.57999999999999996"/>
    <n v="1"/>
    <n v="-40"/>
    <n v="940"/>
  </r>
  <r>
    <x v="0"/>
    <s v="conventional_refinance_cai_70"/>
    <x v="110"/>
    <n v="0.57999999999999996"/>
    <n v="1"/>
    <n v="-40"/>
    <n v="940"/>
  </r>
  <r>
    <x v="0"/>
    <s v="conventional_refinance_cai_71"/>
    <x v="111"/>
    <n v="0.57999999999999996"/>
    <n v="1"/>
    <n v="-40"/>
    <n v="940"/>
  </r>
  <r>
    <x v="0"/>
    <s v="conventional_refinance_cai_72"/>
    <x v="112"/>
    <n v="0.57999999999999996"/>
    <n v="1"/>
    <n v="-40"/>
    <n v="940"/>
  </r>
  <r>
    <x v="0"/>
    <s v="conventional_refinance_cai_73"/>
    <x v="113"/>
    <n v="0.57999999999999996"/>
    <n v="1"/>
    <n v="-40"/>
    <n v="940"/>
  </r>
  <r>
    <x v="0"/>
    <s v="conventional_refinance_cai_74"/>
    <x v="114"/>
    <n v="0.57999999999999996"/>
    <n v="1"/>
    <n v="-40"/>
    <n v="940"/>
  </r>
  <r>
    <x v="0"/>
    <s v="conventional_refinance_cai_75"/>
    <x v="115"/>
    <n v="0.57999999999999996"/>
    <n v="1"/>
    <n v="-40"/>
    <n v="940"/>
  </r>
  <r>
    <x v="0"/>
    <s v="conventional_refinance_cai_76"/>
    <x v="116"/>
    <n v="0.57999999999999996"/>
    <n v="1"/>
    <n v="-40"/>
    <n v="940"/>
  </r>
  <r>
    <x v="0"/>
    <s v="conventional_refinance_cai_77"/>
    <x v="117"/>
    <n v="0.57999999999999996"/>
    <n v="1"/>
    <n v="-40"/>
    <n v="940"/>
  </r>
  <r>
    <x v="0"/>
    <s v="conventional_refinance_cai_78"/>
    <x v="118"/>
    <n v="0.57999999999999996"/>
    <n v="1"/>
    <n v="-40"/>
    <n v="940"/>
  </r>
  <r>
    <x v="0"/>
    <s v="conventional_refinance_cai_79"/>
    <x v="119"/>
    <n v="0.57999999999999996"/>
    <n v="1"/>
    <n v="-40"/>
    <n v="940"/>
  </r>
  <r>
    <x v="0"/>
    <s v="conventional_refinance_cai_80"/>
    <x v="120"/>
    <n v="0.57999999999999996"/>
    <n v="1"/>
    <n v="-40"/>
    <n v="940"/>
  </r>
  <r>
    <x v="0"/>
    <s v="conventional_refinance_cai_81"/>
    <x v="121"/>
    <n v="0.57999999999999996"/>
    <n v="1"/>
    <n v="-40"/>
    <n v="940"/>
  </r>
  <r>
    <x v="0"/>
    <s v="conventional_refinance_cai_82"/>
    <x v="122"/>
    <n v="0.57999999999999996"/>
    <n v="1"/>
    <n v="-40"/>
    <n v="940"/>
  </r>
  <r>
    <x v="0"/>
    <s v="conventional_refinance_cai_83"/>
    <x v="123"/>
    <n v="0.57999999999999996"/>
    <n v="1"/>
    <n v="-40"/>
    <n v="940"/>
  </r>
  <r>
    <x v="0"/>
    <s v="conventional_refinance_cai_84"/>
    <x v="124"/>
    <n v="0.57999999999999996"/>
    <n v="1"/>
    <n v="-40"/>
    <n v="940"/>
  </r>
  <r>
    <x v="0"/>
    <s v="conventional_refinance_cai_85"/>
    <x v="125"/>
    <n v="0.57999999999999996"/>
    <n v="1"/>
    <n v="-40"/>
    <n v="940"/>
  </r>
  <r>
    <x v="0"/>
    <s v="conventional_refinance_cai_86"/>
    <x v="126"/>
    <n v="0.57999999999999996"/>
    <n v="1"/>
    <n v="-40"/>
    <n v="940"/>
  </r>
  <r>
    <x v="0"/>
    <s v="conventional_refinance_cai_87"/>
    <x v="127"/>
    <n v="0.57999999999999996"/>
    <n v="1"/>
    <n v="-40"/>
    <n v="940"/>
  </r>
  <r>
    <x v="0"/>
    <s v="conventional_refinance_cai_88"/>
    <x v="128"/>
    <n v="0.57999999999999996"/>
    <n v="1"/>
    <n v="-40"/>
    <n v="940"/>
  </r>
  <r>
    <x v="0"/>
    <s v="conventional_refinance_cai_89"/>
    <x v="129"/>
    <n v="0.57999999999999996"/>
    <n v="1"/>
    <n v="-40"/>
    <n v="940"/>
  </r>
  <r>
    <x v="0"/>
    <s v="conventional_refinance_cai_90"/>
    <x v="130"/>
    <n v="0.57999999999999996"/>
    <n v="1"/>
    <n v="-40"/>
    <n v="940"/>
  </r>
  <r>
    <x v="0"/>
    <s v="conventional_refinance_cai_91"/>
    <x v="131"/>
    <n v="0.57999999999999996"/>
    <n v="1"/>
    <n v="-40"/>
    <n v="940"/>
  </r>
  <r>
    <x v="0"/>
    <s v="conventional_refinance_cai_92"/>
    <x v="132"/>
    <n v="0.57999999999999996"/>
    <n v="1"/>
    <n v="-40"/>
    <n v="940"/>
  </r>
  <r>
    <x v="0"/>
    <s v="conventional_refinance_cai_93"/>
    <x v="133"/>
    <n v="0.57999999999999996"/>
    <n v="1"/>
    <n v="-40"/>
    <n v="940"/>
  </r>
  <r>
    <x v="0"/>
    <s v="conventional_refinance_cai_94"/>
    <x v="134"/>
    <n v="0.57999999999999996"/>
    <n v="1"/>
    <n v="-40"/>
    <n v="940"/>
  </r>
  <r>
    <x v="0"/>
    <s v="conventional_refinance_cai_95"/>
    <x v="135"/>
    <n v="0.57999999999999996"/>
    <n v="1"/>
    <n v="-40"/>
    <n v="940"/>
  </r>
  <r>
    <x v="0"/>
    <s v="conventional_refinance_cai_96"/>
    <x v="136"/>
    <n v="0.57999999999999996"/>
    <n v="1"/>
    <n v="-40"/>
    <n v="940"/>
  </r>
  <r>
    <x v="0"/>
    <s v="conventional_refinance_cai_97"/>
    <x v="137"/>
    <n v="0.57999999999999996"/>
    <n v="1"/>
    <n v="-40"/>
    <n v="940"/>
  </r>
  <r>
    <x v="0"/>
    <s v="conventional_refinance_cai_98"/>
    <x v="138"/>
    <n v="0.57999999999999996"/>
    <n v="1"/>
    <n v="-40"/>
    <n v="940"/>
  </r>
  <r>
    <x v="0"/>
    <s v="conventional_refinance_cai_99"/>
    <x v="139"/>
    <n v="0.57999999999999996"/>
    <n v="1"/>
    <n v="-40"/>
    <n v="940"/>
  </r>
  <r>
    <x v="0"/>
    <s v="conventional_refinance_cai_100"/>
    <x v="140"/>
    <n v="0.57999999999999996"/>
    <n v="1"/>
    <n v="-40"/>
    <n v="940"/>
  </r>
  <r>
    <x v="0"/>
    <s v="conventional_refinance_cai_101"/>
    <x v="141"/>
    <n v="0.57999999999999996"/>
    <n v="1"/>
    <n v="-40"/>
    <n v="940"/>
  </r>
  <r>
    <x v="0"/>
    <s v="conventional_refinance_cai_102"/>
    <x v="142"/>
    <n v="0.57999999999999996"/>
    <n v="1"/>
    <n v="-40"/>
    <n v="940"/>
  </r>
  <r>
    <x v="0"/>
    <s v="conventional_refinance_cai_103"/>
    <x v="143"/>
    <n v="0.57999999999999996"/>
    <n v="1"/>
    <n v="-40"/>
    <n v="940"/>
  </r>
  <r>
    <x v="0"/>
    <s v="conventional_refinance_cai_104"/>
    <x v="144"/>
    <n v="0.57999999999999996"/>
    <n v="1"/>
    <n v="-40"/>
    <n v="940"/>
  </r>
  <r>
    <x v="0"/>
    <s v="conventional_refinance_cai_105"/>
    <x v="145"/>
    <n v="0.57999999999999996"/>
    <n v="1"/>
    <n v="-40"/>
    <n v="940"/>
  </r>
  <r>
    <x v="0"/>
    <s v="conventional_refinance_cai_106"/>
    <x v="146"/>
    <n v="0.57999999999999996"/>
    <n v="1"/>
    <n v="-40"/>
    <n v="940"/>
  </r>
  <r>
    <x v="0"/>
    <s v="conventional_refinance_cai_107"/>
    <x v="147"/>
    <n v="0.57999999999999996"/>
    <n v="1"/>
    <n v="-40"/>
    <n v="940"/>
  </r>
  <r>
    <x v="0"/>
    <s v="conventional_refinance_cai_108"/>
    <x v="148"/>
    <n v="0.57999999999999996"/>
    <n v="1"/>
    <n v="-40"/>
    <n v="940"/>
  </r>
  <r>
    <x v="0"/>
    <s v="conventional_refinance_cai_109"/>
    <x v="149"/>
    <n v="0.57999999999999996"/>
    <n v="1"/>
    <n v="-40"/>
    <n v="940"/>
  </r>
  <r>
    <x v="0"/>
    <s v="conventional_refinance_cai_110"/>
    <x v="150"/>
    <n v="0.57999999999999996"/>
    <n v="1"/>
    <n v="-40"/>
    <n v="940"/>
  </r>
  <r>
    <x v="0"/>
    <s v="conventional_refinance_cai_111"/>
    <x v="151"/>
    <n v="0.57999999999999996"/>
    <n v="1"/>
    <n v="-40"/>
    <n v="940"/>
  </r>
  <r>
    <x v="0"/>
    <s v="conventional_refinance_cai_112"/>
    <x v="152"/>
    <n v="0.57999999999999996"/>
    <n v="1"/>
    <n v="-40"/>
    <n v="940"/>
  </r>
  <r>
    <x v="0"/>
    <s v="conventional_refinance_cai_113"/>
    <x v="153"/>
    <n v="0.57999999999999996"/>
    <n v="1"/>
    <n v="-40"/>
    <n v="940"/>
  </r>
  <r>
    <x v="0"/>
    <s v="conventional_refinance_cai_114"/>
    <x v="154"/>
    <n v="0.57999999999999996"/>
    <n v="1"/>
    <n v="-40"/>
    <n v="940"/>
  </r>
  <r>
    <x v="0"/>
    <s v="conventional_refinance_cai_115"/>
    <x v="155"/>
    <n v="0.57999999999999996"/>
    <n v="1"/>
    <n v="-40"/>
    <n v="940"/>
  </r>
  <r>
    <x v="0"/>
    <s v="conventional_refinance_cai_116"/>
    <x v="156"/>
    <n v="0.57999999999999996"/>
    <n v="1"/>
    <n v="-40"/>
    <n v="940"/>
  </r>
  <r>
    <x v="0"/>
    <s v="conventional_refinance_cai_117"/>
    <x v="157"/>
    <n v="0.57999999999999996"/>
    <n v="1"/>
    <n v="-40"/>
    <n v="940"/>
  </r>
  <r>
    <x v="0"/>
    <s v="conventional_refinance_cai_118"/>
    <x v="158"/>
    <n v="0.57999999999999996"/>
    <n v="1"/>
    <n v="-40"/>
    <n v="940"/>
  </r>
  <r>
    <x v="0"/>
    <s v="conventional_refinance_cai_119"/>
    <x v="159"/>
    <n v="0.57999999999999996"/>
    <n v="1"/>
    <n v="-40"/>
    <n v="940"/>
  </r>
  <r>
    <x v="0"/>
    <s v="conventional_refinance_cai_120"/>
    <x v="160"/>
    <n v="0.57999999999999996"/>
    <n v="1"/>
    <n v="-40"/>
    <n v="940"/>
  </r>
  <r>
    <x v="0"/>
    <s v="conventional_refinance_cai_121"/>
    <x v="161"/>
    <n v="0.57999999999999996"/>
    <n v="1"/>
    <n v="-40"/>
    <n v="940"/>
  </r>
  <r>
    <x v="0"/>
    <s v="conventional_refinance_cai_122"/>
    <x v="162"/>
    <n v="0.57999999999999996"/>
    <n v="1"/>
    <n v="-40"/>
    <n v="940"/>
  </r>
  <r>
    <x v="0"/>
    <s v="conventional_refinance_cai_123"/>
    <x v="163"/>
    <n v="0.57999999999999996"/>
    <n v="1"/>
    <n v="-40"/>
    <n v="940"/>
  </r>
  <r>
    <x v="0"/>
    <s v="conventional_refinance_cai_124"/>
    <x v="164"/>
    <n v="0.57999999999999996"/>
    <n v="1"/>
    <n v="-40"/>
    <n v="940"/>
  </r>
  <r>
    <x v="0"/>
    <s v="conventional_refinance_cai_125"/>
    <x v="165"/>
    <n v="0.57999999999999996"/>
    <n v="1"/>
    <n v="-40"/>
    <n v="940"/>
  </r>
  <r>
    <x v="0"/>
    <s v="conventional_refinance_cai_126"/>
    <x v="166"/>
    <n v="0.57999999999999996"/>
    <n v="1"/>
    <n v="-40"/>
    <n v="940"/>
  </r>
  <r>
    <x v="0"/>
    <s v="conventional_refinance_cai_127"/>
    <x v="167"/>
    <n v="0.57999999999999996"/>
    <n v="1"/>
    <n v="-40"/>
    <n v="940"/>
  </r>
  <r>
    <x v="0"/>
    <s v="conventional_refinance_cai_128"/>
    <x v="168"/>
    <n v="0.57999999999999996"/>
    <n v="1"/>
    <n v="-40"/>
    <n v="940"/>
  </r>
  <r>
    <x v="0"/>
    <s v="conventional_refinance_cai_129"/>
    <x v="169"/>
    <n v="0.57999999999999996"/>
    <n v="1"/>
    <n v="-40"/>
    <n v="940"/>
  </r>
  <r>
    <x v="0"/>
    <s v="conventional_refinance_cai_130"/>
    <x v="170"/>
    <n v="0.57999999999999996"/>
    <n v="1"/>
    <n v="-40"/>
    <n v="940"/>
  </r>
  <r>
    <x v="0"/>
    <s v="conventional_refinance_cai_131"/>
    <x v="171"/>
    <n v="0.57999999999999996"/>
    <n v="1"/>
    <n v="-40"/>
    <n v="940"/>
  </r>
  <r>
    <x v="0"/>
    <s v="conventional_refinance_cai_132"/>
    <x v="172"/>
    <n v="0.57999999999999996"/>
    <n v="1"/>
    <n v="-40"/>
    <n v="940"/>
  </r>
  <r>
    <x v="0"/>
    <s v="conventional_refinance_cai_133"/>
    <x v="173"/>
    <n v="0.57999999999999996"/>
    <n v="1"/>
    <n v="-40"/>
    <n v="940"/>
  </r>
  <r>
    <x v="0"/>
    <s v="conventional_refinance_cai_134"/>
    <x v="174"/>
    <n v="0.57999999999999996"/>
    <n v="1"/>
    <n v="-40"/>
    <n v="940"/>
  </r>
  <r>
    <x v="0"/>
    <s v="conventional_refinance_cai_135"/>
    <x v="175"/>
    <n v="0.57999999999999996"/>
    <n v="1"/>
    <n v="-40"/>
    <n v="940"/>
  </r>
  <r>
    <x v="0"/>
    <s v="conventional_refinance_cai_136"/>
    <x v="176"/>
    <n v="0.57999999999999996"/>
    <n v="1"/>
    <n v="-40"/>
    <n v="940"/>
  </r>
  <r>
    <x v="0"/>
    <s v="conventional_refinance_cai_137"/>
    <x v="177"/>
    <n v="0.57999999999999996"/>
    <n v="1"/>
    <n v="-40"/>
    <n v="940"/>
  </r>
  <r>
    <x v="0"/>
    <s v="conventional_refinance_cai_138"/>
    <x v="178"/>
    <n v="0.57999999999999996"/>
    <n v="1"/>
    <n v="-40"/>
    <n v="940"/>
  </r>
  <r>
    <x v="0"/>
    <s v="conventional_refinance_cai_139"/>
    <x v="179"/>
    <n v="0.57999999999999996"/>
    <n v="1"/>
    <n v="-40"/>
    <n v="940"/>
  </r>
  <r>
    <x v="0"/>
    <s v="conventional_refinance_cai_140"/>
    <x v="180"/>
    <n v="0.57999999999999996"/>
    <n v="1"/>
    <n v="-40"/>
    <n v="940"/>
  </r>
  <r>
    <x v="0"/>
    <s v="conventional_refinance_cai_141"/>
    <x v="181"/>
    <n v="0.57999999999999996"/>
    <n v="1"/>
    <n v="-40"/>
    <n v="940"/>
  </r>
  <r>
    <x v="0"/>
    <s v="conventional_refinance_cai_142"/>
    <x v="182"/>
    <n v="0.57999999999999996"/>
    <n v="1"/>
    <n v="-40"/>
    <n v="940"/>
  </r>
  <r>
    <x v="0"/>
    <s v="conventional_refinance_cai_143"/>
    <x v="183"/>
    <n v="0.57999999999999996"/>
    <n v="1"/>
    <n v="-40"/>
    <n v="940"/>
  </r>
  <r>
    <x v="0"/>
    <s v="conventional_refinance_cai_144"/>
    <x v="184"/>
    <n v="0.57999999999999996"/>
    <n v="1"/>
    <n v="-40"/>
    <n v="940"/>
  </r>
  <r>
    <x v="0"/>
    <s v="conventional_refinance_cai_145"/>
    <x v="185"/>
    <n v="0.57999999999999996"/>
    <n v="1"/>
    <n v="-40"/>
    <n v="940"/>
  </r>
  <r>
    <x v="0"/>
    <s v="conventional_refinance_cai_146"/>
    <x v="186"/>
    <n v="0.57999999999999996"/>
    <n v="1"/>
    <n v="-40"/>
    <n v="940"/>
  </r>
  <r>
    <x v="0"/>
    <s v="conventional_refinance_cai_147"/>
    <x v="187"/>
    <n v="0.57999999999999996"/>
    <n v="1"/>
    <n v="-40"/>
    <n v="940"/>
  </r>
  <r>
    <x v="0"/>
    <s v="conventional_refinance_cai_148"/>
    <x v="188"/>
    <n v="0.57999999999999996"/>
    <n v="1"/>
    <n v="-40"/>
    <n v="940"/>
  </r>
  <r>
    <x v="0"/>
    <s v="conventional_refinance_cai_149"/>
    <x v="189"/>
    <n v="0.57999999999999996"/>
    <n v="1"/>
    <n v="-40"/>
    <n v="940"/>
  </r>
  <r>
    <x v="0"/>
    <s v="conventional_refinance_cai_150"/>
    <x v="190"/>
    <n v="0.57999999999999996"/>
    <n v="1"/>
    <n v="-40"/>
    <n v="940"/>
  </r>
  <r>
    <x v="0"/>
    <s v="conventional_refinance_cai_151"/>
    <x v="191"/>
    <n v="0.57999999999999996"/>
    <n v="1"/>
    <n v="-40"/>
    <n v="940"/>
  </r>
  <r>
    <x v="0"/>
    <s v="conventional_refinance_cai_152"/>
    <x v="192"/>
    <n v="0.57999999999999996"/>
    <n v="1"/>
    <n v="-40"/>
    <n v="940"/>
  </r>
  <r>
    <x v="0"/>
    <s v="conventional_refinance_cai_153"/>
    <x v="193"/>
    <n v="0.57999999999999996"/>
    <n v="1"/>
    <n v="-40"/>
    <n v="940"/>
  </r>
  <r>
    <x v="0"/>
    <s v="conventional_refinance_cai_154"/>
    <x v="194"/>
    <n v="0.57999999999999996"/>
    <n v="1"/>
    <n v="-40"/>
    <n v="940"/>
  </r>
  <r>
    <x v="0"/>
    <s v="conventional_refinance_cai_155"/>
    <x v="195"/>
    <n v="0.57999999999999996"/>
    <n v="1"/>
    <n v="-40"/>
    <n v="940"/>
  </r>
  <r>
    <x v="0"/>
    <s v="conventional_refinance_cai_156"/>
    <x v="196"/>
    <n v="0.57999999999999996"/>
    <n v="1"/>
    <n v="-40"/>
    <n v="940"/>
  </r>
  <r>
    <x v="0"/>
    <s v="conventional_refinance_cai_157"/>
    <x v="197"/>
    <n v="0.57999999999999996"/>
    <n v="1"/>
    <n v="-40"/>
    <n v="940"/>
  </r>
  <r>
    <x v="0"/>
    <s v="conventional_refinance_cai_158"/>
    <x v="198"/>
    <n v="0.57999999999999996"/>
    <n v="1"/>
    <n v="-40"/>
    <n v="940"/>
  </r>
  <r>
    <x v="0"/>
    <s v="conventional_refinance_cai_159"/>
    <x v="199"/>
    <n v="0.57999999999999996"/>
    <n v="1"/>
    <n v="-40"/>
    <n v="940"/>
  </r>
  <r>
    <x v="0"/>
    <s v="conventional_refinance_cai_160"/>
    <x v="200"/>
    <n v="0.57999999999999996"/>
    <n v="1"/>
    <n v="-40"/>
    <n v="940"/>
  </r>
  <r>
    <x v="0"/>
    <s v="conventional_refinance_cai_161"/>
    <x v="201"/>
    <n v="0.57999999999999996"/>
    <n v="1"/>
    <n v="-40"/>
    <n v="940"/>
  </r>
  <r>
    <x v="0"/>
    <s v="conventional_refinance_cai_162"/>
    <x v="202"/>
    <n v="0.57999999999999996"/>
    <n v="1"/>
    <n v="-40"/>
    <n v="940"/>
  </r>
  <r>
    <x v="0"/>
    <s v="conventional_refinance_cai_163"/>
    <x v="203"/>
    <n v="0.57999999999999996"/>
    <n v="1"/>
    <n v="-40"/>
    <n v="940"/>
  </r>
  <r>
    <x v="0"/>
    <s v="conventional_refinance_cai_164"/>
    <x v="204"/>
    <n v="0.57999999999999996"/>
    <n v="1"/>
    <n v="-40"/>
    <n v="940"/>
  </r>
  <r>
    <x v="0"/>
    <s v="conventional_refinance_cai_165"/>
    <x v="205"/>
    <n v="0.57999999999999996"/>
    <n v="1"/>
    <n v="-40"/>
    <n v="940"/>
  </r>
  <r>
    <x v="0"/>
    <s v="conventional_refinance_cai_166"/>
    <x v="206"/>
    <n v="0.57999999999999996"/>
    <n v="1"/>
    <n v="-40"/>
    <n v="940"/>
  </r>
  <r>
    <x v="0"/>
    <s v="conventional_refinance_cai_167"/>
    <x v="207"/>
    <n v="0.57999999999999996"/>
    <n v="1"/>
    <n v="-40"/>
    <n v="940"/>
  </r>
  <r>
    <x v="0"/>
    <s v="conventional_refinance_cai_168"/>
    <x v="208"/>
    <n v="0.57999999999999996"/>
    <n v="1"/>
    <n v="-40"/>
    <n v="940"/>
  </r>
  <r>
    <x v="0"/>
    <s v="conventional_refinance_cai_169"/>
    <x v="209"/>
    <n v="0.57999999999999996"/>
    <n v="1"/>
    <n v="-40"/>
    <n v="940"/>
  </r>
  <r>
    <x v="0"/>
    <s v="conventional_refinance_cai_170"/>
    <x v="210"/>
    <n v="0.57999999999999996"/>
    <n v="1"/>
    <n v="-40"/>
    <n v="940"/>
  </r>
  <r>
    <x v="0"/>
    <s v="conventional_refinance_cai_171"/>
    <x v="211"/>
    <n v="0.57999999999999996"/>
    <n v="1"/>
    <n v="-40"/>
    <n v="940"/>
  </r>
  <r>
    <x v="0"/>
    <s v="conventional_refinance_cai_172"/>
    <x v="212"/>
    <n v="0.57999999999999996"/>
    <n v="1"/>
    <n v="-40"/>
    <n v="940"/>
  </r>
  <r>
    <x v="0"/>
    <s v="conventional_refinance_cai_173"/>
    <x v="213"/>
    <n v="0.57999999999999996"/>
    <n v="1"/>
    <n v="-40"/>
    <n v="940"/>
  </r>
  <r>
    <x v="0"/>
    <s v="conventional_refinance_cai_174"/>
    <x v="214"/>
    <n v="0.57999999999999996"/>
    <n v="1"/>
    <n v="-40"/>
    <n v="940"/>
  </r>
  <r>
    <x v="0"/>
    <s v="conventional_refinance_cai_175"/>
    <x v="215"/>
    <n v="0.57999999999999996"/>
    <n v="1"/>
    <n v="-40"/>
    <n v="940"/>
  </r>
  <r>
    <x v="0"/>
    <s v="conventional_refinance_cai_176"/>
    <x v="216"/>
    <n v="0.57999999999999996"/>
    <n v="1"/>
    <n v="-40"/>
    <n v="940"/>
  </r>
  <r>
    <x v="0"/>
    <s v="conventional_refinance_cai_177"/>
    <x v="217"/>
    <n v="0.57999999999999996"/>
    <n v="1"/>
    <n v="-40"/>
    <n v="940"/>
  </r>
  <r>
    <x v="0"/>
    <s v="conventional_refinance_cai_178"/>
    <x v="218"/>
    <n v="0.57999999999999996"/>
    <n v="1"/>
    <n v="-40"/>
    <n v="940"/>
  </r>
  <r>
    <x v="0"/>
    <s v="conventional_refinance_cai_179"/>
    <x v="219"/>
    <n v="0.57999999999999996"/>
    <n v="1"/>
    <n v="-40"/>
    <n v="940"/>
  </r>
  <r>
    <x v="0"/>
    <s v="conventional_refinance_cai_180"/>
    <x v="220"/>
    <n v="0.57999999999999996"/>
    <n v="1"/>
    <n v="-40"/>
    <n v="940"/>
  </r>
  <r>
    <x v="0"/>
    <s v="conventional_refinance_cai_181"/>
    <x v="221"/>
    <n v="0.57999999999999996"/>
    <n v="1"/>
    <n v="-40"/>
    <n v="940"/>
  </r>
  <r>
    <x v="0"/>
    <s v="conventional_refinance_cai_182"/>
    <x v="222"/>
    <n v="0.57999999999999996"/>
    <n v="1"/>
    <n v="-40"/>
    <n v="940"/>
  </r>
  <r>
    <x v="0"/>
    <s v="conventional_refinance_cai_183"/>
    <x v="223"/>
    <n v="0.57999999999999996"/>
    <n v="1"/>
    <n v="-40"/>
    <n v="940"/>
  </r>
  <r>
    <x v="0"/>
    <s v="conventional_refinance_cai_184"/>
    <x v="224"/>
    <n v="0.57999999999999996"/>
    <n v="1"/>
    <n v="-40"/>
    <n v="940"/>
  </r>
  <r>
    <x v="0"/>
    <s v="conventional_refinance_cai_185"/>
    <x v="225"/>
    <n v="0.57999999999999996"/>
    <n v="1"/>
    <n v="-40"/>
    <n v="940"/>
  </r>
  <r>
    <x v="0"/>
    <s v="conventional_refinance_cai_186"/>
    <x v="226"/>
    <n v="0.57999999999999996"/>
    <n v="1"/>
    <n v="-40"/>
    <n v="940"/>
  </r>
  <r>
    <x v="0"/>
    <s v="conventional_refinance_cai_187"/>
    <x v="227"/>
    <n v="0.57999999999999996"/>
    <n v="1"/>
    <n v="-40"/>
    <n v="940"/>
  </r>
  <r>
    <x v="0"/>
    <s v="conventional_refinance_cai_188"/>
    <x v="228"/>
    <n v="0.57999999999999996"/>
    <n v="1"/>
    <n v="-40"/>
    <n v="940"/>
  </r>
  <r>
    <x v="0"/>
    <s v="conventional_refinance_cai_189"/>
    <x v="229"/>
    <n v="0.57999999999999996"/>
    <n v="1"/>
    <n v="-40"/>
    <n v="940"/>
  </r>
  <r>
    <x v="0"/>
    <s v="conventional_refinance_cai_190"/>
    <x v="230"/>
    <n v="0.57999999999999996"/>
    <n v="1"/>
    <n v="-40"/>
    <n v="940"/>
  </r>
  <r>
    <x v="0"/>
    <s v="conventional_refinance_cai_191"/>
    <x v="231"/>
    <n v="0.57999999999999996"/>
    <n v="1"/>
    <n v="-40"/>
    <n v="940"/>
  </r>
  <r>
    <x v="0"/>
    <s v="conventional_refinance_cai_192"/>
    <x v="232"/>
    <n v="0.57999999999999996"/>
    <n v="1"/>
    <n v="-40"/>
    <n v="940"/>
  </r>
  <r>
    <x v="0"/>
    <s v="conventional_refinance_cai_193"/>
    <x v="233"/>
    <n v="0.57999999999999996"/>
    <n v="1"/>
    <n v="-40"/>
    <n v="940"/>
  </r>
  <r>
    <x v="0"/>
    <s v="conventional_refinance_cai_194"/>
    <x v="234"/>
    <n v="0.57999999999999996"/>
    <n v="1"/>
    <n v="-40"/>
    <n v="940"/>
  </r>
  <r>
    <x v="0"/>
    <s v="conventional_refinance_cai_195"/>
    <x v="235"/>
    <n v="0.57999999999999996"/>
    <n v="1"/>
    <n v="-40"/>
    <n v="940"/>
  </r>
  <r>
    <x v="0"/>
    <s v="conventional_refinance_cai_196"/>
    <x v="236"/>
    <n v="0.57999999999999996"/>
    <n v="1"/>
    <n v="-40"/>
    <n v="940"/>
  </r>
  <r>
    <x v="0"/>
    <s v="conventional_refinance_cai_197"/>
    <x v="237"/>
    <n v="0.57999999999999996"/>
    <n v="1"/>
    <n v="-40"/>
    <n v="940"/>
  </r>
  <r>
    <x v="0"/>
    <s v="conventional_refinance_cai_198"/>
    <x v="238"/>
    <n v="0.57999999999999996"/>
    <n v="1"/>
    <n v="-40"/>
    <n v="940"/>
  </r>
  <r>
    <x v="0"/>
    <s v="conventional_refinance_cai_199"/>
    <x v="239"/>
    <n v="0.57999999999999996"/>
    <n v="1"/>
    <n v="-40"/>
    <n v="940"/>
  </r>
  <r>
    <x v="0"/>
    <s v="conventional_refinance_cai_200"/>
    <x v="240"/>
    <n v="0.57999999999999996"/>
    <n v="1"/>
    <n v="-40"/>
    <n v="940"/>
  </r>
  <r>
    <x v="0"/>
    <s v="conventional_refinance_cai_201"/>
    <x v="241"/>
    <n v="0.57999999999999996"/>
    <n v="1"/>
    <n v="-40"/>
    <n v="940"/>
  </r>
  <r>
    <x v="0"/>
    <s v="conventional_refinance_cai_202"/>
    <x v="242"/>
    <n v="0.57999999999999996"/>
    <n v="1"/>
    <n v="-40"/>
    <n v="940"/>
  </r>
  <r>
    <x v="0"/>
    <s v="conventional_refinance_cai_203"/>
    <x v="243"/>
    <n v="0.57999999999999996"/>
    <n v="1"/>
    <n v="-40"/>
    <n v="940"/>
  </r>
  <r>
    <x v="0"/>
    <s v="conventional_refinance_cai_204"/>
    <x v="244"/>
    <n v="0.57999999999999996"/>
    <n v="1"/>
    <n v="-40"/>
    <n v="940"/>
  </r>
  <r>
    <x v="0"/>
    <s v="conventional_refinance_cai_205"/>
    <x v="245"/>
    <n v="0.57999999999999996"/>
    <n v="1"/>
    <n v="-40"/>
    <n v="940"/>
  </r>
  <r>
    <x v="0"/>
    <s v="conventional_refinance_cai_206"/>
    <x v="246"/>
    <n v="0.57999999999999996"/>
    <n v="1"/>
    <n v="-40"/>
    <n v="940"/>
  </r>
  <r>
    <x v="0"/>
    <s v="conventional_refinance_cai_207"/>
    <x v="247"/>
    <n v="0.57999999999999996"/>
    <n v="1"/>
    <n v="-40"/>
    <n v="940"/>
  </r>
  <r>
    <x v="0"/>
    <s v="conventional_refinance_cai_208"/>
    <x v="248"/>
    <n v="0.57999999999999996"/>
    <n v="1"/>
    <n v="-40"/>
    <n v="940"/>
  </r>
  <r>
    <x v="0"/>
    <s v="conventional_refinance_cai_209"/>
    <x v="249"/>
    <n v="0.57999999999999996"/>
    <n v="1"/>
    <n v="-40"/>
    <n v="940"/>
  </r>
  <r>
    <x v="0"/>
    <s v="conventional_refinance_cai_210"/>
    <x v="250"/>
    <n v="0.57999999999999996"/>
    <n v="1"/>
    <n v="-40"/>
    <n v="940"/>
  </r>
  <r>
    <x v="0"/>
    <s v="conventional_refinance_cai_211"/>
    <x v="251"/>
    <n v="0.57999999999999996"/>
    <n v="1"/>
    <n v="-40"/>
    <n v="940"/>
  </r>
  <r>
    <x v="0"/>
    <s v="conventional_refinance_cai_212"/>
    <x v="252"/>
    <n v="0.57999999999999996"/>
    <n v="1"/>
    <n v="-40"/>
    <n v="940"/>
  </r>
  <r>
    <x v="0"/>
    <s v="conventional_refinance_cai_213"/>
    <x v="253"/>
    <n v="0.57999999999999996"/>
    <n v="1"/>
    <n v="-40"/>
    <n v="940"/>
  </r>
  <r>
    <x v="0"/>
    <s v="conventional_refinance_cai_214"/>
    <x v="254"/>
    <n v="0.57999999999999996"/>
    <n v="1"/>
    <n v="-40"/>
    <n v="940"/>
  </r>
  <r>
    <x v="0"/>
    <s v="conventional_refinance_cai_215"/>
    <x v="255"/>
    <n v="0.57999999999999996"/>
    <n v="1"/>
    <n v="-40"/>
    <n v="940"/>
  </r>
  <r>
    <x v="0"/>
    <s v="conventional_refinance_cai_216"/>
    <x v="256"/>
    <n v="0.57999999999999996"/>
    <n v="1"/>
    <n v="-40"/>
    <n v="940"/>
  </r>
  <r>
    <x v="0"/>
    <s v="conventional_refinance_cai_217"/>
    <x v="257"/>
    <n v="0.57999999999999996"/>
    <n v="1"/>
    <n v="-40"/>
    <n v="940"/>
  </r>
  <r>
    <x v="0"/>
    <s v="conventional_refinance_cai_218"/>
    <x v="258"/>
    <n v="0.57999999999999996"/>
    <n v="1"/>
    <n v="-40"/>
    <n v="940"/>
  </r>
  <r>
    <x v="0"/>
    <s v="conventional_refinance_cai_219"/>
    <x v="259"/>
    <n v="0.57999999999999996"/>
    <n v="1"/>
    <n v="-40"/>
    <n v="940"/>
  </r>
  <r>
    <x v="0"/>
    <s v="conventional_refinance_cai_220"/>
    <x v="260"/>
    <n v="0.57999999999999996"/>
    <n v="1"/>
    <n v="-40"/>
    <n v="940"/>
  </r>
  <r>
    <x v="0"/>
    <s v="conventional_refinance_cai_221"/>
    <x v="261"/>
    <n v="0.57999999999999996"/>
    <n v="1"/>
    <n v="-40"/>
    <n v="940"/>
  </r>
  <r>
    <x v="0"/>
    <s v="conventional_refinance_cai_222"/>
    <x v="262"/>
    <n v="0.57999999999999996"/>
    <n v="1"/>
    <n v="-40"/>
    <n v="940"/>
  </r>
  <r>
    <x v="0"/>
    <s v="conventional_refinance_cai_223"/>
    <x v="263"/>
    <n v="0.57999999999999996"/>
    <n v="1"/>
    <n v="-40"/>
    <n v="940"/>
  </r>
  <r>
    <x v="0"/>
    <s v="conventional_refinance_cai_224"/>
    <x v="264"/>
    <n v="0.57999999999999996"/>
    <n v="1"/>
    <n v="-40"/>
    <n v="940"/>
  </r>
  <r>
    <x v="0"/>
    <s v="conventional_refinance_cai_225"/>
    <x v="265"/>
    <n v="0.57999999999999996"/>
    <n v="1"/>
    <n v="-40"/>
    <n v="940"/>
  </r>
  <r>
    <x v="0"/>
    <s v="conventional_refinance_cai_226"/>
    <x v="266"/>
    <n v="0.57999999999999996"/>
    <n v="1"/>
    <n v="-40"/>
    <n v="940"/>
  </r>
  <r>
    <x v="0"/>
    <s v="conventional_refinance_cai_227"/>
    <x v="267"/>
    <n v="0.57999999999999996"/>
    <n v="1"/>
    <n v="-40"/>
    <n v="940"/>
  </r>
  <r>
    <x v="0"/>
    <s v="conventional_refinance_cai_228"/>
    <x v="268"/>
    <n v="0.57999999999999996"/>
    <n v="1"/>
    <n v="-40"/>
    <n v="940"/>
  </r>
  <r>
    <x v="0"/>
    <s v="conventional_refinance_cai_229"/>
    <x v="269"/>
    <n v="0.57999999999999996"/>
    <n v="1"/>
    <n v="-40"/>
    <n v="940"/>
  </r>
  <r>
    <x v="0"/>
    <s v="conventional_refinance_cai_230"/>
    <x v="270"/>
    <n v="0.57999999999999996"/>
    <n v="1"/>
    <n v="-40"/>
    <n v="940"/>
  </r>
  <r>
    <x v="0"/>
    <s v="conventional_refinance_cai_231"/>
    <x v="271"/>
    <n v="0.57999999999999996"/>
    <n v="1"/>
    <n v="-40"/>
    <n v="940"/>
  </r>
  <r>
    <x v="0"/>
    <s v="conventional_refinance_cai_232"/>
    <x v="272"/>
    <n v="0.57999999999999996"/>
    <n v="1"/>
    <n v="-40"/>
    <n v="940"/>
  </r>
  <r>
    <x v="0"/>
    <s v="conventional_refinance_cai_233"/>
    <x v="273"/>
    <n v="0.57999999999999996"/>
    <n v="1"/>
    <n v="-40"/>
    <n v="940"/>
  </r>
  <r>
    <x v="0"/>
    <s v="conventional_refinance_cai_234"/>
    <x v="274"/>
    <n v="0.57999999999999996"/>
    <n v="1"/>
    <n v="-40"/>
    <n v="940"/>
  </r>
  <r>
    <x v="0"/>
    <s v="conventional_refinance_cai_235"/>
    <x v="275"/>
    <n v="0.57999999999999996"/>
    <n v="1"/>
    <n v="-40"/>
    <n v="940"/>
  </r>
  <r>
    <x v="0"/>
    <s v="conventional_refinance_cai_236"/>
    <x v="276"/>
    <n v="0.57999999999999996"/>
    <n v="1"/>
    <n v="-40"/>
    <n v="940"/>
  </r>
  <r>
    <x v="0"/>
    <s v="conventional_refinance_cai_237"/>
    <x v="277"/>
    <n v="0.57999999999999996"/>
    <n v="1"/>
    <n v="-40"/>
    <n v="940"/>
  </r>
  <r>
    <x v="0"/>
    <s v="conventional_refinance_cai_238"/>
    <x v="278"/>
    <n v="0.57999999999999996"/>
    <n v="1"/>
    <n v="-40"/>
    <n v="940"/>
  </r>
  <r>
    <x v="0"/>
    <s v="conventional_refinance_cai_239"/>
    <x v="279"/>
    <n v="0.57999999999999996"/>
    <n v="1"/>
    <n v="-40"/>
    <n v="940"/>
  </r>
  <r>
    <x v="0"/>
    <s v="conventional_refinance_cai_240"/>
    <x v="280"/>
    <n v="0.57999999999999996"/>
    <n v="1"/>
    <n v="-40"/>
    <n v="940"/>
  </r>
  <r>
    <x v="0"/>
    <s v="conventional_refinance_cai_241"/>
    <x v="281"/>
    <n v="0.57999999999999996"/>
    <n v="1"/>
    <n v="-40"/>
    <n v="940"/>
  </r>
  <r>
    <x v="0"/>
    <s v="conventional_refinance_cai_242"/>
    <x v="282"/>
    <n v="0.57999999999999996"/>
    <n v="1"/>
    <n v="-40"/>
    <n v="940"/>
  </r>
  <r>
    <x v="0"/>
    <s v="conventional_refinance_cai_243"/>
    <x v="283"/>
    <n v="0.57999999999999996"/>
    <n v="1"/>
    <n v="-40"/>
    <n v="940"/>
  </r>
  <r>
    <x v="0"/>
    <s v="conventional_refinance_cai_244"/>
    <x v="284"/>
    <n v="0.57999999999999996"/>
    <n v="1"/>
    <n v="-40"/>
    <n v="940"/>
  </r>
  <r>
    <x v="0"/>
    <s v="conventional_refinance_cai_245"/>
    <x v="285"/>
    <n v="0.57999999999999996"/>
    <n v="1"/>
    <n v="-40"/>
    <n v="940"/>
  </r>
  <r>
    <x v="0"/>
    <s v="conventional_refinance_cai_246"/>
    <x v="286"/>
    <n v="0.57999999999999996"/>
    <n v="1"/>
    <n v="-40"/>
    <n v="940"/>
  </r>
  <r>
    <x v="0"/>
    <s v="conventional_refinance_cai_247"/>
    <x v="287"/>
    <n v="0.57999999999999996"/>
    <n v="1"/>
    <n v="-40"/>
    <n v="940"/>
  </r>
  <r>
    <x v="0"/>
    <s v="conventional_refinance_cai_248"/>
    <x v="288"/>
    <n v="0.57999999999999996"/>
    <n v="1"/>
    <n v="-40"/>
    <n v="940"/>
  </r>
  <r>
    <x v="0"/>
    <s v="conventional_refinance_cai_249"/>
    <x v="289"/>
    <n v="0.57999999999999996"/>
    <n v="1"/>
    <n v="-40"/>
    <n v="940"/>
  </r>
  <r>
    <x v="0"/>
    <s v="conventional_refinance_cai_250"/>
    <x v="290"/>
    <n v="0.57999999999999996"/>
    <n v="1"/>
    <n v="-40"/>
    <n v="940"/>
  </r>
  <r>
    <x v="0"/>
    <s v="conventional_refinance_cai_251"/>
    <x v="291"/>
    <n v="0.57999999999999996"/>
    <n v="1"/>
    <n v="-40"/>
    <n v="940"/>
  </r>
  <r>
    <x v="0"/>
    <s v="conventional_refinance_cai_252"/>
    <x v="292"/>
    <n v="0.57999999999999996"/>
    <n v="1"/>
    <n v="-40"/>
    <n v="940"/>
  </r>
  <r>
    <x v="0"/>
    <s v="conventional_refinance_cai_253"/>
    <x v="293"/>
    <n v="0.57999999999999996"/>
    <n v="1"/>
    <n v="-40"/>
    <n v="940"/>
  </r>
  <r>
    <x v="0"/>
    <s v="conventional_refinance_cai_254"/>
    <x v="294"/>
    <n v="0.57999999999999996"/>
    <n v="1"/>
    <n v="-40"/>
    <n v="940"/>
  </r>
  <r>
    <x v="0"/>
    <s v="conventional_refinance_cai_255"/>
    <x v="295"/>
    <n v="0.57999999999999996"/>
    <n v="1"/>
    <n v="-40"/>
    <n v="940"/>
  </r>
  <r>
    <x v="0"/>
    <s v="conventional_refinance_cai_256"/>
    <x v="296"/>
    <n v="0.57999999999999996"/>
    <n v="1"/>
    <n v="-40"/>
    <n v="940"/>
  </r>
  <r>
    <x v="0"/>
    <s v="conventional_refinance_cai_257"/>
    <x v="297"/>
    <n v="0.57999999999999996"/>
    <n v="1"/>
    <n v="-40"/>
    <n v="940"/>
  </r>
  <r>
    <x v="0"/>
    <s v="conventional_refinance_cai_258"/>
    <x v="298"/>
    <n v="0.57999999999999996"/>
    <n v="1"/>
    <n v="-40"/>
    <n v="940"/>
  </r>
  <r>
    <x v="0"/>
    <s v="conventional_refinance_cai_259"/>
    <x v="299"/>
    <n v="0.57999999999999996"/>
    <n v="1"/>
    <n v="-40"/>
    <n v="940"/>
  </r>
  <r>
    <x v="0"/>
    <s v="conventional_refinance_cai_260"/>
    <x v="300"/>
    <n v="0.57999999999999996"/>
    <n v="1"/>
    <n v="-40"/>
    <n v="940"/>
  </r>
  <r>
    <x v="0"/>
    <s v="conventional_refinance_cai_261"/>
    <x v="301"/>
    <n v="0.57999999999999996"/>
    <n v="1"/>
    <n v="-40"/>
    <n v="940"/>
  </r>
  <r>
    <x v="0"/>
    <s v="conventional_refinance_cai_262"/>
    <x v="302"/>
    <n v="0.57999999999999996"/>
    <n v="1"/>
    <n v="-40"/>
    <n v="940"/>
  </r>
  <r>
    <x v="0"/>
    <s v="conventional_refinance_cai_263"/>
    <x v="303"/>
    <n v="0.57999999999999996"/>
    <n v="1"/>
    <n v="-40"/>
    <n v="940"/>
  </r>
  <r>
    <x v="0"/>
    <s v="conventional_refinance_cai_264"/>
    <x v="304"/>
    <n v="0.57999999999999996"/>
    <n v="1"/>
    <n v="-40"/>
    <n v="940"/>
  </r>
  <r>
    <x v="0"/>
    <s v="conventional_refinance_cai_265"/>
    <x v="305"/>
    <n v="0.57999999999999996"/>
    <n v="1"/>
    <n v="-40"/>
    <n v="940"/>
  </r>
  <r>
    <x v="0"/>
    <s v="conventional_refinance_cai_266"/>
    <x v="306"/>
    <n v="0.57999999999999996"/>
    <n v="1"/>
    <n v="-40"/>
    <n v="940"/>
  </r>
  <r>
    <x v="0"/>
    <s v="conventional_refinance_cai_267"/>
    <x v="307"/>
    <n v="0.57999999999999996"/>
    <n v="1"/>
    <n v="-40"/>
    <n v="940"/>
  </r>
  <r>
    <x v="0"/>
    <s v="conventional_refinance_cai_268"/>
    <x v="308"/>
    <n v="0.57999999999999996"/>
    <n v="1"/>
    <n v="-40"/>
    <n v="940"/>
  </r>
  <r>
    <x v="0"/>
    <s v="conventional_refinance_cai_269"/>
    <x v="309"/>
    <n v="0.57999999999999996"/>
    <n v="1"/>
    <n v="-40"/>
    <n v="940"/>
  </r>
  <r>
    <x v="0"/>
    <s v="conventional_refinance_cai_270"/>
    <x v="310"/>
    <n v="0.57999999999999996"/>
    <n v="1"/>
    <n v="-40"/>
    <n v="940"/>
  </r>
  <r>
    <x v="0"/>
    <s v="conventional_refinance_cai_271"/>
    <x v="311"/>
    <n v="0.57999999999999996"/>
    <n v="1"/>
    <n v="-40"/>
    <n v="940"/>
  </r>
  <r>
    <x v="0"/>
    <s v="conventional_refinance_cai_272"/>
    <x v="312"/>
    <n v="0.57999999999999996"/>
    <n v="1"/>
    <n v="-40"/>
    <n v="940"/>
  </r>
  <r>
    <x v="0"/>
    <s v="conventional_refinance_cai_273"/>
    <x v="313"/>
    <n v="0.57999999999999996"/>
    <n v="1"/>
    <n v="-40"/>
    <n v="940"/>
  </r>
  <r>
    <x v="0"/>
    <s v="conventional_refinance_cai_274"/>
    <x v="314"/>
    <n v="0.57999999999999996"/>
    <n v="1"/>
    <n v="-40"/>
    <n v="940"/>
  </r>
  <r>
    <x v="0"/>
    <s v="conventional_refinance_cai_275"/>
    <x v="315"/>
    <n v="0.57999999999999996"/>
    <n v="1"/>
    <n v="-40"/>
    <n v="940"/>
  </r>
  <r>
    <x v="0"/>
    <s v="conventional_refinance_cai_276"/>
    <x v="316"/>
    <n v="0.57999999999999996"/>
    <n v="1"/>
    <n v="-40"/>
    <n v="940"/>
  </r>
  <r>
    <x v="0"/>
    <s v="conventional_refinance_cai_277"/>
    <x v="317"/>
    <n v="0.57999999999999996"/>
    <n v="1"/>
    <n v="-40"/>
    <n v="940"/>
  </r>
  <r>
    <x v="0"/>
    <s v="conventional_refinance_cai_278"/>
    <x v="318"/>
    <n v="0.57999999999999996"/>
    <n v="1"/>
    <n v="-40"/>
    <n v="940"/>
  </r>
  <r>
    <x v="0"/>
    <s v="conventional_refinance_cai_279"/>
    <x v="319"/>
    <n v="0.57999999999999996"/>
    <n v="1"/>
    <n v="-40"/>
    <n v="940"/>
  </r>
  <r>
    <x v="0"/>
    <s v="conventional_refinance_cai_280"/>
    <x v="320"/>
    <n v="0.57999999999999996"/>
    <n v="1"/>
    <n v="-40"/>
    <n v="940"/>
  </r>
  <r>
    <x v="0"/>
    <s v="conventional_refinance_cai_281"/>
    <x v="321"/>
    <n v="0.57999999999999996"/>
    <n v="1"/>
    <n v="-40"/>
    <n v="940"/>
  </r>
  <r>
    <x v="0"/>
    <s v="conventional_refinance_cai_282"/>
    <x v="322"/>
    <n v="0.57999999999999996"/>
    <n v="1"/>
    <n v="-40"/>
    <n v="940"/>
  </r>
  <r>
    <x v="0"/>
    <s v="conventional_refinance_cai_283"/>
    <x v="323"/>
    <n v="0.57999999999999996"/>
    <n v="1"/>
    <n v="-40"/>
    <n v="940"/>
  </r>
  <r>
    <x v="0"/>
    <s v="conventional_refinance_cai_284"/>
    <x v="324"/>
    <n v="0.57999999999999996"/>
    <n v="1"/>
    <n v="-40"/>
    <n v="940"/>
  </r>
  <r>
    <x v="0"/>
    <s v="conventional_refinance_cai_285"/>
    <x v="325"/>
    <n v="0.57999999999999996"/>
    <n v="1"/>
    <n v="-40"/>
    <n v="940"/>
  </r>
  <r>
    <x v="0"/>
    <s v="conventional_refinance_cai_286"/>
    <x v="326"/>
    <n v="0.57999999999999996"/>
    <n v="1"/>
    <n v="-40"/>
    <n v="940"/>
  </r>
  <r>
    <x v="0"/>
    <s v="conventional_refinance_cai_287"/>
    <x v="327"/>
    <n v="0.57999999999999996"/>
    <n v="1"/>
    <n v="-40"/>
    <n v="940"/>
  </r>
  <r>
    <x v="0"/>
    <s v="conventional_refinance_cai_288"/>
    <x v="328"/>
    <n v="0.57999999999999996"/>
    <n v="1"/>
    <n v="-40"/>
    <n v="940"/>
  </r>
  <r>
    <x v="0"/>
    <s v="conventional_refinance_cai_289"/>
    <x v="329"/>
    <n v="0.57999999999999996"/>
    <n v="1"/>
    <n v="-40"/>
    <n v="940"/>
  </r>
  <r>
    <x v="0"/>
    <s v="conventional_refinance_cai_290"/>
    <x v="330"/>
    <n v="0.57999999999999996"/>
    <n v="1"/>
    <n v="-40"/>
    <n v="940"/>
  </r>
  <r>
    <x v="0"/>
    <s v="conventional_refinance_cai_291"/>
    <x v="331"/>
    <n v="0.57999999999999996"/>
    <n v="1"/>
    <n v="-40"/>
    <n v="940"/>
  </r>
  <r>
    <x v="0"/>
    <s v="conventional_refinance_cai_292"/>
    <x v="332"/>
    <n v="0.57999999999999996"/>
    <n v="1"/>
    <n v="-40"/>
    <n v="940"/>
  </r>
  <r>
    <x v="0"/>
    <s v="conventional_refinance_cai_293"/>
    <x v="333"/>
    <n v="0.57999999999999996"/>
    <n v="1"/>
    <n v="-40"/>
    <n v="940"/>
  </r>
  <r>
    <x v="0"/>
    <s v="conventional_refinance_cai_294"/>
    <x v="334"/>
    <n v="0.57999999999999996"/>
    <n v="1"/>
    <n v="-40"/>
    <n v="940"/>
  </r>
  <r>
    <x v="0"/>
    <s v="conventional_refinance_cai_295"/>
    <x v="335"/>
    <n v="0.57999999999999996"/>
    <n v="1"/>
    <n v="-40"/>
    <n v="940"/>
  </r>
  <r>
    <x v="0"/>
    <s v="conventional_refinance_cai_296"/>
    <x v="336"/>
    <n v="0.57999999999999996"/>
    <n v="1"/>
    <n v="-40"/>
    <n v="940"/>
  </r>
  <r>
    <x v="0"/>
    <s v="conventional_refinance_cai_297"/>
    <x v="337"/>
    <n v="0.57999999999999996"/>
    <n v="1"/>
    <n v="-40"/>
    <n v="940"/>
  </r>
  <r>
    <x v="0"/>
    <s v="conventional_refinance_cai_298"/>
    <x v="338"/>
    <n v="0.57999999999999996"/>
    <n v="1"/>
    <n v="-40"/>
    <n v="940"/>
  </r>
  <r>
    <x v="0"/>
    <s v="conventional_refinance_cai_299"/>
    <x v="339"/>
    <n v="0.57999999999999996"/>
    <n v="1"/>
    <n v="-40"/>
    <n v="940"/>
  </r>
  <r>
    <x v="0"/>
    <s v="conventional_refinance_cai_300"/>
    <x v="340"/>
    <n v="0.57999999999999996"/>
    <n v="1"/>
    <n v="-40"/>
    <n v="940"/>
  </r>
  <r>
    <x v="0"/>
    <s v="conventional_refinance_cai_301"/>
    <x v="341"/>
    <n v="0.58009346100000003"/>
    <n v="1"/>
    <n v="-40"/>
    <n v="940"/>
  </r>
  <r>
    <x v="0"/>
    <s v="conventional_refinance_cai_302"/>
    <x v="342"/>
    <n v="0.58037208799999995"/>
    <n v="1"/>
    <n v="-40"/>
    <n v="940"/>
  </r>
  <r>
    <x v="0"/>
    <s v="conventional_refinance_cai_303"/>
    <x v="343"/>
    <n v="0.58083324700000005"/>
    <n v="1"/>
    <n v="-40"/>
    <n v="940"/>
  </r>
  <r>
    <x v="0"/>
    <s v="conventional_refinance_cai_304"/>
    <x v="344"/>
    <n v="0.581474304"/>
    <n v="1"/>
    <n v="-40"/>
    <n v="940"/>
  </r>
  <r>
    <x v="0"/>
    <s v="conventional_refinance_cai_305"/>
    <x v="345"/>
    <n v="0.58229262500000001"/>
    <n v="1"/>
    <n v="-40"/>
    <n v="940"/>
  </r>
  <r>
    <x v="0"/>
    <s v="conventional_refinance_cai_306"/>
    <x v="346"/>
    <n v="0.58328557599999997"/>
    <n v="1"/>
    <n v="-40"/>
    <n v="940"/>
  </r>
  <r>
    <x v="0"/>
    <s v="conventional_refinance_cai_307"/>
    <x v="347"/>
    <n v="0.584450523"/>
    <n v="1"/>
    <n v="-40"/>
    <n v="940"/>
  </r>
  <r>
    <x v="0"/>
    <s v="conventional_refinance_cai_308"/>
    <x v="348"/>
    <n v="0.58578483199999998"/>
    <n v="1"/>
    <n v="-40"/>
    <n v="940"/>
  </r>
  <r>
    <x v="0"/>
    <s v="conventional_refinance_cai_309"/>
    <x v="349"/>
    <n v="0.58728586900000002"/>
    <n v="1"/>
    <n v="-40"/>
    <n v="940"/>
  </r>
  <r>
    <x v="0"/>
    <s v="conventional_refinance_cai_310"/>
    <x v="350"/>
    <n v="0.588951"/>
    <n v="1"/>
    <n v="-40"/>
    <n v="940"/>
  </r>
  <r>
    <x v="0"/>
    <s v="conventional_refinance_cai_311"/>
    <x v="351"/>
    <n v="0.59077759100000005"/>
    <n v="1"/>
    <n v="-40"/>
    <n v="940"/>
  </r>
  <r>
    <x v="0"/>
    <s v="conventional_refinance_cai_312"/>
    <x v="352"/>
    <n v="0.59276300800000004"/>
    <n v="1"/>
    <n v="-40"/>
    <n v="940"/>
  </r>
  <r>
    <x v="0"/>
    <s v="conventional_refinance_cai_313"/>
    <x v="353"/>
    <n v="0.59490461699999997"/>
    <n v="1"/>
    <n v="-40"/>
    <n v="940"/>
  </r>
  <r>
    <x v="0"/>
    <s v="conventional_refinance_cai_314"/>
    <x v="354"/>
    <n v="0.59719978399999996"/>
    <n v="1"/>
    <n v="-40"/>
    <n v="940"/>
  </r>
  <r>
    <x v="0"/>
    <s v="conventional_refinance_cai_315"/>
    <x v="355"/>
    <n v="0.59964587499999999"/>
    <n v="1"/>
    <n v="-40"/>
    <n v="940"/>
  </r>
  <r>
    <x v="0"/>
    <s v="conventional_refinance_cai_316"/>
    <x v="356"/>
    <n v="0.60224025599999997"/>
    <n v="1"/>
    <n v="-40"/>
    <n v="940"/>
  </r>
  <r>
    <x v="0"/>
    <s v="conventional_refinance_cai_317"/>
    <x v="357"/>
    <n v="0.604980293"/>
    <n v="1"/>
    <n v="-40"/>
    <n v="940"/>
  </r>
  <r>
    <x v="0"/>
    <s v="conventional_refinance_cai_318"/>
    <x v="358"/>
    <n v="0.60786335199999997"/>
    <n v="1"/>
    <n v="-40"/>
    <n v="940"/>
  </r>
  <r>
    <x v="0"/>
    <s v="conventional_refinance_cai_319"/>
    <x v="359"/>
    <n v="0.61088679899999998"/>
    <n v="1"/>
    <n v="-40"/>
    <n v="940"/>
  </r>
  <r>
    <x v="0"/>
    <s v="conventional_refinance_cai_320"/>
    <x v="360"/>
    <n v="0.61404800000000004"/>
    <n v="1"/>
    <n v="-40"/>
    <n v="940"/>
  </r>
  <r>
    <x v="0"/>
    <s v="conventional_refinance_cai_321"/>
    <x v="361"/>
    <n v="0.61734432100000003"/>
    <n v="1"/>
    <n v="-40"/>
    <n v="940"/>
  </r>
  <r>
    <x v="0"/>
    <s v="conventional_refinance_cai_322"/>
    <x v="362"/>
    <n v="0.62077312799999995"/>
    <n v="1"/>
    <n v="-40"/>
    <n v="940"/>
  </r>
  <r>
    <x v="0"/>
    <s v="conventional_refinance_cai_323"/>
    <x v="363"/>
    <n v="0.62433178700000003"/>
    <n v="1"/>
    <n v="-40"/>
    <n v="940"/>
  </r>
  <r>
    <x v="0"/>
    <s v="conventional_refinance_cai_324"/>
    <x v="364"/>
    <n v="0.62801766400000003"/>
    <n v="1"/>
    <n v="-40"/>
    <n v="940"/>
  </r>
  <r>
    <x v="0"/>
    <s v="conventional_refinance_cai_325"/>
    <x v="365"/>
    <n v="0.63182812499999996"/>
    <n v="1"/>
    <n v="-40"/>
    <n v="940"/>
  </r>
  <r>
    <x v="0"/>
    <s v="conventional_refinance_cai_326"/>
    <x v="366"/>
    <n v="0.63576053600000004"/>
    <n v="1"/>
    <n v="-40"/>
    <n v="940"/>
  </r>
  <r>
    <x v="0"/>
    <s v="conventional_refinance_cai_327"/>
    <x v="367"/>
    <n v="0.63981226300000005"/>
    <n v="1"/>
    <n v="-40"/>
    <n v="940"/>
  </r>
  <r>
    <x v="0"/>
    <s v="conventional_refinance_cai_328"/>
    <x v="368"/>
    <n v="0.64398067199999998"/>
    <n v="1"/>
    <n v="-40"/>
    <n v="940"/>
  </r>
  <r>
    <x v="0"/>
    <s v="conventional_refinance_cai_329"/>
    <x v="369"/>
    <n v="0.64826312900000005"/>
    <n v="1"/>
    <n v="-40"/>
    <n v="940"/>
  </r>
  <r>
    <x v="0"/>
    <s v="conventional_refinance_cai_330"/>
    <x v="370"/>
    <n v="0.65265700000000004"/>
    <n v="1"/>
    <n v="-40"/>
    <n v="940"/>
  </r>
  <r>
    <x v="0"/>
    <s v="conventional_refinance_cai_331"/>
    <x v="371"/>
    <n v="0.65715965099999996"/>
    <n v="1"/>
    <n v="-40"/>
    <n v="940"/>
  </r>
  <r>
    <x v="0"/>
    <s v="conventional_refinance_cai_332"/>
    <x v="372"/>
    <n v="0.66176844800000001"/>
    <n v="1"/>
    <n v="-40"/>
    <n v="940"/>
  </r>
  <r>
    <x v="0"/>
    <s v="conventional_refinance_cai_333"/>
    <x v="373"/>
    <n v="0.66648075699999998"/>
    <n v="1"/>
    <n v="-40"/>
    <n v="940"/>
  </r>
  <r>
    <x v="0"/>
    <s v="conventional_refinance_cai_334"/>
    <x v="374"/>
    <n v="0.67129394399999998"/>
    <n v="1"/>
    <n v="-40"/>
    <n v="940"/>
  </r>
  <r>
    <x v="0"/>
    <s v="conventional_refinance_cai_335"/>
    <x v="375"/>
    <n v="0.676205375"/>
    <n v="1"/>
    <n v="-40"/>
    <n v="940"/>
  </r>
  <r>
    <x v="0"/>
    <s v="conventional_refinance_cai_336"/>
    <x v="376"/>
    <n v="0.68121241600000004"/>
    <n v="1"/>
    <n v="-40"/>
    <n v="940"/>
  </r>
  <r>
    <x v="0"/>
    <s v="conventional_refinance_cai_337"/>
    <x v="377"/>
    <n v="0.686312433"/>
    <n v="1"/>
    <n v="-40"/>
    <n v="940"/>
  </r>
  <r>
    <x v="0"/>
    <s v="conventional_refinance_cai_338"/>
    <x v="378"/>
    <n v="0.69150279199999998"/>
    <n v="1"/>
    <n v="-40"/>
    <n v="940"/>
  </r>
  <r>
    <x v="0"/>
    <s v="conventional_refinance_cai_339"/>
    <x v="379"/>
    <n v="0.69678085899999997"/>
    <n v="1"/>
    <n v="-40"/>
    <n v="940"/>
  </r>
  <r>
    <x v="0"/>
    <s v="conventional_refinance_cai_340"/>
    <x v="380"/>
    <n v="0.70214399999999999"/>
    <n v="1"/>
    <n v="-40"/>
    <n v="940"/>
  </r>
  <r>
    <x v="0"/>
    <s v="conventional_refinance_cai_341"/>
    <x v="381"/>
    <n v="0.70758958100000002"/>
    <n v="1"/>
    <n v="-40"/>
    <n v="940"/>
  </r>
  <r>
    <x v="0"/>
    <s v="conventional_refinance_cai_342"/>
    <x v="382"/>
    <n v="0.71311496799999996"/>
    <n v="1"/>
    <n v="-40"/>
    <n v="940"/>
  </r>
  <r>
    <x v="0"/>
    <s v="conventional_refinance_cai_343"/>
    <x v="383"/>
    <n v="0.71871752700000002"/>
    <n v="1"/>
    <n v="-40"/>
    <n v="940"/>
  </r>
  <r>
    <x v="0"/>
    <s v="conventional_refinance_cai_344"/>
    <x v="384"/>
    <n v="0.72439462399999999"/>
    <n v="1"/>
    <n v="-40"/>
    <n v="940"/>
  </r>
  <r>
    <x v="0"/>
    <s v="conventional_refinance_cai_345"/>
    <x v="385"/>
    <n v="0.73014362499999996"/>
    <n v="1"/>
    <n v="-40"/>
    <n v="940"/>
  </r>
  <r>
    <x v="0"/>
    <s v="conventional_refinance_cai_346"/>
    <x v="386"/>
    <n v="0.73596189599999995"/>
    <n v="1"/>
    <n v="-40"/>
    <n v="940"/>
  </r>
  <r>
    <x v="0"/>
    <s v="conventional_refinance_cai_347"/>
    <x v="387"/>
    <n v="0.74184680300000005"/>
    <n v="1"/>
    <n v="-40"/>
    <n v="940"/>
  </r>
  <r>
    <x v="0"/>
    <s v="conventional_refinance_cai_348"/>
    <x v="388"/>
    <n v="0.74779571199999995"/>
    <n v="1"/>
    <n v="-40"/>
    <n v="940"/>
  </r>
  <r>
    <x v="0"/>
    <s v="conventional_refinance_cai_349"/>
    <x v="389"/>
    <n v="0.75380598899999995"/>
    <n v="1"/>
    <n v="-40"/>
    <n v="940"/>
  </r>
  <r>
    <x v="0"/>
    <s v="conventional_refinance_cai_350"/>
    <x v="390"/>
    <n v="0.75987499999999997"/>
    <n v="1"/>
    <n v="-40"/>
    <n v="940"/>
  </r>
  <r>
    <x v="0"/>
    <s v="conventional_refinance_cai_351"/>
    <x v="391"/>
    <n v="0.76600011099999998"/>
    <n v="1"/>
    <n v="-40"/>
    <n v="940"/>
  </r>
  <r>
    <x v="0"/>
    <s v="conventional_refinance_cai_352"/>
    <x v="392"/>
    <n v="0.772178688"/>
    <n v="1"/>
    <n v="-40"/>
    <n v="940"/>
  </r>
  <r>
    <x v="0"/>
    <s v="conventional_refinance_cai_353"/>
    <x v="393"/>
    <n v="0.77840809700000002"/>
    <n v="1"/>
    <n v="-40"/>
    <n v="940"/>
  </r>
  <r>
    <x v="0"/>
    <s v="conventional_refinance_cai_354"/>
    <x v="394"/>
    <n v="0.78468570400000004"/>
    <n v="1"/>
    <n v="-40"/>
    <n v="940"/>
  </r>
  <r>
    <x v="0"/>
    <s v="conventional_refinance_cai_355"/>
    <x v="395"/>
    <n v="0.79100887499999994"/>
    <n v="1"/>
    <n v="-40"/>
    <n v="940"/>
  </r>
  <r>
    <x v="0"/>
    <s v="conventional_refinance_cai_356"/>
    <x v="396"/>
    <n v="0.79737497599999996"/>
    <n v="1"/>
    <n v="-40"/>
    <n v="940"/>
  </r>
  <r>
    <x v="0"/>
    <s v="conventional_refinance_cai_357"/>
    <x v="397"/>
    <n v="0.80378137299999997"/>
    <n v="1"/>
    <n v="-40"/>
    <n v="940"/>
  </r>
  <r>
    <x v="0"/>
    <s v="conventional_refinance_cai_358"/>
    <x v="398"/>
    <n v="0.81022543199999997"/>
    <n v="1"/>
    <n v="-40"/>
    <n v="940"/>
  </r>
  <r>
    <x v="0"/>
    <s v="conventional_refinance_cai_359"/>
    <x v="399"/>
    <n v="0.81670451899999996"/>
    <n v="1"/>
    <n v="-40"/>
    <n v="940"/>
  </r>
  <r>
    <x v="0"/>
    <s v="conventional_refinance_cai_360"/>
    <x v="400"/>
    <n v="0.82321599999999995"/>
    <n v="1"/>
    <n v="-40"/>
    <n v="940"/>
  </r>
  <r>
    <x v="0"/>
    <s v="conventional_refinance_cai_361"/>
    <x v="401"/>
    <n v="0.82975724100000003"/>
    <n v="1"/>
    <n v="-40"/>
    <n v="940"/>
  </r>
  <r>
    <x v="0"/>
    <s v="conventional_refinance_cai_362"/>
    <x v="402"/>
    <n v="0.836325608"/>
    <n v="1"/>
    <n v="-40"/>
    <n v="940"/>
  </r>
  <r>
    <x v="0"/>
    <s v="conventional_refinance_cai_363"/>
    <x v="403"/>
    <n v="0.84291846699999995"/>
    <n v="1"/>
    <n v="-40"/>
    <n v="940"/>
  </r>
  <r>
    <x v="0"/>
    <s v="conventional_refinance_cai_364"/>
    <x v="404"/>
    <n v="0.849533184"/>
    <n v="1"/>
    <n v="-40"/>
    <n v="940"/>
  </r>
  <r>
    <x v="0"/>
    <s v="conventional_refinance_cai_365"/>
    <x v="405"/>
    <n v="0.85616712500000003"/>
    <n v="1"/>
    <n v="-40"/>
    <n v="940"/>
  </r>
  <r>
    <x v="0"/>
    <s v="conventional_refinance_cai_366"/>
    <x v="406"/>
    <n v="0.86281765600000004"/>
    <n v="1"/>
    <n v="-40"/>
    <n v="940"/>
  </r>
  <r>
    <x v="0"/>
    <s v="conventional_refinance_cai_367"/>
    <x v="407"/>
    <n v="0.86948214300000004"/>
    <n v="1"/>
    <n v="-40"/>
    <n v="940"/>
  </r>
  <r>
    <x v="0"/>
    <s v="conventional_refinance_cai_368"/>
    <x v="408"/>
    <n v="0.87615795200000002"/>
    <n v="1"/>
    <n v="-40"/>
    <n v="940"/>
  </r>
  <r>
    <x v="0"/>
    <s v="conventional_refinance_cai_369"/>
    <x v="409"/>
    <n v="0.88284244899999997"/>
    <n v="1"/>
    <n v="-40"/>
    <n v="940"/>
  </r>
  <r>
    <x v="0"/>
    <s v="conventional_refinance_cai_370"/>
    <x v="410"/>
    <n v="0.88953300000000002"/>
    <n v="1"/>
    <n v="-40"/>
    <n v="940"/>
  </r>
  <r>
    <x v="0"/>
    <s v="conventional_refinance_cai_371"/>
    <x v="411"/>
    <n v="0.89622697100000004"/>
    <n v="1"/>
    <n v="-40"/>
    <n v="940"/>
  </r>
  <r>
    <x v="0"/>
    <s v="conventional_refinance_cai_372"/>
    <x v="412"/>
    <n v="0.90292172800000003"/>
    <n v="1"/>
    <n v="-40"/>
    <n v="940"/>
  </r>
  <r>
    <x v="0"/>
    <s v="conventional_refinance_cai_373"/>
    <x v="413"/>
    <n v="0.909614637"/>
    <n v="1"/>
    <n v="-40"/>
    <n v="940"/>
  </r>
  <r>
    <x v="0"/>
    <s v="conventional_refinance_cai_374"/>
    <x v="414"/>
    <n v="0.91630306399999994"/>
    <n v="1"/>
    <n v="-40"/>
    <n v="940"/>
  </r>
  <r>
    <x v="0"/>
    <s v="conventional_refinance_cai_375"/>
    <x v="415"/>
    <n v="0.92298437499999997"/>
    <n v="1"/>
    <n v="-40"/>
    <n v="940"/>
  </r>
  <r>
    <x v="0"/>
    <s v="conventional_refinance_cai_376"/>
    <x v="416"/>
    <n v="0.92965593599999996"/>
    <n v="1"/>
    <n v="-40"/>
    <n v="940"/>
  </r>
  <r>
    <x v="0"/>
    <s v="conventional_refinance_cai_377"/>
    <x v="417"/>
    <n v="0.93631511300000003"/>
    <n v="1"/>
    <n v="-40"/>
    <n v="940"/>
  </r>
  <r>
    <x v="0"/>
    <s v="conventional_refinance_cai_378"/>
    <x v="418"/>
    <n v="0.94295927199999996"/>
    <n v="1"/>
    <n v="-40"/>
    <n v="940"/>
  </r>
  <r>
    <x v="0"/>
    <s v="conventional_refinance_cai_379"/>
    <x v="419"/>
    <n v="0.94958577899999996"/>
    <n v="1"/>
    <n v="-40"/>
    <n v="940"/>
  </r>
  <r>
    <x v="0"/>
    <s v="conventional_refinance_cai_380"/>
    <x v="420"/>
    <n v="0.95619200000000004"/>
    <n v="1"/>
    <n v="-40"/>
    <n v="940"/>
  </r>
  <r>
    <x v="0"/>
    <s v="conventional_refinance_cai_381"/>
    <x v="421"/>
    <n v="0.96277530099999997"/>
    <n v="1"/>
    <n v="-40"/>
    <n v="940"/>
  </r>
  <r>
    <x v="0"/>
    <s v="conventional_refinance_cai_382"/>
    <x v="422"/>
    <n v="0.96933304799999997"/>
    <n v="1"/>
    <n v="-40"/>
    <n v="940"/>
  </r>
  <r>
    <x v="0"/>
    <s v="conventional_refinance_cai_383"/>
    <x v="423"/>
    <n v="0.97586260700000005"/>
    <n v="1"/>
    <n v="-40"/>
    <n v="940"/>
  </r>
  <r>
    <x v="0"/>
    <s v="conventional_refinance_cai_384"/>
    <x v="424"/>
    <n v="0.98236134399999997"/>
    <n v="1"/>
    <n v="-40"/>
    <n v="940"/>
  </r>
  <r>
    <x v="0"/>
    <s v="conventional_refinance_cai_385"/>
    <x v="425"/>
    <n v="0.98882662499999996"/>
    <n v="1"/>
    <n v="-40"/>
    <n v="940"/>
  </r>
  <r>
    <x v="0"/>
    <s v="conventional_refinance_cai_386"/>
    <x v="426"/>
    <n v="0.99525581600000002"/>
    <n v="1"/>
    <n v="-40"/>
    <n v="940"/>
  </r>
  <r>
    <x v="0"/>
    <s v="conventional_refinance_cai_387"/>
    <x v="427"/>
    <n v="1.0016462829999999"/>
    <n v="1"/>
    <n v="-40"/>
    <n v="940"/>
  </r>
  <r>
    <x v="0"/>
    <s v="conventional_refinance_cai_388"/>
    <x v="428"/>
    <n v="1.007995392"/>
    <n v="1"/>
    <n v="-40"/>
    <n v="940"/>
  </r>
  <r>
    <x v="0"/>
    <s v="conventional_refinance_cai_389"/>
    <x v="429"/>
    <n v="1.0143005089999999"/>
    <n v="1"/>
    <n v="-40"/>
    <n v="940"/>
  </r>
  <r>
    <x v="0"/>
    <s v="conventional_refinance_cai_390"/>
    <x v="430"/>
    <n v="1.020559"/>
    <n v="1"/>
    <n v="-40"/>
    <n v="940"/>
  </r>
  <r>
    <x v="0"/>
    <s v="conventional_refinance_cai_391"/>
    <x v="431"/>
    <n v="1.0267682309999999"/>
    <n v="1"/>
    <n v="-40"/>
    <n v="940"/>
  </r>
  <r>
    <x v="0"/>
    <s v="conventional_refinance_cai_392"/>
    <x v="432"/>
    <n v="1.032925568"/>
    <n v="1"/>
    <n v="-40"/>
    <n v="940"/>
  </r>
  <r>
    <x v="0"/>
    <s v="conventional_refinance_cai_393"/>
    <x v="433"/>
    <n v="1.0390283769999999"/>
    <n v="1"/>
    <n v="-40"/>
    <n v="940"/>
  </r>
  <r>
    <x v="0"/>
    <s v="conventional_refinance_cai_394"/>
    <x v="434"/>
    <n v="1.045074024"/>
    <n v="1"/>
    <n v="-40"/>
    <n v="940"/>
  </r>
  <r>
    <x v="0"/>
    <s v="conventional_refinance_cai_395"/>
    <x v="435"/>
    <n v="1.051059875"/>
    <n v="1"/>
    <n v="-40"/>
    <n v="940"/>
  </r>
  <r>
    <x v="0"/>
    <s v="conventional_refinance_cai_396"/>
    <x v="436"/>
    <n v="1.0569832960000001"/>
    <n v="1"/>
    <n v="-40"/>
    <n v="940"/>
  </r>
  <r>
    <x v="0"/>
    <s v="conventional_refinance_cai_397"/>
    <x v="437"/>
    <n v="1.062841653"/>
    <n v="1"/>
    <n v="-40"/>
    <n v="940"/>
  </r>
  <r>
    <x v="0"/>
    <s v="conventional_refinance_cai_398"/>
    <x v="438"/>
    <n v="1.0686323120000001"/>
    <n v="1"/>
    <n v="-40"/>
    <n v="940"/>
  </r>
  <r>
    <x v="0"/>
    <s v="conventional_refinance_cai_399"/>
    <x v="439"/>
    <n v="1.074352639"/>
    <n v="1"/>
    <n v="-40"/>
    <n v="940"/>
  </r>
  <r>
    <x v="0"/>
    <s v="conventional_refinance_cai_400"/>
    <x v="440"/>
    <n v="1.08"/>
    <n v="1"/>
    <n v="-40"/>
    <n v="940"/>
  </r>
  <r>
    <x v="0"/>
    <s v="conventional_refinance_cai_401"/>
    <x v="441"/>
    <n v="1.0856777804845701"/>
    <n v="1"/>
    <n v="-40"/>
    <n v="940"/>
  </r>
  <r>
    <x v="0"/>
    <s v="conventional_refinance_cai_402"/>
    <x v="442"/>
    <n v="1.0914886297974999"/>
    <n v="1"/>
    <n v="-40"/>
    <n v="940"/>
  </r>
  <r>
    <x v="0"/>
    <s v="conventional_refinance_cai_403"/>
    <x v="443"/>
    <n v="1.0974288097275899"/>
    <n v="1"/>
    <n v="-40"/>
    <n v="940"/>
  </r>
  <r>
    <x v="0"/>
    <s v="conventional_refinance_cai_404"/>
    <x v="444"/>
    <n v="1.1034945820636699"/>
    <n v="1"/>
    <n v="-40"/>
    <n v="940"/>
  </r>
  <r>
    <x v="0"/>
    <s v="conventional_refinance_cai_405"/>
    <x v="445"/>
    <n v="1.1096822085945399"/>
    <n v="1"/>
    <n v="-40"/>
    <n v="940"/>
  </r>
  <r>
    <x v="0"/>
    <s v="conventional_refinance_cai_406"/>
    <x v="446"/>
    <n v="1.1159879511090101"/>
    <n v="1"/>
    <n v="-40"/>
    <n v="940"/>
  </r>
  <r>
    <x v="0"/>
    <s v="conventional_refinance_cai_407"/>
    <x v="447"/>
    <n v="1.1224080713959199"/>
    <n v="1"/>
    <n v="-40"/>
    <n v="940"/>
  </r>
  <r>
    <x v="0"/>
    <s v="conventional_refinance_cai_408"/>
    <x v="448"/>
    <n v="1.12893883124405"/>
    <n v="1"/>
    <n v="-40"/>
    <n v="940"/>
  </r>
  <r>
    <x v="0"/>
    <s v="conventional_refinance_cai_409"/>
    <x v="449"/>
    <n v="1.13557649244224"/>
    <n v="1"/>
    <n v="-40"/>
    <n v="940"/>
  </r>
  <r>
    <x v="0"/>
    <s v="conventional_refinance_cai_410"/>
    <x v="450"/>
    <n v="1.1423173167792899"/>
    <n v="1"/>
    <n v="-40"/>
    <n v="940"/>
  </r>
  <r>
    <x v="0"/>
    <s v="conventional_refinance_cai_411"/>
    <x v="451"/>
    <n v="1.1491575660440201"/>
    <n v="1"/>
    <n v="-40"/>
    <n v="940"/>
  </r>
  <r>
    <x v="0"/>
    <s v="conventional_refinance_cai_412"/>
    <x v="452"/>
    <n v="1.1560935020252401"/>
    <n v="1"/>
    <n v="-40"/>
    <n v="940"/>
  </r>
  <r>
    <x v="0"/>
    <s v="conventional_refinance_cai_413"/>
    <x v="453"/>
    <n v="1.16312138651177"/>
    <n v="1"/>
    <n v="-40"/>
    <n v="940"/>
  </r>
  <r>
    <x v="0"/>
    <s v="conventional_refinance_cai_414"/>
    <x v="454"/>
    <n v="1.1702374812924199"/>
    <n v="1"/>
    <n v="-40"/>
    <n v="940"/>
  </r>
  <r>
    <x v="0"/>
    <s v="conventional_refinance_cai_415"/>
    <x v="455"/>
    <n v="1.1774380481560001"/>
    <n v="1"/>
    <n v="-40"/>
    <n v="940"/>
  </r>
  <r>
    <x v="0"/>
    <s v="conventional_refinance_cai_416"/>
    <x v="456"/>
    <n v="1.1847193488913199"/>
    <n v="1"/>
    <n v="-40"/>
    <n v="940"/>
  </r>
  <r>
    <x v="0"/>
    <s v="conventional_refinance_cai_417"/>
    <x v="457"/>
    <n v="1.1920776452872099"/>
    <n v="1"/>
    <n v="-40"/>
    <n v="940"/>
  </r>
  <r>
    <x v="0"/>
    <s v="conventional_refinance_cai_418"/>
    <x v="458"/>
    <n v="1.19950919913247"/>
    <n v="1"/>
    <n v="-40"/>
    <n v="940"/>
  </r>
  <r>
    <x v="0"/>
    <s v="conventional_refinance_cai_419"/>
    <x v="459"/>
    <n v="1.2070102722159199"/>
    <n v="1"/>
    <n v="-40"/>
    <n v="940"/>
  </r>
  <r>
    <x v="0"/>
    <s v="conventional_refinance_cai_420"/>
    <x v="460"/>
    <n v="1.21457712632637"/>
    <n v="1"/>
    <n v="-40"/>
    <n v="940"/>
  </r>
  <r>
    <x v="0"/>
    <s v="conventional_refinance_cai_421"/>
    <x v="461"/>
    <n v="1.2222060232526399"/>
    <n v="1"/>
    <n v="-40"/>
    <n v="940"/>
  </r>
  <r>
    <x v="0"/>
    <s v="conventional_refinance_cai_422"/>
    <x v="462"/>
    <n v="1.2298932247835399"/>
    <n v="1"/>
    <n v="-40"/>
    <n v="940"/>
  </r>
  <r>
    <x v="0"/>
    <s v="conventional_refinance_cai_423"/>
    <x v="463"/>
    <n v="1.23763499270788"/>
    <n v="1"/>
    <n v="-40"/>
    <n v="940"/>
  </r>
  <r>
    <x v="0"/>
    <s v="conventional_refinance_cai_424"/>
    <x v="464"/>
    <n v="1.2454275888144799"/>
    <n v="1"/>
    <n v="-40"/>
    <n v="940"/>
  </r>
  <r>
    <x v="0"/>
    <s v="conventional_refinance_cai_425"/>
    <x v="465"/>
    <n v="1.2532672748921501"/>
    <n v="1"/>
    <n v="-40"/>
    <n v="940"/>
  </r>
  <r>
    <x v="0"/>
    <s v="conventional_refinance_cai_426"/>
    <x v="466"/>
    <n v="1.2611503127296999"/>
    <n v="1"/>
    <n v="-40"/>
    <n v="940"/>
  </r>
  <r>
    <x v="0"/>
    <s v="conventional_refinance_cai_427"/>
    <x v="467"/>
    <n v="1.2690729641159599"/>
    <n v="1"/>
    <n v="-40"/>
    <n v="940"/>
  </r>
  <r>
    <x v="0"/>
    <s v="conventional_refinance_cai_428"/>
    <x v="468"/>
    <n v="1.27703149083972"/>
    <n v="1"/>
    <n v="-40"/>
    <n v="940"/>
  </r>
  <r>
    <x v="0"/>
    <s v="conventional_refinance_cai_429"/>
    <x v="469"/>
    <n v="1.28502215468982"/>
    <n v="1"/>
    <n v="-40"/>
    <n v="940"/>
  </r>
  <r>
    <x v="0"/>
    <s v="conventional_refinance_cai_430"/>
    <x v="470"/>
    <n v="1.2930412174550501"/>
    <n v="1"/>
    <n v="-40"/>
    <n v="940"/>
  </r>
  <r>
    <x v="0"/>
    <s v="conventional_refinance_cai_431"/>
    <x v="471"/>
    <n v="1.30108494092423"/>
    <n v="1"/>
    <n v="-40"/>
    <n v="940"/>
  </r>
  <r>
    <x v="0"/>
    <s v="conventional_refinance_cai_432"/>
    <x v="472"/>
    <n v="1.30914958688619"/>
    <n v="1"/>
    <n v="-40"/>
    <n v="940"/>
  </r>
  <r>
    <x v="0"/>
    <s v="conventional_refinance_cai_433"/>
    <x v="473"/>
    <n v="1.3172314171297299"/>
    <n v="1"/>
    <n v="-40"/>
    <n v="940"/>
  </r>
  <r>
    <x v="0"/>
    <s v="conventional_refinance_cai_434"/>
    <x v="474"/>
    <n v="1.3253266934436601"/>
    <n v="1"/>
    <n v="-40"/>
    <n v="940"/>
  </r>
  <r>
    <x v="0"/>
    <s v="conventional_refinance_cai_435"/>
    <x v="475"/>
    <n v="1.3334316776168"/>
    <n v="1"/>
    <n v="-40"/>
    <n v="940"/>
  </r>
  <r>
    <x v="0"/>
    <s v="conventional_refinance_cai_436"/>
    <x v="476"/>
    <n v="1.3415426314379599"/>
    <n v="1"/>
    <n v="-40"/>
    <n v="940"/>
  </r>
  <r>
    <x v="0"/>
    <s v="conventional_refinance_cai_437"/>
    <x v="477"/>
    <n v="1.34965581669596"/>
    <n v="1"/>
    <n v="-40"/>
    <n v="940"/>
  </r>
  <r>
    <x v="0"/>
    <s v="conventional_refinance_cai_438"/>
    <x v="478"/>
    <n v="1.3577674951796099"/>
    <n v="1"/>
    <n v="-40"/>
    <n v="940"/>
  </r>
  <r>
    <x v="0"/>
    <s v="conventional_refinance_cai_439"/>
    <x v="479"/>
    <n v="1.3658739286777299"/>
    <n v="1"/>
    <n v="-40"/>
    <n v="940"/>
  </r>
  <r>
    <x v="0"/>
    <s v="conventional_refinance_cai_440"/>
    <x v="480"/>
    <n v="1.3739713789791199"/>
    <n v="1"/>
    <n v="-40"/>
    <n v="940"/>
  </r>
  <r>
    <x v="0"/>
    <s v="conventional_refinance_cai_441"/>
    <x v="481"/>
    <n v="1.3820561078726099"/>
    <n v="1"/>
    <n v="-40"/>
    <n v="940"/>
  </r>
  <r>
    <x v="0"/>
    <s v="conventional_refinance_cai_442"/>
    <x v="482"/>
    <n v="1.390124377147"/>
    <n v="1"/>
    <n v="-40"/>
    <n v="940"/>
  </r>
  <r>
    <x v="0"/>
    <s v="conventional_refinance_cai_443"/>
    <x v="483"/>
    <n v="1.39817244859111"/>
    <n v="1"/>
    <n v="-40"/>
    <n v="940"/>
  </r>
  <r>
    <x v="0"/>
    <s v="conventional_refinance_cai_444"/>
    <x v="484"/>
    <n v="1.40619658399375"/>
    <n v="1"/>
    <n v="-40"/>
    <n v="940"/>
  </r>
  <r>
    <x v="0"/>
    <s v="conventional_refinance_cai_445"/>
    <x v="485"/>
    <n v="1.4141930451437501"/>
    <n v="1"/>
    <n v="-40"/>
    <n v="940"/>
  </r>
  <r>
    <x v="0"/>
    <s v="conventional_refinance_cai_446"/>
    <x v="486"/>
    <n v="1.4221580938299001"/>
    <n v="1"/>
    <n v="-40"/>
    <n v="940"/>
  </r>
  <r>
    <x v="0"/>
    <s v="conventional_refinance_cai_447"/>
    <x v="487"/>
    <n v="1.4300879918410301"/>
    <n v="1"/>
    <n v="-40"/>
    <n v="940"/>
  </r>
  <r>
    <x v="0"/>
    <s v="conventional_refinance_cai_448"/>
    <x v="488"/>
    <n v="1.4379790009659399"/>
    <n v="1"/>
    <n v="-40"/>
    <n v="940"/>
  </r>
  <r>
    <x v="0"/>
    <s v="conventional_refinance_cai_449"/>
    <x v="489"/>
    <n v="1.44582738299346"/>
    <n v="1"/>
    <n v="-40"/>
    <n v="940"/>
  </r>
  <r>
    <x v="0"/>
    <s v="conventional_refinance_cai_450"/>
    <x v="490"/>
    <n v="1.4536293997123999"/>
    <n v="1"/>
    <n v="-40"/>
    <n v="940"/>
  </r>
  <r>
    <x v="0"/>
    <s v="conventional_refinance_cai_451"/>
    <x v="491"/>
    <n v="1.46138131291156"/>
    <n v="1"/>
    <n v="-40"/>
    <n v="940"/>
  </r>
  <r>
    <x v="0"/>
    <s v="conventional_refinance_cai_452"/>
    <x v="492"/>
    <n v="1.46907938437977"/>
    <n v="1"/>
    <n v="-40"/>
    <n v="940"/>
  </r>
  <r>
    <x v="0"/>
    <s v="conventional_refinance_cai_453"/>
    <x v="493"/>
    <n v="1.47671987590584"/>
    <n v="1"/>
    <n v="-40"/>
    <n v="940"/>
  </r>
  <r>
    <x v="0"/>
    <s v="conventional_refinance_cai_454"/>
    <x v="494"/>
    <n v="1.4842990492785799"/>
    <n v="1"/>
    <n v="-40"/>
    <n v="940"/>
  </r>
  <r>
    <x v="0"/>
    <s v="conventional_refinance_cai_455"/>
    <x v="495"/>
    <n v="1.4918131662867999"/>
    <n v="1"/>
    <n v="-40"/>
    <n v="940"/>
  </r>
  <r>
    <x v="0"/>
    <s v="conventional_refinance_cai_456"/>
    <x v="496"/>
    <n v="1.4992584887193201"/>
    <n v="1"/>
    <n v="-40"/>
    <n v="940"/>
  </r>
  <r>
    <x v="0"/>
    <s v="conventional_refinance_cai_457"/>
    <x v="497"/>
    <n v="1.50663127836496"/>
    <n v="1"/>
    <n v="-40"/>
    <n v="940"/>
  </r>
  <r>
    <x v="0"/>
    <s v="conventional_refinance_cai_458"/>
    <x v="498"/>
    <n v="1.51392779701252"/>
    <n v="1"/>
    <n v="-40"/>
    <n v="940"/>
  </r>
  <r>
    <x v="0"/>
    <s v="conventional_refinance_cai_459"/>
    <x v="499"/>
    <n v="1.5211443064508201"/>
    <n v="1"/>
    <n v="-40"/>
    <n v="940"/>
  </r>
  <r>
    <x v="0"/>
    <s v="conventional_refinance_cai_460"/>
    <x v="500"/>
    <n v="1.5282770684686799"/>
    <n v="1"/>
    <n v="-40"/>
    <n v="940"/>
  </r>
  <r>
    <x v="0"/>
    <s v="conventional_refinance_cai_461"/>
    <x v="501"/>
    <n v="1.53532234485491"/>
    <n v="1"/>
    <n v="-40"/>
    <n v="940"/>
  </r>
  <r>
    <x v="0"/>
    <s v="conventional_refinance_cai_462"/>
    <x v="502"/>
    <n v="1.54227639739831"/>
    <n v="1"/>
    <n v="-40"/>
    <n v="940"/>
  </r>
  <r>
    <x v="0"/>
    <s v="conventional_refinance_cai_463"/>
    <x v="503"/>
    <n v="1.5491354878877199"/>
    <n v="1"/>
    <n v="-40"/>
    <n v="940"/>
  </r>
  <r>
    <x v="0"/>
    <s v="conventional_refinance_cai_464"/>
    <x v="504"/>
    <n v="1.5558958781119301"/>
    <n v="1"/>
    <n v="-40"/>
    <n v="940"/>
  </r>
  <r>
    <x v="0"/>
    <s v="conventional_refinance_cai_465"/>
    <x v="505"/>
    <n v="1.5625538298597701"/>
    <n v="1"/>
    <n v="-40"/>
    <n v="940"/>
  </r>
  <r>
    <x v="0"/>
    <s v="conventional_refinance_cai_466"/>
    <x v="506"/>
    <n v="1.56910560492004"/>
    <n v="1"/>
    <n v="-40"/>
    <n v="940"/>
  </r>
  <r>
    <x v="0"/>
    <s v="conventional_refinance_cai_467"/>
    <x v="507"/>
    <n v="1.57554746508156"/>
    <n v="1"/>
    <n v="-40"/>
    <n v="940"/>
  </r>
  <r>
    <x v="0"/>
    <s v="conventional_refinance_cai_468"/>
    <x v="508"/>
    <n v="1.5818756721331499"/>
    <n v="1"/>
    <n v="-40"/>
    <n v="940"/>
  </r>
  <r>
    <x v="0"/>
    <s v="conventional_refinance_cai_469"/>
    <x v="509"/>
    <n v="1.5880864878636201"/>
    <n v="1"/>
    <n v="-40"/>
    <n v="940"/>
  </r>
  <r>
    <x v="0"/>
    <s v="conventional_refinance_cai_470"/>
    <x v="510"/>
    <n v="1.5941761740617799"/>
    <n v="1"/>
    <n v="-40"/>
    <n v="940"/>
  </r>
  <r>
    <x v="0"/>
    <s v="conventional_refinance_cai_471"/>
    <x v="511"/>
    <n v="1.60014099251645"/>
    <n v="1"/>
    <n v="-40"/>
    <n v="940"/>
  </r>
  <r>
    <x v="0"/>
    <s v="conventional_refinance_cai_472"/>
    <x v="512"/>
    <n v="1.60597720501643"/>
    <n v="1"/>
    <n v="-40"/>
    <n v="940"/>
  </r>
  <r>
    <x v="0"/>
    <s v="conventional_refinance_cai_473"/>
    <x v="513"/>
    <n v="1.61168107335055"/>
    <n v="1"/>
    <n v="-40"/>
    <n v="940"/>
  </r>
  <r>
    <x v="0"/>
    <s v="conventional_refinance_cai_474"/>
    <x v="514"/>
    <n v="1.61724885930762"/>
    <n v="1"/>
    <n v="-40"/>
    <n v="940"/>
  </r>
  <r>
    <x v="0"/>
    <s v="conventional_refinance_cai_475"/>
    <x v="515"/>
    <n v="1.62267682467645"/>
    <n v="1"/>
    <n v="-40"/>
    <n v="940"/>
  </r>
  <r>
    <x v="0"/>
    <s v="conventional_refinance_cai_476"/>
    <x v="516"/>
    <n v="1.62796123124585"/>
    <n v="1"/>
    <n v="-40"/>
    <n v="940"/>
  </r>
  <r>
    <x v="0"/>
    <s v="conventional_refinance_cai_477"/>
    <x v="517"/>
    <n v="1.63309834080464"/>
    <n v="1"/>
    <n v="-40"/>
    <n v="940"/>
  </r>
  <r>
    <x v="0"/>
    <s v="conventional_refinance_cai_478"/>
    <x v="518"/>
    <n v="1.63808441514164"/>
    <n v="1"/>
    <n v="-40"/>
    <n v="940"/>
  </r>
  <r>
    <x v="0"/>
    <s v="conventional_refinance_cai_479"/>
    <x v="519"/>
    <n v="1.64291571604565"/>
    <n v="1"/>
    <n v="-40"/>
    <n v="940"/>
  </r>
  <r>
    <x v="0"/>
    <s v="conventional_refinance_cai_480"/>
    <x v="520"/>
    <n v="1.6475885053054999"/>
    <n v="1"/>
    <n v="-40"/>
    <n v="940"/>
  </r>
  <r>
    <x v="0"/>
    <s v="conventional_refinance_cai_481"/>
    <x v="521"/>
    <n v="1.6520990447099799"/>
    <n v="1"/>
    <n v="-40"/>
    <n v="940"/>
  </r>
  <r>
    <x v="0"/>
    <s v="conventional_refinance_cai_482"/>
    <x v="522"/>
    <n v="1.65644359604793"/>
    <n v="1"/>
    <n v="-40"/>
    <n v="940"/>
  </r>
  <r>
    <x v="0"/>
    <s v="conventional_refinance_cai_483"/>
    <x v="523"/>
    <n v="1.6606184211081401"/>
    <n v="1"/>
    <n v="-40"/>
    <n v="940"/>
  </r>
  <r>
    <x v="0"/>
    <s v="conventional_refinance_cai_484"/>
    <x v="524"/>
    <n v="1.6646197816794499"/>
    <n v="1"/>
    <n v="-40"/>
    <n v="940"/>
  </r>
  <r>
    <x v="0"/>
    <s v="conventional_refinance_cai_485"/>
    <x v="525"/>
    <n v="1.6684439395506501"/>
    <n v="1"/>
    <n v="-40"/>
    <n v="940"/>
  </r>
  <r>
    <x v="0"/>
    <s v="conventional_refinance_cai_486"/>
    <x v="526"/>
    <n v="1.6720871565105599"/>
    <n v="1"/>
    <n v="-40"/>
    <n v="940"/>
  </r>
  <r>
    <x v="0"/>
    <s v="conventional_refinance_cai_487"/>
    <x v="527"/>
    <n v="1.67554569434801"/>
    <n v="1"/>
    <n v="-40"/>
    <n v="940"/>
  </r>
  <r>
    <x v="0"/>
    <s v="conventional_refinance_cai_488"/>
    <x v="528"/>
    <n v="1.67881581485179"/>
    <n v="1"/>
    <n v="-40"/>
    <n v="940"/>
  </r>
  <r>
    <x v="0"/>
    <s v="conventional_refinance_cai_489"/>
    <x v="529"/>
    <n v="1.6818937798107301"/>
    <n v="1"/>
    <n v="-40"/>
    <n v="940"/>
  </r>
  <r>
    <x v="0"/>
    <s v="conventional_refinance_cai_490"/>
    <x v="530"/>
    <n v="1.6847758510136299"/>
    <n v="1"/>
    <n v="-40"/>
    <n v="940"/>
  </r>
  <r>
    <x v="0"/>
    <s v="conventional_refinance_cai_491"/>
    <x v="531"/>
    <n v="1.68745829024932"/>
    <n v="1"/>
    <n v="-40"/>
    <n v="940"/>
  </r>
  <r>
    <x v="0"/>
    <s v="conventional_refinance_cai_492"/>
    <x v="532"/>
    <n v="1.68993735930661"/>
    <n v="1"/>
    <n v="-40"/>
    <n v="940"/>
  </r>
  <r>
    <x v="0"/>
    <s v="conventional_refinance_cai_493"/>
    <x v="533"/>
    <n v="1.6922093199743"/>
    <n v="1"/>
    <n v="-40"/>
    <n v="940"/>
  </r>
  <r>
    <x v="0"/>
    <s v="conventional_refinance_cai_494"/>
    <x v="534"/>
    <n v="1.69427043404122"/>
    <n v="1"/>
    <n v="-40"/>
    <n v="940"/>
  </r>
  <r>
    <x v="0"/>
    <s v="conventional_refinance_cai_495"/>
    <x v="535"/>
    <n v="1.6961169632961799"/>
    <n v="1"/>
    <n v="-40"/>
    <n v="940"/>
  </r>
  <r>
    <x v="0"/>
    <s v="conventional_refinance_cai_496"/>
    <x v="536"/>
    <n v="1.6977451695279799"/>
    <n v="1"/>
    <n v="-40"/>
    <n v="940"/>
  </r>
  <r>
    <x v="0"/>
    <s v="conventional_refinance_cai_497"/>
    <x v="537"/>
    <n v="1.69915131452545"/>
    <n v="1"/>
    <n v="-40"/>
    <n v="940"/>
  </r>
  <r>
    <x v="0"/>
    <s v="conventional_refinance_cai_498"/>
    <x v="538"/>
    <n v="1.7003316600774101"/>
    <n v="1"/>
    <n v="-40"/>
    <n v="940"/>
  </r>
  <r>
    <x v="0"/>
    <s v="conventional_refinance_cai_499"/>
    <x v="539"/>
    <n v="1.7012824679726499"/>
    <n v="1"/>
    <n v="-40"/>
    <n v="940"/>
  </r>
  <r>
    <x v="0"/>
    <s v="conventional_refinance_cai_500"/>
    <x v="540"/>
    <n v="1.702"/>
    <n v="1"/>
    <n v="-40"/>
    <n v="940"/>
  </r>
  <r>
    <x v="0"/>
    <s v="conventional_refinance_cai_501"/>
    <x v="541"/>
    <n v="1.7025934715953599"/>
    <n v="1"/>
    <n v="-40"/>
    <n v="940"/>
  </r>
  <r>
    <x v="0"/>
    <s v="conventional_refinance_cai_502"/>
    <x v="542"/>
    <n v="1.7031746784141"/>
    <n v="1"/>
    <n v="-40"/>
    <n v="940"/>
  </r>
  <r>
    <x v="0"/>
    <s v="conventional_refinance_cai_503"/>
    <x v="543"/>
    <n v="1.70374375257424"/>
    <n v="1"/>
    <n v="-40"/>
    <n v="940"/>
  </r>
  <r>
    <x v="0"/>
    <s v="conventional_refinance_cai_504"/>
    <x v="544"/>
    <n v="1.7043008261938299"/>
    <n v="1"/>
    <n v="-40"/>
    <n v="940"/>
  </r>
  <r>
    <x v="0"/>
    <s v="conventional_refinance_cai_505"/>
    <x v="545"/>
    <n v="1.70484603139086"/>
    <n v="1"/>
    <n v="-40"/>
    <n v="940"/>
  </r>
  <r>
    <x v="0"/>
    <s v="conventional_refinance_cai_506"/>
    <x v="546"/>
    <n v="1.70537950028339"/>
    <n v="1"/>
    <n v="-40"/>
    <n v="940"/>
  </r>
  <r>
    <x v="0"/>
    <s v="conventional_refinance_cai_507"/>
    <x v="547"/>
    <n v="1.7059013649894199"/>
    <n v="1"/>
    <n v="-40"/>
    <n v="940"/>
  </r>
  <r>
    <x v="0"/>
    <s v="conventional_refinance_cai_508"/>
    <x v="548"/>
    <n v="1.7064117576269899"/>
    <n v="1"/>
    <n v="-40"/>
    <n v="940"/>
  </r>
  <r>
    <x v="0"/>
    <s v="conventional_refinance_cai_509"/>
    <x v="549"/>
    <n v="1.70691081031412"/>
    <n v="1"/>
    <n v="-40"/>
    <n v="940"/>
  </r>
  <r>
    <x v="0"/>
    <s v="conventional_refinance_cai_510"/>
    <x v="550"/>
    <n v="1.70739865516883"/>
    <n v="1"/>
    <n v="-40"/>
    <n v="940"/>
  </r>
  <r>
    <x v="0"/>
    <s v="conventional_refinance_cai_511"/>
    <x v="551"/>
    <n v="1.7078754243091601"/>
    <n v="1"/>
    <n v="-40"/>
    <n v="940"/>
  </r>
  <r>
    <x v="0"/>
    <s v="conventional_refinance_cai_512"/>
    <x v="552"/>
    <n v="1.7083412498531301"/>
    <n v="1"/>
    <n v="-40"/>
    <n v="940"/>
  </r>
  <r>
    <x v="0"/>
    <s v="conventional_refinance_cai_513"/>
    <x v="553"/>
    <n v="1.7087962639187499"/>
    <n v="1"/>
    <n v="-40"/>
    <n v="940"/>
  </r>
  <r>
    <x v="0"/>
    <s v="conventional_refinance_cai_514"/>
    <x v="554"/>
    <n v="1.70924059862407"/>
    <n v="1"/>
    <n v="-40"/>
    <n v="940"/>
  </r>
  <r>
    <x v="0"/>
    <s v="conventional_refinance_cai_515"/>
    <x v="555"/>
    <n v="1.7096743860871"/>
    <n v="1"/>
    <n v="-40"/>
    <n v="940"/>
  </r>
  <r>
    <x v="0"/>
    <s v="conventional_refinance_cai_516"/>
    <x v="556"/>
    <n v="1.7100977584258601"/>
    <n v="1"/>
    <n v="-40"/>
    <n v="940"/>
  </r>
  <r>
    <x v="0"/>
    <s v="conventional_refinance_cai_517"/>
    <x v="557"/>
    <n v="1.7105108477583999"/>
    <n v="1"/>
    <n v="-40"/>
    <n v="940"/>
  </r>
  <r>
    <x v="0"/>
    <s v="conventional_refinance_cai_518"/>
    <x v="558"/>
    <n v="1.7109137862027199"/>
    <n v="1"/>
    <n v="-40"/>
    <n v="940"/>
  </r>
  <r>
    <x v="0"/>
    <s v="conventional_refinance_cai_519"/>
    <x v="559"/>
    <n v="1.7113067058768601"/>
    <n v="1"/>
    <n v="-40"/>
    <n v="940"/>
  </r>
  <r>
    <x v="0"/>
    <s v="conventional_refinance_cai_520"/>
    <x v="560"/>
    <n v="1.7116897388988399"/>
    <n v="1"/>
    <n v="-40"/>
    <n v="940"/>
  </r>
  <r>
    <x v="0"/>
    <s v="conventional_refinance_cai_521"/>
    <x v="561"/>
    <n v="1.71206301738668"/>
    <n v="1"/>
    <n v="-40"/>
    <n v="940"/>
  </r>
  <r>
    <x v="0"/>
    <s v="conventional_refinance_cai_522"/>
    <x v="562"/>
    <n v="1.7124266734584199"/>
    <n v="1"/>
    <n v="-40"/>
    <n v="940"/>
  </r>
  <r>
    <x v="0"/>
    <s v="conventional_refinance_cai_523"/>
    <x v="563"/>
    <n v="1.71278083923207"/>
    <n v="1"/>
    <n v="-40"/>
    <n v="940"/>
  </r>
  <r>
    <x v="0"/>
    <s v="conventional_refinance_cai_524"/>
    <x v="564"/>
    <n v="1.7131256468256699"/>
    <n v="1"/>
    <n v="-40"/>
    <n v="940"/>
  </r>
  <r>
    <x v="0"/>
    <s v="conventional_refinance_cai_525"/>
    <x v="565"/>
    <n v="1.7134612283572399"/>
    <n v="1"/>
    <n v="-40"/>
    <n v="940"/>
  </r>
  <r>
    <x v="0"/>
    <s v="conventional_refinance_cai_526"/>
    <x v="566"/>
    <n v="1.7137877159448001"/>
    <n v="1"/>
    <n v="-40"/>
    <n v="940"/>
  </r>
  <r>
    <x v="0"/>
    <s v="conventional_refinance_cai_527"/>
    <x v="567"/>
    <n v="1.71410524170638"/>
    <n v="1"/>
    <n v="-40"/>
    <n v="940"/>
  </r>
  <r>
    <x v="0"/>
    <s v="conventional_refinance_cai_528"/>
    <x v="568"/>
    <n v="1.7144139377600101"/>
    <n v="1"/>
    <n v="-40"/>
    <n v="940"/>
  </r>
  <r>
    <x v="0"/>
    <s v="conventional_refinance_cai_529"/>
    <x v="569"/>
    <n v="1.7147139362237001"/>
    <n v="1"/>
    <n v="-40"/>
    <n v="940"/>
  </r>
  <r>
    <x v="0"/>
    <s v="conventional_refinance_cai_530"/>
    <x v="570"/>
    <n v="1.7150053692155001"/>
    <n v="1"/>
    <n v="-40"/>
    <n v="940"/>
  </r>
  <r>
    <x v="0"/>
    <s v="conventional_refinance_cai_531"/>
    <x v="571"/>
    <n v="1.71528836885341"/>
    <n v="1"/>
    <n v="-40"/>
    <n v="940"/>
  </r>
  <r>
    <x v="0"/>
    <s v="conventional_refinance_cai_532"/>
    <x v="572"/>
    <n v="1.71556306725547"/>
    <n v="1"/>
    <n v="-40"/>
    <n v="940"/>
  </r>
  <r>
    <x v="0"/>
    <s v="conventional_refinance_cai_533"/>
    <x v="573"/>
    <n v="1.7158295965396999"/>
    <n v="1"/>
    <n v="-40"/>
    <n v="940"/>
  </r>
  <r>
    <x v="0"/>
    <s v="conventional_refinance_cai_534"/>
    <x v="574"/>
    <n v="1.7160880888241401"/>
    <n v="1"/>
    <n v="-40"/>
    <n v="940"/>
  </r>
  <r>
    <x v="0"/>
    <s v="conventional_refinance_cai_535"/>
    <x v="575"/>
    <n v="1.71633867622679"/>
    <n v="1"/>
    <n v="-40"/>
    <n v="940"/>
  </r>
  <r>
    <x v="0"/>
    <s v="conventional_refinance_cai_536"/>
    <x v="576"/>
    <n v="1.71658149086569"/>
    <n v="1"/>
    <n v="-40"/>
    <n v="940"/>
  </r>
  <r>
    <x v="0"/>
    <s v="conventional_refinance_cai_537"/>
    <x v="577"/>
    <n v="1.7168166648588701"/>
    <n v="1"/>
    <n v="-40"/>
    <n v="940"/>
  </r>
  <r>
    <x v="0"/>
    <s v="conventional_refinance_cai_538"/>
    <x v="578"/>
    <n v="1.7170443303243501"/>
    <n v="1"/>
    <n v="-40"/>
    <n v="940"/>
  </r>
  <r>
    <x v="0"/>
    <s v="conventional_refinance_cai_539"/>
    <x v="579"/>
    <n v="1.71726461938016"/>
    <n v="1"/>
    <n v="-40"/>
    <n v="940"/>
  </r>
  <r>
    <x v="0"/>
    <s v="conventional_refinance_cai_540"/>
    <x v="580"/>
    <n v="1.7174776641443099"/>
    <n v="1"/>
    <n v="-40"/>
    <n v="940"/>
  </r>
  <r>
    <x v="0"/>
    <s v="conventional_refinance_cai_541"/>
    <x v="581"/>
    <n v="1.7176835967348401"/>
    <n v="1"/>
    <n v="-40"/>
    <n v="940"/>
  </r>
  <r>
    <x v="0"/>
    <s v="conventional_refinance_cai_542"/>
    <x v="582"/>
    <n v="1.71788254926977"/>
    <n v="1"/>
    <n v="-40"/>
    <n v="940"/>
  </r>
  <r>
    <x v="0"/>
    <s v="conventional_refinance_cai_543"/>
    <x v="583"/>
    <n v="1.7180746538671301"/>
    <n v="1"/>
    <n v="-40"/>
    <n v="940"/>
  </r>
  <r>
    <x v="0"/>
    <s v="conventional_refinance_cai_544"/>
    <x v="584"/>
    <n v="1.7182600426449499"/>
    <n v="1"/>
    <n v="-40"/>
    <n v="940"/>
  </r>
  <r>
    <x v="0"/>
    <s v="conventional_refinance_cai_545"/>
    <x v="585"/>
    <n v="1.71843884772124"/>
    <n v="1"/>
    <n v="-40"/>
    <n v="940"/>
  </r>
  <r>
    <x v="0"/>
    <s v="conventional_refinance_cai_546"/>
    <x v="586"/>
    <n v="1.71861120121404"/>
    <n v="1"/>
    <n v="-40"/>
    <n v="940"/>
  </r>
  <r>
    <x v="0"/>
    <s v="conventional_refinance_cai_547"/>
    <x v="587"/>
    <n v="1.7187772352413599"/>
    <n v="1"/>
    <n v="-40"/>
    <n v="940"/>
  </r>
  <r>
    <x v="0"/>
    <s v="conventional_refinance_cai_548"/>
    <x v="588"/>
    <n v="1.71893708192124"/>
    <n v="1"/>
    <n v="-40"/>
    <n v="940"/>
  </r>
  <r>
    <x v="0"/>
    <s v="conventional_refinance_cai_549"/>
    <x v="589"/>
    <n v="1.7190908733717001"/>
    <n v="1"/>
    <n v="-40"/>
    <n v="940"/>
  </r>
  <r>
    <x v="0"/>
    <s v="conventional_refinance_cai_550"/>
    <x v="590"/>
    <n v="1.71923874171077"/>
    <n v="1"/>
    <n v="-40"/>
    <n v="940"/>
  </r>
  <r>
    <x v="0"/>
    <s v="conventional_refinance_cai_551"/>
    <x v="591"/>
    <n v="1.7193808190564699"/>
    <n v="1"/>
    <n v="-40"/>
    <n v="940"/>
  </r>
  <r>
    <x v="0"/>
    <s v="conventional_refinance_cai_552"/>
    <x v="592"/>
    <n v="1.71951723752682"/>
    <n v="1"/>
    <n v="-40"/>
    <n v="940"/>
  </r>
  <r>
    <x v="0"/>
    <s v="conventional_refinance_cai_553"/>
    <x v="593"/>
    <n v="1.71964812923986"/>
    <n v="1"/>
    <n v="-40"/>
    <n v="940"/>
  </r>
  <r>
    <x v="0"/>
    <s v="conventional_refinance_cai_554"/>
    <x v="594"/>
    <n v="1.7197736263136001"/>
    <n v="1"/>
    <n v="-40"/>
    <n v="940"/>
  </r>
  <r>
    <x v="0"/>
    <s v="conventional_refinance_cai_555"/>
    <x v="595"/>
    <n v="1.7198938608660801"/>
    <n v="1"/>
    <n v="-40"/>
    <n v="940"/>
  </r>
  <r>
    <x v="0"/>
    <s v="conventional_refinance_cai_556"/>
    <x v="596"/>
    <n v="1.7200089650153201"/>
    <n v="1"/>
    <n v="-40"/>
    <n v="940"/>
  </r>
  <r>
    <x v="0"/>
    <s v="conventional_refinance_cai_557"/>
    <x v="597"/>
    <n v="1.7201190708793399"/>
    <n v="1"/>
    <n v="-40"/>
    <n v="940"/>
  </r>
  <r>
    <x v="0"/>
    <s v="conventional_refinance_cai_558"/>
    <x v="598"/>
    <n v="1.7202243105761701"/>
    <n v="1"/>
    <n v="-40"/>
    <n v="940"/>
  </r>
  <r>
    <x v="0"/>
    <s v="conventional_refinance_cai_559"/>
    <x v="599"/>
    <n v="1.72032481622384"/>
    <n v="1"/>
    <n v="-40"/>
    <n v="940"/>
  </r>
  <r>
    <x v="0"/>
    <s v="conventional_refinance_cai_560"/>
    <x v="600"/>
    <n v="1.72042071994037"/>
    <n v="1"/>
    <n v="-40"/>
    <n v="940"/>
  </r>
  <r>
    <x v="0"/>
    <s v="conventional_refinance_cai_561"/>
    <x v="601"/>
    <n v="1.72051215384378"/>
    <n v="1"/>
    <n v="-40"/>
    <n v="940"/>
  </r>
  <r>
    <x v="0"/>
    <s v="conventional_refinance_cai_562"/>
    <x v="602"/>
    <n v="1.7205992500521099"/>
    <n v="1"/>
    <n v="-40"/>
    <n v="940"/>
  </r>
  <r>
    <x v="0"/>
    <s v="conventional_refinance_cai_563"/>
    <x v="603"/>
    <n v="1.7206821406833701"/>
    <n v="1"/>
    <n v="-40"/>
    <n v="940"/>
  </r>
  <r>
    <x v="0"/>
    <s v="conventional_refinance_cai_564"/>
    <x v="604"/>
    <n v="1.72076095785559"/>
    <n v="1"/>
    <n v="-40"/>
    <n v="940"/>
  </r>
  <r>
    <x v="0"/>
    <s v="conventional_refinance_cai_565"/>
    <x v="605"/>
    <n v="1.7208358336868099"/>
    <n v="1"/>
    <n v="-40"/>
    <n v="940"/>
  </r>
  <r>
    <x v="0"/>
    <s v="conventional_refinance_cai_566"/>
    <x v="606"/>
    <n v="1.7209069002950399"/>
    <n v="1"/>
    <n v="-40"/>
    <n v="940"/>
  </r>
  <r>
    <x v="0"/>
    <s v="conventional_refinance_cai_567"/>
    <x v="607"/>
    <n v="1.7209742897983"/>
    <n v="1"/>
    <n v="-40"/>
    <n v="940"/>
  </r>
  <r>
    <x v="0"/>
    <s v="conventional_refinance_cai_568"/>
    <x v="608"/>
    <n v="1.7210381343146399"/>
    <n v="1"/>
    <n v="-40"/>
    <n v="940"/>
  </r>
  <r>
    <x v="0"/>
    <s v="conventional_refinance_cai_569"/>
    <x v="609"/>
    <n v="1.7210985659620599"/>
    <n v="1"/>
    <n v="-40"/>
    <n v="940"/>
  </r>
  <r>
    <x v="0"/>
    <s v="conventional_refinance_cai_570"/>
    <x v="610"/>
    <n v="1.7211557168586"/>
    <n v="1"/>
    <n v="-40"/>
    <n v="940"/>
  </r>
  <r>
    <x v="0"/>
    <s v="conventional_refinance_cai_571"/>
    <x v="611"/>
    <n v="1.7212097191222699"/>
    <n v="1"/>
    <n v="-40"/>
    <n v="940"/>
  </r>
  <r>
    <x v="0"/>
    <s v="conventional_refinance_cai_572"/>
    <x v="612"/>
    <n v="1.7212607048711199"/>
    <n v="1"/>
    <n v="-40"/>
    <n v="940"/>
  </r>
  <r>
    <x v="0"/>
    <s v="conventional_refinance_cai_573"/>
    <x v="613"/>
    <n v="1.7213088062231601"/>
    <n v="1"/>
    <n v="-40"/>
    <n v="940"/>
  </r>
  <r>
    <x v="0"/>
    <s v="conventional_refinance_cai_574"/>
    <x v="614"/>
    <n v="1.72135415529641"/>
    <n v="1"/>
    <n v="-40"/>
    <n v="940"/>
  </r>
  <r>
    <x v="0"/>
    <s v="conventional_refinance_cai_575"/>
    <x v="615"/>
    <n v="1.72139688420891"/>
    <n v="1"/>
    <n v="-40"/>
    <n v="940"/>
  </r>
  <r>
    <x v="0"/>
    <s v="conventional_refinance_cai_576"/>
    <x v="616"/>
    <n v="1.72143712507868"/>
    <n v="1"/>
    <n v="-40"/>
    <n v="940"/>
  </r>
  <r>
    <x v="0"/>
    <s v="conventional_refinance_cai_577"/>
    <x v="617"/>
    <n v="1.7214750100237399"/>
    <n v="1"/>
    <n v="-40"/>
    <n v="940"/>
  </r>
  <r>
    <x v="0"/>
    <s v="conventional_refinance_cai_578"/>
    <x v="618"/>
    <n v="1.72151067116212"/>
    <n v="1"/>
    <n v="-40"/>
    <n v="940"/>
  </r>
  <r>
    <x v="0"/>
    <s v="conventional_refinance_cai_579"/>
    <x v="619"/>
    <n v="1.72154424061185"/>
    <n v="1"/>
    <n v="-40"/>
    <n v="940"/>
  </r>
  <r>
    <x v="0"/>
    <s v="conventional_refinance_cai_580"/>
    <x v="620"/>
    <n v="1.72157585049095"/>
    <n v="1"/>
    <n v="-40"/>
    <n v="940"/>
  </r>
  <r>
    <x v="0"/>
    <s v="conventional_refinance_cai_581"/>
    <x v="621"/>
    <n v="1.7216056329174401"/>
    <n v="1"/>
    <n v="-40"/>
    <n v="940"/>
  </r>
  <r>
    <x v="0"/>
    <s v="conventional_refinance_cai_582"/>
    <x v="622"/>
    <n v="1.7216337200093601"/>
    <n v="1"/>
    <n v="-40"/>
    <n v="940"/>
  </r>
  <r>
    <x v="0"/>
    <s v="conventional_refinance_cai_583"/>
    <x v="623"/>
    <n v="1.7216602438847199"/>
    <n v="1"/>
    <n v="-40"/>
    <n v="940"/>
  </r>
  <r>
    <x v="0"/>
    <s v="conventional_refinance_cai_584"/>
    <x v="624"/>
    <n v="1.7216853366615501"/>
    <n v="1"/>
    <n v="-40"/>
    <n v="940"/>
  </r>
  <r>
    <x v="0"/>
    <s v="conventional_refinance_cai_585"/>
    <x v="625"/>
    <n v="1.72170913045789"/>
    <n v="1"/>
    <n v="-40"/>
    <n v="940"/>
  </r>
  <r>
    <x v="0"/>
    <s v="conventional_refinance_cai_586"/>
    <x v="626"/>
    <n v="1.7217317573917501"/>
    <n v="1"/>
    <n v="-40"/>
    <n v="940"/>
  </r>
  <r>
    <x v="0"/>
    <s v="conventional_refinance_cai_587"/>
    <x v="627"/>
    <n v="1.7217533495811499"/>
    <n v="1"/>
    <n v="-40"/>
    <n v="940"/>
  </r>
  <r>
    <x v="0"/>
    <s v="conventional_refinance_cai_588"/>
    <x v="628"/>
    <n v="1.7217740391441301"/>
    <n v="1"/>
    <n v="-40"/>
    <n v="940"/>
  </r>
  <r>
    <x v="0"/>
    <s v="conventional_refinance_cai_589"/>
    <x v="629"/>
    <n v="1.7217939581987101"/>
    <n v="1"/>
    <n v="-40"/>
    <n v="940"/>
  </r>
  <r>
    <x v="0"/>
    <s v="conventional_refinance_cai_590"/>
    <x v="630"/>
    <n v="1.7218132388629199"/>
    <n v="1"/>
    <n v="-40"/>
    <n v="940"/>
  </r>
  <r>
    <x v="0"/>
    <s v="conventional_refinance_cai_591"/>
    <x v="631"/>
    <n v="1.72183201325478"/>
    <n v="1"/>
    <n v="-40"/>
    <n v="940"/>
  </r>
  <r>
    <x v="0"/>
    <s v="conventional_refinance_cai_592"/>
    <x v="632"/>
    <n v="1.7218504134923101"/>
    <n v="1"/>
    <n v="-40"/>
    <n v="940"/>
  </r>
  <r>
    <x v="0"/>
    <s v="conventional_refinance_cai_593"/>
    <x v="633"/>
    <n v="1.72186857169355"/>
    <n v="1"/>
    <n v="-40"/>
    <n v="940"/>
  </r>
  <r>
    <x v="0"/>
    <s v="conventional_refinance_cai_594"/>
    <x v="634"/>
    <n v="1.7218866199765099"/>
    <n v="1"/>
    <n v="-40"/>
    <n v="940"/>
  </r>
  <r>
    <x v="0"/>
    <s v="conventional_refinance_cai_595"/>
    <x v="635"/>
    <n v="1.7219046904592299"/>
    <n v="1"/>
    <n v="-40"/>
    <n v="940"/>
  </r>
  <r>
    <x v="0"/>
    <s v="conventional_refinance_cai_596"/>
    <x v="636"/>
    <n v="1.72192291525972"/>
    <n v="1"/>
    <n v="-40"/>
    <n v="940"/>
  </r>
  <r>
    <x v="0"/>
    <s v="conventional_refinance_cai_597"/>
    <x v="637"/>
    <n v="1.72194142649602"/>
    <n v="1"/>
    <n v="-40"/>
    <n v="940"/>
  </r>
  <r>
    <x v="0"/>
    <s v="conventional_refinance_cai_598"/>
    <x v="638"/>
    <n v="1.7219603562861501"/>
    <n v="1"/>
    <n v="-40"/>
    <n v="940"/>
  </r>
  <r>
    <x v="0"/>
    <s v="conventional_refinance_cai_599"/>
    <x v="639"/>
    <n v="1.72197983674814"/>
    <n v="1"/>
    <n v="-40"/>
    <n v="940"/>
  </r>
  <r>
    <x v="0"/>
    <s v="conventional_refinance_cai_600"/>
    <x v="640"/>
    <n v="1.722"/>
    <n v="1"/>
    <n v="-40"/>
    <n v="940"/>
  </r>
  <r>
    <x v="0"/>
    <s v="conventional_refinance_cai_601"/>
    <x v="641"/>
    <n v="1.72202058726729"/>
    <n v="1"/>
    <n v="-40"/>
    <n v="940"/>
  </r>
  <r>
    <x v="0"/>
    <s v="conventional_refinance_cai_602"/>
    <x v="642"/>
    <n v="1.72204124991635"/>
    <n v="1"/>
    <n v="-40"/>
    <n v="940"/>
  </r>
  <r>
    <x v="0"/>
    <s v="conventional_refinance_cai_603"/>
    <x v="643"/>
    <n v="1.7220619852763901"/>
    <n v="1"/>
    <n v="-40"/>
    <n v="940"/>
  </r>
  <r>
    <x v="0"/>
    <s v="conventional_refinance_cai_604"/>
    <x v="644"/>
    <n v="1.7220827906766101"/>
    <n v="1"/>
    <n v="-40"/>
    <n v="940"/>
  </r>
  <r>
    <x v="0"/>
    <s v="conventional_refinance_cai_605"/>
    <x v="645"/>
    <n v="1.7221036634462401"/>
    <n v="1"/>
    <n v="-40"/>
    <n v="940"/>
  </r>
  <r>
    <x v="0"/>
    <s v="conventional_refinance_cai_606"/>
    <x v="646"/>
    <n v="1.7221246009144799"/>
    <n v="1"/>
    <n v="-40"/>
    <n v="940"/>
  </r>
  <r>
    <x v="0"/>
    <s v="conventional_refinance_cai_607"/>
    <x v="647"/>
    <n v="1.72214560041054"/>
    <n v="1"/>
    <n v="-40"/>
    <n v="940"/>
  </r>
  <r>
    <x v="0"/>
    <s v="conventional_refinance_cai_608"/>
    <x v="648"/>
    <n v="1.72216665926364"/>
    <n v="1"/>
    <n v="-40"/>
    <n v="940"/>
  </r>
  <r>
    <x v="0"/>
    <s v="conventional_refinance_cai_609"/>
    <x v="649"/>
    <n v="1.7221877748029799"/>
    <n v="1"/>
    <n v="-40"/>
    <n v="940"/>
  </r>
  <r>
    <x v="0"/>
    <s v="conventional_refinance_cai_610"/>
    <x v="650"/>
    <n v="1.7222089443577899"/>
    <n v="1"/>
    <n v="-40"/>
    <n v="940"/>
  </r>
  <r>
    <x v="0"/>
    <s v="conventional_refinance_cai_611"/>
    <x v="651"/>
    <n v="1.72223016525726"/>
    <n v="1"/>
    <n v="-40"/>
    <n v="940"/>
  </r>
  <r>
    <x v="0"/>
    <s v="conventional_refinance_cai_612"/>
    <x v="652"/>
    <n v="1.7222514348306199"/>
    <n v="1"/>
    <n v="-40"/>
    <n v="940"/>
  </r>
  <r>
    <x v="0"/>
    <s v="conventional_refinance_cai_613"/>
    <x v="653"/>
    <n v="1.7222727504070801"/>
    <n v="1"/>
    <n v="-40"/>
    <n v="940"/>
  </r>
  <r>
    <x v="0"/>
    <s v="conventional_refinance_cai_614"/>
    <x v="654"/>
    <n v="1.7222941093158399"/>
    <n v="1"/>
    <n v="-40"/>
    <n v="940"/>
  </r>
  <r>
    <x v="0"/>
    <s v="conventional_refinance_cai_615"/>
    <x v="655"/>
    <n v="1.72231550888612"/>
    <n v="1"/>
    <n v="-40"/>
    <n v="940"/>
  </r>
  <r>
    <x v="0"/>
    <s v="conventional_refinance_cai_616"/>
    <x v="656"/>
    <n v="1.7223369464471201"/>
    <n v="1"/>
    <n v="-40"/>
    <n v="940"/>
  </r>
  <r>
    <x v="0"/>
    <s v="conventional_refinance_cai_617"/>
    <x v="657"/>
    <n v="1.7223584193280701"/>
    <n v="1"/>
    <n v="-40"/>
    <n v="940"/>
  </r>
  <r>
    <x v="0"/>
    <s v="conventional_refinance_cai_618"/>
    <x v="658"/>
    <n v="1.7223799248581699"/>
    <n v="1"/>
    <n v="-40"/>
    <n v="940"/>
  </r>
  <r>
    <x v="0"/>
    <s v="conventional_refinance_cai_619"/>
    <x v="659"/>
    <n v="1.72240146036664"/>
    <n v="1"/>
    <n v="-40"/>
    <n v="940"/>
  </r>
  <r>
    <x v="0"/>
    <s v="conventional_refinance_cai_620"/>
    <x v="660"/>
    <n v="1.72242302318268"/>
    <n v="1"/>
    <n v="-40"/>
    <n v="940"/>
  </r>
  <r>
    <x v="0"/>
    <s v="conventional_refinance_cai_621"/>
    <x v="661"/>
    <n v="1.72244461063551"/>
    <n v="1"/>
    <n v="-40"/>
    <n v="940"/>
  </r>
  <r>
    <x v="0"/>
    <s v="conventional_refinance_cai_622"/>
    <x v="662"/>
    <n v="1.7224662200543399"/>
    <n v="1"/>
    <n v="-40"/>
    <n v="940"/>
  </r>
  <r>
    <x v="0"/>
    <s v="conventional_refinance_cai_623"/>
    <x v="663"/>
    <n v="1.7224878487683799"/>
    <n v="1"/>
    <n v="-40"/>
    <n v="940"/>
  </r>
  <r>
    <x v="0"/>
    <s v="conventional_refinance_cai_624"/>
    <x v="664"/>
    <n v="1.72250949410684"/>
    <n v="1"/>
    <n v="-40"/>
    <n v="940"/>
  </r>
  <r>
    <x v="0"/>
    <s v="conventional_refinance_cai_625"/>
    <x v="665"/>
    <n v="1.72253115339894"/>
    <n v="1"/>
    <n v="-40"/>
    <n v="940"/>
  </r>
  <r>
    <x v="0"/>
    <s v="conventional_refinance_cai_626"/>
    <x v="666"/>
    <n v="1.7225528239738801"/>
    <n v="1"/>
    <n v="-40"/>
    <n v="940"/>
  </r>
  <r>
    <x v="0"/>
    <s v="conventional_refinance_cai_627"/>
    <x v="667"/>
    <n v="1.7225745031608799"/>
    <n v="1"/>
    <n v="-40"/>
    <n v="940"/>
  </r>
  <r>
    <x v="0"/>
    <s v="conventional_refinance_cai_628"/>
    <x v="668"/>
    <n v="1.7225961882891601"/>
    <n v="1"/>
    <n v="-40"/>
    <n v="940"/>
  </r>
  <r>
    <x v="0"/>
    <s v="conventional_refinance_cai_629"/>
    <x v="669"/>
    <n v="1.7226178766879101"/>
    <n v="1"/>
    <n v="-40"/>
    <n v="940"/>
  </r>
  <r>
    <x v="0"/>
    <s v="conventional_refinance_cai_630"/>
    <x v="670"/>
    <n v="1.72263956568636"/>
    <n v="1"/>
    <n v="-40"/>
    <n v="940"/>
  </r>
  <r>
    <x v="0"/>
    <s v="conventional_refinance_cai_631"/>
    <x v="671"/>
    <n v="1.7226612526137099"/>
    <n v="1"/>
    <n v="-40"/>
    <n v="940"/>
  </r>
  <r>
    <x v="0"/>
    <s v="conventional_refinance_cai_632"/>
    <x v="672"/>
    <n v="1.7226829347991801"/>
    <n v="1"/>
    <n v="-40"/>
    <n v="940"/>
  </r>
  <r>
    <x v="0"/>
    <s v="conventional_refinance_cai_633"/>
    <x v="673"/>
    <n v="1.72270460957197"/>
    <n v="1"/>
    <n v="-40"/>
    <n v="940"/>
  </r>
  <r>
    <x v="0"/>
    <s v="conventional_refinance_cai_634"/>
    <x v="674"/>
    <n v="1.7227262742613101"/>
    <n v="1"/>
    <n v="-40"/>
    <n v="940"/>
  </r>
  <r>
    <x v="0"/>
    <s v="conventional_refinance_cai_635"/>
    <x v="675"/>
    <n v="1.7227479261963901"/>
    <n v="1"/>
    <n v="-40"/>
    <n v="940"/>
  </r>
  <r>
    <x v="0"/>
    <s v="conventional_refinance_cai_636"/>
    <x v="676"/>
    <n v="1.7227695627064401"/>
    <n v="1"/>
    <n v="-40"/>
    <n v="940"/>
  </r>
  <r>
    <x v="0"/>
    <s v="conventional_refinance_cai_637"/>
    <x v="677"/>
    <n v="1.72279118112067"/>
    <n v="1"/>
    <n v="-40"/>
    <n v="940"/>
  </r>
  <r>
    <x v="0"/>
    <s v="conventional_refinance_cai_638"/>
    <x v="678"/>
    <n v="1.7228127787682801"/>
    <n v="1"/>
    <n v="-40"/>
    <n v="940"/>
  </r>
  <r>
    <x v="0"/>
    <s v="conventional_refinance_cai_639"/>
    <x v="679"/>
    <n v="1.72283435297849"/>
    <n v="1"/>
    <n v="-40"/>
    <n v="940"/>
  </r>
  <r>
    <x v="0"/>
    <s v="conventional_refinance_cai_640"/>
    <x v="680"/>
    <n v="1.72285590108051"/>
    <n v="1"/>
    <n v="-40"/>
    <n v="940"/>
  </r>
  <r>
    <x v="0"/>
    <s v="conventional_refinance_cai_641"/>
    <x v="681"/>
    <n v="1.72287742040355"/>
    <n v="1"/>
    <n v="-40"/>
    <n v="940"/>
  </r>
  <r>
    <x v="0"/>
    <s v="conventional_refinance_cai_642"/>
    <x v="682"/>
    <n v="1.72289890827683"/>
    <n v="1"/>
    <n v="-40"/>
    <n v="940"/>
  </r>
  <r>
    <x v="0"/>
    <s v="conventional_refinance_cai_643"/>
    <x v="683"/>
    <n v="1.7229203620295499"/>
    <n v="1"/>
    <n v="-40"/>
    <n v="940"/>
  </r>
  <r>
    <x v="0"/>
    <s v="conventional_refinance_cai_644"/>
    <x v="684"/>
    <n v="1.72294177899093"/>
    <n v="1"/>
    <n v="-40"/>
    <n v="940"/>
  </r>
  <r>
    <x v="0"/>
    <s v="conventional_refinance_cai_645"/>
    <x v="685"/>
    <n v="1.72296315649017"/>
    <n v="1"/>
    <n v="-40"/>
    <n v="940"/>
  </r>
  <r>
    <x v="0"/>
    <s v="conventional_refinance_cai_646"/>
    <x v="686"/>
    <n v="1.7229844918565"/>
    <n v="1"/>
    <n v="-40"/>
    <n v="940"/>
  </r>
  <r>
    <x v="0"/>
    <s v="conventional_refinance_cai_647"/>
    <x v="687"/>
    <n v="1.7230057824191101"/>
    <n v="1"/>
    <n v="-40"/>
    <n v="940"/>
  </r>
  <r>
    <x v="0"/>
    <s v="conventional_refinance_cai_648"/>
    <x v="688"/>
    <n v="1.72302702550724"/>
    <n v="1"/>
    <n v="-40"/>
    <n v="940"/>
  </r>
  <r>
    <x v="0"/>
    <s v="conventional_refinance_cai_649"/>
    <x v="689"/>
    <n v="1.7230482184500699"/>
    <n v="1"/>
    <n v="-40"/>
    <n v="940"/>
  </r>
  <r>
    <x v="0"/>
    <s v="conventional_refinance_cai_650"/>
    <x v="690"/>
    <n v="1.72306935857683"/>
    <n v="1"/>
    <n v="-40"/>
    <n v="940"/>
  </r>
  <r>
    <x v="0"/>
    <s v="conventional_refinance_cai_651"/>
    <x v="691"/>
    <n v="1.72309044321673"/>
    <n v="1"/>
    <n v="-40"/>
    <n v="940"/>
  </r>
  <r>
    <x v="0"/>
    <s v="conventional_refinance_cai_652"/>
    <x v="692"/>
    <n v="1.72311146969899"/>
    <n v="1"/>
    <n v="-40"/>
    <n v="940"/>
  </r>
  <r>
    <x v="0"/>
    <s v="conventional_refinance_cai_653"/>
    <x v="693"/>
    <n v="1.7231324353527999"/>
    <n v="1"/>
    <n v="-40"/>
    <n v="940"/>
  </r>
  <r>
    <x v="0"/>
    <s v="conventional_refinance_cai_654"/>
    <x v="694"/>
    <n v="1.72315333750739"/>
    <n v="1"/>
    <n v="-40"/>
    <n v="940"/>
  </r>
  <r>
    <x v="0"/>
    <s v="conventional_refinance_cai_655"/>
    <x v="695"/>
    <n v="1.7231741734919599"/>
    <n v="1"/>
    <n v="-40"/>
    <n v="940"/>
  </r>
  <r>
    <x v="0"/>
    <s v="conventional_refinance_cai_656"/>
    <x v="696"/>
    <n v="1.7231949406357301"/>
    <n v="1"/>
    <n v="-40"/>
    <n v="940"/>
  </r>
  <r>
    <x v="0"/>
    <s v="conventional_refinance_cai_657"/>
    <x v="697"/>
    <n v="1.7232156362679101"/>
    <n v="1"/>
    <n v="-40"/>
    <n v="940"/>
  </r>
  <r>
    <x v="0"/>
    <s v="conventional_refinance_cai_658"/>
    <x v="698"/>
    <n v="1.7232362577177001"/>
    <n v="1"/>
    <n v="-40"/>
    <n v="940"/>
  </r>
  <r>
    <x v="0"/>
    <s v="conventional_refinance_cai_659"/>
    <x v="699"/>
    <n v="1.72325680231433"/>
    <n v="1"/>
    <n v="-40"/>
    <n v="940"/>
  </r>
  <r>
    <x v="0"/>
    <s v="conventional_refinance_cai_660"/>
    <x v="700"/>
    <n v="1.72327726738701"/>
    <n v="1"/>
    <n v="-40"/>
    <n v="940"/>
  </r>
  <r>
    <x v="0"/>
    <s v="conventional_refinance_cai_661"/>
    <x v="701"/>
    <n v="1.72329765026494"/>
    <n v="1"/>
    <n v="-40"/>
    <n v="940"/>
  </r>
  <r>
    <x v="0"/>
    <s v="conventional_refinance_cai_662"/>
    <x v="702"/>
    <n v="1.72331794827733"/>
    <n v="1"/>
    <n v="-40"/>
    <n v="940"/>
  </r>
  <r>
    <x v="0"/>
    <s v="conventional_refinance_cai_663"/>
    <x v="703"/>
    <n v="1.72333815875341"/>
    <n v="1"/>
    <n v="-40"/>
    <n v="940"/>
  </r>
  <r>
    <x v="0"/>
    <s v="conventional_refinance_cai_664"/>
    <x v="704"/>
    <n v="1.72335827902238"/>
    <n v="1"/>
    <n v="-40"/>
    <n v="940"/>
  </r>
  <r>
    <x v="0"/>
    <s v="conventional_refinance_cai_665"/>
    <x v="705"/>
    <n v="1.72337830641344"/>
    <n v="1"/>
    <n v="-40"/>
    <n v="940"/>
  </r>
  <r>
    <x v="0"/>
    <s v="conventional_refinance_cai_666"/>
    <x v="706"/>
    <n v="1.7233982382558199"/>
    <n v="1"/>
    <n v="-40"/>
    <n v="940"/>
  </r>
  <r>
    <x v="0"/>
    <s v="conventional_refinance_cai_667"/>
    <x v="707"/>
    <n v="1.72341807187873"/>
    <n v="1"/>
    <n v="-40"/>
    <n v="940"/>
  </r>
  <r>
    <x v="0"/>
    <s v="conventional_refinance_cai_668"/>
    <x v="708"/>
    <n v="1.7234378046113801"/>
    <n v="1"/>
    <n v="-40"/>
    <n v="940"/>
  </r>
  <r>
    <x v="0"/>
    <s v="conventional_refinance_cai_669"/>
    <x v="709"/>
    <n v="1.72345743378297"/>
    <n v="1"/>
    <n v="-40"/>
    <n v="940"/>
  </r>
  <r>
    <x v="0"/>
    <s v="conventional_refinance_cai_670"/>
    <x v="710"/>
    <n v="1.7234769567227199"/>
    <n v="1"/>
    <n v="-40"/>
    <n v="940"/>
  </r>
  <r>
    <x v="0"/>
    <s v="conventional_refinance_cai_671"/>
    <x v="711"/>
    <n v="1.7234963707598501"/>
    <n v="1"/>
    <n v="-40"/>
    <n v="940"/>
  </r>
  <r>
    <x v="0"/>
    <s v="conventional_refinance_cai_672"/>
    <x v="712"/>
    <n v="1.7235156732235599"/>
    <n v="1"/>
    <n v="-40"/>
    <n v="940"/>
  </r>
  <r>
    <x v="0"/>
    <s v="conventional_refinance_cai_673"/>
    <x v="713"/>
    <n v="1.7235348614430701"/>
    <n v="1"/>
    <n v="-40"/>
    <n v="940"/>
  </r>
  <r>
    <x v="0"/>
    <s v="conventional_refinance_cai_674"/>
    <x v="714"/>
    <n v="1.72355393274758"/>
    <n v="1"/>
    <n v="-40"/>
    <n v="940"/>
  </r>
  <r>
    <x v="0"/>
    <s v="conventional_refinance_cai_675"/>
    <x v="715"/>
    <n v="1.7235728844663101"/>
    <n v="1"/>
    <n v="-40"/>
    <n v="940"/>
  </r>
  <r>
    <x v="0"/>
    <s v="conventional_refinance_cai_676"/>
    <x v="716"/>
    <n v="1.72359171392848"/>
    <n v="1"/>
    <n v="-40"/>
    <n v="940"/>
  </r>
  <r>
    <x v="0"/>
    <s v="conventional_refinance_cai_677"/>
    <x v="717"/>
    <n v="1.7236104184632799"/>
    <n v="1"/>
    <n v="-40"/>
    <n v="940"/>
  </r>
  <r>
    <x v="0"/>
    <s v="conventional_refinance_cai_678"/>
    <x v="718"/>
    <n v="1.72362899539994"/>
    <n v="1"/>
    <n v="-40"/>
    <n v="940"/>
  </r>
  <r>
    <x v="0"/>
    <s v="conventional_refinance_cai_679"/>
    <x v="719"/>
    <n v="1.72364744206767"/>
    <n v="1"/>
    <n v="-40"/>
    <n v="940"/>
  </r>
  <r>
    <x v="0"/>
    <s v="conventional_refinance_cai_680"/>
    <x v="720"/>
    <n v="1.7236657557956701"/>
    <n v="1"/>
    <n v="-40"/>
    <n v="940"/>
  </r>
  <r>
    <x v="0"/>
    <s v="conventional_refinance_cai_681"/>
    <x v="721"/>
    <n v="1.72368393391316"/>
    <n v="1"/>
    <n v="-40"/>
    <n v="940"/>
  </r>
  <r>
    <x v="0"/>
    <s v="conventional_refinance_cai_682"/>
    <x v="722"/>
    <n v="1.72370197374935"/>
    <n v="1"/>
    <n v="-40"/>
    <n v="940"/>
  </r>
  <r>
    <x v="0"/>
    <s v="conventional_refinance_cai_683"/>
    <x v="723"/>
    <n v="1.7237198726334599"/>
    <n v="1"/>
    <n v="-40"/>
    <n v="940"/>
  </r>
  <r>
    <x v="0"/>
    <s v="conventional_refinance_cai_684"/>
    <x v="724"/>
    <n v="1.7237376278946901"/>
    <n v="1"/>
    <n v="-40"/>
    <n v="940"/>
  </r>
  <r>
    <x v="0"/>
    <s v="conventional_refinance_cai_685"/>
    <x v="725"/>
    <n v="1.72375523686226"/>
    <n v="1"/>
    <n v="-40"/>
    <n v="940"/>
  </r>
  <r>
    <x v="0"/>
    <s v="conventional_refinance_cai_686"/>
    <x v="726"/>
    <n v="1.7237726968653699"/>
    <n v="1"/>
    <n v="-40"/>
    <n v="940"/>
  </r>
  <r>
    <x v="0"/>
    <s v="conventional_refinance_cai_687"/>
    <x v="727"/>
    <n v="1.72379000523324"/>
    <n v="1"/>
    <n v="-40"/>
    <n v="940"/>
  </r>
  <r>
    <x v="0"/>
    <s v="conventional_refinance_cai_688"/>
    <x v="728"/>
    <n v="1.7238071592950901"/>
    <n v="1"/>
    <n v="-40"/>
    <n v="940"/>
  </r>
  <r>
    <x v="0"/>
    <s v="conventional_refinance_cai_689"/>
    <x v="729"/>
    <n v="1.72382415638011"/>
    <n v="1"/>
    <n v="-40"/>
    <n v="940"/>
  </r>
  <r>
    <x v="0"/>
    <s v="conventional_refinance_cai_690"/>
    <x v="730"/>
    <n v="1.7238409938175301"/>
    <n v="1"/>
    <n v="-40"/>
    <n v="940"/>
  </r>
  <r>
    <x v="0"/>
    <s v="conventional_refinance_cai_691"/>
    <x v="731"/>
    <n v="1.7238576689365599"/>
    <n v="1"/>
    <n v="-40"/>
    <n v="940"/>
  </r>
  <r>
    <x v="0"/>
    <s v="conventional_refinance_cai_692"/>
    <x v="732"/>
    <n v="1.7238741790664001"/>
    <n v="1"/>
    <n v="-40"/>
    <n v="940"/>
  </r>
  <r>
    <x v="0"/>
    <s v="conventional_refinance_cai_693"/>
    <x v="733"/>
    <n v="1.7238905215362801"/>
    <n v="1"/>
    <n v="-40"/>
    <n v="940"/>
  </r>
  <r>
    <x v="0"/>
    <s v="conventional_refinance_cai_694"/>
    <x v="734"/>
    <n v="1.72390669367539"/>
    <n v="1"/>
    <n v="-40"/>
    <n v="940"/>
  </r>
  <r>
    <x v="0"/>
    <s v="conventional_refinance_cai_695"/>
    <x v="735"/>
    <n v="1.7239226928129601"/>
    <n v="1"/>
    <n v="-40"/>
    <n v="940"/>
  </r>
  <r>
    <x v="0"/>
    <s v="conventional_refinance_cai_696"/>
    <x v="736"/>
    <n v="1.7239385162781899"/>
    <n v="1"/>
    <n v="-40"/>
    <n v="940"/>
  </r>
  <r>
    <x v="0"/>
    <s v="conventional_refinance_cai_697"/>
    <x v="737"/>
    <n v="1.7239541614003"/>
    <n v="1"/>
    <n v="-40"/>
    <n v="940"/>
  </r>
  <r>
    <x v="0"/>
    <s v="conventional_refinance_cai_698"/>
    <x v="738"/>
    <n v="1.7239696255085"/>
    <n v="1"/>
    <n v="-40"/>
    <n v="940"/>
  </r>
  <r>
    <x v="0"/>
    <s v="conventional_refinance_cai_699"/>
    <x v="739"/>
    <n v="1.7239849059319901"/>
    <n v="1"/>
    <n v="-40"/>
    <n v="940"/>
  </r>
  <r>
    <x v="0"/>
    <s v="conventional_refinance_cai_700"/>
    <x v="740"/>
    <n v="1.724"/>
    <n v="1"/>
    <n v="-40"/>
    <n v="940"/>
  </r>
  <r>
    <x v="0"/>
    <s v="conventional_refinance_cai_701"/>
    <x v="741"/>
    <n v="1.7240149005000001"/>
    <n v="1"/>
    <n v="-40"/>
    <n v="940"/>
  </r>
  <r>
    <x v="0"/>
    <s v="conventional_refinance_cai_702"/>
    <x v="742"/>
    <n v="1.724029604"/>
    <n v="1"/>
    <n v="-40"/>
    <n v="940"/>
  </r>
  <r>
    <x v="0"/>
    <s v="conventional_refinance_cai_703"/>
    <x v="743"/>
    <n v="1.7240441135"/>
    <n v="1"/>
    <n v="-40"/>
    <n v="940"/>
  </r>
  <r>
    <x v="0"/>
    <s v="conventional_refinance_cai_704"/>
    <x v="744"/>
    <n v="1.7240584320000001"/>
    <n v="1"/>
    <n v="-40"/>
    <n v="940"/>
  </r>
  <r>
    <x v="0"/>
    <s v="conventional_refinance_cai_705"/>
    <x v="745"/>
    <n v="1.7240725625"/>
    <n v="1"/>
    <n v="-40"/>
    <n v="940"/>
  </r>
  <r>
    <x v="0"/>
    <s v="conventional_refinance_cai_706"/>
    <x v="746"/>
    <n v="1.7240865080000001"/>
    <n v="1"/>
    <n v="-40"/>
    <n v="940"/>
  </r>
  <r>
    <x v="0"/>
    <s v="conventional_refinance_cai_707"/>
    <x v="747"/>
    <n v="1.7241002715"/>
    <n v="1"/>
    <n v="-40"/>
    <n v="940"/>
  </r>
  <r>
    <x v="0"/>
    <s v="conventional_refinance_cai_708"/>
    <x v="748"/>
    <n v="1.724113856"/>
    <n v="1"/>
    <n v="-40"/>
    <n v="940"/>
  </r>
  <r>
    <x v="0"/>
    <s v="conventional_refinance_cai_709"/>
    <x v="749"/>
    <n v="1.7241272645000001"/>
    <n v="1"/>
    <n v="-40"/>
    <n v="940"/>
  </r>
  <r>
    <x v="0"/>
    <s v="conventional_refinance_cai_710"/>
    <x v="750"/>
    <n v="1.7241405000000001"/>
    <n v="1"/>
    <n v="-40"/>
    <n v="940"/>
  </r>
  <r>
    <x v="0"/>
    <s v="conventional_refinance_cai_711"/>
    <x v="751"/>
    <n v="1.7241535655"/>
    <n v="1"/>
    <n v="-40"/>
    <n v="940"/>
  </r>
  <r>
    <x v="0"/>
    <s v="conventional_refinance_cai_712"/>
    <x v="752"/>
    <n v="1.7241664640000001"/>
    <n v="1"/>
    <n v="-40"/>
    <n v="940"/>
  </r>
  <r>
    <x v="0"/>
    <s v="conventional_refinance_cai_713"/>
    <x v="753"/>
    <n v="1.7241791984999999"/>
    <n v="1"/>
    <n v="-40"/>
    <n v="940"/>
  </r>
  <r>
    <x v="0"/>
    <s v="conventional_refinance_cai_714"/>
    <x v="754"/>
    <n v="1.724191772"/>
    <n v="1"/>
    <n v="-40"/>
    <n v="940"/>
  </r>
  <r>
    <x v="0"/>
    <s v="conventional_refinance_cai_715"/>
    <x v="755"/>
    <n v="1.7242041875"/>
    <n v="1"/>
    <n v="-40"/>
    <n v="940"/>
  </r>
  <r>
    <x v="0"/>
    <s v="conventional_refinance_cai_716"/>
    <x v="756"/>
    <n v="1.724216448"/>
    <n v="1"/>
    <n v="-40"/>
    <n v="940"/>
  </r>
  <r>
    <x v="0"/>
    <s v="conventional_refinance_cai_717"/>
    <x v="757"/>
    <n v="1.7242285565"/>
    <n v="1"/>
    <n v="-40"/>
    <n v="940"/>
  </r>
  <r>
    <x v="0"/>
    <s v="conventional_refinance_cai_718"/>
    <x v="758"/>
    <n v="1.7242405160000001"/>
    <n v="1"/>
    <n v="-40"/>
    <n v="940"/>
  </r>
  <r>
    <x v="0"/>
    <s v="conventional_refinance_cai_719"/>
    <x v="759"/>
    <n v="1.7242523295000001"/>
    <n v="1"/>
    <n v="-40"/>
    <n v="940"/>
  </r>
  <r>
    <x v="0"/>
    <s v="conventional_refinance_cai_720"/>
    <x v="760"/>
    <n v="1.724264"/>
    <n v="1"/>
    <n v="-40"/>
    <n v="940"/>
  </r>
  <r>
    <x v="0"/>
    <s v="conventional_refinance_cai_721"/>
    <x v="761"/>
    <n v="1.7242755304999999"/>
    <n v="1"/>
    <n v="-40"/>
    <n v="940"/>
  </r>
  <r>
    <x v="0"/>
    <s v="conventional_refinance_cai_722"/>
    <x v="762"/>
    <n v="1.7242869240000001"/>
    <n v="1"/>
    <n v="-40"/>
    <n v="940"/>
  </r>
  <r>
    <x v="0"/>
    <s v="conventional_refinance_cai_723"/>
    <x v="763"/>
    <n v="1.7242981835"/>
    <n v="1"/>
    <n v="-40"/>
    <n v="940"/>
  </r>
  <r>
    <x v="0"/>
    <s v="conventional_refinance_cai_724"/>
    <x v="764"/>
    <n v="1.7243093119999999"/>
    <n v="1"/>
    <n v="-40"/>
    <n v="940"/>
  </r>
  <r>
    <x v="0"/>
    <s v="conventional_refinance_cai_725"/>
    <x v="765"/>
    <n v="1.7243203125"/>
    <n v="1"/>
    <n v="-40"/>
    <n v="940"/>
  </r>
  <r>
    <x v="0"/>
    <s v="conventional_refinance_cai_726"/>
    <x v="766"/>
    <n v="1.7243311880000001"/>
    <n v="1"/>
    <n v="-40"/>
    <n v="940"/>
  </r>
  <r>
    <x v="0"/>
    <s v="conventional_refinance_cai_727"/>
    <x v="767"/>
    <n v="1.7243419415000001"/>
    <n v="1"/>
    <n v="-40"/>
    <n v="940"/>
  </r>
  <r>
    <x v="0"/>
    <s v="conventional_refinance_cai_728"/>
    <x v="768"/>
    <n v="1.724352576"/>
    <n v="1"/>
    <n v="-40"/>
    <n v="940"/>
  </r>
  <r>
    <x v="0"/>
    <s v="conventional_refinance_cai_729"/>
    <x v="769"/>
    <n v="1.7243630944999999"/>
    <n v="1"/>
    <n v="-40"/>
    <n v="940"/>
  </r>
  <r>
    <x v="0"/>
    <s v="conventional_refinance_cai_730"/>
    <x v="770"/>
    <n v="1.7243735"/>
    <n v="1"/>
    <n v="-40"/>
    <n v="940"/>
  </r>
  <r>
    <x v="0"/>
    <s v="conventional_refinance_cai_731"/>
    <x v="771"/>
    <n v="1.7243837955000001"/>
    <n v="1"/>
    <n v="-40"/>
    <n v="940"/>
  </r>
  <r>
    <x v="0"/>
    <s v="conventional_refinance_cai_732"/>
    <x v="772"/>
    <n v="1.724393984"/>
    <n v="1"/>
    <n v="-40"/>
    <n v="940"/>
  </r>
  <r>
    <x v="0"/>
    <s v="conventional_refinance_cai_733"/>
    <x v="773"/>
    <n v="1.7244040684999999"/>
    <n v="1"/>
    <n v="-40"/>
    <n v="940"/>
  </r>
  <r>
    <x v="0"/>
    <s v="conventional_refinance_cai_734"/>
    <x v="774"/>
    <n v="1.724414052"/>
    <n v="1"/>
    <n v="-40"/>
    <n v="940"/>
  </r>
  <r>
    <x v="0"/>
    <s v="conventional_refinance_cai_735"/>
    <x v="775"/>
    <n v="1.7244239374999999"/>
    <n v="1"/>
    <n v="-40"/>
    <n v="940"/>
  </r>
  <r>
    <x v="0"/>
    <s v="conventional_refinance_cai_736"/>
    <x v="776"/>
    <n v="1.7244337279999999"/>
    <n v="1"/>
    <n v="-40"/>
    <n v="940"/>
  </r>
  <r>
    <x v="0"/>
    <s v="conventional_refinance_cai_737"/>
    <x v="777"/>
    <n v="1.7244434264999999"/>
    <n v="1"/>
    <n v="-40"/>
    <n v="940"/>
  </r>
  <r>
    <x v="0"/>
    <s v="conventional_refinance_cai_738"/>
    <x v="778"/>
    <n v="1.7244530360000001"/>
    <n v="1"/>
    <n v="-40"/>
    <n v="940"/>
  </r>
  <r>
    <x v="0"/>
    <s v="conventional_refinance_cai_739"/>
    <x v="779"/>
    <n v="1.7244625595"/>
    <n v="1"/>
    <n v="-40"/>
    <n v="940"/>
  </r>
  <r>
    <x v="0"/>
    <s v="conventional_refinance_cai_740"/>
    <x v="780"/>
    <n v="1.724472"/>
    <n v="1"/>
    <n v="-40"/>
    <n v="940"/>
  </r>
  <r>
    <x v="0"/>
    <s v="conventional_refinance_cai_741"/>
    <x v="781"/>
    <n v="1.7244813605"/>
    <n v="1"/>
    <n v="-40"/>
    <n v="940"/>
  </r>
  <r>
    <x v="0"/>
    <s v="conventional_refinance_cai_742"/>
    <x v="782"/>
    <n v="1.7244906440000001"/>
    <n v="1"/>
    <n v="-40"/>
    <n v="940"/>
  </r>
  <r>
    <x v="0"/>
    <s v="conventional_refinance_cai_743"/>
    <x v="783"/>
    <n v="1.7244998535"/>
    <n v="1"/>
    <n v="-40"/>
    <n v="940"/>
  </r>
  <r>
    <x v="0"/>
    <s v="conventional_refinance_cai_744"/>
    <x v="784"/>
    <n v="1.7245089920000001"/>
    <n v="1"/>
    <n v="-40"/>
    <n v="940"/>
  </r>
  <r>
    <x v="0"/>
    <s v="conventional_refinance_cai_745"/>
    <x v="785"/>
    <n v="1.7245180625000001"/>
    <n v="1"/>
    <n v="-40"/>
    <n v="940"/>
  </r>
  <r>
    <x v="0"/>
    <s v="conventional_refinance_cai_746"/>
    <x v="786"/>
    <n v="1.724527068"/>
    <n v="1"/>
    <n v="-40"/>
    <n v="940"/>
  </r>
  <r>
    <x v="0"/>
    <s v="conventional_refinance_cai_747"/>
    <x v="787"/>
    <n v="1.7245360114999999"/>
    <n v="1"/>
    <n v="-40"/>
    <n v="940"/>
  </r>
  <r>
    <x v="0"/>
    <s v="conventional_refinance_cai_748"/>
    <x v="788"/>
    <n v="1.724544896"/>
    <n v="1"/>
    <n v="-40"/>
    <n v="940"/>
  </r>
  <r>
    <x v="0"/>
    <s v="conventional_refinance_cai_749"/>
    <x v="789"/>
    <n v="1.7245537245"/>
    <n v="1"/>
    <n v="-40"/>
    <n v="940"/>
  </r>
  <r>
    <x v="0"/>
    <s v="conventional_refinance_cai_750"/>
    <x v="790"/>
    <n v="1.7245625"/>
    <n v="1"/>
    <n v="-40"/>
    <n v="940"/>
  </r>
  <r>
    <x v="0"/>
    <s v="conventional_refinance_cai_751"/>
    <x v="791"/>
    <n v="1.7245712255000001"/>
    <n v="1"/>
    <n v="-40"/>
    <n v="940"/>
  </r>
  <r>
    <x v="0"/>
    <s v="conventional_refinance_cai_752"/>
    <x v="792"/>
    <n v="1.7245799040000001"/>
    <n v="1"/>
    <n v="-40"/>
    <n v="940"/>
  </r>
  <r>
    <x v="0"/>
    <s v="conventional_refinance_cai_753"/>
    <x v="793"/>
    <n v="1.7245885384999999"/>
    <n v="1"/>
    <n v="-40"/>
    <n v="940"/>
  </r>
  <r>
    <x v="0"/>
    <s v="conventional_refinance_cai_754"/>
    <x v="794"/>
    <n v="1.724597132"/>
    <n v="1"/>
    <n v="-40"/>
    <n v="940"/>
  </r>
  <r>
    <x v="0"/>
    <s v="conventional_refinance_cai_755"/>
    <x v="795"/>
    <n v="1.7246056875"/>
    <n v="1"/>
    <n v="-40"/>
    <n v="940"/>
  </r>
  <r>
    <x v="0"/>
    <s v="conventional_refinance_cai_756"/>
    <x v="796"/>
    <n v="1.724614208"/>
    <n v="1"/>
    <n v="-40"/>
    <n v="940"/>
  </r>
  <r>
    <x v="0"/>
    <s v="conventional_refinance_cai_757"/>
    <x v="797"/>
    <n v="1.7246226965"/>
    <n v="1"/>
    <n v="-40"/>
    <n v="940"/>
  </r>
  <r>
    <x v="0"/>
    <s v="conventional_refinance_cai_758"/>
    <x v="798"/>
    <n v="1.7246311560000001"/>
    <n v="1"/>
    <n v="-40"/>
    <n v="940"/>
  </r>
  <r>
    <x v="0"/>
    <s v="conventional_refinance_cai_759"/>
    <x v="799"/>
    <n v="1.7246395895"/>
    <n v="1"/>
    <n v="-40"/>
    <n v="940"/>
  </r>
  <r>
    <x v="0"/>
    <s v="conventional_refinance_cai_760"/>
    <x v="800"/>
    <n v="1.724648"/>
    <n v="1"/>
    <n v="-40"/>
    <n v="940"/>
  </r>
  <r>
    <x v="0"/>
    <s v="conventional_refinance_cai_761"/>
    <x v="801"/>
    <n v="1.7246563905000001"/>
    <n v="1"/>
    <n v="-40"/>
    <n v="940"/>
  </r>
  <r>
    <x v="0"/>
    <s v="conventional_refinance_cai_762"/>
    <x v="802"/>
    <n v="1.7246647639999999"/>
    <n v="1"/>
    <n v="-40"/>
    <n v="940"/>
  </r>
  <r>
    <x v="0"/>
    <s v="conventional_refinance_cai_763"/>
    <x v="803"/>
    <n v="1.7246731234999999"/>
    <n v="1"/>
    <n v="-40"/>
    <n v="940"/>
  </r>
  <r>
    <x v="0"/>
    <s v="conventional_refinance_cai_764"/>
    <x v="804"/>
    <n v="1.7246814720000001"/>
    <n v="1"/>
    <n v="-40"/>
    <n v="940"/>
  </r>
  <r>
    <x v="0"/>
    <s v="conventional_refinance_cai_765"/>
    <x v="805"/>
    <n v="1.7246898125000001"/>
    <n v="1"/>
    <n v="-40"/>
    <n v="940"/>
  </r>
  <r>
    <x v="0"/>
    <s v="conventional_refinance_cai_766"/>
    <x v="806"/>
    <n v="1.7246981480000001"/>
    <n v="1"/>
    <n v="-40"/>
    <n v="940"/>
  </r>
  <r>
    <x v="0"/>
    <s v="conventional_refinance_cai_767"/>
    <x v="807"/>
    <n v="1.7247064814999999"/>
    <n v="1"/>
    <n v="-40"/>
    <n v="940"/>
  </r>
  <r>
    <x v="0"/>
    <s v="conventional_refinance_cai_768"/>
    <x v="808"/>
    <n v="1.7247148160000001"/>
    <n v="1"/>
    <n v="-40"/>
    <n v="940"/>
  </r>
  <r>
    <x v="0"/>
    <s v="conventional_refinance_cai_769"/>
    <x v="809"/>
    <n v="1.7247231544999999"/>
    <n v="1"/>
    <n v="-40"/>
    <n v="940"/>
  </r>
  <r>
    <x v="0"/>
    <s v="conventional_refinance_cai_770"/>
    <x v="810"/>
    <n v="1.7247315000000001"/>
    <n v="1"/>
    <n v="-40"/>
    <n v="940"/>
  </r>
  <r>
    <x v="0"/>
    <s v="conventional_refinance_cai_771"/>
    <x v="811"/>
    <n v="1.7247398555"/>
    <n v="1"/>
    <n v="-40"/>
    <n v="940"/>
  </r>
  <r>
    <x v="0"/>
    <s v="conventional_refinance_cai_772"/>
    <x v="812"/>
    <n v="1.7247482240000001"/>
    <n v="1"/>
    <n v="-40"/>
    <n v="940"/>
  </r>
  <r>
    <x v="0"/>
    <s v="conventional_refinance_cai_773"/>
    <x v="813"/>
    <n v="1.7247566084999999"/>
    <n v="1"/>
    <n v="-40"/>
    <n v="940"/>
  </r>
  <r>
    <x v="0"/>
    <s v="conventional_refinance_cai_774"/>
    <x v="814"/>
    <n v="1.724765012"/>
    <n v="1"/>
    <n v="-40"/>
    <n v="940"/>
  </r>
  <r>
    <x v="0"/>
    <s v="conventional_refinance_cai_775"/>
    <x v="815"/>
    <n v="1.7247734374999999"/>
    <n v="1"/>
    <n v="-40"/>
    <n v="940"/>
  </r>
  <r>
    <x v="0"/>
    <s v="conventional_refinance_cai_776"/>
    <x v="816"/>
    <n v="1.7247818880000001"/>
    <n v="1"/>
    <n v="-40"/>
    <n v="940"/>
  </r>
  <r>
    <x v="0"/>
    <s v="conventional_refinance_cai_777"/>
    <x v="817"/>
    <n v="1.7247903664999999"/>
    <n v="1"/>
    <n v="-40"/>
    <n v="940"/>
  </r>
  <r>
    <x v="0"/>
    <s v="conventional_refinance_cai_778"/>
    <x v="818"/>
    <n v="1.7247988759999999"/>
    <n v="1"/>
    <n v="-40"/>
    <n v="940"/>
  </r>
  <r>
    <x v="0"/>
    <s v="conventional_refinance_cai_779"/>
    <x v="819"/>
    <n v="1.7248074195"/>
    <n v="1"/>
    <n v="-40"/>
    <n v="940"/>
  </r>
  <r>
    <x v="0"/>
    <s v="conventional_refinance_cai_780"/>
    <x v="820"/>
    <n v="1.7248159999999999"/>
    <n v="1"/>
    <n v="-40"/>
    <n v="940"/>
  </r>
  <r>
    <x v="0"/>
    <s v="conventional_refinance_cai_781"/>
    <x v="821"/>
    <n v="1.7248246205"/>
    <n v="1"/>
    <n v="-40"/>
    <n v="940"/>
  </r>
  <r>
    <x v="0"/>
    <s v="conventional_refinance_cai_782"/>
    <x v="822"/>
    <n v="1.724833284"/>
    <n v="1"/>
    <n v="-40"/>
    <n v="940"/>
  </r>
  <r>
    <x v="0"/>
    <s v="conventional_refinance_cai_783"/>
    <x v="823"/>
    <n v="1.7248419934999999"/>
    <n v="1"/>
    <n v="-40"/>
    <n v="940"/>
  </r>
  <r>
    <x v="0"/>
    <s v="conventional_refinance_cai_784"/>
    <x v="824"/>
    <n v="1.724850752"/>
    <n v="1"/>
    <n v="-40"/>
    <n v="940"/>
  </r>
  <r>
    <x v="0"/>
    <s v="conventional_refinance_cai_785"/>
    <x v="825"/>
    <n v="1.7248595625000001"/>
    <n v="1"/>
    <n v="-40"/>
    <n v="940"/>
  </r>
  <r>
    <x v="0"/>
    <s v="conventional_refinance_cai_786"/>
    <x v="826"/>
    <n v="1.724868428"/>
    <n v="1"/>
    <n v="-40"/>
    <n v="940"/>
  </r>
  <r>
    <x v="0"/>
    <s v="conventional_refinance_cai_787"/>
    <x v="827"/>
    <n v="1.7248773515"/>
    <n v="1"/>
    <n v="-40"/>
    <n v="940"/>
  </r>
  <r>
    <x v="0"/>
    <s v="conventional_refinance_cai_788"/>
    <x v="828"/>
    <n v="1.724886336"/>
    <n v="1"/>
    <n v="-40"/>
    <n v="940"/>
  </r>
  <r>
    <x v="0"/>
    <s v="conventional_refinance_cai_789"/>
    <x v="829"/>
    <n v="1.7248953844999999"/>
    <n v="1"/>
    <n v="-40"/>
    <n v="940"/>
  </r>
  <r>
    <x v="0"/>
    <s v="conventional_refinance_cai_790"/>
    <x v="830"/>
    <n v="1.7249045000000001"/>
    <n v="1"/>
    <n v="-40"/>
    <n v="940"/>
  </r>
  <r>
    <x v="0"/>
    <s v="conventional_refinance_cai_791"/>
    <x v="831"/>
    <n v="1.7249136855"/>
    <n v="1"/>
    <n v="-40"/>
    <n v="940"/>
  </r>
  <r>
    <x v="0"/>
    <s v="conventional_refinance_cai_792"/>
    <x v="832"/>
    <n v="1.724922944"/>
    <n v="1"/>
    <n v="-40"/>
    <n v="940"/>
  </r>
  <r>
    <x v="0"/>
    <s v="conventional_refinance_cai_793"/>
    <x v="833"/>
    <n v="1.7249322785000001"/>
    <n v="1"/>
    <n v="-40"/>
    <n v="940"/>
  </r>
  <r>
    <x v="0"/>
    <s v="conventional_refinance_cai_794"/>
    <x v="834"/>
    <n v="1.724941692"/>
    <n v="1"/>
    <n v="-40"/>
    <n v="940"/>
  </r>
  <r>
    <x v="0"/>
    <s v="conventional_refinance_cai_795"/>
    <x v="835"/>
    <n v="1.7249511875000001"/>
    <n v="1"/>
    <n v="-40"/>
    <n v="940"/>
  </r>
  <r>
    <x v="0"/>
    <s v="conventional_refinance_cai_796"/>
    <x v="836"/>
    <n v="1.7249607680000001"/>
    <n v="1"/>
    <n v="-40"/>
    <n v="940"/>
  </r>
  <r>
    <x v="0"/>
    <s v="conventional_refinance_cai_797"/>
    <x v="837"/>
    <n v="1.7249704365"/>
    <n v="1"/>
    <n v="-40"/>
    <n v="940"/>
  </r>
  <r>
    <x v="0"/>
    <s v="conventional_refinance_cai_798"/>
    <x v="838"/>
    <n v="1.724980196"/>
    <n v="1"/>
    <n v="-40"/>
    <n v="940"/>
  </r>
  <r>
    <x v="0"/>
    <s v="conventional_refinance_cai_799"/>
    <x v="839"/>
    <n v="1.7249900494999999"/>
    <n v="1"/>
    <n v="-40"/>
    <n v="940"/>
  </r>
  <r>
    <x v="0"/>
    <s v="conventional_refinance_cai_800"/>
    <x v="840"/>
    <n v="1.7250000000000001"/>
    <n v="1"/>
    <n v="-40"/>
    <n v="940"/>
  </r>
  <r>
    <x v="0"/>
    <s v="conventional_refinance_cai_801"/>
    <x v="841"/>
    <n v="1.7250099999999999"/>
    <n v="1"/>
    <n v="-40"/>
    <n v="940"/>
  </r>
  <r>
    <x v="0"/>
    <s v="conventional_refinance_cai_802"/>
    <x v="842"/>
    <n v="1.72502"/>
    <n v="1"/>
    <n v="-40"/>
    <n v="940"/>
  </r>
  <r>
    <x v="0"/>
    <s v="conventional_refinance_cai_803"/>
    <x v="843"/>
    <n v="1.7250300000000001"/>
    <n v="1"/>
    <n v="-40"/>
    <n v="940"/>
  </r>
  <r>
    <x v="0"/>
    <s v="conventional_refinance_cai_804"/>
    <x v="844"/>
    <n v="1.7250399999999999"/>
    <n v="1"/>
    <n v="-40"/>
    <n v="940"/>
  </r>
  <r>
    <x v="0"/>
    <s v="conventional_refinance_cai_805"/>
    <x v="845"/>
    <n v="1.72505"/>
    <n v="1"/>
    <n v="-40"/>
    <n v="940"/>
  </r>
  <r>
    <x v="0"/>
    <s v="conventional_refinance_cai_806"/>
    <x v="846"/>
    <n v="1.72506"/>
    <n v="1"/>
    <n v="-40"/>
    <n v="940"/>
  </r>
  <r>
    <x v="0"/>
    <s v="conventional_refinance_cai_807"/>
    <x v="847"/>
    <n v="1.7250700000000001"/>
    <n v="1"/>
    <n v="-40"/>
    <n v="940"/>
  </r>
  <r>
    <x v="0"/>
    <s v="conventional_refinance_cai_808"/>
    <x v="848"/>
    <n v="1.7250799999999999"/>
    <n v="1"/>
    <n v="-40"/>
    <n v="940"/>
  </r>
  <r>
    <x v="0"/>
    <s v="conventional_refinance_cai_809"/>
    <x v="849"/>
    <n v="1.72509"/>
    <n v="1"/>
    <n v="-40"/>
    <n v="940"/>
  </r>
  <r>
    <x v="0"/>
    <s v="conventional_refinance_cai_810"/>
    <x v="850"/>
    <n v="1.7251000000000001"/>
    <n v="1"/>
    <n v="-40"/>
    <n v="940"/>
  </r>
  <r>
    <x v="0"/>
    <s v="conventional_refinance_cai_811"/>
    <x v="851"/>
    <n v="1.7251099999999999"/>
    <n v="1"/>
    <n v="-40"/>
    <n v="940"/>
  </r>
  <r>
    <x v="0"/>
    <s v="conventional_refinance_cai_812"/>
    <x v="852"/>
    <n v="1.72512"/>
    <n v="1"/>
    <n v="-40"/>
    <n v="940"/>
  </r>
  <r>
    <x v="0"/>
    <s v="conventional_refinance_cai_813"/>
    <x v="853"/>
    <n v="1.7251300000000001"/>
    <n v="1"/>
    <n v="-40"/>
    <n v="940"/>
  </r>
  <r>
    <x v="0"/>
    <s v="conventional_refinance_cai_814"/>
    <x v="854"/>
    <n v="1.7251399999999999"/>
    <n v="1"/>
    <n v="-40"/>
    <n v="940"/>
  </r>
  <r>
    <x v="0"/>
    <s v="conventional_refinance_cai_815"/>
    <x v="855"/>
    <n v="1.72515"/>
    <n v="1"/>
    <n v="-40"/>
    <n v="940"/>
  </r>
  <r>
    <x v="0"/>
    <s v="conventional_refinance_cai_816"/>
    <x v="856"/>
    <n v="1.72516"/>
    <n v="1"/>
    <n v="-40"/>
    <n v="940"/>
  </r>
  <r>
    <x v="0"/>
    <s v="conventional_refinance_cai_817"/>
    <x v="857"/>
    <n v="1.7251700000000001"/>
    <n v="1"/>
    <n v="-40"/>
    <n v="940"/>
  </r>
  <r>
    <x v="0"/>
    <s v="conventional_refinance_cai_818"/>
    <x v="858"/>
    <n v="1.7251799999999999"/>
    <n v="1"/>
    <n v="-40"/>
    <n v="940"/>
  </r>
  <r>
    <x v="0"/>
    <s v="conventional_refinance_cai_819"/>
    <x v="859"/>
    <n v="1.72519"/>
    <n v="1"/>
    <n v="-40"/>
    <n v="940"/>
  </r>
  <r>
    <x v="0"/>
    <s v="conventional_refinance_cai_820"/>
    <x v="860"/>
    <n v="1.7252000000000001"/>
    <n v="1"/>
    <n v="-40"/>
    <n v="940"/>
  </r>
  <r>
    <x v="0"/>
    <s v="conventional_refinance_cai_821"/>
    <x v="861"/>
    <n v="1.7252099999999999"/>
    <n v="1"/>
    <n v="-40"/>
    <n v="940"/>
  </r>
  <r>
    <x v="0"/>
    <s v="conventional_refinance_cai_822"/>
    <x v="862"/>
    <n v="1.72522"/>
    <n v="1"/>
    <n v="-40"/>
    <n v="940"/>
  </r>
  <r>
    <x v="0"/>
    <s v="conventional_refinance_cai_823"/>
    <x v="863"/>
    <n v="1.72523"/>
    <n v="1"/>
    <n v="-40"/>
    <n v="940"/>
  </r>
  <r>
    <x v="0"/>
    <s v="conventional_refinance_cai_824"/>
    <x v="864"/>
    <n v="1.7252400000000001"/>
    <n v="1"/>
    <n v="-40"/>
    <n v="940"/>
  </r>
  <r>
    <x v="0"/>
    <s v="conventional_refinance_cai_825"/>
    <x v="865"/>
    <n v="1.72525"/>
    <n v="1"/>
    <n v="-40"/>
    <n v="940"/>
  </r>
  <r>
    <x v="0"/>
    <s v="conventional_refinance_cai_826"/>
    <x v="866"/>
    <n v="1.72526"/>
    <n v="1"/>
    <n v="-40"/>
    <n v="940"/>
  </r>
  <r>
    <x v="0"/>
    <s v="conventional_refinance_cai_827"/>
    <x v="867"/>
    <n v="1.7252700000000001"/>
    <n v="1"/>
    <n v="-40"/>
    <n v="940"/>
  </r>
  <r>
    <x v="0"/>
    <s v="conventional_refinance_cai_828"/>
    <x v="868"/>
    <n v="1.7252799999999999"/>
    <n v="1"/>
    <n v="-40"/>
    <n v="940"/>
  </r>
  <r>
    <x v="0"/>
    <s v="conventional_refinance_cai_829"/>
    <x v="869"/>
    <n v="1.72529"/>
    <n v="1"/>
    <n v="-40"/>
    <n v="940"/>
  </r>
  <r>
    <x v="0"/>
    <s v="conventional_refinance_cai_830"/>
    <x v="870"/>
    <n v="1.7253000000000001"/>
    <n v="1"/>
    <n v="-40"/>
    <n v="940"/>
  </r>
  <r>
    <x v="0"/>
    <s v="conventional_refinance_cai_831"/>
    <x v="871"/>
    <n v="1.7253099999999999"/>
    <n v="1"/>
    <n v="-40"/>
    <n v="940"/>
  </r>
  <r>
    <x v="0"/>
    <s v="conventional_refinance_cai_832"/>
    <x v="872"/>
    <n v="1.72532"/>
    <n v="1"/>
    <n v="-40"/>
    <n v="940"/>
  </r>
  <r>
    <x v="0"/>
    <s v="conventional_refinance_cai_833"/>
    <x v="873"/>
    <n v="1.72533"/>
    <n v="1"/>
    <n v="-40"/>
    <n v="940"/>
  </r>
  <r>
    <x v="0"/>
    <s v="conventional_refinance_cai_834"/>
    <x v="874"/>
    <n v="1.7253400000000001"/>
    <n v="1"/>
    <n v="-40"/>
    <n v="940"/>
  </r>
  <r>
    <x v="0"/>
    <s v="conventional_refinance_cai_835"/>
    <x v="875"/>
    <n v="1.7253499999999999"/>
    <n v="1"/>
    <n v="-40"/>
    <n v="940"/>
  </r>
  <r>
    <x v="0"/>
    <s v="conventional_refinance_cai_836"/>
    <x v="876"/>
    <n v="1.72536"/>
    <n v="1"/>
    <n v="-40"/>
    <n v="940"/>
  </r>
  <r>
    <x v="0"/>
    <s v="conventional_refinance_cai_837"/>
    <x v="877"/>
    <n v="1.7253700000000001"/>
    <n v="1"/>
    <n v="-40"/>
    <n v="940"/>
  </r>
  <r>
    <x v="0"/>
    <s v="conventional_refinance_cai_838"/>
    <x v="878"/>
    <n v="1.7253799999999999"/>
    <n v="1"/>
    <n v="-40"/>
    <n v="940"/>
  </r>
  <r>
    <x v="0"/>
    <s v="conventional_refinance_cai_839"/>
    <x v="879"/>
    <n v="1.72539"/>
    <n v="1"/>
    <n v="-40"/>
    <n v="940"/>
  </r>
  <r>
    <x v="0"/>
    <s v="conventional_refinance_cai_840"/>
    <x v="880"/>
    <n v="1.7254"/>
    <n v="1"/>
    <n v="-40"/>
    <n v="940"/>
  </r>
  <r>
    <x v="0"/>
    <s v="conventional_refinance_cai_841"/>
    <x v="881"/>
    <n v="1.7254100000000001"/>
    <n v="1"/>
    <n v="-40"/>
    <n v="940"/>
  </r>
  <r>
    <x v="0"/>
    <s v="conventional_refinance_cai_842"/>
    <x v="882"/>
    <n v="1.72542"/>
    <n v="1"/>
    <n v="-40"/>
    <n v="940"/>
  </r>
  <r>
    <x v="0"/>
    <s v="conventional_refinance_cai_843"/>
    <x v="883"/>
    <n v="1.72543"/>
    <n v="1"/>
    <n v="-40"/>
    <n v="940"/>
  </r>
  <r>
    <x v="0"/>
    <s v="conventional_refinance_cai_844"/>
    <x v="884"/>
    <n v="1.7254400000000001"/>
    <n v="1"/>
    <n v="-40"/>
    <n v="940"/>
  </r>
  <r>
    <x v="0"/>
    <s v="conventional_refinance_cai_845"/>
    <x v="885"/>
    <n v="1.7254499999999999"/>
    <n v="1"/>
    <n v="-40"/>
    <n v="940"/>
  </r>
  <r>
    <x v="0"/>
    <s v="conventional_refinance_cai_846"/>
    <x v="886"/>
    <n v="1.72546"/>
    <n v="1"/>
    <n v="-40"/>
    <n v="940"/>
  </r>
  <r>
    <x v="0"/>
    <s v="conventional_refinance_cai_847"/>
    <x v="887"/>
    <n v="1.7254700000000001"/>
    <n v="1"/>
    <n v="-40"/>
    <n v="940"/>
  </r>
  <r>
    <x v="0"/>
    <s v="conventional_refinance_cai_848"/>
    <x v="888"/>
    <n v="1.7254799999999999"/>
    <n v="1"/>
    <n v="-40"/>
    <n v="940"/>
  </r>
  <r>
    <x v="0"/>
    <s v="conventional_refinance_cai_849"/>
    <x v="889"/>
    <n v="1.72549"/>
    <n v="1"/>
    <n v="-40"/>
    <n v="940"/>
  </r>
  <r>
    <x v="0"/>
    <s v="conventional_refinance_cai_850"/>
    <x v="890"/>
    <n v="1.7255"/>
    <n v="1"/>
    <n v="-40"/>
    <n v="940"/>
  </r>
  <r>
    <x v="0"/>
    <s v="conventional_refinance_cai_851"/>
    <x v="891"/>
    <n v="1.7255100000000001"/>
    <n v="1"/>
    <n v="-40"/>
    <n v="940"/>
  </r>
  <r>
    <x v="0"/>
    <s v="conventional_refinance_cai_852"/>
    <x v="892"/>
    <n v="1.7255199999999999"/>
    <n v="1"/>
    <n v="-40"/>
    <n v="940"/>
  </r>
  <r>
    <x v="0"/>
    <s v="conventional_refinance_cai_853"/>
    <x v="893"/>
    <n v="1.72553"/>
    <n v="1"/>
    <n v="-40"/>
    <n v="940"/>
  </r>
  <r>
    <x v="0"/>
    <s v="conventional_refinance_cai_854"/>
    <x v="894"/>
    <n v="1.7255400000000001"/>
    <n v="1"/>
    <n v="-40"/>
    <n v="940"/>
  </r>
  <r>
    <x v="0"/>
    <s v="conventional_refinance_cai_855"/>
    <x v="895"/>
    <n v="1.7255499999999999"/>
    <n v="1"/>
    <n v="-40"/>
    <n v="940"/>
  </r>
  <r>
    <x v="0"/>
    <s v="conventional_refinance_cai_856"/>
    <x v="896"/>
    <n v="1.72556"/>
    <n v="1"/>
    <n v="-40"/>
    <n v="940"/>
  </r>
  <r>
    <x v="0"/>
    <s v="conventional_refinance_cai_857"/>
    <x v="897"/>
    <n v="1.72557"/>
    <n v="1"/>
    <n v="-40"/>
    <n v="940"/>
  </r>
  <r>
    <x v="0"/>
    <s v="conventional_refinance_cai_858"/>
    <x v="898"/>
    <n v="1.7255799999999999"/>
    <n v="1"/>
    <n v="-40"/>
    <n v="940"/>
  </r>
  <r>
    <x v="0"/>
    <s v="conventional_refinance_cai_859"/>
    <x v="899"/>
    <n v="1.72559"/>
    <n v="1"/>
    <n v="-40"/>
    <n v="940"/>
  </r>
  <r>
    <x v="0"/>
    <s v="conventional_refinance_cai_860"/>
    <x v="900"/>
    <n v="1.7256"/>
    <n v="1"/>
    <n v="-40"/>
    <n v="940"/>
  </r>
  <r>
    <x v="0"/>
    <s v="conventional_refinance_cai_861"/>
    <x v="901"/>
    <n v="1.7256100000000001"/>
    <n v="1"/>
    <n v="-40"/>
    <n v="940"/>
  </r>
  <r>
    <x v="0"/>
    <s v="conventional_refinance_cai_862"/>
    <x v="902"/>
    <n v="1.7256199999999999"/>
    <n v="1"/>
    <n v="-40"/>
    <n v="940"/>
  </r>
  <r>
    <x v="0"/>
    <s v="conventional_refinance_cai_863"/>
    <x v="903"/>
    <n v="1.72563"/>
    <n v="1"/>
    <n v="-40"/>
    <n v="940"/>
  </r>
  <r>
    <x v="0"/>
    <s v="conventional_refinance_cai_864"/>
    <x v="904"/>
    <n v="1.7256400000000001"/>
    <n v="1"/>
    <n v="-40"/>
    <n v="940"/>
  </r>
  <r>
    <x v="0"/>
    <s v="conventional_refinance_cai_865"/>
    <x v="905"/>
    <n v="1.7256499999999999"/>
    <n v="1"/>
    <n v="-40"/>
    <n v="940"/>
  </r>
  <r>
    <x v="0"/>
    <s v="conventional_refinance_cai_866"/>
    <x v="906"/>
    <n v="1.72566"/>
    <n v="1"/>
    <n v="-40"/>
    <n v="940"/>
  </r>
  <r>
    <x v="0"/>
    <s v="conventional_refinance_cai_867"/>
    <x v="907"/>
    <n v="1.72567"/>
    <n v="1"/>
    <n v="-40"/>
    <n v="940"/>
  </r>
  <r>
    <x v="0"/>
    <s v="conventional_refinance_cai_868"/>
    <x v="908"/>
    <n v="1.7256800000000001"/>
    <n v="1"/>
    <n v="-40"/>
    <n v="940"/>
  </r>
  <r>
    <x v="0"/>
    <s v="conventional_refinance_cai_869"/>
    <x v="909"/>
    <n v="1.7256899999999999"/>
    <n v="1"/>
    <n v="-40"/>
    <n v="940"/>
  </r>
  <r>
    <x v="0"/>
    <s v="conventional_refinance_cai_870"/>
    <x v="910"/>
    <n v="1.7257"/>
    <n v="1"/>
    <n v="-40"/>
    <n v="940"/>
  </r>
  <r>
    <x v="0"/>
    <s v="conventional_refinance_cai_871"/>
    <x v="911"/>
    <n v="1.7257100000000001"/>
    <n v="1"/>
    <n v="-40"/>
    <n v="940"/>
  </r>
  <r>
    <x v="0"/>
    <s v="conventional_refinance_cai_872"/>
    <x v="912"/>
    <n v="1.7257199999999999"/>
    <n v="1"/>
    <n v="-40"/>
    <n v="940"/>
  </r>
  <r>
    <x v="0"/>
    <s v="conventional_refinance_cai_873"/>
    <x v="913"/>
    <n v="1.72573"/>
    <n v="1"/>
    <n v="-40"/>
    <n v="940"/>
  </r>
  <r>
    <x v="0"/>
    <s v="conventional_refinance_cai_874"/>
    <x v="914"/>
    <n v="1.7257400000000001"/>
    <n v="1"/>
    <n v="-40"/>
    <n v="940"/>
  </r>
  <r>
    <x v="0"/>
    <s v="conventional_refinance_cai_875"/>
    <x v="915"/>
    <n v="1.7257499999999999"/>
    <n v="1"/>
    <n v="-40"/>
    <n v="940"/>
  </r>
  <r>
    <x v="0"/>
    <s v="conventional_refinance_cai_876"/>
    <x v="916"/>
    <n v="1.72576"/>
    <n v="1"/>
    <n v="-40"/>
    <n v="940"/>
  </r>
  <r>
    <x v="0"/>
    <s v="conventional_refinance_cai_877"/>
    <x v="917"/>
    <n v="1.72577"/>
    <n v="1"/>
    <n v="-40"/>
    <n v="940"/>
  </r>
  <r>
    <x v="0"/>
    <s v="conventional_refinance_cai_878"/>
    <x v="918"/>
    <n v="1.7257800000000001"/>
    <n v="1"/>
    <n v="-40"/>
    <n v="940"/>
  </r>
  <r>
    <x v="0"/>
    <s v="conventional_refinance_cai_879"/>
    <x v="919"/>
    <n v="1.7257899999999999"/>
    <n v="1"/>
    <n v="-40"/>
    <n v="940"/>
  </r>
  <r>
    <x v="0"/>
    <s v="conventional_refinance_cai_880"/>
    <x v="920"/>
    <n v="1.7258"/>
    <n v="1"/>
    <n v="-40"/>
    <n v="940"/>
  </r>
  <r>
    <x v="0"/>
    <s v="conventional_refinance_cai_881"/>
    <x v="921"/>
    <n v="1.7258100000000001"/>
    <n v="1"/>
    <n v="-40"/>
    <n v="940"/>
  </r>
  <r>
    <x v="0"/>
    <s v="conventional_refinance_cai_882"/>
    <x v="922"/>
    <n v="1.7258199999999999"/>
    <n v="1"/>
    <n v="-40"/>
    <n v="940"/>
  </r>
  <r>
    <x v="0"/>
    <s v="conventional_refinance_cai_883"/>
    <x v="923"/>
    <n v="1.72583"/>
    <n v="1"/>
    <n v="-40"/>
    <n v="940"/>
  </r>
  <r>
    <x v="0"/>
    <s v="conventional_refinance_cai_884"/>
    <x v="924"/>
    <n v="1.72584"/>
    <n v="1"/>
    <n v="-40"/>
    <n v="940"/>
  </r>
  <r>
    <x v="0"/>
    <s v="conventional_refinance_cai_885"/>
    <x v="925"/>
    <n v="1.7258500000000001"/>
    <n v="1"/>
    <n v="-40"/>
    <n v="940"/>
  </r>
  <r>
    <x v="0"/>
    <s v="conventional_refinance_cai_886"/>
    <x v="926"/>
    <n v="1.7258599999999999"/>
    <n v="1"/>
    <n v="-40"/>
    <n v="940"/>
  </r>
  <r>
    <x v="0"/>
    <s v="conventional_refinance_cai_887"/>
    <x v="927"/>
    <n v="1.72587"/>
    <n v="1"/>
    <n v="-40"/>
    <n v="940"/>
  </r>
  <r>
    <x v="0"/>
    <s v="conventional_refinance_cai_888"/>
    <x v="928"/>
    <n v="1.7258800000000001"/>
    <n v="1"/>
    <n v="-40"/>
    <n v="940"/>
  </r>
  <r>
    <x v="0"/>
    <s v="conventional_refinance_cai_889"/>
    <x v="929"/>
    <n v="1.7258899999999999"/>
    <n v="1"/>
    <n v="-40"/>
    <n v="940"/>
  </r>
  <r>
    <x v="0"/>
    <s v="conventional_refinance_cai_890"/>
    <x v="930"/>
    <n v="1.7259"/>
    <n v="1"/>
    <n v="-40"/>
    <n v="940"/>
  </r>
  <r>
    <x v="0"/>
    <s v="conventional_refinance_cai_891"/>
    <x v="931"/>
    <n v="1.7259100000000001"/>
    <n v="1"/>
    <n v="-40"/>
    <n v="940"/>
  </r>
  <r>
    <x v="0"/>
    <s v="conventional_refinance_cai_892"/>
    <x v="932"/>
    <n v="1.7259199999999999"/>
    <n v="1"/>
    <n v="-40"/>
    <n v="940"/>
  </r>
  <r>
    <x v="0"/>
    <s v="conventional_refinance_cai_893"/>
    <x v="933"/>
    <n v="1.72593"/>
    <n v="1"/>
    <n v="-40"/>
    <n v="940"/>
  </r>
  <r>
    <x v="0"/>
    <s v="conventional_refinance_cai_894"/>
    <x v="934"/>
    <n v="1.72594"/>
    <n v="1"/>
    <n v="-40"/>
    <n v="940"/>
  </r>
  <r>
    <x v="0"/>
    <s v="conventional_refinance_cai_895"/>
    <x v="935"/>
    <n v="1.7259500000000001"/>
    <n v="1"/>
    <n v="-40"/>
    <n v="940"/>
  </r>
  <r>
    <x v="0"/>
    <s v="conventional_refinance_cai_896"/>
    <x v="936"/>
    <n v="1.7259599999999999"/>
    <n v="1"/>
    <n v="-40"/>
    <n v="940"/>
  </r>
  <r>
    <x v="0"/>
    <s v="conventional_refinance_cai_897"/>
    <x v="937"/>
    <n v="1.72597"/>
    <n v="1"/>
    <n v="-40"/>
    <n v="940"/>
  </r>
  <r>
    <x v="0"/>
    <s v="conventional_refinance_cai_898"/>
    <x v="938"/>
    <n v="1.7259800000000001"/>
    <n v="1"/>
    <n v="-40"/>
    <n v="940"/>
  </r>
  <r>
    <x v="0"/>
    <s v="conventional_refinance_cai_899"/>
    <x v="939"/>
    <n v="1.7259899999999999"/>
    <n v="1"/>
    <n v="-40"/>
    <n v="940"/>
  </r>
  <r>
    <x v="0"/>
    <s v="conventional_refinance_cai_900"/>
    <x v="940"/>
    <n v="1.726"/>
    <n v="1"/>
    <n v="-40"/>
    <n v="940"/>
  </r>
  <r>
    <x v="0"/>
    <s v="conventional_refinance_cai_901"/>
    <x v="941"/>
    <n v="1.72601"/>
    <n v="1"/>
    <n v="-40"/>
    <n v="940"/>
  </r>
  <r>
    <x v="0"/>
    <s v="conventional_refinance_cai_902"/>
    <x v="942"/>
    <n v="1.7260200000000001"/>
    <n v="1"/>
    <n v="-40"/>
    <n v="940"/>
  </r>
  <r>
    <x v="0"/>
    <s v="conventional_refinance_cai_903"/>
    <x v="943"/>
    <n v="1.72603"/>
    <n v="1"/>
    <n v="-40"/>
    <n v="940"/>
  </r>
  <r>
    <x v="0"/>
    <s v="conventional_refinance_cai_904"/>
    <x v="944"/>
    <n v="1.72604"/>
    <n v="1"/>
    <n v="-40"/>
    <n v="940"/>
  </r>
  <r>
    <x v="0"/>
    <s v="conventional_refinance_cai_905"/>
    <x v="945"/>
    <n v="1.7260500000000001"/>
    <n v="1"/>
    <n v="-40"/>
    <n v="940"/>
  </r>
  <r>
    <x v="0"/>
    <s v="conventional_refinance_cai_906"/>
    <x v="946"/>
    <n v="1.7260599999999999"/>
    <n v="1"/>
    <n v="-40"/>
    <n v="940"/>
  </r>
  <r>
    <x v="0"/>
    <s v="conventional_refinance_cai_907"/>
    <x v="947"/>
    <n v="1.72607"/>
    <n v="1"/>
    <n v="-40"/>
    <n v="940"/>
  </r>
  <r>
    <x v="0"/>
    <s v="conventional_refinance_cai_908"/>
    <x v="948"/>
    <n v="1.7260800000000001"/>
    <n v="1"/>
    <n v="-40"/>
    <n v="940"/>
  </r>
  <r>
    <x v="0"/>
    <s v="conventional_refinance_cai_909"/>
    <x v="949"/>
    <n v="1.7260899999999999"/>
    <n v="1"/>
    <n v="-40"/>
    <n v="940"/>
  </r>
  <r>
    <x v="0"/>
    <s v="conventional_refinance_cai_910"/>
    <x v="950"/>
    <n v="1.7261"/>
    <n v="1"/>
    <n v="-40"/>
    <n v="940"/>
  </r>
  <r>
    <x v="0"/>
    <s v="conventional_refinance_cai_911"/>
    <x v="951"/>
    <n v="1.72611"/>
    <n v="1"/>
    <n v="-40"/>
    <n v="940"/>
  </r>
  <r>
    <x v="0"/>
    <s v="conventional_refinance_cai_912"/>
    <x v="952"/>
    <n v="1.7261200000000001"/>
    <n v="1"/>
    <n v="-40"/>
    <n v="940"/>
  </r>
  <r>
    <x v="0"/>
    <s v="conventional_refinance_cai_913"/>
    <x v="953"/>
    <n v="1.7261299999999999"/>
    <n v="1"/>
    <n v="-40"/>
    <n v="940"/>
  </r>
  <r>
    <x v="0"/>
    <s v="conventional_refinance_cai_914"/>
    <x v="954"/>
    <n v="1.72614"/>
    <n v="1"/>
    <n v="-40"/>
    <n v="940"/>
  </r>
  <r>
    <x v="0"/>
    <s v="conventional_refinance_cai_915"/>
    <x v="955"/>
    <n v="1.7261500000000001"/>
    <n v="1"/>
    <n v="-40"/>
    <n v="940"/>
  </r>
  <r>
    <x v="0"/>
    <s v="conventional_refinance_cai_916"/>
    <x v="956"/>
    <n v="1.7261599999999999"/>
    <n v="1"/>
    <n v="-40"/>
    <n v="940"/>
  </r>
  <r>
    <x v="0"/>
    <s v="conventional_refinance_cai_917"/>
    <x v="957"/>
    <n v="1.72617"/>
    <n v="1"/>
    <n v="-40"/>
    <n v="940"/>
  </r>
  <r>
    <x v="0"/>
    <s v="conventional_refinance_cai_918"/>
    <x v="958"/>
    <n v="1.72618"/>
    <n v="1"/>
    <n v="-40"/>
    <n v="940"/>
  </r>
  <r>
    <x v="0"/>
    <s v="conventional_refinance_cai_919"/>
    <x v="959"/>
    <n v="1.7261899999999999"/>
    <n v="1"/>
    <n v="-40"/>
    <n v="940"/>
  </r>
  <r>
    <x v="0"/>
    <s v="conventional_refinance_cai_920"/>
    <x v="960"/>
    <n v="1.7262"/>
    <n v="1"/>
    <n v="-40"/>
    <n v="940"/>
  </r>
  <r>
    <x v="0"/>
    <s v="conventional_refinance_cai_921"/>
    <x v="961"/>
    <n v="1.72621"/>
    <n v="1"/>
    <n v="-40"/>
    <n v="940"/>
  </r>
  <r>
    <x v="0"/>
    <s v="conventional_refinance_cai_922"/>
    <x v="962"/>
    <n v="1.7262200000000001"/>
    <n v="1"/>
    <n v="-40"/>
    <n v="940"/>
  </r>
  <r>
    <x v="0"/>
    <s v="conventional_refinance_cai_923"/>
    <x v="963"/>
    <n v="1.7262299999999999"/>
    <n v="1"/>
    <n v="-40"/>
    <n v="940"/>
  </r>
  <r>
    <x v="0"/>
    <s v="conventional_refinance_cai_924"/>
    <x v="964"/>
    <n v="1.72624"/>
    <n v="1"/>
    <n v="-40"/>
    <n v="940"/>
  </r>
  <r>
    <x v="0"/>
    <s v="conventional_refinance_cai_925"/>
    <x v="965"/>
    <n v="1.7262500000000001"/>
    <n v="1"/>
    <n v="-40"/>
    <n v="940"/>
  </r>
  <r>
    <x v="0"/>
    <s v="conventional_refinance_cai_926"/>
    <x v="966"/>
    <n v="1.7262599999999999"/>
    <n v="1"/>
    <n v="-40"/>
    <n v="940"/>
  </r>
  <r>
    <x v="0"/>
    <s v="conventional_refinance_cai_927"/>
    <x v="967"/>
    <n v="1.72627"/>
    <n v="1"/>
    <n v="-40"/>
    <n v="940"/>
  </r>
  <r>
    <x v="0"/>
    <s v="conventional_refinance_cai_928"/>
    <x v="968"/>
    <n v="1.72628"/>
    <n v="1"/>
    <n v="-40"/>
    <n v="940"/>
  </r>
  <r>
    <x v="0"/>
    <s v="conventional_refinance_cai_929"/>
    <x v="969"/>
    <n v="1.7262900000000001"/>
    <n v="1"/>
    <n v="-40"/>
    <n v="940"/>
  </r>
  <r>
    <x v="0"/>
    <s v="conventional_refinance_cai_930"/>
    <x v="970"/>
    <n v="1.7262999999999999"/>
    <n v="1"/>
    <n v="-40"/>
    <n v="940"/>
  </r>
  <r>
    <x v="0"/>
    <s v="conventional_refinance_cai_931"/>
    <x v="971"/>
    <n v="1.72631"/>
    <n v="1"/>
    <n v="-40"/>
    <n v="940"/>
  </r>
  <r>
    <x v="0"/>
    <s v="conventional_refinance_cai_932"/>
    <x v="972"/>
    <n v="1.7263200000000001"/>
    <n v="1"/>
    <n v="-40"/>
    <n v="940"/>
  </r>
  <r>
    <x v="0"/>
    <s v="conventional_refinance_cai_933"/>
    <x v="973"/>
    <n v="1.7263299999999999"/>
    <n v="1"/>
    <n v="-40"/>
    <n v="940"/>
  </r>
  <r>
    <x v="0"/>
    <s v="conventional_refinance_cai_934"/>
    <x v="974"/>
    <n v="1.72634"/>
    <n v="1"/>
    <n v="-40"/>
    <n v="940"/>
  </r>
  <r>
    <x v="0"/>
    <s v="conventional_refinance_cai_935"/>
    <x v="975"/>
    <n v="1.7263500000000001"/>
    <n v="1"/>
    <n v="-40"/>
    <n v="940"/>
  </r>
  <r>
    <x v="0"/>
    <s v="conventional_refinance_cai_936"/>
    <x v="976"/>
    <n v="1.7263599999999999"/>
    <n v="1"/>
    <n v="-40"/>
    <n v="940"/>
  </r>
  <r>
    <x v="0"/>
    <s v="conventional_refinance_cai_937"/>
    <x v="977"/>
    <n v="1.72637"/>
    <n v="1"/>
    <n v="-40"/>
    <n v="940"/>
  </r>
  <r>
    <x v="0"/>
    <s v="conventional_refinance_cai_938"/>
    <x v="978"/>
    <n v="1.72638"/>
    <n v="1"/>
    <n v="-40"/>
    <n v="940"/>
  </r>
  <r>
    <x v="0"/>
    <s v="conventional_refinance_cai_939"/>
    <x v="979"/>
    <n v="1.7263900000000001"/>
    <n v="1"/>
    <n v="-40"/>
    <n v="940"/>
  </r>
  <r>
    <x v="0"/>
    <s v="conventional_refinance_cai_940"/>
    <x v="980"/>
    <n v="1.7263999999999999"/>
    <n v="1"/>
    <n v="-40"/>
    <n v="940"/>
  </r>
  <r>
    <x v="1"/>
    <s v="conventional_refinance_hpa2yr_77"/>
    <x v="117"/>
    <n v="1"/>
    <n v="1"/>
    <n v="77"/>
    <n v="133"/>
  </r>
  <r>
    <x v="1"/>
    <s v="conventional_refinance_hpa2yr_78"/>
    <x v="118"/>
    <n v="1"/>
    <n v="1"/>
    <n v="77"/>
    <n v="133"/>
  </r>
  <r>
    <x v="1"/>
    <s v="conventional_refinance_hpa2yr_79"/>
    <x v="119"/>
    <n v="1"/>
    <n v="1"/>
    <n v="77"/>
    <n v="133"/>
  </r>
  <r>
    <x v="1"/>
    <s v="conventional_refinance_hpa2yr_80"/>
    <x v="120"/>
    <n v="1"/>
    <n v="1"/>
    <n v="77"/>
    <n v="133"/>
  </r>
  <r>
    <x v="1"/>
    <s v="conventional_refinance_hpa2yr_81"/>
    <x v="121"/>
    <n v="1"/>
    <n v="1"/>
    <n v="77"/>
    <n v="133"/>
  </r>
  <r>
    <x v="1"/>
    <s v="conventional_refinance_hpa2yr_82"/>
    <x v="122"/>
    <n v="1"/>
    <n v="1"/>
    <n v="77"/>
    <n v="133"/>
  </r>
  <r>
    <x v="1"/>
    <s v="conventional_refinance_hpa2yr_83"/>
    <x v="123"/>
    <n v="1"/>
    <n v="1"/>
    <n v="77"/>
    <n v="133"/>
  </r>
  <r>
    <x v="1"/>
    <s v="conventional_refinance_hpa2yr_84"/>
    <x v="124"/>
    <n v="1"/>
    <n v="1"/>
    <n v="77"/>
    <n v="133"/>
  </r>
  <r>
    <x v="1"/>
    <s v="conventional_refinance_hpa2yr_85"/>
    <x v="125"/>
    <n v="1"/>
    <n v="1"/>
    <n v="77"/>
    <n v="133"/>
  </r>
  <r>
    <x v="1"/>
    <s v="conventional_refinance_hpa2yr_86"/>
    <x v="126"/>
    <n v="1"/>
    <n v="1"/>
    <n v="77"/>
    <n v="133"/>
  </r>
  <r>
    <x v="1"/>
    <s v="conventional_refinance_hpa2yr_87"/>
    <x v="127"/>
    <n v="1"/>
    <n v="1"/>
    <n v="77"/>
    <n v="133"/>
  </r>
  <r>
    <x v="1"/>
    <s v="conventional_refinance_hpa2yr_88"/>
    <x v="128"/>
    <n v="1"/>
    <n v="1"/>
    <n v="77"/>
    <n v="133"/>
  </r>
  <r>
    <x v="1"/>
    <s v="conventional_refinance_hpa2yr_89"/>
    <x v="129"/>
    <n v="1"/>
    <n v="1"/>
    <n v="77"/>
    <n v="133"/>
  </r>
  <r>
    <x v="1"/>
    <s v="conventional_refinance_hpa2yr_90"/>
    <x v="130"/>
    <n v="1"/>
    <n v="1"/>
    <n v="77"/>
    <n v="133"/>
  </r>
  <r>
    <x v="1"/>
    <s v="conventional_refinance_hpa2yr_91"/>
    <x v="131"/>
    <n v="1"/>
    <n v="1"/>
    <n v="77"/>
    <n v="133"/>
  </r>
  <r>
    <x v="1"/>
    <s v="conventional_refinance_hpa2yr_92"/>
    <x v="132"/>
    <n v="1"/>
    <n v="1"/>
    <n v="77"/>
    <n v="133"/>
  </r>
  <r>
    <x v="1"/>
    <s v="conventional_refinance_hpa2yr_93"/>
    <x v="133"/>
    <n v="1"/>
    <n v="1"/>
    <n v="77"/>
    <n v="133"/>
  </r>
  <r>
    <x v="1"/>
    <s v="conventional_refinance_hpa2yr_94"/>
    <x v="134"/>
    <n v="1"/>
    <n v="1"/>
    <n v="77"/>
    <n v="133"/>
  </r>
  <r>
    <x v="1"/>
    <s v="conventional_refinance_hpa2yr_95"/>
    <x v="135"/>
    <n v="1"/>
    <n v="1"/>
    <n v="77"/>
    <n v="133"/>
  </r>
  <r>
    <x v="1"/>
    <s v="conventional_refinance_hpa2yr_96"/>
    <x v="136"/>
    <n v="1"/>
    <n v="1"/>
    <n v="77"/>
    <n v="133"/>
  </r>
  <r>
    <x v="1"/>
    <s v="conventional_refinance_hpa2yr_97"/>
    <x v="137"/>
    <n v="1"/>
    <n v="1"/>
    <n v="77"/>
    <n v="133"/>
  </r>
  <r>
    <x v="1"/>
    <s v="conventional_refinance_hpa2yr_98"/>
    <x v="138"/>
    <n v="1"/>
    <n v="1"/>
    <n v="77"/>
    <n v="133"/>
  </r>
  <r>
    <x v="1"/>
    <s v="conventional_refinance_hpa2yr_99"/>
    <x v="139"/>
    <n v="1"/>
    <n v="1"/>
    <n v="77"/>
    <n v="133"/>
  </r>
  <r>
    <x v="1"/>
    <s v="conventional_refinance_hpa2yr_100"/>
    <x v="140"/>
    <n v="1"/>
    <n v="1"/>
    <n v="77"/>
    <n v="133"/>
  </r>
  <r>
    <x v="1"/>
    <s v="conventional_refinance_hpa2yr_101"/>
    <x v="141"/>
    <n v="1"/>
    <n v="1"/>
    <n v="77"/>
    <n v="133"/>
  </r>
  <r>
    <x v="1"/>
    <s v="conventional_refinance_hpa2yr_102"/>
    <x v="142"/>
    <n v="1"/>
    <n v="1"/>
    <n v="77"/>
    <n v="133"/>
  </r>
  <r>
    <x v="1"/>
    <s v="conventional_refinance_hpa2yr_103"/>
    <x v="143"/>
    <n v="1"/>
    <n v="1"/>
    <n v="77"/>
    <n v="133"/>
  </r>
  <r>
    <x v="1"/>
    <s v="conventional_refinance_hpa2yr_104"/>
    <x v="144"/>
    <n v="1"/>
    <n v="1"/>
    <n v="77"/>
    <n v="133"/>
  </r>
  <r>
    <x v="1"/>
    <s v="conventional_refinance_hpa2yr_105"/>
    <x v="145"/>
    <n v="1"/>
    <n v="1"/>
    <n v="77"/>
    <n v="133"/>
  </r>
  <r>
    <x v="1"/>
    <s v="conventional_refinance_hpa2yr_106"/>
    <x v="146"/>
    <n v="1"/>
    <n v="1"/>
    <n v="77"/>
    <n v="133"/>
  </r>
  <r>
    <x v="1"/>
    <s v="conventional_refinance_hpa2yr_107"/>
    <x v="147"/>
    <n v="1"/>
    <n v="1"/>
    <n v="77"/>
    <n v="133"/>
  </r>
  <r>
    <x v="1"/>
    <s v="conventional_refinance_hpa2yr_108"/>
    <x v="148"/>
    <n v="1"/>
    <n v="1"/>
    <n v="77"/>
    <n v="133"/>
  </r>
  <r>
    <x v="1"/>
    <s v="conventional_refinance_hpa2yr_109"/>
    <x v="149"/>
    <n v="1"/>
    <n v="1"/>
    <n v="77"/>
    <n v="133"/>
  </r>
  <r>
    <x v="1"/>
    <s v="conventional_refinance_hpa2yr_110"/>
    <x v="150"/>
    <n v="1"/>
    <n v="1"/>
    <n v="77"/>
    <n v="133"/>
  </r>
  <r>
    <x v="1"/>
    <s v="conventional_refinance_hpa2yr_111"/>
    <x v="151"/>
    <n v="1"/>
    <n v="1"/>
    <n v="77"/>
    <n v="133"/>
  </r>
  <r>
    <x v="1"/>
    <s v="conventional_refinance_hpa2yr_112"/>
    <x v="152"/>
    <n v="1"/>
    <n v="1"/>
    <n v="77"/>
    <n v="133"/>
  </r>
  <r>
    <x v="1"/>
    <s v="conventional_refinance_hpa2yr_113"/>
    <x v="153"/>
    <n v="1"/>
    <n v="1"/>
    <n v="77"/>
    <n v="133"/>
  </r>
  <r>
    <x v="1"/>
    <s v="conventional_refinance_hpa2yr_114"/>
    <x v="154"/>
    <n v="1"/>
    <n v="1"/>
    <n v="77"/>
    <n v="133"/>
  </r>
  <r>
    <x v="1"/>
    <s v="conventional_refinance_hpa2yr_115"/>
    <x v="155"/>
    <n v="1"/>
    <n v="1"/>
    <n v="77"/>
    <n v="133"/>
  </r>
  <r>
    <x v="1"/>
    <s v="conventional_refinance_hpa2yr_116"/>
    <x v="156"/>
    <n v="1"/>
    <n v="1"/>
    <n v="77"/>
    <n v="133"/>
  </r>
  <r>
    <x v="1"/>
    <s v="conventional_refinance_hpa2yr_117"/>
    <x v="157"/>
    <n v="1"/>
    <n v="1"/>
    <n v="77"/>
    <n v="133"/>
  </r>
  <r>
    <x v="1"/>
    <s v="conventional_refinance_hpa2yr_118"/>
    <x v="158"/>
    <n v="1"/>
    <n v="1"/>
    <n v="77"/>
    <n v="133"/>
  </r>
  <r>
    <x v="1"/>
    <s v="conventional_refinance_hpa2yr_119"/>
    <x v="159"/>
    <n v="1"/>
    <n v="1"/>
    <n v="77"/>
    <n v="133"/>
  </r>
  <r>
    <x v="1"/>
    <s v="conventional_refinance_hpa2yr_120"/>
    <x v="160"/>
    <n v="1"/>
    <n v="1"/>
    <n v="77"/>
    <n v="133"/>
  </r>
  <r>
    <x v="1"/>
    <s v="conventional_refinance_hpa2yr_121"/>
    <x v="161"/>
    <n v="1"/>
    <n v="1"/>
    <n v="77"/>
    <n v="133"/>
  </r>
  <r>
    <x v="1"/>
    <s v="conventional_refinance_hpa2yr_122"/>
    <x v="162"/>
    <n v="1"/>
    <n v="1"/>
    <n v="77"/>
    <n v="133"/>
  </r>
  <r>
    <x v="1"/>
    <s v="conventional_refinance_hpa2yr_123"/>
    <x v="163"/>
    <n v="1"/>
    <n v="1"/>
    <n v="77"/>
    <n v="133"/>
  </r>
  <r>
    <x v="1"/>
    <s v="conventional_refinance_hpa2yr_124"/>
    <x v="164"/>
    <n v="1"/>
    <n v="1"/>
    <n v="77"/>
    <n v="133"/>
  </r>
  <r>
    <x v="1"/>
    <s v="conventional_refinance_hpa2yr_125"/>
    <x v="165"/>
    <n v="1"/>
    <n v="1"/>
    <n v="77"/>
    <n v="133"/>
  </r>
  <r>
    <x v="1"/>
    <s v="conventional_refinance_hpa2yr_126"/>
    <x v="166"/>
    <n v="1"/>
    <n v="1"/>
    <n v="77"/>
    <n v="133"/>
  </r>
  <r>
    <x v="1"/>
    <s v="conventional_refinance_hpa2yr_127"/>
    <x v="167"/>
    <n v="1"/>
    <n v="1"/>
    <n v="77"/>
    <n v="133"/>
  </r>
  <r>
    <x v="1"/>
    <s v="conventional_refinance_hpa2yr_128"/>
    <x v="168"/>
    <n v="1"/>
    <n v="1"/>
    <n v="77"/>
    <n v="133"/>
  </r>
  <r>
    <x v="1"/>
    <s v="conventional_refinance_hpa2yr_129"/>
    <x v="169"/>
    <n v="1"/>
    <n v="1"/>
    <n v="77"/>
    <n v="133"/>
  </r>
  <r>
    <x v="1"/>
    <s v="conventional_refinance_hpa2yr_130"/>
    <x v="170"/>
    <n v="1"/>
    <n v="1"/>
    <n v="77"/>
    <n v="133"/>
  </r>
  <r>
    <x v="1"/>
    <s v="conventional_refinance_hpa2yr_131"/>
    <x v="171"/>
    <n v="1"/>
    <n v="1"/>
    <n v="77"/>
    <n v="133"/>
  </r>
  <r>
    <x v="1"/>
    <s v="conventional_refinance_hpa2yr_132"/>
    <x v="172"/>
    <n v="1"/>
    <n v="1"/>
    <n v="77"/>
    <n v="133"/>
  </r>
  <r>
    <x v="1"/>
    <s v="conventional_refinance_hpa2yr_133"/>
    <x v="173"/>
    <n v="1"/>
    <n v="1"/>
    <n v="77"/>
    <n v="133"/>
  </r>
  <r>
    <x v="2"/>
    <s v="conventional_refinance_wala_-6"/>
    <x v="34"/>
    <n v="1E-8"/>
    <n v="1"/>
    <n v="-6"/>
    <n v="29"/>
  </r>
  <r>
    <x v="2"/>
    <s v="conventional_refinance_wala_-5"/>
    <x v="35"/>
    <n v="1E-8"/>
    <n v="1"/>
    <n v="-6"/>
    <n v="29"/>
  </r>
  <r>
    <x v="2"/>
    <s v="conventional_refinance_wala_-4"/>
    <x v="36"/>
    <n v="1E-8"/>
    <n v="1"/>
    <n v="-6"/>
    <n v="29"/>
  </r>
  <r>
    <x v="2"/>
    <s v="conventional_refinance_wala_-3"/>
    <x v="37"/>
    <n v="1E-8"/>
    <n v="1"/>
    <n v="-6"/>
    <n v="29"/>
  </r>
  <r>
    <x v="2"/>
    <s v="conventional_refinance_wala_-2"/>
    <x v="38"/>
    <n v="1E-8"/>
    <n v="1"/>
    <n v="-6"/>
    <n v="29"/>
  </r>
  <r>
    <x v="2"/>
    <s v="conventional_refinance_wala_-1"/>
    <x v="39"/>
    <n v="1E-8"/>
    <n v="1"/>
    <n v="-6"/>
    <n v="29"/>
  </r>
  <r>
    <x v="2"/>
    <s v="conventional_refinance_wala_0"/>
    <x v="40"/>
    <n v="1E-8"/>
    <n v="1"/>
    <n v="-6"/>
    <n v="29"/>
  </r>
  <r>
    <x v="2"/>
    <s v="conventional_refinance_wala_1"/>
    <x v="41"/>
    <n v="6.6819360693110896E-2"/>
    <n v="1"/>
    <n v="-6"/>
    <n v="29"/>
  </r>
  <r>
    <x v="2"/>
    <s v="conventional_refinance_wala_2"/>
    <x v="42"/>
    <n v="0.235777487551288"/>
    <n v="1"/>
    <n v="-6"/>
    <n v="29"/>
  </r>
  <r>
    <x v="2"/>
    <s v="conventional_refinance_wala_3"/>
    <x v="43"/>
    <n v="0.45962450274279898"/>
    <n v="1"/>
    <n v="-6"/>
    <n v="29"/>
  </r>
  <r>
    <x v="2"/>
    <s v="conventional_refinance_wala_4"/>
    <x v="44"/>
    <n v="0.69111051843590998"/>
    <n v="1"/>
    <n v="-6"/>
    <n v="29"/>
  </r>
  <r>
    <x v="2"/>
    <s v="conventional_refinance_wala_5"/>
    <x v="45"/>
    <n v="0.88298564679888802"/>
    <n v="1"/>
    <n v="-6"/>
    <n v="29"/>
  </r>
  <r>
    <x v="2"/>
    <s v="conventional_refinance_wala_6"/>
    <x v="46"/>
    <n v="0.98799999999999999"/>
    <n v="1"/>
    <n v="-6"/>
    <n v="29"/>
  </r>
  <r>
    <x v="2"/>
    <s v="conventional_refinance_wala_7"/>
    <x v="47"/>
    <n v="1.02664398357148"/>
    <n v="1"/>
    <n v="-6"/>
    <n v="29"/>
  </r>
  <r>
    <x v="2"/>
    <s v="conventional_refinance_wala_8"/>
    <x v="48"/>
    <n v="1.05259318786039"/>
    <n v="1"/>
    <n v="-6"/>
    <n v="29"/>
  </r>
  <r>
    <x v="2"/>
    <s v="conventional_refinance_wala_9"/>
    <x v="49"/>
    <n v="1.0683755022571999"/>
    <n v="1"/>
    <n v="-6"/>
    <n v="29"/>
  </r>
  <r>
    <x v="2"/>
    <s v="conventional_refinance_wala_10"/>
    <x v="50"/>
    <n v="1.07651881615242"/>
    <n v="1"/>
    <n v="-6"/>
    <n v="29"/>
  </r>
  <r>
    <x v="2"/>
    <s v="conventional_refinance_wala_11"/>
    <x v="51"/>
    <n v="1.0795510189365201"/>
    <n v="1"/>
    <n v="-6"/>
    <n v="29"/>
  </r>
  <r>
    <x v="2"/>
    <s v="conventional_refinance_wala_12"/>
    <x v="52"/>
    <n v="1.08"/>
    <n v="1"/>
    <n v="-6"/>
    <n v="29"/>
  </r>
  <r>
    <x v="2"/>
    <s v="conventional_refinance_wala_13"/>
    <x v="53"/>
    <n v="1.08"/>
    <n v="1"/>
    <n v="-6"/>
    <n v="29"/>
  </r>
  <r>
    <x v="2"/>
    <s v="conventional_refinance_wala_14"/>
    <x v="54"/>
    <n v="1.08"/>
    <n v="1"/>
    <n v="-6"/>
    <n v="29"/>
  </r>
  <r>
    <x v="2"/>
    <s v="conventional_refinance_wala_15"/>
    <x v="55"/>
    <n v="1.08"/>
    <n v="1"/>
    <n v="-6"/>
    <n v="29"/>
  </r>
  <r>
    <x v="2"/>
    <s v="conventional_refinance_wala_16"/>
    <x v="56"/>
    <n v="1.08"/>
    <n v="1"/>
    <n v="-6"/>
    <n v="29"/>
  </r>
  <r>
    <x v="2"/>
    <s v="conventional_refinance_wala_17"/>
    <x v="57"/>
    <n v="1.08"/>
    <n v="1"/>
    <n v="-6"/>
    <n v="29"/>
  </r>
  <r>
    <x v="2"/>
    <s v="conventional_refinance_wala_18"/>
    <x v="58"/>
    <n v="1.08"/>
    <n v="1"/>
    <n v="-6"/>
    <n v="29"/>
  </r>
  <r>
    <x v="2"/>
    <s v="conventional_refinance_wala_19"/>
    <x v="59"/>
    <n v="1.08"/>
    <n v="1"/>
    <n v="-6"/>
    <n v="29"/>
  </r>
  <r>
    <x v="2"/>
    <s v="conventional_refinance_wala_20"/>
    <x v="60"/>
    <n v="1.08"/>
    <n v="1"/>
    <n v="-6"/>
    <n v="29"/>
  </r>
  <r>
    <x v="2"/>
    <s v="conventional_refinance_wala_21"/>
    <x v="61"/>
    <n v="1.08"/>
    <n v="1"/>
    <n v="-6"/>
    <n v="29"/>
  </r>
  <r>
    <x v="2"/>
    <s v="conventional_refinance_wala_22"/>
    <x v="62"/>
    <n v="1.08"/>
    <n v="1"/>
    <n v="-6"/>
    <n v="29"/>
  </r>
  <r>
    <x v="2"/>
    <s v="conventional_refinance_wala_23"/>
    <x v="63"/>
    <n v="1.08"/>
    <n v="1"/>
    <n v="-6"/>
    <n v="29"/>
  </r>
  <r>
    <x v="2"/>
    <s v="conventional_refinance_wala_24"/>
    <x v="64"/>
    <n v="1.08"/>
    <n v="1"/>
    <n v="-6"/>
    <n v="29"/>
  </r>
  <r>
    <x v="2"/>
    <s v="conventional_refinance_wala_25"/>
    <x v="65"/>
    <n v="1.08"/>
    <n v="1"/>
    <n v="-6"/>
    <n v="29"/>
  </r>
  <r>
    <x v="2"/>
    <s v="conventional_refinance_wala_26"/>
    <x v="66"/>
    <n v="1.08"/>
    <n v="1"/>
    <n v="-6"/>
    <n v="29"/>
  </r>
  <r>
    <x v="2"/>
    <s v="conventional_refinance_wala_27"/>
    <x v="67"/>
    <n v="1.08"/>
    <n v="1"/>
    <n v="-6"/>
    <n v="29"/>
  </r>
  <r>
    <x v="2"/>
    <s v="conventional_refinance_wala_28"/>
    <x v="68"/>
    <n v="1.08"/>
    <n v="1"/>
    <n v="-6"/>
    <n v="29"/>
  </r>
  <r>
    <x v="2"/>
    <s v="conventional_refinance_wala_29"/>
    <x v="69"/>
    <n v="1.08"/>
    <n v="1"/>
    <n v="-6"/>
    <n v="29"/>
  </r>
  <r>
    <x v="3"/>
    <s v="conventional_refinance_lomedia_incentive_-290"/>
    <x v="981"/>
    <n v="0"/>
    <n v="1"/>
    <n v="-290"/>
    <n v="340"/>
  </r>
  <r>
    <x v="3"/>
    <s v="conventional_refinance_lomedia_incentive_-289"/>
    <x v="982"/>
    <n v="0"/>
    <n v="1"/>
    <n v="-290"/>
    <n v="340"/>
  </r>
  <r>
    <x v="3"/>
    <s v="conventional_refinance_lomedia_incentive_-288"/>
    <x v="983"/>
    <n v="0"/>
    <n v="1"/>
    <n v="-290"/>
    <n v="340"/>
  </r>
  <r>
    <x v="3"/>
    <s v="conventional_refinance_lomedia_incentive_-287"/>
    <x v="984"/>
    <n v="0"/>
    <n v="1"/>
    <n v="-290"/>
    <n v="340"/>
  </r>
  <r>
    <x v="3"/>
    <s v="conventional_refinance_lomedia_incentive_-286"/>
    <x v="985"/>
    <n v="0"/>
    <n v="1"/>
    <n v="-290"/>
    <n v="340"/>
  </r>
  <r>
    <x v="3"/>
    <s v="conventional_refinance_lomedia_incentive_-285"/>
    <x v="986"/>
    <n v="0"/>
    <n v="1"/>
    <n v="-290"/>
    <n v="340"/>
  </r>
  <r>
    <x v="3"/>
    <s v="conventional_refinance_lomedia_incentive_-284"/>
    <x v="987"/>
    <n v="0"/>
    <n v="1"/>
    <n v="-290"/>
    <n v="340"/>
  </r>
  <r>
    <x v="3"/>
    <s v="conventional_refinance_lomedia_incentive_-283"/>
    <x v="988"/>
    <n v="0"/>
    <n v="1"/>
    <n v="-290"/>
    <n v="340"/>
  </r>
  <r>
    <x v="3"/>
    <s v="conventional_refinance_lomedia_incentive_-282"/>
    <x v="989"/>
    <n v="0"/>
    <n v="1"/>
    <n v="-290"/>
    <n v="340"/>
  </r>
  <r>
    <x v="3"/>
    <s v="conventional_refinance_lomedia_incentive_-281"/>
    <x v="990"/>
    <n v="0"/>
    <n v="1"/>
    <n v="-290"/>
    <n v="340"/>
  </r>
  <r>
    <x v="3"/>
    <s v="conventional_refinance_lomedia_incentive_-280"/>
    <x v="991"/>
    <n v="0"/>
    <n v="1"/>
    <n v="-290"/>
    <n v="340"/>
  </r>
  <r>
    <x v="3"/>
    <s v="conventional_refinance_lomedia_incentive_-279"/>
    <x v="992"/>
    <n v="0"/>
    <n v="1"/>
    <n v="-290"/>
    <n v="340"/>
  </r>
  <r>
    <x v="3"/>
    <s v="conventional_refinance_lomedia_incentive_-278"/>
    <x v="993"/>
    <n v="0"/>
    <n v="1"/>
    <n v="-290"/>
    <n v="340"/>
  </r>
  <r>
    <x v="3"/>
    <s v="conventional_refinance_lomedia_incentive_-277"/>
    <x v="994"/>
    <n v="0"/>
    <n v="1"/>
    <n v="-290"/>
    <n v="340"/>
  </r>
  <r>
    <x v="3"/>
    <s v="conventional_refinance_lomedia_incentive_-276"/>
    <x v="995"/>
    <n v="0"/>
    <n v="1"/>
    <n v="-290"/>
    <n v="340"/>
  </r>
  <r>
    <x v="3"/>
    <s v="conventional_refinance_lomedia_incentive_-275"/>
    <x v="996"/>
    <n v="0"/>
    <n v="1"/>
    <n v="-290"/>
    <n v="340"/>
  </r>
  <r>
    <x v="3"/>
    <s v="conventional_refinance_lomedia_incentive_-274"/>
    <x v="997"/>
    <n v="0"/>
    <n v="1"/>
    <n v="-290"/>
    <n v="340"/>
  </r>
  <r>
    <x v="3"/>
    <s v="conventional_refinance_lomedia_incentive_-273"/>
    <x v="998"/>
    <n v="0"/>
    <n v="1"/>
    <n v="-290"/>
    <n v="340"/>
  </r>
  <r>
    <x v="3"/>
    <s v="conventional_refinance_lomedia_incentive_-272"/>
    <x v="999"/>
    <n v="0"/>
    <n v="1"/>
    <n v="-290"/>
    <n v="340"/>
  </r>
  <r>
    <x v="3"/>
    <s v="conventional_refinance_lomedia_incentive_-271"/>
    <x v="1000"/>
    <n v="0"/>
    <n v="1"/>
    <n v="-290"/>
    <n v="340"/>
  </r>
  <r>
    <x v="3"/>
    <s v="conventional_refinance_lomedia_incentive_-270"/>
    <x v="1001"/>
    <n v="0"/>
    <n v="1"/>
    <n v="-290"/>
    <n v="340"/>
  </r>
  <r>
    <x v="3"/>
    <s v="conventional_refinance_lomedia_incentive_-269"/>
    <x v="1002"/>
    <n v="0"/>
    <n v="1"/>
    <n v="-290"/>
    <n v="340"/>
  </r>
  <r>
    <x v="3"/>
    <s v="conventional_refinance_lomedia_incentive_-268"/>
    <x v="1003"/>
    <n v="0"/>
    <n v="1"/>
    <n v="-290"/>
    <n v="340"/>
  </r>
  <r>
    <x v="3"/>
    <s v="conventional_refinance_lomedia_incentive_-267"/>
    <x v="1004"/>
    <n v="0"/>
    <n v="1"/>
    <n v="-290"/>
    <n v="340"/>
  </r>
  <r>
    <x v="3"/>
    <s v="conventional_refinance_lomedia_incentive_-266"/>
    <x v="1005"/>
    <n v="0"/>
    <n v="1"/>
    <n v="-290"/>
    <n v="340"/>
  </r>
  <r>
    <x v="3"/>
    <s v="conventional_refinance_lomedia_incentive_-265"/>
    <x v="1006"/>
    <n v="0"/>
    <n v="1"/>
    <n v="-290"/>
    <n v="340"/>
  </r>
  <r>
    <x v="3"/>
    <s v="conventional_refinance_lomedia_incentive_-264"/>
    <x v="1007"/>
    <n v="0"/>
    <n v="1"/>
    <n v="-290"/>
    <n v="340"/>
  </r>
  <r>
    <x v="3"/>
    <s v="conventional_refinance_lomedia_incentive_-263"/>
    <x v="1008"/>
    <n v="0"/>
    <n v="1"/>
    <n v="-290"/>
    <n v="340"/>
  </r>
  <r>
    <x v="3"/>
    <s v="conventional_refinance_lomedia_incentive_-262"/>
    <x v="1009"/>
    <n v="0"/>
    <n v="1"/>
    <n v="-290"/>
    <n v="340"/>
  </r>
  <r>
    <x v="3"/>
    <s v="conventional_refinance_lomedia_incentive_-261"/>
    <x v="1010"/>
    <n v="0"/>
    <n v="1"/>
    <n v="-290"/>
    <n v="340"/>
  </r>
  <r>
    <x v="3"/>
    <s v="conventional_refinance_lomedia_incentive_-260"/>
    <x v="1011"/>
    <n v="0"/>
    <n v="1"/>
    <n v="-290"/>
    <n v="340"/>
  </r>
  <r>
    <x v="3"/>
    <s v="conventional_refinance_lomedia_incentive_-259"/>
    <x v="1012"/>
    <n v="0"/>
    <n v="1"/>
    <n v="-290"/>
    <n v="340"/>
  </r>
  <r>
    <x v="3"/>
    <s v="conventional_refinance_lomedia_incentive_-258"/>
    <x v="1013"/>
    <n v="0"/>
    <n v="1"/>
    <n v="-290"/>
    <n v="340"/>
  </r>
  <r>
    <x v="3"/>
    <s v="conventional_refinance_lomedia_incentive_-257"/>
    <x v="1014"/>
    <n v="0"/>
    <n v="1"/>
    <n v="-290"/>
    <n v="340"/>
  </r>
  <r>
    <x v="3"/>
    <s v="conventional_refinance_lomedia_incentive_-256"/>
    <x v="1015"/>
    <n v="0"/>
    <n v="1"/>
    <n v="-290"/>
    <n v="340"/>
  </r>
  <r>
    <x v="3"/>
    <s v="conventional_refinance_lomedia_incentive_-255"/>
    <x v="1016"/>
    <n v="0"/>
    <n v="1"/>
    <n v="-290"/>
    <n v="340"/>
  </r>
  <r>
    <x v="3"/>
    <s v="conventional_refinance_lomedia_incentive_-254"/>
    <x v="1017"/>
    <n v="0"/>
    <n v="1"/>
    <n v="-290"/>
    <n v="340"/>
  </r>
  <r>
    <x v="3"/>
    <s v="conventional_refinance_lomedia_incentive_-253"/>
    <x v="1018"/>
    <n v="0"/>
    <n v="1"/>
    <n v="-290"/>
    <n v="340"/>
  </r>
  <r>
    <x v="3"/>
    <s v="conventional_refinance_lomedia_incentive_-252"/>
    <x v="1019"/>
    <n v="0"/>
    <n v="1"/>
    <n v="-290"/>
    <n v="340"/>
  </r>
  <r>
    <x v="3"/>
    <s v="conventional_refinance_lomedia_incentive_-251"/>
    <x v="1020"/>
    <n v="0"/>
    <n v="1"/>
    <n v="-290"/>
    <n v="340"/>
  </r>
  <r>
    <x v="3"/>
    <s v="conventional_refinance_lomedia_incentive_-250"/>
    <x v="1021"/>
    <n v="0"/>
    <n v="1"/>
    <n v="-290"/>
    <n v="340"/>
  </r>
  <r>
    <x v="3"/>
    <s v="conventional_refinance_lomedia_incentive_-249"/>
    <x v="1022"/>
    <n v="0"/>
    <n v="1"/>
    <n v="-290"/>
    <n v="340"/>
  </r>
  <r>
    <x v="3"/>
    <s v="conventional_refinance_lomedia_incentive_-248"/>
    <x v="1023"/>
    <n v="0"/>
    <n v="1"/>
    <n v="-290"/>
    <n v="340"/>
  </r>
  <r>
    <x v="3"/>
    <s v="conventional_refinance_lomedia_incentive_-247"/>
    <x v="1024"/>
    <n v="0"/>
    <n v="1"/>
    <n v="-290"/>
    <n v="340"/>
  </r>
  <r>
    <x v="3"/>
    <s v="conventional_refinance_lomedia_incentive_-246"/>
    <x v="1025"/>
    <n v="0"/>
    <n v="1"/>
    <n v="-290"/>
    <n v="340"/>
  </r>
  <r>
    <x v="3"/>
    <s v="conventional_refinance_lomedia_incentive_-245"/>
    <x v="1026"/>
    <n v="0"/>
    <n v="1"/>
    <n v="-290"/>
    <n v="340"/>
  </r>
  <r>
    <x v="3"/>
    <s v="conventional_refinance_lomedia_incentive_-244"/>
    <x v="1027"/>
    <n v="0"/>
    <n v="1"/>
    <n v="-290"/>
    <n v="340"/>
  </r>
  <r>
    <x v="3"/>
    <s v="conventional_refinance_lomedia_incentive_-243"/>
    <x v="1028"/>
    <n v="0"/>
    <n v="1"/>
    <n v="-290"/>
    <n v="340"/>
  </r>
  <r>
    <x v="3"/>
    <s v="conventional_refinance_lomedia_incentive_-242"/>
    <x v="1029"/>
    <n v="0"/>
    <n v="1"/>
    <n v="-290"/>
    <n v="340"/>
  </r>
  <r>
    <x v="3"/>
    <s v="conventional_refinance_lomedia_incentive_-241"/>
    <x v="1030"/>
    <n v="0"/>
    <n v="1"/>
    <n v="-290"/>
    <n v="340"/>
  </r>
  <r>
    <x v="3"/>
    <s v="conventional_refinance_lomedia_incentive_-240"/>
    <x v="1031"/>
    <n v="0"/>
    <n v="1"/>
    <n v="-290"/>
    <n v="340"/>
  </r>
  <r>
    <x v="3"/>
    <s v="conventional_refinance_lomedia_incentive_-239"/>
    <x v="1032"/>
    <n v="0"/>
    <n v="1"/>
    <n v="-290"/>
    <n v="340"/>
  </r>
  <r>
    <x v="3"/>
    <s v="conventional_refinance_lomedia_incentive_-238"/>
    <x v="1033"/>
    <n v="0"/>
    <n v="1"/>
    <n v="-290"/>
    <n v="340"/>
  </r>
  <r>
    <x v="3"/>
    <s v="conventional_refinance_lomedia_incentive_-237"/>
    <x v="1034"/>
    <n v="0"/>
    <n v="1"/>
    <n v="-290"/>
    <n v="340"/>
  </r>
  <r>
    <x v="3"/>
    <s v="conventional_refinance_lomedia_incentive_-236"/>
    <x v="1035"/>
    <n v="0"/>
    <n v="1"/>
    <n v="-290"/>
    <n v="340"/>
  </r>
  <r>
    <x v="3"/>
    <s v="conventional_refinance_lomedia_incentive_-235"/>
    <x v="1036"/>
    <n v="0"/>
    <n v="1"/>
    <n v="-290"/>
    <n v="340"/>
  </r>
  <r>
    <x v="3"/>
    <s v="conventional_refinance_lomedia_incentive_-234"/>
    <x v="1037"/>
    <n v="0"/>
    <n v="1"/>
    <n v="-290"/>
    <n v="340"/>
  </r>
  <r>
    <x v="3"/>
    <s v="conventional_refinance_lomedia_incentive_-233"/>
    <x v="1038"/>
    <n v="0"/>
    <n v="1"/>
    <n v="-290"/>
    <n v="340"/>
  </r>
  <r>
    <x v="3"/>
    <s v="conventional_refinance_lomedia_incentive_-232"/>
    <x v="1039"/>
    <n v="0"/>
    <n v="1"/>
    <n v="-290"/>
    <n v="340"/>
  </r>
  <r>
    <x v="3"/>
    <s v="conventional_refinance_lomedia_incentive_-231"/>
    <x v="1040"/>
    <n v="0"/>
    <n v="1"/>
    <n v="-290"/>
    <n v="340"/>
  </r>
  <r>
    <x v="3"/>
    <s v="conventional_refinance_lomedia_incentive_-230"/>
    <x v="1041"/>
    <n v="0"/>
    <n v="1"/>
    <n v="-290"/>
    <n v="340"/>
  </r>
  <r>
    <x v="3"/>
    <s v="conventional_refinance_lomedia_incentive_-229"/>
    <x v="1042"/>
    <n v="0"/>
    <n v="1"/>
    <n v="-290"/>
    <n v="340"/>
  </r>
  <r>
    <x v="3"/>
    <s v="conventional_refinance_lomedia_incentive_-228"/>
    <x v="1043"/>
    <n v="0"/>
    <n v="1"/>
    <n v="-290"/>
    <n v="340"/>
  </r>
  <r>
    <x v="3"/>
    <s v="conventional_refinance_lomedia_incentive_-227"/>
    <x v="1044"/>
    <n v="0"/>
    <n v="1"/>
    <n v="-290"/>
    <n v="340"/>
  </r>
  <r>
    <x v="3"/>
    <s v="conventional_refinance_lomedia_incentive_-226"/>
    <x v="1045"/>
    <n v="0"/>
    <n v="1"/>
    <n v="-290"/>
    <n v="340"/>
  </r>
  <r>
    <x v="3"/>
    <s v="conventional_refinance_lomedia_incentive_-225"/>
    <x v="1046"/>
    <n v="0"/>
    <n v="1"/>
    <n v="-290"/>
    <n v="340"/>
  </r>
  <r>
    <x v="3"/>
    <s v="conventional_refinance_lomedia_incentive_-224"/>
    <x v="1047"/>
    <n v="0"/>
    <n v="1"/>
    <n v="-290"/>
    <n v="340"/>
  </r>
  <r>
    <x v="3"/>
    <s v="conventional_refinance_lomedia_incentive_-223"/>
    <x v="1048"/>
    <n v="0"/>
    <n v="1"/>
    <n v="-290"/>
    <n v="340"/>
  </r>
  <r>
    <x v="3"/>
    <s v="conventional_refinance_lomedia_incentive_-222"/>
    <x v="1049"/>
    <n v="0"/>
    <n v="1"/>
    <n v="-290"/>
    <n v="340"/>
  </r>
  <r>
    <x v="3"/>
    <s v="conventional_refinance_lomedia_incentive_-221"/>
    <x v="1050"/>
    <n v="0"/>
    <n v="1"/>
    <n v="-290"/>
    <n v="340"/>
  </r>
  <r>
    <x v="3"/>
    <s v="conventional_refinance_lomedia_incentive_-220"/>
    <x v="1051"/>
    <n v="0"/>
    <n v="1"/>
    <n v="-290"/>
    <n v="340"/>
  </r>
  <r>
    <x v="3"/>
    <s v="conventional_refinance_lomedia_incentive_-219"/>
    <x v="1052"/>
    <n v="0"/>
    <n v="1"/>
    <n v="-290"/>
    <n v="340"/>
  </r>
  <r>
    <x v="3"/>
    <s v="conventional_refinance_lomedia_incentive_-218"/>
    <x v="1053"/>
    <n v="0"/>
    <n v="1"/>
    <n v="-290"/>
    <n v="340"/>
  </r>
  <r>
    <x v="3"/>
    <s v="conventional_refinance_lomedia_incentive_-217"/>
    <x v="1054"/>
    <n v="0"/>
    <n v="1"/>
    <n v="-290"/>
    <n v="340"/>
  </r>
  <r>
    <x v="3"/>
    <s v="conventional_refinance_lomedia_incentive_-216"/>
    <x v="1055"/>
    <n v="0"/>
    <n v="1"/>
    <n v="-290"/>
    <n v="340"/>
  </r>
  <r>
    <x v="3"/>
    <s v="conventional_refinance_lomedia_incentive_-215"/>
    <x v="1056"/>
    <n v="0"/>
    <n v="1"/>
    <n v="-290"/>
    <n v="340"/>
  </r>
  <r>
    <x v="3"/>
    <s v="conventional_refinance_lomedia_incentive_-214"/>
    <x v="1057"/>
    <n v="0"/>
    <n v="1"/>
    <n v="-290"/>
    <n v="340"/>
  </r>
  <r>
    <x v="3"/>
    <s v="conventional_refinance_lomedia_incentive_-213"/>
    <x v="1058"/>
    <n v="0"/>
    <n v="1"/>
    <n v="-290"/>
    <n v="340"/>
  </r>
  <r>
    <x v="3"/>
    <s v="conventional_refinance_lomedia_incentive_-212"/>
    <x v="1059"/>
    <n v="0"/>
    <n v="1"/>
    <n v="-290"/>
    <n v="340"/>
  </r>
  <r>
    <x v="3"/>
    <s v="conventional_refinance_lomedia_incentive_-211"/>
    <x v="1060"/>
    <n v="0"/>
    <n v="1"/>
    <n v="-290"/>
    <n v="340"/>
  </r>
  <r>
    <x v="3"/>
    <s v="conventional_refinance_lomedia_incentive_-210"/>
    <x v="1061"/>
    <n v="0"/>
    <n v="1"/>
    <n v="-290"/>
    <n v="340"/>
  </r>
  <r>
    <x v="3"/>
    <s v="conventional_refinance_lomedia_incentive_-209"/>
    <x v="1062"/>
    <n v="0"/>
    <n v="1"/>
    <n v="-290"/>
    <n v="340"/>
  </r>
  <r>
    <x v="3"/>
    <s v="conventional_refinance_lomedia_incentive_-208"/>
    <x v="1063"/>
    <n v="0"/>
    <n v="1"/>
    <n v="-290"/>
    <n v="340"/>
  </r>
  <r>
    <x v="3"/>
    <s v="conventional_refinance_lomedia_incentive_-207"/>
    <x v="1064"/>
    <n v="0"/>
    <n v="1"/>
    <n v="-290"/>
    <n v="340"/>
  </r>
  <r>
    <x v="3"/>
    <s v="conventional_refinance_lomedia_incentive_-206"/>
    <x v="1065"/>
    <n v="0"/>
    <n v="1"/>
    <n v="-290"/>
    <n v="340"/>
  </r>
  <r>
    <x v="3"/>
    <s v="conventional_refinance_lomedia_incentive_-205"/>
    <x v="1066"/>
    <n v="0"/>
    <n v="1"/>
    <n v="-290"/>
    <n v="340"/>
  </r>
  <r>
    <x v="3"/>
    <s v="conventional_refinance_lomedia_incentive_-204"/>
    <x v="1067"/>
    <n v="0"/>
    <n v="1"/>
    <n v="-290"/>
    <n v="340"/>
  </r>
  <r>
    <x v="3"/>
    <s v="conventional_refinance_lomedia_incentive_-203"/>
    <x v="1068"/>
    <n v="0"/>
    <n v="1"/>
    <n v="-290"/>
    <n v="340"/>
  </r>
  <r>
    <x v="3"/>
    <s v="conventional_refinance_lomedia_incentive_-202"/>
    <x v="1069"/>
    <n v="0"/>
    <n v="1"/>
    <n v="-290"/>
    <n v="340"/>
  </r>
  <r>
    <x v="3"/>
    <s v="conventional_refinance_lomedia_incentive_-201"/>
    <x v="1070"/>
    <n v="0"/>
    <n v="1"/>
    <n v="-290"/>
    <n v="340"/>
  </r>
  <r>
    <x v="3"/>
    <s v="conventional_refinance_lomedia_incentive_-200"/>
    <x v="1071"/>
    <n v="0"/>
    <n v="1"/>
    <n v="-290"/>
    <n v="340"/>
  </r>
  <r>
    <x v="3"/>
    <s v="conventional_refinance_lomedia_incentive_-199"/>
    <x v="1072"/>
    <n v="0"/>
    <n v="1"/>
    <n v="-290"/>
    <n v="340"/>
  </r>
  <r>
    <x v="3"/>
    <s v="conventional_refinance_lomedia_incentive_-198"/>
    <x v="1073"/>
    <n v="0"/>
    <n v="1"/>
    <n v="-290"/>
    <n v="340"/>
  </r>
  <r>
    <x v="3"/>
    <s v="conventional_refinance_lomedia_incentive_-197"/>
    <x v="1074"/>
    <n v="0"/>
    <n v="1"/>
    <n v="-290"/>
    <n v="340"/>
  </r>
  <r>
    <x v="3"/>
    <s v="conventional_refinance_lomedia_incentive_-196"/>
    <x v="1075"/>
    <n v="0"/>
    <n v="1"/>
    <n v="-290"/>
    <n v="340"/>
  </r>
  <r>
    <x v="3"/>
    <s v="conventional_refinance_lomedia_incentive_-195"/>
    <x v="1076"/>
    <n v="0"/>
    <n v="1"/>
    <n v="-290"/>
    <n v="340"/>
  </r>
  <r>
    <x v="3"/>
    <s v="conventional_refinance_lomedia_incentive_-194"/>
    <x v="1077"/>
    <n v="0"/>
    <n v="1"/>
    <n v="-290"/>
    <n v="340"/>
  </r>
  <r>
    <x v="3"/>
    <s v="conventional_refinance_lomedia_incentive_-193"/>
    <x v="1078"/>
    <n v="0"/>
    <n v="1"/>
    <n v="-290"/>
    <n v="340"/>
  </r>
  <r>
    <x v="3"/>
    <s v="conventional_refinance_lomedia_incentive_-192"/>
    <x v="1079"/>
    <n v="0"/>
    <n v="1"/>
    <n v="-290"/>
    <n v="340"/>
  </r>
  <r>
    <x v="3"/>
    <s v="conventional_refinance_lomedia_incentive_-191"/>
    <x v="1080"/>
    <n v="0"/>
    <n v="1"/>
    <n v="-290"/>
    <n v="340"/>
  </r>
  <r>
    <x v="3"/>
    <s v="conventional_refinance_lomedia_incentive_-190"/>
    <x v="1081"/>
    <n v="0"/>
    <n v="1"/>
    <n v="-290"/>
    <n v="340"/>
  </r>
  <r>
    <x v="3"/>
    <s v="conventional_refinance_lomedia_incentive_-189"/>
    <x v="1082"/>
    <n v="0"/>
    <n v="1"/>
    <n v="-290"/>
    <n v="340"/>
  </r>
  <r>
    <x v="3"/>
    <s v="conventional_refinance_lomedia_incentive_-188"/>
    <x v="1083"/>
    <n v="0"/>
    <n v="1"/>
    <n v="-290"/>
    <n v="340"/>
  </r>
  <r>
    <x v="3"/>
    <s v="conventional_refinance_lomedia_incentive_-187"/>
    <x v="1084"/>
    <n v="0"/>
    <n v="1"/>
    <n v="-290"/>
    <n v="340"/>
  </r>
  <r>
    <x v="3"/>
    <s v="conventional_refinance_lomedia_incentive_-186"/>
    <x v="1085"/>
    <n v="0"/>
    <n v="1"/>
    <n v="-290"/>
    <n v="340"/>
  </r>
  <r>
    <x v="3"/>
    <s v="conventional_refinance_lomedia_incentive_-185"/>
    <x v="1086"/>
    <n v="0"/>
    <n v="1"/>
    <n v="-290"/>
    <n v="340"/>
  </r>
  <r>
    <x v="3"/>
    <s v="conventional_refinance_lomedia_incentive_-184"/>
    <x v="1087"/>
    <n v="0"/>
    <n v="1"/>
    <n v="-290"/>
    <n v="340"/>
  </r>
  <r>
    <x v="3"/>
    <s v="conventional_refinance_lomedia_incentive_-183"/>
    <x v="1088"/>
    <n v="0"/>
    <n v="1"/>
    <n v="-290"/>
    <n v="340"/>
  </r>
  <r>
    <x v="3"/>
    <s v="conventional_refinance_lomedia_incentive_-182"/>
    <x v="1089"/>
    <n v="0"/>
    <n v="1"/>
    <n v="-290"/>
    <n v="340"/>
  </r>
  <r>
    <x v="3"/>
    <s v="conventional_refinance_lomedia_incentive_-181"/>
    <x v="1090"/>
    <n v="0"/>
    <n v="1"/>
    <n v="-290"/>
    <n v="340"/>
  </r>
  <r>
    <x v="3"/>
    <s v="conventional_refinance_lomedia_incentive_-180"/>
    <x v="1091"/>
    <n v="0"/>
    <n v="1"/>
    <n v="-290"/>
    <n v="340"/>
  </r>
  <r>
    <x v="3"/>
    <s v="conventional_refinance_lomedia_incentive_-179"/>
    <x v="1092"/>
    <n v="0"/>
    <n v="1"/>
    <n v="-290"/>
    <n v="340"/>
  </r>
  <r>
    <x v="3"/>
    <s v="conventional_refinance_lomedia_incentive_-178"/>
    <x v="1093"/>
    <n v="0"/>
    <n v="1"/>
    <n v="-290"/>
    <n v="340"/>
  </r>
  <r>
    <x v="3"/>
    <s v="conventional_refinance_lomedia_incentive_-177"/>
    <x v="1094"/>
    <n v="0"/>
    <n v="1"/>
    <n v="-290"/>
    <n v="340"/>
  </r>
  <r>
    <x v="3"/>
    <s v="conventional_refinance_lomedia_incentive_-176"/>
    <x v="1095"/>
    <n v="0"/>
    <n v="1"/>
    <n v="-290"/>
    <n v="340"/>
  </r>
  <r>
    <x v="3"/>
    <s v="conventional_refinance_lomedia_incentive_-175"/>
    <x v="1096"/>
    <n v="0"/>
    <n v="1"/>
    <n v="-290"/>
    <n v="340"/>
  </r>
  <r>
    <x v="3"/>
    <s v="conventional_refinance_lomedia_incentive_-174"/>
    <x v="1097"/>
    <n v="0"/>
    <n v="1"/>
    <n v="-290"/>
    <n v="340"/>
  </r>
  <r>
    <x v="3"/>
    <s v="conventional_refinance_lomedia_incentive_-173"/>
    <x v="1098"/>
    <n v="0"/>
    <n v="1"/>
    <n v="-290"/>
    <n v="340"/>
  </r>
  <r>
    <x v="3"/>
    <s v="conventional_refinance_lomedia_incentive_-172"/>
    <x v="1099"/>
    <n v="0"/>
    <n v="1"/>
    <n v="-290"/>
    <n v="340"/>
  </r>
  <r>
    <x v="3"/>
    <s v="conventional_refinance_lomedia_incentive_-171"/>
    <x v="1100"/>
    <n v="0"/>
    <n v="1"/>
    <n v="-290"/>
    <n v="340"/>
  </r>
  <r>
    <x v="3"/>
    <s v="conventional_refinance_lomedia_incentive_-170"/>
    <x v="1101"/>
    <n v="0"/>
    <n v="1"/>
    <n v="-290"/>
    <n v="340"/>
  </r>
  <r>
    <x v="3"/>
    <s v="conventional_refinance_lomedia_incentive_-169"/>
    <x v="1102"/>
    <n v="0"/>
    <n v="1"/>
    <n v="-290"/>
    <n v="340"/>
  </r>
  <r>
    <x v="3"/>
    <s v="conventional_refinance_lomedia_incentive_-168"/>
    <x v="1103"/>
    <n v="0"/>
    <n v="1"/>
    <n v="-290"/>
    <n v="340"/>
  </r>
  <r>
    <x v="3"/>
    <s v="conventional_refinance_lomedia_incentive_-167"/>
    <x v="1104"/>
    <n v="0"/>
    <n v="1"/>
    <n v="-290"/>
    <n v="340"/>
  </r>
  <r>
    <x v="3"/>
    <s v="conventional_refinance_lomedia_incentive_-166"/>
    <x v="1105"/>
    <n v="0"/>
    <n v="1"/>
    <n v="-290"/>
    <n v="340"/>
  </r>
  <r>
    <x v="3"/>
    <s v="conventional_refinance_lomedia_incentive_-165"/>
    <x v="1106"/>
    <n v="0"/>
    <n v="1"/>
    <n v="-290"/>
    <n v="340"/>
  </r>
  <r>
    <x v="3"/>
    <s v="conventional_refinance_lomedia_incentive_-164"/>
    <x v="1107"/>
    <n v="0"/>
    <n v="1"/>
    <n v="-290"/>
    <n v="340"/>
  </r>
  <r>
    <x v="3"/>
    <s v="conventional_refinance_lomedia_incentive_-163"/>
    <x v="1108"/>
    <n v="0"/>
    <n v="1"/>
    <n v="-290"/>
    <n v="340"/>
  </r>
  <r>
    <x v="3"/>
    <s v="conventional_refinance_lomedia_incentive_-162"/>
    <x v="1109"/>
    <n v="0"/>
    <n v="1"/>
    <n v="-290"/>
    <n v="340"/>
  </r>
  <r>
    <x v="3"/>
    <s v="conventional_refinance_lomedia_incentive_-161"/>
    <x v="1110"/>
    <n v="0"/>
    <n v="1"/>
    <n v="-290"/>
    <n v="340"/>
  </r>
  <r>
    <x v="3"/>
    <s v="conventional_refinance_lomedia_incentive_-160"/>
    <x v="1111"/>
    <n v="0"/>
    <n v="1"/>
    <n v="-290"/>
    <n v="340"/>
  </r>
  <r>
    <x v="3"/>
    <s v="conventional_refinance_lomedia_incentive_-159"/>
    <x v="1112"/>
    <n v="0"/>
    <n v="1"/>
    <n v="-290"/>
    <n v="340"/>
  </r>
  <r>
    <x v="3"/>
    <s v="conventional_refinance_lomedia_incentive_-158"/>
    <x v="1113"/>
    <n v="0"/>
    <n v="1"/>
    <n v="-290"/>
    <n v="340"/>
  </r>
  <r>
    <x v="3"/>
    <s v="conventional_refinance_lomedia_incentive_-157"/>
    <x v="1114"/>
    <n v="0"/>
    <n v="1"/>
    <n v="-290"/>
    <n v="340"/>
  </r>
  <r>
    <x v="3"/>
    <s v="conventional_refinance_lomedia_incentive_-156"/>
    <x v="1115"/>
    <n v="0"/>
    <n v="1"/>
    <n v="-290"/>
    <n v="340"/>
  </r>
  <r>
    <x v="3"/>
    <s v="conventional_refinance_lomedia_incentive_-155"/>
    <x v="1116"/>
    <n v="0"/>
    <n v="1"/>
    <n v="-290"/>
    <n v="340"/>
  </r>
  <r>
    <x v="3"/>
    <s v="conventional_refinance_lomedia_incentive_-154"/>
    <x v="1117"/>
    <n v="0"/>
    <n v="1"/>
    <n v="-290"/>
    <n v="340"/>
  </r>
  <r>
    <x v="3"/>
    <s v="conventional_refinance_lomedia_incentive_-153"/>
    <x v="1118"/>
    <n v="0"/>
    <n v="1"/>
    <n v="-290"/>
    <n v="340"/>
  </r>
  <r>
    <x v="3"/>
    <s v="conventional_refinance_lomedia_incentive_-152"/>
    <x v="1119"/>
    <n v="0"/>
    <n v="1"/>
    <n v="-290"/>
    <n v="340"/>
  </r>
  <r>
    <x v="3"/>
    <s v="conventional_refinance_lomedia_incentive_-151"/>
    <x v="1120"/>
    <n v="0"/>
    <n v="1"/>
    <n v="-290"/>
    <n v="340"/>
  </r>
  <r>
    <x v="3"/>
    <s v="conventional_refinance_lomedia_incentive_-150"/>
    <x v="1121"/>
    <n v="0"/>
    <n v="1"/>
    <n v="-290"/>
    <n v="340"/>
  </r>
  <r>
    <x v="3"/>
    <s v="conventional_refinance_lomedia_incentive_-149"/>
    <x v="1122"/>
    <n v="0"/>
    <n v="1"/>
    <n v="-290"/>
    <n v="340"/>
  </r>
  <r>
    <x v="3"/>
    <s v="conventional_refinance_lomedia_incentive_-148"/>
    <x v="1123"/>
    <n v="0"/>
    <n v="1"/>
    <n v="-290"/>
    <n v="340"/>
  </r>
  <r>
    <x v="3"/>
    <s v="conventional_refinance_lomedia_incentive_-147"/>
    <x v="1124"/>
    <n v="0"/>
    <n v="1"/>
    <n v="-290"/>
    <n v="340"/>
  </r>
  <r>
    <x v="3"/>
    <s v="conventional_refinance_lomedia_incentive_-146"/>
    <x v="1125"/>
    <n v="0"/>
    <n v="1"/>
    <n v="-290"/>
    <n v="340"/>
  </r>
  <r>
    <x v="3"/>
    <s v="conventional_refinance_lomedia_incentive_-145"/>
    <x v="1126"/>
    <n v="0"/>
    <n v="1"/>
    <n v="-290"/>
    <n v="340"/>
  </r>
  <r>
    <x v="3"/>
    <s v="conventional_refinance_lomedia_incentive_-144"/>
    <x v="1127"/>
    <n v="0"/>
    <n v="1"/>
    <n v="-290"/>
    <n v="340"/>
  </r>
  <r>
    <x v="3"/>
    <s v="conventional_refinance_lomedia_incentive_-143"/>
    <x v="1128"/>
    <n v="0"/>
    <n v="1"/>
    <n v="-290"/>
    <n v="340"/>
  </r>
  <r>
    <x v="3"/>
    <s v="conventional_refinance_lomedia_incentive_-142"/>
    <x v="1129"/>
    <n v="0"/>
    <n v="1"/>
    <n v="-290"/>
    <n v="340"/>
  </r>
  <r>
    <x v="3"/>
    <s v="conventional_refinance_lomedia_incentive_-141"/>
    <x v="1130"/>
    <n v="0"/>
    <n v="1"/>
    <n v="-290"/>
    <n v="340"/>
  </r>
  <r>
    <x v="3"/>
    <s v="conventional_refinance_lomedia_incentive_-140"/>
    <x v="1131"/>
    <n v="0"/>
    <n v="1"/>
    <n v="-290"/>
    <n v="340"/>
  </r>
  <r>
    <x v="3"/>
    <s v="conventional_refinance_lomedia_incentive_-139"/>
    <x v="1132"/>
    <n v="0"/>
    <n v="1"/>
    <n v="-290"/>
    <n v="340"/>
  </r>
  <r>
    <x v="3"/>
    <s v="conventional_refinance_lomedia_incentive_-138"/>
    <x v="1133"/>
    <n v="0"/>
    <n v="1"/>
    <n v="-290"/>
    <n v="340"/>
  </r>
  <r>
    <x v="3"/>
    <s v="conventional_refinance_lomedia_incentive_-137"/>
    <x v="1134"/>
    <n v="0"/>
    <n v="1"/>
    <n v="-290"/>
    <n v="340"/>
  </r>
  <r>
    <x v="3"/>
    <s v="conventional_refinance_lomedia_incentive_-136"/>
    <x v="1135"/>
    <n v="0"/>
    <n v="1"/>
    <n v="-290"/>
    <n v="340"/>
  </r>
  <r>
    <x v="3"/>
    <s v="conventional_refinance_lomedia_incentive_-135"/>
    <x v="1136"/>
    <n v="0"/>
    <n v="1"/>
    <n v="-290"/>
    <n v="340"/>
  </r>
  <r>
    <x v="3"/>
    <s v="conventional_refinance_lomedia_incentive_-134"/>
    <x v="1137"/>
    <n v="0"/>
    <n v="1"/>
    <n v="-290"/>
    <n v="340"/>
  </r>
  <r>
    <x v="3"/>
    <s v="conventional_refinance_lomedia_incentive_-133"/>
    <x v="1138"/>
    <n v="0"/>
    <n v="1"/>
    <n v="-290"/>
    <n v="340"/>
  </r>
  <r>
    <x v="3"/>
    <s v="conventional_refinance_lomedia_incentive_-132"/>
    <x v="1139"/>
    <n v="0"/>
    <n v="1"/>
    <n v="-290"/>
    <n v="340"/>
  </r>
  <r>
    <x v="3"/>
    <s v="conventional_refinance_lomedia_incentive_-131"/>
    <x v="1140"/>
    <n v="0"/>
    <n v="1"/>
    <n v="-290"/>
    <n v="340"/>
  </r>
  <r>
    <x v="3"/>
    <s v="conventional_refinance_lomedia_incentive_-130"/>
    <x v="1141"/>
    <n v="0"/>
    <n v="1"/>
    <n v="-290"/>
    <n v="340"/>
  </r>
  <r>
    <x v="3"/>
    <s v="conventional_refinance_lomedia_incentive_-129"/>
    <x v="1142"/>
    <n v="0"/>
    <n v="1"/>
    <n v="-290"/>
    <n v="340"/>
  </r>
  <r>
    <x v="3"/>
    <s v="conventional_refinance_lomedia_incentive_-128"/>
    <x v="1143"/>
    <n v="0"/>
    <n v="1"/>
    <n v="-290"/>
    <n v="340"/>
  </r>
  <r>
    <x v="3"/>
    <s v="conventional_refinance_lomedia_incentive_-127"/>
    <x v="1144"/>
    <n v="0"/>
    <n v="1"/>
    <n v="-290"/>
    <n v="340"/>
  </r>
  <r>
    <x v="3"/>
    <s v="conventional_refinance_lomedia_incentive_-126"/>
    <x v="1145"/>
    <n v="0"/>
    <n v="1"/>
    <n v="-290"/>
    <n v="340"/>
  </r>
  <r>
    <x v="3"/>
    <s v="conventional_refinance_lomedia_incentive_-125"/>
    <x v="1146"/>
    <n v="0"/>
    <n v="1"/>
    <n v="-290"/>
    <n v="340"/>
  </r>
  <r>
    <x v="3"/>
    <s v="conventional_refinance_lomedia_incentive_-124"/>
    <x v="1147"/>
    <n v="0"/>
    <n v="1"/>
    <n v="-290"/>
    <n v="340"/>
  </r>
  <r>
    <x v="3"/>
    <s v="conventional_refinance_lomedia_incentive_-123"/>
    <x v="1148"/>
    <n v="0"/>
    <n v="1"/>
    <n v="-290"/>
    <n v="340"/>
  </r>
  <r>
    <x v="3"/>
    <s v="conventional_refinance_lomedia_incentive_-122"/>
    <x v="1149"/>
    <n v="0"/>
    <n v="1"/>
    <n v="-290"/>
    <n v="340"/>
  </r>
  <r>
    <x v="3"/>
    <s v="conventional_refinance_lomedia_incentive_-121"/>
    <x v="1150"/>
    <n v="0"/>
    <n v="1"/>
    <n v="-290"/>
    <n v="340"/>
  </r>
  <r>
    <x v="3"/>
    <s v="conventional_refinance_lomedia_incentive_-120"/>
    <x v="1151"/>
    <n v="0"/>
    <n v="1"/>
    <n v="-290"/>
    <n v="340"/>
  </r>
  <r>
    <x v="3"/>
    <s v="conventional_refinance_lomedia_incentive_-119"/>
    <x v="1152"/>
    <n v="0"/>
    <n v="1"/>
    <n v="-290"/>
    <n v="340"/>
  </r>
  <r>
    <x v="3"/>
    <s v="conventional_refinance_lomedia_incentive_-118"/>
    <x v="1153"/>
    <n v="0"/>
    <n v="1"/>
    <n v="-290"/>
    <n v="340"/>
  </r>
  <r>
    <x v="3"/>
    <s v="conventional_refinance_lomedia_incentive_-117"/>
    <x v="1154"/>
    <n v="0"/>
    <n v="1"/>
    <n v="-290"/>
    <n v="340"/>
  </r>
  <r>
    <x v="3"/>
    <s v="conventional_refinance_lomedia_incentive_-116"/>
    <x v="1155"/>
    <n v="0"/>
    <n v="1"/>
    <n v="-290"/>
    <n v="340"/>
  </r>
  <r>
    <x v="3"/>
    <s v="conventional_refinance_lomedia_incentive_-115"/>
    <x v="1156"/>
    <n v="0"/>
    <n v="1"/>
    <n v="-290"/>
    <n v="340"/>
  </r>
  <r>
    <x v="3"/>
    <s v="conventional_refinance_lomedia_incentive_-114"/>
    <x v="1157"/>
    <n v="0"/>
    <n v="1"/>
    <n v="-290"/>
    <n v="340"/>
  </r>
  <r>
    <x v="3"/>
    <s v="conventional_refinance_lomedia_incentive_-113"/>
    <x v="1158"/>
    <n v="0"/>
    <n v="1"/>
    <n v="-290"/>
    <n v="340"/>
  </r>
  <r>
    <x v="3"/>
    <s v="conventional_refinance_lomedia_incentive_-112"/>
    <x v="1159"/>
    <n v="0"/>
    <n v="1"/>
    <n v="-290"/>
    <n v="340"/>
  </r>
  <r>
    <x v="3"/>
    <s v="conventional_refinance_lomedia_incentive_-111"/>
    <x v="1160"/>
    <n v="0"/>
    <n v="1"/>
    <n v="-290"/>
    <n v="340"/>
  </r>
  <r>
    <x v="3"/>
    <s v="conventional_refinance_lomedia_incentive_-110"/>
    <x v="1161"/>
    <n v="0"/>
    <n v="1"/>
    <n v="-290"/>
    <n v="340"/>
  </r>
  <r>
    <x v="3"/>
    <s v="conventional_refinance_lomedia_incentive_-109"/>
    <x v="1162"/>
    <n v="0"/>
    <n v="1"/>
    <n v="-290"/>
    <n v="340"/>
  </r>
  <r>
    <x v="3"/>
    <s v="conventional_refinance_lomedia_incentive_-108"/>
    <x v="1163"/>
    <n v="0"/>
    <n v="1"/>
    <n v="-290"/>
    <n v="340"/>
  </r>
  <r>
    <x v="3"/>
    <s v="conventional_refinance_lomedia_incentive_-107"/>
    <x v="1164"/>
    <n v="0"/>
    <n v="1"/>
    <n v="-290"/>
    <n v="340"/>
  </r>
  <r>
    <x v="3"/>
    <s v="conventional_refinance_lomedia_incentive_-106"/>
    <x v="1165"/>
    <n v="0"/>
    <n v="1"/>
    <n v="-290"/>
    <n v="340"/>
  </r>
  <r>
    <x v="3"/>
    <s v="conventional_refinance_lomedia_incentive_-105"/>
    <x v="1166"/>
    <n v="0"/>
    <n v="1"/>
    <n v="-290"/>
    <n v="340"/>
  </r>
  <r>
    <x v="3"/>
    <s v="conventional_refinance_lomedia_incentive_-104"/>
    <x v="1167"/>
    <n v="0"/>
    <n v="1"/>
    <n v="-290"/>
    <n v="340"/>
  </r>
  <r>
    <x v="3"/>
    <s v="conventional_refinance_lomedia_incentive_-103"/>
    <x v="1168"/>
    <n v="0"/>
    <n v="1"/>
    <n v="-290"/>
    <n v="340"/>
  </r>
  <r>
    <x v="3"/>
    <s v="conventional_refinance_lomedia_incentive_-102"/>
    <x v="1169"/>
    <n v="0"/>
    <n v="1"/>
    <n v="-290"/>
    <n v="340"/>
  </r>
  <r>
    <x v="3"/>
    <s v="conventional_refinance_lomedia_incentive_-101"/>
    <x v="1170"/>
    <n v="0"/>
    <n v="1"/>
    <n v="-290"/>
    <n v="340"/>
  </r>
  <r>
    <x v="3"/>
    <s v="conventional_refinance_lomedia_incentive_-100"/>
    <x v="1171"/>
    <n v="0"/>
    <n v="1"/>
    <n v="-290"/>
    <n v="340"/>
  </r>
  <r>
    <x v="3"/>
    <s v="conventional_refinance_lomedia_incentive_-99"/>
    <x v="1172"/>
    <n v="0"/>
    <n v="1"/>
    <n v="-290"/>
    <n v="340"/>
  </r>
  <r>
    <x v="3"/>
    <s v="conventional_refinance_lomedia_incentive_-98"/>
    <x v="1173"/>
    <n v="0"/>
    <n v="1"/>
    <n v="-290"/>
    <n v="340"/>
  </r>
  <r>
    <x v="3"/>
    <s v="conventional_refinance_lomedia_incentive_-97"/>
    <x v="1174"/>
    <n v="0"/>
    <n v="1"/>
    <n v="-290"/>
    <n v="340"/>
  </r>
  <r>
    <x v="3"/>
    <s v="conventional_refinance_lomedia_incentive_-96"/>
    <x v="1175"/>
    <n v="0"/>
    <n v="1"/>
    <n v="-290"/>
    <n v="340"/>
  </r>
  <r>
    <x v="3"/>
    <s v="conventional_refinance_lomedia_incentive_-95"/>
    <x v="1176"/>
    <n v="0"/>
    <n v="1"/>
    <n v="-290"/>
    <n v="340"/>
  </r>
  <r>
    <x v="3"/>
    <s v="conventional_refinance_lomedia_incentive_-94"/>
    <x v="1177"/>
    <n v="0"/>
    <n v="1"/>
    <n v="-290"/>
    <n v="340"/>
  </r>
  <r>
    <x v="3"/>
    <s v="conventional_refinance_lomedia_incentive_-93"/>
    <x v="1178"/>
    <n v="0"/>
    <n v="1"/>
    <n v="-290"/>
    <n v="340"/>
  </r>
  <r>
    <x v="3"/>
    <s v="conventional_refinance_lomedia_incentive_-92"/>
    <x v="1179"/>
    <n v="0"/>
    <n v="1"/>
    <n v="-290"/>
    <n v="340"/>
  </r>
  <r>
    <x v="3"/>
    <s v="conventional_refinance_lomedia_incentive_-91"/>
    <x v="1180"/>
    <n v="0"/>
    <n v="1"/>
    <n v="-290"/>
    <n v="340"/>
  </r>
  <r>
    <x v="3"/>
    <s v="conventional_refinance_lomedia_incentive_-90"/>
    <x v="1181"/>
    <n v="0"/>
    <n v="1"/>
    <n v="-290"/>
    <n v="340"/>
  </r>
  <r>
    <x v="3"/>
    <s v="conventional_refinance_lomedia_incentive_-89"/>
    <x v="1182"/>
    <n v="0"/>
    <n v="1"/>
    <n v="-290"/>
    <n v="340"/>
  </r>
  <r>
    <x v="3"/>
    <s v="conventional_refinance_lomedia_incentive_-88"/>
    <x v="1183"/>
    <n v="0"/>
    <n v="1"/>
    <n v="-290"/>
    <n v="340"/>
  </r>
  <r>
    <x v="3"/>
    <s v="conventional_refinance_lomedia_incentive_-87"/>
    <x v="1184"/>
    <n v="0"/>
    <n v="1"/>
    <n v="-290"/>
    <n v="340"/>
  </r>
  <r>
    <x v="3"/>
    <s v="conventional_refinance_lomedia_incentive_-86"/>
    <x v="1185"/>
    <n v="0"/>
    <n v="1"/>
    <n v="-290"/>
    <n v="340"/>
  </r>
  <r>
    <x v="3"/>
    <s v="conventional_refinance_lomedia_incentive_-85"/>
    <x v="1186"/>
    <n v="0"/>
    <n v="1"/>
    <n v="-290"/>
    <n v="340"/>
  </r>
  <r>
    <x v="3"/>
    <s v="conventional_refinance_lomedia_incentive_-84"/>
    <x v="1187"/>
    <n v="0"/>
    <n v="1"/>
    <n v="-290"/>
    <n v="340"/>
  </r>
  <r>
    <x v="3"/>
    <s v="conventional_refinance_lomedia_incentive_-83"/>
    <x v="1188"/>
    <n v="0"/>
    <n v="1"/>
    <n v="-290"/>
    <n v="340"/>
  </r>
  <r>
    <x v="3"/>
    <s v="conventional_refinance_lomedia_incentive_-82"/>
    <x v="1189"/>
    <n v="0"/>
    <n v="1"/>
    <n v="-290"/>
    <n v="340"/>
  </r>
  <r>
    <x v="3"/>
    <s v="conventional_refinance_lomedia_incentive_-81"/>
    <x v="1190"/>
    <n v="0"/>
    <n v="1"/>
    <n v="-290"/>
    <n v="340"/>
  </r>
  <r>
    <x v="3"/>
    <s v="conventional_refinance_lomedia_incentive_-80"/>
    <x v="1191"/>
    <n v="0"/>
    <n v="1"/>
    <n v="-290"/>
    <n v="340"/>
  </r>
  <r>
    <x v="3"/>
    <s v="conventional_refinance_lomedia_incentive_-79"/>
    <x v="1192"/>
    <n v="0"/>
    <n v="1"/>
    <n v="-290"/>
    <n v="340"/>
  </r>
  <r>
    <x v="3"/>
    <s v="conventional_refinance_lomedia_incentive_-78"/>
    <x v="1193"/>
    <n v="0"/>
    <n v="1"/>
    <n v="-290"/>
    <n v="340"/>
  </r>
  <r>
    <x v="3"/>
    <s v="conventional_refinance_lomedia_incentive_-77"/>
    <x v="1194"/>
    <n v="0"/>
    <n v="1"/>
    <n v="-290"/>
    <n v="340"/>
  </r>
  <r>
    <x v="3"/>
    <s v="conventional_refinance_lomedia_incentive_-76"/>
    <x v="1195"/>
    <n v="0"/>
    <n v="1"/>
    <n v="-290"/>
    <n v="340"/>
  </r>
  <r>
    <x v="3"/>
    <s v="conventional_refinance_lomedia_incentive_-75"/>
    <x v="1196"/>
    <n v="0"/>
    <n v="1"/>
    <n v="-290"/>
    <n v="340"/>
  </r>
  <r>
    <x v="3"/>
    <s v="conventional_refinance_lomedia_incentive_-74"/>
    <x v="1197"/>
    <n v="0"/>
    <n v="1"/>
    <n v="-290"/>
    <n v="340"/>
  </r>
  <r>
    <x v="3"/>
    <s v="conventional_refinance_lomedia_incentive_-73"/>
    <x v="1198"/>
    <n v="0"/>
    <n v="1"/>
    <n v="-290"/>
    <n v="340"/>
  </r>
  <r>
    <x v="3"/>
    <s v="conventional_refinance_lomedia_incentive_-72"/>
    <x v="1199"/>
    <n v="0"/>
    <n v="1"/>
    <n v="-290"/>
    <n v="340"/>
  </r>
  <r>
    <x v="3"/>
    <s v="conventional_refinance_lomedia_incentive_-71"/>
    <x v="1200"/>
    <n v="0"/>
    <n v="1"/>
    <n v="-290"/>
    <n v="340"/>
  </r>
  <r>
    <x v="3"/>
    <s v="conventional_refinance_lomedia_incentive_-70"/>
    <x v="1201"/>
    <n v="0"/>
    <n v="1"/>
    <n v="-290"/>
    <n v="340"/>
  </r>
  <r>
    <x v="3"/>
    <s v="conventional_refinance_lomedia_incentive_-69"/>
    <x v="1202"/>
    <n v="0"/>
    <n v="1"/>
    <n v="-290"/>
    <n v="340"/>
  </r>
  <r>
    <x v="3"/>
    <s v="conventional_refinance_lomedia_incentive_-68"/>
    <x v="1203"/>
    <n v="0"/>
    <n v="1"/>
    <n v="-290"/>
    <n v="340"/>
  </r>
  <r>
    <x v="3"/>
    <s v="conventional_refinance_lomedia_incentive_-67"/>
    <x v="1204"/>
    <n v="0"/>
    <n v="1"/>
    <n v="-290"/>
    <n v="340"/>
  </r>
  <r>
    <x v="3"/>
    <s v="conventional_refinance_lomedia_incentive_-66"/>
    <x v="1205"/>
    <n v="0"/>
    <n v="1"/>
    <n v="-290"/>
    <n v="340"/>
  </r>
  <r>
    <x v="3"/>
    <s v="conventional_refinance_lomedia_incentive_-65"/>
    <x v="1206"/>
    <n v="0"/>
    <n v="1"/>
    <n v="-290"/>
    <n v="340"/>
  </r>
  <r>
    <x v="3"/>
    <s v="conventional_refinance_lomedia_incentive_-64"/>
    <x v="1207"/>
    <n v="0"/>
    <n v="1"/>
    <n v="-290"/>
    <n v="340"/>
  </r>
  <r>
    <x v="3"/>
    <s v="conventional_refinance_lomedia_incentive_-63"/>
    <x v="1208"/>
    <n v="0"/>
    <n v="1"/>
    <n v="-290"/>
    <n v="340"/>
  </r>
  <r>
    <x v="3"/>
    <s v="conventional_refinance_lomedia_incentive_-62"/>
    <x v="1209"/>
    <n v="0"/>
    <n v="1"/>
    <n v="-290"/>
    <n v="340"/>
  </r>
  <r>
    <x v="3"/>
    <s v="conventional_refinance_lomedia_incentive_-61"/>
    <x v="1210"/>
    <n v="0"/>
    <n v="1"/>
    <n v="-290"/>
    <n v="340"/>
  </r>
  <r>
    <x v="3"/>
    <s v="conventional_refinance_lomedia_incentive_-60"/>
    <x v="1211"/>
    <n v="0"/>
    <n v="1"/>
    <n v="-290"/>
    <n v="340"/>
  </r>
  <r>
    <x v="3"/>
    <s v="conventional_refinance_lomedia_incentive_-59"/>
    <x v="1212"/>
    <n v="0"/>
    <n v="1"/>
    <n v="-290"/>
    <n v="340"/>
  </r>
  <r>
    <x v="3"/>
    <s v="conventional_refinance_lomedia_incentive_-58"/>
    <x v="1213"/>
    <n v="0"/>
    <n v="1"/>
    <n v="-290"/>
    <n v="340"/>
  </r>
  <r>
    <x v="3"/>
    <s v="conventional_refinance_lomedia_incentive_-57"/>
    <x v="1214"/>
    <n v="0"/>
    <n v="1"/>
    <n v="-290"/>
    <n v="340"/>
  </r>
  <r>
    <x v="3"/>
    <s v="conventional_refinance_lomedia_incentive_-56"/>
    <x v="1215"/>
    <n v="0"/>
    <n v="1"/>
    <n v="-290"/>
    <n v="340"/>
  </r>
  <r>
    <x v="3"/>
    <s v="conventional_refinance_lomedia_incentive_-55"/>
    <x v="1216"/>
    <n v="0"/>
    <n v="1"/>
    <n v="-290"/>
    <n v="340"/>
  </r>
  <r>
    <x v="3"/>
    <s v="conventional_refinance_lomedia_incentive_-54"/>
    <x v="1217"/>
    <n v="0"/>
    <n v="1"/>
    <n v="-290"/>
    <n v="340"/>
  </r>
  <r>
    <x v="3"/>
    <s v="conventional_refinance_lomedia_incentive_-53"/>
    <x v="1218"/>
    <n v="0"/>
    <n v="1"/>
    <n v="-290"/>
    <n v="340"/>
  </r>
  <r>
    <x v="3"/>
    <s v="conventional_refinance_lomedia_incentive_-52"/>
    <x v="1219"/>
    <n v="0"/>
    <n v="1"/>
    <n v="-290"/>
    <n v="340"/>
  </r>
  <r>
    <x v="3"/>
    <s v="conventional_refinance_lomedia_incentive_-51"/>
    <x v="1220"/>
    <n v="0"/>
    <n v="1"/>
    <n v="-290"/>
    <n v="340"/>
  </r>
  <r>
    <x v="3"/>
    <s v="conventional_refinance_lomedia_incentive_-50"/>
    <x v="1221"/>
    <n v="0"/>
    <n v="1"/>
    <n v="-290"/>
    <n v="340"/>
  </r>
  <r>
    <x v="3"/>
    <s v="conventional_refinance_lomedia_incentive_-49"/>
    <x v="1222"/>
    <n v="1.9326962141257901E-4"/>
    <n v="1"/>
    <n v="-290"/>
    <n v="340"/>
  </r>
  <r>
    <x v="3"/>
    <s v="conventional_refinance_lomedia_incentive_-48"/>
    <x v="1223"/>
    <n v="7.6237704050478297E-4"/>
    <n v="1"/>
    <n v="-290"/>
    <n v="340"/>
  </r>
  <r>
    <x v="3"/>
    <s v="conventional_refinance_lomedia_incentive_-47"/>
    <x v="1224"/>
    <n v="1.6912700895583201E-3"/>
    <n v="1"/>
    <n v="-290"/>
    <n v="340"/>
  </r>
  <r>
    <x v="3"/>
    <s v="conventional_refinance_lomedia_incentive_-46"/>
    <x v="1225"/>
    <n v="2.9638966008548799E-3"/>
    <n v="1"/>
    <n v="-290"/>
    <n v="340"/>
  </r>
  <r>
    <x v="3"/>
    <s v="conventional_refinance_lomedia_incentive_-45"/>
    <x v="1226"/>
    <n v="4.5642044066761698E-3"/>
    <n v="1"/>
    <n v="-290"/>
    <n v="340"/>
  </r>
  <r>
    <x v="3"/>
    <s v="conventional_refinance_lomedia_incentive_-44"/>
    <x v="1227"/>
    <n v="6.47614133930389E-3"/>
    <n v="1"/>
    <n v="-290"/>
    <n v="340"/>
  </r>
  <r>
    <x v="3"/>
    <s v="conventional_refinance_lomedia_incentive_-43"/>
    <x v="1228"/>
    <n v="8.68365523101974E-3"/>
    <n v="1"/>
    <n v="-290"/>
    <n v="340"/>
  </r>
  <r>
    <x v="3"/>
    <s v="conventional_refinance_lomedia_incentive_-42"/>
    <x v="1229"/>
    <n v="1.11706939141054E-2"/>
    <n v="1"/>
    <n v="-290"/>
    <n v="340"/>
  </r>
  <r>
    <x v="3"/>
    <s v="conventional_refinance_lomedia_incentive_-41"/>
    <x v="1230"/>
    <n v="1.3921205220842701E-2"/>
    <n v="1"/>
    <n v="-290"/>
    <n v="340"/>
  </r>
  <r>
    <x v="3"/>
    <s v="conventional_refinance_lomedia_incentive_-40"/>
    <x v="0"/>
    <n v="1.6919136983513099E-2"/>
    <n v="1"/>
    <n v="-290"/>
    <n v="340"/>
  </r>
  <r>
    <x v="3"/>
    <s v="conventional_refinance_lomedia_incentive_-39"/>
    <x v="1"/>
    <n v="2.01484370343985E-2"/>
    <n v="1"/>
    <n v="-290"/>
    <n v="340"/>
  </r>
  <r>
    <x v="3"/>
    <s v="conventional_refinance_lomedia_incentive_-38"/>
    <x v="2"/>
    <n v="2.35930532057806E-2"/>
    <n v="1"/>
    <n v="-290"/>
    <n v="340"/>
  </r>
  <r>
    <x v="3"/>
    <s v="conventional_refinance_lomedia_incentive_-37"/>
    <x v="3"/>
    <n v="2.7236933329940999E-2"/>
    <n v="1"/>
    <n v="-290"/>
    <n v="340"/>
  </r>
  <r>
    <x v="3"/>
    <s v="conventional_refinance_lomedia_incentive_-36"/>
    <x v="4"/>
    <n v="3.1064025239161401E-2"/>
    <n v="1"/>
    <n v="-290"/>
    <n v="340"/>
  </r>
  <r>
    <x v="3"/>
    <s v="conventional_refinance_lomedia_incentive_-35"/>
    <x v="5"/>
    <n v="3.5058276765723602E-2"/>
    <n v="1"/>
    <n v="-290"/>
    <n v="340"/>
  </r>
  <r>
    <x v="3"/>
    <s v="conventional_refinance_lomedia_incentive_-34"/>
    <x v="6"/>
    <n v="3.9203635741909201E-2"/>
    <n v="1"/>
    <n v="-290"/>
    <n v="340"/>
  </r>
  <r>
    <x v="3"/>
    <s v="conventional_refinance_lomedia_incentive_-33"/>
    <x v="7"/>
    <n v="4.3484050000000003E-2"/>
    <n v="1"/>
    <n v="-290"/>
    <n v="340"/>
  </r>
  <r>
    <x v="3"/>
    <s v="conventional_refinance_lomedia_incentive_-32"/>
    <x v="8"/>
    <n v="4.7883467372277597E-2"/>
    <n v="1"/>
    <n v="-290"/>
    <n v="340"/>
  </r>
  <r>
    <x v="3"/>
    <s v="conventional_refinance_lomedia_incentive_-31"/>
    <x v="9"/>
    <n v="5.2385835691023799E-2"/>
    <n v="1"/>
    <n v="-290"/>
    <n v="340"/>
  </r>
  <r>
    <x v="3"/>
    <s v="conventional_refinance_lomedia_incentive_-30"/>
    <x v="10"/>
    <n v="5.6975102788520297E-2"/>
    <n v="1"/>
    <n v="-290"/>
    <n v="340"/>
  </r>
  <r>
    <x v="3"/>
    <s v="conventional_refinance_lomedia_incentive_-29"/>
    <x v="11"/>
    <n v="6.16352164970487E-2"/>
    <n v="1"/>
    <n v="-290"/>
    <n v="340"/>
  </r>
  <r>
    <x v="3"/>
    <s v="conventional_refinance_lomedia_incentive_-28"/>
    <x v="12"/>
    <n v="6.6350124648890701E-2"/>
    <n v="1"/>
    <n v="-290"/>
    <n v="340"/>
  </r>
  <r>
    <x v="3"/>
    <s v="conventional_refinance_lomedia_incentive_-27"/>
    <x v="13"/>
    <n v="7.1103775076328105E-2"/>
    <n v="1"/>
    <n v="-290"/>
    <n v="340"/>
  </r>
  <r>
    <x v="3"/>
    <s v="conventional_refinance_lomedia_incentive_-26"/>
    <x v="14"/>
    <n v="7.5880115611642596E-2"/>
    <n v="1"/>
    <n v="-290"/>
    <n v="340"/>
  </r>
  <r>
    <x v="3"/>
    <s v="conventional_refinance_lomedia_incentive_-25"/>
    <x v="15"/>
    <n v="8.0663094087115805E-2"/>
    <n v="1"/>
    <n v="-290"/>
    <n v="340"/>
  </r>
  <r>
    <x v="3"/>
    <s v="conventional_refinance_lomedia_incentive_-24"/>
    <x v="16"/>
    <n v="8.5436658335029503E-2"/>
    <n v="1"/>
    <n v="-290"/>
    <n v="340"/>
  </r>
  <r>
    <x v="3"/>
    <s v="conventional_refinance_lomedia_incentive_-23"/>
    <x v="17"/>
    <n v="9.0184756187665402E-2"/>
    <n v="1"/>
    <n v="-290"/>
    <n v="340"/>
  </r>
  <r>
    <x v="3"/>
    <s v="conventional_refinance_lomedia_incentive_-22"/>
    <x v="18"/>
    <n v="9.4891335477305105E-2"/>
    <n v="1"/>
    <n v="-290"/>
    <n v="340"/>
  </r>
  <r>
    <x v="3"/>
    <s v="conventional_refinance_lomedia_incentive_-21"/>
    <x v="19"/>
    <n v="9.9540344036230397E-2"/>
    <n v="1"/>
    <n v="-290"/>
    <n v="340"/>
  </r>
  <r>
    <x v="3"/>
    <s v="conventional_refinance_lomedia_incentive_-20"/>
    <x v="20"/>
    <n v="0.104115729696723"/>
    <n v="1"/>
    <n v="-290"/>
    <n v="340"/>
  </r>
  <r>
    <x v="3"/>
    <s v="conventional_refinance_lomedia_incentive_-19"/>
    <x v="21"/>
    <n v="0.108601440291065"/>
    <n v="1"/>
    <n v="-290"/>
    <n v="340"/>
  </r>
  <r>
    <x v="3"/>
    <s v="conventional_refinance_lomedia_incentive_-18"/>
    <x v="22"/>
    <n v="0.112981423651537"/>
    <n v="1"/>
    <n v="-290"/>
    <n v="340"/>
  </r>
  <r>
    <x v="3"/>
    <s v="conventional_refinance_lomedia_incentive_-17"/>
    <x v="23"/>
    <n v="0.117239627610421"/>
    <n v="1"/>
    <n v="-290"/>
    <n v="340"/>
  </r>
  <r>
    <x v="3"/>
    <s v="conventional_refinance_lomedia_incentive_-16"/>
    <x v="24"/>
    <n v="0.12136"/>
    <n v="1"/>
    <n v="-290"/>
    <n v="340"/>
  </r>
  <r>
    <x v="3"/>
    <s v="conventional_refinance_lomedia_incentive_-15"/>
    <x v="25"/>
    <n v="0.125353192621176"/>
    <n v="1"/>
    <n v="-290"/>
    <n v="340"/>
  </r>
  <r>
    <x v="3"/>
    <s v="conventional_refinance_lomedia_incentive_-14"/>
    <x v="26"/>
    <n v="0.129252555557647"/>
    <n v="1"/>
    <n v="-290"/>
    <n v="340"/>
  </r>
  <r>
    <x v="3"/>
    <s v="conventional_refinance_lomedia_incentive_-13"/>
    <x v="27"/>
    <n v="0.13307608406588201"/>
    <n v="1"/>
    <n v="-290"/>
    <n v="340"/>
  </r>
  <r>
    <x v="3"/>
    <s v="conventional_refinance_lomedia_incentive_-12"/>
    <x v="28"/>
    <n v="0.13684177340235301"/>
    <n v="1"/>
    <n v="-290"/>
    <n v="340"/>
  </r>
  <r>
    <x v="3"/>
    <s v="conventional_refinance_lomedia_incentive_-11"/>
    <x v="29"/>
    <n v="0.140567618823529"/>
    <n v="1"/>
    <n v="-290"/>
    <n v="340"/>
  </r>
  <r>
    <x v="3"/>
    <s v="conventional_refinance_lomedia_incentive_-10"/>
    <x v="30"/>
    <n v="0.144271615585882"/>
    <n v="1"/>
    <n v="-290"/>
    <n v="340"/>
  </r>
  <r>
    <x v="3"/>
    <s v="conventional_refinance_lomedia_incentive_-9"/>
    <x v="31"/>
    <n v="0.14797175894588199"/>
    <n v="1"/>
    <n v="-290"/>
    <n v="340"/>
  </r>
  <r>
    <x v="3"/>
    <s v="conventional_refinance_lomedia_incentive_-8"/>
    <x v="32"/>
    <n v="0.15168604416000001"/>
    <n v="1"/>
    <n v="-290"/>
    <n v="340"/>
  </r>
  <r>
    <x v="3"/>
    <s v="conventional_refinance_lomedia_incentive_-7"/>
    <x v="33"/>
    <n v="0.15543246648470599"/>
    <n v="1"/>
    <n v="-290"/>
    <n v="340"/>
  </r>
  <r>
    <x v="3"/>
    <s v="conventional_refinance_lomedia_incentive_-6"/>
    <x v="34"/>
    <n v="0.159229021176471"/>
    <n v="1"/>
    <n v="-290"/>
    <n v="340"/>
  </r>
  <r>
    <x v="3"/>
    <s v="conventional_refinance_lomedia_incentive_-5"/>
    <x v="35"/>
    <n v="0.163093703491765"/>
    <n v="1"/>
    <n v="-290"/>
    <n v="340"/>
  </r>
  <r>
    <x v="3"/>
    <s v="conventional_refinance_lomedia_incentive_-4"/>
    <x v="36"/>
    <n v="0.167044508687059"/>
    <n v="1"/>
    <n v="-290"/>
    <n v="340"/>
  </r>
  <r>
    <x v="3"/>
    <s v="conventional_refinance_lomedia_incentive_-3"/>
    <x v="37"/>
    <n v="0.17109943201882399"/>
    <n v="1"/>
    <n v="-290"/>
    <n v="340"/>
  </r>
  <r>
    <x v="3"/>
    <s v="conventional_refinance_lomedia_incentive_-2"/>
    <x v="38"/>
    <n v="0.17527646874352901"/>
    <n v="1"/>
    <n v="-290"/>
    <n v="340"/>
  </r>
  <r>
    <x v="3"/>
    <s v="conventional_refinance_lomedia_incentive_-1"/>
    <x v="39"/>
    <n v="0.17959361411764699"/>
    <n v="1"/>
    <n v="-290"/>
    <n v="340"/>
  </r>
  <r>
    <x v="3"/>
    <s v="conventional_refinance_lomedia_incentive_0"/>
    <x v="40"/>
    <n v="0.184068863397647"/>
    <n v="1"/>
    <n v="-290"/>
    <n v="340"/>
  </r>
  <r>
    <x v="3"/>
    <s v="conventional_refinance_lomedia_incentive_1"/>
    <x v="41"/>
    <n v="0.18872021184000001"/>
    <n v="1"/>
    <n v="-290"/>
    <n v="340"/>
  </r>
  <r>
    <x v="3"/>
    <s v="conventional_refinance_lomedia_incentive_2"/>
    <x v="42"/>
    <n v="0.19356565470117601"/>
    <n v="1"/>
    <n v="-290"/>
    <n v="340"/>
  </r>
  <r>
    <x v="3"/>
    <s v="conventional_refinance_lomedia_incentive_3"/>
    <x v="43"/>
    <n v="0.19862318723764699"/>
    <n v="1"/>
    <n v="-290"/>
    <n v="340"/>
  </r>
  <r>
    <x v="3"/>
    <s v="conventional_refinance_lomedia_incentive_4"/>
    <x v="44"/>
    <n v="0.20391080470588199"/>
    <n v="1"/>
    <n v="-290"/>
    <n v="340"/>
  </r>
  <r>
    <x v="3"/>
    <s v="conventional_refinance_lomedia_incentive_5"/>
    <x v="45"/>
    <n v="0.20944650236235299"/>
    <n v="1"/>
    <n v="-290"/>
    <n v="340"/>
  </r>
  <r>
    <x v="3"/>
    <s v="conventional_refinance_lomedia_incentive_6"/>
    <x v="46"/>
    <n v="0.21524827546352901"/>
    <n v="1"/>
    <n v="-290"/>
    <n v="340"/>
  </r>
  <r>
    <x v="3"/>
    <s v="conventional_refinance_lomedia_incentive_7"/>
    <x v="47"/>
    <n v="0.22133411926588201"/>
    <n v="1"/>
    <n v="-290"/>
    <n v="340"/>
  </r>
  <r>
    <x v="3"/>
    <s v="conventional_refinance_lomedia_incentive_8"/>
    <x v="48"/>
    <n v="0.22772202902588201"/>
    <n v="1"/>
    <n v="-290"/>
    <n v="340"/>
  </r>
  <r>
    <x v="3"/>
    <s v="conventional_refinance_lomedia_incentive_9"/>
    <x v="49"/>
    <n v="0.23443"/>
    <n v="1"/>
    <n v="-290"/>
    <n v="340"/>
  </r>
  <r>
    <x v="3"/>
    <s v="conventional_refinance_lomedia_incentive_10"/>
    <x v="50"/>
    <n v="0.24145534345846201"/>
    <n v="1"/>
    <n v="-290"/>
    <n v="340"/>
  </r>
  <r>
    <x v="3"/>
    <s v="conventional_refinance_lomedia_incentive_11"/>
    <x v="51"/>
    <n v="0.24877382459076899"/>
    <n v="1"/>
    <n v="-290"/>
    <n v="340"/>
  </r>
  <r>
    <x v="3"/>
    <s v="conventional_refinance_lomedia_incentive_12"/>
    <x v="52"/>
    <n v="0.25637111953230801"/>
    <n v="1"/>
    <n v="-290"/>
    <n v="340"/>
  </r>
  <r>
    <x v="3"/>
    <s v="conventional_refinance_lomedia_incentive_13"/>
    <x v="53"/>
    <n v="0.26423290441846198"/>
    <n v="1"/>
    <n v="-290"/>
    <n v="340"/>
  </r>
  <r>
    <x v="3"/>
    <s v="conventional_refinance_lomedia_incentive_14"/>
    <x v="54"/>
    <n v="0.272344855384615"/>
    <n v="1"/>
    <n v="-290"/>
    <n v="340"/>
  </r>
  <r>
    <x v="3"/>
    <s v="conventional_refinance_lomedia_incentive_15"/>
    <x v="55"/>
    <n v="0.280692648566154"/>
    <n v="1"/>
    <n v="-290"/>
    <n v="340"/>
  </r>
  <r>
    <x v="3"/>
    <s v="conventional_refinance_lomedia_incentive_16"/>
    <x v="56"/>
    <n v="0.289261960098462"/>
    <n v="1"/>
    <n v="-290"/>
    <n v="340"/>
  </r>
  <r>
    <x v="3"/>
    <s v="conventional_refinance_lomedia_incentive_17"/>
    <x v="57"/>
    <n v="0.29803846611692297"/>
    <n v="1"/>
    <n v="-290"/>
    <n v="340"/>
  </r>
  <r>
    <x v="3"/>
    <s v="conventional_refinance_lomedia_incentive_18"/>
    <x v="58"/>
    <n v="0.307007842756923"/>
    <n v="1"/>
    <n v="-290"/>
    <n v="340"/>
  </r>
  <r>
    <x v="3"/>
    <s v="conventional_refinance_lomedia_incentive_19"/>
    <x v="59"/>
    <n v="0.316155766153846"/>
    <n v="1"/>
    <n v="-290"/>
    <n v="340"/>
  </r>
  <r>
    <x v="3"/>
    <s v="conventional_refinance_lomedia_incentive_20"/>
    <x v="60"/>
    <n v="0.32546791244307699"/>
    <n v="1"/>
    <n v="-290"/>
    <n v="340"/>
  </r>
  <r>
    <x v="3"/>
    <s v="conventional_refinance_lomedia_incentive_21"/>
    <x v="61"/>
    <n v="0.33492995776000001"/>
    <n v="1"/>
    <n v="-290"/>
    <n v="340"/>
  </r>
  <r>
    <x v="3"/>
    <s v="conventional_refinance_lomedia_incentive_22"/>
    <x v="62"/>
    <n v="0.34452757824000002"/>
    <n v="1"/>
    <n v="-290"/>
    <n v="340"/>
  </r>
  <r>
    <x v="3"/>
    <s v="conventional_refinance_lomedia_incentive_23"/>
    <x v="63"/>
    <n v="0.354246450018462"/>
    <n v="1"/>
    <n v="-290"/>
    <n v="340"/>
  </r>
  <r>
    <x v="3"/>
    <s v="conventional_refinance_lomedia_incentive_24"/>
    <x v="64"/>
    <n v="0.36407224923076897"/>
    <n v="1"/>
    <n v="-290"/>
    <n v="340"/>
  </r>
  <r>
    <x v="3"/>
    <s v="conventional_refinance_lomedia_incentive_25"/>
    <x v="65"/>
    <n v="0.37399065201230802"/>
    <n v="1"/>
    <n v="-290"/>
    <n v="340"/>
  </r>
  <r>
    <x v="3"/>
    <s v="conventional_refinance_lomedia_incentive_26"/>
    <x v="66"/>
    <n v="0.38398733449846201"/>
    <n v="1"/>
    <n v="-290"/>
    <n v="340"/>
  </r>
  <r>
    <x v="3"/>
    <s v="conventional_refinance_lomedia_incentive_27"/>
    <x v="67"/>
    <n v="0.39404797282461501"/>
    <n v="1"/>
    <n v="-290"/>
    <n v="340"/>
  </r>
  <r>
    <x v="3"/>
    <s v="conventional_refinance_lomedia_incentive_28"/>
    <x v="68"/>
    <n v="0.404158243126154"/>
    <n v="1"/>
    <n v="-290"/>
    <n v="340"/>
  </r>
  <r>
    <x v="3"/>
    <s v="conventional_refinance_lomedia_incentive_29"/>
    <x v="69"/>
    <n v="0.41430382153846201"/>
    <n v="1"/>
    <n v="-290"/>
    <n v="340"/>
  </r>
  <r>
    <x v="3"/>
    <s v="conventional_refinance_lomedia_incentive_30"/>
    <x v="70"/>
    <n v="0.42447038419692301"/>
    <n v="1"/>
    <n v="-290"/>
    <n v="340"/>
  </r>
  <r>
    <x v="3"/>
    <s v="conventional_refinance_lomedia_incentive_31"/>
    <x v="71"/>
    <n v="0.43464360723692302"/>
    <n v="1"/>
    <n v="-290"/>
    <n v="340"/>
  </r>
  <r>
    <x v="3"/>
    <s v="conventional_refinance_lomedia_incentive_32"/>
    <x v="72"/>
    <n v="0.44480916679384602"/>
    <n v="1"/>
    <n v="-290"/>
    <n v="340"/>
  </r>
  <r>
    <x v="3"/>
    <s v="conventional_refinance_lomedia_incentive_33"/>
    <x v="73"/>
    <n v="0.45495273900307698"/>
    <n v="1"/>
    <n v="-290"/>
    <n v="340"/>
  </r>
  <r>
    <x v="3"/>
    <s v="conventional_refinance_lomedia_incentive_34"/>
    <x v="74"/>
    <n v="0.46505999999999997"/>
    <n v="1"/>
    <n v="-290"/>
    <n v="340"/>
  </r>
  <r>
    <x v="3"/>
    <s v="conventional_refinance_lomedia_incentive_35"/>
    <x v="75"/>
    <n v="0.47516326657563301"/>
    <n v="1"/>
    <n v="-290"/>
    <n v="340"/>
  </r>
  <r>
    <x v="3"/>
    <s v="conventional_refinance_lomedia_incentive_36"/>
    <x v="76"/>
    <n v="0.48530666199362799"/>
    <n v="1"/>
    <n v="-290"/>
    <n v="340"/>
  </r>
  <r>
    <x v="3"/>
    <s v="conventional_refinance_lomedia_incentive_37"/>
    <x v="77"/>
    <n v="0.49549357209831602"/>
    <n v="1"/>
    <n v="-290"/>
    <n v="340"/>
  </r>
  <r>
    <x v="3"/>
    <s v="conventional_refinance_lomedia_incentive_38"/>
    <x v="78"/>
    <n v="0.50572738273403095"/>
    <n v="1"/>
    <n v="-290"/>
    <n v="340"/>
  </r>
  <r>
    <x v="3"/>
    <s v="conventional_refinance_lomedia_incentive_39"/>
    <x v="79"/>
    <n v="0.51601147974510697"/>
    <n v="1"/>
    <n v="-290"/>
    <n v="340"/>
  </r>
  <r>
    <x v="3"/>
    <s v="conventional_refinance_lomedia_incentive_40"/>
    <x v="80"/>
    <n v="0.52634924897587598"/>
    <n v="1"/>
    <n v="-290"/>
    <n v="340"/>
  </r>
  <r>
    <x v="3"/>
    <s v="conventional_refinance_lomedia_incentive_41"/>
    <x v="81"/>
    <n v="0.536744076270672"/>
    <n v="1"/>
    <n v="-290"/>
    <n v="340"/>
  </r>
  <r>
    <x v="3"/>
    <s v="conventional_refinance_lomedia_incentive_42"/>
    <x v="82"/>
    <n v="0.54719934747382803"/>
    <n v="1"/>
    <n v="-290"/>
    <n v="340"/>
  </r>
  <r>
    <x v="3"/>
    <s v="conventional_refinance_lomedia_incentive_43"/>
    <x v="83"/>
    <n v="0.55771844842967699"/>
    <n v="1"/>
    <n v="-290"/>
    <n v="340"/>
  </r>
  <r>
    <x v="3"/>
    <s v="conventional_refinance_lomedia_incentive_44"/>
    <x v="84"/>
    <n v="0.568304764982552"/>
    <n v="1"/>
    <n v="-290"/>
    <n v="340"/>
  </r>
  <r>
    <x v="3"/>
    <s v="conventional_refinance_lomedia_incentive_45"/>
    <x v="85"/>
    <n v="0.57896168297678696"/>
    <n v="1"/>
    <n v="-290"/>
    <n v="340"/>
  </r>
  <r>
    <x v="3"/>
    <s v="conventional_refinance_lomedia_incentive_46"/>
    <x v="86"/>
    <n v="0.589692588256714"/>
    <n v="1"/>
    <n v="-290"/>
    <n v="340"/>
  </r>
  <r>
    <x v="3"/>
    <s v="conventional_refinance_lomedia_incentive_47"/>
    <x v="87"/>
    <n v="0.60050086666666702"/>
    <n v="1"/>
    <n v="-290"/>
    <n v="340"/>
  </r>
  <r>
    <x v="3"/>
    <s v="conventional_refinance_lomedia_incentive_48"/>
    <x v="88"/>
    <n v="0.61138990405097804"/>
    <n v="1"/>
    <n v="-290"/>
    <n v="340"/>
  </r>
  <r>
    <x v="3"/>
    <s v="conventional_refinance_lomedia_incentive_49"/>
    <x v="89"/>
    <n v="0.62236308625398296"/>
    <n v="1"/>
    <n v="-290"/>
    <n v="340"/>
  </r>
  <r>
    <x v="3"/>
    <s v="conventional_refinance_lomedia_incentive_50"/>
    <x v="90"/>
    <n v="0.63342379912001201"/>
    <n v="1"/>
    <n v="-290"/>
    <n v="340"/>
  </r>
  <r>
    <x v="3"/>
    <s v="conventional_refinance_lomedia_incentive_51"/>
    <x v="91"/>
    <n v="0.64457542849339999"/>
    <n v="1"/>
    <n v="-290"/>
    <n v="340"/>
  </r>
  <r>
    <x v="3"/>
    <s v="conventional_refinance_lomedia_incentive_52"/>
    <x v="92"/>
    <n v="0.65582136021848003"/>
    <n v="1"/>
    <n v="-290"/>
    <n v="340"/>
  </r>
  <r>
    <x v="3"/>
    <s v="conventional_refinance_lomedia_incentive_53"/>
    <x v="93"/>
    <n v="0.66716498013958403"/>
    <n v="1"/>
    <n v="-290"/>
    <n v="340"/>
  </r>
  <r>
    <x v="3"/>
    <s v="conventional_refinance_lomedia_incentive_54"/>
    <x v="94"/>
    <n v="0.678609674101047"/>
    <n v="1"/>
    <n v="-290"/>
    <n v="340"/>
  </r>
  <r>
    <x v="3"/>
    <s v="conventional_refinance_lomedia_incentive_55"/>
    <x v="95"/>
    <n v="0.69015882794720096"/>
    <n v="1"/>
    <n v="-290"/>
    <n v="340"/>
  </r>
  <r>
    <x v="3"/>
    <s v="conventional_refinance_lomedia_incentive_56"/>
    <x v="96"/>
    <n v="0.70181582752237903"/>
    <n v="1"/>
    <n v="-290"/>
    <n v="340"/>
  </r>
  <r>
    <x v="3"/>
    <s v="conventional_refinance_lomedia_incentive_57"/>
    <x v="97"/>
    <n v="0.71358405867091501"/>
    <n v="1"/>
    <n v="-290"/>
    <n v="340"/>
  </r>
  <r>
    <x v="3"/>
    <s v="conventional_refinance_lomedia_incentive_58"/>
    <x v="98"/>
    <n v="0.72546690723714202"/>
    <n v="1"/>
    <n v="-290"/>
    <n v="340"/>
  </r>
  <r>
    <x v="3"/>
    <s v="conventional_refinance_lomedia_incentive_59"/>
    <x v="99"/>
    <n v="0.73746775906539197"/>
    <n v="1"/>
    <n v="-290"/>
    <n v="340"/>
  </r>
  <r>
    <x v="3"/>
    <s v="conventional_refinance_lomedia_incentive_60"/>
    <x v="100"/>
    <n v="0.74958999999999998"/>
    <n v="1"/>
    <n v="-290"/>
    <n v="340"/>
  </r>
  <r>
    <x v="3"/>
    <s v="conventional_refinance_lomedia_incentive_61"/>
    <x v="101"/>
    <n v="0.76180711900081399"/>
    <n v="1"/>
    <n v="-290"/>
    <n v="340"/>
  </r>
  <r>
    <x v="3"/>
    <s v="conventional_refinance_lomedia_incentive_62"/>
    <x v="102"/>
    <n v="0.77409149242165198"/>
    <n v="1"/>
    <n v="-290"/>
    <n v="340"/>
  </r>
  <r>
    <x v="3"/>
    <s v="conventional_refinance_lomedia_incentive_63"/>
    <x v="103"/>
    <n v="0.786444837197802"/>
    <n v="1"/>
    <n v="-290"/>
    <n v="340"/>
  </r>
  <r>
    <x v="3"/>
    <s v="conventional_refinance_lomedia_incentive_64"/>
    <x v="104"/>
    <n v="0.79886887026455"/>
    <n v="1"/>
    <n v="-290"/>
    <n v="340"/>
  </r>
  <r>
    <x v="3"/>
    <s v="conventional_refinance_lomedia_incentive_65"/>
    <x v="105"/>
    <n v="0.81136530855718303"/>
    <n v="1"/>
    <n v="-290"/>
    <n v="340"/>
  </r>
  <r>
    <x v="3"/>
    <s v="conventional_refinance_lomedia_incentive_66"/>
    <x v="106"/>
    <n v="0.82393586901098903"/>
    <n v="1"/>
    <n v="-290"/>
    <n v="340"/>
  </r>
  <r>
    <x v="3"/>
    <s v="conventional_refinance_lomedia_incentive_67"/>
    <x v="107"/>
    <n v="0.83658226856125395"/>
    <n v="1"/>
    <n v="-290"/>
    <n v="340"/>
  </r>
  <r>
    <x v="3"/>
    <s v="conventional_refinance_lomedia_incentive_68"/>
    <x v="108"/>
    <n v="0.84930622414326395"/>
    <n v="1"/>
    <n v="-290"/>
    <n v="340"/>
  </r>
  <r>
    <x v="3"/>
    <s v="conventional_refinance_lomedia_incentive_69"/>
    <x v="109"/>
    <n v="0.86210945269230799"/>
    <n v="1"/>
    <n v="-290"/>
    <n v="340"/>
  </r>
  <r>
    <x v="3"/>
    <s v="conventional_refinance_lomedia_incentive_70"/>
    <x v="110"/>
    <n v="0.87499367114367099"/>
    <n v="1"/>
    <n v="-290"/>
    <n v="340"/>
  </r>
  <r>
    <x v="3"/>
    <s v="conventional_refinance_lomedia_incentive_71"/>
    <x v="111"/>
    <n v="0.88796059643264103"/>
    <n v="1"/>
    <n v="-290"/>
    <n v="340"/>
  </r>
  <r>
    <x v="3"/>
    <s v="conventional_refinance_lomedia_incentive_72"/>
    <x v="112"/>
    <n v="0.90101194549450603"/>
    <n v="1"/>
    <n v="-290"/>
    <n v="340"/>
  </r>
  <r>
    <x v="3"/>
    <s v="conventional_refinance_lomedia_incentive_73"/>
    <x v="113"/>
    <n v="0.91414943526454995"/>
    <n v="1"/>
    <n v="-290"/>
    <n v="340"/>
  </r>
  <r>
    <x v="3"/>
    <s v="conventional_refinance_lomedia_incentive_74"/>
    <x v="114"/>
    <n v="0.92737478267806295"/>
    <n v="1"/>
    <n v="-290"/>
    <n v="340"/>
  </r>
  <r>
    <x v="3"/>
    <s v="conventional_refinance_lomedia_incentive_75"/>
    <x v="115"/>
    <n v="0.94068970467032997"/>
    <n v="1"/>
    <n v="-290"/>
    <n v="340"/>
  </r>
  <r>
    <x v="3"/>
    <s v="conventional_refinance_lomedia_incentive_76"/>
    <x v="116"/>
    <n v="0.95409591817663797"/>
    <n v="1"/>
    <n v="-290"/>
    <n v="340"/>
  </r>
  <r>
    <x v="3"/>
    <s v="conventional_refinance_lomedia_incentive_77"/>
    <x v="117"/>
    <n v="0.96759514013227499"/>
    <n v="1"/>
    <n v="-290"/>
    <n v="340"/>
  </r>
  <r>
    <x v="3"/>
    <s v="conventional_refinance_lomedia_incentive_78"/>
    <x v="118"/>
    <n v="0.98118908747252798"/>
    <n v="1"/>
    <n v="-290"/>
    <n v="340"/>
  </r>
  <r>
    <x v="3"/>
    <s v="conventional_refinance_lomedia_incentive_79"/>
    <x v="119"/>
    <n v="0.99487947713268199"/>
    <n v="1"/>
    <n v="-290"/>
    <n v="340"/>
  </r>
  <r>
    <x v="3"/>
    <s v="conventional_refinance_lomedia_incentive_80"/>
    <x v="120"/>
    <n v="1.0086680260480301"/>
    <n v="1"/>
    <n v="-290"/>
    <n v="340"/>
  </r>
  <r>
    <x v="3"/>
    <s v="conventional_refinance_lomedia_incentive_81"/>
    <x v="121"/>
    <n v="1.0225564511538501"/>
    <n v="1"/>
    <n v="-290"/>
    <n v="340"/>
  </r>
  <r>
    <x v="3"/>
    <s v="conventional_refinance_lomedia_incentive_82"/>
    <x v="122"/>
    <n v="1.03654646938543"/>
    <n v="1"/>
    <n v="-290"/>
    <n v="340"/>
  </r>
  <r>
    <x v="3"/>
    <s v="conventional_refinance_lomedia_incentive_83"/>
    <x v="123"/>
    <n v="1.0506397976780599"/>
    <n v="1"/>
    <n v="-290"/>
    <n v="340"/>
  </r>
  <r>
    <x v="3"/>
    <s v="conventional_refinance_lomedia_incentive_84"/>
    <x v="124"/>
    <n v="1.0648381529670301"/>
    <n v="1"/>
    <n v="-290"/>
    <n v="340"/>
  </r>
  <r>
    <x v="3"/>
    <s v="conventional_refinance_lomedia_incentive_85"/>
    <x v="125"/>
    <n v="1.0791432521876301"/>
    <n v="1"/>
    <n v="-290"/>
    <n v="340"/>
  </r>
  <r>
    <x v="3"/>
    <s v="conventional_refinance_lomedia_incentive_86"/>
    <x v="126"/>
    <n v="1.09355681227513"/>
    <n v="1"/>
    <n v="-290"/>
    <n v="340"/>
  </r>
  <r>
    <x v="3"/>
    <s v="conventional_refinance_lomedia_incentive_87"/>
    <x v="127"/>
    <n v="1.1080805501648401"/>
    <n v="1"/>
    <n v="-290"/>
    <n v="340"/>
  </r>
  <r>
    <x v="3"/>
    <s v="conventional_refinance_lomedia_incentive_88"/>
    <x v="128"/>
    <n v="1.12271618279202"/>
    <n v="1"/>
    <n v="-290"/>
    <n v="340"/>
  </r>
  <r>
    <x v="3"/>
    <s v="conventional_refinance_lomedia_incentive_89"/>
    <x v="129"/>
    <n v="1.13746542709198"/>
    <n v="1"/>
    <n v="-290"/>
    <n v="340"/>
  </r>
  <r>
    <x v="3"/>
    <s v="conventional_refinance_lomedia_incentive_90"/>
    <x v="130"/>
    <n v="1.1523300000000001"/>
    <n v="1"/>
    <n v="-290"/>
    <n v="340"/>
  </r>
  <r>
    <x v="3"/>
    <s v="conventional_refinance_lomedia_incentive_91"/>
    <x v="131"/>
    <n v="1.1673109728971001"/>
    <n v="1"/>
    <n v="-290"/>
    <n v="340"/>
  </r>
  <r>
    <x v="3"/>
    <s v="conventional_refinance_lomedia_incentive_92"/>
    <x v="132"/>
    <n v="1.18241090789332"/>
    <n v="1"/>
    <n v="-290"/>
    <n v="340"/>
  </r>
  <r>
    <x v="3"/>
    <s v="conventional_refinance_lomedia_incentive_93"/>
    <x v="133"/>
    <n v="1.1976337580174901"/>
    <n v="1"/>
    <n v="-290"/>
    <n v="340"/>
  </r>
  <r>
    <x v="3"/>
    <s v="conventional_refinance_lomedia_incentive_94"/>
    <x v="134"/>
    <n v="1.2129834762984599"/>
    <n v="1"/>
    <n v="-290"/>
    <n v="340"/>
  </r>
  <r>
    <x v="3"/>
    <s v="conventional_refinance_lomedia_incentive_95"/>
    <x v="135"/>
    <n v="1.2284640157650399"/>
    <n v="1"/>
    <n v="-290"/>
    <n v="340"/>
  </r>
  <r>
    <x v="3"/>
    <s v="conventional_refinance_lomedia_incentive_96"/>
    <x v="136"/>
    <n v="1.2440793294460599"/>
    <n v="1"/>
    <n v="-290"/>
    <n v="340"/>
  </r>
  <r>
    <x v="3"/>
    <s v="conventional_refinance_lomedia_incentive_97"/>
    <x v="137"/>
    <n v="1.2598333703703699"/>
    <n v="1"/>
    <n v="-290"/>
    <n v="340"/>
  </r>
  <r>
    <x v="3"/>
    <s v="conventional_refinance_lomedia_incentive_98"/>
    <x v="138"/>
    <n v="1.27573009156679"/>
    <n v="1"/>
    <n v="-290"/>
    <n v="340"/>
  </r>
  <r>
    <x v="3"/>
    <s v="conventional_refinance_lomedia_incentive_99"/>
    <x v="139"/>
    <n v="1.2917734460641399"/>
    <n v="1"/>
    <n v="-290"/>
    <n v="340"/>
  </r>
  <r>
    <x v="3"/>
    <s v="conventional_refinance_lomedia_incentive_100"/>
    <x v="140"/>
    <n v="1.30796738689126"/>
    <n v="1"/>
    <n v="-290"/>
    <n v="340"/>
  </r>
  <r>
    <x v="3"/>
    <s v="conventional_refinance_lomedia_incentive_101"/>
    <x v="141"/>
    <n v="1.3243158670769899"/>
    <n v="1"/>
    <n v="-290"/>
    <n v="340"/>
  </r>
  <r>
    <x v="3"/>
    <s v="conventional_refinance_lomedia_incentive_102"/>
    <x v="142"/>
    <n v="1.34082283965015"/>
    <n v="1"/>
    <n v="-290"/>
    <n v="340"/>
  </r>
  <r>
    <x v="3"/>
    <s v="conventional_refinance_lomedia_incentive_103"/>
    <x v="143"/>
    <n v="1.3574922576395601"/>
    <n v="1"/>
    <n v="-290"/>
    <n v="340"/>
  </r>
  <r>
    <x v="3"/>
    <s v="conventional_refinance_lomedia_incentive_104"/>
    <x v="144"/>
    <n v="1.37432807407407"/>
    <n v="1"/>
    <n v="-290"/>
    <n v="340"/>
  </r>
  <r>
    <x v="3"/>
    <s v="conventional_refinance_lomedia_incentive_105"/>
    <x v="145"/>
    <n v="1.3913342419825101"/>
    <n v="1"/>
    <n v="-290"/>
    <n v="340"/>
  </r>
  <r>
    <x v="3"/>
    <s v="conventional_refinance_lomedia_incentive_106"/>
    <x v="146"/>
    <n v="1.40851471439369"/>
    <n v="1"/>
    <n v="-290"/>
    <n v="340"/>
  </r>
  <r>
    <x v="3"/>
    <s v="conventional_refinance_lomedia_incentive_107"/>
    <x v="147"/>
    <n v="1.42587344433646"/>
    <n v="1"/>
    <n v="-290"/>
    <n v="340"/>
  </r>
  <r>
    <x v="3"/>
    <s v="conventional_refinance_lomedia_incentive_108"/>
    <x v="148"/>
    <n v="1.4434143848396499"/>
    <n v="1"/>
    <n v="-290"/>
    <n v="340"/>
  </r>
  <r>
    <x v="3"/>
    <s v="conventional_refinance_lomedia_incentive_109"/>
    <x v="149"/>
    <n v="1.46114148893208"/>
    <n v="1"/>
    <n v="-290"/>
    <n v="340"/>
  </r>
  <r>
    <x v="3"/>
    <s v="conventional_refinance_lomedia_incentive_110"/>
    <x v="150"/>
    <n v="1.47905870964259"/>
    <n v="1"/>
    <n v="-290"/>
    <n v="340"/>
  </r>
  <r>
    <x v="3"/>
    <s v="conventional_refinance_lomedia_incentive_111"/>
    <x v="151"/>
    <n v="1.4971699999999999"/>
    <n v="1"/>
    <n v="-290"/>
    <n v="340"/>
  </r>
  <r>
    <x v="3"/>
    <s v="conventional_refinance_lomedia_incentive_112"/>
    <x v="152"/>
    <n v="1.5153866145144399"/>
    <n v="1"/>
    <n v="-290"/>
    <n v="340"/>
  </r>
  <r>
    <x v="3"/>
    <s v="conventional_refinance_lomedia_incentive_113"/>
    <x v="153"/>
    <n v="1.53362892140653"/>
    <n v="1"/>
    <n v="-290"/>
    <n v="340"/>
  </r>
  <r>
    <x v="3"/>
    <s v="conventional_refinance_lomedia_incentive_114"/>
    <x v="154"/>
    <n v="1.55191454427083"/>
    <n v="1"/>
    <n v="-290"/>
    <n v="340"/>
  </r>
  <r>
    <x v="3"/>
    <s v="conventional_refinance_lomedia_incentive_115"/>
    <x v="155"/>
    <n v="1.5702611067019401"/>
    <n v="1"/>
    <n v="-290"/>
    <n v="340"/>
  </r>
  <r>
    <x v="3"/>
    <s v="conventional_refinance_lomedia_incentive_116"/>
    <x v="156"/>
    <n v="1.58868623229442"/>
    <n v="1"/>
    <n v="-290"/>
    <n v="340"/>
  </r>
  <r>
    <x v="3"/>
    <s v="conventional_refinance_lomedia_incentive_117"/>
    <x v="157"/>
    <n v="1.60720754464286"/>
    <n v="1"/>
    <n v="-290"/>
    <n v="340"/>
  </r>
  <r>
    <x v="3"/>
    <s v="conventional_refinance_lomedia_incentive_118"/>
    <x v="158"/>
    <n v="1.62584266734182"/>
    <n v="1"/>
    <n v="-290"/>
    <n v="340"/>
  </r>
  <r>
    <x v="3"/>
    <s v="conventional_refinance_lomedia_incentive_119"/>
    <x v="159"/>
    <n v="1.64460922398589"/>
    <n v="1"/>
    <n v="-290"/>
    <n v="340"/>
  </r>
  <r>
    <x v="3"/>
    <s v="conventional_refinance_lomedia_incentive_120"/>
    <x v="160"/>
    <n v="1.6635248381696399"/>
    <n v="1"/>
    <n v="-290"/>
    <n v="340"/>
  </r>
  <r>
    <x v="3"/>
    <s v="conventional_refinance_lomedia_incentive_121"/>
    <x v="161"/>
    <n v="1.68260713348765"/>
    <n v="1"/>
    <n v="-290"/>
    <n v="340"/>
  </r>
  <r>
    <x v="3"/>
    <s v="conventional_refinance_lomedia_incentive_122"/>
    <x v="162"/>
    <n v="1.7018737335345"/>
    <n v="1"/>
    <n v="-290"/>
    <n v="340"/>
  </r>
  <r>
    <x v="3"/>
    <s v="conventional_refinance_lomedia_incentive_123"/>
    <x v="163"/>
    <n v="1.72134226190476"/>
    <n v="1"/>
    <n v="-290"/>
    <n v="340"/>
  </r>
  <r>
    <x v="3"/>
    <s v="conventional_refinance_lomedia_incentive_124"/>
    <x v="164"/>
    <n v="1.74103034219301"/>
    <n v="1"/>
    <n v="-290"/>
    <n v="340"/>
  </r>
  <r>
    <x v="3"/>
    <s v="conventional_refinance_lomedia_incentive_125"/>
    <x v="165"/>
    <n v="1.7609555979938301"/>
    <n v="1"/>
    <n v="-290"/>
    <n v="340"/>
  </r>
  <r>
    <x v="3"/>
    <s v="conventional_refinance_lomedia_incentive_126"/>
    <x v="166"/>
    <n v="1.7811356529017901"/>
    <n v="1"/>
    <n v="-290"/>
    <n v="340"/>
  </r>
  <r>
    <x v="3"/>
    <s v="conventional_refinance_lomedia_incentive_127"/>
    <x v="167"/>
    <n v="1.8015881305114601"/>
    <n v="1"/>
    <n v="-290"/>
    <n v="340"/>
  </r>
  <r>
    <x v="3"/>
    <s v="conventional_refinance_lomedia_incentive_128"/>
    <x v="168"/>
    <n v="1.82233065441744"/>
    <n v="1"/>
    <n v="-290"/>
    <n v="340"/>
  </r>
  <r>
    <x v="3"/>
    <s v="conventional_refinance_lomedia_incentive_129"/>
    <x v="169"/>
    <n v="1.8433808482142899"/>
    <n v="1"/>
    <n v="-290"/>
    <n v="340"/>
  </r>
  <r>
    <x v="3"/>
    <s v="conventional_refinance_lomedia_incentive_130"/>
    <x v="170"/>
    <n v="1.8647563354965799"/>
    <n v="1"/>
    <n v="-290"/>
    <n v="340"/>
  </r>
  <r>
    <x v="3"/>
    <s v="conventional_refinance_lomedia_incentive_131"/>
    <x v="171"/>
    <n v="1.8864747398589099"/>
    <n v="1"/>
    <n v="-290"/>
    <n v="340"/>
  </r>
  <r>
    <x v="3"/>
    <s v="conventional_refinance_lomedia_incentive_132"/>
    <x v="172"/>
    <n v="1.90855368489583"/>
    <n v="1"/>
    <n v="-290"/>
    <n v="340"/>
  </r>
  <r>
    <x v="3"/>
    <s v="conventional_refinance_lomedia_incentive_133"/>
    <x v="173"/>
    <n v="1.9310107942019401"/>
    <n v="1"/>
    <n v="-290"/>
    <n v="340"/>
  </r>
  <r>
    <x v="3"/>
    <s v="conventional_refinance_lomedia_incentive_134"/>
    <x v="174"/>
    <n v="1.9538636913717999"/>
    <n v="1"/>
    <n v="-290"/>
    <n v="340"/>
  </r>
  <r>
    <x v="3"/>
    <s v="conventional_refinance_lomedia_incentive_135"/>
    <x v="175"/>
    <n v="1.9771300000000001"/>
    <n v="1"/>
    <n v="-290"/>
    <n v="340"/>
  </r>
  <r>
    <x v="3"/>
    <s v="conventional_refinance_lomedia_incentive_136"/>
    <x v="176"/>
    <n v="2.0006362750623801"/>
    <n v="1"/>
    <n v="-290"/>
    <n v="340"/>
  </r>
  <r>
    <x v="3"/>
    <s v="conventional_refinance_lomedia_incentive_137"/>
    <x v="177"/>
    <n v="2.0242052420060501"/>
    <n v="1"/>
    <n v="-290"/>
    <n v="340"/>
  </r>
  <r>
    <x v="3"/>
    <s v="conventional_refinance_lomedia_incentive_138"/>
    <x v="178"/>
    <n v="2.0478487801325"/>
    <n v="1"/>
    <n v="-290"/>
    <n v="340"/>
  </r>
  <r>
    <x v="3"/>
    <s v="conventional_refinance_lomedia_incentive_139"/>
    <x v="179"/>
    <n v="2.0715787687431999"/>
    <n v="1"/>
    <n v="-290"/>
    <n v="340"/>
  </r>
  <r>
    <x v="3"/>
    <s v="conventional_refinance_lomedia_incentive_140"/>
    <x v="180"/>
    <n v="2.0954070871396202"/>
    <n v="1"/>
    <n v="-290"/>
    <n v="340"/>
  </r>
  <r>
    <x v="3"/>
    <s v="conventional_refinance_lomedia_incentive_141"/>
    <x v="181"/>
    <n v="2.1193456146232399"/>
    <n v="1"/>
    <n v="-290"/>
    <n v="340"/>
  </r>
  <r>
    <x v="3"/>
    <s v="conventional_refinance_lomedia_incentive_142"/>
    <x v="182"/>
    <n v="2.1434062304955401"/>
    <n v="1"/>
    <n v="-290"/>
    <n v="340"/>
  </r>
  <r>
    <x v="3"/>
    <s v="conventional_refinance_lomedia_incentive_143"/>
    <x v="183"/>
    <n v="2.1676008140579901"/>
    <n v="1"/>
    <n v="-290"/>
    <n v="340"/>
  </r>
  <r>
    <x v="3"/>
    <s v="conventional_refinance_lomedia_incentive_144"/>
    <x v="184"/>
    <n v="2.1919412446120701"/>
    <n v="1"/>
    <n v="-290"/>
    <n v="340"/>
  </r>
  <r>
    <x v="3"/>
    <s v="conventional_refinance_lomedia_incentive_145"/>
    <x v="185"/>
    <n v="2.2164394014592501"/>
    <n v="1"/>
    <n v="-290"/>
    <n v="340"/>
  </r>
  <r>
    <x v="3"/>
    <s v="conventional_refinance_lomedia_incentive_146"/>
    <x v="186"/>
    <n v="2.2411071639010101"/>
    <n v="1"/>
    <n v="-290"/>
    <n v="340"/>
  </r>
  <r>
    <x v="3"/>
    <s v="conventional_refinance_lomedia_incentive_147"/>
    <x v="187"/>
    <n v="2.26595641123882"/>
    <n v="1"/>
    <n v="-290"/>
    <n v="340"/>
  </r>
  <r>
    <x v="3"/>
    <s v="conventional_refinance_lomedia_incentive_148"/>
    <x v="188"/>
    <n v="2.2909990227741699"/>
    <n v="1"/>
    <n v="-290"/>
    <n v="340"/>
  </r>
  <r>
    <x v="3"/>
    <s v="conventional_refinance_lomedia_incentive_149"/>
    <x v="189"/>
    <n v="2.3162468778085201"/>
    <n v="1"/>
    <n v="-290"/>
    <n v="340"/>
  </r>
  <r>
    <x v="3"/>
    <s v="conventional_refinance_lomedia_incentive_150"/>
    <x v="190"/>
    <n v="2.3417118556433598"/>
    <n v="1"/>
    <n v="-290"/>
    <n v="340"/>
  </r>
  <r>
    <x v="3"/>
    <s v="conventional_refinance_lomedia_incentive_151"/>
    <x v="191"/>
    <n v="2.3674058355801502"/>
    <n v="1"/>
    <n v="-290"/>
    <n v="340"/>
  </r>
  <r>
    <x v="3"/>
    <s v="conventional_refinance_lomedia_incentive_152"/>
    <x v="192"/>
    <n v="2.3933406969203799"/>
    <n v="1"/>
    <n v="-290"/>
    <n v="340"/>
  </r>
  <r>
    <x v="3"/>
    <s v="conventional_refinance_lomedia_incentive_153"/>
    <x v="193"/>
    <n v="2.4195283189655199"/>
    <n v="1"/>
    <n v="-290"/>
    <n v="340"/>
  </r>
  <r>
    <x v="3"/>
    <s v="conventional_refinance_lomedia_incentive_154"/>
    <x v="194"/>
    <n v="2.4459805810170399"/>
    <n v="1"/>
    <n v="-290"/>
    <n v="340"/>
  </r>
  <r>
    <x v="3"/>
    <s v="conventional_refinance_lomedia_incentive_155"/>
    <x v="195"/>
    <n v="2.4727093623764298"/>
    <n v="1"/>
    <n v="-290"/>
    <n v="340"/>
  </r>
  <r>
    <x v="3"/>
    <s v="conventional_refinance_lomedia_incentive_156"/>
    <x v="196"/>
    <n v="2.49972654234515"/>
    <n v="1"/>
    <n v="-290"/>
    <n v="340"/>
  </r>
  <r>
    <x v="3"/>
    <s v="conventional_refinance_lomedia_incentive_157"/>
    <x v="197"/>
    <n v="2.5270440002246799"/>
    <n v="1"/>
    <n v="-290"/>
    <n v="340"/>
  </r>
  <r>
    <x v="3"/>
    <s v="conventional_refinance_lomedia_incentive_158"/>
    <x v="198"/>
    <n v="2.5546736153165099"/>
    <n v="1"/>
    <n v="-290"/>
    <n v="340"/>
  </r>
  <r>
    <x v="3"/>
    <s v="conventional_refinance_lomedia_incentive_159"/>
    <x v="199"/>
    <n v="2.5826272669220902"/>
    <n v="1"/>
    <n v="-290"/>
    <n v="340"/>
  </r>
  <r>
    <x v="3"/>
    <s v="conventional_refinance_lomedia_incentive_160"/>
    <x v="200"/>
    <n v="2.6109168343429201"/>
    <n v="1"/>
    <n v="-290"/>
    <n v="340"/>
  </r>
  <r>
    <x v="3"/>
    <s v="conventional_refinance_lomedia_incentive_161"/>
    <x v="201"/>
    <n v="2.6395541968804701"/>
    <n v="1"/>
    <n v="-290"/>
    <n v="340"/>
  </r>
  <r>
    <x v="3"/>
    <s v="conventional_refinance_lomedia_incentive_162"/>
    <x v="202"/>
    <n v="2.6685512338362098"/>
    <n v="1"/>
    <n v="-290"/>
    <n v="340"/>
  </r>
  <r>
    <x v="3"/>
    <s v="conventional_refinance_lomedia_incentive_163"/>
    <x v="203"/>
    <n v="2.6979198245116098"/>
    <n v="1"/>
    <n v="-290"/>
    <n v="340"/>
  </r>
  <r>
    <x v="3"/>
    <s v="conventional_refinance_lomedia_incentive_164"/>
    <x v="204"/>
    <n v="2.7276718482081601"/>
    <n v="1"/>
    <n v="-290"/>
    <n v="340"/>
  </r>
  <r>
    <x v="3"/>
    <s v="conventional_refinance_lomedia_incentive_165"/>
    <x v="205"/>
    <n v="2.7578191842273299"/>
    <n v="1"/>
    <n v="-290"/>
    <n v="340"/>
  </r>
  <r>
    <x v="3"/>
    <s v="conventional_refinance_lomedia_incentive_166"/>
    <x v="206"/>
    <n v="2.7883737118705998"/>
    <n v="1"/>
    <n v="-290"/>
    <n v="340"/>
  </r>
  <r>
    <x v="3"/>
    <s v="conventional_refinance_lomedia_incentive_167"/>
    <x v="207"/>
    <n v="2.8193473104394302"/>
    <n v="1"/>
    <n v="-290"/>
    <n v="340"/>
  </r>
  <r>
    <x v="3"/>
    <s v="conventional_refinance_lomedia_incentive_168"/>
    <x v="208"/>
    <n v="2.8507518592353098"/>
    <n v="1"/>
    <n v="-290"/>
    <n v="340"/>
  </r>
  <r>
    <x v="3"/>
    <s v="conventional_refinance_lomedia_incentive_169"/>
    <x v="209"/>
    <n v="2.8825992375597198"/>
    <n v="1"/>
    <n v="-290"/>
    <n v="340"/>
  </r>
  <r>
    <x v="3"/>
    <s v="conventional_refinance_lomedia_incentive_170"/>
    <x v="210"/>
    <n v="2.91490132471412"/>
    <n v="1"/>
    <n v="-290"/>
    <n v="340"/>
  </r>
  <r>
    <x v="3"/>
    <s v="conventional_refinance_lomedia_incentive_171"/>
    <x v="211"/>
    <n v="2.94767"/>
    <n v="1"/>
    <n v="-290"/>
    <n v="340"/>
  </r>
  <r>
    <x v="3"/>
    <s v="conventional_refinance_lomedia_incentive_172"/>
    <x v="212"/>
    <n v="2.9823859376950401"/>
    <n v="1"/>
    <n v="-290"/>
    <n v="340"/>
  </r>
  <r>
    <x v="3"/>
    <s v="conventional_refinance_lomedia_incentive_173"/>
    <x v="213"/>
    <n v="3.0203073912419498"/>
    <n v="1"/>
    <n v="-290"/>
    <n v="340"/>
  </r>
  <r>
    <x v="3"/>
    <s v="conventional_refinance_lomedia_incentive_174"/>
    <x v="214"/>
    <n v="3.0611126086897098"/>
    <n v="1"/>
    <n v="-290"/>
    <n v="340"/>
  </r>
  <r>
    <x v="3"/>
    <s v="conventional_refinance_lomedia_incentive_175"/>
    <x v="215"/>
    <n v="3.1044798380873"/>
    <n v="1"/>
    <n v="-290"/>
    <n v="340"/>
  </r>
  <r>
    <x v="3"/>
    <s v="conventional_refinance_lomedia_incentive_176"/>
    <x v="216"/>
    <n v="3.1500873274836998"/>
    <n v="1"/>
    <n v="-290"/>
    <n v="340"/>
  </r>
  <r>
    <x v="3"/>
    <s v="conventional_refinance_lomedia_incentive_177"/>
    <x v="217"/>
    <n v="3.1976133249279002"/>
    <n v="1"/>
    <n v="-290"/>
    <n v="340"/>
  </r>
  <r>
    <x v="3"/>
    <s v="conventional_refinance_lomedia_incentive_178"/>
    <x v="218"/>
    <n v="3.2467360784688899"/>
    <n v="1"/>
    <n v="-290"/>
    <n v="340"/>
  </r>
  <r>
    <x v="3"/>
    <s v="conventional_refinance_lomedia_incentive_179"/>
    <x v="219"/>
    <n v="3.2971338361556399"/>
    <n v="1"/>
    <n v="-290"/>
    <n v="340"/>
  </r>
  <r>
    <x v="3"/>
    <s v="conventional_refinance_lomedia_incentive_180"/>
    <x v="220"/>
    <n v="3.3484848460371501"/>
    <n v="1"/>
    <n v="-290"/>
    <n v="340"/>
  </r>
  <r>
    <x v="3"/>
    <s v="conventional_refinance_lomedia_incentive_181"/>
    <x v="221"/>
    <n v="3.4004673561623902"/>
    <n v="1"/>
    <n v="-290"/>
    <n v="340"/>
  </r>
  <r>
    <x v="3"/>
    <s v="conventional_refinance_lomedia_incentive_182"/>
    <x v="222"/>
    <n v="3.4527596145803399"/>
    <n v="1"/>
    <n v="-290"/>
    <n v="340"/>
  </r>
  <r>
    <x v="3"/>
    <s v="conventional_refinance_lomedia_incentive_183"/>
    <x v="223"/>
    <n v="3.50503986934"/>
    <n v="1"/>
    <n v="-290"/>
    <n v="340"/>
  </r>
  <r>
    <x v="3"/>
    <s v="conventional_refinance_lomedia_incentive_184"/>
    <x v="224"/>
    <n v="3.55698636849035"/>
    <n v="1"/>
    <n v="-290"/>
    <n v="340"/>
  </r>
  <r>
    <x v="3"/>
    <s v="conventional_refinance_lomedia_incentive_185"/>
    <x v="225"/>
    <n v="3.6082773600803599"/>
    <n v="1"/>
    <n v="-290"/>
    <n v="340"/>
  </r>
  <r>
    <x v="3"/>
    <s v="conventional_refinance_lomedia_incentive_186"/>
    <x v="226"/>
    <n v="3.6585910921590301"/>
    <n v="1"/>
    <n v="-290"/>
    <n v="340"/>
  </r>
  <r>
    <x v="3"/>
    <s v="conventional_refinance_lomedia_incentive_187"/>
    <x v="227"/>
    <n v="3.70760581277534"/>
    <n v="1"/>
    <n v="-290"/>
    <n v="340"/>
  </r>
  <r>
    <x v="3"/>
    <s v="conventional_refinance_lomedia_incentive_188"/>
    <x v="228"/>
    <n v="3.7549997699782698"/>
    <n v="1"/>
    <n v="-290"/>
    <n v="340"/>
  </r>
  <r>
    <x v="3"/>
    <s v="conventional_refinance_lomedia_incentive_189"/>
    <x v="229"/>
    <n v="3.8004512118167999"/>
    <n v="1"/>
    <n v="-290"/>
    <n v="340"/>
  </r>
  <r>
    <x v="3"/>
    <s v="conventional_refinance_lomedia_incentive_190"/>
    <x v="230"/>
    <n v="3.8436383863399302"/>
    <n v="1"/>
    <n v="-290"/>
    <n v="340"/>
  </r>
  <r>
    <x v="3"/>
    <s v="conventional_refinance_lomedia_incentive_191"/>
    <x v="231"/>
    <n v="3.88423954159662"/>
    <n v="1"/>
    <n v="-290"/>
    <n v="340"/>
  </r>
  <r>
    <x v="3"/>
    <s v="conventional_refinance_lomedia_incentive_192"/>
    <x v="232"/>
    <n v="3.9219329256358701"/>
    <n v="1"/>
    <n v="-290"/>
    <n v="340"/>
  </r>
  <r>
    <x v="3"/>
    <s v="conventional_refinance_lomedia_incentive_193"/>
    <x v="233"/>
    <n v="3.9563967865066698"/>
    <n v="1"/>
    <n v="-290"/>
    <n v="340"/>
  </r>
  <r>
    <x v="3"/>
    <s v="conventional_refinance_lomedia_incentive_194"/>
    <x v="234"/>
    <n v="3.98730937225799"/>
    <n v="1"/>
    <n v="-290"/>
    <n v="340"/>
  </r>
  <r>
    <x v="3"/>
    <s v="conventional_refinance_lomedia_incentive_195"/>
    <x v="235"/>
    <n v="4.0143489309388096"/>
    <n v="1"/>
    <n v="-290"/>
    <n v="340"/>
  </r>
  <r>
    <x v="3"/>
    <s v="conventional_refinance_lomedia_incentive_196"/>
    <x v="236"/>
    <n v="4.0371937105981299"/>
    <n v="1"/>
    <n v="-290"/>
    <n v="340"/>
  </r>
  <r>
    <x v="3"/>
    <s v="conventional_refinance_lomedia_incentive_197"/>
    <x v="237"/>
    <n v="4.0555219592849197"/>
    <n v="1"/>
    <n v="-290"/>
    <n v="340"/>
  </r>
  <r>
    <x v="3"/>
    <s v="conventional_refinance_lomedia_incentive_198"/>
    <x v="238"/>
    <n v="4.06901192504818"/>
    <n v="1"/>
    <n v="-290"/>
    <n v="340"/>
  </r>
  <r>
    <x v="3"/>
    <s v="conventional_refinance_lomedia_incentive_199"/>
    <x v="239"/>
    <n v="4.0773418559368704"/>
    <n v="1"/>
    <n v="-290"/>
    <n v="340"/>
  </r>
  <r>
    <x v="3"/>
    <s v="conventional_refinance_lomedia_incentive_200"/>
    <x v="240"/>
    <n v="4.08019"/>
    <n v="1"/>
    <n v="-290"/>
    <n v="340"/>
  </r>
  <r>
    <x v="3"/>
    <s v="conventional_refinance_lomedia_incentive_201"/>
    <x v="241"/>
    <n v="4.08019"/>
    <n v="1"/>
    <n v="-290"/>
    <n v="340"/>
  </r>
  <r>
    <x v="3"/>
    <s v="conventional_refinance_lomedia_incentive_202"/>
    <x v="242"/>
    <n v="4.08019"/>
    <n v="1"/>
    <n v="-290"/>
    <n v="340"/>
  </r>
  <r>
    <x v="3"/>
    <s v="conventional_refinance_lomedia_incentive_203"/>
    <x v="243"/>
    <n v="4.08019"/>
    <n v="1"/>
    <n v="-290"/>
    <n v="340"/>
  </r>
  <r>
    <x v="3"/>
    <s v="conventional_refinance_lomedia_incentive_204"/>
    <x v="244"/>
    <n v="4.08019"/>
    <n v="1"/>
    <n v="-290"/>
    <n v="340"/>
  </r>
  <r>
    <x v="3"/>
    <s v="conventional_refinance_lomedia_incentive_205"/>
    <x v="245"/>
    <n v="4.08019"/>
    <n v="1"/>
    <n v="-290"/>
    <n v="340"/>
  </r>
  <r>
    <x v="3"/>
    <s v="conventional_refinance_lomedia_incentive_206"/>
    <x v="246"/>
    <n v="4.08019"/>
    <n v="1"/>
    <n v="-290"/>
    <n v="340"/>
  </r>
  <r>
    <x v="3"/>
    <s v="conventional_refinance_lomedia_incentive_207"/>
    <x v="247"/>
    <n v="4.08019"/>
    <n v="1"/>
    <n v="-290"/>
    <n v="340"/>
  </r>
  <r>
    <x v="3"/>
    <s v="conventional_refinance_lomedia_incentive_208"/>
    <x v="248"/>
    <n v="4.08019"/>
    <n v="1"/>
    <n v="-290"/>
    <n v="340"/>
  </r>
  <r>
    <x v="3"/>
    <s v="conventional_refinance_lomedia_incentive_209"/>
    <x v="249"/>
    <n v="4.08019"/>
    <n v="1"/>
    <n v="-290"/>
    <n v="340"/>
  </r>
  <r>
    <x v="3"/>
    <s v="conventional_refinance_lomedia_incentive_210"/>
    <x v="250"/>
    <n v="4.08019"/>
    <n v="1"/>
    <n v="-290"/>
    <n v="340"/>
  </r>
  <r>
    <x v="3"/>
    <s v="conventional_refinance_lomedia_incentive_211"/>
    <x v="251"/>
    <n v="4.08019"/>
    <n v="1"/>
    <n v="-290"/>
    <n v="340"/>
  </r>
  <r>
    <x v="3"/>
    <s v="conventional_refinance_lomedia_incentive_212"/>
    <x v="252"/>
    <n v="4.08019"/>
    <n v="1"/>
    <n v="-290"/>
    <n v="340"/>
  </r>
  <r>
    <x v="3"/>
    <s v="conventional_refinance_lomedia_incentive_213"/>
    <x v="253"/>
    <n v="4.08019"/>
    <n v="1"/>
    <n v="-290"/>
    <n v="340"/>
  </r>
  <r>
    <x v="3"/>
    <s v="conventional_refinance_lomedia_incentive_214"/>
    <x v="254"/>
    <n v="4.08019"/>
    <n v="1"/>
    <n v="-290"/>
    <n v="340"/>
  </r>
  <r>
    <x v="3"/>
    <s v="conventional_refinance_lomedia_incentive_215"/>
    <x v="255"/>
    <n v="4.08019"/>
    <n v="1"/>
    <n v="-290"/>
    <n v="340"/>
  </r>
  <r>
    <x v="3"/>
    <s v="conventional_refinance_lomedia_incentive_216"/>
    <x v="256"/>
    <n v="4.08019"/>
    <n v="1"/>
    <n v="-290"/>
    <n v="340"/>
  </r>
  <r>
    <x v="3"/>
    <s v="conventional_refinance_lomedia_incentive_217"/>
    <x v="257"/>
    <n v="4.08019"/>
    <n v="1"/>
    <n v="-290"/>
    <n v="340"/>
  </r>
  <r>
    <x v="3"/>
    <s v="conventional_refinance_lomedia_incentive_218"/>
    <x v="258"/>
    <n v="4.08019"/>
    <n v="1"/>
    <n v="-290"/>
    <n v="340"/>
  </r>
  <r>
    <x v="3"/>
    <s v="conventional_refinance_lomedia_incentive_219"/>
    <x v="259"/>
    <n v="4.08019"/>
    <n v="1"/>
    <n v="-290"/>
    <n v="340"/>
  </r>
  <r>
    <x v="3"/>
    <s v="conventional_refinance_lomedia_incentive_220"/>
    <x v="260"/>
    <n v="4.08019"/>
    <n v="1"/>
    <n v="-290"/>
    <n v="340"/>
  </r>
  <r>
    <x v="3"/>
    <s v="conventional_refinance_lomedia_incentive_221"/>
    <x v="261"/>
    <n v="4.08019"/>
    <n v="1"/>
    <n v="-290"/>
    <n v="340"/>
  </r>
  <r>
    <x v="3"/>
    <s v="conventional_refinance_lomedia_incentive_222"/>
    <x v="262"/>
    <n v="4.08019"/>
    <n v="1"/>
    <n v="-290"/>
    <n v="340"/>
  </r>
  <r>
    <x v="3"/>
    <s v="conventional_refinance_lomedia_incentive_223"/>
    <x v="263"/>
    <n v="4.08019"/>
    <n v="1"/>
    <n v="-290"/>
    <n v="340"/>
  </r>
  <r>
    <x v="3"/>
    <s v="conventional_refinance_lomedia_incentive_224"/>
    <x v="264"/>
    <n v="4.08019"/>
    <n v="1"/>
    <n v="-290"/>
    <n v="340"/>
  </r>
  <r>
    <x v="3"/>
    <s v="conventional_refinance_lomedia_incentive_225"/>
    <x v="265"/>
    <n v="4.08019"/>
    <n v="1"/>
    <n v="-290"/>
    <n v="340"/>
  </r>
  <r>
    <x v="3"/>
    <s v="conventional_refinance_lomedia_incentive_226"/>
    <x v="266"/>
    <n v="4.08019"/>
    <n v="1"/>
    <n v="-290"/>
    <n v="340"/>
  </r>
  <r>
    <x v="3"/>
    <s v="conventional_refinance_lomedia_incentive_227"/>
    <x v="267"/>
    <n v="4.08019"/>
    <n v="1"/>
    <n v="-290"/>
    <n v="340"/>
  </r>
  <r>
    <x v="3"/>
    <s v="conventional_refinance_lomedia_incentive_228"/>
    <x v="268"/>
    <n v="4.08019"/>
    <n v="1"/>
    <n v="-290"/>
    <n v="340"/>
  </r>
  <r>
    <x v="3"/>
    <s v="conventional_refinance_lomedia_incentive_229"/>
    <x v="269"/>
    <n v="4.08019"/>
    <n v="1"/>
    <n v="-290"/>
    <n v="340"/>
  </r>
  <r>
    <x v="3"/>
    <s v="conventional_refinance_lomedia_incentive_230"/>
    <x v="270"/>
    <n v="4.08019"/>
    <n v="1"/>
    <n v="-290"/>
    <n v="340"/>
  </r>
  <r>
    <x v="3"/>
    <s v="conventional_refinance_lomedia_incentive_231"/>
    <x v="271"/>
    <n v="4.08019"/>
    <n v="1"/>
    <n v="-290"/>
    <n v="340"/>
  </r>
  <r>
    <x v="3"/>
    <s v="conventional_refinance_lomedia_incentive_232"/>
    <x v="272"/>
    <n v="4.08019"/>
    <n v="1"/>
    <n v="-290"/>
    <n v="340"/>
  </r>
  <r>
    <x v="3"/>
    <s v="conventional_refinance_lomedia_incentive_233"/>
    <x v="273"/>
    <n v="4.08019"/>
    <n v="1"/>
    <n v="-290"/>
    <n v="340"/>
  </r>
  <r>
    <x v="3"/>
    <s v="conventional_refinance_lomedia_incentive_234"/>
    <x v="274"/>
    <n v="4.08019"/>
    <n v="1"/>
    <n v="-290"/>
    <n v="340"/>
  </r>
  <r>
    <x v="3"/>
    <s v="conventional_refinance_lomedia_incentive_235"/>
    <x v="275"/>
    <n v="4.08019"/>
    <n v="1"/>
    <n v="-290"/>
    <n v="340"/>
  </r>
  <r>
    <x v="3"/>
    <s v="conventional_refinance_lomedia_incentive_236"/>
    <x v="276"/>
    <n v="4.08019"/>
    <n v="1"/>
    <n v="-290"/>
    <n v="340"/>
  </r>
  <r>
    <x v="3"/>
    <s v="conventional_refinance_lomedia_incentive_237"/>
    <x v="277"/>
    <n v="4.08019"/>
    <n v="1"/>
    <n v="-290"/>
    <n v="340"/>
  </r>
  <r>
    <x v="3"/>
    <s v="conventional_refinance_lomedia_incentive_238"/>
    <x v="278"/>
    <n v="4.08019"/>
    <n v="1"/>
    <n v="-290"/>
    <n v="340"/>
  </r>
  <r>
    <x v="3"/>
    <s v="conventional_refinance_lomedia_incentive_239"/>
    <x v="279"/>
    <n v="4.08019"/>
    <n v="1"/>
    <n v="-290"/>
    <n v="340"/>
  </r>
  <r>
    <x v="3"/>
    <s v="conventional_refinance_lomedia_incentive_240"/>
    <x v="280"/>
    <n v="4.08019"/>
    <n v="1"/>
    <n v="-290"/>
    <n v="340"/>
  </r>
  <r>
    <x v="3"/>
    <s v="conventional_refinance_lomedia_incentive_241"/>
    <x v="281"/>
    <n v="4.08019"/>
    <n v="1"/>
    <n v="-290"/>
    <n v="340"/>
  </r>
  <r>
    <x v="3"/>
    <s v="conventional_refinance_lomedia_incentive_242"/>
    <x v="282"/>
    <n v="4.08019"/>
    <n v="1"/>
    <n v="-290"/>
    <n v="340"/>
  </r>
  <r>
    <x v="3"/>
    <s v="conventional_refinance_lomedia_incentive_243"/>
    <x v="283"/>
    <n v="4.08019"/>
    <n v="1"/>
    <n v="-290"/>
    <n v="340"/>
  </r>
  <r>
    <x v="3"/>
    <s v="conventional_refinance_lomedia_incentive_244"/>
    <x v="284"/>
    <n v="4.08019"/>
    <n v="1"/>
    <n v="-290"/>
    <n v="340"/>
  </r>
  <r>
    <x v="3"/>
    <s v="conventional_refinance_lomedia_incentive_245"/>
    <x v="285"/>
    <n v="4.08019"/>
    <n v="1"/>
    <n v="-290"/>
    <n v="340"/>
  </r>
  <r>
    <x v="3"/>
    <s v="conventional_refinance_lomedia_incentive_246"/>
    <x v="286"/>
    <n v="4.08019"/>
    <n v="1"/>
    <n v="-290"/>
    <n v="340"/>
  </r>
  <r>
    <x v="3"/>
    <s v="conventional_refinance_lomedia_incentive_247"/>
    <x v="287"/>
    <n v="4.08019"/>
    <n v="1"/>
    <n v="-290"/>
    <n v="340"/>
  </r>
  <r>
    <x v="3"/>
    <s v="conventional_refinance_lomedia_incentive_248"/>
    <x v="288"/>
    <n v="4.08019"/>
    <n v="1"/>
    <n v="-290"/>
    <n v="340"/>
  </r>
  <r>
    <x v="3"/>
    <s v="conventional_refinance_lomedia_incentive_249"/>
    <x v="289"/>
    <n v="4.08019"/>
    <n v="1"/>
    <n v="-290"/>
    <n v="340"/>
  </r>
  <r>
    <x v="3"/>
    <s v="conventional_refinance_lomedia_incentive_250"/>
    <x v="290"/>
    <n v="4.08019"/>
    <n v="1"/>
    <n v="-290"/>
    <n v="340"/>
  </r>
  <r>
    <x v="3"/>
    <s v="conventional_refinance_lomedia_incentive_251"/>
    <x v="291"/>
    <n v="4.08019"/>
    <n v="1"/>
    <n v="-290"/>
    <n v="340"/>
  </r>
  <r>
    <x v="3"/>
    <s v="conventional_refinance_lomedia_incentive_252"/>
    <x v="292"/>
    <n v="4.08019"/>
    <n v="1"/>
    <n v="-290"/>
    <n v="340"/>
  </r>
  <r>
    <x v="3"/>
    <s v="conventional_refinance_lomedia_incentive_253"/>
    <x v="293"/>
    <n v="4.08019"/>
    <n v="1"/>
    <n v="-290"/>
    <n v="340"/>
  </r>
  <r>
    <x v="3"/>
    <s v="conventional_refinance_lomedia_incentive_254"/>
    <x v="294"/>
    <n v="4.08019"/>
    <n v="1"/>
    <n v="-290"/>
    <n v="340"/>
  </r>
  <r>
    <x v="3"/>
    <s v="conventional_refinance_lomedia_incentive_255"/>
    <x v="295"/>
    <n v="4.08019"/>
    <n v="1"/>
    <n v="-290"/>
    <n v="340"/>
  </r>
  <r>
    <x v="3"/>
    <s v="conventional_refinance_lomedia_incentive_256"/>
    <x v="296"/>
    <n v="4.08019"/>
    <n v="1"/>
    <n v="-290"/>
    <n v="340"/>
  </r>
  <r>
    <x v="3"/>
    <s v="conventional_refinance_lomedia_incentive_257"/>
    <x v="297"/>
    <n v="4.08019"/>
    <n v="1"/>
    <n v="-290"/>
    <n v="340"/>
  </r>
  <r>
    <x v="3"/>
    <s v="conventional_refinance_lomedia_incentive_258"/>
    <x v="298"/>
    <n v="4.08019"/>
    <n v="1"/>
    <n v="-290"/>
    <n v="340"/>
  </r>
  <r>
    <x v="3"/>
    <s v="conventional_refinance_lomedia_incentive_259"/>
    <x v="299"/>
    <n v="4.08019"/>
    <n v="1"/>
    <n v="-290"/>
    <n v="340"/>
  </r>
  <r>
    <x v="3"/>
    <s v="conventional_refinance_lomedia_incentive_260"/>
    <x v="300"/>
    <n v="4.08019"/>
    <n v="1"/>
    <n v="-290"/>
    <n v="340"/>
  </r>
  <r>
    <x v="3"/>
    <s v="conventional_refinance_lomedia_incentive_261"/>
    <x v="301"/>
    <n v="4.08019"/>
    <n v="1"/>
    <n v="-290"/>
    <n v="340"/>
  </r>
  <r>
    <x v="3"/>
    <s v="conventional_refinance_lomedia_incentive_262"/>
    <x v="302"/>
    <n v="4.08019"/>
    <n v="1"/>
    <n v="-290"/>
    <n v="340"/>
  </r>
  <r>
    <x v="3"/>
    <s v="conventional_refinance_lomedia_incentive_263"/>
    <x v="303"/>
    <n v="4.08019"/>
    <n v="1"/>
    <n v="-290"/>
    <n v="340"/>
  </r>
  <r>
    <x v="3"/>
    <s v="conventional_refinance_lomedia_incentive_264"/>
    <x v="304"/>
    <n v="4.08019"/>
    <n v="1"/>
    <n v="-290"/>
    <n v="340"/>
  </r>
  <r>
    <x v="3"/>
    <s v="conventional_refinance_lomedia_incentive_265"/>
    <x v="305"/>
    <n v="4.08019"/>
    <n v="1"/>
    <n v="-290"/>
    <n v="340"/>
  </r>
  <r>
    <x v="3"/>
    <s v="conventional_refinance_lomedia_incentive_266"/>
    <x v="306"/>
    <n v="4.08019"/>
    <n v="1"/>
    <n v="-290"/>
    <n v="340"/>
  </r>
  <r>
    <x v="3"/>
    <s v="conventional_refinance_lomedia_incentive_267"/>
    <x v="307"/>
    <n v="4.08019"/>
    <n v="1"/>
    <n v="-290"/>
    <n v="340"/>
  </r>
  <r>
    <x v="3"/>
    <s v="conventional_refinance_lomedia_incentive_268"/>
    <x v="308"/>
    <n v="4.08019"/>
    <n v="1"/>
    <n v="-290"/>
    <n v="340"/>
  </r>
  <r>
    <x v="3"/>
    <s v="conventional_refinance_lomedia_incentive_269"/>
    <x v="309"/>
    <n v="4.08019"/>
    <n v="1"/>
    <n v="-290"/>
    <n v="340"/>
  </r>
  <r>
    <x v="3"/>
    <s v="conventional_refinance_lomedia_incentive_270"/>
    <x v="310"/>
    <n v="4.08019"/>
    <n v="1"/>
    <n v="-290"/>
    <n v="340"/>
  </r>
  <r>
    <x v="3"/>
    <s v="conventional_refinance_lomedia_incentive_271"/>
    <x v="311"/>
    <n v="4.08019"/>
    <n v="1"/>
    <n v="-290"/>
    <n v="340"/>
  </r>
  <r>
    <x v="3"/>
    <s v="conventional_refinance_lomedia_incentive_272"/>
    <x v="312"/>
    <n v="4.08019"/>
    <n v="1"/>
    <n v="-290"/>
    <n v="340"/>
  </r>
  <r>
    <x v="3"/>
    <s v="conventional_refinance_lomedia_incentive_273"/>
    <x v="313"/>
    <n v="4.08019"/>
    <n v="1"/>
    <n v="-290"/>
    <n v="340"/>
  </r>
  <r>
    <x v="3"/>
    <s v="conventional_refinance_lomedia_incentive_274"/>
    <x v="314"/>
    <n v="4.08019"/>
    <n v="1"/>
    <n v="-290"/>
    <n v="340"/>
  </r>
  <r>
    <x v="3"/>
    <s v="conventional_refinance_lomedia_incentive_275"/>
    <x v="315"/>
    <n v="4.08019"/>
    <n v="1"/>
    <n v="-290"/>
    <n v="340"/>
  </r>
  <r>
    <x v="3"/>
    <s v="conventional_refinance_lomedia_incentive_276"/>
    <x v="316"/>
    <n v="4.08019"/>
    <n v="1"/>
    <n v="-290"/>
    <n v="340"/>
  </r>
  <r>
    <x v="3"/>
    <s v="conventional_refinance_lomedia_incentive_277"/>
    <x v="317"/>
    <n v="4.08019"/>
    <n v="1"/>
    <n v="-290"/>
    <n v="340"/>
  </r>
  <r>
    <x v="3"/>
    <s v="conventional_refinance_lomedia_incentive_278"/>
    <x v="318"/>
    <n v="4.08019"/>
    <n v="1"/>
    <n v="-290"/>
    <n v="340"/>
  </r>
  <r>
    <x v="3"/>
    <s v="conventional_refinance_lomedia_incentive_279"/>
    <x v="319"/>
    <n v="4.08019"/>
    <n v="1"/>
    <n v="-290"/>
    <n v="340"/>
  </r>
  <r>
    <x v="3"/>
    <s v="conventional_refinance_lomedia_incentive_280"/>
    <x v="320"/>
    <n v="4.08019"/>
    <n v="1"/>
    <n v="-290"/>
    <n v="340"/>
  </r>
  <r>
    <x v="3"/>
    <s v="conventional_refinance_lomedia_incentive_281"/>
    <x v="321"/>
    <n v="4.08019"/>
    <n v="1"/>
    <n v="-290"/>
    <n v="340"/>
  </r>
  <r>
    <x v="3"/>
    <s v="conventional_refinance_lomedia_incentive_282"/>
    <x v="322"/>
    <n v="4.08019"/>
    <n v="1"/>
    <n v="-290"/>
    <n v="340"/>
  </r>
  <r>
    <x v="3"/>
    <s v="conventional_refinance_lomedia_incentive_283"/>
    <x v="323"/>
    <n v="4.08019"/>
    <n v="1"/>
    <n v="-290"/>
    <n v="340"/>
  </r>
  <r>
    <x v="3"/>
    <s v="conventional_refinance_lomedia_incentive_284"/>
    <x v="324"/>
    <n v="4.08019"/>
    <n v="1"/>
    <n v="-290"/>
    <n v="340"/>
  </r>
  <r>
    <x v="3"/>
    <s v="conventional_refinance_lomedia_incentive_285"/>
    <x v="325"/>
    <n v="4.08019"/>
    <n v="1"/>
    <n v="-290"/>
    <n v="340"/>
  </r>
  <r>
    <x v="3"/>
    <s v="conventional_refinance_lomedia_incentive_286"/>
    <x v="326"/>
    <n v="4.08019"/>
    <n v="1"/>
    <n v="-290"/>
    <n v="340"/>
  </r>
  <r>
    <x v="3"/>
    <s v="conventional_refinance_lomedia_incentive_287"/>
    <x v="327"/>
    <n v="4.08019"/>
    <n v="1"/>
    <n v="-290"/>
    <n v="340"/>
  </r>
  <r>
    <x v="3"/>
    <s v="conventional_refinance_lomedia_incentive_288"/>
    <x v="328"/>
    <n v="4.08019"/>
    <n v="1"/>
    <n v="-290"/>
    <n v="340"/>
  </r>
  <r>
    <x v="3"/>
    <s v="conventional_refinance_lomedia_incentive_289"/>
    <x v="329"/>
    <n v="4.08019"/>
    <n v="1"/>
    <n v="-290"/>
    <n v="340"/>
  </r>
  <r>
    <x v="3"/>
    <s v="conventional_refinance_lomedia_incentive_290"/>
    <x v="330"/>
    <n v="4.08019"/>
    <n v="1"/>
    <n v="-290"/>
    <n v="340"/>
  </r>
  <r>
    <x v="3"/>
    <s v="conventional_refinance_lomedia_incentive_291"/>
    <x v="331"/>
    <n v="4.08019"/>
    <n v="1"/>
    <n v="-290"/>
    <n v="340"/>
  </r>
  <r>
    <x v="3"/>
    <s v="conventional_refinance_lomedia_incentive_292"/>
    <x v="332"/>
    <n v="4.08019"/>
    <n v="1"/>
    <n v="-290"/>
    <n v="340"/>
  </r>
  <r>
    <x v="3"/>
    <s v="conventional_refinance_lomedia_incentive_293"/>
    <x v="333"/>
    <n v="4.08019"/>
    <n v="1"/>
    <n v="-290"/>
    <n v="340"/>
  </r>
  <r>
    <x v="3"/>
    <s v="conventional_refinance_lomedia_incentive_294"/>
    <x v="334"/>
    <n v="4.08019"/>
    <n v="1"/>
    <n v="-290"/>
    <n v="340"/>
  </r>
  <r>
    <x v="3"/>
    <s v="conventional_refinance_lomedia_incentive_295"/>
    <x v="335"/>
    <n v="4.08019"/>
    <n v="1"/>
    <n v="-290"/>
    <n v="340"/>
  </r>
  <r>
    <x v="3"/>
    <s v="conventional_refinance_lomedia_incentive_296"/>
    <x v="336"/>
    <n v="4.08019"/>
    <n v="1"/>
    <n v="-290"/>
    <n v="340"/>
  </r>
  <r>
    <x v="3"/>
    <s v="conventional_refinance_lomedia_incentive_297"/>
    <x v="337"/>
    <n v="4.08019"/>
    <n v="1"/>
    <n v="-290"/>
    <n v="340"/>
  </r>
  <r>
    <x v="3"/>
    <s v="conventional_refinance_lomedia_incentive_298"/>
    <x v="338"/>
    <n v="4.08019"/>
    <n v="1"/>
    <n v="-290"/>
    <n v="340"/>
  </r>
  <r>
    <x v="3"/>
    <s v="conventional_refinance_lomedia_incentive_299"/>
    <x v="339"/>
    <n v="4.08019"/>
    <n v="1"/>
    <n v="-290"/>
    <n v="340"/>
  </r>
  <r>
    <x v="3"/>
    <s v="conventional_refinance_lomedia_incentive_300"/>
    <x v="340"/>
    <n v="4.08019"/>
    <n v="1"/>
    <n v="-290"/>
    <n v="340"/>
  </r>
  <r>
    <x v="3"/>
    <s v="conventional_refinance_lomedia_incentive_301"/>
    <x v="341"/>
    <n v="4.08019"/>
    <n v="1"/>
    <n v="-290"/>
    <n v="340"/>
  </r>
  <r>
    <x v="3"/>
    <s v="conventional_refinance_lomedia_incentive_302"/>
    <x v="342"/>
    <n v="4.08019"/>
    <n v="1"/>
    <n v="-290"/>
    <n v="340"/>
  </r>
  <r>
    <x v="3"/>
    <s v="conventional_refinance_lomedia_incentive_303"/>
    <x v="343"/>
    <n v="4.08019"/>
    <n v="1"/>
    <n v="-290"/>
    <n v="340"/>
  </r>
  <r>
    <x v="3"/>
    <s v="conventional_refinance_lomedia_incentive_304"/>
    <x v="344"/>
    <n v="4.08019"/>
    <n v="1"/>
    <n v="-290"/>
    <n v="340"/>
  </r>
  <r>
    <x v="3"/>
    <s v="conventional_refinance_lomedia_incentive_305"/>
    <x v="345"/>
    <n v="4.08019"/>
    <n v="1"/>
    <n v="-290"/>
    <n v="340"/>
  </r>
  <r>
    <x v="3"/>
    <s v="conventional_refinance_lomedia_incentive_306"/>
    <x v="346"/>
    <n v="4.08019"/>
    <n v="1"/>
    <n v="-290"/>
    <n v="340"/>
  </r>
  <r>
    <x v="3"/>
    <s v="conventional_refinance_lomedia_incentive_307"/>
    <x v="347"/>
    <n v="4.08019"/>
    <n v="1"/>
    <n v="-290"/>
    <n v="340"/>
  </r>
  <r>
    <x v="3"/>
    <s v="conventional_refinance_lomedia_incentive_308"/>
    <x v="348"/>
    <n v="4.08019"/>
    <n v="1"/>
    <n v="-290"/>
    <n v="340"/>
  </r>
  <r>
    <x v="3"/>
    <s v="conventional_refinance_lomedia_incentive_309"/>
    <x v="349"/>
    <n v="4.08019"/>
    <n v="1"/>
    <n v="-290"/>
    <n v="340"/>
  </r>
  <r>
    <x v="3"/>
    <s v="conventional_refinance_lomedia_incentive_310"/>
    <x v="350"/>
    <n v="4.08019"/>
    <n v="1"/>
    <n v="-290"/>
    <n v="340"/>
  </r>
  <r>
    <x v="3"/>
    <s v="conventional_refinance_lomedia_incentive_311"/>
    <x v="351"/>
    <n v="4.08019"/>
    <n v="1"/>
    <n v="-290"/>
    <n v="340"/>
  </r>
  <r>
    <x v="3"/>
    <s v="conventional_refinance_lomedia_incentive_312"/>
    <x v="352"/>
    <n v="4.08019"/>
    <n v="1"/>
    <n v="-290"/>
    <n v="340"/>
  </r>
  <r>
    <x v="3"/>
    <s v="conventional_refinance_lomedia_incentive_313"/>
    <x v="353"/>
    <n v="4.08019"/>
    <n v="1"/>
    <n v="-290"/>
    <n v="340"/>
  </r>
  <r>
    <x v="3"/>
    <s v="conventional_refinance_lomedia_incentive_314"/>
    <x v="354"/>
    <n v="4.08019"/>
    <n v="1"/>
    <n v="-290"/>
    <n v="340"/>
  </r>
  <r>
    <x v="3"/>
    <s v="conventional_refinance_lomedia_incentive_315"/>
    <x v="355"/>
    <n v="4.08019"/>
    <n v="1"/>
    <n v="-290"/>
    <n v="340"/>
  </r>
  <r>
    <x v="3"/>
    <s v="conventional_refinance_lomedia_incentive_316"/>
    <x v="356"/>
    <n v="4.08019"/>
    <n v="1"/>
    <n v="-290"/>
    <n v="340"/>
  </r>
  <r>
    <x v="3"/>
    <s v="conventional_refinance_lomedia_incentive_317"/>
    <x v="357"/>
    <n v="4.08019"/>
    <n v="1"/>
    <n v="-290"/>
    <n v="340"/>
  </r>
  <r>
    <x v="3"/>
    <s v="conventional_refinance_lomedia_incentive_318"/>
    <x v="358"/>
    <n v="4.08019"/>
    <n v="1"/>
    <n v="-290"/>
    <n v="340"/>
  </r>
  <r>
    <x v="3"/>
    <s v="conventional_refinance_lomedia_incentive_319"/>
    <x v="359"/>
    <n v="4.08019"/>
    <n v="1"/>
    <n v="-290"/>
    <n v="340"/>
  </r>
  <r>
    <x v="3"/>
    <s v="conventional_refinance_lomedia_incentive_320"/>
    <x v="360"/>
    <n v="4.08019"/>
    <n v="1"/>
    <n v="-290"/>
    <n v="340"/>
  </r>
  <r>
    <x v="3"/>
    <s v="conventional_refinance_lomedia_incentive_321"/>
    <x v="361"/>
    <n v="4.08019"/>
    <n v="1"/>
    <n v="-290"/>
    <n v="340"/>
  </r>
  <r>
    <x v="3"/>
    <s v="conventional_refinance_lomedia_incentive_322"/>
    <x v="362"/>
    <n v="4.08019"/>
    <n v="1"/>
    <n v="-290"/>
    <n v="340"/>
  </r>
  <r>
    <x v="3"/>
    <s v="conventional_refinance_lomedia_incentive_323"/>
    <x v="363"/>
    <n v="4.08019"/>
    <n v="1"/>
    <n v="-290"/>
    <n v="340"/>
  </r>
  <r>
    <x v="3"/>
    <s v="conventional_refinance_lomedia_incentive_324"/>
    <x v="364"/>
    <n v="4.08019"/>
    <n v="1"/>
    <n v="-290"/>
    <n v="340"/>
  </r>
  <r>
    <x v="3"/>
    <s v="conventional_refinance_lomedia_incentive_325"/>
    <x v="365"/>
    <n v="4.08019"/>
    <n v="1"/>
    <n v="-290"/>
    <n v="340"/>
  </r>
  <r>
    <x v="3"/>
    <s v="conventional_refinance_lomedia_incentive_326"/>
    <x v="366"/>
    <n v="4.08019"/>
    <n v="1"/>
    <n v="-290"/>
    <n v="340"/>
  </r>
  <r>
    <x v="3"/>
    <s v="conventional_refinance_lomedia_incentive_327"/>
    <x v="367"/>
    <n v="4.08019"/>
    <n v="1"/>
    <n v="-290"/>
    <n v="340"/>
  </r>
  <r>
    <x v="3"/>
    <s v="conventional_refinance_lomedia_incentive_328"/>
    <x v="368"/>
    <n v="4.08019"/>
    <n v="1"/>
    <n v="-290"/>
    <n v="340"/>
  </r>
  <r>
    <x v="3"/>
    <s v="conventional_refinance_lomedia_incentive_329"/>
    <x v="369"/>
    <n v="4.08019"/>
    <n v="1"/>
    <n v="-290"/>
    <n v="340"/>
  </r>
  <r>
    <x v="3"/>
    <s v="conventional_refinance_lomedia_incentive_330"/>
    <x v="370"/>
    <n v="4.08019"/>
    <n v="1"/>
    <n v="-290"/>
    <n v="340"/>
  </r>
  <r>
    <x v="3"/>
    <s v="conventional_refinance_lomedia_incentive_331"/>
    <x v="371"/>
    <n v="4.08019"/>
    <n v="1"/>
    <n v="-290"/>
    <n v="340"/>
  </r>
  <r>
    <x v="3"/>
    <s v="conventional_refinance_lomedia_incentive_332"/>
    <x v="372"/>
    <n v="4.08019"/>
    <n v="1"/>
    <n v="-290"/>
    <n v="340"/>
  </r>
  <r>
    <x v="3"/>
    <s v="conventional_refinance_lomedia_incentive_333"/>
    <x v="373"/>
    <n v="4.08019"/>
    <n v="1"/>
    <n v="-290"/>
    <n v="340"/>
  </r>
  <r>
    <x v="3"/>
    <s v="conventional_refinance_lomedia_incentive_334"/>
    <x v="374"/>
    <n v="4.08019"/>
    <n v="1"/>
    <n v="-290"/>
    <n v="340"/>
  </r>
  <r>
    <x v="3"/>
    <s v="conventional_refinance_lomedia_incentive_335"/>
    <x v="375"/>
    <n v="4.08019"/>
    <n v="1"/>
    <n v="-290"/>
    <n v="340"/>
  </r>
  <r>
    <x v="3"/>
    <s v="conventional_refinance_lomedia_incentive_336"/>
    <x v="376"/>
    <n v="4.08019"/>
    <n v="1"/>
    <n v="-290"/>
    <n v="340"/>
  </r>
  <r>
    <x v="3"/>
    <s v="conventional_refinance_lomedia_incentive_337"/>
    <x v="377"/>
    <n v="4.08019"/>
    <n v="1"/>
    <n v="-290"/>
    <n v="340"/>
  </r>
  <r>
    <x v="3"/>
    <s v="conventional_refinance_lomedia_incentive_338"/>
    <x v="378"/>
    <n v="4.08019"/>
    <n v="1"/>
    <n v="-290"/>
    <n v="340"/>
  </r>
  <r>
    <x v="3"/>
    <s v="conventional_refinance_lomedia_incentive_339"/>
    <x v="379"/>
    <n v="4.08019"/>
    <n v="1"/>
    <n v="-290"/>
    <n v="340"/>
  </r>
  <r>
    <x v="3"/>
    <s v="conventional_refinance_lomedia_incentive_340"/>
    <x v="380"/>
    <n v="4.08019"/>
    <n v="1"/>
    <n v="-290"/>
    <n v="340"/>
  </r>
  <r>
    <x v="4"/>
    <s v="conventional_refinance_himedia_incentive_-196"/>
    <x v="1075"/>
    <n v="0"/>
    <n v="1"/>
    <n v="-196"/>
    <n v="364"/>
  </r>
  <r>
    <x v="4"/>
    <s v="conventional_refinance_himedia_incentive_-195"/>
    <x v="1076"/>
    <n v="0"/>
    <n v="1"/>
    <n v="-196"/>
    <n v="364"/>
  </r>
  <r>
    <x v="4"/>
    <s v="conventional_refinance_himedia_incentive_-194"/>
    <x v="1077"/>
    <n v="0"/>
    <n v="1"/>
    <n v="-196"/>
    <n v="364"/>
  </r>
  <r>
    <x v="4"/>
    <s v="conventional_refinance_himedia_incentive_-193"/>
    <x v="1078"/>
    <n v="0"/>
    <n v="1"/>
    <n v="-196"/>
    <n v="364"/>
  </r>
  <r>
    <x v="4"/>
    <s v="conventional_refinance_himedia_incentive_-192"/>
    <x v="1079"/>
    <n v="0"/>
    <n v="1"/>
    <n v="-196"/>
    <n v="364"/>
  </r>
  <r>
    <x v="4"/>
    <s v="conventional_refinance_himedia_incentive_-191"/>
    <x v="1080"/>
    <n v="0"/>
    <n v="1"/>
    <n v="-196"/>
    <n v="364"/>
  </r>
  <r>
    <x v="4"/>
    <s v="conventional_refinance_himedia_incentive_-190"/>
    <x v="1081"/>
    <n v="0"/>
    <n v="1"/>
    <n v="-196"/>
    <n v="364"/>
  </r>
  <r>
    <x v="4"/>
    <s v="conventional_refinance_himedia_incentive_-189"/>
    <x v="1082"/>
    <n v="0"/>
    <n v="1"/>
    <n v="-196"/>
    <n v="364"/>
  </r>
  <r>
    <x v="4"/>
    <s v="conventional_refinance_himedia_incentive_-188"/>
    <x v="1083"/>
    <n v="0"/>
    <n v="1"/>
    <n v="-196"/>
    <n v="364"/>
  </r>
  <r>
    <x v="4"/>
    <s v="conventional_refinance_himedia_incentive_-187"/>
    <x v="1084"/>
    <n v="0"/>
    <n v="1"/>
    <n v="-196"/>
    <n v="364"/>
  </r>
  <r>
    <x v="4"/>
    <s v="conventional_refinance_himedia_incentive_-186"/>
    <x v="1085"/>
    <n v="0"/>
    <n v="1"/>
    <n v="-196"/>
    <n v="364"/>
  </r>
  <r>
    <x v="4"/>
    <s v="conventional_refinance_himedia_incentive_-185"/>
    <x v="1086"/>
    <n v="0"/>
    <n v="1"/>
    <n v="-196"/>
    <n v="364"/>
  </r>
  <r>
    <x v="4"/>
    <s v="conventional_refinance_himedia_incentive_-184"/>
    <x v="1087"/>
    <n v="0"/>
    <n v="1"/>
    <n v="-196"/>
    <n v="364"/>
  </r>
  <r>
    <x v="4"/>
    <s v="conventional_refinance_himedia_incentive_-183"/>
    <x v="1088"/>
    <n v="0"/>
    <n v="1"/>
    <n v="-196"/>
    <n v="364"/>
  </r>
  <r>
    <x v="4"/>
    <s v="conventional_refinance_himedia_incentive_-182"/>
    <x v="1089"/>
    <n v="0"/>
    <n v="1"/>
    <n v="-196"/>
    <n v="364"/>
  </r>
  <r>
    <x v="4"/>
    <s v="conventional_refinance_himedia_incentive_-181"/>
    <x v="1090"/>
    <n v="0"/>
    <n v="1"/>
    <n v="-196"/>
    <n v="364"/>
  </r>
  <r>
    <x v="4"/>
    <s v="conventional_refinance_himedia_incentive_-180"/>
    <x v="1091"/>
    <n v="0"/>
    <n v="1"/>
    <n v="-196"/>
    <n v="364"/>
  </r>
  <r>
    <x v="4"/>
    <s v="conventional_refinance_himedia_incentive_-179"/>
    <x v="1092"/>
    <n v="0"/>
    <n v="1"/>
    <n v="-196"/>
    <n v="364"/>
  </r>
  <r>
    <x v="4"/>
    <s v="conventional_refinance_himedia_incentive_-178"/>
    <x v="1093"/>
    <n v="0"/>
    <n v="1"/>
    <n v="-196"/>
    <n v="364"/>
  </r>
  <r>
    <x v="4"/>
    <s v="conventional_refinance_himedia_incentive_-177"/>
    <x v="1094"/>
    <n v="0"/>
    <n v="1"/>
    <n v="-196"/>
    <n v="364"/>
  </r>
  <r>
    <x v="4"/>
    <s v="conventional_refinance_himedia_incentive_-176"/>
    <x v="1095"/>
    <n v="0"/>
    <n v="1"/>
    <n v="-196"/>
    <n v="364"/>
  </r>
  <r>
    <x v="4"/>
    <s v="conventional_refinance_himedia_incentive_-175"/>
    <x v="1096"/>
    <n v="0"/>
    <n v="1"/>
    <n v="-196"/>
    <n v="364"/>
  </r>
  <r>
    <x v="4"/>
    <s v="conventional_refinance_himedia_incentive_-174"/>
    <x v="1097"/>
    <n v="0"/>
    <n v="1"/>
    <n v="-196"/>
    <n v="364"/>
  </r>
  <r>
    <x v="4"/>
    <s v="conventional_refinance_himedia_incentive_-173"/>
    <x v="1098"/>
    <n v="0"/>
    <n v="1"/>
    <n v="-196"/>
    <n v="364"/>
  </r>
  <r>
    <x v="4"/>
    <s v="conventional_refinance_himedia_incentive_-172"/>
    <x v="1099"/>
    <n v="0"/>
    <n v="1"/>
    <n v="-196"/>
    <n v="364"/>
  </r>
  <r>
    <x v="4"/>
    <s v="conventional_refinance_himedia_incentive_-171"/>
    <x v="1100"/>
    <n v="0"/>
    <n v="1"/>
    <n v="-196"/>
    <n v="364"/>
  </r>
  <r>
    <x v="4"/>
    <s v="conventional_refinance_himedia_incentive_-170"/>
    <x v="1101"/>
    <n v="0"/>
    <n v="1"/>
    <n v="-196"/>
    <n v="364"/>
  </r>
  <r>
    <x v="4"/>
    <s v="conventional_refinance_himedia_incentive_-169"/>
    <x v="1102"/>
    <n v="0"/>
    <n v="1"/>
    <n v="-196"/>
    <n v="364"/>
  </r>
  <r>
    <x v="4"/>
    <s v="conventional_refinance_himedia_incentive_-168"/>
    <x v="1103"/>
    <n v="0"/>
    <n v="1"/>
    <n v="-196"/>
    <n v="364"/>
  </r>
  <r>
    <x v="4"/>
    <s v="conventional_refinance_himedia_incentive_-167"/>
    <x v="1104"/>
    <n v="0"/>
    <n v="1"/>
    <n v="-196"/>
    <n v="364"/>
  </r>
  <r>
    <x v="4"/>
    <s v="conventional_refinance_himedia_incentive_-166"/>
    <x v="1105"/>
    <n v="0"/>
    <n v="1"/>
    <n v="-196"/>
    <n v="364"/>
  </r>
  <r>
    <x v="4"/>
    <s v="conventional_refinance_himedia_incentive_-165"/>
    <x v="1106"/>
    <n v="0"/>
    <n v="1"/>
    <n v="-196"/>
    <n v="364"/>
  </r>
  <r>
    <x v="4"/>
    <s v="conventional_refinance_himedia_incentive_-164"/>
    <x v="1107"/>
    <n v="0"/>
    <n v="1"/>
    <n v="-196"/>
    <n v="364"/>
  </r>
  <r>
    <x v="4"/>
    <s v="conventional_refinance_himedia_incentive_-163"/>
    <x v="1108"/>
    <n v="0"/>
    <n v="1"/>
    <n v="-196"/>
    <n v="364"/>
  </r>
  <r>
    <x v="4"/>
    <s v="conventional_refinance_himedia_incentive_-162"/>
    <x v="1109"/>
    <n v="0"/>
    <n v="1"/>
    <n v="-196"/>
    <n v="364"/>
  </r>
  <r>
    <x v="4"/>
    <s v="conventional_refinance_himedia_incentive_-161"/>
    <x v="1110"/>
    <n v="0"/>
    <n v="1"/>
    <n v="-196"/>
    <n v="364"/>
  </r>
  <r>
    <x v="4"/>
    <s v="conventional_refinance_himedia_incentive_-160"/>
    <x v="1111"/>
    <n v="0"/>
    <n v="1"/>
    <n v="-196"/>
    <n v="364"/>
  </r>
  <r>
    <x v="4"/>
    <s v="conventional_refinance_himedia_incentive_-159"/>
    <x v="1112"/>
    <n v="0"/>
    <n v="1"/>
    <n v="-196"/>
    <n v="364"/>
  </r>
  <r>
    <x v="4"/>
    <s v="conventional_refinance_himedia_incentive_-158"/>
    <x v="1113"/>
    <n v="0"/>
    <n v="1"/>
    <n v="-196"/>
    <n v="364"/>
  </r>
  <r>
    <x v="4"/>
    <s v="conventional_refinance_himedia_incentive_-157"/>
    <x v="1114"/>
    <n v="0"/>
    <n v="1"/>
    <n v="-196"/>
    <n v="364"/>
  </r>
  <r>
    <x v="4"/>
    <s v="conventional_refinance_himedia_incentive_-156"/>
    <x v="1115"/>
    <n v="0"/>
    <n v="1"/>
    <n v="-196"/>
    <n v="364"/>
  </r>
  <r>
    <x v="4"/>
    <s v="conventional_refinance_himedia_incentive_-155"/>
    <x v="1116"/>
    <n v="0"/>
    <n v="1"/>
    <n v="-196"/>
    <n v="364"/>
  </r>
  <r>
    <x v="4"/>
    <s v="conventional_refinance_himedia_incentive_-154"/>
    <x v="1117"/>
    <n v="0"/>
    <n v="1"/>
    <n v="-196"/>
    <n v="364"/>
  </r>
  <r>
    <x v="4"/>
    <s v="conventional_refinance_himedia_incentive_-153"/>
    <x v="1118"/>
    <n v="0"/>
    <n v="1"/>
    <n v="-196"/>
    <n v="364"/>
  </r>
  <r>
    <x v="4"/>
    <s v="conventional_refinance_himedia_incentive_-152"/>
    <x v="1119"/>
    <n v="0"/>
    <n v="1"/>
    <n v="-196"/>
    <n v="364"/>
  </r>
  <r>
    <x v="4"/>
    <s v="conventional_refinance_himedia_incentive_-151"/>
    <x v="1120"/>
    <n v="0"/>
    <n v="1"/>
    <n v="-196"/>
    <n v="364"/>
  </r>
  <r>
    <x v="4"/>
    <s v="conventional_refinance_himedia_incentive_-150"/>
    <x v="1121"/>
    <n v="0"/>
    <n v="1"/>
    <n v="-196"/>
    <n v="364"/>
  </r>
  <r>
    <x v="4"/>
    <s v="conventional_refinance_himedia_incentive_-149"/>
    <x v="1122"/>
    <n v="0"/>
    <n v="1"/>
    <n v="-196"/>
    <n v="364"/>
  </r>
  <r>
    <x v="4"/>
    <s v="conventional_refinance_himedia_incentive_-148"/>
    <x v="1123"/>
    <n v="0"/>
    <n v="1"/>
    <n v="-196"/>
    <n v="364"/>
  </r>
  <r>
    <x v="4"/>
    <s v="conventional_refinance_himedia_incentive_-147"/>
    <x v="1124"/>
    <n v="0"/>
    <n v="1"/>
    <n v="-196"/>
    <n v="364"/>
  </r>
  <r>
    <x v="4"/>
    <s v="conventional_refinance_himedia_incentive_-146"/>
    <x v="1125"/>
    <n v="0"/>
    <n v="1"/>
    <n v="-196"/>
    <n v="364"/>
  </r>
  <r>
    <x v="4"/>
    <s v="conventional_refinance_himedia_incentive_-145"/>
    <x v="1126"/>
    <n v="0"/>
    <n v="1"/>
    <n v="-196"/>
    <n v="364"/>
  </r>
  <r>
    <x v="4"/>
    <s v="conventional_refinance_himedia_incentive_-144"/>
    <x v="1127"/>
    <n v="0"/>
    <n v="1"/>
    <n v="-196"/>
    <n v="364"/>
  </r>
  <r>
    <x v="4"/>
    <s v="conventional_refinance_himedia_incentive_-143"/>
    <x v="1128"/>
    <n v="0"/>
    <n v="1"/>
    <n v="-196"/>
    <n v="364"/>
  </r>
  <r>
    <x v="4"/>
    <s v="conventional_refinance_himedia_incentive_-142"/>
    <x v="1129"/>
    <n v="0"/>
    <n v="1"/>
    <n v="-196"/>
    <n v="364"/>
  </r>
  <r>
    <x v="4"/>
    <s v="conventional_refinance_himedia_incentive_-141"/>
    <x v="1130"/>
    <n v="0"/>
    <n v="1"/>
    <n v="-196"/>
    <n v="364"/>
  </r>
  <r>
    <x v="4"/>
    <s v="conventional_refinance_himedia_incentive_-140"/>
    <x v="1131"/>
    <n v="0"/>
    <n v="1"/>
    <n v="-196"/>
    <n v="364"/>
  </r>
  <r>
    <x v="4"/>
    <s v="conventional_refinance_himedia_incentive_-139"/>
    <x v="1132"/>
    <n v="0"/>
    <n v="1"/>
    <n v="-196"/>
    <n v="364"/>
  </r>
  <r>
    <x v="4"/>
    <s v="conventional_refinance_himedia_incentive_-138"/>
    <x v="1133"/>
    <n v="0"/>
    <n v="1"/>
    <n v="-196"/>
    <n v="364"/>
  </r>
  <r>
    <x v="4"/>
    <s v="conventional_refinance_himedia_incentive_-137"/>
    <x v="1134"/>
    <n v="0"/>
    <n v="1"/>
    <n v="-196"/>
    <n v="364"/>
  </r>
  <r>
    <x v="4"/>
    <s v="conventional_refinance_himedia_incentive_-136"/>
    <x v="1135"/>
    <n v="0"/>
    <n v="1"/>
    <n v="-196"/>
    <n v="364"/>
  </r>
  <r>
    <x v="4"/>
    <s v="conventional_refinance_himedia_incentive_-135"/>
    <x v="1136"/>
    <n v="0"/>
    <n v="1"/>
    <n v="-196"/>
    <n v="364"/>
  </r>
  <r>
    <x v="4"/>
    <s v="conventional_refinance_himedia_incentive_-134"/>
    <x v="1137"/>
    <n v="0"/>
    <n v="1"/>
    <n v="-196"/>
    <n v="364"/>
  </r>
  <r>
    <x v="4"/>
    <s v="conventional_refinance_himedia_incentive_-133"/>
    <x v="1138"/>
    <n v="0"/>
    <n v="1"/>
    <n v="-196"/>
    <n v="364"/>
  </r>
  <r>
    <x v="4"/>
    <s v="conventional_refinance_himedia_incentive_-132"/>
    <x v="1139"/>
    <n v="0"/>
    <n v="1"/>
    <n v="-196"/>
    <n v="364"/>
  </r>
  <r>
    <x v="4"/>
    <s v="conventional_refinance_himedia_incentive_-131"/>
    <x v="1140"/>
    <n v="0"/>
    <n v="1"/>
    <n v="-196"/>
    <n v="364"/>
  </r>
  <r>
    <x v="4"/>
    <s v="conventional_refinance_himedia_incentive_-130"/>
    <x v="1141"/>
    <n v="0"/>
    <n v="1"/>
    <n v="-196"/>
    <n v="364"/>
  </r>
  <r>
    <x v="4"/>
    <s v="conventional_refinance_himedia_incentive_-129"/>
    <x v="1142"/>
    <n v="0"/>
    <n v="1"/>
    <n v="-196"/>
    <n v="364"/>
  </r>
  <r>
    <x v="4"/>
    <s v="conventional_refinance_himedia_incentive_-128"/>
    <x v="1143"/>
    <n v="0"/>
    <n v="1"/>
    <n v="-196"/>
    <n v="364"/>
  </r>
  <r>
    <x v="4"/>
    <s v="conventional_refinance_himedia_incentive_-127"/>
    <x v="1144"/>
    <n v="0"/>
    <n v="1"/>
    <n v="-196"/>
    <n v="364"/>
  </r>
  <r>
    <x v="4"/>
    <s v="conventional_refinance_himedia_incentive_-126"/>
    <x v="1145"/>
    <n v="0"/>
    <n v="1"/>
    <n v="-196"/>
    <n v="364"/>
  </r>
  <r>
    <x v="4"/>
    <s v="conventional_refinance_himedia_incentive_-125"/>
    <x v="1146"/>
    <n v="0"/>
    <n v="1"/>
    <n v="-196"/>
    <n v="364"/>
  </r>
  <r>
    <x v="4"/>
    <s v="conventional_refinance_himedia_incentive_-124"/>
    <x v="1147"/>
    <n v="0"/>
    <n v="1"/>
    <n v="-196"/>
    <n v="364"/>
  </r>
  <r>
    <x v="4"/>
    <s v="conventional_refinance_himedia_incentive_-123"/>
    <x v="1148"/>
    <n v="0"/>
    <n v="1"/>
    <n v="-196"/>
    <n v="364"/>
  </r>
  <r>
    <x v="4"/>
    <s v="conventional_refinance_himedia_incentive_-122"/>
    <x v="1149"/>
    <n v="0"/>
    <n v="1"/>
    <n v="-196"/>
    <n v="364"/>
  </r>
  <r>
    <x v="4"/>
    <s v="conventional_refinance_himedia_incentive_-121"/>
    <x v="1150"/>
    <n v="0"/>
    <n v="1"/>
    <n v="-196"/>
    <n v="364"/>
  </r>
  <r>
    <x v="4"/>
    <s v="conventional_refinance_himedia_incentive_-120"/>
    <x v="1151"/>
    <n v="0"/>
    <n v="1"/>
    <n v="-196"/>
    <n v="364"/>
  </r>
  <r>
    <x v="4"/>
    <s v="conventional_refinance_himedia_incentive_-119"/>
    <x v="1152"/>
    <n v="0"/>
    <n v="1"/>
    <n v="-196"/>
    <n v="364"/>
  </r>
  <r>
    <x v="4"/>
    <s v="conventional_refinance_himedia_incentive_-118"/>
    <x v="1153"/>
    <n v="0"/>
    <n v="1"/>
    <n v="-196"/>
    <n v="364"/>
  </r>
  <r>
    <x v="4"/>
    <s v="conventional_refinance_himedia_incentive_-117"/>
    <x v="1154"/>
    <n v="0"/>
    <n v="1"/>
    <n v="-196"/>
    <n v="364"/>
  </r>
  <r>
    <x v="4"/>
    <s v="conventional_refinance_himedia_incentive_-116"/>
    <x v="1155"/>
    <n v="0"/>
    <n v="1"/>
    <n v="-196"/>
    <n v="364"/>
  </r>
  <r>
    <x v="4"/>
    <s v="conventional_refinance_himedia_incentive_-115"/>
    <x v="1156"/>
    <n v="0"/>
    <n v="1"/>
    <n v="-196"/>
    <n v="364"/>
  </r>
  <r>
    <x v="4"/>
    <s v="conventional_refinance_himedia_incentive_-114"/>
    <x v="1157"/>
    <n v="0"/>
    <n v="1"/>
    <n v="-196"/>
    <n v="364"/>
  </r>
  <r>
    <x v="4"/>
    <s v="conventional_refinance_himedia_incentive_-113"/>
    <x v="1158"/>
    <n v="0"/>
    <n v="1"/>
    <n v="-196"/>
    <n v="364"/>
  </r>
  <r>
    <x v="4"/>
    <s v="conventional_refinance_himedia_incentive_-112"/>
    <x v="1159"/>
    <n v="0"/>
    <n v="1"/>
    <n v="-196"/>
    <n v="364"/>
  </r>
  <r>
    <x v="4"/>
    <s v="conventional_refinance_himedia_incentive_-111"/>
    <x v="1160"/>
    <n v="0"/>
    <n v="1"/>
    <n v="-196"/>
    <n v="364"/>
  </r>
  <r>
    <x v="4"/>
    <s v="conventional_refinance_himedia_incentive_-110"/>
    <x v="1161"/>
    <n v="0"/>
    <n v="1"/>
    <n v="-196"/>
    <n v="364"/>
  </r>
  <r>
    <x v="4"/>
    <s v="conventional_refinance_himedia_incentive_-109"/>
    <x v="1162"/>
    <n v="0"/>
    <n v="1"/>
    <n v="-196"/>
    <n v="364"/>
  </r>
  <r>
    <x v="4"/>
    <s v="conventional_refinance_himedia_incentive_-108"/>
    <x v="1163"/>
    <n v="0"/>
    <n v="1"/>
    <n v="-196"/>
    <n v="364"/>
  </r>
  <r>
    <x v="4"/>
    <s v="conventional_refinance_himedia_incentive_-107"/>
    <x v="1164"/>
    <n v="0"/>
    <n v="1"/>
    <n v="-196"/>
    <n v="364"/>
  </r>
  <r>
    <x v="4"/>
    <s v="conventional_refinance_himedia_incentive_-106"/>
    <x v="1165"/>
    <n v="0"/>
    <n v="1"/>
    <n v="-196"/>
    <n v="364"/>
  </r>
  <r>
    <x v="4"/>
    <s v="conventional_refinance_himedia_incentive_-105"/>
    <x v="1166"/>
    <n v="0"/>
    <n v="1"/>
    <n v="-196"/>
    <n v="364"/>
  </r>
  <r>
    <x v="4"/>
    <s v="conventional_refinance_himedia_incentive_-104"/>
    <x v="1167"/>
    <n v="0"/>
    <n v="1"/>
    <n v="-196"/>
    <n v="364"/>
  </r>
  <r>
    <x v="4"/>
    <s v="conventional_refinance_himedia_incentive_-103"/>
    <x v="1168"/>
    <n v="0"/>
    <n v="1"/>
    <n v="-196"/>
    <n v="364"/>
  </r>
  <r>
    <x v="4"/>
    <s v="conventional_refinance_himedia_incentive_-102"/>
    <x v="1169"/>
    <n v="0"/>
    <n v="1"/>
    <n v="-196"/>
    <n v="364"/>
  </r>
  <r>
    <x v="4"/>
    <s v="conventional_refinance_himedia_incentive_-101"/>
    <x v="1170"/>
    <n v="0"/>
    <n v="1"/>
    <n v="-196"/>
    <n v="364"/>
  </r>
  <r>
    <x v="4"/>
    <s v="conventional_refinance_himedia_incentive_-100"/>
    <x v="1171"/>
    <n v="0"/>
    <n v="1"/>
    <n v="-196"/>
    <n v="364"/>
  </r>
  <r>
    <x v="4"/>
    <s v="conventional_refinance_himedia_incentive_-99"/>
    <x v="1172"/>
    <n v="0"/>
    <n v="1"/>
    <n v="-196"/>
    <n v="364"/>
  </r>
  <r>
    <x v="4"/>
    <s v="conventional_refinance_himedia_incentive_-98"/>
    <x v="1173"/>
    <n v="0"/>
    <n v="1"/>
    <n v="-196"/>
    <n v="364"/>
  </r>
  <r>
    <x v="4"/>
    <s v="conventional_refinance_himedia_incentive_-97"/>
    <x v="1174"/>
    <n v="0"/>
    <n v="1"/>
    <n v="-196"/>
    <n v="364"/>
  </r>
  <r>
    <x v="4"/>
    <s v="conventional_refinance_himedia_incentive_-96"/>
    <x v="1175"/>
    <n v="0"/>
    <n v="1"/>
    <n v="-196"/>
    <n v="364"/>
  </r>
  <r>
    <x v="4"/>
    <s v="conventional_refinance_himedia_incentive_-95"/>
    <x v="1176"/>
    <n v="0"/>
    <n v="1"/>
    <n v="-196"/>
    <n v="364"/>
  </r>
  <r>
    <x v="4"/>
    <s v="conventional_refinance_himedia_incentive_-94"/>
    <x v="1177"/>
    <n v="0"/>
    <n v="1"/>
    <n v="-196"/>
    <n v="364"/>
  </r>
  <r>
    <x v="4"/>
    <s v="conventional_refinance_himedia_incentive_-93"/>
    <x v="1178"/>
    <n v="0"/>
    <n v="1"/>
    <n v="-196"/>
    <n v="364"/>
  </r>
  <r>
    <x v="4"/>
    <s v="conventional_refinance_himedia_incentive_-92"/>
    <x v="1179"/>
    <n v="0"/>
    <n v="1"/>
    <n v="-196"/>
    <n v="364"/>
  </r>
  <r>
    <x v="4"/>
    <s v="conventional_refinance_himedia_incentive_-91"/>
    <x v="1180"/>
    <n v="0"/>
    <n v="1"/>
    <n v="-196"/>
    <n v="364"/>
  </r>
  <r>
    <x v="4"/>
    <s v="conventional_refinance_himedia_incentive_-90"/>
    <x v="1181"/>
    <n v="0"/>
    <n v="1"/>
    <n v="-196"/>
    <n v="364"/>
  </r>
  <r>
    <x v="4"/>
    <s v="conventional_refinance_himedia_incentive_-89"/>
    <x v="1182"/>
    <n v="0"/>
    <n v="1"/>
    <n v="-196"/>
    <n v="364"/>
  </r>
  <r>
    <x v="4"/>
    <s v="conventional_refinance_himedia_incentive_-88"/>
    <x v="1183"/>
    <n v="0"/>
    <n v="1"/>
    <n v="-196"/>
    <n v="364"/>
  </r>
  <r>
    <x v="4"/>
    <s v="conventional_refinance_himedia_incentive_-87"/>
    <x v="1184"/>
    <n v="0"/>
    <n v="1"/>
    <n v="-196"/>
    <n v="364"/>
  </r>
  <r>
    <x v="4"/>
    <s v="conventional_refinance_himedia_incentive_-86"/>
    <x v="1185"/>
    <n v="0"/>
    <n v="1"/>
    <n v="-196"/>
    <n v="364"/>
  </r>
  <r>
    <x v="4"/>
    <s v="conventional_refinance_himedia_incentive_-85"/>
    <x v="1186"/>
    <n v="0"/>
    <n v="1"/>
    <n v="-196"/>
    <n v="364"/>
  </r>
  <r>
    <x v="4"/>
    <s v="conventional_refinance_himedia_incentive_-84"/>
    <x v="1187"/>
    <n v="0"/>
    <n v="1"/>
    <n v="-196"/>
    <n v="364"/>
  </r>
  <r>
    <x v="4"/>
    <s v="conventional_refinance_himedia_incentive_-83"/>
    <x v="1188"/>
    <n v="0"/>
    <n v="1"/>
    <n v="-196"/>
    <n v="364"/>
  </r>
  <r>
    <x v="4"/>
    <s v="conventional_refinance_himedia_incentive_-82"/>
    <x v="1189"/>
    <n v="0"/>
    <n v="1"/>
    <n v="-196"/>
    <n v="364"/>
  </r>
  <r>
    <x v="4"/>
    <s v="conventional_refinance_himedia_incentive_-81"/>
    <x v="1190"/>
    <n v="0"/>
    <n v="1"/>
    <n v="-196"/>
    <n v="364"/>
  </r>
  <r>
    <x v="4"/>
    <s v="conventional_refinance_himedia_incentive_-80"/>
    <x v="1191"/>
    <n v="0"/>
    <n v="1"/>
    <n v="-196"/>
    <n v="364"/>
  </r>
  <r>
    <x v="4"/>
    <s v="conventional_refinance_himedia_incentive_-79"/>
    <x v="1192"/>
    <n v="0"/>
    <n v="1"/>
    <n v="-196"/>
    <n v="364"/>
  </r>
  <r>
    <x v="4"/>
    <s v="conventional_refinance_himedia_incentive_-78"/>
    <x v="1193"/>
    <n v="0"/>
    <n v="1"/>
    <n v="-196"/>
    <n v="364"/>
  </r>
  <r>
    <x v="4"/>
    <s v="conventional_refinance_himedia_incentive_-77"/>
    <x v="1194"/>
    <n v="0"/>
    <n v="1"/>
    <n v="-196"/>
    <n v="364"/>
  </r>
  <r>
    <x v="4"/>
    <s v="conventional_refinance_himedia_incentive_-76"/>
    <x v="1195"/>
    <n v="0"/>
    <n v="1"/>
    <n v="-196"/>
    <n v="364"/>
  </r>
  <r>
    <x v="4"/>
    <s v="conventional_refinance_himedia_incentive_-75"/>
    <x v="1196"/>
    <n v="0"/>
    <n v="1"/>
    <n v="-196"/>
    <n v="364"/>
  </r>
  <r>
    <x v="4"/>
    <s v="conventional_refinance_himedia_incentive_-74"/>
    <x v="1197"/>
    <n v="0"/>
    <n v="1"/>
    <n v="-196"/>
    <n v="364"/>
  </r>
  <r>
    <x v="4"/>
    <s v="conventional_refinance_himedia_incentive_-73"/>
    <x v="1198"/>
    <n v="0"/>
    <n v="1"/>
    <n v="-196"/>
    <n v="364"/>
  </r>
  <r>
    <x v="4"/>
    <s v="conventional_refinance_himedia_incentive_-72"/>
    <x v="1199"/>
    <n v="0"/>
    <n v="1"/>
    <n v="-196"/>
    <n v="364"/>
  </r>
  <r>
    <x v="4"/>
    <s v="conventional_refinance_himedia_incentive_-71"/>
    <x v="1200"/>
    <n v="0"/>
    <n v="1"/>
    <n v="-196"/>
    <n v="364"/>
  </r>
  <r>
    <x v="4"/>
    <s v="conventional_refinance_himedia_incentive_-70"/>
    <x v="1201"/>
    <n v="0"/>
    <n v="1"/>
    <n v="-196"/>
    <n v="364"/>
  </r>
  <r>
    <x v="4"/>
    <s v="conventional_refinance_himedia_incentive_-69"/>
    <x v="1202"/>
    <n v="0"/>
    <n v="1"/>
    <n v="-196"/>
    <n v="364"/>
  </r>
  <r>
    <x v="4"/>
    <s v="conventional_refinance_himedia_incentive_-68"/>
    <x v="1203"/>
    <n v="0"/>
    <n v="1"/>
    <n v="-196"/>
    <n v="364"/>
  </r>
  <r>
    <x v="4"/>
    <s v="conventional_refinance_himedia_incentive_-67"/>
    <x v="1204"/>
    <n v="0"/>
    <n v="1"/>
    <n v="-196"/>
    <n v="364"/>
  </r>
  <r>
    <x v="4"/>
    <s v="conventional_refinance_himedia_incentive_-66"/>
    <x v="1205"/>
    <n v="0"/>
    <n v="1"/>
    <n v="-196"/>
    <n v="364"/>
  </r>
  <r>
    <x v="4"/>
    <s v="conventional_refinance_himedia_incentive_-65"/>
    <x v="1206"/>
    <n v="0"/>
    <n v="1"/>
    <n v="-196"/>
    <n v="364"/>
  </r>
  <r>
    <x v="4"/>
    <s v="conventional_refinance_himedia_incentive_-64"/>
    <x v="1207"/>
    <n v="0"/>
    <n v="1"/>
    <n v="-196"/>
    <n v="364"/>
  </r>
  <r>
    <x v="4"/>
    <s v="conventional_refinance_himedia_incentive_-63"/>
    <x v="1208"/>
    <n v="0"/>
    <n v="1"/>
    <n v="-196"/>
    <n v="364"/>
  </r>
  <r>
    <x v="4"/>
    <s v="conventional_refinance_himedia_incentive_-62"/>
    <x v="1209"/>
    <n v="0"/>
    <n v="1"/>
    <n v="-196"/>
    <n v="364"/>
  </r>
  <r>
    <x v="4"/>
    <s v="conventional_refinance_himedia_incentive_-61"/>
    <x v="1210"/>
    <n v="0"/>
    <n v="1"/>
    <n v="-196"/>
    <n v="364"/>
  </r>
  <r>
    <x v="4"/>
    <s v="conventional_refinance_himedia_incentive_-60"/>
    <x v="1211"/>
    <n v="0"/>
    <n v="1"/>
    <n v="-196"/>
    <n v="364"/>
  </r>
  <r>
    <x v="4"/>
    <s v="conventional_refinance_himedia_incentive_-59"/>
    <x v="1212"/>
    <n v="0"/>
    <n v="1"/>
    <n v="-196"/>
    <n v="364"/>
  </r>
  <r>
    <x v="4"/>
    <s v="conventional_refinance_himedia_incentive_-58"/>
    <x v="1213"/>
    <n v="0"/>
    <n v="1"/>
    <n v="-196"/>
    <n v="364"/>
  </r>
  <r>
    <x v="4"/>
    <s v="conventional_refinance_himedia_incentive_-57"/>
    <x v="1214"/>
    <n v="0"/>
    <n v="1"/>
    <n v="-196"/>
    <n v="364"/>
  </r>
  <r>
    <x v="4"/>
    <s v="conventional_refinance_himedia_incentive_-56"/>
    <x v="1215"/>
    <n v="0"/>
    <n v="1"/>
    <n v="-196"/>
    <n v="364"/>
  </r>
  <r>
    <x v="4"/>
    <s v="conventional_refinance_himedia_incentive_-55"/>
    <x v="1216"/>
    <n v="0"/>
    <n v="1"/>
    <n v="-196"/>
    <n v="364"/>
  </r>
  <r>
    <x v="4"/>
    <s v="conventional_refinance_himedia_incentive_-54"/>
    <x v="1217"/>
    <n v="0"/>
    <n v="1"/>
    <n v="-196"/>
    <n v="364"/>
  </r>
  <r>
    <x v="4"/>
    <s v="conventional_refinance_himedia_incentive_-53"/>
    <x v="1218"/>
    <n v="0"/>
    <n v="1"/>
    <n v="-196"/>
    <n v="364"/>
  </r>
  <r>
    <x v="4"/>
    <s v="conventional_refinance_himedia_incentive_-52"/>
    <x v="1219"/>
    <n v="0"/>
    <n v="1"/>
    <n v="-196"/>
    <n v="364"/>
  </r>
  <r>
    <x v="4"/>
    <s v="conventional_refinance_himedia_incentive_-51"/>
    <x v="1220"/>
    <n v="0"/>
    <n v="1"/>
    <n v="-196"/>
    <n v="364"/>
  </r>
  <r>
    <x v="4"/>
    <s v="conventional_refinance_himedia_incentive_-50"/>
    <x v="1221"/>
    <n v="1.6307970245131201E-3"/>
    <n v="1"/>
    <n v="-196"/>
    <n v="364"/>
  </r>
  <r>
    <x v="4"/>
    <s v="conventional_refinance_himedia_incentive_-49"/>
    <x v="1222"/>
    <n v="6.4255083267172001E-3"/>
    <n v="1"/>
    <n v="-196"/>
    <n v="364"/>
  </r>
  <r>
    <x v="4"/>
    <s v="conventional_refinance_himedia_incentive_-48"/>
    <x v="1223"/>
    <n v="1.4237614249609299E-2"/>
    <n v="1"/>
    <n v="-196"/>
    <n v="364"/>
  </r>
  <r>
    <x v="4"/>
    <s v="conventional_refinance_himedia_incentive_-47"/>
    <x v="1224"/>
    <n v="2.49205951361866E-2"/>
    <n v="1"/>
    <n v="-196"/>
    <n v="364"/>
  </r>
  <r>
    <x v="4"/>
    <s v="conventional_refinance_himedia_incentive_-46"/>
    <x v="1225"/>
    <n v="3.8327931329446098E-2"/>
    <n v="1"/>
    <n v="-196"/>
    <n v="364"/>
  </r>
  <r>
    <x v="4"/>
    <s v="conventional_refinance_himedia_incentive_-45"/>
    <x v="1226"/>
    <n v="5.4313103172384802E-2"/>
    <n v="1"/>
    <n v="-196"/>
    <n v="364"/>
  </r>
  <r>
    <x v="4"/>
    <s v="conventional_refinance_himedia_incentive_-44"/>
    <x v="1227"/>
    <n v="7.2729591008E-2"/>
    <n v="1"/>
    <n v="-196"/>
    <n v="364"/>
  </r>
  <r>
    <x v="4"/>
    <s v="conventional_refinance_himedia_incentive_-43"/>
    <x v="1228"/>
    <n v="9.3430875179288594E-2"/>
    <n v="1"/>
    <n v="-196"/>
    <n v="364"/>
  </r>
  <r>
    <x v="4"/>
    <s v="conventional_refinance_himedia_incentive_-42"/>
    <x v="1229"/>
    <n v="0.116270436029248"/>
    <n v="1"/>
    <n v="-196"/>
    <n v="364"/>
  </r>
  <r>
    <x v="4"/>
    <s v="conventional_refinance_himedia_incentive_-41"/>
    <x v="1230"/>
    <n v="0.14110175390087501"/>
    <n v="1"/>
    <n v="-196"/>
    <n v="364"/>
  </r>
  <r>
    <x v="4"/>
    <s v="conventional_refinance_himedia_incentive_-40"/>
    <x v="0"/>
    <n v="0.16777830913716599"/>
    <n v="1"/>
    <n v="-196"/>
    <n v="364"/>
  </r>
  <r>
    <x v="4"/>
    <s v="conventional_refinance_himedia_incentive_-39"/>
    <x v="1"/>
    <n v="0.19615358208111899"/>
    <n v="1"/>
    <n v="-196"/>
    <n v="364"/>
  </r>
  <r>
    <x v="4"/>
    <s v="conventional_refinance_himedia_incentive_-38"/>
    <x v="2"/>
    <n v="0.22608105307573201"/>
    <n v="1"/>
    <n v="-196"/>
    <n v="364"/>
  </r>
  <r>
    <x v="4"/>
    <s v="conventional_refinance_himedia_incentive_-37"/>
    <x v="3"/>
    <n v="0.25741420246399999"/>
    <n v="1"/>
    <n v="-196"/>
    <n v="364"/>
  </r>
  <r>
    <x v="4"/>
    <s v="conventional_refinance_himedia_incentive_-36"/>
    <x v="4"/>
    <n v="0.29000651058892102"/>
    <n v="1"/>
    <n v="-196"/>
    <n v="364"/>
  </r>
  <r>
    <x v="4"/>
    <s v="conventional_refinance_himedia_incentive_-35"/>
    <x v="5"/>
    <n v="0.32371145779349297"/>
    <n v="1"/>
    <n v="-196"/>
    <n v="364"/>
  </r>
  <r>
    <x v="4"/>
    <s v="conventional_refinance_himedia_incentive_-34"/>
    <x v="6"/>
    <n v="0.358382524420711"/>
    <n v="1"/>
    <n v="-196"/>
    <n v="364"/>
  </r>
  <r>
    <x v="4"/>
    <s v="conventional_refinance_himedia_incentive_-33"/>
    <x v="7"/>
    <n v="0.39387319081357403"/>
    <n v="1"/>
    <n v="-196"/>
    <n v="364"/>
  </r>
  <r>
    <x v="4"/>
    <s v="conventional_refinance_himedia_incentive_-32"/>
    <x v="8"/>
    <n v="0.43003693731507903"/>
    <n v="1"/>
    <n v="-196"/>
    <n v="364"/>
  </r>
  <r>
    <x v="4"/>
    <s v="conventional_refinance_himedia_incentive_-31"/>
    <x v="9"/>
    <n v="0.46672724426822199"/>
    <n v="1"/>
    <n v="-196"/>
    <n v="364"/>
  </r>
  <r>
    <x v="4"/>
    <s v="conventional_refinance_himedia_incentive_-30"/>
    <x v="10"/>
    <n v="0.50379759201600005"/>
    <n v="1"/>
    <n v="-196"/>
    <n v="364"/>
  </r>
  <r>
    <x v="4"/>
    <s v="conventional_refinance_himedia_incentive_-29"/>
    <x v="11"/>
    <n v="0.54110146090141098"/>
    <n v="1"/>
    <n v="-196"/>
    <n v="364"/>
  </r>
  <r>
    <x v="4"/>
    <s v="conventional_refinance_himedia_incentive_-28"/>
    <x v="12"/>
    <n v="0.57849233126745203"/>
    <n v="1"/>
    <n v="-196"/>
    <n v="364"/>
  </r>
  <r>
    <x v="4"/>
    <s v="conventional_refinance_himedia_incentive_-27"/>
    <x v="13"/>
    <n v="0.61582368345712002"/>
    <n v="1"/>
    <n v="-196"/>
    <n v="364"/>
  </r>
  <r>
    <x v="4"/>
    <s v="conventional_refinance_himedia_incentive_-26"/>
    <x v="14"/>
    <n v="0.65294899781341098"/>
    <n v="1"/>
    <n v="-196"/>
    <n v="364"/>
  </r>
  <r>
    <x v="4"/>
    <s v="conventional_refinance_himedia_incentive_-25"/>
    <x v="15"/>
    <n v="0.68972175467932395"/>
    <n v="1"/>
    <n v="-196"/>
    <n v="364"/>
  </r>
  <r>
    <x v="4"/>
    <s v="conventional_refinance_himedia_incentive_-24"/>
    <x v="16"/>
    <n v="0.72599543439785397"/>
    <n v="1"/>
    <n v="-196"/>
    <n v="364"/>
  </r>
  <r>
    <x v="4"/>
    <s v="conventional_refinance_himedia_incentive_-23"/>
    <x v="17"/>
    <n v="0.76162351731199995"/>
    <n v="1"/>
    <n v="-196"/>
    <n v="364"/>
  </r>
  <r>
    <x v="4"/>
    <s v="conventional_refinance_himedia_incentive_-22"/>
    <x v="18"/>
    <n v="0.79645948376475795"/>
    <n v="1"/>
    <n v="-196"/>
    <n v="364"/>
  </r>
  <r>
    <x v="4"/>
    <s v="conventional_refinance_himedia_incentive_-21"/>
    <x v="19"/>
    <n v="0.83035681409912498"/>
    <n v="1"/>
    <n v="-196"/>
    <n v="364"/>
  </r>
  <r>
    <x v="4"/>
    <s v="conventional_refinance_himedia_incentive_-20"/>
    <x v="20"/>
    <n v="0.86316898865809899"/>
    <n v="1"/>
    <n v="-196"/>
    <n v="364"/>
  </r>
  <r>
    <x v="4"/>
    <s v="conventional_refinance_himedia_incentive_-19"/>
    <x v="21"/>
    <n v="0.894749487784676"/>
    <n v="1"/>
    <n v="-196"/>
    <n v="364"/>
  </r>
  <r>
    <x v="4"/>
    <s v="conventional_refinance_himedia_incentive_-18"/>
    <x v="22"/>
    <n v="0.92495179182185405"/>
    <n v="1"/>
    <n v="-196"/>
    <n v="364"/>
  </r>
  <r>
    <x v="4"/>
    <s v="conventional_refinance_himedia_incentive_-17"/>
    <x v="23"/>
    <n v="0.95362938111262996"/>
    <n v="1"/>
    <n v="-196"/>
    <n v="364"/>
  </r>
  <r>
    <x v="4"/>
    <s v="conventional_refinance_himedia_incentive_-16"/>
    <x v="24"/>
    <n v="0.98063573599999998"/>
    <n v="1"/>
    <n v="-196"/>
    <n v="364"/>
  </r>
  <r>
    <x v="4"/>
    <s v="conventional_refinance_himedia_incentive_-15"/>
    <x v="25"/>
    <n v="1.00650945567059"/>
    <n v="1"/>
    <n v="-196"/>
    <n v="364"/>
  </r>
  <r>
    <x v="4"/>
    <s v="conventional_refinance_himedia_incentive_-14"/>
    <x v="26"/>
    <n v="1.0319096425057099"/>
    <n v="1"/>
    <n v="-196"/>
    <n v="364"/>
  </r>
  <r>
    <x v="4"/>
    <s v="conventional_refinance_himedia_incentive_-13"/>
    <x v="27"/>
    <n v="1.0568705316403499"/>
    <n v="1"/>
    <n v="-196"/>
    <n v="364"/>
  </r>
  <r>
    <x v="4"/>
    <s v="conventional_refinance_himedia_incentive_-12"/>
    <x v="28"/>
    <n v="1.08142635820954"/>
    <n v="1"/>
    <n v="-196"/>
    <n v="364"/>
  </r>
  <r>
    <x v="4"/>
    <s v="conventional_refinance_himedia_incentive_-11"/>
    <x v="29"/>
    <n v="1.10561135734828"/>
    <n v="1"/>
    <n v="-196"/>
    <n v="364"/>
  </r>
  <r>
    <x v="4"/>
    <s v="conventional_refinance_himedia_incentive_-10"/>
    <x v="30"/>
    <n v="1.12945976419159"/>
    <n v="1"/>
    <n v="-196"/>
    <n v="364"/>
  </r>
  <r>
    <x v="4"/>
    <s v="conventional_refinance_himedia_incentive_-9"/>
    <x v="31"/>
    <n v="1.1530058138744601"/>
    <n v="1"/>
    <n v="-196"/>
    <n v="364"/>
  </r>
  <r>
    <x v="4"/>
    <s v="conventional_refinance_himedia_incentive_-8"/>
    <x v="32"/>
    <n v="1.1762837415319201"/>
    <n v="1"/>
    <n v="-196"/>
    <n v="364"/>
  </r>
  <r>
    <x v="4"/>
    <s v="conventional_refinance_himedia_incentive_-7"/>
    <x v="33"/>
    <n v="1.1993277822989601"/>
    <n v="1"/>
    <n v="-196"/>
    <n v="364"/>
  </r>
  <r>
    <x v="4"/>
    <s v="conventional_refinance_himedia_incentive_-6"/>
    <x v="34"/>
    <n v="1.22217217131061"/>
    <n v="1"/>
    <n v="-196"/>
    <n v="364"/>
  </r>
  <r>
    <x v="4"/>
    <s v="conventional_refinance_himedia_incentive_-5"/>
    <x v="35"/>
    <n v="1.2448511437018599"/>
    <n v="1"/>
    <n v="-196"/>
    <n v="364"/>
  </r>
  <r>
    <x v="4"/>
    <s v="conventional_refinance_himedia_incentive_-4"/>
    <x v="36"/>
    <n v="1.2673989346077399"/>
    <n v="1"/>
    <n v="-196"/>
    <n v="364"/>
  </r>
  <r>
    <x v="4"/>
    <s v="conventional_refinance_himedia_incentive_-3"/>
    <x v="37"/>
    <n v="1.28984977916324"/>
    <n v="1"/>
    <n v="-196"/>
    <n v="364"/>
  </r>
  <r>
    <x v="4"/>
    <s v="conventional_refinance_himedia_incentive_-2"/>
    <x v="38"/>
    <n v="1.3122379125033801"/>
    <n v="1"/>
    <n v="-196"/>
    <n v="364"/>
  </r>
  <r>
    <x v="4"/>
    <s v="conventional_refinance_himedia_incentive_-1"/>
    <x v="39"/>
    <n v="1.33459756976318"/>
    <n v="1"/>
    <n v="-196"/>
    <n v="364"/>
  </r>
  <r>
    <x v="4"/>
    <s v="conventional_refinance_himedia_incentive_0"/>
    <x v="40"/>
    <n v="1.35696298607762"/>
    <n v="1"/>
    <n v="-196"/>
    <n v="364"/>
  </r>
  <r>
    <x v="4"/>
    <s v="conventional_refinance_himedia_incentive_1"/>
    <x v="41"/>
    <n v="1.37936839658174"/>
    <n v="1"/>
    <n v="-196"/>
    <n v="364"/>
  </r>
  <r>
    <x v="4"/>
    <s v="conventional_refinance_himedia_incentive_2"/>
    <x v="42"/>
    <n v="1.4018480364105399"/>
    <n v="1"/>
    <n v="-196"/>
    <n v="364"/>
  </r>
  <r>
    <x v="4"/>
    <s v="conventional_refinance_himedia_incentive_3"/>
    <x v="43"/>
    <n v="1.42443614069902"/>
    <n v="1"/>
    <n v="-196"/>
    <n v="364"/>
  </r>
  <r>
    <x v="4"/>
    <s v="conventional_refinance_himedia_incentive_4"/>
    <x v="44"/>
    <n v="1.44716694458219"/>
    <n v="1"/>
    <n v="-196"/>
    <n v="364"/>
  </r>
  <r>
    <x v="4"/>
    <s v="conventional_refinance_himedia_incentive_5"/>
    <x v="45"/>
    <n v="1.4700746831950799"/>
    <n v="1"/>
    <n v="-196"/>
    <n v="364"/>
  </r>
  <r>
    <x v="4"/>
    <s v="conventional_refinance_himedia_incentive_6"/>
    <x v="46"/>
    <n v="1.49319359167268"/>
    <n v="1"/>
    <n v="-196"/>
    <n v="364"/>
  </r>
  <r>
    <x v="4"/>
    <s v="conventional_refinance_himedia_incentive_7"/>
    <x v="47"/>
    <n v="1.51655790515"/>
    <n v="1"/>
    <n v="-196"/>
    <n v="364"/>
  </r>
  <r>
    <x v="4"/>
    <s v="conventional_refinance_himedia_incentive_8"/>
    <x v="48"/>
    <n v="1.5402018587620601"/>
    <n v="1"/>
    <n v="-196"/>
    <n v="364"/>
  </r>
  <r>
    <x v="4"/>
    <s v="conventional_refinance_himedia_incentive_9"/>
    <x v="49"/>
    <n v="1.5641596876438699"/>
    <n v="1"/>
    <n v="-196"/>
    <n v="364"/>
  </r>
  <r>
    <x v="4"/>
    <s v="conventional_refinance_himedia_incentive_10"/>
    <x v="50"/>
    <n v="1.58846562693043"/>
    <n v="1"/>
    <n v="-196"/>
    <n v="364"/>
  </r>
  <r>
    <x v="4"/>
    <s v="conventional_refinance_himedia_incentive_11"/>
    <x v="51"/>
    <n v="1.6131539117567499"/>
    <n v="1"/>
    <n v="-196"/>
    <n v="364"/>
  </r>
  <r>
    <x v="4"/>
    <s v="conventional_refinance_himedia_incentive_12"/>
    <x v="52"/>
    <n v="1.6382587772578501"/>
    <n v="1"/>
    <n v="-196"/>
    <n v="364"/>
  </r>
  <r>
    <x v="4"/>
    <s v="conventional_refinance_himedia_incentive_13"/>
    <x v="53"/>
    <n v="1.66381445856873"/>
    <n v="1"/>
    <n v="-196"/>
    <n v="364"/>
  </r>
  <r>
    <x v="4"/>
    <s v="conventional_refinance_himedia_incentive_14"/>
    <x v="54"/>
    <n v="1.6898551908243999"/>
    <n v="1"/>
    <n v="-196"/>
    <n v="364"/>
  </r>
  <r>
    <x v="4"/>
    <s v="conventional_refinance_himedia_incentive_15"/>
    <x v="55"/>
    <n v="1.7164152091598801"/>
    <n v="1"/>
    <n v="-196"/>
    <n v="364"/>
  </r>
  <r>
    <x v="4"/>
    <s v="conventional_refinance_himedia_incentive_16"/>
    <x v="56"/>
    <n v="1.7435287487101601"/>
    <n v="1"/>
    <n v="-196"/>
    <n v="364"/>
  </r>
  <r>
    <x v="4"/>
    <s v="conventional_refinance_himedia_incentive_17"/>
    <x v="57"/>
    <n v="1.77123004461028"/>
    <n v="1"/>
    <n v="-196"/>
    <n v="364"/>
  </r>
  <r>
    <x v="4"/>
    <s v="conventional_refinance_himedia_incentive_18"/>
    <x v="58"/>
    <n v="1.7995533319952199"/>
    <n v="1"/>
    <n v="-196"/>
    <n v="364"/>
  </r>
  <r>
    <x v="4"/>
    <s v="conventional_refinance_himedia_incentive_19"/>
    <x v="59"/>
    <n v="1.8285328460000001"/>
    <n v="1"/>
    <n v="-196"/>
    <n v="364"/>
  </r>
  <r>
    <x v="4"/>
    <s v="conventional_refinance_himedia_incentive_20"/>
    <x v="60"/>
    <n v="1.8581182722121701"/>
    <n v="1"/>
    <n v="-196"/>
    <n v="364"/>
  </r>
  <r>
    <x v="4"/>
    <s v="conventional_refinance_himedia_incentive_21"/>
    <x v="61"/>
    <n v="1.8882247211038701"/>
    <n v="1"/>
    <n v="-196"/>
    <n v="364"/>
  </r>
  <r>
    <x v="4"/>
    <s v="conventional_refinance_himedia_incentive_22"/>
    <x v="62"/>
    <n v="1.91883456513696"/>
    <n v="1"/>
    <n v="-196"/>
    <n v="364"/>
  </r>
  <r>
    <x v="4"/>
    <s v="conventional_refinance_himedia_incentive_23"/>
    <x v="63"/>
    <n v="1.9499301767733299"/>
    <n v="1"/>
    <n v="-196"/>
    <n v="364"/>
  </r>
  <r>
    <x v="4"/>
    <s v="conventional_refinance_himedia_incentive_24"/>
    <x v="64"/>
    <n v="1.9814939284748601"/>
    <n v="1"/>
    <n v="-196"/>
    <n v="364"/>
  </r>
  <r>
    <x v="4"/>
    <s v="conventional_refinance_himedia_incentive_25"/>
    <x v="65"/>
    <n v="2.01350819270341"/>
    <n v="1"/>
    <n v="-196"/>
    <n v="364"/>
  </r>
  <r>
    <x v="4"/>
    <s v="conventional_refinance_himedia_incentive_26"/>
    <x v="66"/>
    <n v="2.04595534192087"/>
    <n v="1"/>
    <n v="-196"/>
    <n v="364"/>
  </r>
  <r>
    <x v="4"/>
    <s v="conventional_refinance_himedia_incentive_27"/>
    <x v="67"/>
    <n v="2.0788177485891102"/>
    <n v="1"/>
    <n v="-196"/>
    <n v="364"/>
  </r>
  <r>
    <x v="4"/>
    <s v="conventional_refinance_himedia_incentive_28"/>
    <x v="68"/>
    <n v="2.1120777851700199"/>
    <n v="1"/>
    <n v="-196"/>
    <n v="364"/>
  </r>
  <r>
    <x v="4"/>
    <s v="conventional_refinance_himedia_incentive_29"/>
    <x v="69"/>
    <n v="2.14571782412547"/>
    <n v="1"/>
    <n v="-196"/>
    <n v="364"/>
  </r>
  <r>
    <x v="4"/>
    <s v="conventional_refinance_himedia_incentive_30"/>
    <x v="70"/>
    <n v="2.1797202379173402"/>
    <n v="1"/>
    <n v="-196"/>
    <n v="364"/>
  </r>
  <r>
    <x v="4"/>
    <s v="conventional_refinance_himedia_incentive_31"/>
    <x v="71"/>
    <n v="2.2140673990074999"/>
    <n v="1"/>
    <n v="-196"/>
    <n v="364"/>
  </r>
  <r>
    <x v="4"/>
    <s v="conventional_refinance_himedia_incentive_32"/>
    <x v="72"/>
    <n v="2.2487416798578299"/>
    <n v="1"/>
    <n v="-196"/>
    <n v="364"/>
  </r>
  <r>
    <x v="4"/>
    <s v="conventional_refinance_himedia_incentive_33"/>
    <x v="73"/>
    <n v="2.2837254529302098"/>
    <n v="1"/>
    <n v="-196"/>
    <n v="364"/>
  </r>
  <r>
    <x v="4"/>
    <s v="conventional_refinance_himedia_incentive_34"/>
    <x v="74"/>
    <n v="2.3190010906865202"/>
    <n v="1"/>
    <n v="-196"/>
    <n v="364"/>
  </r>
  <r>
    <x v="4"/>
    <s v="conventional_refinance_himedia_incentive_35"/>
    <x v="75"/>
    <n v="2.3545509655886301"/>
    <n v="1"/>
    <n v="-196"/>
    <n v="364"/>
  </r>
  <r>
    <x v="4"/>
    <s v="conventional_refinance_himedia_incentive_36"/>
    <x v="76"/>
    <n v="2.3903574500984299"/>
    <n v="1"/>
    <n v="-196"/>
    <n v="364"/>
  </r>
  <r>
    <x v="4"/>
    <s v="conventional_refinance_himedia_incentive_37"/>
    <x v="77"/>
    <n v="2.4264029166777901"/>
    <n v="1"/>
    <n v="-196"/>
    <n v="364"/>
  </r>
  <r>
    <x v="4"/>
    <s v="conventional_refinance_himedia_incentive_38"/>
    <x v="78"/>
    <n v="2.46266973778858"/>
    <n v="1"/>
    <n v="-196"/>
    <n v="364"/>
  </r>
  <r>
    <x v="4"/>
    <s v="conventional_refinance_himedia_incentive_39"/>
    <x v="79"/>
    <n v="2.4991402858926799"/>
    <n v="1"/>
    <n v="-196"/>
    <n v="364"/>
  </r>
  <r>
    <x v="4"/>
    <s v="conventional_refinance_himedia_incentive_40"/>
    <x v="80"/>
    <n v="2.5357969334519801"/>
    <n v="1"/>
    <n v="-196"/>
    <n v="364"/>
  </r>
  <r>
    <x v="4"/>
    <s v="conventional_refinance_himedia_incentive_41"/>
    <x v="81"/>
    <n v="2.5726220529283501"/>
    <n v="1"/>
    <n v="-196"/>
    <n v="364"/>
  </r>
  <r>
    <x v="4"/>
    <s v="conventional_refinance_himedia_incentive_42"/>
    <x v="82"/>
    <n v="2.6095980167836599"/>
    <n v="1"/>
    <n v="-196"/>
    <n v="364"/>
  </r>
  <r>
    <x v="4"/>
    <s v="conventional_refinance_himedia_incentive_43"/>
    <x v="83"/>
    <n v="2.6467071974798002"/>
    <n v="1"/>
    <n v="-196"/>
    <n v="364"/>
  </r>
  <r>
    <x v="4"/>
    <s v="conventional_refinance_himedia_incentive_44"/>
    <x v="84"/>
    <n v="2.6839319674786402"/>
    <n v="1"/>
    <n v="-196"/>
    <n v="364"/>
  </r>
  <r>
    <x v="4"/>
    <s v="conventional_refinance_himedia_incentive_45"/>
    <x v="85"/>
    <n v="2.7212546992420599"/>
    <n v="1"/>
    <n v="-196"/>
    <n v="364"/>
  </r>
  <r>
    <x v="4"/>
    <s v="conventional_refinance_himedia_incentive_46"/>
    <x v="86"/>
    <n v="2.7586577652319302"/>
    <n v="1"/>
    <n v="-196"/>
    <n v="364"/>
  </r>
  <r>
    <x v="4"/>
    <s v="conventional_refinance_himedia_incentive_47"/>
    <x v="87"/>
    <n v="2.7961235379101401"/>
    <n v="1"/>
    <n v="-196"/>
    <n v="364"/>
  </r>
  <r>
    <x v="4"/>
    <s v="conventional_refinance_himedia_incentive_48"/>
    <x v="88"/>
    <n v="2.8336343897385601"/>
    <n v="1"/>
    <n v="-196"/>
    <n v="364"/>
  </r>
  <r>
    <x v="4"/>
    <s v="conventional_refinance_himedia_incentive_49"/>
    <x v="89"/>
    <n v="2.87117269317906"/>
    <n v="1"/>
    <n v="-196"/>
    <n v="364"/>
  </r>
  <r>
    <x v="4"/>
    <s v="conventional_refinance_himedia_incentive_50"/>
    <x v="90"/>
    <n v="2.9087208206935302"/>
    <n v="1"/>
    <n v="-196"/>
    <n v="364"/>
  </r>
  <r>
    <x v="4"/>
    <s v="conventional_refinance_himedia_incentive_51"/>
    <x v="91"/>
    <n v="2.94626114474385"/>
    <n v="1"/>
    <n v="-196"/>
    <n v="364"/>
  </r>
  <r>
    <x v="4"/>
    <s v="conventional_refinance_himedia_incentive_52"/>
    <x v="92"/>
    <n v="2.9837760377918898"/>
    <n v="1"/>
    <n v="-196"/>
    <n v="364"/>
  </r>
  <r>
    <x v="4"/>
    <s v="conventional_refinance_himedia_incentive_53"/>
    <x v="93"/>
    <n v="3.02124787229952"/>
    <n v="1"/>
    <n v="-196"/>
    <n v="364"/>
  </r>
  <r>
    <x v="4"/>
    <s v="conventional_refinance_himedia_incentive_54"/>
    <x v="94"/>
    <n v="3.0586590207286299"/>
    <n v="1"/>
    <n v="-196"/>
    <n v="364"/>
  </r>
  <r>
    <x v="4"/>
    <s v="conventional_refinance_himedia_incentive_55"/>
    <x v="95"/>
    <n v="3.0959918555410901"/>
    <n v="1"/>
    <n v="-196"/>
    <n v="364"/>
  </r>
  <r>
    <x v="4"/>
    <s v="conventional_refinance_himedia_incentive_56"/>
    <x v="96"/>
    <n v="3.13322874919879"/>
    <n v="1"/>
    <n v="-196"/>
    <n v="364"/>
  </r>
  <r>
    <x v="4"/>
    <s v="conventional_refinance_himedia_incentive_57"/>
    <x v="97"/>
    <n v="3.1703520741635902"/>
    <n v="1"/>
    <n v="-196"/>
    <n v="364"/>
  </r>
  <r>
    <x v="4"/>
    <s v="conventional_refinance_himedia_incentive_58"/>
    <x v="98"/>
    <n v="3.20734420289737"/>
    <n v="1"/>
    <n v="-196"/>
    <n v="364"/>
  </r>
  <r>
    <x v="4"/>
    <s v="conventional_refinance_himedia_incentive_59"/>
    <x v="99"/>
    <n v="3.2441875078620201"/>
    <n v="1"/>
    <n v="-196"/>
    <n v="364"/>
  </r>
  <r>
    <x v="4"/>
    <s v="conventional_refinance_himedia_incentive_60"/>
    <x v="100"/>
    <n v="3.2808643615194102"/>
    <n v="1"/>
    <n v="-196"/>
    <n v="364"/>
  </r>
  <r>
    <x v="4"/>
    <s v="conventional_refinance_himedia_incentive_61"/>
    <x v="101"/>
    <n v="3.3173571363314101"/>
    <n v="1"/>
    <n v="-196"/>
    <n v="364"/>
  </r>
  <r>
    <x v="4"/>
    <s v="conventional_refinance_himedia_incentive_62"/>
    <x v="102"/>
    <n v="3.3536482047599101"/>
    <n v="1"/>
    <n v="-196"/>
    <n v="364"/>
  </r>
  <r>
    <x v="4"/>
    <s v="conventional_refinance_himedia_incentive_63"/>
    <x v="103"/>
    <n v="3.38971993926679"/>
    <n v="1"/>
    <n v="-196"/>
    <n v="364"/>
  </r>
  <r>
    <x v="4"/>
    <s v="conventional_refinance_himedia_incentive_64"/>
    <x v="104"/>
    <n v="3.4255547123139101"/>
    <n v="1"/>
    <n v="-196"/>
    <n v="364"/>
  </r>
  <r>
    <x v="4"/>
    <s v="conventional_refinance_himedia_incentive_65"/>
    <x v="105"/>
    <n v="3.4611348963631601"/>
    <n v="1"/>
    <n v="-196"/>
    <n v="364"/>
  </r>
  <r>
    <x v="4"/>
    <s v="conventional_refinance_himedia_incentive_66"/>
    <x v="106"/>
    <n v="3.49644286387641"/>
    <n v="1"/>
    <n v="-196"/>
    <n v="364"/>
  </r>
  <r>
    <x v="4"/>
    <s v="conventional_refinance_himedia_incentive_67"/>
    <x v="107"/>
    <n v="3.5314609873155498"/>
    <n v="1"/>
    <n v="-196"/>
    <n v="364"/>
  </r>
  <r>
    <x v="4"/>
    <s v="conventional_refinance_himedia_incentive_68"/>
    <x v="108"/>
    <n v="3.5661716391424401"/>
    <n v="1"/>
    <n v="-196"/>
    <n v="364"/>
  </r>
  <r>
    <x v="4"/>
    <s v="conventional_refinance_himedia_incentive_69"/>
    <x v="109"/>
    <n v="3.6005571918189698"/>
    <n v="1"/>
    <n v="-196"/>
    <n v="364"/>
  </r>
  <r>
    <x v="4"/>
    <s v="conventional_refinance_himedia_incentive_70"/>
    <x v="110"/>
    <n v="3.6346000178070201"/>
    <n v="1"/>
    <n v="-196"/>
    <n v="364"/>
  </r>
  <r>
    <x v="4"/>
    <s v="conventional_refinance_himedia_incentive_71"/>
    <x v="111"/>
    <n v="3.66828248956846"/>
    <n v="1"/>
    <n v="-196"/>
    <n v="364"/>
  </r>
  <r>
    <x v="4"/>
    <s v="conventional_refinance_himedia_incentive_72"/>
    <x v="112"/>
    <n v="3.7015869795651599"/>
    <n v="1"/>
    <n v="-196"/>
    <n v="364"/>
  </r>
  <r>
    <x v="4"/>
    <s v="conventional_refinance_himedia_incentive_73"/>
    <x v="113"/>
    <n v="3.7344958602590199"/>
    <n v="1"/>
    <n v="-196"/>
    <n v="364"/>
  </r>
  <r>
    <x v="4"/>
    <s v="conventional_refinance_himedia_incentive_74"/>
    <x v="114"/>
    <n v="3.76699150411189"/>
    <n v="1"/>
    <n v="-196"/>
    <n v="364"/>
  </r>
  <r>
    <x v="4"/>
    <s v="conventional_refinance_himedia_incentive_75"/>
    <x v="115"/>
    <n v="3.7990562835856698"/>
    <n v="1"/>
    <n v="-196"/>
    <n v="364"/>
  </r>
  <r>
    <x v="4"/>
    <s v="conventional_refinance_himedia_incentive_76"/>
    <x v="116"/>
    <n v="3.8306725711422298"/>
    <n v="1"/>
    <n v="-196"/>
    <n v="364"/>
  </r>
  <r>
    <x v="4"/>
    <s v="conventional_refinance_himedia_incentive_77"/>
    <x v="117"/>
    <n v="3.8618227392434399"/>
    <n v="1"/>
    <n v="-196"/>
    <n v="364"/>
  </r>
  <r>
    <x v="4"/>
    <s v="conventional_refinance_himedia_incentive_78"/>
    <x v="118"/>
    <n v="3.89248916035119"/>
    <n v="1"/>
    <n v="-196"/>
    <n v="364"/>
  </r>
  <r>
    <x v="4"/>
    <s v="conventional_refinance_himedia_incentive_79"/>
    <x v="119"/>
    <n v="3.9226542069273398"/>
    <n v="1"/>
    <n v="-196"/>
    <n v="364"/>
  </r>
  <r>
    <x v="4"/>
    <s v="conventional_refinance_himedia_incentive_80"/>
    <x v="120"/>
    <n v="3.9523002514337899"/>
    <n v="1"/>
    <n v="-196"/>
    <n v="364"/>
  </r>
  <r>
    <x v="4"/>
    <s v="conventional_refinance_himedia_incentive_81"/>
    <x v="121"/>
    <n v="3.9814096663324001"/>
    <n v="1"/>
    <n v="-196"/>
    <n v="364"/>
  </r>
  <r>
    <x v="4"/>
    <s v="conventional_refinance_himedia_incentive_82"/>
    <x v="122"/>
    <n v="4.0099648240850501"/>
    <n v="1"/>
    <n v="-196"/>
    <n v="364"/>
  </r>
  <r>
    <x v="4"/>
    <s v="conventional_refinance_himedia_incentive_83"/>
    <x v="123"/>
    <n v="4.0379480971536301"/>
    <n v="1"/>
    <n v="-196"/>
    <n v="364"/>
  </r>
  <r>
    <x v="4"/>
    <s v="conventional_refinance_himedia_incentive_84"/>
    <x v="124"/>
    <n v="4.065341858"/>
    <n v="1"/>
    <n v="-196"/>
    <n v="364"/>
  </r>
  <r>
    <x v="4"/>
    <s v="conventional_refinance_himedia_incentive_85"/>
    <x v="125"/>
    <n v="4.0923365222828396"/>
    <n v="1"/>
    <n v="-196"/>
    <n v="364"/>
  </r>
  <r>
    <x v="4"/>
    <s v="conventional_refinance_himedia_incentive_86"/>
    <x v="126"/>
    <n v="4.1191352784208304"/>
    <n v="1"/>
    <n v="-196"/>
    <n v="364"/>
  </r>
  <r>
    <x v="4"/>
    <s v="conventional_refinance_himedia_incentive_87"/>
    <x v="127"/>
    <n v="4.1457396580159296"/>
    <n v="1"/>
    <n v="-196"/>
    <n v="364"/>
  </r>
  <r>
    <x v="4"/>
    <s v="conventional_refinance_himedia_incentive_88"/>
    <x v="128"/>
    <n v="4.1721511926700598"/>
    <n v="1"/>
    <n v="-196"/>
    <n v="364"/>
  </r>
  <r>
    <x v="4"/>
    <s v="conventional_refinance_himedia_incentive_89"/>
    <x v="129"/>
    <n v="4.19837141398515"/>
    <n v="1"/>
    <n v="-196"/>
    <n v="364"/>
  </r>
  <r>
    <x v="4"/>
    <s v="conventional_refinance_himedia_incentive_90"/>
    <x v="130"/>
    <n v="4.2244018535631502"/>
    <n v="1"/>
    <n v="-196"/>
    <n v="364"/>
  </r>
  <r>
    <x v="4"/>
    <s v="conventional_refinance_himedia_incentive_91"/>
    <x v="131"/>
    <n v="4.2502440430059698"/>
    <n v="1"/>
    <n v="-196"/>
    <n v="364"/>
  </r>
  <r>
    <x v="4"/>
    <s v="conventional_refinance_himedia_incentive_92"/>
    <x v="132"/>
    <n v="4.2758995139155598"/>
    <n v="1"/>
    <n v="-196"/>
    <n v="364"/>
  </r>
  <r>
    <x v="4"/>
    <s v="conventional_refinance_himedia_incentive_93"/>
    <x v="133"/>
    <n v="4.3013697978938499"/>
    <n v="1"/>
    <n v="-196"/>
    <n v="364"/>
  </r>
  <r>
    <x v="4"/>
    <s v="conventional_refinance_himedia_incentive_94"/>
    <x v="134"/>
    <n v="4.3266564265427698"/>
    <n v="1"/>
    <n v="-196"/>
    <n v="364"/>
  </r>
  <r>
    <x v="4"/>
    <s v="conventional_refinance_himedia_incentive_95"/>
    <x v="135"/>
    <n v="4.35176093146426"/>
    <n v="1"/>
    <n v="-196"/>
    <n v="364"/>
  </r>
  <r>
    <x v="4"/>
    <s v="conventional_refinance_himedia_incentive_96"/>
    <x v="136"/>
    <n v="4.3766848442602404"/>
    <n v="1"/>
    <n v="-196"/>
    <n v="364"/>
  </r>
  <r>
    <x v="4"/>
    <s v="conventional_refinance_himedia_incentive_97"/>
    <x v="137"/>
    <n v="4.4014296965326603"/>
    <n v="1"/>
    <n v="-196"/>
    <n v="364"/>
  </r>
  <r>
    <x v="4"/>
    <s v="conventional_refinance_himedia_incentive_98"/>
    <x v="138"/>
    <n v="4.4259970198834502"/>
    <n v="1"/>
    <n v="-196"/>
    <n v="364"/>
  </r>
  <r>
    <x v="4"/>
    <s v="conventional_refinance_himedia_incentive_99"/>
    <x v="139"/>
    <n v="4.4503883459145399"/>
    <n v="1"/>
    <n v="-196"/>
    <n v="364"/>
  </r>
  <r>
    <x v="4"/>
    <s v="conventional_refinance_himedia_incentive_100"/>
    <x v="140"/>
    <n v="4.4746052062278601"/>
    <n v="1"/>
    <n v="-196"/>
    <n v="364"/>
  </r>
  <r>
    <x v="4"/>
    <s v="conventional_refinance_himedia_incentive_101"/>
    <x v="141"/>
    <n v="4.4986491324253501"/>
    <n v="1"/>
    <n v="-196"/>
    <n v="364"/>
  </r>
  <r>
    <x v="4"/>
    <s v="conventional_refinance_himedia_incentive_102"/>
    <x v="142"/>
    <n v="4.5225216561089399"/>
    <n v="1"/>
    <n v="-196"/>
    <n v="364"/>
  </r>
  <r>
    <x v="4"/>
    <s v="conventional_refinance_himedia_incentive_103"/>
    <x v="143"/>
    <n v="4.5462243088805598"/>
    <n v="1"/>
    <n v="-196"/>
    <n v="364"/>
  </r>
  <r>
    <x v="4"/>
    <s v="conventional_refinance_himedia_incentive_104"/>
    <x v="144"/>
    <n v="4.5697586223421496"/>
    <n v="1"/>
    <n v="-196"/>
    <n v="364"/>
  </r>
  <r>
    <x v="4"/>
    <s v="conventional_refinance_himedia_incentive_105"/>
    <x v="145"/>
    <n v="4.5931261280956504"/>
    <n v="1"/>
    <n v="-196"/>
    <n v="364"/>
  </r>
  <r>
    <x v="4"/>
    <s v="conventional_refinance_himedia_incentive_106"/>
    <x v="146"/>
    <n v="4.6163283577429803"/>
    <n v="1"/>
    <n v="-196"/>
    <n v="364"/>
  </r>
  <r>
    <x v="4"/>
    <s v="conventional_refinance_himedia_incentive_107"/>
    <x v="147"/>
    <n v="4.6393668428860702"/>
    <n v="1"/>
    <n v="-196"/>
    <n v="364"/>
  </r>
  <r>
    <x v="4"/>
    <s v="conventional_refinance_himedia_incentive_108"/>
    <x v="148"/>
    <n v="4.66224311512687"/>
    <n v="1"/>
    <n v="-196"/>
    <n v="364"/>
  </r>
  <r>
    <x v="4"/>
    <s v="conventional_refinance_himedia_incentive_109"/>
    <x v="149"/>
    <n v="4.6849587060673104"/>
    <n v="1"/>
    <n v="-196"/>
    <n v="364"/>
  </r>
  <r>
    <x v="4"/>
    <s v="conventional_refinance_himedia_incentive_110"/>
    <x v="150"/>
    <n v="4.7075151473093104"/>
    <n v="1"/>
    <n v="-196"/>
    <n v="364"/>
  </r>
  <r>
    <x v="4"/>
    <s v="conventional_refinance_himedia_incentive_111"/>
    <x v="151"/>
    <n v="4.7299139704548203"/>
    <n v="1"/>
    <n v="-196"/>
    <n v="364"/>
  </r>
  <r>
    <x v="4"/>
    <s v="conventional_refinance_himedia_incentive_112"/>
    <x v="152"/>
    <n v="4.75215670710576"/>
    <n v="1"/>
    <n v="-196"/>
    <n v="364"/>
  </r>
  <r>
    <x v="4"/>
    <s v="conventional_refinance_himedia_incentive_113"/>
    <x v="153"/>
    <n v="4.7742448888640796"/>
    <n v="1"/>
    <n v="-196"/>
    <n v="364"/>
  </r>
  <r>
    <x v="4"/>
    <s v="conventional_refinance_himedia_incentive_114"/>
    <x v="154"/>
    <n v="4.7961800473316902"/>
    <n v="1"/>
    <n v="-196"/>
    <n v="364"/>
  </r>
  <r>
    <x v="4"/>
    <s v="conventional_refinance_himedia_incentive_115"/>
    <x v="155"/>
    <n v="4.81796371411055"/>
    <n v="1"/>
    <n v="-196"/>
    <n v="364"/>
  </r>
  <r>
    <x v="4"/>
    <s v="conventional_refinance_himedia_incentive_116"/>
    <x v="156"/>
    <n v="4.83959742080257"/>
    <n v="1"/>
    <n v="-196"/>
    <n v="364"/>
  </r>
  <r>
    <x v="4"/>
    <s v="conventional_refinance_himedia_incentive_117"/>
    <x v="157"/>
    <n v="4.8610826990096996"/>
    <n v="1"/>
    <n v="-196"/>
    <n v="364"/>
  </r>
  <r>
    <x v="4"/>
    <s v="conventional_refinance_himedia_incentive_118"/>
    <x v="158"/>
    <n v="4.8824210803338604"/>
    <n v="1"/>
    <n v="-196"/>
    <n v="364"/>
  </r>
  <r>
    <x v="4"/>
    <s v="conventional_refinance_himedia_incentive_119"/>
    <x v="159"/>
    <n v="4.9036140963769999"/>
    <n v="1"/>
    <n v="-196"/>
    <n v="364"/>
  </r>
  <r>
    <x v="4"/>
    <s v="conventional_refinance_himedia_incentive_120"/>
    <x v="160"/>
    <n v="4.9246632787410398"/>
    <n v="1"/>
    <n v="-196"/>
    <n v="364"/>
  </r>
  <r>
    <x v="4"/>
    <s v="conventional_refinance_himedia_incentive_121"/>
    <x v="161"/>
    <n v="4.9455701590279197"/>
    <n v="1"/>
    <n v="-196"/>
    <n v="364"/>
  </r>
  <r>
    <x v="4"/>
    <s v="conventional_refinance_himedia_incentive_122"/>
    <x v="162"/>
    <n v="4.9663362688395702"/>
    <n v="1"/>
    <n v="-196"/>
    <n v="364"/>
  </r>
  <r>
    <x v="4"/>
    <s v="conventional_refinance_himedia_incentive_123"/>
    <x v="163"/>
    <n v="4.9869631397779299"/>
    <n v="1"/>
    <n v="-196"/>
    <n v="364"/>
  </r>
  <r>
    <x v="4"/>
    <s v="conventional_refinance_himedia_incentive_124"/>
    <x v="164"/>
    <n v="5.0074523034449197"/>
    <n v="1"/>
    <n v="-196"/>
    <n v="364"/>
  </r>
  <r>
    <x v="4"/>
    <s v="conventional_refinance_himedia_incentive_125"/>
    <x v="165"/>
    <n v="5.0278052914424904"/>
    <n v="1"/>
    <n v="-196"/>
    <n v="364"/>
  </r>
  <r>
    <x v="4"/>
    <s v="conventional_refinance_himedia_incentive_126"/>
    <x v="166"/>
    <n v="5.0480236353725596"/>
    <n v="1"/>
    <n v="-196"/>
    <n v="364"/>
  </r>
  <r>
    <x v="4"/>
    <s v="conventional_refinance_himedia_incentive_127"/>
    <x v="167"/>
    <n v="5.06810886683708"/>
    <n v="1"/>
    <n v="-196"/>
    <n v="364"/>
  </r>
  <r>
    <x v="4"/>
    <s v="conventional_refinance_himedia_incentive_128"/>
    <x v="168"/>
    <n v="5.0880625174379599"/>
    <n v="1"/>
    <n v="-196"/>
    <n v="364"/>
  </r>
  <r>
    <x v="4"/>
    <s v="conventional_refinance_himedia_incentive_129"/>
    <x v="169"/>
    <n v="5.1078861187771496"/>
    <n v="1"/>
    <n v="-196"/>
    <n v="364"/>
  </r>
  <r>
    <x v="4"/>
    <s v="conventional_refinance_himedia_incentive_130"/>
    <x v="170"/>
    <n v="5.1275812024565903"/>
    <n v="1"/>
    <n v="-196"/>
    <n v="364"/>
  </r>
  <r>
    <x v="4"/>
    <s v="conventional_refinance_himedia_incentive_131"/>
    <x v="171"/>
    <n v="5.1471493000781896"/>
    <n v="1"/>
    <n v="-196"/>
    <n v="364"/>
  </r>
  <r>
    <x v="4"/>
    <s v="conventional_refinance_himedia_incentive_132"/>
    <x v="172"/>
    <n v="5.1665919432439003"/>
    <n v="1"/>
    <n v="-196"/>
    <n v="364"/>
  </r>
  <r>
    <x v="4"/>
    <s v="conventional_refinance_himedia_incentive_133"/>
    <x v="173"/>
    <n v="5.18591066355566"/>
    <n v="1"/>
    <n v="-196"/>
    <n v="364"/>
  </r>
  <r>
    <x v="4"/>
    <s v="conventional_refinance_himedia_incentive_134"/>
    <x v="174"/>
    <n v="5.2051069926153799"/>
    <n v="1"/>
    <n v="-196"/>
    <n v="364"/>
  </r>
  <r>
    <x v="4"/>
    <s v="conventional_refinance_himedia_incentive_135"/>
    <x v="175"/>
    <n v="5.2241824620250199"/>
    <n v="1"/>
    <n v="-196"/>
    <n v="364"/>
  </r>
  <r>
    <x v="4"/>
    <s v="conventional_refinance_himedia_incentive_136"/>
    <x v="176"/>
    <n v="5.2431386033865"/>
    <n v="1"/>
    <n v="-196"/>
    <n v="364"/>
  </r>
  <r>
    <x v="4"/>
    <s v="conventional_refinance_himedia_incentive_137"/>
    <x v="177"/>
    <n v="5.2619769483017498"/>
    <n v="1"/>
    <n v="-196"/>
    <n v="364"/>
  </r>
  <r>
    <x v="4"/>
    <s v="conventional_refinance_himedia_incentive_138"/>
    <x v="178"/>
    <n v="5.2806990283727098"/>
    <n v="1"/>
    <n v="-196"/>
    <n v="364"/>
  </r>
  <r>
    <x v="4"/>
    <s v="conventional_refinance_himedia_incentive_139"/>
    <x v="179"/>
    <n v="5.2993063752013096"/>
    <n v="1"/>
    <n v="-196"/>
    <n v="364"/>
  </r>
  <r>
    <x v="4"/>
    <s v="conventional_refinance_himedia_incentive_140"/>
    <x v="180"/>
    <n v="5.31780052038948"/>
    <n v="1"/>
    <n v="-196"/>
    <n v="364"/>
  </r>
  <r>
    <x v="4"/>
    <s v="conventional_refinance_himedia_incentive_141"/>
    <x v="181"/>
    <n v="5.3361829955391702"/>
    <n v="1"/>
    <n v="-196"/>
    <n v="364"/>
  </r>
  <r>
    <x v="4"/>
    <s v="conventional_refinance_himedia_incentive_142"/>
    <x v="182"/>
    <n v="5.3544553322523001"/>
    <n v="1"/>
    <n v="-196"/>
    <n v="364"/>
  </r>
  <r>
    <x v="4"/>
    <s v="conventional_refinance_himedia_incentive_143"/>
    <x v="183"/>
    <n v="5.3726190621308003"/>
    <n v="1"/>
    <n v="-196"/>
    <n v="364"/>
  </r>
  <r>
    <x v="4"/>
    <s v="conventional_refinance_himedia_incentive_144"/>
    <x v="184"/>
    <n v="5.3906757167766202"/>
    <n v="1"/>
    <n v="-196"/>
    <n v="364"/>
  </r>
  <r>
    <x v="4"/>
    <s v="conventional_refinance_himedia_incentive_145"/>
    <x v="185"/>
    <n v="5.4086268277916698"/>
    <n v="1"/>
    <n v="-196"/>
    <n v="364"/>
  </r>
  <r>
    <x v="4"/>
    <s v="conventional_refinance_himedia_incentive_146"/>
    <x v="186"/>
    <n v="5.4264739267779101"/>
    <n v="1"/>
    <n v="-196"/>
    <n v="364"/>
  </r>
  <r>
    <x v="4"/>
    <s v="conventional_refinance_himedia_incentive_147"/>
    <x v="187"/>
    <n v="5.4442185453372502"/>
    <n v="1"/>
    <n v="-196"/>
    <n v="364"/>
  </r>
  <r>
    <x v="4"/>
    <s v="conventional_refinance_himedia_incentive_148"/>
    <x v="188"/>
    <n v="5.4618622150716396"/>
    <n v="1"/>
    <n v="-196"/>
    <n v="364"/>
  </r>
  <r>
    <x v="4"/>
    <s v="conventional_refinance_himedia_incentive_149"/>
    <x v="189"/>
    <n v="5.4794064675829999"/>
    <n v="1"/>
    <n v="-196"/>
    <n v="364"/>
  </r>
  <r>
    <x v="4"/>
    <s v="conventional_refinance_himedia_incentive_150"/>
    <x v="190"/>
    <n v="5.4968528344732697"/>
    <n v="1"/>
    <n v="-196"/>
    <n v="364"/>
  </r>
  <r>
    <x v="4"/>
    <s v="conventional_refinance_himedia_incentive_151"/>
    <x v="191"/>
    <n v="5.5142028473443903"/>
    <n v="1"/>
    <n v="-196"/>
    <n v="364"/>
  </r>
  <r>
    <x v="4"/>
    <s v="conventional_refinance_himedia_incentive_152"/>
    <x v="192"/>
    <n v="5.5314580377982896"/>
    <n v="1"/>
    <n v="-196"/>
    <n v="364"/>
  </r>
  <r>
    <x v="4"/>
    <s v="conventional_refinance_himedia_incentive_153"/>
    <x v="193"/>
    <n v="5.5486199374369001"/>
    <n v="1"/>
    <n v="-196"/>
    <n v="364"/>
  </r>
  <r>
    <x v="4"/>
    <s v="conventional_refinance_himedia_incentive_154"/>
    <x v="194"/>
    <n v="5.5656900778621496"/>
    <n v="1"/>
    <n v="-196"/>
    <n v="364"/>
  </r>
  <r>
    <x v="4"/>
    <s v="conventional_refinance_himedia_incentive_155"/>
    <x v="195"/>
    <n v="5.5826699906759902"/>
    <n v="1"/>
    <n v="-196"/>
    <n v="364"/>
  </r>
  <r>
    <x v="4"/>
    <s v="conventional_refinance_himedia_incentive_156"/>
    <x v="196"/>
    <n v="5.5995612074803303"/>
    <n v="1"/>
    <n v="-196"/>
    <n v="364"/>
  </r>
  <r>
    <x v="4"/>
    <s v="conventional_refinance_himedia_incentive_157"/>
    <x v="197"/>
    <n v="5.6163652598771199"/>
    <n v="1"/>
    <n v="-196"/>
    <n v="364"/>
  </r>
  <r>
    <x v="4"/>
    <s v="conventional_refinance_himedia_incentive_158"/>
    <x v="198"/>
    <n v="5.6330836794682897"/>
    <n v="1"/>
    <n v="-196"/>
    <n v="364"/>
  </r>
  <r>
    <x v="4"/>
    <s v="conventional_refinance_himedia_incentive_159"/>
    <x v="199"/>
    <n v="5.6497179978557703"/>
    <n v="1"/>
    <n v="-196"/>
    <n v="364"/>
  </r>
  <r>
    <x v="4"/>
    <s v="conventional_refinance_himedia_incentive_160"/>
    <x v="200"/>
    <n v="5.6662697466415004"/>
    <n v="1"/>
    <n v="-196"/>
    <n v="364"/>
  </r>
  <r>
    <x v="4"/>
    <s v="conventional_refinance_himedia_incentive_161"/>
    <x v="201"/>
    <n v="5.6827404574273999"/>
    <n v="1"/>
    <n v="-196"/>
    <n v="364"/>
  </r>
  <r>
    <x v="4"/>
    <s v="conventional_refinance_himedia_incentive_162"/>
    <x v="202"/>
    <n v="5.6991316618154197"/>
    <n v="1"/>
    <n v="-196"/>
    <n v="364"/>
  </r>
  <r>
    <x v="4"/>
    <s v="conventional_refinance_himedia_incentive_163"/>
    <x v="203"/>
    <n v="5.7154448914074898"/>
    <n v="1"/>
    <n v="-196"/>
    <n v="364"/>
  </r>
  <r>
    <x v="4"/>
    <s v="conventional_refinance_himedia_incentive_164"/>
    <x v="204"/>
    <n v="5.7316816778055397"/>
    <n v="1"/>
    <n v="-196"/>
    <n v="364"/>
  </r>
  <r>
    <x v="4"/>
    <s v="conventional_refinance_himedia_incentive_165"/>
    <x v="205"/>
    <n v="5.7478435526115002"/>
    <n v="1"/>
    <n v="-196"/>
    <n v="364"/>
  </r>
  <r>
    <x v="4"/>
    <s v="conventional_refinance_himedia_incentive_166"/>
    <x v="206"/>
    <n v="5.7639320474273097"/>
    <n v="1"/>
    <n v="-196"/>
    <n v="364"/>
  </r>
  <r>
    <x v="4"/>
    <s v="conventional_refinance_himedia_incentive_167"/>
    <x v="207"/>
    <n v="5.7799486938548998"/>
    <n v="1"/>
    <n v="-196"/>
    <n v="364"/>
  </r>
  <r>
    <x v="4"/>
    <s v="conventional_refinance_himedia_incentive_168"/>
    <x v="208"/>
    <n v="5.7958950234962003"/>
    <n v="1"/>
    <n v="-196"/>
    <n v="364"/>
  </r>
  <r>
    <x v="4"/>
    <s v="conventional_refinance_himedia_incentive_169"/>
    <x v="209"/>
    <n v="5.8117725679531498"/>
    <n v="1"/>
    <n v="-196"/>
    <n v="364"/>
  </r>
  <r>
    <x v="4"/>
    <s v="conventional_refinance_himedia_incentive_170"/>
    <x v="210"/>
    <n v="5.8275828588276903"/>
    <n v="1"/>
    <n v="-196"/>
    <n v="364"/>
  </r>
  <r>
    <x v="4"/>
    <s v="conventional_refinance_himedia_incentive_171"/>
    <x v="211"/>
    <n v="5.8433274277217402"/>
    <n v="1"/>
    <n v="-196"/>
    <n v="364"/>
  </r>
  <r>
    <x v="4"/>
    <s v="conventional_refinance_himedia_incentive_172"/>
    <x v="212"/>
    <n v="5.8590078062372299"/>
    <n v="1"/>
    <n v="-196"/>
    <n v="364"/>
  </r>
  <r>
    <x v="4"/>
    <s v="conventional_refinance_himedia_incentive_173"/>
    <x v="213"/>
    <n v="5.8746255259761098"/>
    <n v="1"/>
    <n v="-196"/>
    <n v="364"/>
  </r>
  <r>
    <x v="4"/>
    <s v="conventional_refinance_himedia_incentive_174"/>
    <x v="214"/>
    <n v="5.8901821185403103"/>
    <n v="1"/>
    <n v="-196"/>
    <n v="364"/>
  </r>
  <r>
    <x v="4"/>
    <s v="conventional_refinance_himedia_incentive_175"/>
    <x v="215"/>
    <n v="5.9056791155317496"/>
    <n v="1"/>
    <n v="-196"/>
    <n v="364"/>
  </r>
  <r>
    <x v="4"/>
    <s v="conventional_refinance_himedia_incentive_176"/>
    <x v="216"/>
    <n v="5.9211180485523798"/>
    <n v="1"/>
    <n v="-196"/>
    <n v="364"/>
  </r>
  <r>
    <x v="4"/>
    <s v="conventional_refinance_himedia_incentive_177"/>
    <x v="217"/>
    <n v="5.9365004492041198"/>
    <n v="1"/>
    <n v="-196"/>
    <n v="364"/>
  </r>
  <r>
    <x v="4"/>
    <s v="conventional_refinance_himedia_incentive_178"/>
    <x v="218"/>
    <n v="5.9518278490889198"/>
    <n v="1"/>
    <n v="-196"/>
    <n v="364"/>
  </r>
  <r>
    <x v="4"/>
    <s v="conventional_refinance_himedia_incentive_179"/>
    <x v="219"/>
    <n v="5.9671017798086901"/>
    <n v="1"/>
    <n v="-196"/>
    <n v="364"/>
  </r>
  <r>
    <x v="4"/>
    <s v="conventional_refinance_himedia_incentive_180"/>
    <x v="220"/>
    <n v="5.9823237729653904"/>
    <n v="1"/>
    <n v="-196"/>
    <n v="364"/>
  </r>
  <r>
    <x v="4"/>
    <s v="conventional_refinance_himedia_incentive_181"/>
    <x v="221"/>
    <n v="5.9974953601609302"/>
    <n v="1"/>
    <n v="-196"/>
    <n v="364"/>
  </r>
  <r>
    <x v="4"/>
    <s v="conventional_refinance_himedia_incentive_182"/>
    <x v="222"/>
    <n v="6.0126180729972596"/>
    <n v="1"/>
    <n v="-196"/>
    <n v="364"/>
  </r>
  <r>
    <x v="4"/>
    <s v="conventional_refinance_himedia_incentive_183"/>
    <x v="223"/>
    <n v="6.0276934430763003"/>
    <n v="1"/>
    <n v="-196"/>
    <n v="364"/>
  </r>
  <r>
    <x v="4"/>
    <s v="conventional_refinance_himedia_incentive_184"/>
    <x v="224"/>
    <n v="6.0427230019999998"/>
    <n v="1"/>
    <n v="-196"/>
    <n v="364"/>
  </r>
  <r>
    <x v="4"/>
    <s v="conventional_refinance_himedia_incentive_185"/>
    <x v="225"/>
    <n v="6.05763530959356"/>
    <n v="1"/>
    <n v="-196"/>
    <n v="364"/>
  </r>
  <r>
    <x v="4"/>
    <s v="conventional_refinance_himedia_incentive_186"/>
    <x v="226"/>
    <n v="6.07235981127325"/>
    <n v="1"/>
    <n v="-196"/>
    <n v="364"/>
  </r>
  <r>
    <x v="4"/>
    <s v="conventional_refinance_himedia_incentive_187"/>
    <x v="227"/>
    <n v="6.0868993670276099"/>
    <n v="1"/>
    <n v="-196"/>
    <n v="364"/>
  </r>
  <r>
    <x v="4"/>
    <s v="conventional_refinance_himedia_incentive_188"/>
    <x v="228"/>
    <n v="6.1012568368451801"/>
    <n v="1"/>
    <n v="-196"/>
    <n v="364"/>
  </r>
  <r>
    <x v="4"/>
    <s v="conventional_refinance_himedia_incentive_189"/>
    <x v="229"/>
    <n v="6.1154350807144997"/>
    <n v="1"/>
    <n v="-196"/>
    <n v="364"/>
  </r>
  <r>
    <x v="4"/>
    <s v="conventional_refinance_himedia_incentive_190"/>
    <x v="230"/>
    <n v="6.1294369586240904"/>
    <n v="1"/>
    <n v="-196"/>
    <n v="364"/>
  </r>
  <r>
    <x v="4"/>
    <s v="conventional_refinance_himedia_incentive_191"/>
    <x v="231"/>
    <n v="6.1432653305625102"/>
    <n v="1"/>
    <n v="-196"/>
    <n v="364"/>
  </r>
  <r>
    <x v="4"/>
    <s v="conventional_refinance_himedia_incentive_192"/>
    <x v="232"/>
    <n v="6.15692305651827"/>
    <n v="1"/>
    <n v="-196"/>
    <n v="364"/>
  </r>
  <r>
    <x v="4"/>
    <s v="conventional_refinance_himedia_incentive_193"/>
    <x v="233"/>
    <n v="6.1704129964799197"/>
    <n v="1"/>
    <n v="-196"/>
    <n v="364"/>
  </r>
  <r>
    <x v="4"/>
    <s v="conventional_refinance_himedia_incentive_194"/>
    <x v="234"/>
    <n v="6.1837380104359996"/>
    <n v="1"/>
    <n v="-196"/>
    <n v="364"/>
  </r>
  <r>
    <x v="4"/>
    <s v="conventional_refinance_himedia_incentive_195"/>
    <x v="235"/>
    <n v="6.1969009583750401"/>
    <n v="1"/>
    <n v="-196"/>
    <n v="364"/>
  </r>
  <r>
    <x v="4"/>
    <s v="conventional_refinance_himedia_incentive_196"/>
    <x v="236"/>
    <n v="6.2099047002855698"/>
    <n v="1"/>
    <n v="-196"/>
    <n v="364"/>
  </r>
  <r>
    <x v="4"/>
    <s v="conventional_refinance_himedia_incentive_197"/>
    <x v="237"/>
    <n v="6.22275209615613"/>
    <n v="1"/>
    <n v="-196"/>
    <n v="364"/>
  </r>
  <r>
    <x v="4"/>
    <s v="conventional_refinance_himedia_incentive_198"/>
    <x v="238"/>
    <n v="6.2354460059752599"/>
    <n v="1"/>
    <n v="-196"/>
    <n v="364"/>
  </r>
  <r>
    <x v="4"/>
    <s v="conventional_refinance_himedia_incentive_199"/>
    <x v="239"/>
    <n v="6.2479892897314997"/>
    <n v="1"/>
    <n v="-196"/>
    <n v="364"/>
  </r>
  <r>
    <x v="4"/>
    <s v="conventional_refinance_himedia_incentive_200"/>
    <x v="240"/>
    <n v="6.2603848074133799"/>
    <n v="1"/>
    <n v="-196"/>
    <n v="364"/>
  </r>
  <r>
    <x v="4"/>
    <s v="conventional_refinance_himedia_incentive_201"/>
    <x v="241"/>
    <n v="6.27263541900943"/>
    <n v="1"/>
    <n v="-196"/>
    <n v="364"/>
  </r>
  <r>
    <x v="4"/>
    <s v="conventional_refinance_himedia_incentive_202"/>
    <x v="242"/>
    <n v="6.2847439845081903"/>
    <n v="1"/>
    <n v="-196"/>
    <n v="364"/>
  </r>
  <r>
    <x v="4"/>
    <s v="conventional_refinance_himedia_incentive_203"/>
    <x v="243"/>
    <n v="6.2967133638982098"/>
    <n v="1"/>
    <n v="-196"/>
    <n v="364"/>
  </r>
  <r>
    <x v="4"/>
    <s v="conventional_refinance_himedia_incentive_204"/>
    <x v="244"/>
    <n v="6.3085464171680004"/>
    <n v="1"/>
    <n v="-196"/>
    <n v="364"/>
  </r>
  <r>
    <x v="4"/>
    <s v="conventional_refinance_himedia_incentive_205"/>
    <x v="245"/>
    <n v="6.3202460043061199"/>
    <n v="1"/>
    <n v="-196"/>
    <n v="364"/>
  </r>
  <r>
    <x v="4"/>
    <s v="conventional_refinance_himedia_incentive_206"/>
    <x v="246"/>
    <n v="6.3318149853010901"/>
    <n v="1"/>
    <n v="-196"/>
    <n v="364"/>
  </r>
  <r>
    <x v="4"/>
    <s v="conventional_refinance_himedia_incentive_207"/>
    <x v="247"/>
    <n v="6.3432562201414502"/>
    <n v="1"/>
    <n v="-196"/>
    <n v="364"/>
  </r>
  <r>
    <x v="4"/>
    <s v="conventional_refinance_himedia_incentive_208"/>
    <x v="248"/>
    <n v="6.3545725688157404"/>
    <n v="1"/>
    <n v="-196"/>
    <n v="364"/>
  </r>
  <r>
    <x v="4"/>
    <s v="conventional_refinance_himedia_incentive_209"/>
    <x v="249"/>
    <n v="6.3657668913125001"/>
    <n v="1"/>
    <n v="-196"/>
    <n v="364"/>
  </r>
  <r>
    <x v="4"/>
    <s v="conventional_refinance_himedia_incentive_210"/>
    <x v="250"/>
    <n v="6.3768420476202596"/>
    <n v="1"/>
    <n v="-196"/>
    <n v="364"/>
  </r>
  <r>
    <x v="4"/>
    <s v="conventional_refinance_himedia_incentive_211"/>
    <x v="251"/>
    <n v="6.3878008977275504"/>
    <n v="1"/>
    <n v="-196"/>
    <n v="364"/>
  </r>
  <r>
    <x v="4"/>
    <s v="conventional_refinance_himedia_incentive_212"/>
    <x v="252"/>
    <n v="6.39864630162291"/>
    <n v="1"/>
    <n v="-196"/>
    <n v="364"/>
  </r>
  <r>
    <x v="4"/>
    <s v="conventional_refinance_himedia_incentive_213"/>
    <x v="253"/>
    <n v="6.4093811192948804"/>
    <n v="1"/>
    <n v="-196"/>
    <n v="364"/>
  </r>
  <r>
    <x v="4"/>
    <s v="conventional_refinance_himedia_incentive_214"/>
    <x v="254"/>
    <n v="6.420008210732"/>
    <n v="1"/>
    <n v="-196"/>
    <n v="364"/>
  </r>
  <r>
    <x v="4"/>
    <s v="conventional_refinance_himedia_incentive_215"/>
    <x v="255"/>
    <n v="6.4305304359228002"/>
    <n v="1"/>
    <n v="-196"/>
    <n v="364"/>
  </r>
  <r>
    <x v="4"/>
    <s v="conventional_refinance_himedia_incentive_216"/>
    <x v="256"/>
    <n v="6.4409506548558104"/>
    <n v="1"/>
    <n v="-196"/>
    <n v="364"/>
  </r>
  <r>
    <x v="4"/>
    <s v="conventional_refinance_himedia_incentive_217"/>
    <x v="257"/>
    <n v="6.4512717275195701"/>
    <n v="1"/>
    <n v="-196"/>
    <n v="364"/>
  </r>
  <r>
    <x v="4"/>
    <s v="conventional_refinance_himedia_incentive_218"/>
    <x v="258"/>
    <n v="6.4614965139026204"/>
    <n v="1"/>
    <n v="-196"/>
    <n v="364"/>
  </r>
  <r>
    <x v="4"/>
    <s v="conventional_refinance_himedia_incentive_219"/>
    <x v="259"/>
    <n v="6.4716278739934996"/>
    <n v="1"/>
    <n v="-196"/>
    <n v="364"/>
  </r>
  <r>
    <x v="4"/>
    <s v="conventional_refinance_himedia_incentive_220"/>
    <x v="260"/>
    <n v="6.4816686677807303"/>
    <n v="1"/>
    <n v="-196"/>
    <n v="364"/>
  </r>
  <r>
    <x v="4"/>
    <s v="conventional_refinance_himedia_incentive_221"/>
    <x v="261"/>
    <n v="6.4916217552528703"/>
    <n v="1"/>
    <n v="-196"/>
    <n v="364"/>
  </r>
  <r>
    <x v="4"/>
    <s v="conventional_refinance_himedia_incentive_222"/>
    <x v="262"/>
    <n v="6.5014899963984298"/>
    <n v="1"/>
    <n v="-196"/>
    <n v="364"/>
  </r>
  <r>
    <x v="4"/>
    <s v="conventional_refinance_himedia_incentive_223"/>
    <x v="263"/>
    <n v="6.5112762512059597"/>
    <n v="1"/>
    <n v="-196"/>
    <n v="364"/>
  </r>
  <r>
    <x v="4"/>
    <s v="conventional_refinance_himedia_incentive_224"/>
    <x v="264"/>
    <n v="6.520983379664"/>
    <n v="1"/>
    <n v="-196"/>
    <n v="364"/>
  </r>
  <r>
    <x v="4"/>
    <s v="conventional_refinance_himedia_incentive_225"/>
    <x v="265"/>
    <n v="6.5306142417610804"/>
    <n v="1"/>
    <n v="-196"/>
    <n v="364"/>
  </r>
  <r>
    <x v="4"/>
    <s v="conventional_refinance_himedia_incentive_226"/>
    <x v="266"/>
    <n v="6.5401716974857296"/>
    <n v="1"/>
    <n v="-196"/>
    <n v="364"/>
  </r>
  <r>
    <x v="4"/>
    <s v="conventional_refinance_himedia_incentive_227"/>
    <x v="267"/>
    <n v="6.5496586068264904"/>
    <n v="1"/>
    <n v="-196"/>
    <n v="364"/>
  </r>
  <r>
    <x v="4"/>
    <s v="conventional_refinance_himedia_incentive_228"/>
    <x v="268"/>
    <n v="6.5590778297719003"/>
    <n v="1"/>
    <n v="-196"/>
    <n v="364"/>
  </r>
  <r>
    <x v="4"/>
    <s v="conventional_refinance_himedia_incentive_229"/>
    <x v="269"/>
    <n v="6.5684322263104997"/>
    <n v="1"/>
    <n v="-196"/>
    <n v="364"/>
  </r>
  <r>
    <x v="4"/>
    <s v="conventional_refinance_himedia_incentive_230"/>
    <x v="270"/>
    <n v="6.5777246564308198"/>
    <n v="1"/>
    <n v="-196"/>
    <n v="364"/>
  </r>
  <r>
    <x v="4"/>
    <s v="conventional_refinance_himedia_incentive_231"/>
    <x v="271"/>
    <n v="6.5869579801213902"/>
    <n v="1"/>
    <n v="-196"/>
    <n v="364"/>
  </r>
  <r>
    <x v="4"/>
    <s v="conventional_refinance_himedia_incentive_232"/>
    <x v="272"/>
    <n v="6.5961350573707502"/>
    <n v="1"/>
    <n v="-196"/>
    <n v="364"/>
  </r>
  <r>
    <x v="4"/>
    <s v="conventional_refinance_himedia_incentive_233"/>
    <x v="273"/>
    <n v="6.6052587481674401"/>
    <n v="1"/>
    <n v="-196"/>
    <n v="364"/>
  </r>
  <r>
    <x v="4"/>
    <s v="conventional_refinance_himedia_incentive_234"/>
    <x v="274"/>
    <n v="6.6143319125"/>
    <n v="1"/>
    <n v="-196"/>
    <n v="364"/>
  </r>
  <r>
    <x v="4"/>
    <s v="conventional_refinance_himedia_incentive_235"/>
    <x v="275"/>
    <n v="6.6233574103569604"/>
    <n v="1"/>
    <n v="-196"/>
    <n v="364"/>
  </r>
  <r>
    <x v="4"/>
    <s v="conventional_refinance_himedia_incentive_236"/>
    <x v="276"/>
    <n v="6.6323381017268499"/>
    <n v="1"/>
    <n v="-196"/>
    <n v="364"/>
  </r>
  <r>
    <x v="4"/>
    <s v="conventional_refinance_himedia_incentive_237"/>
    <x v="277"/>
    <n v="6.6412768465982097"/>
    <n v="1"/>
    <n v="-196"/>
    <n v="364"/>
  </r>
  <r>
    <x v="4"/>
    <s v="conventional_refinance_himedia_incentive_238"/>
    <x v="278"/>
    <n v="6.65017650495958"/>
    <n v="1"/>
    <n v="-196"/>
    <n v="364"/>
  </r>
  <r>
    <x v="4"/>
    <s v="conventional_refinance_himedia_incentive_239"/>
    <x v="279"/>
    <n v="6.6590399367995001"/>
    <n v="1"/>
    <n v="-196"/>
    <n v="364"/>
  </r>
  <r>
    <x v="4"/>
    <s v="conventional_refinance_himedia_incentive_240"/>
    <x v="280"/>
    <n v="6.6678700021064996"/>
    <n v="1"/>
    <n v="-196"/>
    <n v="364"/>
  </r>
  <r>
    <x v="4"/>
    <s v="conventional_refinance_himedia_incentive_241"/>
    <x v="281"/>
    <n v="6.6766695608691098"/>
    <n v="1"/>
    <n v="-196"/>
    <n v="364"/>
  </r>
  <r>
    <x v="4"/>
    <s v="conventional_refinance_himedia_incentive_242"/>
    <x v="282"/>
    <n v="6.68544147307587"/>
    <n v="1"/>
    <n v="-196"/>
    <n v="364"/>
  </r>
  <r>
    <x v="4"/>
    <s v="conventional_refinance_himedia_incentive_243"/>
    <x v="283"/>
    <n v="6.6941885987153196"/>
    <n v="1"/>
    <n v="-196"/>
    <n v="364"/>
  </r>
  <r>
    <x v="4"/>
    <s v="conventional_refinance_himedia_incentive_244"/>
    <x v="284"/>
    <n v="6.7029137977759996"/>
    <n v="1"/>
    <n v="-196"/>
    <n v="364"/>
  </r>
  <r>
    <x v="4"/>
    <s v="conventional_refinance_himedia_incentive_245"/>
    <x v="285"/>
    <n v="6.7116199302464397"/>
    <n v="1"/>
    <n v="-196"/>
    <n v="364"/>
  </r>
  <r>
    <x v="4"/>
    <s v="conventional_refinance_himedia_incentive_246"/>
    <x v="286"/>
    <n v="6.7203098561151702"/>
    <n v="1"/>
    <n v="-196"/>
    <n v="364"/>
  </r>
  <r>
    <x v="4"/>
    <s v="conventional_refinance_himedia_incentive_247"/>
    <x v="287"/>
    <n v="6.7289864353707296"/>
    <n v="1"/>
    <n v="-196"/>
    <n v="364"/>
  </r>
  <r>
    <x v="4"/>
    <s v="conventional_refinance_himedia_incentive_248"/>
    <x v="288"/>
    <n v="6.7376525280016599"/>
    <n v="1"/>
    <n v="-196"/>
    <n v="364"/>
  </r>
  <r>
    <x v="4"/>
    <s v="conventional_refinance_himedia_incentive_249"/>
    <x v="289"/>
    <n v="6.7463109939964996"/>
    <n v="1"/>
    <n v="-196"/>
    <n v="364"/>
  </r>
  <r>
    <x v="4"/>
    <s v="conventional_refinance_himedia_incentive_250"/>
    <x v="290"/>
    <n v="6.7549646933437799"/>
    <n v="1"/>
    <n v="-196"/>
    <n v="364"/>
  </r>
  <r>
    <x v="4"/>
    <s v="conventional_refinance_himedia_incentive_251"/>
    <x v="291"/>
    <n v="6.7636164860320296"/>
    <n v="1"/>
    <n v="-196"/>
    <n v="364"/>
  </r>
  <r>
    <x v="4"/>
    <s v="conventional_refinance_himedia_incentive_252"/>
    <x v="292"/>
    <n v="6.7722692320497897"/>
    <n v="1"/>
    <n v="-196"/>
    <n v="364"/>
  </r>
  <r>
    <x v="4"/>
    <s v="conventional_refinance_himedia_incentive_253"/>
    <x v="293"/>
    <n v="6.7809257913855996"/>
    <n v="1"/>
    <n v="-196"/>
    <n v="364"/>
  </r>
  <r>
    <x v="4"/>
    <s v="conventional_refinance_himedia_incentive_254"/>
    <x v="294"/>
    <n v="6.7895890240280004"/>
    <n v="1"/>
    <n v="-196"/>
    <n v="364"/>
  </r>
  <r>
    <x v="4"/>
    <s v="conventional_refinance_himedia_incentive_255"/>
    <x v="295"/>
    <n v="6.7982617899655198"/>
    <n v="1"/>
    <n v="-196"/>
    <n v="364"/>
  </r>
  <r>
    <x v="4"/>
    <s v="conventional_refinance_himedia_incentive_256"/>
    <x v="296"/>
    <n v="6.8069469491866901"/>
    <n v="1"/>
    <n v="-196"/>
    <n v="364"/>
  </r>
  <r>
    <x v="4"/>
    <s v="conventional_refinance_himedia_incentive_257"/>
    <x v="297"/>
    <n v="6.8156473616800497"/>
    <n v="1"/>
    <n v="-196"/>
    <n v="364"/>
  </r>
  <r>
    <x v="4"/>
    <s v="conventional_refinance_himedia_incentive_258"/>
    <x v="298"/>
    <n v="6.8243658874341397"/>
    <n v="1"/>
    <n v="-196"/>
    <n v="364"/>
  </r>
  <r>
    <x v="4"/>
    <s v="conventional_refinance_himedia_incentive_259"/>
    <x v="299"/>
    <n v="6.8331053864375004"/>
    <n v="1"/>
    <n v="-196"/>
    <n v="364"/>
  </r>
  <r>
    <x v="4"/>
    <s v="conventional_refinance_himedia_incentive_260"/>
    <x v="300"/>
    <n v="6.8418687186786604"/>
    <n v="1"/>
    <n v="-196"/>
    <n v="364"/>
  </r>
  <r>
    <x v="4"/>
    <s v="conventional_refinance_himedia_incentive_261"/>
    <x v="301"/>
    <n v="6.8506587441461502"/>
    <n v="1"/>
    <n v="-196"/>
    <n v="364"/>
  </r>
  <r>
    <x v="4"/>
    <s v="conventional_refinance_himedia_incentive_262"/>
    <x v="302"/>
    <n v="6.8594783228285099"/>
    <n v="1"/>
    <n v="-196"/>
    <n v="364"/>
  </r>
  <r>
    <x v="4"/>
    <s v="conventional_refinance_himedia_incentive_263"/>
    <x v="303"/>
    <n v="6.8683303147142798"/>
    <n v="1"/>
    <n v="-196"/>
    <n v="364"/>
  </r>
  <r>
    <x v="4"/>
    <s v="conventional_refinance_himedia_incentive_264"/>
    <x v="304"/>
    <n v="6.8772175797920001"/>
    <n v="1"/>
    <n v="-196"/>
    <n v="364"/>
  </r>
  <r>
    <x v="4"/>
    <s v="conventional_refinance_himedia_incentive_265"/>
    <x v="305"/>
    <n v="6.8861429780502004"/>
    <n v="1"/>
    <n v="-196"/>
    <n v="364"/>
  </r>
  <r>
    <x v="4"/>
    <s v="conventional_refinance_himedia_incentive_266"/>
    <x v="306"/>
    <n v="6.8951093694774102"/>
    <n v="1"/>
    <n v="-196"/>
    <n v="364"/>
  </r>
  <r>
    <x v="4"/>
    <s v="conventional_refinance_himedia_incentive_267"/>
    <x v="307"/>
    <n v="6.9041196140621697"/>
    <n v="1"/>
    <n v="-196"/>
    <n v="364"/>
  </r>
  <r>
    <x v="4"/>
    <s v="conventional_refinance_himedia_incentive_268"/>
    <x v="308"/>
    <n v="6.91317657179302"/>
    <n v="1"/>
    <n v="-196"/>
    <n v="364"/>
  </r>
  <r>
    <x v="4"/>
    <s v="conventional_refinance_himedia_incentive_269"/>
    <x v="309"/>
    <n v="6.9222831026584997"/>
    <n v="1"/>
    <n v="-196"/>
    <n v="364"/>
  </r>
  <r>
    <x v="4"/>
    <s v="conventional_refinance_himedia_incentive_270"/>
    <x v="310"/>
    <n v="6.9314420666471399"/>
    <n v="1"/>
    <n v="-196"/>
    <n v="364"/>
  </r>
  <r>
    <x v="4"/>
    <s v="conventional_refinance_himedia_incentive_271"/>
    <x v="311"/>
    <n v="6.9406563237474703"/>
    <n v="1"/>
    <n v="-196"/>
    <n v="364"/>
  </r>
  <r>
    <x v="4"/>
    <s v="conventional_refinance_himedia_incentive_272"/>
    <x v="312"/>
    <n v="6.9499287339480302"/>
    <n v="1"/>
    <n v="-196"/>
    <n v="364"/>
  </r>
  <r>
    <x v="4"/>
    <s v="conventional_refinance_himedia_incentive_273"/>
    <x v="313"/>
    <n v="6.9592621572373599"/>
    <n v="1"/>
    <n v="-196"/>
    <n v="364"/>
  </r>
  <r>
    <x v="4"/>
    <s v="conventional_refinance_himedia_incentive_274"/>
    <x v="314"/>
    <n v="6.9686594536040003"/>
    <n v="1"/>
    <n v="-196"/>
    <n v="364"/>
  </r>
  <r>
    <x v="4"/>
    <s v="conventional_refinance_himedia_incentive_275"/>
    <x v="315"/>
    <n v="6.9781234830364802"/>
    <n v="1"/>
    <n v="-196"/>
    <n v="364"/>
  </r>
  <r>
    <x v="4"/>
    <s v="conventional_refinance_himedia_incentive_276"/>
    <x v="316"/>
    <n v="6.9876571055233301"/>
    <n v="1"/>
    <n v="-196"/>
    <n v="364"/>
  </r>
  <r>
    <x v="4"/>
    <s v="conventional_refinance_himedia_incentive_277"/>
    <x v="317"/>
    <n v="6.9972631810530901"/>
    <n v="1"/>
    <n v="-196"/>
    <n v="364"/>
  </r>
  <r>
    <x v="4"/>
    <s v="conventional_refinance_himedia_incentive_278"/>
    <x v="318"/>
    <n v="7.0069445696142996"/>
    <n v="1"/>
    <n v="-196"/>
    <n v="364"/>
  </r>
  <r>
    <x v="4"/>
    <s v="conventional_refinance_himedia_incentive_279"/>
    <x v="319"/>
    <n v="7.0167041311954996"/>
    <n v="1"/>
    <n v="-196"/>
    <n v="364"/>
  </r>
  <r>
    <x v="4"/>
    <s v="conventional_refinance_himedia_incentive_280"/>
    <x v="320"/>
    <n v="7.0265447257852198"/>
    <n v="1"/>
    <n v="-196"/>
    <n v="364"/>
  </r>
  <r>
    <x v="4"/>
    <s v="conventional_refinance_himedia_incentive_281"/>
    <x v="321"/>
    <n v="7.0364692133719897"/>
    <n v="1"/>
    <n v="-196"/>
    <n v="364"/>
  </r>
  <r>
    <x v="4"/>
    <s v="conventional_refinance_himedia_incentive_282"/>
    <x v="322"/>
    <n v="7.0464804539443504"/>
    <n v="1"/>
    <n v="-196"/>
    <n v="364"/>
  </r>
  <r>
    <x v="4"/>
    <s v="conventional_refinance_himedia_incentive_283"/>
    <x v="323"/>
    <n v="7.0565813074908403"/>
    <n v="1"/>
    <n v="-196"/>
    <n v="364"/>
  </r>
  <r>
    <x v="4"/>
    <s v="conventional_refinance_himedia_incentive_284"/>
    <x v="324"/>
    <n v="7.0667746339999997"/>
    <n v="1"/>
    <n v="-196"/>
    <n v="364"/>
  </r>
  <r>
    <x v="4"/>
    <s v="conventional_refinance_himedia_incentive_285"/>
    <x v="325"/>
    <n v="7.0770151503200003"/>
    <n v="1"/>
    <n v="-196"/>
    <n v="364"/>
  </r>
  <r>
    <x v="4"/>
    <s v="conventional_refinance_himedia_incentive_286"/>
    <x v="326"/>
    <n v="7.08725566664"/>
    <n v="1"/>
    <n v="-196"/>
    <n v="364"/>
  </r>
  <r>
    <x v="4"/>
    <s v="conventional_refinance_himedia_incentive_287"/>
    <x v="327"/>
    <n v="7.0974961829599996"/>
    <n v="1"/>
    <n v="-196"/>
    <n v="364"/>
  </r>
  <r>
    <x v="4"/>
    <s v="conventional_refinance_himedia_incentive_288"/>
    <x v="328"/>
    <n v="7.1077366992800002"/>
    <n v="1"/>
    <n v="-196"/>
    <n v="364"/>
  </r>
  <r>
    <x v="4"/>
    <s v="conventional_refinance_himedia_incentive_289"/>
    <x v="329"/>
    <n v="7.1179772155999999"/>
    <n v="1"/>
    <n v="-196"/>
    <n v="364"/>
  </r>
  <r>
    <x v="4"/>
    <s v="conventional_refinance_himedia_incentive_290"/>
    <x v="330"/>
    <n v="7.1282177319200004"/>
    <n v="1"/>
    <n v="-196"/>
    <n v="364"/>
  </r>
  <r>
    <x v="4"/>
    <s v="conventional_refinance_himedia_incentive_291"/>
    <x v="331"/>
    <n v="7.1384582482400001"/>
    <n v="1"/>
    <n v="-196"/>
    <n v="364"/>
  </r>
  <r>
    <x v="4"/>
    <s v="conventional_refinance_himedia_incentive_292"/>
    <x v="332"/>
    <n v="7.1486987645599998"/>
    <n v="1"/>
    <n v="-196"/>
    <n v="364"/>
  </r>
  <r>
    <x v="4"/>
    <s v="conventional_refinance_himedia_incentive_293"/>
    <x v="333"/>
    <n v="7.1589392808800003"/>
    <n v="1"/>
    <n v="-196"/>
    <n v="364"/>
  </r>
  <r>
    <x v="4"/>
    <s v="conventional_refinance_himedia_incentive_294"/>
    <x v="334"/>
    <n v="7.1691797972"/>
    <n v="1"/>
    <n v="-196"/>
    <n v="364"/>
  </r>
  <r>
    <x v="4"/>
    <s v="conventional_refinance_himedia_incentive_295"/>
    <x v="335"/>
    <n v="7.1794203135199997"/>
    <n v="1"/>
    <n v="-196"/>
    <n v="364"/>
  </r>
  <r>
    <x v="4"/>
    <s v="conventional_refinance_himedia_incentive_296"/>
    <x v="336"/>
    <n v="7.1896608298400002"/>
    <n v="1"/>
    <n v="-196"/>
    <n v="364"/>
  </r>
  <r>
    <x v="4"/>
    <s v="conventional_refinance_himedia_incentive_297"/>
    <x v="337"/>
    <n v="7.1999013461599999"/>
    <n v="1"/>
    <n v="-196"/>
    <n v="364"/>
  </r>
  <r>
    <x v="4"/>
    <s v="conventional_refinance_himedia_incentive_298"/>
    <x v="338"/>
    <n v="7.2101418624800004"/>
    <n v="1"/>
    <n v="-196"/>
    <n v="364"/>
  </r>
  <r>
    <x v="4"/>
    <s v="conventional_refinance_himedia_incentive_299"/>
    <x v="339"/>
    <n v="7.2203823788000001"/>
    <n v="1"/>
    <n v="-196"/>
    <n v="364"/>
  </r>
  <r>
    <x v="4"/>
    <s v="conventional_refinance_himedia_incentive_300"/>
    <x v="340"/>
    <n v="7.2306228951199998"/>
    <n v="1"/>
    <n v="-196"/>
    <n v="364"/>
  </r>
  <r>
    <x v="4"/>
    <s v="conventional_refinance_himedia_incentive_301"/>
    <x v="341"/>
    <n v="7.2408634114400003"/>
    <n v="1"/>
    <n v="-196"/>
    <n v="364"/>
  </r>
  <r>
    <x v="4"/>
    <s v="conventional_refinance_himedia_incentive_302"/>
    <x v="342"/>
    <n v="7.25110392776"/>
    <n v="1"/>
    <n v="-196"/>
    <n v="364"/>
  </r>
  <r>
    <x v="4"/>
    <s v="conventional_refinance_himedia_incentive_303"/>
    <x v="343"/>
    <n v="7.2613444440799997"/>
    <n v="1"/>
    <n v="-196"/>
    <n v="364"/>
  </r>
  <r>
    <x v="4"/>
    <s v="conventional_refinance_himedia_incentive_304"/>
    <x v="344"/>
    <n v="7.2715849604000002"/>
    <n v="1"/>
    <n v="-196"/>
    <n v="364"/>
  </r>
  <r>
    <x v="4"/>
    <s v="conventional_refinance_himedia_incentive_305"/>
    <x v="345"/>
    <n v="7.2818254767199999"/>
    <n v="1"/>
    <n v="-196"/>
    <n v="364"/>
  </r>
  <r>
    <x v="4"/>
    <s v="conventional_refinance_himedia_incentive_306"/>
    <x v="346"/>
    <n v="7.2920659930399996"/>
    <n v="1"/>
    <n v="-196"/>
    <n v="364"/>
  </r>
  <r>
    <x v="4"/>
    <s v="conventional_refinance_himedia_incentive_307"/>
    <x v="347"/>
    <n v="7.3023065093600001"/>
    <n v="1"/>
    <n v="-196"/>
    <n v="364"/>
  </r>
  <r>
    <x v="4"/>
    <s v="conventional_refinance_himedia_incentive_308"/>
    <x v="348"/>
    <n v="7.3125470256799998"/>
    <n v="1"/>
    <n v="-196"/>
    <n v="364"/>
  </r>
  <r>
    <x v="4"/>
    <s v="conventional_refinance_himedia_incentive_309"/>
    <x v="349"/>
    <n v="7.3227875420000004"/>
    <n v="1"/>
    <n v="-196"/>
    <n v="364"/>
  </r>
  <r>
    <x v="4"/>
    <s v="conventional_refinance_himedia_incentive_310"/>
    <x v="350"/>
    <n v="7.33302805832"/>
    <n v="1"/>
    <n v="-196"/>
    <n v="364"/>
  </r>
  <r>
    <x v="4"/>
    <s v="conventional_refinance_himedia_incentive_311"/>
    <x v="351"/>
    <n v="7.3432685746399997"/>
    <n v="1"/>
    <n v="-196"/>
    <n v="364"/>
  </r>
  <r>
    <x v="4"/>
    <s v="conventional_refinance_himedia_incentive_312"/>
    <x v="352"/>
    <n v="7.3535090909600003"/>
    <n v="1"/>
    <n v="-196"/>
    <n v="364"/>
  </r>
  <r>
    <x v="4"/>
    <s v="conventional_refinance_himedia_incentive_313"/>
    <x v="353"/>
    <n v="7.3637496072799999"/>
    <n v="1"/>
    <n v="-196"/>
    <n v="364"/>
  </r>
  <r>
    <x v="4"/>
    <s v="conventional_refinance_himedia_incentive_314"/>
    <x v="354"/>
    <n v="7.3739901235999996"/>
    <n v="1"/>
    <n v="-196"/>
    <n v="364"/>
  </r>
  <r>
    <x v="4"/>
    <s v="conventional_refinance_himedia_incentive_315"/>
    <x v="355"/>
    <n v="7.3842306399200002"/>
    <n v="1"/>
    <n v="-196"/>
    <n v="364"/>
  </r>
  <r>
    <x v="4"/>
    <s v="conventional_refinance_himedia_incentive_316"/>
    <x v="356"/>
    <n v="7.3944711562399998"/>
    <n v="1"/>
    <n v="-196"/>
    <n v="364"/>
  </r>
  <r>
    <x v="4"/>
    <s v="conventional_refinance_himedia_incentive_317"/>
    <x v="357"/>
    <n v="7.4047116725600004"/>
    <n v="1"/>
    <n v="-196"/>
    <n v="364"/>
  </r>
  <r>
    <x v="4"/>
    <s v="conventional_refinance_himedia_incentive_318"/>
    <x v="358"/>
    <n v="7.4149521888800001"/>
    <n v="1"/>
    <n v="-196"/>
    <n v="364"/>
  </r>
  <r>
    <x v="4"/>
    <s v="conventional_refinance_himedia_incentive_319"/>
    <x v="359"/>
    <n v="7.4251927051999997"/>
    <n v="1"/>
    <n v="-196"/>
    <n v="364"/>
  </r>
  <r>
    <x v="4"/>
    <s v="conventional_refinance_himedia_incentive_320"/>
    <x v="360"/>
    <n v="7.4354332215200003"/>
    <n v="1"/>
    <n v="-196"/>
    <n v="364"/>
  </r>
  <r>
    <x v="4"/>
    <s v="conventional_refinance_himedia_incentive_321"/>
    <x v="361"/>
    <n v="7.44567373784"/>
    <n v="1"/>
    <n v="-196"/>
    <n v="364"/>
  </r>
  <r>
    <x v="4"/>
    <s v="conventional_refinance_himedia_incentive_322"/>
    <x v="362"/>
    <n v="7.4559142541599996"/>
    <n v="1"/>
    <n v="-196"/>
    <n v="364"/>
  </r>
  <r>
    <x v="4"/>
    <s v="conventional_refinance_himedia_incentive_323"/>
    <x v="363"/>
    <n v="7.4661547704800002"/>
    <n v="1"/>
    <n v="-196"/>
    <n v="364"/>
  </r>
  <r>
    <x v="4"/>
    <s v="conventional_refinance_himedia_incentive_324"/>
    <x v="364"/>
    <n v="7.4763952867999999"/>
    <n v="1"/>
    <n v="-196"/>
    <n v="364"/>
  </r>
  <r>
    <x v="4"/>
    <s v="conventional_refinance_himedia_incentive_325"/>
    <x v="365"/>
    <n v="7.4866358031200004"/>
    <n v="1"/>
    <n v="-196"/>
    <n v="364"/>
  </r>
  <r>
    <x v="4"/>
    <s v="conventional_refinance_himedia_incentive_326"/>
    <x v="366"/>
    <n v="7.4968763194400001"/>
    <n v="1"/>
    <n v="-196"/>
    <n v="364"/>
  </r>
  <r>
    <x v="4"/>
    <s v="conventional_refinance_himedia_incentive_327"/>
    <x v="367"/>
    <n v="7.5071168357599998"/>
    <n v="1"/>
    <n v="-196"/>
    <n v="364"/>
  </r>
  <r>
    <x v="4"/>
    <s v="conventional_refinance_himedia_incentive_328"/>
    <x v="368"/>
    <n v="7.5173573520800003"/>
    <n v="1"/>
    <n v="-196"/>
    <n v="364"/>
  </r>
  <r>
    <x v="4"/>
    <s v="conventional_refinance_himedia_incentive_329"/>
    <x v="369"/>
    <n v="7.5275978684"/>
    <n v="1"/>
    <n v="-196"/>
    <n v="364"/>
  </r>
  <r>
    <x v="4"/>
    <s v="conventional_refinance_himedia_incentive_330"/>
    <x v="370"/>
    <n v="7.5378383847199997"/>
    <n v="1"/>
    <n v="-196"/>
    <n v="364"/>
  </r>
  <r>
    <x v="4"/>
    <s v="conventional_refinance_himedia_incentive_331"/>
    <x v="371"/>
    <n v="7.5480789010400002"/>
    <n v="1"/>
    <n v="-196"/>
    <n v="364"/>
  </r>
  <r>
    <x v="4"/>
    <s v="conventional_refinance_himedia_incentive_332"/>
    <x v="372"/>
    <n v="7.5583194173599999"/>
    <n v="1"/>
    <n v="-196"/>
    <n v="364"/>
  </r>
  <r>
    <x v="4"/>
    <s v="conventional_refinance_himedia_incentive_333"/>
    <x v="373"/>
    <n v="7.5685599336799996"/>
    <n v="1"/>
    <n v="-196"/>
    <n v="364"/>
  </r>
  <r>
    <x v="4"/>
    <s v="conventional_refinance_himedia_incentive_334"/>
    <x v="374"/>
    <n v="7.5788004500000001"/>
    <n v="1"/>
    <n v="-196"/>
    <n v="364"/>
  </r>
  <r>
    <x v="4"/>
    <s v="conventional_refinance_himedia_incentive_335"/>
    <x v="375"/>
    <n v="7.5890409663199998"/>
    <n v="1"/>
    <n v="-196"/>
    <n v="364"/>
  </r>
  <r>
    <x v="4"/>
    <s v="conventional_refinance_himedia_incentive_336"/>
    <x v="376"/>
    <n v="7.5992814826400004"/>
    <n v="1"/>
    <n v="-196"/>
    <n v="364"/>
  </r>
  <r>
    <x v="4"/>
    <s v="conventional_refinance_himedia_incentive_337"/>
    <x v="377"/>
    <n v="7.60952199896"/>
    <n v="1"/>
    <n v="-196"/>
    <n v="364"/>
  </r>
  <r>
    <x v="4"/>
    <s v="conventional_refinance_himedia_incentive_338"/>
    <x v="378"/>
    <n v="7.6197625152799997"/>
    <n v="1"/>
    <n v="-196"/>
    <n v="364"/>
  </r>
  <r>
    <x v="4"/>
    <s v="conventional_refinance_himedia_incentive_339"/>
    <x v="379"/>
    <n v="7.6300030316000003"/>
    <n v="1"/>
    <n v="-196"/>
    <n v="364"/>
  </r>
  <r>
    <x v="4"/>
    <s v="conventional_refinance_himedia_incentive_340"/>
    <x v="380"/>
    <n v="7.6402435479199999"/>
    <n v="1"/>
    <n v="-196"/>
    <n v="364"/>
  </r>
  <r>
    <x v="4"/>
    <s v="conventional_refinance_himedia_incentive_341"/>
    <x v="381"/>
    <n v="7.6504840642399996"/>
    <n v="1"/>
    <n v="-196"/>
    <n v="364"/>
  </r>
  <r>
    <x v="4"/>
    <s v="conventional_refinance_himedia_incentive_342"/>
    <x v="382"/>
    <n v="7.6607245805600002"/>
    <n v="1"/>
    <n v="-196"/>
    <n v="364"/>
  </r>
  <r>
    <x v="4"/>
    <s v="conventional_refinance_himedia_incentive_343"/>
    <x v="383"/>
    <n v="7.6709650968799998"/>
    <n v="1"/>
    <n v="-196"/>
    <n v="364"/>
  </r>
  <r>
    <x v="4"/>
    <s v="conventional_refinance_himedia_incentive_344"/>
    <x v="384"/>
    <n v="7.6812056132000004"/>
    <n v="1"/>
    <n v="-196"/>
    <n v="364"/>
  </r>
  <r>
    <x v="4"/>
    <s v="conventional_refinance_himedia_incentive_345"/>
    <x v="385"/>
    <n v="7.6914461295200001"/>
    <n v="1"/>
    <n v="-196"/>
    <n v="364"/>
  </r>
  <r>
    <x v="4"/>
    <s v="conventional_refinance_himedia_incentive_346"/>
    <x v="386"/>
    <n v="7.7016866458399997"/>
    <n v="1"/>
    <n v="-196"/>
    <n v="364"/>
  </r>
  <r>
    <x v="4"/>
    <s v="conventional_refinance_himedia_incentive_347"/>
    <x v="387"/>
    <n v="7.7119271621600003"/>
    <n v="1"/>
    <n v="-196"/>
    <n v="364"/>
  </r>
  <r>
    <x v="4"/>
    <s v="conventional_refinance_himedia_incentive_348"/>
    <x v="388"/>
    <n v="7.72216767848"/>
    <n v="1"/>
    <n v="-196"/>
    <n v="364"/>
  </r>
  <r>
    <x v="4"/>
    <s v="conventional_refinance_himedia_incentive_349"/>
    <x v="389"/>
    <n v="7.7324081947999996"/>
    <n v="1"/>
    <n v="-196"/>
    <n v="364"/>
  </r>
  <r>
    <x v="4"/>
    <s v="conventional_refinance_himedia_incentive_350"/>
    <x v="390"/>
    <n v="7.7426487111200002"/>
    <n v="1"/>
    <n v="-196"/>
    <n v="364"/>
  </r>
  <r>
    <x v="4"/>
    <s v="conventional_refinance_himedia_incentive_351"/>
    <x v="391"/>
    <n v="7.7528892274399999"/>
    <n v="1"/>
    <n v="-196"/>
    <n v="364"/>
  </r>
  <r>
    <x v="4"/>
    <s v="conventional_refinance_himedia_incentive_352"/>
    <x v="392"/>
    <n v="7.7631297437600004"/>
    <n v="1"/>
    <n v="-196"/>
    <n v="364"/>
  </r>
  <r>
    <x v="4"/>
    <s v="conventional_refinance_himedia_incentive_353"/>
    <x v="393"/>
    <n v="7.7733702600800001"/>
    <n v="1"/>
    <n v="-196"/>
    <n v="364"/>
  </r>
  <r>
    <x v="4"/>
    <s v="conventional_refinance_himedia_incentive_354"/>
    <x v="394"/>
    <n v="7.7836107763999998"/>
    <n v="1"/>
    <n v="-196"/>
    <n v="364"/>
  </r>
  <r>
    <x v="4"/>
    <s v="conventional_refinance_himedia_incentive_355"/>
    <x v="395"/>
    <n v="7.7938512927200003"/>
    <n v="1"/>
    <n v="-196"/>
    <n v="364"/>
  </r>
  <r>
    <x v="4"/>
    <s v="conventional_refinance_himedia_incentive_356"/>
    <x v="396"/>
    <n v="7.80409180904"/>
    <n v="1"/>
    <n v="-196"/>
    <n v="364"/>
  </r>
  <r>
    <x v="4"/>
    <s v="conventional_refinance_himedia_incentive_357"/>
    <x v="397"/>
    <n v="7.8143323253599997"/>
    <n v="1"/>
    <n v="-196"/>
    <n v="364"/>
  </r>
  <r>
    <x v="4"/>
    <s v="conventional_refinance_himedia_incentive_358"/>
    <x v="398"/>
    <n v="7.8245728416800002"/>
    <n v="1"/>
    <n v="-196"/>
    <n v="364"/>
  </r>
  <r>
    <x v="4"/>
    <s v="conventional_refinance_himedia_incentive_359"/>
    <x v="399"/>
    <n v="7.8348133579999999"/>
    <n v="1"/>
    <n v="-196"/>
    <n v="364"/>
  </r>
  <r>
    <x v="4"/>
    <s v="conventional_refinance_himedia_incentive_360"/>
    <x v="400"/>
    <n v="7.8450538743199996"/>
    <n v="1"/>
    <n v="-196"/>
    <n v="364"/>
  </r>
  <r>
    <x v="4"/>
    <s v="conventional_refinance_himedia_incentive_361"/>
    <x v="401"/>
    <n v="7.8552943906400001"/>
    <n v="1"/>
    <n v="-196"/>
    <n v="364"/>
  </r>
  <r>
    <x v="4"/>
    <s v="conventional_refinance_himedia_incentive_362"/>
    <x v="402"/>
    <n v="7.8655349069599998"/>
    <n v="1"/>
    <n v="-196"/>
    <n v="364"/>
  </r>
  <r>
    <x v="4"/>
    <s v="conventional_refinance_himedia_incentive_363"/>
    <x v="403"/>
    <n v="7.8757754232800004"/>
    <n v="1"/>
    <n v="-196"/>
    <n v="364"/>
  </r>
  <r>
    <x v="4"/>
    <s v="conventional_refinance_himedia_incentive_364"/>
    <x v="404"/>
    <n v="7.8860159396"/>
    <n v="1"/>
    <n v="-196"/>
    <n v="364"/>
  </r>
  <r>
    <x v="5"/>
    <s v="conventional_refinance_cltv_-20"/>
    <x v="20"/>
    <n v="1"/>
    <n v="1"/>
    <n v="-20"/>
    <n v="120"/>
  </r>
  <r>
    <x v="5"/>
    <s v="conventional_refinance_cltv_-19"/>
    <x v="21"/>
    <n v="1"/>
    <n v="1"/>
    <n v="-20"/>
    <n v="120"/>
  </r>
  <r>
    <x v="5"/>
    <s v="conventional_refinance_cltv_-18"/>
    <x v="22"/>
    <n v="1"/>
    <n v="1"/>
    <n v="-20"/>
    <n v="120"/>
  </r>
  <r>
    <x v="5"/>
    <s v="conventional_refinance_cltv_-17"/>
    <x v="23"/>
    <n v="1"/>
    <n v="1"/>
    <n v="-20"/>
    <n v="120"/>
  </r>
  <r>
    <x v="5"/>
    <s v="conventional_refinance_cltv_-16"/>
    <x v="24"/>
    <n v="1"/>
    <n v="1"/>
    <n v="-20"/>
    <n v="120"/>
  </r>
  <r>
    <x v="5"/>
    <s v="conventional_refinance_cltv_-15"/>
    <x v="25"/>
    <n v="1"/>
    <n v="1"/>
    <n v="-20"/>
    <n v="120"/>
  </r>
  <r>
    <x v="5"/>
    <s v="conventional_refinance_cltv_-14"/>
    <x v="26"/>
    <n v="1"/>
    <n v="1"/>
    <n v="-20"/>
    <n v="120"/>
  </r>
  <r>
    <x v="5"/>
    <s v="conventional_refinance_cltv_-13"/>
    <x v="27"/>
    <n v="1"/>
    <n v="1"/>
    <n v="-20"/>
    <n v="120"/>
  </r>
  <r>
    <x v="5"/>
    <s v="conventional_refinance_cltv_-12"/>
    <x v="28"/>
    <n v="1"/>
    <n v="1"/>
    <n v="-20"/>
    <n v="120"/>
  </r>
  <r>
    <x v="5"/>
    <s v="conventional_refinance_cltv_-11"/>
    <x v="29"/>
    <n v="1"/>
    <n v="1"/>
    <n v="-20"/>
    <n v="120"/>
  </r>
  <r>
    <x v="5"/>
    <s v="conventional_refinance_cltv_-10"/>
    <x v="30"/>
    <n v="1"/>
    <n v="1"/>
    <n v="-20"/>
    <n v="120"/>
  </r>
  <r>
    <x v="5"/>
    <s v="conventional_refinance_cltv_-9"/>
    <x v="31"/>
    <n v="1"/>
    <n v="1"/>
    <n v="-20"/>
    <n v="120"/>
  </r>
  <r>
    <x v="5"/>
    <s v="conventional_refinance_cltv_-8"/>
    <x v="32"/>
    <n v="1"/>
    <n v="1"/>
    <n v="-20"/>
    <n v="120"/>
  </r>
  <r>
    <x v="5"/>
    <s v="conventional_refinance_cltv_-7"/>
    <x v="33"/>
    <n v="1"/>
    <n v="1"/>
    <n v="-20"/>
    <n v="120"/>
  </r>
  <r>
    <x v="5"/>
    <s v="conventional_refinance_cltv_-6"/>
    <x v="34"/>
    <n v="1"/>
    <n v="1"/>
    <n v="-20"/>
    <n v="120"/>
  </r>
  <r>
    <x v="5"/>
    <s v="conventional_refinance_cltv_-5"/>
    <x v="35"/>
    <n v="1"/>
    <n v="1"/>
    <n v="-20"/>
    <n v="120"/>
  </r>
  <r>
    <x v="5"/>
    <s v="conventional_refinance_cltv_-4"/>
    <x v="36"/>
    <n v="1"/>
    <n v="1"/>
    <n v="-20"/>
    <n v="120"/>
  </r>
  <r>
    <x v="5"/>
    <s v="conventional_refinance_cltv_-3"/>
    <x v="37"/>
    <n v="1"/>
    <n v="1"/>
    <n v="-20"/>
    <n v="120"/>
  </r>
  <r>
    <x v="5"/>
    <s v="conventional_refinance_cltv_-2"/>
    <x v="38"/>
    <n v="1"/>
    <n v="1"/>
    <n v="-20"/>
    <n v="120"/>
  </r>
  <r>
    <x v="5"/>
    <s v="conventional_refinance_cltv_-1"/>
    <x v="39"/>
    <n v="1"/>
    <n v="1"/>
    <n v="-20"/>
    <n v="120"/>
  </r>
  <r>
    <x v="5"/>
    <s v="conventional_refinance_cltv_0"/>
    <x v="40"/>
    <n v="1"/>
    <n v="1"/>
    <n v="-20"/>
    <n v="120"/>
  </r>
  <r>
    <x v="5"/>
    <s v="conventional_refinance_cltv_1"/>
    <x v="41"/>
    <n v="1"/>
    <n v="1"/>
    <n v="-20"/>
    <n v="120"/>
  </r>
  <r>
    <x v="5"/>
    <s v="conventional_refinance_cltv_2"/>
    <x v="42"/>
    <n v="1"/>
    <n v="1"/>
    <n v="-20"/>
    <n v="120"/>
  </r>
  <r>
    <x v="5"/>
    <s v="conventional_refinance_cltv_3"/>
    <x v="43"/>
    <n v="1"/>
    <n v="1"/>
    <n v="-20"/>
    <n v="120"/>
  </r>
  <r>
    <x v="5"/>
    <s v="conventional_refinance_cltv_4"/>
    <x v="44"/>
    <n v="1"/>
    <n v="1"/>
    <n v="-20"/>
    <n v="120"/>
  </r>
  <r>
    <x v="5"/>
    <s v="conventional_refinance_cltv_5"/>
    <x v="45"/>
    <n v="1"/>
    <n v="1"/>
    <n v="-20"/>
    <n v="120"/>
  </r>
  <r>
    <x v="5"/>
    <s v="conventional_refinance_cltv_6"/>
    <x v="46"/>
    <n v="1"/>
    <n v="1"/>
    <n v="-20"/>
    <n v="120"/>
  </r>
  <r>
    <x v="5"/>
    <s v="conventional_refinance_cltv_7"/>
    <x v="47"/>
    <n v="1"/>
    <n v="1"/>
    <n v="-20"/>
    <n v="120"/>
  </r>
  <r>
    <x v="5"/>
    <s v="conventional_refinance_cltv_8"/>
    <x v="48"/>
    <n v="1"/>
    <n v="1"/>
    <n v="-20"/>
    <n v="120"/>
  </r>
  <r>
    <x v="5"/>
    <s v="conventional_refinance_cltv_9"/>
    <x v="49"/>
    <n v="1"/>
    <n v="1"/>
    <n v="-20"/>
    <n v="120"/>
  </r>
  <r>
    <x v="5"/>
    <s v="conventional_refinance_cltv_10"/>
    <x v="50"/>
    <n v="1"/>
    <n v="1"/>
    <n v="-20"/>
    <n v="120"/>
  </r>
  <r>
    <x v="5"/>
    <s v="conventional_refinance_cltv_11"/>
    <x v="51"/>
    <n v="1"/>
    <n v="1"/>
    <n v="-20"/>
    <n v="120"/>
  </r>
  <r>
    <x v="5"/>
    <s v="conventional_refinance_cltv_12"/>
    <x v="52"/>
    <n v="1"/>
    <n v="1"/>
    <n v="-20"/>
    <n v="120"/>
  </r>
  <r>
    <x v="5"/>
    <s v="conventional_refinance_cltv_13"/>
    <x v="53"/>
    <n v="1"/>
    <n v="1"/>
    <n v="-20"/>
    <n v="120"/>
  </r>
  <r>
    <x v="5"/>
    <s v="conventional_refinance_cltv_14"/>
    <x v="54"/>
    <n v="1"/>
    <n v="1"/>
    <n v="-20"/>
    <n v="120"/>
  </r>
  <r>
    <x v="5"/>
    <s v="conventional_refinance_cltv_15"/>
    <x v="55"/>
    <n v="1"/>
    <n v="1"/>
    <n v="-20"/>
    <n v="120"/>
  </r>
  <r>
    <x v="5"/>
    <s v="conventional_refinance_cltv_16"/>
    <x v="56"/>
    <n v="1"/>
    <n v="1"/>
    <n v="-20"/>
    <n v="120"/>
  </r>
  <r>
    <x v="5"/>
    <s v="conventional_refinance_cltv_17"/>
    <x v="57"/>
    <n v="1"/>
    <n v="1"/>
    <n v="-20"/>
    <n v="120"/>
  </r>
  <r>
    <x v="5"/>
    <s v="conventional_refinance_cltv_18"/>
    <x v="58"/>
    <n v="1"/>
    <n v="1"/>
    <n v="-20"/>
    <n v="120"/>
  </r>
  <r>
    <x v="5"/>
    <s v="conventional_refinance_cltv_19"/>
    <x v="59"/>
    <n v="1"/>
    <n v="1"/>
    <n v="-20"/>
    <n v="120"/>
  </r>
  <r>
    <x v="5"/>
    <s v="conventional_refinance_cltv_20"/>
    <x v="60"/>
    <n v="1"/>
    <n v="1"/>
    <n v="-20"/>
    <n v="120"/>
  </r>
  <r>
    <x v="5"/>
    <s v="conventional_refinance_cltv_21"/>
    <x v="61"/>
    <n v="1"/>
    <n v="1"/>
    <n v="-20"/>
    <n v="120"/>
  </r>
  <r>
    <x v="5"/>
    <s v="conventional_refinance_cltv_22"/>
    <x v="62"/>
    <n v="1"/>
    <n v="1"/>
    <n v="-20"/>
    <n v="120"/>
  </r>
  <r>
    <x v="5"/>
    <s v="conventional_refinance_cltv_23"/>
    <x v="63"/>
    <n v="1"/>
    <n v="1"/>
    <n v="-20"/>
    <n v="120"/>
  </r>
  <r>
    <x v="5"/>
    <s v="conventional_refinance_cltv_24"/>
    <x v="64"/>
    <n v="1"/>
    <n v="1"/>
    <n v="-20"/>
    <n v="120"/>
  </r>
  <r>
    <x v="5"/>
    <s v="conventional_refinance_cltv_25"/>
    <x v="65"/>
    <n v="1"/>
    <n v="1"/>
    <n v="-20"/>
    <n v="120"/>
  </r>
  <r>
    <x v="5"/>
    <s v="conventional_refinance_cltv_26"/>
    <x v="66"/>
    <n v="1"/>
    <n v="1"/>
    <n v="-20"/>
    <n v="120"/>
  </r>
  <r>
    <x v="5"/>
    <s v="conventional_refinance_cltv_27"/>
    <x v="67"/>
    <n v="1"/>
    <n v="1"/>
    <n v="-20"/>
    <n v="120"/>
  </r>
  <r>
    <x v="5"/>
    <s v="conventional_refinance_cltv_28"/>
    <x v="68"/>
    <n v="1"/>
    <n v="1"/>
    <n v="-20"/>
    <n v="120"/>
  </r>
  <r>
    <x v="5"/>
    <s v="conventional_refinance_cltv_29"/>
    <x v="69"/>
    <n v="1"/>
    <n v="1"/>
    <n v="-20"/>
    <n v="120"/>
  </r>
  <r>
    <x v="5"/>
    <s v="conventional_refinance_cltv_30"/>
    <x v="70"/>
    <n v="1"/>
    <n v="1"/>
    <n v="-20"/>
    <n v="120"/>
  </r>
  <r>
    <x v="5"/>
    <s v="conventional_refinance_cltv_31"/>
    <x v="71"/>
    <n v="1"/>
    <n v="1"/>
    <n v="-20"/>
    <n v="120"/>
  </r>
  <r>
    <x v="5"/>
    <s v="conventional_refinance_cltv_32"/>
    <x v="72"/>
    <n v="1"/>
    <n v="1"/>
    <n v="-20"/>
    <n v="120"/>
  </r>
  <r>
    <x v="5"/>
    <s v="conventional_refinance_cltv_33"/>
    <x v="73"/>
    <n v="1"/>
    <n v="1"/>
    <n v="-20"/>
    <n v="120"/>
  </r>
  <r>
    <x v="5"/>
    <s v="conventional_refinance_cltv_34"/>
    <x v="74"/>
    <n v="1"/>
    <n v="1"/>
    <n v="-20"/>
    <n v="120"/>
  </r>
  <r>
    <x v="5"/>
    <s v="conventional_refinance_cltv_35"/>
    <x v="75"/>
    <n v="1"/>
    <n v="1"/>
    <n v="-20"/>
    <n v="120"/>
  </r>
  <r>
    <x v="5"/>
    <s v="conventional_refinance_cltv_36"/>
    <x v="76"/>
    <n v="1"/>
    <n v="1"/>
    <n v="-20"/>
    <n v="120"/>
  </r>
  <r>
    <x v="5"/>
    <s v="conventional_refinance_cltv_37"/>
    <x v="77"/>
    <n v="1"/>
    <n v="1"/>
    <n v="-20"/>
    <n v="120"/>
  </r>
  <r>
    <x v="5"/>
    <s v="conventional_refinance_cltv_38"/>
    <x v="78"/>
    <n v="1"/>
    <n v="1"/>
    <n v="-20"/>
    <n v="120"/>
  </r>
  <r>
    <x v="5"/>
    <s v="conventional_refinance_cltv_39"/>
    <x v="79"/>
    <n v="1"/>
    <n v="1"/>
    <n v="-20"/>
    <n v="120"/>
  </r>
  <r>
    <x v="5"/>
    <s v="conventional_refinance_cltv_40"/>
    <x v="80"/>
    <n v="1"/>
    <n v="1"/>
    <n v="-20"/>
    <n v="120"/>
  </r>
  <r>
    <x v="5"/>
    <s v="conventional_refinance_cltv_41"/>
    <x v="81"/>
    <n v="1"/>
    <n v="1"/>
    <n v="-20"/>
    <n v="120"/>
  </r>
  <r>
    <x v="5"/>
    <s v="conventional_refinance_cltv_42"/>
    <x v="82"/>
    <n v="1"/>
    <n v="1"/>
    <n v="-20"/>
    <n v="120"/>
  </r>
  <r>
    <x v="5"/>
    <s v="conventional_refinance_cltv_43"/>
    <x v="83"/>
    <n v="1"/>
    <n v="1"/>
    <n v="-20"/>
    <n v="120"/>
  </r>
  <r>
    <x v="5"/>
    <s v="conventional_refinance_cltv_44"/>
    <x v="84"/>
    <n v="1"/>
    <n v="1"/>
    <n v="-20"/>
    <n v="120"/>
  </r>
  <r>
    <x v="5"/>
    <s v="conventional_refinance_cltv_45"/>
    <x v="85"/>
    <n v="1"/>
    <n v="1"/>
    <n v="-20"/>
    <n v="120"/>
  </r>
  <r>
    <x v="5"/>
    <s v="conventional_refinance_cltv_46"/>
    <x v="86"/>
    <n v="1"/>
    <n v="1"/>
    <n v="-20"/>
    <n v="120"/>
  </r>
  <r>
    <x v="5"/>
    <s v="conventional_refinance_cltv_47"/>
    <x v="87"/>
    <n v="1"/>
    <n v="1"/>
    <n v="-20"/>
    <n v="120"/>
  </r>
  <r>
    <x v="5"/>
    <s v="conventional_refinance_cltv_48"/>
    <x v="88"/>
    <n v="1"/>
    <n v="1"/>
    <n v="-20"/>
    <n v="120"/>
  </r>
  <r>
    <x v="5"/>
    <s v="conventional_refinance_cltv_49"/>
    <x v="89"/>
    <n v="1"/>
    <n v="1"/>
    <n v="-20"/>
    <n v="120"/>
  </r>
  <r>
    <x v="5"/>
    <s v="conventional_refinance_cltv_50"/>
    <x v="90"/>
    <n v="1"/>
    <n v="1"/>
    <n v="-20"/>
    <n v="120"/>
  </r>
  <r>
    <x v="5"/>
    <s v="conventional_refinance_cltv_51"/>
    <x v="91"/>
    <n v="1"/>
    <n v="1"/>
    <n v="-20"/>
    <n v="120"/>
  </r>
  <r>
    <x v="5"/>
    <s v="conventional_refinance_cltv_52"/>
    <x v="92"/>
    <n v="1"/>
    <n v="1"/>
    <n v="-20"/>
    <n v="120"/>
  </r>
  <r>
    <x v="5"/>
    <s v="conventional_refinance_cltv_53"/>
    <x v="93"/>
    <n v="1"/>
    <n v="1"/>
    <n v="-20"/>
    <n v="120"/>
  </r>
  <r>
    <x v="5"/>
    <s v="conventional_refinance_cltv_54"/>
    <x v="94"/>
    <n v="1"/>
    <n v="1"/>
    <n v="-20"/>
    <n v="120"/>
  </r>
  <r>
    <x v="5"/>
    <s v="conventional_refinance_cltv_55"/>
    <x v="95"/>
    <n v="1"/>
    <n v="1"/>
    <n v="-20"/>
    <n v="120"/>
  </r>
  <r>
    <x v="5"/>
    <s v="conventional_refinance_cltv_56"/>
    <x v="96"/>
    <n v="1"/>
    <n v="1"/>
    <n v="-20"/>
    <n v="120"/>
  </r>
  <r>
    <x v="5"/>
    <s v="conventional_refinance_cltv_57"/>
    <x v="97"/>
    <n v="1"/>
    <n v="1"/>
    <n v="-20"/>
    <n v="120"/>
  </r>
  <r>
    <x v="5"/>
    <s v="conventional_refinance_cltv_58"/>
    <x v="98"/>
    <n v="1"/>
    <n v="1"/>
    <n v="-20"/>
    <n v="120"/>
  </r>
  <r>
    <x v="5"/>
    <s v="conventional_refinance_cltv_59"/>
    <x v="99"/>
    <n v="1"/>
    <n v="1"/>
    <n v="-20"/>
    <n v="120"/>
  </r>
  <r>
    <x v="5"/>
    <s v="conventional_refinance_cltv_60"/>
    <x v="100"/>
    <n v="1"/>
    <n v="1"/>
    <n v="-20"/>
    <n v="120"/>
  </r>
  <r>
    <x v="5"/>
    <s v="conventional_refinance_cltv_61"/>
    <x v="101"/>
    <n v="1"/>
    <n v="1"/>
    <n v="-20"/>
    <n v="120"/>
  </r>
  <r>
    <x v="5"/>
    <s v="conventional_refinance_cltv_62"/>
    <x v="102"/>
    <n v="1"/>
    <n v="1"/>
    <n v="-20"/>
    <n v="120"/>
  </r>
  <r>
    <x v="5"/>
    <s v="conventional_refinance_cltv_63"/>
    <x v="103"/>
    <n v="1"/>
    <n v="1"/>
    <n v="-20"/>
    <n v="120"/>
  </r>
  <r>
    <x v="5"/>
    <s v="conventional_refinance_cltv_64"/>
    <x v="104"/>
    <n v="1"/>
    <n v="1"/>
    <n v="-20"/>
    <n v="120"/>
  </r>
  <r>
    <x v="5"/>
    <s v="conventional_refinance_cltv_65"/>
    <x v="105"/>
    <n v="1"/>
    <n v="1"/>
    <n v="-20"/>
    <n v="120"/>
  </r>
  <r>
    <x v="5"/>
    <s v="conventional_refinance_cltv_66"/>
    <x v="106"/>
    <n v="1"/>
    <n v="1"/>
    <n v="-20"/>
    <n v="120"/>
  </r>
  <r>
    <x v="5"/>
    <s v="conventional_refinance_cltv_67"/>
    <x v="107"/>
    <n v="1"/>
    <n v="1"/>
    <n v="-20"/>
    <n v="120"/>
  </r>
  <r>
    <x v="5"/>
    <s v="conventional_refinance_cltv_68"/>
    <x v="108"/>
    <n v="1"/>
    <n v="1"/>
    <n v="-20"/>
    <n v="120"/>
  </r>
  <r>
    <x v="5"/>
    <s v="conventional_refinance_cltv_69"/>
    <x v="109"/>
    <n v="1"/>
    <n v="1"/>
    <n v="-20"/>
    <n v="120"/>
  </r>
  <r>
    <x v="5"/>
    <s v="conventional_refinance_cltv_70"/>
    <x v="110"/>
    <n v="1"/>
    <n v="1"/>
    <n v="-20"/>
    <n v="120"/>
  </r>
  <r>
    <x v="5"/>
    <s v="conventional_refinance_cltv_71"/>
    <x v="111"/>
    <n v="0.99821700000000002"/>
    <n v="1"/>
    <n v="-20"/>
    <n v="120"/>
  </r>
  <r>
    <x v="5"/>
    <s v="conventional_refinance_cltv_72"/>
    <x v="112"/>
    <n v="0.99321599999999999"/>
    <n v="1"/>
    <n v="-20"/>
    <n v="120"/>
  </r>
  <r>
    <x v="5"/>
    <s v="conventional_refinance_cltv_73"/>
    <x v="113"/>
    <n v="0.98551900000000003"/>
    <n v="1"/>
    <n v="-20"/>
    <n v="120"/>
  </r>
  <r>
    <x v="5"/>
    <s v="conventional_refinance_cltv_74"/>
    <x v="114"/>
    <n v="0.97564799999999996"/>
    <n v="1"/>
    <n v="-20"/>
    <n v="120"/>
  </r>
  <r>
    <x v="5"/>
    <s v="conventional_refinance_cltv_75"/>
    <x v="115"/>
    <n v="0.96412500000000001"/>
    <n v="1"/>
    <n v="-20"/>
    <n v="120"/>
  </r>
  <r>
    <x v="5"/>
    <s v="conventional_refinance_cltv_76"/>
    <x v="116"/>
    <n v="0.95147199999999998"/>
    <n v="1"/>
    <n v="-20"/>
    <n v="120"/>
  </r>
  <r>
    <x v="5"/>
    <s v="conventional_refinance_cltv_77"/>
    <x v="117"/>
    <n v="0.93821100000000002"/>
    <n v="1"/>
    <n v="-20"/>
    <n v="120"/>
  </r>
  <r>
    <x v="5"/>
    <s v="conventional_refinance_cltv_78"/>
    <x v="118"/>
    <n v="0.92486400000000002"/>
    <n v="1"/>
    <n v="-20"/>
    <n v="120"/>
  </r>
  <r>
    <x v="5"/>
    <s v="conventional_refinance_cltv_79"/>
    <x v="119"/>
    <n v="0.91195300000000001"/>
    <n v="1"/>
    <n v="-20"/>
    <n v="120"/>
  </r>
  <r>
    <x v="5"/>
    <s v="conventional_refinance_cltv_80"/>
    <x v="120"/>
    <n v="0.9"/>
    <n v="1"/>
    <n v="-20"/>
    <n v="120"/>
  </r>
  <r>
    <x v="5"/>
    <s v="conventional_refinance_cltv_81"/>
    <x v="121"/>
    <n v="0.88731899999999997"/>
    <n v="1"/>
    <n v="-20"/>
    <n v="120"/>
  </r>
  <r>
    <x v="5"/>
    <s v="conventional_refinance_cltv_82"/>
    <x v="122"/>
    <n v="0.87243199999999999"/>
    <n v="1"/>
    <n v="-20"/>
    <n v="120"/>
  </r>
  <r>
    <x v="5"/>
    <s v="conventional_refinance_cltv_83"/>
    <x v="123"/>
    <n v="0.85617299999999996"/>
    <n v="1"/>
    <n v="-20"/>
    <n v="120"/>
  </r>
  <r>
    <x v="5"/>
    <s v="conventional_refinance_cltv_84"/>
    <x v="124"/>
    <n v="0.83937600000000001"/>
    <n v="1"/>
    <n v="-20"/>
    <n v="120"/>
  </r>
  <r>
    <x v="5"/>
    <s v="conventional_refinance_cltv_85"/>
    <x v="125"/>
    <n v="0.82287500000000002"/>
    <n v="1"/>
    <n v="-20"/>
    <n v="120"/>
  </r>
  <r>
    <x v="5"/>
    <s v="conventional_refinance_cltv_86"/>
    <x v="126"/>
    <n v="0.807504"/>
    <n v="1"/>
    <n v="-20"/>
    <n v="120"/>
  </r>
  <r>
    <x v="5"/>
    <s v="conventional_refinance_cltv_87"/>
    <x v="127"/>
    <n v="0.79409700000000005"/>
    <n v="1"/>
    <n v="-20"/>
    <n v="120"/>
  </r>
  <r>
    <x v="5"/>
    <s v="conventional_refinance_cltv_88"/>
    <x v="128"/>
    <n v="0.78348799999999996"/>
    <n v="1"/>
    <n v="-20"/>
    <n v="120"/>
  </r>
  <r>
    <x v="5"/>
    <s v="conventional_refinance_cltv_89"/>
    <x v="129"/>
    <n v="0.77651099999999995"/>
    <n v="1"/>
    <n v="-20"/>
    <n v="120"/>
  </r>
  <r>
    <x v="5"/>
    <s v="conventional_refinance_cltv_90"/>
    <x v="130"/>
    <n v="0.77400000000000002"/>
    <n v="1"/>
    <n v="-20"/>
    <n v="120"/>
  </r>
  <r>
    <x v="5"/>
    <s v="conventional_refinance_cltv_91"/>
    <x v="131"/>
    <n v="0.77400000000000002"/>
    <n v="1"/>
    <n v="-20"/>
    <n v="120"/>
  </r>
  <r>
    <x v="5"/>
    <s v="conventional_refinance_cltv_92"/>
    <x v="132"/>
    <n v="0.77400000000000002"/>
    <n v="1"/>
    <n v="-20"/>
    <n v="120"/>
  </r>
  <r>
    <x v="5"/>
    <s v="conventional_refinance_cltv_93"/>
    <x v="133"/>
    <n v="0.77400000000000002"/>
    <n v="1"/>
    <n v="-20"/>
    <n v="120"/>
  </r>
  <r>
    <x v="5"/>
    <s v="conventional_refinance_cltv_94"/>
    <x v="134"/>
    <n v="0.77400000000000002"/>
    <n v="1"/>
    <n v="-20"/>
    <n v="120"/>
  </r>
  <r>
    <x v="5"/>
    <s v="conventional_refinance_cltv_95"/>
    <x v="135"/>
    <n v="0.77400000000000002"/>
    <n v="1"/>
    <n v="-20"/>
    <n v="120"/>
  </r>
  <r>
    <x v="5"/>
    <s v="conventional_refinance_cltv_96"/>
    <x v="136"/>
    <n v="0.77400000000000002"/>
    <n v="1"/>
    <n v="-20"/>
    <n v="120"/>
  </r>
  <r>
    <x v="5"/>
    <s v="conventional_refinance_cltv_97"/>
    <x v="137"/>
    <n v="0.77400000000000002"/>
    <n v="1"/>
    <n v="-20"/>
    <n v="120"/>
  </r>
  <r>
    <x v="5"/>
    <s v="conventional_refinance_cltv_98"/>
    <x v="138"/>
    <n v="0.77400000000000002"/>
    <n v="1"/>
    <n v="-20"/>
    <n v="120"/>
  </r>
  <r>
    <x v="5"/>
    <s v="conventional_refinance_cltv_99"/>
    <x v="139"/>
    <n v="0.77400000000000002"/>
    <n v="1"/>
    <n v="-20"/>
    <n v="120"/>
  </r>
  <r>
    <x v="5"/>
    <s v="conventional_refinance_cltv_100"/>
    <x v="140"/>
    <n v="0.77400000000000002"/>
    <n v="1"/>
    <n v="-20"/>
    <n v="120"/>
  </r>
  <r>
    <x v="5"/>
    <s v="conventional_refinance_cltv_101"/>
    <x v="141"/>
    <n v="0.77400000000000002"/>
    <n v="1"/>
    <n v="-20"/>
    <n v="120"/>
  </r>
  <r>
    <x v="5"/>
    <s v="conventional_refinance_cltv_102"/>
    <x v="142"/>
    <n v="0.77400000000000002"/>
    <n v="1"/>
    <n v="-20"/>
    <n v="120"/>
  </r>
  <r>
    <x v="5"/>
    <s v="conventional_refinance_cltv_103"/>
    <x v="143"/>
    <n v="0.77400000000000002"/>
    <n v="1"/>
    <n v="-20"/>
    <n v="120"/>
  </r>
  <r>
    <x v="5"/>
    <s v="conventional_refinance_cltv_104"/>
    <x v="144"/>
    <n v="0.77400000000000002"/>
    <n v="1"/>
    <n v="-20"/>
    <n v="120"/>
  </r>
  <r>
    <x v="5"/>
    <s v="conventional_refinance_cltv_105"/>
    <x v="145"/>
    <n v="0.77400000000000002"/>
    <n v="1"/>
    <n v="-20"/>
    <n v="120"/>
  </r>
  <r>
    <x v="5"/>
    <s v="conventional_refinance_cltv_106"/>
    <x v="146"/>
    <n v="0.77400000000000002"/>
    <n v="1"/>
    <n v="-20"/>
    <n v="120"/>
  </r>
  <r>
    <x v="5"/>
    <s v="conventional_refinance_cltv_107"/>
    <x v="147"/>
    <n v="0.77400000000000002"/>
    <n v="1"/>
    <n v="-20"/>
    <n v="120"/>
  </r>
  <r>
    <x v="5"/>
    <s v="conventional_refinance_cltv_108"/>
    <x v="148"/>
    <n v="0.77400000000000002"/>
    <n v="1"/>
    <n v="-20"/>
    <n v="120"/>
  </r>
  <r>
    <x v="5"/>
    <s v="conventional_refinance_cltv_109"/>
    <x v="149"/>
    <n v="0.77400000000000002"/>
    <n v="1"/>
    <n v="-20"/>
    <n v="120"/>
  </r>
  <r>
    <x v="5"/>
    <s v="conventional_refinance_cltv_110"/>
    <x v="150"/>
    <n v="0.77400000000000002"/>
    <n v="1"/>
    <n v="-20"/>
    <n v="120"/>
  </r>
  <r>
    <x v="5"/>
    <s v="conventional_refinance_cltv_111"/>
    <x v="151"/>
    <n v="0.77400000000000002"/>
    <n v="1"/>
    <n v="-20"/>
    <n v="120"/>
  </r>
  <r>
    <x v="5"/>
    <s v="conventional_refinance_cltv_112"/>
    <x v="152"/>
    <n v="0.77400000000000002"/>
    <n v="1"/>
    <n v="-20"/>
    <n v="120"/>
  </r>
  <r>
    <x v="5"/>
    <s v="conventional_refinance_cltv_113"/>
    <x v="153"/>
    <n v="0.77400000000000002"/>
    <n v="1"/>
    <n v="-20"/>
    <n v="120"/>
  </r>
  <r>
    <x v="5"/>
    <s v="conventional_refinance_cltv_114"/>
    <x v="154"/>
    <n v="0.77400000000000002"/>
    <n v="1"/>
    <n v="-20"/>
    <n v="120"/>
  </r>
  <r>
    <x v="5"/>
    <s v="conventional_refinance_cltv_115"/>
    <x v="155"/>
    <n v="0.77400000000000002"/>
    <n v="1"/>
    <n v="-20"/>
    <n v="120"/>
  </r>
  <r>
    <x v="5"/>
    <s v="conventional_refinance_cltv_116"/>
    <x v="156"/>
    <n v="0.77400000000000002"/>
    <n v="1"/>
    <n v="-20"/>
    <n v="120"/>
  </r>
  <r>
    <x v="5"/>
    <s v="conventional_refinance_cltv_117"/>
    <x v="157"/>
    <n v="0.77400000000000002"/>
    <n v="1"/>
    <n v="-20"/>
    <n v="120"/>
  </r>
  <r>
    <x v="5"/>
    <s v="conventional_refinance_cltv_118"/>
    <x v="158"/>
    <n v="0.77400000000000002"/>
    <n v="1"/>
    <n v="-20"/>
    <n v="120"/>
  </r>
  <r>
    <x v="5"/>
    <s v="conventional_refinance_cltv_119"/>
    <x v="159"/>
    <n v="0.77400000000000002"/>
    <n v="1"/>
    <n v="-20"/>
    <n v="120"/>
  </r>
  <r>
    <x v="5"/>
    <s v="conventional_refinance_cltv_120"/>
    <x v="160"/>
    <n v="0.77400000000000002"/>
    <n v="1"/>
    <n v="-20"/>
    <n v="120"/>
  </r>
  <r>
    <x v="6"/>
    <s v="conventional_refinance_wacls_-130"/>
    <x v="1141"/>
    <n v="-0.37814818181818199"/>
    <n v="1"/>
    <n v="-130"/>
    <n v="780"/>
  </r>
  <r>
    <x v="6"/>
    <s v="conventional_refinance_wacls_-129"/>
    <x v="1142"/>
    <n v="-0.37523927272727298"/>
    <n v="1"/>
    <n v="-130"/>
    <n v="780"/>
  </r>
  <r>
    <x v="6"/>
    <s v="conventional_refinance_wacls_-128"/>
    <x v="1143"/>
    <n v="-0.37233036363636401"/>
    <n v="1"/>
    <n v="-130"/>
    <n v="780"/>
  </r>
  <r>
    <x v="6"/>
    <s v="conventional_refinance_wacls_-127"/>
    <x v="1144"/>
    <n v="-0.369421454545455"/>
    <n v="1"/>
    <n v="-130"/>
    <n v="780"/>
  </r>
  <r>
    <x v="6"/>
    <s v="conventional_refinance_wacls_-126"/>
    <x v="1145"/>
    <n v="-0.36651254545454498"/>
    <n v="1"/>
    <n v="-130"/>
    <n v="780"/>
  </r>
  <r>
    <x v="6"/>
    <s v="conventional_refinance_wacls_-125"/>
    <x v="1146"/>
    <n v="-0.36360363636363602"/>
    <n v="1"/>
    <n v="-130"/>
    <n v="780"/>
  </r>
  <r>
    <x v="6"/>
    <s v="conventional_refinance_wacls_-124"/>
    <x v="1147"/>
    <n v="-0.360694727272727"/>
    <n v="1"/>
    <n v="-130"/>
    <n v="780"/>
  </r>
  <r>
    <x v="6"/>
    <s v="conventional_refinance_wacls_-123"/>
    <x v="1148"/>
    <n v="-0.35778581818181798"/>
    <n v="1"/>
    <n v="-130"/>
    <n v="780"/>
  </r>
  <r>
    <x v="6"/>
    <s v="conventional_refinance_wacls_-122"/>
    <x v="1149"/>
    <n v="-0.35487690909090902"/>
    <n v="1"/>
    <n v="-130"/>
    <n v="780"/>
  </r>
  <r>
    <x v="6"/>
    <s v="conventional_refinance_wacls_-121"/>
    <x v="1150"/>
    <n v="-0.351968"/>
    <n v="1"/>
    <n v="-130"/>
    <n v="780"/>
  </r>
  <r>
    <x v="6"/>
    <s v="conventional_refinance_wacls_-120"/>
    <x v="1151"/>
    <n v="-0.34905909090909099"/>
    <n v="1"/>
    <n v="-130"/>
    <n v="780"/>
  </r>
  <r>
    <x v="6"/>
    <s v="conventional_refinance_wacls_-119"/>
    <x v="1152"/>
    <n v="-0.34615018181818202"/>
    <n v="1"/>
    <n v="-130"/>
    <n v="780"/>
  </r>
  <r>
    <x v="6"/>
    <s v="conventional_refinance_wacls_-118"/>
    <x v="1153"/>
    <n v="-0.34324127272727301"/>
    <n v="1"/>
    <n v="-130"/>
    <n v="780"/>
  </r>
  <r>
    <x v="6"/>
    <s v="conventional_refinance_wacls_-117"/>
    <x v="1154"/>
    <n v="-0.34033236363636399"/>
    <n v="1"/>
    <n v="-130"/>
    <n v="780"/>
  </r>
  <r>
    <x v="6"/>
    <s v="conventional_refinance_wacls_-116"/>
    <x v="1155"/>
    <n v="-0.33742345454545503"/>
    <n v="1"/>
    <n v="-130"/>
    <n v="780"/>
  </r>
  <r>
    <x v="6"/>
    <s v="conventional_refinance_wacls_-115"/>
    <x v="1156"/>
    <n v="-0.33451454545454501"/>
    <n v="1"/>
    <n v="-130"/>
    <n v="780"/>
  </r>
  <r>
    <x v="6"/>
    <s v="conventional_refinance_wacls_-114"/>
    <x v="1157"/>
    <n v="-0.33160563636363599"/>
    <n v="1"/>
    <n v="-130"/>
    <n v="780"/>
  </r>
  <r>
    <x v="6"/>
    <s v="conventional_refinance_wacls_-113"/>
    <x v="1158"/>
    <n v="-0.32869672727272697"/>
    <n v="1"/>
    <n v="-130"/>
    <n v="780"/>
  </r>
  <r>
    <x v="6"/>
    <s v="conventional_refinance_wacls_-112"/>
    <x v="1159"/>
    <n v="-0.32578781818181801"/>
    <n v="1"/>
    <n v="-130"/>
    <n v="780"/>
  </r>
  <r>
    <x v="6"/>
    <s v="conventional_refinance_wacls_-111"/>
    <x v="1160"/>
    <n v="-0.32287890909090899"/>
    <n v="1"/>
    <n v="-130"/>
    <n v="780"/>
  </r>
  <r>
    <x v="6"/>
    <s v="conventional_refinance_wacls_-110"/>
    <x v="1161"/>
    <n v="-0.31996999999999998"/>
    <n v="1"/>
    <n v="-130"/>
    <n v="780"/>
  </r>
  <r>
    <x v="6"/>
    <s v="conventional_refinance_wacls_-109"/>
    <x v="1162"/>
    <n v="-0.31706109090909101"/>
    <n v="1"/>
    <n v="-130"/>
    <n v="780"/>
  </r>
  <r>
    <x v="6"/>
    <s v="conventional_refinance_wacls_-108"/>
    <x v="1163"/>
    <n v="-0.314152181818182"/>
    <n v="1"/>
    <n v="-130"/>
    <n v="780"/>
  </r>
  <r>
    <x v="6"/>
    <s v="conventional_refinance_wacls_-107"/>
    <x v="1164"/>
    <n v="-0.31124327272727298"/>
    <n v="1"/>
    <n v="-130"/>
    <n v="780"/>
  </r>
  <r>
    <x v="6"/>
    <s v="conventional_refinance_wacls_-106"/>
    <x v="1165"/>
    <n v="-0.30833436363636402"/>
    <n v="1"/>
    <n v="-130"/>
    <n v="780"/>
  </r>
  <r>
    <x v="6"/>
    <s v="conventional_refinance_wacls_-105"/>
    <x v="1166"/>
    <n v="-0.305425454545455"/>
    <n v="1"/>
    <n v="-130"/>
    <n v="780"/>
  </r>
  <r>
    <x v="6"/>
    <s v="conventional_refinance_wacls_-104"/>
    <x v="1167"/>
    <n v="-0.30251654545454498"/>
    <n v="1"/>
    <n v="-130"/>
    <n v="780"/>
  </r>
  <r>
    <x v="6"/>
    <s v="conventional_refinance_wacls_-103"/>
    <x v="1168"/>
    <n v="-0.29960763636363602"/>
    <n v="1"/>
    <n v="-130"/>
    <n v="780"/>
  </r>
  <r>
    <x v="6"/>
    <s v="conventional_refinance_wacls_-102"/>
    <x v="1169"/>
    <n v="-0.296698727272727"/>
    <n v="1"/>
    <n v="-130"/>
    <n v="780"/>
  </r>
  <r>
    <x v="6"/>
    <s v="conventional_refinance_wacls_-101"/>
    <x v="1170"/>
    <n v="-0.29378981818181799"/>
    <n v="1"/>
    <n v="-130"/>
    <n v="780"/>
  </r>
  <r>
    <x v="6"/>
    <s v="conventional_refinance_wacls_-100"/>
    <x v="1171"/>
    <n v="-0.29088090909090902"/>
    <n v="1"/>
    <n v="-130"/>
    <n v="780"/>
  </r>
  <r>
    <x v="6"/>
    <s v="conventional_refinance_wacls_-99"/>
    <x v="1172"/>
    <n v="-0.28797200000000001"/>
    <n v="1"/>
    <n v="-130"/>
    <n v="780"/>
  </r>
  <r>
    <x v="6"/>
    <s v="conventional_refinance_wacls_-98"/>
    <x v="1173"/>
    <n v="-0.28506309090909099"/>
    <n v="1"/>
    <n v="-130"/>
    <n v="780"/>
  </r>
  <r>
    <x v="6"/>
    <s v="conventional_refinance_wacls_-97"/>
    <x v="1174"/>
    <n v="-0.28215418181818203"/>
    <n v="1"/>
    <n v="-130"/>
    <n v="780"/>
  </r>
  <r>
    <x v="6"/>
    <s v="conventional_refinance_wacls_-96"/>
    <x v="1175"/>
    <n v="-0.27924527272727301"/>
    <n v="1"/>
    <n v="-130"/>
    <n v="780"/>
  </r>
  <r>
    <x v="6"/>
    <s v="conventional_refinance_wacls_-95"/>
    <x v="1176"/>
    <n v="-0.27633636363636399"/>
    <n v="1"/>
    <n v="-130"/>
    <n v="780"/>
  </r>
  <r>
    <x v="6"/>
    <s v="conventional_refinance_wacls_-94"/>
    <x v="1177"/>
    <n v="-0.27342745454545497"/>
    <n v="1"/>
    <n v="-130"/>
    <n v="780"/>
  </r>
  <r>
    <x v="6"/>
    <s v="conventional_refinance_wacls_-93"/>
    <x v="1178"/>
    <n v="-0.27051854545454501"/>
    <n v="1"/>
    <n v="-130"/>
    <n v="780"/>
  </r>
  <r>
    <x v="6"/>
    <s v="conventional_refinance_wacls_-92"/>
    <x v="1179"/>
    <n v="-0.26760963636363599"/>
    <n v="1"/>
    <n v="-130"/>
    <n v="780"/>
  </r>
  <r>
    <x v="6"/>
    <s v="conventional_refinance_wacls_-91"/>
    <x v="1180"/>
    <n v="-0.26470072727272698"/>
    <n v="1"/>
    <n v="-130"/>
    <n v="780"/>
  </r>
  <r>
    <x v="6"/>
    <s v="conventional_refinance_wacls_-90"/>
    <x v="1181"/>
    <n v="-0.26179181818181801"/>
    <n v="1"/>
    <n v="-130"/>
    <n v="780"/>
  </r>
  <r>
    <x v="6"/>
    <s v="conventional_refinance_wacls_-89"/>
    <x v="1182"/>
    <n v="-0.258882909090909"/>
    <n v="1"/>
    <n v="-130"/>
    <n v="780"/>
  </r>
  <r>
    <x v="6"/>
    <s v="conventional_refinance_wacls_-88"/>
    <x v="1183"/>
    <n v="-0.25597399999999998"/>
    <n v="1"/>
    <n v="-130"/>
    <n v="780"/>
  </r>
  <r>
    <x v="6"/>
    <s v="conventional_refinance_wacls_-87"/>
    <x v="1184"/>
    <n v="-0.25306509090909102"/>
    <n v="1"/>
    <n v="-130"/>
    <n v="780"/>
  </r>
  <r>
    <x v="6"/>
    <s v="conventional_refinance_wacls_-86"/>
    <x v="1185"/>
    <n v="-0.250156181818182"/>
    <n v="1"/>
    <n v="-130"/>
    <n v="780"/>
  </r>
  <r>
    <x v="6"/>
    <s v="conventional_refinance_wacls_-85"/>
    <x v="1186"/>
    <n v="-0.24724727272727301"/>
    <n v="1"/>
    <n v="-130"/>
    <n v="780"/>
  </r>
  <r>
    <x v="6"/>
    <s v="conventional_refinance_wacls_-84"/>
    <x v="1187"/>
    <n v="-0.24433836363636399"/>
    <n v="1"/>
    <n v="-130"/>
    <n v="780"/>
  </r>
  <r>
    <x v="6"/>
    <s v="conventional_refinance_wacls_-83"/>
    <x v="1188"/>
    <n v="-0.241429454545455"/>
    <n v="1"/>
    <n v="-130"/>
    <n v="780"/>
  </r>
  <r>
    <x v="6"/>
    <s v="conventional_refinance_wacls_-82"/>
    <x v="1189"/>
    <n v="-0.23852054545454501"/>
    <n v="1"/>
    <n v="-130"/>
    <n v="780"/>
  </r>
  <r>
    <x v="6"/>
    <s v="conventional_refinance_wacls_-81"/>
    <x v="1190"/>
    <n v="-0.235611636363636"/>
    <n v="1"/>
    <n v="-130"/>
    <n v="780"/>
  </r>
  <r>
    <x v="6"/>
    <s v="conventional_refinance_wacls_-80"/>
    <x v="1191"/>
    <n v="-0.23270272727272701"/>
    <n v="1"/>
    <n v="-130"/>
    <n v="780"/>
  </r>
  <r>
    <x v="6"/>
    <s v="conventional_refinance_wacls_-79"/>
    <x v="1192"/>
    <n v="-0.22979381818181799"/>
    <n v="1"/>
    <n v="-130"/>
    <n v="780"/>
  </r>
  <r>
    <x v="6"/>
    <s v="conventional_refinance_wacls_-78"/>
    <x v="1193"/>
    <n v="-0.226884909090909"/>
    <n v="1"/>
    <n v="-130"/>
    <n v="780"/>
  </r>
  <r>
    <x v="6"/>
    <s v="conventional_refinance_wacls_-77"/>
    <x v="1194"/>
    <n v="-0.22397600000000001"/>
    <n v="1"/>
    <n v="-130"/>
    <n v="780"/>
  </r>
  <r>
    <x v="6"/>
    <s v="conventional_refinance_wacls_-76"/>
    <x v="1195"/>
    <n v="-0.22106709090909099"/>
    <n v="1"/>
    <n v="-130"/>
    <n v="780"/>
  </r>
  <r>
    <x v="6"/>
    <s v="conventional_refinance_wacls_-75"/>
    <x v="1196"/>
    <n v="-0.218158181818182"/>
    <n v="1"/>
    <n v="-130"/>
    <n v="780"/>
  </r>
  <r>
    <x v="6"/>
    <s v="conventional_refinance_wacls_-74"/>
    <x v="1197"/>
    <n v="-0.21524927272727301"/>
    <n v="1"/>
    <n v="-130"/>
    <n v="780"/>
  </r>
  <r>
    <x v="6"/>
    <s v="conventional_refinance_wacls_-73"/>
    <x v="1198"/>
    <n v="-0.21234036363636399"/>
    <n v="1"/>
    <n v="-130"/>
    <n v="780"/>
  </r>
  <r>
    <x v="6"/>
    <s v="conventional_refinance_wacls_-72"/>
    <x v="1199"/>
    <n v="-0.209431454545455"/>
    <n v="1"/>
    <n v="-130"/>
    <n v="780"/>
  </r>
  <r>
    <x v="6"/>
    <s v="conventional_refinance_wacls_-71"/>
    <x v="1200"/>
    <n v="-0.20652254545454499"/>
    <n v="1"/>
    <n v="-130"/>
    <n v="780"/>
  </r>
  <r>
    <x v="6"/>
    <s v="conventional_refinance_wacls_-70"/>
    <x v="1201"/>
    <n v="-0.203613636363636"/>
    <n v="1"/>
    <n v="-130"/>
    <n v="780"/>
  </r>
  <r>
    <x v="6"/>
    <s v="conventional_refinance_wacls_-69"/>
    <x v="1202"/>
    <n v="-0.20070472727272701"/>
    <n v="1"/>
    <n v="-130"/>
    <n v="780"/>
  </r>
  <r>
    <x v="6"/>
    <s v="conventional_refinance_wacls_-68"/>
    <x v="1203"/>
    <n v="-0.19779581818181799"/>
    <n v="1"/>
    <n v="-130"/>
    <n v="780"/>
  </r>
  <r>
    <x v="6"/>
    <s v="conventional_refinance_wacls_-67"/>
    <x v="1204"/>
    <n v="-0.194886909090909"/>
    <n v="1"/>
    <n v="-130"/>
    <n v="780"/>
  </r>
  <r>
    <x v="6"/>
    <s v="conventional_refinance_wacls_-66"/>
    <x v="1205"/>
    <n v="-0.19197800000000001"/>
    <n v="1"/>
    <n v="-130"/>
    <n v="780"/>
  </r>
  <r>
    <x v="6"/>
    <s v="conventional_refinance_wacls_-65"/>
    <x v="1206"/>
    <n v="-0.18906909090909099"/>
    <n v="1"/>
    <n v="-130"/>
    <n v="780"/>
  </r>
  <r>
    <x v="6"/>
    <s v="conventional_refinance_wacls_-64"/>
    <x v="1207"/>
    <n v="-0.186160181818182"/>
    <n v="1"/>
    <n v="-130"/>
    <n v="780"/>
  </r>
  <r>
    <x v="6"/>
    <s v="conventional_refinance_wacls_-63"/>
    <x v="1208"/>
    <n v="-0.18325127272727301"/>
    <n v="1"/>
    <n v="-130"/>
    <n v="780"/>
  </r>
  <r>
    <x v="6"/>
    <s v="conventional_refinance_wacls_-62"/>
    <x v="1209"/>
    <n v="-0.18034236363636399"/>
    <n v="1"/>
    <n v="-130"/>
    <n v="780"/>
  </r>
  <r>
    <x v="6"/>
    <s v="conventional_refinance_wacls_-61"/>
    <x v="1210"/>
    <n v="-0.177433454545455"/>
    <n v="1"/>
    <n v="-130"/>
    <n v="780"/>
  </r>
  <r>
    <x v="6"/>
    <s v="conventional_refinance_wacls_-60"/>
    <x v="1211"/>
    <n v="-0.17452454545454499"/>
    <n v="1"/>
    <n v="-130"/>
    <n v="780"/>
  </r>
  <r>
    <x v="6"/>
    <s v="conventional_refinance_wacls_-59"/>
    <x v="1212"/>
    <n v="-0.171615636363636"/>
    <n v="1"/>
    <n v="-130"/>
    <n v="780"/>
  </r>
  <r>
    <x v="6"/>
    <s v="conventional_refinance_wacls_-58"/>
    <x v="1213"/>
    <n v="-0.16870672727272701"/>
    <n v="1"/>
    <n v="-130"/>
    <n v="780"/>
  </r>
  <r>
    <x v="6"/>
    <s v="conventional_refinance_wacls_-57"/>
    <x v="1214"/>
    <n v="-0.16579781818181799"/>
    <n v="1"/>
    <n v="-130"/>
    <n v="780"/>
  </r>
  <r>
    <x v="6"/>
    <s v="conventional_refinance_wacls_-56"/>
    <x v="1215"/>
    <n v="-0.162888909090909"/>
    <n v="1"/>
    <n v="-130"/>
    <n v="780"/>
  </r>
  <r>
    <x v="6"/>
    <s v="conventional_refinance_wacls_-55"/>
    <x v="1216"/>
    <n v="-0.15998000000000001"/>
    <n v="1"/>
    <n v="-130"/>
    <n v="780"/>
  </r>
  <r>
    <x v="6"/>
    <s v="conventional_refinance_wacls_-54"/>
    <x v="1217"/>
    <n v="-0.15707109090909099"/>
    <n v="1"/>
    <n v="-130"/>
    <n v="780"/>
  </r>
  <r>
    <x v="6"/>
    <s v="conventional_refinance_wacls_-53"/>
    <x v="1218"/>
    <n v="-0.154162181818182"/>
    <n v="1"/>
    <n v="-130"/>
    <n v="780"/>
  </r>
  <r>
    <x v="6"/>
    <s v="conventional_refinance_wacls_-52"/>
    <x v="1219"/>
    <n v="-0.15125327272727301"/>
    <n v="1"/>
    <n v="-130"/>
    <n v="780"/>
  </r>
  <r>
    <x v="6"/>
    <s v="conventional_refinance_wacls_-51"/>
    <x v="1220"/>
    <n v="-0.148344363636364"/>
    <n v="1"/>
    <n v="-130"/>
    <n v="780"/>
  </r>
  <r>
    <x v="6"/>
    <s v="conventional_refinance_wacls_-50"/>
    <x v="1221"/>
    <n v="-0.14543545454545501"/>
    <n v="1"/>
    <n v="-130"/>
    <n v="780"/>
  </r>
  <r>
    <x v="6"/>
    <s v="conventional_refinance_wacls_-49"/>
    <x v="1222"/>
    <n v="-0.14252654545454499"/>
    <n v="1"/>
    <n v="-130"/>
    <n v="780"/>
  </r>
  <r>
    <x v="6"/>
    <s v="conventional_refinance_wacls_-48"/>
    <x v="1223"/>
    <n v="-0.139617636363636"/>
    <n v="1"/>
    <n v="-130"/>
    <n v="780"/>
  </r>
  <r>
    <x v="6"/>
    <s v="conventional_refinance_wacls_-47"/>
    <x v="1224"/>
    <n v="-0.13670872727272701"/>
    <n v="1"/>
    <n v="-130"/>
    <n v="780"/>
  </r>
  <r>
    <x v="6"/>
    <s v="conventional_refinance_wacls_-46"/>
    <x v="1225"/>
    <n v="-0.13379981818181799"/>
    <n v="1"/>
    <n v="-130"/>
    <n v="780"/>
  </r>
  <r>
    <x v="6"/>
    <s v="conventional_refinance_wacls_-45"/>
    <x v="1226"/>
    <n v="-0.130890909090909"/>
    <n v="1"/>
    <n v="-130"/>
    <n v="780"/>
  </r>
  <r>
    <x v="6"/>
    <s v="conventional_refinance_wacls_-44"/>
    <x v="1227"/>
    <n v="-0.12798200000000001"/>
    <n v="1"/>
    <n v="-130"/>
    <n v="780"/>
  </r>
  <r>
    <x v="6"/>
    <s v="conventional_refinance_wacls_-43"/>
    <x v="1228"/>
    <n v="-0.12507309090909099"/>
    <n v="1"/>
    <n v="-130"/>
    <n v="780"/>
  </r>
  <r>
    <x v="6"/>
    <s v="conventional_refinance_wacls_-42"/>
    <x v="1229"/>
    <n v="-0.122164181818182"/>
    <n v="1"/>
    <n v="-130"/>
    <n v="780"/>
  </r>
  <r>
    <x v="6"/>
    <s v="conventional_refinance_wacls_-41"/>
    <x v="1230"/>
    <n v="-0.119255272727273"/>
    <n v="1"/>
    <n v="-130"/>
    <n v="780"/>
  </r>
  <r>
    <x v="6"/>
    <s v="conventional_refinance_wacls_-40"/>
    <x v="0"/>
    <n v="-0.116346363636364"/>
    <n v="1"/>
    <n v="-130"/>
    <n v="780"/>
  </r>
  <r>
    <x v="6"/>
    <s v="conventional_refinance_wacls_-39"/>
    <x v="1"/>
    <n v="-0.11343745454545499"/>
    <n v="1"/>
    <n v="-130"/>
    <n v="780"/>
  </r>
  <r>
    <x v="6"/>
    <s v="conventional_refinance_wacls_-38"/>
    <x v="2"/>
    <n v="-0.110528545454545"/>
    <n v="1"/>
    <n v="-130"/>
    <n v="780"/>
  </r>
  <r>
    <x v="6"/>
    <s v="conventional_refinance_wacls_-37"/>
    <x v="3"/>
    <n v="-0.107619636363636"/>
    <n v="1"/>
    <n v="-130"/>
    <n v="780"/>
  </r>
  <r>
    <x v="6"/>
    <s v="conventional_refinance_wacls_-36"/>
    <x v="4"/>
    <n v="-0.104710727272727"/>
    <n v="1"/>
    <n v="-130"/>
    <n v="780"/>
  </r>
  <r>
    <x v="6"/>
    <s v="conventional_refinance_wacls_-35"/>
    <x v="5"/>
    <n v="-0.10180181818181799"/>
    <n v="1"/>
    <n v="-130"/>
    <n v="780"/>
  </r>
  <r>
    <x v="6"/>
    <s v="conventional_refinance_wacls_-34"/>
    <x v="6"/>
    <n v="-9.8892909090909101E-2"/>
    <n v="1"/>
    <n v="-130"/>
    <n v="780"/>
  </r>
  <r>
    <x v="6"/>
    <s v="conventional_refinance_wacls_-33"/>
    <x v="7"/>
    <n v="-9.5984E-2"/>
    <n v="1"/>
    <n v="-130"/>
    <n v="780"/>
  </r>
  <r>
    <x v="6"/>
    <s v="conventional_refinance_wacls_-32"/>
    <x v="8"/>
    <n v="-9.3075090909090899E-2"/>
    <n v="1"/>
    <n v="-130"/>
    <n v="780"/>
  </r>
  <r>
    <x v="6"/>
    <s v="conventional_refinance_wacls_-31"/>
    <x v="9"/>
    <n v="-9.0166181818181798E-2"/>
    <n v="1"/>
    <n v="-130"/>
    <n v="780"/>
  </r>
  <r>
    <x v="6"/>
    <s v="conventional_refinance_wacls_-30"/>
    <x v="10"/>
    <n v="-8.7257272727272697E-2"/>
    <n v="1"/>
    <n v="-130"/>
    <n v="780"/>
  </r>
  <r>
    <x v="6"/>
    <s v="conventional_refinance_wacls_-29"/>
    <x v="11"/>
    <n v="-8.4348363636363596E-2"/>
    <n v="1"/>
    <n v="-130"/>
    <n v="780"/>
  </r>
  <r>
    <x v="6"/>
    <s v="conventional_refinance_wacls_-28"/>
    <x v="12"/>
    <n v="-8.1439454545454606E-2"/>
    <n v="1"/>
    <n v="-130"/>
    <n v="780"/>
  </r>
  <r>
    <x v="6"/>
    <s v="conventional_refinance_wacls_-27"/>
    <x v="13"/>
    <n v="-7.8530545454545506E-2"/>
    <n v="1"/>
    <n v="-130"/>
    <n v="780"/>
  </r>
  <r>
    <x v="6"/>
    <s v="conventional_refinance_wacls_-26"/>
    <x v="14"/>
    <n v="-7.5621636363636405E-2"/>
    <n v="1"/>
    <n v="-130"/>
    <n v="780"/>
  </r>
  <r>
    <x v="6"/>
    <s v="conventional_refinance_wacls_-25"/>
    <x v="15"/>
    <n v="-7.2712727272727304E-2"/>
    <n v="1"/>
    <n v="-130"/>
    <n v="780"/>
  </r>
  <r>
    <x v="6"/>
    <s v="conventional_refinance_wacls_-24"/>
    <x v="16"/>
    <n v="-6.9803818181818203E-2"/>
    <n v="1"/>
    <n v="-130"/>
    <n v="780"/>
  </r>
  <r>
    <x v="6"/>
    <s v="conventional_refinance_wacls_-23"/>
    <x v="17"/>
    <n v="-6.6894909090909102E-2"/>
    <n v="1"/>
    <n v="-130"/>
    <n v="780"/>
  </r>
  <r>
    <x v="6"/>
    <s v="conventional_refinance_wacls_-22"/>
    <x v="18"/>
    <n v="-6.3986000000000001E-2"/>
    <n v="1"/>
    <n v="-130"/>
    <n v="780"/>
  </r>
  <r>
    <x v="6"/>
    <s v="conventional_refinance_wacls_-21"/>
    <x v="19"/>
    <n v="-6.10770909090909E-2"/>
    <n v="1"/>
    <n v="-130"/>
    <n v="780"/>
  </r>
  <r>
    <x v="6"/>
    <s v="conventional_refinance_wacls_-20"/>
    <x v="20"/>
    <n v="-5.8168181818181799E-2"/>
    <n v="1"/>
    <n v="-130"/>
    <n v="780"/>
  </r>
  <r>
    <x v="6"/>
    <s v="conventional_refinance_wacls_-19"/>
    <x v="21"/>
    <n v="-5.5259272727272699E-2"/>
    <n v="1"/>
    <n v="-130"/>
    <n v="780"/>
  </r>
  <r>
    <x v="6"/>
    <s v="conventional_refinance_wacls_-18"/>
    <x v="22"/>
    <n v="-5.2350363636363598E-2"/>
    <n v="1"/>
    <n v="-130"/>
    <n v="780"/>
  </r>
  <r>
    <x v="6"/>
    <s v="conventional_refinance_wacls_-17"/>
    <x v="23"/>
    <n v="-4.9441454545454497E-2"/>
    <n v="1"/>
    <n v="-130"/>
    <n v="780"/>
  </r>
  <r>
    <x v="6"/>
    <s v="conventional_refinance_wacls_-16"/>
    <x v="24"/>
    <n v="-4.65325454545455E-2"/>
    <n v="1"/>
    <n v="-130"/>
    <n v="780"/>
  </r>
  <r>
    <x v="6"/>
    <s v="conventional_refinance_wacls_-15"/>
    <x v="25"/>
    <n v="-4.3623636363636399E-2"/>
    <n v="1"/>
    <n v="-130"/>
    <n v="780"/>
  </r>
  <r>
    <x v="6"/>
    <s v="conventional_refinance_wacls_-14"/>
    <x v="26"/>
    <n v="-4.0714727272727298E-2"/>
    <n v="1"/>
    <n v="-130"/>
    <n v="780"/>
  </r>
  <r>
    <x v="6"/>
    <s v="conventional_refinance_wacls_-13"/>
    <x v="27"/>
    <n v="-3.7805818181818197E-2"/>
    <n v="1"/>
    <n v="-130"/>
    <n v="780"/>
  </r>
  <r>
    <x v="6"/>
    <s v="conventional_refinance_wacls_-12"/>
    <x v="28"/>
    <n v="-3.4896909090909103E-2"/>
    <n v="1"/>
    <n v="-130"/>
    <n v="780"/>
  </r>
  <r>
    <x v="6"/>
    <s v="conventional_refinance_wacls_-11"/>
    <x v="29"/>
    <n v="-3.1988000000000003E-2"/>
    <n v="1"/>
    <n v="-130"/>
    <n v="780"/>
  </r>
  <r>
    <x v="6"/>
    <s v="conventional_refinance_wacls_-10"/>
    <x v="30"/>
    <n v="-2.9079090909090902E-2"/>
    <n v="1"/>
    <n v="-130"/>
    <n v="780"/>
  </r>
  <r>
    <x v="6"/>
    <s v="conventional_refinance_wacls_-9"/>
    <x v="31"/>
    <n v="-2.6170181818181801E-2"/>
    <n v="1"/>
    <n v="-130"/>
    <n v="780"/>
  </r>
  <r>
    <x v="6"/>
    <s v="conventional_refinance_wacls_-8"/>
    <x v="32"/>
    <n v="-2.32612727272727E-2"/>
    <n v="1"/>
    <n v="-130"/>
    <n v="780"/>
  </r>
  <r>
    <x v="6"/>
    <s v="conventional_refinance_wacls_-7"/>
    <x v="33"/>
    <n v="-2.0352363636363599E-2"/>
    <n v="1"/>
    <n v="-130"/>
    <n v="780"/>
  </r>
  <r>
    <x v="6"/>
    <s v="conventional_refinance_wacls_-6"/>
    <x v="34"/>
    <n v="-1.7443454545454502E-2"/>
    <n v="1"/>
    <n v="-130"/>
    <n v="780"/>
  </r>
  <r>
    <x v="6"/>
    <s v="conventional_refinance_wacls_-5"/>
    <x v="35"/>
    <n v="-1.45345454545455E-2"/>
    <n v="1"/>
    <n v="-130"/>
    <n v="780"/>
  </r>
  <r>
    <x v="6"/>
    <s v="conventional_refinance_wacls_-4"/>
    <x v="36"/>
    <n v="-1.16256363636364E-2"/>
    <n v="1"/>
    <n v="-130"/>
    <n v="780"/>
  </r>
  <r>
    <x v="6"/>
    <s v="conventional_refinance_wacls_-3"/>
    <x v="37"/>
    <n v="-8.7167272727272701E-3"/>
    <n v="1"/>
    <n v="-130"/>
    <n v="780"/>
  </r>
  <r>
    <x v="6"/>
    <s v="conventional_refinance_wacls_-2"/>
    <x v="38"/>
    <n v="-5.8078181818181796E-3"/>
    <n v="1"/>
    <n v="-130"/>
    <n v="780"/>
  </r>
  <r>
    <x v="6"/>
    <s v="conventional_refinance_wacls_-1"/>
    <x v="39"/>
    <n v="-2.89890909090909E-3"/>
    <n v="1"/>
    <n v="-130"/>
    <n v="780"/>
  </r>
  <r>
    <x v="6"/>
    <s v="conventional_refinance_wacls_0"/>
    <x v="40"/>
    <n v="1.0000000000000001E-5"/>
    <n v="1"/>
    <n v="-130"/>
    <n v="780"/>
  </r>
  <r>
    <x v="6"/>
    <s v="conventional_refinance_wacls_1"/>
    <x v="41"/>
    <n v="2.8734679489105901E-3"/>
    <n v="1"/>
    <n v="-130"/>
    <n v="780"/>
  </r>
  <r>
    <x v="6"/>
    <s v="conventional_refinance_wacls_2"/>
    <x v="42"/>
    <n v="5.6494196243426003E-3"/>
    <n v="1"/>
    <n v="-130"/>
    <n v="780"/>
  </r>
  <r>
    <x v="6"/>
    <s v="conventional_refinance_wacls_3"/>
    <x v="43"/>
    <n v="8.3429040420736292E-3"/>
    <n v="1"/>
    <n v="-130"/>
    <n v="780"/>
  </r>
  <r>
    <x v="6"/>
    <s v="conventional_refinance_wacls_4"/>
    <x v="44"/>
    <n v="1.09589702178813E-2"/>
    <n v="1"/>
    <n v="-130"/>
    <n v="780"/>
  </r>
  <r>
    <x v="6"/>
    <s v="conventional_refinance_wacls_5"/>
    <x v="45"/>
    <n v="1.3502667167543199E-2"/>
    <n v="1"/>
    <n v="-130"/>
    <n v="780"/>
  </r>
  <r>
    <x v="6"/>
    <s v="conventional_refinance_wacls_6"/>
    <x v="46"/>
    <n v="1.5979043906837E-2"/>
    <n v="1"/>
    <n v="-130"/>
    <n v="780"/>
  </r>
  <r>
    <x v="6"/>
    <s v="conventional_refinance_wacls_7"/>
    <x v="47"/>
    <n v="1.8393149451540199E-2"/>
    <n v="1"/>
    <n v="-130"/>
    <n v="780"/>
  </r>
  <r>
    <x v="6"/>
    <s v="conventional_refinance_wacls_8"/>
    <x v="48"/>
    <n v="2.07500328174305E-2"/>
    <n v="1"/>
    <n v="-130"/>
    <n v="780"/>
  </r>
  <r>
    <x v="6"/>
    <s v="conventional_refinance_wacls_9"/>
    <x v="49"/>
    <n v="2.3054743020285502E-2"/>
    <n v="1"/>
    <n v="-130"/>
    <n v="780"/>
  </r>
  <r>
    <x v="6"/>
    <s v="conventional_refinance_wacls_10"/>
    <x v="50"/>
    <n v="2.5312329075882802E-2"/>
    <n v="1"/>
    <n v="-130"/>
    <n v="780"/>
  </r>
  <r>
    <x v="6"/>
    <s v="conventional_refinance_wacls_11"/>
    <x v="51"/>
    <n v="2.7527840000000001E-2"/>
    <n v="1"/>
    <n v="-130"/>
    <n v="780"/>
  </r>
  <r>
    <x v="6"/>
    <s v="conventional_refinance_wacls_12"/>
    <x v="52"/>
    <n v="2.9706324808414699E-2"/>
    <n v="1"/>
    <n v="-130"/>
    <n v="780"/>
  </r>
  <r>
    <x v="6"/>
    <s v="conventional_refinance_wacls_13"/>
    <x v="53"/>
    <n v="3.18528325169046E-2"/>
    <n v="1"/>
    <n v="-130"/>
    <n v="780"/>
  </r>
  <r>
    <x v="6"/>
    <s v="conventional_refinance_wacls_14"/>
    <x v="54"/>
    <n v="3.3972412141247202E-2"/>
    <n v="1"/>
    <n v="-130"/>
    <n v="780"/>
  </r>
  <r>
    <x v="6"/>
    <s v="conventional_refinance_wacls_15"/>
    <x v="55"/>
    <n v="3.6070112697220102E-2"/>
    <n v="1"/>
    <n v="-130"/>
    <n v="780"/>
  </r>
  <r>
    <x v="6"/>
    <s v="conventional_refinance_wacls_16"/>
    <x v="56"/>
    <n v="3.8150983200601001E-2"/>
    <n v="1"/>
    <n v="-130"/>
    <n v="780"/>
  </r>
  <r>
    <x v="6"/>
    <s v="conventional_refinance_wacls_17"/>
    <x v="57"/>
    <n v="4.0220072667167497E-2"/>
    <n v="1"/>
    <n v="-130"/>
    <n v="780"/>
  </r>
  <r>
    <x v="6"/>
    <s v="conventional_refinance_wacls_18"/>
    <x v="58"/>
    <n v="4.2282430112697202E-2"/>
    <n v="1"/>
    <n v="-130"/>
    <n v="780"/>
  </r>
  <r>
    <x v="6"/>
    <s v="conventional_refinance_wacls_19"/>
    <x v="59"/>
    <n v="4.4343104552967701E-2"/>
    <n v="1"/>
    <n v="-130"/>
    <n v="780"/>
  </r>
  <r>
    <x v="6"/>
    <s v="conventional_refinance_wacls_20"/>
    <x v="60"/>
    <n v="4.6407145003756603E-2"/>
    <n v="1"/>
    <n v="-130"/>
    <n v="780"/>
  </r>
  <r>
    <x v="6"/>
    <s v="conventional_refinance_wacls_21"/>
    <x v="61"/>
    <n v="4.8479600480841503E-2"/>
    <n v="1"/>
    <n v="-130"/>
    <n v="780"/>
  </r>
  <r>
    <x v="6"/>
    <s v="conventional_refinance_wacls_22"/>
    <x v="62"/>
    <n v="5.0565520000000003E-2"/>
    <n v="1"/>
    <n v="-130"/>
    <n v="780"/>
  </r>
  <r>
    <x v="6"/>
    <s v="conventional_refinance_wacls_23"/>
    <x v="63"/>
    <n v="5.26699525770098E-2"/>
    <n v="1"/>
    <n v="-130"/>
    <n v="780"/>
  </r>
  <r>
    <x v="6"/>
    <s v="conventional_refinance_wacls_24"/>
    <x v="64"/>
    <n v="5.47979472276484E-2"/>
    <n v="1"/>
    <n v="-130"/>
    <n v="780"/>
  </r>
  <r>
    <x v="6"/>
    <s v="conventional_refinance_wacls_25"/>
    <x v="65"/>
    <n v="5.6954552967693403E-2"/>
    <n v="1"/>
    <n v="-130"/>
    <n v="780"/>
  </r>
  <r>
    <x v="6"/>
    <s v="conventional_refinance_wacls_26"/>
    <x v="66"/>
    <n v="5.9144818812922599E-2"/>
    <n v="1"/>
    <n v="-130"/>
    <n v="780"/>
  </r>
  <r>
    <x v="6"/>
    <s v="conventional_refinance_wacls_27"/>
    <x v="67"/>
    <n v="6.1373793779113402E-2"/>
    <n v="1"/>
    <n v="-130"/>
    <n v="780"/>
  </r>
  <r>
    <x v="6"/>
    <s v="conventional_refinance_wacls_28"/>
    <x v="68"/>
    <n v="6.36465268820436E-2"/>
    <n v="1"/>
    <n v="-130"/>
    <n v="780"/>
  </r>
  <r>
    <x v="6"/>
    <s v="conventional_refinance_wacls_29"/>
    <x v="69"/>
    <n v="6.5968067137490594E-2"/>
    <n v="1"/>
    <n v="-130"/>
    <n v="780"/>
  </r>
  <r>
    <x v="6"/>
    <s v="conventional_refinance_wacls_30"/>
    <x v="70"/>
    <n v="6.8343463561232096E-2"/>
    <n v="1"/>
    <n v="-130"/>
    <n v="780"/>
  </r>
  <r>
    <x v="6"/>
    <s v="conventional_refinance_wacls_31"/>
    <x v="71"/>
    <n v="7.0777765169045798E-2"/>
    <n v="1"/>
    <n v="-130"/>
    <n v="780"/>
  </r>
  <r>
    <x v="6"/>
    <s v="conventional_refinance_wacls_32"/>
    <x v="72"/>
    <n v="7.3276020976709197E-2"/>
    <n v="1"/>
    <n v="-130"/>
    <n v="780"/>
  </r>
  <r>
    <x v="6"/>
    <s v="conventional_refinance_wacls_33"/>
    <x v="73"/>
    <n v="7.5843279999999999E-2"/>
    <n v="1"/>
    <n v="-130"/>
    <n v="780"/>
  </r>
  <r>
    <x v="6"/>
    <s v="conventional_refinance_wacls_34"/>
    <x v="74"/>
    <n v="7.8484591254695701E-2"/>
    <n v="1"/>
    <n v="-130"/>
    <n v="780"/>
  </r>
  <r>
    <x v="6"/>
    <s v="conventional_refinance_wacls_35"/>
    <x v="75"/>
    <n v="8.1205003756573996E-2"/>
    <n v="1"/>
    <n v="-130"/>
    <n v="780"/>
  </r>
  <r>
    <x v="6"/>
    <s v="conventional_refinance_wacls_36"/>
    <x v="76"/>
    <n v="8.4009566521412504E-2"/>
    <n v="1"/>
    <n v="-130"/>
    <n v="780"/>
  </r>
  <r>
    <x v="6"/>
    <s v="conventional_refinance_wacls_37"/>
    <x v="77"/>
    <n v="8.6903328564988697E-2"/>
    <n v="1"/>
    <n v="-130"/>
    <n v="780"/>
  </r>
  <r>
    <x v="6"/>
    <s v="conventional_refinance_wacls_38"/>
    <x v="78"/>
    <n v="8.9891338903080403E-2"/>
    <n v="1"/>
    <n v="-130"/>
    <n v="780"/>
  </r>
  <r>
    <x v="6"/>
    <s v="conventional_refinance_wacls_39"/>
    <x v="79"/>
    <n v="9.2978646551465094E-2"/>
    <n v="1"/>
    <n v="-130"/>
    <n v="780"/>
  </r>
  <r>
    <x v="6"/>
    <s v="conventional_refinance_wacls_40"/>
    <x v="80"/>
    <n v="9.6170300525920405E-2"/>
    <n v="1"/>
    <n v="-130"/>
    <n v="780"/>
  </r>
  <r>
    <x v="6"/>
    <s v="conventional_refinance_wacls_41"/>
    <x v="81"/>
    <n v="9.9471349842223902E-2"/>
    <n v="1"/>
    <n v="-130"/>
    <n v="780"/>
  </r>
  <r>
    <x v="6"/>
    <s v="conventional_refinance_wacls_42"/>
    <x v="82"/>
    <n v="0.102886843516153"/>
    <n v="1"/>
    <n v="-130"/>
    <n v="780"/>
  </r>
  <r>
    <x v="6"/>
    <s v="conventional_refinance_wacls_43"/>
    <x v="83"/>
    <n v="0.106421830563486"/>
    <n v="1"/>
    <n v="-130"/>
    <n v="780"/>
  </r>
  <r>
    <x v="6"/>
    <s v="conventional_refinance_wacls_44"/>
    <x v="84"/>
    <n v="0.11008136"/>
    <n v="1"/>
    <n v="-130"/>
    <n v="780"/>
  </r>
  <r>
    <x v="6"/>
    <s v="conventional_refinance_wacls_45"/>
    <x v="85"/>
    <n v="0.113870480841473"/>
    <n v="1"/>
    <n v="-130"/>
    <n v="780"/>
  </r>
  <r>
    <x v="6"/>
    <s v="conventional_refinance_wacls_46"/>
    <x v="86"/>
    <n v="0.117794242103681"/>
    <n v="1"/>
    <n v="-130"/>
    <n v="780"/>
  </r>
  <r>
    <x v="6"/>
    <s v="conventional_refinance_wacls_47"/>
    <x v="87"/>
    <n v="0.12185769280240399"/>
    <n v="1"/>
    <n v="-130"/>
    <n v="780"/>
  </r>
  <r>
    <x v="6"/>
    <s v="conventional_refinance_wacls_48"/>
    <x v="88"/>
    <n v="0.126065881953418"/>
    <n v="1"/>
    <n v="-130"/>
    <n v="780"/>
  </r>
  <r>
    <x v="6"/>
    <s v="conventional_refinance_wacls_49"/>
    <x v="89"/>
    <n v="0.13042385857250199"/>
    <n v="1"/>
    <n v="-130"/>
    <n v="780"/>
  </r>
  <r>
    <x v="6"/>
    <s v="conventional_refinance_wacls_50"/>
    <x v="90"/>
    <n v="0.134936671675432"/>
    <n v="1"/>
    <n v="-130"/>
    <n v="780"/>
  </r>
  <r>
    <x v="6"/>
    <s v="conventional_refinance_wacls_51"/>
    <x v="91"/>
    <n v="0.13960937027798601"/>
    <n v="1"/>
    <n v="-130"/>
    <n v="780"/>
  </r>
  <r>
    <x v="6"/>
    <s v="conventional_refinance_wacls_52"/>
    <x v="92"/>
    <n v="0.14444700339594299"/>
    <n v="1"/>
    <n v="-130"/>
    <n v="780"/>
  </r>
  <r>
    <x v="6"/>
    <s v="conventional_refinance_wacls_53"/>
    <x v="93"/>
    <n v="0.14945462004507901"/>
    <n v="1"/>
    <n v="-130"/>
    <n v="780"/>
  </r>
  <r>
    <x v="6"/>
    <s v="conventional_refinance_wacls_54"/>
    <x v="94"/>
    <n v="0.15463726924117199"/>
    <n v="1"/>
    <n v="-130"/>
    <n v="780"/>
  </r>
  <r>
    <x v="6"/>
    <s v="conventional_refinance_wacls_55"/>
    <x v="95"/>
    <n v="0.16"/>
    <n v="1"/>
    <n v="-130"/>
    <n v="780"/>
  </r>
  <r>
    <x v="6"/>
    <s v="conventional_refinance_wacls_56"/>
    <x v="96"/>
    <n v="0.16562669956229001"/>
    <n v="1"/>
    <n v="-130"/>
    <n v="780"/>
  </r>
  <r>
    <x v="6"/>
    <s v="conventional_refinance_wacls_57"/>
    <x v="97"/>
    <n v="0.17158583488215501"/>
    <n v="1"/>
    <n v="-130"/>
    <n v="780"/>
  </r>
  <r>
    <x v="6"/>
    <s v="conventional_refinance_wacls_58"/>
    <x v="98"/>
    <n v="0.177859324545455"/>
    <n v="1"/>
    <n v="-130"/>
    <n v="780"/>
  </r>
  <r>
    <x v="6"/>
    <s v="conventional_refinance_wacls_59"/>
    <x v="99"/>
    <n v="0.18442908713804701"/>
    <n v="1"/>
    <n v="-130"/>
    <n v="780"/>
  </r>
  <r>
    <x v="6"/>
    <s v="conventional_refinance_wacls_60"/>
    <x v="100"/>
    <n v="0.19127704124579101"/>
    <n v="1"/>
    <n v="-130"/>
    <n v="780"/>
  </r>
  <r>
    <x v="6"/>
    <s v="conventional_refinance_wacls_61"/>
    <x v="101"/>
    <n v="0.19838510545454499"/>
    <n v="1"/>
    <n v="-130"/>
    <n v="780"/>
  </r>
  <r>
    <x v="6"/>
    <s v="conventional_refinance_wacls_62"/>
    <x v="102"/>
    <n v="0.20573519835016801"/>
    <n v="1"/>
    <n v="-130"/>
    <n v="780"/>
  </r>
  <r>
    <x v="6"/>
    <s v="conventional_refinance_wacls_63"/>
    <x v="103"/>
    <n v="0.21330923851851899"/>
    <n v="1"/>
    <n v="-130"/>
    <n v="780"/>
  </r>
  <r>
    <x v="6"/>
    <s v="conventional_refinance_wacls_64"/>
    <x v="104"/>
    <n v="0.221089144545455"/>
    <n v="1"/>
    <n v="-130"/>
    <n v="780"/>
  </r>
  <r>
    <x v="6"/>
    <s v="conventional_refinance_wacls_65"/>
    <x v="105"/>
    <n v="0.22905683501683499"/>
    <n v="1"/>
    <n v="-130"/>
    <n v="780"/>
  </r>
  <r>
    <x v="6"/>
    <s v="conventional_refinance_wacls_66"/>
    <x v="106"/>
    <n v="0.23719422851851901"/>
    <n v="1"/>
    <n v="-130"/>
    <n v="780"/>
  </r>
  <r>
    <x v="6"/>
    <s v="conventional_refinance_wacls_67"/>
    <x v="107"/>
    <n v="0.24548324363636401"/>
    <n v="1"/>
    <n v="-130"/>
    <n v="780"/>
  </r>
  <r>
    <x v="6"/>
    <s v="conventional_refinance_wacls_68"/>
    <x v="108"/>
    <n v="0.253905798956229"/>
    <n v="1"/>
    <n v="-130"/>
    <n v="780"/>
  </r>
  <r>
    <x v="6"/>
    <s v="conventional_refinance_wacls_69"/>
    <x v="109"/>
    <n v="0.26244381306397302"/>
    <n v="1"/>
    <n v="-130"/>
    <n v="780"/>
  </r>
  <r>
    <x v="6"/>
    <s v="conventional_refinance_wacls_70"/>
    <x v="110"/>
    <n v="0.27107920454545498"/>
    <n v="1"/>
    <n v="-130"/>
    <n v="780"/>
  </r>
  <r>
    <x v="6"/>
    <s v="conventional_refinance_wacls_71"/>
    <x v="111"/>
    <n v="0.27979389198653198"/>
    <n v="1"/>
    <n v="-130"/>
    <n v="780"/>
  </r>
  <r>
    <x v="6"/>
    <s v="conventional_refinance_wacls_72"/>
    <x v="112"/>
    <n v="0.28856979397306398"/>
    <n v="1"/>
    <n v="-130"/>
    <n v="780"/>
  </r>
  <r>
    <x v="6"/>
    <s v="conventional_refinance_wacls_73"/>
    <x v="113"/>
    <n v="0.29738882909090902"/>
    <n v="1"/>
    <n v="-130"/>
    <n v="780"/>
  </r>
  <r>
    <x v="6"/>
    <s v="conventional_refinance_wacls_74"/>
    <x v="114"/>
    <n v="0.306232915925926"/>
    <n v="1"/>
    <n v="-130"/>
    <n v="780"/>
  </r>
  <r>
    <x v="6"/>
    <s v="conventional_refinance_wacls_75"/>
    <x v="115"/>
    <n v="0.31508397306397301"/>
    <n v="1"/>
    <n v="-130"/>
    <n v="780"/>
  </r>
  <r>
    <x v="6"/>
    <s v="conventional_refinance_wacls_76"/>
    <x v="116"/>
    <n v="0.32392391909090901"/>
    <n v="1"/>
    <n v="-130"/>
    <n v="780"/>
  </r>
  <r>
    <x v="6"/>
    <s v="conventional_refinance_wacls_77"/>
    <x v="117"/>
    <n v="0.33273467259259298"/>
    <n v="1"/>
    <n v="-130"/>
    <n v="780"/>
  </r>
  <r>
    <x v="6"/>
    <s v="conventional_refinance_wacls_78"/>
    <x v="118"/>
    <n v="0.341498152154882"/>
    <n v="1"/>
    <n v="-130"/>
    <n v="780"/>
  </r>
  <r>
    <x v="6"/>
    <s v="conventional_refinance_wacls_79"/>
    <x v="119"/>
    <n v="0.35019627636363598"/>
    <n v="1"/>
    <n v="-130"/>
    <n v="780"/>
  </r>
  <r>
    <x v="6"/>
    <s v="conventional_refinance_wacls_80"/>
    <x v="120"/>
    <n v="0.358810963804714"/>
    <n v="1"/>
    <n v="-130"/>
    <n v="780"/>
  </r>
  <r>
    <x v="6"/>
    <s v="conventional_refinance_wacls_81"/>
    <x v="121"/>
    <n v="0.36732413306397299"/>
    <n v="1"/>
    <n v="-130"/>
    <n v="780"/>
  </r>
  <r>
    <x v="6"/>
    <s v="conventional_refinance_wacls_82"/>
    <x v="122"/>
    <n v="0.37571770272727301"/>
    <n v="1"/>
    <n v="-130"/>
    <n v="780"/>
  </r>
  <r>
    <x v="6"/>
    <s v="conventional_refinance_wacls_83"/>
    <x v="123"/>
    <n v="0.38397359138047099"/>
    <n v="1"/>
    <n v="-130"/>
    <n v="780"/>
  </r>
  <r>
    <x v="6"/>
    <s v="conventional_refinance_wacls_84"/>
    <x v="124"/>
    <n v="0.392073717609428"/>
    <n v="1"/>
    <n v="-130"/>
    <n v="780"/>
  </r>
  <r>
    <x v="6"/>
    <s v="conventional_refinance_wacls_85"/>
    <x v="125"/>
    <n v="0.4"/>
    <n v="1"/>
    <n v="-130"/>
    <n v="780"/>
  </r>
  <r>
    <x v="6"/>
    <s v="conventional_refinance_wacls_86"/>
    <x v="126"/>
    <n v="0.40784097354497401"/>
    <n v="1"/>
    <n v="-130"/>
    <n v="780"/>
  </r>
  <r>
    <x v="6"/>
    <s v="conventional_refinance_wacls_87"/>
    <x v="127"/>
    <n v="0.41569540740740701"/>
    <n v="1"/>
    <n v="-130"/>
    <n v="780"/>
  </r>
  <r>
    <x v="6"/>
    <s v="conventional_refinance_wacls_88"/>
    <x v="128"/>
    <n v="0.42356057142857101"/>
    <n v="1"/>
    <n v="-130"/>
    <n v="780"/>
  </r>
  <r>
    <x v="6"/>
    <s v="conventional_refinance_wacls_89"/>
    <x v="129"/>
    <n v="0.43143373544973501"/>
    <n v="1"/>
    <n v="-130"/>
    <n v="780"/>
  </r>
  <r>
    <x v="6"/>
    <s v="conventional_refinance_wacls_90"/>
    <x v="130"/>
    <n v="0.43931216931216899"/>
    <n v="1"/>
    <n v="-130"/>
    <n v="780"/>
  </r>
  <r>
    <x v="6"/>
    <s v="conventional_refinance_wacls_91"/>
    <x v="131"/>
    <n v="0.44719314285714301"/>
    <n v="1"/>
    <n v="-130"/>
    <n v="780"/>
  </r>
  <r>
    <x v="6"/>
    <s v="conventional_refinance_wacls_92"/>
    <x v="132"/>
    <n v="0.45507392592592599"/>
    <n v="1"/>
    <n v="-130"/>
    <n v="780"/>
  </r>
  <r>
    <x v="6"/>
    <s v="conventional_refinance_wacls_93"/>
    <x v="133"/>
    <n v="0.46295178835978801"/>
    <n v="1"/>
    <n v="-130"/>
    <n v="780"/>
  </r>
  <r>
    <x v="6"/>
    <s v="conventional_refinance_wacls_94"/>
    <x v="134"/>
    <n v="0.47082400000000002"/>
    <n v="1"/>
    <n v="-130"/>
    <n v="780"/>
  </r>
  <r>
    <x v="6"/>
    <s v="conventional_refinance_wacls_95"/>
    <x v="135"/>
    <n v="0.478687830687831"/>
    <n v="1"/>
    <n v="-130"/>
    <n v="780"/>
  </r>
  <r>
    <x v="6"/>
    <s v="conventional_refinance_wacls_96"/>
    <x v="136"/>
    <n v="0.48654055026455001"/>
    <n v="1"/>
    <n v="-130"/>
    <n v="780"/>
  </r>
  <r>
    <x v="6"/>
    <s v="conventional_refinance_wacls_97"/>
    <x v="137"/>
    <n v="0.49437942857142902"/>
    <n v="1"/>
    <n v="-130"/>
    <n v="780"/>
  </r>
  <r>
    <x v="6"/>
    <s v="conventional_refinance_wacls_98"/>
    <x v="138"/>
    <n v="0.50220173544973501"/>
    <n v="1"/>
    <n v="-130"/>
    <n v="780"/>
  </r>
  <r>
    <x v="6"/>
    <s v="conventional_refinance_wacls_99"/>
    <x v="139"/>
    <n v="0.51000474074074098"/>
    <n v="1"/>
    <n v="-130"/>
    <n v="780"/>
  </r>
  <r>
    <x v="6"/>
    <s v="conventional_refinance_wacls_100"/>
    <x v="140"/>
    <n v="0.51778571428571396"/>
    <n v="1"/>
    <n v="-130"/>
    <n v="780"/>
  </r>
  <r>
    <x v="6"/>
    <s v="conventional_refinance_wacls_101"/>
    <x v="141"/>
    <n v="0.52554192592592597"/>
    <n v="1"/>
    <n v="-130"/>
    <n v="780"/>
  </r>
  <r>
    <x v="6"/>
    <s v="conventional_refinance_wacls_102"/>
    <x v="142"/>
    <n v="0.53327064550264502"/>
    <n v="1"/>
    <n v="-130"/>
    <n v="780"/>
  </r>
  <r>
    <x v="6"/>
    <s v="conventional_refinance_wacls_103"/>
    <x v="143"/>
    <n v="0.54096914285714304"/>
    <n v="1"/>
    <n v="-130"/>
    <n v="780"/>
  </r>
  <r>
    <x v="6"/>
    <s v="conventional_refinance_wacls_104"/>
    <x v="144"/>
    <n v="0.54863468783068803"/>
    <n v="1"/>
    <n v="-130"/>
    <n v="780"/>
  </r>
  <r>
    <x v="6"/>
    <s v="conventional_refinance_wacls_105"/>
    <x v="145"/>
    <n v="0.55626455026455002"/>
    <n v="1"/>
    <n v="-130"/>
    <n v="780"/>
  </r>
  <r>
    <x v="6"/>
    <s v="conventional_refinance_wacls_106"/>
    <x v="146"/>
    <n v="0.56385600000000002"/>
    <n v="1"/>
    <n v="-130"/>
    <n v="780"/>
  </r>
  <r>
    <x v="6"/>
    <s v="conventional_refinance_wacls_107"/>
    <x v="147"/>
    <n v="0.57140630687830696"/>
    <n v="1"/>
    <n v="-130"/>
    <n v="780"/>
  </r>
  <r>
    <x v="6"/>
    <s v="conventional_refinance_wacls_108"/>
    <x v="148"/>
    <n v="0.57891274074074095"/>
    <n v="1"/>
    <n v="-130"/>
    <n v="780"/>
  </r>
  <r>
    <x v="6"/>
    <s v="conventional_refinance_wacls_109"/>
    <x v="149"/>
    <n v="0.58637257142857102"/>
    <n v="1"/>
    <n v="-130"/>
    <n v="780"/>
  </r>
  <r>
    <x v="6"/>
    <s v="conventional_refinance_wacls_110"/>
    <x v="150"/>
    <n v="0.59378306878306897"/>
    <n v="1"/>
    <n v="-130"/>
    <n v="780"/>
  </r>
  <r>
    <x v="6"/>
    <s v="conventional_refinance_wacls_111"/>
    <x v="151"/>
    <n v="0.60114150264550303"/>
    <n v="1"/>
    <n v="-130"/>
    <n v="780"/>
  </r>
  <r>
    <x v="6"/>
    <s v="conventional_refinance_wacls_112"/>
    <x v="152"/>
    <n v="0.60844514285714302"/>
    <n v="1"/>
    <n v="-130"/>
    <n v="780"/>
  </r>
  <r>
    <x v="6"/>
    <s v="conventional_refinance_wacls_113"/>
    <x v="153"/>
    <n v="0.61569125925925905"/>
    <n v="1"/>
    <n v="-130"/>
    <n v="780"/>
  </r>
  <r>
    <x v="6"/>
    <s v="conventional_refinance_wacls_114"/>
    <x v="154"/>
    <n v="0.62287712169312204"/>
    <n v="1"/>
    <n v="-130"/>
    <n v="780"/>
  </r>
  <r>
    <x v="6"/>
    <s v="conventional_refinance_wacls_115"/>
    <x v="155"/>
    <n v="0.63"/>
    <n v="1"/>
    <n v="-130"/>
    <n v="780"/>
  </r>
  <r>
    <x v="6"/>
    <s v="conventional_refinance_wacls_116"/>
    <x v="156"/>
    <n v="0.63705294616132202"/>
    <n v="1"/>
    <n v="-130"/>
    <n v="780"/>
  </r>
  <r>
    <x v="6"/>
    <s v="conventional_refinance_wacls_117"/>
    <x v="157"/>
    <n v="0.64403331078717196"/>
    <n v="1"/>
    <n v="-130"/>
    <n v="780"/>
  </r>
  <r>
    <x v="6"/>
    <s v="conventional_refinance_wacls_118"/>
    <x v="158"/>
    <n v="0.65094481166180795"/>
    <n v="1"/>
    <n v="-130"/>
    <n v="780"/>
  </r>
  <r>
    <x v="6"/>
    <s v="conventional_refinance_wacls_119"/>
    <x v="159"/>
    <n v="0.657791166569485"/>
    <n v="1"/>
    <n v="-130"/>
    <n v="780"/>
  </r>
  <r>
    <x v="6"/>
    <s v="conventional_refinance_wacls_120"/>
    <x v="160"/>
    <n v="0.66457609329446099"/>
    <n v="1"/>
    <n v="-130"/>
    <n v="780"/>
  </r>
  <r>
    <x v="6"/>
    <s v="conventional_refinance_wacls_121"/>
    <x v="161"/>
    <n v="0.67130330962099105"/>
    <n v="1"/>
    <n v="-130"/>
    <n v="780"/>
  </r>
  <r>
    <x v="6"/>
    <s v="conventional_refinance_wacls_122"/>
    <x v="162"/>
    <n v="0.67797653333333296"/>
    <n v="1"/>
    <n v="-130"/>
    <n v="780"/>
  </r>
  <r>
    <x v="6"/>
    <s v="conventional_refinance_wacls_123"/>
    <x v="163"/>
    <n v="0.68459948221574296"/>
    <n v="1"/>
    <n v="-130"/>
    <n v="780"/>
  </r>
  <r>
    <x v="6"/>
    <s v="conventional_refinance_wacls_124"/>
    <x v="164"/>
    <n v="0.69117587405247805"/>
    <n v="1"/>
    <n v="-130"/>
    <n v="780"/>
  </r>
  <r>
    <x v="6"/>
    <s v="conventional_refinance_wacls_125"/>
    <x v="165"/>
    <n v="0.697709426627794"/>
    <n v="1"/>
    <n v="-130"/>
    <n v="780"/>
  </r>
  <r>
    <x v="6"/>
    <s v="conventional_refinance_wacls_126"/>
    <x v="166"/>
    <n v="0.70420385772594796"/>
    <n v="1"/>
    <n v="-130"/>
    <n v="780"/>
  </r>
  <r>
    <x v="6"/>
    <s v="conventional_refinance_wacls_127"/>
    <x v="167"/>
    <n v="0.71066288513119502"/>
    <n v="1"/>
    <n v="-130"/>
    <n v="780"/>
  </r>
  <r>
    <x v="6"/>
    <s v="conventional_refinance_wacls_128"/>
    <x v="168"/>
    <n v="0.71709022662779398"/>
    <n v="1"/>
    <n v="-130"/>
    <n v="780"/>
  </r>
  <r>
    <x v="6"/>
    <s v="conventional_refinance_wacls_129"/>
    <x v="169"/>
    <n v="0.72348959999999995"/>
    <n v="1"/>
    <n v="-130"/>
    <n v="780"/>
  </r>
  <r>
    <x v="6"/>
    <s v="conventional_refinance_wacls_130"/>
    <x v="170"/>
    <n v="0.72986472303206995"/>
    <n v="1"/>
    <n v="-130"/>
    <n v="780"/>
  </r>
  <r>
    <x v="6"/>
    <s v="conventional_refinance_wacls_131"/>
    <x v="171"/>
    <n v="0.73621931350825998"/>
    <n v="1"/>
    <n v="-130"/>
    <n v="780"/>
  </r>
  <r>
    <x v="6"/>
    <s v="conventional_refinance_wacls_132"/>
    <x v="172"/>
    <n v="0.74255708921282804"/>
    <n v="1"/>
    <n v="-130"/>
    <n v="780"/>
  </r>
  <r>
    <x v="6"/>
    <s v="conventional_refinance_wacls_133"/>
    <x v="173"/>
    <n v="0.74888176793002903"/>
    <n v="1"/>
    <n v="-130"/>
    <n v="780"/>
  </r>
  <r>
    <x v="6"/>
    <s v="conventional_refinance_wacls_134"/>
    <x v="174"/>
    <n v="0.75519706744412096"/>
    <n v="1"/>
    <n v="-130"/>
    <n v="780"/>
  </r>
  <r>
    <x v="6"/>
    <s v="conventional_refinance_wacls_135"/>
    <x v="175"/>
    <n v="0.76150670553935895"/>
    <n v="1"/>
    <n v="-130"/>
    <n v="780"/>
  </r>
  <r>
    <x v="6"/>
    <s v="conventional_refinance_wacls_136"/>
    <x v="176"/>
    <n v="0.76781440000000001"/>
    <n v="1"/>
    <n v="-130"/>
    <n v="780"/>
  </r>
  <r>
    <x v="6"/>
    <s v="conventional_refinance_wacls_137"/>
    <x v="177"/>
    <n v="0.77412386861030102"/>
    <n v="1"/>
    <n v="-130"/>
    <n v="780"/>
  </r>
  <r>
    <x v="6"/>
    <s v="conventional_refinance_wacls_138"/>
    <x v="178"/>
    <n v="0.78043882915451901"/>
    <n v="1"/>
    <n v="-130"/>
    <n v="780"/>
  </r>
  <r>
    <x v="6"/>
    <s v="conventional_refinance_wacls_139"/>
    <x v="179"/>
    <n v="0.78676299941690997"/>
    <n v="1"/>
    <n v="-130"/>
    <n v="780"/>
  </r>
  <r>
    <x v="6"/>
    <s v="conventional_refinance_wacls_140"/>
    <x v="180"/>
    <n v="0.79310009718173002"/>
    <n v="1"/>
    <n v="-130"/>
    <n v="780"/>
  </r>
  <r>
    <x v="6"/>
    <s v="conventional_refinance_wacls_141"/>
    <x v="181"/>
    <n v="0.79945384023323596"/>
    <n v="1"/>
    <n v="-130"/>
    <n v="780"/>
  </r>
  <r>
    <x v="6"/>
    <s v="conventional_refinance_wacls_142"/>
    <x v="182"/>
    <n v="0.805827946355685"/>
    <n v="1"/>
    <n v="-130"/>
    <n v="780"/>
  </r>
  <r>
    <x v="6"/>
    <s v="conventional_refinance_wacls_143"/>
    <x v="183"/>
    <n v="0.81222613333333304"/>
    <n v="1"/>
    <n v="-130"/>
    <n v="780"/>
  </r>
  <r>
    <x v="6"/>
    <s v="conventional_refinance_wacls_144"/>
    <x v="184"/>
    <n v="0.81865211895043699"/>
    <n v="1"/>
    <n v="-130"/>
    <n v="780"/>
  </r>
  <r>
    <x v="6"/>
    <s v="conventional_refinance_wacls_145"/>
    <x v="185"/>
    <n v="0.82510962099125396"/>
    <n v="1"/>
    <n v="-130"/>
    <n v="780"/>
  </r>
  <r>
    <x v="6"/>
    <s v="conventional_refinance_wacls_146"/>
    <x v="186"/>
    <n v="0.83160235724003895"/>
    <n v="1"/>
    <n v="-130"/>
    <n v="780"/>
  </r>
  <r>
    <x v="6"/>
    <s v="conventional_refinance_wacls_147"/>
    <x v="187"/>
    <n v="0.83813404548104897"/>
    <n v="1"/>
    <n v="-130"/>
    <n v="780"/>
  </r>
  <r>
    <x v="6"/>
    <s v="conventional_refinance_wacls_148"/>
    <x v="188"/>
    <n v="0.84470840349854204"/>
    <n v="1"/>
    <n v="-130"/>
    <n v="780"/>
  </r>
  <r>
    <x v="6"/>
    <s v="conventional_refinance_wacls_149"/>
    <x v="189"/>
    <n v="0.85132914907677404"/>
    <n v="1"/>
    <n v="-130"/>
    <n v="780"/>
  </r>
  <r>
    <x v="6"/>
    <s v="conventional_refinance_wacls_150"/>
    <x v="190"/>
    <n v="0.85799999999999998"/>
    <n v="1"/>
    <n v="-130"/>
    <n v="780"/>
  </r>
  <r>
    <x v="6"/>
    <s v="conventional_refinance_wacls_151"/>
    <x v="191"/>
    <n v="0.86475141485714302"/>
    <n v="1"/>
    <n v="-130"/>
    <n v="780"/>
  </r>
  <r>
    <x v="6"/>
    <s v="conventional_refinance_wacls_152"/>
    <x v="192"/>
    <n v="0.87160354742857105"/>
    <n v="1"/>
    <n v="-130"/>
    <n v="780"/>
  </r>
  <r>
    <x v="6"/>
    <s v="conventional_refinance_wacls_153"/>
    <x v="193"/>
    <n v="0.87854465828571404"/>
    <n v="1"/>
    <n v="-130"/>
    <n v="780"/>
  </r>
  <r>
    <x v="6"/>
    <s v="conventional_refinance_wacls_154"/>
    <x v="194"/>
    <n v="0.88556300799999998"/>
    <n v="1"/>
    <n v="-130"/>
    <n v="780"/>
  </r>
  <r>
    <x v="6"/>
    <s v="conventional_refinance_wacls_155"/>
    <x v="195"/>
    <n v="0.89264685714285696"/>
    <n v="1"/>
    <n v="-130"/>
    <n v="780"/>
  </r>
  <r>
    <x v="6"/>
    <s v="conventional_refinance_wacls_156"/>
    <x v="196"/>
    <n v="0.89978446628571396"/>
    <n v="1"/>
    <n v="-130"/>
    <n v="780"/>
  </r>
  <r>
    <x v="6"/>
    <s v="conventional_refinance_wacls_157"/>
    <x v="197"/>
    <n v="0.90696409600000005"/>
    <n v="1"/>
    <n v="-130"/>
    <n v="780"/>
  </r>
  <r>
    <x v="6"/>
    <s v="conventional_refinance_wacls_158"/>
    <x v="198"/>
    <n v="0.91417400685714301"/>
    <n v="1"/>
    <n v="-130"/>
    <n v="780"/>
  </r>
  <r>
    <x v="6"/>
    <s v="conventional_refinance_wacls_159"/>
    <x v="199"/>
    <n v="0.92140245942857102"/>
    <n v="1"/>
    <n v="-130"/>
    <n v="780"/>
  </r>
  <r>
    <x v="6"/>
    <s v="conventional_refinance_wacls_160"/>
    <x v="200"/>
    <n v="0.92863771428571396"/>
    <n v="1"/>
    <n v="-130"/>
    <n v="780"/>
  </r>
  <r>
    <x v="6"/>
    <s v="conventional_refinance_wacls_161"/>
    <x v="201"/>
    <n v="0.93586803200000002"/>
    <n v="1"/>
    <n v="-130"/>
    <n v="780"/>
  </r>
  <r>
    <x v="6"/>
    <s v="conventional_refinance_wacls_162"/>
    <x v="202"/>
    <n v="0.94308167314285696"/>
    <n v="1"/>
    <n v="-130"/>
    <n v="780"/>
  </r>
  <r>
    <x v="6"/>
    <s v="conventional_refinance_wacls_163"/>
    <x v="203"/>
    <n v="0.95026689828571398"/>
    <n v="1"/>
    <n v="-130"/>
    <n v="780"/>
  </r>
  <r>
    <x v="6"/>
    <s v="conventional_refinance_wacls_164"/>
    <x v="204"/>
    <n v="0.95741196799999995"/>
    <n v="1"/>
    <n v="-130"/>
    <n v="780"/>
  </r>
  <r>
    <x v="6"/>
    <s v="conventional_refinance_wacls_165"/>
    <x v="205"/>
    <n v="0.96450514285714295"/>
    <n v="1"/>
    <n v="-130"/>
    <n v="780"/>
  </r>
  <r>
    <x v="6"/>
    <s v="conventional_refinance_wacls_166"/>
    <x v="206"/>
    <n v="0.97153468342857197"/>
    <n v="1"/>
    <n v="-130"/>
    <n v="780"/>
  </r>
  <r>
    <x v="6"/>
    <s v="conventional_refinance_wacls_167"/>
    <x v="207"/>
    <n v="0.97848885028571397"/>
    <n v="1"/>
    <n v="-130"/>
    <n v="780"/>
  </r>
  <r>
    <x v="6"/>
    <s v="conventional_refinance_wacls_168"/>
    <x v="208"/>
    <n v="0.98535590399999995"/>
    <n v="1"/>
    <n v="-130"/>
    <n v="780"/>
  </r>
  <r>
    <x v="6"/>
    <s v="conventional_refinance_wacls_169"/>
    <x v="209"/>
    <n v="0.99212410514285698"/>
    <n v="1"/>
    <n v="-130"/>
    <n v="780"/>
  </r>
  <r>
    <x v="6"/>
    <s v="conventional_refinance_wacls_170"/>
    <x v="210"/>
    <n v="0.99878171428571405"/>
    <n v="1"/>
    <n v="-130"/>
    <n v="780"/>
  </r>
  <r>
    <x v="6"/>
    <s v="conventional_refinance_wacls_171"/>
    <x v="211"/>
    <n v="1.005316992"/>
    <n v="1"/>
    <n v="-130"/>
    <n v="780"/>
  </r>
  <r>
    <x v="6"/>
    <s v="conventional_refinance_wacls_172"/>
    <x v="212"/>
    <n v="1.01171819885714"/>
    <n v="1"/>
    <n v="-130"/>
    <n v="780"/>
  </r>
  <r>
    <x v="6"/>
    <s v="conventional_refinance_wacls_173"/>
    <x v="213"/>
    <n v="1.01797359542857"/>
    <n v="1"/>
    <n v="-130"/>
    <n v="780"/>
  </r>
  <r>
    <x v="6"/>
    <s v="conventional_refinance_wacls_174"/>
    <x v="214"/>
    <n v="1.02407144228571"/>
    <n v="1"/>
    <n v="-130"/>
    <n v="780"/>
  </r>
  <r>
    <x v="6"/>
    <s v="conventional_refinance_wacls_175"/>
    <x v="215"/>
    <n v="1.03"/>
    <n v="1"/>
    <n v="-130"/>
    <n v="780"/>
  </r>
  <r>
    <x v="6"/>
    <s v="conventional_refinance_wacls_176"/>
    <x v="216"/>
    <n v="1.035793024"/>
    <n v="1"/>
    <n v="-130"/>
    <n v="780"/>
  </r>
  <r>
    <x v="6"/>
    <s v="conventional_refinance_wacls_177"/>
    <x v="217"/>
    <n v="1.041492992"/>
    <n v="1"/>
    <n v="-130"/>
    <n v="780"/>
  </r>
  <r>
    <x v="6"/>
    <s v="conventional_refinance_wacls_178"/>
    <x v="218"/>
    <n v="1.0471012479999999"/>
    <n v="1"/>
    <n v="-130"/>
    <n v="780"/>
  </r>
  <r>
    <x v="6"/>
    <s v="conventional_refinance_wacls_179"/>
    <x v="219"/>
    <n v="1.0526191359999999"/>
    <n v="1"/>
    <n v="-130"/>
    <n v="780"/>
  </r>
  <r>
    <x v="6"/>
    <s v="conventional_refinance_wacls_180"/>
    <x v="220"/>
    <n v="1.0580480000000001"/>
    <n v="1"/>
    <n v="-130"/>
    <n v="780"/>
  </r>
  <r>
    <x v="6"/>
    <s v="conventional_refinance_wacls_181"/>
    <x v="221"/>
    <n v="1.063389184"/>
    <n v="1"/>
    <n v="-130"/>
    <n v="780"/>
  </r>
  <r>
    <x v="6"/>
    <s v="conventional_refinance_wacls_182"/>
    <x v="222"/>
    <n v="1.0686440319999999"/>
    <n v="1"/>
    <n v="-130"/>
    <n v="780"/>
  </r>
  <r>
    <x v="6"/>
    <s v="conventional_refinance_wacls_183"/>
    <x v="223"/>
    <n v="1.0738138880000001"/>
    <n v="1"/>
    <n v="-130"/>
    <n v="780"/>
  </r>
  <r>
    <x v="6"/>
    <s v="conventional_refinance_wacls_184"/>
    <x v="224"/>
    <n v="1.0789000959999999"/>
    <n v="1"/>
    <n v="-130"/>
    <n v="780"/>
  </r>
  <r>
    <x v="6"/>
    <s v="conventional_refinance_wacls_185"/>
    <x v="225"/>
    <n v="1.083904"/>
    <n v="1"/>
    <n v="-130"/>
    <n v="780"/>
  </r>
  <r>
    <x v="6"/>
    <s v="conventional_refinance_wacls_186"/>
    <x v="226"/>
    <n v="1.088826944"/>
    <n v="1"/>
    <n v="-130"/>
    <n v="780"/>
  </r>
  <r>
    <x v="6"/>
    <s v="conventional_refinance_wacls_187"/>
    <x v="227"/>
    <n v="1.093670272"/>
    <n v="1"/>
    <n v="-130"/>
    <n v="780"/>
  </r>
  <r>
    <x v="6"/>
    <s v="conventional_refinance_wacls_188"/>
    <x v="228"/>
    <n v="1.0984353280000001"/>
    <n v="1"/>
    <n v="-130"/>
    <n v="780"/>
  </r>
  <r>
    <x v="6"/>
    <s v="conventional_refinance_wacls_189"/>
    <x v="229"/>
    <n v="1.1031234560000001"/>
    <n v="1"/>
    <n v="-130"/>
    <n v="780"/>
  </r>
  <r>
    <x v="6"/>
    <s v="conventional_refinance_wacls_190"/>
    <x v="230"/>
    <n v="1.1077360000000001"/>
    <n v="1"/>
    <n v="-130"/>
    <n v="780"/>
  </r>
  <r>
    <x v="6"/>
    <s v="conventional_refinance_wacls_191"/>
    <x v="231"/>
    <n v="1.112274304"/>
    <n v="1"/>
    <n v="-130"/>
    <n v="780"/>
  </r>
  <r>
    <x v="6"/>
    <s v="conventional_refinance_wacls_192"/>
    <x v="232"/>
    <n v="1.116739712"/>
    <n v="1"/>
    <n v="-130"/>
    <n v="780"/>
  </r>
  <r>
    <x v="6"/>
    <s v="conventional_refinance_wacls_193"/>
    <x v="233"/>
    <n v="1.1211335680000001"/>
    <n v="1"/>
    <n v="-130"/>
    <n v="780"/>
  </r>
  <r>
    <x v="6"/>
    <s v="conventional_refinance_wacls_194"/>
    <x v="234"/>
    <n v="1.125457216"/>
    <n v="1"/>
    <n v="-130"/>
    <n v="780"/>
  </r>
  <r>
    <x v="6"/>
    <s v="conventional_refinance_wacls_195"/>
    <x v="235"/>
    <n v="1.129712"/>
    <n v="1"/>
    <n v="-130"/>
    <n v="780"/>
  </r>
  <r>
    <x v="6"/>
    <s v="conventional_refinance_wacls_196"/>
    <x v="236"/>
    <n v="1.1338992640000001"/>
    <n v="1"/>
    <n v="-130"/>
    <n v="780"/>
  </r>
  <r>
    <x v="6"/>
    <s v="conventional_refinance_wacls_197"/>
    <x v="237"/>
    <n v="1.1380203520000001"/>
    <n v="1"/>
    <n v="-130"/>
    <n v="780"/>
  </r>
  <r>
    <x v="6"/>
    <s v="conventional_refinance_wacls_198"/>
    <x v="238"/>
    <n v="1.142076608"/>
    <n v="1"/>
    <n v="-130"/>
    <n v="780"/>
  </r>
  <r>
    <x v="6"/>
    <s v="conventional_refinance_wacls_199"/>
    <x v="239"/>
    <n v="1.146069376"/>
    <n v="1"/>
    <n v="-130"/>
    <n v="780"/>
  </r>
  <r>
    <x v="6"/>
    <s v="conventional_refinance_wacls_200"/>
    <x v="240"/>
    <n v="1.1499999999999999"/>
    <n v="1"/>
    <n v="-130"/>
    <n v="780"/>
  </r>
  <r>
    <x v="6"/>
    <s v="conventional_refinance_wacls_201"/>
    <x v="241"/>
    <n v="1.1538622432000001"/>
    <n v="1"/>
    <n v="-130"/>
    <n v="780"/>
  </r>
  <r>
    <x v="6"/>
    <s v="conventional_refinance_wacls_202"/>
    <x v="242"/>
    <n v="1.1576505855999999"/>
    <n v="1"/>
    <n v="-130"/>
    <n v="780"/>
  </r>
  <r>
    <x v="6"/>
    <s v="conventional_refinance_wacls_203"/>
    <x v="243"/>
    <n v="1.1613674463999999"/>
    <n v="1"/>
    <n v="-130"/>
    <n v="780"/>
  </r>
  <r>
    <x v="6"/>
    <s v="conventional_refinance_wacls_204"/>
    <x v="244"/>
    <n v="1.1650152448"/>
    <n v="1"/>
    <n v="-130"/>
    <n v="780"/>
  </r>
  <r>
    <x v="6"/>
    <s v="conventional_refinance_wacls_205"/>
    <x v="245"/>
    <n v="1.1685964"/>
    <n v="1"/>
    <n v="-130"/>
    <n v="780"/>
  </r>
  <r>
    <x v="6"/>
    <s v="conventional_refinance_wacls_206"/>
    <x v="246"/>
    <n v="1.1721133312000001"/>
    <n v="1"/>
    <n v="-130"/>
    <n v="780"/>
  </r>
  <r>
    <x v="6"/>
    <s v="conventional_refinance_wacls_207"/>
    <x v="247"/>
    <n v="1.1755684576000001"/>
    <n v="1"/>
    <n v="-130"/>
    <n v="780"/>
  </r>
  <r>
    <x v="6"/>
    <s v="conventional_refinance_wacls_208"/>
    <x v="248"/>
    <n v="1.1789641984000001"/>
    <n v="1"/>
    <n v="-130"/>
    <n v="780"/>
  </r>
  <r>
    <x v="6"/>
    <s v="conventional_refinance_wacls_209"/>
    <x v="249"/>
    <n v="1.1823029728000001"/>
    <n v="1"/>
    <n v="-130"/>
    <n v="780"/>
  </r>
  <r>
    <x v="6"/>
    <s v="conventional_refinance_wacls_210"/>
    <x v="250"/>
    <n v="1.1855872000000001"/>
    <n v="1"/>
    <n v="-130"/>
    <n v="780"/>
  </r>
  <r>
    <x v="6"/>
    <s v="conventional_refinance_wacls_211"/>
    <x v="251"/>
    <n v="1.1888192992"/>
    <n v="1"/>
    <n v="-130"/>
    <n v="780"/>
  </r>
  <r>
    <x v="6"/>
    <s v="conventional_refinance_wacls_212"/>
    <x v="252"/>
    <n v="1.1920016896000001"/>
    <n v="1"/>
    <n v="-130"/>
    <n v="780"/>
  </r>
  <r>
    <x v="6"/>
    <s v="conventional_refinance_wacls_213"/>
    <x v="253"/>
    <n v="1.1951367904000001"/>
    <n v="1"/>
    <n v="-130"/>
    <n v="780"/>
  </r>
  <r>
    <x v="6"/>
    <s v="conventional_refinance_wacls_214"/>
    <x v="254"/>
    <n v="1.1982270208000001"/>
    <n v="1"/>
    <n v="-130"/>
    <n v="780"/>
  </r>
  <r>
    <x v="6"/>
    <s v="conventional_refinance_wacls_215"/>
    <x v="255"/>
    <n v="1.2012748"/>
    <n v="1"/>
    <n v="-130"/>
    <n v="780"/>
  </r>
  <r>
    <x v="6"/>
    <s v="conventional_refinance_wacls_216"/>
    <x v="256"/>
    <n v="1.2042825472000001"/>
    <n v="1"/>
    <n v="-130"/>
    <n v="780"/>
  </r>
  <r>
    <x v="6"/>
    <s v="conventional_refinance_wacls_217"/>
    <x v="257"/>
    <n v="1.2072526816"/>
    <n v="1"/>
    <n v="-130"/>
    <n v="780"/>
  </r>
  <r>
    <x v="6"/>
    <s v="conventional_refinance_wacls_218"/>
    <x v="258"/>
    <n v="1.2101876224000001"/>
    <n v="1"/>
    <n v="-130"/>
    <n v="780"/>
  </r>
  <r>
    <x v="6"/>
    <s v="conventional_refinance_wacls_219"/>
    <x v="259"/>
    <n v="1.2130897888000001"/>
    <n v="1"/>
    <n v="-130"/>
    <n v="780"/>
  </r>
  <r>
    <x v="6"/>
    <s v="conventional_refinance_wacls_220"/>
    <x v="260"/>
    <n v="1.2159616"/>
    <n v="1"/>
    <n v="-130"/>
    <n v="780"/>
  </r>
  <r>
    <x v="6"/>
    <s v="conventional_refinance_wacls_221"/>
    <x v="261"/>
    <n v="1.2188054751999999"/>
    <n v="1"/>
    <n v="-130"/>
    <n v="780"/>
  </r>
  <r>
    <x v="6"/>
    <s v="conventional_refinance_wacls_222"/>
    <x v="262"/>
    <n v="1.2216238336"/>
    <n v="1"/>
    <n v="-130"/>
    <n v="780"/>
  </r>
  <r>
    <x v="6"/>
    <s v="conventional_refinance_wacls_223"/>
    <x v="263"/>
    <n v="1.2244190944"/>
    <n v="1"/>
    <n v="-130"/>
    <n v="780"/>
  </r>
  <r>
    <x v="6"/>
    <s v="conventional_refinance_wacls_224"/>
    <x v="264"/>
    <n v="1.2271936768"/>
    <n v="1"/>
    <n v="-130"/>
    <n v="780"/>
  </r>
  <r>
    <x v="6"/>
    <s v="conventional_refinance_wacls_225"/>
    <x v="265"/>
    <n v="1.2299500000000001"/>
    <n v="1"/>
    <n v="-130"/>
    <n v="780"/>
  </r>
  <r>
    <x v="6"/>
    <s v="conventional_refinance_wacls_226"/>
    <x v="266"/>
    <n v="1.2326904832000001"/>
    <n v="1"/>
    <n v="-130"/>
    <n v="780"/>
  </r>
  <r>
    <x v="6"/>
    <s v="conventional_refinance_wacls_227"/>
    <x v="267"/>
    <n v="1.2354175456000001"/>
    <n v="1"/>
    <n v="-130"/>
    <n v="780"/>
  </r>
  <r>
    <x v="6"/>
    <s v="conventional_refinance_wacls_228"/>
    <x v="268"/>
    <n v="1.2381336063999999"/>
    <n v="1"/>
    <n v="-130"/>
    <n v="780"/>
  </r>
  <r>
    <x v="6"/>
    <s v="conventional_refinance_wacls_229"/>
    <x v="269"/>
    <n v="1.2408410848"/>
    <n v="1"/>
    <n v="-130"/>
    <n v="780"/>
  </r>
  <r>
    <x v="6"/>
    <s v="conventional_refinance_wacls_230"/>
    <x v="270"/>
    <n v="1.2435423999999999"/>
    <n v="1"/>
    <n v="-130"/>
    <n v="780"/>
  </r>
  <r>
    <x v="6"/>
    <s v="conventional_refinance_wacls_231"/>
    <x v="271"/>
    <n v="1.2462399712000001"/>
    <n v="1"/>
    <n v="-130"/>
    <n v="780"/>
  </r>
  <r>
    <x v="6"/>
    <s v="conventional_refinance_wacls_232"/>
    <x v="272"/>
    <n v="1.2489362176000001"/>
    <n v="1"/>
    <n v="-130"/>
    <n v="780"/>
  </r>
  <r>
    <x v="6"/>
    <s v="conventional_refinance_wacls_233"/>
    <x v="273"/>
    <n v="1.2516335584"/>
    <n v="1"/>
    <n v="-130"/>
    <n v="780"/>
  </r>
  <r>
    <x v="6"/>
    <s v="conventional_refinance_wacls_234"/>
    <x v="274"/>
    <n v="1.2543344128"/>
    <n v="1"/>
    <n v="-130"/>
    <n v="780"/>
  </r>
  <r>
    <x v="6"/>
    <s v="conventional_refinance_wacls_235"/>
    <x v="275"/>
    <n v="1.2570412"/>
    <n v="1"/>
    <n v="-130"/>
    <n v="780"/>
  </r>
  <r>
    <x v="6"/>
    <s v="conventional_refinance_wacls_236"/>
    <x v="276"/>
    <n v="1.2597563392"/>
    <n v="1"/>
    <n v="-130"/>
    <n v="780"/>
  </r>
  <r>
    <x v="6"/>
    <s v="conventional_refinance_wacls_237"/>
    <x v="277"/>
    <n v="1.2624822496000001"/>
    <n v="1"/>
    <n v="-130"/>
    <n v="780"/>
  </r>
  <r>
    <x v="6"/>
    <s v="conventional_refinance_wacls_238"/>
    <x v="278"/>
    <n v="1.2652213504000001"/>
    <n v="1"/>
    <n v="-130"/>
    <n v="780"/>
  </r>
  <r>
    <x v="6"/>
    <s v="conventional_refinance_wacls_239"/>
    <x v="279"/>
    <n v="1.2679760607999999"/>
    <n v="1"/>
    <n v="-130"/>
    <n v="780"/>
  </r>
  <r>
    <x v="6"/>
    <s v="conventional_refinance_wacls_240"/>
    <x v="280"/>
    <n v="1.2707488"/>
    <n v="1"/>
    <n v="-130"/>
    <n v="780"/>
  </r>
  <r>
    <x v="6"/>
    <s v="conventional_refinance_wacls_241"/>
    <x v="281"/>
    <n v="1.2735419872"/>
    <n v="1"/>
    <n v="-130"/>
    <n v="780"/>
  </r>
  <r>
    <x v="6"/>
    <s v="conventional_refinance_wacls_242"/>
    <x v="282"/>
    <n v="1.2763580416"/>
    <n v="1"/>
    <n v="-130"/>
    <n v="780"/>
  </r>
  <r>
    <x v="6"/>
    <s v="conventional_refinance_wacls_243"/>
    <x v="283"/>
    <n v="1.2791993824000001"/>
    <n v="1"/>
    <n v="-130"/>
    <n v="780"/>
  </r>
  <r>
    <x v="6"/>
    <s v="conventional_refinance_wacls_244"/>
    <x v="284"/>
    <n v="1.2820684287999999"/>
    <n v="1"/>
    <n v="-130"/>
    <n v="780"/>
  </r>
  <r>
    <x v="6"/>
    <s v="conventional_refinance_wacls_245"/>
    <x v="285"/>
    <n v="1.2849676000000001"/>
    <n v="1"/>
    <n v="-130"/>
    <n v="780"/>
  </r>
  <r>
    <x v="6"/>
    <s v="conventional_refinance_wacls_246"/>
    <x v="286"/>
    <n v="1.2878993152"/>
    <n v="1"/>
    <n v="-130"/>
    <n v="780"/>
  </r>
  <r>
    <x v="6"/>
    <s v="conventional_refinance_wacls_247"/>
    <x v="287"/>
    <n v="1.2908659936"/>
    <n v="1"/>
    <n v="-130"/>
    <n v="780"/>
  </r>
  <r>
    <x v="6"/>
    <s v="conventional_refinance_wacls_248"/>
    <x v="288"/>
    <n v="1.2938700543999999"/>
    <n v="1"/>
    <n v="-130"/>
    <n v="780"/>
  </r>
  <r>
    <x v="6"/>
    <s v="conventional_refinance_wacls_249"/>
    <x v="289"/>
    <n v="1.2969139167999999"/>
    <n v="1"/>
    <n v="-130"/>
    <n v="780"/>
  </r>
  <r>
    <x v="6"/>
    <s v="conventional_refinance_wacls_250"/>
    <x v="290"/>
    <n v="1.3"/>
    <n v="1"/>
    <n v="-130"/>
    <n v="780"/>
  </r>
  <r>
    <x v="6"/>
    <s v="conventional_refinance_wacls_251"/>
    <x v="291"/>
    <n v="1.3031107051519999"/>
    <n v="1"/>
    <n v="-130"/>
    <n v="780"/>
  </r>
  <r>
    <x v="6"/>
    <s v="conventional_refinance_wacls_252"/>
    <x v="292"/>
    <n v="1.3062267612159999"/>
    <n v="1"/>
    <n v="-130"/>
    <n v="780"/>
  </r>
  <r>
    <x v="6"/>
    <s v="conventional_refinance_wacls_253"/>
    <x v="293"/>
    <n v="1.309348079104"/>
    <n v="1"/>
    <n v="-130"/>
    <n v="780"/>
  </r>
  <r>
    <x v="6"/>
    <s v="conventional_refinance_wacls_254"/>
    <x v="294"/>
    <n v="1.312474569728"/>
    <n v="1"/>
    <n v="-130"/>
    <n v="780"/>
  </r>
  <r>
    <x v="6"/>
    <s v="conventional_refinance_wacls_255"/>
    <x v="295"/>
    <n v="1.315606144"/>
    <n v="1"/>
    <n v="-130"/>
    <n v="780"/>
  </r>
  <r>
    <x v="6"/>
    <s v="conventional_refinance_wacls_256"/>
    <x v="296"/>
    <n v="1.318742712832"/>
    <n v="1"/>
    <n v="-130"/>
    <n v="780"/>
  </r>
  <r>
    <x v="6"/>
    <s v="conventional_refinance_wacls_257"/>
    <x v="297"/>
    <n v="1.3218841871360001"/>
    <n v="1"/>
    <n v="-130"/>
    <n v="780"/>
  </r>
  <r>
    <x v="6"/>
    <s v="conventional_refinance_wacls_258"/>
    <x v="298"/>
    <n v="1.3250304778240001"/>
    <n v="1"/>
    <n v="-130"/>
    <n v="780"/>
  </r>
  <r>
    <x v="6"/>
    <s v="conventional_refinance_wacls_259"/>
    <x v="299"/>
    <n v="1.328181495808"/>
    <n v="1"/>
    <n v="-130"/>
    <n v="780"/>
  </r>
  <r>
    <x v="6"/>
    <s v="conventional_refinance_wacls_260"/>
    <x v="300"/>
    <n v="1.3313371519999999"/>
    <n v="1"/>
    <n v="-130"/>
    <n v="780"/>
  </r>
  <r>
    <x v="6"/>
    <s v="conventional_refinance_wacls_261"/>
    <x v="301"/>
    <n v="1.334497357312"/>
    <n v="1"/>
    <n v="-130"/>
    <n v="780"/>
  </r>
  <r>
    <x v="6"/>
    <s v="conventional_refinance_wacls_262"/>
    <x v="302"/>
    <n v="1.3376620226560001"/>
    <n v="1"/>
    <n v="-130"/>
    <n v="780"/>
  </r>
  <r>
    <x v="6"/>
    <s v="conventional_refinance_wacls_263"/>
    <x v="303"/>
    <n v="1.340831058944"/>
    <n v="1"/>
    <n v="-130"/>
    <n v="780"/>
  </r>
  <r>
    <x v="6"/>
    <s v="conventional_refinance_wacls_264"/>
    <x v="304"/>
    <n v="1.3440043770879999"/>
    <n v="1"/>
    <n v="-130"/>
    <n v="780"/>
  </r>
  <r>
    <x v="6"/>
    <s v="conventional_refinance_wacls_265"/>
    <x v="305"/>
    <n v="1.3471818879999999"/>
    <n v="1"/>
    <n v="-130"/>
    <n v="780"/>
  </r>
  <r>
    <x v="6"/>
    <s v="conventional_refinance_wacls_266"/>
    <x v="306"/>
    <n v="1.350363502592"/>
    <n v="1"/>
    <n v="-130"/>
    <n v="780"/>
  </r>
  <r>
    <x v="6"/>
    <s v="conventional_refinance_wacls_267"/>
    <x v="307"/>
    <n v="1.353549131776"/>
    <n v="1"/>
    <n v="-130"/>
    <n v="780"/>
  </r>
  <r>
    <x v="6"/>
    <s v="conventional_refinance_wacls_268"/>
    <x v="308"/>
    <n v="1.3567386864640001"/>
    <n v="1"/>
    <n v="-130"/>
    <n v="780"/>
  </r>
  <r>
    <x v="6"/>
    <s v="conventional_refinance_wacls_269"/>
    <x v="309"/>
    <n v="1.3599320775679999"/>
    <n v="1"/>
    <n v="-130"/>
    <n v="780"/>
  </r>
  <r>
    <x v="6"/>
    <s v="conventional_refinance_wacls_270"/>
    <x v="310"/>
    <n v="1.3631292159999999"/>
    <n v="1"/>
    <n v="-130"/>
    <n v="780"/>
  </r>
  <r>
    <x v="6"/>
    <s v="conventional_refinance_wacls_271"/>
    <x v="311"/>
    <n v="1.3663300126719999"/>
    <n v="1"/>
    <n v="-130"/>
    <n v="780"/>
  </r>
  <r>
    <x v="6"/>
    <s v="conventional_refinance_wacls_272"/>
    <x v="312"/>
    <n v="1.3695343784959999"/>
    <n v="1"/>
    <n v="-130"/>
    <n v="780"/>
  </r>
  <r>
    <x v="6"/>
    <s v="conventional_refinance_wacls_273"/>
    <x v="313"/>
    <n v="1.372742224384"/>
    <n v="1"/>
    <n v="-130"/>
    <n v="780"/>
  </r>
  <r>
    <x v="6"/>
    <s v="conventional_refinance_wacls_274"/>
    <x v="314"/>
    <n v="1.375953461248"/>
    <n v="1"/>
    <n v="-130"/>
    <n v="780"/>
  </r>
  <r>
    <x v="6"/>
    <s v="conventional_refinance_wacls_275"/>
    <x v="315"/>
    <n v="1.3791679999999999"/>
    <n v="1"/>
    <n v="-130"/>
    <n v="780"/>
  </r>
  <r>
    <x v="6"/>
    <s v="conventional_refinance_wacls_276"/>
    <x v="316"/>
    <n v="1.3823857515519999"/>
    <n v="1"/>
    <n v="-130"/>
    <n v="780"/>
  </r>
  <r>
    <x v="6"/>
    <s v="conventional_refinance_wacls_277"/>
    <x v="317"/>
    <n v="1.3856066268160001"/>
    <n v="1"/>
    <n v="-130"/>
    <n v="780"/>
  </r>
  <r>
    <x v="6"/>
    <s v="conventional_refinance_wacls_278"/>
    <x v="318"/>
    <n v="1.3888305367039999"/>
    <n v="1"/>
    <n v="-130"/>
    <n v="780"/>
  </r>
  <r>
    <x v="6"/>
    <s v="conventional_refinance_wacls_279"/>
    <x v="319"/>
    <n v="1.3920573921279999"/>
    <n v="1"/>
    <n v="-130"/>
    <n v="780"/>
  </r>
  <r>
    <x v="6"/>
    <s v="conventional_refinance_wacls_280"/>
    <x v="320"/>
    <n v="1.3952871039999999"/>
    <n v="1"/>
    <n v="-130"/>
    <n v="780"/>
  </r>
  <r>
    <x v="6"/>
    <s v="conventional_refinance_wacls_281"/>
    <x v="321"/>
    <n v="1.3985195832320001"/>
    <n v="1"/>
    <n v="-130"/>
    <n v="780"/>
  </r>
  <r>
    <x v="6"/>
    <s v="conventional_refinance_wacls_282"/>
    <x v="322"/>
    <n v="1.401754740736"/>
    <n v="1"/>
    <n v="-130"/>
    <n v="780"/>
  </r>
  <r>
    <x v="6"/>
    <s v="conventional_refinance_wacls_283"/>
    <x v="323"/>
    <n v="1.4049924874240001"/>
    <n v="1"/>
    <n v="-130"/>
    <n v="780"/>
  </r>
  <r>
    <x v="6"/>
    <s v="conventional_refinance_wacls_284"/>
    <x v="324"/>
    <n v="1.4082327342080001"/>
    <n v="1"/>
    <n v="-130"/>
    <n v="780"/>
  </r>
  <r>
    <x v="6"/>
    <s v="conventional_refinance_wacls_285"/>
    <x v="325"/>
    <n v="1.4114753920000001"/>
    <n v="1"/>
    <n v="-130"/>
    <n v="780"/>
  </r>
  <r>
    <x v="6"/>
    <s v="conventional_refinance_wacls_286"/>
    <x v="326"/>
    <n v="1.414720371712"/>
    <n v="1"/>
    <n v="-130"/>
    <n v="780"/>
  </r>
  <r>
    <x v="6"/>
    <s v="conventional_refinance_wacls_287"/>
    <x v="327"/>
    <n v="1.417967584256"/>
    <n v="1"/>
    <n v="-130"/>
    <n v="780"/>
  </r>
  <r>
    <x v="6"/>
    <s v="conventional_refinance_wacls_288"/>
    <x v="328"/>
    <n v="1.4212169405440001"/>
    <n v="1"/>
    <n v="-130"/>
    <n v="780"/>
  </r>
  <r>
    <x v="6"/>
    <s v="conventional_refinance_wacls_289"/>
    <x v="329"/>
    <n v="1.4244683514880001"/>
    <n v="1"/>
    <n v="-130"/>
    <n v="780"/>
  </r>
  <r>
    <x v="6"/>
    <s v="conventional_refinance_wacls_290"/>
    <x v="330"/>
    <n v="1.4277217280000001"/>
    <n v="1"/>
    <n v="-130"/>
    <n v="780"/>
  </r>
  <r>
    <x v="6"/>
    <s v="conventional_refinance_wacls_291"/>
    <x v="331"/>
    <n v="1.4309769809920001"/>
    <n v="1"/>
    <n v="-130"/>
    <n v="780"/>
  </r>
  <r>
    <x v="6"/>
    <s v="conventional_refinance_wacls_292"/>
    <x v="332"/>
    <n v="1.4342340213760001"/>
    <n v="1"/>
    <n v="-130"/>
    <n v="780"/>
  </r>
  <r>
    <x v="6"/>
    <s v="conventional_refinance_wacls_293"/>
    <x v="333"/>
    <n v="1.437492760064"/>
    <n v="1"/>
    <n v="-130"/>
    <n v="780"/>
  </r>
  <r>
    <x v="6"/>
    <s v="conventional_refinance_wacls_294"/>
    <x v="334"/>
    <n v="1.440753107968"/>
    <n v="1"/>
    <n v="-130"/>
    <n v="780"/>
  </r>
  <r>
    <x v="6"/>
    <s v="conventional_refinance_wacls_295"/>
    <x v="335"/>
    <n v="1.4440149760000001"/>
    <n v="1"/>
    <n v="-130"/>
    <n v="780"/>
  </r>
  <r>
    <x v="6"/>
    <s v="conventional_refinance_wacls_296"/>
    <x v="336"/>
    <n v="1.4472782750719999"/>
    <n v="1"/>
    <n v="-130"/>
    <n v="780"/>
  </r>
  <r>
    <x v="6"/>
    <s v="conventional_refinance_wacls_297"/>
    <x v="337"/>
    <n v="1.4505429160959999"/>
    <n v="1"/>
    <n v="-130"/>
    <n v="780"/>
  </r>
  <r>
    <x v="6"/>
    <s v="conventional_refinance_wacls_298"/>
    <x v="338"/>
    <n v="1.4538088099840001"/>
    <n v="1"/>
    <n v="-130"/>
    <n v="780"/>
  </r>
  <r>
    <x v="6"/>
    <s v="conventional_refinance_wacls_299"/>
    <x v="339"/>
    <n v="1.457075867648"/>
    <n v="1"/>
    <n v="-130"/>
    <n v="780"/>
  </r>
  <r>
    <x v="6"/>
    <s v="conventional_refinance_wacls_300"/>
    <x v="340"/>
    <n v="1.4603440000000001"/>
    <n v="1"/>
    <n v="-130"/>
    <n v="780"/>
  </r>
  <r>
    <x v="6"/>
    <s v="conventional_refinance_wacls_301"/>
    <x v="341"/>
    <n v="1.463613117952"/>
    <n v="1"/>
    <n v="-130"/>
    <n v="780"/>
  </r>
  <r>
    <x v="6"/>
    <s v="conventional_refinance_wacls_302"/>
    <x v="342"/>
    <n v="1.4668831324160001"/>
    <n v="1"/>
    <n v="-130"/>
    <n v="780"/>
  </r>
  <r>
    <x v="6"/>
    <s v="conventional_refinance_wacls_303"/>
    <x v="343"/>
    <n v="1.4701539543040001"/>
    <n v="1"/>
    <n v="-130"/>
    <n v="780"/>
  </r>
  <r>
    <x v="6"/>
    <s v="conventional_refinance_wacls_304"/>
    <x v="344"/>
    <n v="1.4734254945280001"/>
    <n v="1"/>
    <n v="-130"/>
    <n v="780"/>
  </r>
  <r>
    <x v="6"/>
    <s v="conventional_refinance_wacls_305"/>
    <x v="345"/>
    <n v="1.476697664"/>
    <n v="1"/>
    <n v="-130"/>
    <n v="780"/>
  </r>
  <r>
    <x v="6"/>
    <s v="conventional_refinance_wacls_306"/>
    <x v="346"/>
    <n v="1.479970373632"/>
    <n v="1"/>
    <n v="-130"/>
    <n v="780"/>
  </r>
  <r>
    <x v="6"/>
    <s v="conventional_refinance_wacls_307"/>
    <x v="347"/>
    <n v="1.483243534336"/>
    <n v="1"/>
    <n v="-130"/>
    <n v="780"/>
  </r>
  <r>
    <x v="6"/>
    <s v="conventional_refinance_wacls_308"/>
    <x v="348"/>
    <n v="1.4865170570240001"/>
    <n v="1"/>
    <n v="-130"/>
    <n v="780"/>
  </r>
  <r>
    <x v="6"/>
    <s v="conventional_refinance_wacls_309"/>
    <x v="349"/>
    <n v="1.4897908526079999"/>
    <n v="1"/>
    <n v="-130"/>
    <n v="780"/>
  </r>
  <r>
    <x v="6"/>
    <s v="conventional_refinance_wacls_310"/>
    <x v="350"/>
    <n v="1.493064832"/>
    <n v="1"/>
    <n v="-130"/>
    <n v="780"/>
  </r>
  <r>
    <x v="6"/>
    <s v="conventional_refinance_wacls_311"/>
    <x v="351"/>
    <n v="1.496338906112"/>
    <n v="1"/>
    <n v="-130"/>
    <n v="780"/>
  </r>
  <r>
    <x v="6"/>
    <s v="conventional_refinance_wacls_312"/>
    <x v="352"/>
    <n v="1.4996129858559999"/>
    <n v="1"/>
    <n v="-130"/>
    <n v="780"/>
  </r>
  <r>
    <x v="6"/>
    <s v="conventional_refinance_wacls_313"/>
    <x v="353"/>
    <n v="1.5028869821440001"/>
    <n v="1"/>
    <n v="-130"/>
    <n v="780"/>
  </r>
  <r>
    <x v="6"/>
    <s v="conventional_refinance_wacls_314"/>
    <x v="354"/>
    <n v="1.5061608058880001"/>
    <n v="1"/>
    <n v="-130"/>
    <n v="780"/>
  </r>
  <r>
    <x v="6"/>
    <s v="conventional_refinance_wacls_315"/>
    <x v="355"/>
    <n v="1.509434368"/>
    <n v="1"/>
    <n v="-130"/>
    <n v="780"/>
  </r>
  <r>
    <x v="6"/>
    <s v="conventional_refinance_wacls_316"/>
    <x v="356"/>
    <n v="1.512707579392"/>
    <n v="1"/>
    <n v="-130"/>
    <n v="780"/>
  </r>
  <r>
    <x v="6"/>
    <s v="conventional_refinance_wacls_317"/>
    <x v="357"/>
    <n v="1.5159803509759999"/>
    <n v="1"/>
    <n v="-130"/>
    <n v="780"/>
  </r>
  <r>
    <x v="6"/>
    <s v="conventional_refinance_wacls_318"/>
    <x v="358"/>
    <n v="1.519252593664"/>
    <n v="1"/>
    <n v="-130"/>
    <n v="780"/>
  </r>
  <r>
    <x v="6"/>
    <s v="conventional_refinance_wacls_319"/>
    <x v="359"/>
    <n v="1.5225242183679999"/>
    <n v="1"/>
    <n v="-130"/>
    <n v="780"/>
  </r>
  <r>
    <x v="6"/>
    <s v="conventional_refinance_wacls_320"/>
    <x v="360"/>
    <n v="1.5257951359999999"/>
    <n v="1"/>
    <n v="-130"/>
    <n v="780"/>
  </r>
  <r>
    <x v="6"/>
    <s v="conventional_refinance_wacls_321"/>
    <x v="361"/>
    <n v="1.5290652574720001"/>
    <n v="1"/>
    <n v="-130"/>
    <n v="780"/>
  </r>
  <r>
    <x v="6"/>
    <s v="conventional_refinance_wacls_322"/>
    <x v="362"/>
    <n v="1.5323344936959999"/>
    <n v="1"/>
    <n v="-130"/>
    <n v="780"/>
  </r>
  <r>
    <x v="6"/>
    <s v="conventional_refinance_wacls_323"/>
    <x v="363"/>
    <n v="1.5356027555839999"/>
    <n v="1"/>
    <n v="-130"/>
    <n v="780"/>
  </r>
  <r>
    <x v="6"/>
    <s v="conventional_refinance_wacls_324"/>
    <x v="364"/>
    <n v="1.538869954048"/>
    <n v="1"/>
    <n v="-130"/>
    <n v="780"/>
  </r>
  <r>
    <x v="6"/>
    <s v="conventional_refinance_wacls_325"/>
    <x v="365"/>
    <n v="1.542136"/>
    <n v="1"/>
    <n v="-130"/>
    <n v="780"/>
  </r>
  <r>
    <x v="6"/>
    <s v="conventional_refinance_wacls_326"/>
    <x v="366"/>
    <n v="1.545400804352"/>
    <n v="1"/>
    <n v="-130"/>
    <n v="780"/>
  </r>
  <r>
    <x v="6"/>
    <s v="conventional_refinance_wacls_327"/>
    <x v="367"/>
    <n v="1.548664278016"/>
    <n v="1"/>
    <n v="-130"/>
    <n v="780"/>
  </r>
  <r>
    <x v="6"/>
    <s v="conventional_refinance_wacls_328"/>
    <x v="368"/>
    <n v="1.551926331904"/>
    <n v="1"/>
    <n v="-130"/>
    <n v="780"/>
  </r>
  <r>
    <x v="6"/>
    <s v="conventional_refinance_wacls_329"/>
    <x v="369"/>
    <n v="1.555186876928"/>
    <n v="1"/>
    <n v="-130"/>
    <n v="780"/>
  </r>
  <r>
    <x v="6"/>
    <s v="conventional_refinance_wacls_330"/>
    <x v="370"/>
    <n v="1.5584458240000001"/>
    <n v="1"/>
    <n v="-130"/>
    <n v="780"/>
  </r>
  <r>
    <x v="6"/>
    <s v="conventional_refinance_wacls_331"/>
    <x v="371"/>
    <n v="1.5617030840320001"/>
    <n v="1"/>
    <n v="-130"/>
    <n v="780"/>
  </r>
  <r>
    <x v="6"/>
    <s v="conventional_refinance_wacls_332"/>
    <x v="372"/>
    <n v="1.5649585679360001"/>
    <n v="1"/>
    <n v="-130"/>
    <n v="780"/>
  </r>
  <r>
    <x v="6"/>
    <s v="conventional_refinance_wacls_333"/>
    <x v="373"/>
    <n v="1.568212186624"/>
    <n v="1"/>
    <n v="-130"/>
    <n v="780"/>
  </r>
  <r>
    <x v="6"/>
    <s v="conventional_refinance_wacls_334"/>
    <x v="374"/>
    <n v="1.5714638510079999"/>
    <n v="1"/>
    <n v="-130"/>
    <n v="780"/>
  </r>
  <r>
    <x v="6"/>
    <s v="conventional_refinance_wacls_335"/>
    <x v="375"/>
    <n v="1.574713472"/>
    <n v="1"/>
    <n v="-130"/>
    <n v="780"/>
  </r>
  <r>
    <x v="6"/>
    <s v="conventional_refinance_wacls_336"/>
    <x v="376"/>
    <n v="1.577960960512"/>
    <n v="1"/>
    <n v="-130"/>
    <n v="780"/>
  </r>
  <r>
    <x v="6"/>
    <s v="conventional_refinance_wacls_337"/>
    <x v="377"/>
    <n v="1.5812062274559999"/>
    <n v="1"/>
    <n v="-130"/>
    <n v="780"/>
  </r>
  <r>
    <x v="6"/>
    <s v="conventional_refinance_wacls_338"/>
    <x v="378"/>
    <n v="1.584449183744"/>
    <n v="1"/>
    <n v="-130"/>
    <n v="780"/>
  </r>
  <r>
    <x v="6"/>
    <s v="conventional_refinance_wacls_339"/>
    <x v="379"/>
    <n v="1.5876897402879999"/>
    <n v="1"/>
    <n v="-130"/>
    <n v="780"/>
  </r>
  <r>
    <x v="6"/>
    <s v="conventional_refinance_wacls_340"/>
    <x v="380"/>
    <n v="1.590927808"/>
    <n v="1"/>
    <n v="-130"/>
    <n v="780"/>
  </r>
  <r>
    <x v="6"/>
    <s v="conventional_refinance_wacls_341"/>
    <x v="381"/>
    <n v="1.5941632977919999"/>
    <n v="1"/>
    <n v="-130"/>
    <n v="780"/>
  </r>
  <r>
    <x v="6"/>
    <s v="conventional_refinance_wacls_342"/>
    <x v="382"/>
    <n v="1.5973961205759999"/>
    <n v="1"/>
    <n v="-130"/>
    <n v="780"/>
  </r>
  <r>
    <x v="6"/>
    <s v="conventional_refinance_wacls_343"/>
    <x v="383"/>
    <n v="1.600626187264"/>
    <n v="1"/>
    <n v="-130"/>
    <n v="780"/>
  </r>
  <r>
    <x v="6"/>
    <s v="conventional_refinance_wacls_344"/>
    <x v="384"/>
    <n v="1.6038534087680001"/>
    <n v="1"/>
    <n v="-130"/>
    <n v="780"/>
  </r>
  <r>
    <x v="6"/>
    <s v="conventional_refinance_wacls_345"/>
    <x v="385"/>
    <n v="1.6070776959999999"/>
    <n v="1"/>
    <n v="-130"/>
    <n v="780"/>
  </r>
  <r>
    <x v="6"/>
    <s v="conventional_refinance_wacls_346"/>
    <x v="386"/>
    <n v="1.6102989598719999"/>
    <n v="1"/>
    <n v="-130"/>
    <n v="780"/>
  </r>
  <r>
    <x v="6"/>
    <s v="conventional_refinance_wacls_347"/>
    <x v="387"/>
    <n v="1.6135171112960001"/>
    <n v="1"/>
    <n v="-130"/>
    <n v="780"/>
  </r>
  <r>
    <x v="6"/>
    <s v="conventional_refinance_wacls_348"/>
    <x v="388"/>
    <n v="1.6167320611839999"/>
    <n v="1"/>
    <n v="-130"/>
    <n v="780"/>
  </r>
  <r>
    <x v="6"/>
    <s v="conventional_refinance_wacls_349"/>
    <x v="389"/>
    <n v="1.6199437204480001"/>
    <n v="1"/>
    <n v="-130"/>
    <n v="780"/>
  </r>
  <r>
    <x v="6"/>
    <s v="conventional_refinance_wacls_350"/>
    <x v="390"/>
    <n v="1.6231519999999999"/>
    <n v="1"/>
    <n v="-130"/>
    <n v="780"/>
  </r>
  <r>
    <x v="6"/>
    <s v="conventional_refinance_wacls_351"/>
    <x v="391"/>
    <n v="1.6263568107519999"/>
    <n v="1"/>
    <n v="-130"/>
    <n v="780"/>
  </r>
  <r>
    <x v="6"/>
    <s v="conventional_refinance_wacls_352"/>
    <x v="392"/>
    <n v="1.6295580636160001"/>
    <n v="1"/>
    <n v="-130"/>
    <n v="780"/>
  </r>
  <r>
    <x v="6"/>
    <s v="conventional_refinance_wacls_353"/>
    <x v="393"/>
    <n v="1.632755669504"/>
    <n v="1"/>
    <n v="-130"/>
    <n v="780"/>
  </r>
  <r>
    <x v="6"/>
    <s v="conventional_refinance_wacls_354"/>
    <x v="394"/>
    <n v="1.6359495393279999"/>
    <n v="1"/>
    <n v="-130"/>
    <n v="780"/>
  </r>
  <r>
    <x v="6"/>
    <s v="conventional_refinance_wacls_355"/>
    <x v="395"/>
    <n v="1.639139584"/>
    <n v="1"/>
    <n v="-130"/>
    <n v="780"/>
  </r>
  <r>
    <x v="6"/>
    <s v="conventional_refinance_wacls_356"/>
    <x v="396"/>
    <n v="1.642325714432"/>
    <n v="1"/>
    <n v="-130"/>
    <n v="780"/>
  </r>
  <r>
    <x v="6"/>
    <s v="conventional_refinance_wacls_357"/>
    <x v="397"/>
    <n v="1.645507841536"/>
    <n v="1"/>
    <n v="-130"/>
    <n v="780"/>
  </r>
  <r>
    <x v="6"/>
    <s v="conventional_refinance_wacls_358"/>
    <x v="398"/>
    <n v="1.648685876224"/>
    <n v="1"/>
    <n v="-130"/>
    <n v="780"/>
  </r>
  <r>
    <x v="6"/>
    <s v="conventional_refinance_wacls_359"/>
    <x v="399"/>
    <n v="1.651859729408"/>
    <n v="1"/>
    <n v="-130"/>
    <n v="780"/>
  </r>
  <r>
    <x v="6"/>
    <s v="conventional_refinance_wacls_360"/>
    <x v="400"/>
    <n v="1.6550293119999999"/>
    <n v="1"/>
    <n v="-130"/>
    <n v="780"/>
  </r>
  <r>
    <x v="6"/>
    <s v="conventional_refinance_wacls_361"/>
    <x v="401"/>
    <n v="1.658194534912"/>
    <n v="1"/>
    <n v="-130"/>
    <n v="780"/>
  </r>
  <r>
    <x v="6"/>
    <s v="conventional_refinance_wacls_362"/>
    <x v="402"/>
    <n v="1.661355309056"/>
    <n v="1"/>
    <n v="-130"/>
    <n v="780"/>
  </r>
  <r>
    <x v="6"/>
    <s v="conventional_refinance_wacls_363"/>
    <x v="403"/>
    <n v="1.664511545344"/>
    <n v="1"/>
    <n v="-130"/>
    <n v="780"/>
  </r>
  <r>
    <x v="6"/>
    <s v="conventional_refinance_wacls_364"/>
    <x v="404"/>
    <n v="1.6676631546880001"/>
    <n v="1"/>
    <n v="-130"/>
    <n v="780"/>
  </r>
  <r>
    <x v="6"/>
    <s v="conventional_refinance_wacls_365"/>
    <x v="405"/>
    <n v="1.6708100480000001"/>
    <n v="1"/>
    <n v="-130"/>
    <n v="780"/>
  </r>
  <r>
    <x v="6"/>
    <s v="conventional_refinance_wacls_366"/>
    <x v="406"/>
    <n v="1.673952136192"/>
    <n v="1"/>
    <n v="-130"/>
    <n v="780"/>
  </r>
  <r>
    <x v="6"/>
    <s v="conventional_refinance_wacls_367"/>
    <x v="407"/>
    <n v="1.6770893301759999"/>
    <n v="1"/>
    <n v="-130"/>
    <n v="780"/>
  </r>
  <r>
    <x v="6"/>
    <s v="conventional_refinance_wacls_368"/>
    <x v="408"/>
    <n v="1.680221540864"/>
    <n v="1"/>
    <n v="-130"/>
    <n v="780"/>
  </r>
  <r>
    <x v="6"/>
    <s v="conventional_refinance_wacls_369"/>
    <x v="409"/>
    <n v="1.6833486791679999"/>
    <n v="1"/>
    <n v="-130"/>
    <n v="780"/>
  </r>
  <r>
    <x v="6"/>
    <s v="conventional_refinance_wacls_370"/>
    <x v="410"/>
    <n v="1.686470656"/>
    <n v="1"/>
    <n v="-130"/>
    <n v="780"/>
  </r>
  <r>
    <x v="6"/>
    <s v="conventional_refinance_wacls_371"/>
    <x v="411"/>
    <n v="1.689587382272"/>
    <n v="1"/>
    <n v="-130"/>
    <n v="780"/>
  </r>
  <r>
    <x v="6"/>
    <s v="conventional_refinance_wacls_372"/>
    <x v="412"/>
    <n v="1.692698768896"/>
    <n v="1"/>
    <n v="-130"/>
    <n v="780"/>
  </r>
  <r>
    <x v="6"/>
    <s v="conventional_refinance_wacls_373"/>
    <x v="413"/>
    <n v="1.695804726784"/>
    <n v="1"/>
    <n v="-130"/>
    <n v="780"/>
  </r>
  <r>
    <x v="6"/>
    <s v="conventional_refinance_wacls_374"/>
    <x v="414"/>
    <n v="1.698905166848"/>
    <n v="1"/>
    <n v="-130"/>
    <n v="780"/>
  </r>
  <r>
    <x v="6"/>
    <s v="conventional_refinance_wacls_375"/>
    <x v="415"/>
    <n v="1.702"/>
    <n v="1"/>
    <n v="-130"/>
    <n v="780"/>
  </r>
  <r>
    <x v="6"/>
    <s v="conventional_refinance_wacls_376"/>
    <x v="416"/>
    <n v="1.7050906905600001"/>
    <n v="1"/>
    <n v="-130"/>
    <n v="780"/>
  </r>
  <r>
    <x v="6"/>
    <s v="conventional_refinance_wacls_377"/>
    <x v="417"/>
    <n v="1.7081787724799999"/>
    <n v="1"/>
    <n v="-130"/>
    <n v="780"/>
  </r>
  <r>
    <x v="6"/>
    <s v="conventional_refinance_wacls_378"/>
    <x v="418"/>
    <n v="1.71126426112"/>
    <n v="1"/>
    <n v="-130"/>
    <n v="780"/>
  </r>
  <r>
    <x v="6"/>
    <s v="conventional_refinance_wacls_379"/>
    <x v="419"/>
    <n v="1.7143471718400001"/>
    <n v="1"/>
    <n v="-130"/>
    <n v="780"/>
  </r>
  <r>
    <x v="6"/>
    <s v="conventional_refinance_wacls_380"/>
    <x v="420"/>
    <n v="1.71742752"/>
    <n v="1"/>
    <n v="-130"/>
    <n v="780"/>
  </r>
  <r>
    <x v="6"/>
    <s v="conventional_refinance_wacls_381"/>
    <x v="421"/>
    <n v="1.7205053209600001"/>
    <n v="1"/>
    <n v="-130"/>
    <n v="780"/>
  </r>
  <r>
    <x v="6"/>
    <s v="conventional_refinance_wacls_382"/>
    <x v="422"/>
    <n v="1.7235805900800001"/>
    <n v="1"/>
    <n v="-130"/>
    <n v="780"/>
  </r>
  <r>
    <x v="6"/>
    <s v="conventional_refinance_wacls_383"/>
    <x v="423"/>
    <n v="1.7266533427199999"/>
    <n v="1"/>
    <n v="-130"/>
    <n v="780"/>
  </r>
  <r>
    <x v="6"/>
    <s v="conventional_refinance_wacls_384"/>
    <x v="424"/>
    <n v="1.72972359424"/>
    <n v="1"/>
    <n v="-130"/>
    <n v="780"/>
  </r>
  <r>
    <x v="6"/>
    <s v="conventional_refinance_wacls_385"/>
    <x v="425"/>
    <n v="1.73279136"/>
    <n v="1"/>
    <n v="-130"/>
    <n v="780"/>
  </r>
  <r>
    <x v="6"/>
    <s v="conventional_refinance_wacls_386"/>
    <x v="426"/>
    <n v="1.7358566553599999"/>
    <n v="1"/>
    <n v="-130"/>
    <n v="780"/>
  </r>
  <r>
    <x v="6"/>
    <s v="conventional_refinance_wacls_387"/>
    <x v="427"/>
    <n v="1.73891949568"/>
    <n v="1"/>
    <n v="-130"/>
    <n v="780"/>
  </r>
  <r>
    <x v="6"/>
    <s v="conventional_refinance_wacls_388"/>
    <x v="428"/>
    <n v="1.7419798963199999"/>
    <n v="1"/>
    <n v="-130"/>
    <n v="780"/>
  </r>
  <r>
    <x v="6"/>
    <s v="conventional_refinance_wacls_389"/>
    <x v="429"/>
    <n v="1.74503787264"/>
    <n v="1"/>
    <n v="-130"/>
    <n v="780"/>
  </r>
  <r>
    <x v="6"/>
    <s v="conventional_refinance_wacls_390"/>
    <x v="430"/>
    <n v="1.7480934400000001"/>
    <n v="1"/>
    <n v="-130"/>
    <n v="780"/>
  </r>
  <r>
    <x v="6"/>
    <s v="conventional_refinance_wacls_391"/>
    <x v="431"/>
    <n v="1.75114661376"/>
    <n v="1"/>
    <n v="-130"/>
    <n v="780"/>
  </r>
  <r>
    <x v="6"/>
    <s v="conventional_refinance_wacls_392"/>
    <x v="432"/>
    <n v="1.7541974092799999"/>
    <n v="1"/>
    <n v="-130"/>
    <n v="780"/>
  </r>
  <r>
    <x v="6"/>
    <s v="conventional_refinance_wacls_393"/>
    <x v="433"/>
    <n v="1.7572458419200001"/>
    <n v="1"/>
    <n v="-130"/>
    <n v="780"/>
  </r>
  <r>
    <x v="6"/>
    <s v="conventional_refinance_wacls_394"/>
    <x v="434"/>
    <n v="1.7602919270399999"/>
    <n v="1"/>
    <n v="-130"/>
    <n v="780"/>
  </r>
  <r>
    <x v="6"/>
    <s v="conventional_refinance_wacls_395"/>
    <x v="435"/>
    <n v="1.76333568"/>
    <n v="1"/>
    <n v="-130"/>
    <n v="780"/>
  </r>
  <r>
    <x v="6"/>
    <s v="conventional_refinance_wacls_396"/>
    <x v="436"/>
    <n v="1.7663771161599999"/>
    <n v="1"/>
    <n v="-130"/>
    <n v="780"/>
  </r>
  <r>
    <x v="6"/>
    <s v="conventional_refinance_wacls_397"/>
    <x v="437"/>
    <n v="1.76941625088"/>
    <n v="1"/>
    <n v="-130"/>
    <n v="780"/>
  </r>
  <r>
    <x v="6"/>
    <s v="conventional_refinance_wacls_398"/>
    <x v="438"/>
    <n v="1.7724530995200001"/>
    <n v="1"/>
    <n v="-130"/>
    <n v="780"/>
  </r>
  <r>
    <x v="6"/>
    <s v="conventional_refinance_wacls_399"/>
    <x v="439"/>
    <n v="1.7754876774399999"/>
    <n v="1"/>
    <n v="-130"/>
    <n v="780"/>
  </r>
  <r>
    <x v="6"/>
    <s v="conventional_refinance_wacls_400"/>
    <x v="440"/>
    <n v="1.7785200000000001"/>
    <n v="1"/>
    <n v="-130"/>
    <n v="780"/>
  </r>
  <r>
    <x v="6"/>
    <s v="conventional_refinance_wacls_401"/>
    <x v="441"/>
    <n v="1.7815500825599999"/>
    <n v="1"/>
    <n v="-130"/>
    <n v="780"/>
  </r>
  <r>
    <x v="6"/>
    <s v="conventional_refinance_wacls_402"/>
    <x v="442"/>
    <n v="1.78457794048"/>
    <n v="1"/>
    <n v="-130"/>
    <n v="780"/>
  </r>
  <r>
    <x v="6"/>
    <s v="conventional_refinance_wacls_403"/>
    <x v="443"/>
    <n v="1.7876035891199999"/>
    <n v="1"/>
    <n v="-130"/>
    <n v="780"/>
  </r>
  <r>
    <x v="6"/>
    <s v="conventional_refinance_wacls_404"/>
    <x v="444"/>
    <n v="1.79062704384"/>
    <n v="1"/>
    <n v="-130"/>
    <n v="780"/>
  </r>
  <r>
    <x v="6"/>
    <s v="conventional_refinance_wacls_405"/>
    <x v="445"/>
    <n v="1.79364832"/>
    <n v="1"/>
    <n v="-130"/>
    <n v="780"/>
  </r>
  <r>
    <x v="6"/>
    <s v="conventional_refinance_wacls_406"/>
    <x v="446"/>
    <n v="1.7966674329600001"/>
    <n v="1"/>
    <n v="-130"/>
    <n v="780"/>
  </r>
  <r>
    <x v="6"/>
    <s v="conventional_refinance_wacls_407"/>
    <x v="447"/>
    <n v="1.7996843980799999"/>
    <n v="1"/>
    <n v="-130"/>
    <n v="780"/>
  </r>
  <r>
    <x v="6"/>
    <s v="conventional_refinance_wacls_408"/>
    <x v="448"/>
    <n v="1.80269923072"/>
    <n v="1"/>
    <n v="-130"/>
    <n v="780"/>
  </r>
  <r>
    <x v="6"/>
    <s v="conventional_refinance_wacls_409"/>
    <x v="449"/>
    <n v="1.80571194624"/>
    <n v="1"/>
    <n v="-130"/>
    <n v="780"/>
  </r>
  <r>
    <x v="6"/>
    <s v="conventional_refinance_wacls_410"/>
    <x v="450"/>
    <n v="1.8087225600000001"/>
    <n v="1"/>
    <n v="-130"/>
    <n v="780"/>
  </r>
  <r>
    <x v="6"/>
    <s v="conventional_refinance_wacls_411"/>
    <x v="451"/>
    <n v="1.8117310873600001"/>
    <n v="1"/>
    <n v="-130"/>
    <n v="780"/>
  </r>
  <r>
    <x v="6"/>
    <s v="conventional_refinance_wacls_412"/>
    <x v="452"/>
    <n v="1.81473754368"/>
    <n v="1"/>
    <n v="-130"/>
    <n v="780"/>
  </r>
  <r>
    <x v="6"/>
    <s v="conventional_refinance_wacls_413"/>
    <x v="453"/>
    <n v="1.81774194432"/>
    <n v="1"/>
    <n v="-130"/>
    <n v="780"/>
  </r>
  <r>
    <x v="6"/>
    <s v="conventional_refinance_wacls_414"/>
    <x v="454"/>
    <n v="1.82074430464"/>
    <n v="1"/>
    <n v="-130"/>
    <n v="780"/>
  </r>
  <r>
    <x v="6"/>
    <s v="conventional_refinance_wacls_415"/>
    <x v="455"/>
    <n v="1.8237446399999999"/>
    <n v="1"/>
    <n v="-130"/>
    <n v="780"/>
  </r>
  <r>
    <x v="6"/>
    <s v="conventional_refinance_wacls_416"/>
    <x v="456"/>
    <n v="1.8267429657600001"/>
    <n v="1"/>
    <n v="-130"/>
    <n v="780"/>
  </r>
  <r>
    <x v="6"/>
    <s v="conventional_refinance_wacls_417"/>
    <x v="457"/>
    <n v="1.82973929728"/>
    <n v="1"/>
    <n v="-130"/>
    <n v="780"/>
  </r>
  <r>
    <x v="6"/>
    <s v="conventional_refinance_wacls_418"/>
    <x v="458"/>
    <n v="1.83273364992"/>
    <n v="1"/>
    <n v="-130"/>
    <n v="780"/>
  </r>
  <r>
    <x v="6"/>
    <s v="conventional_refinance_wacls_419"/>
    <x v="459"/>
    <n v="1.8357260390400001"/>
    <n v="1"/>
    <n v="-130"/>
    <n v="780"/>
  </r>
  <r>
    <x v="6"/>
    <s v="conventional_refinance_wacls_420"/>
    <x v="460"/>
    <n v="1.83871648"/>
    <n v="1"/>
    <n v="-130"/>
    <n v="780"/>
  </r>
  <r>
    <x v="6"/>
    <s v="conventional_refinance_wacls_421"/>
    <x v="461"/>
    <n v="1.8417049881600001"/>
    <n v="1"/>
    <n v="-130"/>
    <n v="780"/>
  </r>
  <r>
    <x v="6"/>
    <s v="conventional_refinance_wacls_422"/>
    <x v="462"/>
    <n v="1.84469157888"/>
    <n v="1"/>
    <n v="-130"/>
    <n v="780"/>
  </r>
  <r>
    <x v="6"/>
    <s v="conventional_refinance_wacls_423"/>
    <x v="463"/>
    <n v="1.84767626752"/>
    <n v="1"/>
    <n v="-130"/>
    <n v="780"/>
  </r>
  <r>
    <x v="6"/>
    <s v="conventional_refinance_wacls_424"/>
    <x v="464"/>
    <n v="1.85065906944"/>
    <n v="1"/>
    <n v="-130"/>
    <n v="780"/>
  </r>
  <r>
    <x v="6"/>
    <s v="conventional_refinance_wacls_425"/>
    <x v="465"/>
    <n v="1.85364"/>
    <n v="1"/>
    <n v="-130"/>
    <n v="780"/>
  </r>
  <r>
    <x v="6"/>
    <s v="conventional_refinance_wacls_426"/>
    <x v="466"/>
    <n v="1.85661907456"/>
    <n v="1"/>
    <n v="-130"/>
    <n v="780"/>
  </r>
  <r>
    <x v="6"/>
    <s v="conventional_refinance_wacls_427"/>
    <x v="467"/>
    <n v="1.85959630848"/>
    <n v="1"/>
    <n v="-130"/>
    <n v="780"/>
  </r>
  <r>
    <x v="6"/>
    <s v="conventional_refinance_wacls_428"/>
    <x v="468"/>
    <n v="1.86257171712"/>
    <n v="1"/>
    <n v="-130"/>
    <n v="780"/>
  </r>
  <r>
    <x v="6"/>
    <s v="conventional_refinance_wacls_429"/>
    <x v="469"/>
    <n v="1.8655453158399999"/>
    <n v="1"/>
    <n v="-130"/>
    <n v="780"/>
  </r>
  <r>
    <x v="6"/>
    <s v="conventional_refinance_wacls_430"/>
    <x v="470"/>
    <n v="1.8685171199999999"/>
    <n v="1"/>
    <n v="-130"/>
    <n v="780"/>
  </r>
  <r>
    <x v="6"/>
    <s v="conventional_refinance_wacls_431"/>
    <x v="471"/>
    <n v="1.8714871449599999"/>
    <n v="1"/>
    <n v="-130"/>
    <n v="780"/>
  </r>
  <r>
    <x v="6"/>
    <s v="conventional_refinance_wacls_432"/>
    <x v="472"/>
    <n v="1.8744554060800001"/>
    <n v="1"/>
    <n v="-130"/>
    <n v="780"/>
  </r>
  <r>
    <x v="6"/>
    <s v="conventional_refinance_wacls_433"/>
    <x v="473"/>
    <n v="1.8774219187200001"/>
    <n v="1"/>
    <n v="-130"/>
    <n v="780"/>
  </r>
  <r>
    <x v="6"/>
    <s v="conventional_refinance_wacls_434"/>
    <x v="474"/>
    <n v="1.8803866982399999"/>
    <n v="1"/>
    <n v="-130"/>
    <n v="780"/>
  </r>
  <r>
    <x v="6"/>
    <s v="conventional_refinance_wacls_435"/>
    <x v="475"/>
    <n v="1.88334976"/>
    <n v="1"/>
    <n v="-130"/>
    <n v="780"/>
  </r>
  <r>
    <x v="6"/>
    <s v="conventional_refinance_wacls_436"/>
    <x v="476"/>
    <n v="1.88631111936"/>
    <n v="1"/>
    <n v="-130"/>
    <n v="780"/>
  </r>
  <r>
    <x v="6"/>
    <s v="conventional_refinance_wacls_437"/>
    <x v="477"/>
    <n v="1.88927079168"/>
    <n v="1"/>
    <n v="-130"/>
    <n v="780"/>
  </r>
  <r>
    <x v="6"/>
    <s v="conventional_refinance_wacls_438"/>
    <x v="478"/>
    <n v="1.8922287923200001"/>
    <n v="1"/>
    <n v="-130"/>
    <n v="780"/>
  </r>
  <r>
    <x v="6"/>
    <s v="conventional_refinance_wacls_439"/>
    <x v="479"/>
    <n v="1.8951851366400001"/>
    <n v="1"/>
    <n v="-130"/>
    <n v="780"/>
  </r>
  <r>
    <x v="6"/>
    <s v="conventional_refinance_wacls_440"/>
    <x v="480"/>
    <n v="1.89813984"/>
    <n v="1"/>
    <n v="-130"/>
    <n v="780"/>
  </r>
  <r>
    <x v="6"/>
    <s v="conventional_refinance_wacls_441"/>
    <x v="481"/>
    <n v="1.90109291776"/>
    <n v="1"/>
    <n v="-130"/>
    <n v="780"/>
  </r>
  <r>
    <x v="6"/>
    <s v="conventional_refinance_wacls_442"/>
    <x v="482"/>
    <n v="1.90404438528"/>
    <n v="1"/>
    <n v="-130"/>
    <n v="780"/>
  </r>
  <r>
    <x v="6"/>
    <s v="conventional_refinance_wacls_443"/>
    <x v="483"/>
    <n v="1.9069942579200001"/>
    <n v="1"/>
    <n v="-130"/>
    <n v="780"/>
  </r>
  <r>
    <x v="6"/>
    <s v="conventional_refinance_wacls_444"/>
    <x v="484"/>
    <n v="1.9099425510400001"/>
    <n v="1"/>
    <n v="-130"/>
    <n v="780"/>
  </r>
  <r>
    <x v="6"/>
    <s v="conventional_refinance_wacls_445"/>
    <x v="485"/>
    <n v="1.9128892799999999"/>
    <n v="1"/>
    <n v="-130"/>
    <n v="780"/>
  </r>
  <r>
    <x v="6"/>
    <s v="conventional_refinance_wacls_446"/>
    <x v="486"/>
    <n v="1.9158344601599999"/>
    <n v="1"/>
    <n v="-130"/>
    <n v="780"/>
  </r>
  <r>
    <x v="6"/>
    <s v="conventional_refinance_wacls_447"/>
    <x v="487"/>
    <n v="1.9187781068800001"/>
    <n v="1"/>
    <n v="-130"/>
    <n v="780"/>
  </r>
  <r>
    <x v="6"/>
    <s v="conventional_refinance_wacls_448"/>
    <x v="488"/>
    <n v="1.92172023552"/>
    <n v="1"/>
    <n v="-130"/>
    <n v="780"/>
  </r>
  <r>
    <x v="6"/>
    <s v="conventional_refinance_wacls_449"/>
    <x v="489"/>
    <n v="1.92466086144"/>
    <n v="1"/>
    <n v="-130"/>
    <n v="780"/>
  </r>
  <r>
    <x v="6"/>
    <s v="conventional_refinance_wacls_450"/>
    <x v="490"/>
    <n v="1.9276"/>
    <n v="1"/>
    <n v="-130"/>
    <n v="780"/>
  </r>
  <r>
    <x v="6"/>
    <s v="conventional_refinance_wacls_451"/>
    <x v="491"/>
    <n v="1.93053766656"/>
    <n v="1"/>
    <n v="-130"/>
    <n v="780"/>
  </r>
  <r>
    <x v="6"/>
    <s v="conventional_refinance_wacls_452"/>
    <x v="492"/>
    <n v="1.9334738764799999"/>
    <n v="1"/>
    <n v="-130"/>
    <n v="780"/>
  </r>
  <r>
    <x v="6"/>
    <s v="conventional_refinance_wacls_453"/>
    <x v="493"/>
    <n v="1.93640864512"/>
    <n v="1"/>
    <n v="-130"/>
    <n v="780"/>
  </r>
  <r>
    <x v="6"/>
    <s v="conventional_refinance_wacls_454"/>
    <x v="494"/>
    <n v="1.93934198784"/>
    <n v="1"/>
    <n v="-130"/>
    <n v="780"/>
  </r>
  <r>
    <x v="6"/>
    <s v="conventional_refinance_wacls_455"/>
    <x v="495"/>
    <n v="1.9422739200000001"/>
    <n v="1"/>
    <n v="-130"/>
    <n v="780"/>
  </r>
  <r>
    <x v="6"/>
    <s v="conventional_refinance_wacls_456"/>
    <x v="496"/>
    <n v="1.94520445696"/>
    <n v="1"/>
    <n v="-130"/>
    <n v="780"/>
  </r>
  <r>
    <x v="6"/>
    <s v="conventional_refinance_wacls_457"/>
    <x v="497"/>
    <n v="1.9481336140800001"/>
    <n v="1"/>
    <n v="-130"/>
    <n v="780"/>
  </r>
  <r>
    <x v="6"/>
    <s v="conventional_refinance_wacls_458"/>
    <x v="498"/>
    <n v="1.9510614067200001"/>
    <n v="1"/>
    <n v="-130"/>
    <n v="780"/>
  </r>
  <r>
    <x v="6"/>
    <s v="conventional_refinance_wacls_459"/>
    <x v="499"/>
    <n v="1.9539878502400001"/>
    <n v="1"/>
    <n v="-130"/>
    <n v="780"/>
  </r>
  <r>
    <x v="6"/>
    <s v="conventional_refinance_wacls_460"/>
    <x v="500"/>
    <n v="1.9569129599999999"/>
    <n v="1"/>
    <n v="-130"/>
    <n v="780"/>
  </r>
  <r>
    <x v="6"/>
    <s v="conventional_refinance_wacls_461"/>
    <x v="501"/>
    <n v="1.9598367513599999"/>
    <n v="1"/>
    <n v="-130"/>
    <n v="780"/>
  </r>
  <r>
    <x v="6"/>
    <s v="conventional_refinance_wacls_462"/>
    <x v="502"/>
    <n v="1.96275923968"/>
    <n v="1"/>
    <n v="-130"/>
    <n v="780"/>
  </r>
  <r>
    <x v="6"/>
    <s v="conventional_refinance_wacls_463"/>
    <x v="503"/>
    <n v="1.9656804403200001"/>
    <n v="1"/>
    <n v="-130"/>
    <n v="780"/>
  </r>
  <r>
    <x v="6"/>
    <s v="conventional_refinance_wacls_464"/>
    <x v="504"/>
    <n v="1.96860036864"/>
    <n v="1"/>
    <n v="-130"/>
    <n v="780"/>
  </r>
  <r>
    <x v="6"/>
    <s v="conventional_refinance_wacls_465"/>
    <x v="505"/>
    <n v="1.97151904"/>
    <n v="1"/>
    <n v="-130"/>
    <n v="780"/>
  </r>
  <r>
    <x v="6"/>
    <s v="conventional_refinance_wacls_466"/>
    <x v="506"/>
    <n v="1.9744364697600001"/>
    <n v="1"/>
    <n v="-130"/>
    <n v="780"/>
  </r>
  <r>
    <x v="6"/>
    <s v="conventional_refinance_wacls_467"/>
    <x v="507"/>
    <n v="1.97735267328"/>
    <n v="1"/>
    <n v="-130"/>
    <n v="780"/>
  </r>
  <r>
    <x v="6"/>
    <s v="conventional_refinance_wacls_468"/>
    <x v="508"/>
    <n v="1.98026766592"/>
    <n v="1"/>
    <n v="-130"/>
    <n v="780"/>
  </r>
  <r>
    <x v="6"/>
    <s v="conventional_refinance_wacls_469"/>
    <x v="509"/>
    <n v="1.98318146304"/>
    <n v="1"/>
    <n v="-130"/>
    <n v="780"/>
  </r>
  <r>
    <x v="6"/>
    <s v="conventional_refinance_wacls_470"/>
    <x v="510"/>
    <n v="1.98609408"/>
    <n v="1"/>
    <n v="-130"/>
    <n v="780"/>
  </r>
  <r>
    <x v="6"/>
    <s v="conventional_refinance_wacls_471"/>
    <x v="511"/>
    <n v="1.98900553216"/>
    <n v="1"/>
    <n v="-130"/>
    <n v="780"/>
  </r>
  <r>
    <x v="6"/>
    <s v="conventional_refinance_wacls_472"/>
    <x v="512"/>
    <n v="1.9919158348799999"/>
    <n v="1"/>
    <n v="-130"/>
    <n v="780"/>
  </r>
  <r>
    <x v="6"/>
    <s v="conventional_refinance_wacls_473"/>
    <x v="513"/>
    <n v="1.9948250035199999"/>
    <n v="1"/>
    <n v="-130"/>
    <n v="780"/>
  </r>
  <r>
    <x v="6"/>
    <s v="conventional_refinance_wacls_474"/>
    <x v="514"/>
    <n v="1.99773305344"/>
    <n v="1"/>
    <n v="-130"/>
    <n v="780"/>
  </r>
  <r>
    <x v="6"/>
    <s v="conventional_refinance_wacls_475"/>
    <x v="515"/>
    <n v="2.0006400000000002"/>
    <n v="1"/>
    <n v="-130"/>
    <n v="780"/>
  </r>
  <r>
    <x v="6"/>
    <s v="conventional_refinance_wacls_476"/>
    <x v="516"/>
    <n v="2.0035458585599999"/>
    <n v="1"/>
    <n v="-130"/>
    <n v="780"/>
  </r>
  <r>
    <x v="6"/>
    <s v="conventional_refinance_wacls_477"/>
    <x v="517"/>
    <n v="2.0064506444800001"/>
    <n v="1"/>
    <n v="-130"/>
    <n v="780"/>
  </r>
  <r>
    <x v="6"/>
    <s v="conventional_refinance_wacls_478"/>
    <x v="518"/>
    <n v="2.0093543731199999"/>
    <n v="1"/>
    <n v="-130"/>
    <n v="780"/>
  </r>
  <r>
    <x v="6"/>
    <s v="conventional_refinance_wacls_479"/>
    <x v="519"/>
    <n v="2.01225705984"/>
    <n v="1"/>
    <n v="-130"/>
    <n v="780"/>
  </r>
  <r>
    <x v="6"/>
    <s v="conventional_refinance_wacls_480"/>
    <x v="520"/>
    <n v="2.0151587200000001"/>
    <n v="1"/>
    <n v="-130"/>
    <n v="780"/>
  </r>
  <r>
    <x v="6"/>
    <s v="conventional_refinance_wacls_481"/>
    <x v="521"/>
    <n v="2.0180593689599999"/>
    <n v="1"/>
    <n v="-130"/>
    <n v="780"/>
  </r>
  <r>
    <x v="6"/>
    <s v="conventional_refinance_wacls_482"/>
    <x v="522"/>
    <n v="2.02095902208"/>
    <n v="1"/>
    <n v="-130"/>
    <n v="780"/>
  </r>
  <r>
    <x v="6"/>
    <s v="conventional_refinance_wacls_483"/>
    <x v="523"/>
    <n v="2.0238576947200002"/>
    <n v="1"/>
    <n v="-130"/>
    <n v="780"/>
  </r>
  <r>
    <x v="6"/>
    <s v="conventional_refinance_wacls_484"/>
    <x v="524"/>
    <n v="2.0267554022400001"/>
    <n v="1"/>
    <n v="-130"/>
    <n v="780"/>
  </r>
  <r>
    <x v="6"/>
    <s v="conventional_refinance_wacls_485"/>
    <x v="525"/>
    <n v="2.0296521599999999"/>
    <n v="1"/>
    <n v="-130"/>
    <n v="780"/>
  </r>
  <r>
    <x v="6"/>
    <s v="conventional_refinance_wacls_486"/>
    <x v="526"/>
    <n v="2.0325479833600002"/>
    <n v="1"/>
    <n v="-130"/>
    <n v="780"/>
  </r>
  <r>
    <x v="6"/>
    <s v="conventional_refinance_wacls_487"/>
    <x v="527"/>
    <n v="2.0354428876799999"/>
    <n v="1"/>
    <n v="-130"/>
    <n v="780"/>
  </r>
  <r>
    <x v="6"/>
    <s v="conventional_refinance_wacls_488"/>
    <x v="528"/>
    <n v="2.0383368883199999"/>
    <n v="1"/>
    <n v="-130"/>
    <n v="780"/>
  </r>
  <r>
    <x v="6"/>
    <s v="conventional_refinance_wacls_489"/>
    <x v="529"/>
    <n v="2.0412300006400002"/>
    <n v="1"/>
    <n v="-130"/>
    <n v="780"/>
  </r>
  <r>
    <x v="6"/>
    <s v="conventional_refinance_wacls_490"/>
    <x v="530"/>
    <n v="2.0441222400000001"/>
    <n v="1"/>
    <n v="-130"/>
    <n v="780"/>
  </r>
  <r>
    <x v="6"/>
    <s v="conventional_refinance_wacls_491"/>
    <x v="531"/>
    <n v="2.0470136217600001"/>
    <n v="1"/>
    <n v="-130"/>
    <n v="780"/>
  </r>
  <r>
    <x v="6"/>
    <s v="conventional_refinance_wacls_492"/>
    <x v="532"/>
    <n v="2.0499041612800002"/>
    <n v="1"/>
    <n v="-130"/>
    <n v="780"/>
  </r>
  <r>
    <x v="6"/>
    <s v="conventional_refinance_wacls_493"/>
    <x v="533"/>
    <n v="2.0527938739199998"/>
    <n v="1"/>
    <n v="-130"/>
    <n v="780"/>
  </r>
  <r>
    <x v="6"/>
    <s v="conventional_refinance_wacls_494"/>
    <x v="534"/>
    <n v="2.0556827750400002"/>
    <n v="1"/>
    <n v="-130"/>
    <n v="780"/>
  </r>
  <r>
    <x v="6"/>
    <s v="conventional_refinance_wacls_495"/>
    <x v="535"/>
    <n v="2.05857088"/>
    <n v="1"/>
    <n v="-130"/>
    <n v="780"/>
  </r>
  <r>
    <x v="6"/>
    <s v="conventional_refinance_wacls_496"/>
    <x v="536"/>
    <n v="2.06145820416"/>
    <n v="1"/>
    <n v="-130"/>
    <n v="780"/>
  </r>
  <r>
    <x v="6"/>
    <s v="conventional_refinance_wacls_497"/>
    <x v="537"/>
    <n v="2.0643447628799998"/>
    <n v="1"/>
    <n v="-130"/>
    <n v="780"/>
  </r>
  <r>
    <x v="6"/>
    <s v="conventional_refinance_wacls_498"/>
    <x v="538"/>
    <n v="2.0672305715200001"/>
    <n v="1"/>
    <n v="-130"/>
    <n v="780"/>
  </r>
  <r>
    <x v="6"/>
    <s v="conventional_refinance_wacls_499"/>
    <x v="539"/>
    <n v="2.07011564544"/>
    <n v="1"/>
    <n v="-130"/>
    <n v="780"/>
  </r>
  <r>
    <x v="6"/>
    <s v="conventional_refinance_wacls_500"/>
    <x v="540"/>
    <n v="2.073"/>
    <n v="1"/>
    <n v="-130"/>
    <n v="780"/>
  </r>
  <r>
    <x v="6"/>
    <s v="conventional_refinance_wacls_501"/>
    <x v="541"/>
    <n v="2.0759186104888898"/>
    <n v="1"/>
    <n v="-130"/>
    <n v="780"/>
  </r>
  <r>
    <x v="6"/>
    <s v="conventional_refinance_wacls_502"/>
    <x v="542"/>
    <n v="2.0789045105777801"/>
    <n v="1"/>
    <n v="-130"/>
    <n v="780"/>
  </r>
  <r>
    <x v="6"/>
    <s v="conventional_refinance_wacls_503"/>
    <x v="543"/>
    <n v="2.0819548031999999"/>
    <n v="1"/>
    <n v="-130"/>
    <n v="780"/>
  </r>
  <r>
    <x v="6"/>
    <s v="conventional_refinance_wacls_504"/>
    <x v="544"/>
    <n v="2.0850665912888902"/>
    <n v="1"/>
    <n v="-130"/>
    <n v="780"/>
  </r>
  <r>
    <x v="6"/>
    <s v="conventional_refinance_wacls_505"/>
    <x v="545"/>
    <n v="2.0882369777777798"/>
    <n v="1"/>
    <n v="-130"/>
    <n v="780"/>
  </r>
  <r>
    <x v="6"/>
    <s v="conventional_refinance_wacls_506"/>
    <x v="546"/>
    <n v="2.0914630656000002"/>
    <n v="1"/>
    <n v="-130"/>
    <n v="780"/>
  </r>
  <r>
    <x v="6"/>
    <s v="conventional_refinance_wacls_507"/>
    <x v="547"/>
    <n v="2.0947419576888899"/>
    <n v="1"/>
    <n v="-130"/>
    <n v="780"/>
  </r>
  <r>
    <x v="6"/>
    <s v="conventional_refinance_wacls_508"/>
    <x v="548"/>
    <n v="2.0980707569777799"/>
    <n v="1"/>
    <n v="-130"/>
    <n v="780"/>
  </r>
  <r>
    <x v="6"/>
    <s v="conventional_refinance_wacls_509"/>
    <x v="549"/>
    <n v="2.1014465663999999"/>
    <n v="1"/>
    <n v="-130"/>
    <n v="780"/>
  </r>
  <r>
    <x v="6"/>
    <s v="conventional_refinance_wacls_510"/>
    <x v="550"/>
    <n v="2.1048664888888902"/>
    <n v="1"/>
    <n v="-130"/>
    <n v="780"/>
  </r>
  <r>
    <x v="6"/>
    <s v="conventional_refinance_wacls_511"/>
    <x v="551"/>
    <n v="2.10832762737778"/>
    <n v="1"/>
    <n v="-130"/>
    <n v="780"/>
  </r>
  <r>
    <x v="6"/>
    <s v="conventional_refinance_wacls_512"/>
    <x v="552"/>
    <n v="2.1118270847999998"/>
    <n v="1"/>
    <n v="-130"/>
    <n v="780"/>
  </r>
  <r>
    <x v="6"/>
    <s v="conventional_refinance_wacls_513"/>
    <x v="553"/>
    <n v="2.1153619640888901"/>
    <n v="1"/>
    <n v="-130"/>
    <n v="780"/>
  </r>
  <r>
    <x v="6"/>
    <s v="conventional_refinance_wacls_514"/>
    <x v="554"/>
    <n v="2.1189293681777799"/>
    <n v="1"/>
    <n v="-130"/>
    <n v="780"/>
  </r>
  <r>
    <x v="6"/>
    <s v="conventional_refinance_wacls_515"/>
    <x v="555"/>
    <n v="2.1225263999999999"/>
    <n v="1"/>
    <n v="-130"/>
    <n v="780"/>
  </r>
  <r>
    <x v="6"/>
    <s v="conventional_refinance_wacls_516"/>
    <x v="556"/>
    <n v="2.1261501624888899"/>
    <n v="1"/>
    <n v="-130"/>
    <n v="780"/>
  </r>
  <r>
    <x v="6"/>
    <s v="conventional_refinance_wacls_517"/>
    <x v="557"/>
    <n v="2.1297977585777801"/>
    <n v="1"/>
    <n v="-130"/>
    <n v="780"/>
  </r>
  <r>
    <x v="6"/>
    <s v="conventional_refinance_wacls_518"/>
    <x v="558"/>
    <n v="2.1334662912"/>
    <n v="1"/>
    <n v="-130"/>
    <n v="780"/>
  </r>
  <r>
    <x v="6"/>
    <s v="conventional_refinance_wacls_519"/>
    <x v="559"/>
    <n v="2.1371528632888901"/>
    <n v="1"/>
    <n v="-130"/>
    <n v="780"/>
  </r>
  <r>
    <x v="6"/>
    <s v="conventional_refinance_wacls_520"/>
    <x v="560"/>
    <n v="2.1408545777777799"/>
    <n v="1"/>
    <n v="-130"/>
    <n v="780"/>
  </r>
  <r>
    <x v="6"/>
    <s v="conventional_refinance_wacls_521"/>
    <x v="561"/>
    <n v="2.1445685376000001"/>
    <n v="1"/>
    <n v="-130"/>
    <n v="780"/>
  </r>
  <r>
    <x v="6"/>
    <s v="conventional_refinance_wacls_522"/>
    <x v="562"/>
    <n v="2.14829184568889"/>
    <n v="1"/>
    <n v="-130"/>
    <n v="780"/>
  </r>
  <r>
    <x v="6"/>
    <s v="conventional_refinance_wacls_523"/>
    <x v="563"/>
    <n v="2.1520216049777798"/>
    <n v="1"/>
    <n v="-130"/>
    <n v="780"/>
  </r>
  <r>
    <x v="6"/>
    <s v="conventional_refinance_wacls_524"/>
    <x v="564"/>
    <n v="2.1557549184"/>
    <n v="1"/>
    <n v="-130"/>
    <n v="780"/>
  </r>
  <r>
    <x v="6"/>
    <s v="conventional_refinance_wacls_525"/>
    <x v="565"/>
    <n v="2.1594888888888901"/>
    <n v="1"/>
    <n v="-130"/>
    <n v="780"/>
  </r>
  <r>
    <x v="6"/>
    <s v="conventional_refinance_wacls_526"/>
    <x v="566"/>
    <n v="2.1632206193777801"/>
    <n v="1"/>
    <n v="-130"/>
    <n v="780"/>
  </r>
  <r>
    <x v="6"/>
    <s v="conventional_refinance_wacls_527"/>
    <x v="567"/>
    <n v="2.1669472127999998"/>
    <n v="1"/>
    <n v="-130"/>
    <n v="780"/>
  </r>
  <r>
    <x v="6"/>
    <s v="conventional_refinance_wacls_528"/>
    <x v="568"/>
    <n v="2.1706657720888902"/>
    <n v="1"/>
    <n v="-130"/>
    <n v="780"/>
  </r>
  <r>
    <x v="6"/>
    <s v="conventional_refinance_wacls_529"/>
    <x v="569"/>
    <n v="2.1743734001777799"/>
    <n v="1"/>
    <n v="-130"/>
    <n v="780"/>
  </r>
  <r>
    <x v="6"/>
    <s v="conventional_refinance_wacls_530"/>
    <x v="570"/>
    <n v="2.1780672000000001"/>
    <n v="1"/>
    <n v="-130"/>
    <n v="780"/>
  </r>
  <r>
    <x v="6"/>
    <s v="conventional_refinance_wacls_531"/>
    <x v="571"/>
    <n v="2.18174427448889"/>
    <n v="1"/>
    <n v="-130"/>
    <n v="780"/>
  </r>
  <r>
    <x v="6"/>
    <s v="conventional_refinance_wacls_532"/>
    <x v="572"/>
    <n v="2.1854017265777799"/>
    <n v="1"/>
    <n v="-130"/>
    <n v="780"/>
  </r>
  <r>
    <x v="6"/>
    <s v="conventional_refinance_wacls_533"/>
    <x v="573"/>
    <n v="2.1890366592000001"/>
    <n v="1"/>
    <n v="-130"/>
    <n v="780"/>
  </r>
  <r>
    <x v="6"/>
    <s v="conventional_refinance_wacls_534"/>
    <x v="574"/>
    <n v="2.1926461752888899"/>
    <n v="1"/>
    <n v="-130"/>
    <n v="780"/>
  </r>
  <r>
    <x v="6"/>
    <s v="conventional_refinance_wacls_535"/>
    <x v="575"/>
    <n v="2.1962273777777801"/>
    <n v="1"/>
    <n v="-130"/>
    <n v="780"/>
  </r>
  <r>
    <x v="6"/>
    <s v="conventional_refinance_wacls_536"/>
    <x v="576"/>
    <n v="2.1997773696"/>
    <n v="1"/>
    <n v="-130"/>
    <n v="780"/>
  </r>
  <r>
    <x v="6"/>
    <s v="conventional_refinance_wacls_537"/>
    <x v="577"/>
    <n v="2.2032932536888898"/>
    <n v="1"/>
    <n v="-130"/>
    <n v="780"/>
  </r>
  <r>
    <x v="6"/>
    <s v="conventional_refinance_wacls_538"/>
    <x v="578"/>
    <n v="2.2067721329777799"/>
    <n v="1"/>
    <n v="-130"/>
    <n v="780"/>
  </r>
  <r>
    <x v="6"/>
    <s v="conventional_refinance_wacls_539"/>
    <x v="579"/>
    <n v="2.2102111104"/>
    <n v="1"/>
    <n v="-130"/>
    <n v="780"/>
  </r>
  <r>
    <x v="6"/>
    <s v="conventional_refinance_wacls_540"/>
    <x v="580"/>
    <n v="2.2136072888888898"/>
    <n v="1"/>
    <n v="-130"/>
    <n v="780"/>
  </r>
  <r>
    <x v="6"/>
    <s v="conventional_refinance_wacls_541"/>
    <x v="581"/>
    <n v="2.2169577713777802"/>
    <n v="1"/>
    <n v="-130"/>
    <n v="780"/>
  </r>
  <r>
    <x v="6"/>
    <s v="conventional_refinance_wacls_542"/>
    <x v="582"/>
    <n v="2.2202596608"/>
    <n v="1"/>
    <n v="-130"/>
    <n v="780"/>
  </r>
  <r>
    <x v="6"/>
    <s v="conventional_refinance_wacls_543"/>
    <x v="583"/>
    <n v="2.22351006008889"/>
    <n v="1"/>
    <n v="-130"/>
    <n v="780"/>
  </r>
  <r>
    <x v="6"/>
    <s v="conventional_refinance_wacls_544"/>
    <x v="584"/>
    <n v="2.2267060721777798"/>
    <n v="1"/>
    <n v="-130"/>
    <n v="780"/>
  </r>
  <r>
    <x v="6"/>
    <s v="conventional_refinance_wacls_545"/>
    <x v="585"/>
    <n v="2.2298448"/>
    <n v="1"/>
    <n v="-130"/>
    <n v="780"/>
  </r>
  <r>
    <x v="6"/>
    <s v="conventional_refinance_wacls_546"/>
    <x v="586"/>
    <n v="2.23292334648889"/>
    <n v="1"/>
    <n v="-130"/>
    <n v="780"/>
  </r>
  <r>
    <x v="6"/>
    <s v="conventional_refinance_wacls_547"/>
    <x v="587"/>
    <n v="2.2359388145777799"/>
    <n v="1"/>
    <n v="-130"/>
    <n v="780"/>
  </r>
  <r>
    <x v="6"/>
    <s v="conventional_refinance_wacls_548"/>
    <x v="588"/>
    <n v="2.2388883071999999"/>
    <n v="1"/>
    <n v="-130"/>
    <n v="780"/>
  </r>
  <r>
    <x v="6"/>
    <s v="conventional_refinance_wacls_549"/>
    <x v="589"/>
    <n v="2.2417689272888901"/>
    <n v="1"/>
    <n v="-130"/>
    <n v="780"/>
  </r>
  <r>
    <x v="6"/>
    <s v="conventional_refinance_wacls_550"/>
    <x v="590"/>
    <n v="2.24457777777778"/>
    <n v="1"/>
    <n v="-130"/>
    <n v="780"/>
  </r>
  <r>
    <x v="6"/>
    <s v="conventional_refinance_wacls_551"/>
    <x v="591"/>
    <n v="2.2473119615999999"/>
    <n v="1"/>
    <n v="-130"/>
    <n v="780"/>
  </r>
  <r>
    <x v="6"/>
    <s v="conventional_refinance_wacls_552"/>
    <x v="592"/>
    <n v="2.2499685816888899"/>
    <n v="1"/>
    <n v="-130"/>
    <n v="780"/>
  </r>
  <r>
    <x v="6"/>
    <s v="conventional_refinance_wacls_553"/>
    <x v="593"/>
    <n v="2.2525447409777799"/>
    <n v="1"/>
    <n v="-130"/>
    <n v="780"/>
  </r>
  <r>
    <x v="6"/>
    <s v="conventional_refinance_wacls_554"/>
    <x v="594"/>
    <n v="2.2550375424000002"/>
    <n v="1"/>
    <n v="-130"/>
    <n v="780"/>
  </r>
  <r>
    <x v="6"/>
    <s v="conventional_refinance_wacls_555"/>
    <x v="595"/>
    <n v="2.25744408888889"/>
    <n v="1"/>
    <n v="-130"/>
    <n v="780"/>
  </r>
  <r>
    <x v="6"/>
    <s v="conventional_refinance_wacls_556"/>
    <x v="596"/>
    <n v="2.2597614833777802"/>
    <n v="1"/>
    <n v="-130"/>
    <n v="780"/>
  </r>
  <r>
    <x v="6"/>
    <s v="conventional_refinance_wacls_557"/>
    <x v="597"/>
    <n v="2.2619868288"/>
    <n v="1"/>
    <n v="-130"/>
    <n v="780"/>
  </r>
  <r>
    <x v="6"/>
    <s v="conventional_refinance_wacls_558"/>
    <x v="598"/>
    <n v="2.2641172280888902"/>
    <n v="1"/>
    <n v="-130"/>
    <n v="780"/>
  </r>
  <r>
    <x v="6"/>
    <s v="conventional_refinance_wacls_559"/>
    <x v="599"/>
    <n v="2.26614978417778"/>
    <n v="1"/>
    <n v="-130"/>
    <n v="780"/>
  </r>
  <r>
    <x v="6"/>
    <s v="conventional_refinance_wacls_560"/>
    <x v="600"/>
    <n v="2.2680815999999999"/>
    <n v="1"/>
    <n v="-130"/>
    <n v="780"/>
  </r>
  <r>
    <x v="6"/>
    <s v="conventional_refinance_wacls_561"/>
    <x v="601"/>
    <n v="2.26990977848889"/>
    <n v="1"/>
    <n v="-130"/>
    <n v="780"/>
  </r>
  <r>
    <x v="6"/>
    <s v="conventional_refinance_wacls_562"/>
    <x v="602"/>
    <n v="2.2716314225777801"/>
    <n v="1"/>
    <n v="-130"/>
    <n v="780"/>
  </r>
  <r>
    <x v="6"/>
    <s v="conventional_refinance_wacls_563"/>
    <x v="603"/>
    <n v="2.2732436352000001"/>
    <n v="1"/>
    <n v="-130"/>
    <n v="780"/>
  </r>
  <r>
    <x v="6"/>
    <s v="conventional_refinance_wacls_564"/>
    <x v="604"/>
    <n v="2.2747435192888901"/>
    <n v="1"/>
    <n v="-130"/>
    <n v="780"/>
  </r>
  <r>
    <x v="6"/>
    <s v="conventional_refinance_wacls_565"/>
    <x v="605"/>
    <n v="2.27612817777778"/>
    <n v="1"/>
    <n v="-130"/>
    <n v="780"/>
  </r>
  <r>
    <x v="6"/>
    <s v="conventional_refinance_wacls_566"/>
    <x v="606"/>
    <n v="2.2773947136000001"/>
    <n v="1"/>
    <n v="-130"/>
    <n v="780"/>
  </r>
  <r>
    <x v="6"/>
    <s v="conventional_refinance_wacls_567"/>
    <x v="607"/>
    <n v="2.2785402296888901"/>
    <n v="1"/>
    <n v="-130"/>
    <n v="780"/>
  </r>
  <r>
    <x v="6"/>
    <s v="conventional_refinance_wacls_568"/>
    <x v="608"/>
    <n v="2.2795618289777799"/>
    <n v="1"/>
    <n v="-130"/>
    <n v="780"/>
  </r>
  <r>
    <x v="6"/>
    <s v="conventional_refinance_wacls_569"/>
    <x v="609"/>
    <n v="2.2804566143999998"/>
    <n v="1"/>
    <n v="-130"/>
    <n v="780"/>
  </r>
  <r>
    <x v="6"/>
    <s v="conventional_refinance_wacls_570"/>
    <x v="610"/>
    <n v="2.2812216888888899"/>
    <n v="1"/>
    <n v="-130"/>
    <n v="780"/>
  </r>
  <r>
    <x v="6"/>
    <s v="conventional_refinance_wacls_571"/>
    <x v="611"/>
    <n v="2.28185415537778"/>
    <n v="1"/>
    <n v="-130"/>
    <n v="780"/>
  </r>
  <r>
    <x v="6"/>
    <s v="conventional_refinance_wacls_572"/>
    <x v="612"/>
    <n v="2.2823511168000001"/>
    <n v="1"/>
    <n v="-130"/>
    <n v="780"/>
  </r>
  <r>
    <x v="6"/>
    <s v="conventional_refinance_wacls_573"/>
    <x v="613"/>
    <n v="2.2827096760888899"/>
    <n v="1"/>
    <n v="-130"/>
    <n v="780"/>
  </r>
  <r>
    <x v="6"/>
    <s v="conventional_refinance_wacls_574"/>
    <x v="614"/>
    <n v="2.28292693617778"/>
    <n v="1"/>
    <n v="-130"/>
    <n v="780"/>
  </r>
  <r>
    <x v="6"/>
    <s v="conventional_refinance_wacls_575"/>
    <x v="615"/>
    <n v="2.2829999999999999"/>
    <n v="1"/>
    <n v="-130"/>
    <n v="780"/>
  </r>
  <r>
    <x v="6"/>
    <s v="conventional_refinance_wacls_576"/>
    <x v="616"/>
    <n v="2.2829999999999999"/>
    <n v="1"/>
    <n v="-130"/>
    <n v="780"/>
  </r>
  <r>
    <x v="6"/>
    <s v="conventional_refinance_wacls_577"/>
    <x v="617"/>
    <n v="2.2829999999999999"/>
    <n v="1"/>
    <n v="-130"/>
    <n v="780"/>
  </r>
  <r>
    <x v="6"/>
    <s v="conventional_refinance_wacls_578"/>
    <x v="618"/>
    <n v="2.2829999999999999"/>
    <n v="1"/>
    <n v="-130"/>
    <n v="780"/>
  </r>
  <r>
    <x v="6"/>
    <s v="conventional_refinance_wacls_579"/>
    <x v="619"/>
    <n v="2.2829999999999999"/>
    <n v="1"/>
    <n v="-130"/>
    <n v="780"/>
  </r>
  <r>
    <x v="6"/>
    <s v="conventional_refinance_wacls_580"/>
    <x v="620"/>
    <n v="2.2829999999999999"/>
    <n v="1"/>
    <n v="-130"/>
    <n v="780"/>
  </r>
  <r>
    <x v="6"/>
    <s v="conventional_refinance_wacls_581"/>
    <x v="621"/>
    <n v="2.2829999999999999"/>
    <n v="1"/>
    <n v="-130"/>
    <n v="780"/>
  </r>
  <r>
    <x v="6"/>
    <s v="conventional_refinance_wacls_582"/>
    <x v="622"/>
    <n v="2.2829999999999999"/>
    <n v="1"/>
    <n v="-130"/>
    <n v="780"/>
  </r>
  <r>
    <x v="6"/>
    <s v="conventional_refinance_wacls_583"/>
    <x v="623"/>
    <n v="2.2829999999999999"/>
    <n v="1"/>
    <n v="-130"/>
    <n v="780"/>
  </r>
  <r>
    <x v="6"/>
    <s v="conventional_refinance_wacls_584"/>
    <x v="624"/>
    <n v="2.2829999999999999"/>
    <n v="1"/>
    <n v="-130"/>
    <n v="780"/>
  </r>
  <r>
    <x v="6"/>
    <s v="conventional_refinance_wacls_585"/>
    <x v="625"/>
    <n v="2.2829999999999999"/>
    <n v="1"/>
    <n v="-130"/>
    <n v="780"/>
  </r>
  <r>
    <x v="6"/>
    <s v="conventional_refinance_wacls_586"/>
    <x v="626"/>
    <n v="2.2829999999999999"/>
    <n v="1"/>
    <n v="-130"/>
    <n v="780"/>
  </r>
  <r>
    <x v="6"/>
    <s v="conventional_refinance_wacls_587"/>
    <x v="627"/>
    <n v="2.2829999999999999"/>
    <n v="1"/>
    <n v="-130"/>
    <n v="780"/>
  </r>
  <r>
    <x v="6"/>
    <s v="conventional_refinance_wacls_588"/>
    <x v="628"/>
    <n v="2.2829999999999999"/>
    <n v="1"/>
    <n v="-130"/>
    <n v="780"/>
  </r>
  <r>
    <x v="6"/>
    <s v="conventional_refinance_wacls_589"/>
    <x v="629"/>
    <n v="2.2829999999999999"/>
    <n v="1"/>
    <n v="-130"/>
    <n v="780"/>
  </r>
  <r>
    <x v="6"/>
    <s v="conventional_refinance_wacls_590"/>
    <x v="630"/>
    <n v="2.2829999999999999"/>
    <n v="1"/>
    <n v="-130"/>
    <n v="780"/>
  </r>
  <r>
    <x v="6"/>
    <s v="conventional_refinance_wacls_591"/>
    <x v="631"/>
    <n v="2.2829999999999999"/>
    <n v="1"/>
    <n v="-130"/>
    <n v="780"/>
  </r>
  <r>
    <x v="6"/>
    <s v="conventional_refinance_wacls_592"/>
    <x v="632"/>
    <n v="2.2829999999999999"/>
    <n v="1"/>
    <n v="-130"/>
    <n v="780"/>
  </r>
  <r>
    <x v="6"/>
    <s v="conventional_refinance_wacls_593"/>
    <x v="633"/>
    <n v="2.2829999999999999"/>
    <n v="1"/>
    <n v="-130"/>
    <n v="780"/>
  </r>
  <r>
    <x v="6"/>
    <s v="conventional_refinance_wacls_594"/>
    <x v="634"/>
    <n v="2.2829999999999999"/>
    <n v="1"/>
    <n v="-130"/>
    <n v="780"/>
  </r>
  <r>
    <x v="6"/>
    <s v="conventional_refinance_wacls_595"/>
    <x v="635"/>
    <n v="2.2829999999999999"/>
    <n v="1"/>
    <n v="-130"/>
    <n v="780"/>
  </r>
  <r>
    <x v="6"/>
    <s v="conventional_refinance_wacls_596"/>
    <x v="636"/>
    <n v="2.2829999999999999"/>
    <n v="1"/>
    <n v="-130"/>
    <n v="780"/>
  </r>
  <r>
    <x v="6"/>
    <s v="conventional_refinance_wacls_597"/>
    <x v="637"/>
    <n v="2.2829999999999999"/>
    <n v="1"/>
    <n v="-130"/>
    <n v="780"/>
  </r>
  <r>
    <x v="6"/>
    <s v="conventional_refinance_wacls_598"/>
    <x v="638"/>
    <n v="2.2829999999999999"/>
    <n v="1"/>
    <n v="-130"/>
    <n v="780"/>
  </r>
  <r>
    <x v="6"/>
    <s v="conventional_refinance_wacls_599"/>
    <x v="639"/>
    <n v="2.2829999999999999"/>
    <n v="1"/>
    <n v="-130"/>
    <n v="780"/>
  </r>
  <r>
    <x v="6"/>
    <s v="conventional_refinance_wacls_600"/>
    <x v="640"/>
    <n v="2.2829999999999999"/>
    <n v="1"/>
    <n v="-130"/>
    <n v="780"/>
  </r>
  <r>
    <x v="6"/>
    <s v="conventional_refinance_wacls_601"/>
    <x v="641"/>
    <n v="2.2829999999999999"/>
    <n v="1"/>
    <n v="-130"/>
    <n v="780"/>
  </r>
  <r>
    <x v="6"/>
    <s v="conventional_refinance_wacls_602"/>
    <x v="642"/>
    <n v="2.2829999999999999"/>
    <n v="1"/>
    <n v="-130"/>
    <n v="780"/>
  </r>
  <r>
    <x v="6"/>
    <s v="conventional_refinance_wacls_603"/>
    <x v="643"/>
    <n v="2.2829999999999999"/>
    <n v="1"/>
    <n v="-130"/>
    <n v="780"/>
  </r>
  <r>
    <x v="6"/>
    <s v="conventional_refinance_wacls_604"/>
    <x v="644"/>
    <n v="2.2829999999999999"/>
    <n v="1"/>
    <n v="-130"/>
    <n v="780"/>
  </r>
  <r>
    <x v="6"/>
    <s v="conventional_refinance_wacls_605"/>
    <x v="645"/>
    <n v="2.2829999999999999"/>
    <n v="1"/>
    <n v="-130"/>
    <n v="780"/>
  </r>
  <r>
    <x v="6"/>
    <s v="conventional_refinance_wacls_606"/>
    <x v="646"/>
    <n v="2.2829999999999999"/>
    <n v="1"/>
    <n v="-130"/>
    <n v="780"/>
  </r>
  <r>
    <x v="6"/>
    <s v="conventional_refinance_wacls_607"/>
    <x v="647"/>
    <n v="2.2829999999999999"/>
    <n v="1"/>
    <n v="-130"/>
    <n v="780"/>
  </r>
  <r>
    <x v="6"/>
    <s v="conventional_refinance_wacls_608"/>
    <x v="648"/>
    <n v="2.2829999999999999"/>
    <n v="1"/>
    <n v="-130"/>
    <n v="780"/>
  </r>
  <r>
    <x v="6"/>
    <s v="conventional_refinance_wacls_609"/>
    <x v="649"/>
    <n v="2.2829999999999999"/>
    <n v="1"/>
    <n v="-130"/>
    <n v="780"/>
  </r>
  <r>
    <x v="6"/>
    <s v="conventional_refinance_wacls_610"/>
    <x v="650"/>
    <n v="2.2829999999999999"/>
    <n v="1"/>
    <n v="-130"/>
    <n v="780"/>
  </r>
  <r>
    <x v="6"/>
    <s v="conventional_refinance_wacls_611"/>
    <x v="651"/>
    <n v="2.2829999999999999"/>
    <n v="1"/>
    <n v="-130"/>
    <n v="780"/>
  </r>
  <r>
    <x v="6"/>
    <s v="conventional_refinance_wacls_612"/>
    <x v="652"/>
    <n v="2.2829999999999999"/>
    <n v="1"/>
    <n v="-130"/>
    <n v="780"/>
  </r>
  <r>
    <x v="6"/>
    <s v="conventional_refinance_wacls_613"/>
    <x v="653"/>
    <n v="2.2829999999999999"/>
    <n v="1"/>
    <n v="-130"/>
    <n v="780"/>
  </r>
  <r>
    <x v="6"/>
    <s v="conventional_refinance_wacls_614"/>
    <x v="654"/>
    <n v="2.2829999999999999"/>
    <n v="1"/>
    <n v="-130"/>
    <n v="780"/>
  </r>
  <r>
    <x v="6"/>
    <s v="conventional_refinance_wacls_615"/>
    <x v="655"/>
    <n v="2.2829999999999999"/>
    <n v="1"/>
    <n v="-130"/>
    <n v="780"/>
  </r>
  <r>
    <x v="6"/>
    <s v="conventional_refinance_wacls_616"/>
    <x v="656"/>
    <n v="2.2829999999999999"/>
    <n v="1"/>
    <n v="-130"/>
    <n v="780"/>
  </r>
  <r>
    <x v="6"/>
    <s v="conventional_refinance_wacls_617"/>
    <x v="657"/>
    <n v="2.2829999999999999"/>
    <n v="1"/>
    <n v="-130"/>
    <n v="780"/>
  </r>
  <r>
    <x v="6"/>
    <s v="conventional_refinance_wacls_618"/>
    <x v="658"/>
    <n v="2.2829999999999999"/>
    <n v="1"/>
    <n v="-130"/>
    <n v="780"/>
  </r>
  <r>
    <x v="6"/>
    <s v="conventional_refinance_wacls_619"/>
    <x v="659"/>
    <n v="2.2829999999999999"/>
    <n v="1"/>
    <n v="-130"/>
    <n v="780"/>
  </r>
  <r>
    <x v="6"/>
    <s v="conventional_refinance_wacls_620"/>
    <x v="660"/>
    <n v="2.2829999999999999"/>
    <n v="1"/>
    <n v="-130"/>
    <n v="780"/>
  </r>
  <r>
    <x v="6"/>
    <s v="conventional_refinance_wacls_621"/>
    <x v="661"/>
    <n v="2.2829999999999999"/>
    <n v="1"/>
    <n v="-130"/>
    <n v="780"/>
  </r>
  <r>
    <x v="6"/>
    <s v="conventional_refinance_wacls_622"/>
    <x v="662"/>
    <n v="2.2829999999999999"/>
    <n v="1"/>
    <n v="-130"/>
    <n v="780"/>
  </r>
  <r>
    <x v="6"/>
    <s v="conventional_refinance_wacls_623"/>
    <x v="663"/>
    <n v="2.2829999999999999"/>
    <n v="1"/>
    <n v="-130"/>
    <n v="780"/>
  </r>
  <r>
    <x v="6"/>
    <s v="conventional_refinance_wacls_624"/>
    <x v="664"/>
    <n v="2.2829999999999999"/>
    <n v="1"/>
    <n v="-130"/>
    <n v="780"/>
  </r>
  <r>
    <x v="6"/>
    <s v="conventional_refinance_wacls_625"/>
    <x v="665"/>
    <n v="2.2829999999999999"/>
    <n v="1"/>
    <n v="-130"/>
    <n v="780"/>
  </r>
  <r>
    <x v="6"/>
    <s v="conventional_refinance_wacls_626"/>
    <x v="666"/>
    <n v="2.2829999999999999"/>
    <n v="1"/>
    <n v="-130"/>
    <n v="780"/>
  </r>
  <r>
    <x v="6"/>
    <s v="conventional_refinance_wacls_627"/>
    <x v="667"/>
    <n v="2.2829999999999999"/>
    <n v="1"/>
    <n v="-130"/>
    <n v="780"/>
  </r>
  <r>
    <x v="6"/>
    <s v="conventional_refinance_wacls_628"/>
    <x v="668"/>
    <n v="2.2829999999999999"/>
    <n v="1"/>
    <n v="-130"/>
    <n v="780"/>
  </r>
  <r>
    <x v="6"/>
    <s v="conventional_refinance_wacls_629"/>
    <x v="669"/>
    <n v="2.2829999999999999"/>
    <n v="1"/>
    <n v="-130"/>
    <n v="780"/>
  </r>
  <r>
    <x v="6"/>
    <s v="conventional_refinance_wacls_630"/>
    <x v="670"/>
    <n v="2.2829999999999999"/>
    <n v="1"/>
    <n v="-130"/>
    <n v="780"/>
  </r>
  <r>
    <x v="6"/>
    <s v="conventional_refinance_wacls_631"/>
    <x v="671"/>
    <n v="2.2829999999999999"/>
    <n v="1"/>
    <n v="-130"/>
    <n v="780"/>
  </r>
  <r>
    <x v="6"/>
    <s v="conventional_refinance_wacls_632"/>
    <x v="672"/>
    <n v="2.2829999999999999"/>
    <n v="1"/>
    <n v="-130"/>
    <n v="780"/>
  </r>
  <r>
    <x v="6"/>
    <s v="conventional_refinance_wacls_633"/>
    <x v="673"/>
    <n v="2.2829999999999999"/>
    <n v="1"/>
    <n v="-130"/>
    <n v="780"/>
  </r>
  <r>
    <x v="6"/>
    <s v="conventional_refinance_wacls_634"/>
    <x v="674"/>
    <n v="2.2829999999999999"/>
    <n v="1"/>
    <n v="-130"/>
    <n v="780"/>
  </r>
  <r>
    <x v="6"/>
    <s v="conventional_refinance_wacls_635"/>
    <x v="675"/>
    <n v="2.2829999999999999"/>
    <n v="1"/>
    <n v="-130"/>
    <n v="780"/>
  </r>
  <r>
    <x v="6"/>
    <s v="conventional_refinance_wacls_636"/>
    <x v="676"/>
    <n v="2.2829999999999999"/>
    <n v="1"/>
    <n v="-130"/>
    <n v="780"/>
  </r>
  <r>
    <x v="6"/>
    <s v="conventional_refinance_wacls_637"/>
    <x v="677"/>
    <n v="2.2829999999999999"/>
    <n v="1"/>
    <n v="-130"/>
    <n v="780"/>
  </r>
  <r>
    <x v="6"/>
    <s v="conventional_refinance_wacls_638"/>
    <x v="678"/>
    <n v="2.2829999999999999"/>
    <n v="1"/>
    <n v="-130"/>
    <n v="780"/>
  </r>
  <r>
    <x v="6"/>
    <s v="conventional_refinance_wacls_639"/>
    <x v="679"/>
    <n v="2.2829999999999999"/>
    <n v="1"/>
    <n v="-130"/>
    <n v="780"/>
  </r>
  <r>
    <x v="6"/>
    <s v="conventional_refinance_wacls_640"/>
    <x v="680"/>
    <n v="2.2829999999999999"/>
    <n v="1"/>
    <n v="-130"/>
    <n v="780"/>
  </r>
  <r>
    <x v="6"/>
    <s v="conventional_refinance_wacls_641"/>
    <x v="681"/>
    <n v="2.2829999999999999"/>
    <n v="1"/>
    <n v="-130"/>
    <n v="780"/>
  </r>
  <r>
    <x v="6"/>
    <s v="conventional_refinance_wacls_642"/>
    <x v="682"/>
    <n v="2.2829999999999999"/>
    <n v="1"/>
    <n v="-130"/>
    <n v="780"/>
  </r>
  <r>
    <x v="6"/>
    <s v="conventional_refinance_wacls_643"/>
    <x v="683"/>
    <n v="2.2829999999999999"/>
    <n v="1"/>
    <n v="-130"/>
    <n v="780"/>
  </r>
  <r>
    <x v="6"/>
    <s v="conventional_refinance_wacls_644"/>
    <x v="684"/>
    <n v="2.2829999999999999"/>
    <n v="1"/>
    <n v="-130"/>
    <n v="780"/>
  </r>
  <r>
    <x v="6"/>
    <s v="conventional_refinance_wacls_645"/>
    <x v="685"/>
    <n v="2.2829999999999999"/>
    <n v="1"/>
    <n v="-130"/>
    <n v="780"/>
  </r>
  <r>
    <x v="6"/>
    <s v="conventional_refinance_wacls_646"/>
    <x v="686"/>
    <n v="2.2829999999999999"/>
    <n v="1"/>
    <n v="-130"/>
    <n v="780"/>
  </r>
  <r>
    <x v="6"/>
    <s v="conventional_refinance_wacls_647"/>
    <x v="687"/>
    <n v="2.2829999999999999"/>
    <n v="1"/>
    <n v="-130"/>
    <n v="780"/>
  </r>
  <r>
    <x v="6"/>
    <s v="conventional_refinance_wacls_648"/>
    <x v="688"/>
    <n v="2.2829999999999999"/>
    <n v="1"/>
    <n v="-130"/>
    <n v="780"/>
  </r>
  <r>
    <x v="6"/>
    <s v="conventional_refinance_wacls_649"/>
    <x v="689"/>
    <n v="2.2829999999999999"/>
    <n v="1"/>
    <n v="-130"/>
    <n v="780"/>
  </r>
  <r>
    <x v="6"/>
    <s v="conventional_refinance_wacls_650"/>
    <x v="690"/>
    <n v="2.2829999999999999"/>
    <n v="1"/>
    <n v="-130"/>
    <n v="780"/>
  </r>
  <r>
    <x v="6"/>
    <s v="conventional_refinance_wacls_651"/>
    <x v="691"/>
    <n v="2.2829999999999999"/>
    <n v="1"/>
    <n v="-130"/>
    <n v="780"/>
  </r>
  <r>
    <x v="6"/>
    <s v="conventional_refinance_wacls_652"/>
    <x v="692"/>
    <n v="2.2829999999999999"/>
    <n v="1"/>
    <n v="-130"/>
    <n v="780"/>
  </r>
  <r>
    <x v="6"/>
    <s v="conventional_refinance_wacls_653"/>
    <x v="693"/>
    <n v="2.2829999999999999"/>
    <n v="1"/>
    <n v="-130"/>
    <n v="780"/>
  </r>
  <r>
    <x v="6"/>
    <s v="conventional_refinance_wacls_654"/>
    <x v="694"/>
    <n v="2.2829999999999999"/>
    <n v="1"/>
    <n v="-130"/>
    <n v="780"/>
  </r>
  <r>
    <x v="6"/>
    <s v="conventional_refinance_wacls_655"/>
    <x v="695"/>
    <n v="2.2829999999999999"/>
    <n v="1"/>
    <n v="-130"/>
    <n v="780"/>
  </r>
  <r>
    <x v="6"/>
    <s v="conventional_refinance_wacls_656"/>
    <x v="696"/>
    <n v="2.2829999999999999"/>
    <n v="1"/>
    <n v="-130"/>
    <n v="780"/>
  </r>
  <r>
    <x v="6"/>
    <s v="conventional_refinance_wacls_657"/>
    <x v="697"/>
    <n v="2.2829999999999999"/>
    <n v="1"/>
    <n v="-130"/>
    <n v="780"/>
  </r>
  <r>
    <x v="6"/>
    <s v="conventional_refinance_wacls_658"/>
    <x v="698"/>
    <n v="2.2829999999999999"/>
    <n v="1"/>
    <n v="-130"/>
    <n v="780"/>
  </r>
  <r>
    <x v="6"/>
    <s v="conventional_refinance_wacls_659"/>
    <x v="699"/>
    <n v="2.2829999999999999"/>
    <n v="1"/>
    <n v="-130"/>
    <n v="780"/>
  </r>
  <r>
    <x v="6"/>
    <s v="conventional_refinance_wacls_660"/>
    <x v="700"/>
    <n v="2.2829999999999999"/>
    <n v="1"/>
    <n v="-130"/>
    <n v="780"/>
  </r>
  <r>
    <x v="6"/>
    <s v="conventional_refinance_wacls_661"/>
    <x v="701"/>
    <n v="2.2829999999999999"/>
    <n v="1"/>
    <n v="-130"/>
    <n v="780"/>
  </r>
  <r>
    <x v="6"/>
    <s v="conventional_refinance_wacls_662"/>
    <x v="702"/>
    <n v="2.2829999999999999"/>
    <n v="1"/>
    <n v="-130"/>
    <n v="780"/>
  </r>
  <r>
    <x v="6"/>
    <s v="conventional_refinance_wacls_663"/>
    <x v="703"/>
    <n v="2.2829999999999999"/>
    <n v="1"/>
    <n v="-130"/>
    <n v="780"/>
  </r>
  <r>
    <x v="6"/>
    <s v="conventional_refinance_wacls_664"/>
    <x v="704"/>
    <n v="2.2829999999999999"/>
    <n v="1"/>
    <n v="-130"/>
    <n v="780"/>
  </r>
  <r>
    <x v="6"/>
    <s v="conventional_refinance_wacls_665"/>
    <x v="705"/>
    <n v="2.2829999999999999"/>
    <n v="1"/>
    <n v="-130"/>
    <n v="780"/>
  </r>
  <r>
    <x v="6"/>
    <s v="conventional_refinance_wacls_666"/>
    <x v="706"/>
    <n v="2.2829999999999999"/>
    <n v="1"/>
    <n v="-130"/>
    <n v="780"/>
  </r>
  <r>
    <x v="6"/>
    <s v="conventional_refinance_wacls_667"/>
    <x v="707"/>
    <n v="2.2829999999999999"/>
    <n v="1"/>
    <n v="-130"/>
    <n v="780"/>
  </r>
  <r>
    <x v="6"/>
    <s v="conventional_refinance_wacls_668"/>
    <x v="708"/>
    <n v="2.2829999999999999"/>
    <n v="1"/>
    <n v="-130"/>
    <n v="780"/>
  </r>
  <r>
    <x v="6"/>
    <s v="conventional_refinance_wacls_669"/>
    <x v="709"/>
    <n v="2.2829999999999999"/>
    <n v="1"/>
    <n v="-130"/>
    <n v="780"/>
  </r>
  <r>
    <x v="6"/>
    <s v="conventional_refinance_wacls_670"/>
    <x v="710"/>
    <n v="2.2829999999999999"/>
    <n v="1"/>
    <n v="-130"/>
    <n v="780"/>
  </r>
  <r>
    <x v="6"/>
    <s v="conventional_refinance_wacls_671"/>
    <x v="711"/>
    <n v="2.2829999999999999"/>
    <n v="1"/>
    <n v="-130"/>
    <n v="780"/>
  </r>
  <r>
    <x v="6"/>
    <s v="conventional_refinance_wacls_672"/>
    <x v="712"/>
    <n v="2.2829999999999999"/>
    <n v="1"/>
    <n v="-130"/>
    <n v="780"/>
  </r>
  <r>
    <x v="6"/>
    <s v="conventional_refinance_wacls_673"/>
    <x v="713"/>
    <n v="2.2829999999999999"/>
    <n v="1"/>
    <n v="-130"/>
    <n v="780"/>
  </r>
  <r>
    <x v="6"/>
    <s v="conventional_refinance_wacls_674"/>
    <x v="714"/>
    <n v="2.2829999999999999"/>
    <n v="1"/>
    <n v="-130"/>
    <n v="780"/>
  </r>
  <r>
    <x v="6"/>
    <s v="conventional_refinance_wacls_675"/>
    <x v="715"/>
    <n v="2.2829999999999999"/>
    <n v="1"/>
    <n v="-130"/>
    <n v="780"/>
  </r>
  <r>
    <x v="6"/>
    <s v="conventional_refinance_wacls_676"/>
    <x v="716"/>
    <n v="2.2829999999999999"/>
    <n v="1"/>
    <n v="-130"/>
    <n v="780"/>
  </r>
  <r>
    <x v="6"/>
    <s v="conventional_refinance_wacls_677"/>
    <x v="717"/>
    <n v="2.2829999999999999"/>
    <n v="1"/>
    <n v="-130"/>
    <n v="780"/>
  </r>
  <r>
    <x v="6"/>
    <s v="conventional_refinance_wacls_678"/>
    <x v="718"/>
    <n v="2.2829999999999999"/>
    <n v="1"/>
    <n v="-130"/>
    <n v="780"/>
  </r>
  <r>
    <x v="6"/>
    <s v="conventional_refinance_wacls_679"/>
    <x v="719"/>
    <n v="2.2829999999999999"/>
    <n v="1"/>
    <n v="-130"/>
    <n v="780"/>
  </r>
  <r>
    <x v="6"/>
    <s v="conventional_refinance_wacls_680"/>
    <x v="720"/>
    <n v="2.2829999999999999"/>
    <n v="1"/>
    <n v="-130"/>
    <n v="780"/>
  </r>
  <r>
    <x v="6"/>
    <s v="conventional_refinance_wacls_681"/>
    <x v="721"/>
    <n v="2.2829999999999999"/>
    <n v="1"/>
    <n v="-130"/>
    <n v="780"/>
  </r>
  <r>
    <x v="6"/>
    <s v="conventional_refinance_wacls_682"/>
    <x v="722"/>
    <n v="2.2829999999999999"/>
    <n v="1"/>
    <n v="-130"/>
    <n v="780"/>
  </r>
  <r>
    <x v="6"/>
    <s v="conventional_refinance_wacls_683"/>
    <x v="723"/>
    <n v="2.2829999999999999"/>
    <n v="1"/>
    <n v="-130"/>
    <n v="780"/>
  </r>
  <r>
    <x v="6"/>
    <s v="conventional_refinance_wacls_684"/>
    <x v="724"/>
    <n v="2.2829999999999999"/>
    <n v="1"/>
    <n v="-130"/>
    <n v="780"/>
  </r>
  <r>
    <x v="6"/>
    <s v="conventional_refinance_wacls_685"/>
    <x v="725"/>
    <n v="2.2829999999999999"/>
    <n v="1"/>
    <n v="-130"/>
    <n v="780"/>
  </r>
  <r>
    <x v="6"/>
    <s v="conventional_refinance_wacls_686"/>
    <x v="726"/>
    <n v="2.2829999999999999"/>
    <n v="1"/>
    <n v="-130"/>
    <n v="780"/>
  </r>
  <r>
    <x v="6"/>
    <s v="conventional_refinance_wacls_687"/>
    <x v="727"/>
    <n v="2.2829999999999999"/>
    <n v="1"/>
    <n v="-130"/>
    <n v="780"/>
  </r>
  <r>
    <x v="6"/>
    <s v="conventional_refinance_wacls_688"/>
    <x v="728"/>
    <n v="2.2829999999999999"/>
    <n v="1"/>
    <n v="-130"/>
    <n v="780"/>
  </r>
  <r>
    <x v="6"/>
    <s v="conventional_refinance_wacls_689"/>
    <x v="729"/>
    <n v="2.2829999999999999"/>
    <n v="1"/>
    <n v="-130"/>
    <n v="780"/>
  </r>
  <r>
    <x v="6"/>
    <s v="conventional_refinance_wacls_690"/>
    <x v="730"/>
    <n v="2.2829999999999999"/>
    <n v="1"/>
    <n v="-130"/>
    <n v="780"/>
  </r>
  <r>
    <x v="6"/>
    <s v="conventional_refinance_wacls_691"/>
    <x v="731"/>
    <n v="2.2829999999999999"/>
    <n v="1"/>
    <n v="-130"/>
    <n v="780"/>
  </r>
  <r>
    <x v="6"/>
    <s v="conventional_refinance_wacls_692"/>
    <x v="732"/>
    <n v="2.2829999999999999"/>
    <n v="1"/>
    <n v="-130"/>
    <n v="780"/>
  </r>
  <r>
    <x v="6"/>
    <s v="conventional_refinance_wacls_693"/>
    <x v="733"/>
    <n v="2.2829999999999999"/>
    <n v="1"/>
    <n v="-130"/>
    <n v="780"/>
  </r>
  <r>
    <x v="6"/>
    <s v="conventional_refinance_wacls_694"/>
    <x v="734"/>
    <n v="2.2829999999999999"/>
    <n v="1"/>
    <n v="-130"/>
    <n v="780"/>
  </r>
  <r>
    <x v="6"/>
    <s v="conventional_refinance_wacls_695"/>
    <x v="735"/>
    <n v="2.2829999999999999"/>
    <n v="1"/>
    <n v="-130"/>
    <n v="780"/>
  </r>
  <r>
    <x v="6"/>
    <s v="conventional_refinance_wacls_696"/>
    <x v="736"/>
    <n v="2.2829999999999999"/>
    <n v="1"/>
    <n v="-130"/>
    <n v="780"/>
  </r>
  <r>
    <x v="6"/>
    <s v="conventional_refinance_wacls_697"/>
    <x v="737"/>
    <n v="2.2829999999999999"/>
    <n v="1"/>
    <n v="-130"/>
    <n v="780"/>
  </r>
  <r>
    <x v="6"/>
    <s v="conventional_refinance_wacls_698"/>
    <x v="738"/>
    <n v="2.2829999999999999"/>
    <n v="1"/>
    <n v="-130"/>
    <n v="780"/>
  </r>
  <r>
    <x v="6"/>
    <s v="conventional_refinance_wacls_699"/>
    <x v="739"/>
    <n v="2.2829999999999999"/>
    <n v="1"/>
    <n v="-130"/>
    <n v="780"/>
  </r>
  <r>
    <x v="6"/>
    <s v="conventional_refinance_wacls_700"/>
    <x v="740"/>
    <n v="2.2829999999999999"/>
    <n v="1"/>
    <n v="-130"/>
    <n v="780"/>
  </r>
  <r>
    <x v="6"/>
    <s v="conventional_refinance_wacls_701"/>
    <x v="741"/>
    <n v="2.2829999999999999"/>
    <n v="1"/>
    <n v="-130"/>
    <n v="780"/>
  </r>
  <r>
    <x v="6"/>
    <s v="conventional_refinance_wacls_702"/>
    <x v="742"/>
    <n v="2.2829999999999999"/>
    <n v="1"/>
    <n v="-130"/>
    <n v="780"/>
  </r>
  <r>
    <x v="6"/>
    <s v="conventional_refinance_wacls_703"/>
    <x v="743"/>
    <n v="2.2829999999999999"/>
    <n v="1"/>
    <n v="-130"/>
    <n v="780"/>
  </r>
  <r>
    <x v="6"/>
    <s v="conventional_refinance_wacls_704"/>
    <x v="744"/>
    <n v="2.2829999999999999"/>
    <n v="1"/>
    <n v="-130"/>
    <n v="780"/>
  </r>
  <r>
    <x v="6"/>
    <s v="conventional_refinance_wacls_705"/>
    <x v="745"/>
    <n v="2.2829999999999999"/>
    <n v="1"/>
    <n v="-130"/>
    <n v="780"/>
  </r>
  <r>
    <x v="6"/>
    <s v="conventional_refinance_wacls_706"/>
    <x v="746"/>
    <n v="2.2829999999999999"/>
    <n v="1"/>
    <n v="-130"/>
    <n v="780"/>
  </r>
  <r>
    <x v="6"/>
    <s v="conventional_refinance_wacls_707"/>
    <x v="747"/>
    <n v="2.2829999999999999"/>
    <n v="1"/>
    <n v="-130"/>
    <n v="780"/>
  </r>
  <r>
    <x v="6"/>
    <s v="conventional_refinance_wacls_708"/>
    <x v="748"/>
    <n v="2.2829999999999999"/>
    <n v="1"/>
    <n v="-130"/>
    <n v="780"/>
  </r>
  <r>
    <x v="6"/>
    <s v="conventional_refinance_wacls_709"/>
    <x v="749"/>
    <n v="2.2829999999999999"/>
    <n v="1"/>
    <n v="-130"/>
    <n v="780"/>
  </r>
  <r>
    <x v="6"/>
    <s v="conventional_refinance_wacls_710"/>
    <x v="750"/>
    <n v="2.2829999999999999"/>
    <n v="1"/>
    <n v="-130"/>
    <n v="780"/>
  </r>
  <r>
    <x v="6"/>
    <s v="conventional_refinance_wacls_711"/>
    <x v="751"/>
    <n v="2.2829999999999999"/>
    <n v="1"/>
    <n v="-130"/>
    <n v="780"/>
  </r>
  <r>
    <x v="6"/>
    <s v="conventional_refinance_wacls_712"/>
    <x v="752"/>
    <n v="2.2829999999999999"/>
    <n v="1"/>
    <n v="-130"/>
    <n v="780"/>
  </r>
  <r>
    <x v="6"/>
    <s v="conventional_refinance_wacls_713"/>
    <x v="753"/>
    <n v="2.2829999999999999"/>
    <n v="1"/>
    <n v="-130"/>
    <n v="780"/>
  </r>
  <r>
    <x v="6"/>
    <s v="conventional_refinance_wacls_714"/>
    <x v="754"/>
    <n v="2.2829999999999999"/>
    <n v="1"/>
    <n v="-130"/>
    <n v="780"/>
  </r>
  <r>
    <x v="6"/>
    <s v="conventional_refinance_wacls_715"/>
    <x v="755"/>
    <n v="2.2829999999999999"/>
    <n v="1"/>
    <n v="-130"/>
    <n v="780"/>
  </r>
  <r>
    <x v="6"/>
    <s v="conventional_refinance_wacls_716"/>
    <x v="756"/>
    <n v="2.2829999999999999"/>
    <n v="1"/>
    <n v="-130"/>
    <n v="780"/>
  </r>
  <r>
    <x v="6"/>
    <s v="conventional_refinance_wacls_717"/>
    <x v="757"/>
    <n v="2.2829999999999999"/>
    <n v="1"/>
    <n v="-130"/>
    <n v="780"/>
  </r>
  <r>
    <x v="6"/>
    <s v="conventional_refinance_wacls_718"/>
    <x v="758"/>
    <n v="2.2829999999999999"/>
    <n v="1"/>
    <n v="-130"/>
    <n v="780"/>
  </r>
  <r>
    <x v="6"/>
    <s v="conventional_refinance_wacls_719"/>
    <x v="759"/>
    <n v="2.2829999999999999"/>
    <n v="1"/>
    <n v="-130"/>
    <n v="780"/>
  </r>
  <r>
    <x v="6"/>
    <s v="conventional_refinance_wacls_720"/>
    <x v="760"/>
    <n v="2.2829999999999999"/>
    <n v="1"/>
    <n v="-130"/>
    <n v="780"/>
  </r>
  <r>
    <x v="6"/>
    <s v="conventional_refinance_wacls_721"/>
    <x v="761"/>
    <n v="2.2829999999999999"/>
    <n v="1"/>
    <n v="-130"/>
    <n v="780"/>
  </r>
  <r>
    <x v="6"/>
    <s v="conventional_refinance_wacls_722"/>
    <x v="762"/>
    <n v="2.2829999999999999"/>
    <n v="1"/>
    <n v="-130"/>
    <n v="780"/>
  </r>
  <r>
    <x v="6"/>
    <s v="conventional_refinance_wacls_723"/>
    <x v="763"/>
    <n v="2.2829999999999999"/>
    <n v="1"/>
    <n v="-130"/>
    <n v="780"/>
  </r>
  <r>
    <x v="6"/>
    <s v="conventional_refinance_wacls_724"/>
    <x v="764"/>
    <n v="2.2829999999999999"/>
    <n v="1"/>
    <n v="-130"/>
    <n v="780"/>
  </r>
  <r>
    <x v="6"/>
    <s v="conventional_refinance_wacls_725"/>
    <x v="765"/>
    <n v="2.2829999999999999"/>
    <n v="1"/>
    <n v="-130"/>
    <n v="780"/>
  </r>
  <r>
    <x v="6"/>
    <s v="conventional_refinance_wacls_726"/>
    <x v="766"/>
    <n v="2.2829999999999999"/>
    <n v="1"/>
    <n v="-130"/>
    <n v="780"/>
  </r>
  <r>
    <x v="6"/>
    <s v="conventional_refinance_wacls_727"/>
    <x v="767"/>
    <n v="2.2829999999999999"/>
    <n v="1"/>
    <n v="-130"/>
    <n v="780"/>
  </r>
  <r>
    <x v="6"/>
    <s v="conventional_refinance_wacls_728"/>
    <x v="768"/>
    <n v="2.2829999999999999"/>
    <n v="1"/>
    <n v="-130"/>
    <n v="780"/>
  </r>
  <r>
    <x v="6"/>
    <s v="conventional_refinance_wacls_729"/>
    <x v="769"/>
    <n v="2.2829999999999999"/>
    <n v="1"/>
    <n v="-130"/>
    <n v="780"/>
  </r>
  <r>
    <x v="6"/>
    <s v="conventional_refinance_wacls_730"/>
    <x v="770"/>
    <n v="2.2829999999999999"/>
    <n v="1"/>
    <n v="-130"/>
    <n v="780"/>
  </r>
  <r>
    <x v="6"/>
    <s v="conventional_refinance_wacls_731"/>
    <x v="771"/>
    <n v="2.2829999999999999"/>
    <n v="1"/>
    <n v="-130"/>
    <n v="780"/>
  </r>
  <r>
    <x v="6"/>
    <s v="conventional_refinance_wacls_732"/>
    <x v="772"/>
    <n v="2.2829999999999999"/>
    <n v="1"/>
    <n v="-130"/>
    <n v="780"/>
  </r>
  <r>
    <x v="6"/>
    <s v="conventional_refinance_wacls_733"/>
    <x v="773"/>
    <n v="2.2829999999999999"/>
    <n v="1"/>
    <n v="-130"/>
    <n v="780"/>
  </r>
  <r>
    <x v="6"/>
    <s v="conventional_refinance_wacls_734"/>
    <x v="774"/>
    <n v="2.2829999999999999"/>
    <n v="1"/>
    <n v="-130"/>
    <n v="780"/>
  </r>
  <r>
    <x v="6"/>
    <s v="conventional_refinance_wacls_735"/>
    <x v="775"/>
    <n v="2.2829999999999999"/>
    <n v="1"/>
    <n v="-130"/>
    <n v="780"/>
  </r>
  <r>
    <x v="6"/>
    <s v="conventional_refinance_wacls_736"/>
    <x v="776"/>
    <n v="2.2829999999999999"/>
    <n v="1"/>
    <n v="-130"/>
    <n v="780"/>
  </r>
  <r>
    <x v="6"/>
    <s v="conventional_refinance_wacls_737"/>
    <x v="777"/>
    <n v="2.2829999999999999"/>
    <n v="1"/>
    <n v="-130"/>
    <n v="780"/>
  </r>
  <r>
    <x v="6"/>
    <s v="conventional_refinance_wacls_738"/>
    <x v="778"/>
    <n v="2.2829999999999999"/>
    <n v="1"/>
    <n v="-130"/>
    <n v="780"/>
  </r>
  <r>
    <x v="6"/>
    <s v="conventional_refinance_wacls_739"/>
    <x v="779"/>
    <n v="2.2829999999999999"/>
    <n v="1"/>
    <n v="-130"/>
    <n v="780"/>
  </r>
  <r>
    <x v="6"/>
    <s v="conventional_refinance_wacls_740"/>
    <x v="780"/>
    <n v="2.2829999999999999"/>
    <n v="1"/>
    <n v="-130"/>
    <n v="780"/>
  </r>
  <r>
    <x v="6"/>
    <s v="conventional_refinance_wacls_741"/>
    <x v="781"/>
    <n v="2.2829999999999999"/>
    <n v="1"/>
    <n v="-130"/>
    <n v="780"/>
  </r>
  <r>
    <x v="6"/>
    <s v="conventional_refinance_wacls_742"/>
    <x v="782"/>
    <n v="2.2829999999999999"/>
    <n v="1"/>
    <n v="-130"/>
    <n v="780"/>
  </r>
  <r>
    <x v="6"/>
    <s v="conventional_refinance_wacls_743"/>
    <x v="783"/>
    <n v="2.2829999999999999"/>
    <n v="1"/>
    <n v="-130"/>
    <n v="780"/>
  </r>
  <r>
    <x v="6"/>
    <s v="conventional_refinance_wacls_744"/>
    <x v="784"/>
    <n v="2.2829999999999999"/>
    <n v="1"/>
    <n v="-130"/>
    <n v="780"/>
  </r>
  <r>
    <x v="6"/>
    <s v="conventional_refinance_wacls_745"/>
    <x v="785"/>
    <n v="2.2829999999999999"/>
    <n v="1"/>
    <n v="-130"/>
    <n v="780"/>
  </r>
  <r>
    <x v="6"/>
    <s v="conventional_refinance_wacls_746"/>
    <x v="786"/>
    <n v="2.2829999999999999"/>
    <n v="1"/>
    <n v="-130"/>
    <n v="780"/>
  </r>
  <r>
    <x v="6"/>
    <s v="conventional_refinance_wacls_747"/>
    <x v="787"/>
    <n v="2.2829999999999999"/>
    <n v="1"/>
    <n v="-130"/>
    <n v="780"/>
  </r>
  <r>
    <x v="6"/>
    <s v="conventional_refinance_wacls_748"/>
    <x v="788"/>
    <n v="2.2829999999999999"/>
    <n v="1"/>
    <n v="-130"/>
    <n v="780"/>
  </r>
  <r>
    <x v="6"/>
    <s v="conventional_refinance_wacls_749"/>
    <x v="789"/>
    <n v="2.2829999999999999"/>
    <n v="1"/>
    <n v="-130"/>
    <n v="780"/>
  </r>
  <r>
    <x v="6"/>
    <s v="conventional_refinance_wacls_750"/>
    <x v="790"/>
    <n v="2.2829999999999999"/>
    <n v="1"/>
    <n v="-130"/>
    <n v="780"/>
  </r>
  <r>
    <x v="6"/>
    <s v="conventional_refinance_wacls_751"/>
    <x v="791"/>
    <n v="2.2829999999999999"/>
    <n v="1"/>
    <n v="-130"/>
    <n v="780"/>
  </r>
  <r>
    <x v="6"/>
    <s v="conventional_refinance_wacls_752"/>
    <x v="792"/>
    <n v="2.2829999999999999"/>
    <n v="1"/>
    <n v="-130"/>
    <n v="780"/>
  </r>
  <r>
    <x v="6"/>
    <s v="conventional_refinance_wacls_753"/>
    <x v="793"/>
    <n v="2.2829999999999999"/>
    <n v="1"/>
    <n v="-130"/>
    <n v="780"/>
  </r>
  <r>
    <x v="6"/>
    <s v="conventional_refinance_wacls_754"/>
    <x v="794"/>
    <n v="2.2829999999999999"/>
    <n v="1"/>
    <n v="-130"/>
    <n v="780"/>
  </r>
  <r>
    <x v="6"/>
    <s v="conventional_refinance_wacls_755"/>
    <x v="795"/>
    <n v="2.2829999999999999"/>
    <n v="1"/>
    <n v="-130"/>
    <n v="780"/>
  </r>
  <r>
    <x v="6"/>
    <s v="conventional_refinance_wacls_756"/>
    <x v="796"/>
    <n v="2.2829999999999999"/>
    <n v="1"/>
    <n v="-130"/>
    <n v="780"/>
  </r>
  <r>
    <x v="6"/>
    <s v="conventional_refinance_wacls_757"/>
    <x v="797"/>
    <n v="2.2829999999999999"/>
    <n v="1"/>
    <n v="-130"/>
    <n v="780"/>
  </r>
  <r>
    <x v="6"/>
    <s v="conventional_refinance_wacls_758"/>
    <x v="798"/>
    <n v="2.2829999999999999"/>
    <n v="1"/>
    <n v="-130"/>
    <n v="780"/>
  </r>
  <r>
    <x v="6"/>
    <s v="conventional_refinance_wacls_759"/>
    <x v="799"/>
    <n v="2.2829999999999999"/>
    <n v="1"/>
    <n v="-130"/>
    <n v="780"/>
  </r>
  <r>
    <x v="6"/>
    <s v="conventional_refinance_wacls_760"/>
    <x v="800"/>
    <n v="2.2829999999999999"/>
    <n v="1"/>
    <n v="-130"/>
    <n v="780"/>
  </r>
  <r>
    <x v="6"/>
    <s v="conventional_refinance_wacls_761"/>
    <x v="801"/>
    <n v="2.2829999999999999"/>
    <n v="1"/>
    <n v="-130"/>
    <n v="780"/>
  </r>
  <r>
    <x v="6"/>
    <s v="conventional_refinance_wacls_762"/>
    <x v="802"/>
    <n v="2.2829999999999999"/>
    <n v="1"/>
    <n v="-130"/>
    <n v="780"/>
  </r>
  <r>
    <x v="6"/>
    <s v="conventional_refinance_wacls_763"/>
    <x v="803"/>
    <n v="2.2829999999999999"/>
    <n v="1"/>
    <n v="-130"/>
    <n v="780"/>
  </r>
  <r>
    <x v="6"/>
    <s v="conventional_refinance_wacls_764"/>
    <x v="804"/>
    <n v="2.2829999999999999"/>
    <n v="1"/>
    <n v="-130"/>
    <n v="780"/>
  </r>
  <r>
    <x v="6"/>
    <s v="conventional_refinance_wacls_765"/>
    <x v="805"/>
    <n v="2.2829999999999999"/>
    <n v="1"/>
    <n v="-130"/>
    <n v="780"/>
  </r>
  <r>
    <x v="6"/>
    <s v="conventional_refinance_wacls_766"/>
    <x v="806"/>
    <n v="2.2829999999999999"/>
    <n v="1"/>
    <n v="-130"/>
    <n v="780"/>
  </r>
  <r>
    <x v="6"/>
    <s v="conventional_refinance_wacls_767"/>
    <x v="807"/>
    <n v="2.2829999999999999"/>
    <n v="1"/>
    <n v="-130"/>
    <n v="780"/>
  </r>
  <r>
    <x v="6"/>
    <s v="conventional_refinance_wacls_768"/>
    <x v="808"/>
    <n v="2.2829999999999999"/>
    <n v="1"/>
    <n v="-130"/>
    <n v="780"/>
  </r>
  <r>
    <x v="6"/>
    <s v="conventional_refinance_wacls_769"/>
    <x v="809"/>
    <n v="2.2829999999999999"/>
    <n v="1"/>
    <n v="-130"/>
    <n v="780"/>
  </r>
  <r>
    <x v="6"/>
    <s v="conventional_refinance_wacls_770"/>
    <x v="810"/>
    <n v="2.2829999999999999"/>
    <n v="1"/>
    <n v="-130"/>
    <n v="780"/>
  </r>
  <r>
    <x v="6"/>
    <s v="conventional_refinance_wacls_771"/>
    <x v="811"/>
    <n v="2.2829999999999999"/>
    <n v="1"/>
    <n v="-130"/>
    <n v="780"/>
  </r>
  <r>
    <x v="6"/>
    <s v="conventional_refinance_wacls_772"/>
    <x v="812"/>
    <n v="2.2829999999999999"/>
    <n v="1"/>
    <n v="-130"/>
    <n v="780"/>
  </r>
  <r>
    <x v="6"/>
    <s v="conventional_refinance_wacls_773"/>
    <x v="813"/>
    <n v="2.2829999999999999"/>
    <n v="1"/>
    <n v="-130"/>
    <n v="780"/>
  </r>
  <r>
    <x v="6"/>
    <s v="conventional_refinance_wacls_774"/>
    <x v="814"/>
    <n v="2.2829999999999999"/>
    <n v="1"/>
    <n v="-130"/>
    <n v="780"/>
  </r>
  <r>
    <x v="6"/>
    <s v="conventional_refinance_wacls_775"/>
    <x v="815"/>
    <n v="2.2829999999999999"/>
    <n v="1"/>
    <n v="-130"/>
    <n v="780"/>
  </r>
  <r>
    <x v="6"/>
    <s v="conventional_refinance_wacls_776"/>
    <x v="816"/>
    <n v="2.2829999999999999"/>
    <n v="1"/>
    <n v="-130"/>
    <n v="780"/>
  </r>
  <r>
    <x v="6"/>
    <s v="conventional_refinance_wacls_777"/>
    <x v="817"/>
    <n v="2.2829999999999999"/>
    <n v="1"/>
    <n v="-130"/>
    <n v="780"/>
  </r>
  <r>
    <x v="6"/>
    <s v="conventional_refinance_wacls_778"/>
    <x v="818"/>
    <n v="2.2829999999999999"/>
    <n v="1"/>
    <n v="-130"/>
    <n v="780"/>
  </r>
  <r>
    <x v="6"/>
    <s v="conventional_refinance_wacls_779"/>
    <x v="819"/>
    <n v="2.2829999999999999"/>
    <n v="1"/>
    <n v="-130"/>
    <n v="780"/>
  </r>
  <r>
    <x v="6"/>
    <s v="conventional_refinance_wacls_780"/>
    <x v="820"/>
    <n v="2.2829999999999999"/>
    <n v="1"/>
    <n v="-130"/>
    <n v="780"/>
  </r>
  <r>
    <x v="7"/>
    <s v="conventional_refinance_fico_564"/>
    <x v="604"/>
    <n v="0.66500000000000004"/>
    <n v="1"/>
    <n v="564"/>
    <n v="816"/>
  </r>
  <r>
    <x v="7"/>
    <s v="conventional_refinance_fico_565"/>
    <x v="605"/>
    <n v="0.66500000000000004"/>
    <n v="1"/>
    <n v="564"/>
    <n v="816"/>
  </r>
  <r>
    <x v="7"/>
    <s v="conventional_refinance_fico_566"/>
    <x v="606"/>
    <n v="0.66500000000000004"/>
    <n v="1"/>
    <n v="564"/>
    <n v="816"/>
  </r>
  <r>
    <x v="7"/>
    <s v="conventional_refinance_fico_567"/>
    <x v="607"/>
    <n v="0.66500000000000004"/>
    <n v="1"/>
    <n v="564"/>
    <n v="816"/>
  </r>
  <r>
    <x v="7"/>
    <s v="conventional_refinance_fico_568"/>
    <x v="608"/>
    <n v="0.66500000000000004"/>
    <n v="1"/>
    <n v="564"/>
    <n v="816"/>
  </r>
  <r>
    <x v="7"/>
    <s v="conventional_refinance_fico_569"/>
    <x v="609"/>
    <n v="0.66500000000000004"/>
    <n v="1"/>
    <n v="564"/>
    <n v="816"/>
  </r>
  <r>
    <x v="7"/>
    <s v="conventional_refinance_fico_570"/>
    <x v="610"/>
    <n v="0.66500000000000004"/>
    <n v="1"/>
    <n v="564"/>
    <n v="816"/>
  </r>
  <r>
    <x v="7"/>
    <s v="conventional_refinance_fico_571"/>
    <x v="611"/>
    <n v="0.66500000000000004"/>
    <n v="1"/>
    <n v="564"/>
    <n v="816"/>
  </r>
  <r>
    <x v="7"/>
    <s v="conventional_refinance_fico_572"/>
    <x v="612"/>
    <n v="0.66500000000000004"/>
    <n v="1"/>
    <n v="564"/>
    <n v="816"/>
  </r>
  <r>
    <x v="7"/>
    <s v="conventional_refinance_fico_573"/>
    <x v="613"/>
    <n v="0.66500000000000004"/>
    <n v="1"/>
    <n v="564"/>
    <n v="816"/>
  </r>
  <r>
    <x v="7"/>
    <s v="conventional_refinance_fico_574"/>
    <x v="614"/>
    <n v="0.66500000000000004"/>
    <n v="1"/>
    <n v="564"/>
    <n v="816"/>
  </r>
  <r>
    <x v="7"/>
    <s v="conventional_refinance_fico_575"/>
    <x v="615"/>
    <n v="0.66500000000000004"/>
    <n v="1"/>
    <n v="564"/>
    <n v="816"/>
  </r>
  <r>
    <x v="7"/>
    <s v="conventional_refinance_fico_576"/>
    <x v="616"/>
    <n v="0.66500000000000004"/>
    <n v="1"/>
    <n v="564"/>
    <n v="816"/>
  </r>
  <r>
    <x v="7"/>
    <s v="conventional_refinance_fico_577"/>
    <x v="617"/>
    <n v="0.66500000000000004"/>
    <n v="1"/>
    <n v="564"/>
    <n v="816"/>
  </r>
  <r>
    <x v="7"/>
    <s v="conventional_refinance_fico_578"/>
    <x v="618"/>
    <n v="0.66500000000000004"/>
    <n v="1"/>
    <n v="564"/>
    <n v="816"/>
  </r>
  <r>
    <x v="7"/>
    <s v="conventional_refinance_fico_579"/>
    <x v="619"/>
    <n v="0.66500000000000004"/>
    <n v="1"/>
    <n v="564"/>
    <n v="816"/>
  </r>
  <r>
    <x v="7"/>
    <s v="conventional_refinance_fico_580"/>
    <x v="620"/>
    <n v="0.66500000000000004"/>
    <n v="1"/>
    <n v="564"/>
    <n v="816"/>
  </r>
  <r>
    <x v="7"/>
    <s v="conventional_refinance_fico_581"/>
    <x v="621"/>
    <n v="0.66500000000000004"/>
    <n v="1"/>
    <n v="564"/>
    <n v="816"/>
  </r>
  <r>
    <x v="7"/>
    <s v="conventional_refinance_fico_582"/>
    <x v="622"/>
    <n v="0.66500000000000004"/>
    <n v="1"/>
    <n v="564"/>
    <n v="816"/>
  </r>
  <r>
    <x v="7"/>
    <s v="conventional_refinance_fico_583"/>
    <x v="623"/>
    <n v="0.66500000000000004"/>
    <n v="1"/>
    <n v="564"/>
    <n v="816"/>
  </r>
  <r>
    <x v="7"/>
    <s v="conventional_refinance_fico_584"/>
    <x v="624"/>
    <n v="0.66500000000000004"/>
    <n v="1"/>
    <n v="564"/>
    <n v="816"/>
  </r>
  <r>
    <x v="7"/>
    <s v="conventional_refinance_fico_585"/>
    <x v="625"/>
    <n v="0.66500000000000004"/>
    <n v="1"/>
    <n v="564"/>
    <n v="816"/>
  </r>
  <r>
    <x v="7"/>
    <s v="conventional_refinance_fico_586"/>
    <x v="626"/>
    <n v="0.66500000000000004"/>
    <n v="1"/>
    <n v="564"/>
    <n v="816"/>
  </r>
  <r>
    <x v="7"/>
    <s v="conventional_refinance_fico_587"/>
    <x v="627"/>
    <n v="0.66500000000000004"/>
    <n v="1"/>
    <n v="564"/>
    <n v="816"/>
  </r>
  <r>
    <x v="7"/>
    <s v="conventional_refinance_fico_588"/>
    <x v="628"/>
    <n v="0.66500000000000004"/>
    <n v="1"/>
    <n v="564"/>
    <n v="816"/>
  </r>
  <r>
    <x v="7"/>
    <s v="conventional_refinance_fico_589"/>
    <x v="629"/>
    <n v="0.66500000000000004"/>
    <n v="1"/>
    <n v="564"/>
    <n v="816"/>
  </r>
  <r>
    <x v="7"/>
    <s v="conventional_refinance_fico_590"/>
    <x v="630"/>
    <n v="0.66500000000000004"/>
    <n v="1"/>
    <n v="564"/>
    <n v="816"/>
  </r>
  <r>
    <x v="7"/>
    <s v="conventional_refinance_fico_591"/>
    <x v="631"/>
    <n v="0.66500000000000004"/>
    <n v="1"/>
    <n v="564"/>
    <n v="816"/>
  </r>
  <r>
    <x v="7"/>
    <s v="conventional_refinance_fico_592"/>
    <x v="632"/>
    <n v="0.66500000000000004"/>
    <n v="1"/>
    <n v="564"/>
    <n v="816"/>
  </r>
  <r>
    <x v="7"/>
    <s v="conventional_refinance_fico_593"/>
    <x v="633"/>
    <n v="0.66500000000000004"/>
    <n v="1"/>
    <n v="564"/>
    <n v="816"/>
  </r>
  <r>
    <x v="7"/>
    <s v="conventional_refinance_fico_594"/>
    <x v="634"/>
    <n v="0.66500000000000004"/>
    <n v="1"/>
    <n v="564"/>
    <n v="816"/>
  </r>
  <r>
    <x v="7"/>
    <s v="conventional_refinance_fico_595"/>
    <x v="635"/>
    <n v="0.66500000000000004"/>
    <n v="1"/>
    <n v="564"/>
    <n v="816"/>
  </r>
  <r>
    <x v="7"/>
    <s v="conventional_refinance_fico_596"/>
    <x v="636"/>
    <n v="0.66500000000000004"/>
    <n v="1"/>
    <n v="564"/>
    <n v="816"/>
  </r>
  <r>
    <x v="7"/>
    <s v="conventional_refinance_fico_597"/>
    <x v="637"/>
    <n v="0.66500000000000004"/>
    <n v="1"/>
    <n v="564"/>
    <n v="816"/>
  </r>
  <r>
    <x v="7"/>
    <s v="conventional_refinance_fico_598"/>
    <x v="638"/>
    <n v="0.66500000000000004"/>
    <n v="1"/>
    <n v="564"/>
    <n v="816"/>
  </r>
  <r>
    <x v="7"/>
    <s v="conventional_refinance_fico_599"/>
    <x v="639"/>
    <n v="0.66500000000000004"/>
    <n v="1"/>
    <n v="564"/>
    <n v="816"/>
  </r>
  <r>
    <x v="7"/>
    <s v="conventional_refinance_fico_600"/>
    <x v="640"/>
    <n v="0.66500000000000004"/>
    <n v="1"/>
    <n v="564"/>
    <n v="816"/>
  </r>
  <r>
    <x v="7"/>
    <s v="conventional_refinance_fico_601"/>
    <x v="641"/>
    <n v="0.66500000000000004"/>
    <n v="1"/>
    <n v="564"/>
    <n v="816"/>
  </r>
  <r>
    <x v="7"/>
    <s v="conventional_refinance_fico_602"/>
    <x v="642"/>
    <n v="0.66500000000000004"/>
    <n v="1"/>
    <n v="564"/>
    <n v="816"/>
  </r>
  <r>
    <x v="7"/>
    <s v="conventional_refinance_fico_603"/>
    <x v="643"/>
    <n v="0.66500000000000004"/>
    <n v="1"/>
    <n v="564"/>
    <n v="816"/>
  </r>
  <r>
    <x v="7"/>
    <s v="conventional_refinance_fico_604"/>
    <x v="644"/>
    <n v="0.66500000000000004"/>
    <n v="1"/>
    <n v="564"/>
    <n v="816"/>
  </r>
  <r>
    <x v="7"/>
    <s v="conventional_refinance_fico_605"/>
    <x v="645"/>
    <n v="0.66500000000000004"/>
    <n v="1"/>
    <n v="564"/>
    <n v="816"/>
  </r>
  <r>
    <x v="7"/>
    <s v="conventional_refinance_fico_606"/>
    <x v="646"/>
    <n v="0.66500000000000004"/>
    <n v="1"/>
    <n v="564"/>
    <n v="816"/>
  </r>
  <r>
    <x v="7"/>
    <s v="conventional_refinance_fico_607"/>
    <x v="647"/>
    <n v="0.66500000000000004"/>
    <n v="1"/>
    <n v="564"/>
    <n v="816"/>
  </r>
  <r>
    <x v="7"/>
    <s v="conventional_refinance_fico_608"/>
    <x v="648"/>
    <n v="0.66500000000000004"/>
    <n v="1"/>
    <n v="564"/>
    <n v="816"/>
  </r>
  <r>
    <x v="7"/>
    <s v="conventional_refinance_fico_609"/>
    <x v="649"/>
    <n v="0.66500000000000004"/>
    <n v="1"/>
    <n v="564"/>
    <n v="816"/>
  </r>
  <r>
    <x v="7"/>
    <s v="conventional_refinance_fico_610"/>
    <x v="650"/>
    <n v="0.66500000000000004"/>
    <n v="1"/>
    <n v="564"/>
    <n v="816"/>
  </r>
  <r>
    <x v="7"/>
    <s v="conventional_refinance_fico_611"/>
    <x v="651"/>
    <n v="0.66500000000000004"/>
    <n v="1"/>
    <n v="564"/>
    <n v="816"/>
  </r>
  <r>
    <x v="7"/>
    <s v="conventional_refinance_fico_612"/>
    <x v="652"/>
    <n v="0.66500000000000004"/>
    <n v="1"/>
    <n v="564"/>
    <n v="816"/>
  </r>
  <r>
    <x v="7"/>
    <s v="conventional_refinance_fico_613"/>
    <x v="653"/>
    <n v="0.66500000000000004"/>
    <n v="1"/>
    <n v="564"/>
    <n v="816"/>
  </r>
  <r>
    <x v="7"/>
    <s v="conventional_refinance_fico_614"/>
    <x v="654"/>
    <n v="0.66500000000000004"/>
    <n v="1"/>
    <n v="564"/>
    <n v="816"/>
  </r>
  <r>
    <x v="7"/>
    <s v="conventional_refinance_fico_615"/>
    <x v="655"/>
    <n v="0.66500000000000004"/>
    <n v="1"/>
    <n v="564"/>
    <n v="816"/>
  </r>
  <r>
    <x v="7"/>
    <s v="conventional_refinance_fico_616"/>
    <x v="656"/>
    <n v="0.66500000000000004"/>
    <n v="1"/>
    <n v="564"/>
    <n v="816"/>
  </r>
  <r>
    <x v="7"/>
    <s v="conventional_refinance_fico_617"/>
    <x v="657"/>
    <n v="0.66500000000000004"/>
    <n v="1"/>
    <n v="564"/>
    <n v="816"/>
  </r>
  <r>
    <x v="7"/>
    <s v="conventional_refinance_fico_618"/>
    <x v="658"/>
    <n v="0.66500000000000004"/>
    <n v="1"/>
    <n v="564"/>
    <n v="816"/>
  </r>
  <r>
    <x v="7"/>
    <s v="conventional_refinance_fico_619"/>
    <x v="659"/>
    <n v="0.66500000000000004"/>
    <n v="1"/>
    <n v="564"/>
    <n v="816"/>
  </r>
  <r>
    <x v="7"/>
    <s v="conventional_refinance_fico_620"/>
    <x v="660"/>
    <n v="0.66500000000000004"/>
    <n v="1"/>
    <n v="564"/>
    <n v="816"/>
  </r>
  <r>
    <x v="7"/>
    <s v="conventional_refinance_fico_621"/>
    <x v="661"/>
    <n v="0.66500000000000004"/>
    <n v="1"/>
    <n v="564"/>
    <n v="816"/>
  </r>
  <r>
    <x v="7"/>
    <s v="conventional_refinance_fico_622"/>
    <x v="662"/>
    <n v="0.66500000000000004"/>
    <n v="1"/>
    <n v="564"/>
    <n v="816"/>
  </r>
  <r>
    <x v="7"/>
    <s v="conventional_refinance_fico_623"/>
    <x v="663"/>
    <n v="0.66500000000000004"/>
    <n v="1"/>
    <n v="564"/>
    <n v="816"/>
  </r>
  <r>
    <x v="7"/>
    <s v="conventional_refinance_fico_624"/>
    <x v="664"/>
    <n v="0.66500000000000004"/>
    <n v="1"/>
    <n v="564"/>
    <n v="816"/>
  </r>
  <r>
    <x v="7"/>
    <s v="conventional_refinance_fico_625"/>
    <x v="665"/>
    <n v="0.66500000000000004"/>
    <n v="1"/>
    <n v="564"/>
    <n v="816"/>
  </r>
  <r>
    <x v="7"/>
    <s v="conventional_refinance_fico_626"/>
    <x v="666"/>
    <n v="0.66500000000000004"/>
    <n v="1"/>
    <n v="564"/>
    <n v="816"/>
  </r>
  <r>
    <x v="7"/>
    <s v="conventional_refinance_fico_627"/>
    <x v="667"/>
    <n v="0.66500000000000004"/>
    <n v="1"/>
    <n v="564"/>
    <n v="816"/>
  </r>
  <r>
    <x v="7"/>
    <s v="conventional_refinance_fico_628"/>
    <x v="668"/>
    <n v="0.66500000000000004"/>
    <n v="1"/>
    <n v="564"/>
    <n v="816"/>
  </r>
  <r>
    <x v="7"/>
    <s v="conventional_refinance_fico_629"/>
    <x v="669"/>
    <n v="0.66500000000000004"/>
    <n v="1"/>
    <n v="564"/>
    <n v="816"/>
  </r>
  <r>
    <x v="7"/>
    <s v="conventional_refinance_fico_630"/>
    <x v="670"/>
    <n v="0.66500000000000004"/>
    <n v="1"/>
    <n v="564"/>
    <n v="816"/>
  </r>
  <r>
    <x v="7"/>
    <s v="conventional_refinance_fico_631"/>
    <x v="671"/>
    <n v="0.66500000000000004"/>
    <n v="1"/>
    <n v="564"/>
    <n v="816"/>
  </r>
  <r>
    <x v="7"/>
    <s v="conventional_refinance_fico_632"/>
    <x v="672"/>
    <n v="0.66500000000000004"/>
    <n v="1"/>
    <n v="564"/>
    <n v="816"/>
  </r>
  <r>
    <x v="7"/>
    <s v="conventional_refinance_fico_633"/>
    <x v="673"/>
    <n v="0.66500000000000004"/>
    <n v="1"/>
    <n v="564"/>
    <n v="816"/>
  </r>
  <r>
    <x v="7"/>
    <s v="conventional_refinance_fico_634"/>
    <x v="674"/>
    <n v="0.66500000000000004"/>
    <n v="1"/>
    <n v="564"/>
    <n v="816"/>
  </r>
  <r>
    <x v="7"/>
    <s v="conventional_refinance_fico_635"/>
    <x v="675"/>
    <n v="0.66500000000000004"/>
    <n v="1"/>
    <n v="564"/>
    <n v="816"/>
  </r>
  <r>
    <x v="7"/>
    <s v="conventional_refinance_fico_636"/>
    <x v="676"/>
    <n v="0.66500000000000004"/>
    <n v="1"/>
    <n v="564"/>
    <n v="816"/>
  </r>
  <r>
    <x v="7"/>
    <s v="conventional_refinance_fico_637"/>
    <x v="677"/>
    <n v="0.66500000000000004"/>
    <n v="1"/>
    <n v="564"/>
    <n v="816"/>
  </r>
  <r>
    <x v="7"/>
    <s v="conventional_refinance_fico_638"/>
    <x v="678"/>
    <n v="0.66500000000000004"/>
    <n v="1"/>
    <n v="564"/>
    <n v="816"/>
  </r>
  <r>
    <x v="7"/>
    <s v="conventional_refinance_fico_639"/>
    <x v="679"/>
    <n v="0.66500000000000004"/>
    <n v="1"/>
    <n v="564"/>
    <n v="816"/>
  </r>
  <r>
    <x v="7"/>
    <s v="conventional_refinance_fico_640"/>
    <x v="680"/>
    <n v="0.66500000000000004"/>
    <n v="1"/>
    <n v="564"/>
    <n v="816"/>
  </r>
  <r>
    <x v="7"/>
    <s v="conventional_refinance_fico_641"/>
    <x v="681"/>
    <n v="0.66500000000000004"/>
    <n v="1"/>
    <n v="564"/>
    <n v="816"/>
  </r>
  <r>
    <x v="7"/>
    <s v="conventional_refinance_fico_642"/>
    <x v="682"/>
    <n v="0.66500000000000004"/>
    <n v="1"/>
    <n v="564"/>
    <n v="816"/>
  </r>
  <r>
    <x v="7"/>
    <s v="conventional_refinance_fico_643"/>
    <x v="683"/>
    <n v="0.66500000000000004"/>
    <n v="1"/>
    <n v="564"/>
    <n v="816"/>
  </r>
  <r>
    <x v="7"/>
    <s v="conventional_refinance_fico_644"/>
    <x v="684"/>
    <n v="0.66500000000000004"/>
    <n v="1"/>
    <n v="564"/>
    <n v="816"/>
  </r>
  <r>
    <x v="7"/>
    <s v="conventional_refinance_fico_645"/>
    <x v="685"/>
    <n v="0.66500000000000004"/>
    <n v="1"/>
    <n v="564"/>
    <n v="816"/>
  </r>
  <r>
    <x v="7"/>
    <s v="conventional_refinance_fico_646"/>
    <x v="686"/>
    <n v="0.66500000000000004"/>
    <n v="1"/>
    <n v="564"/>
    <n v="816"/>
  </r>
  <r>
    <x v="7"/>
    <s v="conventional_refinance_fico_647"/>
    <x v="687"/>
    <n v="0.66500000000000004"/>
    <n v="1"/>
    <n v="564"/>
    <n v="816"/>
  </r>
  <r>
    <x v="7"/>
    <s v="conventional_refinance_fico_648"/>
    <x v="688"/>
    <n v="0.66500000000000004"/>
    <n v="1"/>
    <n v="564"/>
    <n v="816"/>
  </r>
  <r>
    <x v="7"/>
    <s v="conventional_refinance_fico_649"/>
    <x v="689"/>
    <n v="0.66500000000000004"/>
    <n v="1"/>
    <n v="564"/>
    <n v="816"/>
  </r>
  <r>
    <x v="7"/>
    <s v="conventional_refinance_fico_650"/>
    <x v="690"/>
    <n v="0.66500000000000004"/>
    <n v="1"/>
    <n v="564"/>
    <n v="816"/>
  </r>
  <r>
    <x v="7"/>
    <s v="conventional_refinance_fico_651"/>
    <x v="691"/>
    <n v="0.66500000000000004"/>
    <n v="1"/>
    <n v="564"/>
    <n v="816"/>
  </r>
  <r>
    <x v="7"/>
    <s v="conventional_refinance_fico_652"/>
    <x v="692"/>
    <n v="0.66500000000000004"/>
    <n v="1"/>
    <n v="564"/>
    <n v="816"/>
  </r>
  <r>
    <x v="7"/>
    <s v="conventional_refinance_fico_653"/>
    <x v="693"/>
    <n v="0.66500000000000004"/>
    <n v="1"/>
    <n v="564"/>
    <n v="816"/>
  </r>
  <r>
    <x v="7"/>
    <s v="conventional_refinance_fico_654"/>
    <x v="694"/>
    <n v="0.66500000000000004"/>
    <n v="1"/>
    <n v="564"/>
    <n v="816"/>
  </r>
  <r>
    <x v="7"/>
    <s v="conventional_refinance_fico_655"/>
    <x v="695"/>
    <n v="0.66500000000000004"/>
    <n v="1"/>
    <n v="564"/>
    <n v="816"/>
  </r>
  <r>
    <x v="7"/>
    <s v="conventional_refinance_fico_656"/>
    <x v="696"/>
    <n v="0.66500000000000004"/>
    <n v="1"/>
    <n v="564"/>
    <n v="816"/>
  </r>
  <r>
    <x v="7"/>
    <s v="conventional_refinance_fico_657"/>
    <x v="697"/>
    <n v="0.66500000000000004"/>
    <n v="1"/>
    <n v="564"/>
    <n v="816"/>
  </r>
  <r>
    <x v="7"/>
    <s v="conventional_refinance_fico_658"/>
    <x v="698"/>
    <n v="0.66500000000000004"/>
    <n v="1"/>
    <n v="564"/>
    <n v="816"/>
  </r>
  <r>
    <x v="7"/>
    <s v="conventional_refinance_fico_659"/>
    <x v="699"/>
    <n v="0.66500000000000004"/>
    <n v="1"/>
    <n v="564"/>
    <n v="816"/>
  </r>
  <r>
    <x v="7"/>
    <s v="conventional_refinance_fico_660"/>
    <x v="700"/>
    <n v="0.66500000000000004"/>
    <n v="1"/>
    <n v="564"/>
    <n v="816"/>
  </r>
  <r>
    <x v="7"/>
    <s v="conventional_refinance_fico_661"/>
    <x v="701"/>
    <n v="0.66500000000000004"/>
    <n v="1"/>
    <n v="564"/>
    <n v="816"/>
  </r>
  <r>
    <x v="7"/>
    <s v="conventional_refinance_fico_662"/>
    <x v="702"/>
    <n v="0.66500000000000004"/>
    <n v="1"/>
    <n v="564"/>
    <n v="816"/>
  </r>
  <r>
    <x v="7"/>
    <s v="conventional_refinance_fico_663"/>
    <x v="703"/>
    <n v="0.66500000000000004"/>
    <n v="1"/>
    <n v="564"/>
    <n v="816"/>
  </r>
  <r>
    <x v="7"/>
    <s v="conventional_refinance_fico_664"/>
    <x v="704"/>
    <n v="0.66500000000000004"/>
    <n v="1"/>
    <n v="564"/>
    <n v="816"/>
  </r>
  <r>
    <x v="7"/>
    <s v="conventional_refinance_fico_665"/>
    <x v="705"/>
    <n v="0.66500000000000004"/>
    <n v="1"/>
    <n v="564"/>
    <n v="816"/>
  </r>
  <r>
    <x v="7"/>
    <s v="conventional_refinance_fico_666"/>
    <x v="706"/>
    <n v="0.66500000000000004"/>
    <n v="1"/>
    <n v="564"/>
    <n v="816"/>
  </r>
  <r>
    <x v="7"/>
    <s v="conventional_refinance_fico_667"/>
    <x v="707"/>
    <n v="0.66500000000000004"/>
    <n v="1"/>
    <n v="564"/>
    <n v="816"/>
  </r>
  <r>
    <x v="7"/>
    <s v="conventional_refinance_fico_668"/>
    <x v="708"/>
    <n v="0.66500000000000004"/>
    <n v="1"/>
    <n v="564"/>
    <n v="816"/>
  </r>
  <r>
    <x v="7"/>
    <s v="conventional_refinance_fico_669"/>
    <x v="709"/>
    <n v="0.66500000000000004"/>
    <n v="1"/>
    <n v="564"/>
    <n v="816"/>
  </r>
  <r>
    <x v="7"/>
    <s v="conventional_refinance_fico_670"/>
    <x v="710"/>
    <n v="0.66500000000000004"/>
    <n v="1"/>
    <n v="564"/>
    <n v="816"/>
  </r>
  <r>
    <x v="7"/>
    <s v="conventional_refinance_fico_671"/>
    <x v="711"/>
    <n v="0.66500000000000004"/>
    <n v="1"/>
    <n v="564"/>
    <n v="816"/>
  </r>
  <r>
    <x v="7"/>
    <s v="conventional_refinance_fico_672"/>
    <x v="712"/>
    <n v="0.66500000000000004"/>
    <n v="1"/>
    <n v="564"/>
    <n v="816"/>
  </r>
  <r>
    <x v="7"/>
    <s v="conventional_refinance_fico_673"/>
    <x v="713"/>
    <n v="0.66500000000000004"/>
    <n v="1"/>
    <n v="564"/>
    <n v="816"/>
  </r>
  <r>
    <x v="7"/>
    <s v="conventional_refinance_fico_674"/>
    <x v="714"/>
    <n v="0.66500000000000004"/>
    <n v="1"/>
    <n v="564"/>
    <n v="816"/>
  </r>
  <r>
    <x v="7"/>
    <s v="conventional_refinance_fico_675"/>
    <x v="715"/>
    <n v="0.66500000000000004"/>
    <n v="1"/>
    <n v="564"/>
    <n v="816"/>
  </r>
  <r>
    <x v="7"/>
    <s v="conventional_refinance_fico_676"/>
    <x v="716"/>
    <n v="0.66500000000000004"/>
    <n v="1"/>
    <n v="564"/>
    <n v="816"/>
  </r>
  <r>
    <x v="7"/>
    <s v="conventional_refinance_fico_677"/>
    <x v="717"/>
    <n v="0.66500000000000004"/>
    <n v="1"/>
    <n v="564"/>
    <n v="816"/>
  </r>
  <r>
    <x v="7"/>
    <s v="conventional_refinance_fico_678"/>
    <x v="718"/>
    <n v="0.66500000000000004"/>
    <n v="1"/>
    <n v="564"/>
    <n v="816"/>
  </r>
  <r>
    <x v="7"/>
    <s v="conventional_refinance_fico_679"/>
    <x v="719"/>
    <n v="0.66500000000000004"/>
    <n v="1"/>
    <n v="564"/>
    <n v="816"/>
  </r>
  <r>
    <x v="7"/>
    <s v="conventional_refinance_fico_680"/>
    <x v="720"/>
    <n v="0.66500000000000004"/>
    <n v="1"/>
    <n v="564"/>
    <n v="816"/>
  </r>
  <r>
    <x v="7"/>
    <s v="conventional_refinance_fico_681"/>
    <x v="721"/>
    <n v="0.66545093749999995"/>
    <n v="1"/>
    <n v="564"/>
    <n v="816"/>
  </r>
  <r>
    <x v="7"/>
    <s v="conventional_refinance_fico_682"/>
    <x v="722"/>
    <n v="0.6667575"/>
    <n v="1"/>
    <n v="564"/>
    <n v="816"/>
  </r>
  <r>
    <x v="7"/>
    <s v="conventional_refinance_fico_683"/>
    <x v="723"/>
    <n v="0.66885031250000004"/>
    <n v="1"/>
    <n v="564"/>
    <n v="816"/>
  </r>
  <r>
    <x v="7"/>
    <s v="conventional_refinance_fico_684"/>
    <x v="724"/>
    <n v="0.67166000000000003"/>
    <n v="1"/>
    <n v="564"/>
    <n v="816"/>
  </r>
  <r>
    <x v="7"/>
    <s v="conventional_refinance_fico_685"/>
    <x v="725"/>
    <n v="0.67511718750000005"/>
    <n v="1"/>
    <n v="564"/>
    <n v="816"/>
  </r>
  <r>
    <x v="7"/>
    <s v="conventional_refinance_fico_686"/>
    <x v="726"/>
    <n v="0.67915250000000005"/>
    <n v="1"/>
    <n v="564"/>
    <n v="816"/>
  </r>
  <r>
    <x v="7"/>
    <s v="conventional_refinance_fico_687"/>
    <x v="727"/>
    <n v="0.68369656249999999"/>
    <n v="1"/>
    <n v="564"/>
    <n v="816"/>
  </r>
  <r>
    <x v="7"/>
    <s v="conventional_refinance_fico_688"/>
    <x v="728"/>
    <n v="0.68867999999999996"/>
    <n v="1"/>
    <n v="564"/>
    <n v="816"/>
  </r>
  <r>
    <x v="7"/>
    <s v="conventional_refinance_fico_689"/>
    <x v="729"/>
    <n v="0.69403343750000002"/>
    <n v="1"/>
    <n v="564"/>
    <n v="816"/>
  </r>
  <r>
    <x v="7"/>
    <s v="conventional_refinance_fico_690"/>
    <x v="730"/>
    <n v="0.69968750000000002"/>
    <n v="1"/>
    <n v="564"/>
    <n v="816"/>
  </r>
  <r>
    <x v="7"/>
    <s v="conventional_refinance_fico_691"/>
    <x v="731"/>
    <n v="0.70557281250000004"/>
    <n v="1"/>
    <n v="564"/>
    <n v="816"/>
  </r>
  <r>
    <x v="7"/>
    <s v="conventional_refinance_fico_692"/>
    <x v="732"/>
    <n v="0.71162000000000003"/>
    <n v="1"/>
    <n v="564"/>
    <n v="816"/>
  </r>
  <r>
    <x v="7"/>
    <s v="conventional_refinance_fico_693"/>
    <x v="733"/>
    <n v="0.71775968749999997"/>
    <n v="1"/>
    <n v="564"/>
    <n v="816"/>
  </r>
  <r>
    <x v="7"/>
    <s v="conventional_refinance_fico_694"/>
    <x v="734"/>
    <n v="0.72392250000000002"/>
    <n v="1"/>
    <n v="564"/>
    <n v="816"/>
  </r>
  <r>
    <x v="7"/>
    <s v="conventional_refinance_fico_695"/>
    <x v="735"/>
    <n v="0.73003906249999995"/>
    <n v="1"/>
    <n v="564"/>
    <n v="816"/>
  </r>
  <r>
    <x v="7"/>
    <s v="conventional_refinance_fico_696"/>
    <x v="736"/>
    <n v="0.73604000000000003"/>
    <n v="1"/>
    <n v="564"/>
    <n v="816"/>
  </r>
  <r>
    <x v="7"/>
    <s v="conventional_refinance_fico_697"/>
    <x v="737"/>
    <n v="0.74185593750000001"/>
    <n v="1"/>
    <n v="564"/>
    <n v="816"/>
  </r>
  <r>
    <x v="7"/>
    <s v="conventional_refinance_fico_698"/>
    <x v="738"/>
    <n v="0.74741749999999996"/>
    <n v="1"/>
    <n v="564"/>
    <n v="816"/>
  </r>
  <r>
    <x v="7"/>
    <s v="conventional_refinance_fico_699"/>
    <x v="739"/>
    <n v="0.75265531249999995"/>
    <n v="1"/>
    <n v="564"/>
    <n v="816"/>
  </r>
  <r>
    <x v="7"/>
    <s v="conventional_refinance_fico_700"/>
    <x v="740"/>
    <n v="0.75749999999999995"/>
    <n v="1"/>
    <n v="564"/>
    <n v="816"/>
  </r>
  <r>
    <x v="7"/>
    <s v="conventional_refinance_fico_701"/>
    <x v="741"/>
    <n v="0.76205671875000003"/>
    <n v="1"/>
    <n v="564"/>
    <n v="816"/>
  </r>
  <r>
    <x v="7"/>
    <s v="conventional_refinance_fico_702"/>
    <x v="742"/>
    <n v="0.76649124999999996"/>
    <n v="1"/>
    <n v="564"/>
    <n v="816"/>
  </r>
  <r>
    <x v="7"/>
    <s v="conventional_refinance_fico_703"/>
    <x v="743"/>
    <n v="0.77082515625000003"/>
    <n v="1"/>
    <n v="564"/>
    <n v="816"/>
  </r>
  <r>
    <x v="7"/>
    <s v="conventional_refinance_fico_704"/>
    <x v="744"/>
    <n v="0.77507999999999999"/>
    <n v="1"/>
    <n v="564"/>
    <n v="816"/>
  </r>
  <r>
    <x v="7"/>
    <s v="conventional_refinance_fico_705"/>
    <x v="745"/>
    <n v="0.77927734375000002"/>
    <n v="1"/>
    <n v="564"/>
    <n v="816"/>
  </r>
  <r>
    <x v="7"/>
    <s v="conventional_refinance_fico_706"/>
    <x v="746"/>
    <n v="0.78343874999999996"/>
    <n v="1"/>
    <n v="564"/>
    <n v="816"/>
  </r>
  <r>
    <x v="7"/>
    <s v="conventional_refinance_fico_707"/>
    <x v="747"/>
    <n v="0.78758578125000001"/>
    <n v="1"/>
    <n v="564"/>
    <n v="816"/>
  </r>
  <r>
    <x v="7"/>
    <s v="conventional_refinance_fico_708"/>
    <x v="748"/>
    <n v="0.79174"/>
    <n v="1"/>
    <n v="564"/>
    <n v="816"/>
  </r>
  <r>
    <x v="7"/>
    <s v="conventional_refinance_fico_709"/>
    <x v="749"/>
    <n v="0.79592296875000001"/>
    <n v="1"/>
    <n v="564"/>
    <n v="816"/>
  </r>
  <r>
    <x v="7"/>
    <s v="conventional_refinance_fico_710"/>
    <x v="750"/>
    <n v="0.80015625000000001"/>
    <n v="1"/>
    <n v="564"/>
    <n v="816"/>
  </r>
  <r>
    <x v="7"/>
    <s v="conventional_refinance_fico_711"/>
    <x v="751"/>
    <n v="0.80446140624999996"/>
    <n v="1"/>
    <n v="564"/>
    <n v="816"/>
  </r>
  <r>
    <x v="7"/>
    <s v="conventional_refinance_fico_712"/>
    <x v="752"/>
    <n v="0.80886000000000002"/>
    <n v="1"/>
    <n v="564"/>
    <n v="816"/>
  </r>
  <r>
    <x v="7"/>
    <s v="conventional_refinance_fico_713"/>
    <x v="753"/>
    <n v="0.81337359374999996"/>
    <n v="1"/>
    <n v="564"/>
    <n v="816"/>
  </r>
  <r>
    <x v="7"/>
    <s v="conventional_refinance_fico_714"/>
    <x v="754"/>
    <n v="0.81802375000000005"/>
    <n v="1"/>
    <n v="564"/>
    <n v="816"/>
  </r>
  <r>
    <x v="7"/>
    <s v="conventional_refinance_fico_715"/>
    <x v="755"/>
    <n v="0.82283203125000004"/>
    <n v="1"/>
    <n v="564"/>
    <n v="816"/>
  </r>
  <r>
    <x v="7"/>
    <s v="conventional_refinance_fico_716"/>
    <x v="756"/>
    <n v="0.82782"/>
    <n v="1"/>
    <n v="564"/>
    <n v="816"/>
  </r>
  <r>
    <x v="7"/>
    <s v="conventional_refinance_fico_717"/>
    <x v="757"/>
    <n v="0.83300921875"/>
    <n v="1"/>
    <n v="564"/>
    <n v="816"/>
  </r>
  <r>
    <x v="7"/>
    <s v="conventional_refinance_fico_718"/>
    <x v="758"/>
    <n v="0.83842125000000001"/>
    <n v="1"/>
    <n v="564"/>
    <n v="816"/>
  </r>
  <r>
    <x v="7"/>
    <s v="conventional_refinance_fico_719"/>
    <x v="759"/>
    <n v="0.84407765624999997"/>
    <n v="1"/>
    <n v="564"/>
    <n v="816"/>
  </r>
  <r>
    <x v="7"/>
    <s v="conventional_refinance_fico_720"/>
    <x v="760"/>
    <n v="0.85"/>
    <n v="1"/>
    <n v="564"/>
    <n v="816"/>
  </r>
  <r>
    <x v="7"/>
    <s v="conventional_refinance_fico_721"/>
    <x v="761"/>
    <n v="0.85655890624999997"/>
    <n v="1"/>
    <n v="564"/>
    <n v="816"/>
  </r>
  <r>
    <x v="7"/>
    <s v="conventional_refinance_fico_722"/>
    <x v="762"/>
    <n v="0.86402124999999996"/>
    <n v="1"/>
    <n v="564"/>
    <n v="816"/>
  </r>
  <r>
    <x v="7"/>
    <s v="conventional_refinance_fico_723"/>
    <x v="763"/>
    <n v="0.87225296875000002"/>
    <n v="1"/>
    <n v="564"/>
    <n v="816"/>
  </r>
  <r>
    <x v="7"/>
    <s v="conventional_refinance_fico_724"/>
    <x v="764"/>
    <n v="0.88112000000000001"/>
    <n v="1"/>
    <n v="564"/>
    <n v="816"/>
  </r>
  <r>
    <x v="7"/>
    <s v="conventional_refinance_fico_725"/>
    <x v="765"/>
    <n v="0.89048828125000001"/>
    <n v="1"/>
    <n v="564"/>
    <n v="816"/>
  </r>
  <r>
    <x v="7"/>
    <s v="conventional_refinance_fico_726"/>
    <x v="766"/>
    <n v="0.90022374999999999"/>
    <n v="1"/>
    <n v="564"/>
    <n v="816"/>
  </r>
  <r>
    <x v="7"/>
    <s v="conventional_refinance_fico_727"/>
    <x v="767"/>
    <n v="0.91019234375000002"/>
    <n v="1"/>
    <n v="564"/>
    <n v="816"/>
  </r>
  <r>
    <x v="7"/>
    <s v="conventional_refinance_fico_728"/>
    <x v="768"/>
    <n v="0.92025999999999997"/>
    <n v="1"/>
    <n v="564"/>
    <n v="816"/>
  </r>
  <r>
    <x v="7"/>
    <s v="conventional_refinance_fico_729"/>
    <x v="769"/>
    <n v="0.93029265625000002"/>
    <n v="1"/>
    <n v="564"/>
    <n v="816"/>
  </r>
  <r>
    <x v="7"/>
    <s v="conventional_refinance_fico_730"/>
    <x v="770"/>
    <n v="0.94015625000000003"/>
    <n v="1"/>
    <n v="564"/>
    <n v="816"/>
  </r>
  <r>
    <x v="7"/>
    <s v="conventional_refinance_fico_731"/>
    <x v="771"/>
    <n v="0.94971671874999997"/>
    <n v="1"/>
    <n v="564"/>
    <n v="816"/>
  </r>
  <r>
    <x v="7"/>
    <s v="conventional_refinance_fico_732"/>
    <x v="772"/>
    <n v="0.95884000000000003"/>
    <n v="1"/>
    <n v="564"/>
    <n v="816"/>
  </r>
  <r>
    <x v="7"/>
    <s v="conventional_refinance_fico_733"/>
    <x v="773"/>
    <n v="0.96739203124999995"/>
    <n v="1"/>
    <n v="564"/>
    <n v="816"/>
  </r>
  <r>
    <x v="7"/>
    <s v="conventional_refinance_fico_734"/>
    <x v="774"/>
    <n v="0.97523875000000004"/>
    <n v="1"/>
    <n v="564"/>
    <n v="816"/>
  </r>
  <r>
    <x v="7"/>
    <s v="conventional_refinance_fico_735"/>
    <x v="775"/>
    <n v="0.98224609375000005"/>
    <n v="1"/>
    <n v="564"/>
    <n v="816"/>
  </r>
  <r>
    <x v="7"/>
    <s v="conventional_refinance_fico_736"/>
    <x v="776"/>
    <n v="0.98828000000000005"/>
    <n v="1"/>
    <n v="564"/>
    <n v="816"/>
  </r>
  <r>
    <x v="7"/>
    <s v="conventional_refinance_fico_737"/>
    <x v="777"/>
    <n v="0.99320640625000001"/>
    <n v="1"/>
    <n v="564"/>
    <n v="816"/>
  </r>
  <r>
    <x v="7"/>
    <s v="conventional_refinance_fico_738"/>
    <x v="778"/>
    <n v="0.99689125000000001"/>
    <n v="1"/>
    <n v="564"/>
    <n v="816"/>
  </r>
  <r>
    <x v="7"/>
    <s v="conventional_refinance_fico_739"/>
    <x v="779"/>
    <n v="0.99920046875000001"/>
    <n v="1"/>
    <n v="564"/>
    <n v="816"/>
  </r>
  <r>
    <x v="7"/>
    <s v="conventional_refinance_fico_740"/>
    <x v="780"/>
    <n v="1"/>
    <n v="1"/>
    <n v="564"/>
    <n v="816"/>
  </r>
  <r>
    <x v="7"/>
    <s v="conventional_refinance_fico_741"/>
    <x v="781"/>
    <n v="1"/>
    <n v="1"/>
    <n v="564"/>
    <n v="816"/>
  </r>
  <r>
    <x v="7"/>
    <s v="conventional_refinance_fico_742"/>
    <x v="782"/>
    <n v="1"/>
    <n v="1"/>
    <n v="564"/>
    <n v="816"/>
  </r>
  <r>
    <x v="7"/>
    <s v="conventional_refinance_fico_743"/>
    <x v="783"/>
    <n v="1"/>
    <n v="1"/>
    <n v="564"/>
    <n v="816"/>
  </r>
  <r>
    <x v="7"/>
    <s v="conventional_refinance_fico_744"/>
    <x v="784"/>
    <n v="1"/>
    <n v="1"/>
    <n v="564"/>
    <n v="816"/>
  </r>
  <r>
    <x v="7"/>
    <s v="conventional_refinance_fico_745"/>
    <x v="785"/>
    <n v="1"/>
    <n v="1"/>
    <n v="564"/>
    <n v="816"/>
  </r>
  <r>
    <x v="7"/>
    <s v="conventional_refinance_fico_746"/>
    <x v="786"/>
    <n v="1"/>
    <n v="1"/>
    <n v="564"/>
    <n v="816"/>
  </r>
  <r>
    <x v="7"/>
    <s v="conventional_refinance_fico_747"/>
    <x v="787"/>
    <n v="1"/>
    <n v="1"/>
    <n v="564"/>
    <n v="816"/>
  </r>
  <r>
    <x v="7"/>
    <s v="conventional_refinance_fico_748"/>
    <x v="788"/>
    <n v="1"/>
    <n v="1"/>
    <n v="564"/>
    <n v="816"/>
  </r>
  <r>
    <x v="7"/>
    <s v="conventional_refinance_fico_749"/>
    <x v="789"/>
    <n v="1"/>
    <n v="1"/>
    <n v="564"/>
    <n v="816"/>
  </r>
  <r>
    <x v="7"/>
    <s v="conventional_refinance_fico_750"/>
    <x v="790"/>
    <n v="1"/>
    <n v="1"/>
    <n v="564"/>
    <n v="816"/>
  </r>
  <r>
    <x v="7"/>
    <s v="conventional_refinance_fico_751"/>
    <x v="791"/>
    <n v="1"/>
    <n v="1"/>
    <n v="564"/>
    <n v="816"/>
  </r>
  <r>
    <x v="7"/>
    <s v="conventional_refinance_fico_752"/>
    <x v="792"/>
    <n v="1"/>
    <n v="1"/>
    <n v="564"/>
    <n v="816"/>
  </r>
  <r>
    <x v="7"/>
    <s v="conventional_refinance_fico_753"/>
    <x v="793"/>
    <n v="1"/>
    <n v="1"/>
    <n v="564"/>
    <n v="816"/>
  </r>
  <r>
    <x v="7"/>
    <s v="conventional_refinance_fico_754"/>
    <x v="794"/>
    <n v="1"/>
    <n v="1"/>
    <n v="564"/>
    <n v="816"/>
  </r>
  <r>
    <x v="7"/>
    <s v="conventional_refinance_fico_755"/>
    <x v="795"/>
    <n v="1"/>
    <n v="1"/>
    <n v="564"/>
    <n v="816"/>
  </r>
  <r>
    <x v="7"/>
    <s v="conventional_refinance_fico_756"/>
    <x v="796"/>
    <n v="1"/>
    <n v="1"/>
    <n v="564"/>
    <n v="816"/>
  </r>
  <r>
    <x v="7"/>
    <s v="conventional_refinance_fico_757"/>
    <x v="797"/>
    <n v="1"/>
    <n v="1"/>
    <n v="564"/>
    <n v="816"/>
  </r>
  <r>
    <x v="7"/>
    <s v="conventional_refinance_fico_758"/>
    <x v="798"/>
    <n v="1"/>
    <n v="1"/>
    <n v="564"/>
    <n v="816"/>
  </r>
  <r>
    <x v="7"/>
    <s v="conventional_refinance_fico_759"/>
    <x v="799"/>
    <n v="1"/>
    <n v="1"/>
    <n v="564"/>
    <n v="816"/>
  </r>
  <r>
    <x v="7"/>
    <s v="conventional_refinance_fico_760"/>
    <x v="800"/>
    <n v="1"/>
    <n v="1"/>
    <n v="564"/>
    <n v="816"/>
  </r>
  <r>
    <x v="7"/>
    <s v="conventional_refinance_fico_761"/>
    <x v="801"/>
    <n v="1"/>
    <n v="1"/>
    <n v="564"/>
    <n v="816"/>
  </r>
  <r>
    <x v="7"/>
    <s v="conventional_refinance_fico_762"/>
    <x v="802"/>
    <n v="1"/>
    <n v="1"/>
    <n v="564"/>
    <n v="816"/>
  </r>
  <r>
    <x v="7"/>
    <s v="conventional_refinance_fico_763"/>
    <x v="803"/>
    <n v="1"/>
    <n v="1"/>
    <n v="564"/>
    <n v="816"/>
  </r>
  <r>
    <x v="7"/>
    <s v="conventional_refinance_fico_764"/>
    <x v="804"/>
    <n v="1"/>
    <n v="1"/>
    <n v="564"/>
    <n v="816"/>
  </r>
  <r>
    <x v="7"/>
    <s v="conventional_refinance_fico_765"/>
    <x v="805"/>
    <n v="1"/>
    <n v="1"/>
    <n v="564"/>
    <n v="816"/>
  </r>
  <r>
    <x v="7"/>
    <s v="conventional_refinance_fico_766"/>
    <x v="806"/>
    <n v="1"/>
    <n v="1"/>
    <n v="564"/>
    <n v="816"/>
  </r>
  <r>
    <x v="7"/>
    <s v="conventional_refinance_fico_767"/>
    <x v="807"/>
    <n v="1"/>
    <n v="1"/>
    <n v="564"/>
    <n v="816"/>
  </r>
  <r>
    <x v="7"/>
    <s v="conventional_refinance_fico_768"/>
    <x v="808"/>
    <n v="1"/>
    <n v="1"/>
    <n v="564"/>
    <n v="816"/>
  </r>
  <r>
    <x v="7"/>
    <s v="conventional_refinance_fico_769"/>
    <x v="809"/>
    <n v="1"/>
    <n v="1"/>
    <n v="564"/>
    <n v="816"/>
  </r>
  <r>
    <x v="7"/>
    <s v="conventional_refinance_fico_770"/>
    <x v="810"/>
    <n v="1"/>
    <n v="1"/>
    <n v="564"/>
    <n v="816"/>
  </r>
  <r>
    <x v="7"/>
    <s v="conventional_refinance_fico_771"/>
    <x v="811"/>
    <n v="1"/>
    <n v="1"/>
    <n v="564"/>
    <n v="816"/>
  </r>
  <r>
    <x v="7"/>
    <s v="conventional_refinance_fico_772"/>
    <x v="812"/>
    <n v="1"/>
    <n v="1"/>
    <n v="564"/>
    <n v="816"/>
  </r>
  <r>
    <x v="7"/>
    <s v="conventional_refinance_fico_773"/>
    <x v="813"/>
    <n v="1"/>
    <n v="1"/>
    <n v="564"/>
    <n v="816"/>
  </r>
  <r>
    <x v="7"/>
    <s v="conventional_refinance_fico_774"/>
    <x v="814"/>
    <n v="1"/>
    <n v="1"/>
    <n v="564"/>
    <n v="816"/>
  </r>
  <r>
    <x v="7"/>
    <s v="conventional_refinance_fico_775"/>
    <x v="815"/>
    <n v="1"/>
    <n v="1"/>
    <n v="564"/>
    <n v="816"/>
  </r>
  <r>
    <x v="7"/>
    <s v="conventional_refinance_fico_776"/>
    <x v="816"/>
    <n v="1"/>
    <n v="1"/>
    <n v="564"/>
    <n v="816"/>
  </r>
  <r>
    <x v="7"/>
    <s v="conventional_refinance_fico_777"/>
    <x v="817"/>
    <n v="1"/>
    <n v="1"/>
    <n v="564"/>
    <n v="816"/>
  </r>
  <r>
    <x v="7"/>
    <s v="conventional_refinance_fico_778"/>
    <x v="818"/>
    <n v="1"/>
    <n v="1"/>
    <n v="564"/>
    <n v="816"/>
  </r>
  <r>
    <x v="7"/>
    <s v="conventional_refinance_fico_779"/>
    <x v="819"/>
    <n v="1"/>
    <n v="1"/>
    <n v="564"/>
    <n v="816"/>
  </r>
  <r>
    <x v="7"/>
    <s v="conventional_refinance_fico_780"/>
    <x v="820"/>
    <n v="1"/>
    <n v="1"/>
    <n v="564"/>
    <n v="816"/>
  </r>
  <r>
    <x v="7"/>
    <s v="conventional_refinance_fico_781"/>
    <x v="821"/>
    <n v="1"/>
    <n v="1"/>
    <n v="564"/>
    <n v="816"/>
  </r>
  <r>
    <x v="7"/>
    <s v="conventional_refinance_fico_782"/>
    <x v="822"/>
    <n v="1"/>
    <n v="1"/>
    <n v="564"/>
    <n v="816"/>
  </r>
  <r>
    <x v="7"/>
    <s v="conventional_refinance_fico_783"/>
    <x v="823"/>
    <n v="1"/>
    <n v="1"/>
    <n v="564"/>
    <n v="816"/>
  </r>
  <r>
    <x v="7"/>
    <s v="conventional_refinance_fico_784"/>
    <x v="824"/>
    <n v="1"/>
    <n v="1"/>
    <n v="564"/>
    <n v="816"/>
  </r>
  <r>
    <x v="7"/>
    <s v="conventional_refinance_fico_785"/>
    <x v="825"/>
    <n v="1"/>
    <n v="1"/>
    <n v="564"/>
    <n v="816"/>
  </r>
  <r>
    <x v="7"/>
    <s v="conventional_refinance_fico_786"/>
    <x v="826"/>
    <n v="1"/>
    <n v="1"/>
    <n v="564"/>
    <n v="816"/>
  </r>
  <r>
    <x v="7"/>
    <s v="conventional_refinance_fico_787"/>
    <x v="827"/>
    <n v="1"/>
    <n v="1"/>
    <n v="564"/>
    <n v="816"/>
  </r>
  <r>
    <x v="7"/>
    <s v="conventional_refinance_fico_788"/>
    <x v="828"/>
    <n v="1"/>
    <n v="1"/>
    <n v="564"/>
    <n v="816"/>
  </r>
  <r>
    <x v="7"/>
    <s v="conventional_refinance_fico_789"/>
    <x v="829"/>
    <n v="1"/>
    <n v="1"/>
    <n v="564"/>
    <n v="816"/>
  </r>
  <r>
    <x v="7"/>
    <s v="conventional_refinance_fico_790"/>
    <x v="830"/>
    <n v="1"/>
    <n v="1"/>
    <n v="564"/>
    <n v="816"/>
  </r>
  <r>
    <x v="7"/>
    <s v="conventional_refinance_fico_791"/>
    <x v="831"/>
    <n v="1"/>
    <n v="1"/>
    <n v="564"/>
    <n v="816"/>
  </r>
  <r>
    <x v="7"/>
    <s v="conventional_refinance_fico_792"/>
    <x v="832"/>
    <n v="1"/>
    <n v="1"/>
    <n v="564"/>
    <n v="816"/>
  </r>
  <r>
    <x v="7"/>
    <s v="conventional_refinance_fico_793"/>
    <x v="833"/>
    <n v="1"/>
    <n v="1"/>
    <n v="564"/>
    <n v="816"/>
  </r>
  <r>
    <x v="7"/>
    <s v="conventional_refinance_fico_794"/>
    <x v="834"/>
    <n v="1"/>
    <n v="1"/>
    <n v="564"/>
    <n v="816"/>
  </r>
  <r>
    <x v="7"/>
    <s v="conventional_refinance_fico_795"/>
    <x v="835"/>
    <n v="1"/>
    <n v="1"/>
    <n v="564"/>
    <n v="816"/>
  </r>
  <r>
    <x v="7"/>
    <s v="conventional_refinance_fico_796"/>
    <x v="836"/>
    <n v="1"/>
    <n v="1"/>
    <n v="564"/>
    <n v="816"/>
  </r>
  <r>
    <x v="7"/>
    <s v="conventional_refinance_fico_797"/>
    <x v="837"/>
    <n v="1"/>
    <n v="1"/>
    <n v="564"/>
    <n v="816"/>
  </r>
  <r>
    <x v="7"/>
    <s v="conventional_refinance_fico_798"/>
    <x v="838"/>
    <n v="1"/>
    <n v="1"/>
    <n v="564"/>
    <n v="816"/>
  </r>
  <r>
    <x v="7"/>
    <s v="conventional_refinance_fico_799"/>
    <x v="839"/>
    <n v="1"/>
    <n v="1"/>
    <n v="564"/>
    <n v="816"/>
  </r>
  <r>
    <x v="7"/>
    <s v="conventional_refinance_fico_800"/>
    <x v="840"/>
    <n v="1"/>
    <n v="1"/>
    <n v="564"/>
    <n v="816"/>
  </r>
  <r>
    <x v="7"/>
    <s v="conventional_refinance_fico_801"/>
    <x v="841"/>
    <n v="1"/>
    <n v="1"/>
    <n v="564"/>
    <n v="816"/>
  </r>
  <r>
    <x v="7"/>
    <s v="conventional_refinance_fico_802"/>
    <x v="842"/>
    <n v="1"/>
    <n v="1"/>
    <n v="564"/>
    <n v="816"/>
  </r>
  <r>
    <x v="7"/>
    <s v="conventional_refinance_fico_803"/>
    <x v="843"/>
    <n v="1"/>
    <n v="1"/>
    <n v="564"/>
    <n v="816"/>
  </r>
  <r>
    <x v="7"/>
    <s v="conventional_refinance_fico_804"/>
    <x v="844"/>
    <n v="1"/>
    <n v="1"/>
    <n v="564"/>
    <n v="816"/>
  </r>
  <r>
    <x v="7"/>
    <s v="conventional_refinance_fico_805"/>
    <x v="845"/>
    <n v="1"/>
    <n v="1"/>
    <n v="564"/>
    <n v="816"/>
  </r>
  <r>
    <x v="7"/>
    <s v="conventional_refinance_fico_806"/>
    <x v="846"/>
    <n v="1"/>
    <n v="1"/>
    <n v="564"/>
    <n v="816"/>
  </r>
  <r>
    <x v="7"/>
    <s v="conventional_refinance_fico_807"/>
    <x v="847"/>
    <n v="1"/>
    <n v="1"/>
    <n v="564"/>
    <n v="816"/>
  </r>
  <r>
    <x v="7"/>
    <s v="conventional_refinance_fico_808"/>
    <x v="848"/>
    <n v="1"/>
    <n v="1"/>
    <n v="564"/>
    <n v="816"/>
  </r>
  <r>
    <x v="7"/>
    <s v="conventional_refinance_fico_809"/>
    <x v="849"/>
    <n v="1"/>
    <n v="1"/>
    <n v="564"/>
    <n v="816"/>
  </r>
  <r>
    <x v="7"/>
    <s v="conventional_refinance_fico_810"/>
    <x v="850"/>
    <n v="1"/>
    <n v="1"/>
    <n v="564"/>
    <n v="816"/>
  </r>
  <r>
    <x v="7"/>
    <s v="conventional_refinance_fico_811"/>
    <x v="851"/>
    <n v="1"/>
    <n v="1"/>
    <n v="564"/>
    <n v="816"/>
  </r>
  <r>
    <x v="7"/>
    <s v="conventional_refinance_fico_812"/>
    <x v="852"/>
    <n v="1"/>
    <n v="1"/>
    <n v="564"/>
    <n v="816"/>
  </r>
  <r>
    <x v="7"/>
    <s v="conventional_refinance_fico_813"/>
    <x v="853"/>
    <n v="1"/>
    <n v="1"/>
    <n v="564"/>
    <n v="816"/>
  </r>
  <r>
    <x v="7"/>
    <s v="conventional_refinance_fico_814"/>
    <x v="854"/>
    <n v="1"/>
    <n v="1"/>
    <n v="564"/>
    <n v="816"/>
  </r>
  <r>
    <x v="7"/>
    <s v="conventional_refinance_fico_815"/>
    <x v="855"/>
    <n v="1"/>
    <n v="1"/>
    <n v="564"/>
    <n v="816"/>
  </r>
  <r>
    <x v="7"/>
    <s v="conventional_refinance_fico_816"/>
    <x v="856"/>
    <n v="1"/>
    <n v="1"/>
    <n v="564"/>
    <n v="816"/>
  </r>
  <r>
    <x v="8"/>
    <s v="conventional_refinance_refi_elig_pct_-20"/>
    <x v="20"/>
    <n v="-0.2"/>
    <n v="1"/>
    <n v="-20"/>
    <n v="120"/>
  </r>
  <r>
    <x v="8"/>
    <s v="conventional_refinance_refi_elig_pct_-19"/>
    <x v="21"/>
    <n v="-0.19"/>
    <n v="1"/>
    <n v="-20"/>
    <n v="120"/>
  </r>
  <r>
    <x v="8"/>
    <s v="conventional_refinance_refi_elig_pct_-18"/>
    <x v="22"/>
    <n v="-0.18"/>
    <n v="1"/>
    <n v="-20"/>
    <n v="120"/>
  </r>
  <r>
    <x v="8"/>
    <s v="conventional_refinance_refi_elig_pct_-17"/>
    <x v="23"/>
    <n v="-0.17"/>
    <n v="1"/>
    <n v="-20"/>
    <n v="120"/>
  </r>
  <r>
    <x v="8"/>
    <s v="conventional_refinance_refi_elig_pct_-16"/>
    <x v="24"/>
    <n v="-0.16"/>
    <n v="1"/>
    <n v="-20"/>
    <n v="120"/>
  </r>
  <r>
    <x v="8"/>
    <s v="conventional_refinance_refi_elig_pct_-15"/>
    <x v="25"/>
    <n v="-0.15"/>
    <n v="1"/>
    <n v="-20"/>
    <n v="120"/>
  </r>
  <r>
    <x v="8"/>
    <s v="conventional_refinance_refi_elig_pct_-14"/>
    <x v="26"/>
    <n v="-0.14000000000000001"/>
    <n v="1"/>
    <n v="-20"/>
    <n v="120"/>
  </r>
  <r>
    <x v="8"/>
    <s v="conventional_refinance_refi_elig_pct_-13"/>
    <x v="27"/>
    <n v="-0.13"/>
    <n v="1"/>
    <n v="-20"/>
    <n v="120"/>
  </r>
  <r>
    <x v="8"/>
    <s v="conventional_refinance_refi_elig_pct_-12"/>
    <x v="28"/>
    <n v="-0.12"/>
    <n v="1"/>
    <n v="-20"/>
    <n v="120"/>
  </r>
  <r>
    <x v="8"/>
    <s v="conventional_refinance_refi_elig_pct_-11"/>
    <x v="29"/>
    <n v="-0.11"/>
    <n v="1"/>
    <n v="-20"/>
    <n v="120"/>
  </r>
  <r>
    <x v="8"/>
    <s v="conventional_refinance_refi_elig_pct_-10"/>
    <x v="30"/>
    <n v="-0.1"/>
    <n v="1"/>
    <n v="-20"/>
    <n v="120"/>
  </r>
  <r>
    <x v="8"/>
    <s v="conventional_refinance_refi_elig_pct_-9"/>
    <x v="31"/>
    <n v="-0.09"/>
    <n v="1"/>
    <n v="-20"/>
    <n v="120"/>
  </r>
  <r>
    <x v="8"/>
    <s v="conventional_refinance_refi_elig_pct_-8"/>
    <x v="32"/>
    <n v="-0.08"/>
    <n v="1"/>
    <n v="-20"/>
    <n v="120"/>
  </r>
  <r>
    <x v="8"/>
    <s v="conventional_refinance_refi_elig_pct_-7"/>
    <x v="33"/>
    <n v="-7.0000000000000007E-2"/>
    <n v="1"/>
    <n v="-20"/>
    <n v="120"/>
  </r>
  <r>
    <x v="8"/>
    <s v="conventional_refinance_refi_elig_pct_-6"/>
    <x v="34"/>
    <n v="-0.06"/>
    <n v="1"/>
    <n v="-20"/>
    <n v="120"/>
  </r>
  <r>
    <x v="8"/>
    <s v="conventional_refinance_refi_elig_pct_-5"/>
    <x v="35"/>
    <n v="-0.05"/>
    <n v="1"/>
    <n v="-20"/>
    <n v="120"/>
  </r>
  <r>
    <x v="8"/>
    <s v="conventional_refinance_refi_elig_pct_-4"/>
    <x v="36"/>
    <n v="-0.04"/>
    <n v="1"/>
    <n v="-20"/>
    <n v="120"/>
  </r>
  <r>
    <x v="8"/>
    <s v="conventional_refinance_refi_elig_pct_-3"/>
    <x v="37"/>
    <n v="-0.03"/>
    <n v="1"/>
    <n v="-20"/>
    <n v="120"/>
  </r>
  <r>
    <x v="8"/>
    <s v="conventional_refinance_refi_elig_pct_-2"/>
    <x v="38"/>
    <n v="-0.02"/>
    <n v="1"/>
    <n v="-20"/>
    <n v="120"/>
  </r>
  <r>
    <x v="8"/>
    <s v="conventional_refinance_refi_elig_pct_-1"/>
    <x v="39"/>
    <n v="-0.01"/>
    <n v="1"/>
    <n v="-20"/>
    <n v="120"/>
  </r>
  <r>
    <x v="8"/>
    <s v="conventional_refinance_refi_elig_pct_0"/>
    <x v="40"/>
    <n v="0"/>
    <n v="1"/>
    <n v="-20"/>
    <n v="120"/>
  </r>
  <r>
    <x v="8"/>
    <s v="conventional_refinance_refi_elig_pct_1"/>
    <x v="41"/>
    <n v="0.01"/>
    <n v="1"/>
    <n v="-20"/>
    <n v="120"/>
  </r>
  <r>
    <x v="8"/>
    <s v="conventional_refinance_refi_elig_pct_2"/>
    <x v="42"/>
    <n v="0.02"/>
    <n v="1"/>
    <n v="-20"/>
    <n v="120"/>
  </r>
  <r>
    <x v="8"/>
    <s v="conventional_refinance_refi_elig_pct_3"/>
    <x v="43"/>
    <n v="0.03"/>
    <n v="1"/>
    <n v="-20"/>
    <n v="120"/>
  </r>
  <r>
    <x v="8"/>
    <s v="conventional_refinance_refi_elig_pct_4"/>
    <x v="44"/>
    <n v="0.04"/>
    <n v="1"/>
    <n v="-20"/>
    <n v="120"/>
  </r>
  <r>
    <x v="8"/>
    <s v="conventional_refinance_refi_elig_pct_5"/>
    <x v="45"/>
    <n v="0.05"/>
    <n v="1"/>
    <n v="-20"/>
    <n v="120"/>
  </r>
  <r>
    <x v="8"/>
    <s v="conventional_refinance_refi_elig_pct_6"/>
    <x v="46"/>
    <n v="0.06"/>
    <n v="1"/>
    <n v="-20"/>
    <n v="120"/>
  </r>
  <r>
    <x v="8"/>
    <s v="conventional_refinance_refi_elig_pct_7"/>
    <x v="47"/>
    <n v="7.0000000000000007E-2"/>
    <n v="1"/>
    <n v="-20"/>
    <n v="120"/>
  </r>
  <r>
    <x v="8"/>
    <s v="conventional_refinance_refi_elig_pct_8"/>
    <x v="48"/>
    <n v="0.08"/>
    <n v="1"/>
    <n v="-20"/>
    <n v="120"/>
  </r>
  <r>
    <x v="8"/>
    <s v="conventional_refinance_refi_elig_pct_9"/>
    <x v="49"/>
    <n v="0.09"/>
    <n v="1"/>
    <n v="-20"/>
    <n v="120"/>
  </r>
  <r>
    <x v="8"/>
    <s v="conventional_refinance_refi_elig_pct_10"/>
    <x v="50"/>
    <n v="0.1"/>
    <n v="1"/>
    <n v="-20"/>
    <n v="120"/>
  </r>
  <r>
    <x v="8"/>
    <s v="conventional_refinance_refi_elig_pct_11"/>
    <x v="51"/>
    <n v="0.11"/>
    <n v="1"/>
    <n v="-20"/>
    <n v="120"/>
  </r>
  <r>
    <x v="8"/>
    <s v="conventional_refinance_refi_elig_pct_12"/>
    <x v="52"/>
    <n v="0.12"/>
    <n v="1"/>
    <n v="-20"/>
    <n v="120"/>
  </r>
  <r>
    <x v="8"/>
    <s v="conventional_refinance_refi_elig_pct_13"/>
    <x v="53"/>
    <n v="0.13"/>
    <n v="1"/>
    <n v="-20"/>
    <n v="120"/>
  </r>
  <r>
    <x v="8"/>
    <s v="conventional_refinance_refi_elig_pct_14"/>
    <x v="54"/>
    <n v="0.14000000000000001"/>
    <n v="1"/>
    <n v="-20"/>
    <n v="120"/>
  </r>
  <r>
    <x v="8"/>
    <s v="conventional_refinance_refi_elig_pct_15"/>
    <x v="55"/>
    <n v="0.15"/>
    <n v="1"/>
    <n v="-20"/>
    <n v="120"/>
  </r>
  <r>
    <x v="8"/>
    <s v="conventional_refinance_refi_elig_pct_16"/>
    <x v="56"/>
    <n v="0.16"/>
    <n v="1"/>
    <n v="-20"/>
    <n v="120"/>
  </r>
  <r>
    <x v="8"/>
    <s v="conventional_refinance_refi_elig_pct_17"/>
    <x v="57"/>
    <n v="0.17"/>
    <n v="1"/>
    <n v="-20"/>
    <n v="120"/>
  </r>
  <r>
    <x v="8"/>
    <s v="conventional_refinance_refi_elig_pct_18"/>
    <x v="58"/>
    <n v="0.18"/>
    <n v="1"/>
    <n v="-20"/>
    <n v="120"/>
  </r>
  <r>
    <x v="8"/>
    <s v="conventional_refinance_refi_elig_pct_19"/>
    <x v="59"/>
    <n v="0.19"/>
    <n v="1"/>
    <n v="-20"/>
    <n v="120"/>
  </r>
  <r>
    <x v="8"/>
    <s v="conventional_refinance_refi_elig_pct_20"/>
    <x v="60"/>
    <n v="0.2"/>
    <n v="1"/>
    <n v="-20"/>
    <n v="120"/>
  </r>
  <r>
    <x v="8"/>
    <s v="conventional_refinance_refi_elig_pct_21"/>
    <x v="61"/>
    <n v="0.21"/>
    <n v="1"/>
    <n v="-20"/>
    <n v="120"/>
  </r>
  <r>
    <x v="8"/>
    <s v="conventional_refinance_refi_elig_pct_22"/>
    <x v="62"/>
    <n v="0.22"/>
    <n v="1"/>
    <n v="-20"/>
    <n v="120"/>
  </r>
  <r>
    <x v="8"/>
    <s v="conventional_refinance_refi_elig_pct_23"/>
    <x v="63"/>
    <n v="0.23"/>
    <n v="1"/>
    <n v="-20"/>
    <n v="120"/>
  </r>
  <r>
    <x v="8"/>
    <s v="conventional_refinance_refi_elig_pct_24"/>
    <x v="64"/>
    <n v="0.24"/>
    <n v="1"/>
    <n v="-20"/>
    <n v="120"/>
  </r>
  <r>
    <x v="8"/>
    <s v="conventional_refinance_refi_elig_pct_25"/>
    <x v="65"/>
    <n v="0.25"/>
    <n v="1"/>
    <n v="-20"/>
    <n v="120"/>
  </r>
  <r>
    <x v="8"/>
    <s v="conventional_refinance_refi_elig_pct_26"/>
    <x v="66"/>
    <n v="0.26"/>
    <n v="1"/>
    <n v="-20"/>
    <n v="120"/>
  </r>
  <r>
    <x v="8"/>
    <s v="conventional_refinance_refi_elig_pct_27"/>
    <x v="67"/>
    <n v="0.27"/>
    <n v="1"/>
    <n v="-20"/>
    <n v="120"/>
  </r>
  <r>
    <x v="8"/>
    <s v="conventional_refinance_refi_elig_pct_28"/>
    <x v="68"/>
    <n v="0.28000000000000003"/>
    <n v="1"/>
    <n v="-20"/>
    <n v="120"/>
  </r>
  <r>
    <x v="8"/>
    <s v="conventional_refinance_refi_elig_pct_29"/>
    <x v="69"/>
    <n v="0.28999999999999998"/>
    <n v="1"/>
    <n v="-20"/>
    <n v="120"/>
  </r>
  <r>
    <x v="8"/>
    <s v="conventional_refinance_refi_elig_pct_30"/>
    <x v="70"/>
    <n v="0.3"/>
    <n v="1"/>
    <n v="-20"/>
    <n v="120"/>
  </r>
  <r>
    <x v="8"/>
    <s v="conventional_refinance_refi_elig_pct_31"/>
    <x v="71"/>
    <n v="0.31"/>
    <n v="1"/>
    <n v="-20"/>
    <n v="120"/>
  </r>
  <r>
    <x v="8"/>
    <s v="conventional_refinance_refi_elig_pct_32"/>
    <x v="72"/>
    <n v="0.32"/>
    <n v="1"/>
    <n v="-20"/>
    <n v="120"/>
  </r>
  <r>
    <x v="8"/>
    <s v="conventional_refinance_refi_elig_pct_33"/>
    <x v="73"/>
    <n v="0.33"/>
    <n v="1"/>
    <n v="-20"/>
    <n v="120"/>
  </r>
  <r>
    <x v="8"/>
    <s v="conventional_refinance_refi_elig_pct_34"/>
    <x v="74"/>
    <n v="0.34"/>
    <n v="1"/>
    <n v="-20"/>
    <n v="120"/>
  </r>
  <r>
    <x v="8"/>
    <s v="conventional_refinance_refi_elig_pct_35"/>
    <x v="75"/>
    <n v="0.35"/>
    <n v="1"/>
    <n v="-20"/>
    <n v="120"/>
  </r>
  <r>
    <x v="8"/>
    <s v="conventional_refinance_refi_elig_pct_36"/>
    <x v="76"/>
    <n v="0.36"/>
    <n v="1"/>
    <n v="-20"/>
    <n v="120"/>
  </r>
  <r>
    <x v="8"/>
    <s v="conventional_refinance_refi_elig_pct_37"/>
    <x v="77"/>
    <n v="0.37"/>
    <n v="1"/>
    <n v="-20"/>
    <n v="120"/>
  </r>
  <r>
    <x v="8"/>
    <s v="conventional_refinance_refi_elig_pct_38"/>
    <x v="78"/>
    <n v="0.38"/>
    <n v="1"/>
    <n v="-20"/>
    <n v="120"/>
  </r>
  <r>
    <x v="8"/>
    <s v="conventional_refinance_refi_elig_pct_39"/>
    <x v="79"/>
    <n v="0.39"/>
    <n v="1"/>
    <n v="-20"/>
    <n v="120"/>
  </r>
  <r>
    <x v="8"/>
    <s v="conventional_refinance_refi_elig_pct_40"/>
    <x v="80"/>
    <n v="0.4"/>
    <n v="1"/>
    <n v="-20"/>
    <n v="120"/>
  </r>
  <r>
    <x v="8"/>
    <s v="conventional_refinance_refi_elig_pct_41"/>
    <x v="81"/>
    <n v="0.41"/>
    <n v="1"/>
    <n v="-20"/>
    <n v="120"/>
  </r>
  <r>
    <x v="8"/>
    <s v="conventional_refinance_refi_elig_pct_42"/>
    <x v="82"/>
    <n v="0.42"/>
    <n v="1"/>
    <n v="-20"/>
    <n v="120"/>
  </r>
  <r>
    <x v="8"/>
    <s v="conventional_refinance_refi_elig_pct_43"/>
    <x v="83"/>
    <n v="0.43"/>
    <n v="1"/>
    <n v="-20"/>
    <n v="120"/>
  </r>
  <r>
    <x v="8"/>
    <s v="conventional_refinance_refi_elig_pct_44"/>
    <x v="84"/>
    <n v="0.44"/>
    <n v="1"/>
    <n v="-20"/>
    <n v="120"/>
  </r>
  <r>
    <x v="8"/>
    <s v="conventional_refinance_refi_elig_pct_45"/>
    <x v="85"/>
    <n v="0.45"/>
    <n v="1"/>
    <n v="-20"/>
    <n v="120"/>
  </r>
  <r>
    <x v="8"/>
    <s v="conventional_refinance_refi_elig_pct_46"/>
    <x v="86"/>
    <n v="0.46"/>
    <n v="1"/>
    <n v="-20"/>
    <n v="120"/>
  </r>
  <r>
    <x v="8"/>
    <s v="conventional_refinance_refi_elig_pct_47"/>
    <x v="87"/>
    <n v="0.47"/>
    <n v="1"/>
    <n v="-20"/>
    <n v="120"/>
  </r>
  <r>
    <x v="8"/>
    <s v="conventional_refinance_refi_elig_pct_48"/>
    <x v="88"/>
    <n v="0.48"/>
    <n v="1"/>
    <n v="-20"/>
    <n v="120"/>
  </r>
  <r>
    <x v="8"/>
    <s v="conventional_refinance_refi_elig_pct_49"/>
    <x v="89"/>
    <n v="0.49"/>
    <n v="1"/>
    <n v="-20"/>
    <n v="120"/>
  </r>
  <r>
    <x v="8"/>
    <s v="conventional_refinance_refi_elig_pct_50"/>
    <x v="90"/>
    <n v="0.5"/>
    <n v="1"/>
    <n v="-20"/>
    <n v="120"/>
  </r>
  <r>
    <x v="8"/>
    <s v="conventional_refinance_refi_elig_pct_51"/>
    <x v="91"/>
    <n v="0.51"/>
    <n v="1"/>
    <n v="-20"/>
    <n v="120"/>
  </r>
  <r>
    <x v="8"/>
    <s v="conventional_refinance_refi_elig_pct_52"/>
    <x v="92"/>
    <n v="0.52"/>
    <n v="1"/>
    <n v="-20"/>
    <n v="120"/>
  </r>
  <r>
    <x v="8"/>
    <s v="conventional_refinance_refi_elig_pct_53"/>
    <x v="93"/>
    <n v="0.53"/>
    <n v="1"/>
    <n v="-20"/>
    <n v="120"/>
  </r>
  <r>
    <x v="8"/>
    <s v="conventional_refinance_refi_elig_pct_54"/>
    <x v="94"/>
    <n v="0.54"/>
    <n v="1"/>
    <n v="-20"/>
    <n v="120"/>
  </r>
  <r>
    <x v="8"/>
    <s v="conventional_refinance_refi_elig_pct_55"/>
    <x v="95"/>
    <n v="0.55000000000000004"/>
    <n v="1"/>
    <n v="-20"/>
    <n v="120"/>
  </r>
  <r>
    <x v="8"/>
    <s v="conventional_refinance_refi_elig_pct_56"/>
    <x v="96"/>
    <n v="0.56000000000000005"/>
    <n v="1"/>
    <n v="-20"/>
    <n v="120"/>
  </r>
  <r>
    <x v="8"/>
    <s v="conventional_refinance_refi_elig_pct_57"/>
    <x v="97"/>
    <n v="0.56999999999999995"/>
    <n v="1"/>
    <n v="-20"/>
    <n v="120"/>
  </r>
  <r>
    <x v="8"/>
    <s v="conventional_refinance_refi_elig_pct_58"/>
    <x v="98"/>
    <n v="0.57999999999999996"/>
    <n v="1"/>
    <n v="-20"/>
    <n v="120"/>
  </r>
  <r>
    <x v="8"/>
    <s v="conventional_refinance_refi_elig_pct_59"/>
    <x v="99"/>
    <n v="0.59"/>
    <n v="1"/>
    <n v="-20"/>
    <n v="120"/>
  </r>
  <r>
    <x v="8"/>
    <s v="conventional_refinance_refi_elig_pct_60"/>
    <x v="100"/>
    <n v="0.6"/>
    <n v="1"/>
    <n v="-20"/>
    <n v="120"/>
  </r>
  <r>
    <x v="8"/>
    <s v="conventional_refinance_refi_elig_pct_61"/>
    <x v="101"/>
    <n v="0.61"/>
    <n v="1"/>
    <n v="-20"/>
    <n v="120"/>
  </r>
  <r>
    <x v="8"/>
    <s v="conventional_refinance_refi_elig_pct_62"/>
    <x v="102"/>
    <n v="0.62"/>
    <n v="1"/>
    <n v="-20"/>
    <n v="120"/>
  </r>
  <r>
    <x v="8"/>
    <s v="conventional_refinance_refi_elig_pct_63"/>
    <x v="103"/>
    <n v="0.63"/>
    <n v="1"/>
    <n v="-20"/>
    <n v="120"/>
  </r>
  <r>
    <x v="8"/>
    <s v="conventional_refinance_refi_elig_pct_64"/>
    <x v="104"/>
    <n v="0.64"/>
    <n v="1"/>
    <n v="-20"/>
    <n v="120"/>
  </r>
  <r>
    <x v="8"/>
    <s v="conventional_refinance_refi_elig_pct_65"/>
    <x v="105"/>
    <n v="0.65"/>
    <n v="1"/>
    <n v="-20"/>
    <n v="120"/>
  </r>
  <r>
    <x v="8"/>
    <s v="conventional_refinance_refi_elig_pct_66"/>
    <x v="106"/>
    <n v="0.66"/>
    <n v="1"/>
    <n v="-20"/>
    <n v="120"/>
  </r>
  <r>
    <x v="8"/>
    <s v="conventional_refinance_refi_elig_pct_67"/>
    <x v="107"/>
    <n v="0.67"/>
    <n v="1"/>
    <n v="-20"/>
    <n v="120"/>
  </r>
  <r>
    <x v="8"/>
    <s v="conventional_refinance_refi_elig_pct_68"/>
    <x v="108"/>
    <n v="0.68"/>
    <n v="1"/>
    <n v="-20"/>
    <n v="120"/>
  </r>
  <r>
    <x v="8"/>
    <s v="conventional_refinance_refi_elig_pct_69"/>
    <x v="109"/>
    <n v="0.69"/>
    <n v="1"/>
    <n v="-20"/>
    <n v="120"/>
  </r>
  <r>
    <x v="8"/>
    <s v="conventional_refinance_refi_elig_pct_70"/>
    <x v="110"/>
    <n v="0.7"/>
    <n v="1"/>
    <n v="-20"/>
    <n v="120"/>
  </r>
  <r>
    <x v="8"/>
    <s v="conventional_refinance_refi_elig_pct_71"/>
    <x v="111"/>
    <n v="0.71"/>
    <n v="1"/>
    <n v="-20"/>
    <n v="120"/>
  </r>
  <r>
    <x v="8"/>
    <s v="conventional_refinance_refi_elig_pct_72"/>
    <x v="112"/>
    <n v="0.72"/>
    <n v="1"/>
    <n v="-20"/>
    <n v="120"/>
  </r>
  <r>
    <x v="8"/>
    <s v="conventional_refinance_refi_elig_pct_73"/>
    <x v="113"/>
    <n v="0.73"/>
    <n v="1"/>
    <n v="-20"/>
    <n v="120"/>
  </r>
  <r>
    <x v="8"/>
    <s v="conventional_refinance_refi_elig_pct_74"/>
    <x v="114"/>
    <n v="0.74"/>
    <n v="1"/>
    <n v="-20"/>
    <n v="120"/>
  </r>
  <r>
    <x v="8"/>
    <s v="conventional_refinance_refi_elig_pct_75"/>
    <x v="115"/>
    <n v="0.75"/>
    <n v="1"/>
    <n v="-20"/>
    <n v="120"/>
  </r>
  <r>
    <x v="8"/>
    <s v="conventional_refinance_refi_elig_pct_76"/>
    <x v="116"/>
    <n v="0.76"/>
    <n v="1"/>
    <n v="-20"/>
    <n v="120"/>
  </r>
  <r>
    <x v="8"/>
    <s v="conventional_refinance_refi_elig_pct_77"/>
    <x v="117"/>
    <n v="0.77"/>
    <n v="1"/>
    <n v="-20"/>
    <n v="120"/>
  </r>
  <r>
    <x v="8"/>
    <s v="conventional_refinance_refi_elig_pct_78"/>
    <x v="118"/>
    <n v="0.78"/>
    <n v="1"/>
    <n v="-20"/>
    <n v="120"/>
  </r>
  <r>
    <x v="8"/>
    <s v="conventional_refinance_refi_elig_pct_79"/>
    <x v="119"/>
    <n v="0.79"/>
    <n v="1"/>
    <n v="-20"/>
    <n v="120"/>
  </r>
  <r>
    <x v="8"/>
    <s v="conventional_refinance_refi_elig_pct_80"/>
    <x v="120"/>
    <n v="0.8"/>
    <n v="1"/>
    <n v="-20"/>
    <n v="120"/>
  </r>
  <r>
    <x v="8"/>
    <s v="conventional_refinance_refi_elig_pct_81"/>
    <x v="121"/>
    <n v="0.81"/>
    <n v="1"/>
    <n v="-20"/>
    <n v="120"/>
  </r>
  <r>
    <x v="8"/>
    <s v="conventional_refinance_refi_elig_pct_82"/>
    <x v="122"/>
    <n v="0.82"/>
    <n v="1"/>
    <n v="-20"/>
    <n v="120"/>
  </r>
  <r>
    <x v="8"/>
    <s v="conventional_refinance_refi_elig_pct_83"/>
    <x v="123"/>
    <n v="0.83"/>
    <n v="1"/>
    <n v="-20"/>
    <n v="120"/>
  </r>
  <r>
    <x v="8"/>
    <s v="conventional_refinance_refi_elig_pct_84"/>
    <x v="124"/>
    <n v="0.84"/>
    <n v="1"/>
    <n v="-20"/>
    <n v="120"/>
  </r>
  <r>
    <x v="8"/>
    <s v="conventional_refinance_refi_elig_pct_85"/>
    <x v="125"/>
    <n v="0.85"/>
    <n v="1"/>
    <n v="-20"/>
    <n v="120"/>
  </r>
  <r>
    <x v="8"/>
    <s v="conventional_refinance_refi_elig_pct_86"/>
    <x v="126"/>
    <n v="0.86"/>
    <n v="1"/>
    <n v="-20"/>
    <n v="120"/>
  </r>
  <r>
    <x v="8"/>
    <s v="conventional_refinance_refi_elig_pct_87"/>
    <x v="127"/>
    <n v="0.87"/>
    <n v="1"/>
    <n v="-20"/>
    <n v="120"/>
  </r>
  <r>
    <x v="8"/>
    <s v="conventional_refinance_refi_elig_pct_88"/>
    <x v="128"/>
    <n v="0.88"/>
    <n v="1"/>
    <n v="-20"/>
    <n v="120"/>
  </r>
  <r>
    <x v="8"/>
    <s v="conventional_refinance_refi_elig_pct_89"/>
    <x v="129"/>
    <n v="0.89"/>
    <n v="1"/>
    <n v="-20"/>
    <n v="120"/>
  </r>
  <r>
    <x v="8"/>
    <s v="conventional_refinance_refi_elig_pct_90"/>
    <x v="130"/>
    <n v="0.9"/>
    <n v="1"/>
    <n v="-20"/>
    <n v="120"/>
  </r>
  <r>
    <x v="8"/>
    <s v="conventional_refinance_refi_elig_pct_91"/>
    <x v="131"/>
    <n v="0.91"/>
    <n v="1"/>
    <n v="-20"/>
    <n v="120"/>
  </r>
  <r>
    <x v="8"/>
    <s v="conventional_refinance_refi_elig_pct_92"/>
    <x v="132"/>
    <n v="0.92"/>
    <n v="1"/>
    <n v="-20"/>
    <n v="120"/>
  </r>
  <r>
    <x v="8"/>
    <s v="conventional_refinance_refi_elig_pct_93"/>
    <x v="133"/>
    <n v="0.93"/>
    <n v="1"/>
    <n v="-20"/>
    <n v="120"/>
  </r>
  <r>
    <x v="8"/>
    <s v="conventional_refinance_refi_elig_pct_94"/>
    <x v="134"/>
    <n v="0.94"/>
    <n v="1"/>
    <n v="-20"/>
    <n v="120"/>
  </r>
  <r>
    <x v="8"/>
    <s v="conventional_refinance_refi_elig_pct_95"/>
    <x v="135"/>
    <n v="0.95"/>
    <n v="1"/>
    <n v="-20"/>
    <n v="120"/>
  </r>
  <r>
    <x v="8"/>
    <s v="conventional_refinance_refi_elig_pct_96"/>
    <x v="136"/>
    <n v="0.96"/>
    <n v="1"/>
    <n v="-20"/>
    <n v="120"/>
  </r>
  <r>
    <x v="8"/>
    <s v="conventional_refinance_refi_elig_pct_97"/>
    <x v="137"/>
    <n v="0.97"/>
    <n v="1"/>
    <n v="-20"/>
    <n v="120"/>
  </r>
  <r>
    <x v="8"/>
    <s v="conventional_refinance_refi_elig_pct_98"/>
    <x v="138"/>
    <n v="0.98"/>
    <n v="1"/>
    <n v="-20"/>
    <n v="120"/>
  </r>
  <r>
    <x v="8"/>
    <s v="conventional_refinance_refi_elig_pct_99"/>
    <x v="139"/>
    <n v="0.99"/>
    <n v="1"/>
    <n v="-20"/>
    <n v="120"/>
  </r>
  <r>
    <x v="8"/>
    <s v="conventional_refinance_refi_elig_pct_100"/>
    <x v="140"/>
    <n v="1"/>
    <n v="1"/>
    <n v="-20"/>
    <n v="120"/>
  </r>
  <r>
    <x v="8"/>
    <s v="conventional_refinance_refi_elig_pct_101"/>
    <x v="141"/>
    <n v="1.01"/>
    <n v="1"/>
    <n v="-20"/>
    <n v="120"/>
  </r>
  <r>
    <x v="8"/>
    <s v="conventional_refinance_refi_elig_pct_102"/>
    <x v="142"/>
    <n v="1.02"/>
    <n v="1"/>
    <n v="-20"/>
    <n v="120"/>
  </r>
  <r>
    <x v="8"/>
    <s v="conventional_refinance_refi_elig_pct_103"/>
    <x v="143"/>
    <n v="1.03"/>
    <n v="1"/>
    <n v="-20"/>
    <n v="120"/>
  </r>
  <r>
    <x v="8"/>
    <s v="conventional_refinance_refi_elig_pct_104"/>
    <x v="144"/>
    <n v="1.04"/>
    <n v="1"/>
    <n v="-20"/>
    <n v="120"/>
  </r>
  <r>
    <x v="8"/>
    <s v="conventional_refinance_refi_elig_pct_105"/>
    <x v="145"/>
    <n v="1.05"/>
    <n v="1"/>
    <n v="-20"/>
    <n v="120"/>
  </r>
  <r>
    <x v="8"/>
    <s v="conventional_refinance_refi_elig_pct_106"/>
    <x v="146"/>
    <n v="1.06"/>
    <n v="1"/>
    <n v="-20"/>
    <n v="120"/>
  </r>
  <r>
    <x v="8"/>
    <s v="conventional_refinance_refi_elig_pct_107"/>
    <x v="147"/>
    <n v="1.07"/>
    <n v="1"/>
    <n v="-20"/>
    <n v="120"/>
  </r>
  <r>
    <x v="8"/>
    <s v="conventional_refinance_refi_elig_pct_108"/>
    <x v="148"/>
    <n v="1.08"/>
    <n v="1"/>
    <n v="-20"/>
    <n v="120"/>
  </r>
  <r>
    <x v="8"/>
    <s v="conventional_refinance_refi_elig_pct_109"/>
    <x v="149"/>
    <n v="1.0900000000000001"/>
    <n v="1"/>
    <n v="-20"/>
    <n v="120"/>
  </r>
  <r>
    <x v="8"/>
    <s v="conventional_refinance_refi_elig_pct_110"/>
    <x v="150"/>
    <n v="1.1000000000000001"/>
    <n v="1"/>
    <n v="-20"/>
    <n v="120"/>
  </r>
  <r>
    <x v="8"/>
    <s v="conventional_refinance_refi_elig_pct_111"/>
    <x v="151"/>
    <n v="1.1100000000000001"/>
    <n v="1"/>
    <n v="-20"/>
    <n v="120"/>
  </r>
  <r>
    <x v="8"/>
    <s v="conventional_refinance_refi_elig_pct_112"/>
    <x v="152"/>
    <n v="1.1200000000000001"/>
    <n v="1"/>
    <n v="-20"/>
    <n v="120"/>
  </r>
  <r>
    <x v="8"/>
    <s v="conventional_refinance_refi_elig_pct_113"/>
    <x v="153"/>
    <n v="1.1299999999999999"/>
    <n v="1"/>
    <n v="-20"/>
    <n v="120"/>
  </r>
  <r>
    <x v="8"/>
    <s v="conventional_refinance_refi_elig_pct_114"/>
    <x v="154"/>
    <n v="1.1399999999999999"/>
    <n v="1"/>
    <n v="-20"/>
    <n v="120"/>
  </r>
  <r>
    <x v="8"/>
    <s v="conventional_refinance_refi_elig_pct_115"/>
    <x v="155"/>
    <n v="1.1499999999999999"/>
    <n v="1"/>
    <n v="-20"/>
    <n v="120"/>
  </r>
  <r>
    <x v="8"/>
    <s v="conventional_refinance_refi_elig_pct_116"/>
    <x v="156"/>
    <n v="1.1599999999999999"/>
    <n v="1"/>
    <n v="-20"/>
    <n v="120"/>
  </r>
  <r>
    <x v="8"/>
    <s v="conventional_refinance_refi_elig_pct_117"/>
    <x v="157"/>
    <n v="1.17"/>
    <n v="1"/>
    <n v="-20"/>
    <n v="120"/>
  </r>
  <r>
    <x v="8"/>
    <s v="conventional_refinance_refi_elig_pct_118"/>
    <x v="158"/>
    <n v="1.18"/>
    <n v="1"/>
    <n v="-20"/>
    <n v="120"/>
  </r>
  <r>
    <x v="8"/>
    <s v="conventional_refinance_refi_elig_pct_119"/>
    <x v="159"/>
    <n v="1.19"/>
    <n v="1"/>
    <n v="-20"/>
    <n v="120"/>
  </r>
  <r>
    <x v="8"/>
    <s v="conventional_refinance_refi_elig_pct_120"/>
    <x v="160"/>
    <n v="1.2"/>
    <n v="1"/>
    <n v="-20"/>
    <n v="120"/>
  </r>
  <r>
    <x v="9"/>
    <s v="conventional_refinance_pct_2nd_-20"/>
    <x v="20"/>
    <n v="1"/>
    <n v="1"/>
    <n v="-20"/>
    <n v="120"/>
  </r>
  <r>
    <x v="9"/>
    <s v="conventional_refinance_pct_2nd_-19"/>
    <x v="21"/>
    <n v="1"/>
    <n v="1"/>
    <n v="-20"/>
    <n v="120"/>
  </r>
  <r>
    <x v="9"/>
    <s v="conventional_refinance_pct_2nd_-18"/>
    <x v="22"/>
    <n v="1"/>
    <n v="1"/>
    <n v="-20"/>
    <n v="120"/>
  </r>
  <r>
    <x v="9"/>
    <s v="conventional_refinance_pct_2nd_-17"/>
    <x v="23"/>
    <n v="1"/>
    <n v="1"/>
    <n v="-20"/>
    <n v="120"/>
  </r>
  <r>
    <x v="9"/>
    <s v="conventional_refinance_pct_2nd_-16"/>
    <x v="24"/>
    <n v="1"/>
    <n v="1"/>
    <n v="-20"/>
    <n v="120"/>
  </r>
  <r>
    <x v="9"/>
    <s v="conventional_refinance_pct_2nd_-15"/>
    <x v="25"/>
    <n v="1"/>
    <n v="1"/>
    <n v="-20"/>
    <n v="120"/>
  </r>
  <r>
    <x v="9"/>
    <s v="conventional_refinance_pct_2nd_-14"/>
    <x v="26"/>
    <n v="1"/>
    <n v="1"/>
    <n v="-20"/>
    <n v="120"/>
  </r>
  <r>
    <x v="9"/>
    <s v="conventional_refinance_pct_2nd_-13"/>
    <x v="27"/>
    <n v="1"/>
    <n v="1"/>
    <n v="-20"/>
    <n v="120"/>
  </r>
  <r>
    <x v="9"/>
    <s v="conventional_refinance_pct_2nd_-12"/>
    <x v="28"/>
    <n v="1"/>
    <n v="1"/>
    <n v="-20"/>
    <n v="120"/>
  </r>
  <r>
    <x v="9"/>
    <s v="conventional_refinance_pct_2nd_-11"/>
    <x v="29"/>
    <n v="1"/>
    <n v="1"/>
    <n v="-20"/>
    <n v="120"/>
  </r>
  <r>
    <x v="9"/>
    <s v="conventional_refinance_pct_2nd_-10"/>
    <x v="30"/>
    <n v="1"/>
    <n v="1"/>
    <n v="-20"/>
    <n v="120"/>
  </r>
  <r>
    <x v="9"/>
    <s v="conventional_refinance_pct_2nd_-9"/>
    <x v="31"/>
    <n v="1"/>
    <n v="1"/>
    <n v="-20"/>
    <n v="120"/>
  </r>
  <r>
    <x v="9"/>
    <s v="conventional_refinance_pct_2nd_-8"/>
    <x v="32"/>
    <n v="1"/>
    <n v="1"/>
    <n v="-20"/>
    <n v="120"/>
  </r>
  <r>
    <x v="9"/>
    <s v="conventional_refinance_pct_2nd_-7"/>
    <x v="33"/>
    <n v="1"/>
    <n v="1"/>
    <n v="-20"/>
    <n v="120"/>
  </r>
  <r>
    <x v="9"/>
    <s v="conventional_refinance_pct_2nd_-6"/>
    <x v="34"/>
    <n v="1"/>
    <n v="1"/>
    <n v="-20"/>
    <n v="120"/>
  </r>
  <r>
    <x v="9"/>
    <s v="conventional_refinance_pct_2nd_-5"/>
    <x v="35"/>
    <n v="1"/>
    <n v="1"/>
    <n v="-20"/>
    <n v="120"/>
  </r>
  <r>
    <x v="9"/>
    <s v="conventional_refinance_pct_2nd_-4"/>
    <x v="36"/>
    <n v="1"/>
    <n v="1"/>
    <n v="-20"/>
    <n v="120"/>
  </r>
  <r>
    <x v="9"/>
    <s v="conventional_refinance_pct_2nd_-3"/>
    <x v="37"/>
    <n v="1"/>
    <n v="1"/>
    <n v="-20"/>
    <n v="120"/>
  </r>
  <r>
    <x v="9"/>
    <s v="conventional_refinance_pct_2nd_-2"/>
    <x v="38"/>
    <n v="1"/>
    <n v="1"/>
    <n v="-20"/>
    <n v="120"/>
  </r>
  <r>
    <x v="9"/>
    <s v="conventional_refinance_pct_2nd_-1"/>
    <x v="39"/>
    <n v="1"/>
    <n v="1"/>
    <n v="-20"/>
    <n v="120"/>
  </r>
  <r>
    <x v="9"/>
    <s v="conventional_refinance_pct_2nd_0"/>
    <x v="40"/>
    <n v="1"/>
    <n v="1"/>
    <n v="-20"/>
    <n v="120"/>
  </r>
  <r>
    <x v="9"/>
    <s v="conventional_refinance_pct_2nd_1"/>
    <x v="41"/>
    <n v="1"/>
    <n v="1"/>
    <n v="-20"/>
    <n v="120"/>
  </r>
  <r>
    <x v="9"/>
    <s v="conventional_refinance_pct_2nd_2"/>
    <x v="42"/>
    <n v="1"/>
    <n v="1"/>
    <n v="-20"/>
    <n v="120"/>
  </r>
  <r>
    <x v="9"/>
    <s v="conventional_refinance_pct_2nd_3"/>
    <x v="43"/>
    <n v="1"/>
    <n v="1"/>
    <n v="-20"/>
    <n v="120"/>
  </r>
  <r>
    <x v="9"/>
    <s v="conventional_refinance_pct_2nd_4"/>
    <x v="44"/>
    <n v="1"/>
    <n v="1"/>
    <n v="-20"/>
    <n v="120"/>
  </r>
  <r>
    <x v="9"/>
    <s v="conventional_refinance_pct_2nd_5"/>
    <x v="45"/>
    <n v="1"/>
    <n v="1"/>
    <n v="-20"/>
    <n v="120"/>
  </r>
  <r>
    <x v="9"/>
    <s v="conventional_refinance_pct_2nd_6"/>
    <x v="46"/>
    <n v="1"/>
    <n v="1"/>
    <n v="-20"/>
    <n v="120"/>
  </r>
  <r>
    <x v="9"/>
    <s v="conventional_refinance_pct_2nd_7"/>
    <x v="47"/>
    <n v="1"/>
    <n v="1"/>
    <n v="-20"/>
    <n v="120"/>
  </r>
  <r>
    <x v="9"/>
    <s v="conventional_refinance_pct_2nd_8"/>
    <x v="48"/>
    <n v="1"/>
    <n v="1"/>
    <n v="-20"/>
    <n v="120"/>
  </r>
  <r>
    <x v="9"/>
    <s v="conventional_refinance_pct_2nd_9"/>
    <x v="49"/>
    <n v="1"/>
    <n v="1"/>
    <n v="-20"/>
    <n v="120"/>
  </r>
  <r>
    <x v="9"/>
    <s v="conventional_refinance_pct_2nd_10"/>
    <x v="50"/>
    <n v="1"/>
    <n v="1"/>
    <n v="-20"/>
    <n v="120"/>
  </r>
  <r>
    <x v="9"/>
    <s v="conventional_refinance_pct_2nd_11"/>
    <x v="51"/>
    <n v="1"/>
    <n v="1"/>
    <n v="-20"/>
    <n v="120"/>
  </r>
  <r>
    <x v="9"/>
    <s v="conventional_refinance_pct_2nd_12"/>
    <x v="52"/>
    <n v="1"/>
    <n v="1"/>
    <n v="-20"/>
    <n v="120"/>
  </r>
  <r>
    <x v="9"/>
    <s v="conventional_refinance_pct_2nd_13"/>
    <x v="53"/>
    <n v="1"/>
    <n v="1"/>
    <n v="-20"/>
    <n v="120"/>
  </r>
  <r>
    <x v="9"/>
    <s v="conventional_refinance_pct_2nd_14"/>
    <x v="54"/>
    <n v="1"/>
    <n v="1"/>
    <n v="-20"/>
    <n v="120"/>
  </r>
  <r>
    <x v="9"/>
    <s v="conventional_refinance_pct_2nd_15"/>
    <x v="55"/>
    <n v="1"/>
    <n v="1"/>
    <n v="-20"/>
    <n v="120"/>
  </r>
  <r>
    <x v="9"/>
    <s v="conventional_refinance_pct_2nd_16"/>
    <x v="56"/>
    <n v="1"/>
    <n v="1"/>
    <n v="-20"/>
    <n v="120"/>
  </r>
  <r>
    <x v="9"/>
    <s v="conventional_refinance_pct_2nd_17"/>
    <x v="57"/>
    <n v="1"/>
    <n v="1"/>
    <n v="-20"/>
    <n v="120"/>
  </r>
  <r>
    <x v="9"/>
    <s v="conventional_refinance_pct_2nd_18"/>
    <x v="58"/>
    <n v="1"/>
    <n v="1"/>
    <n v="-20"/>
    <n v="120"/>
  </r>
  <r>
    <x v="9"/>
    <s v="conventional_refinance_pct_2nd_19"/>
    <x v="59"/>
    <n v="1"/>
    <n v="1"/>
    <n v="-20"/>
    <n v="120"/>
  </r>
  <r>
    <x v="9"/>
    <s v="conventional_refinance_pct_2nd_20"/>
    <x v="60"/>
    <n v="1"/>
    <n v="1"/>
    <n v="-20"/>
    <n v="120"/>
  </r>
  <r>
    <x v="9"/>
    <s v="conventional_refinance_pct_2nd_21"/>
    <x v="61"/>
    <n v="1"/>
    <n v="1"/>
    <n v="-20"/>
    <n v="120"/>
  </r>
  <r>
    <x v="9"/>
    <s v="conventional_refinance_pct_2nd_22"/>
    <x v="62"/>
    <n v="1"/>
    <n v="1"/>
    <n v="-20"/>
    <n v="120"/>
  </r>
  <r>
    <x v="9"/>
    <s v="conventional_refinance_pct_2nd_23"/>
    <x v="63"/>
    <n v="1"/>
    <n v="1"/>
    <n v="-20"/>
    <n v="120"/>
  </r>
  <r>
    <x v="9"/>
    <s v="conventional_refinance_pct_2nd_24"/>
    <x v="64"/>
    <n v="1"/>
    <n v="1"/>
    <n v="-20"/>
    <n v="120"/>
  </r>
  <r>
    <x v="9"/>
    <s v="conventional_refinance_pct_2nd_25"/>
    <x v="65"/>
    <n v="1"/>
    <n v="1"/>
    <n v="-20"/>
    <n v="120"/>
  </r>
  <r>
    <x v="9"/>
    <s v="conventional_refinance_pct_2nd_26"/>
    <x v="66"/>
    <n v="1"/>
    <n v="1"/>
    <n v="-20"/>
    <n v="120"/>
  </r>
  <r>
    <x v="9"/>
    <s v="conventional_refinance_pct_2nd_27"/>
    <x v="67"/>
    <n v="1"/>
    <n v="1"/>
    <n v="-20"/>
    <n v="120"/>
  </r>
  <r>
    <x v="9"/>
    <s v="conventional_refinance_pct_2nd_28"/>
    <x v="68"/>
    <n v="1"/>
    <n v="1"/>
    <n v="-20"/>
    <n v="120"/>
  </r>
  <r>
    <x v="9"/>
    <s v="conventional_refinance_pct_2nd_29"/>
    <x v="69"/>
    <n v="1"/>
    <n v="1"/>
    <n v="-20"/>
    <n v="120"/>
  </r>
  <r>
    <x v="9"/>
    <s v="conventional_refinance_pct_2nd_30"/>
    <x v="70"/>
    <n v="1"/>
    <n v="1"/>
    <n v="-20"/>
    <n v="120"/>
  </r>
  <r>
    <x v="9"/>
    <s v="conventional_refinance_pct_2nd_31"/>
    <x v="71"/>
    <n v="1"/>
    <n v="1"/>
    <n v="-20"/>
    <n v="120"/>
  </r>
  <r>
    <x v="9"/>
    <s v="conventional_refinance_pct_2nd_32"/>
    <x v="72"/>
    <n v="1"/>
    <n v="1"/>
    <n v="-20"/>
    <n v="120"/>
  </r>
  <r>
    <x v="9"/>
    <s v="conventional_refinance_pct_2nd_33"/>
    <x v="73"/>
    <n v="1"/>
    <n v="1"/>
    <n v="-20"/>
    <n v="120"/>
  </r>
  <r>
    <x v="9"/>
    <s v="conventional_refinance_pct_2nd_34"/>
    <x v="74"/>
    <n v="1"/>
    <n v="1"/>
    <n v="-20"/>
    <n v="120"/>
  </r>
  <r>
    <x v="9"/>
    <s v="conventional_refinance_pct_2nd_35"/>
    <x v="75"/>
    <n v="1"/>
    <n v="1"/>
    <n v="-20"/>
    <n v="120"/>
  </r>
  <r>
    <x v="9"/>
    <s v="conventional_refinance_pct_2nd_36"/>
    <x v="76"/>
    <n v="1"/>
    <n v="1"/>
    <n v="-20"/>
    <n v="120"/>
  </r>
  <r>
    <x v="9"/>
    <s v="conventional_refinance_pct_2nd_37"/>
    <x v="77"/>
    <n v="1"/>
    <n v="1"/>
    <n v="-20"/>
    <n v="120"/>
  </r>
  <r>
    <x v="9"/>
    <s v="conventional_refinance_pct_2nd_38"/>
    <x v="78"/>
    <n v="1"/>
    <n v="1"/>
    <n v="-20"/>
    <n v="120"/>
  </r>
  <r>
    <x v="9"/>
    <s v="conventional_refinance_pct_2nd_39"/>
    <x v="79"/>
    <n v="1"/>
    <n v="1"/>
    <n v="-20"/>
    <n v="120"/>
  </r>
  <r>
    <x v="9"/>
    <s v="conventional_refinance_pct_2nd_40"/>
    <x v="80"/>
    <n v="1"/>
    <n v="1"/>
    <n v="-20"/>
    <n v="120"/>
  </r>
  <r>
    <x v="9"/>
    <s v="conventional_refinance_pct_2nd_41"/>
    <x v="81"/>
    <n v="1"/>
    <n v="1"/>
    <n v="-20"/>
    <n v="120"/>
  </r>
  <r>
    <x v="9"/>
    <s v="conventional_refinance_pct_2nd_42"/>
    <x v="82"/>
    <n v="1"/>
    <n v="1"/>
    <n v="-20"/>
    <n v="120"/>
  </r>
  <r>
    <x v="9"/>
    <s v="conventional_refinance_pct_2nd_43"/>
    <x v="83"/>
    <n v="1"/>
    <n v="1"/>
    <n v="-20"/>
    <n v="120"/>
  </r>
  <r>
    <x v="9"/>
    <s v="conventional_refinance_pct_2nd_44"/>
    <x v="84"/>
    <n v="1"/>
    <n v="1"/>
    <n v="-20"/>
    <n v="120"/>
  </r>
  <r>
    <x v="9"/>
    <s v="conventional_refinance_pct_2nd_45"/>
    <x v="85"/>
    <n v="1"/>
    <n v="1"/>
    <n v="-20"/>
    <n v="120"/>
  </r>
  <r>
    <x v="9"/>
    <s v="conventional_refinance_pct_2nd_46"/>
    <x v="86"/>
    <n v="1"/>
    <n v="1"/>
    <n v="-20"/>
    <n v="120"/>
  </r>
  <r>
    <x v="9"/>
    <s v="conventional_refinance_pct_2nd_47"/>
    <x v="87"/>
    <n v="1"/>
    <n v="1"/>
    <n v="-20"/>
    <n v="120"/>
  </r>
  <r>
    <x v="9"/>
    <s v="conventional_refinance_pct_2nd_48"/>
    <x v="88"/>
    <n v="1"/>
    <n v="1"/>
    <n v="-20"/>
    <n v="120"/>
  </r>
  <r>
    <x v="9"/>
    <s v="conventional_refinance_pct_2nd_49"/>
    <x v="89"/>
    <n v="1"/>
    <n v="1"/>
    <n v="-20"/>
    <n v="120"/>
  </r>
  <r>
    <x v="9"/>
    <s v="conventional_refinance_pct_2nd_50"/>
    <x v="90"/>
    <n v="1"/>
    <n v="1"/>
    <n v="-20"/>
    <n v="120"/>
  </r>
  <r>
    <x v="9"/>
    <s v="conventional_refinance_pct_2nd_51"/>
    <x v="91"/>
    <n v="1"/>
    <n v="1"/>
    <n v="-20"/>
    <n v="120"/>
  </r>
  <r>
    <x v="9"/>
    <s v="conventional_refinance_pct_2nd_52"/>
    <x v="92"/>
    <n v="1"/>
    <n v="1"/>
    <n v="-20"/>
    <n v="120"/>
  </r>
  <r>
    <x v="9"/>
    <s v="conventional_refinance_pct_2nd_53"/>
    <x v="93"/>
    <n v="1"/>
    <n v="1"/>
    <n v="-20"/>
    <n v="120"/>
  </r>
  <r>
    <x v="9"/>
    <s v="conventional_refinance_pct_2nd_54"/>
    <x v="94"/>
    <n v="1"/>
    <n v="1"/>
    <n v="-20"/>
    <n v="120"/>
  </r>
  <r>
    <x v="9"/>
    <s v="conventional_refinance_pct_2nd_55"/>
    <x v="95"/>
    <n v="1"/>
    <n v="1"/>
    <n v="-20"/>
    <n v="120"/>
  </r>
  <r>
    <x v="9"/>
    <s v="conventional_refinance_pct_2nd_56"/>
    <x v="96"/>
    <n v="1"/>
    <n v="1"/>
    <n v="-20"/>
    <n v="120"/>
  </r>
  <r>
    <x v="9"/>
    <s v="conventional_refinance_pct_2nd_57"/>
    <x v="97"/>
    <n v="1"/>
    <n v="1"/>
    <n v="-20"/>
    <n v="120"/>
  </r>
  <r>
    <x v="9"/>
    <s v="conventional_refinance_pct_2nd_58"/>
    <x v="98"/>
    <n v="1"/>
    <n v="1"/>
    <n v="-20"/>
    <n v="120"/>
  </r>
  <r>
    <x v="9"/>
    <s v="conventional_refinance_pct_2nd_59"/>
    <x v="99"/>
    <n v="1"/>
    <n v="1"/>
    <n v="-20"/>
    <n v="120"/>
  </r>
  <r>
    <x v="9"/>
    <s v="conventional_refinance_pct_2nd_60"/>
    <x v="100"/>
    <n v="1"/>
    <n v="1"/>
    <n v="-20"/>
    <n v="120"/>
  </r>
  <r>
    <x v="9"/>
    <s v="conventional_refinance_pct_2nd_61"/>
    <x v="101"/>
    <n v="1"/>
    <n v="1"/>
    <n v="-20"/>
    <n v="120"/>
  </r>
  <r>
    <x v="9"/>
    <s v="conventional_refinance_pct_2nd_62"/>
    <x v="102"/>
    <n v="1"/>
    <n v="1"/>
    <n v="-20"/>
    <n v="120"/>
  </r>
  <r>
    <x v="9"/>
    <s v="conventional_refinance_pct_2nd_63"/>
    <x v="103"/>
    <n v="1"/>
    <n v="1"/>
    <n v="-20"/>
    <n v="120"/>
  </r>
  <r>
    <x v="9"/>
    <s v="conventional_refinance_pct_2nd_64"/>
    <x v="104"/>
    <n v="1"/>
    <n v="1"/>
    <n v="-20"/>
    <n v="120"/>
  </r>
  <r>
    <x v="9"/>
    <s v="conventional_refinance_pct_2nd_65"/>
    <x v="105"/>
    <n v="1"/>
    <n v="1"/>
    <n v="-20"/>
    <n v="120"/>
  </r>
  <r>
    <x v="9"/>
    <s v="conventional_refinance_pct_2nd_66"/>
    <x v="106"/>
    <n v="1"/>
    <n v="1"/>
    <n v="-20"/>
    <n v="120"/>
  </r>
  <r>
    <x v="9"/>
    <s v="conventional_refinance_pct_2nd_67"/>
    <x v="107"/>
    <n v="1"/>
    <n v="1"/>
    <n v="-20"/>
    <n v="120"/>
  </r>
  <r>
    <x v="9"/>
    <s v="conventional_refinance_pct_2nd_68"/>
    <x v="108"/>
    <n v="1"/>
    <n v="1"/>
    <n v="-20"/>
    <n v="120"/>
  </r>
  <r>
    <x v="9"/>
    <s v="conventional_refinance_pct_2nd_69"/>
    <x v="109"/>
    <n v="1"/>
    <n v="1"/>
    <n v="-20"/>
    <n v="120"/>
  </r>
  <r>
    <x v="9"/>
    <s v="conventional_refinance_pct_2nd_70"/>
    <x v="110"/>
    <n v="1"/>
    <n v="1"/>
    <n v="-20"/>
    <n v="120"/>
  </r>
  <r>
    <x v="9"/>
    <s v="conventional_refinance_pct_2nd_71"/>
    <x v="111"/>
    <n v="1"/>
    <n v="1"/>
    <n v="-20"/>
    <n v="120"/>
  </r>
  <r>
    <x v="9"/>
    <s v="conventional_refinance_pct_2nd_72"/>
    <x v="112"/>
    <n v="1"/>
    <n v="1"/>
    <n v="-20"/>
    <n v="120"/>
  </r>
  <r>
    <x v="9"/>
    <s v="conventional_refinance_pct_2nd_73"/>
    <x v="113"/>
    <n v="1"/>
    <n v="1"/>
    <n v="-20"/>
    <n v="120"/>
  </r>
  <r>
    <x v="9"/>
    <s v="conventional_refinance_pct_2nd_74"/>
    <x v="114"/>
    <n v="1"/>
    <n v="1"/>
    <n v="-20"/>
    <n v="120"/>
  </r>
  <r>
    <x v="9"/>
    <s v="conventional_refinance_pct_2nd_75"/>
    <x v="115"/>
    <n v="1"/>
    <n v="1"/>
    <n v="-20"/>
    <n v="120"/>
  </r>
  <r>
    <x v="9"/>
    <s v="conventional_refinance_pct_2nd_76"/>
    <x v="116"/>
    <n v="1"/>
    <n v="1"/>
    <n v="-20"/>
    <n v="120"/>
  </r>
  <r>
    <x v="9"/>
    <s v="conventional_refinance_pct_2nd_77"/>
    <x v="117"/>
    <n v="1"/>
    <n v="1"/>
    <n v="-20"/>
    <n v="120"/>
  </r>
  <r>
    <x v="9"/>
    <s v="conventional_refinance_pct_2nd_78"/>
    <x v="118"/>
    <n v="1"/>
    <n v="1"/>
    <n v="-20"/>
    <n v="120"/>
  </r>
  <r>
    <x v="9"/>
    <s v="conventional_refinance_pct_2nd_79"/>
    <x v="119"/>
    <n v="1"/>
    <n v="1"/>
    <n v="-20"/>
    <n v="120"/>
  </r>
  <r>
    <x v="9"/>
    <s v="conventional_refinance_pct_2nd_80"/>
    <x v="120"/>
    <n v="1"/>
    <n v="1"/>
    <n v="-20"/>
    <n v="120"/>
  </r>
  <r>
    <x v="9"/>
    <s v="conventional_refinance_pct_2nd_81"/>
    <x v="121"/>
    <n v="1"/>
    <n v="1"/>
    <n v="-20"/>
    <n v="120"/>
  </r>
  <r>
    <x v="9"/>
    <s v="conventional_refinance_pct_2nd_82"/>
    <x v="122"/>
    <n v="1"/>
    <n v="1"/>
    <n v="-20"/>
    <n v="120"/>
  </r>
  <r>
    <x v="9"/>
    <s v="conventional_refinance_pct_2nd_83"/>
    <x v="123"/>
    <n v="1"/>
    <n v="1"/>
    <n v="-20"/>
    <n v="120"/>
  </r>
  <r>
    <x v="9"/>
    <s v="conventional_refinance_pct_2nd_84"/>
    <x v="124"/>
    <n v="1"/>
    <n v="1"/>
    <n v="-20"/>
    <n v="120"/>
  </r>
  <r>
    <x v="9"/>
    <s v="conventional_refinance_pct_2nd_85"/>
    <x v="125"/>
    <n v="1"/>
    <n v="1"/>
    <n v="-20"/>
    <n v="120"/>
  </r>
  <r>
    <x v="9"/>
    <s v="conventional_refinance_pct_2nd_86"/>
    <x v="126"/>
    <n v="1"/>
    <n v="1"/>
    <n v="-20"/>
    <n v="120"/>
  </r>
  <r>
    <x v="9"/>
    <s v="conventional_refinance_pct_2nd_87"/>
    <x v="127"/>
    <n v="1"/>
    <n v="1"/>
    <n v="-20"/>
    <n v="120"/>
  </r>
  <r>
    <x v="9"/>
    <s v="conventional_refinance_pct_2nd_88"/>
    <x v="128"/>
    <n v="1"/>
    <n v="1"/>
    <n v="-20"/>
    <n v="120"/>
  </r>
  <r>
    <x v="9"/>
    <s v="conventional_refinance_pct_2nd_89"/>
    <x v="129"/>
    <n v="1"/>
    <n v="1"/>
    <n v="-20"/>
    <n v="120"/>
  </r>
  <r>
    <x v="9"/>
    <s v="conventional_refinance_pct_2nd_90"/>
    <x v="130"/>
    <n v="1"/>
    <n v="1"/>
    <n v="-20"/>
    <n v="120"/>
  </r>
  <r>
    <x v="9"/>
    <s v="conventional_refinance_pct_2nd_91"/>
    <x v="131"/>
    <n v="1"/>
    <n v="1"/>
    <n v="-20"/>
    <n v="120"/>
  </r>
  <r>
    <x v="9"/>
    <s v="conventional_refinance_pct_2nd_92"/>
    <x v="132"/>
    <n v="1"/>
    <n v="1"/>
    <n v="-20"/>
    <n v="120"/>
  </r>
  <r>
    <x v="9"/>
    <s v="conventional_refinance_pct_2nd_93"/>
    <x v="133"/>
    <n v="1"/>
    <n v="1"/>
    <n v="-20"/>
    <n v="120"/>
  </r>
  <r>
    <x v="9"/>
    <s v="conventional_refinance_pct_2nd_94"/>
    <x v="134"/>
    <n v="1"/>
    <n v="1"/>
    <n v="-20"/>
    <n v="120"/>
  </r>
  <r>
    <x v="9"/>
    <s v="conventional_refinance_pct_2nd_95"/>
    <x v="135"/>
    <n v="1"/>
    <n v="1"/>
    <n v="-20"/>
    <n v="120"/>
  </r>
  <r>
    <x v="9"/>
    <s v="conventional_refinance_pct_2nd_96"/>
    <x v="136"/>
    <n v="1"/>
    <n v="1"/>
    <n v="-20"/>
    <n v="120"/>
  </r>
  <r>
    <x v="9"/>
    <s v="conventional_refinance_pct_2nd_97"/>
    <x v="137"/>
    <n v="1"/>
    <n v="1"/>
    <n v="-20"/>
    <n v="120"/>
  </r>
  <r>
    <x v="9"/>
    <s v="conventional_refinance_pct_2nd_98"/>
    <x v="138"/>
    <n v="1"/>
    <n v="1"/>
    <n v="-20"/>
    <n v="120"/>
  </r>
  <r>
    <x v="9"/>
    <s v="conventional_refinance_pct_2nd_99"/>
    <x v="139"/>
    <n v="1"/>
    <n v="1"/>
    <n v="-20"/>
    <n v="120"/>
  </r>
  <r>
    <x v="9"/>
    <s v="conventional_refinance_pct_2nd_100"/>
    <x v="140"/>
    <n v="1"/>
    <n v="1"/>
    <n v="-20"/>
    <n v="120"/>
  </r>
  <r>
    <x v="9"/>
    <s v="conventional_refinance_pct_2nd_101"/>
    <x v="141"/>
    <n v="1"/>
    <n v="1"/>
    <n v="-20"/>
    <n v="120"/>
  </r>
  <r>
    <x v="9"/>
    <s v="conventional_refinance_pct_2nd_102"/>
    <x v="142"/>
    <n v="1"/>
    <n v="1"/>
    <n v="-20"/>
    <n v="120"/>
  </r>
  <r>
    <x v="9"/>
    <s v="conventional_refinance_pct_2nd_103"/>
    <x v="143"/>
    <n v="1"/>
    <n v="1"/>
    <n v="-20"/>
    <n v="120"/>
  </r>
  <r>
    <x v="9"/>
    <s v="conventional_refinance_pct_2nd_104"/>
    <x v="144"/>
    <n v="1"/>
    <n v="1"/>
    <n v="-20"/>
    <n v="120"/>
  </r>
  <r>
    <x v="9"/>
    <s v="conventional_refinance_pct_2nd_105"/>
    <x v="145"/>
    <n v="1"/>
    <n v="1"/>
    <n v="-20"/>
    <n v="120"/>
  </r>
  <r>
    <x v="9"/>
    <s v="conventional_refinance_pct_2nd_106"/>
    <x v="146"/>
    <n v="1"/>
    <n v="1"/>
    <n v="-20"/>
    <n v="120"/>
  </r>
  <r>
    <x v="9"/>
    <s v="conventional_refinance_pct_2nd_107"/>
    <x v="147"/>
    <n v="1"/>
    <n v="1"/>
    <n v="-20"/>
    <n v="120"/>
  </r>
  <r>
    <x v="9"/>
    <s v="conventional_refinance_pct_2nd_108"/>
    <x v="148"/>
    <n v="1"/>
    <n v="1"/>
    <n v="-20"/>
    <n v="120"/>
  </r>
  <r>
    <x v="9"/>
    <s v="conventional_refinance_pct_2nd_109"/>
    <x v="149"/>
    <n v="1"/>
    <n v="1"/>
    <n v="-20"/>
    <n v="120"/>
  </r>
  <r>
    <x v="9"/>
    <s v="conventional_refinance_pct_2nd_110"/>
    <x v="150"/>
    <n v="1"/>
    <n v="1"/>
    <n v="-20"/>
    <n v="120"/>
  </r>
  <r>
    <x v="9"/>
    <s v="conventional_refinance_pct_2nd_111"/>
    <x v="151"/>
    <n v="1"/>
    <n v="1"/>
    <n v="-20"/>
    <n v="120"/>
  </r>
  <r>
    <x v="9"/>
    <s v="conventional_refinance_pct_2nd_112"/>
    <x v="152"/>
    <n v="1"/>
    <n v="1"/>
    <n v="-20"/>
    <n v="120"/>
  </r>
  <r>
    <x v="9"/>
    <s v="conventional_refinance_pct_2nd_113"/>
    <x v="153"/>
    <n v="1"/>
    <n v="1"/>
    <n v="-20"/>
    <n v="120"/>
  </r>
  <r>
    <x v="9"/>
    <s v="conventional_refinance_pct_2nd_114"/>
    <x v="154"/>
    <n v="1"/>
    <n v="1"/>
    <n v="-20"/>
    <n v="120"/>
  </r>
  <r>
    <x v="9"/>
    <s v="conventional_refinance_pct_2nd_115"/>
    <x v="155"/>
    <n v="1"/>
    <n v="1"/>
    <n v="-20"/>
    <n v="120"/>
  </r>
  <r>
    <x v="9"/>
    <s v="conventional_refinance_pct_2nd_116"/>
    <x v="156"/>
    <n v="1"/>
    <n v="1"/>
    <n v="-20"/>
    <n v="120"/>
  </r>
  <r>
    <x v="9"/>
    <s v="conventional_refinance_pct_2nd_117"/>
    <x v="157"/>
    <n v="1"/>
    <n v="1"/>
    <n v="-20"/>
    <n v="120"/>
  </r>
  <r>
    <x v="9"/>
    <s v="conventional_refinance_pct_2nd_118"/>
    <x v="158"/>
    <n v="1"/>
    <n v="1"/>
    <n v="-20"/>
    <n v="120"/>
  </r>
  <r>
    <x v="9"/>
    <s v="conventional_refinance_pct_2nd_119"/>
    <x v="159"/>
    <n v="1"/>
    <n v="1"/>
    <n v="-20"/>
    <n v="120"/>
  </r>
  <r>
    <x v="9"/>
    <s v="conventional_refinance_pct_2nd_120"/>
    <x v="160"/>
    <n v="1"/>
    <n v="1"/>
    <n v="-20"/>
    <n v="120"/>
  </r>
  <r>
    <x v="10"/>
    <s v="conventional_refinance_pct_second_lien_-20"/>
    <x v="20"/>
    <n v="0.87"/>
    <n v="1"/>
    <n v="-20"/>
    <n v="120"/>
  </r>
  <r>
    <x v="10"/>
    <s v="conventional_refinance_pct_second_lien_-19"/>
    <x v="21"/>
    <n v="0.87649999999999995"/>
    <n v="1"/>
    <n v="-20"/>
    <n v="120"/>
  </r>
  <r>
    <x v="10"/>
    <s v="conventional_refinance_pct_second_lien_-18"/>
    <x v="22"/>
    <n v="0.88300000000000001"/>
    <n v="1"/>
    <n v="-20"/>
    <n v="120"/>
  </r>
  <r>
    <x v="10"/>
    <s v="conventional_refinance_pct_second_lien_-17"/>
    <x v="23"/>
    <n v="0.88949999999999996"/>
    <n v="1"/>
    <n v="-20"/>
    <n v="120"/>
  </r>
  <r>
    <x v="10"/>
    <s v="conventional_refinance_pct_second_lien_-16"/>
    <x v="24"/>
    <n v="0.89600000000000002"/>
    <n v="1"/>
    <n v="-20"/>
    <n v="120"/>
  </r>
  <r>
    <x v="10"/>
    <s v="conventional_refinance_pct_second_lien_-15"/>
    <x v="25"/>
    <n v="0.90249999999999997"/>
    <n v="1"/>
    <n v="-20"/>
    <n v="120"/>
  </r>
  <r>
    <x v="10"/>
    <s v="conventional_refinance_pct_second_lien_-14"/>
    <x v="26"/>
    <n v="0.90900000000000003"/>
    <n v="1"/>
    <n v="-20"/>
    <n v="120"/>
  </r>
  <r>
    <x v="10"/>
    <s v="conventional_refinance_pct_second_lien_-13"/>
    <x v="27"/>
    <n v="0.91549999999999998"/>
    <n v="1"/>
    <n v="-20"/>
    <n v="120"/>
  </r>
  <r>
    <x v="10"/>
    <s v="conventional_refinance_pct_second_lien_-12"/>
    <x v="28"/>
    <n v="0.92200000000000004"/>
    <n v="1"/>
    <n v="-20"/>
    <n v="120"/>
  </r>
  <r>
    <x v="10"/>
    <s v="conventional_refinance_pct_second_lien_-11"/>
    <x v="29"/>
    <n v="0.92849999999999999"/>
    <n v="1"/>
    <n v="-20"/>
    <n v="120"/>
  </r>
  <r>
    <x v="10"/>
    <s v="conventional_refinance_pct_second_lien_-10"/>
    <x v="30"/>
    <n v="0.93500000000000005"/>
    <n v="1"/>
    <n v="-20"/>
    <n v="120"/>
  </r>
  <r>
    <x v="10"/>
    <s v="conventional_refinance_pct_second_lien_-9"/>
    <x v="31"/>
    <n v="0.9415"/>
    <n v="1"/>
    <n v="-20"/>
    <n v="120"/>
  </r>
  <r>
    <x v="10"/>
    <s v="conventional_refinance_pct_second_lien_-8"/>
    <x v="32"/>
    <n v="0.94799999999999995"/>
    <n v="1"/>
    <n v="-20"/>
    <n v="120"/>
  </r>
  <r>
    <x v="10"/>
    <s v="conventional_refinance_pct_second_lien_-7"/>
    <x v="33"/>
    <n v="0.95450000000000002"/>
    <n v="1"/>
    <n v="-20"/>
    <n v="120"/>
  </r>
  <r>
    <x v="10"/>
    <s v="conventional_refinance_pct_second_lien_-6"/>
    <x v="34"/>
    <n v="0.96099999999999997"/>
    <n v="1"/>
    <n v="-20"/>
    <n v="120"/>
  </r>
  <r>
    <x v="10"/>
    <s v="conventional_refinance_pct_second_lien_-5"/>
    <x v="35"/>
    <n v="0.96750000000000003"/>
    <n v="1"/>
    <n v="-20"/>
    <n v="120"/>
  </r>
  <r>
    <x v="10"/>
    <s v="conventional_refinance_pct_second_lien_-4"/>
    <x v="36"/>
    <n v="0.97399999999999998"/>
    <n v="1"/>
    <n v="-20"/>
    <n v="120"/>
  </r>
  <r>
    <x v="10"/>
    <s v="conventional_refinance_pct_second_lien_-3"/>
    <x v="37"/>
    <n v="0.98050000000000004"/>
    <n v="1"/>
    <n v="-20"/>
    <n v="120"/>
  </r>
  <r>
    <x v="10"/>
    <s v="conventional_refinance_pct_second_lien_-2"/>
    <x v="38"/>
    <n v="0.98699999999999999"/>
    <n v="1"/>
    <n v="-20"/>
    <n v="120"/>
  </r>
  <r>
    <x v="10"/>
    <s v="conventional_refinance_pct_second_lien_-1"/>
    <x v="39"/>
    <n v="0.99350000000000005"/>
    <n v="1"/>
    <n v="-20"/>
    <n v="120"/>
  </r>
  <r>
    <x v="10"/>
    <s v="conventional_refinance_pct_second_lien_0"/>
    <x v="40"/>
    <n v="1"/>
    <n v="1"/>
    <n v="-20"/>
    <n v="120"/>
  </r>
  <r>
    <x v="10"/>
    <s v="conventional_refinance_pct_second_lien_1"/>
    <x v="41"/>
    <n v="1.0065"/>
    <n v="1"/>
    <n v="-20"/>
    <n v="120"/>
  </r>
  <r>
    <x v="10"/>
    <s v="conventional_refinance_pct_second_lien_2"/>
    <x v="42"/>
    <n v="1.0129999999999999"/>
    <n v="1"/>
    <n v="-20"/>
    <n v="120"/>
  </r>
  <r>
    <x v="10"/>
    <s v="conventional_refinance_pct_second_lien_3"/>
    <x v="43"/>
    <n v="1.0195000000000001"/>
    <n v="1"/>
    <n v="-20"/>
    <n v="120"/>
  </r>
  <r>
    <x v="10"/>
    <s v="conventional_refinance_pct_second_lien_4"/>
    <x v="44"/>
    <n v="1.026"/>
    <n v="1"/>
    <n v="-20"/>
    <n v="120"/>
  </r>
  <r>
    <x v="10"/>
    <s v="conventional_refinance_pct_second_lien_5"/>
    <x v="45"/>
    <n v="1.0325"/>
    <n v="1"/>
    <n v="-20"/>
    <n v="120"/>
  </r>
  <r>
    <x v="10"/>
    <s v="conventional_refinance_pct_second_lien_6"/>
    <x v="46"/>
    <n v="1.0389999999999999"/>
    <n v="1"/>
    <n v="-20"/>
    <n v="120"/>
  </r>
  <r>
    <x v="10"/>
    <s v="conventional_refinance_pct_second_lien_7"/>
    <x v="47"/>
    <n v="1.0455000000000001"/>
    <n v="1"/>
    <n v="-20"/>
    <n v="120"/>
  </r>
  <r>
    <x v="10"/>
    <s v="conventional_refinance_pct_second_lien_8"/>
    <x v="48"/>
    <n v="1.052"/>
    <n v="1"/>
    <n v="-20"/>
    <n v="120"/>
  </r>
  <r>
    <x v="10"/>
    <s v="conventional_refinance_pct_second_lien_9"/>
    <x v="49"/>
    <n v="1.0585"/>
    <n v="1"/>
    <n v="-20"/>
    <n v="120"/>
  </r>
  <r>
    <x v="10"/>
    <s v="conventional_refinance_pct_second_lien_10"/>
    <x v="50"/>
    <n v="1.0649999999999999"/>
    <n v="1"/>
    <n v="-20"/>
    <n v="120"/>
  </r>
  <r>
    <x v="10"/>
    <s v="conventional_refinance_pct_second_lien_11"/>
    <x v="51"/>
    <n v="1.0714999999999999"/>
    <n v="1"/>
    <n v="-20"/>
    <n v="120"/>
  </r>
  <r>
    <x v="10"/>
    <s v="conventional_refinance_pct_second_lien_12"/>
    <x v="52"/>
    <n v="1.0780000000000001"/>
    <n v="1"/>
    <n v="-20"/>
    <n v="120"/>
  </r>
  <r>
    <x v="10"/>
    <s v="conventional_refinance_pct_second_lien_13"/>
    <x v="53"/>
    <n v="1.0845"/>
    <n v="1"/>
    <n v="-20"/>
    <n v="120"/>
  </r>
  <r>
    <x v="10"/>
    <s v="conventional_refinance_pct_second_lien_14"/>
    <x v="54"/>
    <n v="1.091"/>
    <n v="1"/>
    <n v="-20"/>
    <n v="120"/>
  </r>
  <r>
    <x v="10"/>
    <s v="conventional_refinance_pct_second_lien_15"/>
    <x v="55"/>
    <n v="1.0974999999999999"/>
    <n v="1"/>
    <n v="-20"/>
    <n v="120"/>
  </r>
  <r>
    <x v="10"/>
    <s v="conventional_refinance_pct_second_lien_16"/>
    <x v="56"/>
    <n v="1.1040000000000001"/>
    <n v="1"/>
    <n v="-20"/>
    <n v="120"/>
  </r>
  <r>
    <x v="10"/>
    <s v="conventional_refinance_pct_second_lien_17"/>
    <x v="57"/>
    <n v="1.1105"/>
    <n v="1"/>
    <n v="-20"/>
    <n v="120"/>
  </r>
  <r>
    <x v="10"/>
    <s v="conventional_refinance_pct_second_lien_18"/>
    <x v="58"/>
    <n v="1.117"/>
    <n v="1"/>
    <n v="-20"/>
    <n v="120"/>
  </r>
  <r>
    <x v="10"/>
    <s v="conventional_refinance_pct_second_lien_19"/>
    <x v="59"/>
    <n v="1.1234999999999999"/>
    <n v="1"/>
    <n v="-20"/>
    <n v="120"/>
  </r>
  <r>
    <x v="10"/>
    <s v="conventional_refinance_pct_second_lien_20"/>
    <x v="60"/>
    <n v="1.1299999999999999"/>
    <n v="1"/>
    <n v="-20"/>
    <n v="120"/>
  </r>
  <r>
    <x v="10"/>
    <s v="conventional_refinance_pct_second_lien_21"/>
    <x v="61"/>
    <n v="1.1365000000000001"/>
    <n v="1"/>
    <n v="-20"/>
    <n v="120"/>
  </r>
  <r>
    <x v="10"/>
    <s v="conventional_refinance_pct_second_lien_22"/>
    <x v="62"/>
    <n v="1.143"/>
    <n v="1"/>
    <n v="-20"/>
    <n v="120"/>
  </r>
  <r>
    <x v="10"/>
    <s v="conventional_refinance_pct_second_lien_23"/>
    <x v="63"/>
    <n v="1.1495"/>
    <n v="1"/>
    <n v="-20"/>
    <n v="120"/>
  </r>
  <r>
    <x v="10"/>
    <s v="conventional_refinance_pct_second_lien_24"/>
    <x v="64"/>
    <n v="1.1559999999999999"/>
    <n v="1"/>
    <n v="-20"/>
    <n v="120"/>
  </r>
  <r>
    <x v="10"/>
    <s v="conventional_refinance_pct_second_lien_25"/>
    <x v="65"/>
    <n v="1.1625000000000001"/>
    <n v="1"/>
    <n v="-20"/>
    <n v="120"/>
  </r>
  <r>
    <x v="10"/>
    <s v="conventional_refinance_pct_second_lien_26"/>
    <x v="66"/>
    <n v="1.169"/>
    <n v="1"/>
    <n v="-20"/>
    <n v="120"/>
  </r>
  <r>
    <x v="10"/>
    <s v="conventional_refinance_pct_second_lien_27"/>
    <x v="67"/>
    <n v="1.1755"/>
    <n v="1"/>
    <n v="-20"/>
    <n v="120"/>
  </r>
  <r>
    <x v="10"/>
    <s v="conventional_refinance_pct_second_lien_28"/>
    <x v="68"/>
    <n v="1.1819999999999999"/>
    <n v="1"/>
    <n v="-20"/>
    <n v="120"/>
  </r>
  <r>
    <x v="10"/>
    <s v="conventional_refinance_pct_second_lien_29"/>
    <x v="69"/>
    <n v="1.1884999999999999"/>
    <n v="1"/>
    <n v="-20"/>
    <n v="120"/>
  </r>
  <r>
    <x v="10"/>
    <s v="conventional_refinance_pct_second_lien_30"/>
    <x v="70"/>
    <n v="1.1950000000000001"/>
    <n v="1"/>
    <n v="-20"/>
    <n v="120"/>
  </r>
  <r>
    <x v="10"/>
    <s v="conventional_refinance_pct_second_lien_31"/>
    <x v="71"/>
    <n v="1.2015"/>
    <n v="1"/>
    <n v="-20"/>
    <n v="120"/>
  </r>
  <r>
    <x v="10"/>
    <s v="conventional_refinance_pct_second_lien_32"/>
    <x v="72"/>
    <n v="1.208"/>
    <n v="1"/>
    <n v="-20"/>
    <n v="120"/>
  </r>
  <r>
    <x v="10"/>
    <s v="conventional_refinance_pct_second_lien_33"/>
    <x v="73"/>
    <n v="1.2144999999999999"/>
    <n v="1"/>
    <n v="-20"/>
    <n v="120"/>
  </r>
  <r>
    <x v="10"/>
    <s v="conventional_refinance_pct_second_lien_34"/>
    <x v="74"/>
    <n v="1.2210000000000001"/>
    <n v="1"/>
    <n v="-20"/>
    <n v="120"/>
  </r>
  <r>
    <x v="10"/>
    <s v="conventional_refinance_pct_second_lien_35"/>
    <x v="75"/>
    <n v="1.2275"/>
    <n v="1"/>
    <n v="-20"/>
    <n v="120"/>
  </r>
  <r>
    <x v="10"/>
    <s v="conventional_refinance_pct_second_lien_36"/>
    <x v="76"/>
    <n v="1.234"/>
    <n v="1"/>
    <n v="-20"/>
    <n v="120"/>
  </r>
  <r>
    <x v="10"/>
    <s v="conventional_refinance_pct_second_lien_37"/>
    <x v="77"/>
    <n v="1.2404999999999999"/>
    <n v="1"/>
    <n v="-20"/>
    <n v="120"/>
  </r>
  <r>
    <x v="10"/>
    <s v="conventional_refinance_pct_second_lien_38"/>
    <x v="78"/>
    <n v="1.2470000000000001"/>
    <n v="1"/>
    <n v="-20"/>
    <n v="120"/>
  </r>
  <r>
    <x v="10"/>
    <s v="conventional_refinance_pct_second_lien_39"/>
    <x v="79"/>
    <n v="1.2535000000000001"/>
    <n v="1"/>
    <n v="-20"/>
    <n v="120"/>
  </r>
  <r>
    <x v="10"/>
    <s v="conventional_refinance_pct_second_lien_40"/>
    <x v="80"/>
    <n v="1.26"/>
    <n v="1"/>
    <n v="-20"/>
    <n v="120"/>
  </r>
  <r>
    <x v="10"/>
    <s v="conventional_refinance_pct_second_lien_41"/>
    <x v="81"/>
    <n v="1.2665"/>
    <n v="1"/>
    <n v="-20"/>
    <n v="120"/>
  </r>
  <r>
    <x v="10"/>
    <s v="conventional_refinance_pct_second_lien_42"/>
    <x v="82"/>
    <n v="1.2729999999999999"/>
    <n v="1"/>
    <n v="-20"/>
    <n v="120"/>
  </r>
  <r>
    <x v="10"/>
    <s v="conventional_refinance_pct_second_lien_43"/>
    <x v="83"/>
    <n v="1.2795000000000001"/>
    <n v="1"/>
    <n v="-20"/>
    <n v="120"/>
  </r>
  <r>
    <x v="10"/>
    <s v="conventional_refinance_pct_second_lien_44"/>
    <x v="84"/>
    <n v="1.286"/>
    <n v="1"/>
    <n v="-20"/>
    <n v="120"/>
  </r>
  <r>
    <x v="10"/>
    <s v="conventional_refinance_pct_second_lien_45"/>
    <x v="85"/>
    <n v="1.2925"/>
    <n v="1"/>
    <n v="-20"/>
    <n v="120"/>
  </r>
  <r>
    <x v="10"/>
    <s v="conventional_refinance_pct_second_lien_46"/>
    <x v="86"/>
    <n v="1.2989999999999999"/>
    <n v="1"/>
    <n v="-20"/>
    <n v="120"/>
  </r>
  <r>
    <x v="10"/>
    <s v="conventional_refinance_pct_second_lien_47"/>
    <x v="87"/>
    <n v="1.3055000000000001"/>
    <n v="1"/>
    <n v="-20"/>
    <n v="120"/>
  </r>
  <r>
    <x v="10"/>
    <s v="conventional_refinance_pct_second_lien_48"/>
    <x v="88"/>
    <n v="1.3120000000000001"/>
    <n v="1"/>
    <n v="-20"/>
    <n v="120"/>
  </r>
  <r>
    <x v="10"/>
    <s v="conventional_refinance_pct_second_lien_49"/>
    <x v="89"/>
    <n v="1.3185"/>
    <n v="1"/>
    <n v="-20"/>
    <n v="120"/>
  </r>
  <r>
    <x v="10"/>
    <s v="conventional_refinance_pct_second_lien_50"/>
    <x v="90"/>
    <n v="1.325"/>
    <n v="1"/>
    <n v="-20"/>
    <n v="120"/>
  </r>
  <r>
    <x v="10"/>
    <s v="conventional_refinance_pct_second_lien_51"/>
    <x v="91"/>
    <n v="1.3314999999999999"/>
    <n v="1"/>
    <n v="-20"/>
    <n v="120"/>
  </r>
  <r>
    <x v="10"/>
    <s v="conventional_refinance_pct_second_lien_52"/>
    <x v="92"/>
    <n v="1.3380000000000001"/>
    <n v="1"/>
    <n v="-20"/>
    <n v="120"/>
  </r>
  <r>
    <x v="10"/>
    <s v="conventional_refinance_pct_second_lien_53"/>
    <x v="93"/>
    <n v="1.3445"/>
    <n v="1"/>
    <n v="-20"/>
    <n v="120"/>
  </r>
  <r>
    <x v="10"/>
    <s v="conventional_refinance_pct_second_lien_54"/>
    <x v="94"/>
    <n v="1.351"/>
    <n v="1"/>
    <n v="-20"/>
    <n v="120"/>
  </r>
  <r>
    <x v="10"/>
    <s v="conventional_refinance_pct_second_lien_55"/>
    <x v="95"/>
    <n v="1.3574999999999999"/>
    <n v="1"/>
    <n v="-20"/>
    <n v="120"/>
  </r>
  <r>
    <x v="10"/>
    <s v="conventional_refinance_pct_second_lien_56"/>
    <x v="96"/>
    <n v="1.3640000000000001"/>
    <n v="1"/>
    <n v="-20"/>
    <n v="120"/>
  </r>
  <r>
    <x v="10"/>
    <s v="conventional_refinance_pct_second_lien_57"/>
    <x v="97"/>
    <n v="1.3705000000000001"/>
    <n v="1"/>
    <n v="-20"/>
    <n v="120"/>
  </r>
  <r>
    <x v="10"/>
    <s v="conventional_refinance_pct_second_lien_58"/>
    <x v="98"/>
    <n v="1.377"/>
    <n v="1"/>
    <n v="-20"/>
    <n v="120"/>
  </r>
  <r>
    <x v="10"/>
    <s v="conventional_refinance_pct_second_lien_59"/>
    <x v="99"/>
    <n v="1.3835"/>
    <n v="1"/>
    <n v="-20"/>
    <n v="120"/>
  </r>
  <r>
    <x v="10"/>
    <s v="conventional_refinance_pct_second_lien_60"/>
    <x v="100"/>
    <n v="1.39"/>
    <n v="1"/>
    <n v="-20"/>
    <n v="120"/>
  </r>
  <r>
    <x v="10"/>
    <s v="conventional_refinance_pct_second_lien_61"/>
    <x v="101"/>
    <n v="1.3965000000000001"/>
    <n v="1"/>
    <n v="-20"/>
    <n v="120"/>
  </r>
  <r>
    <x v="10"/>
    <s v="conventional_refinance_pct_second_lien_62"/>
    <x v="102"/>
    <n v="1.403"/>
    <n v="1"/>
    <n v="-20"/>
    <n v="120"/>
  </r>
  <r>
    <x v="10"/>
    <s v="conventional_refinance_pct_second_lien_63"/>
    <x v="103"/>
    <n v="1.4095"/>
    <n v="1"/>
    <n v="-20"/>
    <n v="120"/>
  </r>
  <r>
    <x v="10"/>
    <s v="conventional_refinance_pct_second_lien_64"/>
    <x v="104"/>
    <n v="1.4159999999999999"/>
    <n v="1"/>
    <n v="-20"/>
    <n v="120"/>
  </r>
  <r>
    <x v="10"/>
    <s v="conventional_refinance_pct_second_lien_65"/>
    <x v="105"/>
    <n v="1.4225000000000001"/>
    <n v="1"/>
    <n v="-20"/>
    <n v="120"/>
  </r>
  <r>
    <x v="10"/>
    <s v="conventional_refinance_pct_second_lien_66"/>
    <x v="106"/>
    <n v="1.429"/>
    <n v="1"/>
    <n v="-20"/>
    <n v="120"/>
  </r>
  <r>
    <x v="10"/>
    <s v="conventional_refinance_pct_second_lien_67"/>
    <x v="107"/>
    <n v="1.4355"/>
    <n v="1"/>
    <n v="-20"/>
    <n v="120"/>
  </r>
  <r>
    <x v="10"/>
    <s v="conventional_refinance_pct_second_lien_68"/>
    <x v="108"/>
    <n v="1.4419999999999999"/>
    <n v="1"/>
    <n v="-20"/>
    <n v="120"/>
  </r>
  <r>
    <x v="10"/>
    <s v="conventional_refinance_pct_second_lien_69"/>
    <x v="109"/>
    <n v="1.4484999999999999"/>
    <n v="1"/>
    <n v="-20"/>
    <n v="120"/>
  </r>
  <r>
    <x v="10"/>
    <s v="conventional_refinance_pct_second_lien_70"/>
    <x v="110"/>
    <n v="1.4550000000000001"/>
    <n v="1"/>
    <n v="-20"/>
    <n v="120"/>
  </r>
  <r>
    <x v="10"/>
    <s v="conventional_refinance_pct_second_lien_71"/>
    <x v="111"/>
    <n v="1.4615"/>
    <n v="1"/>
    <n v="-20"/>
    <n v="120"/>
  </r>
  <r>
    <x v="10"/>
    <s v="conventional_refinance_pct_second_lien_72"/>
    <x v="112"/>
    <n v="1.468"/>
    <n v="1"/>
    <n v="-20"/>
    <n v="120"/>
  </r>
  <r>
    <x v="10"/>
    <s v="conventional_refinance_pct_second_lien_73"/>
    <x v="113"/>
    <n v="1.4744999999999999"/>
    <n v="1"/>
    <n v="-20"/>
    <n v="120"/>
  </r>
  <r>
    <x v="10"/>
    <s v="conventional_refinance_pct_second_lien_74"/>
    <x v="114"/>
    <n v="1.4810000000000001"/>
    <n v="1"/>
    <n v="-20"/>
    <n v="120"/>
  </r>
  <r>
    <x v="10"/>
    <s v="conventional_refinance_pct_second_lien_75"/>
    <x v="115"/>
    <n v="1.4875"/>
    <n v="1"/>
    <n v="-20"/>
    <n v="120"/>
  </r>
  <r>
    <x v="10"/>
    <s v="conventional_refinance_pct_second_lien_76"/>
    <x v="116"/>
    <n v="1.494"/>
    <n v="1"/>
    <n v="-20"/>
    <n v="120"/>
  </r>
  <r>
    <x v="10"/>
    <s v="conventional_refinance_pct_second_lien_77"/>
    <x v="117"/>
    <n v="1.5004999999999999"/>
    <n v="1"/>
    <n v="-20"/>
    <n v="120"/>
  </r>
  <r>
    <x v="10"/>
    <s v="conventional_refinance_pct_second_lien_78"/>
    <x v="118"/>
    <n v="1.5069999999999999"/>
    <n v="1"/>
    <n v="-20"/>
    <n v="120"/>
  </r>
  <r>
    <x v="10"/>
    <s v="conventional_refinance_pct_second_lien_79"/>
    <x v="119"/>
    <n v="1.5135000000000001"/>
    <n v="1"/>
    <n v="-20"/>
    <n v="120"/>
  </r>
  <r>
    <x v="10"/>
    <s v="conventional_refinance_pct_second_lien_80"/>
    <x v="120"/>
    <n v="1.52"/>
    <n v="1"/>
    <n v="-20"/>
    <n v="120"/>
  </r>
  <r>
    <x v="10"/>
    <s v="conventional_refinance_pct_second_lien_81"/>
    <x v="121"/>
    <n v="1.5265"/>
    <n v="1"/>
    <n v="-20"/>
    <n v="120"/>
  </r>
  <r>
    <x v="10"/>
    <s v="conventional_refinance_pct_second_lien_82"/>
    <x v="122"/>
    <n v="1.5329999999999999"/>
    <n v="1"/>
    <n v="-20"/>
    <n v="120"/>
  </r>
  <r>
    <x v="10"/>
    <s v="conventional_refinance_pct_second_lien_83"/>
    <x v="123"/>
    <n v="1.5395000000000001"/>
    <n v="1"/>
    <n v="-20"/>
    <n v="120"/>
  </r>
  <r>
    <x v="10"/>
    <s v="conventional_refinance_pct_second_lien_84"/>
    <x v="124"/>
    <n v="1.546"/>
    <n v="1"/>
    <n v="-20"/>
    <n v="120"/>
  </r>
  <r>
    <x v="10"/>
    <s v="conventional_refinance_pct_second_lien_85"/>
    <x v="125"/>
    <n v="1.5525"/>
    <n v="1"/>
    <n v="-20"/>
    <n v="120"/>
  </r>
  <r>
    <x v="10"/>
    <s v="conventional_refinance_pct_second_lien_86"/>
    <x v="126"/>
    <n v="1.5589999999999999"/>
    <n v="1"/>
    <n v="-20"/>
    <n v="120"/>
  </r>
  <r>
    <x v="10"/>
    <s v="conventional_refinance_pct_second_lien_87"/>
    <x v="127"/>
    <n v="1.5654999999999999"/>
    <n v="1"/>
    <n v="-20"/>
    <n v="120"/>
  </r>
  <r>
    <x v="10"/>
    <s v="conventional_refinance_pct_second_lien_88"/>
    <x v="128"/>
    <n v="1.5720000000000001"/>
    <n v="1"/>
    <n v="-20"/>
    <n v="120"/>
  </r>
  <r>
    <x v="10"/>
    <s v="conventional_refinance_pct_second_lien_89"/>
    <x v="129"/>
    <n v="1.5785"/>
    <n v="1"/>
    <n v="-20"/>
    <n v="120"/>
  </r>
  <r>
    <x v="10"/>
    <s v="conventional_refinance_pct_second_lien_90"/>
    <x v="130"/>
    <n v="1.585"/>
    <n v="1"/>
    <n v="-20"/>
    <n v="120"/>
  </r>
  <r>
    <x v="10"/>
    <s v="conventional_refinance_pct_second_lien_91"/>
    <x v="131"/>
    <n v="1.5914999999999999"/>
    <n v="1"/>
    <n v="-20"/>
    <n v="120"/>
  </r>
  <r>
    <x v="10"/>
    <s v="conventional_refinance_pct_second_lien_92"/>
    <x v="132"/>
    <n v="1.5980000000000001"/>
    <n v="1"/>
    <n v="-20"/>
    <n v="120"/>
  </r>
  <r>
    <x v="10"/>
    <s v="conventional_refinance_pct_second_lien_93"/>
    <x v="133"/>
    <n v="1.6045"/>
    <n v="1"/>
    <n v="-20"/>
    <n v="120"/>
  </r>
  <r>
    <x v="10"/>
    <s v="conventional_refinance_pct_second_lien_94"/>
    <x v="134"/>
    <n v="1.611"/>
    <n v="1"/>
    <n v="-20"/>
    <n v="120"/>
  </r>
  <r>
    <x v="10"/>
    <s v="conventional_refinance_pct_second_lien_95"/>
    <x v="135"/>
    <n v="1.6174999999999999"/>
    <n v="1"/>
    <n v="-20"/>
    <n v="120"/>
  </r>
  <r>
    <x v="10"/>
    <s v="conventional_refinance_pct_second_lien_96"/>
    <x v="136"/>
    <n v="1.6240000000000001"/>
    <n v="1"/>
    <n v="-20"/>
    <n v="120"/>
  </r>
  <r>
    <x v="10"/>
    <s v="conventional_refinance_pct_second_lien_97"/>
    <x v="137"/>
    <n v="1.6305000000000001"/>
    <n v="1"/>
    <n v="-20"/>
    <n v="120"/>
  </r>
  <r>
    <x v="10"/>
    <s v="conventional_refinance_pct_second_lien_98"/>
    <x v="138"/>
    <n v="1.637"/>
    <n v="1"/>
    <n v="-20"/>
    <n v="120"/>
  </r>
  <r>
    <x v="10"/>
    <s v="conventional_refinance_pct_second_lien_99"/>
    <x v="139"/>
    <n v="1.6435"/>
    <n v="1"/>
    <n v="-20"/>
    <n v="120"/>
  </r>
  <r>
    <x v="10"/>
    <s v="conventional_refinance_pct_second_lien_100"/>
    <x v="140"/>
    <n v="1.65"/>
    <n v="1"/>
    <n v="-20"/>
    <n v="120"/>
  </r>
  <r>
    <x v="10"/>
    <s v="conventional_refinance_pct_second_lien_101"/>
    <x v="141"/>
    <n v="1.6565000000000001"/>
    <n v="1"/>
    <n v="-20"/>
    <n v="120"/>
  </r>
  <r>
    <x v="10"/>
    <s v="conventional_refinance_pct_second_lien_102"/>
    <x v="142"/>
    <n v="1.663"/>
    <n v="1"/>
    <n v="-20"/>
    <n v="120"/>
  </r>
  <r>
    <x v="10"/>
    <s v="conventional_refinance_pct_second_lien_103"/>
    <x v="143"/>
    <n v="1.6695"/>
    <n v="1"/>
    <n v="-20"/>
    <n v="120"/>
  </r>
  <r>
    <x v="10"/>
    <s v="conventional_refinance_pct_second_lien_104"/>
    <x v="144"/>
    <n v="1.6759999999999999"/>
    <n v="1"/>
    <n v="-20"/>
    <n v="120"/>
  </r>
  <r>
    <x v="10"/>
    <s v="conventional_refinance_pct_second_lien_105"/>
    <x v="145"/>
    <n v="1.6825000000000001"/>
    <n v="1"/>
    <n v="-20"/>
    <n v="120"/>
  </r>
  <r>
    <x v="10"/>
    <s v="conventional_refinance_pct_second_lien_106"/>
    <x v="146"/>
    <n v="1.6890000000000001"/>
    <n v="1"/>
    <n v="-20"/>
    <n v="120"/>
  </r>
  <r>
    <x v="10"/>
    <s v="conventional_refinance_pct_second_lien_107"/>
    <x v="147"/>
    <n v="1.6955"/>
    <n v="1"/>
    <n v="-20"/>
    <n v="120"/>
  </r>
  <r>
    <x v="10"/>
    <s v="conventional_refinance_pct_second_lien_108"/>
    <x v="148"/>
    <n v="1.702"/>
    <n v="1"/>
    <n v="-20"/>
    <n v="120"/>
  </r>
  <r>
    <x v="10"/>
    <s v="conventional_refinance_pct_second_lien_109"/>
    <x v="149"/>
    <n v="1.7084999999999999"/>
    <n v="1"/>
    <n v="-20"/>
    <n v="120"/>
  </r>
  <r>
    <x v="10"/>
    <s v="conventional_refinance_pct_second_lien_110"/>
    <x v="150"/>
    <n v="1.7150000000000001"/>
    <n v="1"/>
    <n v="-20"/>
    <n v="120"/>
  </r>
  <r>
    <x v="10"/>
    <s v="conventional_refinance_pct_second_lien_111"/>
    <x v="151"/>
    <n v="1.7215"/>
    <n v="1"/>
    <n v="-20"/>
    <n v="120"/>
  </r>
  <r>
    <x v="10"/>
    <s v="conventional_refinance_pct_second_lien_112"/>
    <x v="152"/>
    <n v="1.728"/>
    <n v="1"/>
    <n v="-20"/>
    <n v="120"/>
  </r>
  <r>
    <x v="10"/>
    <s v="conventional_refinance_pct_second_lien_113"/>
    <x v="153"/>
    <n v="1.7344999999999999"/>
    <n v="1"/>
    <n v="-20"/>
    <n v="120"/>
  </r>
  <r>
    <x v="10"/>
    <s v="conventional_refinance_pct_second_lien_114"/>
    <x v="154"/>
    <n v="1.7410000000000001"/>
    <n v="1"/>
    <n v="-20"/>
    <n v="120"/>
  </r>
  <r>
    <x v="10"/>
    <s v="conventional_refinance_pct_second_lien_115"/>
    <x v="155"/>
    <n v="1.7475000000000001"/>
    <n v="1"/>
    <n v="-20"/>
    <n v="120"/>
  </r>
  <r>
    <x v="10"/>
    <s v="conventional_refinance_pct_second_lien_116"/>
    <x v="156"/>
    <n v="1.754"/>
    <n v="1"/>
    <n v="-20"/>
    <n v="120"/>
  </r>
  <r>
    <x v="10"/>
    <s v="conventional_refinance_pct_second_lien_117"/>
    <x v="157"/>
    <n v="1.7605"/>
    <n v="1"/>
    <n v="-20"/>
    <n v="120"/>
  </r>
  <r>
    <x v="10"/>
    <s v="conventional_refinance_pct_second_lien_118"/>
    <x v="158"/>
    <n v="1.7669999999999999"/>
    <n v="1"/>
    <n v="-20"/>
    <n v="120"/>
  </r>
  <r>
    <x v="10"/>
    <s v="conventional_refinance_pct_second_lien_119"/>
    <x v="159"/>
    <n v="1.7735000000000001"/>
    <n v="1"/>
    <n v="-20"/>
    <n v="120"/>
  </r>
  <r>
    <x v="10"/>
    <s v="conventional_refinance_pct_second_lien_120"/>
    <x v="160"/>
    <n v="1.78"/>
    <n v="1"/>
    <n v="-20"/>
    <n v="120"/>
  </r>
  <r>
    <x v="11"/>
    <s v="conventional_refinance_pct_tpo_-20"/>
    <x v="20"/>
    <n v="0.9"/>
    <n v="1"/>
    <n v="-20"/>
    <n v="120"/>
  </r>
  <r>
    <x v="11"/>
    <s v="conventional_refinance_pct_tpo_-19"/>
    <x v="21"/>
    <n v="0.90200000000000002"/>
    <n v="1"/>
    <n v="-20"/>
    <n v="120"/>
  </r>
  <r>
    <x v="11"/>
    <s v="conventional_refinance_pct_tpo_-18"/>
    <x v="22"/>
    <n v="0.90400000000000003"/>
    <n v="1"/>
    <n v="-20"/>
    <n v="120"/>
  </r>
  <r>
    <x v="11"/>
    <s v="conventional_refinance_pct_tpo_-17"/>
    <x v="23"/>
    <n v="0.90600000000000003"/>
    <n v="1"/>
    <n v="-20"/>
    <n v="120"/>
  </r>
  <r>
    <x v="11"/>
    <s v="conventional_refinance_pct_tpo_-16"/>
    <x v="24"/>
    <n v="0.90800000000000003"/>
    <n v="1"/>
    <n v="-20"/>
    <n v="120"/>
  </r>
  <r>
    <x v="11"/>
    <s v="conventional_refinance_pct_tpo_-15"/>
    <x v="25"/>
    <n v="0.91"/>
    <n v="1"/>
    <n v="-20"/>
    <n v="120"/>
  </r>
  <r>
    <x v="11"/>
    <s v="conventional_refinance_pct_tpo_-14"/>
    <x v="26"/>
    <n v="0.91200000000000003"/>
    <n v="1"/>
    <n v="-20"/>
    <n v="120"/>
  </r>
  <r>
    <x v="11"/>
    <s v="conventional_refinance_pct_tpo_-13"/>
    <x v="27"/>
    <n v="0.91400000000000003"/>
    <n v="1"/>
    <n v="-20"/>
    <n v="120"/>
  </r>
  <r>
    <x v="11"/>
    <s v="conventional_refinance_pct_tpo_-12"/>
    <x v="28"/>
    <n v="0.91600000000000004"/>
    <n v="1"/>
    <n v="-20"/>
    <n v="120"/>
  </r>
  <r>
    <x v="11"/>
    <s v="conventional_refinance_pct_tpo_-11"/>
    <x v="29"/>
    <n v="0.91800000000000004"/>
    <n v="1"/>
    <n v="-20"/>
    <n v="120"/>
  </r>
  <r>
    <x v="11"/>
    <s v="conventional_refinance_pct_tpo_-10"/>
    <x v="30"/>
    <n v="0.92"/>
    <n v="1"/>
    <n v="-20"/>
    <n v="120"/>
  </r>
  <r>
    <x v="11"/>
    <s v="conventional_refinance_pct_tpo_-9"/>
    <x v="31"/>
    <n v="0.92200000000000004"/>
    <n v="1"/>
    <n v="-20"/>
    <n v="120"/>
  </r>
  <r>
    <x v="11"/>
    <s v="conventional_refinance_pct_tpo_-8"/>
    <x v="32"/>
    <n v="0.92400000000000004"/>
    <n v="1"/>
    <n v="-20"/>
    <n v="120"/>
  </r>
  <r>
    <x v="11"/>
    <s v="conventional_refinance_pct_tpo_-7"/>
    <x v="33"/>
    <n v="0.92600000000000005"/>
    <n v="1"/>
    <n v="-20"/>
    <n v="120"/>
  </r>
  <r>
    <x v="11"/>
    <s v="conventional_refinance_pct_tpo_-6"/>
    <x v="34"/>
    <n v="0.92800000000000005"/>
    <n v="1"/>
    <n v="-20"/>
    <n v="120"/>
  </r>
  <r>
    <x v="11"/>
    <s v="conventional_refinance_pct_tpo_-5"/>
    <x v="35"/>
    <n v="0.93"/>
    <n v="1"/>
    <n v="-20"/>
    <n v="120"/>
  </r>
  <r>
    <x v="11"/>
    <s v="conventional_refinance_pct_tpo_-4"/>
    <x v="36"/>
    <n v="0.93200000000000005"/>
    <n v="1"/>
    <n v="-20"/>
    <n v="120"/>
  </r>
  <r>
    <x v="11"/>
    <s v="conventional_refinance_pct_tpo_-3"/>
    <x v="37"/>
    <n v="0.93400000000000005"/>
    <n v="1"/>
    <n v="-20"/>
    <n v="120"/>
  </r>
  <r>
    <x v="11"/>
    <s v="conventional_refinance_pct_tpo_-2"/>
    <x v="38"/>
    <n v="0.93600000000000005"/>
    <n v="1"/>
    <n v="-20"/>
    <n v="120"/>
  </r>
  <r>
    <x v="11"/>
    <s v="conventional_refinance_pct_tpo_-1"/>
    <x v="39"/>
    <n v="0.93799999999999994"/>
    <n v="1"/>
    <n v="-20"/>
    <n v="120"/>
  </r>
  <r>
    <x v="11"/>
    <s v="conventional_refinance_pct_tpo_0"/>
    <x v="40"/>
    <n v="0.94"/>
    <n v="1"/>
    <n v="-20"/>
    <n v="120"/>
  </r>
  <r>
    <x v="11"/>
    <s v="conventional_refinance_pct_tpo_1"/>
    <x v="41"/>
    <n v="0.94199999999999995"/>
    <n v="1"/>
    <n v="-20"/>
    <n v="120"/>
  </r>
  <r>
    <x v="11"/>
    <s v="conventional_refinance_pct_tpo_2"/>
    <x v="42"/>
    <n v="0.94399999999999995"/>
    <n v="1"/>
    <n v="-20"/>
    <n v="120"/>
  </r>
  <r>
    <x v="11"/>
    <s v="conventional_refinance_pct_tpo_3"/>
    <x v="43"/>
    <n v="0.94599999999999995"/>
    <n v="1"/>
    <n v="-20"/>
    <n v="120"/>
  </r>
  <r>
    <x v="11"/>
    <s v="conventional_refinance_pct_tpo_4"/>
    <x v="44"/>
    <n v="0.94799999999999995"/>
    <n v="1"/>
    <n v="-20"/>
    <n v="120"/>
  </r>
  <r>
    <x v="11"/>
    <s v="conventional_refinance_pct_tpo_5"/>
    <x v="45"/>
    <n v="0.95"/>
    <n v="1"/>
    <n v="-20"/>
    <n v="120"/>
  </r>
  <r>
    <x v="11"/>
    <s v="conventional_refinance_pct_tpo_6"/>
    <x v="46"/>
    <n v="0.95199999999999996"/>
    <n v="1"/>
    <n v="-20"/>
    <n v="120"/>
  </r>
  <r>
    <x v="11"/>
    <s v="conventional_refinance_pct_tpo_7"/>
    <x v="47"/>
    <n v="0.95399999999999996"/>
    <n v="1"/>
    <n v="-20"/>
    <n v="120"/>
  </r>
  <r>
    <x v="11"/>
    <s v="conventional_refinance_pct_tpo_8"/>
    <x v="48"/>
    <n v="0.95599999999999996"/>
    <n v="1"/>
    <n v="-20"/>
    <n v="120"/>
  </r>
  <r>
    <x v="11"/>
    <s v="conventional_refinance_pct_tpo_9"/>
    <x v="49"/>
    <n v="0.95799999999999996"/>
    <n v="1"/>
    <n v="-20"/>
    <n v="120"/>
  </r>
  <r>
    <x v="11"/>
    <s v="conventional_refinance_pct_tpo_10"/>
    <x v="50"/>
    <n v="0.96"/>
    <n v="1"/>
    <n v="-20"/>
    <n v="120"/>
  </r>
  <r>
    <x v="11"/>
    <s v="conventional_refinance_pct_tpo_11"/>
    <x v="51"/>
    <n v="0.96199999999999997"/>
    <n v="1"/>
    <n v="-20"/>
    <n v="120"/>
  </r>
  <r>
    <x v="11"/>
    <s v="conventional_refinance_pct_tpo_12"/>
    <x v="52"/>
    <n v="0.96399999999999997"/>
    <n v="1"/>
    <n v="-20"/>
    <n v="120"/>
  </r>
  <r>
    <x v="11"/>
    <s v="conventional_refinance_pct_tpo_13"/>
    <x v="53"/>
    <n v="0.96599999999999997"/>
    <n v="1"/>
    <n v="-20"/>
    <n v="120"/>
  </r>
  <r>
    <x v="11"/>
    <s v="conventional_refinance_pct_tpo_14"/>
    <x v="54"/>
    <n v="0.96799999999999997"/>
    <n v="1"/>
    <n v="-20"/>
    <n v="120"/>
  </r>
  <r>
    <x v="11"/>
    <s v="conventional_refinance_pct_tpo_15"/>
    <x v="55"/>
    <n v="0.97"/>
    <n v="1"/>
    <n v="-20"/>
    <n v="120"/>
  </r>
  <r>
    <x v="11"/>
    <s v="conventional_refinance_pct_tpo_16"/>
    <x v="56"/>
    <n v="0.97199999999999998"/>
    <n v="1"/>
    <n v="-20"/>
    <n v="120"/>
  </r>
  <r>
    <x v="11"/>
    <s v="conventional_refinance_pct_tpo_17"/>
    <x v="57"/>
    <n v="0.97399999999999998"/>
    <n v="1"/>
    <n v="-20"/>
    <n v="120"/>
  </r>
  <r>
    <x v="11"/>
    <s v="conventional_refinance_pct_tpo_18"/>
    <x v="58"/>
    <n v="0.97599999999999998"/>
    <n v="1"/>
    <n v="-20"/>
    <n v="120"/>
  </r>
  <r>
    <x v="11"/>
    <s v="conventional_refinance_pct_tpo_19"/>
    <x v="59"/>
    <n v="0.97799999999999998"/>
    <n v="1"/>
    <n v="-20"/>
    <n v="120"/>
  </r>
  <r>
    <x v="11"/>
    <s v="conventional_refinance_pct_tpo_20"/>
    <x v="60"/>
    <n v="0.98"/>
    <n v="1"/>
    <n v="-20"/>
    <n v="120"/>
  </r>
  <r>
    <x v="11"/>
    <s v="conventional_refinance_pct_tpo_21"/>
    <x v="61"/>
    <n v="0.98199999999999998"/>
    <n v="1"/>
    <n v="-20"/>
    <n v="120"/>
  </r>
  <r>
    <x v="11"/>
    <s v="conventional_refinance_pct_tpo_22"/>
    <x v="62"/>
    <n v="0.98399999999999999"/>
    <n v="1"/>
    <n v="-20"/>
    <n v="120"/>
  </r>
  <r>
    <x v="11"/>
    <s v="conventional_refinance_pct_tpo_23"/>
    <x v="63"/>
    <n v="0.98599999999999999"/>
    <n v="1"/>
    <n v="-20"/>
    <n v="120"/>
  </r>
  <r>
    <x v="11"/>
    <s v="conventional_refinance_pct_tpo_24"/>
    <x v="64"/>
    <n v="0.98799999999999999"/>
    <n v="1"/>
    <n v="-20"/>
    <n v="120"/>
  </r>
  <r>
    <x v="11"/>
    <s v="conventional_refinance_pct_tpo_25"/>
    <x v="65"/>
    <n v="0.99"/>
    <n v="1"/>
    <n v="-20"/>
    <n v="120"/>
  </r>
  <r>
    <x v="11"/>
    <s v="conventional_refinance_pct_tpo_26"/>
    <x v="66"/>
    <n v="0.99199999999999999"/>
    <n v="1"/>
    <n v="-20"/>
    <n v="120"/>
  </r>
  <r>
    <x v="11"/>
    <s v="conventional_refinance_pct_tpo_27"/>
    <x v="67"/>
    <n v="0.99399999999999999"/>
    <n v="1"/>
    <n v="-20"/>
    <n v="120"/>
  </r>
  <r>
    <x v="11"/>
    <s v="conventional_refinance_pct_tpo_28"/>
    <x v="68"/>
    <n v="0.996"/>
    <n v="1"/>
    <n v="-20"/>
    <n v="120"/>
  </r>
  <r>
    <x v="11"/>
    <s v="conventional_refinance_pct_tpo_29"/>
    <x v="69"/>
    <n v="0.998"/>
    <n v="1"/>
    <n v="-20"/>
    <n v="120"/>
  </r>
  <r>
    <x v="11"/>
    <s v="conventional_refinance_pct_tpo_30"/>
    <x v="70"/>
    <n v="1"/>
    <n v="1"/>
    <n v="-20"/>
    <n v="120"/>
  </r>
  <r>
    <x v="11"/>
    <s v="conventional_refinance_pct_tpo_31"/>
    <x v="71"/>
    <n v="1.002"/>
    <n v="1"/>
    <n v="-20"/>
    <n v="120"/>
  </r>
  <r>
    <x v="11"/>
    <s v="conventional_refinance_pct_tpo_32"/>
    <x v="72"/>
    <n v="1.004"/>
    <n v="1"/>
    <n v="-20"/>
    <n v="120"/>
  </r>
  <r>
    <x v="11"/>
    <s v="conventional_refinance_pct_tpo_33"/>
    <x v="73"/>
    <n v="1.006"/>
    <n v="1"/>
    <n v="-20"/>
    <n v="120"/>
  </r>
  <r>
    <x v="11"/>
    <s v="conventional_refinance_pct_tpo_34"/>
    <x v="74"/>
    <n v="1.008"/>
    <n v="1"/>
    <n v="-20"/>
    <n v="120"/>
  </r>
  <r>
    <x v="11"/>
    <s v="conventional_refinance_pct_tpo_35"/>
    <x v="75"/>
    <n v="1.01"/>
    <n v="1"/>
    <n v="-20"/>
    <n v="120"/>
  </r>
  <r>
    <x v="11"/>
    <s v="conventional_refinance_pct_tpo_36"/>
    <x v="76"/>
    <n v="1.012"/>
    <n v="1"/>
    <n v="-20"/>
    <n v="120"/>
  </r>
  <r>
    <x v="11"/>
    <s v="conventional_refinance_pct_tpo_37"/>
    <x v="77"/>
    <n v="1.014"/>
    <n v="1"/>
    <n v="-20"/>
    <n v="120"/>
  </r>
  <r>
    <x v="11"/>
    <s v="conventional_refinance_pct_tpo_38"/>
    <x v="78"/>
    <n v="1.016"/>
    <n v="1"/>
    <n v="-20"/>
    <n v="120"/>
  </r>
  <r>
    <x v="11"/>
    <s v="conventional_refinance_pct_tpo_39"/>
    <x v="79"/>
    <n v="1.018"/>
    <n v="1"/>
    <n v="-20"/>
    <n v="120"/>
  </r>
  <r>
    <x v="11"/>
    <s v="conventional_refinance_pct_tpo_40"/>
    <x v="80"/>
    <n v="1.02"/>
    <n v="1"/>
    <n v="-20"/>
    <n v="120"/>
  </r>
  <r>
    <x v="11"/>
    <s v="conventional_refinance_pct_tpo_41"/>
    <x v="81"/>
    <n v="1.022"/>
    <n v="1"/>
    <n v="-20"/>
    <n v="120"/>
  </r>
  <r>
    <x v="11"/>
    <s v="conventional_refinance_pct_tpo_42"/>
    <x v="82"/>
    <n v="1.024"/>
    <n v="1"/>
    <n v="-20"/>
    <n v="120"/>
  </r>
  <r>
    <x v="11"/>
    <s v="conventional_refinance_pct_tpo_43"/>
    <x v="83"/>
    <n v="1.026"/>
    <n v="1"/>
    <n v="-20"/>
    <n v="120"/>
  </r>
  <r>
    <x v="11"/>
    <s v="conventional_refinance_pct_tpo_44"/>
    <x v="84"/>
    <n v="1.028"/>
    <n v="1"/>
    <n v="-20"/>
    <n v="120"/>
  </r>
  <r>
    <x v="11"/>
    <s v="conventional_refinance_pct_tpo_45"/>
    <x v="85"/>
    <n v="1.03"/>
    <n v="1"/>
    <n v="-20"/>
    <n v="120"/>
  </r>
  <r>
    <x v="11"/>
    <s v="conventional_refinance_pct_tpo_46"/>
    <x v="86"/>
    <n v="1.032"/>
    <n v="1"/>
    <n v="-20"/>
    <n v="120"/>
  </r>
  <r>
    <x v="11"/>
    <s v="conventional_refinance_pct_tpo_47"/>
    <x v="87"/>
    <n v="1.034"/>
    <n v="1"/>
    <n v="-20"/>
    <n v="120"/>
  </r>
  <r>
    <x v="11"/>
    <s v="conventional_refinance_pct_tpo_48"/>
    <x v="88"/>
    <n v="1.036"/>
    <n v="1"/>
    <n v="-20"/>
    <n v="120"/>
  </r>
  <r>
    <x v="11"/>
    <s v="conventional_refinance_pct_tpo_49"/>
    <x v="89"/>
    <n v="1.038"/>
    <n v="1"/>
    <n v="-20"/>
    <n v="120"/>
  </r>
  <r>
    <x v="11"/>
    <s v="conventional_refinance_pct_tpo_50"/>
    <x v="90"/>
    <n v="1.04"/>
    <n v="1"/>
    <n v="-20"/>
    <n v="120"/>
  </r>
  <r>
    <x v="11"/>
    <s v="conventional_refinance_pct_tpo_51"/>
    <x v="91"/>
    <n v="1.042"/>
    <n v="1"/>
    <n v="-20"/>
    <n v="120"/>
  </r>
  <r>
    <x v="11"/>
    <s v="conventional_refinance_pct_tpo_52"/>
    <x v="92"/>
    <n v="1.044"/>
    <n v="1"/>
    <n v="-20"/>
    <n v="120"/>
  </r>
  <r>
    <x v="11"/>
    <s v="conventional_refinance_pct_tpo_53"/>
    <x v="93"/>
    <n v="1.046"/>
    <n v="1"/>
    <n v="-20"/>
    <n v="120"/>
  </r>
  <r>
    <x v="11"/>
    <s v="conventional_refinance_pct_tpo_54"/>
    <x v="94"/>
    <n v="1.048"/>
    <n v="1"/>
    <n v="-20"/>
    <n v="120"/>
  </r>
  <r>
    <x v="11"/>
    <s v="conventional_refinance_pct_tpo_55"/>
    <x v="95"/>
    <n v="1.05"/>
    <n v="1"/>
    <n v="-20"/>
    <n v="120"/>
  </r>
  <r>
    <x v="11"/>
    <s v="conventional_refinance_pct_tpo_56"/>
    <x v="96"/>
    <n v="1.052"/>
    <n v="1"/>
    <n v="-20"/>
    <n v="120"/>
  </r>
  <r>
    <x v="11"/>
    <s v="conventional_refinance_pct_tpo_57"/>
    <x v="97"/>
    <n v="1.054"/>
    <n v="1"/>
    <n v="-20"/>
    <n v="120"/>
  </r>
  <r>
    <x v="11"/>
    <s v="conventional_refinance_pct_tpo_58"/>
    <x v="98"/>
    <n v="1.056"/>
    <n v="1"/>
    <n v="-20"/>
    <n v="120"/>
  </r>
  <r>
    <x v="11"/>
    <s v="conventional_refinance_pct_tpo_59"/>
    <x v="99"/>
    <n v="1.0580000000000001"/>
    <n v="1"/>
    <n v="-20"/>
    <n v="120"/>
  </r>
  <r>
    <x v="11"/>
    <s v="conventional_refinance_pct_tpo_60"/>
    <x v="100"/>
    <n v="1.06"/>
    <n v="1"/>
    <n v="-20"/>
    <n v="120"/>
  </r>
  <r>
    <x v="11"/>
    <s v="conventional_refinance_pct_tpo_61"/>
    <x v="101"/>
    <n v="1.0620000000000001"/>
    <n v="1"/>
    <n v="-20"/>
    <n v="120"/>
  </r>
  <r>
    <x v="11"/>
    <s v="conventional_refinance_pct_tpo_62"/>
    <x v="102"/>
    <n v="1.0640000000000001"/>
    <n v="1"/>
    <n v="-20"/>
    <n v="120"/>
  </r>
  <r>
    <x v="11"/>
    <s v="conventional_refinance_pct_tpo_63"/>
    <x v="103"/>
    <n v="1.0660000000000001"/>
    <n v="1"/>
    <n v="-20"/>
    <n v="120"/>
  </r>
  <r>
    <x v="11"/>
    <s v="conventional_refinance_pct_tpo_64"/>
    <x v="104"/>
    <n v="1.0680000000000001"/>
    <n v="1"/>
    <n v="-20"/>
    <n v="120"/>
  </r>
  <r>
    <x v="11"/>
    <s v="conventional_refinance_pct_tpo_65"/>
    <x v="105"/>
    <n v="1.07"/>
    <n v="1"/>
    <n v="-20"/>
    <n v="120"/>
  </r>
  <r>
    <x v="11"/>
    <s v="conventional_refinance_pct_tpo_66"/>
    <x v="106"/>
    <n v="1.0720000000000001"/>
    <n v="1"/>
    <n v="-20"/>
    <n v="120"/>
  </r>
  <r>
    <x v="11"/>
    <s v="conventional_refinance_pct_tpo_67"/>
    <x v="107"/>
    <n v="1.0740000000000001"/>
    <n v="1"/>
    <n v="-20"/>
    <n v="120"/>
  </r>
  <r>
    <x v="11"/>
    <s v="conventional_refinance_pct_tpo_68"/>
    <x v="108"/>
    <n v="1.0760000000000001"/>
    <n v="1"/>
    <n v="-20"/>
    <n v="120"/>
  </r>
  <r>
    <x v="11"/>
    <s v="conventional_refinance_pct_tpo_69"/>
    <x v="109"/>
    <n v="1.0780000000000001"/>
    <n v="1"/>
    <n v="-20"/>
    <n v="120"/>
  </r>
  <r>
    <x v="11"/>
    <s v="conventional_refinance_pct_tpo_70"/>
    <x v="110"/>
    <n v="1.08"/>
    <n v="1"/>
    <n v="-20"/>
    <n v="120"/>
  </r>
  <r>
    <x v="11"/>
    <s v="conventional_refinance_pct_tpo_71"/>
    <x v="111"/>
    <n v="1.0820000000000001"/>
    <n v="1"/>
    <n v="-20"/>
    <n v="120"/>
  </r>
  <r>
    <x v="11"/>
    <s v="conventional_refinance_pct_tpo_72"/>
    <x v="112"/>
    <n v="1.0840000000000001"/>
    <n v="1"/>
    <n v="-20"/>
    <n v="120"/>
  </r>
  <r>
    <x v="11"/>
    <s v="conventional_refinance_pct_tpo_73"/>
    <x v="113"/>
    <n v="1.0860000000000001"/>
    <n v="1"/>
    <n v="-20"/>
    <n v="120"/>
  </r>
  <r>
    <x v="11"/>
    <s v="conventional_refinance_pct_tpo_74"/>
    <x v="114"/>
    <n v="1.0880000000000001"/>
    <n v="1"/>
    <n v="-20"/>
    <n v="120"/>
  </r>
  <r>
    <x v="11"/>
    <s v="conventional_refinance_pct_tpo_75"/>
    <x v="115"/>
    <n v="1.0900000000000001"/>
    <n v="1"/>
    <n v="-20"/>
    <n v="120"/>
  </r>
  <r>
    <x v="11"/>
    <s v="conventional_refinance_pct_tpo_76"/>
    <x v="116"/>
    <n v="1.0920000000000001"/>
    <n v="1"/>
    <n v="-20"/>
    <n v="120"/>
  </r>
  <r>
    <x v="11"/>
    <s v="conventional_refinance_pct_tpo_77"/>
    <x v="117"/>
    <n v="1.0940000000000001"/>
    <n v="1"/>
    <n v="-20"/>
    <n v="120"/>
  </r>
  <r>
    <x v="11"/>
    <s v="conventional_refinance_pct_tpo_78"/>
    <x v="118"/>
    <n v="1.0960000000000001"/>
    <n v="1"/>
    <n v="-20"/>
    <n v="120"/>
  </r>
  <r>
    <x v="11"/>
    <s v="conventional_refinance_pct_tpo_79"/>
    <x v="119"/>
    <n v="1.0980000000000001"/>
    <n v="1"/>
    <n v="-20"/>
    <n v="120"/>
  </r>
  <r>
    <x v="11"/>
    <s v="conventional_refinance_pct_tpo_80"/>
    <x v="120"/>
    <n v="1.1000000000000001"/>
    <n v="1"/>
    <n v="-20"/>
    <n v="120"/>
  </r>
  <r>
    <x v="11"/>
    <s v="conventional_refinance_pct_tpo_81"/>
    <x v="121"/>
    <n v="1.1020000000000001"/>
    <n v="1"/>
    <n v="-20"/>
    <n v="120"/>
  </r>
  <r>
    <x v="11"/>
    <s v="conventional_refinance_pct_tpo_82"/>
    <x v="122"/>
    <n v="1.1040000000000001"/>
    <n v="1"/>
    <n v="-20"/>
    <n v="120"/>
  </r>
  <r>
    <x v="11"/>
    <s v="conventional_refinance_pct_tpo_83"/>
    <x v="123"/>
    <n v="1.1060000000000001"/>
    <n v="1"/>
    <n v="-20"/>
    <n v="120"/>
  </r>
  <r>
    <x v="11"/>
    <s v="conventional_refinance_pct_tpo_84"/>
    <x v="124"/>
    <n v="1.1080000000000001"/>
    <n v="1"/>
    <n v="-20"/>
    <n v="120"/>
  </r>
  <r>
    <x v="11"/>
    <s v="conventional_refinance_pct_tpo_85"/>
    <x v="125"/>
    <n v="1.1100000000000001"/>
    <n v="1"/>
    <n v="-20"/>
    <n v="120"/>
  </r>
  <r>
    <x v="11"/>
    <s v="conventional_refinance_pct_tpo_86"/>
    <x v="126"/>
    <n v="1.1120000000000001"/>
    <n v="1"/>
    <n v="-20"/>
    <n v="120"/>
  </r>
  <r>
    <x v="11"/>
    <s v="conventional_refinance_pct_tpo_87"/>
    <x v="127"/>
    <n v="1.1140000000000001"/>
    <n v="1"/>
    <n v="-20"/>
    <n v="120"/>
  </r>
  <r>
    <x v="11"/>
    <s v="conventional_refinance_pct_tpo_88"/>
    <x v="128"/>
    <n v="1.1160000000000001"/>
    <n v="1"/>
    <n v="-20"/>
    <n v="120"/>
  </r>
  <r>
    <x v="11"/>
    <s v="conventional_refinance_pct_tpo_89"/>
    <x v="129"/>
    <n v="1.1180000000000001"/>
    <n v="1"/>
    <n v="-20"/>
    <n v="120"/>
  </r>
  <r>
    <x v="11"/>
    <s v="conventional_refinance_pct_tpo_90"/>
    <x v="130"/>
    <n v="1.1200000000000001"/>
    <n v="1"/>
    <n v="-20"/>
    <n v="120"/>
  </r>
  <r>
    <x v="11"/>
    <s v="conventional_refinance_pct_tpo_91"/>
    <x v="131"/>
    <n v="1.1220000000000001"/>
    <n v="1"/>
    <n v="-20"/>
    <n v="120"/>
  </r>
  <r>
    <x v="11"/>
    <s v="conventional_refinance_pct_tpo_92"/>
    <x v="132"/>
    <n v="1.1240000000000001"/>
    <n v="1"/>
    <n v="-20"/>
    <n v="120"/>
  </r>
  <r>
    <x v="11"/>
    <s v="conventional_refinance_pct_tpo_93"/>
    <x v="133"/>
    <n v="1.1259999999999999"/>
    <n v="1"/>
    <n v="-20"/>
    <n v="120"/>
  </r>
  <r>
    <x v="11"/>
    <s v="conventional_refinance_pct_tpo_94"/>
    <x v="134"/>
    <n v="1.1279999999999999"/>
    <n v="1"/>
    <n v="-20"/>
    <n v="120"/>
  </r>
  <r>
    <x v="11"/>
    <s v="conventional_refinance_pct_tpo_95"/>
    <x v="135"/>
    <n v="1.1299999999999999"/>
    <n v="1"/>
    <n v="-20"/>
    <n v="120"/>
  </r>
  <r>
    <x v="11"/>
    <s v="conventional_refinance_pct_tpo_96"/>
    <x v="136"/>
    <n v="1.1319999999999999"/>
    <n v="1"/>
    <n v="-20"/>
    <n v="120"/>
  </r>
  <r>
    <x v="11"/>
    <s v="conventional_refinance_pct_tpo_97"/>
    <x v="137"/>
    <n v="1.1339999999999999"/>
    <n v="1"/>
    <n v="-20"/>
    <n v="120"/>
  </r>
  <r>
    <x v="11"/>
    <s v="conventional_refinance_pct_tpo_98"/>
    <x v="138"/>
    <n v="1.1359999999999999"/>
    <n v="1"/>
    <n v="-20"/>
    <n v="120"/>
  </r>
  <r>
    <x v="11"/>
    <s v="conventional_refinance_pct_tpo_99"/>
    <x v="139"/>
    <n v="1.1379999999999999"/>
    <n v="1"/>
    <n v="-20"/>
    <n v="120"/>
  </r>
  <r>
    <x v="11"/>
    <s v="conventional_refinance_pct_tpo_100"/>
    <x v="140"/>
    <n v="1.1399999999999999"/>
    <n v="1"/>
    <n v="-20"/>
    <n v="120"/>
  </r>
  <r>
    <x v="11"/>
    <s v="conventional_refinance_pct_tpo_101"/>
    <x v="141"/>
    <n v="1.1419999999999999"/>
    <n v="1"/>
    <n v="-20"/>
    <n v="120"/>
  </r>
  <r>
    <x v="11"/>
    <s v="conventional_refinance_pct_tpo_102"/>
    <x v="142"/>
    <n v="1.1439999999999999"/>
    <n v="1"/>
    <n v="-20"/>
    <n v="120"/>
  </r>
  <r>
    <x v="11"/>
    <s v="conventional_refinance_pct_tpo_103"/>
    <x v="143"/>
    <n v="1.1459999999999999"/>
    <n v="1"/>
    <n v="-20"/>
    <n v="120"/>
  </r>
  <r>
    <x v="11"/>
    <s v="conventional_refinance_pct_tpo_104"/>
    <x v="144"/>
    <n v="1.1479999999999999"/>
    <n v="1"/>
    <n v="-20"/>
    <n v="120"/>
  </r>
  <r>
    <x v="11"/>
    <s v="conventional_refinance_pct_tpo_105"/>
    <x v="145"/>
    <n v="1.1499999999999999"/>
    <n v="1"/>
    <n v="-20"/>
    <n v="120"/>
  </r>
  <r>
    <x v="11"/>
    <s v="conventional_refinance_pct_tpo_106"/>
    <x v="146"/>
    <n v="1.1519999999999999"/>
    <n v="1"/>
    <n v="-20"/>
    <n v="120"/>
  </r>
  <r>
    <x v="11"/>
    <s v="conventional_refinance_pct_tpo_107"/>
    <x v="147"/>
    <n v="1.1539999999999999"/>
    <n v="1"/>
    <n v="-20"/>
    <n v="120"/>
  </r>
  <r>
    <x v="11"/>
    <s v="conventional_refinance_pct_tpo_108"/>
    <x v="148"/>
    <n v="1.1559999999999999"/>
    <n v="1"/>
    <n v="-20"/>
    <n v="120"/>
  </r>
  <r>
    <x v="11"/>
    <s v="conventional_refinance_pct_tpo_109"/>
    <x v="149"/>
    <n v="1.1579999999999999"/>
    <n v="1"/>
    <n v="-20"/>
    <n v="120"/>
  </r>
  <r>
    <x v="11"/>
    <s v="conventional_refinance_pct_tpo_110"/>
    <x v="150"/>
    <n v="1.1599999999999999"/>
    <n v="1"/>
    <n v="-20"/>
    <n v="120"/>
  </r>
  <r>
    <x v="11"/>
    <s v="conventional_refinance_pct_tpo_111"/>
    <x v="151"/>
    <n v="1.1619999999999999"/>
    <n v="1"/>
    <n v="-20"/>
    <n v="120"/>
  </r>
  <r>
    <x v="11"/>
    <s v="conventional_refinance_pct_tpo_112"/>
    <x v="152"/>
    <n v="1.1639999999999999"/>
    <n v="1"/>
    <n v="-20"/>
    <n v="120"/>
  </r>
  <r>
    <x v="11"/>
    <s v="conventional_refinance_pct_tpo_113"/>
    <x v="153"/>
    <n v="1.1659999999999999"/>
    <n v="1"/>
    <n v="-20"/>
    <n v="120"/>
  </r>
  <r>
    <x v="11"/>
    <s v="conventional_refinance_pct_tpo_114"/>
    <x v="154"/>
    <n v="1.1679999999999999"/>
    <n v="1"/>
    <n v="-20"/>
    <n v="120"/>
  </r>
  <r>
    <x v="11"/>
    <s v="conventional_refinance_pct_tpo_115"/>
    <x v="155"/>
    <n v="1.17"/>
    <n v="1"/>
    <n v="-20"/>
    <n v="120"/>
  </r>
  <r>
    <x v="11"/>
    <s v="conventional_refinance_pct_tpo_116"/>
    <x v="156"/>
    <n v="1.1719999999999999"/>
    <n v="1"/>
    <n v="-20"/>
    <n v="120"/>
  </r>
  <r>
    <x v="11"/>
    <s v="conventional_refinance_pct_tpo_117"/>
    <x v="157"/>
    <n v="1.1739999999999999"/>
    <n v="1"/>
    <n v="-20"/>
    <n v="120"/>
  </r>
  <r>
    <x v="11"/>
    <s v="conventional_refinance_pct_tpo_118"/>
    <x v="158"/>
    <n v="1.1759999999999999"/>
    <n v="1"/>
    <n v="-20"/>
    <n v="120"/>
  </r>
  <r>
    <x v="11"/>
    <s v="conventional_refinance_pct_tpo_119"/>
    <x v="159"/>
    <n v="1.1779999999999999"/>
    <n v="1"/>
    <n v="-20"/>
    <n v="120"/>
  </r>
  <r>
    <x v="11"/>
    <s v="conventional_refinance_pct_tpo_120"/>
    <x v="160"/>
    <n v="1.18"/>
    <n v="1"/>
    <n v="-20"/>
    <n v="120"/>
  </r>
  <r>
    <x v="12"/>
    <s v="conventional_refinance_media_effect_-20"/>
    <x v="20"/>
    <n v="0"/>
    <n v="1"/>
    <n v="-20"/>
    <n v="120"/>
  </r>
  <r>
    <x v="12"/>
    <s v="conventional_refinance_media_effect_-19"/>
    <x v="21"/>
    <n v="0"/>
    <n v="1"/>
    <n v="-20"/>
    <n v="120"/>
  </r>
  <r>
    <x v="12"/>
    <s v="conventional_refinance_media_effect_-18"/>
    <x v="22"/>
    <n v="0"/>
    <n v="1"/>
    <n v="-20"/>
    <n v="120"/>
  </r>
  <r>
    <x v="12"/>
    <s v="conventional_refinance_media_effect_-17"/>
    <x v="23"/>
    <n v="0"/>
    <n v="1"/>
    <n v="-20"/>
    <n v="120"/>
  </r>
  <r>
    <x v="12"/>
    <s v="conventional_refinance_media_effect_-16"/>
    <x v="24"/>
    <n v="0"/>
    <n v="1"/>
    <n v="-20"/>
    <n v="120"/>
  </r>
  <r>
    <x v="12"/>
    <s v="conventional_refinance_media_effect_-15"/>
    <x v="25"/>
    <n v="0"/>
    <n v="1"/>
    <n v="-20"/>
    <n v="120"/>
  </r>
  <r>
    <x v="12"/>
    <s v="conventional_refinance_media_effect_-14"/>
    <x v="26"/>
    <n v="0"/>
    <n v="1"/>
    <n v="-20"/>
    <n v="120"/>
  </r>
  <r>
    <x v="12"/>
    <s v="conventional_refinance_media_effect_-13"/>
    <x v="27"/>
    <n v="0"/>
    <n v="1"/>
    <n v="-20"/>
    <n v="120"/>
  </r>
  <r>
    <x v="12"/>
    <s v="conventional_refinance_media_effect_-12"/>
    <x v="28"/>
    <n v="0"/>
    <n v="1"/>
    <n v="-20"/>
    <n v="120"/>
  </r>
  <r>
    <x v="12"/>
    <s v="conventional_refinance_media_effect_-11"/>
    <x v="29"/>
    <n v="0"/>
    <n v="1"/>
    <n v="-20"/>
    <n v="120"/>
  </r>
  <r>
    <x v="12"/>
    <s v="conventional_refinance_media_effect_-10"/>
    <x v="30"/>
    <n v="0"/>
    <n v="1"/>
    <n v="-20"/>
    <n v="120"/>
  </r>
  <r>
    <x v="12"/>
    <s v="conventional_refinance_media_effect_-9"/>
    <x v="31"/>
    <n v="0"/>
    <n v="1"/>
    <n v="-20"/>
    <n v="120"/>
  </r>
  <r>
    <x v="12"/>
    <s v="conventional_refinance_media_effect_-8"/>
    <x v="32"/>
    <n v="0"/>
    <n v="1"/>
    <n v="-20"/>
    <n v="120"/>
  </r>
  <r>
    <x v="12"/>
    <s v="conventional_refinance_media_effect_-7"/>
    <x v="33"/>
    <n v="0"/>
    <n v="1"/>
    <n v="-20"/>
    <n v="120"/>
  </r>
  <r>
    <x v="12"/>
    <s v="conventional_refinance_media_effect_-6"/>
    <x v="34"/>
    <n v="0"/>
    <n v="1"/>
    <n v="-20"/>
    <n v="120"/>
  </r>
  <r>
    <x v="12"/>
    <s v="conventional_refinance_media_effect_-5"/>
    <x v="35"/>
    <n v="0"/>
    <n v="1"/>
    <n v="-20"/>
    <n v="120"/>
  </r>
  <r>
    <x v="12"/>
    <s v="conventional_refinance_media_effect_-4"/>
    <x v="36"/>
    <n v="0"/>
    <n v="1"/>
    <n v="-20"/>
    <n v="120"/>
  </r>
  <r>
    <x v="12"/>
    <s v="conventional_refinance_media_effect_-3"/>
    <x v="37"/>
    <n v="0"/>
    <n v="1"/>
    <n v="-20"/>
    <n v="120"/>
  </r>
  <r>
    <x v="12"/>
    <s v="conventional_refinance_media_effect_-2"/>
    <x v="38"/>
    <n v="0"/>
    <n v="1"/>
    <n v="-20"/>
    <n v="120"/>
  </r>
  <r>
    <x v="12"/>
    <s v="conventional_refinance_media_effect_-1"/>
    <x v="39"/>
    <n v="0"/>
    <n v="1"/>
    <n v="-20"/>
    <n v="120"/>
  </r>
  <r>
    <x v="12"/>
    <s v="conventional_refinance_media_effect_0"/>
    <x v="40"/>
    <n v="0"/>
    <n v="1"/>
    <n v="-20"/>
    <n v="120"/>
  </r>
  <r>
    <x v="12"/>
    <s v="conventional_refinance_media_effect_1"/>
    <x v="41"/>
    <n v="0"/>
    <n v="1"/>
    <n v="-20"/>
    <n v="120"/>
  </r>
  <r>
    <x v="12"/>
    <s v="conventional_refinance_media_effect_2"/>
    <x v="42"/>
    <n v="0"/>
    <n v="1"/>
    <n v="-20"/>
    <n v="120"/>
  </r>
  <r>
    <x v="12"/>
    <s v="conventional_refinance_media_effect_3"/>
    <x v="43"/>
    <n v="0"/>
    <n v="1"/>
    <n v="-20"/>
    <n v="120"/>
  </r>
  <r>
    <x v="12"/>
    <s v="conventional_refinance_media_effect_4"/>
    <x v="44"/>
    <n v="0"/>
    <n v="1"/>
    <n v="-20"/>
    <n v="120"/>
  </r>
  <r>
    <x v="12"/>
    <s v="conventional_refinance_media_effect_5"/>
    <x v="45"/>
    <n v="0"/>
    <n v="1"/>
    <n v="-20"/>
    <n v="120"/>
  </r>
  <r>
    <x v="12"/>
    <s v="conventional_refinance_media_effect_6"/>
    <x v="46"/>
    <n v="0"/>
    <n v="1"/>
    <n v="-20"/>
    <n v="120"/>
  </r>
  <r>
    <x v="12"/>
    <s v="conventional_refinance_media_effect_7"/>
    <x v="47"/>
    <n v="0"/>
    <n v="1"/>
    <n v="-20"/>
    <n v="120"/>
  </r>
  <r>
    <x v="12"/>
    <s v="conventional_refinance_media_effect_8"/>
    <x v="48"/>
    <n v="0"/>
    <n v="1"/>
    <n v="-20"/>
    <n v="120"/>
  </r>
  <r>
    <x v="12"/>
    <s v="conventional_refinance_media_effect_9"/>
    <x v="49"/>
    <n v="0"/>
    <n v="1"/>
    <n v="-20"/>
    <n v="120"/>
  </r>
  <r>
    <x v="12"/>
    <s v="conventional_refinance_media_effect_10"/>
    <x v="50"/>
    <n v="0"/>
    <n v="1"/>
    <n v="-20"/>
    <n v="120"/>
  </r>
  <r>
    <x v="12"/>
    <s v="conventional_refinance_media_effect_11"/>
    <x v="51"/>
    <n v="0"/>
    <n v="1"/>
    <n v="-20"/>
    <n v="120"/>
  </r>
  <r>
    <x v="12"/>
    <s v="conventional_refinance_media_effect_12"/>
    <x v="52"/>
    <n v="0"/>
    <n v="1"/>
    <n v="-20"/>
    <n v="120"/>
  </r>
  <r>
    <x v="12"/>
    <s v="conventional_refinance_media_effect_13"/>
    <x v="53"/>
    <n v="0"/>
    <n v="1"/>
    <n v="-20"/>
    <n v="120"/>
  </r>
  <r>
    <x v="12"/>
    <s v="conventional_refinance_media_effect_14"/>
    <x v="54"/>
    <n v="0"/>
    <n v="1"/>
    <n v="-20"/>
    <n v="120"/>
  </r>
  <r>
    <x v="12"/>
    <s v="conventional_refinance_media_effect_15"/>
    <x v="55"/>
    <n v="0"/>
    <n v="1"/>
    <n v="-20"/>
    <n v="120"/>
  </r>
  <r>
    <x v="12"/>
    <s v="conventional_refinance_media_effect_16"/>
    <x v="56"/>
    <n v="0"/>
    <n v="1"/>
    <n v="-20"/>
    <n v="120"/>
  </r>
  <r>
    <x v="12"/>
    <s v="conventional_refinance_media_effect_17"/>
    <x v="57"/>
    <n v="0"/>
    <n v="1"/>
    <n v="-20"/>
    <n v="120"/>
  </r>
  <r>
    <x v="12"/>
    <s v="conventional_refinance_media_effect_18"/>
    <x v="58"/>
    <n v="0"/>
    <n v="1"/>
    <n v="-20"/>
    <n v="120"/>
  </r>
  <r>
    <x v="12"/>
    <s v="conventional_refinance_media_effect_19"/>
    <x v="59"/>
    <n v="0"/>
    <n v="1"/>
    <n v="-20"/>
    <n v="120"/>
  </r>
  <r>
    <x v="12"/>
    <s v="conventional_refinance_media_effect_20"/>
    <x v="60"/>
    <n v="0"/>
    <n v="1"/>
    <n v="-20"/>
    <n v="120"/>
  </r>
  <r>
    <x v="12"/>
    <s v="conventional_refinance_media_effect_21"/>
    <x v="61"/>
    <n v="1.403125E-4"/>
    <n v="1"/>
    <n v="-20"/>
    <n v="120"/>
  </r>
  <r>
    <x v="12"/>
    <s v="conventional_refinance_media_effect_22"/>
    <x v="62"/>
    <n v="5.4750000000000003E-4"/>
    <n v="1"/>
    <n v="-20"/>
    <n v="120"/>
  </r>
  <r>
    <x v="12"/>
    <s v="conventional_refinance_media_effect_23"/>
    <x v="63"/>
    <n v="1.2009375E-3"/>
    <n v="1"/>
    <n v="-20"/>
    <n v="120"/>
  </r>
  <r>
    <x v="12"/>
    <s v="conventional_refinance_media_effect_24"/>
    <x v="64"/>
    <n v="2.0799999999999998E-3"/>
    <n v="1"/>
    <n v="-20"/>
    <n v="120"/>
  </r>
  <r>
    <x v="12"/>
    <s v="conventional_refinance_media_effect_25"/>
    <x v="65"/>
    <n v="3.1640625000000002E-3"/>
    <n v="1"/>
    <n v="-20"/>
    <n v="120"/>
  </r>
  <r>
    <x v="12"/>
    <s v="conventional_refinance_media_effect_26"/>
    <x v="66"/>
    <n v="4.4324999999999998E-3"/>
    <n v="1"/>
    <n v="-20"/>
    <n v="120"/>
  </r>
  <r>
    <x v="12"/>
    <s v="conventional_refinance_media_effect_27"/>
    <x v="67"/>
    <n v="5.8646875000000001E-3"/>
    <n v="1"/>
    <n v="-20"/>
    <n v="120"/>
  </r>
  <r>
    <x v="12"/>
    <s v="conventional_refinance_media_effect_28"/>
    <x v="68"/>
    <n v="7.4400000000000004E-3"/>
    <n v="1"/>
    <n v="-20"/>
    <n v="120"/>
  </r>
  <r>
    <x v="12"/>
    <s v="conventional_refinance_media_effect_29"/>
    <x v="69"/>
    <n v="9.1378125000000001E-3"/>
    <n v="1"/>
    <n v="-20"/>
    <n v="120"/>
  </r>
  <r>
    <x v="12"/>
    <s v="conventional_refinance_media_effect_30"/>
    <x v="70"/>
    <n v="1.0937499999999999E-2"/>
    <n v="1"/>
    <n v="-20"/>
    <n v="120"/>
  </r>
  <r>
    <x v="12"/>
    <s v="conventional_refinance_media_effect_31"/>
    <x v="71"/>
    <n v="1.28184375E-2"/>
    <n v="1"/>
    <n v="-20"/>
    <n v="120"/>
  </r>
  <r>
    <x v="12"/>
    <s v="conventional_refinance_media_effect_32"/>
    <x v="72"/>
    <n v="1.4760000000000001E-2"/>
    <n v="1"/>
    <n v="-20"/>
    <n v="120"/>
  </r>
  <r>
    <x v="12"/>
    <s v="conventional_refinance_media_effect_33"/>
    <x v="73"/>
    <n v="1.6741562500000001E-2"/>
    <n v="1"/>
    <n v="-20"/>
    <n v="120"/>
  </r>
  <r>
    <x v="12"/>
    <s v="conventional_refinance_media_effect_34"/>
    <x v="74"/>
    <n v="1.8742499999999999E-2"/>
    <n v="1"/>
    <n v="-20"/>
    <n v="120"/>
  </r>
  <r>
    <x v="12"/>
    <s v="conventional_refinance_media_effect_35"/>
    <x v="75"/>
    <n v="2.0742187499999998E-2"/>
    <n v="1"/>
    <n v="-20"/>
    <n v="120"/>
  </r>
  <r>
    <x v="12"/>
    <s v="conventional_refinance_media_effect_36"/>
    <x v="76"/>
    <n v="2.2720000000000001E-2"/>
    <n v="1"/>
    <n v="-20"/>
    <n v="120"/>
  </r>
  <r>
    <x v="12"/>
    <s v="conventional_refinance_media_effect_37"/>
    <x v="77"/>
    <n v="2.4655312499999998E-2"/>
    <n v="1"/>
    <n v="-20"/>
    <n v="120"/>
  </r>
  <r>
    <x v="12"/>
    <s v="conventional_refinance_media_effect_38"/>
    <x v="78"/>
    <n v="2.6527499999999999E-2"/>
    <n v="1"/>
    <n v="-20"/>
    <n v="120"/>
  </r>
  <r>
    <x v="12"/>
    <s v="conventional_refinance_media_effect_39"/>
    <x v="79"/>
    <n v="2.8315937499999999E-2"/>
    <n v="1"/>
    <n v="-20"/>
    <n v="120"/>
  </r>
  <r>
    <x v="12"/>
    <s v="conventional_refinance_media_effect_40"/>
    <x v="80"/>
    <n v="0.03"/>
    <n v="1"/>
    <n v="-20"/>
    <n v="120"/>
  </r>
  <r>
    <x v="12"/>
    <s v="conventional_refinance_media_effect_41"/>
    <x v="81"/>
    <n v="3.1423333333333303E-2"/>
    <n v="1"/>
    <n v="-20"/>
    <n v="120"/>
  </r>
  <r>
    <x v="12"/>
    <s v="conventional_refinance_media_effect_42"/>
    <x v="82"/>
    <n v="3.2503333333333301E-2"/>
    <n v="1"/>
    <n v="-20"/>
    <n v="120"/>
  </r>
  <r>
    <x v="12"/>
    <s v="conventional_refinance_media_effect_43"/>
    <x v="83"/>
    <n v="3.3329999999999999E-2"/>
    <n v="1"/>
    <n v="-20"/>
    <n v="120"/>
  </r>
  <r>
    <x v="12"/>
    <s v="conventional_refinance_media_effect_44"/>
    <x v="84"/>
    <n v="3.3993333333333299E-2"/>
    <n v="1"/>
    <n v="-20"/>
    <n v="120"/>
  </r>
  <r>
    <x v="12"/>
    <s v="conventional_refinance_media_effect_45"/>
    <x v="85"/>
    <n v="3.4583333333333299E-2"/>
    <n v="1"/>
    <n v="-20"/>
    <n v="120"/>
  </r>
  <r>
    <x v="12"/>
    <s v="conventional_refinance_media_effect_46"/>
    <x v="86"/>
    <n v="3.5189999999999999E-2"/>
    <n v="1"/>
    <n v="-20"/>
    <n v="120"/>
  </r>
  <r>
    <x v="12"/>
    <s v="conventional_refinance_media_effect_47"/>
    <x v="87"/>
    <n v="3.5903333333333301E-2"/>
    <n v="1"/>
    <n v="-20"/>
    <n v="120"/>
  </r>
  <r>
    <x v="12"/>
    <s v="conventional_refinance_media_effect_48"/>
    <x v="88"/>
    <n v="3.6813333333333302E-2"/>
    <n v="1"/>
    <n v="-20"/>
    <n v="120"/>
  </r>
  <r>
    <x v="12"/>
    <s v="conventional_refinance_media_effect_49"/>
    <x v="89"/>
    <n v="3.8010000000000002E-2"/>
    <n v="1"/>
    <n v="-20"/>
    <n v="120"/>
  </r>
  <r>
    <x v="12"/>
    <s v="conventional_refinance_media_effect_50"/>
    <x v="90"/>
    <n v="3.9583333333333297E-2"/>
    <n v="1"/>
    <n v="-20"/>
    <n v="120"/>
  </r>
  <r>
    <x v="12"/>
    <s v="conventional_refinance_media_effect_51"/>
    <x v="91"/>
    <n v="4.1623333333333297E-2"/>
    <n v="1"/>
    <n v="-20"/>
    <n v="120"/>
  </r>
  <r>
    <x v="12"/>
    <s v="conventional_refinance_media_effect_52"/>
    <x v="92"/>
    <n v="4.4220000000000002E-2"/>
    <n v="1"/>
    <n v="-20"/>
    <n v="120"/>
  </r>
  <r>
    <x v="12"/>
    <s v="conventional_refinance_media_effect_53"/>
    <x v="93"/>
    <n v="4.7463333333333302E-2"/>
    <n v="1"/>
    <n v="-20"/>
    <n v="120"/>
  </r>
  <r>
    <x v="12"/>
    <s v="conventional_refinance_media_effect_54"/>
    <x v="94"/>
    <n v="5.1443333333333299E-2"/>
    <n v="1"/>
    <n v="-20"/>
    <n v="120"/>
  </r>
  <r>
    <x v="12"/>
    <s v="conventional_refinance_media_effect_55"/>
    <x v="95"/>
    <n v="5.6250000000000001E-2"/>
    <n v="1"/>
    <n v="-20"/>
    <n v="120"/>
  </r>
  <r>
    <x v="12"/>
    <s v="conventional_refinance_media_effect_56"/>
    <x v="96"/>
    <n v="6.1740000000000003E-2"/>
    <n v="1"/>
    <n v="-20"/>
    <n v="120"/>
  </r>
  <r>
    <x v="12"/>
    <s v="conventional_refinance_media_effect_57"/>
    <x v="97"/>
    <n v="6.8169999999999994E-2"/>
    <n v="1"/>
    <n v="-20"/>
    <n v="120"/>
  </r>
  <r>
    <x v="12"/>
    <s v="conventional_refinance_media_effect_58"/>
    <x v="98"/>
    <n v="7.6230000000000006E-2"/>
    <n v="1"/>
    <n v="-20"/>
    <n v="120"/>
  </r>
  <r>
    <x v="12"/>
    <s v="conventional_refinance_media_effect_59"/>
    <x v="99"/>
    <n v="8.6610000000000006E-2"/>
    <n v="1"/>
    <n v="-20"/>
    <n v="120"/>
  </r>
  <r>
    <x v="12"/>
    <s v="conventional_refinance_media_effect_60"/>
    <x v="100"/>
    <n v="0.1"/>
    <n v="1"/>
    <n v="-20"/>
    <n v="120"/>
  </r>
  <r>
    <x v="12"/>
    <s v="conventional_refinance_media_effect_61"/>
    <x v="101"/>
    <n v="0.11569906250000001"/>
    <n v="1"/>
    <n v="-20"/>
    <n v="120"/>
  </r>
  <r>
    <x v="12"/>
    <s v="conventional_refinance_media_effect_62"/>
    <x v="102"/>
    <n v="0.13249250000000001"/>
    <n v="1"/>
    <n v="-20"/>
    <n v="120"/>
  </r>
  <r>
    <x v="12"/>
    <s v="conventional_refinance_media_effect_63"/>
    <x v="103"/>
    <n v="0.1502996875"/>
    <n v="1"/>
    <n v="-20"/>
    <n v="120"/>
  </r>
  <r>
    <x v="12"/>
    <s v="conventional_refinance_media_effect_64"/>
    <x v="104"/>
    <n v="0.16904"/>
    <n v="1"/>
    <n v="-20"/>
    <n v="120"/>
  </r>
  <r>
    <x v="12"/>
    <s v="conventional_refinance_media_effect_65"/>
    <x v="105"/>
    <n v="0.1886328125"/>
    <n v="1"/>
    <n v="-20"/>
    <n v="120"/>
  </r>
  <r>
    <x v="12"/>
    <s v="conventional_refinance_media_effect_66"/>
    <x v="106"/>
    <n v="0.2089975"/>
    <n v="1"/>
    <n v="-20"/>
    <n v="120"/>
  </r>
  <r>
    <x v="12"/>
    <s v="conventional_refinance_media_effect_67"/>
    <x v="107"/>
    <n v="0.23005343750000001"/>
    <n v="1"/>
    <n v="-20"/>
    <n v="120"/>
  </r>
  <r>
    <x v="12"/>
    <s v="conventional_refinance_media_effect_68"/>
    <x v="108"/>
    <n v="0.25172"/>
    <n v="1"/>
    <n v="-20"/>
    <n v="120"/>
  </r>
  <r>
    <x v="12"/>
    <s v="conventional_refinance_media_effect_69"/>
    <x v="109"/>
    <n v="0.27391656250000002"/>
    <n v="1"/>
    <n v="-20"/>
    <n v="120"/>
  </r>
  <r>
    <x v="12"/>
    <s v="conventional_refinance_media_effect_70"/>
    <x v="110"/>
    <n v="0.29656250000000001"/>
    <n v="1"/>
    <n v="-20"/>
    <n v="120"/>
  </r>
  <r>
    <x v="12"/>
    <s v="conventional_refinance_media_effect_71"/>
    <x v="111"/>
    <n v="0.31957718750000003"/>
    <n v="1"/>
    <n v="-20"/>
    <n v="120"/>
  </r>
  <r>
    <x v="12"/>
    <s v="conventional_refinance_media_effect_72"/>
    <x v="112"/>
    <n v="0.34288000000000002"/>
    <n v="1"/>
    <n v="-20"/>
    <n v="120"/>
  </r>
  <r>
    <x v="12"/>
    <s v="conventional_refinance_media_effect_73"/>
    <x v="113"/>
    <n v="0.36639031249999998"/>
    <n v="1"/>
    <n v="-20"/>
    <n v="120"/>
  </r>
  <r>
    <x v="12"/>
    <s v="conventional_refinance_media_effect_74"/>
    <x v="114"/>
    <n v="0.39002750000000003"/>
    <n v="1"/>
    <n v="-20"/>
    <n v="120"/>
  </r>
  <r>
    <x v="12"/>
    <s v="conventional_refinance_media_effect_75"/>
    <x v="115"/>
    <n v="0.41371093749999999"/>
    <n v="1"/>
    <n v="-20"/>
    <n v="120"/>
  </r>
  <r>
    <x v="12"/>
    <s v="conventional_refinance_media_effect_76"/>
    <x v="116"/>
    <n v="0.43736000000000003"/>
    <n v="1"/>
    <n v="-20"/>
    <n v="120"/>
  </r>
  <r>
    <x v="12"/>
    <s v="conventional_refinance_media_effect_77"/>
    <x v="117"/>
    <n v="0.46089406249999998"/>
    <n v="1"/>
    <n v="-20"/>
    <n v="120"/>
  </r>
  <r>
    <x v="12"/>
    <s v="conventional_refinance_media_effect_78"/>
    <x v="118"/>
    <n v="0.48423250000000001"/>
    <n v="1"/>
    <n v="-20"/>
    <n v="120"/>
  </r>
  <r>
    <x v="12"/>
    <s v="conventional_refinance_media_effect_79"/>
    <x v="119"/>
    <n v="0.50729468749999995"/>
    <n v="1"/>
    <n v="-20"/>
    <n v="120"/>
  </r>
  <r>
    <x v="12"/>
    <s v="conventional_refinance_media_effect_80"/>
    <x v="120"/>
    <n v="0.53"/>
    <n v="1"/>
    <n v="-20"/>
    <n v="120"/>
  </r>
  <r>
    <x v="12"/>
    <s v="conventional_refinance_media_effect_81"/>
    <x v="121"/>
    <n v="0.55259749999999996"/>
    <n v="1"/>
    <n v="-20"/>
    <n v="120"/>
  </r>
  <r>
    <x v="12"/>
    <s v="conventional_refinance_media_effect_82"/>
    <x v="122"/>
    <n v="0.57538"/>
    <n v="1"/>
    <n v="-20"/>
    <n v="120"/>
  </r>
  <r>
    <x v="12"/>
    <s v="conventional_refinance_media_effect_83"/>
    <x v="123"/>
    <n v="0.59833250000000004"/>
    <n v="1"/>
    <n v="-20"/>
    <n v="120"/>
  </r>
  <r>
    <x v="12"/>
    <s v="conventional_refinance_media_effect_84"/>
    <x v="124"/>
    <n v="0.62143999999999999"/>
    <n v="1"/>
    <n v="-20"/>
    <n v="120"/>
  </r>
  <r>
    <x v="12"/>
    <s v="conventional_refinance_media_effect_85"/>
    <x v="125"/>
    <n v="0.64468749999999997"/>
    <n v="1"/>
    <n v="-20"/>
    <n v="120"/>
  </r>
  <r>
    <x v="12"/>
    <s v="conventional_refinance_media_effect_86"/>
    <x v="126"/>
    <n v="0.66805999999999999"/>
    <n v="1"/>
    <n v="-20"/>
    <n v="120"/>
  </r>
  <r>
    <x v="12"/>
    <s v="conventional_refinance_media_effect_87"/>
    <x v="127"/>
    <n v="0.69154249999999995"/>
    <n v="1"/>
    <n v="-20"/>
    <n v="120"/>
  </r>
  <r>
    <x v="12"/>
    <s v="conventional_refinance_media_effect_88"/>
    <x v="128"/>
    <n v="0.71511999999999998"/>
    <n v="1"/>
    <n v="-20"/>
    <n v="120"/>
  </r>
  <r>
    <x v="12"/>
    <s v="conventional_refinance_media_effect_89"/>
    <x v="129"/>
    <n v="0.73877749999999998"/>
    <n v="1"/>
    <n v="-20"/>
    <n v="120"/>
  </r>
  <r>
    <x v="12"/>
    <s v="conventional_refinance_media_effect_90"/>
    <x v="130"/>
    <n v="0.76249999999999996"/>
    <n v="1"/>
    <n v="-20"/>
    <n v="120"/>
  </r>
  <r>
    <x v="12"/>
    <s v="conventional_refinance_media_effect_91"/>
    <x v="131"/>
    <n v="0.78627250000000004"/>
    <n v="1"/>
    <n v="-20"/>
    <n v="120"/>
  </r>
  <r>
    <x v="12"/>
    <s v="conventional_refinance_media_effect_92"/>
    <x v="132"/>
    <n v="0.81008000000000002"/>
    <n v="1"/>
    <n v="-20"/>
    <n v="120"/>
  </r>
  <r>
    <x v="12"/>
    <s v="conventional_refinance_media_effect_93"/>
    <x v="133"/>
    <n v="0.83390750000000002"/>
    <n v="1"/>
    <n v="-20"/>
    <n v="120"/>
  </r>
  <r>
    <x v="12"/>
    <s v="conventional_refinance_media_effect_94"/>
    <x v="134"/>
    <n v="0.85773999999999995"/>
    <n v="1"/>
    <n v="-20"/>
    <n v="120"/>
  </r>
  <r>
    <x v="12"/>
    <s v="conventional_refinance_media_effect_95"/>
    <x v="135"/>
    <n v="0.88156250000000003"/>
    <n v="1"/>
    <n v="-20"/>
    <n v="120"/>
  </r>
  <r>
    <x v="12"/>
    <s v="conventional_refinance_media_effect_96"/>
    <x v="136"/>
    <n v="0.90536000000000005"/>
    <n v="1"/>
    <n v="-20"/>
    <n v="120"/>
  </r>
  <r>
    <x v="12"/>
    <s v="conventional_refinance_media_effect_97"/>
    <x v="137"/>
    <n v="0.92911750000000004"/>
    <n v="1"/>
    <n v="-20"/>
    <n v="120"/>
  </r>
  <r>
    <x v="12"/>
    <s v="conventional_refinance_media_effect_98"/>
    <x v="138"/>
    <n v="0.95282"/>
    <n v="1"/>
    <n v="-20"/>
    <n v="120"/>
  </r>
  <r>
    <x v="12"/>
    <s v="conventional_refinance_media_effect_99"/>
    <x v="139"/>
    <n v="0.97645249999999995"/>
    <n v="1"/>
    <n v="-20"/>
    <n v="120"/>
  </r>
  <r>
    <x v="12"/>
    <s v="conventional_refinance_media_effect_100"/>
    <x v="140"/>
    <n v="1"/>
    <n v="1"/>
    <n v="-20"/>
    <n v="120"/>
  </r>
  <r>
    <x v="12"/>
    <s v="conventional_refinance_media_effect_101"/>
    <x v="141"/>
    <n v="1.0235000000000001"/>
    <n v="1"/>
    <n v="-20"/>
    <n v="120"/>
  </r>
  <r>
    <x v="12"/>
    <s v="conventional_refinance_media_effect_102"/>
    <x v="142"/>
    <n v="1.0469999999999999"/>
    <n v="1"/>
    <n v="-20"/>
    <n v="120"/>
  </r>
  <r>
    <x v="12"/>
    <s v="conventional_refinance_media_effect_103"/>
    <x v="143"/>
    <n v="1.0705"/>
    <n v="1"/>
    <n v="-20"/>
    <n v="120"/>
  </r>
  <r>
    <x v="12"/>
    <s v="conventional_refinance_media_effect_104"/>
    <x v="144"/>
    <n v="1.0940000000000001"/>
    <n v="1"/>
    <n v="-20"/>
    <n v="120"/>
  </r>
  <r>
    <x v="12"/>
    <s v="conventional_refinance_media_effect_105"/>
    <x v="145"/>
    <n v="1.1174999999999999"/>
    <n v="1"/>
    <n v="-20"/>
    <n v="120"/>
  </r>
  <r>
    <x v="12"/>
    <s v="conventional_refinance_media_effect_106"/>
    <x v="146"/>
    <n v="1.141"/>
    <n v="1"/>
    <n v="-20"/>
    <n v="120"/>
  </r>
  <r>
    <x v="12"/>
    <s v="conventional_refinance_media_effect_107"/>
    <x v="147"/>
    <n v="1.1645000000000001"/>
    <n v="1"/>
    <n v="-20"/>
    <n v="120"/>
  </r>
  <r>
    <x v="12"/>
    <s v="conventional_refinance_media_effect_108"/>
    <x v="148"/>
    <n v="1.1879999999999999"/>
    <n v="1"/>
    <n v="-20"/>
    <n v="120"/>
  </r>
  <r>
    <x v="12"/>
    <s v="conventional_refinance_media_effect_109"/>
    <x v="149"/>
    <n v="1.2115"/>
    <n v="1"/>
    <n v="-20"/>
    <n v="120"/>
  </r>
  <r>
    <x v="12"/>
    <s v="conventional_refinance_media_effect_110"/>
    <x v="150"/>
    <n v="1.2350000000000001"/>
    <n v="1"/>
    <n v="-20"/>
    <n v="120"/>
  </r>
  <r>
    <x v="12"/>
    <s v="conventional_refinance_media_effect_111"/>
    <x v="151"/>
    <n v="1.2585"/>
    <n v="1"/>
    <n v="-20"/>
    <n v="120"/>
  </r>
  <r>
    <x v="12"/>
    <s v="conventional_refinance_media_effect_112"/>
    <x v="152"/>
    <n v="1.282"/>
    <n v="1"/>
    <n v="-20"/>
    <n v="120"/>
  </r>
  <r>
    <x v="12"/>
    <s v="conventional_refinance_media_effect_113"/>
    <x v="153"/>
    <n v="1.3055000000000001"/>
    <n v="1"/>
    <n v="-20"/>
    <n v="120"/>
  </r>
  <r>
    <x v="12"/>
    <s v="conventional_refinance_media_effect_114"/>
    <x v="154"/>
    <n v="1.329"/>
    <n v="1"/>
    <n v="-20"/>
    <n v="120"/>
  </r>
  <r>
    <x v="12"/>
    <s v="conventional_refinance_media_effect_115"/>
    <x v="155"/>
    <n v="1.3525"/>
    <n v="1"/>
    <n v="-20"/>
    <n v="120"/>
  </r>
  <r>
    <x v="12"/>
    <s v="conventional_refinance_media_effect_116"/>
    <x v="156"/>
    <n v="1.3759999999999999"/>
    <n v="1"/>
    <n v="-20"/>
    <n v="120"/>
  </r>
  <r>
    <x v="12"/>
    <s v="conventional_refinance_media_effect_117"/>
    <x v="157"/>
    <n v="1.3995"/>
    <n v="1"/>
    <n v="-20"/>
    <n v="120"/>
  </r>
  <r>
    <x v="12"/>
    <s v="conventional_refinance_media_effect_118"/>
    <x v="158"/>
    <n v="1.423"/>
    <n v="1"/>
    <n v="-20"/>
    <n v="120"/>
  </r>
  <r>
    <x v="12"/>
    <s v="conventional_refinance_media_effect_119"/>
    <x v="159"/>
    <n v="1.4464999999999999"/>
    <n v="1"/>
    <n v="-20"/>
    <n v="120"/>
  </r>
  <r>
    <x v="12"/>
    <s v="conventional_refinance_media_effect_120"/>
    <x v="160"/>
    <n v="1.47"/>
    <n v="1"/>
    <n v="-20"/>
    <n v="120"/>
  </r>
  <r>
    <x v="13"/>
    <s v="conventional_refinance_burnout_-3200"/>
    <x v="1231"/>
    <n v="1.1561600000000001"/>
    <n v="100"/>
    <n v="-3200"/>
    <n v="19200"/>
  </r>
  <r>
    <x v="13"/>
    <s v="conventional_refinance_burnout_-3100"/>
    <x v="1232"/>
    <n v="1.1512800000000001"/>
    <n v="100"/>
    <n v="-3200"/>
    <n v="19200"/>
  </r>
  <r>
    <x v="13"/>
    <s v="conventional_refinance_burnout_-3000"/>
    <x v="1233"/>
    <n v="1.1464000000000001"/>
    <n v="100"/>
    <n v="-3200"/>
    <n v="19200"/>
  </r>
  <r>
    <x v="13"/>
    <s v="conventional_refinance_burnout_-2900"/>
    <x v="1234"/>
    <n v="1.1415200000000001"/>
    <n v="100"/>
    <n v="-3200"/>
    <n v="19200"/>
  </r>
  <r>
    <x v="13"/>
    <s v="conventional_refinance_burnout_-2800"/>
    <x v="1235"/>
    <n v="1.1366400000000001"/>
    <n v="100"/>
    <n v="-3200"/>
    <n v="19200"/>
  </r>
  <r>
    <x v="13"/>
    <s v="conventional_refinance_burnout_-2700"/>
    <x v="1236"/>
    <n v="1.1317600000000001"/>
    <n v="100"/>
    <n v="-3200"/>
    <n v="19200"/>
  </r>
  <r>
    <x v="13"/>
    <s v="conventional_refinance_burnout_-2600"/>
    <x v="1237"/>
    <n v="1.1268800000000001"/>
    <n v="100"/>
    <n v="-3200"/>
    <n v="19200"/>
  </r>
  <r>
    <x v="13"/>
    <s v="conventional_refinance_burnout_-2500"/>
    <x v="1238"/>
    <n v="1.1220000000000001"/>
    <n v="100"/>
    <n v="-3200"/>
    <n v="19200"/>
  </r>
  <r>
    <x v="13"/>
    <s v="conventional_refinance_burnout_-2400"/>
    <x v="1239"/>
    <n v="1.1171199999999999"/>
    <n v="100"/>
    <n v="-3200"/>
    <n v="19200"/>
  </r>
  <r>
    <x v="13"/>
    <s v="conventional_refinance_burnout_-2300"/>
    <x v="1240"/>
    <n v="1.1122399999999999"/>
    <n v="100"/>
    <n v="-3200"/>
    <n v="19200"/>
  </r>
  <r>
    <x v="13"/>
    <s v="conventional_refinance_burnout_-2200"/>
    <x v="1241"/>
    <n v="1.1073599999999999"/>
    <n v="100"/>
    <n v="-3200"/>
    <n v="19200"/>
  </r>
  <r>
    <x v="13"/>
    <s v="conventional_refinance_burnout_-2100"/>
    <x v="1242"/>
    <n v="1.1024799999999999"/>
    <n v="100"/>
    <n v="-3200"/>
    <n v="19200"/>
  </r>
  <r>
    <x v="13"/>
    <s v="conventional_refinance_burnout_-2000"/>
    <x v="1243"/>
    <n v="1.0975999999999999"/>
    <n v="100"/>
    <n v="-3200"/>
    <n v="19200"/>
  </r>
  <r>
    <x v="13"/>
    <s v="conventional_refinance_burnout_-1900"/>
    <x v="1244"/>
    <n v="1.0927199999999999"/>
    <n v="100"/>
    <n v="-3200"/>
    <n v="19200"/>
  </r>
  <r>
    <x v="13"/>
    <s v="conventional_refinance_burnout_-1800"/>
    <x v="1245"/>
    <n v="1.0878399999999999"/>
    <n v="100"/>
    <n v="-3200"/>
    <n v="19200"/>
  </r>
  <r>
    <x v="13"/>
    <s v="conventional_refinance_burnout_-1700"/>
    <x v="1246"/>
    <n v="1.0829599999999999"/>
    <n v="100"/>
    <n v="-3200"/>
    <n v="19200"/>
  </r>
  <r>
    <x v="13"/>
    <s v="conventional_refinance_burnout_-1600"/>
    <x v="1247"/>
    <n v="1.0780799999999999"/>
    <n v="100"/>
    <n v="-3200"/>
    <n v="19200"/>
  </r>
  <r>
    <x v="13"/>
    <s v="conventional_refinance_burnout_-1500"/>
    <x v="1248"/>
    <n v="1.0731999999999999"/>
    <n v="100"/>
    <n v="-3200"/>
    <n v="19200"/>
  </r>
  <r>
    <x v="13"/>
    <s v="conventional_refinance_burnout_-1400"/>
    <x v="1249"/>
    <n v="1.0683199999999999"/>
    <n v="100"/>
    <n v="-3200"/>
    <n v="19200"/>
  </r>
  <r>
    <x v="13"/>
    <s v="conventional_refinance_burnout_-1300"/>
    <x v="1250"/>
    <n v="1.0634399999999999"/>
    <n v="100"/>
    <n v="-3200"/>
    <n v="19200"/>
  </r>
  <r>
    <x v="13"/>
    <s v="conventional_refinance_burnout_-1200"/>
    <x v="1251"/>
    <n v="1.0585599999999999"/>
    <n v="100"/>
    <n v="-3200"/>
    <n v="19200"/>
  </r>
  <r>
    <x v="13"/>
    <s v="conventional_refinance_burnout_-1100"/>
    <x v="1252"/>
    <n v="1.0536799999999999"/>
    <n v="100"/>
    <n v="-3200"/>
    <n v="19200"/>
  </r>
  <r>
    <x v="13"/>
    <s v="conventional_refinance_burnout_-1000"/>
    <x v="1253"/>
    <n v="1.0488"/>
    <n v="100"/>
    <n v="-3200"/>
    <n v="19200"/>
  </r>
  <r>
    <x v="13"/>
    <s v="conventional_refinance_burnout_-900"/>
    <x v="1254"/>
    <n v="1.04392"/>
    <n v="100"/>
    <n v="-3200"/>
    <n v="19200"/>
  </r>
  <r>
    <x v="13"/>
    <s v="conventional_refinance_burnout_-800"/>
    <x v="1255"/>
    <n v="1.03904"/>
    <n v="100"/>
    <n v="-3200"/>
    <n v="19200"/>
  </r>
  <r>
    <x v="13"/>
    <s v="conventional_refinance_burnout_-700"/>
    <x v="1256"/>
    <n v="1.03416"/>
    <n v="100"/>
    <n v="-3200"/>
    <n v="19200"/>
  </r>
  <r>
    <x v="13"/>
    <s v="conventional_refinance_burnout_-600"/>
    <x v="1257"/>
    <n v="1.02928"/>
    <n v="100"/>
    <n v="-3200"/>
    <n v="19200"/>
  </r>
  <r>
    <x v="13"/>
    <s v="conventional_refinance_burnout_-500"/>
    <x v="1258"/>
    <n v="1.0244"/>
    <n v="100"/>
    <n v="-3200"/>
    <n v="19200"/>
  </r>
  <r>
    <x v="13"/>
    <s v="conventional_refinance_burnout_-400"/>
    <x v="1259"/>
    <n v="1.01952"/>
    <n v="100"/>
    <n v="-3200"/>
    <n v="19200"/>
  </r>
  <r>
    <x v="13"/>
    <s v="conventional_refinance_burnout_-300"/>
    <x v="1260"/>
    <n v="1.01464"/>
    <n v="100"/>
    <n v="-3200"/>
    <n v="19200"/>
  </r>
  <r>
    <x v="13"/>
    <s v="conventional_refinance_burnout_-200"/>
    <x v="1071"/>
    <n v="1.00976"/>
    <n v="100"/>
    <n v="-3200"/>
    <n v="19200"/>
  </r>
  <r>
    <x v="13"/>
    <s v="conventional_refinance_burnout_-100"/>
    <x v="1171"/>
    <n v="1.00488"/>
    <n v="100"/>
    <n v="-3200"/>
    <n v="19200"/>
  </r>
  <r>
    <x v="13"/>
    <s v="conventional_refinance_burnout_0"/>
    <x v="40"/>
    <n v="1"/>
    <n v="100"/>
    <n v="-3200"/>
    <n v="19200"/>
  </r>
  <r>
    <x v="13"/>
    <s v="conventional_refinance_burnout_100"/>
    <x v="140"/>
    <n v="0.99523159999999999"/>
    <n v="100"/>
    <n v="-3200"/>
    <n v="19200"/>
  </r>
  <r>
    <x v="13"/>
    <s v="conventional_refinance_burnout_200"/>
    <x v="240"/>
    <n v="0.99063679999999998"/>
    <n v="100"/>
    <n v="-3200"/>
    <n v="19200"/>
  </r>
  <r>
    <x v="13"/>
    <s v="conventional_refinance_burnout_300"/>
    <x v="340"/>
    <n v="0.98614120000000005"/>
    <n v="100"/>
    <n v="-3200"/>
    <n v="19200"/>
  </r>
  <r>
    <x v="13"/>
    <s v="conventional_refinance_burnout_400"/>
    <x v="440"/>
    <n v="0.98167040000000005"/>
    <n v="100"/>
    <n v="-3200"/>
    <n v="19200"/>
  </r>
  <r>
    <x v="13"/>
    <s v="conventional_refinance_burnout_500"/>
    <x v="540"/>
    <n v="0.97714999999999996"/>
    <n v="100"/>
    <n v="-3200"/>
    <n v="19200"/>
  </r>
  <r>
    <x v="13"/>
    <s v="conventional_refinance_burnout_600"/>
    <x v="640"/>
    <n v="0.97250559999999997"/>
    <n v="100"/>
    <n v="-3200"/>
    <n v="19200"/>
  </r>
  <r>
    <x v="13"/>
    <s v="conventional_refinance_burnout_700"/>
    <x v="740"/>
    <n v="0.96766280000000005"/>
    <n v="100"/>
    <n v="-3200"/>
    <n v="19200"/>
  </r>
  <r>
    <x v="13"/>
    <s v="conventional_refinance_burnout_800"/>
    <x v="840"/>
    <n v="0.96254720000000005"/>
    <n v="100"/>
    <n v="-3200"/>
    <n v="19200"/>
  </r>
  <r>
    <x v="13"/>
    <s v="conventional_refinance_burnout_900"/>
    <x v="940"/>
    <n v="0.95708439999999995"/>
    <n v="100"/>
    <n v="-3200"/>
    <n v="19200"/>
  </r>
  <r>
    <x v="13"/>
    <s v="conventional_refinance_burnout_1000"/>
    <x v="1261"/>
    <n v="0.95120000000000005"/>
    <n v="100"/>
    <n v="-3200"/>
    <n v="19200"/>
  </r>
  <r>
    <x v="13"/>
    <s v="conventional_refinance_burnout_1100"/>
    <x v="1262"/>
    <n v="0.94511836000000005"/>
    <n v="100"/>
    <n v="-3200"/>
    <n v="19200"/>
  </r>
  <r>
    <x v="13"/>
    <s v="conventional_refinance_burnout_1200"/>
    <x v="1263"/>
    <n v="0.93904127999999998"/>
    <n v="100"/>
    <n v="-3200"/>
    <n v="19200"/>
  </r>
  <r>
    <x v="13"/>
    <s v="conventional_refinance_burnout_1300"/>
    <x v="1264"/>
    <n v="0.93286051999999997"/>
    <n v="100"/>
    <n v="-3200"/>
    <n v="19200"/>
  </r>
  <r>
    <x v="13"/>
    <s v="conventional_refinance_burnout_1400"/>
    <x v="1265"/>
    <n v="0.92646784000000004"/>
    <n v="100"/>
    <n v="-3200"/>
    <n v="19200"/>
  </r>
  <r>
    <x v="13"/>
    <s v="conventional_refinance_burnout_1500"/>
    <x v="1266"/>
    <n v="0.91975499999999999"/>
    <n v="100"/>
    <n v="-3200"/>
    <n v="19200"/>
  </r>
  <r>
    <x v="13"/>
    <s v="conventional_refinance_burnout_1600"/>
    <x v="1267"/>
    <n v="0.91261376000000005"/>
    <n v="100"/>
    <n v="-3200"/>
    <n v="19200"/>
  </r>
  <r>
    <x v="13"/>
    <s v="conventional_refinance_burnout_1700"/>
    <x v="1268"/>
    <n v="0.90493588000000003"/>
    <n v="100"/>
    <n v="-3200"/>
    <n v="19200"/>
  </r>
  <r>
    <x v="13"/>
    <s v="conventional_refinance_burnout_1800"/>
    <x v="1269"/>
    <n v="0.89661312000000004"/>
    <n v="100"/>
    <n v="-3200"/>
    <n v="19200"/>
  </r>
  <r>
    <x v="13"/>
    <s v="conventional_refinance_burnout_1900"/>
    <x v="1270"/>
    <n v="0.88753724000000001"/>
    <n v="100"/>
    <n v="-3200"/>
    <n v="19200"/>
  </r>
  <r>
    <x v="13"/>
    <s v="conventional_refinance_burnout_2000"/>
    <x v="1271"/>
    <n v="0.87760000000000005"/>
    <n v="100"/>
    <n v="-3200"/>
    <n v="19200"/>
  </r>
  <r>
    <x v="13"/>
    <s v="conventional_refinance_burnout_2100"/>
    <x v="1272"/>
    <n v="0.86671237112499999"/>
    <n v="100"/>
    <n v="-3200"/>
    <n v="19200"/>
  </r>
  <r>
    <x v="13"/>
    <s v="conventional_refinance_burnout_2200"/>
    <x v="1273"/>
    <n v="0.85492725899999999"/>
    <n v="100"/>
    <n v="-3200"/>
    <n v="19200"/>
  </r>
  <r>
    <x v="13"/>
    <s v="conventional_refinance_burnout_2300"/>
    <x v="1274"/>
    <n v="0.84234932537499996"/>
    <n v="100"/>
    <n v="-3200"/>
    <n v="19200"/>
  </r>
  <r>
    <x v="13"/>
    <s v="conventional_refinance_burnout_2400"/>
    <x v="1275"/>
    <n v="0.829083232"/>
    <n v="100"/>
    <n v="-3200"/>
    <n v="19200"/>
  </r>
  <r>
    <x v="13"/>
    <s v="conventional_refinance_burnout_2500"/>
    <x v="1276"/>
    <n v="0.81523364062500003"/>
    <n v="100"/>
    <n v="-3200"/>
    <n v="19200"/>
  </r>
  <r>
    <x v="13"/>
    <s v="conventional_refinance_burnout_2600"/>
    <x v="1277"/>
    <n v="0.80090521299999995"/>
    <n v="100"/>
    <n v="-3200"/>
    <n v="19200"/>
  </r>
  <r>
    <x v="13"/>
    <s v="conventional_refinance_burnout_2700"/>
    <x v="1278"/>
    <n v="0.78620261087499999"/>
    <n v="100"/>
    <n v="-3200"/>
    <n v="19200"/>
  </r>
  <r>
    <x v="13"/>
    <s v="conventional_refinance_burnout_2800"/>
    <x v="1279"/>
    <n v="0.77123049600000004"/>
    <n v="100"/>
    <n v="-3200"/>
    <n v="19200"/>
  </r>
  <r>
    <x v="13"/>
    <s v="conventional_refinance_burnout_2900"/>
    <x v="1280"/>
    <n v="0.75609353012500002"/>
    <n v="100"/>
    <n v="-3200"/>
    <n v="19200"/>
  </r>
  <r>
    <x v="13"/>
    <s v="conventional_refinance_burnout_3000"/>
    <x v="1281"/>
    <n v="0.74089637500000005"/>
    <n v="100"/>
    <n v="-3200"/>
    <n v="19200"/>
  </r>
  <r>
    <x v="13"/>
    <s v="conventional_refinance_burnout_3100"/>
    <x v="1282"/>
    <n v="0.72574369237500003"/>
    <n v="100"/>
    <n v="-3200"/>
    <n v="19200"/>
  </r>
  <r>
    <x v="13"/>
    <s v="conventional_refinance_burnout_3200"/>
    <x v="1283"/>
    <n v="0.71074014399999996"/>
    <n v="100"/>
    <n v="-3200"/>
    <n v="19200"/>
  </r>
  <r>
    <x v="13"/>
    <s v="conventional_refinance_burnout_3300"/>
    <x v="1284"/>
    <n v="0.69599039162499998"/>
    <n v="100"/>
    <n v="-3200"/>
    <n v="19200"/>
  </r>
  <r>
    <x v="13"/>
    <s v="conventional_refinance_burnout_3400"/>
    <x v="1285"/>
    <n v="0.68159909699999999"/>
    <n v="100"/>
    <n v="-3200"/>
    <n v="19200"/>
  </r>
  <r>
    <x v="13"/>
    <s v="conventional_refinance_burnout_3500"/>
    <x v="1286"/>
    <n v="0.66767092187499999"/>
    <n v="100"/>
    <n v="-3200"/>
    <n v="19200"/>
  </r>
  <r>
    <x v="13"/>
    <s v="conventional_refinance_burnout_3600"/>
    <x v="1287"/>
    <n v="0.654310528"/>
    <n v="100"/>
    <n v="-3200"/>
    <n v="19200"/>
  </r>
  <r>
    <x v="13"/>
    <s v="conventional_refinance_burnout_3700"/>
    <x v="1288"/>
    <n v="0.64162257712500004"/>
    <n v="100"/>
    <n v="-3200"/>
    <n v="19200"/>
  </r>
  <r>
    <x v="13"/>
    <s v="conventional_refinance_burnout_3800"/>
    <x v="1289"/>
    <n v="0.629711731"/>
    <n v="100"/>
    <n v="-3200"/>
    <n v="19200"/>
  </r>
  <r>
    <x v="13"/>
    <s v="conventional_refinance_burnout_3900"/>
    <x v="1290"/>
    <n v="0.618682651375"/>
    <n v="100"/>
    <n v="-3200"/>
    <n v="19200"/>
  </r>
  <r>
    <x v="13"/>
    <s v="conventional_refinance_burnout_4000"/>
    <x v="1291"/>
    <n v="0.60863999999999996"/>
    <n v="100"/>
    <n v="-3200"/>
    <n v="19200"/>
  </r>
  <r>
    <x v="13"/>
    <s v="conventional_refinance_burnout_4100"/>
    <x v="1292"/>
    <n v="0.59965889949999995"/>
    <n v="100"/>
    <n v="-3200"/>
    <n v="19200"/>
  </r>
  <r>
    <x v="13"/>
    <s v="conventional_refinance_burnout_4200"/>
    <x v="1293"/>
    <n v="0.59168242933333304"/>
    <n v="100"/>
    <n v="-3200"/>
    <n v="19200"/>
  </r>
  <r>
    <x v="13"/>
    <s v="conventional_refinance_burnout_4300"/>
    <x v="1294"/>
    <n v="0.58461718650000005"/>
    <n v="100"/>
    <n v="-3200"/>
    <n v="19200"/>
  </r>
  <r>
    <x v="13"/>
    <s v="conventional_refinance_burnout_4400"/>
    <x v="1295"/>
    <n v="0.57836976799999995"/>
    <n v="100"/>
    <n v="-3200"/>
    <n v="19200"/>
  </r>
  <r>
    <x v="13"/>
    <s v="conventional_refinance_burnout_4500"/>
    <x v="1296"/>
    <n v="0.57284677083333302"/>
    <n v="100"/>
    <n v="-3200"/>
    <n v="19200"/>
  </r>
  <r>
    <x v="13"/>
    <s v="conventional_refinance_burnout_4600"/>
    <x v="1297"/>
    <n v="0.56795479199999999"/>
    <n v="100"/>
    <n v="-3200"/>
    <n v="19200"/>
  </r>
  <r>
    <x v="13"/>
    <s v="conventional_refinance_burnout_4700"/>
    <x v="1298"/>
    <n v="0.56360042850000003"/>
    <n v="100"/>
    <n v="-3200"/>
    <n v="19200"/>
  </r>
  <r>
    <x v="13"/>
    <s v="conventional_refinance_burnout_4800"/>
    <x v="1299"/>
    <n v="0.55969027733333299"/>
    <n v="100"/>
    <n v="-3200"/>
    <n v="19200"/>
  </r>
  <r>
    <x v="13"/>
    <s v="conventional_refinance_burnout_4900"/>
    <x v="1300"/>
    <n v="0.55613093550000003"/>
    <n v="100"/>
    <n v="-3200"/>
    <n v="19200"/>
  </r>
  <r>
    <x v="13"/>
    <s v="conventional_refinance_burnout_5000"/>
    <x v="1301"/>
    <n v="0.55282900000000001"/>
    <n v="100"/>
    <n v="-3200"/>
    <n v="19200"/>
  </r>
  <r>
    <x v="13"/>
    <s v="conventional_refinance_burnout_5100"/>
    <x v="1302"/>
    <n v="0.54975859873072597"/>
    <n v="100"/>
    <n v="-3200"/>
    <n v="19200"/>
  </r>
  <r>
    <x v="13"/>
    <s v="conventional_refinance_burnout_5200"/>
    <x v="1303"/>
    <n v="0.54694857777996697"/>
    <n v="100"/>
    <n v="-3200"/>
    <n v="19200"/>
  </r>
  <r>
    <x v="13"/>
    <s v="conventional_refinance_burnout_5300"/>
    <x v="1304"/>
    <n v="0.54438761143332204"/>
    <n v="100"/>
    <n v="-3200"/>
    <n v="19200"/>
  </r>
  <r>
    <x v="13"/>
    <s v="conventional_refinance_burnout_5400"/>
    <x v="1305"/>
    <n v="0.54206437397638596"/>
    <n v="100"/>
    <n v="-3200"/>
    <n v="19200"/>
  </r>
  <r>
    <x v="13"/>
    <s v="conventional_refinance_burnout_5500"/>
    <x v="1306"/>
    <n v="0.53996753969475797"/>
    <n v="100"/>
    <n v="-3200"/>
    <n v="19200"/>
  </r>
  <r>
    <x v="13"/>
    <s v="conventional_refinance_burnout_5600"/>
    <x v="1307"/>
    <n v="0.53808578287403397"/>
    <n v="100"/>
    <n v="-3200"/>
    <n v="19200"/>
  </r>
  <r>
    <x v="13"/>
    <s v="conventional_refinance_burnout_5700"/>
    <x v="1308"/>
    <n v="0.53640777779980997"/>
    <n v="100"/>
    <n v="-3200"/>
    <n v="19200"/>
  </r>
  <r>
    <x v="13"/>
    <s v="conventional_refinance_burnout_5800"/>
    <x v="1309"/>
    <n v="0.53492219875768399"/>
    <n v="100"/>
    <n v="-3200"/>
    <n v="19200"/>
  </r>
  <r>
    <x v="13"/>
    <s v="conventional_refinance_burnout_5900"/>
    <x v="1310"/>
    <n v="0.53361772003325303"/>
    <n v="100"/>
    <n v="-3200"/>
    <n v="19200"/>
  </r>
  <r>
    <x v="13"/>
    <s v="conventional_refinance_burnout_6000"/>
    <x v="1311"/>
    <n v="0.532483015912115"/>
    <n v="100"/>
    <n v="-3200"/>
    <n v="19200"/>
  </r>
  <r>
    <x v="13"/>
    <s v="conventional_refinance_burnout_6100"/>
    <x v="1312"/>
    <n v="0.53150676067986502"/>
    <n v="100"/>
    <n v="-3200"/>
    <n v="19200"/>
  </r>
  <r>
    <x v="13"/>
    <s v="conventional_refinance_burnout_6200"/>
    <x v="1313"/>
    <n v="0.53067762862210099"/>
    <n v="100"/>
    <n v="-3200"/>
    <n v="19200"/>
  </r>
  <r>
    <x v="13"/>
    <s v="conventional_refinance_burnout_6300"/>
    <x v="1314"/>
    <n v="0.52998429402441904"/>
    <n v="100"/>
    <n v="-3200"/>
    <n v="19200"/>
  </r>
  <r>
    <x v="13"/>
    <s v="conventional_refinance_burnout_6400"/>
    <x v="1315"/>
    <n v="0.52941543117241796"/>
    <n v="100"/>
    <n v="-3200"/>
    <n v="19200"/>
  </r>
  <r>
    <x v="13"/>
    <s v="conventional_refinance_burnout_6500"/>
    <x v="1316"/>
    <n v="0.52895971435169298"/>
    <n v="100"/>
    <n v="-3200"/>
    <n v="19200"/>
  </r>
  <r>
    <x v="13"/>
    <s v="conventional_refinance_burnout_6600"/>
    <x v="1317"/>
    <n v="0.528605817847843"/>
    <n v="100"/>
    <n v="-3200"/>
    <n v="19200"/>
  </r>
  <r>
    <x v="13"/>
    <s v="conventional_refinance_burnout_6700"/>
    <x v="1318"/>
    <n v="0.52834241594646303"/>
    <n v="100"/>
    <n v="-3200"/>
    <n v="19200"/>
  </r>
  <r>
    <x v="13"/>
    <s v="conventional_refinance_burnout_6800"/>
    <x v="1319"/>
    <n v="0.52815818293315098"/>
    <n v="100"/>
    <n v="-3200"/>
    <n v="19200"/>
  </r>
  <r>
    <x v="13"/>
    <s v="conventional_refinance_burnout_6900"/>
    <x v="1320"/>
    <n v="0.52804179309350396"/>
    <n v="100"/>
    <n v="-3200"/>
    <n v="19200"/>
  </r>
  <r>
    <x v="13"/>
    <s v="conventional_refinance_burnout_7000"/>
    <x v="1321"/>
    <n v="0.527981920713118"/>
    <n v="100"/>
    <n v="-3200"/>
    <n v="19200"/>
  </r>
  <r>
    <x v="13"/>
    <s v="conventional_refinance_burnout_7100"/>
    <x v="1322"/>
    <n v="0.52796724007759199"/>
    <n v="100"/>
    <n v="-3200"/>
    <n v="19200"/>
  </r>
  <r>
    <x v="13"/>
    <s v="conventional_refinance_burnout_7200"/>
    <x v="1323"/>
    <n v="0.52798642547252095"/>
    <n v="100"/>
    <n v="-3200"/>
    <n v="19200"/>
  </r>
  <r>
    <x v="13"/>
    <s v="conventional_refinance_burnout_7300"/>
    <x v="1324"/>
    <n v="0.52802815118350199"/>
    <n v="100"/>
    <n v="-3200"/>
    <n v="19200"/>
  </r>
  <r>
    <x v="13"/>
    <s v="conventional_refinance_burnout_7400"/>
    <x v="1325"/>
    <n v="0.52808109149613403"/>
    <n v="100"/>
    <n v="-3200"/>
    <n v="19200"/>
  </r>
  <r>
    <x v="13"/>
    <s v="conventional_refinance_burnout_7500"/>
    <x v="1326"/>
    <n v="0.52813392069601295"/>
    <n v="100"/>
    <n v="-3200"/>
    <n v="19200"/>
  </r>
  <r>
    <x v="13"/>
    <s v="conventional_refinance_burnout_7600"/>
    <x v="1327"/>
    <n v="0.528175313068735"/>
    <n v="100"/>
    <n v="-3200"/>
    <n v="19200"/>
  </r>
  <r>
    <x v="13"/>
    <s v="conventional_refinance_burnout_7700"/>
    <x v="1328"/>
    <n v="0.52819394289989696"/>
    <n v="100"/>
    <n v="-3200"/>
    <n v="19200"/>
  </r>
  <r>
    <x v="13"/>
    <s v="conventional_refinance_burnout_7800"/>
    <x v="1329"/>
    <n v="0.52817848447509796"/>
    <n v="100"/>
    <n v="-3200"/>
    <n v="19200"/>
  </r>
  <r>
    <x v="13"/>
    <s v="conventional_refinance_burnout_7900"/>
    <x v="1330"/>
    <n v="0.52811761207993302"/>
    <n v="100"/>
    <n v="-3200"/>
    <n v="19200"/>
  </r>
  <r>
    <x v="13"/>
    <s v="conventional_refinance_burnout_8000"/>
    <x v="1331"/>
    <n v="0.52800000000000002"/>
    <n v="100"/>
    <n v="-3200"/>
    <n v="19200"/>
  </r>
  <r>
    <x v="13"/>
    <s v="conventional_refinance_burnout_8100"/>
    <x v="1332"/>
    <n v="0.52785759416269296"/>
    <n v="100"/>
    <n v="-3200"/>
    <n v="19200"/>
  </r>
  <r>
    <x v="13"/>
    <s v="conventional_refinance_burnout_8200"/>
    <x v="1333"/>
    <n v="0.52772939340006797"/>
    <n v="100"/>
    <n v="-3200"/>
    <n v="19200"/>
  </r>
  <r>
    <x v="13"/>
    <s v="conventional_refinance_burnout_8300"/>
    <x v="1334"/>
    <n v="0.52761465135472096"/>
    <n v="100"/>
    <n v="-3200"/>
    <n v="19200"/>
  </r>
  <r>
    <x v="13"/>
    <s v="conventional_refinance_burnout_8400"/>
    <x v="1335"/>
    <n v="0.52751262166924395"/>
    <n v="100"/>
    <n v="-3200"/>
    <n v="19200"/>
  </r>
  <r>
    <x v="13"/>
    <s v="conventional_refinance_burnout_8500"/>
    <x v="1336"/>
    <n v="0.52742255798622995"/>
    <n v="100"/>
    <n v="-3200"/>
    <n v="19200"/>
  </r>
  <r>
    <x v="13"/>
    <s v="conventional_refinance_burnout_8600"/>
    <x v="1337"/>
    <n v="0.52734371394827195"/>
    <n v="100"/>
    <n v="-3200"/>
    <n v="19200"/>
  </r>
  <r>
    <x v="13"/>
    <s v="conventional_refinance_burnout_8700"/>
    <x v="1338"/>
    <n v="0.52727534319796399"/>
    <n v="100"/>
    <n v="-3200"/>
    <n v="19200"/>
  </r>
  <r>
    <x v="13"/>
    <s v="conventional_refinance_burnout_8800"/>
    <x v="1339"/>
    <n v="0.52721669937790006"/>
    <n v="100"/>
    <n v="-3200"/>
    <n v="19200"/>
  </r>
  <r>
    <x v="13"/>
    <s v="conventional_refinance_burnout_8900"/>
    <x v="1340"/>
    <n v="0.52716703613067095"/>
    <n v="100"/>
    <n v="-3200"/>
    <n v="19200"/>
  </r>
  <r>
    <x v="13"/>
    <s v="conventional_refinance_burnout_9000"/>
    <x v="1341"/>
    <n v="0.52712560709887102"/>
    <n v="100"/>
    <n v="-3200"/>
    <n v="19200"/>
  </r>
  <r>
    <x v="13"/>
    <s v="conventional_refinance_burnout_9100"/>
    <x v="1342"/>
    <n v="0.52709166592509404"/>
    <n v="100"/>
    <n v="-3200"/>
    <n v="19200"/>
  </r>
  <r>
    <x v="13"/>
    <s v="conventional_refinance_burnout_9200"/>
    <x v="1343"/>
    <n v="0.52706446625193304"/>
    <n v="100"/>
    <n v="-3200"/>
    <n v="19200"/>
  </r>
  <r>
    <x v="13"/>
    <s v="conventional_refinance_burnout_9300"/>
    <x v="1344"/>
    <n v="0.52704326172198102"/>
    <n v="100"/>
    <n v="-3200"/>
    <n v="19200"/>
  </r>
  <r>
    <x v="13"/>
    <s v="conventional_refinance_burnout_9400"/>
    <x v="1345"/>
    <n v="0.52702730597783098"/>
    <n v="100"/>
    <n v="-3200"/>
    <n v="19200"/>
  </r>
  <r>
    <x v="13"/>
    <s v="conventional_refinance_burnout_9500"/>
    <x v="1346"/>
    <n v="0.52701585266207696"/>
    <n v="100"/>
    <n v="-3200"/>
    <n v="19200"/>
  </r>
  <r>
    <x v="13"/>
    <s v="conventional_refinance_burnout_9600"/>
    <x v="1347"/>
    <n v="0.52700815541731105"/>
    <n v="100"/>
    <n v="-3200"/>
    <n v="19200"/>
  </r>
  <r>
    <x v="13"/>
    <s v="conventional_refinance_burnout_9700"/>
    <x v="1348"/>
    <n v="0.52700346788612695"/>
    <n v="100"/>
    <n v="-3200"/>
    <n v="19200"/>
  </r>
  <r>
    <x v="13"/>
    <s v="conventional_refinance_burnout_9800"/>
    <x v="1349"/>
    <n v="0.527001043711119"/>
    <n v="100"/>
    <n v="-3200"/>
    <n v="19200"/>
  </r>
  <r>
    <x v="13"/>
    <s v="conventional_refinance_burnout_9900"/>
    <x v="1350"/>
    <n v="0.52700013653487898"/>
    <n v="100"/>
    <n v="-3200"/>
    <n v="19200"/>
  </r>
  <r>
    <x v="13"/>
    <s v="conventional_refinance_burnout_10000"/>
    <x v="1351"/>
    <n v="0.52700000000000002"/>
    <n v="100"/>
    <n v="-3200"/>
    <n v="19200"/>
  </r>
  <r>
    <x v="13"/>
    <s v="conventional_refinance_burnout_10100"/>
    <x v="1352"/>
    <n v="0.52700000000000002"/>
    <n v="100"/>
    <n v="-3200"/>
    <n v="19200"/>
  </r>
  <r>
    <x v="13"/>
    <s v="conventional_refinance_burnout_10200"/>
    <x v="1353"/>
    <n v="0.52700000000000002"/>
    <n v="100"/>
    <n v="-3200"/>
    <n v="19200"/>
  </r>
  <r>
    <x v="13"/>
    <s v="conventional_refinance_burnout_10300"/>
    <x v="1354"/>
    <n v="0.52700000000000002"/>
    <n v="100"/>
    <n v="-3200"/>
    <n v="19200"/>
  </r>
  <r>
    <x v="13"/>
    <s v="conventional_refinance_burnout_10400"/>
    <x v="1355"/>
    <n v="0.52700000000000002"/>
    <n v="100"/>
    <n v="-3200"/>
    <n v="19200"/>
  </r>
  <r>
    <x v="13"/>
    <s v="conventional_refinance_burnout_10500"/>
    <x v="1356"/>
    <n v="0.52700000000000002"/>
    <n v="100"/>
    <n v="-3200"/>
    <n v="19200"/>
  </r>
  <r>
    <x v="13"/>
    <s v="conventional_refinance_burnout_10600"/>
    <x v="1357"/>
    <n v="0.52700000000000002"/>
    <n v="100"/>
    <n v="-3200"/>
    <n v="19200"/>
  </r>
  <r>
    <x v="13"/>
    <s v="conventional_refinance_burnout_10700"/>
    <x v="1358"/>
    <n v="0.52700000000000002"/>
    <n v="100"/>
    <n v="-3200"/>
    <n v="19200"/>
  </r>
  <r>
    <x v="13"/>
    <s v="conventional_refinance_burnout_10800"/>
    <x v="1359"/>
    <n v="0.52700000000000002"/>
    <n v="100"/>
    <n v="-3200"/>
    <n v="19200"/>
  </r>
  <r>
    <x v="13"/>
    <s v="conventional_refinance_burnout_10900"/>
    <x v="1360"/>
    <n v="0.52700000000000002"/>
    <n v="100"/>
    <n v="-3200"/>
    <n v="19200"/>
  </r>
  <r>
    <x v="13"/>
    <s v="conventional_refinance_burnout_11000"/>
    <x v="1361"/>
    <n v="0.52700000000000002"/>
    <n v="100"/>
    <n v="-3200"/>
    <n v="19200"/>
  </r>
  <r>
    <x v="13"/>
    <s v="conventional_refinance_burnout_11100"/>
    <x v="1362"/>
    <n v="0.52700000000000002"/>
    <n v="100"/>
    <n v="-3200"/>
    <n v="19200"/>
  </r>
  <r>
    <x v="13"/>
    <s v="conventional_refinance_burnout_11200"/>
    <x v="1363"/>
    <n v="0.52700000000000002"/>
    <n v="100"/>
    <n v="-3200"/>
    <n v="19200"/>
  </r>
  <r>
    <x v="13"/>
    <s v="conventional_refinance_burnout_11300"/>
    <x v="1364"/>
    <n v="0.52700000000000002"/>
    <n v="100"/>
    <n v="-3200"/>
    <n v="19200"/>
  </r>
  <r>
    <x v="13"/>
    <s v="conventional_refinance_burnout_11400"/>
    <x v="1365"/>
    <n v="0.52700000000000002"/>
    <n v="100"/>
    <n v="-3200"/>
    <n v="19200"/>
  </r>
  <r>
    <x v="13"/>
    <s v="conventional_refinance_burnout_11500"/>
    <x v="1366"/>
    <n v="0.52700000000000002"/>
    <n v="100"/>
    <n v="-3200"/>
    <n v="19200"/>
  </r>
  <r>
    <x v="13"/>
    <s v="conventional_refinance_burnout_11600"/>
    <x v="1367"/>
    <n v="0.52700000000000002"/>
    <n v="100"/>
    <n v="-3200"/>
    <n v="19200"/>
  </r>
  <r>
    <x v="13"/>
    <s v="conventional_refinance_burnout_11700"/>
    <x v="1368"/>
    <n v="0.52700000000000002"/>
    <n v="100"/>
    <n v="-3200"/>
    <n v="19200"/>
  </r>
  <r>
    <x v="13"/>
    <s v="conventional_refinance_burnout_11800"/>
    <x v="1369"/>
    <n v="0.52700000000000002"/>
    <n v="100"/>
    <n v="-3200"/>
    <n v="19200"/>
  </r>
  <r>
    <x v="13"/>
    <s v="conventional_refinance_burnout_11900"/>
    <x v="1370"/>
    <n v="0.52700000000000002"/>
    <n v="100"/>
    <n v="-3200"/>
    <n v="19200"/>
  </r>
  <r>
    <x v="13"/>
    <s v="conventional_refinance_burnout_12000"/>
    <x v="1371"/>
    <n v="0.52700000000000002"/>
    <n v="100"/>
    <n v="-3200"/>
    <n v="19200"/>
  </r>
  <r>
    <x v="13"/>
    <s v="conventional_refinance_burnout_12100"/>
    <x v="1372"/>
    <n v="0.52700000000000002"/>
    <n v="100"/>
    <n v="-3200"/>
    <n v="19200"/>
  </r>
  <r>
    <x v="13"/>
    <s v="conventional_refinance_burnout_12200"/>
    <x v="1373"/>
    <n v="0.52700000000000002"/>
    <n v="100"/>
    <n v="-3200"/>
    <n v="19200"/>
  </r>
  <r>
    <x v="13"/>
    <s v="conventional_refinance_burnout_12300"/>
    <x v="1374"/>
    <n v="0.52700000000000002"/>
    <n v="100"/>
    <n v="-3200"/>
    <n v="19200"/>
  </r>
  <r>
    <x v="13"/>
    <s v="conventional_refinance_burnout_12400"/>
    <x v="1375"/>
    <n v="0.52700000000000002"/>
    <n v="100"/>
    <n v="-3200"/>
    <n v="19200"/>
  </r>
  <r>
    <x v="13"/>
    <s v="conventional_refinance_burnout_12500"/>
    <x v="1376"/>
    <n v="0.52700000000000002"/>
    <n v="100"/>
    <n v="-3200"/>
    <n v="19200"/>
  </r>
  <r>
    <x v="13"/>
    <s v="conventional_refinance_burnout_12600"/>
    <x v="1377"/>
    <n v="0.52700000000000002"/>
    <n v="100"/>
    <n v="-3200"/>
    <n v="19200"/>
  </r>
  <r>
    <x v="13"/>
    <s v="conventional_refinance_burnout_12700"/>
    <x v="1378"/>
    <n v="0.52700000000000002"/>
    <n v="100"/>
    <n v="-3200"/>
    <n v="19200"/>
  </r>
  <r>
    <x v="13"/>
    <s v="conventional_refinance_burnout_12800"/>
    <x v="1379"/>
    <n v="0.52700000000000002"/>
    <n v="100"/>
    <n v="-3200"/>
    <n v="19200"/>
  </r>
  <r>
    <x v="13"/>
    <s v="conventional_refinance_burnout_12900"/>
    <x v="1380"/>
    <n v="0.52700000000000002"/>
    <n v="100"/>
    <n v="-3200"/>
    <n v="19200"/>
  </r>
  <r>
    <x v="13"/>
    <s v="conventional_refinance_burnout_13000"/>
    <x v="1381"/>
    <n v="0.52700000000000002"/>
    <n v="100"/>
    <n v="-3200"/>
    <n v="19200"/>
  </r>
  <r>
    <x v="13"/>
    <s v="conventional_refinance_burnout_13100"/>
    <x v="1382"/>
    <n v="0.52700000000000002"/>
    <n v="100"/>
    <n v="-3200"/>
    <n v="19200"/>
  </r>
  <r>
    <x v="13"/>
    <s v="conventional_refinance_burnout_13200"/>
    <x v="1383"/>
    <n v="0.52700000000000002"/>
    <n v="100"/>
    <n v="-3200"/>
    <n v="19200"/>
  </r>
  <r>
    <x v="13"/>
    <s v="conventional_refinance_burnout_13300"/>
    <x v="1384"/>
    <n v="0.52700000000000002"/>
    <n v="100"/>
    <n v="-3200"/>
    <n v="19200"/>
  </r>
  <r>
    <x v="13"/>
    <s v="conventional_refinance_burnout_13400"/>
    <x v="1385"/>
    <n v="0.52700000000000002"/>
    <n v="100"/>
    <n v="-3200"/>
    <n v="19200"/>
  </r>
  <r>
    <x v="13"/>
    <s v="conventional_refinance_burnout_13500"/>
    <x v="1386"/>
    <n v="0.52700000000000002"/>
    <n v="100"/>
    <n v="-3200"/>
    <n v="19200"/>
  </r>
  <r>
    <x v="13"/>
    <s v="conventional_refinance_burnout_13600"/>
    <x v="1387"/>
    <n v="0.52700000000000002"/>
    <n v="100"/>
    <n v="-3200"/>
    <n v="19200"/>
  </r>
  <r>
    <x v="13"/>
    <s v="conventional_refinance_burnout_13700"/>
    <x v="1388"/>
    <n v="0.52700000000000002"/>
    <n v="100"/>
    <n v="-3200"/>
    <n v="19200"/>
  </r>
  <r>
    <x v="13"/>
    <s v="conventional_refinance_burnout_13800"/>
    <x v="1389"/>
    <n v="0.52700000000000002"/>
    <n v="100"/>
    <n v="-3200"/>
    <n v="19200"/>
  </r>
  <r>
    <x v="13"/>
    <s v="conventional_refinance_burnout_13900"/>
    <x v="1390"/>
    <n v="0.52700000000000002"/>
    <n v="100"/>
    <n v="-3200"/>
    <n v="19200"/>
  </r>
  <r>
    <x v="13"/>
    <s v="conventional_refinance_burnout_14000"/>
    <x v="1391"/>
    <n v="0.52700000000000002"/>
    <n v="100"/>
    <n v="-3200"/>
    <n v="19200"/>
  </r>
  <r>
    <x v="13"/>
    <s v="conventional_refinance_burnout_14100"/>
    <x v="1392"/>
    <n v="0.52700000000000002"/>
    <n v="100"/>
    <n v="-3200"/>
    <n v="19200"/>
  </r>
  <r>
    <x v="13"/>
    <s v="conventional_refinance_burnout_14200"/>
    <x v="1393"/>
    <n v="0.52700000000000002"/>
    <n v="100"/>
    <n v="-3200"/>
    <n v="19200"/>
  </r>
  <r>
    <x v="13"/>
    <s v="conventional_refinance_burnout_14300"/>
    <x v="1394"/>
    <n v="0.52700000000000002"/>
    <n v="100"/>
    <n v="-3200"/>
    <n v="19200"/>
  </r>
  <r>
    <x v="13"/>
    <s v="conventional_refinance_burnout_14400"/>
    <x v="1395"/>
    <n v="0.52700000000000002"/>
    <n v="100"/>
    <n v="-3200"/>
    <n v="19200"/>
  </r>
  <r>
    <x v="13"/>
    <s v="conventional_refinance_burnout_14500"/>
    <x v="1396"/>
    <n v="0.52700000000000002"/>
    <n v="100"/>
    <n v="-3200"/>
    <n v="19200"/>
  </r>
  <r>
    <x v="13"/>
    <s v="conventional_refinance_burnout_14600"/>
    <x v="1397"/>
    <n v="0.52700000000000002"/>
    <n v="100"/>
    <n v="-3200"/>
    <n v="19200"/>
  </r>
  <r>
    <x v="13"/>
    <s v="conventional_refinance_burnout_14700"/>
    <x v="1398"/>
    <n v="0.52700000000000002"/>
    <n v="100"/>
    <n v="-3200"/>
    <n v="19200"/>
  </r>
  <r>
    <x v="13"/>
    <s v="conventional_refinance_burnout_14800"/>
    <x v="1399"/>
    <n v="0.52700000000000002"/>
    <n v="100"/>
    <n v="-3200"/>
    <n v="19200"/>
  </r>
  <r>
    <x v="13"/>
    <s v="conventional_refinance_burnout_14900"/>
    <x v="1400"/>
    <n v="0.52700000000000002"/>
    <n v="100"/>
    <n v="-3200"/>
    <n v="19200"/>
  </r>
  <r>
    <x v="13"/>
    <s v="conventional_refinance_burnout_15000"/>
    <x v="1401"/>
    <n v="0.52700000000000002"/>
    <n v="100"/>
    <n v="-3200"/>
    <n v="19200"/>
  </r>
  <r>
    <x v="13"/>
    <s v="conventional_refinance_burnout_15100"/>
    <x v="1402"/>
    <n v="0.52700000000000002"/>
    <n v="100"/>
    <n v="-3200"/>
    <n v="19200"/>
  </r>
  <r>
    <x v="13"/>
    <s v="conventional_refinance_burnout_15200"/>
    <x v="1403"/>
    <n v="0.52700000000000002"/>
    <n v="100"/>
    <n v="-3200"/>
    <n v="19200"/>
  </r>
  <r>
    <x v="13"/>
    <s v="conventional_refinance_burnout_15300"/>
    <x v="1404"/>
    <n v="0.52700000000000002"/>
    <n v="100"/>
    <n v="-3200"/>
    <n v="19200"/>
  </r>
  <r>
    <x v="13"/>
    <s v="conventional_refinance_burnout_15400"/>
    <x v="1405"/>
    <n v="0.52700000000000002"/>
    <n v="100"/>
    <n v="-3200"/>
    <n v="19200"/>
  </r>
  <r>
    <x v="13"/>
    <s v="conventional_refinance_burnout_15500"/>
    <x v="1406"/>
    <n v="0.52700000000000002"/>
    <n v="100"/>
    <n v="-3200"/>
    <n v="19200"/>
  </r>
  <r>
    <x v="13"/>
    <s v="conventional_refinance_burnout_15600"/>
    <x v="1407"/>
    <n v="0.52700000000000002"/>
    <n v="100"/>
    <n v="-3200"/>
    <n v="19200"/>
  </r>
  <r>
    <x v="13"/>
    <s v="conventional_refinance_burnout_15700"/>
    <x v="1408"/>
    <n v="0.52700000000000002"/>
    <n v="100"/>
    <n v="-3200"/>
    <n v="19200"/>
  </r>
  <r>
    <x v="13"/>
    <s v="conventional_refinance_burnout_15800"/>
    <x v="1409"/>
    <n v="0.52700000000000002"/>
    <n v="100"/>
    <n v="-3200"/>
    <n v="19200"/>
  </r>
  <r>
    <x v="13"/>
    <s v="conventional_refinance_burnout_15900"/>
    <x v="1410"/>
    <n v="0.52700000000000002"/>
    <n v="100"/>
    <n v="-3200"/>
    <n v="19200"/>
  </r>
  <r>
    <x v="13"/>
    <s v="conventional_refinance_burnout_16000"/>
    <x v="1411"/>
    <n v="0.52700000000000002"/>
    <n v="100"/>
    <n v="-3200"/>
    <n v="19200"/>
  </r>
  <r>
    <x v="13"/>
    <s v="conventional_refinance_burnout_16100"/>
    <x v="1412"/>
    <n v="0.52700000000000002"/>
    <n v="100"/>
    <n v="-3200"/>
    <n v="19200"/>
  </r>
  <r>
    <x v="13"/>
    <s v="conventional_refinance_burnout_16200"/>
    <x v="1413"/>
    <n v="0.52700000000000002"/>
    <n v="100"/>
    <n v="-3200"/>
    <n v="19200"/>
  </r>
  <r>
    <x v="13"/>
    <s v="conventional_refinance_burnout_16300"/>
    <x v="1414"/>
    <n v="0.52700000000000002"/>
    <n v="100"/>
    <n v="-3200"/>
    <n v="19200"/>
  </r>
  <r>
    <x v="13"/>
    <s v="conventional_refinance_burnout_16400"/>
    <x v="1415"/>
    <n v="0.52700000000000002"/>
    <n v="100"/>
    <n v="-3200"/>
    <n v="19200"/>
  </r>
  <r>
    <x v="13"/>
    <s v="conventional_refinance_burnout_16500"/>
    <x v="1416"/>
    <n v="0.52700000000000002"/>
    <n v="100"/>
    <n v="-3200"/>
    <n v="19200"/>
  </r>
  <r>
    <x v="13"/>
    <s v="conventional_refinance_burnout_16600"/>
    <x v="1417"/>
    <n v="0.52700000000000002"/>
    <n v="100"/>
    <n v="-3200"/>
    <n v="19200"/>
  </r>
  <r>
    <x v="13"/>
    <s v="conventional_refinance_burnout_16700"/>
    <x v="1418"/>
    <n v="0.52700000000000002"/>
    <n v="100"/>
    <n v="-3200"/>
    <n v="19200"/>
  </r>
  <r>
    <x v="13"/>
    <s v="conventional_refinance_burnout_16800"/>
    <x v="1419"/>
    <n v="0.52700000000000002"/>
    <n v="100"/>
    <n v="-3200"/>
    <n v="19200"/>
  </r>
  <r>
    <x v="13"/>
    <s v="conventional_refinance_burnout_16900"/>
    <x v="1420"/>
    <n v="0.52700000000000002"/>
    <n v="100"/>
    <n v="-3200"/>
    <n v="19200"/>
  </r>
  <r>
    <x v="13"/>
    <s v="conventional_refinance_burnout_17000"/>
    <x v="1421"/>
    <n v="0.52700000000000002"/>
    <n v="100"/>
    <n v="-3200"/>
    <n v="19200"/>
  </r>
  <r>
    <x v="13"/>
    <s v="conventional_refinance_burnout_17100"/>
    <x v="1422"/>
    <n v="0.52700000000000002"/>
    <n v="100"/>
    <n v="-3200"/>
    <n v="19200"/>
  </r>
  <r>
    <x v="13"/>
    <s v="conventional_refinance_burnout_17200"/>
    <x v="1423"/>
    <n v="0.52700000000000002"/>
    <n v="100"/>
    <n v="-3200"/>
    <n v="19200"/>
  </r>
  <r>
    <x v="13"/>
    <s v="conventional_refinance_burnout_17300"/>
    <x v="1424"/>
    <n v="0.52700000000000002"/>
    <n v="100"/>
    <n v="-3200"/>
    <n v="19200"/>
  </r>
  <r>
    <x v="13"/>
    <s v="conventional_refinance_burnout_17400"/>
    <x v="1425"/>
    <n v="0.52700000000000002"/>
    <n v="100"/>
    <n v="-3200"/>
    <n v="19200"/>
  </r>
  <r>
    <x v="13"/>
    <s v="conventional_refinance_burnout_17500"/>
    <x v="1426"/>
    <n v="0.52700000000000002"/>
    <n v="100"/>
    <n v="-3200"/>
    <n v="19200"/>
  </r>
  <r>
    <x v="13"/>
    <s v="conventional_refinance_burnout_17600"/>
    <x v="1427"/>
    <n v="0.52700000000000002"/>
    <n v="100"/>
    <n v="-3200"/>
    <n v="19200"/>
  </r>
  <r>
    <x v="13"/>
    <s v="conventional_refinance_burnout_17700"/>
    <x v="1428"/>
    <n v="0.52700000000000002"/>
    <n v="100"/>
    <n v="-3200"/>
    <n v="19200"/>
  </r>
  <r>
    <x v="13"/>
    <s v="conventional_refinance_burnout_17800"/>
    <x v="1429"/>
    <n v="0.52700000000000002"/>
    <n v="100"/>
    <n v="-3200"/>
    <n v="19200"/>
  </r>
  <r>
    <x v="13"/>
    <s v="conventional_refinance_burnout_17900"/>
    <x v="1430"/>
    <n v="0.52700000000000002"/>
    <n v="100"/>
    <n v="-3200"/>
    <n v="19200"/>
  </r>
  <r>
    <x v="13"/>
    <s v="conventional_refinance_burnout_18000"/>
    <x v="1431"/>
    <n v="0.52700000000000002"/>
    <n v="100"/>
    <n v="-3200"/>
    <n v="19200"/>
  </r>
  <r>
    <x v="13"/>
    <s v="conventional_refinance_burnout_18100"/>
    <x v="1432"/>
    <n v="0.52700000000000002"/>
    <n v="100"/>
    <n v="-3200"/>
    <n v="19200"/>
  </r>
  <r>
    <x v="13"/>
    <s v="conventional_refinance_burnout_18200"/>
    <x v="1433"/>
    <n v="0.52700000000000002"/>
    <n v="100"/>
    <n v="-3200"/>
    <n v="19200"/>
  </r>
  <r>
    <x v="13"/>
    <s v="conventional_refinance_burnout_18300"/>
    <x v="1434"/>
    <n v="0.52700000000000002"/>
    <n v="100"/>
    <n v="-3200"/>
    <n v="19200"/>
  </r>
  <r>
    <x v="13"/>
    <s v="conventional_refinance_burnout_18400"/>
    <x v="1435"/>
    <n v="0.52700000000000002"/>
    <n v="100"/>
    <n v="-3200"/>
    <n v="19200"/>
  </r>
  <r>
    <x v="13"/>
    <s v="conventional_refinance_burnout_18500"/>
    <x v="1436"/>
    <n v="0.52700000000000002"/>
    <n v="100"/>
    <n v="-3200"/>
    <n v="19200"/>
  </r>
  <r>
    <x v="13"/>
    <s v="conventional_refinance_burnout_18600"/>
    <x v="1437"/>
    <n v="0.52700000000000002"/>
    <n v="100"/>
    <n v="-3200"/>
    <n v="19200"/>
  </r>
  <r>
    <x v="13"/>
    <s v="conventional_refinance_burnout_18700"/>
    <x v="1438"/>
    <n v="0.52700000000000002"/>
    <n v="100"/>
    <n v="-3200"/>
    <n v="19200"/>
  </r>
  <r>
    <x v="13"/>
    <s v="conventional_refinance_burnout_18800"/>
    <x v="1439"/>
    <n v="0.52700000000000002"/>
    <n v="100"/>
    <n v="-3200"/>
    <n v="19200"/>
  </r>
  <r>
    <x v="13"/>
    <s v="conventional_refinance_burnout_18900"/>
    <x v="1440"/>
    <n v="0.52700000000000002"/>
    <n v="100"/>
    <n v="-3200"/>
    <n v="19200"/>
  </r>
  <r>
    <x v="13"/>
    <s v="conventional_refinance_burnout_19000"/>
    <x v="1441"/>
    <n v="0.52700000000000002"/>
    <n v="100"/>
    <n v="-3200"/>
    <n v="19200"/>
  </r>
  <r>
    <x v="13"/>
    <s v="conventional_refinance_burnout_19100"/>
    <x v="1442"/>
    <n v="0.52700000000000002"/>
    <n v="100"/>
    <n v="-3200"/>
    <n v="19200"/>
  </r>
  <r>
    <x v="13"/>
    <s v="conventional_refinance_burnout_19200"/>
    <x v="1443"/>
    <n v="0.52700000000000002"/>
    <n v="100"/>
    <n v="-3200"/>
    <n v="19200"/>
  </r>
  <r>
    <x v="14"/>
    <s v="conventional_refinance_pct_inv_-20"/>
    <x v="20"/>
    <n v="0.9112344"/>
    <n v="1"/>
    <n v="-20"/>
    <n v="120"/>
  </r>
  <r>
    <x v="14"/>
    <s v="conventional_refinance_pct_inv_-19"/>
    <x v="21"/>
    <n v="0.91567268000000002"/>
    <n v="1"/>
    <n v="-20"/>
    <n v="120"/>
  </r>
  <r>
    <x v="14"/>
    <s v="conventional_refinance_pct_inv_-18"/>
    <x v="22"/>
    <n v="0.92011096000000003"/>
    <n v="1"/>
    <n v="-20"/>
    <n v="120"/>
  </r>
  <r>
    <x v="14"/>
    <s v="conventional_refinance_pct_inv_-17"/>
    <x v="23"/>
    <n v="0.92454924000000005"/>
    <n v="1"/>
    <n v="-20"/>
    <n v="120"/>
  </r>
  <r>
    <x v="14"/>
    <s v="conventional_refinance_pct_inv_-16"/>
    <x v="24"/>
    <n v="0.92898751999999996"/>
    <n v="1"/>
    <n v="-20"/>
    <n v="120"/>
  </r>
  <r>
    <x v="14"/>
    <s v="conventional_refinance_pct_inv_-15"/>
    <x v="25"/>
    <n v="0.93342579999999997"/>
    <n v="1"/>
    <n v="-20"/>
    <n v="120"/>
  </r>
  <r>
    <x v="14"/>
    <s v="conventional_refinance_pct_inv_-14"/>
    <x v="26"/>
    <n v="0.93786407999999999"/>
    <n v="1"/>
    <n v="-20"/>
    <n v="120"/>
  </r>
  <r>
    <x v="14"/>
    <s v="conventional_refinance_pct_inv_-13"/>
    <x v="27"/>
    <n v="0.94230236000000001"/>
    <n v="1"/>
    <n v="-20"/>
    <n v="120"/>
  </r>
  <r>
    <x v="14"/>
    <s v="conventional_refinance_pct_inv_-12"/>
    <x v="28"/>
    <n v="0.94674064000000002"/>
    <n v="1"/>
    <n v="-20"/>
    <n v="120"/>
  </r>
  <r>
    <x v="14"/>
    <s v="conventional_refinance_pct_inv_-11"/>
    <x v="29"/>
    <n v="0.95117892000000004"/>
    <n v="1"/>
    <n v="-20"/>
    <n v="120"/>
  </r>
  <r>
    <x v="14"/>
    <s v="conventional_refinance_pct_inv_-10"/>
    <x v="30"/>
    <n v="0.95561720000000006"/>
    <n v="1"/>
    <n v="-20"/>
    <n v="120"/>
  </r>
  <r>
    <x v="14"/>
    <s v="conventional_refinance_pct_inv_-9"/>
    <x v="31"/>
    <n v="0.96005547999999996"/>
    <n v="1"/>
    <n v="-20"/>
    <n v="120"/>
  </r>
  <r>
    <x v="14"/>
    <s v="conventional_refinance_pct_inv_-8"/>
    <x v="32"/>
    <n v="0.96449375999999998"/>
    <n v="1"/>
    <n v="-20"/>
    <n v="120"/>
  </r>
  <r>
    <x v="14"/>
    <s v="conventional_refinance_pct_inv_-7"/>
    <x v="33"/>
    <n v="0.96893203999999999"/>
    <n v="1"/>
    <n v="-20"/>
    <n v="120"/>
  </r>
  <r>
    <x v="14"/>
    <s v="conventional_refinance_pct_inv_-6"/>
    <x v="34"/>
    <n v="0.97337032000000001"/>
    <n v="1"/>
    <n v="-20"/>
    <n v="120"/>
  </r>
  <r>
    <x v="14"/>
    <s v="conventional_refinance_pct_inv_-5"/>
    <x v="35"/>
    <n v="0.97780860000000003"/>
    <n v="1"/>
    <n v="-20"/>
    <n v="120"/>
  </r>
  <r>
    <x v="14"/>
    <s v="conventional_refinance_pct_inv_-4"/>
    <x v="36"/>
    <n v="0.98224688000000004"/>
    <n v="1"/>
    <n v="-20"/>
    <n v="120"/>
  </r>
  <r>
    <x v="14"/>
    <s v="conventional_refinance_pct_inv_-3"/>
    <x v="37"/>
    <n v="0.98668515999999995"/>
    <n v="1"/>
    <n v="-20"/>
    <n v="120"/>
  </r>
  <r>
    <x v="14"/>
    <s v="conventional_refinance_pct_inv_-2"/>
    <x v="38"/>
    <n v="0.99112343999999997"/>
    <n v="1"/>
    <n v="-20"/>
    <n v="120"/>
  </r>
  <r>
    <x v="14"/>
    <s v="conventional_refinance_pct_inv_-1"/>
    <x v="39"/>
    <n v="0.99556171999999998"/>
    <n v="1"/>
    <n v="-20"/>
    <n v="120"/>
  </r>
  <r>
    <x v="14"/>
    <s v="conventional_refinance_pct_inv_0"/>
    <x v="40"/>
    <n v="1"/>
    <n v="1"/>
    <n v="-20"/>
    <n v="120"/>
  </r>
  <r>
    <x v="14"/>
    <s v="conventional_refinance_pct_inv_1"/>
    <x v="41"/>
    <n v="1.00443828"/>
    <n v="1"/>
    <n v="-20"/>
    <n v="120"/>
  </r>
  <r>
    <x v="14"/>
    <s v="conventional_refinance_pct_inv_2"/>
    <x v="42"/>
    <n v="1.00887656"/>
    <n v="1"/>
    <n v="-20"/>
    <n v="120"/>
  </r>
  <r>
    <x v="14"/>
    <s v="conventional_refinance_pct_inv_3"/>
    <x v="43"/>
    <n v="1.01331484"/>
    <n v="1"/>
    <n v="-20"/>
    <n v="120"/>
  </r>
  <r>
    <x v="14"/>
    <s v="conventional_refinance_pct_inv_4"/>
    <x v="44"/>
    <n v="1.0177531200000001"/>
    <n v="1"/>
    <n v="-20"/>
    <n v="120"/>
  </r>
  <r>
    <x v="14"/>
    <s v="conventional_refinance_pct_inv_5"/>
    <x v="45"/>
    <n v="1.0221914000000001"/>
    <n v="1"/>
    <n v="-20"/>
    <n v="120"/>
  </r>
  <r>
    <x v="14"/>
    <s v="conventional_refinance_pct_inv_6"/>
    <x v="46"/>
    <n v="1.0266296800000001"/>
    <n v="1"/>
    <n v="-20"/>
    <n v="120"/>
  </r>
  <r>
    <x v="14"/>
    <s v="conventional_refinance_pct_inv_7"/>
    <x v="47"/>
    <n v="1.0310679599999999"/>
    <n v="1"/>
    <n v="-20"/>
    <n v="120"/>
  </r>
  <r>
    <x v="14"/>
    <s v="conventional_refinance_pct_inv_8"/>
    <x v="48"/>
    <n v="1.0355062399999999"/>
    <n v="1"/>
    <n v="-20"/>
    <n v="120"/>
  </r>
  <r>
    <x v="14"/>
    <s v="conventional_refinance_pct_inv_9"/>
    <x v="49"/>
    <n v="1.0399445199999999"/>
    <n v="1"/>
    <n v="-20"/>
    <n v="120"/>
  </r>
  <r>
    <x v="14"/>
    <s v="conventional_refinance_pct_inv_10"/>
    <x v="50"/>
    <n v="1.0443827999999999"/>
    <n v="1"/>
    <n v="-20"/>
    <n v="120"/>
  </r>
  <r>
    <x v="14"/>
    <s v="conventional_refinance_pct_inv_11"/>
    <x v="51"/>
    <n v="1.04882108"/>
    <n v="1"/>
    <n v="-20"/>
    <n v="120"/>
  </r>
  <r>
    <x v="14"/>
    <s v="conventional_refinance_pct_inv_12"/>
    <x v="52"/>
    <n v="1.05325936"/>
    <n v="1"/>
    <n v="-20"/>
    <n v="120"/>
  </r>
  <r>
    <x v="14"/>
    <s v="conventional_refinance_pct_inv_13"/>
    <x v="53"/>
    <n v="1.05769764"/>
    <n v="1"/>
    <n v="-20"/>
    <n v="120"/>
  </r>
  <r>
    <x v="14"/>
    <s v="conventional_refinance_pct_inv_14"/>
    <x v="54"/>
    <n v="1.06213592"/>
    <n v="1"/>
    <n v="-20"/>
    <n v="120"/>
  </r>
  <r>
    <x v="14"/>
    <s v="conventional_refinance_pct_inv_15"/>
    <x v="55"/>
    <n v="1.0665742"/>
    <n v="1"/>
    <n v="-20"/>
    <n v="120"/>
  </r>
  <r>
    <x v="14"/>
    <s v="conventional_refinance_pct_inv_16"/>
    <x v="56"/>
    <n v="1.07101248"/>
    <n v="1"/>
    <n v="-20"/>
    <n v="120"/>
  </r>
  <r>
    <x v="14"/>
    <s v="conventional_refinance_pct_inv_17"/>
    <x v="57"/>
    <n v="1.0754507600000001"/>
    <n v="1"/>
    <n v="-20"/>
    <n v="120"/>
  </r>
  <r>
    <x v="14"/>
    <s v="conventional_refinance_pct_inv_18"/>
    <x v="58"/>
    <n v="1.0798890400000001"/>
    <n v="1"/>
    <n v="-20"/>
    <n v="120"/>
  </r>
  <r>
    <x v="14"/>
    <s v="conventional_refinance_pct_inv_19"/>
    <x v="59"/>
    <n v="1.0843273200000001"/>
    <n v="1"/>
    <n v="-20"/>
    <n v="120"/>
  </r>
  <r>
    <x v="14"/>
    <s v="conventional_refinance_pct_inv_20"/>
    <x v="60"/>
    <n v="1.0887655999999999"/>
    <n v="1"/>
    <n v="-20"/>
    <n v="120"/>
  </r>
  <r>
    <x v="14"/>
    <s v="conventional_refinance_pct_inv_21"/>
    <x v="61"/>
    <n v="1.0932038799999999"/>
    <n v="1"/>
    <n v="-20"/>
    <n v="120"/>
  </r>
  <r>
    <x v="14"/>
    <s v="conventional_refinance_pct_inv_22"/>
    <x v="62"/>
    <n v="1.0976421599999999"/>
    <n v="1"/>
    <n v="-20"/>
    <n v="120"/>
  </r>
  <r>
    <x v="14"/>
    <s v="conventional_refinance_pct_inv_23"/>
    <x v="63"/>
    <n v="1.1020804399999999"/>
    <n v="1"/>
    <n v="-20"/>
    <n v="120"/>
  </r>
  <r>
    <x v="14"/>
    <s v="conventional_refinance_pct_inv_24"/>
    <x v="64"/>
    <n v="1.10651872"/>
    <n v="1"/>
    <n v="-20"/>
    <n v="120"/>
  </r>
  <r>
    <x v="14"/>
    <s v="conventional_refinance_pct_inv_25"/>
    <x v="65"/>
    <n v="1.110957"/>
    <n v="1"/>
    <n v="-20"/>
    <n v="120"/>
  </r>
  <r>
    <x v="14"/>
    <s v="conventional_refinance_pct_inv_26"/>
    <x v="66"/>
    <n v="1.11539528"/>
    <n v="1"/>
    <n v="-20"/>
    <n v="120"/>
  </r>
  <r>
    <x v="14"/>
    <s v="conventional_refinance_pct_inv_27"/>
    <x v="67"/>
    <n v="1.11983356"/>
    <n v="1"/>
    <n v="-20"/>
    <n v="120"/>
  </r>
  <r>
    <x v="14"/>
    <s v="conventional_refinance_pct_inv_28"/>
    <x v="68"/>
    <n v="1.12427184"/>
    <n v="1"/>
    <n v="-20"/>
    <n v="120"/>
  </r>
  <r>
    <x v="14"/>
    <s v="conventional_refinance_pct_inv_29"/>
    <x v="69"/>
    <n v="1.12871012"/>
    <n v="1"/>
    <n v="-20"/>
    <n v="120"/>
  </r>
  <r>
    <x v="14"/>
    <s v="conventional_refinance_pct_inv_30"/>
    <x v="70"/>
    <n v="1.1331484000000001"/>
    <n v="1"/>
    <n v="-20"/>
    <n v="120"/>
  </r>
  <r>
    <x v="14"/>
    <s v="conventional_refinance_pct_inv_31"/>
    <x v="71"/>
    <n v="1.1375866800000001"/>
    <n v="1"/>
    <n v="-20"/>
    <n v="120"/>
  </r>
  <r>
    <x v="14"/>
    <s v="conventional_refinance_pct_inv_32"/>
    <x v="72"/>
    <n v="1.1420249600000001"/>
    <n v="1"/>
    <n v="-20"/>
    <n v="120"/>
  </r>
  <r>
    <x v="14"/>
    <s v="conventional_refinance_pct_inv_33"/>
    <x v="73"/>
    <n v="1.1464632400000001"/>
    <n v="1"/>
    <n v="-20"/>
    <n v="120"/>
  </r>
  <r>
    <x v="14"/>
    <s v="conventional_refinance_pct_inv_34"/>
    <x v="74"/>
    <n v="1.1509015199999999"/>
    <n v="1"/>
    <n v="-20"/>
    <n v="120"/>
  </r>
  <r>
    <x v="14"/>
    <s v="conventional_refinance_pct_inv_35"/>
    <x v="75"/>
    <n v="1.1553397999999999"/>
    <n v="1"/>
    <n v="-20"/>
    <n v="120"/>
  </r>
  <r>
    <x v="14"/>
    <s v="conventional_refinance_pct_inv_36"/>
    <x v="76"/>
    <n v="1.1597780799999999"/>
    <n v="1"/>
    <n v="-20"/>
    <n v="120"/>
  </r>
  <r>
    <x v="14"/>
    <s v="conventional_refinance_pct_inv_37"/>
    <x v="77"/>
    <n v="1.16421636"/>
    <n v="1"/>
    <n v="-20"/>
    <n v="120"/>
  </r>
  <r>
    <x v="14"/>
    <s v="conventional_refinance_pct_inv_38"/>
    <x v="78"/>
    <n v="1.16865464"/>
    <n v="1"/>
    <n v="-20"/>
    <n v="120"/>
  </r>
  <r>
    <x v="14"/>
    <s v="conventional_refinance_pct_inv_39"/>
    <x v="79"/>
    <n v="1.17309292"/>
    <n v="1"/>
    <n v="-20"/>
    <n v="120"/>
  </r>
  <r>
    <x v="14"/>
    <s v="conventional_refinance_pct_inv_40"/>
    <x v="80"/>
    <n v="1.1775312"/>
    <n v="1"/>
    <n v="-20"/>
    <n v="120"/>
  </r>
  <r>
    <x v="14"/>
    <s v="conventional_refinance_pct_inv_41"/>
    <x v="81"/>
    <n v="1.18196948"/>
    <n v="1"/>
    <n v="-20"/>
    <n v="120"/>
  </r>
  <r>
    <x v="14"/>
    <s v="conventional_refinance_pct_inv_42"/>
    <x v="82"/>
    <n v="1.18640776"/>
    <n v="1"/>
    <n v="-20"/>
    <n v="120"/>
  </r>
  <r>
    <x v="14"/>
    <s v="conventional_refinance_pct_inv_43"/>
    <x v="83"/>
    <n v="1.1908460400000001"/>
    <n v="1"/>
    <n v="-20"/>
    <n v="120"/>
  </r>
  <r>
    <x v="14"/>
    <s v="conventional_refinance_pct_inv_44"/>
    <x v="84"/>
    <n v="1.1952843200000001"/>
    <n v="1"/>
    <n v="-20"/>
    <n v="120"/>
  </r>
  <r>
    <x v="14"/>
    <s v="conventional_refinance_pct_inv_45"/>
    <x v="85"/>
    <n v="1.1997226000000001"/>
    <n v="1"/>
    <n v="-20"/>
    <n v="120"/>
  </r>
  <r>
    <x v="14"/>
    <s v="conventional_refinance_pct_inv_46"/>
    <x v="86"/>
    <n v="1.2041608800000001"/>
    <n v="1"/>
    <n v="-20"/>
    <n v="120"/>
  </r>
  <r>
    <x v="14"/>
    <s v="conventional_refinance_pct_inv_47"/>
    <x v="87"/>
    <n v="1.2085991599999999"/>
    <n v="1"/>
    <n v="-20"/>
    <n v="120"/>
  </r>
  <r>
    <x v="14"/>
    <s v="conventional_refinance_pct_inv_48"/>
    <x v="88"/>
    <n v="1.2130374399999999"/>
    <n v="1"/>
    <n v="-20"/>
    <n v="120"/>
  </r>
  <r>
    <x v="14"/>
    <s v="conventional_refinance_pct_inv_49"/>
    <x v="89"/>
    <n v="1.2174757199999999"/>
    <n v="1"/>
    <n v="-20"/>
    <n v="120"/>
  </r>
  <r>
    <x v="14"/>
    <s v="conventional_refinance_pct_inv_50"/>
    <x v="90"/>
    <n v="1.2219139999999999"/>
    <n v="1"/>
    <n v="-20"/>
    <n v="120"/>
  </r>
  <r>
    <x v="14"/>
    <s v="conventional_refinance_pct_inv_51"/>
    <x v="91"/>
    <n v="1.22635228"/>
    <n v="1"/>
    <n v="-20"/>
    <n v="120"/>
  </r>
  <r>
    <x v="14"/>
    <s v="conventional_refinance_pct_inv_52"/>
    <x v="92"/>
    <n v="1.23079056"/>
    <n v="1"/>
    <n v="-20"/>
    <n v="120"/>
  </r>
  <r>
    <x v="14"/>
    <s v="conventional_refinance_pct_inv_53"/>
    <x v="93"/>
    <n v="1.23522884"/>
    <n v="1"/>
    <n v="-20"/>
    <n v="120"/>
  </r>
  <r>
    <x v="14"/>
    <s v="conventional_refinance_pct_inv_54"/>
    <x v="94"/>
    <n v="1.23966712"/>
    <n v="1"/>
    <n v="-20"/>
    <n v="120"/>
  </r>
  <r>
    <x v="14"/>
    <s v="conventional_refinance_pct_inv_55"/>
    <x v="95"/>
    <n v="1.2441054"/>
    <n v="1"/>
    <n v="-20"/>
    <n v="120"/>
  </r>
  <r>
    <x v="14"/>
    <s v="conventional_refinance_pct_inv_56"/>
    <x v="96"/>
    <n v="1.24854368"/>
    <n v="1"/>
    <n v="-20"/>
    <n v="120"/>
  </r>
  <r>
    <x v="14"/>
    <s v="conventional_refinance_pct_inv_57"/>
    <x v="97"/>
    <n v="1.2529819600000001"/>
    <n v="1"/>
    <n v="-20"/>
    <n v="120"/>
  </r>
  <r>
    <x v="14"/>
    <s v="conventional_refinance_pct_inv_58"/>
    <x v="98"/>
    <n v="1.2574202400000001"/>
    <n v="1"/>
    <n v="-20"/>
    <n v="120"/>
  </r>
  <r>
    <x v="14"/>
    <s v="conventional_refinance_pct_inv_59"/>
    <x v="99"/>
    <n v="1.2618585200000001"/>
    <n v="1"/>
    <n v="-20"/>
    <n v="120"/>
  </r>
  <r>
    <x v="14"/>
    <s v="conventional_refinance_pct_inv_60"/>
    <x v="100"/>
    <n v="1.2662967999999999"/>
    <n v="1"/>
    <n v="-20"/>
    <n v="120"/>
  </r>
  <r>
    <x v="14"/>
    <s v="conventional_refinance_pct_inv_61"/>
    <x v="101"/>
    <n v="1.2707350799999999"/>
    <n v="1"/>
    <n v="-20"/>
    <n v="120"/>
  </r>
  <r>
    <x v="14"/>
    <s v="conventional_refinance_pct_inv_62"/>
    <x v="102"/>
    <n v="1.2751733599999999"/>
    <n v="1"/>
    <n v="-20"/>
    <n v="120"/>
  </r>
  <r>
    <x v="14"/>
    <s v="conventional_refinance_pct_inv_63"/>
    <x v="103"/>
    <n v="1.2796116399999999"/>
    <n v="1"/>
    <n v="-20"/>
    <n v="120"/>
  </r>
  <r>
    <x v="14"/>
    <s v="conventional_refinance_pct_inv_64"/>
    <x v="104"/>
    <n v="1.28404992"/>
    <n v="1"/>
    <n v="-20"/>
    <n v="120"/>
  </r>
  <r>
    <x v="14"/>
    <s v="conventional_refinance_pct_inv_65"/>
    <x v="105"/>
    <n v="1.2884882"/>
    <n v="1"/>
    <n v="-20"/>
    <n v="120"/>
  </r>
  <r>
    <x v="14"/>
    <s v="conventional_refinance_pct_inv_66"/>
    <x v="106"/>
    <n v="1.29292648"/>
    <n v="1"/>
    <n v="-20"/>
    <n v="120"/>
  </r>
  <r>
    <x v="14"/>
    <s v="conventional_refinance_pct_inv_67"/>
    <x v="107"/>
    <n v="1.29736476"/>
    <n v="1"/>
    <n v="-20"/>
    <n v="120"/>
  </r>
  <r>
    <x v="14"/>
    <s v="conventional_refinance_pct_inv_68"/>
    <x v="108"/>
    <n v="1.30180304"/>
    <n v="1"/>
    <n v="-20"/>
    <n v="120"/>
  </r>
  <r>
    <x v="14"/>
    <s v="conventional_refinance_pct_inv_69"/>
    <x v="109"/>
    <n v="1.30624132"/>
    <n v="1"/>
    <n v="-20"/>
    <n v="120"/>
  </r>
  <r>
    <x v="14"/>
    <s v="conventional_refinance_pct_inv_70"/>
    <x v="110"/>
    <n v="1.3106796000000001"/>
    <n v="1"/>
    <n v="-20"/>
    <n v="120"/>
  </r>
  <r>
    <x v="14"/>
    <s v="conventional_refinance_pct_inv_71"/>
    <x v="111"/>
    <n v="1.3151178800000001"/>
    <n v="1"/>
    <n v="-20"/>
    <n v="120"/>
  </r>
  <r>
    <x v="14"/>
    <s v="conventional_refinance_pct_inv_72"/>
    <x v="112"/>
    <n v="1.3195561600000001"/>
    <n v="1"/>
    <n v="-20"/>
    <n v="120"/>
  </r>
  <r>
    <x v="14"/>
    <s v="conventional_refinance_pct_inv_73"/>
    <x v="113"/>
    <n v="1.3239944400000001"/>
    <n v="1"/>
    <n v="-20"/>
    <n v="120"/>
  </r>
  <r>
    <x v="14"/>
    <s v="conventional_refinance_pct_inv_74"/>
    <x v="114"/>
    <n v="1.3284327199999999"/>
    <n v="1"/>
    <n v="-20"/>
    <n v="120"/>
  </r>
  <r>
    <x v="14"/>
    <s v="conventional_refinance_pct_inv_75"/>
    <x v="115"/>
    <n v="1.3328709999999999"/>
    <n v="1"/>
    <n v="-20"/>
    <n v="120"/>
  </r>
  <r>
    <x v="14"/>
    <s v="conventional_refinance_pct_inv_76"/>
    <x v="116"/>
    <n v="1.3373092799999999"/>
    <n v="1"/>
    <n v="-20"/>
    <n v="120"/>
  </r>
  <r>
    <x v="14"/>
    <s v="conventional_refinance_pct_inv_77"/>
    <x v="117"/>
    <n v="1.34174756"/>
    <n v="1"/>
    <n v="-20"/>
    <n v="120"/>
  </r>
  <r>
    <x v="14"/>
    <s v="conventional_refinance_pct_inv_78"/>
    <x v="118"/>
    <n v="1.34618584"/>
    <n v="1"/>
    <n v="-20"/>
    <n v="120"/>
  </r>
  <r>
    <x v="14"/>
    <s v="conventional_refinance_pct_inv_79"/>
    <x v="119"/>
    <n v="1.35062412"/>
    <n v="1"/>
    <n v="-20"/>
    <n v="120"/>
  </r>
  <r>
    <x v="14"/>
    <s v="conventional_refinance_pct_inv_80"/>
    <x v="120"/>
    <n v="1.3550624"/>
    <n v="1"/>
    <n v="-20"/>
    <n v="120"/>
  </r>
  <r>
    <x v="14"/>
    <s v="conventional_refinance_pct_inv_81"/>
    <x v="121"/>
    <n v="1.35950068"/>
    <n v="1"/>
    <n v="-20"/>
    <n v="120"/>
  </r>
  <r>
    <x v="14"/>
    <s v="conventional_refinance_pct_inv_82"/>
    <x v="122"/>
    <n v="1.36393896"/>
    <n v="1"/>
    <n v="-20"/>
    <n v="120"/>
  </r>
  <r>
    <x v="14"/>
    <s v="conventional_refinance_pct_inv_83"/>
    <x v="123"/>
    <n v="1.3683772400000001"/>
    <n v="1"/>
    <n v="-20"/>
    <n v="120"/>
  </r>
  <r>
    <x v="14"/>
    <s v="conventional_refinance_pct_inv_84"/>
    <x v="124"/>
    <n v="1.3728155200000001"/>
    <n v="1"/>
    <n v="-20"/>
    <n v="120"/>
  </r>
  <r>
    <x v="14"/>
    <s v="conventional_refinance_pct_inv_85"/>
    <x v="125"/>
    <n v="1.3772538000000001"/>
    <n v="1"/>
    <n v="-20"/>
    <n v="120"/>
  </r>
  <r>
    <x v="14"/>
    <s v="conventional_refinance_pct_inv_86"/>
    <x v="126"/>
    <n v="1.3816920800000001"/>
    <n v="1"/>
    <n v="-20"/>
    <n v="120"/>
  </r>
  <r>
    <x v="14"/>
    <s v="conventional_refinance_pct_inv_87"/>
    <x v="127"/>
    <n v="1.3861303599999999"/>
    <n v="1"/>
    <n v="-20"/>
    <n v="120"/>
  </r>
  <r>
    <x v="14"/>
    <s v="conventional_refinance_pct_inv_88"/>
    <x v="128"/>
    <n v="1.3905686399999999"/>
    <n v="1"/>
    <n v="-20"/>
    <n v="120"/>
  </r>
  <r>
    <x v="14"/>
    <s v="conventional_refinance_pct_inv_89"/>
    <x v="129"/>
    <n v="1.3950069199999999"/>
    <n v="1"/>
    <n v="-20"/>
    <n v="120"/>
  </r>
  <r>
    <x v="14"/>
    <s v="conventional_refinance_pct_inv_90"/>
    <x v="130"/>
    <n v="1.3994451999999999"/>
    <n v="1"/>
    <n v="-20"/>
    <n v="120"/>
  </r>
  <r>
    <x v="14"/>
    <s v="conventional_refinance_pct_inv_91"/>
    <x v="131"/>
    <n v="1.40388348"/>
    <n v="1"/>
    <n v="-20"/>
    <n v="120"/>
  </r>
  <r>
    <x v="14"/>
    <s v="conventional_refinance_pct_inv_92"/>
    <x v="132"/>
    <n v="1.40832176"/>
    <n v="1"/>
    <n v="-20"/>
    <n v="120"/>
  </r>
  <r>
    <x v="14"/>
    <s v="conventional_refinance_pct_inv_93"/>
    <x v="133"/>
    <n v="1.41276004"/>
    <n v="1"/>
    <n v="-20"/>
    <n v="120"/>
  </r>
  <r>
    <x v="14"/>
    <s v="conventional_refinance_pct_inv_94"/>
    <x v="134"/>
    <n v="1.41719832"/>
    <n v="1"/>
    <n v="-20"/>
    <n v="120"/>
  </r>
  <r>
    <x v="14"/>
    <s v="conventional_refinance_pct_inv_95"/>
    <x v="135"/>
    <n v="1.4216366"/>
    <n v="1"/>
    <n v="-20"/>
    <n v="120"/>
  </r>
  <r>
    <x v="14"/>
    <s v="conventional_refinance_pct_inv_96"/>
    <x v="136"/>
    <n v="1.42607488"/>
    <n v="1"/>
    <n v="-20"/>
    <n v="120"/>
  </r>
  <r>
    <x v="14"/>
    <s v="conventional_refinance_pct_inv_97"/>
    <x v="137"/>
    <n v="1.4305131600000001"/>
    <n v="1"/>
    <n v="-20"/>
    <n v="120"/>
  </r>
  <r>
    <x v="14"/>
    <s v="conventional_refinance_pct_inv_98"/>
    <x v="138"/>
    <n v="1.4349514400000001"/>
    <n v="1"/>
    <n v="-20"/>
    <n v="120"/>
  </r>
  <r>
    <x v="14"/>
    <s v="conventional_refinance_pct_inv_99"/>
    <x v="139"/>
    <n v="1.4393897200000001"/>
    <n v="1"/>
    <n v="-20"/>
    <n v="120"/>
  </r>
  <r>
    <x v="14"/>
    <s v="conventional_refinance_pct_inv_100"/>
    <x v="140"/>
    <n v="1.4438279999999999"/>
    <n v="1"/>
    <n v="-20"/>
    <n v="120"/>
  </r>
  <r>
    <x v="14"/>
    <s v="conventional_refinance_pct_inv_101"/>
    <x v="141"/>
    <n v="1.4482662799999999"/>
    <n v="1"/>
    <n v="-20"/>
    <n v="120"/>
  </r>
  <r>
    <x v="14"/>
    <s v="conventional_refinance_pct_inv_102"/>
    <x v="142"/>
    <n v="1.4527045599999999"/>
    <n v="1"/>
    <n v="-20"/>
    <n v="120"/>
  </r>
  <r>
    <x v="14"/>
    <s v="conventional_refinance_pct_inv_103"/>
    <x v="143"/>
    <n v="1.4571428399999999"/>
    <n v="1"/>
    <n v="-20"/>
    <n v="120"/>
  </r>
  <r>
    <x v="14"/>
    <s v="conventional_refinance_pct_inv_104"/>
    <x v="144"/>
    <n v="1.46158112"/>
    <n v="1"/>
    <n v="-20"/>
    <n v="120"/>
  </r>
  <r>
    <x v="14"/>
    <s v="conventional_refinance_pct_inv_105"/>
    <x v="145"/>
    <n v="1.4660194"/>
    <n v="1"/>
    <n v="-20"/>
    <n v="120"/>
  </r>
  <r>
    <x v="14"/>
    <s v="conventional_refinance_pct_inv_106"/>
    <x v="146"/>
    <n v="1.47045768"/>
    <n v="1"/>
    <n v="-20"/>
    <n v="120"/>
  </r>
  <r>
    <x v="14"/>
    <s v="conventional_refinance_pct_inv_107"/>
    <x v="147"/>
    <n v="1.47489596"/>
    <n v="1"/>
    <n v="-20"/>
    <n v="120"/>
  </r>
  <r>
    <x v="14"/>
    <s v="conventional_refinance_pct_inv_108"/>
    <x v="148"/>
    <n v="1.47933424"/>
    <n v="1"/>
    <n v="-20"/>
    <n v="120"/>
  </r>
  <r>
    <x v="14"/>
    <s v="conventional_refinance_pct_inv_109"/>
    <x v="149"/>
    <n v="1.48377252"/>
    <n v="1"/>
    <n v="-20"/>
    <n v="120"/>
  </r>
  <r>
    <x v="14"/>
    <s v="conventional_refinance_pct_inv_110"/>
    <x v="150"/>
    <n v="1.4882108000000001"/>
    <n v="1"/>
    <n v="-20"/>
    <n v="120"/>
  </r>
  <r>
    <x v="14"/>
    <s v="conventional_refinance_pct_inv_111"/>
    <x v="151"/>
    <n v="1.4926490800000001"/>
    <n v="1"/>
    <n v="-20"/>
    <n v="120"/>
  </r>
  <r>
    <x v="14"/>
    <s v="conventional_refinance_pct_inv_112"/>
    <x v="152"/>
    <n v="1.4970873600000001"/>
    <n v="1"/>
    <n v="-20"/>
    <n v="120"/>
  </r>
  <r>
    <x v="14"/>
    <s v="conventional_refinance_pct_inv_113"/>
    <x v="153"/>
    <n v="1.5015256400000001"/>
    <n v="1"/>
    <n v="-20"/>
    <n v="120"/>
  </r>
  <r>
    <x v="14"/>
    <s v="conventional_refinance_pct_inv_114"/>
    <x v="154"/>
    <n v="1.5059639199999999"/>
    <n v="1"/>
    <n v="-20"/>
    <n v="120"/>
  </r>
  <r>
    <x v="14"/>
    <s v="conventional_refinance_pct_inv_115"/>
    <x v="155"/>
    <n v="1.5104021999999999"/>
    <n v="1"/>
    <n v="-20"/>
    <n v="120"/>
  </r>
  <r>
    <x v="14"/>
    <s v="conventional_refinance_pct_inv_116"/>
    <x v="156"/>
    <n v="1.5148404799999999"/>
    <n v="1"/>
    <n v="-20"/>
    <n v="120"/>
  </r>
  <r>
    <x v="14"/>
    <s v="conventional_refinance_pct_inv_117"/>
    <x v="157"/>
    <n v="1.51927876"/>
    <n v="1"/>
    <n v="-20"/>
    <n v="120"/>
  </r>
  <r>
    <x v="14"/>
    <s v="conventional_refinance_pct_inv_118"/>
    <x v="158"/>
    <n v="1.52371704"/>
    <n v="1"/>
    <n v="-20"/>
    <n v="120"/>
  </r>
  <r>
    <x v="14"/>
    <s v="conventional_refinance_pct_inv_119"/>
    <x v="159"/>
    <n v="1.52815532"/>
    <n v="1"/>
    <n v="-20"/>
    <n v="120"/>
  </r>
  <r>
    <x v="14"/>
    <s v="conventional_refinance_pct_inv_120"/>
    <x v="160"/>
    <n v="1.5325936"/>
    <n v="1"/>
    <n v="-20"/>
    <n v="120"/>
  </r>
  <r>
    <x v="15"/>
    <s v="conventional_refinance_pct_purchase_-20"/>
    <x v="20"/>
    <n v="1"/>
    <n v="1"/>
    <n v="-20"/>
    <n v="120"/>
  </r>
  <r>
    <x v="15"/>
    <s v="conventional_refinance_pct_purchase_-19"/>
    <x v="21"/>
    <n v="1"/>
    <n v="1"/>
    <n v="-20"/>
    <n v="120"/>
  </r>
  <r>
    <x v="15"/>
    <s v="conventional_refinance_pct_purchase_-18"/>
    <x v="22"/>
    <n v="1"/>
    <n v="1"/>
    <n v="-20"/>
    <n v="120"/>
  </r>
  <r>
    <x v="15"/>
    <s v="conventional_refinance_pct_purchase_-17"/>
    <x v="23"/>
    <n v="1"/>
    <n v="1"/>
    <n v="-20"/>
    <n v="120"/>
  </r>
  <r>
    <x v="15"/>
    <s v="conventional_refinance_pct_purchase_-16"/>
    <x v="24"/>
    <n v="1"/>
    <n v="1"/>
    <n v="-20"/>
    <n v="120"/>
  </r>
  <r>
    <x v="15"/>
    <s v="conventional_refinance_pct_purchase_-15"/>
    <x v="25"/>
    <n v="1"/>
    <n v="1"/>
    <n v="-20"/>
    <n v="120"/>
  </r>
  <r>
    <x v="15"/>
    <s v="conventional_refinance_pct_purchase_-14"/>
    <x v="26"/>
    <n v="1"/>
    <n v="1"/>
    <n v="-20"/>
    <n v="120"/>
  </r>
  <r>
    <x v="15"/>
    <s v="conventional_refinance_pct_purchase_-13"/>
    <x v="27"/>
    <n v="1"/>
    <n v="1"/>
    <n v="-20"/>
    <n v="120"/>
  </r>
  <r>
    <x v="15"/>
    <s v="conventional_refinance_pct_purchase_-12"/>
    <x v="28"/>
    <n v="1"/>
    <n v="1"/>
    <n v="-20"/>
    <n v="120"/>
  </r>
  <r>
    <x v="15"/>
    <s v="conventional_refinance_pct_purchase_-11"/>
    <x v="29"/>
    <n v="1"/>
    <n v="1"/>
    <n v="-20"/>
    <n v="120"/>
  </r>
  <r>
    <x v="15"/>
    <s v="conventional_refinance_pct_purchase_-10"/>
    <x v="30"/>
    <n v="1"/>
    <n v="1"/>
    <n v="-20"/>
    <n v="120"/>
  </r>
  <r>
    <x v="15"/>
    <s v="conventional_refinance_pct_purchase_-9"/>
    <x v="31"/>
    <n v="1"/>
    <n v="1"/>
    <n v="-20"/>
    <n v="120"/>
  </r>
  <r>
    <x v="15"/>
    <s v="conventional_refinance_pct_purchase_-8"/>
    <x v="32"/>
    <n v="1"/>
    <n v="1"/>
    <n v="-20"/>
    <n v="120"/>
  </r>
  <r>
    <x v="15"/>
    <s v="conventional_refinance_pct_purchase_-7"/>
    <x v="33"/>
    <n v="1"/>
    <n v="1"/>
    <n v="-20"/>
    <n v="120"/>
  </r>
  <r>
    <x v="15"/>
    <s v="conventional_refinance_pct_purchase_-6"/>
    <x v="34"/>
    <n v="1"/>
    <n v="1"/>
    <n v="-20"/>
    <n v="120"/>
  </r>
  <r>
    <x v="15"/>
    <s v="conventional_refinance_pct_purchase_-5"/>
    <x v="35"/>
    <n v="1"/>
    <n v="1"/>
    <n v="-20"/>
    <n v="120"/>
  </r>
  <r>
    <x v="15"/>
    <s v="conventional_refinance_pct_purchase_-4"/>
    <x v="36"/>
    <n v="1"/>
    <n v="1"/>
    <n v="-20"/>
    <n v="120"/>
  </r>
  <r>
    <x v="15"/>
    <s v="conventional_refinance_pct_purchase_-3"/>
    <x v="37"/>
    <n v="1"/>
    <n v="1"/>
    <n v="-20"/>
    <n v="120"/>
  </r>
  <r>
    <x v="15"/>
    <s v="conventional_refinance_pct_purchase_-2"/>
    <x v="38"/>
    <n v="1"/>
    <n v="1"/>
    <n v="-20"/>
    <n v="120"/>
  </r>
  <r>
    <x v="15"/>
    <s v="conventional_refinance_pct_purchase_-1"/>
    <x v="39"/>
    <n v="1"/>
    <n v="1"/>
    <n v="-20"/>
    <n v="120"/>
  </r>
  <r>
    <x v="15"/>
    <s v="conventional_refinance_pct_purchase_0"/>
    <x v="40"/>
    <n v="1"/>
    <n v="1"/>
    <n v="-20"/>
    <n v="120"/>
  </r>
  <r>
    <x v="15"/>
    <s v="conventional_refinance_pct_purchase_1"/>
    <x v="41"/>
    <n v="1"/>
    <n v="1"/>
    <n v="-20"/>
    <n v="120"/>
  </r>
  <r>
    <x v="15"/>
    <s v="conventional_refinance_pct_purchase_2"/>
    <x v="42"/>
    <n v="1"/>
    <n v="1"/>
    <n v="-20"/>
    <n v="120"/>
  </r>
  <r>
    <x v="15"/>
    <s v="conventional_refinance_pct_purchase_3"/>
    <x v="43"/>
    <n v="1"/>
    <n v="1"/>
    <n v="-20"/>
    <n v="120"/>
  </r>
  <r>
    <x v="15"/>
    <s v="conventional_refinance_pct_purchase_4"/>
    <x v="44"/>
    <n v="1"/>
    <n v="1"/>
    <n v="-20"/>
    <n v="120"/>
  </r>
  <r>
    <x v="15"/>
    <s v="conventional_refinance_pct_purchase_5"/>
    <x v="45"/>
    <n v="1"/>
    <n v="1"/>
    <n v="-20"/>
    <n v="120"/>
  </r>
  <r>
    <x v="15"/>
    <s v="conventional_refinance_pct_purchase_6"/>
    <x v="46"/>
    <n v="1"/>
    <n v="1"/>
    <n v="-20"/>
    <n v="120"/>
  </r>
  <r>
    <x v="15"/>
    <s v="conventional_refinance_pct_purchase_7"/>
    <x v="47"/>
    <n v="1"/>
    <n v="1"/>
    <n v="-20"/>
    <n v="120"/>
  </r>
  <r>
    <x v="15"/>
    <s v="conventional_refinance_pct_purchase_8"/>
    <x v="48"/>
    <n v="1"/>
    <n v="1"/>
    <n v="-20"/>
    <n v="120"/>
  </r>
  <r>
    <x v="15"/>
    <s v="conventional_refinance_pct_purchase_9"/>
    <x v="49"/>
    <n v="1"/>
    <n v="1"/>
    <n v="-20"/>
    <n v="120"/>
  </r>
  <r>
    <x v="15"/>
    <s v="conventional_refinance_pct_purchase_10"/>
    <x v="50"/>
    <n v="1"/>
    <n v="1"/>
    <n v="-20"/>
    <n v="120"/>
  </r>
  <r>
    <x v="15"/>
    <s v="conventional_refinance_pct_purchase_11"/>
    <x v="51"/>
    <n v="1"/>
    <n v="1"/>
    <n v="-20"/>
    <n v="120"/>
  </r>
  <r>
    <x v="15"/>
    <s v="conventional_refinance_pct_purchase_12"/>
    <x v="52"/>
    <n v="1"/>
    <n v="1"/>
    <n v="-20"/>
    <n v="120"/>
  </r>
  <r>
    <x v="15"/>
    <s v="conventional_refinance_pct_purchase_13"/>
    <x v="53"/>
    <n v="1"/>
    <n v="1"/>
    <n v="-20"/>
    <n v="120"/>
  </r>
  <r>
    <x v="15"/>
    <s v="conventional_refinance_pct_purchase_14"/>
    <x v="54"/>
    <n v="1"/>
    <n v="1"/>
    <n v="-20"/>
    <n v="120"/>
  </r>
  <r>
    <x v="15"/>
    <s v="conventional_refinance_pct_purchase_15"/>
    <x v="55"/>
    <n v="1"/>
    <n v="1"/>
    <n v="-20"/>
    <n v="120"/>
  </r>
  <r>
    <x v="15"/>
    <s v="conventional_refinance_pct_purchase_16"/>
    <x v="56"/>
    <n v="1"/>
    <n v="1"/>
    <n v="-20"/>
    <n v="120"/>
  </r>
  <r>
    <x v="15"/>
    <s v="conventional_refinance_pct_purchase_17"/>
    <x v="57"/>
    <n v="1"/>
    <n v="1"/>
    <n v="-20"/>
    <n v="120"/>
  </r>
  <r>
    <x v="15"/>
    <s v="conventional_refinance_pct_purchase_18"/>
    <x v="58"/>
    <n v="1"/>
    <n v="1"/>
    <n v="-20"/>
    <n v="120"/>
  </r>
  <r>
    <x v="15"/>
    <s v="conventional_refinance_pct_purchase_19"/>
    <x v="59"/>
    <n v="1"/>
    <n v="1"/>
    <n v="-20"/>
    <n v="120"/>
  </r>
  <r>
    <x v="15"/>
    <s v="conventional_refinance_pct_purchase_20"/>
    <x v="60"/>
    <n v="1"/>
    <n v="1"/>
    <n v="-20"/>
    <n v="120"/>
  </r>
  <r>
    <x v="15"/>
    <s v="conventional_refinance_pct_purchase_21"/>
    <x v="61"/>
    <n v="1"/>
    <n v="1"/>
    <n v="-20"/>
    <n v="120"/>
  </r>
  <r>
    <x v="15"/>
    <s v="conventional_refinance_pct_purchase_22"/>
    <x v="62"/>
    <n v="1"/>
    <n v="1"/>
    <n v="-20"/>
    <n v="120"/>
  </r>
  <r>
    <x v="15"/>
    <s v="conventional_refinance_pct_purchase_23"/>
    <x v="63"/>
    <n v="1"/>
    <n v="1"/>
    <n v="-20"/>
    <n v="120"/>
  </r>
  <r>
    <x v="15"/>
    <s v="conventional_refinance_pct_purchase_24"/>
    <x v="64"/>
    <n v="1"/>
    <n v="1"/>
    <n v="-20"/>
    <n v="120"/>
  </r>
  <r>
    <x v="15"/>
    <s v="conventional_refinance_pct_purchase_25"/>
    <x v="65"/>
    <n v="1"/>
    <n v="1"/>
    <n v="-20"/>
    <n v="120"/>
  </r>
  <r>
    <x v="15"/>
    <s v="conventional_refinance_pct_purchase_26"/>
    <x v="66"/>
    <n v="1"/>
    <n v="1"/>
    <n v="-20"/>
    <n v="120"/>
  </r>
  <r>
    <x v="15"/>
    <s v="conventional_refinance_pct_purchase_27"/>
    <x v="67"/>
    <n v="1"/>
    <n v="1"/>
    <n v="-20"/>
    <n v="120"/>
  </r>
  <r>
    <x v="15"/>
    <s v="conventional_refinance_pct_purchase_28"/>
    <x v="68"/>
    <n v="1"/>
    <n v="1"/>
    <n v="-20"/>
    <n v="120"/>
  </r>
  <r>
    <x v="15"/>
    <s v="conventional_refinance_pct_purchase_29"/>
    <x v="69"/>
    <n v="1"/>
    <n v="1"/>
    <n v="-20"/>
    <n v="120"/>
  </r>
  <r>
    <x v="15"/>
    <s v="conventional_refinance_pct_purchase_30"/>
    <x v="70"/>
    <n v="1"/>
    <n v="1"/>
    <n v="-20"/>
    <n v="120"/>
  </r>
  <r>
    <x v="15"/>
    <s v="conventional_refinance_pct_purchase_31"/>
    <x v="71"/>
    <n v="1"/>
    <n v="1"/>
    <n v="-20"/>
    <n v="120"/>
  </r>
  <r>
    <x v="15"/>
    <s v="conventional_refinance_pct_purchase_32"/>
    <x v="72"/>
    <n v="1"/>
    <n v="1"/>
    <n v="-20"/>
    <n v="120"/>
  </r>
  <r>
    <x v="15"/>
    <s v="conventional_refinance_pct_purchase_33"/>
    <x v="73"/>
    <n v="1"/>
    <n v="1"/>
    <n v="-20"/>
    <n v="120"/>
  </r>
  <r>
    <x v="15"/>
    <s v="conventional_refinance_pct_purchase_34"/>
    <x v="74"/>
    <n v="1"/>
    <n v="1"/>
    <n v="-20"/>
    <n v="120"/>
  </r>
  <r>
    <x v="15"/>
    <s v="conventional_refinance_pct_purchase_35"/>
    <x v="75"/>
    <n v="1"/>
    <n v="1"/>
    <n v="-20"/>
    <n v="120"/>
  </r>
  <r>
    <x v="15"/>
    <s v="conventional_refinance_pct_purchase_36"/>
    <x v="76"/>
    <n v="1"/>
    <n v="1"/>
    <n v="-20"/>
    <n v="120"/>
  </r>
  <r>
    <x v="15"/>
    <s v="conventional_refinance_pct_purchase_37"/>
    <x v="77"/>
    <n v="1"/>
    <n v="1"/>
    <n v="-20"/>
    <n v="120"/>
  </r>
  <r>
    <x v="15"/>
    <s v="conventional_refinance_pct_purchase_38"/>
    <x v="78"/>
    <n v="1"/>
    <n v="1"/>
    <n v="-20"/>
    <n v="120"/>
  </r>
  <r>
    <x v="15"/>
    <s v="conventional_refinance_pct_purchase_39"/>
    <x v="79"/>
    <n v="1"/>
    <n v="1"/>
    <n v="-20"/>
    <n v="120"/>
  </r>
  <r>
    <x v="15"/>
    <s v="conventional_refinance_pct_purchase_40"/>
    <x v="80"/>
    <n v="1"/>
    <n v="1"/>
    <n v="-20"/>
    <n v="120"/>
  </r>
  <r>
    <x v="15"/>
    <s v="conventional_refinance_pct_purchase_41"/>
    <x v="81"/>
    <n v="1"/>
    <n v="1"/>
    <n v="-20"/>
    <n v="120"/>
  </r>
  <r>
    <x v="15"/>
    <s v="conventional_refinance_pct_purchase_42"/>
    <x v="82"/>
    <n v="1"/>
    <n v="1"/>
    <n v="-20"/>
    <n v="120"/>
  </r>
  <r>
    <x v="15"/>
    <s v="conventional_refinance_pct_purchase_43"/>
    <x v="83"/>
    <n v="1"/>
    <n v="1"/>
    <n v="-20"/>
    <n v="120"/>
  </r>
  <r>
    <x v="15"/>
    <s v="conventional_refinance_pct_purchase_44"/>
    <x v="84"/>
    <n v="1"/>
    <n v="1"/>
    <n v="-20"/>
    <n v="120"/>
  </r>
  <r>
    <x v="15"/>
    <s v="conventional_refinance_pct_purchase_45"/>
    <x v="85"/>
    <n v="1"/>
    <n v="1"/>
    <n v="-20"/>
    <n v="120"/>
  </r>
  <r>
    <x v="15"/>
    <s v="conventional_refinance_pct_purchase_46"/>
    <x v="86"/>
    <n v="1"/>
    <n v="1"/>
    <n v="-20"/>
    <n v="120"/>
  </r>
  <r>
    <x v="15"/>
    <s v="conventional_refinance_pct_purchase_47"/>
    <x v="87"/>
    <n v="1"/>
    <n v="1"/>
    <n v="-20"/>
    <n v="120"/>
  </r>
  <r>
    <x v="15"/>
    <s v="conventional_refinance_pct_purchase_48"/>
    <x v="88"/>
    <n v="1"/>
    <n v="1"/>
    <n v="-20"/>
    <n v="120"/>
  </r>
  <r>
    <x v="15"/>
    <s v="conventional_refinance_pct_purchase_49"/>
    <x v="89"/>
    <n v="1"/>
    <n v="1"/>
    <n v="-20"/>
    <n v="120"/>
  </r>
  <r>
    <x v="15"/>
    <s v="conventional_refinance_pct_purchase_50"/>
    <x v="90"/>
    <n v="1"/>
    <n v="1"/>
    <n v="-20"/>
    <n v="120"/>
  </r>
  <r>
    <x v="15"/>
    <s v="conventional_refinance_pct_purchase_51"/>
    <x v="91"/>
    <n v="1"/>
    <n v="1"/>
    <n v="-20"/>
    <n v="120"/>
  </r>
  <r>
    <x v="15"/>
    <s v="conventional_refinance_pct_purchase_52"/>
    <x v="92"/>
    <n v="1"/>
    <n v="1"/>
    <n v="-20"/>
    <n v="120"/>
  </r>
  <r>
    <x v="15"/>
    <s v="conventional_refinance_pct_purchase_53"/>
    <x v="93"/>
    <n v="1"/>
    <n v="1"/>
    <n v="-20"/>
    <n v="120"/>
  </r>
  <r>
    <x v="15"/>
    <s v="conventional_refinance_pct_purchase_54"/>
    <x v="94"/>
    <n v="1"/>
    <n v="1"/>
    <n v="-20"/>
    <n v="120"/>
  </r>
  <r>
    <x v="15"/>
    <s v="conventional_refinance_pct_purchase_55"/>
    <x v="95"/>
    <n v="1"/>
    <n v="1"/>
    <n v="-20"/>
    <n v="120"/>
  </r>
  <r>
    <x v="15"/>
    <s v="conventional_refinance_pct_purchase_56"/>
    <x v="96"/>
    <n v="1"/>
    <n v="1"/>
    <n v="-20"/>
    <n v="120"/>
  </r>
  <r>
    <x v="15"/>
    <s v="conventional_refinance_pct_purchase_57"/>
    <x v="97"/>
    <n v="1"/>
    <n v="1"/>
    <n v="-20"/>
    <n v="120"/>
  </r>
  <r>
    <x v="15"/>
    <s v="conventional_refinance_pct_purchase_58"/>
    <x v="98"/>
    <n v="1"/>
    <n v="1"/>
    <n v="-20"/>
    <n v="120"/>
  </r>
  <r>
    <x v="15"/>
    <s v="conventional_refinance_pct_purchase_59"/>
    <x v="99"/>
    <n v="1"/>
    <n v="1"/>
    <n v="-20"/>
    <n v="120"/>
  </r>
  <r>
    <x v="15"/>
    <s v="conventional_refinance_pct_purchase_60"/>
    <x v="100"/>
    <n v="1"/>
    <n v="1"/>
    <n v="-20"/>
    <n v="120"/>
  </r>
  <r>
    <x v="15"/>
    <s v="conventional_refinance_pct_purchase_61"/>
    <x v="101"/>
    <n v="1"/>
    <n v="1"/>
    <n v="-20"/>
    <n v="120"/>
  </r>
  <r>
    <x v="15"/>
    <s v="conventional_refinance_pct_purchase_62"/>
    <x v="102"/>
    <n v="1"/>
    <n v="1"/>
    <n v="-20"/>
    <n v="120"/>
  </r>
  <r>
    <x v="15"/>
    <s v="conventional_refinance_pct_purchase_63"/>
    <x v="103"/>
    <n v="1"/>
    <n v="1"/>
    <n v="-20"/>
    <n v="120"/>
  </r>
  <r>
    <x v="15"/>
    <s v="conventional_refinance_pct_purchase_64"/>
    <x v="104"/>
    <n v="1"/>
    <n v="1"/>
    <n v="-20"/>
    <n v="120"/>
  </r>
  <r>
    <x v="15"/>
    <s v="conventional_refinance_pct_purchase_65"/>
    <x v="105"/>
    <n v="1"/>
    <n v="1"/>
    <n v="-20"/>
    <n v="120"/>
  </r>
  <r>
    <x v="15"/>
    <s v="conventional_refinance_pct_purchase_66"/>
    <x v="106"/>
    <n v="1"/>
    <n v="1"/>
    <n v="-20"/>
    <n v="120"/>
  </r>
  <r>
    <x v="15"/>
    <s v="conventional_refinance_pct_purchase_67"/>
    <x v="107"/>
    <n v="1"/>
    <n v="1"/>
    <n v="-20"/>
    <n v="120"/>
  </r>
  <r>
    <x v="15"/>
    <s v="conventional_refinance_pct_purchase_68"/>
    <x v="108"/>
    <n v="1"/>
    <n v="1"/>
    <n v="-20"/>
    <n v="120"/>
  </r>
  <r>
    <x v="15"/>
    <s v="conventional_refinance_pct_purchase_69"/>
    <x v="109"/>
    <n v="1"/>
    <n v="1"/>
    <n v="-20"/>
    <n v="120"/>
  </r>
  <r>
    <x v="15"/>
    <s v="conventional_refinance_pct_purchase_70"/>
    <x v="110"/>
    <n v="1"/>
    <n v="1"/>
    <n v="-20"/>
    <n v="120"/>
  </r>
  <r>
    <x v="15"/>
    <s v="conventional_refinance_pct_purchase_71"/>
    <x v="111"/>
    <n v="1"/>
    <n v="1"/>
    <n v="-20"/>
    <n v="120"/>
  </r>
  <r>
    <x v="15"/>
    <s v="conventional_refinance_pct_purchase_72"/>
    <x v="112"/>
    <n v="1"/>
    <n v="1"/>
    <n v="-20"/>
    <n v="120"/>
  </r>
  <r>
    <x v="15"/>
    <s v="conventional_refinance_pct_purchase_73"/>
    <x v="113"/>
    <n v="1"/>
    <n v="1"/>
    <n v="-20"/>
    <n v="120"/>
  </r>
  <r>
    <x v="15"/>
    <s v="conventional_refinance_pct_purchase_74"/>
    <x v="114"/>
    <n v="1"/>
    <n v="1"/>
    <n v="-20"/>
    <n v="120"/>
  </r>
  <r>
    <x v="15"/>
    <s v="conventional_refinance_pct_purchase_75"/>
    <x v="115"/>
    <n v="1"/>
    <n v="1"/>
    <n v="-20"/>
    <n v="120"/>
  </r>
  <r>
    <x v="15"/>
    <s v="conventional_refinance_pct_purchase_76"/>
    <x v="116"/>
    <n v="1"/>
    <n v="1"/>
    <n v="-20"/>
    <n v="120"/>
  </r>
  <r>
    <x v="15"/>
    <s v="conventional_refinance_pct_purchase_77"/>
    <x v="117"/>
    <n v="1"/>
    <n v="1"/>
    <n v="-20"/>
    <n v="120"/>
  </r>
  <r>
    <x v="15"/>
    <s v="conventional_refinance_pct_purchase_78"/>
    <x v="118"/>
    <n v="1"/>
    <n v="1"/>
    <n v="-20"/>
    <n v="120"/>
  </r>
  <r>
    <x v="15"/>
    <s v="conventional_refinance_pct_purchase_79"/>
    <x v="119"/>
    <n v="1"/>
    <n v="1"/>
    <n v="-20"/>
    <n v="120"/>
  </r>
  <r>
    <x v="15"/>
    <s v="conventional_refinance_pct_purchase_80"/>
    <x v="120"/>
    <n v="1"/>
    <n v="1"/>
    <n v="-20"/>
    <n v="120"/>
  </r>
  <r>
    <x v="15"/>
    <s v="conventional_refinance_pct_purchase_81"/>
    <x v="121"/>
    <n v="1"/>
    <n v="1"/>
    <n v="-20"/>
    <n v="120"/>
  </r>
  <r>
    <x v="15"/>
    <s v="conventional_refinance_pct_purchase_82"/>
    <x v="122"/>
    <n v="1"/>
    <n v="1"/>
    <n v="-20"/>
    <n v="120"/>
  </r>
  <r>
    <x v="15"/>
    <s v="conventional_refinance_pct_purchase_83"/>
    <x v="123"/>
    <n v="1"/>
    <n v="1"/>
    <n v="-20"/>
    <n v="120"/>
  </r>
  <r>
    <x v="15"/>
    <s v="conventional_refinance_pct_purchase_84"/>
    <x v="124"/>
    <n v="1"/>
    <n v="1"/>
    <n v="-20"/>
    <n v="120"/>
  </r>
  <r>
    <x v="15"/>
    <s v="conventional_refinance_pct_purchase_85"/>
    <x v="125"/>
    <n v="1"/>
    <n v="1"/>
    <n v="-20"/>
    <n v="120"/>
  </r>
  <r>
    <x v="15"/>
    <s v="conventional_refinance_pct_purchase_86"/>
    <x v="126"/>
    <n v="1"/>
    <n v="1"/>
    <n v="-20"/>
    <n v="120"/>
  </r>
  <r>
    <x v="15"/>
    <s v="conventional_refinance_pct_purchase_87"/>
    <x v="127"/>
    <n v="1"/>
    <n v="1"/>
    <n v="-20"/>
    <n v="120"/>
  </r>
  <r>
    <x v="15"/>
    <s v="conventional_refinance_pct_purchase_88"/>
    <x v="128"/>
    <n v="1"/>
    <n v="1"/>
    <n v="-20"/>
    <n v="120"/>
  </r>
  <r>
    <x v="15"/>
    <s v="conventional_refinance_pct_purchase_89"/>
    <x v="129"/>
    <n v="1"/>
    <n v="1"/>
    <n v="-20"/>
    <n v="120"/>
  </r>
  <r>
    <x v="15"/>
    <s v="conventional_refinance_pct_purchase_90"/>
    <x v="130"/>
    <n v="1"/>
    <n v="1"/>
    <n v="-20"/>
    <n v="120"/>
  </r>
  <r>
    <x v="15"/>
    <s v="conventional_refinance_pct_purchase_91"/>
    <x v="131"/>
    <n v="1"/>
    <n v="1"/>
    <n v="-20"/>
    <n v="120"/>
  </r>
  <r>
    <x v="15"/>
    <s v="conventional_refinance_pct_purchase_92"/>
    <x v="132"/>
    <n v="1"/>
    <n v="1"/>
    <n v="-20"/>
    <n v="120"/>
  </r>
  <r>
    <x v="15"/>
    <s v="conventional_refinance_pct_purchase_93"/>
    <x v="133"/>
    <n v="1"/>
    <n v="1"/>
    <n v="-20"/>
    <n v="120"/>
  </r>
  <r>
    <x v="15"/>
    <s v="conventional_refinance_pct_purchase_94"/>
    <x v="134"/>
    <n v="1"/>
    <n v="1"/>
    <n v="-20"/>
    <n v="120"/>
  </r>
  <r>
    <x v="15"/>
    <s v="conventional_refinance_pct_purchase_95"/>
    <x v="135"/>
    <n v="1"/>
    <n v="1"/>
    <n v="-20"/>
    <n v="120"/>
  </r>
  <r>
    <x v="15"/>
    <s v="conventional_refinance_pct_purchase_96"/>
    <x v="136"/>
    <n v="1"/>
    <n v="1"/>
    <n v="-20"/>
    <n v="120"/>
  </r>
  <r>
    <x v="15"/>
    <s v="conventional_refinance_pct_purchase_97"/>
    <x v="137"/>
    <n v="1"/>
    <n v="1"/>
    <n v="-20"/>
    <n v="120"/>
  </r>
  <r>
    <x v="15"/>
    <s v="conventional_refinance_pct_purchase_98"/>
    <x v="138"/>
    <n v="1"/>
    <n v="1"/>
    <n v="-20"/>
    <n v="120"/>
  </r>
  <r>
    <x v="15"/>
    <s v="conventional_refinance_pct_purchase_99"/>
    <x v="139"/>
    <n v="1"/>
    <n v="1"/>
    <n v="-20"/>
    <n v="120"/>
  </r>
  <r>
    <x v="15"/>
    <s v="conventional_refinance_pct_purchase_100"/>
    <x v="140"/>
    <n v="1"/>
    <n v="1"/>
    <n v="-20"/>
    <n v="120"/>
  </r>
  <r>
    <x v="15"/>
    <s v="conventional_refinance_pct_purchase_101"/>
    <x v="141"/>
    <n v="1"/>
    <n v="1"/>
    <n v="-20"/>
    <n v="120"/>
  </r>
  <r>
    <x v="15"/>
    <s v="conventional_refinance_pct_purchase_102"/>
    <x v="142"/>
    <n v="1"/>
    <n v="1"/>
    <n v="-20"/>
    <n v="120"/>
  </r>
  <r>
    <x v="15"/>
    <s v="conventional_refinance_pct_purchase_103"/>
    <x v="143"/>
    <n v="1"/>
    <n v="1"/>
    <n v="-20"/>
    <n v="120"/>
  </r>
  <r>
    <x v="15"/>
    <s v="conventional_refinance_pct_purchase_104"/>
    <x v="144"/>
    <n v="1"/>
    <n v="1"/>
    <n v="-20"/>
    <n v="120"/>
  </r>
  <r>
    <x v="15"/>
    <s v="conventional_refinance_pct_purchase_105"/>
    <x v="145"/>
    <n v="1"/>
    <n v="1"/>
    <n v="-20"/>
    <n v="120"/>
  </r>
  <r>
    <x v="15"/>
    <s v="conventional_refinance_pct_purchase_106"/>
    <x v="146"/>
    <n v="1"/>
    <n v="1"/>
    <n v="-20"/>
    <n v="120"/>
  </r>
  <r>
    <x v="15"/>
    <s v="conventional_refinance_pct_purchase_107"/>
    <x v="147"/>
    <n v="1"/>
    <n v="1"/>
    <n v="-20"/>
    <n v="120"/>
  </r>
  <r>
    <x v="15"/>
    <s v="conventional_refinance_pct_purchase_108"/>
    <x v="148"/>
    <n v="1"/>
    <n v="1"/>
    <n v="-20"/>
    <n v="120"/>
  </r>
  <r>
    <x v="15"/>
    <s v="conventional_refinance_pct_purchase_109"/>
    <x v="149"/>
    <n v="1"/>
    <n v="1"/>
    <n v="-20"/>
    <n v="120"/>
  </r>
  <r>
    <x v="15"/>
    <s v="conventional_refinance_pct_purchase_110"/>
    <x v="150"/>
    <n v="1"/>
    <n v="1"/>
    <n v="-20"/>
    <n v="120"/>
  </r>
  <r>
    <x v="15"/>
    <s v="conventional_refinance_pct_purchase_111"/>
    <x v="151"/>
    <n v="1"/>
    <n v="1"/>
    <n v="-20"/>
    <n v="120"/>
  </r>
  <r>
    <x v="15"/>
    <s v="conventional_refinance_pct_purchase_112"/>
    <x v="152"/>
    <n v="1"/>
    <n v="1"/>
    <n v="-20"/>
    <n v="120"/>
  </r>
  <r>
    <x v="15"/>
    <s v="conventional_refinance_pct_purchase_113"/>
    <x v="153"/>
    <n v="1"/>
    <n v="1"/>
    <n v="-20"/>
    <n v="120"/>
  </r>
  <r>
    <x v="15"/>
    <s v="conventional_refinance_pct_purchase_114"/>
    <x v="154"/>
    <n v="1"/>
    <n v="1"/>
    <n v="-20"/>
    <n v="120"/>
  </r>
  <r>
    <x v="15"/>
    <s v="conventional_refinance_pct_purchase_115"/>
    <x v="155"/>
    <n v="1"/>
    <n v="1"/>
    <n v="-20"/>
    <n v="120"/>
  </r>
  <r>
    <x v="15"/>
    <s v="conventional_refinance_pct_purchase_116"/>
    <x v="156"/>
    <n v="1"/>
    <n v="1"/>
    <n v="-20"/>
    <n v="120"/>
  </r>
  <r>
    <x v="15"/>
    <s v="conventional_refinance_pct_purchase_117"/>
    <x v="157"/>
    <n v="1"/>
    <n v="1"/>
    <n v="-20"/>
    <n v="120"/>
  </r>
  <r>
    <x v="15"/>
    <s v="conventional_refinance_pct_purchase_118"/>
    <x v="158"/>
    <n v="1"/>
    <n v="1"/>
    <n v="-20"/>
    <n v="120"/>
  </r>
  <r>
    <x v="15"/>
    <s v="conventional_refinance_pct_purchase_119"/>
    <x v="159"/>
    <n v="1"/>
    <n v="1"/>
    <n v="-20"/>
    <n v="120"/>
  </r>
  <r>
    <x v="15"/>
    <s v="conventional_refinance_pct_purchase_120"/>
    <x v="160"/>
    <n v="1"/>
    <n v="1"/>
    <n v="-20"/>
    <n v="120"/>
  </r>
  <r>
    <x v="16"/>
    <s v="conventional_refinance_pct_dq_-20"/>
    <x v="20"/>
    <n v="1"/>
    <n v="1"/>
    <n v="-20"/>
    <n v="120"/>
  </r>
  <r>
    <x v="16"/>
    <s v="conventional_refinance_pct_dq_-19"/>
    <x v="21"/>
    <n v="1"/>
    <n v="1"/>
    <n v="-20"/>
    <n v="120"/>
  </r>
  <r>
    <x v="16"/>
    <s v="conventional_refinance_pct_dq_-18"/>
    <x v="22"/>
    <n v="1"/>
    <n v="1"/>
    <n v="-20"/>
    <n v="120"/>
  </r>
  <r>
    <x v="16"/>
    <s v="conventional_refinance_pct_dq_-17"/>
    <x v="23"/>
    <n v="1"/>
    <n v="1"/>
    <n v="-20"/>
    <n v="120"/>
  </r>
  <r>
    <x v="16"/>
    <s v="conventional_refinance_pct_dq_-16"/>
    <x v="24"/>
    <n v="1"/>
    <n v="1"/>
    <n v="-20"/>
    <n v="120"/>
  </r>
  <r>
    <x v="16"/>
    <s v="conventional_refinance_pct_dq_-15"/>
    <x v="25"/>
    <n v="1"/>
    <n v="1"/>
    <n v="-20"/>
    <n v="120"/>
  </r>
  <r>
    <x v="16"/>
    <s v="conventional_refinance_pct_dq_-14"/>
    <x v="26"/>
    <n v="1"/>
    <n v="1"/>
    <n v="-20"/>
    <n v="120"/>
  </r>
  <r>
    <x v="16"/>
    <s v="conventional_refinance_pct_dq_-13"/>
    <x v="27"/>
    <n v="1"/>
    <n v="1"/>
    <n v="-20"/>
    <n v="120"/>
  </r>
  <r>
    <x v="16"/>
    <s v="conventional_refinance_pct_dq_-12"/>
    <x v="28"/>
    <n v="1"/>
    <n v="1"/>
    <n v="-20"/>
    <n v="120"/>
  </r>
  <r>
    <x v="16"/>
    <s v="conventional_refinance_pct_dq_-11"/>
    <x v="29"/>
    <n v="1"/>
    <n v="1"/>
    <n v="-20"/>
    <n v="120"/>
  </r>
  <r>
    <x v="16"/>
    <s v="conventional_refinance_pct_dq_-10"/>
    <x v="30"/>
    <n v="1"/>
    <n v="1"/>
    <n v="-20"/>
    <n v="120"/>
  </r>
  <r>
    <x v="16"/>
    <s v="conventional_refinance_pct_dq_-9"/>
    <x v="31"/>
    <n v="1"/>
    <n v="1"/>
    <n v="-20"/>
    <n v="120"/>
  </r>
  <r>
    <x v="16"/>
    <s v="conventional_refinance_pct_dq_-8"/>
    <x v="32"/>
    <n v="1"/>
    <n v="1"/>
    <n v="-20"/>
    <n v="120"/>
  </r>
  <r>
    <x v="16"/>
    <s v="conventional_refinance_pct_dq_-7"/>
    <x v="33"/>
    <n v="1"/>
    <n v="1"/>
    <n v="-20"/>
    <n v="120"/>
  </r>
  <r>
    <x v="16"/>
    <s v="conventional_refinance_pct_dq_-6"/>
    <x v="34"/>
    <n v="1"/>
    <n v="1"/>
    <n v="-20"/>
    <n v="120"/>
  </r>
  <r>
    <x v="16"/>
    <s v="conventional_refinance_pct_dq_-5"/>
    <x v="35"/>
    <n v="1"/>
    <n v="1"/>
    <n v="-20"/>
    <n v="120"/>
  </r>
  <r>
    <x v="16"/>
    <s v="conventional_refinance_pct_dq_-4"/>
    <x v="36"/>
    <n v="1"/>
    <n v="1"/>
    <n v="-20"/>
    <n v="120"/>
  </r>
  <r>
    <x v="16"/>
    <s v="conventional_refinance_pct_dq_-3"/>
    <x v="37"/>
    <n v="1"/>
    <n v="1"/>
    <n v="-20"/>
    <n v="120"/>
  </r>
  <r>
    <x v="16"/>
    <s v="conventional_refinance_pct_dq_-2"/>
    <x v="38"/>
    <n v="1"/>
    <n v="1"/>
    <n v="-20"/>
    <n v="120"/>
  </r>
  <r>
    <x v="16"/>
    <s v="conventional_refinance_pct_dq_-1"/>
    <x v="39"/>
    <n v="1"/>
    <n v="1"/>
    <n v="-20"/>
    <n v="120"/>
  </r>
  <r>
    <x v="16"/>
    <s v="conventional_refinance_pct_dq_0"/>
    <x v="40"/>
    <n v="1"/>
    <n v="1"/>
    <n v="-20"/>
    <n v="120"/>
  </r>
  <r>
    <x v="16"/>
    <s v="conventional_refinance_pct_dq_1"/>
    <x v="41"/>
    <n v="1"/>
    <n v="1"/>
    <n v="-20"/>
    <n v="120"/>
  </r>
  <r>
    <x v="16"/>
    <s v="conventional_refinance_pct_dq_2"/>
    <x v="42"/>
    <n v="1"/>
    <n v="1"/>
    <n v="-20"/>
    <n v="120"/>
  </r>
  <r>
    <x v="16"/>
    <s v="conventional_refinance_pct_dq_3"/>
    <x v="43"/>
    <n v="1"/>
    <n v="1"/>
    <n v="-20"/>
    <n v="120"/>
  </r>
  <r>
    <x v="16"/>
    <s v="conventional_refinance_pct_dq_4"/>
    <x v="44"/>
    <n v="1"/>
    <n v="1"/>
    <n v="-20"/>
    <n v="120"/>
  </r>
  <r>
    <x v="16"/>
    <s v="conventional_refinance_pct_dq_5"/>
    <x v="45"/>
    <n v="1"/>
    <n v="1"/>
    <n v="-20"/>
    <n v="120"/>
  </r>
  <r>
    <x v="16"/>
    <s v="conventional_refinance_pct_dq_6"/>
    <x v="46"/>
    <n v="1"/>
    <n v="1"/>
    <n v="-20"/>
    <n v="120"/>
  </r>
  <r>
    <x v="16"/>
    <s v="conventional_refinance_pct_dq_7"/>
    <x v="47"/>
    <n v="1"/>
    <n v="1"/>
    <n v="-20"/>
    <n v="120"/>
  </r>
  <r>
    <x v="16"/>
    <s v="conventional_refinance_pct_dq_8"/>
    <x v="48"/>
    <n v="1"/>
    <n v="1"/>
    <n v="-20"/>
    <n v="120"/>
  </r>
  <r>
    <x v="16"/>
    <s v="conventional_refinance_pct_dq_9"/>
    <x v="49"/>
    <n v="1"/>
    <n v="1"/>
    <n v="-20"/>
    <n v="120"/>
  </r>
  <r>
    <x v="16"/>
    <s v="conventional_refinance_pct_dq_10"/>
    <x v="50"/>
    <n v="1"/>
    <n v="1"/>
    <n v="-20"/>
    <n v="120"/>
  </r>
  <r>
    <x v="16"/>
    <s v="conventional_refinance_pct_dq_11"/>
    <x v="51"/>
    <n v="1"/>
    <n v="1"/>
    <n v="-20"/>
    <n v="120"/>
  </r>
  <r>
    <x v="16"/>
    <s v="conventional_refinance_pct_dq_12"/>
    <x v="52"/>
    <n v="1"/>
    <n v="1"/>
    <n v="-20"/>
    <n v="120"/>
  </r>
  <r>
    <x v="16"/>
    <s v="conventional_refinance_pct_dq_13"/>
    <x v="53"/>
    <n v="1"/>
    <n v="1"/>
    <n v="-20"/>
    <n v="120"/>
  </r>
  <r>
    <x v="16"/>
    <s v="conventional_refinance_pct_dq_14"/>
    <x v="54"/>
    <n v="1"/>
    <n v="1"/>
    <n v="-20"/>
    <n v="120"/>
  </r>
  <r>
    <x v="16"/>
    <s v="conventional_refinance_pct_dq_15"/>
    <x v="55"/>
    <n v="1"/>
    <n v="1"/>
    <n v="-20"/>
    <n v="120"/>
  </r>
  <r>
    <x v="16"/>
    <s v="conventional_refinance_pct_dq_16"/>
    <x v="56"/>
    <n v="1"/>
    <n v="1"/>
    <n v="-20"/>
    <n v="120"/>
  </r>
  <r>
    <x v="16"/>
    <s v="conventional_refinance_pct_dq_17"/>
    <x v="57"/>
    <n v="1"/>
    <n v="1"/>
    <n v="-20"/>
    <n v="120"/>
  </r>
  <r>
    <x v="16"/>
    <s v="conventional_refinance_pct_dq_18"/>
    <x v="58"/>
    <n v="1"/>
    <n v="1"/>
    <n v="-20"/>
    <n v="120"/>
  </r>
  <r>
    <x v="16"/>
    <s v="conventional_refinance_pct_dq_19"/>
    <x v="59"/>
    <n v="1"/>
    <n v="1"/>
    <n v="-20"/>
    <n v="120"/>
  </r>
  <r>
    <x v="16"/>
    <s v="conventional_refinance_pct_dq_20"/>
    <x v="60"/>
    <n v="1"/>
    <n v="1"/>
    <n v="-20"/>
    <n v="120"/>
  </r>
  <r>
    <x v="16"/>
    <s v="conventional_refinance_pct_dq_21"/>
    <x v="61"/>
    <n v="1"/>
    <n v="1"/>
    <n v="-20"/>
    <n v="120"/>
  </r>
  <r>
    <x v="16"/>
    <s v="conventional_refinance_pct_dq_22"/>
    <x v="62"/>
    <n v="1"/>
    <n v="1"/>
    <n v="-20"/>
    <n v="120"/>
  </r>
  <r>
    <x v="16"/>
    <s v="conventional_refinance_pct_dq_23"/>
    <x v="63"/>
    <n v="1"/>
    <n v="1"/>
    <n v="-20"/>
    <n v="120"/>
  </r>
  <r>
    <x v="16"/>
    <s v="conventional_refinance_pct_dq_24"/>
    <x v="64"/>
    <n v="1"/>
    <n v="1"/>
    <n v="-20"/>
    <n v="120"/>
  </r>
  <r>
    <x v="16"/>
    <s v="conventional_refinance_pct_dq_25"/>
    <x v="65"/>
    <n v="1"/>
    <n v="1"/>
    <n v="-20"/>
    <n v="120"/>
  </r>
  <r>
    <x v="16"/>
    <s v="conventional_refinance_pct_dq_26"/>
    <x v="66"/>
    <n v="1"/>
    <n v="1"/>
    <n v="-20"/>
    <n v="120"/>
  </r>
  <r>
    <x v="16"/>
    <s v="conventional_refinance_pct_dq_27"/>
    <x v="67"/>
    <n v="1"/>
    <n v="1"/>
    <n v="-20"/>
    <n v="120"/>
  </r>
  <r>
    <x v="16"/>
    <s v="conventional_refinance_pct_dq_28"/>
    <x v="68"/>
    <n v="1"/>
    <n v="1"/>
    <n v="-20"/>
    <n v="120"/>
  </r>
  <r>
    <x v="16"/>
    <s v="conventional_refinance_pct_dq_29"/>
    <x v="69"/>
    <n v="1"/>
    <n v="1"/>
    <n v="-20"/>
    <n v="120"/>
  </r>
  <r>
    <x v="16"/>
    <s v="conventional_refinance_pct_dq_30"/>
    <x v="70"/>
    <n v="1"/>
    <n v="1"/>
    <n v="-20"/>
    <n v="120"/>
  </r>
  <r>
    <x v="16"/>
    <s v="conventional_refinance_pct_dq_31"/>
    <x v="71"/>
    <n v="1"/>
    <n v="1"/>
    <n v="-20"/>
    <n v="120"/>
  </r>
  <r>
    <x v="16"/>
    <s v="conventional_refinance_pct_dq_32"/>
    <x v="72"/>
    <n v="1"/>
    <n v="1"/>
    <n v="-20"/>
    <n v="120"/>
  </r>
  <r>
    <x v="16"/>
    <s v="conventional_refinance_pct_dq_33"/>
    <x v="73"/>
    <n v="1"/>
    <n v="1"/>
    <n v="-20"/>
    <n v="120"/>
  </r>
  <r>
    <x v="16"/>
    <s v="conventional_refinance_pct_dq_34"/>
    <x v="74"/>
    <n v="1"/>
    <n v="1"/>
    <n v="-20"/>
    <n v="120"/>
  </r>
  <r>
    <x v="16"/>
    <s v="conventional_refinance_pct_dq_35"/>
    <x v="75"/>
    <n v="1"/>
    <n v="1"/>
    <n v="-20"/>
    <n v="120"/>
  </r>
  <r>
    <x v="16"/>
    <s v="conventional_refinance_pct_dq_36"/>
    <x v="76"/>
    <n v="1"/>
    <n v="1"/>
    <n v="-20"/>
    <n v="120"/>
  </r>
  <r>
    <x v="16"/>
    <s v="conventional_refinance_pct_dq_37"/>
    <x v="77"/>
    <n v="1"/>
    <n v="1"/>
    <n v="-20"/>
    <n v="120"/>
  </r>
  <r>
    <x v="16"/>
    <s v="conventional_refinance_pct_dq_38"/>
    <x v="78"/>
    <n v="1"/>
    <n v="1"/>
    <n v="-20"/>
    <n v="120"/>
  </r>
  <r>
    <x v="16"/>
    <s v="conventional_refinance_pct_dq_39"/>
    <x v="79"/>
    <n v="1"/>
    <n v="1"/>
    <n v="-20"/>
    <n v="120"/>
  </r>
  <r>
    <x v="16"/>
    <s v="conventional_refinance_pct_dq_40"/>
    <x v="80"/>
    <n v="1"/>
    <n v="1"/>
    <n v="-20"/>
    <n v="120"/>
  </r>
  <r>
    <x v="16"/>
    <s v="conventional_refinance_pct_dq_41"/>
    <x v="81"/>
    <n v="1"/>
    <n v="1"/>
    <n v="-20"/>
    <n v="120"/>
  </r>
  <r>
    <x v="16"/>
    <s v="conventional_refinance_pct_dq_42"/>
    <x v="82"/>
    <n v="1"/>
    <n v="1"/>
    <n v="-20"/>
    <n v="120"/>
  </r>
  <r>
    <x v="16"/>
    <s v="conventional_refinance_pct_dq_43"/>
    <x v="83"/>
    <n v="1"/>
    <n v="1"/>
    <n v="-20"/>
    <n v="120"/>
  </r>
  <r>
    <x v="16"/>
    <s v="conventional_refinance_pct_dq_44"/>
    <x v="84"/>
    <n v="1"/>
    <n v="1"/>
    <n v="-20"/>
    <n v="120"/>
  </r>
  <r>
    <x v="16"/>
    <s v="conventional_refinance_pct_dq_45"/>
    <x v="85"/>
    <n v="1"/>
    <n v="1"/>
    <n v="-20"/>
    <n v="120"/>
  </r>
  <r>
    <x v="16"/>
    <s v="conventional_refinance_pct_dq_46"/>
    <x v="86"/>
    <n v="1"/>
    <n v="1"/>
    <n v="-20"/>
    <n v="120"/>
  </r>
  <r>
    <x v="16"/>
    <s v="conventional_refinance_pct_dq_47"/>
    <x v="87"/>
    <n v="1"/>
    <n v="1"/>
    <n v="-20"/>
    <n v="120"/>
  </r>
  <r>
    <x v="16"/>
    <s v="conventional_refinance_pct_dq_48"/>
    <x v="88"/>
    <n v="1"/>
    <n v="1"/>
    <n v="-20"/>
    <n v="120"/>
  </r>
  <r>
    <x v="16"/>
    <s v="conventional_refinance_pct_dq_49"/>
    <x v="89"/>
    <n v="1"/>
    <n v="1"/>
    <n v="-20"/>
    <n v="120"/>
  </r>
  <r>
    <x v="16"/>
    <s v="conventional_refinance_pct_dq_50"/>
    <x v="90"/>
    <n v="1"/>
    <n v="1"/>
    <n v="-20"/>
    <n v="120"/>
  </r>
  <r>
    <x v="16"/>
    <s v="conventional_refinance_pct_dq_51"/>
    <x v="91"/>
    <n v="1"/>
    <n v="1"/>
    <n v="-20"/>
    <n v="120"/>
  </r>
  <r>
    <x v="16"/>
    <s v="conventional_refinance_pct_dq_52"/>
    <x v="92"/>
    <n v="1"/>
    <n v="1"/>
    <n v="-20"/>
    <n v="120"/>
  </r>
  <r>
    <x v="16"/>
    <s v="conventional_refinance_pct_dq_53"/>
    <x v="93"/>
    <n v="1"/>
    <n v="1"/>
    <n v="-20"/>
    <n v="120"/>
  </r>
  <r>
    <x v="16"/>
    <s v="conventional_refinance_pct_dq_54"/>
    <x v="94"/>
    <n v="1"/>
    <n v="1"/>
    <n v="-20"/>
    <n v="120"/>
  </r>
  <r>
    <x v="16"/>
    <s v="conventional_refinance_pct_dq_55"/>
    <x v="95"/>
    <n v="1"/>
    <n v="1"/>
    <n v="-20"/>
    <n v="120"/>
  </r>
  <r>
    <x v="16"/>
    <s v="conventional_refinance_pct_dq_56"/>
    <x v="96"/>
    <n v="1"/>
    <n v="1"/>
    <n v="-20"/>
    <n v="120"/>
  </r>
  <r>
    <x v="16"/>
    <s v="conventional_refinance_pct_dq_57"/>
    <x v="97"/>
    <n v="1"/>
    <n v="1"/>
    <n v="-20"/>
    <n v="120"/>
  </r>
  <r>
    <x v="16"/>
    <s v="conventional_refinance_pct_dq_58"/>
    <x v="98"/>
    <n v="1"/>
    <n v="1"/>
    <n v="-20"/>
    <n v="120"/>
  </r>
  <r>
    <x v="16"/>
    <s v="conventional_refinance_pct_dq_59"/>
    <x v="99"/>
    <n v="1"/>
    <n v="1"/>
    <n v="-20"/>
    <n v="120"/>
  </r>
  <r>
    <x v="16"/>
    <s v="conventional_refinance_pct_dq_60"/>
    <x v="100"/>
    <n v="1"/>
    <n v="1"/>
    <n v="-20"/>
    <n v="120"/>
  </r>
  <r>
    <x v="16"/>
    <s v="conventional_refinance_pct_dq_61"/>
    <x v="101"/>
    <n v="1"/>
    <n v="1"/>
    <n v="-20"/>
    <n v="120"/>
  </r>
  <r>
    <x v="16"/>
    <s v="conventional_refinance_pct_dq_62"/>
    <x v="102"/>
    <n v="1"/>
    <n v="1"/>
    <n v="-20"/>
    <n v="120"/>
  </r>
  <r>
    <x v="16"/>
    <s v="conventional_refinance_pct_dq_63"/>
    <x v="103"/>
    <n v="1"/>
    <n v="1"/>
    <n v="-20"/>
    <n v="120"/>
  </r>
  <r>
    <x v="16"/>
    <s v="conventional_refinance_pct_dq_64"/>
    <x v="104"/>
    <n v="1"/>
    <n v="1"/>
    <n v="-20"/>
    <n v="120"/>
  </r>
  <r>
    <x v="16"/>
    <s v="conventional_refinance_pct_dq_65"/>
    <x v="105"/>
    <n v="1"/>
    <n v="1"/>
    <n v="-20"/>
    <n v="120"/>
  </r>
  <r>
    <x v="16"/>
    <s v="conventional_refinance_pct_dq_66"/>
    <x v="106"/>
    <n v="1"/>
    <n v="1"/>
    <n v="-20"/>
    <n v="120"/>
  </r>
  <r>
    <x v="16"/>
    <s v="conventional_refinance_pct_dq_67"/>
    <x v="107"/>
    <n v="1"/>
    <n v="1"/>
    <n v="-20"/>
    <n v="120"/>
  </r>
  <r>
    <x v="16"/>
    <s v="conventional_refinance_pct_dq_68"/>
    <x v="108"/>
    <n v="1"/>
    <n v="1"/>
    <n v="-20"/>
    <n v="120"/>
  </r>
  <r>
    <x v="16"/>
    <s v="conventional_refinance_pct_dq_69"/>
    <x v="109"/>
    <n v="1"/>
    <n v="1"/>
    <n v="-20"/>
    <n v="120"/>
  </r>
  <r>
    <x v="16"/>
    <s v="conventional_refinance_pct_dq_70"/>
    <x v="110"/>
    <n v="1"/>
    <n v="1"/>
    <n v="-20"/>
    <n v="120"/>
  </r>
  <r>
    <x v="16"/>
    <s v="conventional_refinance_pct_dq_71"/>
    <x v="111"/>
    <n v="1"/>
    <n v="1"/>
    <n v="-20"/>
    <n v="120"/>
  </r>
  <r>
    <x v="16"/>
    <s v="conventional_refinance_pct_dq_72"/>
    <x v="112"/>
    <n v="1"/>
    <n v="1"/>
    <n v="-20"/>
    <n v="120"/>
  </r>
  <r>
    <x v="16"/>
    <s v="conventional_refinance_pct_dq_73"/>
    <x v="113"/>
    <n v="1"/>
    <n v="1"/>
    <n v="-20"/>
    <n v="120"/>
  </r>
  <r>
    <x v="16"/>
    <s v="conventional_refinance_pct_dq_74"/>
    <x v="114"/>
    <n v="1"/>
    <n v="1"/>
    <n v="-20"/>
    <n v="120"/>
  </r>
  <r>
    <x v="16"/>
    <s v="conventional_refinance_pct_dq_75"/>
    <x v="115"/>
    <n v="1"/>
    <n v="1"/>
    <n v="-20"/>
    <n v="120"/>
  </r>
  <r>
    <x v="16"/>
    <s v="conventional_refinance_pct_dq_76"/>
    <x v="116"/>
    <n v="1"/>
    <n v="1"/>
    <n v="-20"/>
    <n v="120"/>
  </r>
  <r>
    <x v="16"/>
    <s v="conventional_refinance_pct_dq_77"/>
    <x v="117"/>
    <n v="1"/>
    <n v="1"/>
    <n v="-20"/>
    <n v="120"/>
  </r>
  <r>
    <x v="16"/>
    <s v="conventional_refinance_pct_dq_78"/>
    <x v="118"/>
    <n v="1"/>
    <n v="1"/>
    <n v="-20"/>
    <n v="120"/>
  </r>
  <r>
    <x v="16"/>
    <s v="conventional_refinance_pct_dq_79"/>
    <x v="119"/>
    <n v="1"/>
    <n v="1"/>
    <n v="-20"/>
    <n v="120"/>
  </r>
  <r>
    <x v="16"/>
    <s v="conventional_refinance_pct_dq_80"/>
    <x v="120"/>
    <n v="1"/>
    <n v="1"/>
    <n v="-20"/>
    <n v="120"/>
  </r>
  <r>
    <x v="16"/>
    <s v="conventional_refinance_pct_dq_81"/>
    <x v="121"/>
    <n v="1"/>
    <n v="1"/>
    <n v="-20"/>
    <n v="120"/>
  </r>
  <r>
    <x v="16"/>
    <s v="conventional_refinance_pct_dq_82"/>
    <x v="122"/>
    <n v="1"/>
    <n v="1"/>
    <n v="-20"/>
    <n v="120"/>
  </r>
  <r>
    <x v="16"/>
    <s v="conventional_refinance_pct_dq_83"/>
    <x v="123"/>
    <n v="1"/>
    <n v="1"/>
    <n v="-20"/>
    <n v="120"/>
  </r>
  <r>
    <x v="16"/>
    <s v="conventional_refinance_pct_dq_84"/>
    <x v="124"/>
    <n v="1"/>
    <n v="1"/>
    <n v="-20"/>
    <n v="120"/>
  </r>
  <r>
    <x v="16"/>
    <s v="conventional_refinance_pct_dq_85"/>
    <x v="125"/>
    <n v="1"/>
    <n v="1"/>
    <n v="-20"/>
    <n v="120"/>
  </r>
  <r>
    <x v="16"/>
    <s v="conventional_refinance_pct_dq_86"/>
    <x v="126"/>
    <n v="1"/>
    <n v="1"/>
    <n v="-20"/>
    <n v="120"/>
  </r>
  <r>
    <x v="16"/>
    <s v="conventional_refinance_pct_dq_87"/>
    <x v="127"/>
    <n v="1"/>
    <n v="1"/>
    <n v="-20"/>
    <n v="120"/>
  </r>
  <r>
    <x v="16"/>
    <s v="conventional_refinance_pct_dq_88"/>
    <x v="128"/>
    <n v="1"/>
    <n v="1"/>
    <n v="-20"/>
    <n v="120"/>
  </r>
  <r>
    <x v="16"/>
    <s v="conventional_refinance_pct_dq_89"/>
    <x v="129"/>
    <n v="1"/>
    <n v="1"/>
    <n v="-20"/>
    <n v="120"/>
  </r>
  <r>
    <x v="16"/>
    <s v="conventional_refinance_pct_dq_90"/>
    <x v="130"/>
    <n v="1"/>
    <n v="1"/>
    <n v="-20"/>
    <n v="120"/>
  </r>
  <r>
    <x v="16"/>
    <s v="conventional_refinance_pct_dq_91"/>
    <x v="131"/>
    <n v="1"/>
    <n v="1"/>
    <n v="-20"/>
    <n v="120"/>
  </r>
  <r>
    <x v="16"/>
    <s v="conventional_refinance_pct_dq_92"/>
    <x v="132"/>
    <n v="1"/>
    <n v="1"/>
    <n v="-20"/>
    <n v="120"/>
  </r>
  <r>
    <x v="16"/>
    <s v="conventional_refinance_pct_dq_93"/>
    <x v="133"/>
    <n v="1"/>
    <n v="1"/>
    <n v="-20"/>
    <n v="120"/>
  </r>
  <r>
    <x v="16"/>
    <s v="conventional_refinance_pct_dq_94"/>
    <x v="134"/>
    <n v="1"/>
    <n v="1"/>
    <n v="-20"/>
    <n v="120"/>
  </r>
  <r>
    <x v="16"/>
    <s v="conventional_refinance_pct_dq_95"/>
    <x v="135"/>
    <n v="1"/>
    <n v="1"/>
    <n v="-20"/>
    <n v="120"/>
  </r>
  <r>
    <x v="16"/>
    <s v="conventional_refinance_pct_dq_96"/>
    <x v="136"/>
    <n v="1"/>
    <n v="1"/>
    <n v="-20"/>
    <n v="120"/>
  </r>
  <r>
    <x v="16"/>
    <s v="conventional_refinance_pct_dq_97"/>
    <x v="137"/>
    <n v="1"/>
    <n v="1"/>
    <n v="-20"/>
    <n v="120"/>
  </r>
  <r>
    <x v="16"/>
    <s v="conventional_refinance_pct_dq_98"/>
    <x v="138"/>
    <n v="1"/>
    <n v="1"/>
    <n v="-20"/>
    <n v="120"/>
  </r>
  <r>
    <x v="16"/>
    <s v="conventional_refinance_pct_dq_99"/>
    <x v="139"/>
    <n v="1"/>
    <n v="1"/>
    <n v="-20"/>
    <n v="120"/>
  </r>
  <r>
    <x v="16"/>
    <s v="conventional_refinance_pct_dq_100"/>
    <x v="140"/>
    <n v="1"/>
    <n v="1"/>
    <n v="-20"/>
    <n v="120"/>
  </r>
  <r>
    <x v="16"/>
    <s v="conventional_refinance_pct_dq_101"/>
    <x v="141"/>
    <n v="1"/>
    <n v="1"/>
    <n v="-20"/>
    <n v="120"/>
  </r>
  <r>
    <x v="16"/>
    <s v="conventional_refinance_pct_dq_102"/>
    <x v="142"/>
    <n v="1"/>
    <n v="1"/>
    <n v="-20"/>
    <n v="120"/>
  </r>
  <r>
    <x v="16"/>
    <s v="conventional_refinance_pct_dq_103"/>
    <x v="143"/>
    <n v="1"/>
    <n v="1"/>
    <n v="-20"/>
    <n v="120"/>
  </r>
  <r>
    <x v="16"/>
    <s v="conventional_refinance_pct_dq_104"/>
    <x v="144"/>
    <n v="1"/>
    <n v="1"/>
    <n v="-20"/>
    <n v="120"/>
  </r>
  <r>
    <x v="16"/>
    <s v="conventional_refinance_pct_dq_105"/>
    <x v="145"/>
    <n v="1"/>
    <n v="1"/>
    <n v="-20"/>
    <n v="120"/>
  </r>
  <r>
    <x v="16"/>
    <s v="conventional_refinance_pct_dq_106"/>
    <x v="146"/>
    <n v="1"/>
    <n v="1"/>
    <n v="-20"/>
    <n v="120"/>
  </r>
  <r>
    <x v="16"/>
    <s v="conventional_refinance_pct_dq_107"/>
    <x v="147"/>
    <n v="1"/>
    <n v="1"/>
    <n v="-20"/>
    <n v="120"/>
  </r>
  <r>
    <x v="16"/>
    <s v="conventional_refinance_pct_dq_108"/>
    <x v="148"/>
    <n v="1"/>
    <n v="1"/>
    <n v="-20"/>
    <n v="120"/>
  </r>
  <r>
    <x v="16"/>
    <s v="conventional_refinance_pct_dq_109"/>
    <x v="149"/>
    <n v="1"/>
    <n v="1"/>
    <n v="-20"/>
    <n v="120"/>
  </r>
  <r>
    <x v="16"/>
    <s v="conventional_refinance_pct_dq_110"/>
    <x v="150"/>
    <n v="1"/>
    <n v="1"/>
    <n v="-20"/>
    <n v="120"/>
  </r>
  <r>
    <x v="16"/>
    <s v="conventional_refinance_pct_dq_111"/>
    <x v="151"/>
    <n v="1"/>
    <n v="1"/>
    <n v="-20"/>
    <n v="120"/>
  </r>
  <r>
    <x v="16"/>
    <s v="conventional_refinance_pct_dq_112"/>
    <x v="152"/>
    <n v="1"/>
    <n v="1"/>
    <n v="-20"/>
    <n v="120"/>
  </r>
  <r>
    <x v="16"/>
    <s v="conventional_refinance_pct_dq_113"/>
    <x v="153"/>
    <n v="1"/>
    <n v="1"/>
    <n v="-20"/>
    <n v="120"/>
  </r>
  <r>
    <x v="16"/>
    <s v="conventional_refinance_pct_dq_114"/>
    <x v="154"/>
    <n v="1"/>
    <n v="1"/>
    <n v="-20"/>
    <n v="120"/>
  </r>
  <r>
    <x v="16"/>
    <s v="conventional_refinance_pct_dq_115"/>
    <x v="155"/>
    <n v="1"/>
    <n v="1"/>
    <n v="-20"/>
    <n v="120"/>
  </r>
  <r>
    <x v="16"/>
    <s v="conventional_refinance_pct_dq_116"/>
    <x v="156"/>
    <n v="1"/>
    <n v="1"/>
    <n v="-20"/>
    <n v="120"/>
  </r>
  <r>
    <x v="16"/>
    <s v="conventional_refinance_pct_dq_117"/>
    <x v="157"/>
    <n v="1"/>
    <n v="1"/>
    <n v="-20"/>
    <n v="120"/>
  </r>
  <r>
    <x v="16"/>
    <s v="conventional_refinance_pct_dq_118"/>
    <x v="158"/>
    <n v="1"/>
    <n v="1"/>
    <n v="-20"/>
    <n v="120"/>
  </r>
  <r>
    <x v="16"/>
    <s v="conventional_refinance_pct_dq_119"/>
    <x v="159"/>
    <n v="1"/>
    <n v="1"/>
    <n v="-20"/>
    <n v="120"/>
  </r>
  <r>
    <x v="16"/>
    <s v="conventional_refinance_pct_dq_120"/>
    <x v="160"/>
    <n v="1"/>
    <n v="1"/>
    <n v="-20"/>
    <n v="120"/>
  </r>
  <r>
    <x v="17"/>
    <s v="conventional_refinance_pct_HARPed_-20"/>
    <x v="20"/>
    <n v="1"/>
    <n v="1"/>
    <n v="-20"/>
    <n v="120"/>
  </r>
  <r>
    <x v="17"/>
    <s v="conventional_refinance_pct_HARPed_-19"/>
    <x v="21"/>
    <n v="1"/>
    <n v="1"/>
    <n v="-20"/>
    <n v="120"/>
  </r>
  <r>
    <x v="17"/>
    <s v="conventional_refinance_pct_HARPed_-18"/>
    <x v="22"/>
    <n v="1"/>
    <n v="1"/>
    <n v="-20"/>
    <n v="120"/>
  </r>
  <r>
    <x v="17"/>
    <s v="conventional_refinance_pct_HARPed_-17"/>
    <x v="23"/>
    <n v="1"/>
    <n v="1"/>
    <n v="-20"/>
    <n v="120"/>
  </r>
  <r>
    <x v="17"/>
    <s v="conventional_refinance_pct_HARPed_-16"/>
    <x v="24"/>
    <n v="1"/>
    <n v="1"/>
    <n v="-20"/>
    <n v="120"/>
  </r>
  <r>
    <x v="17"/>
    <s v="conventional_refinance_pct_HARPed_-15"/>
    <x v="25"/>
    <n v="1"/>
    <n v="1"/>
    <n v="-20"/>
    <n v="120"/>
  </r>
  <r>
    <x v="17"/>
    <s v="conventional_refinance_pct_HARPed_-14"/>
    <x v="26"/>
    <n v="1"/>
    <n v="1"/>
    <n v="-20"/>
    <n v="120"/>
  </r>
  <r>
    <x v="17"/>
    <s v="conventional_refinance_pct_HARPed_-13"/>
    <x v="27"/>
    <n v="1"/>
    <n v="1"/>
    <n v="-20"/>
    <n v="120"/>
  </r>
  <r>
    <x v="17"/>
    <s v="conventional_refinance_pct_HARPed_-12"/>
    <x v="28"/>
    <n v="1"/>
    <n v="1"/>
    <n v="-20"/>
    <n v="120"/>
  </r>
  <r>
    <x v="17"/>
    <s v="conventional_refinance_pct_HARPed_-11"/>
    <x v="29"/>
    <n v="1"/>
    <n v="1"/>
    <n v="-20"/>
    <n v="120"/>
  </r>
  <r>
    <x v="17"/>
    <s v="conventional_refinance_pct_HARPed_-10"/>
    <x v="30"/>
    <n v="1"/>
    <n v="1"/>
    <n v="-20"/>
    <n v="120"/>
  </r>
  <r>
    <x v="17"/>
    <s v="conventional_refinance_pct_HARPed_-9"/>
    <x v="31"/>
    <n v="1"/>
    <n v="1"/>
    <n v="-20"/>
    <n v="120"/>
  </r>
  <r>
    <x v="17"/>
    <s v="conventional_refinance_pct_HARPed_-8"/>
    <x v="32"/>
    <n v="1"/>
    <n v="1"/>
    <n v="-20"/>
    <n v="120"/>
  </r>
  <r>
    <x v="17"/>
    <s v="conventional_refinance_pct_HARPed_-7"/>
    <x v="33"/>
    <n v="1"/>
    <n v="1"/>
    <n v="-20"/>
    <n v="120"/>
  </r>
  <r>
    <x v="17"/>
    <s v="conventional_refinance_pct_HARPed_-6"/>
    <x v="34"/>
    <n v="1"/>
    <n v="1"/>
    <n v="-20"/>
    <n v="120"/>
  </r>
  <r>
    <x v="17"/>
    <s v="conventional_refinance_pct_HARPed_-5"/>
    <x v="35"/>
    <n v="1"/>
    <n v="1"/>
    <n v="-20"/>
    <n v="120"/>
  </r>
  <r>
    <x v="17"/>
    <s v="conventional_refinance_pct_HARPed_-4"/>
    <x v="36"/>
    <n v="1"/>
    <n v="1"/>
    <n v="-20"/>
    <n v="120"/>
  </r>
  <r>
    <x v="17"/>
    <s v="conventional_refinance_pct_HARPed_-3"/>
    <x v="37"/>
    <n v="1"/>
    <n v="1"/>
    <n v="-20"/>
    <n v="120"/>
  </r>
  <r>
    <x v="17"/>
    <s v="conventional_refinance_pct_HARPed_-2"/>
    <x v="38"/>
    <n v="1"/>
    <n v="1"/>
    <n v="-20"/>
    <n v="120"/>
  </r>
  <r>
    <x v="17"/>
    <s v="conventional_refinance_pct_HARPed_-1"/>
    <x v="39"/>
    <n v="1"/>
    <n v="1"/>
    <n v="-20"/>
    <n v="120"/>
  </r>
  <r>
    <x v="17"/>
    <s v="conventional_refinance_pct_HARPed_0"/>
    <x v="40"/>
    <n v="1"/>
    <n v="1"/>
    <n v="-20"/>
    <n v="120"/>
  </r>
  <r>
    <x v="17"/>
    <s v="conventional_refinance_pct_HARPed_1"/>
    <x v="41"/>
    <n v="1"/>
    <n v="1"/>
    <n v="-20"/>
    <n v="120"/>
  </r>
  <r>
    <x v="17"/>
    <s v="conventional_refinance_pct_HARPed_2"/>
    <x v="42"/>
    <n v="1"/>
    <n v="1"/>
    <n v="-20"/>
    <n v="120"/>
  </r>
  <r>
    <x v="17"/>
    <s v="conventional_refinance_pct_HARPed_3"/>
    <x v="43"/>
    <n v="1"/>
    <n v="1"/>
    <n v="-20"/>
    <n v="120"/>
  </r>
  <r>
    <x v="17"/>
    <s v="conventional_refinance_pct_HARPed_4"/>
    <x v="44"/>
    <n v="1"/>
    <n v="1"/>
    <n v="-20"/>
    <n v="120"/>
  </r>
  <r>
    <x v="17"/>
    <s v="conventional_refinance_pct_HARPed_5"/>
    <x v="45"/>
    <n v="1"/>
    <n v="1"/>
    <n v="-20"/>
    <n v="120"/>
  </r>
  <r>
    <x v="17"/>
    <s v="conventional_refinance_pct_HARPed_6"/>
    <x v="46"/>
    <n v="1"/>
    <n v="1"/>
    <n v="-20"/>
    <n v="120"/>
  </r>
  <r>
    <x v="17"/>
    <s v="conventional_refinance_pct_HARPed_7"/>
    <x v="47"/>
    <n v="1"/>
    <n v="1"/>
    <n v="-20"/>
    <n v="120"/>
  </r>
  <r>
    <x v="17"/>
    <s v="conventional_refinance_pct_HARPed_8"/>
    <x v="48"/>
    <n v="1"/>
    <n v="1"/>
    <n v="-20"/>
    <n v="120"/>
  </r>
  <r>
    <x v="17"/>
    <s v="conventional_refinance_pct_HARPed_9"/>
    <x v="49"/>
    <n v="1"/>
    <n v="1"/>
    <n v="-20"/>
    <n v="120"/>
  </r>
  <r>
    <x v="17"/>
    <s v="conventional_refinance_pct_HARPed_10"/>
    <x v="50"/>
    <n v="1"/>
    <n v="1"/>
    <n v="-20"/>
    <n v="120"/>
  </r>
  <r>
    <x v="17"/>
    <s v="conventional_refinance_pct_HARPed_11"/>
    <x v="51"/>
    <n v="1"/>
    <n v="1"/>
    <n v="-20"/>
    <n v="120"/>
  </r>
  <r>
    <x v="17"/>
    <s v="conventional_refinance_pct_HARPed_12"/>
    <x v="52"/>
    <n v="1"/>
    <n v="1"/>
    <n v="-20"/>
    <n v="120"/>
  </r>
  <r>
    <x v="17"/>
    <s v="conventional_refinance_pct_HARPed_13"/>
    <x v="53"/>
    <n v="1"/>
    <n v="1"/>
    <n v="-20"/>
    <n v="120"/>
  </r>
  <r>
    <x v="17"/>
    <s v="conventional_refinance_pct_HARPed_14"/>
    <x v="54"/>
    <n v="1"/>
    <n v="1"/>
    <n v="-20"/>
    <n v="120"/>
  </r>
  <r>
    <x v="17"/>
    <s v="conventional_refinance_pct_HARPed_15"/>
    <x v="55"/>
    <n v="1"/>
    <n v="1"/>
    <n v="-20"/>
    <n v="120"/>
  </r>
  <r>
    <x v="17"/>
    <s v="conventional_refinance_pct_HARPed_16"/>
    <x v="56"/>
    <n v="1"/>
    <n v="1"/>
    <n v="-20"/>
    <n v="120"/>
  </r>
  <r>
    <x v="17"/>
    <s v="conventional_refinance_pct_HARPed_17"/>
    <x v="57"/>
    <n v="1"/>
    <n v="1"/>
    <n v="-20"/>
    <n v="120"/>
  </r>
  <r>
    <x v="17"/>
    <s v="conventional_refinance_pct_HARPed_18"/>
    <x v="58"/>
    <n v="1"/>
    <n v="1"/>
    <n v="-20"/>
    <n v="120"/>
  </r>
  <r>
    <x v="17"/>
    <s v="conventional_refinance_pct_HARPed_19"/>
    <x v="59"/>
    <n v="1"/>
    <n v="1"/>
    <n v="-20"/>
    <n v="120"/>
  </r>
  <r>
    <x v="17"/>
    <s v="conventional_refinance_pct_HARPed_20"/>
    <x v="60"/>
    <n v="1"/>
    <n v="1"/>
    <n v="-20"/>
    <n v="120"/>
  </r>
  <r>
    <x v="17"/>
    <s v="conventional_refinance_pct_HARPed_21"/>
    <x v="61"/>
    <n v="1"/>
    <n v="1"/>
    <n v="-20"/>
    <n v="120"/>
  </r>
  <r>
    <x v="17"/>
    <s v="conventional_refinance_pct_HARPed_22"/>
    <x v="62"/>
    <n v="1"/>
    <n v="1"/>
    <n v="-20"/>
    <n v="120"/>
  </r>
  <r>
    <x v="17"/>
    <s v="conventional_refinance_pct_HARPed_23"/>
    <x v="63"/>
    <n v="1"/>
    <n v="1"/>
    <n v="-20"/>
    <n v="120"/>
  </r>
  <r>
    <x v="17"/>
    <s v="conventional_refinance_pct_HARPed_24"/>
    <x v="64"/>
    <n v="1"/>
    <n v="1"/>
    <n v="-20"/>
    <n v="120"/>
  </r>
  <r>
    <x v="17"/>
    <s v="conventional_refinance_pct_HARPed_25"/>
    <x v="65"/>
    <n v="1"/>
    <n v="1"/>
    <n v="-20"/>
    <n v="120"/>
  </r>
  <r>
    <x v="17"/>
    <s v="conventional_refinance_pct_HARPed_26"/>
    <x v="66"/>
    <n v="1"/>
    <n v="1"/>
    <n v="-20"/>
    <n v="120"/>
  </r>
  <r>
    <x v="17"/>
    <s v="conventional_refinance_pct_HARPed_27"/>
    <x v="67"/>
    <n v="1"/>
    <n v="1"/>
    <n v="-20"/>
    <n v="120"/>
  </r>
  <r>
    <x v="17"/>
    <s v="conventional_refinance_pct_HARPed_28"/>
    <x v="68"/>
    <n v="1"/>
    <n v="1"/>
    <n v="-20"/>
    <n v="120"/>
  </r>
  <r>
    <x v="17"/>
    <s v="conventional_refinance_pct_HARPed_29"/>
    <x v="69"/>
    <n v="1"/>
    <n v="1"/>
    <n v="-20"/>
    <n v="120"/>
  </r>
  <r>
    <x v="17"/>
    <s v="conventional_refinance_pct_HARPed_30"/>
    <x v="70"/>
    <n v="1"/>
    <n v="1"/>
    <n v="-20"/>
    <n v="120"/>
  </r>
  <r>
    <x v="17"/>
    <s v="conventional_refinance_pct_HARPed_31"/>
    <x v="71"/>
    <n v="1"/>
    <n v="1"/>
    <n v="-20"/>
    <n v="120"/>
  </r>
  <r>
    <x v="17"/>
    <s v="conventional_refinance_pct_HARPed_32"/>
    <x v="72"/>
    <n v="1"/>
    <n v="1"/>
    <n v="-20"/>
    <n v="120"/>
  </r>
  <r>
    <x v="17"/>
    <s v="conventional_refinance_pct_HARPed_33"/>
    <x v="73"/>
    <n v="1"/>
    <n v="1"/>
    <n v="-20"/>
    <n v="120"/>
  </r>
  <r>
    <x v="17"/>
    <s v="conventional_refinance_pct_HARPed_34"/>
    <x v="74"/>
    <n v="1"/>
    <n v="1"/>
    <n v="-20"/>
    <n v="120"/>
  </r>
  <r>
    <x v="17"/>
    <s v="conventional_refinance_pct_HARPed_35"/>
    <x v="75"/>
    <n v="1"/>
    <n v="1"/>
    <n v="-20"/>
    <n v="120"/>
  </r>
  <r>
    <x v="17"/>
    <s v="conventional_refinance_pct_HARPed_36"/>
    <x v="76"/>
    <n v="1"/>
    <n v="1"/>
    <n v="-20"/>
    <n v="120"/>
  </r>
  <r>
    <x v="17"/>
    <s v="conventional_refinance_pct_HARPed_37"/>
    <x v="77"/>
    <n v="1"/>
    <n v="1"/>
    <n v="-20"/>
    <n v="120"/>
  </r>
  <r>
    <x v="17"/>
    <s v="conventional_refinance_pct_HARPed_38"/>
    <x v="78"/>
    <n v="1"/>
    <n v="1"/>
    <n v="-20"/>
    <n v="120"/>
  </r>
  <r>
    <x v="17"/>
    <s v="conventional_refinance_pct_HARPed_39"/>
    <x v="79"/>
    <n v="1"/>
    <n v="1"/>
    <n v="-20"/>
    <n v="120"/>
  </r>
  <r>
    <x v="17"/>
    <s v="conventional_refinance_pct_HARPed_40"/>
    <x v="80"/>
    <n v="1"/>
    <n v="1"/>
    <n v="-20"/>
    <n v="120"/>
  </r>
  <r>
    <x v="17"/>
    <s v="conventional_refinance_pct_HARPed_41"/>
    <x v="81"/>
    <n v="1"/>
    <n v="1"/>
    <n v="-20"/>
    <n v="120"/>
  </r>
  <r>
    <x v="17"/>
    <s v="conventional_refinance_pct_HARPed_42"/>
    <x v="82"/>
    <n v="1"/>
    <n v="1"/>
    <n v="-20"/>
    <n v="120"/>
  </r>
  <r>
    <x v="17"/>
    <s v="conventional_refinance_pct_HARPed_43"/>
    <x v="83"/>
    <n v="1"/>
    <n v="1"/>
    <n v="-20"/>
    <n v="120"/>
  </r>
  <r>
    <x v="17"/>
    <s v="conventional_refinance_pct_HARPed_44"/>
    <x v="84"/>
    <n v="1"/>
    <n v="1"/>
    <n v="-20"/>
    <n v="120"/>
  </r>
  <r>
    <x v="17"/>
    <s v="conventional_refinance_pct_HARPed_45"/>
    <x v="85"/>
    <n v="1"/>
    <n v="1"/>
    <n v="-20"/>
    <n v="120"/>
  </r>
  <r>
    <x v="17"/>
    <s v="conventional_refinance_pct_HARPed_46"/>
    <x v="86"/>
    <n v="1"/>
    <n v="1"/>
    <n v="-20"/>
    <n v="120"/>
  </r>
  <r>
    <x v="17"/>
    <s v="conventional_refinance_pct_HARPed_47"/>
    <x v="87"/>
    <n v="1"/>
    <n v="1"/>
    <n v="-20"/>
    <n v="120"/>
  </r>
  <r>
    <x v="17"/>
    <s v="conventional_refinance_pct_HARPed_48"/>
    <x v="88"/>
    <n v="1"/>
    <n v="1"/>
    <n v="-20"/>
    <n v="120"/>
  </r>
  <r>
    <x v="17"/>
    <s v="conventional_refinance_pct_HARPed_49"/>
    <x v="89"/>
    <n v="1"/>
    <n v="1"/>
    <n v="-20"/>
    <n v="120"/>
  </r>
  <r>
    <x v="17"/>
    <s v="conventional_refinance_pct_HARPed_50"/>
    <x v="90"/>
    <n v="1"/>
    <n v="1"/>
    <n v="-20"/>
    <n v="120"/>
  </r>
  <r>
    <x v="17"/>
    <s v="conventional_refinance_pct_HARPed_51"/>
    <x v="91"/>
    <n v="1"/>
    <n v="1"/>
    <n v="-20"/>
    <n v="120"/>
  </r>
  <r>
    <x v="17"/>
    <s v="conventional_refinance_pct_HARPed_52"/>
    <x v="92"/>
    <n v="1"/>
    <n v="1"/>
    <n v="-20"/>
    <n v="120"/>
  </r>
  <r>
    <x v="17"/>
    <s v="conventional_refinance_pct_HARPed_53"/>
    <x v="93"/>
    <n v="1"/>
    <n v="1"/>
    <n v="-20"/>
    <n v="120"/>
  </r>
  <r>
    <x v="17"/>
    <s v="conventional_refinance_pct_HARPed_54"/>
    <x v="94"/>
    <n v="1"/>
    <n v="1"/>
    <n v="-20"/>
    <n v="120"/>
  </r>
  <r>
    <x v="17"/>
    <s v="conventional_refinance_pct_HARPed_55"/>
    <x v="95"/>
    <n v="1"/>
    <n v="1"/>
    <n v="-20"/>
    <n v="120"/>
  </r>
  <r>
    <x v="17"/>
    <s v="conventional_refinance_pct_HARPed_56"/>
    <x v="96"/>
    <n v="1"/>
    <n v="1"/>
    <n v="-20"/>
    <n v="120"/>
  </r>
  <r>
    <x v="17"/>
    <s v="conventional_refinance_pct_HARPed_57"/>
    <x v="97"/>
    <n v="1"/>
    <n v="1"/>
    <n v="-20"/>
    <n v="120"/>
  </r>
  <r>
    <x v="17"/>
    <s v="conventional_refinance_pct_HARPed_58"/>
    <x v="98"/>
    <n v="1"/>
    <n v="1"/>
    <n v="-20"/>
    <n v="120"/>
  </r>
  <r>
    <x v="17"/>
    <s v="conventional_refinance_pct_HARPed_59"/>
    <x v="99"/>
    <n v="1"/>
    <n v="1"/>
    <n v="-20"/>
    <n v="120"/>
  </r>
  <r>
    <x v="17"/>
    <s v="conventional_refinance_pct_HARPed_60"/>
    <x v="100"/>
    <n v="1"/>
    <n v="1"/>
    <n v="-20"/>
    <n v="120"/>
  </r>
  <r>
    <x v="17"/>
    <s v="conventional_refinance_pct_HARPed_61"/>
    <x v="101"/>
    <n v="1"/>
    <n v="1"/>
    <n v="-20"/>
    <n v="120"/>
  </r>
  <r>
    <x v="17"/>
    <s v="conventional_refinance_pct_HARPed_62"/>
    <x v="102"/>
    <n v="1"/>
    <n v="1"/>
    <n v="-20"/>
    <n v="120"/>
  </r>
  <r>
    <x v="17"/>
    <s v="conventional_refinance_pct_HARPed_63"/>
    <x v="103"/>
    <n v="1"/>
    <n v="1"/>
    <n v="-20"/>
    <n v="120"/>
  </r>
  <r>
    <x v="17"/>
    <s v="conventional_refinance_pct_HARPed_64"/>
    <x v="104"/>
    <n v="1"/>
    <n v="1"/>
    <n v="-20"/>
    <n v="120"/>
  </r>
  <r>
    <x v="17"/>
    <s v="conventional_refinance_pct_HARPed_65"/>
    <x v="105"/>
    <n v="1"/>
    <n v="1"/>
    <n v="-20"/>
    <n v="120"/>
  </r>
  <r>
    <x v="17"/>
    <s v="conventional_refinance_pct_HARPed_66"/>
    <x v="106"/>
    <n v="1"/>
    <n v="1"/>
    <n v="-20"/>
    <n v="120"/>
  </r>
  <r>
    <x v="17"/>
    <s v="conventional_refinance_pct_HARPed_67"/>
    <x v="107"/>
    <n v="1"/>
    <n v="1"/>
    <n v="-20"/>
    <n v="120"/>
  </r>
  <r>
    <x v="17"/>
    <s v="conventional_refinance_pct_HARPed_68"/>
    <x v="108"/>
    <n v="1"/>
    <n v="1"/>
    <n v="-20"/>
    <n v="120"/>
  </r>
  <r>
    <x v="17"/>
    <s v="conventional_refinance_pct_HARPed_69"/>
    <x v="109"/>
    <n v="1"/>
    <n v="1"/>
    <n v="-20"/>
    <n v="120"/>
  </r>
  <r>
    <x v="17"/>
    <s v="conventional_refinance_pct_HARPed_70"/>
    <x v="110"/>
    <n v="1"/>
    <n v="1"/>
    <n v="-20"/>
    <n v="120"/>
  </r>
  <r>
    <x v="17"/>
    <s v="conventional_refinance_pct_HARPed_71"/>
    <x v="111"/>
    <n v="1"/>
    <n v="1"/>
    <n v="-20"/>
    <n v="120"/>
  </r>
  <r>
    <x v="17"/>
    <s v="conventional_refinance_pct_HARPed_72"/>
    <x v="112"/>
    <n v="1"/>
    <n v="1"/>
    <n v="-20"/>
    <n v="120"/>
  </r>
  <r>
    <x v="17"/>
    <s v="conventional_refinance_pct_HARPed_73"/>
    <x v="113"/>
    <n v="1"/>
    <n v="1"/>
    <n v="-20"/>
    <n v="120"/>
  </r>
  <r>
    <x v="17"/>
    <s v="conventional_refinance_pct_HARPed_74"/>
    <x v="114"/>
    <n v="1"/>
    <n v="1"/>
    <n v="-20"/>
    <n v="120"/>
  </r>
  <r>
    <x v="17"/>
    <s v="conventional_refinance_pct_HARPed_75"/>
    <x v="115"/>
    <n v="1"/>
    <n v="1"/>
    <n v="-20"/>
    <n v="120"/>
  </r>
  <r>
    <x v="17"/>
    <s v="conventional_refinance_pct_HARPed_76"/>
    <x v="116"/>
    <n v="1"/>
    <n v="1"/>
    <n v="-20"/>
    <n v="120"/>
  </r>
  <r>
    <x v="17"/>
    <s v="conventional_refinance_pct_HARPed_77"/>
    <x v="117"/>
    <n v="1"/>
    <n v="1"/>
    <n v="-20"/>
    <n v="120"/>
  </r>
  <r>
    <x v="17"/>
    <s v="conventional_refinance_pct_HARPed_78"/>
    <x v="118"/>
    <n v="1"/>
    <n v="1"/>
    <n v="-20"/>
    <n v="120"/>
  </r>
  <r>
    <x v="17"/>
    <s v="conventional_refinance_pct_HARPed_79"/>
    <x v="119"/>
    <n v="1"/>
    <n v="1"/>
    <n v="-20"/>
    <n v="120"/>
  </r>
  <r>
    <x v="17"/>
    <s v="conventional_refinance_pct_HARPed_80"/>
    <x v="120"/>
    <n v="1"/>
    <n v="1"/>
    <n v="-20"/>
    <n v="120"/>
  </r>
  <r>
    <x v="17"/>
    <s v="conventional_refinance_pct_HARPed_81"/>
    <x v="121"/>
    <n v="1"/>
    <n v="1"/>
    <n v="-20"/>
    <n v="120"/>
  </r>
  <r>
    <x v="17"/>
    <s v="conventional_refinance_pct_HARPed_82"/>
    <x v="122"/>
    <n v="1"/>
    <n v="1"/>
    <n v="-20"/>
    <n v="120"/>
  </r>
  <r>
    <x v="17"/>
    <s v="conventional_refinance_pct_HARPed_83"/>
    <x v="123"/>
    <n v="1"/>
    <n v="1"/>
    <n v="-20"/>
    <n v="120"/>
  </r>
  <r>
    <x v="17"/>
    <s v="conventional_refinance_pct_HARPed_84"/>
    <x v="124"/>
    <n v="1"/>
    <n v="1"/>
    <n v="-20"/>
    <n v="120"/>
  </r>
  <r>
    <x v="17"/>
    <s v="conventional_refinance_pct_HARPed_85"/>
    <x v="125"/>
    <n v="1"/>
    <n v="1"/>
    <n v="-20"/>
    <n v="120"/>
  </r>
  <r>
    <x v="17"/>
    <s v="conventional_refinance_pct_HARPed_86"/>
    <x v="126"/>
    <n v="1"/>
    <n v="1"/>
    <n v="-20"/>
    <n v="120"/>
  </r>
  <r>
    <x v="17"/>
    <s v="conventional_refinance_pct_HARPed_87"/>
    <x v="127"/>
    <n v="1"/>
    <n v="1"/>
    <n v="-20"/>
    <n v="120"/>
  </r>
  <r>
    <x v="17"/>
    <s v="conventional_refinance_pct_HARPed_88"/>
    <x v="128"/>
    <n v="1"/>
    <n v="1"/>
    <n v="-20"/>
    <n v="120"/>
  </r>
  <r>
    <x v="17"/>
    <s v="conventional_refinance_pct_HARPed_89"/>
    <x v="129"/>
    <n v="1"/>
    <n v="1"/>
    <n v="-20"/>
    <n v="120"/>
  </r>
  <r>
    <x v="17"/>
    <s v="conventional_refinance_pct_HARPed_90"/>
    <x v="130"/>
    <n v="1"/>
    <n v="1"/>
    <n v="-20"/>
    <n v="120"/>
  </r>
  <r>
    <x v="17"/>
    <s v="conventional_refinance_pct_HARPed_91"/>
    <x v="131"/>
    <n v="1"/>
    <n v="1"/>
    <n v="-20"/>
    <n v="120"/>
  </r>
  <r>
    <x v="17"/>
    <s v="conventional_refinance_pct_HARPed_92"/>
    <x v="132"/>
    <n v="1"/>
    <n v="1"/>
    <n v="-20"/>
    <n v="120"/>
  </r>
  <r>
    <x v="17"/>
    <s v="conventional_refinance_pct_HARPed_93"/>
    <x v="133"/>
    <n v="1"/>
    <n v="1"/>
    <n v="-20"/>
    <n v="120"/>
  </r>
  <r>
    <x v="17"/>
    <s v="conventional_refinance_pct_HARPed_94"/>
    <x v="134"/>
    <n v="1"/>
    <n v="1"/>
    <n v="-20"/>
    <n v="120"/>
  </r>
  <r>
    <x v="17"/>
    <s v="conventional_refinance_pct_HARPed_95"/>
    <x v="135"/>
    <n v="1"/>
    <n v="1"/>
    <n v="-20"/>
    <n v="120"/>
  </r>
  <r>
    <x v="17"/>
    <s v="conventional_refinance_pct_HARPed_96"/>
    <x v="136"/>
    <n v="1"/>
    <n v="1"/>
    <n v="-20"/>
    <n v="120"/>
  </r>
  <r>
    <x v="17"/>
    <s v="conventional_refinance_pct_HARPed_97"/>
    <x v="137"/>
    <n v="1"/>
    <n v="1"/>
    <n v="-20"/>
    <n v="120"/>
  </r>
  <r>
    <x v="17"/>
    <s v="conventional_refinance_pct_HARPed_98"/>
    <x v="138"/>
    <n v="1"/>
    <n v="1"/>
    <n v="-20"/>
    <n v="120"/>
  </r>
  <r>
    <x v="17"/>
    <s v="conventional_refinance_pct_HARPed_99"/>
    <x v="139"/>
    <n v="1"/>
    <n v="1"/>
    <n v="-20"/>
    <n v="120"/>
  </r>
  <r>
    <x v="17"/>
    <s v="conventional_refinance_pct_HARPed_100"/>
    <x v="140"/>
    <n v="1"/>
    <n v="1"/>
    <n v="-20"/>
    <n v="120"/>
  </r>
  <r>
    <x v="17"/>
    <s v="conventional_refinance_pct_HARPed_101"/>
    <x v="141"/>
    <n v="1"/>
    <n v="1"/>
    <n v="-20"/>
    <n v="120"/>
  </r>
  <r>
    <x v="17"/>
    <s v="conventional_refinance_pct_HARPed_102"/>
    <x v="142"/>
    <n v="1"/>
    <n v="1"/>
    <n v="-20"/>
    <n v="120"/>
  </r>
  <r>
    <x v="17"/>
    <s v="conventional_refinance_pct_HARPed_103"/>
    <x v="143"/>
    <n v="1"/>
    <n v="1"/>
    <n v="-20"/>
    <n v="120"/>
  </r>
  <r>
    <x v="17"/>
    <s v="conventional_refinance_pct_HARPed_104"/>
    <x v="144"/>
    <n v="1"/>
    <n v="1"/>
    <n v="-20"/>
    <n v="120"/>
  </r>
  <r>
    <x v="17"/>
    <s v="conventional_refinance_pct_HARPed_105"/>
    <x v="145"/>
    <n v="1"/>
    <n v="1"/>
    <n v="-20"/>
    <n v="120"/>
  </r>
  <r>
    <x v="17"/>
    <s v="conventional_refinance_pct_HARPed_106"/>
    <x v="146"/>
    <n v="1"/>
    <n v="1"/>
    <n v="-20"/>
    <n v="120"/>
  </r>
  <r>
    <x v="17"/>
    <s v="conventional_refinance_pct_HARPed_107"/>
    <x v="147"/>
    <n v="1"/>
    <n v="1"/>
    <n v="-20"/>
    <n v="120"/>
  </r>
  <r>
    <x v="17"/>
    <s v="conventional_refinance_pct_HARPed_108"/>
    <x v="148"/>
    <n v="1"/>
    <n v="1"/>
    <n v="-20"/>
    <n v="120"/>
  </r>
  <r>
    <x v="17"/>
    <s v="conventional_refinance_pct_HARPed_109"/>
    <x v="149"/>
    <n v="1"/>
    <n v="1"/>
    <n v="-20"/>
    <n v="120"/>
  </r>
  <r>
    <x v="17"/>
    <s v="conventional_refinance_pct_HARPed_110"/>
    <x v="150"/>
    <n v="1"/>
    <n v="1"/>
    <n v="-20"/>
    <n v="120"/>
  </r>
  <r>
    <x v="17"/>
    <s v="conventional_refinance_pct_HARPed_111"/>
    <x v="151"/>
    <n v="1"/>
    <n v="1"/>
    <n v="-20"/>
    <n v="120"/>
  </r>
  <r>
    <x v="17"/>
    <s v="conventional_refinance_pct_HARPed_112"/>
    <x v="152"/>
    <n v="1"/>
    <n v="1"/>
    <n v="-20"/>
    <n v="120"/>
  </r>
  <r>
    <x v="17"/>
    <s v="conventional_refinance_pct_HARPed_113"/>
    <x v="153"/>
    <n v="1"/>
    <n v="1"/>
    <n v="-20"/>
    <n v="120"/>
  </r>
  <r>
    <x v="17"/>
    <s v="conventional_refinance_pct_HARPed_114"/>
    <x v="154"/>
    <n v="1"/>
    <n v="1"/>
    <n v="-20"/>
    <n v="120"/>
  </r>
  <r>
    <x v="17"/>
    <s v="conventional_refinance_pct_HARPed_115"/>
    <x v="155"/>
    <n v="1"/>
    <n v="1"/>
    <n v="-20"/>
    <n v="120"/>
  </r>
  <r>
    <x v="17"/>
    <s v="conventional_refinance_pct_HARPed_116"/>
    <x v="156"/>
    <n v="1"/>
    <n v="1"/>
    <n v="-20"/>
    <n v="120"/>
  </r>
  <r>
    <x v="17"/>
    <s v="conventional_refinance_pct_HARPed_117"/>
    <x v="157"/>
    <n v="1"/>
    <n v="1"/>
    <n v="-20"/>
    <n v="120"/>
  </r>
  <r>
    <x v="17"/>
    <s v="conventional_refinance_pct_HARPed_118"/>
    <x v="158"/>
    <n v="1"/>
    <n v="1"/>
    <n v="-20"/>
    <n v="120"/>
  </r>
  <r>
    <x v="17"/>
    <s v="conventional_refinance_pct_HARPed_119"/>
    <x v="159"/>
    <n v="1"/>
    <n v="1"/>
    <n v="-20"/>
    <n v="120"/>
  </r>
  <r>
    <x v="17"/>
    <s v="conventional_refinance_pct_HARPed_120"/>
    <x v="160"/>
    <n v="1"/>
    <n v="1"/>
    <n v="-20"/>
    <n v="120"/>
  </r>
  <r>
    <x v="18"/>
    <s v="conventional_refinance_HARP_eligible_-20"/>
    <x v="20"/>
    <n v="0.94399999999999995"/>
    <n v="1"/>
    <n v="-20"/>
    <n v="120"/>
  </r>
  <r>
    <x v="18"/>
    <s v="conventional_refinance_HARP_eligible_-19"/>
    <x v="21"/>
    <n v="0.94479999999999997"/>
    <n v="1"/>
    <n v="-20"/>
    <n v="120"/>
  </r>
  <r>
    <x v="18"/>
    <s v="conventional_refinance_HARP_eligible_-18"/>
    <x v="22"/>
    <n v="0.9456"/>
    <n v="1"/>
    <n v="-20"/>
    <n v="120"/>
  </r>
  <r>
    <x v="18"/>
    <s v="conventional_refinance_HARP_eligible_-17"/>
    <x v="23"/>
    <n v="0.94640000000000002"/>
    <n v="1"/>
    <n v="-20"/>
    <n v="120"/>
  </r>
  <r>
    <x v="18"/>
    <s v="conventional_refinance_HARP_eligible_-16"/>
    <x v="24"/>
    <n v="0.94720000000000004"/>
    <n v="1"/>
    <n v="-20"/>
    <n v="120"/>
  </r>
  <r>
    <x v="18"/>
    <s v="conventional_refinance_HARP_eligible_-15"/>
    <x v="25"/>
    <n v="0.94799999999999995"/>
    <n v="1"/>
    <n v="-20"/>
    <n v="120"/>
  </r>
  <r>
    <x v="18"/>
    <s v="conventional_refinance_HARP_eligible_-14"/>
    <x v="26"/>
    <n v="0.94879999999999998"/>
    <n v="1"/>
    <n v="-20"/>
    <n v="120"/>
  </r>
  <r>
    <x v="18"/>
    <s v="conventional_refinance_HARP_eligible_-13"/>
    <x v="27"/>
    <n v="0.9496"/>
    <n v="1"/>
    <n v="-20"/>
    <n v="120"/>
  </r>
  <r>
    <x v="18"/>
    <s v="conventional_refinance_HARP_eligible_-12"/>
    <x v="28"/>
    <n v="0.95040000000000002"/>
    <n v="1"/>
    <n v="-20"/>
    <n v="120"/>
  </r>
  <r>
    <x v="18"/>
    <s v="conventional_refinance_HARP_eligible_-11"/>
    <x v="29"/>
    <n v="0.95120000000000005"/>
    <n v="1"/>
    <n v="-20"/>
    <n v="120"/>
  </r>
  <r>
    <x v="18"/>
    <s v="conventional_refinance_HARP_eligible_-10"/>
    <x v="30"/>
    <n v="0.95199999999999996"/>
    <n v="1"/>
    <n v="-20"/>
    <n v="120"/>
  </r>
  <r>
    <x v="18"/>
    <s v="conventional_refinance_HARP_eligible_-9"/>
    <x v="31"/>
    <n v="0.95279999999999998"/>
    <n v="1"/>
    <n v="-20"/>
    <n v="120"/>
  </r>
  <r>
    <x v="18"/>
    <s v="conventional_refinance_HARP_eligible_-8"/>
    <x v="32"/>
    <n v="0.9536"/>
    <n v="1"/>
    <n v="-20"/>
    <n v="120"/>
  </r>
  <r>
    <x v="18"/>
    <s v="conventional_refinance_HARP_eligible_-7"/>
    <x v="33"/>
    <n v="0.95440000000000003"/>
    <n v="1"/>
    <n v="-20"/>
    <n v="120"/>
  </r>
  <r>
    <x v="18"/>
    <s v="conventional_refinance_HARP_eligible_-6"/>
    <x v="34"/>
    <n v="0.95520000000000005"/>
    <n v="1"/>
    <n v="-20"/>
    <n v="120"/>
  </r>
  <r>
    <x v="18"/>
    <s v="conventional_refinance_HARP_eligible_-5"/>
    <x v="35"/>
    <n v="0.95599999999999996"/>
    <n v="1"/>
    <n v="-20"/>
    <n v="120"/>
  </r>
  <r>
    <x v="18"/>
    <s v="conventional_refinance_HARP_eligible_-4"/>
    <x v="36"/>
    <n v="0.95679999999999998"/>
    <n v="1"/>
    <n v="-20"/>
    <n v="120"/>
  </r>
  <r>
    <x v="18"/>
    <s v="conventional_refinance_HARP_eligible_-3"/>
    <x v="37"/>
    <n v="0.95760000000000001"/>
    <n v="1"/>
    <n v="-20"/>
    <n v="120"/>
  </r>
  <r>
    <x v="18"/>
    <s v="conventional_refinance_HARP_eligible_-2"/>
    <x v="38"/>
    <n v="0.95840000000000003"/>
    <n v="1"/>
    <n v="-20"/>
    <n v="120"/>
  </r>
  <r>
    <x v="18"/>
    <s v="conventional_refinance_HARP_eligible_-1"/>
    <x v="39"/>
    <n v="0.95920000000000005"/>
    <n v="1"/>
    <n v="-20"/>
    <n v="120"/>
  </r>
  <r>
    <x v="18"/>
    <s v="conventional_refinance_HARP_eligible_0"/>
    <x v="40"/>
    <n v="0.96"/>
    <n v="1"/>
    <n v="-20"/>
    <n v="120"/>
  </r>
  <r>
    <x v="18"/>
    <s v="conventional_refinance_HARP_eligible_1"/>
    <x v="41"/>
    <n v="0.96079999999999999"/>
    <n v="1"/>
    <n v="-20"/>
    <n v="120"/>
  </r>
  <r>
    <x v="18"/>
    <s v="conventional_refinance_HARP_eligible_2"/>
    <x v="42"/>
    <n v="0.96160000000000001"/>
    <n v="1"/>
    <n v="-20"/>
    <n v="120"/>
  </r>
  <r>
    <x v="18"/>
    <s v="conventional_refinance_HARP_eligible_3"/>
    <x v="43"/>
    <n v="0.96240000000000003"/>
    <n v="1"/>
    <n v="-20"/>
    <n v="120"/>
  </r>
  <r>
    <x v="18"/>
    <s v="conventional_refinance_HARP_eligible_4"/>
    <x v="44"/>
    <n v="0.96319999999999995"/>
    <n v="1"/>
    <n v="-20"/>
    <n v="120"/>
  </r>
  <r>
    <x v="18"/>
    <s v="conventional_refinance_HARP_eligible_5"/>
    <x v="45"/>
    <n v="0.96399999999999997"/>
    <n v="1"/>
    <n v="-20"/>
    <n v="120"/>
  </r>
  <r>
    <x v="18"/>
    <s v="conventional_refinance_HARP_eligible_6"/>
    <x v="46"/>
    <n v="0.96479999999999999"/>
    <n v="1"/>
    <n v="-20"/>
    <n v="120"/>
  </r>
  <r>
    <x v="18"/>
    <s v="conventional_refinance_HARP_eligible_7"/>
    <x v="47"/>
    <n v="0.96560000000000001"/>
    <n v="1"/>
    <n v="-20"/>
    <n v="120"/>
  </r>
  <r>
    <x v="18"/>
    <s v="conventional_refinance_HARP_eligible_8"/>
    <x v="48"/>
    <n v="0.96640000000000004"/>
    <n v="1"/>
    <n v="-20"/>
    <n v="120"/>
  </r>
  <r>
    <x v="18"/>
    <s v="conventional_refinance_HARP_eligible_9"/>
    <x v="49"/>
    <n v="0.96719999999999995"/>
    <n v="1"/>
    <n v="-20"/>
    <n v="120"/>
  </r>
  <r>
    <x v="18"/>
    <s v="conventional_refinance_HARP_eligible_10"/>
    <x v="50"/>
    <n v="0.96799999999999997"/>
    <n v="1"/>
    <n v="-20"/>
    <n v="120"/>
  </r>
  <r>
    <x v="18"/>
    <s v="conventional_refinance_HARP_eligible_11"/>
    <x v="51"/>
    <n v="0.96879999999999999"/>
    <n v="1"/>
    <n v="-20"/>
    <n v="120"/>
  </r>
  <r>
    <x v="18"/>
    <s v="conventional_refinance_HARP_eligible_12"/>
    <x v="52"/>
    <n v="0.96960000000000002"/>
    <n v="1"/>
    <n v="-20"/>
    <n v="120"/>
  </r>
  <r>
    <x v="18"/>
    <s v="conventional_refinance_HARP_eligible_13"/>
    <x v="53"/>
    <n v="0.97040000000000004"/>
    <n v="1"/>
    <n v="-20"/>
    <n v="120"/>
  </r>
  <r>
    <x v="18"/>
    <s v="conventional_refinance_HARP_eligible_14"/>
    <x v="54"/>
    <n v="0.97119999999999995"/>
    <n v="1"/>
    <n v="-20"/>
    <n v="120"/>
  </r>
  <r>
    <x v="18"/>
    <s v="conventional_refinance_HARP_eligible_15"/>
    <x v="55"/>
    <n v="0.97199999999999998"/>
    <n v="1"/>
    <n v="-20"/>
    <n v="120"/>
  </r>
  <r>
    <x v="18"/>
    <s v="conventional_refinance_HARP_eligible_16"/>
    <x v="56"/>
    <n v="0.9728"/>
    <n v="1"/>
    <n v="-20"/>
    <n v="120"/>
  </r>
  <r>
    <x v="18"/>
    <s v="conventional_refinance_HARP_eligible_17"/>
    <x v="57"/>
    <n v="0.97360000000000002"/>
    <n v="1"/>
    <n v="-20"/>
    <n v="120"/>
  </r>
  <r>
    <x v="18"/>
    <s v="conventional_refinance_HARP_eligible_18"/>
    <x v="58"/>
    <n v="0.97440000000000004"/>
    <n v="1"/>
    <n v="-20"/>
    <n v="120"/>
  </r>
  <r>
    <x v="18"/>
    <s v="conventional_refinance_HARP_eligible_19"/>
    <x v="59"/>
    <n v="0.97519999999999996"/>
    <n v="1"/>
    <n v="-20"/>
    <n v="120"/>
  </r>
  <r>
    <x v="18"/>
    <s v="conventional_refinance_HARP_eligible_20"/>
    <x v="60"/>
    <n v="0.97599999999999998"/>
    <n v="1"/>
    <n v="-20"/>
    <n v="120"/>
  </r>
  <r>
    <x v="18"/>
    <s v="conventional_refinance_HARP_eligible_21"/>
    <x v="61"/>
    <n v="0.9768"/>
    <n v="1"/>
    <n v="-20"/>
    <n v="120"/>
  </r>
  <r>
    <x v="18"/>
    <s v="conventional_refinance_HARP_eligible_22"/>
    <x v="62"/>
    <n v="0.97760000000000002"/>
    <n v="1"/>
    <n v="-20"/>
    <n v="120"/>
  </r>
  <r>
    <x v="18"/>
    <s v="conventional_refinance_HARP_eligible_23"/>
    <x v="63"/>
    <n v="0.97840000000000005"/>
    <n v="1"/>
    <n v="-20"/>
    <n v="120"/>
  </r>
  <r>
    <x v="18"/>
    <s v="conventional_refinance_HARP_eligible_24"/>
    <x v="64"/>
    <n v="0.97919999999999996"/>
    <n v="1"/>
    <n v="-20"/>
    <n v="120"/>
  </r>
  <r>
    <x v="18"/>
    <s v="conventional_refinance_HARP_eligible_25"/>
    <x v="65"/>
    <n v="0.98"/>
    <n v="1"/>
    <n v="-20"/>
    <n v="120"/>
  </r>
  <r>
    <x v="18"/>
    <s v="conventional_refinance_HARP_eligible_26"/>
    <x v="66"/>
    <n v="0.98080000000000001"/>
    <n v="1"/>
    <n v="-20"/>
    <n v="120"/>
  </r>
  <r>
    <x v="18"/>
    <s v="conventional_refinance_HARP_eligible_27"/>
    <x v="67"/>
    <n v="0.98160000000000003"/>
    <n v="1"/>
    <n v="-20"/>
    <n v="120"/>
  </r>
  <r>
    <x v="18"/>
    <s v="conventional_refinance_HARP_eligible_28"/>
    <x v="68"/>
    <n v="0.98240000000000005"/>
    <n v="1"/>
    <n v="-20"/>
    <n v="120"/>
  </r>
  <r>
    <x v="18"/>
    <s v="conventional_refinance_HARP_eligible_29"/>
    <x v="69"/>
    <n v="0.98319999999999996"/>
    <n v="1"/>
    <n v="-20"/>
    <n v="120"/>
  </r>
  <r>
    <x v="18"/>
    <s v="conventional_refinance_HARP_eligible_30"/>
    <x v="70"/>
    <n v="0.98399999999999999"/>
    <n v="1"/>
    <n v="-20"/>
    <n v="120"/>
  </r>
  <r>
    <x v="18"/>
    <s v="conventional_refinance_HARP_eligible_31"/>
    <x v="71"/>
    <n v="0.98480000000000001"/>
    <n v="1"/>
    <n v="-20"/>
    <n v="120"/>
  </r>
  <r>
    <x v="18"/>
    <s v="conventional_refinance_HARP_eligible_32"/>
    <x v="72"/>
    <n v="0.98560000000000003"/>
    <n v="1"/>
    <n v="-20"/>
    <n v="120"/>
  </r>
  <r>
    <x v="18"/>
    <s v="conventional_refinance_HARP_eligible_33"/>
    <x v="73"/>
    <n v="0.98640000000000005"/>
    <n v="1"/>
    <n v="-20"/>
    <n v="120"/>
  </r>
  <r>
    <x v="18"/>
    <s v="conventional_refinance_HARP_eligible_34"/>
    <x v="74"/>
    <n v="0.98719999999999997"/>
    <n v="1"/>
    <n v="-20"/>
    <n v="120"/>
  </r>
  <r>
    <x v="18"/>
    <s v="conventional_refinance_HARP_eligible_35"/>
    <x v="75"/>
    <n v="0.98799999999999999"/>
    <n v="1"/>
    <n v="-20"/>
    <n v="120"/>
  </r>
  <r>
    <x v="18"/>
    <s v="conventional_refinance_HARP_eligible_36"/>
    <x v="76"/>
    <n v="0.98880000000000001"/>
    <n v="1"/>
    <n v="-20"/>
    <n v="120"/>
  </r>
  <r>
    <x v="18"/>
    <s v="conventional_refinance_HARP_eligible_37"/>
    <x v="77"/>
    <n v="0.98960000000000004"/>
    <n v="1"/>
    <n v="-20"/>
    <n v="120"/>
  </r>
  <r>
    <x v="18"/>
    <s v="conventional_refinance_HARP_eligible_38"/>
    <x v="78"/>
    <n v="0.99039999999999995"/>
    <n v="1"/>
    <n v="-20"/>
    <n v="120"/>
  </r>
  <r>
    <x v="18"/>
    <s v="conventional_refinance_HARP_eligible_39"/>
    <x v="79"/>
    <n v="0.99119999999999997"/>
    <n v="1"/>
    <n v="-20"/>
    <n v="120"/>
  </r>
  <r>
    <x v="18"/>
    <s v="conventional_refinance_HARP_eligible_40"/>
    <x v="80"/>
    <n v="0.99199999999999999"/>
    <n v="1"/>
    <n v="-20"/>
    <n v="120"/>
  </r>
  <r>
    <x v="18"/>
    <s v="conventional_refinance_HARP_eligible_41"/>
    <x v="81"/>
    <n v="0.99280000000000002"/>
    <n v="1"/>
    <n v="-20"/>
    <n v="120"/>
  </r>
  <r>
    <x v="18"/>
    <s v="conventional_refinance_HARP_eligible_42"/>
    <x v="82"/>
    <n v="0.99360000000000004"/>
    <n v="1"/>
    <n v="-20"/>
    <n v="120"/>
  </r>
  <r>
    <x v="18"/>
    <s v="conventional_refinance_HARP_eligible_43"/>
    <x v="83"/>
    <n v="0.99439999999999995"/>
    <n v="1"/>
    <n v="-20"/>
    <n v="120"/>
  </r>
  <r>
    <x v="18"/>
    <s v="conventional_refinance_HARP_eligible_44"/>
    <x v="84"/>
    <n v="0.99519999999999997"/>
    <n v="1"/>
    <n v="-20"/>
    <n v="120"/>
  </r>
  <r>
    <x v="18"/>
    <s v="conventional_refinance_HARP_eligible_45"/>
    <x v="85"/>
    <n v="0.996"/>
    <n v="1"/>
    <n v="-20"/>
    <n v="120"/>
  </r>
  <r>
    <x v="18"/>
    <s v="conventional_refinance_HARP_eligible_46"/>
    <x v="86"/>
    <n v="0.99680000000000002"/>
    <n v="1"/>
    <n v="-20"/>
    <n v="120"/>
  </r>
  <r>
    <x v="18"/>
    <s v="conventional_refinance_HARP_eligible_47"/>
    <x v="87"/>
    <n v="0.99760000000000004"/>
    <n v="1"/>
    <n v="-20"/>
    <n v="120"/>
  </r>
  <r>
    <x v="18"/>
    <s v="conventional_refinance_HARP_eligible_48"/>
    <x v="88"/>
    <n v="0.99839999999999995"/>
    <n v="1"/>
    <n v="-20"/>
    <n v="120"/>
  </r>
  <r>
    <x v="18"/>
    <s v="conventional_refinance_HARP_eligible_49"/>
    <x v="89"/>
    <n v="0.99919999999999998"/>
    <n v="1"/>
    <n v="-20"/>
    <n v="120"/>
  </r>
  <r>
    <x v="18"/>
    <s v="conventional_refinance_HARP_eligible_50"/>
    <x v="90"/>
    <n v="1"/>
    <n v="1"/>
    <n v="-20"/>
    <n v="120"/>
  </r>
  <r>
    <x v="18"/>
    <s v="conventional_refinance_HARP_eligible_51"/>
    <x v="91"/>
    <n v="1.0007999999999999"/>
    <n v="1"/>
    <n v="-20"/>
    <n v="120"/>
  </r>
  <r>
    <x v="18"/>
    <s v="conventional_refinance_HARP_eligible_52"/>
    <x v="92"/>
    <n v="1.0016"/>
    <n v="1"/>
    <n v="-20"/>
    <n v="120"/>
  </r>
  <r>
    <x v="18"/>
    <s v="conventional_refinance_HARP_eligible_53"/>
    <x v="93"/>
    <n v="1.0024"/>
    <n v="1"/>
    <n v="-20"/>
    <n v="120"/>
  </r>
  <r>
    <x v="18"/>
    <s v="conventional_refinance_HARP_eligible_54"/>
    <x v="94"/>
    <n v="1.0032000000000001"/>
    <n v="1"/>
    <n v="-20"/>
    <n v="120"/>
  </r>
  <r>
    <x v="18"/>
    <s v="conventional_refinance_HARP_eligible_55"/>
    <x v="95"/>
    <n v="1.004"/>
    <n v="1"/>
    <n v="-20"/>
    <n v="120"/>
  </r>
  <r>
    <x v="18"/>
    <s v="conventional_refinance_HARP_eligible_56"/>
    <x v="96"/>
    <n v="1.0047999999999999"/>
    <n v="1"/>
    <n v="-20"/>
    <n v="120"/>
  </r>
  <r>
    <x v="18"/>
    <s v="conventional_refinance_HARP_eligible_57"/>
    <x v="97"/>
    <n v="1.0056"/>
    <n v="1"/>
    <n v="-20"/>
    <n v="120"/>
  </r>
  <r>
    <x v="18"/>
    <s v="conventional_refinance_HARP_eligible_58"/>
    <x v="98"/>
    <n v="1.0064"/>
    <n v="1"/>
    <n v="-20"/>
    <n v="120"/>
  </r>
  <r>
    <x v="18"/>
    <s v="conventional_refinance_HARP_eligible_59"/>
    <x v="99"/>
    <n v="1.0072000000000001"/>
    <n v="1"/>
    <n v="-20"/>
    <n v="120"/>
  </r>
  <r>
    <x v="18"/>
    <s v="conventional_refinance_HARP_eligible_60"/>
    <x v="100"/>
    <n v="1.008"/>
    <n v="1"/>
    <n v="-20"/>
    <n v="120"/>
  </r>
  <r>
    <x v="18"/>
    <s v="conventional_refinance_HARP_eligible_61"/>
    <x v="101"/>
    <n v="1.0087999999999999"/>
    <n v="1"/>
    <n v="-20"/>
    <n v="120"/>
  </r>
  <r>
    <x v="18"/>
    <s v="conventional_refinance_HARP_eligible_62"/>
    <x v="102"/>
    <n v="1.0096000000000001"/>
    <n v="1"/>
    <n v="-20"/>
    <n v="120"/>
  </r>
  <r>
    <x v="18"/>
    <s v="conventional_refinance_HARP_eligible_63"/>
    <x v="103"/>
    <n v="1.0104"/>
    <n v="1"/>
    <n v="-20"/>
    <n v="120"/>
  </r>
  <r>
    <x v="18"/>
    <s v="conventional_refinance_HARP_eligible_64"/>
    <x v="104"/>
    <n v="1.0112000000000001"/>
    <n v="1"/>
    <n v="-20"/>
    <n v="120"/>
  </r>
  <r>
    <x v="18"/>
    <s v="conventional_refinance_HARP_eligible_65"/>
    <x v="105"/>
    <n v="1.012"/>
    <n v="1"/>
    <n v="-20"/>
    <n v="120"/>
  </r>
  <r>
    <x v="18"/>
    <s v="conventional_refinance_HARP_eligible_66"/>
    <x v="106"/>
    <n v="1.0127999999999999"/>
    <n v="1"/>
    <n v="-20"/>
    <n v="120"/>
  </r>
  <r>
    <x v="18"/>
    <s v="conventional_refinance_HARP_eligible_67"/>
    <x v="107"/>
    <n v="1.0136000000000001"/>
    <n v="1"/>
    <n v="-20"/>
    <n v="120"/>
  </r>
  <r>
    <x v="18"/>
    <s v="conventional_refinance_HARP_eligible_68"/>
    <x v="108"/>
    <n v="1.0144"/>
    <n v="1"/>
    <n v="-20"/>
    <n v="120"/>
  </r>
  <r>
    <x v="18"/>
    <s v="conventional_refinance_HARP_eligible_69"/>
    <x v="109"/>
    <n v="1.0152000000000001"/>
    <n v="1"/>
    <n v="-20"/>
    <n v="120"/>
  </r>
  <r>
    <x v="18"/>
    <s v="conventional_refinance_HARP_eligible_70"/>
    <x v="110"/>
    <n v="1.016"/>
    <n v="1"/>
    <n v="-20"/>
    <n v="120"/>
  </r>
  <r>
    <x v="18"/>
    <s v="conventional_refinance_HARP_eligible_71"/>
    <x v="111"/>
    <n v="1.0167999999999999"/>
    <n v="1"/>
    <n v="-20"/>
    <n v="120"/>
  </r>
  <r>
    <x v="18"/>
    <s v="conventional_refinance_HARP_eligible_72"/>
    <x v="112"/>
    <n v="1.0176000000000001"/>
    <n v="1"/>
    <n v="-20"/>
    <n v="120"/>
  </r>
  <r>
    <x v="18"/>
    <s v="conventional_refinance_HARP_eligible_73"/>
    <x v="113"/>
    <n v="1.0184"/>
    <n v="1"/>
    <n v="-20"/>
    <n v="120"/>
  </r>
  <r>
    <x v="18"/>
    <s v="conventional_refinance_HARP_eligible_74"/>
    <x v="114"/>
    <n v="1.0192000000000001"/>
    <n v="1"/>
    <n v="-20"/>
    <n v="120"/>
  </r>
  <r>
    <x v="18"/>
    <s v="conventional_refinance_HARP_eligible_75"/>
    <x v="115"/>
    <n v="1.02"/>
    <n v="1"/>
    <n v="-20"/>
    <n v="120"/>
  </r>
  <r>
    <x v="18"/>
    <s v="conventional_refinance_HARP_eligible_76"/>
    <x v="116"/>
    <n v="1.0207999999999999"/>
    <n v="1"/>
    <n v="-20"/>
    <n v="120"/>
  </r>
  <r>
    <x v="18"/>
    <s v="conventional_refinance_HARP_eligible_77"/>
    <x v="117"/>
    <n v="1.0216000000000001"/>
    <n v="1"/>
    <n v="-20"/>
    <n v="120"/>
  </r>
  <r>
    <x v="18"/>
    <s v="conventional_refinance_HARP_eligible_78"/>
    <x v="118"/>
    <n v="1.0224"/>
    <n v="1"/>
    <n v="-20"/>
    <n v="120"/>
  </r>
  <r>
    <x v="18"/>
    <s v="conventional_refinance_HARP_eligible_79"/>
    <x v="119"/>
    <n v="1.0232000000000001"/>
    <n v="1"/>
    <n v="-20"/>
    <n v="120"/>
  </r>
  <r>
    <x v="18"/>
    <s v="conventional_refinance_HARP_eligible_80"/>
    <x v="120"/>
    <n v="1.024"/>
    <n v="1"/>
    <n v="-20"/>
    <n v="120"/>
  </r>
  <r>
    <x v="18"/>
    <s v="conventional_refinance_HARP_eligible_81"/>
    <x v="121"/>
    <n v="1.0247999999999999"/>
    <n v="1"/>
    <n v="-20"/>
    <n v="120"/>
  </r>
  <r>
    <x v="18"/>
    <s v="conventional_refinance_HARP_eligible_82"/>
    <x v="122"/>
    <n v="1.0256000000000001"/>
    <n v="1"/>
    <n v="-20"/>
    <n v="120"/>
  </r>
  <r>
    <x v="18"/>
    <s v="conventional_refinance_HARP_eligible_83"/>
    <x v="123"/>
    <n v="1.0264"/>
    <n v="1"/>
    <n v="-20"/>
    <n v="120"/>
  </r>
  <r>
    <x v="18"/>
    <s v="conventional_refinance_HARP_eligible_84"/>
    <x v="124"/>
    <n v="1.0271999999999999"/>
    <n v="1"/>
    <n v="-20"/>
    <n v="120"/>
  </r>
  <r>
    <x v="18"/>
    <s v="conventional_refinance_HARP_eligible_85"/>
    <x v="125"/>
    <n v="1.028"/>
    <n v="1"/>
    <n v="-20"/>
    <n v="120"/>
  </r>
  <r>
    <x v="18"/>
    <s v="conventional_refinance_HARP_eligible_86"/>
    <x v="126"/>
    <n v="1.0287999999999999"/>
    <n v="1"/>
    <n v="-20"/>
    <n v="120"/>
  </r>
  <r>
    <x v="18"/>
    <s v="conventional_refinance_HARP_eligible_87"/>
    <x v="127"/>
    <n v="1.0296000000000001"/>
    <n v="1"/>
    <n v="-20"/>
    <n v="120"/>
  </r>
  <r>
    <x v="18"/>
    <s v="conventional_refinance_HARP_eligible_88"/>
    <x v="128"/>
    <n v="1.0304"/>
    <n v="1"/>
    <n v="-20"/>
    <n v="120"/>
  </r>
  <r>
    <x v="18"/>
    <s v="conventional_refinance_HARP_eligible_89"/>
    <x v="129"/>
    <n v="1.0311999999999999"/>
    <n v="1"/>
    <n v="-20"/>
    <n v="120"/>
  </r>
  <r>
    <x v="18"/>
    <s v="conventional_refinance_HARP_eligible_90"/>
    <x v="130"/>
    <n v="1.032"/>
    <n v="1"/>
    <n v="-20"/>
    <n v="120"/>
  </r>
  <r>
    <x v="18"/>
    <s v="conventional_refinance_HARP_eligible_91"/>
    <x v="131"/>
    <n v="1.0327999999999999"/>
    <n v="1"/>
    <n v="-20"/>
    <n v="120"/>
  </r>
  <r>
    <x v="18"/>
    <s v="conventional_refinance_HARP_eligible_92"/>
    <x v="132"/>
    <n v="1.0336000000000001"/>
    <n v="1"/>
    <n v="-20"/>
    <n v="120"/>
  </r>
  <r>
    <x v="18"/>
    <s v="conventional_refinance_HARP_eligible_93"/>
    <x v="133"/>
    <n v="1.0344"/>
    <n v="1"/>
    <n v="-20"/>
    <n v="120"/>
  </r>
  <r>
    <x v="18"/>
    <s v="conventional_refinance_HARP_eligible_94"/>
    <x v="134"/>
    <n v="1.0351999999999999"/>
    <n v="1"/>
    <n v="-20"/>
    <n v="120"/>
  </r>
  <r>
    <x v="18"/>
    <s v="conventional_refinance_HARP_eligible_95"/>
    <x v="135"/>
    <n v="1.036"/>
    <n v="1"/>
    <n v="-20"/>
    <n v="120"/>
  </r>
  <r>
    <x v="18"/>
    <s v="conventional_refinance_HARP_eligible_96"/>
    <x v="136"/>
    <n v="1.0367999999999999"/>
    <n v="1"/>
    <n v="-20"/>
    <n v="120"/>
  </r>
  <r>
    <x v="18"/>
    <s v="conventional_refinance_HARP_eligible_97"/>
    <x v="137"/>
    <n v="1.0376000000000001"/>
    <n v="1"/>
    <n v="-20"/>
    <n v="120"/>
  </r>
  <r>
    <x v="18"/>
    <s v="conventional_refinance_HARP_eligible_98"/>
    <x v="138"/>
    <n v="1.0384"/>
    <n v="1"/>
    <n v="-20"/>
    <n v="120"/>
  </r>
  <r>
    <x v="18"/>
    <s v="conventional_refinance_HARP_eligible_99"/>
    <x v="139"/>
    <n v="1.0391999999999999"/>
    <n v="1"/>
    <n v="-20"/>
    <n v="120"/>
  </r>
  <r>
    <x v="18"/>
    <s v="conventional_refinance_HARP_eligible_100"/>
    <x v="140"/>
    <n v="1.04"/>
    <n v="1"/>
    <n v="-20"/>
    <n v="120"/>
  </r>
  <r>
    <x v="18"/>
    <s v="conventional_refinance_HARP_eligible_101"/>
    <x v="141"/>
    <n v="1.0407999999999999"/>
    <n v="1"/>
    <n v="-20"/>
    <n v="120"/>
  </r>
  <r>
    <x v="18"/>
    <s v="conventional_refinance_HARP_eligible_102"/>
    <x v="142"/>
    <n v="1.0416000000000001"/>
    <n v="1"/>
    <n v="-20"/>
    <n v="120"/>
  </r>
  <r>
    <x v="18"/>
    <s v="conventional_refinance_HARP_eligible_103"/>
    <x v="143"/>
    <n v="1.0424"/>
    <n v="1"/>
    <n v="-20"/>
    <n v="120"/>
  </r>
  <r>
    <x v="18"/>
    <s v="conventional_refinance_HARP_eligible_104"/>
    <x v="144"/>
    <n v="1.0431999999999999"/>
    <n v="1"/>
    <n v="-20"/>
    <n v="120"/>
  </r>
  <r>
    <x v="18"/>
    <s v="conventional_refinance_HARP_eligible_105"/>
    <x v="145"/>
    <n v="1.044"/>
    <n v="1"/>
    <n v="-20"/>
    <n v="120"/>
  </r>
  <r>
    <x v="18"/>
    <s v="conventional_refinance_HARP_eligible_106"/>
    <x v="146"/>
    <n v="1.0448"/>
    <n v="1"/>
    <n v="-20"/>
    <n v="120"/>
  </r>
  <r>
    <x v="18"/>
    <s v="conventional_refinance_HARP_eligible_107"/>
    <x v="147"/>
    <n v="1.0456000000000001"/>
    <n v="1"/>
    <n v="-20"/>
    <n v="120"/>
  </r>
  <r>
    <x v="18"/>
    <s v="conventional_refinance_HARP_eligible_108"/>
    <x v="148"/>
    <n v="1.0464"/>
    <n v="1"/>
    <n v="-20"/>
    <n v="120"/>
  </r>
  <r>
    <x v="18"/>
    <s v="conventional_refinance_HARP_eligible_109"/>
    <x v="149"/>
    <n v="1.0471999999999999"/>
    <n v="1"/>
    <n v="-20"/>
    <n v="120"/>
  </r>
  <r>
    <x v="18"/>
    <s v="conventional_refinance_HARP_eligible_110"/>
    <x v="150"/>
    <n v="1.048"/>
    <n v="1"/>
    <n v="-20"/>
    <n v="120"/>
  </r>
  <r>
    <x v="18"/>
    <s v="conventional_refinance_HARP_eligible_111"/>
    <x v="151"/>
    <n v="1.0488"/>
    <n v="1"/>
    <n v="-20"/>
    <n v="120"/>
  </r>
  <r>
    <x v="18"/>
    <s v="conventional_refinance_HARP_eligible_112"/>
    <x v="152"/>
    <n v="1.0496000000000001"/>
    <n v="1"/>
    <n v="-20"/>
    <n v="120"/>
  </r>
  <r>
    <x v="18"/>
    <s v="conventional_refinance_HARP_eligible_113"/>
    <x v="153"/>
    <n v="1.0504"/>
    <n v="1"/>
    <n v="-20"/>
    <n v="120"/>
  </r>
  <r>
    <x v="18"/>
    <s v="conventional_refinance_HARP_eligible_114"/>
    <x v="154"/>
    <n v="1.0511999999999999"/>
    <n v="1"/>
    <n v="-20"/>
    <n v="120"/>
  </r>
  <r>
    <x v="18"/>
    <s v="conventional_refinance_HARP_eligible_115"/>
    <x v="155"/>
    <n v="1.052"/>
    <n v="1"/>
    <n v="-20"/>
    <n v="120"/>
  </r>
  <r>
    <x v="18"/>
    <s v="conventional_refinance_HARP_eligible_116"/>
    <x v="156"/>
    <n v="1.0528"/>
    <n v="1"/>
    <n v="-20"/>
    <n v="120"/>
  </r>
  <r>
    <x v="18"/>
    <s v="conventional_refinance_HARP_eligible_117"/>
    <x v="157"/>
    <n v="1.0536000000000001"/>
    <n v="1"/>
    <n v="-20"/>
    <n v="120"/>
  </r>
  <r>
    <x v="18"/>
    <s v="conventional_refinance_HARP_eligible_118"/>
    <x v="158"/>
    <n v="1.0544"/>
    <n v="1"/>
    <n v="-20"/>
    <n v="120"/>
  </r>
  <r>
    <x v="18"/>
    <s v="conventional_refinance_HARP_eligible_119"/>
    <x v="159"/>
    <n v="1.0551999999999999"/>
    <n v="1"/>
    <n v="-20"/>
    <n v="120"/>
  </r>
  <r>
    <x v="18"/>
    <s v="conventional_refinance_HARP_eligible_120"/>
    <x v="160"/>
    <n v="1.056"/>
    <n v="1"/>
    <n v="-20"/>
    <n v="120"/>
  </r>
  <r>
    <x v="19"/>
    <s v="conventional_refinance_purch_oltv_52"/>
    <x v="92"/>
    <n v="0.85799999999999998"/>
    <n v="1"/>
    <n v="52"/>
    <n v="108"/>
  </r>
  <r>
    <x v="19"/>
    <s v="conventional_refinance_purch_oltv_53"/>
    <x v="93"/>
    <n v="0.85799999999999998"/>
    <n v="1"/>
    <n v="52"/>
    <n v="108"/>
  </r>
  <r>
    <x v="19"/>
    <s v="conventional_refinance_purch_oltv_54"/>
    <x v="94"/>
    <n v="0.85799999999999998"/>
    <n v="1"/>
    <n v="52"/>
    <n v="108"/>
  </r>
  <r>
    <x v="19"/>
    <s v="conventional_refinance_purch_oltv_55"/>
    <x v="95"/>
    <n v="0.85799999999999998"/>
    <n v="1"/>
    <n v="52"/>
    <n v="108"/>
  </r>
  <r>
    <x v="19"/>
    <s v="conventional_refinance_purch_oltv_56"/>
    <x v="96"/>
    <n v="0.85799999999999998"/>
    <n v="1"/>
    <n v="52"/>
    <n v="108"/>
  </r>
  <r>
    <x v="19"/>
    <s v="conventional_refinance_purch_oltv_57"/>
    <x v="97"/>
    <n v="0.85799999999999998"/>
    <n v="1"/>
    <n v="52"/>
    <n v="108"/>
  </r>
  <r>
    <x v="19"/>
    <s v="conventional_refinance_purch_oltv_58"/>
    <x v="98"/>
    <n v="0.85799999999999998"/>
    <n v="1"/>
    <n v="52"/>
    <n v="108"/>
  </r>
  <r>
    <x v="19"/>
    <s v="conventional_refinance_purch_oltv_59"/>
    <x v="99"/>
    <n v="0.85799999999999998"/>
    <n v="1"/>
    <n v="52"/>
    <n v="108"/>
  </r>
  <r>
    <x v="19"/>
    <s v="conventional_refinance_purch_oltv_60"/>
    <x v="100"/>
    <n v="0.85799999999999998"/>
    <n v="1"/>
    <n v="52"/>
    <n v="108"/>
  </r>
  <r>
    <x v="19"/>
    <s v="conventional_refinance_purch_oltv_61"/>
    <x v="101"/>
    <n v="0.85799999999999998"/>
    <n v="1"/>
    <n v="52"/>
    <n v="108"/>
  </r>
  <r>
    <x v="19"/>
    <s v="conventional_refinance_purch_oltv_62"/>
    <x v="102"/>
    <n v="0.85799999999999998"/>
    <n v="1"/>
    <n v="52"/>
    <n v="108"/>
  </r>
  <r>
    <x v="19"/>
    <s v="conventional_refinance_purch_oltv_63"/>
    <x v="103"/>
    <n v="0.85799999999999998"/>
    <n v="1"/>
    <n v="52"/>
    <n v="108"/>
  </r>
  <r>
    <x v="19"/>
    <s v="conventional_refinance_purch_oltv_64"/>
    <x v="104"/>
    <n v="0.85799999999999998"/>
    <n v="1"/>
    <n v="52"/>
    <n v="108"/>
  </r>
  <r>
    <x v="19"/>
    <s v="conventional_refinance_purch_oltv_65"/>
    <x v="105"/>
    <n v="0.85799999999999998"/>
    <n v="1"/>
    <n v="52"/>
    <n v="108"/>
  </r>
  <r>
    <x v="19"/>
    <s v="conventional_refinance_purch_oltv_66"/>
    <x v="106"/>
    <n v="0.85799999999999998"/>
    <n v="1"/>
    <n v="52"/>
    <n v="108"/>
  </r>
  <r>
    <x v="19"/>
    <s v="conventional_refinance_purch_oltv_67"/>
    <x v="107"/>
    <n v="0.85799999999999998"/>
    <n v="1"/>
    <n v="52"/>
    <n v="108"/>
  </r>
  <r>
    <x v="19"/>
    <s v="conventional_refinance_purch_oltv_68"/>
    <x v="108"/>
    <n v="0.85799999999999998"/>
    <n v="1"/>
    <n v="52"/>
    <n v="108"/>
  </r>
  <r>
    <x v="19"/>
    <s v="conventional_refinance_purch_oltv_69"/>
    <x v="109"/>
    <n v="0.85799999999999998"/>
    <n v="1"/>
    <n v="52"/>
    <n v="108"/>
  </r>
  <r>
    <x v="19"/>
    <s v="conventional_refinance_purch_oltv_70"/>
    <x v="110"/>
    <n v="0.85799999999999998"/>
    <n v="1"/>
    <n v="52"/>
    <n v="108"/>
  </r>
  <r>
    <x v="19"/>
    <s v="conventional_refinance_purch_oltv_71"/>
    <x v="111"/>
    <n v="0.85799999999999998"/>
    <n v="1"/>
    <n v="52"/>
    <n v="108"/>
  </r>
  <r>
    <x v="19"/>
    <s v="conventional_refinance_purch_oltv_72"/>
    <x v="112"/>
    <n v="0.85799999999999998"/>
    <n v="1"/>
    <n v="52"/>
    <n v="108"/>
  </r>
  <r>
    <x v="19"/>
    <s v="conventional_refinance_purch_oltv_73"/>
    <x v="113"/>
    <n v="0.85799999999999998"/>
    <n v="1"/>
    <n v="52"/>
    <n v="108"/>
  </r>
  <r>
    <x v="19"/>
    <s v="conventional_refinance_purch_oltv_74"/>
    <x v="114"/>
    <n v="0.85799999999999998"/>
    <n v="1"/>
    <n v="52"/>
    <n v="108"/>
  </r>
  <r>
    <x v="19"/>
    <s v="conventional_refinance_purch_oltv_75"/>
    <x v="115"/>
    <n v="0.85799999999999998"/>
    <n v="1"/>
    <n v="52"/>
    <n v="108"/>
  </r>
  <r>
    <x v="19"/>
    <s v="conventional_refinance_purch_oltv_76"/>
    <x v="116"/>
    <n v="0.85799999999999998"/>
    <n v="1"/>
    <n v="52"/>
    <n v="108"/>
  </r>
  <r>
    <x v="19"/>
    <s v="conventional_refinance_purch_oltv_77"/>
    <x v="117"/>
    <n v="0.85799999999999998"/>
    <n v="1"/>
    <n v="52"/>
    <n v="108"/>
  </r>
  <r>
    <x v="19"/>
    <s v="conventional_refinance_purch_oltv_78"/>
    <x v="118"/>
    <n v="0.85799999999999998"/>
    <n v="1"/>
    <n v="52"/>
    <n v="108"/>
  </r>
  <r>
    <x v="19"/>
    <s v="conventional_refinance_purch_oltv_79"/>
    <x v="119"/>
    <n v="0.85799999999999998"/>
    <n v="1"/>
    <n v="52"/>
    <n v="108"/>
  </r>
  <r>
    <x v="19"/>
    <s v="conventional_refinance_purch_oltv_80"/>
    <x v="120"/>
    <n v="0.85799999999999998"/>
    <n v="1"/>
    <n v="52"/>
    <n v="108"/>
  </r>
  <r>
    <x v="19"/>
    <s v="conventional_refinance_purch_oltv_81"/>
    <x v="121"/>
    <n v="0.86040799999999995"/>
    <n v="1"/>
    <n v="52"/>
    <n v="108"/>
  </r>
  <r>
    <x v="19"/>
    <s v="conventional_refinance_purch_oltv_82"/>
    <x v="122"/>
    <n v="0.86694400000000005"/>
    <n v="1"/>
    <n v="52"/>
    <n v="108"/>
  </r>
  <r>
    <x v="19"/>
    <s v="conventional_refinance_purch_oltv_83"/>
    <x v="123"/>
    <n v="0.87657600000000002"/>
    <n v="1"/>
    <n v="52"/>
    <n v="108"/>
  </r>
  <r>
    <x v="19"/>
    <s v="conventional_refinance_purch_oltv_84"/>
    <x v="124"/>
    <n v="0.88827199999999995"/>
    <n v="1"/>
    <n v="52"/>
    <n v="108"/>
  </r>
  <r>
    <x v="19"/>
    <s v="conventional_refinance_purch_oltv_85"/>
    <x v="125"/>
    <n v="0.90100000000000002"/>
    <n v="1"/>
    <n v="52"/>
    <n v="108"/>
  </r>
  <r>
    <x v="19"/>
    <s v="conventional_refinance_purch_oltv_86"/>
    <x v="126"/>
    <n v="0.91372799999999998"/>
    <n v="1"/>
    <n v="52"/>
    <n v="108"/>
  </r>
  <r>
    <x v="19"/>
    <s v="conventional_refinance_purch_oltv_87"/>
    <x v="127"/>
    <n v="0.92542400000000002"/>
    <n v="1"/>
    <n v="52"/>
    <n v="108"/>
  </r>
  <r>
    <x v="19"/>
    <s v="conventional_refinance_purch_oltv_88"/>
    <x v="128"/>
    <n v="0.935056"/>
    <n v="1"/>
    <n v="52"/>
    <n v="108"/>
  </r>
  <r>
    <x v="19"/>
    <s v="conventional_refinance_purch_oltv_89"/>
    <x v="129"/>
    <n v="0.94159199999999998"/>
    <n v="1"/>
    <n v="52"/>
    <n v="108"/>
  </r>
  <r>
    <x v="19"/>
    <s v="conventional_refinance_purch_oltv_90"/>
    <x v="130"/>
    <n v="0.94399999999999995"/>
    <n v="1"/>
    <n v="52"/>
    <n v="108"/>
  </r>
  <r>
    <x v="19"/>
    <s v="conventional_refinance_purch_oltv_91"/>
    <x v="131"/>
    <n v="0.94399999999999995"/>
    <n v="1"/>
    <n v="52"/>
    <n v="108"/>
  </r>
  <r>
    <x v="19"/>
    <s v="conventional_refinance_purch_oltv_92"/>
    <x v="132"/>
    <n v="0.94399999999999995"/>
    <n v="1"/>
    <n v="52"/>
    <n v="108"/>
  </r>
  <r>
    <x v="19"/>
    <s v="conventional_refinance_purch_oltv_93"/>
    <x v="133"/>
    <n v="0.94399999999999995"/>
    <n v="1"/>
    <n v="52"/>
    <n v="108"/>
  </r>
  <r>
    <x v="19"/>
    <s v="conventional_refinance_purch_oltv_94"/>
    <x v="134"/>
    <n v="0.94399999999999995"/>
    <n v="1"/>
    <n v="52"/>
    <n v="108"/>
  </r>
  <r>
    <x v="19"/>
    <s v="conventional_refinance_purch_oltv_95"/>
    <x v="135"/>
    <n v="0.94399999999999995"/>
    <n v="1"/>
    <n v="52"/>
    <n v="108"/>
  </r>
  <r>
    <x v="19"/>
    <s v="conventional_refinance_purch_oltv_96"/>
    <x v="136"/>
    <n v="0.94399999999999995"/>
    <n v="1"/>
    <n v="52"/>
    <n v="108"/>
  </r>
  <r>
    <x v="19"/>
    <s v="conventional_refinance_purch_oltv_97"/>
    <x v="137"/>
    <n v="0.94399999999999995"/>
    <n v="1"/>
    <n v="52"/>
    <n v="108"/>
  </r>
  <r>
    <x v="19"/>
    <s v="conventional_refinance_purch_oltv_98"/>
    <x v="138"/>
    <n v="0.94399999999999995"/>
    <n v="1"/>
    <n v="52"/>
    <n v="108"/>
  </r>
  <r>
    <x v="19"/>
    <s v="conventional_refinance_purch_oltv_99"/>
    <x v="139"/>
    <n v="0.94399999999999995"/>
    <n v="1"/>
    <n v="52"/>
    <n v="108"/>
  </r>
  <r>
    <x v="19"/>
    <s v="conventional_refinance_purch_oltv_100"/>
    <x v="140"/>
    <n v="0.94399999999999995"/>
    <n v="1"/>
    <n v="52"/>
    <n v="108"/>
  </r>
  <r>
    <x v="19"/>
    <s v="conventional_refinance_purch_oltv_101"/>
    <x v="141"/>
    <n v="0.94399999999999995"/>
    <n v="1"/>
    <n v="52"/>
    <n v="108"/>
  </r>
  <r>
    <x v="19"/>
    <s v="conventional_refinance_purch_oltv_102"/>
    <x v="142"/>
    <n v="0.94399999999999995"/>
    <n v="1"/>
    <n v="52"/>
    <n v="108"/>
  </r>
  <r>
    <x v="19"/>
    <s v="conventional_refinance_purch_oltv_103"/>
    <x v="143"/>
    <n v="0.94399999999999995"/>
    <n v="1"/>
    <n v="52"/>
    <n v="108"/>
  </r>
  <r>
    <x v="19"/>
    <s v="conventional_refinance_purch_oltv_104"/>
    <x v="144"/>
    <n v="0.94399999999999995"/>
    <n v="1"/>
    <n v="52"/>
    <n v="108"/>
  </r>
  <r>
    <x v="19"/>
    <s v="conventional_refinance_purch_oltv_105"/>
    <x v="145"/>
    <n v="0.94399999999999995"/>
    <n v="1"/>
    <n v="52"/>
    <n v="108"/>
  </r>
  <r>
    <x v="19"/>
    <s v="conventional_refinance_purch_oltv_106"/>
    <x v="146"/>
    <n v="0.94399999999999995"/>
    <n v="1"/>
    <n v="52"/>
    <n v="108"/>
  </r>
  <r>
    <x v="19"/>
    <s v="conventional_refinance_purch_oltv_107"/>
    <x v="147"/>
    <n v="0.94399999999999995"/>
    <n v="1"/>
    <n v="52"/>
    <n v="108"/>
  </r>
  <r>
    <x v="19"/>
    <s v="conventional_refinance_purch_oltv_108"/>
    <x v="148"/>
    <n v="0.94399999999999995"/>
    <n v="1"/>
    <n v="52"/>
    <n v="108"/>
  </r>
  <r>
    <x v="20"/>
    <s v="conventional_refinance_refi_HARP_oltv_47"/>
    <x v="87"/>
    <n v="1"/>
    <n v="1"/>
    <n v="47"/>
    <n v="138"/>
  </r>
  <r>
    <x v="20"/>
    <s v="conventional_refinance_refi_HARP_oltv_48"/>
    <x v="88"/>
    <n v="1"/>
    <n v="1"/>
    <n v="47"/>
    <n v="138"/>
  </r>
  <r>
    <x v="20"/>
    <s v="conventional_refinance_refi_HARP_oltv_49"/>
    <x v="89"/>
    <n v="1"/>
    <n v="1"/>
    <n v="47"/>
    <n v="138"/>
  </r>
  <r>
    <x v="20"/>
    <s v="conventional_refinance_refi_HARP_oltv_50"/>
    <x v="90"/>
    <n v="1"/>
    <n v="1"/>
    <n v="47"/>
    <n v="138"/>
  </r>
  <r>
    <x v="20"/>
    <s v="conventional_refinance_refi_HARP_oltv_51"/>
    <x v="91"/>
    <n v="1"/>
    <n v="1"/>
    <n v="47"/>
    <n v="138"/>
  </r>
  <r>
    <x v="20"/>
    <s v="conventional_refinance_refi_HARP_oltv_52"/>
    <x v="92"/>
    <n v="1"/>
    <n v="1"/>
    <n v="47"/>
    <n v="138"/>
  </r>
  <r>
    <x v="20"/>
    <s v="conventional_refinance_refi_HARP_oltv_53"/>
    <x v="93"/>
    <n v="1"/>
    <n v="1"/>
    <n v="47"/>
    <n v="138"/>
  </r>
  <r>
    <x v="20"/>
    <s v="conventional_refinance_refi_HARP_oltv_54"/>
    <x v="94"/>
    <n v="1"/>
    <n v="1"/>
    <n v="47"/>
    <n v="138"/>
  </r>
  <r>
    <x v="20"/>
    <s v="conventional_refinance_refi_HARP_oltv_55"/>
    <x v="95"/>
    <n v="1"/>
    <n v="1"/>
    <n v="47"/>
    <n v="138"/>
  </r>
  <r>
    <x v="20"/>
    <s v="conventional_refinance_refi_HARP_oltv_56"/>
    <x v="96"/>
    <n v="1"/>
    <n v="1"/>
    <n v="47"/>
    <n v="138"/>
  </r>
  <r>
    <x v="20"/>
    <s v="conventional_refinance_refi_HARP_oltv_57"/>
    <x v="97"/>
    <n v="1"/>
    <n v="1"/>
    <n v="47"/>
    <n v="138"/>
  </r>
  <r>
    <x v="20"/>
    <s v="conventional_refinance_refi_HARP_oltv_58"/>
    <x v="98"/>
    <n v="1"/>
    <n v="1"/>
    <n v="47"/>
    <n v="138"/>
  </r>
  <r>
    <x v="20"/>
    <s v="conventional_refinance_refi_HARP_oltv_59"/>
    <x v="99"/>
    <n v="1"/>
    <n v="1"/>
    <n v="47"/>
    <n v="138"/>
  </r>
  <r>
    <x v="20"/>
    <s v="conventional_refinance_refi_HARP_oltv_60"/>
    <x v="100"/>
    <n v="1"/>
    <n v="1"/>
    <n v="47"/>
    <n v="138"/>
  </r>
  <r>
    <x v="20"/>
    <s v="conventional_refinance_refi_HARP_oltv_61"/>
    <x v="101"/>
    <n v="1"/>
    <n v="1"/>
    <n v="47"/>
    <n v="138"/>
  </r>
  <r>
    <x v="20"/>
    <s v="conventional_refinance_refi_HARP_oltv_62"/>
    <x v="102"/>
    <n v="1"/>
    <n v="1"/>
    <n v="47"/>
    <n v="138"/>
  </r>
  <r>
    <x v="20"/>
    <s v="conventional_refinance_refi_HARP_oltv_63"/>
    <x v="103"/>
    <n v="1"/>
    <n v="1"/>
    <n v="47"/>
    <n v="138"/>
  </r>
  <r>
    <x v="20"/>
    <s v="conventional_refinance_refi_HARP_oltv_64"/>
    <x v="104"/>
    <n v="1"/>
    <n v="1"/>
    <n v="47"/>
    <n v="138"/>
  </r>
  <r>
    <x v="20"/>
    <s v="conventional_refinance_refi_HARP_oltv_65"/>
    <x v="105"/>
    <n v="1"/>
    <n v="1"/>
    <n v="47"/>
    <n v="138"/>
  </r>
  <r>
    <x v="20"/>
    <s v="conventional_refinance_refi_HARP_oltv_66"/>
    <x v="106"/>
    <n v="1"/>
    <n v="1"/>
    <n v="47"/>
    <n v="138"/>
  </r>
  <r>
    <x v="20"/>
    <s v="conventional_refinance_refi_HARP_oltv_67"/>
    <x v="107"/>
    <n v="1"/>
    <n v="1"/>
    <n v="47"/>
    <n v="138"/>
  </r>
  <r>
    <x v="20"/>
    <s v="conventional_refinance_refi_HARP_oltv_68"/>
    <x v="108"/>
    <n v="1"/>
    <n v="1"/>
    <n v="47"/>
    <n v="138"/>
  </r>
  <r>
    <x v="20"/>
    <s v="conventional_refinance_refi_HARP_oltv_69"/>
    <x v="109"/>
    <n v="1"/>
    <n v="1"/>
    <n v="47"/>
    <n v="138"/>
  </r>
  <r>
    <x v="20"/>
    <s v="conventional_refinance_refi_HARP_oltv_70"/>
    <x v="110"/>
    <n v="1"/>
    <n v="1"/>
    <n v="47"/>
    <n v="138"/>
  </r>
  <r>
    <x v="20"/>
    <s v="conventional_refinance_refi_HARP_oltv_71"/>
    <x v="111"/>
    <n v="1"/>
    <n v="1"/>
    <n v="47"/>
    <n v="138"/>
  </r>
  <r>
    <x v="20"/>
    <s v="conventional_refinance_refi_HARP_oltv_72"/>
    <x v="112"/>
    <n v="1"/>
    <n v="1"/>
    <n v="47"/>
    <n v="138"/>
  </r>
  <r>
    <x v="20"/>
    <s v="conventional_refinance_refi_HARP_oltv_73"/>
    <x v="113"/>
    <n v="1"/>
    <n v="1"/>
    <n v="47"/>
    <n v="138"/>
  </r>
  <r>
    <x v="20"/>
    <s v="conventional_refinance_refi_HARP_oltv_74"/>
    <x v="114"/>
    <n v="1"/>
    <n v="1"/>
    <n v="47"/>
    <n v="138"/>
  </r>
  <r>
    <x v="20"/>
    <s v="conventional_refinance_refi_HARP_oltv_75"/>
    <x v="115"/>
    <n v="1"/>
    <n v="1"/>
    <n v="47"/>
    <n v="138"/>
  </r>
  <r>
    <x v="20"/>
    <s v="conventional_refinance_refi_HARP_oltv_76"/>
    <x v="116"/>
    <n v="1"/>
    <n v="1"/>
    <n v="47"/>
    <n v="138"/>
  </r>
  <r>
    <x v="20"/>
    <s v="conventional_refinance_refi_HARP_oltv_77"/>
    <x v="117"/>
    <n v="1"/>
    <n v="1"/>
    <n v="47"/>
    <n v="138"/>
  </r>
  <r>
    <x v="20"/>
    <s v="conventional_refinance_refi_HARP_oltv_78"/>
    <x v="118"/>
    <n v="1"/>
    <n v="1"/>
    <n v="47"/>
    <n v="138"/>
  </r>
  <r>
    <x v="20"/>
    <s v="conventional_refinance_refi_HARP_oltv_79"/>
    <x v="119"/>
    <n v="1"/>
    <n v="1"/>
    <n v="47"/>
    <n v="138"/>
  </r>
  <r>
    <x v="20"/>
    <s v="conventional_refinance_refi_HARP_oltv_80"/>
    <x v="120"/>
    <n v="1"/>
    <n v="1"/>
    <n v="47"/>
    <n v="138"/>
  </r>
  <r>
    <x v="20"/>
    <s v="conventional_refinance_refi_HARP_oltv_81"/>
    <x v="121"/>
    <n v="1"/>
    <n v="1"/>
    <n v="47"/>
    <n v="138"/>
  </r>
  <r>
    <x v="20"/>
    <s v="conventional_refinance_refi_HARP_oltv_82"/>
    <x v="122"/>
    <n v="1"/>
    <n v="1"/>
    <n v="47"/>
    <n v="138"/>
  </r>
  <r>
    <x v="20"/>
    <s v="conventional_refinance_refi_HARP_oltv_83"/>
    <x v="123"/>
    <n v="1"/>
    <n v="1"/>
    <n v="47"/>
    <n v="138"/>
  </r>
  <r>
    <x v="20"/>
    <s v="conventional_refinance_refi_HARP_oltv_84"/>
    <x v="124"/>
    <n v="1"/>
    <n v="1"/>
    <n v="47"/>
    <n v="138"/>
  </r>
  <r>
    <x v="20"/>
    <s v="conventional_refinance_refi_HARP_oltv_85"/>
    <x v="125"/>
    <n v="1"/>
    <n v="1"/>
    <n v="47"/>
    <n v="138"/>
  </r>
  <r>
    <x v="20"/>
    <s v="conventional_refinance_refi_HARP_oltv_86"/>
    <x v="126"/>
    <n v="1"/>
    <n v="1"/>
    <n v="47"/>
    <n v="138"/>
  </r>
  <r>
    <x v="20"/>
    <s v="conventional_refinance_refi_HARP_oltv_87"/>
    <x v="127"/>
    <n v="1"/>
    <n v="1"/>
    <n v="47"/>
    <n v="138"/>
  </r>
  <r>
    <x v="20"/>
    <s v="conventional_refinance_refi_HARP_oltv_88"/>
    <x v="128"/>
    <n v="1"/>
    <n v="1"/>
    <n v="47"/>
    <n v="138"/>
  </r>
  <r>
    <x v="20"/>
    <s v="conventional_refinance_refi_HARP_oltv_89"/>
    <x v="129"/>
    <n v="1"/>
    <n v="1"/>
    <n v="47"/>
    <n v="138"/>
  </r>
  <r>
    <x v="20"/>
    <s v="conventional_refinance_refi_HARP_oltv_90"/>
    <x v="130"/>
    <n v="1"/>
    <n v="1"/>
    <n v="47"/>
    <n v="138"/>
  </r>
  <r>
    <x v="20"/>
    <s v="conventional_refinance_refi_HARP_oltv_91"/>
    <x v="131"/>
    <n v="1"/>
    <n v="1"/>
    <n v="47"/>
    <n v="138"/>
  </r>
  <r>
    <x v="20"/>
    <s v="conventional_refinance_refi_HARP_oltv_92"/>
    <x v="132"/>
    <n v="1"/>
    <n v="1"/>
    <n v="47"/>
    <n v="138"/>
  </r>
  <r>
    <x v="20"/>
    <s v="conventional_refinance_refi_HARP_oltv_93"/>
    <x v="133"/>
    <n v="1"/>
    <n v="1"/>
    <n v="47"/>
    <n v="138"/>
  </r>
  <r>
    <x v="20"/>
    <s v="conventional_refinance_refi_HARP_oltv_94"/>
    <x v="134"/>
    <n v="1"/>
    <n v="1"/>
    <n v="47"/>
    <n v="138"/>
  </r>
  <r>
    <x v="20"/>
    <s v="conventional_refinance_refi_HARP_oltv_95"/>
    <x v="135"/>
    <n v="1"/>
    <n v="1"/>
    <n v="47"/>
    <n v="138"/>
  </r>
  <r>
    <x v="20"/>
    <s v="conventional_refinance_refi_HARP_oltv_96"/>
    <x v="136"/>
    <n v="1"/>
    <n v="1"/>
    <n v="47"/>
    <n v="138"/>
  </r>
  <r>
    <x v="20"/>
    <s v="conventional_refinance_refi_HARP_oltv_97"/>
    <x v="137"/>
    <n v="1"/>
    <n v="1"/>
    <n v="47"/>
    <n v="138"/>
  </r>
  <r>
    <x v="20"/>
    <s v="conventional_refinance_refi_HARP_oltv_98"/>
    <x v="138"/>
    <n v="1"/>
    <n v="1"/>
    <n v="47"/>
    <n v="138"/>
  </r>
  <r>
    <x v="20"/>
    <s v="conventional_refinance_refi_HARP_oltv_99"/>
    <x v="139"/>
    <n v="1"/>
    <n v="1"/>
    <n v="47"/>
    <n v="138"/>
  </r>
  <r>
    <x v="20"/>
    <s v="conventional_refinance_refi_HARP_oltv_100"/>
    <x v="140"/>
    <n v="1"/>
    <n v="1"/>
    <n v="47"/>
    <n v="138"/>
  </r>
  <r>
    <x v="20"/>
    <s v="conventional_refinance_refi_HARP_oltv_101"/>
    <x v="141"/>
    <n v="0.99540799999999996"/>
    <n v="1"/>
    <n v="47"/>
    <n v="138"/>
  </r>
  <r>
    <x v="20"/>
    <s v="conventional_refinance_refi_HARP_oltv_102"/>
    <x v="142"/>
    <n v="0.98294400000000004"/>
    <n v="1"/>
    <n v="47"/>
    <n v="138"/>
  </r>
  <r>
    <x v="20"/>
    <s v="conventional_refinance_refi_HARP_oltv_103"/>
    <x v="143"/>
    <n v="0.96457599999999999"/>
    <n v="1"/>
    <n v="47"/>
    <n v="138"/>
  </r>
  <r>
    <x v="20"/>
    <s v="conventional_refinance_refi_HARP_oltv_104"/>
    <x v="144"/>
    <n v="0.942272"/>
    <n v="1"/>
    <n v="47"/>
    <n v="138"/>
  </r>
  <r>
    <x v="20"/>
    <s v="conventional_refinance_refi_HARP_oltv_105"/>
    <x v="145"/>
    <n v="0.91800000000000004"/>
    <n v="1"/>
    <n v="47"/>
    <n v="138"/>
  </r>
  <r>
    <x v="20"/>
    <s v="conventional_refinance_refi_HARP_oltv_106"/>
    <x v="146"/>
    <n v="0.89372799999999997"/>
    <n v="1"/>
    <n v="47"/>
    <n v="138"/>
  </r>
  <r>
    <x v="20"/>
    <s v="conventional_refinance_refi_HARP_oltv_107"/>
    <x v="147"/>
    <n v="0.87142399999999998"/>
    <n v="1"/>
    <n v="47"/>
    <n v="138"/>
  </r>
  <r>
    <x v="20"/>
    <s v="conventional_refinance_refi_HARP_oltv_108"/>
    <x v="148"/>
    <n v="0.85305600000000004"/>
    <n v="1"/>
    <n v="47"/>
    <n v="138"/>
  </r>
  <r>
    <x v="20"/>
    <s v="conventional_refinance_refi_HARP_oltv_109"/>
    <x v="149"/>
    <n v="0.84059200000000001"/>
    <n v="1"/>
    <n v="47"/>
    <n v="138"/>
  </r>
  <r>
    <x v="20"/>
    <s v="conventional_refinance_refi_HARP_oltv_110"/>
    <x v="150"/>
    <n v="0.83599999999999997"/>
    <n v="1"/>
    <n v="47"/>
    <n v="138"/>
  </r>
  <r>
    <x v="20"/>
    <s v="conventional_refinance_refi_HARP_oltv_111"/>
    <x v="151"/>
    <n v="0.83599999999999997"/>
    <n v="1"/>
    <n v="47"/>
    <n v="138"/>
  </r>
  <r>
    <x v="20"/>
    <s v="conventional_refinance_refi_HARP_oltv_112"/>
    <x v="152"/>
    <n v="0.83599999999999997"/>
    <n v="1"/>
    <n v="47"/>
    <n v="138"/>
  </r>
  <r>
    <x v="20"/>
    <s v="conventional_refinance_refi_HARP_oltv_113"/>
    <x v="153"/>
    <n v="0.83599999999999997"/>
    <n v="1"/>
    <n v="47"/>
    <n v="138"/>
  </r>
  <r>
    <x v="20"/>
    <s v="conventional_refinance_refi_HARP_oltv_114"/>
    <x v="154"/>
    <n v="0.83599999999999997"/>
    <n v="1"/>
    <n v="47"/>
    <n v="138"/>
  </r>
  <r>
    <x v="20"/>
    <s v="conventional_refinance_refi_HARP_oltv_115"/>
    <x v="155"/>
    <n v="0.83599999999999997"/>
    <n v="1"/>
    <n v="47"/>
    <n v="138"/>
  </r>
  <r>
    <x v="20"/>
    <s v="conventional_refinance_refi_HARP_oltv_116"/>
    <x v="156"/>
    <n v="0.83599999999999997"/>
    <n v="1"/>
    <n v="47"/>
    <n v="138"/>
  </r>
  <r>
    <x v="20"/>
    <s v="conventional_refinance_refi_HARP_oltv_117"/>
    <x v="157"/>
    <n v="0.83599999999999997"/>
    <n v="1"/>
    <n v="47"/>
    <n v="138"/>
  </r>
  <r>
    <x v="20"/>
    <s v="conventional_refinance_refi_HARP_oltv_118"/>
    <x v="158"/>
    <n v="0.83599999999999997"/>
    <n v="1"/>
    <n v="47"/>
    <n v="138"/>
  </r>
  <r>
    <x v="20"/>
    <s v="conventional_refinance_refi_HARP_oltv_119"/>
    <x v="159"/>
    <n v="0.83599999999999997"/>
    <n v="1"/>
    <n v="47"/>
    <n v="138"/>
  </r>
  <r>
    <x v="20"/>
    <s v="conventional_refinance_refi_HARP_oltv_120"/>
    <x v="160"/>
    <n v="0.83599999999999997"/>
    <n v="1"/>
    <n v="47"/>
    <n v="138"/>
  </r>
  <r>
    <x v="20"/>
    <s v="conventional_refinance_refi_HARP_oltv_121"/>
    <x v="161"/>
    <n v="0.83599999999999997"/>
    <n v="1"/>
    <n v="47"/>
    <n v="138"/>
  </r>
  <r>
    <x v="20"/>
    <s v="conventional_refinance_refi_HARP_oltv_122"/>
    <x v="162"/>
    <n v="0.83599999999999997"/>
    <n v="1"/>
    <n v="47"/>
    <n v="138"/>
  </r>
  <r>
    <x v="20"/>
    <s v="conventional_refinance_refi_HARP_oltv_123"/>
    <x v="163"/>
    <n v="0.83599999999999997"/>
    <n v="1"/>
    <n v="47"/>
    <n v="138"/>
  </r>
  <r>
    <x v="20"/>
    <s v="conventional_refinance_refi_HARP_oltv_124"/>
    <x v="164"/>
    <n v="0.83599999999999997"/>
    <n v="1"/>
    <n v="47"/>
    <n v="138"/>
  </r>
  <r>
    <x v="20"/>
    <s v="conventional_refinance_refi_HARP_oltv_125"/>
    <x v="165"/>
    <n v="0.83599999999999997"/>
    <n v="1"/>
    <n v="47"/>
    <n v="138"/>
  </r>
  <r>
    <x v="20"/>
    <s v="conventional_refinance_refi_HARP_oltv_126"/>
    <x v="166"/>
    <n v="0.83599999999999997"/>
    <n v="1"/>
    <n v="47"/>
    <n v="138"/>
  </r>
  <r>
    <x v="20"/>
    <s v="conventional_refinance_refi_HARP_oltv_127"/>
    <x v="167"/>
    <n v="0.83599999999999997"/>
    <n v="1"/>
    <n v="47"/>
    <n v="138"/>
  </r>
  <r>
    <x v="20"/>
    <s v="conventional_refinance_refi_HARP_oltv_128"/>
    <x v="168"/>
    <n v="0.83599999999999997"/>
    <n v="1"/>
    <n v="47"/>
    <n v="138"/>
  </r>
  <r>
    <x v="20"/>
    <s v="conventional_refinance_refi_HARP_oltv_129"/>
    <x v="169"/>
    <n v="0.83599999999999997"/>
    <n v="1"/>
    <n v="47"/>
    <n v="138"/>
  </r>
  <r>
    <x v="20"/>
    <s v="conventional_refinance_refi_HARP_oltv_130"/>
    <x v="170"/>
    <n v="0.83599999999999997"/>
    <n v="1"/>
    <n v="47"/>
    <n v="138"/>
  </r>
  <r>
    <x v="20"/>
    <s v="conventional_refinance_refi_HARP_oltv_131"/>
    <x v="171"/>
    <n v="0.83599999999999997"/>
    <n v="1"/>
    <n v="47"/>
    <n v="138"/>
  </r>
  <r>
    <x v="20"/>
    <s v="conventional_refinance_refi_HARP_oltv_132"/>
    <x v="172"/>
    <n v="0.83599999999999997"/>
    <n v="1"/>
    <n v="47"/>
    <n v="138"/>
  </r>
  <r>
    <x v="20"/>
    <s v="conventional_refinance_refi_HARP_oltv_133"/>
    <x v="173"/>
    <n v="0.83599999999999997"/>
    <n v="1"/>
    <n v="47"/>
    <n v="138"/>
  </r>
  <r>
    <x v="20"/>
    <s v="conventional_refinance_refi_HARP_oltv_134"/>
    <x v="174"/>
    <n v="0.83599999999999997"/>
    <n v="1"/>
    <n v="47"/>
    <n v="138"/>
  </r>
  <r>
    <x v="20"/>
    <s v="conventional_refinance_refi_HARP_oltv_135"/>
    <x v="175"/>
    <n v="0.83599999999999997"/>
    <n v="1"/>
    <n v="47"/>
    <n v="138"/>
  </r>
  <r>
    <x v="20"/>
    <s v="conventional_refinance_refi_HARP_oltv_136"/>
    <x v="176"/>
    <n v="0.83599999999999997"/>
    <n v="1"/>
    <n v="47"/>
    <n v="138"/>
  </r>
  <r>
    <x v="20"/>
    <s v="conventional_refinance_refi_HARP_oltv_137"/>
    <x v="177"/>
    <n v="0.83599999999999997"/>
    <n v="1"/>
    <n v="47"/>
    <n v="138"/>
  </r>
  <r>
    <x v="20"/>
    <s v="conventional_refinance_refi_HARP_oltv_138"/>
    <x v="178"/>
    <n v="0.83599999999999997"/>
    <n v="1"/>
    <n v="47"/>
    <n v="138"/>
  </r>
  <r>
    <x v="21"/>
    <s v="conventional_refinance_refi_NonHARP_oltv_51"/>
    <x v="91"/>
    <n v="1"/>
    <n v="1"/>
    <n v="51"/>
    <n v="114"/>
  </r>
  <r>
    <x v="21"/>
    <s v="conventional_refinance_refi_NonHARP_oltv_52"/>
    <x v="92"/>
    <n v="1"/>
    <n v="1"/>
    <n v="51"/>
    <n v="114"/>
  </r>
  <r>
    <x v="21"/>
    <s v="conventional_refinance_refi_NonHARP_oltv_53"/>
    <x v="93"/>
    <n v="1"/>
    <n v="1"/>
    <n v="51"/>
    <n v="114"/>
  </r>
  <r>
    <x v="21"/>
    <s v="conventional_refinance_refi_NonHARP_oltv_54"/>
    <x v="94"/>
    <n v="1"/>
    <n v="1"/>
    <n v="51"/>
    <n v="114"/>
  </r>
  <r>
    <x v="21"/>
    <s v="conventional_refinance_refi_NonHARP_oltv_55"/>
    <x v="95"/>
    <n v="1"/>
    <n v="1"/>
    <n v="51"/>
    <n v="114"/>
  </r>
  <r>
    <x v="21"/>
    <s v="conventional_refinance_refi_NonHARP_oltv_56"/>
    <x v="96"/>
    <n v="1"/>
    <n v="1"/>
    <n v="51"/>
    <n v="114"/>
  </r>
  <r>
    <x v="21"/>
    <s v="conventional_refinance_refi_NonHARP_oltv_57"/>
    <x v="97"/>
    <n v="1"/>
    <n v="1"/>
    <n v="51"/>
    <n v="114"/>
  </r>
  <r>
    <x v="21"/>
    <s v="conventional_refinance_refi_NonHARP_oltv_58"/>
    <x v="98"/>
    <n v="1"/>
    <n v="1"/>
    <n v="51"/>
    <n v="114"/>
  </r>
  <r>
    <x v="21"/>
    <s v="conventional_refinance_refi_NonHARP_oltv_59"/>
    <x v="99"/>
    <n v="1"/>
    <n v="1"/>
    <n v="51"/>
    <n v="114"/>
  </r>
  <r>
    <x v="21"/>
    <s v="conventional_refinance_refi_NonHARP_oltv_60"/>
    <x v="100"/>
    <n v="1"/>
    <n v="1"/>
    <n v="51"/>
    <n v="114"/>
  </r>
  <r>
    <x v="21"/>
    <s v="conventional_refinance_refi_NonHARP_oltv_61"/>
    <x v="101"/>
    <n v="1"/>
    <n v="1"/>
    <n v="51"/>
    <n v="114"/>
  </r>
  <r>
    <x v="21"/>
    <s v="conventional_refinance_refi_NonHARP_oltv_62"/>
    <x v="102"/>
    <n v="1"/>
    <n v="1"/>
    <n v="51"/>
    <n v="114"/>
  </r>
  <r>
    <x v="21"/>
    <s v="conventional_refinance_refi_NonHARP_oltv_63"/>
    <x v="103"/>
    <n v="1"/>
    <n v="1"/>
    <n v="51"/>
    <n v="114"/>
  </r>
  <r>
    <x v="21"/>
    <s v="conventional_refinance_refi_NonHARP_oltv_64"/>
    <x v="104"/>
    <n v="1"/>
    <n v="1"/>
    <n v="51"/>
    <n v="114"/>
  </r>
  <r>
    <x v="21"/>
    <s v="conventional_refinance_refi_NonHARP_oltv_65"/>
    <x v="105"/>
    <n v="1"/>
    <n v="1"/>
    <n v="51"/>
    <n v="114"/>
  </r>
  <r>
    <x v="21"/>
    <s v="conventional_refinance_refi_NonHARP_oltv_66"/>
    <x v="106"/>
    <n v="1"/>
    <n v="1"/>
    <n v="51"/>
    <n v="114"/>
  </r>
  <r>
    <x v="21"/>
    <s v="conventional_refinance_refi_NonHARP_oltv_67"/>
    <x v="107"/>
    <n v="1"/>
    <n v="1"/>
    <n v="51"/>
    <n v="114"/>
  </r>
  <r>
    <x v="21"/>
    <s v="conventional_refinance_refi_NonHARP_oltv_68"/>
    <x v="108"/>
    <n v="1"/>
    <n v="1"/>
    <n v="51"/>
    <n v="114"/>
  </r>
  <r>
    <x v="21"/>
    <s v="conventional_refinance_refi_NonHARP_oltv_69"/>
    <x v="109"/>
    <n v="1"/>
    <n v="1"/>
    <n v="51"/>
    <n v="114"/>
  </r>
  <r>
    <x v="21"/>
    <s v="conventional_refinance_refi_NonHARP_oltv_70"/>
    <x v="110"/>
    <n v="1"/>
    <n v="1"/>
    <n v="51"/>
    <n v="114"/>
  </r>
  <r>
    <x v="21"/>
    <s v="conventional_refinance_refi_NonHARP_oltv_71"/>
    <x v="111"/>
    <n v="1"/>
    <n v="1"/>
    <n v="51"/>
    <n v="114"/>
  </r>
  <r>
    <x v="21"/>
    <s v="conventional_refinance_refi_NonHARP_oltv_72"/>
    <x v="112"/>
    <n v="1"/>
    <n v="1"/>
    <n v="51"/>
    <n v="114"/>
  </r>
  <r>
    <x v="21"/>
    <s v="conventional_refinance_refi_NonHARP_oltv_73"/>
    <x v="113"/>
    <n v="1"/>
    <n v="1"/>
    <n v="51"/>
    <n v="114"/>
  </r>
  <r>
    <x v="21"/>
    <s v="conventional_refinance_refi_NonHARP_oltv_74"/>
    <x v="114"/>
    <n v="1"/>
    <n v="1"/>
    <n v="51"/>
    <n v="114"/>
  </r>
  <r>
    <x v="21"/>
    <s v="conventional_refinance_refi_NonHARP_oltv_75"/>
    <x v="115"/>
    <n v="1"/>
    <n v="1"/>
    <n v="51"/>
    <n v="114"/>
  </r>
  <r>
    <x v="21"/>
    <s v="conventional_refinance_refi_NonHARP_oltv_76"/>
    <x v="116"/>
    <n v="1"/>
    <n v="1"/>
    <n v="51"/>
    <n v="114"/>
  </r>
  <r>
    <x v="21"/>
    <s v="conventional_refinance_refi_NonHARP_oltv_77"/>
    <x v="117"/>
    <n v="1"/>
    <n v="1"/>
    <n v="51"/>
    <n v="114"/>
  </r>
  <r>
    <x v="21"/>
    <s v="conventional_refinance_refi_NonHARP_oltv_78"/>
    <x v="118"/>
    <n v="1"/>
    <n v="1"/>
    <n v="51"/>
    <n v="114"/>
  </r>
  <r>
    <x v="21"/>
    <s v="conventional_refinance_refi_NonHARP_oltv_79"/>
    <x v="119"/>
    <n v="1"/>
    <n v="1"/>
    <n v="51"/>
    <n v="114"/>
  </r>
  <r>
    <x v="21"/>
    <s v="conventional_refinance_refi_NonHARP_oltv_80"/>
    <x v="120"/>
    <n v="1"/>
    <n v="1"/>
    <n v="51"/>
    <n v="114"/>
  </r>
  <r>
    <x v="21"/>
    <s v="conventional_refinance_refi_NonHARP_oltv_81"/>
    <x v="121"/>
    <n v="1"/>
    <n v="1"/>
    <n v="51"/>
    <n v="114"/>
  </r>
  <r>
    <x v="21"/>
    <s v="conventional_refinance_refi_NonHARP_oltv_82"/>
    <x v="122"/>
    <n v="1"/>
    <n v="1"/>
    <n v="51"/>
    <n v="114"/>
  </r>
  <r>
    <x v="21"/>
    <s v="conventional_refinance_refi_NonHARP_oltv_83"/>
    <x v="123"/>
    <n v="1"/>
    <n v="1"/>
    <n v="51"/>
    <n v="114"/>
  </r>
  <r>
    <x v="21"/>
    <s v="conventional_refinance_refi_NonHARP_oltv_84"/>
    <x v="124"/>
    <n v="1"/>
    <n v="1"/>
    <n v="51"/>
    <n v="114"/>
  </r>
  <r>
    <x v="21"/>
    <s v="conventional_refinance_refi_NonHARP_oltv_85"/>
    <x v="125"/>
    <n v="1"/>
    <n v="1"/>
    <n v="51"/>
    <n v="114"/>
  </r>
  <r>
    <x v="21"/>
    <s v="conventional_refinance_refi_NonHARP_oltv_86"/>
    <x v="126"/>
    <n v="1"/>
    <n v="1"/>
    <n v="51"/>
    <n v="114"/>
  </r>
  <r>
    <x v="21"/>
    <s v="conventional_refinance_refi_NonHARP_oltv_87"/>
    <x v="127"/>
    <n v="1"/>
    <n v="1"/>
    <n v="51"/>
    <n v="114"/>
  </r>
  <r>
    <x v="21"/>
    <s v="conventional_refinance_refi_NonHARP_oltv_88"/>
    <x v="128"/>
    <n v="1"/>
    <n v="1"/>
    <n v="51"/>
    <n v="114"/>
  </r>
  <r>
    <x v="21"/>
    <s v="conventional_refinance_refi_NonHARP_oltv_89"/>
    <x v="129"/>
    <n v="1"/>
    <n v="1"/>
    <n v="51"/>
    <n v="114"/>
  </r>
  <r>
    <x v="21"/>
    <s v="conventional_refinance_refi_NonHARP_oltv_90"/>
    <x v="130"/>
    <n v="1"/>
    <n v="1"/>
    <n v="51"/>
    <n v="114"/>
  </r>
  <r>
    <x v="21"/>
    <s v="conventional_refinance_refi_NonHARP_oltv_91"/>
    <x v="131"/>
    <n v="1"/>
    <n v="1"/>
    <n v="51"/>
    <n v="114"/>
  </r>
  <r>
    <x v="21"/>
    <s v="conventional_refinance_refi_NonHARP_oltv_92"/>
    <x v="132"/>
    <n v="1"/>
    <n v="1"/>
    <n v="51"/>
    <n v="114"/>
  </r>
  <r>
    <x v="21"/>
    <s v="conventional_refinance_refi_NonHARP_oltv_93"/>
    <x v="133"/>
    <n v="1"/>
    <n v="1"/>
    <n v="51"/>
    <n v="114"/>
  </r>
  <r>
    <x v="21"/>
    <s v="conventional_refinance_refi_NonHARP_oltv_94"/>
    <x v="134"/>
    <n v="1"/>
    <n v="1"/>
    <n v="51"/>
    <n v="114"/>
  </r>
  <r>
    <x v="21"/>
    <s v="conventional_refinance_refi_NonHARP_oltv_95"/>
    <x v="135"/>
    <n v="1"/>
    <n v="1"/>
    <n v="51"/>
    <n v="114"/>
  </r>
  <r>
    <x v="21"/>
    <s v="conventional_refinance_refi_NonHARP_oltv_96"/>
    <x v="136"/>
    <n v="1"/>
    <n v="1"/>
    <n v="51"/>
    <n v="114"/>
  </r>
  <r>
    <x v="21"/>
    <s v="conventional_refinance_refi_NonHARP_oltv_97"/>
    <x v="137"/>
    <n v="1"/>
    <n v="1"/>
    <n v="51"/>
    <n v="114"/>
  </r>
  <r>
    <x v="21"/>
    <s v="conventional_refinance_refi_NonHARP_oltv_98"/>
    <x v="138"/>
    <n v="1"/>
    <n v="1"/>
    <n v="51"/>
    <n v="114"/>
  </r>
  <r>
    <x v="21"/>
    <s v="conventional_refinance_refi_NonHARP_oltv_99"/>
    <x v="139"/>
    <n v="1"/>
    <n v="1"/>
    <n v="51"/>
    <n v="114"/>
  </r>
  <r>
    <x v="21"/>
    <s v="conventional_refinance_refi_NonHARP_oltv_100"/>
    <x v="140"/>
    <n v="1"/>
    <n v="1"/>
    <n v="51"/>
    <n v="114"/>
  </r>
  <r>
    <x v="21"/>
    <s v="conventional_refinance_refi_NonHARP_oltv_101"/>
    <x v="141"/>
    <n v="1"/>
    <n v="1"/>
    <n v="51"/>
    <n v="114"/>
  </r>
  <r>
    <x v="21"/>
    <s v="conventional_refinance_refi_NonHARP_oltv_102"/>
    <x v="142"/>
    <n v="1"/>
    <n v="1"/>
    <n v="51"/>
    <n v="114"/>
  </r>
  <r>
    <x v="21"/>
    <s v="conventional_refinance_refi_NonHARP_oltv_103"/>
    <x v="143"/>
    <n v="1"/>
    <n v="1"/>
    <n v="51"/>
    <n v="114"/>
  </r>
  <r>
    <x v="21"/>
    <s v="conventional_refinance_refi_NonHARP_oltv_104"/>
    <x v="144"/>
    <n v="1"/>
    <n v="1"/>
    <n v="51"/>
    <n v="114"/>
  </r>
  <r>
    <x v="21"/>
    <s v="conventional_refinance_refi_NonHARP_oltv_105"/>
    <x v="145"/>
    <n v="1"/>
    <n v="1"/>
    <n v="51"/>
    <n v="114"/>
  </r>
  <r>
    <x v="21"/>
    <s v="conventional_refinance_refi_NonHARP_oltv_106"/>
    <x v="146"/>
    <n v="1"/>
    <n v="1"/>
    <n v="51"/>
    <n v="114"/>
  </r>
  <r>
    <x v="21"/>
    <s v="conventional_refinance_refi_NonHARP_oltv_107"/>
    <x v="147"/>
    <n v="1"/>
    <n v="1"/>
    <n v="51"/>
    <n v="114"/>
  </r>
  <r>
    <x v="21"/>
    <s v="conventional_refinance_refi_NonHARP_oltv_108"/>
    <x v="148"/>
    <n v="1"/>
    <n v="1"/>
    <n v="51"/>
    <n v="114"/>
  </r>
  <r>
    <x v="21"/>
    <s v="conventional_refinance_refi_NonHARP_oltv_109"/>
    <x v="149"/>
    <n v="1"/>
    <n v="1"/>
    <n v="51"/>
    <n v="114"/>
  </r>
  <r>
    <x v="21"/>
    <s v="conventional_refinance_refi_NonHARP_oltv_110"/>
    <x v="150"/>
    <n v="1"/>
    <n v="1"/>
    <n v="51"/>
    <n v="114"/>
  </r>
  <r>
    <x v="21"/>
    <s v="conventional_refinance_refi_NonHARP_oltv_111"/>
    <x v="151"/>
    <n v="1"/>
    <n v="1"/>
    <n v="51"/>
    <n v="114"/>
  </r>
  <r>
    <x v="21"/>
    <s v="conventional_refinance_refi_NonHARP_oltv_112"/>
    <x v="152"/>
    <n v="1"/>
    <n v="1"/>
    <n v="51"/>
    <n v="114"/>
  </r>
  <r>
    <x v="21"/>
    <s v="conventional_refinance_refi_NonHARP_oltv_113"/>
    <x v="153"/>
    <n v="1"/>
    <n v="1"/>
    <n v="51"/>
    <n v="114"/>
  </r>
  <r>
    <x v="21"/>
    <s v="conventional_refinance_refi_NonHARP_oltv_114"/>
    <x v="154"/>
    <n v="1"/>
    <n v="1"/>
    <n v="51"/>
    <n v="114"/>
  </r>
  <r>
    <x v="22"/>
    <s v="conventional_turnover_cai_-40"/>
    <x v="0"/>
    <n v="0.9"/>
    <n v="1"/>
    <n v="-40"/>
    <n v="940"/>
  </r>
  <r>
    <x v="22"/>
    <s v="conventional_turnover_cai_-39"/>
    <x v="1"/>
    <n v="0.9"/>
    <n v="1"/>
    <n v="-40"/>
    <n v="940"/>
  </r>
  <r>
    <x v="22"/>
    <s v="conventional_turnover_cai_-38"/>
    <x v="2"/>
    <n v="0.9"/>
    <n v="1"/>
    <n v="-40"/>
    <n v="940"/>
  </r>
  <r>
    <x v="22"/>
    <s v="conventional_turnover_cai_-37"/>
    <x v="3"/>
    <n v="0.9"/>
    <n v="1"/>
    <n v="-40"/>
    <n v="940"/>
  </r>
  <r>
    <x v="22"/>
    <s v="conventional_turnover_cai_-36"/>
    <x v="4"/>
    <n v="0.9"/>
    <n v="1"/>
    <n v="-40"/>
    <n v="940"/>
  </r>
  <r>
    <x v="22"/>
    <s v="conventional_turnover_cai_-35"/>
    <x v="5"/>
    <n v="0.9"/>
    <n v="1"/>
    <n v="-40"/>
    <n v="940"/>
  </r>
  <r>
    <x v="22"/>
    <s v="conventional_turnover_cai_-34"/>
    <x v="6"/>
    <n v="0.9"/>
    <n v="1"/>
    <n v="-40"/>
    <n v="940"/>
  </r>
  <r>
    <x v="22"/>
    <s v="conventional_turnover_cai_-33"/>
    <x v="7"/>
    <n v="0.9"/>
    <n v="1"/>
    <n v="-40"/>
    <n v="940"/>
  </r>
  <r>
    <x v="22"/>
    <s v="conventional_turnover_cai_-32"/>
    <x v="8"/>
    <n v="0.9"/>
    <n v="1"/>
    <n v="-40"/>
    <n v="940"/>
  </r>
  <r>
    <x v="22"/>
    <s v="conventional_turnover_cai_-31"/>
    <x v="9"/>
    <n v="0.9"/>
    <n v="1"/>
    <n v="-40"/>
    <n v="940"/>
  </r>
  <r>
    <x v="22"/>
    <s v="conventional_turnover_cai_-30"/>
    <x v="10"/>
    <n v="0.9"/>
    <n v="1"/>
    <n v="-40"/>
    <n v="940"/>
  </r>
  <r>
    <x v="22"/>
    <s v="conventional_turnover_cai_-29"/>
    <x v="11"/>
    <n v="0.9"/>
    <n v="1"/>
    <n v="-40"/>
    <n v="940"/>
  </r>
  <r>
    <x v="22"/>
    <s v="conventional_turnover_cai_-28"/>
    <x v="12"/>
    <n v="0.9"/>
    <n v="1"/>
    <n v="-40"/>
    <n v="940"/>
  </r>
  <r>
    <x v="22"/>
    <s v="conventional_turnover_cai_-27"/>
    <x v="13"/>
    <n v="0.9"/>
    <n v="1"/>
    <n v="-40"/>
    <n v="940"/>
  </r>
  <r>
    <x v="22"/>
    <s v="conventional_turnover_cai_-26"/>
    <x v="14"/>
    <n v="0.9"/>
    <n v="1"/>
    <n v="-40"/>
    <n v="940"/>
  </r>
  <r>
    <x v="22"/>
    <s v="conventional_turnover_cai_-25"/>
    <x v="15"/>
    <n v="0.9"/>
    <n v="1"/>
    <n v="-40"/>
    <n v="940"/>
  </r>
  <r>
    <x v="22"/>
    <s v="conventional_turnover_cai_-24"/>
    <x v="16"/>
    <n v="0.9"/>
    <n v="1"/>
    <n v="-40"/>
    <n v="940"/>
  </r>
  <r>
    <x v="22"/>
    <s v="conventional_turnover_cai_-23"/>
    <x v="17"/>
    <n v="0.9"/>
    <n v="1"/>
    <n v="-40"/>
    <n v="940"/>
  </r>
  <r>
    <x v="22"/>
    <s v="conventional_turnover_cai_-22"/>
    <x v="18"/>
    <n v="0.9"/>
    <n v="1"/>
    <n v="-40"/>
    <n v="940"/>
  </r>
  <r>
    <x v="22"/>
    <s v="conventional_turnover_cai_-21"/>
    <x v="19"/>
    <n v="0.9"/>
    <n v="1"/>
    <n v="-40"/>
    <n v="940"/>
  </r>
  <r>
    <x v="22"/>
    <s v="conventional_turnover_cai_-20"/>
    <x v="20"/>
    <n v="0.9"/>
    <n v="1"/>
    <n v="-40"/>
    <n v="940"/>
  </r>
  <r>
    <x v="22"/>
    <s v="conventional_turnover_cai_-19"/>
    <x v="21"/>
    <n v="0.9"/>
    <n v="1"/>
    <n v="-40"/>
    <n v="940"/>
  </r>
  <r>
    <x v="22"/>
    <s v="conventional_turnover_cai_-18"/>
    <x v="22"/>
    <n v="0.9"/>
    <n v="1"/>
    <n v="-40"/>
    <n v="940"/>
  </r>
  <r>
    <x v="22"/>
    <s v="conventional_turnover_cai_-17"/>
    <x v="23"/>
    <n v="0.9"/>
    <n v="1"/>
    <n v="-40"/>
    <n v="940"/>
  </r>
  <r>
    <x v="22"/>
    <s v="conventional_turnover_cai_-16"/>
    <x v="24"/>
    <n v="0.9"/>
    <n v="1"/>
    <n v="-40"/>
    <n v="940"/>
  </r>
  <r>
    <x v="22"/>
    <s v="conventional_turnover_cai_-15"/>
    <x v="25"/>
    <n v="0.9"/>
    <n v="1"/>
    <n v="-40"/>
    <n v="940"/>
  </r>
  <r>
    <x v="22"/>
    <s v="conventional_turnover_cai_-14"/>
    <x v="26"/>
    <n v="0.9"/>
    <n v="1"/>
    <n v="-40"/>
    <n v="940"/>
  </r>
  <r>
    <x v="22"/>
    <s v="conventional_turnover_cai_-13"/>
    <x v="27"/>
    <n v="0.9"/>
    <n v="1"/>
    <n v="-40"/>
    <n v="940"/>
  </r>
  <r>
    <x v="22"/>
    <s v="conventional_turnover_cai_-12"/>
    <x v="28"/>
    <n v="0.9"/>
    <n v="1"/>
    <n v="-40"/>
    <n v="940"/>
  </r>
  <r>
    <x v="22"/>
    <s v="conventional_turnover_cai_-11"/>
    <x v="29"/>
    <n v="0.9"/>
    <n v="1"/>
    <n v="-40"/>
    <n v="940"/>
  </r>
  <r>
    <x v="22"/>
    <s v="conventional_turnover_cai_-10"/>
    <x v="30"/>
    <n v="0.9"/>
    <n v="1"/>
    <n v="-40"/>
    <n v="940"/>
  </r>
  <r>
    <x v="22"/>
    <s v="conventional_turnover_cai_-9"/>
    <x v="31"/>
    <n v="0.9"/>
    <n v="1"/>
    <n v="-40"/>
    <n v="940"/>
  </r>
  <r>
    <x v="22"/>
    <s v="conventional_turnover_cai_-8"/>
    <x v="32"/>
    <n v="0.9"/>
    <n v="1"/>
    <n v="-40"/>
    <n v="940"/>
  </r>
  <r>
    <x v="22"/>
    <s v="conventional_turnover_cai_-7"/>
    <x v="33"/>
    <n v="0.9"/>
    <n v="1"/>
    <n v="-40"/>
    <n v="940"/>
  </r>
  <r>
    <x v="22"/>
    <s v="conventional_turnover_cai_-6"/>
    <x v="34"/>
    <n v="0.9"/>
    <n v="1"/>
    <n v="-40"/>
    <n v="940"/>
  </r>
  <r>
    <x v="22"/>
    <s v="conventional_turnover_cai_-5"/>
    <x v="35"/>
    <n v="0.9"/>
    <n v="1"/>
    <n v="-40"/>
    <n v="940"/>
  </r>
  <r>
    <x v="22"/>
    <s v="conventional_turnover_cai_-4"/>
    <x v="36"/>
    <n v="0.9"/>
    <n v="1"/>
    <n v="-40"/>
    <n v="940"/>
  </r>
  <r>
    <x v="22"/>
    <s v="conventional_turnover_cai_-3"/>
    <x v="37"/>
    <n v="0.9"/>
    <n v="1"/>
    <n v="-40"/>
    <n v="940"/>
  </r>
  <r>
    <x v="22"/>
    <s v="conventional_turnover_cai_-2"/>
    <x v="38"/>
    <n v="0.9"/>
    <n v="1"/>
    <n v="-40"/>
    <n v="940"/>
  </r>
  <r>
    <x v="22"/>
    <s v="conventional_turnover_cai_-1"/>
    <x v="39"/>
    <n v="0.9"/>
    <n v="1"/>
    <n v="-40"/>
    <n v="940"/>
  </r>
  <r>
    <x v="22"/>
    <s v="conventional_turnover_cai_0"/>
    <x v="40"/>
    <n v="0.9"/>
    <n v="1"/>
    <n v="-40"/>
    <n v="940"/>
  </r>
  <r>
    <x v="22"/>
    <s v="conventional_turnover_cai_1"/>
    <x v="41"/>
    <n v="0.9"/>
    <n v="1"/>
    <n v="-40"/>
    <n v="940"/>
  </r>
  <r>
    <x v="22"/>
    <s v="conventional_turnover_cai_2"/>
    <x v="42"/>
    <n v="0.9"/>
    <n v="1"/>
    <n v="-40"/>
    <n v="940"/>
  </r>
  <r>
    <x v="22"/>
    <s v="conventional_turnover_cai_3"/>
    <x v="43"/>
    <n v="0.9"/>
    <n v="1"/>
    <n v="-40"/>
    <n v="940"/>
  </r>
  <r>
    <x v="22"/>
    <s v="conventional_turnover_cai_4"/>
    <x v="44"/>
    <n v="0.9"/>
    <n v="1"/>
    <n v="-40"/>
    <n v="940"/>
  </r>
  <r>
    <x v="22"/>
    <s v="conventional_turnover_cai_5"/>
    <x v="45"/>
    <n v="0.9"/>
    <n v="1"/>
    <n v="-40"/>
    <n v="940"/>
  </r>
  <r>
    <x v="22"/>
    <s v="conventional_turnover_cai_6"/>
    <x v="46"/>
    <n v="0.9"/>
    <n v="1"/>
    <n v="-40"/>
    <n v="940"/>
  </r>
  <r>
    <x v="22"/>
    <s v="conventional_turnover_cai_7"/>
    <x v="47"/>
    <n v="0.9"/>
    <n v="1"/>
    <n v="-40"/>
    <n v="940"/>
  </r>
  <r>
    <x v="22"/>
    <s v="conventional_turnover_cai_8"/>
    <x v="48"/>
    <n v="0.9"/>
    <n v="1"/>
    <n v="-40"/>
    <n v="940"/>
  </r>
  <r>
    <x v="22"/>
    <s v="conventional_turnover_cai_9"/>
    <x v="49"/>
    <n v="0.9"/>
    <n v="1"/>
    <n v="-40"/>
    <n v="940"/>
  </r>
  <r>
    <x v="22"/>
    <s v="conventional_turnover_cai_10"/>
    <x v="50"/>
    <n v="0.9"/>
    <n v="1"/>
    <n v="-40"/>
    <n v="940"/>
  </r>
  <r>
    <x v="22"/>
    <s v="conventional_turnover_cai_11"/>
    <x v="51"/>
    <n v="0.9"/>
    <n v="1"/>
    <n v="-40"/>
    <n v="940"/>
  </r>
  <r>
    <x v="22"/>
    <s v="conventional_turnover_cai_12"/>
    <x v="52"/>
    <n v="0.9"/>
    <n v="1"/>
    <n v="-40"/>
    <n v="940"/>
  </r>
  <r>
    <x v="22"/>
    <s v="conventional_turnover_cai_13"/>
    <x v="53"/>
    <n v="0.9"/>
    <n v="1"/>
    <n v="-40"/>
    <n v="940"/>
  </r>
  <r>
    <x v="22"/>
    <s v="conventional_turnover_cai_14"/>
    <x v="54"/>
    <n v="0.9"/>
    <n v="1"/>
    <n v="-40"/>
    <n v="940"/>
  </r>
  <r>
    <x v="22"/>
    <s v="conventional_turnover_cai_15"/>
    <x v="55"/>
    <n v="0.9"/>
    <n v="1"/>
    <n v="-40"/>
    <n v="940"/>
  </r>
  <r>
    <x v="22"/>
    <s v="conventional_turnover_cai_16"/>
    <x v="56"/>
    <n v="0.9"/>
    <n v="1"/>
    <n v="-40"/>
    <n v="940"/>
  </r>
  <r>
    <x v="22"/>
    <s v="conventional_turnover_cai_17"/>
    <x v="57"/>
    <n v="0.9"/>
    <n v="1"/>
    <n v="-40"/>
    <n v="940"/>
  </r>
  <r>
    <x v="22"/>
    <s v="conventional_turnover_cai_18"/>
    <x v="58"/>
    <n v="0.9"/>
    <n v="1"/>
    <n v="-40"/>
    <n v="940"/>
  </r>
  <r>
    <x v="22"/>
    <s v="conventional_turnover_cai_19"/>
    <x v="59"/>
    <n v="0.9"/>
    <n v="1"/>
    <n v="-40"/>
    <n v="940"/>
  </r>
  <r>
    <x v="22"/>
    <s v="conventional_turnover_cai_20"/>
    <x v="60"/>
    <n v="0.9"/>
    <n v="1"/>
    <n v="-40"/>
    <n v="940"/>
  </r>
  <r>
    <x v="22"/>
    <s v="conventional_turnover_cai_21"/>
    <x v="61"/>
    <n v="0.9"/>
    <n v="1"/>
    <n v="-40"/>
    <n v="940"/>
  </r>
  <r>
    <x v="22"/>
    <s v="conventional_turnover_cai_22"/>
    <x v="62"/>
    <n v="0.9"/>
    <n v="1"/>
    <n v="-40"/>
    <n v="940"/>
  </r>
  <r>
    <x v="22"/>
    <s v="conventional_turnover_cai_23"/>
    <x v="63"/>
    <n v="0.9"/>
    <n v="1"/>
    <n v="-40"/>
    <n v="940"/>
  </r>
  <r>
    <x v="22"/>
    <s v="conventional_turnover_cai_24"/>
    <x v="64"/>
    <n v="0.9"/>
    <n v="1"/>
    <n v="-40"/>
    <n v="940"/>
  </r>
  <r>
    <x v="22"/>
    <s v="conventional_turnover_cai_25"/>
    <x v="65"/>
    <n v="0.9"/>
    <n v="1"/>
    <n v="-40"/>
    <n v="940"/>
  </r>
  <r>
    <x v="22"/>
    <s v="conventional_turnover_cai_26"/>
    <x v="66"/>
    <n v="0.9"/>
    <n v="1"/>
    <n v="-40"/>
    <n v="940"/>
  </r>
  <r>
    <x v="22"/>
    <s v="conventional_turnover_cai_27"/>
    <x v="67"/>
    <n v="0.9"/>
    <n v="1"/>
    <n v="-40"/>
    <n v="940"/>
  </r>
  <r>
    <x v="22"/>
    <s v="conventional_turnover_cai_28"/>
    <x v="68"/>
    <n v="0.9"/>
    <n v="1"/>
    <n v="-40"/>
    <n v="940"/>
  </r>
  <r>
    <x v="22"/>
    <s v="conventional_turnover_cai_29"/>
    <x v="69"/>
    <n v="0.9"/>
    <n v="1"/>
    <n v="-40"/>
    <n v="940"/>
  </r>
  <r>
    <x v="22"/>
    <s v="conventional_turnover_cai_30"/>
    <x v="70"/>
    <n v="0.9"/>
    <n v="1"/>
    <n v="-40"/>
    <n v="940"/>
  </r>
  <r>
    <x v="22"/>
    <s v="conventional_turnover_cai_31"/>
    <x v="71"/>
    <n v="0.9"/>
    <n v="1"/>
    <n v="-40"/>
    <n v="940"/>
  </r>
  <r>
    <x v="22"/>
    <s v="conventional_turnover_cai_32"/>
    <x v="72"/>
    <n v="0.9"/>
    <n v="1"/>
    <n v="-40"/>
    <n v="940"/>
  </r>
  <r>
    <x v="22"/>
    <s v="conventional_turnover_cai_33"/>
    <x v="73"/>
    <n v="0.9"/>
    <n v="1"/>
    <n v="-40"/>
    <n v="940"/>
  </r>
  <r>
    <x v="22"/>
    <s v="conventional_turnover_cai_34"/>
    <x v="74"/>
    <n v="0.9"/>
    <n v="1"/>
    <n v="-40"/>
    <n v="940"/>
  </r>
  <r>
    <x v="22"/>
    <s v="conventional_turnover_cai_35"/>
    <x v="75"/>
    <n v="0.9"/>
    <n v="1"/>
    <n v="-40"/>
    <n v="940"/>
  </r>
  <r>
    <x v="22"/>
    <s v="conventional_turnover_cai_36"/>
    <x v="76"/>
    <n v="0.9"/>
    <n v="1"/>
    <n v="-40"/>
    <n v="940"/>
  </r>
  <r>
    <x v="22"/>
    <s v="conventional_turnover_cai_37"/>
    <x v="77"/>
    <n v="0.9"/>
    <n v="1"/>
    <n v="-40"/>
    <n v="940"/>
  </r>
  <r>
    <x v="22"/>
    <s v="conventional_turnover_cai_38"/>
    <x v="78"/>
    <n v="0.9"/>
    <n v="1"/>
    <n v="-40"/>
    <n v="940"/>
  </r>
  <r>
    <x v="22"/>
    <s v="conventional_turnover_cai_39"/>
    <x v="79"/>
    <n v="0.9"/>
    <n v="1"/>
    <n v="-40"/>
    <n v="940"/>
  </r>
  <r>
    <x v="22"/>
    <s v="conventional_turnover_cai_40"/>
    <x v="80"/>
    <n v="0.9"/>
    <n v="1"/>
    <n v="-40"/>
    <n v="940"/>
  </r>
  <r>
    <x v="22"/>
    <s v="conventional_turnover_cai_41"/>
    <x v="81"/>
    <n v="0.9"/>
    <n v="1"/>
    <n v="-40"/>
    <n v="940"/>
  </r>
  <r>
    <x v="22"/>
    <s v="conventional_turnover_cai_42"/>
    <x v="82"/>
    <n v="0.9"/>
    <n v="1"/>
    <n v="-40"/>
    <n v="940"/>
  </r>
  <r>
    <x v="22"/>
    <s v="conventional_turnover_cai_43"/>
    <x v="83"/>
    <n v="0.9"/>
    <n v="1"/>
    <n v="-40"/>
    <n v="940"/>
  </r>
  <r>
    <x v="22"/>
    <s v="conventional_turnover_cai_44"/>
    <x v="84"/>
    <n v="0.9"/>
    <n v="1"/>
    <n v="-40"/>
    <n v="940"/>
  </r>
  <r>
    <x v="22"/>
    <s v="conventional_turnover_cai_45"/>
    <x v="85"/>
    <n v="0.9"/>
    <n v="1"/>
    <n v="-40"/>
    <n v="940"/>
  </r>
  <r>
    <x v="22"/>
    <s v="conventional_turnover_cai_46"/>
    <x v="86"/>
    <n v="0.9"/>
    <n v="1"/>
    <n v="-40"/>
    <n v="940"/>
  </r>
  <r>
    <x v="22"/>
    <s v="conventional_turnover_cai_47"/>
    <x v="87"/>
    <n v="0.9"/>
    <n v="1"/>
    <n v="-40"/>
    <n v="940"/>
  </r>
  <r>
    <x v="22"/>
    <s v="conventional_turnover_cai_48"/>
    <x v="88"/>
    <n v="0.9"/>
    <n v="1"/>
    <n v="-40"/>
    <n v="940"/>
  </r>
  <r>
    <x v="22"/>
    <s v="conventional_turnover_cai_49"/>
    <x v="89"/>
    <n v="0.9"/>
    <n v="1"/>
    <n v="-40"/>
    <n v="940"/>
  </r>
  <r>
    <x v="22"/>
    <s v="conventional_turnover_cai_50"/>
    <x v="90"/>
    <n v="0.9"/>
    <n v="1"/>
    <n v="-40"/>
    <n v="940"/>
  </r>
  <r>
    <x v="22"/>
    <s v="conventional_turnover_cai_51"/>
    <x v="91"/>
    <n v="0.9"/>
    <n v="1"/>
    <n v="-40"/>
    <n v="940"/>
  </r>
  <r>
    <x v="22"/>
    <s v="conventional_turnover_cai_52"/>
    <x v="92"/>
    <n v="0.9"/>
    <n v="1"/>
    <n v="-40"/>
    <n v="940"/>
  </r>
  <r>
    <x v="22"/>
    <s v="conventional_turnover_cai_53"/>
    <x v="93"/>
    <n v="0.9"/>
    <n v="1"/>
    <n v="-40"/>
    <n v="940"/>
  </r>
  <r>
    <x v="22"/>
    <s v="conventional_turnover_cai_54"/>
    <x v="94"/>
    <n v="0.9"/>
    <n v="1"/>
    <n v="-40"/>
    <n v="940"/>
  </r>
  <r>
    <x v="22"/>
    <s v="conventional_turnover_cai_55"/>
    <x v="95"/>
    <n v="0.9"/>
    <n v="1"/>
    <n v="-40"/>
    <n v="940"/>
  </r>
  <r>
    <x v="22"/>
    <s v="conventional_turnover_cai_56"/>
    <x v="96"/>
    <n v="0.9"/>
    <n v="1"/>
    <n v="-40"/>
    <n v="940"/>
  </r>
  <r>
    <x v="22"/>
    <s v="conventional_turnover_cai_57"/>
    <x v="97"/>
    <n v="0.9"/>
    <n v="1"/>
    <n v="-40"/>
    <n v="940"/>
  </r>
  <r>
    <x v="22"/>
    <s v="conventional_turnover_cai_58"/>
    <x v="98"/>
    <n v="0.9"/>
    <n v="1"/>
    <n v="-40"/>
    <n v="940"/>
  </r>
  <r>
    <x v="22"/>
    <s v="conventional_turnover_cai_59"/>
    <x v="99"/>
    <n v="0.9"/>
    <n v="1"/>
    <n v="-40"/>
    <n v="940"/>
  </r>
  <r>
    <x v="22"/>
    <s v="conventional_turnover_cai_60"/>
    <x v="100"/>
    <n v="0.9"/>
    <n v="1"/>
    <n v="-40"/>
    <n v="940"/>
  </r>
  <r>
    <x v="22"/>
    <s v="conventional_turnover_cai_61"/>
    <x v="101"/>
    <n v="0.9"/>
    <n v="1"/>
    <n v="-40"/>
    <n v="940"/>
  </r>
  <r>
    <x v="22"/>
    <s v="conventional_turnover_cai_62"/>
    <x v="102"/>
    <n v="0.9"/>
    <n v="1"/>
    <n v="-40"/>
    <n v="940"/>
  </r>
  <r>
    <x v="22"/>
    <s v="conventional_turnover_cai_63"/>
    <x v="103"/>
    <n v="0.9"/>
    <n v="1"/>
    <n v="-40"/>
    <n v="940"/>
  </r>
  <r>
    <x v="22"/>
    <s v="conventional_turnover_cai_64"/>
    <x v="104"/>
    <n v="0.9"/>
    <n v="1"/>
    <n v="-40"/>
    <n v="940"/>
  </r>
  <r>
    <x v="22"/>
    <s v="conventional_turnover_cai_65"/>
    <x v="105"/>
    <n v="0.9"/>
    <n v="1"/>
    <n v="-40"/>
    <n v="940"/>
  </r>
  <r>
    <x v="22"/>
    <s v="conventional_turnover_cai_66"/>
    <x v="106"/>
    <n v="0.9"/>
    <n v="1"/>
    <n v="-40"/>
    <n v="940"/>
  </r>
  <r>
    <x v="22"/>
    <s v="conventional_turnover_cai_67"/>
    <x v="107"/>
    <n v="0.9"/>
    <n v="1"/>
    <n v="-40"/>
    <n v="940"/>
  </r>
  <r>
    <x v="22"/>
    <s v="conventional_turnover_cai_68"/>
    <x v="108"/>
    <n v="0.9"/>
    <n v="1"/>
    <n v="-40"/>
    <n v="940"/>
  </r>
  <r>
    <x v="22"/>
    <s v="conventional_turnover_cai_69"/>
    <x v="109"/>
    <n v="0.9"/>
    <n v="1"/>
    <n v="-40"/>
    <n v="940"/>
  </r>
  <r>
    <x v="22"/>
    <s v="conventional_turnover_cai_70"/>
    <x v="110"/>
    <n v="0.9"/>
    <n v="1"/>
    <n v="-40"/>
    <n v="940"/>
  </r>
  <r>
    <x v="22"/>
    <s v="conventional_turnover_cai_71"/>
    <x v="111"/>
    <n v="0.9"/>
    <n v="1"/>
    <n v="-40"/>
    <n v="940"/>
  </r>
  <r>
    <x v="22"/>
    <s v="conventional_turnover_cai_72"/>
    <x v="112"/>
    <n v="0.9"/>
    <n v="1"/>
    <n v="-40"/>
    <n v="940"/>
  </r>
  <r>
    <x v="22"/>
    <s v="conventional_turnover_cai_73"/>
    <x v="113"/>
    <n v="0.9"/>
    <n v="1"/>
    <n v="-40"/>
    <n v="940"/>
  </r>
  <r>
    <x v="22"/>
    <s v="conventional_turnover_cai_74"/>
    <x v="114"/>
    <n v="0.9"/>
    <n v="1"/>
    <n v="-40"/>
    <n v="940"/>
  </r>
  <r>
    <x v="22"/>
    <s v="conventional_turnover_cai_75"/>
    <x v="115"/>
    <n v="0.9"/>
    <n v="1"/>
    <n v="-40"/>
    <n v="940"/>
  </r>
  <r>
    <x v="22"/>
    <s v="conventional_turnover_cai_76"/>
    <x v="116"/>
    <n v="0.9"/>
    <n v="1"/>
    <n v="-40"/>
    <n v="940"/>
  </r>
  <r>
    <x v="22"/>
    <s v="conventional_turnover_cai_77"/>
    <x v="117"/>
    <n v="0.9"/>
    <n v="1"/>
    <n v="-40"/>
    <n v="940"/>
  </r>
  <r>
    <x v="22"/>
    <s v="conventional_turnover_cai_78"/>
    <x v="118"/>
    <n v="0.9"/>
    <n v="1"/>
    <n v="-40"/>
    <n v="940"/>
  </r>
  <r>
    <x v="22"/>
    <s v="conventional_turnover_cai_79"/>
    <x v="119"/>
    <n v="0.9"/>
    <n v="1"/>
    <n v="-40"/>
    <n v="940"/>
  </r>
  <r>
    <x v="22"/>
    <s v="conventional_turnover_cai_80"/>
    <x v="120"/>
    <n v="0.9"/>
    <n v="1"/>
    <n v="-40"/>
    <n v="940"/>
  </r>
  <r>
    <x v="22"/>
    <s v="conventional_turnover_cai_81"/>
    <x v="121"/>
    <n v="0.9"/>
    <n v="1"/>
    <n v="-40"/>
    <n v="940"/>
  </r>
  <r>
    <x v="22"/>
    <s v="conventional_turnover_cai_82"/>
    <x v="122"/>
    <n v="0.9"/>
    <n v="1"/>
    <n v="-40"/>
    <n v="940"/>
  </r>
  <r>
    <x v="22"/>
    <s v="conventional_turnover_cai_83"/>
    <x v="123"/>
    <n v="0.9"/>
    <n v="1"/>
    <n v="-40"/>
    <n v="940"/>
  </r>
  <r>
    <x v="22"/>
    <s v="conventional_turnover_cai_84"/>
    <x v="124"/>
    <n v="0.9"/>
    <n v="1"/>
    <n v="-40"/>
    <n v="940"/>
  </r>
  <r>
    <x v="22"/>
    <s v="conventional_turnover_cai_85"/>
    <x v="125"/>
    <n v="0.9"/>
    <n v="1"/>
    <n v="-40"/>
    <n v="940"/>
  </r>
  <r>
    <x v="22"/>
    <s v="conventional_turnover_cai_86"/>
    <x v="126"/>
    <n v="0.9"/>
    <n v="1"/>
    <n v="-40"/>
    <n v="940"/>
  </r>
  <r>
    <x v="22"/>
    <s v="conventional_turnover_cai_87"/>
    <x v="127"/>
    <n v="0.9"/>
    <n v="1"/>
    <n v="-40"/>
    <n v="940"/>
  </r>
  <r>
    <x v="22"/>
    <s v="conventional_turnover_cai_88"/>
    <x v="128"/>
    <n v="0.9"/>
    <n v="1"/>
    <n v="-40"/>
    <n v="940"/>
  </r>
  <r>
    <x v="22"/>
    <s v="conventional_turnover_cai_89"/>
    <x v="129"/>
    <n v="0.9"/>
    <n v="1"/>
    <n v="-40"/>
    <n v="940"/>
  </r>
  <r>
    <x v="22"/>
    <s v="conventional_turnover_cai_90"/>
    <x v="130"/>
    <n v="0.9"/>
    <n v="1"/>
    <n v="-40"/>
    <n v="940"/>
  </r>
  <r>
    <x v="22"/>
    <s v="conventional_turnover_cai_91"/>
    <x v="131"/>
    <n v="0.9"/>
    <n v="1"/>
    <n v="-40"/>
    <n v="940"/>
  </r>
  <r>
    <x v="22"/>
    <s v="conventional_turnover_cai_92"/>
    <x v="132"/>
    <n v="0.9"/>
    <n v="1"/>
    <n v="-40"/>
    <n v="940"/>
  </r>
  <r>
    <x v="22"/>
    <s v="conventional_turnover_cai_93"/>
    <x v="133"/>
    <n v="0.9"/>
    <n v="1"/>
    <n v="-40"/>
    <n v="940"/>
  </r>
  <r>
    <x v="22"/>
    <s v="conventional_turnover_cai_94"/>
    <x v="134"/>
    <n v="0.9"/>
    <n v="1"/>
    <n v="-40"/>
    <n v="940"/>
  </r>
  <r>
    <x v="22"/>
    <s v="conventional_turnover_cai_95"/>
    <x v="135"/>
    <n v="0.9"/>
    <n v="1"/>
    <n v="-40"/>
    <n v="940"/>
  </r>
  <r>
    <x v="22"/>
    <s v="conventional_turnover_cai_96"/>
    <x v="136"/>
    <n v="0.9"/>
    <n v="1"/>
    <n v="-40"/>
    <n v="940"/>
  </r>
  <r>
    <x v="22"/>
    <s v="conventional_turnover_cai_97"/>
    <x v="137"/>
    <n v="0.9"/>
    <n v="1"/>
    <n v="-40"/>
    <n v="940"/>
  </r>
  <r>
    <x v="22"/>
    <s v="conventional_turnover_cai_98"/>
    <x v="138"/>
    <n v="0.9"/>
    <n v="1"/>
    <n v="-40"/>
    <n v="940"/>
  </r>
  <r>
    <x v="22"/>
    <s v="conventional_turnover_cai_99"/>
    <x v="139"/>
    <n v="0.9"/>
    <n v="1"/>
    <n v="-40"/>
    <n v="940"/>
  </r>
  <r>
    <x v="22"/>
    <s v="conventional_turnover_cai_100"/>
    <x v="140"/>
    <n v="0.9"/>
    <n v="1"/>
    <n v="-40"/>
    <n v="940"/>
  </r>
  <r>
    <x v="22"/>
    <s v="conventional_turnover_cai_101"/>
    <x v="141"/>
    <n v="0.9"/>
    <n v="1"/>
    <n v="-40"/>
    <n v="940"/>
  </r>
  <r>
    <x v="22"/>
    <s v="conventional_turnover_cai_102"/>
    <x v="142"/>
    <n v="0.9"/>
    <n v="1"/>
    <n v="-40"/>
    <n v="940"/>
  </r>
  <r>
    <x v="22"/>
    <s v="conventional_turnover_cai_103"/>
    <x v="143"/>
    <n v="0.9"/>
    <n v="1"/>
    <n v="-40"/>
    <n v="940"/>
  </r>
  <r>
    <x v="22"/>
    <s v="conventional_turnover_cai_104"/>
    <x v="144"/>
    <n v="0.9"/>
    <n v="1"/>
    <n v="-40"/>
    <n v="940"/>
  </r>
  <r>
    <x v="22"/>
    <s v="conventional_turnover_cai_105"/>
    <x v="145"/>
    <n v="0.9"/>
    <n v="1"/>
    <n v="-40"/>
    <n v="940"/>
  </r>
  <r>
    <x v="22"/>
    <s v="conventional_turnover_cai_106"/>
    <x v="146"/>
    <n v="0.9"/>
    <n v="1"/>
    <n v="-40"/>
    <n v="940"/>
  </r>
  <r>
    <x v="22"/>
    <s v="conventional_turnover_cai_107"/>
    <x v="147"/>
    <n v="0.9"/>
    <n v="1"/>
    <n v="-40"/>
    <n v="940"/>
  </r>
  <r>
    <x v="22"/>
    <s v="conventional_turnover_cai_108"/>
    <x v="148"/>
    <n v="0.9"/>
    <n v="1"/>
    <n v="-40"/>
    <n v="940"/>
  </r>
  <r>
    <x v="22"/>
    <s v="conventional_turnover_cai_109"/>
    <x v="149"/>
    <n v="0.9"/>
    <n v="1"/>
    <n v="-40"/>
    <n v="940"/>
  </r>
  <r>
    <x v="22"/>
    <s v="conventional_turnover_cai_110"/>
    <x v="150"/>
    <n v="0.9"/>
    <n v="1"/>
    <n v="-40"/>
    <n v="940"/>
  </r>
  <r>
    <x v="22"/>
    <s v="conventional_turnover_cai_111"/>
    <x v="151"/>
    <n v="0.9"/>
    <n v="1"/>
    <n v="-40"/>
    <n v="940"/>
  </r>
  <r>
    <x v="22"/>
    <s v="conventional_turnover_cai_112"/>
    <x v="152"/>
    <n v="0.9"/>
    <n v="1"/>
    <n v="-40"/>
    <n v="940"/>
  </r>
  <r>
    <x v="22"/>
    <s v="conventional_turnover_cai_113"/>
    <x v="153"/>
    <n v="0.9"/>
    <n v="1"/>
    <n v="-40"/>
    <n v="940"/>
  </r>
  <r>
    <x v="22"/>
    <s v="conventional_turnover_cai_114"/>
    <x v="154"/>
    <n v="0.9"/>
    <n v="1"/>
    <n v="-40"/>
    <n v="940"/>
  </r>
  <r>
    <x v="22"/>
    <s v="conventional_turnover_cai_115"/>
    <x v="155"/>
    <n v="0.9"/>
    <n v="1"/>
    <n v="-40"/>
    <n v="940"/>
  </r>
  <r>
    <x v="22"/>
    <s v="conventional_turnover_cai_116"/>
    <x v="156"/>
    <n v="0.9"/>
    <n v="1"/>
    <n v="-40"/>
    <n v="940"/>
  </r>
  <r>
    <x v="22"/>
    <s v="conventional_turnover_cai_117"/>
    <x v="157"/>
    <n v="0.9"/>
    <n v="1"/>
    <n v="-40"/>
    <n v="940"/>
  </r>
  <r>
    <x v="22"/>
    <s v="conventional_turnover_cai_118"/>
    <x v="158"/>
    <n v="0.9"/>
    <n v="1"/>
    <n v="-40"/>
    <n v="940"/>
  </r>
  <r>
    <x v="22"/>
    <s v="conventional_turnover_cai_119"/>
    <x v="159"/>
    <n v="0.9"/>
    <n v="1"/>
    <n v="-40"/>
    <n v="940"/>
  </r>
  <r>
    <x v="22"/>
    <s v="conventional_turnover_cai_120"/>
    <x v="160"/>
    <n v="0.9"/>
    <n v="1"/>
    <n v="-40"/>
    <n v="940"/>
  </r>
  <r>
    <x v="22"/>
    <s v="conventional_turnover_cai_121"/>
    <x v="161"/>
    <n v="0.9"/>
    <n v="1"/>
    <n v="-40"/>
    <n v="940"/>
  </r>
  <r>
    <x v="22"/>
    <s v="conventional_turnover_cai_122"/>
    <x v="162"/>
    <n v="0.9"/>
    <n v="1"/>
    <n v="-40"/>
    <n v="940"/>
  </r>
  <r>
    <x v="22"/>
    <s v="conventional_turnover_cai_123"/>
    <x v="163"/>
    <n v="0.9"/>
    <n v="1"/>
    <n v="-40"/>
    <n v="940"/>
  </r>
  <r>
    <x v="22"/>
    <s v="conventional_turnover_cai_124"/>
    <x v="164"/>
    <n v="0.9"/>
    <n v="1"/>
    <n v="-40"/>
    <n v="940"/>
  </r>
  <r>
    <x v="22"/>
    <s v="conventional_turnover_cai_125"/>
    <x v="165"/>
    <n v="0.9"/>
    <n v="1"/>
    <n v="-40"/>
    <n v="940"/>
  </r>
  <r>
    <x v="22"/>
    <s v="conventional_turnover_cai_126"/>
    <x v="166"/>
    <n v="0.9"/>
    <n v="1"/>
    <n v="-40"/>
    <n v="940"/>
  </r>
  <r>
    <x v="22"/>
    <s v="conventional_turnover_cai_127"/>
    <x v="167"/>
    <n v="0.9"/>
    <n v="1"/>
    <n v="-40"/>
    <n v="940"/>
  </r>
  <r>
    <x v="22"/>
    <s v="conventional_turnover_cai_128"/>
    <x v="168"/>
    <n v="0.9"/>
    <n v="1"/>
    <n v="-40"/>
    <n v="940"/>
  </r>
  <r>
    <x v="22"/>
    <s v="conventional_turnover_cai_129"/>
    <x v="169"/>
    <n v="0.9"/>
    <n v="1"/>
    <n v="-40"/>
    <n v="940"/>
  </r>
  <r>
    <x v="22"/>
    <s v="conventional_turnover_cai_130"/>
    <x v="170"/>
    <n v="0.9"/>
    <n v="1"/>
    <n v="-40"/>
    <n v="940"/>
  </r>
  <r>
    <x v="22"/>
    <s v="conventional_turnover_cai_131"/>
    <x v="171"/>
    <n v="0.9"/>
    <n v="1"/>
    <n v="-40"/>
    <n v="940"/>
  </r>
  <r>
    <x v="22"/>
    <s v="conventional_turnover_cai_132"/>
    <x v="172"/>
    <n v="0.9"/>
    <n v="1"/>
    <n v="-40"/>
    <n v="940"/>
  </r>
  <r>
    <x v="22"/>
    <s v="conventional_turnover_cai_133"/>
    <x v="173"/>
    <n v="0.9"/>
    <n v="1"/>
    <n v="-40"/>
    <n v="940"/>
  </r>
  <r>
    <x v="22"/>
    <s v="conventional_turnover_cai_134"/>
    <x v="174"/>
    <n v="0.9"/>
    <n v="1"/>
    <n v="-40"/>
    <n v="940"/>
  </r>
  <r>
    <x v="22"/>
    <s v="conventional_turnover_cai_135"/>
    <x v="175"/>
    <n v="0.9"/>
    <n v="1"/>
    <n v="-40"/>
    <n v="940"/>
  </r>
  <r>
    <x v="22"/>
    <s v="conventional_turnover_cai_136"/>
    <x v="176"/>
    <n v="0.9"/>
    <n v="1"/>
    <n v="-40"/>
    <n v="940"/>
  </r>
  <r>
    <x v="22"/>
    <s v="conventional_turnover_cai_137"/>
    <x v="177"/>
    <n v="0.9"/>
    <n v="1"/>
    <n v="-40"/>
    <n v="940"/>
  </r>
  <r>
    <x v="22"/>
    <s v="conventional_turnover_cai_138"/>
    <x v="178"/>
    <n v="0.9"/>
    <n v="1"/>
    <n v="-40"/>
    <n v="940"/>
  </r>
  <r>
    <x v="22"/>
    <s v="conventional_turnover_cai_139"/>
    <x v="179"/>
    <n v="0.9"/>
    <n v="1"/>
    <n v="-40"/>
    <n v="940"/>
  </r>
  <r>
    <x v="22"/>
    <s v="conventional_turnover_cai_140"/>
    <x v="180"/>
    <n v="0.9"/>
    <n v="1"/>
    <n v="-40"/>
    <n v="940"/>
  </r>
  <r>
    <x v="22"/>
    <s v="conventional_turnover_cai_141"/>
    <x v="181"/>
    <n v="0.9"/>
    <n v="1"/>
    <n v="-40"/>
    <n v="940"/>
  </r>
  <r>
    <x v="22"/>
    <s v="conventional_turnover_cai_142"/>
    <x v="182"/>
    <n v="0.9"/>
    <n v="1"/>
    <n v="-40"/>
    <n v="940"/>
  </r>
  <r>
    <x v="22"/>
    <s v="conventional_turnover_cai_143"/>
    <x v="183"/>
    <n v="0.9"/>
    <n v="1"/>
    <n v="-40"/>
    <n v="940"/>
  </r>
  <r>
    <x v="22"/>
    <s v="conventional_turnover_cai_144"/>
    <x v="184"/>
    <n v="0.9"/>
    <n v="1"/>
    <n v="-40"/>
    <n v="940"/>
  </r>
  <r>
    <x v="22"/>
    <s v="conventional_turnover_cai_145"/>
    <x v="185"/>
    <n v="0.9"/>
    <n v="1"/>
    <n v="-40"/>
    <n v="940"/>
  </r>
  <r>
    <x v="22"/>
    <s v="conventional_turnover_cai_146"/>
    <x v="186"/>
    <n v="0.9"/>
    <n v="1"/>
    <n v="-40"/>
    <n v="940"/>
  </r>
  <r>
    <x v="22"/>
    <s v="conventional_turnover_cai_147"/>
    <x v="187"/>
    <n v="0.9"/>
    <n v="1"/>
    <n v="-40"/>
    <n v="940"/>
  </r>
  <r>
    <x v="22"/>
    <s v="conventional_turnover_cai_148"/>
    <x v="188"/>
    <n v="0.9"/>
    <n v="1"/>
    <n v="-40"/>
    <n v="940"/>
  </r>
  <r>
    <x v="22"/>
    <s v="conventional_turnover_cai_149"/>
    <x v="189"/>
    <n v="0.9"/>
    <n v="1"/>
    <n v="-40"/>
    <n v="940"/>
  </r>
  <r>
    <x v="22"/>
    <s v="conventional_turnover_cai_150"/>
    <x v="190"/>
    <n v="0.9"/>
    <n v="1"/>
    <n v="-40"/>
    <n v="940"/>
  </r>
  <r>
    <x v="22"/>
    <s v="conventional_turnover_cai_151"/>
    <x v="191"/>
    <n v="0.9"/>
    <n v="1"/>
    <n v="-40"/>
    <n v="940"/>
  </r>
  <r>
    <x v="22"/>
    <s v="conventional_turnover_cai_152"/>
    <x v="192"/>
    <n v="0.9"/>
    <n v="1"/>
    <n v="-40"/>
    <n v="940"/>
  </r>
  <r>
    <x v="22"/>
    <s v="conventional_turnover_cai_153"/>
    <x v="193"/>
    <n v="0.9"/>
    <n v="1"/>
    <n v="-40"/>
    <n v="940"/>
  </r>
  <r>
    <x v="22"/>
    <s v="conventional_turnover_cai_154"/>
    <x v="194"/>
    <n v="0.9"/>
    <n v="1"/>
    <n v="-40"/>
    <n v="940"/>
  </r>
  <r>
    <x v="22"/>
    <s v="conventional_turnover_cai_155"/>
    <x v="195"/>
    <n v="0.9"/>
    <n v="1"/>
    <n v="-40"/>
    <n v="940"/>
  </r>
  <r>
    <x v="22"/>
    <s v="conventional_turnover_cai_156"/>
    <x v="196"/>
    <n v="0.9"/>
    <n v="1"/>
    <n v="-40"/>
    <n v="940"/>
  </r>
  <r>
    <x v="22"/>
    <s v="conventional_turnover_cai_157"/>
    <x v="197"/>
    <n v="0.9"/>
    <n v="1"/>
    <n v="-40"/>
    <n v="940"/>
  </r>
  <r>
    <x v="22"/>
    <s v="conventional_turnover_cai_158"/>
    <x v="198"/>
    <n v="0.9"/>
    <n v="1"/>
    <n v="-40"/>
    <n v="940"/>
  </r>
  <r>
    <x v="22"/>
    <s v="conventional_turnover_cai_159"/>
    <x v="199"/>
    <n v="0.9"/>
    <n v="1"/>
    <n v="-40"/>
    <n v="940"/>
  </r>
  <r>
    <x v="22"/>
    <s v="conventional_turnover_cai_160"/>
    <x v="200"/>
    <n v="0.9"/>
    <n v="1"/>
    <n v="-40"/>
    <n v="940"/>
  </r>
  <r>
    <x v="22"/>
    <s v="conventional_turnover_cai_161"/>
    <x v="201"/>
    <n v="0.9"/>
    <n v="1"/>
    <n v="-40"/>
    <n v="940"/>
  </r>
  <r>
    <x v="22"/>
    <s v="conventional_turnover_cai_162"/>
    <x v="202"/>
    <n v="0.9"/>
    <n v="1"/>
    <n v="-40"/>
    <n v="940"/>
  </r>
  <r>
    <x v="22"/>
    <s v="conventional_turnover_cai_163"/>
    <x v="203"/>
    <n v="0.9"/>
    <n v="1"/>
    <n v="-40"/>
    <n v="940"/>
  </r>
  <r>
    <x v="22"/>
    <s v="conventional_turnover_cai_164"/>
    <x v="204"/>
    <n v="0.9"/>
    <n v="1"/>
    <n v="-40"/>
    <n v="940"/>
  </r>
  <r>
    <x v="22"/>
    <s v="conventional_turnover_cai_165"/>
    <x v="205"/>
    <n v="0.9"/>
    <n v="1"/>
    <n v="-40"/>
    <n v="940"/>
  </r>
  <r>
    <x v="22"/>
    <s v="conventional_turnover_cai_166"/>
    <x v="206"/>
    <n v="0.9"/>
    <n v="1"/>
    <n v="-40"/>
    <n v="940"/>
  </r>
  <r>
    <x v="22"/>
    <s v="conventional_turnover_cai_167"/>
    <x v="207"/>
    <n v="0.9"/>
    <n v="1"/>
    <n v="-40"/>
    <n v="940"/>
  </r>
  <r>
    <x v="22"/>
    <s v="conventional_turnover_cai_168"/>
    <x v="208"/>
    <n v="0.9"/>
    <n v="1"/>
    <n v="-40"/>
    <n v="940"/>
  </r>
  <r>
    <x v="22"/>
    <s v="conventional_turnover_cai_169"/>
    <x v="209"/>
    <n v="0.9"/>
    <n v="1"/>
    <n v="-40"/>
    <n v="940"/>
  </r>
  <r>
    <x v="22"/>
    <s v="conventional_turnover_cai_170"/>
    <x v="210"/>
    <n v="0.9"/>
    <n v="1"/>
    <n v="-40"/>
    <n v="940"/>
  </r>
  <r>
    <x v="22"/>
    <s v="conventional_turnover_cai_171"/>
    <x v="211"/>
    <n v="0.9"/>
    <n v="1"/>
    <n v="-40"/>
    <n v="940"/>
  </r>
  <r>
    <x v="22"/>
    <s v="conventional_turnover_cai_172"/>
    <x v="212"/>
    <n v="0.9"/>
    <n v="1"/>
    <n v="-40"/>
    <n v="940"/>
  </r>
  <r>
    <x v="22"/>
    <s v="conventional_turnover_cai_173"/>
    <x v="213"/>
    <n v="0.9"/>
    <n v="1"/>
    <n v="-40"/>
    <n v="940"/>
  </r>
  <r>
    <x v="22"/>
    <s v="conventional_turnover_cai_174"/>
    <x v="214"/>
    <n v="0.9"/>
    <n v="1"/>
    <n v="-40"/>
    <n v="940"/>
  </r>
  <r>
    <x v="22"/>
    <s v="conventional_turnover_cai_175"/>
    <x v="215"/>
    <n v="0.9"/>
    <n v="1"/>
    <n v="-40"/>
    <n v="940"/>
  </r>
  <r>
    <x v="22"/>
    <s v="conventional_turnover_cai_176"/>
    <x v="216"/>
    <n v="0.9"/>
    <n v="1"/>
    <n v="-40"/>
    <n v="940"/>
  </r>
  <r>
    <x v="22"/>
    <s v="conventional_turnover_cai_177"/>
    <x v="217"/>
    <n v="0.9"/>
    <n v="1"/>
    <n v="-40"/>
    <n v="940"/>
  </r>
  <r>
    <x v="22"/>
    <s v="conventional_turnover_cai_178"/>
    <x v="218"/>
    <n v="0.9"/>
    <n v="1"/>
    <n v="-40"/>
    <n v="940"/>
  </r>
  <r>
    <x v="22"/>
    <s v="conventional_turnover_cai_179"/>
    <x v="219"/>
    <n v="0.9"/>
    <n v="1"/>
    <n v="-40"/>
    <n v="940"/>
  </r>
  <r>
    <x v="22"/>
    <s v="conventional_turnover_cai_180"/>
    <x v="220"/>
    <n v="0.9"/>
    <n v="1"/>
    <n v="-40"/>
    <n v="940"/>
  </r>
  <r>
    <x v="22"/>
    <s v="conventional_turnover_cai_181"/>
    <x v="221"/>
    <n v="0.9"/>
    <n v="1"/>
    <n v="-40"/>
    <n v="940"/>
  </r>
  <r>
    <x v="22"/>
    <s v="conventional_turnover_cai_182"/>
    <x v="222"/>
    <n v="0.9"/>
    <n v="1"/>
    <n v="-40"/>
    <n v="940"/>
  </r>
  <r>
    <x v="22"/>
    <s v="conventional_turnover_cai_183"/>
    <x v="223"/>
    <n v="0.9"/>
    <n v="1"/>
    <n v="-40"/>
    <n v="940"/>
  </r>
  <r>
    <x v="22"/>
    <s v="conventional_turnover_cai_184"/>
    <x v="224"/>
    <n v="0.9"/>
    <n v="1"/>
    <n v="-40"/>
    <n v="940"/>
  </r>
  <r>
    <x v="22"/>
    <s v="conventional_turnover_cai_185"/>
    <x v="225"/>
    <n v="0.9"/>
    <n v="1"/>
    <n v="-40"/>
    <n v="940"/>
  </r>
  <r>
    <x v="22"/>
    <s v="conventional_turnover_cai_186"/>
    <x v="226"/>
    <n v="0.9"/>
    <n v="1"/>
    <n v="-40"/>
    <n v="940"/>
  </r>
  <r>
    <x v="22"/>
    <s v="conventional_turnover_cai_187"/>
    <x v="227"/>
    <n v="0.9"/>
    <n v="1"/>
    <n v="-40"/>
    <n v="940"/>
  </r>
  <r>
    <x v="22"/>
    <s v="conventional_turnover_cai_188"/>
    <x v="228"/>
    <n v="0.9"/>
    <n v="1"/>
    <n v="-40"/>
    <n v="940"/>
  </r>
  <r>
    <x v="22"/>
    <s v="conventional_turnover_cai_189"/>
    <x v="229"/>
    <n v="0.9"/>
    <n v="1"/>
    <n v="-40"/>
    <n v="940"/>
  </r>
  <r>
    <x v="22"/>
    <s v="conventional_turnover_cai_190"/>
    <x v="230"/>
    <n v="0.9"/>
    <n v="1"/>
    <n v="-40"/>
    <n v="940"/>
  </r>
  <r>
    <x v="22"/>
    <s v="conventional_turnover_cai_191"/>
    <x v="231"/>
    <n v="0.9"/>
    <n v="1"/>
    <n v="-40"/>
    <n v="940"/>
  </r>
  <r>
    <x v="22"/>
    <s v="conventional_turnover_cai_192"/>
    <x v="232"/>
    <n v="0.9"/>
    <n v="1"/>
    <n v="-40"/>
    <n v="940"/>
  </r>
  <r>
    <x v="22"/>
    <s v="conventional_turnover_cai_193"/>
    <x v="233"/>
    <n v="0.9"/>
    <n v="1"/>
    <n v="-40"/>
    <n v="940"/>
  </r>
  <r>
    <x v="22"/>
    <s v="conventional_turnover_cai_194"/>
    <x v="234"/>
    <n v="0.9"/>
    <n v="1"/>
    <n v="-40"/>
    <n v="940"/>
  </r>
  <r>
    <x v="22"/>
    <s v="conventional_turnover_cai_195"/>
    <x v="235"/>
    <n v="0.9"/>
    <n v="1"/>
    <n v="-40"/>
    <n v="940"/>
  </r>
  <r>
    <x v="22"/>
    <s v="conventional_turnover_cai_196"/>
    <x v="236"/>
    <n v="0.9"/>
    <n v="1"/>
    <n v="-40"/>
    <n v="940"/>
  </r>
  <r>
    <x v="22"/>
    <s v="conventional_turnover_cai_197"/>
    <x v="237"/>
    <n v="0.9"/>
    <n v="1"/>
    <n v="-40"/>
    <n v="940"/>
  </r>
  <r>
    <x v="22"/>
    <s v="conventional_turnover_cai_198"/>
    <x v="238"/>
    <n v="0.9"/>
    <n v="1"/>
    <n v="-40"/>
    <n v="940"/>
  </r>
  <r>
    <x v="22"/>
    <s v="conventional_turnover_cai_199"/>
    <x v="239"/>
    <n v="0.9"/>
    <n v="1"/>
    <n v="-40"/>
    <n v="940"/>
  </r>
  <r>
    <x v="22"/>
    <s v="conventional_turnover_cai_200"/>
    <x v="240"/>
    <n v="0.9"/>
    <n v="1"/>
    <n v="-40"/>
    <n v="940"/>
  </r>
  <r>
    <x v="22"/>
    <s v="conventional_turnover_cai_201"/>
    <x v="241"/>
    <n v="0.9"/>
    <n v="1"/>
    <n v="-40"/>
    <n v="940"/>
  </r>
  <r>
    <x v="22"/>
    <s v="conventional_turnover_cai_202"/>
    <x v="242"/>
    <n v="0.9"/>
    <n v="1"/>
    <n v="-40"/>
    <n v="940"/>
  </r>
  <r>
    <x v="22"/>
    <s v="conventional_turnover_cai_203"/>
    <x v="243"/>
    <n v="0.9"/>
    <n v="1"/>
    <n v="-40"/>
    <n v="940"/>
  </r>
  <r>
    <x v="22"/>
    <s v="conventional_turnover_cai_204"/>
    <x v="244"/>
    <n v="0.9"/>
    <n v="1"/>
    <n v="-40"/>
    <n v="940"/>
  </r>
  <r>
    <x v="22"/>
    <s v="conventional_turnover_cai_205"/>
    <x v="245"/>
    <n v="0.9"/>
    <n v="1"/>
    <n v="-40"/>
    <n v="940"/>
  </r>
  <r>
    <x v="22"/>
    <s v="conventional_turnover_cai_206"/>
    <x v="246"/>
    <n v="0.9"/>
    <n v="1"/>
    <n v="-40"/>
    <n v="940"/>
  </r>
  <r>
    <x v="22"/>
    <s v="conventional_turnover_cai_207"/>
    <x v="247"/>
    <n v="0.9"/>
    <n v="1"/>
    <n v="-40"/>
    <n v="940"/>
  </r>
  <r>
    <x v="22"/>
    <s v="conventional_turnover_cai_208"/>
    <x v="248"/>
    <n v="0.9"/>
    <n v="1"/>
    <n v="-40"/>
    <n v="940"/>
  </r>
  <r>
    <x v="22"/>
    <s v="conventional_turnover_cai_209"/>
    <x v="249"/>
    <n v="0.9"/>
    <n v="1"/>
    <n v="-40"/>
    <n v="940"/>
  </r>
  <r>
    <x v="22"/>
    <s v="conventional_turnover_cai_210"/>
    <x v="250"/>
    <n v="0.9"/>
    <n v="1"/>
    <n v="-40"/>
    <n v="940"/>
  </r>
  <r>
    <x v="22"/>
    <s v="conventional_turnover_cai_211"/>
    <x v="251"/>
    <n v="0.9"/>
    <n v="1"/>
    <n v="-40"/>
    <n v="940"/>
  </r>
  <r>
    <x v="22"/>
    <s v="conventional_turnover_cai_212"/>
    <x v="252"/>
    <n v="0.9"/>
    <n v="1"/>
    <n v="-40"/>
    <n v="940"/>
  </r>
  <r>
    <x v="22"/>
    <s v="conventional_turnover_cai_213"/>
    <x v="253"/>
    <n v="0.9"/>
    <n v="1"/>
    <n v="-40"/>
    <n v="940"/>
  </r>
  <r>
    <x v="22"/>
    <s v="conventional_turnover_cai_214"/>
    <x v="254"/>
    <n v="0.9"/>
    <n v="1"/>
    <n v="-40"/>
    <n v="940"/>
  </r>
  <r>
    <x v="22"/>
    <s v="conventional_turnover_cai_215"/>
    <x v="255"/>
    <n v="0.9"/>
    <n v="1"/>
    <n v="-40"/>
    <n v="940"/>
  </r>
  <r>
    <x v="22"/>
    <s v="conventional_turnover_cai_216"/>
    <x v="256"/>
    <n v="0.9"/>
    <n v="1"/>
    <n v="-40"/>
    <n v="940"/>
  </r>
  <r>
    <x v="22"/>
    <s v="conventional_turnover_cai_217"/>
    <x v="257"/>
    <n v="0.9"/>
    <n v="1"/>
    <n v="-40"/>
    <n v="940"/>
  </r>
  <r>
    <x v="22"/>
    <s v="conventional_turnover_cai_218"/>
    <x v="258"/>
    <n v="0.9"/>
    <n v="1"/>
    <n v="-40"/>
    <n v="940"/>
  </r>
  <r>
    <x v="22"/>
    <s v="conventional_turnover_cai_219"/>
    <x v="259"/>
    <n v="0.9"/>
    <n v="1"/>
    <n v="-40"/>
    <n v="940"/>
  </r>
  <r>
    <x v="22"/>
    <s v="conventional_turnover_cai_220"/>
    <x v="260"/>
    <n v="0.9"/>
    <n v="1"/>
    <n v="-40"/>
    <n v="940"/>
  </r>
  <r>
    <x v="22"/>
    <s v="conventional_turnover_cai_221"/>
    <x v="261"/>
    <n v="0.9"/>
    <n v="1"/>
    <n v="-40"/>
    <n v="940"/>
  </r>
  <r>
    <x v="22"/>
    <s v="conventional_turnover_cai_222"/>
    <x v="262"/>
    <n v="0.9"/>
    <n v="1"/>
    <n v="-40"/>
    <n v="940"/>
  </r>
  <r>
    <x v="22"/>
    <s v="conventional_turnover_cai_223"/>
    <x v="263"/>
    <n v="0.9"/>
    <n v="1"/>
    <n v="-40"/>
    <n v="940"/>
  </r>
  <r>
    <x v="22"/>
    <s v="conventional_turnover_cai_224"/>
    <x v="264"/>
    <n v="0.9"/>
    <n v="1"/>
    <n v="-40"/>
    <n v="940"/>
  </r>
  <r>
    <x v="22"/>
    <s v="conventional_turnover_cai_225"/>
    <x v="265"/>
    <n v="0.9"/>
    <n v="1"/>
    <n v="-40"/>
    <n v="940"/>
  </r>
  <r>
    <x v="22"/>
    <s v="conventional_turnover_cai_226"/>
    <x v="266"/>
    <n v="0.9"/>
    <n v="1"/>
    <n v="-40"/>
    <n v="940"/>
  </r>
  <r>
    <x v="22"/>
    <s v="conventional_turnover_cai_227"/>
    <x v="267"/>
    <n v="0.9"/>
    <n v="1"/>
    <n v="-40"/>
    <n v="940"/>
  </r>
  <r>
    <x v="22"/>
    <s v="conventional_turnover_cai_228"/>
    <x v="268"/>
    <n v="0.9"/>
    <n v="1"/>
    <n v="-40"/>
    <n v="940"/>
  </r>
  <r>
    <x v="22"/>
    <s v="conventional_turnover_cai_229"/>
    <x v="269"/>
    <n v="0.9"/>
    <n v="1"/>
    <n v="-40"/>
    <n v="940"/>
  </r>
  <r>
    <x v="22"/>
    <s v="conventional_turnover_cai_230"/>
    <x v="270"/>
    <n v="0.9"/>
    <n v="1"/>
    <n v="-40"/>
    <n v="940"/>
  </r>
  <r>
    <x v="22"/>
    <s v="conventional_turnover_cai_231"/>
    <x v="271"/>
    <n v="0.9"/>
    <n v="1"/>
    <n v="-40"/>
    <n v="940"/>
  </r>
  <r>
    <x v="22"/>
    <s v="conventional_turnover_cai_232"/>
    <x v="272"/>
    <n v="0.9"/>
    <n v="1"/>
    <n v="-40"/>
    <n v="940"/>
  </r>
  <r>
    <x v="22"/>
    <s v="conventional_turnover_cai_233"/>
    <x v="273"/>
    <n v="0.9"/>
    <n v="1"/>
    <n v="-40"/>
    <n v="940"/>
  </r>
  <r>
    <x v="22"/>
    <s v="conventional_turnover_cai_234"/>
    <x v="274"/>
    <n v="0.9"/>
    <n v="1"/>
    <n v="-40"/>
    <n v="940"/>
  </r>
  <r>
    <x v="22"/>
    <s v="conventional_turnover_cai_235"/>
    <x v="275"/>
    <n v="0.9"/>
    <n v="1"/>
    <n v="-40"/>
    <n v="940"/>
  </r>
  <r>
    <x v="22"/>
    <s v="conventional_turnover_cai_236"/>
    <x v="276"/>
    <n v="0.9"/>
    <n v="1"/>
    <n v="-40"/>
    <n v="940"/>
  </r>
  <r>
    <x v="22"/>
    <s v="conventional_turnover_cai_237"/>
    <x v="277"/>
    <n v="0.9"/>
    <n v="1"/>
    <n v="-40"/>
    <n v="940"/>
  </r>
  <r>
    <x v="22"/>
    <s v="conventional_turnover_cai_238"/>
    <x v="278"/>
    <n v="0.9"/>
    <n v="1"/>
    <n v="-40"/>
    <n v="940"/>
  </r>
  <r>
    <x v="22"/>
    <s v="conventional_turnover_cai_239"/>
    <x v="279"/>
    <n v="0.9"/>
    <n v="1"/>
    <n v="-40"/>
    <n v="940"/>
  </r>
  <r>
    <x v="22"/>
    <s v="conventional_turnover_cai_240"/>
    <x v="280"/>
    <n v="0.9"/>
    <n v="1"/>
    <n v="-40"/>
    <n v="940"/>
  </r>
  <r>
    <x v="22"/>
    <s v="conventional_turnover_cai_241"/>
    <x v="281"/>
    <n v="0.9"/>
    <n v="1"/>
    <n v="-40"/>
    <n v="940"/>
  </r>
  <r>
    <x v="22"/>
    <s v="conventional_turnover_cai_242"/>
    <x v="282"/>
    <n v="0.9"/>
    <n v="1"/>
    <n v="-40"/>
    <n v="940"/>
  </r>
  <r>
    <x v="22"/>
    <s v="conventional_turnover_cai_243"/>
    <x v="283"/>
    <n v="0.9"/>
    <n v="1"/>
    <n v="-40"/>
    <n v="940"/>
  </r>
  <r>
    <x v="22"/>
    <s v="conventional_turnover_cai_244"/>
    <x v="284"/>
    <n v="0.9"/>
    <n v="1"/>
    <n v="-40"/>
    <n v="940"/>
  </r>
  <r>
    <x v="22"/>
    <s v="conventional_turnover_cai_245"/>
    <x v="285"/>
    <n v="0.9"/>
    <n v="1"/>
    <n v="-40"/>
    <n v="940"/>
  </r>
  <r>
    <x v="22"/>
    <s v="conventional_turnover_cai_246"/>
    <x v="286"/>
    <n v="0.9"/>
    <n v="1"/>
    <n v="-40"/>
    <n v="940"/>
  </r>
  <r>
    <x v="22"/>
    <s v="conventional_turnover_cai_247"/>
    <x v="287"/>
    <n v="0.9"/>
    <n v="1"/>
    <n v="-40"/>
    <n v="940"/>
  </r>
  <r>
    <x v="22"/>
    <s v="conventional_turnover_cai_248"/>
    <x v="288"/>
    <n v="0.9"/>
    <n v="1"/>
    <n v="-40"/>
    <n v="940"/>
  </r>
  <r>
    <x v="22"/>
    <s v="conventional_turnover_cai_249"/>
    <x v="289"/>
    <n v="0.9"/>
    <n v="1"/>
    <n v="-40"/>
    <n v="940"/>
  </r>
  <r>
    <x v="22"/>
    <s v="conventional_turnover_cai_250"/>
    <x v="290"/>
    <n v="0.9"/>
    <n v="1"/>
    <n v="-40"/>
    <n v="940"/>
  </r>
  <r>
    <x v="22"/>
    <s v="conventional_turnover_cai_251"/>
    <x v="291"/>
    <n v="0.9"/>
    <n v="1"/>
    <n v="-40"/>
    <n v="940"/>
  </r>
  <r>
    <x v="22"/>
    <s v="conventional_turnover_cai_252"/>
    <x v="292"/>
    <n v="0.9"/>
    <n v="1"/>
    <n v="-40"/>
    <n v="940"/>
  </r>
  <r>
    <x v="22"/>
    <s v="conventional_turnover_cai_253"/>
    <x v="293"/>
    <n v="0.9"/>
    <n v="1"/>
    <n v="-40"/>
    <n v="940"/>
  </r>
  <r>
    <x v="22"/>
    <s v="conventional_turnover_cai_254"/>
    <x v="294"/>
    <n v="0.9"/>
    <n v="1"/>
    <n v="-40"/>
    <n v="940"/>
  </r>
  <r>
    <x v="22"/>
    <s v="conventional_turnover_cai_255"/>
    <x v="295"/>
    <n v="0.9"/>
    <n v="1"/>
    <n v="-40"/>
    <n v="940"/>
  </r>
  <r>
    <x v="22"/>
    <s v="conventional_turnover_cai_256"/>
    <x v="296"/>
    <n v="0.9"/>
    <n v="1"/>
    <n v="-40"/>
    <n v="940"/>
  </r>
  <r>
    <x v="22"/>
    <s v="conventional_turnover_cai_257"/>
    <x v="297"/>
    <n v="0.9"/>
    <n v="1"/>
    <n v="-40"/>
    <n v="940"/>
  </r>
  <r>
    <x v="22"/>
    <s v="conventional_turnover_cai_258"/>
    <x v="298"/>
    <n v="0.9"/>
    <n v="1"/>
    <n v="-40"/>
    <n v="940"/>
  </r>
  <r>
    <x v="22"/>
    <s v="conventional_turnover_cai_259"/>
    <x v="299"/>
    <n v="0.9"/>
    <n v="1"/>
    <n v="-40"/>
    <n v="940"/>
  </r>
  <r>
    <x v="22"/>
    <s v="conventional_turnover_cai_260"/>
    <x v="300"/>
    <n v="0.9"/>
    <n v="1"/>
    <n v="-40"/>
    <n v="940"/>
  </r>
  <r>
    <x v="22"/>
    <s v="conventional_turnover_cai_261"/>
    <x v="301"/>
    <n v="0.9"/>
    <n v="1"/>
    <n v="-40"/>
    <n v="940"/>
  </r>
  <r>
    <x v="22"/>
    <s v="conventional_turnover_cai_262"/>
    <x v="302"/>
    <n v="0.9"/>
    <n v="1"/>
    <n v="-40"/>
    <n v="940"/>
  </r>
  <r>
    <x v="22"/>
    <s v="conventional_turnover_cai_263"/>
    <x v="303"/>
    <n v="0.9"/>
    <n v="1"/>
    <n v="-40"/>
    <n v="940"/>
  </r>
  <r>
    <x v="22"/>
    <s v="conventional_turnover_cai_264"/>
    <x v="304"/>
    <n v="0.9"/>
    <n v="1"/>
    <n v="-40"/>
    <n v="940"/>
  </r>
  <r>
    <x v="22"/>
    <s v="conventional_turnover_cai_265"/>
    <x v="305"/>
    <n v="0.9"/>
    <n v="1"/>
    <n v="-40"/>
    <n v="940"/>
  </r>
  <r>
    <x v="22"/>
    <s v="conventional_turnover_cai_266"/>
    <x v="306"/>
    <n v="0.9"/>
    <n v="1"/>
    <n v="-40"/>
    <n v="940"/>
  </r>
  <r>
    <x v="22"/>
    <s v="conventional_turnover_cai_267"/>
    <x v="307"/>
    <n v="0.9"/>
    <n v="1"/>
    <n v="-40"/>
    <n v="940"/>
  </r>
  <r>
    <x v="22"/>
    <s v="conventional_turnover_cai_268"/>
    <x v="308"/>
    <n v="0.9"/>
    <n v="1"/>
    <n v="-40"/>
    <n v="940"/>
  </r>
  <r>
    <x v="22"/>
    <s v="conventional_turnover_cai_269"/>
    <x v="309"/>
    <n v="0.9"/>
    <n v="1"/>
    <n v="-40"/>
    <n v="940"/>
  </r>
  <r>
    <x v="22"/>
    <s v="conventional_turnover_cai_270"/>
    <x v="310"/>
    <n v="0.9"/>
    <n v="1"/>
    <n v="-40"/>
    <n v="940"/>
  </r>
  <r>
    <x v="22"/>
    <s v="conventional_turnover_cai_271"/>
    <x v="311"/>
    <n v="0.9"/>
    <n v="1"/>
    <n v="-40"/>
    <n v="940"/>
  </r>
  <r>
    <x v="22"/>
    <s v="conventional_turnover_cai_272"/>
    <x v="312"/>
    <n v="0.9"/>
    <n v="1"/>
    <n v="-40"/>
    <n v="940"/>
  </r>
  <r>
    <x v="22"/>
    <s v="conventional_turnover_cai_273"/>
    <x v="313"/>
    <n v="0.9"/>
    <n v="1"/>
    <n v="-40"/>
    <n v="940"/>
  </r>
  <r>
    <x v="22"/>
    <s v="conventional_turnover_cai_274"/>
    <x v="314"/>
    <n v="0.9"/>
    <n v="1"/>
    <n v="-40"/>
    <n v="940"/>
  </r>
  <r>
    <x v="22"/>
    <s v="conventional_turnover_cai_275"/>
    <x v="315"/>
    <n v="0.9"/>
    <n v="1"/>
    <n v="-40"/>
    <n v="940"/>
  </r>
  <r>
    <x v="22"/>
    <s v="conventional_turnover_cai_276"/>
    <x v="316"/>
    <n v="0.9"/>
    <n v="1"/>
    <n v="-40"/>
    <n v="940"/>
  </r>
  <r>
    <x v="22"/>
    <s v="conventional_turnover_cai_277"/>
    <x v="317"/>
    <n v="0.9"/>
    <n v="1"/>
    <n v="-40"/>
    <n v="940"/>
  </r>
  <r>
    <x v="22"/>
    <s v="conventional_turnover_cai_278"/>
    <x v="318"/>
    <n v="0.9"/>
    <n v="1"/>
    <n v="-40"/>
    <n v="940"/>
  </r>
  <r>
    <x v="22"/>
    <s v="conventional_turnover_cai_279"/>
    <x v="319"/>
    <n v="0.9"/>
    <n v="1"/>
    <n v="-40"/>
    <n v="940"/>
  </r>
  <r>
    <x v="22"/>
    <s v="conventional_turnover_cai_280"/>
    <x v="320"/>
    <n v="0.9"/>
    <n v="1"/>
    <n v="-40"/>
    <n v="940"/>
  </r>
  <r>
    <x v="22"/>
    <s v="conventional_turnover_cai_281"/>
    <x v="321"/>
    <n v="0.9"/>
    <n v="1"/>
    <n v="-40"/>
    <n v="940"/>
  </r>
  <r>
    <x v="22"/>
    <s v="conventional_turnover_cai_282"/>
    <x v="322"/>
    <n v="0.9"/>
    <n v="1"/>
    <n v="-40"/>
    <n v="940"/>
  </r>
  <r>
    <x v="22"/>
    <s v="conventional_turnover_cai_283"/>
    <x v="323"/>
    <n v="0.9"/>
    <n v="1"/>
    <n v="-40"/>
    <n v="940"/>
  </r>
  <r>
    <x v="22"/>
    <s v="conventional_turnover_cai_284"/>
    <x v="324"/>
    <n v="0.9"/>
    <n v="1"/>
    <n v="-40"/>
    <n v="940"/>
  </r>
  <r>
    <x v="22"/>
    <s v="conventional_turnover_cai_285"/>
    <x v="325"/>
    <n v="0.9"/>
    <n v="1"/>
    <n v="-40"/>
    <n v="940"/>
  </r>
  <r>
    <x v="22"/>
    <s v="conventional_turnover_cai_286"/>
    <x v="326"/>
    <n v="0.9"/>
    <n v="1"/>
    <n v="-40"/>
    <n v="940"/>
  </r>
  <r>
    <x v="22"/>
    <s v="conventional_turnover_cai_287"/>
    <x v="327"/>
    <n v="0.9"/>
    <n v="1"/>
    <n v="-40"/>
    <n v="940"/>
  </r>
  <r>
    <x v="22"/>
    <s v="conventional_turnover_cai_288"/>
    <x v="328"/>
    <n v="0.9"/>
    <n v="1"/>
    <n v="-40"/>
    <n v="940"/>
  </r>
  <r>
    <x v="22"/>
    <s v="conventional_turnover_cai_289"/>
    <x v="329"/>
    <n v="0.9"/>
    <n v="1"/>
    <n v="-40"/>
    <n v="940"/>
  </r>
  <r>
    <x v="22"/>
    <s v="conventional_turnover_cai_290"/>
    <x v="330"/>
    <n v="0.9"/>
    <n v="1"/>
    <n v="-40"/>
    <n v="940"/>
  </r>
  <r>
    <x v="22"/>
    <s v="conventional_turnover_cai_291"/>
    <x v="331"/>
    <n v="0.9"/>
    <n v="1"/>
    <n v="-40"/>
    <n v="940"/>
  </r>
  <r>
    <x v="22"/>
    <s v="conventional_turnover_cai_292"/>
    <x v="332"/>
    <n v="0.9"/>
    <n v="1"/>
    <n v="-40"/>
    <n v="940"/>
  </r>
  <r>
    <x v="22"/>
    <s v="conventional_turnover_cai_293"/>
    <x v="333"/>
    <n v="0.9"/>
    <n v="1"/>
    <n v="-40"/>
    <n v="940"/>
  </r>
  <r>
    <x v="22"/>
    <s v="conventional_turnover_cai_294"/>
    <x v="334"/>
    <n v="0.9"/>
    <n v="1"/>
    <n v="-40"/>
    <n v="940"/>
  </r>
  <r>
    <x v="22"/>
    <s v="conventional_turnover_cai_295"/>
    <x v="335"/>
    <n v="0.9"/>
    <n v="1"/>
    <n v="-40"/>
    <n v="940"/>
  </r>
  <r>
    <x v="22"/>
    <s v="conventional_turnover_cai_296"/>
    <x v="336"/>
    <n v="0.9"/>
    <n v="1"/>
    <n v="-40"/>
    <n v="940"/>
  </r>
  <r>
    <x v="22"/>
    <s v="conventional_turnover_cai_297"/>
    <x v="337"/>
    <n v="0.9"/>
    <n v="1"/>
    <n v="-40"/>
    <n v="940"/>
  </r>
  <r>
    <x v="22"/>
    <s v="conventional_turnover_cai_298"/>
    <x v="338"/>
    <n v="0.9"/>
    <n v="1"/>
    <n v="-40"/>
    <n v="940"/>
  </r>
  <r>
    <x v="22"/>
    <s v="conventional_turnover_cai_299"/>
    <x v="339"/>
    <n v="0.9"/>
    <n v="1"/>
    <n v="-40"/>
    <n v="940"/>
  </r>
  <r>
    <x v="22"/>
    <s v="conventional_turnover_cai_300"/>
    <x v="340"/>
    <n v="0.9"/>
    <n v="1"/>
    <n v="-40"/>
    <n v="940"/>
  </r>
  <r>
    <x v="22"/>
    <s v="conventional_turnover_cai_301"/>
    <x v="341"/>
    <n v="0.90000790649999995"/>
    <n v="1"/>
    <n v="-40"/>
    <n v="940"/>
  </r>
  <r>
    <x v="22"/>
    <s v="conventional_turnover_cai_302"/>
    <x v="342"/>
    <n v="0.90003145200000001"/>
    <n v="1"/>
    <n v="-40"/>
    <n v="940"/>
  </r>
  <r>
    <x v="22"/>
    <s v="conventional_turnover_cai_303"/>
    <x v="343"/>
    <n v="0.90007037550000002"/>
    <n v="1"/>
    <n v="-40"/>
    <n v="940"/>
  </r>
  <r>
    <x v="22"/>
    <s v="conventional_turnover_cai_304"/>
    <x v="344"/>
    <n v="0.90012441600000004"/>
    <n v="1"/>
    <n v="-40"/>
    <n v="940"/>
  </r>
  <r>
    <x v="22"/>
    <s v="conventional_turnover_cai_305"/>
    <x v="345"/>
    <n v="0.90019331250000001"/>
    <n v="1"/>
    <n v="-40"/>
    <n v="940"/>
  </r>
  <r>
    <x v="22"/>
    <s v="conventional_turnover_cai_306"/>
    <x v="346"/>
    <n v="0.90027680399999999"/>
    <n v="1"/>
    <n v="-40"/>
    <n v="940"/>
  </r>
  <r>
    <x v="22"/>
    <s v="conventional_turnover_cai_307"/>
    <x v="347"/>
    <n v="0.90037462950000002"/>
    <n v="1"/>
    <n v="-40"/>
    <n v="940"/>
  </r>
  <r>
    <x v="22"/>
    <s v="conventional_turnover_cai_308"/>
    <x v="348"/>
    <n v="0.90048652799999995"/>
    <n v="1"/>
    <n v="-40"/>
    <n v="940"/>
  </r>
  <r>
    <x v="22"/>
    <s v="conventional_turnover_cai_309"/>
    <x v="349"/>
    <n v="0.90061223850000005"/>
    <n v="1"/>
    <n v="-40"/>
    <n v="940"/>
  </r>
  <r>
    <x v="22"/>
    <s v="conventional_turnover_cai_310"/>
    <x v="350"/>
    <n v="0.90075150000000004"/>
    <n v="1"/>
    <n v="-40"/>
    <n v="940"/>
  </r>
  <r>
    <x v="22"/>
    <s v="conventional_turnover_cai_311"/>
    <x v="351"/>
    <n v="0.90090405149999997"/>
    <n v="1"/>
    <n v="-40"/>
    <n v="940"/>
  </r>
  <r>
    <x v="22"/>
    <s v="conventional_turnover_cai_312"/>
    <x v="352"/>
    <n v="0.90106963200000001"/>
    <n v="1"/>
    <n v="-40"/>
    <n v="940"/>
  </r>
  <r>
    <x v="22"/>
    <s v="conventional_turnover_cai_313"/>
    <x v="353"/>
    <n v="0.90124798049999999"/>
    <n v="1"/>
    <n v="-40"/>
    <n v="940"/>
  </r>
  <r>
    <x v="22"/>
    <s v="conventional_turnover_cai_314"/>
    <x v="354"/>
    <n v="0.90143883599999997"/>
    <n v="1"/>
    <n v="-40"/>
    <n v="940"/>
  </r>
  <r>
    <x v="22"/>
    <s v="conventional_turnover_cai_315"/>
    <x v="355"/>
    <n v="0.90164193749999999"/>
    <n v="1"/>
    <n v="-40"/>
    <n v="940"/>
  </r>
  <r>
    <x v="22"/>
    <s v="conventional_turnover_cai_316"/>
    <x v="356"/>
    <n v="0.90185702400000001"/>
    <n v="1"/>
    <n v="-40"/>
    <n v="940"/>
  </r>
  <r>
    <x v="22"/>
    <s v="conventional_turnover_cai_317"/>
    <x v="357"/>
    <n v="0.90208383449999996"/>
    <n v="1"/>
    <n v="-40"/>
    <n v="940"/>
  </r>
  <r>
    <x v="22"/>
    <s v="conventional_turnover_cai_318"/>
    <x v="358"/>
    <n v="0.90232210800000001"/>
    <n v="1"/>
    <n v="-40"/>
    <n v="940"/>
  </r>
  <r>
    <x v="22"/>
    <s v="conventional_turnover_cai_319"/>
    <x v="359"/>
    <n v="0.9025715835"/>
    <n v="1"/>
    <n v="-40"/>
    <n v="940"/>
  </r>
  <r>
    <x v="22"/>
    <s v="conventional_turnover_cai_320"/>
    <x v="360"/>
    <n v="0.90283199999999997"/>
    <n v="1"/>
    <n v="-40"/>
    <n v="940"/>
  </r>
  <r>
    <x v="22"/>
    <s v="conventional_turnover_cai_321"/>
    <x v="361"/>
    <n v="0.90310309649999998"/>
    <n v="1"/>
    <n v="-40"/>
    <n v="940"/>
  </r>
  <r>
    <x v="22"/>
    <s v="conventional_turnover_cai_322"/>
    <x v="362"/>
    <n v="0.90338461199999998"/>
    <n v="1"/>
    <n v="-40"/>
    <n v="940"/>
  </r>
  <r>
    <x v="22"/>
    <s v="conventional_turnover_cai_323"/>
    <x v="363"/>
    <n v="0.90367628550000001"/>
    <n v="1"/>
    <n v="-40"/>
    <n v="940"/>
  </r>
  <r>
    <x v="22"/>
    <s v="conventional_turnover_cai_324"/>
    <x v="364"/>
    <n v="0.90397785600000002"/>
    <n v="1"/>
    <n v="-40"/>
    <n v="940"/>
  </r>
  <r>
    <x v="22"/>
    <s v="conventional_turnover_cai_325"/>
    <x v="365"/>
    <n v="0.90428906249999996"/>
    <n v="1"/>
    <n v="-40"/>
    <n v="940"/>
  </r>
  <r>
    <x v="22"/>
    <s v="conventional_turnover_cai_326"/>
    <x v="366"/>
    <n v="0.90460964399999999"/>
    <n v="1"/>
    <n v="-40"/>
    <n v="940"/>
  </r>
  <r>
    <x v="22"/>
    <s v="conventional_turnover_cai_327"/>
    <x v="367"/>
    <n v="0.90493933950000005"/>
    <n v="1"/>
    <n v="-40"/>
    <n v="940"/>
  </r>
  <r>
    <x v="22"/>
    <s v="conventional_turnover_cai_328"/>
    <x v="368"/>
    <n v="0.90527788799999998"/>
    <n v="1"/>
    <n v="-40"/>
    <n v="940"/>
  </r>
  <r>
    <x v="22"/>
    <s v="conventional_turnover_cai_329"/>
    <x v="369"/>
    <n v="0.90562502850000004"/>
    <n v="1"/>
    <n v="-40"/>
    <n v="940"/>
  </r>
  <r>
    <x v="22"/>
    <s v="conventional_turnover_cai_330"/>
    <x v="370"/>
    <n v="0.90598049999999997"/>
    <n v="1"/>
    <n v="-40"/>
    <n v="940"/>
  </r>
  <r>
    <x v="22"/>
    <s v="conventional_turnover_cai_331"/>
    <x v="371"/>
    <n v="0.90634404150000003"/>
    <n v="1"/>
    <n v="-40"/>
    <n v="940"/>
  </r>
  <r>
    <x v="22"/>
    <s v="conventional_turnover_cai_332"/>
    <x v="372"/>
    <n v="0.90671539199999995"/>
    <n v="1"/>
    <n v="-40"/>
    <n v="940"/>
  </r>
  <r>
    <x v="22"/>
    <s v="conventional_turnover_cai_333"/>
    <x v="373"/>
    <n v="0.90709429050000001"/>
    <n v="1"/>
    <n v="-40"/>
    <n v="940"/>
  </r>
  <r>
    <x v="22"/>
    <s v="conventional_turnover_cai_334"/>
    <x v="374"/>
    <n v="0.90748047600000004"/>
    <n v="1"/>
    <n v="-40"/>
    <n v="940"/>
  </r>
  <r>
    <x v="22"/>
    <s v="conventional_turnover_cai_335"/>
    <x v="375"/>
    <n v="0.90787368749999997"/>
    <n v="1"/>
    <n v="-40"/>
    <n v="940"/>
  </r>
  <r>
    <x v="22"/>
    <s v="conventional_turnover_cai_336"/>
    <x v="376"/>
    <n v="0.90827366399999998"/>
    <n v="1"/>
    <n v="-40"/>
    <n v="940"/>
  </r>
  <r>
    <x v="22"/>
    <s v="conventional_turnover_cai_337"/>
    <x v="377"/>
    <n v="0.90868014450000001"/>
    <n v="1"/>
    <n v="-40"/>
    <n v="940"/>
  </r>
  <r>
    <x v="22"/>
    <s v="conventional_turnover_cai_338"/>
    <x v="378"/>
    <n v="0.909092868"/>
    <n v="1"/>
    <n v="-40"/>
    <n v="940"/>
  </r>
  <r>
    <x v="22"/>
    <s v="conventional_turnover_cai_339"/>
    <x v="379"/>
    <n v="0.9095115735"/>
    <n v="1"/>
    <n v="-40"/>
    <n v="940"/>
  </r>
  <r>
    <x v="22"/>
    <s v="conventional_turnover_cai_340"/>
    <x v="380"/>
    <n v="0.90993599999999997"/>
    <n v="1"/>
    <n v="-40"/>
    <n v="940"/>
  </r>
  <r>
    <x v="22"/>
    <s v="conventional_turnover_cai_341"/>
    <x v="381"/>
    <n v="0.91036588650000005"/>
    <n v="1"/>
    <n v="-40"/>
    <n v="940"/>
  </r>
  <r>
    <x v="22"/>
    <s v="conventional_turnover_cai_342"/>
    <x v="382"/>
    <n v="0.91080097199999999"/>
    <n v="1"/>
    <n v="-40"/>
    <n v="940"/>
  </r>
  <r>
    <x v="22"/>
    <s v="conventional_turnover_cai_343"/>
    <x v="383"/>
    <n v="0.91124099550000004"/>
    <n v="1"/>
    <n v="-40"/>
    <n v="940"/>
  </r>
  <r>
    <x v="22"/>
    <s v="conventional_turnover_cai_344"/>
    <x v="384"/>
    <n v="0.91168569600000005"/>
    <n v="1"/>
    <n v="-40"/>
    <n v="940"/>
  </r>
  <r>
    <x v="22"/>
    <s v="conventional_turnover_cai_345"/>
    <x v="385"/>
    <n v="0.91213481249999995"/>
    <n v="1"/>
    <n v="-40"/>
    <n v="940"/>
  </r>
  <r>
    <x v="22"/>
    <s v="conventional_turnover_cai_346"/>
    <x v="386"/>
    <n v="0.91258808400000002"/>
    <n v="1"/>
    <n v="-40"/>
    <n v="940"/>
  </r>
  <r>
    <x v="22"/>
    <s v="conventional_turnover_cai_347"/>
    <x v="387"/>
    <n v="0.91304524949999999"/>
    <n v="1"/>
    <n v="-40"/>
    <n v="940"/>
  </r>
  <r>
    <x v="22"/>
    <s v="conventional_turnover_cai_348"/>
    <x v="388"/>
    <n v="0.91350604800000001"/>
    <n v="1"/>
    <n v="-40"/>
    <n v="940"/>
  </r>
  <r>
    <x v="22"/>
    <s v="conventional_turnover_cai_349"/>
    <x v="389"/>
    <n v="0.91397021850000004"/>
    <n v="1"/>
    <n v="-40"/>
    <n v="940"/>
  </r>
  <r>
    <x v="22"/>
    <s v="conventional_turnover_cai_350"/>
    <x v="390"/>
    <n v="0.91443750000000001"/>
    <n v="1"/>
    <n v="-40"/>
    <n v="940"/>
  </r>
  <r>
    <x v="22"/>
    <s v="conventional_turnover_cai_351"/>
    <x v="391"/>
    <n v="0.91490763149999998"/>
    <n v="1"/>
    <n v="-40"/>
    <n v="940"/>
  </r>
  <r>
    <x v="22"/>
    <s v="conventional_turnover_cai_352"/>
    <x v="392"/>
    <n v="0.91538035200000001"/>
    <n v="1"/>
    <n v="-40"/>
    <n v="940"/>
  </r>
  <r>
    <x v="22"/>
    <s v="conventional_turnover_cai_353"/>
    <x v="393"/>
    <n v="0.91585540050000003"/>
    <n v="1"/>
    <n v="-40"/>
    <n v="940"/>
  </r>
  <r>
    <x v="22"/>
    <s v="conventional_turnover_cai_354"/>
    <x v="394"/>
    <n v="0.91633251599999999"/>
    <n v="1"/>
    <n v="-40"/>
    <n v="940"/>
  </r>
  <r>
    <x v="22"/>
    <s v="conventional_turnover_cai_355"/>
    <x v="395"/>
    <n v="0.91681143750000005"/>
    <n v="1"/>
    <n v="-40"/>
    <n v="940"/>
  </r>
  <r>
    <x v="22"/>
    <s v="conventional_turnover_cai_356"/>
    <x v="396"/>
    <n v="0.91729190400000005"/>
    <n v="1"/>
    <n v="-40"/>
    <n v="940"/>
  </r>
  <r>
    <x v="22"/>
    <s v="conventional_turnover_cai_357"/>
    <x v="397"/>
    <n v="0.91777365450000004"/>
    <n v="1"/>
    <n v="-40"/>
    <n v="940"/>
  </r>
  <r>
    <x v="22"/>
    <s v="conventional_turnover_cai_358"/>
    <x v="398"/>
    <n v="0.91825642799999996"/>
    <n v="1"/>
    <n v="-40"/>
    <n v="940"/>
  </r>
  <r>
    <x v="22"/>
    <s v="conventional_turnover_cai_359"/>
    <x v="399"/>
    <n v="0.91873996349999998"/>
    <n v="1"/>
    <n v="-40"/>
    <n v="940"/>
  </r>
  <r>
    <x v="22"/>
    <s v="conventional_turnover_cai_360"/>
    <x v="400"/>
    <n v="0.91922400000000004"/>
    <n v="1"/>
    <n v="-40"/>
    <n v="940"/>
  </r>
  <r>
    <x v="22"/>
    <s v="conventional_turnover_cai_361"/>
    <x v="401"/>
    <n v="0.91970827649999998"/>
    <n v="1"/>
    <n v="-40"/>
    <n v="940"/>
  </r>
  <r>
    <x v="22"/>
    <s v="conventional_turnover_cai_362"/>
    <x v="402"/>
    <n v="0.92019253199999995"/>
    <n v="1"/>
    <n v="-40"/>
    <n v="940"/>
  </r>
  <r>
    <x v="22"/>
    <s v="conventional_turnover_cai_363"/>
    <x v="403"/>
    <n v="0.92067650550000002"/>
    <n v="1"/>
    <n v="-40"/>
    <n v="940"/>
  </r>
  <r>
    <x v="22"/>
    <s v="conventional_turnover_cai_364"/>
    <x v="404"/>
    <n v="0.92115993600000001"/>
    <n v="1"/>
    <n v="-40"/>
    <n v="940"/>
  </r>
  <r>
    <x v="22"/>
    <s v="conventional_turnover_cai_365"/>
    <x v="405"/>
    <n v="0.92164256249999998"/>
    <n v="1"/>
    <n v="-40"/>
    <n v="940"/>
  </r>
  <r>
    <x v="22"/>
    <s v="conventional_turnover_cai_366"/>
    <x v="406"/>
    <n v="0.92212412399999999"/>
    <n v="1"/>
    <n v="-40"/>
    <n v="940"/>
  </r>
  <r>
    <x v="22"/>
    <s v="conventional_turnover_cai_367"/>
    <x v="407"/>
    <n v="0.92260435949999997"/>
    <n v="1"/>
    <n v="-40"/>
    <n v="940"/>
  </r>
  <r>
    <x v="22"/>
    <s v="conventional_turnover_cai_368"/>
    <x v="408"/>
    <n v="0.92308300799999998"/>
    <n v="1"/>
    <n v="-40"/>
    <n v="940"/>
  </r>
  <r>
    <x v="22"/>
    <s v="conventional_turnover_cai_369"/>
    <x v="409"/>
    <n v="0.92355980849999997"/>
    <n v="1"/>
    <n v="-40"/>
    <n v="940"/>
  </r>
  <r>
    <x v="22"/>
    <s v="conventional_turnover_cai_370"/>
    <x v="410"/>
    <n v="0.92403449999999998"/>
    <n v="1"/>
    <n v="-40"/>
    <n v="940"/>
  </r>
  <r>
    <x v="22"/>
    <s v="conventional_turnover_cai_371"/>
    <x v="411"/>
    <n v="0.92450682149999996"/>
    <n v="1"/>
    <n v="-40"/>
    <n v="940"/>
  </r>
  <r>
    <x v="22"/>
    <s v="conventional_turnover_cai_372"/>
    <x v="412"/>
    <n v="0.92497651199999997"/>
    <n v="1"/>
    <n v="-40"/>
    <n v="940"/>
  </r>
  <r>
    <x v="22"/>
    <s v="conventional_turnover_cai_373"/>
    <x v="413"/>
    <n v="0.92544331049999995"/>
    <n v="1"/>
    <n v="-40"/>
    <n v="940"/>
  </r>
  <r>
    <x v="22"/>
    <s v="conventional_turnover_cai_374"/>
    <x v="414"/>
    <n v="0.92590695599999995"/>
    <n v="1"/>
    <n v="-40"/>
    <n v="940"/>
  </r>
  <r>
    <x v="22"/>
    <s v="conventional_turnover_cai_375"/>
    <x v="415"/>
    <n v="0.92636718750000002"/>
    <n v="1"/>
    <n v="-40"/>
    <n v="940"/>
  </r>
  <r>
    <x v="22"/>
    <s v="conventional_turnover_cai_376"/>
    <x v="416"/>
    <n v="0.926823744"/>
    <n v="1"/>
    <n v="-40"/>
    <n v="940"/>
  </r>
  <r>
    <x v="22"/>
    <s v="conventional_turnover_cai_377"/>
    <x v="417"/>
    <n v="0.92727636449999995"/>
    <n v="1"/>
    <n v="-40"/>
    <n v="940"/>
  </r>
  <r>
    <x v="22"/>
    <s v="conventional_turnover_cai_378"/>
    <x v="418"/>
    <n v="0.92772478800000002"/>
    <n v="1"/>
    <n v="-40"/>
    <n v="940"/>
  </r>
  <r>
    <x v="22"/>
    <s v="conventional_turnover_cai_379"/>
    <x v="419"/>
    <n v="0.92816875350000005"/>
    <n v="1"/>
    <n v="-40"/>
    <n v="940"/>
  </r>
  <r>
    <x v="22"/>
    <s v="conventional_turnover_cai_380"/>
    <x v="420"/>
    <n v="0.92860799999999999"/>
    <n v="1"/>
    <n v="-40"/>
    <n v="940"/>
  </r>
  <r>
    <x v="22"/>
    <s v="conventional_turnover_cai_381"/>
    <x v="421"/>
    <n v="0.92904226649999999"/>
    <n v="1"/>
    <n v="-40"/>
    <n v="940"/>
  </r>
  <r>
    <x v="22"/>
    <s v="conventional_turnover_cai_382"/>
    <x v="422"/>
    <n v="0.929471292"/>
    <n v="1"/>
    <n v="-40"/>
    <n v="940"/>
  </r>
  <r>
    <x v="22"/>
    <s v="conventional_turnover_cai_383"/>
    <x v="423"/>
    <n v="0.92989481549999997"/>
    <n v="1"/>
    <n v="-40"/>
    <n v="940"/>
  </r>
  <r>
    <x v="22"/>
    <s v="conventional_turnover_cai_384"/>
    <x v="424"/>
    <n v="0.93031257599999995"/>
    <n v="1"/>
    <n v="-40"/>
    <n v="940"/>
  </r>
  <r>
    <x v="22"/>
    <s v="conventional_turnover_cai_385"/>
    <x v="425"/>
    <n v="0.93072431249999998"/>
    <n v="1"/>
    <n v="-40"/>
    <n v="940"/>
  </r>
  <r>
    <x v="22"/>
    <s v="conventional_turnover_cai_386"/>
    <x v="426"/>
    <n v="0.93112976400000003"/>
    <n v="1"/>
    <n v="-40"/>
    <n v="940"/>
  </r>
  <r>
    <x v="22"/>
    <s v="conventional_turnover_cai_387"/>
    <x v="427"/>
    <n v="0.93152866950000002"/>
    <n v="1"/>
    <n v="-40"/>
    <n v="940"/>
  </r>
  <r>
    <x v="22"/>
    <s v="conventional_turnover_cai_388"/>
    <x v="428"/>
    <n v="0.93192076800000001"/>
    <n v="1"/>
    <n v="-40"/>
    <n v="940"/>
  </r>
  <r>
    <x v="22"/>
    <s v="conventional_turnover_cai_389"/>
    <x v="429"/>
    <n v="0.93230579849999995"/>
    <n v="1"/>
    <n v="-40"/>
    <n v="940"/>
  </r>
  <r>
    <x v="22"/>
    <s v="conventional_turnover_cai_390"/>
    <x v="430"/>
    <n v="0.9326835"/>
    <n v="1"/>
    <n v="-40"/>
    <n v="940"/>
  </r>
  <r>
    <x v="22"/>
    <s v="conventional_turnover_cai_391"/>
    <x v="431"/>
    <n v="0.93305361149999999"/>
    <n v="1"/>
    <n v="-40"/>
    <n v="940"/>
  </r>
  <r>
    <x v="22"/>
    <s v="conventional_turnover_cai_392"/>
    <x v="432"/>
    <n v="0.93341587199999998"/>
    <n v="1"/>
    <n v="-40"/>
    <n v="940"/>
  </r>
  <r>
    <x v="22"/>
    <s v="conventional_turnover_cai_393"/>
    <x v="433"/>
    <n v="0.93377002050000002"/>
    <n v="1"/>
    <n v="-40"/>
    <n v="940"/>
  </r>
  <r>
    <x v="22"/>
    <s v="conventional_turnover_cai_394"/>
    <x v="434"/>
    <n v="0.93411579600000005"/>
    <n v="1"/>
    <n v="-40"/>
    <n v="940"/>
  </r>
  <r>
    <x v="22"/>
    <s v="conventional_turnover_cai_395"/>
    <x v="435"/>
    <n v="0.93445293750000002"/>
    <n v="1"/>
    <n v="-40"/>
    <n v="940"/>
  </r>
  <r>
    <x v="22"/>
    <s v="conventional_turnover_cai_396"/>
    <x v="436"/>
    <n v="0.93478118399999999"/>
    <n v="1"/>
    <n v="-40"/>
    <n v="940"/>
  </r>
  <r>
    <x v="22"/>
    <s v="conventional_turnover_cai_397"/>
    <x v="437"/>
    <n v="0.93510027449999999"/>
    <n v="1"/>
    <n v="-40"/>
    <n v="940"/>
  </r>
  <r>
    <x v="22"/>
    <s v="conventional_turnover_cai_398"/>
    <x v="438"/>
    <n v="0.93540994799999999"/>
    <n v="1"/>
    <n v="-40"/>
    <n v="940"/>
  </r>
  <r>
    <x v="22"/>
    <s v="conventional_turnover_cai_399"/>
    <x v="439"/>
    <n v="0.93570994350000003"/>
    <n v="1"/>
    <n v="-40"/>
    <n v="940"/>
  </r>
  <r>
    <x v="22"/>
    <s v="conventional_turnover_cai_400"/>
    <x v="440"/>
    <n v="0.93600000000000005"/>
    <n v="1"/>
    <n v="-40"/>
    <n v="940"/>
  </r>
  <r>
    <x v="22"/>
    <s v="conventional_turnover_cai_401"/>
    <x v="441"/>
    <n v="0.9362835075"/>
    <n v="1"/>
    <n v="-40"/>
    <n v="940"/>
  </r>
  <r>
    <x v="22"/>
    <s v="conventional_turnover_cai_402"/>
    <x v="442"/>
    <n v="0.93656406000000003"/>
    <n v="1"/>
    <n v="-40"/>
    <n v="940"/>
  </r>
  <r>
    <x v="22"/>
    <s v="conventional_turnover_cai_403"/>
    <x v="443"/>
    <n v="0.93684170249999998"/>
    <n v="1"/>
    <n v="-40"/>
    <n v="940"/>
  </r>
  <r>
    <x v="22"/>
    <s v="conventional_turnover_cai_404"/>
    <x v="444"/>
    <n v="0.93711648000000003"/>
    <n v="1"/>
    <n v="-40"/>
    <n v="940"/>
  </r>
  <r>
    <x v="22"/>
    <s v="conventional_turnover_cai_405"/>
    <x v="445"/>
    <n v="0.9373884375"/>
    <n v="1"/>
    <n v="-40"/>
    <n v="940"/>
  </r>
  <r>
    <x v="22"/>
    <s v="conventional_turnover_cai_406"/>
    <x v="446"/>
    <n v="0.93765761999999997"/>
    <n v="1"/>
    <n v="-40"/>
    <n v="940"/>
  </r>
  <r>
    <x v="22"/>
    <s v="conventional_turnover_cai_407"/>
    <x v="447"/>
    <n v="0.93792407249999998"/>
    <n v="1"/>
    <n v="-40"/>
    <n v="940"/>
  </r>
  <r>
    <x v="22"/>
    <s v="conventional_turnover_cai_408"/>
    <x v="448"/>
    <n v="0.93818784"/>
    <n v="1"/>
    <n v="-40"/>
    <n v="940"/>
  </r>
  <r>
    <x v="22"/>
    <s v="conventional_turnover_cai_409"/>
    <x v="449"/>
    <n v="0.93844896749999995"/>
    <n v="1"/>
    <n v="-40"/>
    <n v="940"/>
  </r>
  <r>
    <x v="22"/>
    <s v="conventional_turnover_cai_410"/>
    <x v="450"/>
    <n v="0.93870750000000003"/>
    <n v="1"/>
    <n v="-40"/>
    <n v="940"/>
  </r>
  <r>
    <x v="22"/>
    <s v="conventional_turnover_cai_411"/>
    <x v="451"/>
    <n v="0.93896348249999995"/>
    <n v="1"/>
    <n v="-40"/>
    <n v="940"/>
  </r>
  <r>
    <x v="22"/>
    <s v="conventional_turnover_cai_412"/>
    <x v="452"/>
    <n v="0.93921695999999999"/>
    <n v="1"/>
    <n v="-40"/>
    <n v="940"/>
  </r>
  <r>
    <x v="22"/>
    <s v="conventional_turnover_cai_413"/>
    <x v="453"/>
    <n v="0.9394679775"/>
    <n v="1"/>
    <n v="-40"/>
    <n v="940"/>
  </r>
  <r>
    <x v="22"/>
    <s v="conventional_turnover_cai_414"/>
    <x v="454"/>
    <n v="0.93971658000000002"/>
    <n v="1"/>
    <n v="-40"/>
    <n v="940"/>
  </r>
  <r>
    <x v="22"/>
    <s v="conventional_turnover_cai_415"/>
    <x v="455"/>
    <n v="0.93996281250000002"/>
    <n v="1"/>
    <n v="-40"/>
    <n v="940"/>
  </r>
  <r>
    <x v="22"/>
    <s v="conventional_turnover_cai_416"/>
    <x v="456"/>
    <n v="0.94020672000000005"/>
    <n v="1"/>
    <n v="-40"/>
    <n v="940"/>
  </r>
  <r>
    <x v="22"/>
    <s v="conventional_turnover_cai_417"/>
    <x v="457"/>
    <n v="0.94044834749999995"/>
    <n v="1"/>
    <n v="-40"/>
    <n v="940"/>
  </r>
  <r>
    <x v="22"/>
    <s v="conventional_turnover_cai_418"/>
    <x v="458"/>
    <n v="0.94068773999999999"/>
    <n v="1"/>
    <n v="-40"/>
    <n v="940"/>
  </r>
  <r>
    <x v="22"/>
    <s v="conventional_turnover_cai_419"/>
    <x v="459"/>
    <n v="0.94092494250000003"/>
    <n v="1"/>
    <n v="-40"/>
    <n v="940"/>
  </r>
  <r>
    <x v="22"/>
    <s v="conventional_turnover_cai_420"/>
    <x v="460"/>
    <n v="0.94116"/>
    <n v="1"/>
    <n v="-40"/>
    <n v="940"/>
  </r>
  <r>
    <x v="22"/>
    <s v="conventional_turnover_cai_421"/>
    <x v="461"/>
    <n v="0.94139295749999996"/>
    <n v="1"/>
    <n v="-40"/>
    <n v="940"/>
  </r>
  <r>
    <x v="22"/>
    <s v="conventional_turnover_cai_422"/>
    <x v="462"/>
    <n v="0.94162385999999998"/>
    <n v="1"/>
    <n v="-40"/>
    <n v="940"/>
  </r>
  <r>
    <x v="22"/>
    <s v="conventional_turnover_cai_423"/>
    <x v="463"/>
    <n v="0.9418527525"/>
    <n v="1"/>
    <n v="-40"/>
    <n v="940"/>
  </r>
  <r>
    <x v="22"/>
    <s v="conventional_turnover_cai_424"/>
    <x v="464"/>
    <n v="0.94207967999999997"/>
    <n v="1"/>
    <n v="-40"/>
    <n v="940"/>
  </r>
  <r>
    <x v="22"/>
    <s v="conventional_turnover_cai_425"/>
    <x v="465"/>
    <n v="0.94230468749999996"/>
    <n v="1"/>
    <n v="-40"/>
    <n v="940"/>
  </r>
  <r>
    <x v="22"/>
    <s v="conventional_turnover_cai_426"/>
    <x v="466"/>
    <n v="0.94252782000000002"/>
    <n v="1"/>
    <n v="-40"/>
    <n v="940"/>
  </r>
  <r>
    <x v="22"/>
    <s v="conventional_turnover_cai_427"/>
    <x v="467"/>
    <n v="0.94274912249999998"/>
    <n v="1"/>
    <n v="-40"/>
    <n v="940"/>
  </r>
  <r>
    <x v="22"/>
    <s v="conventional_turnover_cai_428"/>
    <x v="468"/>
    <n v="0.94296864000000002"/>
    <n v="1"/>
    <n v="-40"/>
    <n v="940"/>
  </r>
  <r>
    <x v="22"/>
    <s v="conventional_turnover_cai_429"/>
    <x v="469"/>
    <n v="0.94318641749999999"/>
    <n v="1"/>
    <n v="-40"/>
    <n v="940"/>
  </r>
  <r>
    <x v="22"/>
    <s v="conventional_turnover_cai_430"/>
    <x v="470"/>
    <n v="0.94340250000000003"/>
    <n v="1"/>
    <n v="-40"/>
    <n v="940"/>
  </r>
  <r>
    <x v="22"/>
    <s v="conventional_turnover_cai_431"/>
    <x v="471"/>
    <n v="0.94361693250000001"/>
    <n v="1"/>
    <n v="-40"/>
    <n v="940"/>
  </r>
  <r>
    <x v="22"/>
    <s v="conventional_turnover_cai_432"/>
    <x v="472"/>
    <n v="0.94382975999999996"/>
    <n v="1"/>
    <n v="-40"/>
    <n v="940"/>
  </r>
  <r>
    <x v="22"/>
    <s v="conventional_turnover_cai_433"/>
    <x v="473"/>
    <n v="0.94404102749999996"/>
    <n v="1"/>
    <n v="-40"/>
    <n v="940"/>
  </r>
  <r>
    <x v="22"/>
    <s v="conventional_turnover_cai_434"/>
    <x v="474"/>
    <n v="0.94425077999999996"/>
    <n v="1"/>
    <n v="-40"/>
    <n v="940"/>
  </r>
  <r>
    <x v="22"/>
    <s v="conventional_turnover_cai_435"/>
    <x v="475"/>
    <n v="0.9444590625"/>
    <n v="1"/>
    <n v="-40"/>
    <n v="940"/>
  </r>
  <r>
    <x v="22"/>
    <s v="conventional_turnover_cai_436"/>
    <x v="476"/>
    <n v="0.94466592000000005"/>
    <n v="1"/>
    <n v="-40"/>
    <n v="940"/>
  </r>
  <r>
    <x v="22"/>
    <s v="conventional_turnover_cai_437"/>
    <x v="477"/>
    <n v="0.94487139750000004"/>
    <n v="1"/>
    <n v="-40"/>
    <n v="940"/>
  </r>
  <r>
    <x v="22"/>
    <s v="conventional_turnover_cai_438"/>
    <x v="478"/>
    <n v="0.94507554000000005"/>
    <n v="1"/>
    <n v="-40"/>
    <n v="940"/>
  </r>
  <r>
    <x v="22"/>
    <s v="conventional_turnover_cai_439"/>
    <x v="479"/>
    <n v="0.94527839250000001"/>
    <n v="1"/>
    <n v="-40"/>
    <n v="940"/>
  </r>
  <r>
    <x v="22"/>
    <s v="conventional_turnover_cai_440"/>
    <x v="480"/>
    <n v="0.94547999999999999"/>
    <n v="1"/>
    <n v="-40"/>
    <n v="940"/>
  </r>
  <r>
    <x v="22"/>
    <s v="conventional_turnover_cai_441"/>
    <x v="481"/>
    <n v="0.94568040750000004"/>
    <n v="1"/>
    <n v="-40"/>
    <n v="940"/>
  </r>
  <r>
    <x v="22"/>
    <s v="conventional_turnover_cai_442"/>
    <x v="482"/>
    <n v="0.94587966000000001"/>
    <n v="1"/>
    <n v="-40"/>
    <n v="940"/>
  </r>
  <r>
    <x v="22"/>
    <s v="conventional_turnover_cai_443"/>
    <x v="483"/>
    <n v="0.94607780249999995"/>
    <n v="1"/>
    <n v="-40"/>
    <n v="940"/>
  </r>
  <r>
    <x v="22"/>
    <s v="conventional_turnover_cai_444"/>
    <x v="484"/>
    <n v="0.94627488000000004"/>
    <n v="1"/>
    <n v="-40"/>
    <n v="940"/>
  </r>
  <r>
    <x v="22"/>
    <s v="conventional_turnover_cai_445"/>
    <x v="485"/>
    <n v="0.9464709375"/>
    <n v="1"/>
    <n v="-40"/>
    <n v="940"/>
  </r>
  <r>
    <x v="22"/>
    <s v="conventional_turnover_cai_446"/>
    <x v="486"/>
    <n v="0.94666602"/>
    <n v="1"/>
    <n v="-40"/>
    <n v="940"/>
  </r>
  <r>
    <x v="22"/>
    <s v="conventional_turnover_cai_447"/>
    <x v="487"/>
    <n v="0.94686017249999999"/>
    <n v="1"/>
    <n v="-40"/>
    <n v="940"/>
  </r>
  <r>
    <x v="22"/>
    <s v="conventional_turnover_cai_448"/>
    <x v="488"/>
    <n v="0.94705344000000002"/>
    <n v="1"/>
    <n v="-40"/>
    <n v="940"/>
  </r>
  <r>
    <x v="22"/>
    <s v="conventional_turnover_cai_449"/>
    <x v="489"/>
    <n v="0.94724586749999995"/>
    <n v="1"/>
    <n v="-40"/>
    <n v="940"/>
  </r>
  <r>
    <x v="22"/>
    <s v="conventional_turnover_cai_450"/>
    <x v="490"/>
    <n v="0.94743750000000004"/>
    <n v="1"/>
    <n v="-40"/>
    <n v="940"/>
  </r>
  <r>
    <x v="22"/>
    <s v="conventional_turnover_cai_451"/>
    <x v="491"/>
    <n v="0.94762838250000003"/>
    <n v="1"/>
    <n v="-40"/>
    <n v="940"/>
  </r>
  <r>
    <x v="22"/>
    <s v="conventional_turnover_cai_452"/>
    <x v="492"/>
    <n v="0.94781855999999998"/>
    <n v="1"/>
    <n v="-40"/>
    <n v="940"/>
  </r>
  <r>
    <x v="22"/>
    <s v="conventional_turnover_cai_453"/>
    <x v="493"/>
    <n v="0.94800807750000005"/>
    <n v="1"/>
    <n v="-40"/>
    <n v="940"/>
  </r>
  <r>
    <x v="22"/>
    <s v="conventional_turnover_cai_454"/>
    <x v="494"/>
    <n v="0.94819697999999997"/>
    <n v="1"/>
    <n v="-40"/>
    <n v="940"/>
  </r>
  <r>
    <x v="22"/>
    <s v="conventional_turnover_cai_455"/>
    <x v="495"/>
    <n v="0.94838531250000002"/>
    <n v="1"/>
    <n v="-40"/>
    <n v="940"/>
  </r>
  <r>
    <x v="22"/>
    <s v="conventional_turnover_cai_456"/>
    <x v="496"/>
    <n v="0.94857312000000005"/>
    <n v="1"/>
    <n v="-40"/>
    <n v="940"/>
  </r>
  <r>
    <x v="22"/>
    <s v="conventional_turnover_cai_457"/>
    <x v="497"/>
    <n v="0.94876044749999999"/>
    <n v="1"/>
    <n v="-40"/>
    <n v="940"/>
  </r>
  <r>
    <x v="22"/>
    <s v="conventional_turnover_cai_458"/>
    <x v="498"/>
    <n v="0.94894734000000003"/>
    <n v="1"/>
    <n v="-40"/>
    <n v="940"/>
  </r>
  <r>
    <x v="22"/>
    <s v="conventional_turnover_cai_459"/>
    <x v="499"/>
    <n v="0.94913384249999999"/>
    <n v="1"/>
    <n v="-40"/>
    <n v="940"/>
  </r>
  <r>
    <x v="22"/>
    <s v="conventional_turnover_cai_460"/>
    <x v="500"/>
    <n v="0.94932000000000005"/>
    <n v="1"/>
    <n v="-40"/>
    <n v="940"/>
  </r>
  <r>
    <x v="22"/>
    <s v="conventional_turnover_cai_461"/>
    <x v="501"/>
    <n v="0.94950585750000005"/>
    <n v="1"/>
    <n v="-40"/>
    <n v="940"/>
  </r>
  <r>
    <x v="22"/>
    <s v="conventional_turnover_cai_462"/>
    <x v="502"/>
    <n v="0.94969146000000004"/>
    <n v="1"/>
    <n v="-40"/>
    <n v="940"/>
  </r>
  <r>
    <x v="22"/>
    <s v="conventional_turnover_cai_463"/>
    <x v="503"/>
    <n v="0.94987685249999998"/>
    <n v="1"/>
    <n v="-40"/>
    <n v="940"/>
  </r>
  <r>
    <x v="22"/>
    <s v="conventional_turnover_cai_464"/>
    <x v="504"/>
    <n v="0.95006208000000003"/>
    <n v="1"/>
    <n v="-40"/>
    <n v="940"/>
  </r>
  <r>
    <x v="22"/>
    <s v="conventional_turnover_cai_465"/>
    <x v="505"/>
    <n v="0.95024718750000003"/>
    <n v="1"/>
    <n v="-40"/>
    <n v="940"/>
  </r>
  <r>
    <x v="22"/>
    <s v="conventional_turnover_cai_466"/>
    <x v="506"/>
    <n v="0.95043222000000005"/>
    <n v="1"/>
    <n v="-40"/>
    <n v="940"/>
  </r>
  <r>
    <x v="22"/>
    <s v="conventional_turnover_cai_467"/>
    <x v="507"/>
    <n v="0.95061722250000003"/>
    <n v="1"/>
    <n v="-40"/>
    <n v="940"/>
  </r>
  <r>
    <x v="22"/>
    <s v="conventional_turnover_cai_468"/>
    <x v="508"/>
    <n v="0.95080224000000002"/>
    <n v="1"/>
    <n v="-40"/>
    <n v="940"/>
  </r>
  <r>
    <x v="22"/>
    <s v="conventional_turnover_cai_469"/>
    <x v="509"/>
    <n v="0.95098731749999998"/>
    <n v="1"/>
    <n v="-40"/>
    <n v="940"/>
  </r>
  <r>
    <x v="22"/>
    <s v="conventional_turnover_cai_470"/>
    <x v="510"/>
    <n v="0.95117249999999998"/>
    <n v="1"/>
    <n v="-40"/>
    <n v="940"/>
  </r>
  <r>
    <x v="22"/>
    <s v="conventional_turnover_cai_471"/>
    <x v="511"/>
    <n v="0.95135783249999994"/>
    <n v="1"/>
    <n v="-40"/>
    <n v="940"/>
  </r>
  <r>
    <x v="22"/>
    <s v="conventional_turnover_cai_472"/>
    <x v="512"/>
    <n v="0.95154335999999995"/>
    <n v="1"/>
    <n v="-40"/>
    <n v="940"/>
  </r>
  <r>
    <x v="22"/>
    <s v="conventional_turnover_cai_473"/>
    <x v="513"/>
    <n v="0.95172912750000005"/>
    <n v="1"/>
    <n v="-40"/>
    <n v="940"/>
  </r>
  <r>
    <x v="22"/>
    <s v="conventional_turnover_cai_474"/>
    <x v="514"/>
    <n v="0.95191517999999997"/>
    <n v="1"/>
    <n v="-40"/>
    <n v="940"/>
  </r>
  <r>
    <x v="22"/>
    <s v="conventional_turnover_cai_475"/>
    <x v="515"/>
    <n v="0.9521015625"/>
    <n v="1"/>
    <n v="-40"/>
    <n v="940"/>
  </r>
  <r>
    <x v="22"/>
    <s v="conventional_turnover_cai_476"/>
    <x v="516"/>
    <n v="0.95228831999999997"/>
    <n v="1"/>
    <n v="-40"/>
    <n v="940"/>
  </r>
  <r>
    <x v="22"/>
    <s v="conventional_turnover_cai_477"/>
    <x v="517"/>
    <n v="0.95247549750000005"/>
    <n v="1"/>
    <n v="-40"/>
    <n v="940"/>
  </r>
  <r>
    <x v="22"/>
    <s v="conventional_turnover_cai_478"/>
    <x v="518"/>
    <n v="0.95266313999999996"/>
    <n v="1"/>
    <n v="-40"/>
    <n v="940"/>
  </r>
  <r>
    <x v="22"/>
    <s v="conventional_turnover_cai_479"/>
    <x v="519"/>
    <n v="0.9528512925"/>
    <n v="1"/>
    <n v="-40"/>
    <n v="940"/>
  </r>
  <r>
    <x v="22"/>
    <s v="conventional_turnover_cai_480"/>
    <x v="520"/>
    <n v="0.95304"/>
    <n v="1"/>
    <n v="-40"/>
    <n v="940"/>
  </r>
  <r>
    <x v="22"/>
    <s v="conventional_turnover_cai_481"/>
    <x v="521"/>
    <n v="0.95322930750000001"/>
    <n v="1"/>
    <n v="-40"/>
    <n v="940"/>
  </r>
  <r>
    <x v="22"/>
    <s v="conventional_turnover_cai_482"/>
    <x v="522"/>
    <n v="0.95341925999999999"/>
    <n v="1"/>
    <n v="-40"/>
    <n v="940"/>
  </r>
  <r>
    <x v="22"/>
    <s v="conventional_turnover_cai_483"/>
    <x v="523"/>
    <n v="0.9536099025"/>
    <n v="1"/>
    <n v="-40"/>
    <n v="940"/>
  </r>
  <r>
    <x v="22"/>
    <s v="conventional_turnover_cai_484"/>
    <x v="524"/>
    <n v="0.95380127999999997"/>
    <n v="1"/>
    <n v="-40"/>
    <n v="940"/>
  </r>
  <r>
    <x v="22"/>
    <s v="conventional_turnover_cai_485"/>
    <x v="525"/>
    <n v="0.95399343749999999"/>
    <n v="1"/>
    <n v="-40"/>
    <n v="940"/>
  </r>
  <r>
    <x v="22"/>
    <s v="conventional_turnover_cai_486"/>
    <x v="526"/>
    <n v="0.95418641999999998"/>
    <n v="1"/>
    <n v="-40"/>
    <n v="940"/>
  </r>
  <r>
    <x v="22"/>
    <s v="conventional_turnover_cai_487"/>
    <x v="527"/>
    <n v="0.95438027250000002"/>
    <n v="1"/>
    <n v="-40"/>
    <n v="940"/>
  </r>
  <r>
    <x v="22"/>
    <s v="conventional_turnover_cai_488"/>
    <x v="528"/>
    <n v="0.95457504000000004"/>
    <n v="1"/>
    <n v="-40"/>
    <n v="940"/>
  </r>
  <r>
    <x v="22"/>
    <s v="conventional_turnover_cai_489"/>
    <x v="529"/>
    <n v="0.95477076750000001"/>
    <n v="1"/>
    <n v="-40"/>
    <n v="940"/>
  </r>
  <r>
    <x v="22"/>
    <s v="conventional_turnover_cai_490"/>
    <x v="530"/>
    <n v="0.95496749999999997"/>
    <n v="1"/>
    <n v="-40"/>
    <n v="940"/>
  </r>
  <r>
    <x v="22"/>
    <s v="conventional_turnover_cai_491"/>
    <x v="531"/>
    <n v="0.95516528249999999"/>
    <n v="1"/>
    <n v="-40"/>
    <n v="940"/>
  </r>
  <r>
    <x v="22"/>
    <s v="conventional_turnover_cai_492"/>
    <x v="532"/>
    <n v="0.95536416000000002"/>
    <n v="1"/>
    <n v="-40"/>
    <n v="940"/>
  </r>
  <r>
    <x v="22"/>
    <s v="conventional_turnover_cai_493"/>
    <x v="533"/>
    <n v="0.9555641775"/>
    <n v="1"/>
    <n v="-40"/>
    <n v="940"/>
  </r>
  <r>
    <x v="22"/>
    <s v="conventional_turnover_cai_494"/>
    <x v="534"/>
    <n v="0.95576538"/>
    <n v="1"/>
    <n v="-40"/>
    <n v="940"/>
  </r>
  <r>
    <x v="22"/>
    <s v="conventional_turnover_cai_495"/>
    <x v="535"/>
    <n v="0.95596781249999996"/>
    <n v="1"/>
    <n v="-40"/>
    <n v="940"/>
  </r>
  <r>
    <x v="22"/>
    <s v="conventional_turnover_cai_496"/>
    <x v="536"/>
    <n v="0.95617152000000005"/>
    <n v="1"/>
    <n v="-40"/>
    <n v="940"/>
  </r>
  <r>
    <x v="22"/>
    <s v="conventional_turnover_cai_497"/>
    <x v="537"/>
    <n v="0.95637654750000001"/>
    <n v="1"/>
    <n v="-40"/>
    <n v="940"/>
  </r>
  <r>
    <x v="22"/>
    <s v="conventional_turnover_cai_498"/>
    <x v="538"/>
    <n v="0.95658293999999999"/>
    <n v="1"/>
    <n v="-40"/>
    <n v="940"/>
  </r>
  <r>
    <x v="22"/>
    <s v="conventional_turnover_cai_499"/>
    <x v="539"/>
    <n v="0.95679074249999996"/>
    <n v="1"/>
    <n v="-40"/>
    <n v="940"/>
  </r>
  <r>
    <x v="22"/>
    <s v="conventional_turnover_cai_500"/>
    <x v="540"/>
    <n v="0.95699999999999996"/>
    <n v="1"/>
    <n v="-40"/>
    <n v="940"/>
  </r>
  <r>
    <x v="22"/>
    <s v="conventional_turnover_cai_501"/>
    <x v="541"/>
    <n v="0.95721019799999996"/>
    <n v="1"/>
    <n v="-40"/>
    <n v="940"/>
  </r>
  <r>
    <x v="22"/>
    <s v="conventional_turnover_cai_502"/>
    <x v="542"/>
    <n v="0.95742078399999997"/>
    <n v="1"/>
    <n v="-40"/>
    <n v="940"/>
  </r>
  <r>
    <x v="22"/>
    <s v="conventional_turnover_cai_503"/>
    <x v="543"/>
    <n v="0.95763174600000001"/>
    <n v="1"/>
    <n v="-40"/>
    <n v="940"/>
  </r>
  <r>
    <x v="22"/>
    <s v="conventional_turnover_cai_504"/>
    <x v="544"/>
    <n v="0.95784307199999996"/>
    <n v="1"/>
    <n v="-40"/>
    <n v="940"/>
  </r>
  <r>
    <x v="22"/>
    <s v="conventional_turnover_cai_505"/>
    <x v="545"/>
    <n v="0.95805474999999996"/>
    <n v="1"/>
    <n v="-40"/>
    <n v="940"/>
  </r>
  <r>
    <x v="22"/>
    <s v="conventional_turnover_cai_506"/>
    <x v="546"/>
    <n v="0.95826676799999999"/>
    <n v="1"/>
    <n v="-40"/>
    <n v="940"/>
  </r>
  <r>
    <x v="22"/>
    <s v="conventional_turnover_cai_507"/>
    <x v="547"/>
    <n v="0.95847911399999997"/>
    <n v="1"/>
    <n v="-40"/>
    <n v="940"/>
  </r>
  <r>
    <x v="22"/>
    <s v="conventional_turnover_cai_508"/>
    <x v="548"/>
    <n v="0.958691776"/>
    <n v="1"/>
    <n v="-40"/>
    <n v="940"/>
  </r>
  <r>
    <x v="22"/>
    <s v="conventional_turnover_cai_509"/>
    <x v="549"/>
    <n v="0.95890474199999998"/>
    <n v="1"/>
    <n v="-40"/>
    <n v="940"/>
  </r>
  <r>
    <x v="22"/>
    <s v="conventional_turnover_cai_510"/>
    <x v="550"/>
    <n v="0.95911800000000003"/>
    <n v="1"/>
    <n v="-40"/>
    <n v="940"/>
  </r>
  <r>
    <x v="22"/>
    <s v="conventional_turnover_cai_511"/>
    <x v="551"/>
    <n v="0.95933153800000004"/>
    <n v="1"/>
    <n v="-40"/>
    <n v="940"/>
  </r>
  <r>
    <x v="22"/>
    <s v="conventional_turnover_cai_512"/>
    <x v="552"/>
    <n v="0.95954534400000002"/>
    <n v="1"/>
    <n v="-40"/>
    <n v="940"/>
  </r>
  <r>
    <x v="22"/>
    <s v="conventional_turnover_cai_513"/>
    <x v="553"/>
    <n v="0.95975940599999998"/>
    <n v="1"/>
    <n v="-40"/>
    <n v="940"/>
  </r>
  <r>
    <x v="22"/>
    <s v="conventional_turnover_cai_514"/>
    <x v="554"/>
    <n v="0.95997371200000003"/>
    <n v="1"/>
    <n v="-40"/>
    <n v="940"/>
  </r>
  <r>
    <x v="22"/>
    <s v="conventional_turnover_cai_515"/>
    <x v="555"/>
    <n v="0.96018824999999997"/>
    <n v="1"/>
    <n v="-40"/>
    <n v="940"/>
  </r>
  <r>
    <x v="22"/>
    <s v="conventional_turnover_cai_516"/>
    <x v="556"/>
    <n v="0.960403008"/>
    <n v="1"/>
    <n v="-40"/>
    <n v="940"/>
  </r>
  <r>
    <x v="22"/>
    <s v="conventional_turnover_cai_517"/>
    <x v="557"/>
    <n v="0.96061797400000004"/>
    <n v="1"/>
    <n v="-40"/>
    <n v="940"/>
  </r>
  <r>
    <x v="22"/>
    <s v="conventional_turnover_cai_518"/>
    <x v="558"/>
    <n v="0.96083313599999998"/>
    <n v="1"/>
    <n v="-40"/>
    <n v="940"/>
  </r>
  <r>
    <x v="22"/>
    <s v="conventional_turnover_cai_519"/>
    <x v="559"/>
    <n v="0.96104848200000004"/>
    <n v="1"/>
    <n v="-40"/>
    <n v="940"/>
  </r>
  <r>
    <x v="22"/>
    <s v="conventional_turnover_cai_520"/>
    <x v="560"/>
    <n v="0.96126400000000001"/>
    <n v="1"/>
    <n v="-40"/>
    <n v="940"/>
  </r>
  <r>
    <x v="22"/>
    <s v="conventional_turnover_cai_521"/>
    <x v="561"/>
    <n v="0.961479678"/>
    <n v="1"/>
    <n v="-40"/>
    <n v="940"/>
  </r>
  <r>
    <x v="22"/>
    <s v="conventional_turnover_cai_522"/>
    <x v="562"/>
    <n v="0.96169550400000003"/>
    <n v="1"/>
    <n v="-40"/>
    <n v="940"/>
  </r>
  <r>
    <x v="22"/>
    <s v="conventional_turnover_cai_523"/>
    <x v="563"/>
    <n v="0.96191146599999999"/>
    <n v="1"/>
    <n v="-40"/>
    <n v="940"/>
  </r>
  <r>
    <x v="22"/>
    <s v="conventional_turnover_cai_524"/>
    <x v="564"/>
    <n v="0.962127552"/>
    <n v="1"/>
    <n v="-40"/>
    <n v="940"/>
  </r>
  <r>
    <x v="22"/>
    <s v="conventional_turnover_cai_525"/>
    <x v="565"/>
    <n v="0.96234375000000005"/>
    <n v="1"/>
    <n v="-40"/>
    <n v="940"/>
  </r>
  <r>
    <x v="22"/>
    <s v="conventional_turnover_cai_526"/>
    <x v="566"/>
    <n v="0.96256004799999995"/>
    <n v="1"/>
    <n v="-40"/>
    <n v="940"/>
  </r>
  <r>
    <x v="22"/>
    <s v="conventional_turnover_cai_527"/>
    <x v="567"/>
    <n v="0.96277643400000001"/>
    <n v="1"/>
    <n v="-40"/>
    <n v="940"/>
  </r>
  <r>
    <x v="22"/>
    <s v="conventional_turnover_cai_528"/>
    <x v="568"/>
    <n v="0.96299289600000004"/>
    <n v="1"/>
    <n v="-40"/>
    <n v="940"/>
  </r>
  <r>
    <x v="22"/>
    <s v="conventional_turnover_cai_529"/>
    <x v="569"/>
    <n v="0.96320942200000004"/>
    <n v="1"/>
    <n v="-40"/>
    <n v="940"/>
  </r>
  <r>
    <x v="22"/>
    <s v="conventional_turnover_cai_530"/>
    <x v="570"/>
    <n v="0.963426"/>
    <n v="1"/>
    <n v="-40"/>
    <n v="940"/>
  </r>
  <r>
    <x v="22"/>
    <s v="conventional_turnover_cai_531"/>
    <x v="571"/>
    <n v="0.96364261799999995"/>
    <n v="1"/>
    <n v="-40"/>
    <n v="940"/>
  </r>
  <r>
    <x v="22"/>
    <s v="conventional_turnover_cai_532"/>
    <x v="572"/>
    <n v="0.96385926399999999"/>
    <n v="1"/>
    <n v="-40"/>
    <n v="940"/>
  </r>
  <r>
    <x v="22"/>
    <s v="conventional_turnover_cai_533"/>
    <x v="573"/>
    <n v="0.96407592600000003"/>
    <n v="1"/>
    <n v="-40"/>
    <n v="940"/>
  </r>
  <r>
    <x v="22"/>
    <s v="conventional_turnover_cai_534"/>
    <x v="574"/>
    <n v="0.96429259199999995"/>
    <n v="1"/>
    <n v="-40"/>
    <n v="940"/>
  </r>
  <r>
    <x v="22"/>
    <s v="conventional_turnover_cai_535"/>
    <x v="575"/>
    <n v="0.96450924999999998"/>
    <n v="1"/>
    <n v="-40"/>
    <n v="940"/>
  </r>
  <r>
    <x v="22"/>
    <s v="conventional_turnover_cai_536"/>
    <x v="576"/>
    <n v="0.96472588800000003"/>
    <n v="1"/>
    <n v="-40"/>
    <n v="940"/>
  </r>
  <r>
    <x v="22"/>
    <s v="conventional_turnover_cai_537"/>
    <x v="577"/>
    <n v="0.96494249399999998"/>
    <n v="1"/>
    <n v="-40"/>
    <n v="940"/>
  </r>
  <r>
    <x v="22"/>
    <s v="conventional_turnover_cai_538"/>
    <x v="578"/>
    <n v="0.96515905599999996"/>
    <n v="1"/>
    <n v="-40"/>
    <n v="940"/>
  </r>
  <r>
    <x v="22"/>
    <s v="conventional_turnover_cai_539"/>
    <x v="579"/>
    <n v="0.96537556199999996"/>
    <n v="1"/>
    <n v="-40"/>
    <n v="940"/>
  </r>
  <r>
    <x v="22"/>
    <s v="conventional_turnover_cai_540"/>
    <x v="580"/>
    <n v="0.96559200000000001"/>
    <n v="1"/>
    <n v="-40"/>
    <n v="940"/>
  </r>
  <r>
    <x v="22"/>
    <s v="conventional_turnover_cai_541"/>
    <x v="581"/>
    <n v="0.96580835799999998"/>
    <n v="1"/>
    <n v="-40"/>
    <n v="940"/>
  </r>
  <r>
    <x v="22"/>
    <s v="conventional_turnover_cai_542"/>
    <x v="582"/>
    <n v="0.966024624"/>
    <n v="1"/>
    <n v="-40"/>
    <n v="940"/>
  </r>
  <r>
    <x v="22"/>
    <s v="conventional_turnover_cai_543"/>
    <x v="583"/>
    <n v="0.96624078599999996"/>
    <n v="1"/>
    <n v="-40"/>
    <n v="940"/>
  </r>
  <r>
    <x v="22"/>
    <s v="conventional_turnover_cai_544"/>
    <x v="584"/>
    <n v="0.96645683199999999"/>
    <n v="1"/>
    <n v="-40"/>
    <n v="940"/>
  </r>
  <r>
    <x v="22"/>
    <s v="conventional_turnover_cai_545"/>
    <x v="585"/>
    <n v="0.96667274999999997"/>
    <n v="1"/>
    <n v="-40"/>
    <n v="940"/>
  </r>
  <r>
    <x v="22"/>
    <s v="conventional_turnover_cai_546"/>
    <x v="586"/>
    <n v="0.96688852800000002"/>
    <n v="1"/>
    <n v="-40"/>
    <n v="940"/>
  </r>
  <r>
    <x v="22"/>
    <s v="conventional_turnover_cai_547"/>
    <x v="587"/>
    <n v="0.96710415400000005"/>
    <n v="1"/>
    <n v="-40"/>
    <n v="940"/>
  </r>
  <r>
    <x v="22"/>
    <s v="conventional_turnover_cai_548"/>
    <x v="588"/>
    <n v="0.96731961600000005"/>
    <n v="1"/>
    <n v="-40"/>
    <n v="940"/>
  </r>
  <r>
    <x v="22"/>
    <s v="conventional_turnover_cai_549"/>
    <x v="589"/>
    <n v="0.96753490200000003"/>
    <n v="1"/>
    <n v="-40"/>
    <n v="940"/>
  </r>
  <r>
    <x v="22"/>
    <s v="conventional_turnover_cai_550"/>
    <x v="590"/>
    <n v="0.96775"/>
    <n v="1"/>
    <n v="-40"/>
    <n v="940"/>
  </r>
  <r>
    <x v="22"/>
    <s v="conventional_turnover_cai_551"/>
    <x v="591"/>
    <n v="0.96796489799999996"/>
    <n v="1"/>
    <n v="-40"/>
    <n v="940"/>
  </r>
  <r>
    <x v="22"/>
    <s v="conventional_turnover_cai_552"/>
    <x v="592"/>
    <n v="0.96817958400000004"/>
    <n v="1"/>
    <n v="-40"/>
    <n v="940"/>
  </r>
  <r>
    <x v="22"/>
    <s v="conventional_turnover_cai_553"/>
    <x v="593"/>
    <n v="0.96839404600000001"/>
    <n v="1"/>
    <n v="-40"/>
    <n v="940"/>
  </r>
  <r>
    <x v="22"/>
    <s v="conventional_turnover_cai_554"/>
    <x v="594"/>
    <n v="0.96860827199999999"/>
    <n v="1"/>
    <n v="-40"/>
    <n v="940"/>
  </r>
  <r>
    <x v="22"/>
    <s v="conventional_turnover_cai_555"/>
    <x v="595"/>
    <n v="0.96882225"/>
    <n v="1"/>
    <n v="-40"/>
    <n v="940"/>
  </r>
  <r>
    <x v="22"/>
    <s v="conventional_turnover_cai_556"/>
    <x v="596"/>
    <n v="0.96903596800000003"/>
    <n v="1"/>
    <n v="-40"/>
    <n v="940"/>
  </r>
  <r>
    <x v="22"/>
    <s v="conventional_turnover_cai_557"/>
    <x v="597"/>
    <n v="0.96924941399999998"/>
    <n v="1"/>
    <n v="-40"/>
    <n v="940"/>
  </r>
  <r>
    <x v="22"/>
    <s v="conventional_turnover_cai_558"/>
    <x v="598"/>
    <n v="0.96946257599999996"/>
    <n v="1"/>
    <n v="-40"/>
    <n v="940"/>
  </r>
  <r>
    <x v="22"/>
    <s v="conventional_turnover_cai_559"/>
    <x v="599"/>
    <n v="0.969675442"/>
    <n v="1"/>
    <n v="-40"/>
    <n v="940"/>
  </r>
  <r>
    <x v="22"/>
    <s v="conventional_turnover_cai_560"/>
    <x v="600"/>
    <n v="0.96988799999999997"/>
    <n v="1"/>
    <n v="-40"/>
    <n v="940"/>
  </r>
  <r>
    <x v="22"/>
    <s v="conventional_turnover_cai_561"/>
    <x v="601"/>
    <n v="0.970100238"/>
    <n v="1"/>
    <n v="-40"/>
    <n v="940"/>
  </r>
  <r>
    <x v="22"/>
    <s v="conventional_turnover_cai_562"/>
    <x v="602"/>
    <n v="0.97031214399999999"/>
    <n v="1"/>
    <n v="-40"/>
    <n v="940"/>
  </r>
  <r>
    <x v="22"/>
    <s v="conventional_turnover_cai_563"/>
    <x v="603"/>
    <n v="0.97052370600000004"/>
    <n v="1"/>
    <n v="-40"/>
    <n v="940"/>
  </r>
  <r>
    <x v="22"/>
    <s v="conventional_turnover_cai_564"/>
    <x v="604"/>
    <n v="0.97073491199999995"/>
    <n v="1"/>
    <n v="-40"/>
    <n v="940"/>
  </r>
  <r>
    <x v="22"/>
    <s v="conventional_turnover_cai_565"/>
    <x v="605"/>
    <n v="0.97094575000000005"/>
    <n v="1"/>
    <n v="-40"/>
    <n v="940"/>
  </r>
  <r>
    <x v="22"/>
    <s v="conventional_turnover_cai_566"/>
    <x v="606"/>
    <n v="0.97115620800000002"/>
    <n v="1"/>
    <n v="-40"/>
    <n v="940"/>
  </r>
  <r>
    <x v="22"/>
    <s v="conventional_turnover_cai_567"/>
    <x v="607"/>
    <n v="0.97136627399999997"/>
    <n v="1"/>
    <n v="-40"/>
    <n v="940"/>
  </r>
  <r>
    <x v="22"/>
    <s v="conventional_turnover_cai_568"/>
    <x v="608"/>
    <n v="0.97157593600000003"/>
    <n v="1"/>
    <n v="-40"/>
    <n v="940"/>
  </r>
  <r>
    <x v="22"/>
    <s v="conventional_turnover_cai_569"/>
    <x v="609"/>
    <n v="0.97178518199999997"/>
    <n v="1"/>
    <n v="-40"/>
    <n v="940"/>
  </r>
  <r>
    <x v="22"/>
    <s v="conventional_turnover_cai_570"/>
    <x v="610"/>
    <n v="0.97199400000000002"/>
    <n v="1"/>
    <n v="-40"/>
    <n v="940"/>
  </r>
  <r>
    <x v="22"/>
    <s v="conventional_turnover_cai_571"/>
    <x v="611"/>
    <n v="0.97220237799999998"/>
    <n v="1"/>
    <n v="-40"/>
    <n v="940"/>
  </r>
  <r>
    <x v="22"/>
    <s v="conventional_turnover_cai_572"/>
    <x v="612"/>
    <n v="0.97241030399999995"/>
    <n v="1"/>
    <n v="-40"/>
    <n v="940"/>
  </r>
  <r>
    <x v="22"/>
    <s v="conventional_turnover_cai_573"/>
    <x v="613"/>
    <n v="0.97261776600000005"/>
    <n v="1"/>
    <n v="-40"/>
    <n v="940"/>
  </r>
  <r>
    <x v="22"/>
    <s v="conventional_turnover_cai_574"/>
    <x v="614"/>
    <n v="0.97282475199999996"/>
    <n v="1"/>
    <n v="-40"/>
    <n v="940"/>
  </r>
  <r>
    <x v="22"/>
    <s v="conventional_turnover_cai_575"/>
    <x v="615"/>
    <n v="0.97303125000000001"/>
    <n v="1"/>
    <n v="-40"/>
    <n v="940"/>
  </r>
  <r>
    <x v="22"/>
    <s v="conventional_turnover_cai_576"/>
    <x v="616"/>
    <n v="0.973237248"/>
    <n v="1"/>
    <n v="-40"/>
    <n v="940"/>
  </r>
  <r>
    <x v="22"/>
    <s v="conventional_turnover_cai_577"/>
    <x v="617"/>
    <n v="0.97344273400000003"/>
    <n v="1"/>
    <n v="-40"/>
    <n v="940"/>
  </r>
  <r>
    <x v="22"/>
    <s v="conventional_turnover_cai_578"/>
    <x v="618"/>
    <n v="0.97364769600000001"/>
    <n v="1"/>
    <n v="-40"/>
    <n v="940"/>
  </r>
  <r>
    <x v="22"/>
    <s v="conventional_turnover_cai_579"/>
    <x v="619"/>
    <n v="0.97385212200000004"/>
    <n v="1"/>
    <n v="-40"/>
    <n v="940"/>
  </r>
  <r>
    <x v="22"/>
    <s v="conventional_turnover_cai_580"/>
    <x v="620"/>
    <n v="0.97405600000000003"/>
    <n v="1"/>
    <n v="-40"/>
    <n v="940"/>
  </r>
  <r>
    <x v="22"/>
    <s v="conventional_turnover_cai_581"/>
    <x v="621"/>
    <n v="0.97425931799999999"/>
    <n v="1"/>
    <n v="-40"/>
    <n v="940"/>
  </r>
  <r>
    <x v="22"/>
    <s v="conventional_turnover_cai_582"/>
    <x v="622"/>
    <n v="0.97446206400000002"/>
    <n v="1"/>
    <n v="-40"/>
    <n v="940"/>
  </r>
  <r>
    <x v="22"/>
    <s v="conventional_turnover_cai_583"/>
    <x v="623"/>
    <n v="0.97466422600000002"/>
    <n v="1"/>
    <n v="-40"/>
    <n v="940"/>
  </r>
  <r>
    <x v="22"/>
    <s v="conventional_turnover_cai_584"/>
    <x v="624"/>
    <n v="0.97486579200000001"/>
    <n v="1"/>
    <n v="-40"/>
    <n v="940"/>
  </r>
  <r>
    <x v="22"/>
    <s v="conventional_turnover_cai_585"/>
    <x v="625"/>
    <n v="0.97506674999999998"/>
    <n v="1"/>
    <n v="-40"/>
    <n v="940"/>
  </r>
  <r>
    <x v="22"/>
    <s v="conventional_turnover_cai_586"/>
    <x v="626"/>
    <n v="0.97526708799999995"/>
    <n v="1"/>
    <n v="-40"/>
    <n v="940"/>
  </r>
  <r>
    <x v="22"/>
    <s v="conventional_turnover_cai_587"/>
    <x v="627"/>
    <n v="0.97546679400000003"/>
    <n v="1"/>
    <n v="-40"/>
    <n v="940"/>
  </r>
  <r>
    <x v="22"/>
    <s v="conventional_turnover_cai_588"/>
    <x v="628"/>
    <n v="0.975665856"/>
    <n v="1"/>
    <n v="-40"/>
    <n v="940"/>
  </r>
  <r>
    <x v="22"/>
    <s v="conventional_turnover_cai_589"/>
    <x v="629"/>
    <n v="0.97586426199999998"/>
    <n v="1"/>
    <n v="-40"/>
    <n v="940"/>
  </r>
  <r>
    <x v="22"/>
    <s v="conventional_turnover_cai_590"/>
    <x v="630"/>
    <n v="0.97606199999999999"/>
    <n v="1"/>
    <n v="-40"/>
    <n v="940"/>
  </r>
  <r>
    <x v="22"/>
    <s v="conventional_turnover_cai_591"/>
    <x v="631"/>
    <n v="0.97625905800000001"/>
    <n v="1"/>
    <n v="-40"/>
    <n v="940"/>
  </r>
  <r>
    <x v="22"/>
    <s v="conventional_turnover_cai_592"/>
    <x v="632"/>
    <n v="0.97645542399999996"/>
    <n v="1"/>
    <n v="-40"/>
    <n v="940"/>
  </r>
  <r>
    <x v="22"/>
    <s v="conventional_turnover_cai_593"/>
    <x v="633"/>
    <n v="0.97665108599999995"/>
    <n v="1"/>
    <n v="-40"/>
    <n v="940"/>
  </r>
  <r>
    <x v="22"/>
    <s v="conventional_turnover_cai_594"/>
    <x v="634"/>
    <n v="0.97684603199999998"/>
    <n v="1"/>
    <n v="-40"/>
    <n v="940"/>
  </r>
  <r>
    <x v="22"/>
    <s v="conventional_turnover_cai_595"/>
    <x v="635"/>
    <n v="0.97704025000000005"/>
    <n v="1"/>
    <n v="-40"/>
    <n v="940"/>
  </r>
  <r>
    <x v="22"/>
    <s v="conventional_turnover_cai_596"/>
    <x v="636"/>
    <n v="0.97723372799999997"/>
    <n v="1"/>
    <n v="-40"/>
    <n v="940"/>
  </r>
  <r>
    <x v="22"/>
    <s v="conventional_turnover_cai_597"/>
    <x v="637"/>
    <n v="0.97742645399999994"/>
    <n v="1"/>
    <n v="-40"/>
    <n v="940"/>
  </r>
  <r>
    <x v="22"/>
    <s v="conventional_turnover_cai_598"/>
    <x v="638"/>
    <n v="0.97761841599999999"/>
    <n v="1"/>
    <n v="-40"/>
    <n v="940"/>
  </r>
  <r>
    <x v="22"/>
    <s v="conventional_turnover_cai_599"/>
    <x v="639"/>
    <n v="0.977809602"/>
    <n v="1"/>
    <n v="-40"/>
    <n v="940"/>
  </r>
  <r>
    <x v="22"/>
    <s v="conventional_turnover_cai_600"/>
    <x v="640"/>
    <n v="0.97799999999999998"/>
    <n v="1"/>
    <n v="-40"/>
    <n v="940"/>
  </r>
  <r>
    <x v="22"/>
    <s v="conventional_turnover_cai_601"/>
    <x v="641"/>
    <n v="0.97818960200000005"/>
    <n v="1"/>
    <n v="-40"/>
    <n v="940"/>
  </r>
  <r>
    <x v="22"/>
    <s v="conventional_turnover_cai_602"/>
    <x v="642"/>
    <n v="0.97837841599999997"/>
    <n v="1"/>
    <n v="-40"/>
    <n v="940"/>
  </r>
  <r>
    <x v="22"/>
    <s v="conventional_turnover_cai_603"/>
    <x v="643"/>
    <n v="0.97856645399999997"/>
    <n v="1"/>
    <n v="-40"/>
    <n v="940"/>
  </r>
  <r>
    <x v="22"/>
    <s v="conventional_turnover_cai_604"/>
    <x v="644"/>
    <n v="0.97875372800000005"/>
    <n v="1"/>
    <n v="-40"/>
    <n v="940"/>
  </r>
  <r>
    <x v="22"/>
    <s v="conventional_turnover_cai_605"/>
    <x v="645"/>
    <n v="0.97894024999999996"/>
    <n v="1"/>
    <n v="-40"/>
    <n v="940"/>
  </r>
  <r>
    <x v="22"/>
    <s v="conventional_turnover_cai_606"/>
    <x v="646"/>
    <n v="0.97912603200000004"/>
    <n v="1"/>
    <n v="-40"/>
    <n v="940"/>
  </r>
  <r>
    <x v="22"/>
    <s v="conventional_turnover_cai_607"/>
    <x v="647"/>
    <n v="0.97931108600000005"/>
    <n v="1"/>
    <n v="-40"/>
    <n v="940"/>
  </r>
  <r>
    <x v="22"/>
    <s v="conventional_turnover_cai_608"/>
    <x v="648"/>
    <n v="0.979495424"/>
    <n v="1"/>
    <n v="-40"/>
    <n v="940"/>
  </r>
  <r>
    <x v="22"/>
    <s v="conventional_turnover_cai_609"/>
    <x v="649"/>
    <n v="0.97967905799999999"/>
    <n v="1"/>
    <n v="-40"/>
    <n v="940"/>
  </r>
  <r>
    <x v="22"/>
    <s v="conventional_turnover_cai_610"/>
    <x v="650"/>
    <n v="0.97986200000000001"/>
    <n v="1"/>
    <n v="-40"/>
    <n v="940"/>
  </r>
  <r>
    <x v="22"/>
    <s v="conventional_turnover_cai_611"/>
    <x v="651"/>
    <n v="0.98004426200000005"/>
    <n v="1"/>
    <n v="-40"/>
    <n v="940"/>
  </r>
  <r>
    <x v="22"/>
    <s v="conventional_turnover_cai_612"/>
    <x v="652"/>
    <n v="0.98022585600000001"/>
    <n v="1"/>
    <n v="-40"/>
    <n v="940"/>
  </r>
  <r>
    <x v="22"/>
    <s v="conventional_turnover_cai_613"/>
    <x v="653"/>
    <n v="0.98040679399999997"/>
    <n v="1"/>
    <n v="-40"/>
    <n v="940"/>
  </r>
  <r>
    <x v="22"/>
    <s v="conventional_turnover_cai_614"/>
    <x v="654"/>
    <n v="0.98058708800000005"/>
    <n v="1"/>
    <n v="-40"/>
    <n v="940"/>
  </r>
  <r>
    <x v="22"/>
    <s v="conventional_turnover_cai_615"/>
    <x v="655"/>
    <n v="0.98076675000000002"/>
    <n v="1"/>
    <n v="-40"/>
    <n v="940"/>
  </r>
  <r>
    <x v="22"/>
    <s v="conventional_turnover_cai_616"/>
    <x v="656"/>
    <n v="0.98094579199999998"/>
    <n v="1"/>
    <n v="-40"/>
    <n v="940"/>
  </r>
  <r>
    <x v="22"/>
    <s v="conventional_turnover_cai_617"/>
    <x v="657"/>
    <n v="0.98112422600000004"/>
    <n v="1"/>
    <n v="-40"/>
    <n v="940"/>
  </r>
  <r>
    <x v="22"/>
    <s v="conventional_turnover_cai_618"/>
    <x v="658"/>
    <n v="0.98130206399999997"/>
    <n v="1"/>
    <n v="-40"/>
    <n v="940"/>
  </r>
  <r>
    <x v="22"/>
    <s v="conventional_turnover_cai_619"/>
    <x v="659"/>
    <n v="0.98147931799999999"/>
    <n v="1"/>
    <n v="-40"/>
    <n v="940"/>
  </r>
  <r>
    <x v="22"/>
    <s v="conventional_turnover_cai_620"/>
    <x v="660"/>
    <n v="0.98165599999999997"/>
    <n v="1"/>
    <n v="-40"/>
    <n v="940"/>
  </r>
  <r>
    <x v="22"/>
    <s v="conventional_turnover_cai_621"/>
    <x v="661"/>
    <n v="0.98183212200000003"/>
    <n v="1"/>
    <n v="-40"/>
    <n v="940"/>
  </r>
  <r>
    <x v="22"/>
    <s v="conventional_turnover_cai_622"/>
    <x v="662"/>
    <n v="0.98200769600000004"/>
    <n v="1"/>
    <n v="-40"/>
    <n v="940"/>
  </r>
  <r>
    <x v="22"/>
    <s v="conventional_turnover_cai_623"/>
    <x v="663"/>
    <n v="0.982182734"/>
    <n v="1"/>
    <n v="-40"/>
    <n v="940"/>
  </r>
  <r>
    <x v="22"/>
    <s v="conventional_turnover_cai_624"/>
    <x v="664"/>
    <n v="0.98235724800000002"/>
    <n v="1"/>
    <n v="-40"/>
    <n v="940"/>
  </r>
  <r>
    <x v="22"/>
    <s v="conventional_turnover_cai_625"/>
    <x v="665"/>
    <n v="0.98253124999999997"/>
    <n v="1"/>
    <n v="-40"/>
    <n v="940"/>
  </r>
  <r>
    <x v="22"/>
    <s v="conventional_turnover_cai_626"/>
    <x v="666"/>
    <n v="0.98270475199999996"/>
    <n v="1"/>
    <n v="-40"/>
    <n v="940"/>
  </r>
  <r>
    <x v="22"/>
    <s v="conventional_turnover_cai_627"/>
    <x v="667"/>
    <n v="0.98287776599999999"/>
    <n v="1"/>
    <n v="-40"/>
    <n v="940"/>
  </r>
  <r>
    <x v="22"/>
    <s v="conventional_turnover_cai_628"/>
    <x v="668"/>
    <n v="0.98305030400000004"/>
    <n v="1"/>
    <n v="-40"/>
    <n v="940"/>
  </r>
  <r>
    <x v="22"/>
    <s v="conventional_turnover_cai_629"/>
    <x v="669"/>
    <n v="0.98322237800000001"/>
    <n v="1"/>
    <n v="-40"/>
    <n v="940"/>
  </r>
  <r>
    <x v="22"/>
    <s v="conventional_turnover_cai_630"/>
    <x v="670"/>
    <n v="0.98339399999999999"/>
    <n v="1"/>
    <n v="-40"/>
    <n v="940"/>
  </r>
  <r>
    <x v="22"/>
    <s v="conventional_turnover_cai_631"/>
    <x v="671"/>
    <n v="0.98356518199999998"/>
    <n v="1"/>
    <n v="-40"/>
    <n v="940"/>
  </r>
  <r>
    <x v="22"/>
    <s v="conventional_turnover_cai_632"/>
    <x v="672"/>
    <n v="0.98373593599999998"/>
    <n v="1"/>
    <n v="-40"/>
    <n v="940"/>
  </r>
  <r>
    <x v="22"/>
    <s v="conventional_turnover_cai_633"/>
    <x v="673"/>
    <n v="0.98390627399999997"/>
    <n v="1"/>
    <n v="-40"/>
    <n v="940"/>
  </r>
  <r>
    <x v="22"/>
    <s v="conventional_turnover_cai_634"/>
    <x v="674"/>
    <n v="0.98407620799999995"/>
    <n v="1"/>
    <n v="-40"/>
    <n v="940"/>
  </r>
  <r>
    <x v="22"/>
    <s v="conventional_turnover_cai_635"/>
    <x v="675"/>
    <n v="0.98424575000000003"/>
    <n v="1"/>
    <n v="-40"/>
    <n v="940"/>
  </r>
  <r>
    <x v="22"/>
    <s v="conventional_turnover_cai_636"/>
    <x v="676"/>
    <n v="0.98441491199999998"/>
    <n v="1"/>
    <n v="-40"/>
    <n v="940"/>
  </r>
  <r>
    <x v="22"/>
    <s v="conventional_turnover_cai_637"/>
    <x v="677"/>
    <n v="0.984583706"/>
    <n v="1"/>
    <n v="-40"/>
    <n v="940"/>
  </r>
  <r>
    <x v="22"/>
    <s v="conventional_turnover_cai_638"/>
    <x v="678"/>
    <n v="0.984752144"/>
    <n v="1"/>
    <n v="-40"/>
    <n v="940"/>
  </r>
  <r>
    <x v="22"/>
    <s v="conventional_turnover_cai_639"/>
    <x v="679"/>
    <n v="0.98492023799999995"/>
    <n v="1"/>
    <n v="-40"/>
    <n v="940"/>
  </r>
  <r>
    <x v="22"/>
    <s v="conventional_turnover_cai_640"/>
    <x v="680"/>
    <n v="0.98508799999999996"/>
    <n v="1"/>
    <n v="-40"/>
    <n v="940"/>
  </r>
  <r>
    <x v="22"/>
    <s v="conventional_turnover_cai_641"/>
    <x v="681"/>
    <n v="0.98525544200000004"/>
    <n v="1"/>
    <n v="-40"/>
    <n v="940"/>
  </r>
  <r>
    <x v="22"/>
    <s v="conventional_turnover_cai_642"/>
    <x v="682"/>
    <n v="0.98542257600000005"/>
    <n v="1"/>
    <n v="-40"/>
    <n v="940"/>
  </r>
  <r>
    <x v="22"/>
    <s v="conventional_turnover_cai_643"/>
    <x v="683"/>
    <n v="0.985589414"/>
    <n v="1"/>
    <n v="-40"/>
    <n v="940"/>
  </r>
  <r>
    <x v="22"/>
    <s v="conventional_turnover_cai_644"/>
    <x v="684"/>
    <n v="0.98575596799999998"/>
    <n v="1"/>
    <n v="-40"/>
    <n v="940"/>
  </r>
  <r>
    <x v="22"/>
    <s v="conventional_turnover_cai_645"/>
    <x v="685"/>
    <n v="0.98592225"/>
    <n v="1"/>
    <n v="-40"/>
    <n v="940"/>
  </r>
  <r>
    <x v="22"/>
    <s v="conventional_turnover_cai_646"/>
    <x v="686"/>
    <n v="0.98608827200000004"/>
    <n v="1"/>
    <n v="-40"/>
    <n v="940"/>
  </r>
  <r>
    <x v="22"/>
    <s v="conventional_turnover_cai_647"/>
    <x v="687"/>
    <n v="0.986254046"/>
    <n v="1"/>
    <n v="-40"/>
    <n v="940"/>
  </r>
  <r>
    <x v="22"/>
    <s v="conventional_turnover_cai_648"/>
    <x v="688"/>
    <n v="0.98641958399999996"/>
    <n v="1"/>
    <n v="-40"/>
    <n v="940"/>
  </r>
  <r>
    <x v="22"/>
    <s v="conventional_turnover_cai_649"/>
    <x v="689"/>
    <n v="0.98658489800000004"/>
    <n v="1"/>
    <n v="-40"/>
    <n v="940"/>
  </r>
  <r>
    <x v="22"/>
    <s v="conventional_turnover_cai_650"/>
    <x v="690"/>
    <n v="0.98675000000000002"/>
    <n v="1"/>
    <n v="-40"/>
    <n v="940"/>
  </r>
  <r>
    <x v="22"/>
    <s v="conventional_turnover_cai_651"/>
    <x v="691"/>
    <n v="0.98691490199999998"/>
    <n v="1"/>
    <n v="-40"/>
    <n v="940"/>
  </r>
  <r>
    <x v="22"/>
    <s v="conventional_turnover_cai_652"/>
    <x v="692"/>
    <n v="0.98707961600000005"/>
    <n v="1"/>
    <n v="-40"/>
    <n v="940"/>
  </r>
  <r>
    <x v="22"/>
    <s v="conventional_turnover_cai_653"/>
    <x v="693"/>
    <n v="0.98724415399999998"/>
    <n v="1"/>
    <n v="-40"/>
    <n v="940"/>
  </r>
  <r>
    <x v="22"/>
    <s v="conventional_turnover_cai_654"/>
    <x v="694"/>
    <n v="0.98740852800000001"/>
    <n v="1"/>
    <n v="-40"/>
    <n v="940"/>
  </r>
  <r>
    <x v="22"/>
    <s v="conventional_turnover_cai_655"/>
    <x v="695"/>
    <n v="0.98757275"/>
    <n v="1"/>
    <n v="-40"/>
    <n v="940"/>
  </r>
  <r>
    <x v="22"/>
    <s v="conventional_turnover_cai_656"/>
    <x v="696"/>
    <n v="0.98773683199999995"/>
    <n v="1"/>
    <n v="-40"/>
    <n v="940"/>
  </r>
  <r>
    <x v="22"/>
    <s v="conventional_turnover_cai_657"/>
    <x v="697"/>
    <n v="0.98790078599999998"/>
    <n v="1"/>
    <n v="-40"/>
    <n v="940"/>
  </r>
  <r>
    <x v="22"/>
    <s v="conventional_turnover_cai_658"/>
    <x v="698"/>
    <n v="0.98806462399999995"/>
    <n v="1"/>
    <n v="-40"/>
    <n v="940"/>
  </r>
  <r>
    <x v="22"/>
    <s v="conventional_turnover_cai_659"/>
    <x v="699"/>
    <n v="0.98822835799999997"/>
    <n v="1"/>
    <n v="-40"/>
    <n v="940"/>
  </r>
  <r>
    <x v="22"/>
    <s v="conventional_turnover_cai_660"/>
    <x v="700"/>
    <n v="0.98839200000000005"/>
    <n v="1"/>
    <n v="-40"/>
    <n v="940"/>
  </r>
  <r>
    <x v="22"/>
    <s v="conventional_turnover_cai_661"/>
    <x v="701"/>
    <n v="0.98855556200000005"/>
    <n v="1"/>
    <n v="-40"/>
    <n v="940"/>
  </r>
  <r>
    <x v="22"/>
    <s v="conventional_turnover_cai_662"/>
    <x v="702"/>
    <n v="0.98871905599999999"/>
    <n v="1"/>
    <n v="-40"/>
    <n v="940"/>
  </r>
  <r>
    <x v="22"/>
    <s v="conventional_turnover_cai_663"/>
    <x v="703"/>
    <n v="0.98888249399999995"/>
    <n v="1"/>
    <n v="-40"/>
    <n v="940"/>
  </r>
  <r>
    <x v="22"/>
    <s v="conventional_turnover_cai_664"/>
    <x v="704"/>
    <n v="0.98904588800000004"/>
    <n v="1"/>
    <n v="-40"/>
    <n v="940"/>
  </r>
  <r>
    <x v="22"/>
    <s v="conventional_turnover_cai_665"/>
    <x v="705"/>
    <n v="0.98920925000000004"/>
    <n v="1"/>
    <n v="-40"/>
    <n v="940"/>
  </r>
  <r>
    <x v="22"/>
    <s v="conventional_turnover_cai_666"/>
    <x v="706"/>
    <n v="0.98937259200000005"/>
    <n v="1"/>
    <n v="-40"/>
    <n v="940"/>
  </r>
  <r>
    <x v="22"/>
    <s v="conventional_turnover_cai_667"/>
    <x v="707"/>
    <n v="0.98953592599999995"/>
    <n v="1"/>
    <n v="-40"/>
    <n v="940"/>
  </r>
  <r>
    <x v="22"/>
    <s v="conventional_turnover_cai_668"/>
    <x v="708"/>
    <n v="0.98969926399999997"/>
    <n v="1"/>
    <n v="-40"/>
    <n v="940"/>
  </r>
  <r>
    <x v="22"/>
    <s v="conventional_turnover_cai_669"/>
    <x v="709"/>
    <n v="0.98986261799999997"/>
    <n v="1"/>
    <n v="-40"/>
    <n v="940"/>
  </r>
  <r>
    <x v="22"/>
    <s v="conventional_turnover_cai_670"/>
    <x v="710"/>
    <n v="0.99002599999999996"/>
    <n v="1"/>
    <n v="-40"/>
    <n v="940"/>
  </r>
  <r>
    <x v="22"/>
    <s v="conventional_turnover_cai_671"/>
    <x v="711"/>
    <n v="0.99018942200000004"/>
    <n v="1"/>
    <n v="-40"/>
    <n v="940"/>
  </r>
  <r>
    <x v="22"/>
    <s v="conventional_turnover_cai_672"/>
    <x v="712"/>
    <n v="0.99035289599999998"/>
    <n v="1"/>
    <n v="-40"/>
    <n v="940"/>
  </r>
  <r>
    <x v="22"/>
    <s v="conventional_turnover_cai_673"/>
    <x v="713"/>
    <n v="0.990516434"/>
    <n v="1"/>
    <n v="-40"/>
    <n v="940"/>
  </r>
  <r>
    <x v="22"/>
    <s v="conventional_turnover_cai_674"/>
    <x v="714"/>
    <n v="0.99068004799999998"/>
    <n v="1"/>
    <n v="-40"/>
    <n v="940"/>
  </r>
  <r>
    <x v="22"/>
    <s v="conventional_turnover_cai_675"/>
    <x v="715"/>
    <n v="0.99084375000000002"/>
    <n v="1"/>
    <n v="-40"/>
    <n v="940"/>
  </r>
  <r>
    <x v="22"/>
    <s v="conventional_turnover_cai_676"/>
    <x v="716"/>
    <n v="0.99100755200000001"/>
    <n v="1"/>
    <n v="-40"/>
    <n v="940"/>
  </r>
  <r>
    <x v="22"/>
    <s v="conventional_turnover_cai_677"/>
    <x v="717"/>
    <n v="0.99117146599999995"/>
    <n v="1"/>
    <n v="-40"/>
    <n v="940"/>
  </r>
  <r>
    <x v="22"/>
    <s v="conventional_turnover_cai_678"/>
    <x v="718"/>
    <n v="0.99133550400000003"/>
    <n v="1"/>
    <n v="-40"/>
    <n v="940"/>
  </r>
  <r>
    <x v="22"/>
    <s v="conventional_turnover_cai_679"/>
    <x v="719"/>
    <n v="0.99149967800000005"/>
    <n v="1"/>
    <n v="-40"/>
    <n v="940"/>
  </r>
  <r>
    <x v="22"/>
    <s v="conventional_turnover_cai_680"/>
    <x v="720"/>
    <n v="0.99166399999999999"/>
    <n v="1"/>
    <n v="-40"/>
    <n v="940"/>
  </r>
  <r>
    <x v="22"/>
    <s v="conventional_turnover_cai_681"/>
    <x v="721"/>
    <n v="0.99182848199999996"/>
    <n v="1"/>
    <n v="-40"/>
    <n v="940"/>
  </r>
  <r>
    <x v="22"/>
    <s v="conventional_turnover_cai_682"/>
    <x v="722"/>
    <n v="0.99199313600000005"/>
    <n v="1"/>
    <n v="-40"/>
    <n v="940"/>
  </r>
  <r>
    <x v="22"/>
    <s v="conventional_turnover_cai_683"/>
    <x v="723"/>
    <n v="0.99215797400000005"/>
    <n v="1"/>
    <n v="-40"/>
    <n v="940"/>
  </r>
  <r>
    <x v="22"/>
    <s v="conventional_turnover_cai_684"/>
    <x v="724"/>
    <n v="0.99232300799999995"/>
    <n v="1"/>
    <n v="-40"/>
    <n v="940"/>
  </r>
  <r>
    <x v="22"/>
    <s v="conventional_turnover_cai_685"/>
    <x v="725"/>
    <n v="0.99248824999999996"/>
    <n v="1"/>
    <n v="-40"/>
    <n v="940"/>
  </r>
  <r>
    <x v="22"/>
    <s v="conventional_turnover_cai_686"/>
    <x v="726"/>
    <n v="0.99265371199999997"/>
    <n v="1"/>
    <n v="-40"/>
    <n v="940"/>
  </r>
  <r>
    <x v="22"/>
    <s v="conventional_turnover_cai_687"/>
    <x v="727"/>
    <n v="0.99281940599999996"/>
    <n v="1"/>
    <n v="-40"/>
    <n v="940"/>
  </r>
  <r>
    <x v="22"/>
    <s v="conventional_turnover_cai_688"/>
    <x v="728"/>
    <n v="0.99298534400000005"/>
    <n v="1"/>
    <n v="-40"/>
    <n v="940"/>
  </r>
  <r>
    <x v="22"/>
    <s v="conventional_turnover_cai_689"/>
    <x v="729"/>
    <n v="0.993151538"/>
    <n v="1"/>
    <n v="-40"/>
    <n v="940"/>
  </r>
  <r>
    <x v="22"/>
    <s v="conventional_turnover_cai_690"/>
    <x v="730"/>
    <n v="0.99331800000000003"/>
    <n v="1"/>
    <n v="-40"/>
    <n v="940"/>
  </r>
  <r>
    <x v="22"/>
    <s v="conventional_turnover_cai_691"/>
    <x v="731"/>
    <n v="0.99348474200000003"/>
    <n v="1"/>
    <n v="-40"/>
    <n v="940"/>
  </r>
  <r>
    <x v="22"/>
    <s v="conventional_turnover_cai_692"/>
    <x v="732"/>
    <n v="0.99365177599999999"/>
    <n v="1"/>
    <n v="-40"/>
    <n v="940"/>
  </r>
  <r>
    <x v="22"/>
    <s v="conventional_turnover_cai_693"/>
    <x v="733"/>
    <n v="0.993819114"/>
    <n v="1"/>
    <n v="-40"/>
    <n v="940"/>
  </r>
  <r>
    <x v="22"/>
    <s v="conventional_turnover_cai_694"/>
    <x v="734"/>
    <n v="0.99398676799999997"/>
    <n v="1"/>
    <n v="-40"/>
    <n v="940"/>
  </r>
  <r>
    <x v="22"/>
    <s v="conventional_turnover_cai_695"/>
    <x v="735"/>
    <n v="0.99415474999999998"/>
    <n v="1"/>
    <n v="-40"/>
    <n v="940"/>
  </r>
  <r>
    <x v="22"/>
    <s v="conventional_turnover_cai_696"/>
    <x v="736"/>
    <n v="0.99432307200000003"/>
    <n v="1"/>
    <n v="-40"/>
    <n v="940"/>
  </r>
  <r>
    <x v="22"/>
    <s v="conventional_turnover_cai_697"/>
    <x v="737"/>
    <n v="0.99449174600000001"/>
    <n v="1"/>
    <n v="-40"/>
    <n v="940"/>
  </r>
  <r>
    <x v="22"/>
    <s v="conventional_turnover_cai_698"/>
    <x v="738"/>
    <n v="0.99466078400000002"/>
    <n v="1"/>
    <n v="-40"/>
    <n v="940"/>
  </r>
  <r>
    <x v="22"/>
    <s v="conventional_turnover_cai_699"/>
    <x v="739"/>
    <n v="0.99483019800000005"/>
    <n v="1"/>
    <n v="-40"/>
    <n v="940"/>
  </r>
  <r>
    <x v="22"/>
    <s v="conventional_turnover_cai_700"/>
    <x v="740"/>
    <n v="0.995"/>
    <n v="1"/>
    <n v="-40"/>
    <n v="940"/>
  </r>
  <r>
    <x v="22"/>
    <s v="conventional_turnover_cai_701"/>
    <x v="741"/>
    <n v="0.99517"/>
    <n v="1"/>
    <n v="-40"/>
    <n v="940"/>
  </r>
  <r>
    <x v="22"/>
    <s v="conventional_turnover_cai_702"/>
    <x v="742"/>
    <n v="0.99534"/>
    <n v="1"/>
    <n v="-40"/>
    <n v="940"/>
  </r>
  <r>
    <x v="22"/>
    <s v="conventional_turnover_cai_703"/>
    <x v="743"/>
    <n v="0.99551000000000001"/>
    <n v="1"/>
    <n v="-40"/>
    <n v="940"/>
  </r>
  <r>
    <x v="22"/>
    <s v="conventional_turnover_cai_704"/>
    <x v="744"/>
    <n v="0.99568000000000001"/>
    <n v="1"/>
    <n v="-40"/>
    <n v="940"/>
  </r>
  <r>
    <x v="22"/>
    <s v="conventional_turnover_cai_705"/>
    <x v="745"/>
    <n v="0.99585000000000001"/>
    <n v="1"/>
    <n v="-40"/>
    <n v="940"/>
  </r>
  <r>
    <x v="22"/>
    <s v="conventional_turnover_cai_706"/>
    <x v="746"/>
    <n v="0.99602000000000002"/>
    <n v="1"/>
    <n v="-40"/>
    <n v="940"/>
  </r>
  <r>
    <x v="22"/>
    <s v="conventional_turnover_cai_707"/>
    <x v="747"/>
    <n v="0.99619000000000002"/>
    <n v="1"/>
    <n v="-40"/>
    <n v="940"/>
  </r>
  <r>
    <x v="22"/>
    <s v="conventional_turnover_cai_708"/>
    <x v="748"/>
    <n v="0.99636000000000002"/>
    <n v="1"/>
    <n v="-40"/>
    <n v="940"/>
  </r>
  <r>
    <x v="22"/>
    <s v="conventional_turnover_cai_709"/>
    <x v="749"/>
    <n v="0.99653000000000003"/>
    <n v="1"/>
    <n v="-40"/>
    <n v="940"/>
  </r>
  <r>
    <x v="22"/>
    <s v="conventional_turnover_cai_710"/>
    <x v="750"/>
    <n v="0.99670000000000003"/>
    <n v="1"/>
    <n v="-40"/>
    <n v="940"/>
  </r>
  <r>
    <x v="22"/>
    <s v="conventional_turnover_cai_711"/>
    <x v="751"/>
    <n v="0.99687000000000003"/>
    <n v="1"/>
    <n v="-40"/>
    <n v="940"/>
  </r>
  <r>
    <x v="22"/>
    <s v="conventional_turnover_cai_712"/>
    <x v="752"/>
    <n v="0.99704000000000004"/>
    <n v="1"/>
    <n v="-40"/>
    <n v="940"/>
  </r>
  <r>
    <x v="22"/>
    <s v="conventional_turnover_cai_713"/>
    <x v="753"/>
    <n v="0.99721000000000004"/>
    <n v="1"/>
    <n v="-40"/>
    <n v="940"/>
  </r>
  <r>
    <x v="22"/>
    <s v="conventional_turnover_cai_714"/>
    <x v="754"/>
    <n v="0.99738000000000004"/>
    <n v="1"/>
    <n v="-40"/>
    <n v="940"/>
  </r>
  <r>
    <x v="22"/>
    <s v="conventional_turnover_cai_715"/>
    <x v="755"/>
    <n v="0.99755000000000005"/>
    <n v="1"/>
    <n v="-40"/>
    <n v="940"/>
  </r>
  <r>
    <x v="22"/>
    <s v="conventional_turnover_cai_716"/>
    <x v="756"/>
    <n v="0.99772000000000005"/>
    <n v="1"/>
    <n v="-40"/>
    <n v="940"/>
  </r>
  <r>
    <x v="22"/>
    <s v="conventional_turnover_cai_717"/>
    <x v="757"/>
    <n v="0.99789000000000005"/>
    <n v="1"/>
    <n v="-40"/>
    <n v="940"/>
  </r>
  <r>
    <x v="22"/>
    <s v="conventional_turnover_cai_718"/>
    <x v="758"/>
    <n v="0.99805999999999995"/>
    <n v="1"/>
    <n v="-40"/>
    <n v="940"/>
  </r>
  <r>
    <x v="22"/>
    <s v="conventional_turnover_cai_719"/>
    <x v="759"/>
    <n v="0.99822999999999995"/>
    <n v="1"/>
    <n v="-40"/>
    <n v="940"/>
  </r>
  <r>
    <x v="22"/>
    <s v="conventional_turnover_cai_720"/>
    <x v="760"/>
    <n v="0.99839999999999995"/>
    <n v="1"/>
    <n v="-40"/>
    <n v="940"/>
  </r>
  <r>
    <x v="22"/>
    <s v="conventional_turnover_cai_721"/>
    <x v="761"/>
    <n v="0.99856999999999996"/>
    <n v="1"/>
    <n v="-40"/>
    <n v="940"/>
  </r>
  <r>
    <x v="22"/>
    <s v="conventional_turnover_cai_722"/>
    <x v="762"/>
    <n v="0.99873999999999996"/>
    <n v="1"/>
    <n v="-40"/>
    <n v="940"/>
  </r>
  <r>
    <x v="22"/>
    <s v="conventional_turnover_cai_723"/>
    <x v="763"/>
    <n v="0.99890999999999996"/>
    <n v="1"/>
    <n v="-40"/>
    <n v="940"/>
  </r>
  <r>
    <x v="22"/>
    <s v="conventional_turnover_cai_724"/>
    <x v="764"/>
    <n v="0.99907999999999997"/>
    <n v="1"/>
    <n v="-40"/>
    <n v="940"/>
  </r>
  <r>
    <x v="22"/>
    <s v="conventional_turnover_cai_725"/>
    <x v="765"/>
    <n v="0.99924999999999997"/>
    <n v="1"/>
    <n v="-40"/>
    <n v="940"/>
  </r>
  <r>
    <x v="22"/>
    <s v="conventional_turnover_cai_726"/>
    <x v="766"/>
    <n v="0.99941999999999998"/>
    <n v="1"/>
    <n v="-40"/>
    <n v="940"/>
  </r>
  <r>
    <x v="22"/>
    <s v="conventional_turnover_cai_727"/>
    <x v="767"/>
    <n v="0.99958999999999998"/>
    <n v="1"/>
    <n v="-40"/>
    <n v="940"/>
  </r>
  <r>
    <x v="22"/>
    <s v="conventional_turnover_cai_728"/>
    <x v="768"/>
    <n v="0.99975999999999998"/>
    <n v="1"/>
    <n v="-40"/>
    <n v="940"/>
  </r>
  <r>
    <x v="22"/>
    <s v="conventional_turnover_cai_729"/>
    <x v="769"/>
    <n v="0.99992999999999999"/>
    <n v="1"/>
    <n v="-40"/>
    <n v="940"/>
  </r>
  <r>
    <x v="22"/>
    <s v="conventional_turnover_cai_730"/>
    <x v="770"/>
    <n v="1.0001"/>
    <n v="1"/>
    <n v="-40"/>
    <n v="940"/>
  </r>
  <r>
    <x v="22"/>
    <s v="conventional_turnover_cai_731"/>
    <x v="771"/>
    <n v="1.00027"/>
    <n v="1"/>
    <n v="-40"/>
    <n v="940"/>
  </r>
  <r>
    <x v="22"/>
    <s v="conventional_turnover_cai_732"/>
    <x v="772"/>
    <n v="1.00044"/>
    <n v="1"/>
    <n v="-40"/>
    <n v="940"/>
  </r>
  <r>
    <x v="22"/>
    <s v="conventional_turnover_cai_733"/>
    <x v="773"/>
    <n v="1.00061"/>
    <n v="1"/>
    <n v="-40"/>
    <n v="940"/>
  </r>
  <r>
    <x v="22"/>
    <s v="conventional_turnover_cai_734"/>
    <x v="774"/>
    <n v="1.00078"/>
    <n v="1"/>
    <n v="-40"/>
    <n v="940"/>
  </r>
  <r>
    <x v="22"/>
    <s v="conventional_turnover_cai_735"/>
    <x v="775"/>
    <n v="1.00095"/>
    <n v="1"/>
    <n v="-40"/>
    <n v="940"/>
  </r>
  <r>
    <x v="22"/>
    <s v="conventional_turnover_cai_736"/>
    <x v="776"/>
    <n v="1.00112"/>
    <n v="1"/>
    <n v="-40"/>
    <n v="940"/>
  </r>
  <r>
    <x v="22"/>
    <s v="conventional_turnover_cai_737"/>
    <x v="777"/>
    <n v="1.00129"/>
    <n v="1"/>
    <n v="-40"/>
    <n v="940"/>
  </r>
  <r>
    <x v="22"/>
    <s v="conventional_turnover_cai_738"/>
    <x v="778"/>
    <n v="1.00146"/>
    <n v="1"/>
    <n v="-40"/>
    <n v="940"/>
  </r>
  <r>
    <x v="22"/>
    <s v="conventional_turnover_cai_739"/>
    <x v="779"/>
    <n v="1.00163"/>
    <n v="1"/>
    <n v="-40"/>
    <n v="940"/>
  </r>
  <r>
    <x v="22"/>
    <s v="conventional_turnover_cai_740"/>
    <x v="780"/>
    <n v="1.0018"/>
    <n v="1"/>
    <n v="-40"/>
    <n v="940"/>
  </r>
  <r>
    <x v="22"/>
    <s v="conventional_turnover_cai_741"/>
    <x v="781"/>
    <n v="1.00197"/>
    <n v="1"/>
    <n v="-40"/>
    <n v="940"/>
  </r>
  <r>
    <x v="22"/>
    <s v="conventional_turnover_cai_742"/>
    <x v="782"/>
    <n v="1.00214"/>
    <n v="1"/>
    <n v="-40"/>
    <n v="940"/>
  </r>
  <r>
    <x v="22"/>
    <s v="conventional_turnover_cai_743"/>
    <x v="783"/>
    <n v="1.00231"/>
    <n v="1"/>
    <n v="-40"/>
    <n v="940"/>
  </r>
  <r>
    <x v="22"/>
    <s v="conventional_turnover_cai_744"/>
    <x v="784"/>
    <n v="1.00248"/>
    <n v="1"/>
    <n v="-40"/>
    <n v="940"/>
  </r>
  <r>
    <x v="22"/>
    <s v="conventional_turnover_cai_745"/>
    <x v="785"/>
    <n v="1.00265"/>
    <n v="1"/>
    <n v="-40"/>
    <n v="940"/>
  </r>
  <r>
    <x v="22"/>
    <s v="conventional_turnover_cai_746"/>
    <x v="786"/>
    <n v="1.00282"/>
    <n v="1"/>
    <n v="-40"/>
    <n v="940"/>
  </r>
  <r>
    <x v="22"/>
    <s v="conventional_turnover_cai_747"/>
    <x v="787"/>
    <n v="1.00299"/>
    <n v="1"/>
    <n v="-40"/>
    <n v="940"/>
  </r>
  <r>
    <x v="22"/>
    <s v="conventional_turnover_cai_748"/>
    <x v="788"/>
    <n v="1.0031600000000001"/>
    <n v="1"/>
    <n v="-40"/>
    <n v="940"/>
  </r>
  <r>
    <x v="22"/>
    <s v="conventional_turnover_cai_749"/>
    <x v="789"/>
    <n v="1.0033300000000001"/>
    <n v="1"/>
    <n v="-40"/>
    <n v="940"/>
  </r>
  <r>
    <x v="22"/>
    <s v="conventional_turnover_cai_750"/>
    <x v="790"/>
    <n v="1.0035000000000001"/>
    <n v="1"/>
    <n v="-40"/>
    <n v="940"/>
  </r>
  <r>
    <x v="22"/>
    <s v="conventional_turnover_cai_751"/>
    <x v="791"/>
    <n v="1.0036700000000001"/>
    <n v="1"/>
    <n v="-40"/>
    <n v="940"/>
  </r>
  <r>
    <x v="22"/>
    <s v="conventional_turnover_cai_752"/>
    <x v="792"/>
    <n v="1.0038400000000001"/>
    <n v="1"/>
    <n v="-40"/>
    <n v="940"/>
  </r>
  <r>
    <x v="22"/>
    <s v="conventional_turnover_cai_753"/>
    <x v="793"/>
    <n v="1.0040100000000001"/>
    <n v="1"/>
    <n v="-40"/>
    <n v="940"/>
  </r>
  <r>
    <x v="22"/>
    <s v="conventional_turnover_cai_754"/>
    <x v="794"/>
    <n v="1.0041800000000001"/>
    <n v="1"/>
    <n v="-40"/>
    <n v="940"/>
  </r>
  <r>
    <x v="22"/>
    <s v="conventional_turnover_cai_755"/>
    <x v="795"/>
    <n v="1.0043500000000001"/>
    <n v="1"/>
    <n v="-40"/>
    <n v="940"/>
  </r>
  <r>
    <x v="22"/>
    <s v="conventional_turnover_cai_756"/>
    <x v="796"/>
    <n v="1.0045200000000001"/>
    <n v="1"/>
    <n v="-40"/>
    <n v="940"/>
  </r>
  <r>
    <x v="22"/>
    <s v="conventional_turnover_cai_757"/>
    <x v="797"/>
    <n v="1.0046900000000001"/>
    <n v="1"/>
    <n v="-40"/>
    <n v="940"/>
  </r>
  <r>
    <x v="22"/>
    <s v="conventional_turnover_cai_758"/>
    <x v="798"/>
    <n v="1.0048600000000001"/>
    <n v="1"/>
    <n v="-40"/>
    <n v="940"/>
  </r>
  <r>
    <x v="22"/>
    <s v="conventional_turnover_cai_759"/>
    <x v="799"/>
    <n v="1.0050300000000001"/>
    <n v="1"/>
    <n v="-40"/>
    <n v="940"/>
  </r>
  <r>
    <x v="22"/>
    <s v="conventional_turnover_cai_760"/>
    <x v="800"/>
    <n v="1.0052000000000001"/>
    <n v="1"/>
    <n v="-40"/>
    <n v="940"/>
  </r>
  <r>
    <x v="22"/>
    <s v="conventional_turnover_cai_761"/>
    <x v="801"/>
    <n v="1.0053700000000001"/>
    <n v="1"/>
    <n v="-40"/>
    <n v="940"/>
  </r>
  <r>
    <x v="22"/>
    <s v="conventional_turnover_cai_762"/>
    <x v="802"/>
    <n v="1.0055400000000001"/>
    <n v="1"/>
    <n v="-40"/>
    <n v="940"/>
  </r>
  <r>
    <x v="22"/>
    <s v="conventional_turnover_cai_763"/>
    <x v="803"/>
    <n v="1.0057100000000001"/>
    <n v="1"/>
    <n v="-40"/>
    <n v="940"/>
  </r>
  <r>
    <x v="22"/>
    <s v="conventional_turnover_cai_764"/>
    <x v="804"/>
    <n v="1.0058800000000001"/>
    <n v="1"/>
    <n v="-40"/>
    <n v="940"/>
  </r>
  <r>
    <x v="22"/>
    <s v="conventional_turnover_cai_765"/>
    <x v="805"/>
    <n v="1.0060500000000001"/>
    <n v="1"/>
    <n v="-40"/>
    <n v="940"/>
  </r>
  <r>
    <x v="22"/>
    <s v="conventional_turnover_cai_766"/>
    <x v="806"/>
    <n v="1.0062199999999999"/>
    <n v="1"/>
    <n v="-40"/>
    <n v="940"/>
  </r>
  <r>
    <x v="22"/>
    <s v="conventional_turnover_cai_767"/>
    <x v="807"/>
    <n v="1.0063899999999999"/>
    <n v="1"/>
    <n v="-40"/>
    <n v="940"/>
  </r>
  <r>
    <x v="22"/>
    <s v="conventional_turnover_cai_768"/>
    <x v="808"/>
    <n v="1.0065599999999999"/>
    <n v="1"/>
    <n v="-40"/>
    <n v="940"/>
  </r>
  <r>
    <x v="22"/>
    <s v="conventional_turnover_cai_769"/>
    <x v="809"/>
    <n v="1.0067299999999999"/>
    <n v="1"/>
    <n v="-40"/>
    <n v="940"/>
  </r>
  <r>
    <x v="22"/>
    <s v="conventional_turnover_cai_770"/>
    <x v="810"/>
    <n v="1.0068999999999999"/>
    <n v="1"/>
    <n v="-40"/>
    <n v="940"/>
  </r>
  <r>
    <x v="22"/>
    <s v="conventional_turnover_cai_771"/>
    <x v="811"/>
    <n v="1.0070699999999999"/>
    <n v="1"/>
    <n v="-40"/>
    <n v="940"/>
  </r>
  <r>
    <x v="22"/>
    <s v="conventional_turnover_cai_772"/>
    <x v="812"/>
    <n v="1.0072399999999999"/>
    <n v="1"/>
    <n v="-40"/>
    <n v="940"/>
  </r>
  <r>
    <x v="22"/>
    <s v="conventional_turnover_cai_773"/>
    <x v="813"/>
    <n v="1.0074099999999999"/>
    <n v="1"/>
    <n v="-40"/>
    <n v="940"/>
  </r>
  <r>
    <x v="22"/>
    <s v="conventional_turnover_cai_774"/>
    <x v="814"/>
    <n v="1.0075799999999999"/>
    <n v="1"/>
    <n v="-40"/>
    <n v="940"/>
  </r>
  <r>
    <x v="22"/>
    <s v="conventional_turnover_cai_775"/>
    <x v="815"/>
    <n v="1.0077499999999999"/>
    <n v="1"/>
    <n v="-40"/>
    <n v="940"/>
  </r>
  <r>
    <x v="22"/>
    <s v="conventional_turnover_cai_776"/>
    <x v="816"/>
    <n v="1.0079199999999999"/>
    <n v="1"/>
    <n v="-40"/>
    <n v="940"/>
  </r>
  <r>
    <x v="22"/>
    <s v="conventional_turnover_cai_777"/>
    <x v="817"/>
    <n v="1.0080899999999999"/>
    <n v="1"/>
    <n v="-40"/>
    <n v="940"/>
  </r>
  <r>
    <x v="22"/>
    <s v="conventional_turnover_cai_778"/>
    <x v="818"/>
    <n v="1.0082599999999999"/>
    <n v="1"/>
    <n v="-40"/>
    <n v="940"/>
  </r>
  <r>
    <x v="22"/>
    <s v="conventional_turnover_cai_779"/>
    <x v="819"/>
    <n v="1.0084299999999999"/>
    <n v="1"/>
    <n v="-40"/>
    <n v="940"/>
  </r>
  <r>
    <x v="22"/>
    <s v="conventional_turnover_cai_780"/>
    <x v="820"/>
    <n v="1.0085999999999999"/>
    <n v="1"/>
    <n v="-40"/>
    <n v="940"/>
  </r>
  <r>
    <x v="22"/>
    <s v="conventional_turnover_cai_781"/>
    <x v="821"/>
    <n v="1.0087699999999999"/>
    <n v="1"/>
    <n v="-40"/>
    <n v="940"/>
  </r>
  <r>
    <x v="22"/>
    <s v="conventional_turnover_cai_782"/>
    <x v="822"/>
    <n v="1.0089399999999999"/>
    <n v="1"/>
    <n v="-40"/>
    <n v="940"/>
  </r>
  <r>
    <x v="22"/>
    <s v="conventional_turnover_cai_783"/>
    <x v="823"/>
    <n v="1.00911"/>
    <n v="1"/>
    <n v="-40"/>
    <n v="940"/>
  </r>
  <r>
    <x v="22"/>
    <s v="conventional_turnover_cai_784"/>
    <x v="824"/>
    <n v="1.00928"/>
    <n v="1"/>
    <n v="-40"/>
    <n v="940"/>
  </r>
  <r>
    <x v="22"/>
    <s v="conventional_turnover_cai_785"/>
    <x v="825"/>
    <n v="1.00945"/>
    <n v="1"/>
    <n v="-40"/>
    <n v="940"/>
  </r>
  <r>
    <x v="22"/>
    <s v="conventional_turnover_cai_786"/>
    <x v="826"/>
    <n v="1.00962"/>
    <n v="1"/>
    <n v="-40"/>
    <n v="940"/>
  </r>
  <r>
    <x v="22"/>
    <s v="conventional_turnover_cai_787"/>
    <x v="827"/>
    <n v="1.00979"/>
    <n v="1"/>
    <n v="-40"/>
    <n v="940"/>
  </r>
  <r>
    <x v="22"/>
    <s v="conventional_turnover_cai_788"/>
    <x v="828"/>
    <n v="1.00996"/>
    <n v="1"/>
    <n v="-40"/>
    <n v="940"/>
  </r>
  <r>
    <x v="22"/>
    <s v="conventional_turnover_cai_789"/>
    <x v="829"/>
    <n v="1.01013"/>
    <n v="1"/>
    <n v="-40"/>
    <n v="940"/>
  </r>
  <r>
    <x v="22"/>
    <s v="conventional_turnover_cai_790"/>
    <x v="830"/>
    <n v="1.0103"/>
    <n v="1"/>
    <n v="-40"/>
    <n v="940"/>
  </r>
  <r>
    <x v="22"/>
    <s v="conventional_turnover_cai_791"/>
    <x v="831"/>
    <n v="1.01047"/>
    <n v="1"/>
    <n v="-40"/>
    <n v="940"/>
  </r>
  <r>
    <x v="22"/>
    <s v="conventional_turnover_cai_792"/>
    <x v="832"/>
    <n v="1.01064"/>
    <n v="1"/>
    <n v="-40"/>
    <n v="940"/>
  </r>
  <r>
    <x v="22"/>
    <s v="conventional_turnover_cai_793"/>
    <x v="833"/>
    <n v="1.01081"/>
    <n v="1"/>
    <n v="-40"/>
    <n v="940"/>
  </r>
  <r>
    <x v="22"/>
    <s v="conventional_turnover_cai_794"/>
    <x v="834"/>
    <n v="1.01098"/>
    <n v="1"/>
    <n v="-40"/>
    <n v="940"/>
  </r>
  <r>
    <x v="22"/>
    <s v="conventional_turnover_cai_795"/>
    <x v="835"/>
    <n v="1.01115"/>
    <n v="1"/>
    <n v="-40"/>
    <n v="940"/>
  </r>
  <r>
    <x v="22"/>
    <s v="conventional_turnover_cai_796"/>
    <x v="836"/>
    <n v="1.01132"/>
    <n v="1"/>
    <n v="-40"/>
    <n v="940"/>
  </r>
  <r>
    <x v="22"/>
    <s v="conventional_turnover_cai_797"/>
    <x v="837"/>
    <n v="1.01149"/>
    <n v="1"/>
    <n v="-40"/>
    <n v="940"/>
  </r>
  <r>
    <x v="22"/>
    <s v="conventional_turnover_cai_798"/>
    <x v="838"/>
    <n v="1.01166"/>
    <n v="1"/>
    <n v="-40"/>
    <n v="940"/>
  </r>
  <r>
    <x v="22"/>
    <s v="conventional_turnover_cai_799"/>
    <x v="839"/>
    <n v="1.01183"/>
    <n v="1"/>
    <n v="-40"/>
    <n v="940"/>
  </r>
  <r>
    <x v="22"/>
    <s v="conventional_turnover_cai_800"/>
    <x v="840"/>
    <n v="1.012"/>
    <n v="1"/>
    <n v="-40"/>
    <n v="940"/>
  </r>
  <r>
    <x v="22"/>
    <s v="conventional_turnover_cai_801"/>
    <x v="841"/>
    <n v="1.01217"/>
    <n v="1"/>
    <n v="-40"/>
    <n v="940"/>
  </r>
  <r>
    <x v="22"/>
    <s v="conventional_turnover_cai_802"/>
    <x v="842"/>
    <n v="1.01234"/>
    <n v="1"/>
    <n v="-40"/>
    <n v="940"/>
  </r>
  <r>
    <x v="22"/>
    <s v="conventional_turnover_cai_803"/>
    <x v="843"/>
    <n v="1.01251"/>
    <n v="1"/>
    <n v="-40"/>
    <n v="940"/>
  </r>
  <r>
    <x v="22"/>
    <s v="conventional_turnover_cai_804"/>
    <x v="844"/>
    <n v="1.01268"/>
    <n v="1"/>
    <n v="-40"/>
    <n v="940"/>
  </r>
  <r>
    <x v="22"/>
    <s v="conventional_turnover_cai_805"/>
    <x v="845"/>
    <n v="1.01285"/>
    <n v="1"/>
    <n v="-40"/>
    <n v="940"/>
  </r>
  <r>
    <x v="22"/>
    <s v="conventional_turnover_cai_806"/>
    <x v="846"/>
    <n v="1.01302"/>
    <n v="1"/>
    <n v="-40"/>
    <n v="940"/>
  </r>
  <r>
    <x v="22"/>
    <s v="conventional_turnover_cai_807"/>
    <x v="847"/>
    <n v="1.01319"/>
    <n v="1"/>
    <n v="-40"/>
    <n v="940"/>
  </r>
  <r>
    <x v="22"/>
    <s v="conventional_turnover_cai_808"/>
    <x v="848"/>
    <n v="1.01336"/>
    <n v="1"/>
    <n v="-40"/>
    <n v="940"/>
  </r>
  <r>
    <x v="22"/>
    <s v="conventional_turnover_cai_809"/>
    <x v="849"/>
    <n v="1.01353"/>
    <n v="1"/>
    <n v="-40"/>
    <n v="940"/>
  </r>
  <r>
    <x v="22"/>
    <s v="conventional_turnover_cai_810"/>
    <x v="850"/>
    <n v="1.0137"/>
    <n v="1"/>
    <n v="-40"/>
    <n v="940"/>
  </r>
  <r>
    <x v="22"/>
    <s v="conventional_turnover_cai_811"/>
    <x v="851"/>
    <n v="1.01387"/>
    <n v="1"/>
    <n v="-40"/>
    <n v="940"/>
  </r>
  <r>
    <x v="22"/>
    <s v="conventional_turnover_cai_812"/>
    <x v="852"/>
    <n v="1.0140400000000001"/>
    <n v="1"/>
    <n v="-40"/>
    <n v="940"/>
  </r>
  <r>
    <x v="22"/>
    <s v="conventional_turnover_cai_813"/>
    <x v="853"/>
    <n v="1.0142100000000001"/>
    <n v="1"/>
    <n v="-40"/>
    <n v="940"/>
  </r>
  <r>
    <x v="22"/>
    <s v="conventional_turnover_cai_814"/>
    <x v="854"/>
    <n v="1.0143800000000001"/>
    <n v="1"/>
    <n v="-40"/>
    <n v="940"/>
  </r>
  <r>
    <x v="22"/>
    <s v="conventional_turnover_cai_815"/>
    <x v="855"/>
    <n v="1.0145500000000001"/>
    <n v="1"/>
    <n v="-40"/>
    <n v="940"/>
  </r>
  <r>
    <x v="22"/>
    <s v="conventional_turnover_cai_816"/>
    <x v="856"/>
    <n v="1.0147200000000001"/>
    <n v="1"/>
    <n v="-40"/>
    <n v="940"/>
  </r>
  <r>
    <x v="22"/>
    <s v="conventional_turnover_cai_817"/>
    <x v="857"/>
    <n v="1.0148900000000001"/>
    <n v="1"/>
    <n v="-40"/>
    <n v="940"/>
  </r>
  <r>
    <x v="22"/>
    <s v="conventional_turnover_cai_818"/>
    <x v="858"/>
    <n v="1.0150600000000001"/>
    <n v="1"/>
    <n v="-40"/>
    <n v="940"/>
  </r>
  <r>
    <x v="22"/>
    <s v="conventional_turnover_cai_819"/>
    <x v="859"/>
    <n v="1.0152300000000001"/>
    <n v="1"/>
    <n v="-40"/>
    <n v="940"/>
  </r>
  <r>
    <x v="22"/>
    <s v="conventional_turnover_cai_820"/>
    <x v="860"/>
    <n v="1.0154000000000001"/>
    <n v="1"/>
    <n v="-40"/>
    <n v="940"/>
  </r>
  <r>
    <x v="22"/>
    <s v="conventional_turnover_cai_821"/>
    <x v="861"/>
    <n v="1.0155700000000001"/>
    <n v="1"/>
    <n v="-40"/>
    <n v="940"/>
  </r>
  <r>
    <x v="22"/>
    <s v="conventional_turnover_cai_822"/>
    <x v="862"/>
    <n v="1.0157400000000001"/>
    <n v="1"/>
    <n v="-40"/>
    <n v="940"/>
  </r>
  <r>
    <x v="22"/>
    <s v="conventional_turnover_cai_823"/>
    <x v="863"/>
    <n v="1.0159100000000001"/>
    <n v="1"/>
    <n v="-40"/>
    <n v="940"/>
  </r>
  <r>
    <x v="22"/>
    <s v="conventional_turnover_cai_824"/>
    <x v="864"/>
    <n v="1.0160800000000001"/>
    <n v="1"/>
    <n v="-40"/>
    <n v="940"/>
  </r>
  <r>
    <x v="22"/>
    <s v="conventional_turnover_cai_825"/>
    <x v="865"/>
    <n v="1.0162500000000001"/>
    <n v="1"/>
    <n v="-40"/>
    <n v="940"/>
  </r>
  <r>
    <x v="22"/>
    <s v="conventional_turnover_cai_826"/>
    <x v="866"/>
    <n v="1.0164200000000001"/>
    <n v="1"/>
    <n v="-40"/>
    <n v="940"/>
  </r>
  <r>
    <x v="22"/>
    <s v="conventional_turnover_cai_827"/>
    <x v="867"/>
    <n v="1.0165900000000001"/>
    <n v="1"/>
    <n v="-40"/>
    <n v="940"/>
  </r>
  <r>
    <x v="22"/>
    <s v="conventional_turnover_cai_828"/>
    <x v="868"/>
    <n v="1.0167600000000001"/>
    <n v="1"/>
    <n v="-40"/>
    <n v="940"/>
  </r>
  <r>
    <x v="22"/>
    <s v="conventional_turnover_cai_829"/>
    <x v="869"/>
    <n v="1.0169299999999999"/>
    <n v="1"/>
    <n v="-40"/>
    <n v="940"/>
  </r>
  <r>
    <x v="22"/>
    <s v="conventional_turnover_cai_830"/>
    <x v="870"/>
    <n v="1.0170999999999999"/>
    <n v="1"/>
    <n v="-40"/>
    <n v="940"/>
  </r>
  <r>
    <x v="22"/>
    <s v="conventional_turnover_cai_831"/>
    <x v="871"/>
    <n v="1.0172699999999999"/>
    <n v="1"/>
    <n v="-40"/>
    <n v="940"/>
  </r>
  <r>
    <x v="22"/>
    <s v="conventional_turnover_cai_832"/>
    <x v="872"/>
    <n v="1.0174399999999999"/>
    <n v="1"/>
    <n v="-40"/>
    <n v="940"/>
  </r>
  <r>
    <x v="22"/>
    <s v="conventional_turnover_cai_833"/>
    <x v="873"/>
    <n v="1.0176099999999999"/>
    <n v="1"/>
    <n v="-40"/>
    <n v="940"/>
  </r>
  <r>
    <x v="22"/>
    <s v="conventional_turnover_cai_834"/>
    <x v="874"/>
    <n v="1.0177799999999999"/>
    <n v="1"/>
    <n v="-40"/>
    <n v="940"/>
  </r>
  <r>
    <x v="22"/>
    <s v="conventional_turnover_cai_835"/>
    <x v="875"/>
    <n v="1.0179499999999999"/>
    <n v="1"/>
    <n v="-40"/>
    <n v="940"/>
  </r>
  <r>
    <x v="22"/>
    <s v="conventional_turnover_cai_836"/>
    <x v="876"/>
    <n v="1.0181199999999999"/>
    <n v="1"/>
    <n v="-40"/>
    <n v="940"/>
  </r>
  <r>
    <x v="22"/>
    <s v="conventional_turnover_cai_837"/>
    <x v="877"/>
    <n v="1.0182899999999999"/>
    <n v="1"/>
    <n v="-40"/>
    <n v="940"/>
  </r>
  <r>
    <x v="22"/>
    <s v="conventional_turnover_cai_838"/>
    <x v="878"/>
    <n v="1.0184599999999999"/>
    <n v="1"/>
    <n v="-40"/>
    <n v="940"/>
  </r>
  <r>
    <x v="22"/>
    <s v="conventional_turnover_cai_839"/>
    <x v="879"/>
    <n v="1.0186299999999999"/>
    <n v="1"/>
    <n v="-40"/>
    <n v="940"/>
  </r>
  <r>
    <x v="22"/>
    <s v="conventional_turnover_cai_840"/>
    <x v="880"/>
    <n v="1.0187999999999999"/>
    <n v="1"/>
    <n v="-40"/>
    <n v="940"/>
  </r>
  <r>
    <x v="22"/>
    <s v="conventional_turnover_cai_841"/>
    <x v="881"/>
    <n v="1.0189699999999999"/>
    <n v="1"/>
    <n v="-40"/>
    <n v="940"/>
  </r>
  <r>
    <x v="22"/>
    <s v="conventional_turnover_cai_842"/>
    <x v="882"/>
    <n v="1.0191399999999999"/>
    <n v="1"/>
    <n v="-40"/>
    <n v="940"/>
  </r>
  <r>
    <x v="22"/>
    <s v="conventional_turnover_cai_843"/>
    <x v="883"/>
    <n v="1.0193099999999999"/>
    <n v="1"/>
    <n v="-40"/>
    <n v="940"/>
  </r>
  <r>
    <x v="22"/>
    <s v="conventional_turnover_cai_844"/>
    <x v="884"/>
    <n v="1.0194799999999999"/>
    <n v="1"/>
    <n v="-40"/>
    <n v="940"/>
  </r>
  <r>
    <x v="22"/>
    <s v="conventional_turnover_cai_845"/>
    <x v="885"/>
    <n v="1.0196499999999999"/>
    <n v="1"/>
    <n v="-40"/>
    <n v="940"/>
  </r>
  <r>
    <x v="22"/>
    <s v="conventional_turnover_cai_846"/>
    <x v="886"/>
    <n v="1.0198199999999999"/>
    <n v="1"/>
    <n v="-40"/>
    <n v="940"/>
  </r>
  <r>
    <x v="22"/>
    <s v="conventional_turnover_cai_847"/>
    <x v="887"/>
    <n v="1.01999"/>
    <n v="1"/>
    <n v="-40"/>
    <n v="940"/>
  </r>
  <r>
    <x v="22"/>
    <s v="conventional_turnover_cai_848"/>
    <x v="888"/>
    <n v="1.02016"/>
    <n v="1"/>
    <n v="-40"/>
    <n v="940"/>
  </r>
  <r>
    <x v="22"/>
    <s v="conventional_turnover_cai_849"/>
    <x v="889"/>
    <n v="1.02033"/>
    <n v="1"/>
    <n v="-40"/>
    <n v="940"/>
  </r>
  <r>
    <x v="22"/>
    <s v="conventional_turnover_cai_850"/>
    <x v="890"/>
    <n v="1.0205"/>
    <n v="1"/>
    <n v="-40"/>
    <n v="940"/>
  </r>
  <r>
    <x v="22"/>
    <s v="conventional_turnover_cai_851"/>
    <x v="891"/>
    <n v="1.02067"/>
    <n v="1"/>
    <n v="-40"/>
    <n v="940"/>
  </r>
  <r>
    <x v="22"/>
    <s v="conventional_turnover_cai_852"/>
    <x v="892"/>
    <n v="1.02084"/>
    <n v="1"/>
    <n v="-40"/>
    <n v="940"/>
  </r>
  <r>
    <x v="22"/>
    <s v="conventional_turnover_cai_853"/>
    <x v="893"/>
    <n v="1.02101"/>
    <n v="1"/>
    <n v="-40"/>
    <n v="940"/>
  </r>
  <r>
    <x v="22"/>
    <s v="conventional_turnover_cai_854"/>
    <x v="894"/>
    <n v="1.02118"/>
    <n v="1"/>
    <n v="-40"/>
    <n v="940"/>
  </r>
  <r>
    <x v="22"/>
    <s v="conventional_turnover_cai_855"/>
    <x v="895"/>
    <n v="1.02135"/>
    <n v="1"/>
    <n v="-40"/>
    <n v="940"/>
  </r>
  <r>
    <x v="22"/>
    <s v="conventional_turnover_cai_856"/>
    <x v="896"/>
    <n v="1.02152"/>
    <n v="1"/>
    <n v="-40"/>
    <n v="940"/>
  </r>
  <r>
    <x v="22"/>
    <s v="conventional_turnover_cai_857"/>
    <x v="897"/>
    <n v="1.02169"/>
    <n v="1"/>
    <n v="-40"/>
    <n v="940"/>
  </r>
  <r>
    <x v="22"/>
    <s v="conventional_turnover_cai_858"/>
    <x v="898"/>
    <n v="1.02186"/>
    <n v="1"/>
    <n v="-40"/>
    <n v="940"/>
  </r>
  <r>
    <x v="22"/>
    <s v="conventional_turnover_cai_859"/>
    <x v="899"/>
    <n v="1.02203"/>
    <n v="1"/>
    <n v="-40"/>
    <n v="940"/>
  </r>
  <r>
    <x v="22"/>
    <s v="conventional_turnover_cai_860"/>
    <x v="900"/>
    <n v="1.0222"/>
    <n v="1"/>
    <n v="-40"/>
    <n v="940"/>
  </r>
  <r>
    <x v="22"/>
    <s v="conventional_turnover_cai_861"/>
    <x v="901"/>
    <n v="1.02237"/>
    <n v="1"/>
    <n v="-40"/>
    <n v="940"/>
  </r>
  <r>
    <x v="22"/>
    <s v="conventional_turnover_cai_862"/>
    <x v="902"/>
    <n v="1.02254"/>
    <n v="1"/>
    <n v="-40"/>
    <n v="940"/>
  </r>
  <r>
    <x v="22"/>
    <s v="conventional_turnover_cai_863"/>
    <x v="903"/>
    <n v="1.02271"/>
    <n v="1"/>
    <n v="-40"/>
    <n v="940"/>
  </r>
  <r>
    <x v="22"/>
    <s v="conventional_turnover_cai_864"/>
    <x v="904"/>
    <n v="1.02288"/>
    <n v="1"/>
    <n v="-40"/>
    <n v="940"/>
  </r>
  <r>
    <x v="22"/>
    <s v="conventional_turnover_cai_865"/>
    <x v="905"/>
    <n v="1.02305"/>
    <n v="1"/>
    <n v="-40"/>
    <n v="940"/>
  </r>
  <r>
    <x v="22"/>
    <s v="conventional_turnover_cai_866"/>
    <x v="906"/>
    <n v="1.02322"/>
    <n v="1"/>
    <n v="-40"/>
    <n v="940"/>
  </r>
  <r>
    <x v="22"/>
    <s v="conventional_turnover_cai_867"/>
    <x v="907"/>
    <n v="1.02339"/>
    <n v="1"/>
    <n v="-40"/>
    <n v="940"/>
  </r>
  <r>
    <x v="22"/>
    <s v="conventional_turnover_cai_868"/>
    <x v="908"/>
    <n v="1.02356"/>
    <n v="1"/>
    <n v="-40"/>
    <n v="940"/>
  </r>
  <r>
    <x v="22"/>
    <s v="conventional_turnover_cai_869"/>
    <x v="909"/>
    <n v="1.02373"/>
    <n v="1"/>
    <n v="-40"/>
    <n v="940"/>
  </r>
  <r>
    <x v="22"/>
    <s v="conventional_turnover_cai_870"/>
    <x v="910"/>
    <n v="1.0239"/>
    <n v="1"/>
    <n v="-40"/>
    <n v="940"/>
  </r>
  <r>
    <x v="22"/>
    <s v="conventional_turnover_cai_871"/>
    <x v="911"/>
    <n v="1.02407"/>
    <n v="1"/>
    <n v="-40"/>
    <n v="940"/>
  </r>
  <r>
    <x v="22"/>
    <s v="conventional_turnover_cai_872"/>
    <x v="912"/>
    <n v="1.02424"/>
    <n v="1"/>
    <n v="-40"/>
    <n v="940"/>
  </r>
  <r>
    <x v="22"/>
    <s v="conventional_turnover_cai_873"/>
    <x v="913"/>
    <n v="1.02441"/>
    <n v="1"/>
    <n v="-40"/>
    <n v="940"/>
  </r>
  <r>
    <x v="22"/>
    <s v="conventional_turnover_cai_874"/>
    <x v="914"/>
    <n v="1.02458"/>
    <n v="1"/>
    <n v="-40"/>
    <n v="940"/>
  </r>
  <r>
    <x v="22"/>
    <s v="conventional_turnover_cai_875"/>
    <x v="915"/>
    <n v="1.02475"/>
    <n v="1"/>
    <n v="-40"/>
    <n v="940"/>
  </r>
  <r>
    <x v="22"/>
    <s v="conventional_turnover_cai_876"/>
    <x v="916"/>
    <n v="1.0249200000000001"/>
    <n v="1"/>
    <n v="-40"/>
    <n v="940"/>
  </r>
  <r>
    <x v="22"/>
    <s v="conventional_turnover_cai_877"/>
    <x v="917"/>
    <n v="1.0250900000000001"/>
    <n v="1"/>
    <n v="-40"/>
    <n v="940"/>
  </r>
  <r>
    <x v="22"/>
    <s v="conventional_turnover_cai_878"/>
    <x v="918"/>
    <n v="1.0252600000000001"/>
    <n v="1"/>
    <n v="-40"/>
    <n v="940"/>
  </r>
  <r>
    <x v="22"/>
    <s v="conventional_turnover_cai_879"/>
    <x v="919"/>
    <n v="1.0254300000000001"/>
    <n v="1"/>
    <n v="-40"/>
    <n v="940"/>
  </r>
  <r>
    <x v="22"/>
    <s v="conventional_turnover_cai_880"/>
    <x v="920"/>
    <n v="1.0256000000000001"/>
    <n v="1"/>
    <n v="-40"/>
    <n v="940"/>
  </r>
  <r>
    <x v="22"/>
    <s v="conventional_turnover_cai_881"/>
    <x v="921"/>
    <n v="1.0257700000000001"/>
    <n v="1"/>
    <n v="-40"/>
    <n v="940"/>
  </r>
  <r>
    <x v="22"/>
    <s v="conventional_turnover_cai_882"/>
    <x v="922"/>
    <n v="1.0259400000000001"/>
    <n v="1"/>
    <n v="-40"/>
    <n v="940"/>
  </r>
  <r>
    <x v="22"/>
    <s v="conventional_turnover_cai_883"/>
    <x v="923"/>
    <n v="1.0261100000000001"/>
    <n v="1"/>
    <n v="-40"/>
    <n v="940"/>
  </r>
  <r>
    <x v="22"/>
    <s v="conventional_turnover_cai_884"/>
    <x v="924"/>
    <n v="1.0262800000000001"/>
    <n v="1"/>
    <n v="-40"/>
    <n v="940"/>
  </r>
  <r>
    <x v="22"/>
    <s v="conventional_turnover_cai_885"/>
    <x v="925"/>
    <n v="1.0264500000000001"/>
    <n v="1"/>
    <n v="-40"/>
    <n v="940"/>
  </r>
  <r>
    <x v="22"/>
    <s v="conventional_turnover_cai_886"/>
    <x v="926"/>
    <n v="1.0266200000000001"/>
    <n v="1"/>
    <n v="-40"/>
    <n v="940"/>
  </r>
  <r>
    <x v="22"/>
    <s v="conventional_turnover_cai_887"/>
    <x v="927"/>
    <n v="1.0267900000000001"/>
    <n v="1"/>
    <n v="-40"/>
    <n v="940"/>
  </r>
  <r>
    <x v="22"/>
    <s v="conventional_turnover_cai_888"/>
    <x v="928"/>
    <n v="1.0269600000000001"/>
    <n v="1"/>
    <n v="-40"/>
    <n v="940"/>
  </r>
  <r>
    <x v="22"/>
    <s v="conventional_turnover_cai_889"/>
    <x v="929"/>
    <n v="1.0271300000000001"/>
    <n v="1"/>
    <n v="-40"/>
    <n v="940"/>
  </r>
  <r>
    <x v="22"/>
    <s v="conventional_turnover_cai_890"/>
    <x v="930"/>
    <n v="1.0273000000000001"/>
    <n v="1"/>
    <n v="-40"/>
    <n v="940"/>
  </r>
  <r>
    <x v="22"/>
    <s v="conventional_turnover_cai_891"/>
    <x v="931"/>
    <n v="1.0274700000000001"/>
    <n v="1"/>
    <n v="-40"/>
    <n v="940"/>
  </r>
  <r>
    <x v="22"/>
    <s v="conventional_turnover_cai_892"/>
    <x v="932"/>
    <n v="1.0276400000000001"/>
    <n v="1"/>
    <n v="-40"/>
    <n v="940"/>
  </r>
  <r>
    <x v="22"/>
    <s v="conventional_turnover_cai_893"/>
    <x v="933"/>
    <n v="1.0278099999999999"/>
    <n v="1"/>
    <n v="-40"/>
    <n v="940"/>
  </r>
  <r>
    <x v="22"/>
    <s v="conventional_turnover_cai_894"/>
    <x v="934"/>
    <n v="1.0279799999999999"/>
    <n v="1"/>
    <n v="-40"/>
    <n v="940"/>
  </r>
  <r>
    <x v="22"/>
    <s v="conventional_turnover_cai_895"/>
    <x v="935"/>
    <n v="1.0281499999999999"/>
    <n v="1"/>
    <n v="-40"/>
    <n v="940"/>
  </r>
  <r>
    <x v="22"/>
    <s v="conventional_turnover_cai_896"/>
    <x v="936"/>
    <n v="1.0283199999999999"/>
    <n v="1"/>
    <n v="-40"/>
    <n v="940"/>
  </r>
  <r>
    <x v="22"/>
    <s v="conventional_turnover_cai_897"/>
    <x v="937"/>
    <n v="1.0284899999999999"/>
    <n v="1"/>
    <n v="-40"/>
    <n v="940"/>
  </r>
  <r>
    <x v="22"/>
    <s v="conventional_turnover_cai_898"/>
    <x v="938"/>
    <n v="1.0286599999999999"/>
    <n v="1"/>
    <n v="-40"/>
    <n v="940"/>
  </r>
  <r>
    <x v="22"/>
    <s v="conventional_turnover_cai_899"/>
    <x v="939"/>
    <n v="1.0288299999999999"/>
    <n v="1"/>
    <n v="-40"/>
    <n v="940"/>
  </r>
  <r>
    <x v="22"/>
    <s v="conventional_turnover_cai_900"/>
    <x v="940"/>
    <n v="1.0289999999999999"/>
    <n v="1"/>
    <n v="-40"/>
    <n v="940"/>
  </r>
  <r>
    <x v="22"/>
    <s v="conventional_turnover_cai_901"/>
    <x v="941"/>
    <n v="1.0291699999999999"/>
    <n v="1"/>
    <n v="-40"/>
    <n v="940"/>
  </r>
  <r>
    <x v="22"/>
    <s v="conventional_turnover_cai_902"/>
    <x v="942"/>
    <n v="1.0293399999999999"/>
    <n v="1"/>
    <n v="-40"/>
    <n v="940"/>
  </r>
  <r>
    <x v="22"/>
    <s v="conventional_turnover_cai_903"/>
    <x v="943"/>
    <n v="1.0295099999999999"/>
    <n v="1"/>
    <n v="-40"/>
    <n v="940"/>
  </r>
  <r>
    <x v="22"/>
    <s v="conventional_turnover_cai_904"/>
    <x v="944"/>
    <n v="1.0296799999999999"/>
    <n v="1"/>
    <n v="-40"/>
    <n v="940"/>
  </r>
  <r>
    <x v="22"/>
    <s v="conventional_turnover_cai_905"/>
    <x v="945"/>
    <n v="1.0298499999999999"/>
    <n v="1"/>
    <n v="-40"/>
    <n v="940"/>
  </r>
  <r>
    <x v="22"/>
    <s v="conventional_turnover_cai_906"/>
    <x v="946"/>
    <n v="1.0300199999999999"/>
    <n v="1"/>
    <n v="-40"/>
    <n v="940"/>
  </r>
  <r>
    <x v="22"/>
    <s v="conventional_turnover_cai_907"/>
    <x v="947"/>
    <n v="1.0301899999999999"/>
    <n v="1"/>
    <n v="-40"/>
    <n v="940"/>
  </r>
  <r>
    <x v="22"/>
    <s v="conventional_turnover_cai_908"/>
    <x v="948"/>
    <n v="1.0303599999999999"/>
    <n v="1"/>
    <n v="-40"/>
    <n v="940"/>
  </r>
  <r>
    <x v="22"/>
    <s v="conventional_turnover_cai_909"/>
    <x v="949"/>
    <n v="1.0305299999999999"/>
    <n v="1"/>
    <n v="-40"/>
    <n v="940"/>
  </r>
  <r>
    <x v="22"/>
    <s v="conventional_turnover_cai_910"/>
    <x v="950"/>
    <n v="1.0306999999999999"/>
    <n v="1"/>
    <n v="-40"/>
    <n v="940"/>
  </r>
  <r>
    <x v="22"/>
    <s v="conventional_turnover_cai_911"/>
    <x v="951"/>
    <n v="1.03087"/>
    <n v="1"/>
    <n v="-40"/>
    <n v="940"/>
  </r>
  <r>
    <x v="22"/>
    <s v="conventional_turnover_cai_912"/>
    <x v="952"/>
    <n v="1.03104"/>
    <n v="1"/>
    <n v="-40"/>
    <n v="940"/>
  </r>
  <r>
    <x v="22"/>
    <s v="conventional_turnover_cai_913"/>
    <x v="953"/>
    <n v="1.03121"/>
    <n v="1"/>
    <n v="-40"/>
    <n v="940"/>
  </r>
  <r>
    <x v="22"/>
    <s v="conventional_turnover_cai_914"/>
    <x v="954"/>
    <n v="1.03138"/>
    <n v="1"/>
    <n v="-40"/>
    <n v="940"/>
  </r>
  <r>
    <x v="22"/>
    <s v="conventional_turnover_cai_915"/>
    <x v="955"/>
    <n v="1.03155"/>
    <n v="1"/>
    <n v="-40"/>
    <n v="940"/>
  </r>
  <r>
    <x v="22"/>
    <s v="conventional_turnover_cai_916"/>
    <x v="956"/>
    <n v="1.03172"/>
    <n v="1"/>
    <n v="-40"/>
    <n v="940"/>
  </r>
  <r>
    <x v="22"/>
    <s v="conventional_turnover_cai_917"/>
    <x v="957"/>
    <n v="1.03189"/>
    <n v="1"/>
    <n v="-40"/>
    <n v="940"/>
  </r>
  <r>
    <x v="22"/>
    <s v="conventional_turnover_cai_918"/>
    <x v="958"/>
    <n v="1.03206"/>
    <n v="1"/>
    <n v="-40"/>
    <n v="940"/>
  </r>
  <r>
    <x v="22"/>
    <s v="conventional_turnover_cai_919"/>
    <x v="959"/>
    <n v="1.03223"/>
    <n v="1"/>
    <n v="-40"/>
    <n v="940"/>
  </r>
  <r>
    <x v="22"/>
    <s v="conventional_turnover_cai_920"/>
    <x v="960"/>
    <n v="1.0324"/>
    <n v="1"/>
    <n v="-40"/>
    <n v="940"/>
  </r>
  <r>
    <x v="22"/>
    <s v="conventional_turnover_cai_921"/>
    <x v="961"/>
    <n v="1.03257"/>
    <n v="1"/>
    <n v="-40"/>
    <n v="940"/>
  </r>
  <r>
    <x v="22"/>
    <s v="conventional_turnover_cai_922"/>
    <x v="962"/>
    <n v="1.03274"/>
    <n v="1"/>
    <n v="-40"/>
    <n v="940"/>
  </r>
  <r>
    <x v="22"/>
    <s v="conventional_turnover_cai_923"/>
    <x v="963"/>
    <n v="1.03291"/>
    <n v="1"/>
    <n v="-40"/>
    <n v="940"/>
  </r>
  <r>
    <x v="22"/>
    <s v="conventional_turnover_cai_924"/>
    <x v="964"/>
    <n v="1.03308"/>
    <n v="1"/>
    <n v="-40"/>
    <n v="940"/>
  </r>
  <r>
    <x v="22"/>
    <s v="conventional_turnover_cai_925"/>
    <x v="965"/>
    <n v="1.03325"/>
    <n v="1"/>
    <n v="-40"/>
    <n v="940"/>
  </r>
  <r>
    <x v="22"/>
    <s v="conventional_turnover_cai_926"/>
    <x v="966"/>
    <n v="1.03342"/>
    <n v="1"/>
    <n v="-40"/>
    <n v="940"/>
  </r>
  <r>
    <x v="22"/>
    <s v="conventional_turnover_cai_927"/>
    <x v="967"/>
    <n v="1.03359"/>
    <n v="1"/>
    <n v="-40"/>
    <n v="940"/>
  </r>
  <r>
    <x v="22"/>
    <s v="conventional_turnover_cai_928"/>
    <x v="968"/>
    <n v="1.03376"/>
    <n v="1"/>
    <n v="-40"/>
    <n v="940"/>
  </r>
  <r>
    <x v="22"/>
    <s v="conventional_turnover_cai_929"/>
    <x v="969"/>
    <n v="1.03393"/>
    <n v="1"/>
    <n v="-40"/>
    <n v="940"/>
  </r>
  <r>
    <x v="22"/>
    <s v="conventional_turnover_cai_930"/>
    <x v="970"/>
    <n v="1.0341"/>
    <n v="1"/>
    <n v="-40"/>
    <n v="940"/>
  </r>
  <r>
    <x v="22"/>
    <s v="conventional_turnover_cai_931"/>
    <x v="971"/>
    <n v="1.03427"/>
    <n v="1"/>
    <n v="-40"/>
    <n v="940"/>
  </r>
  <r>
    <x v="22"/>
    <s v="conventional_turnover_cai_932"/>
    <x v="972"/>
    <n v="1.03444"/>
    <n v="1"/>
    <n v="-40"/>
    <n v="940"/>
  </r>
  <r>
    <x v="22"/>
    <s v="conventional_turnover_cai_933"/>
    <x v="973"/>
    <n v="1.03461"/>
    <n v="1"/>
    <n v="-40"/>
    <n v="940"/>
  </r>
  <r>
    <x v="22"/>
    <s v="conventional_turnover_cai_934"/>
    <x v="974"/>
    <n v="1.03478"/>
    <n v="1"/>
    <n v="-40"/>
    <n v="940"/>
  </r>
  <r>
    <x v="22"/>
    <s v="conventional_turnover_cai_935"/>
    <x v="975"/>
    <n v="1.03495"/>
    <n v="1"/>
    <n v="-40"/>
    <n v="940"/>
  </r>
  <r>
    <x v="22"/>
    <s v="conventional_turnover_cai_936"/>
    <x v="976"/>
    <n v="1.03512"/>
    <n v="1"/>
    <n v="-40"/>
    <n v="940"/>
  </r>
  <r>
    <x v="22"/>
    <s v="conventional_turnover_cai_937"/>
    <x v="977"/>
    <n v="1.03529"/>
    <n v="1"/>
    <n v="-40"/>
    <n v="940"/>
  </r>
  <r>
    <x v="22"/>
    <s v="conventional_turnover_cai_938"/>
    <x v="978"/>
    <n v="1.03546"/>
    <n v="1"/>
    <n v="-40"/>
    <n v="940"/>
  </r>
  <r>
    <x v="22"/>
    <s v="conventional_turnover_cai_939"/>
    <x v="979"/>
    <n v="1.0356300000000001"/>
    <n v="1"/>
    <n v="-40"/>
    <n v="940"/>
  </r>
  <r>
    <x v="22"/>
    <s v="conventional_turnover_cai_940"/>
    <x v="980"/>
    <n v="1.0358000000000001"/>
    <n v="1"/>
    <n v="-40"/>
    <n v="940"/>
  </r>
  <r>
    <x v="23"/>
    <s v="conventional_turnover_hpa_annual_-2"/>
    <x v="38"/>
    <n v="0.98270000000000002"/>
    <n v="1"/>
    <n v="-2"/>
    <n v="10"/>
  </r>
  <r>
    <x v="23"/>
    <s v="conventional_turnover_hpa_annual_-1"/>
    <x v="39"/>
    <n v="0.98270000000000002"/>
    <n v="1"/>
    <n v="-2"/>
    <n v="10"/>
  </r>
  <r>
    <x v="23"/>
    <s v="conventional_turnover_hpa_annual_0"/>
    <x v="40"/>
    <n v="0.98270000000000002"/>
    <n v="1"/>
    <n v="-2"/>
    <n v="10"/>
  </r>
  <r>
    <x v="23"/>
    <s v="conventional_turnover_hpa_annual_1"/>
    <x v="41"/>
    <n v="0.98270000000000002"/>
    <n v="1"/>
    <n v="-2"/>
    <n v="10"/>
  </r>
  <r>
    <x v="23"/>
    <s v="conventional_turnover_hpa_annual_2"/>
    <x v="42"/>
    <n v="1.03307029086616"/>
    <n v="1"/>
    <n v="-2"/>
    <n v="10"/>
  </r>
  <r>
    <x v="23"/>
    <s v="conventional_turnover_hpa_annual_3"/>
    <x v="43"/>
    <n v="1.07373358401802"/>
    <n v="1"/>
    <n v="-2"/>
    <n v="10"/>
  </r>
  <r>
    <x v="23"/>
    <s v="conventional_turnover_hpa_annual_4"/>
    <x v="44"/>
    <n v="1.1044782010581999"/>
    <n v="1"/>
    <n v="-2"/>
    <n v="10"/>
  </r>
  <r>
    <x v="23"/>
    <s v="conventional_turnover_hpa_annual_5"/>
    <x v="45"/>
    <n v="1.1339999999999999"/>
    <n v="1"/>
    <n v="-2"/>
    <n v="10"/>
  </r>
  <r>
    <x v="23"/>
    <s v="conventional_turnover_hpa_annual_6"/>
    <x v="46"/>
    <n v="1.2052984001092"/>
    <n v="1"/>
    <n v="-2"/>
    <n v="10"/>
  </r>
  <r>
    <x v="23"/>
    <s v="conventional_turnover_hpa_annual_7"/>
    <x v="47"/>
    <n v="1.2774458668122699"/>
    <n v="1"/>
    <n v="-2"/>
    <n v="10"/>
  </r>
  <r>
    <x v="23"/>
    <s v="conventional_turnover_hpa_annual_8"/>
    <x v="48"/>
    <n v="1.2901703228670101"/>
    <n v="1"/>
    <n v="-2"/>
    <n v="10"/>
  </r>
  <r>
    <x v="23"/>
    <s v="conventional_turnover_hpa_annual_9"/>
    <x v="49"/>
    <n v="1.2902"/>
    <n v="1"/>
    <n v="-2"/>
    <n v="10"/>
  </r>
  <r>
    <x v="23"/>
    <s v="conventional_turnover_hpa_annual_10"/>
    <x v="50"/>
    <n v="1.2902004266201901"/>
    <n v="1"/>
    <n v="-2"/>
    <n v="10"/>
  </r>
  <r>
    <x v="24"/>
    <s v="conventional_turnover_hpa2yr_80"/>
    <x v="120"/>
    <n v="1"/>
    <n v="1"/>
    <n v="80"/>
    <n v="115"/>
  </r>
  <r>
    <x v="24"/>
    <s v="conventional_turnover_hpa2yr_81"/>
    <x v="121"/>
    <n v="1"/>
    <n v="1"/>
    <n v="80"/>
    <n v="115"/>
  </r>
  <r>
    <x v="24"/>
    <s v="conventional_turnover_hpa2yr_82"/>
    <x v="122"/>
    <n v="1"/>
    <n v="1"/>
    <n v="80"/>
    <n v="115"/>
  </r>
  <r>
    <x v="24"/>
    <s v="conventional_turnover_hpa2yr_83"/>
    <x v="123"/>
    <n v="1"/>
    <n v="1"/>
    <n v="80"/>
    <n v="115"/>
  </r>
  <r>
    <x v="24"/>
    <s v="conventional_turnover_hpa2yr_84"/>
    <x v="124"/>
    <n v="1"/>
    <n v="1"/>
    <n v="80"/>
    <n v="115"/>
  </r>
  <r>
    <x v="24"/>
    <s v="conventional_turnover_hpa2yr_85"/>
    <x v="125"/>
    <n v="1"/>
    <n v="1"/>
    <n v="80"/>
    <n v="115"/>
  </r>
  <r>
    <x v="24"/>
    <s v="conventional_turnover_hpa2yr_86"/>
    <x v="126"/>
    <n v="1"/>
    <n v="1"/>
    <n v="80"/>
    <n v="115"/>
  </r>
  <r>
    <x v="24"/>
    <s v="conventional_turnover_hpa2yr_87"/>
    <x v="127"/>
    <n v="1"/>
    <n v="1"/>
    <n v="80"/>
    <n v="115"/>
  </r>
  <r>
    <x v="24"/>
    <s v="conventional_turnover_hpa2yr_88"/>
    <x v="128"/>
    <n v="1"/>
    <n v="1"/>
    <n v="80"/>
    <n v="115"/>
  </r>
  <r>
    <x v="24"/>
    <s v="conventional_turnover_hpa2yr_89"/>
    <x v="129"/>
    <n v="1"/>
    <n v="1"/>
    <n v="80"/>
    <n v="115"/>
  </r>
  <r>
    <x v="24"/>
    <s v="conventional_turnover_hpa2yr_90"/>
    <x v="130"/>
    <n v="1"/>
    <n v="1"/>
    <n v="80"/>
    <n v="115"/>
  </r>
  <r>
    <x v="24"/>
    <s v="conventional_turnover_hpa2yr_91"/>
    <x v="131"/>
    <n v="1"/>
    <n v="1"/>
    <n v="80"/>
    <n v="115"/>
  </r>
  <r>
    <x v="24"/>
    <s v="conventional_turnover_hpa2yr_92"/>
    <x v="132"/>
    <n v="1"/>
    <n v="1"/>
    <n v="80"/>
    <n v="115"/>
  </r>
  <r>
    <x v="24"/>
    <s v="conventional_turnover_hpa2yr_93"/>
    <x v="133"/>
    <n v="1"/>
    <n v="1"/>
    <n v="80"/>
    <n v="115"/>
  </r>
  <r>
    <x v="24"/>
    <s v="conventional_turnover_hpa2yr_94"/>
    <x v="134"/>
    <n v="1"/>
    <n v="1"/>
    <n v="80"/>
    <n v="115"/>
  </r>
  <r>
    <x v="24"/>
    <s v="conventional_turnover_hpa2yr_95"/>
    <x v="135"/>
    <n v="1"/>
    <n v="1"/>
    <n v="80"/>
    <n v="115"/>
  </r>
  <r>
    <x v="24"/>
    <s v="conventional_turnover_hpa2yr_96"/>
    <x v="136"/>
    <n v="1"/>
    <n v="1"/>
    <n v="80"/>
    <n v="115"/>
  </r>
  <r>
    <x v="24"/>
    <s v="conventional_turnover_hpa2yr_97"/>
    <x v="137"/>
    <n v="1"/>
    <n v="1"/>
    <n v="80"/>
    <n v="115"/>
  </r>
  <r>
    <x v="24"/>
    <s v="conventional_turnover_hpa2yr_98"/>
    <x v="138"/>
    <n v="1"/>
    <n v="1"/>
    <n v="80"/>
    <n v="115"/>
  </r>
  <r>
    <x v="24"/>
    <s v="conventional_turnover_hpa2yr_99"/>
    <x v="139"/>
    <n v="1"/>
    <n v="1"/>
    <n v="80"/>
    <n v="115"/>
  </r>
  <r>
    <x v="24"/>
    <s v="conventional_turnover_hpa2yr_100"/>
    <x v="140"/>
    <n v="1"/>
    <n v="1"/>
    <n v="80"/>
    <n v="115"/>
  </r>
  <r>
    <x v="24"/>
    <s v="conventional_turnover_hpa2yr_101"/>
    <x v="141"/>
    <n v="1"/>
    <n v="1"/>
    <n v="80"/>
    <n v="115"/>
  </r>
  <r>
    <x v="24"/>
    <s v="conventional_turnover_hpa2yr_102"/>
    <x v="142"/>
    <n v="1"/>
    <n v="1"/>
    <n v="80"/>
    <n v="115"/>
  </r>
  <r>
    <x v="24"/>
    <s v="conventional_turnover_hpa2yr_103"/>
    <x v="143"/>
    <n v="1"/>
    <n v="1"/>
    <n v="80"/>
    <n v="115"/>
  </r>
  <r>
    <x v="24"/>
    <s v="conventional_turnover_hpa2yr_104"/>
    <x v="144"/>
    <n v="1"/>
    <n v="1"/>
    <n v="80"/>
    <n v="115"/>
  </r>
  <r>
    <x v="24"/>
    <s v="conventional_turnover_hpa2yr_105"/>
    <x v="145"/>
    <n v="1"/>
    <n v="1"/>
    <n v="80"/>
    <n v="115"/>
  </r>
  <r>
    <x v="24"/>
    <s v="conventional_turnover_hpa2yr_106"/>
    <x v="146"/>
    <n v="1"/>
    <n v="1"/>
    <n v="80"/>
    <n v="115"/>
  </r>
  <r>
    <x v="24"/>
    <s v="conventional_turnover_hpa2yr_107"/>
    <x v="147"/>
    <n v="1"/>
    <n v="1"/>
    <n v="80"/>
    <n v="115"/>
  </r>
  <r>
    <x v="24"/>
    <s v="conventional_turnover_hpa2yr_108"/>
    <x v="148"/>
    <n v="1"/>
    <n v="1"/>
    <n v="80"/>
    <n v="115"/>
  </r>
  <r>
    <x v="24"/>
    <s v="conventional_turnover_hpa2yr_109"/>
    <x v="149"/>
    <n v="1"/>
    <n v="1"/>
    <n v="80"/>
    <n v="115"/>
  </r>
  <r>
    <x v="24"/>
    <s v="conventional_turnover_hpa2yr_110"/>
    <x v="150"/>
    <n v="1"/>
    <n v="1"/>
    <n v="80"/>
    <n v="115"/>
  </r>
  <r>
    <x v="24"/>
    <s v="conventional_turnover_hpa2yr_111"/>
    <x v="151"/>
    <n v="1"/>
    <n v="1"/>
    <n v="80"/>
    <n v="115"/>
  </r>
  <r>
    <x v="24"/>
    <s v="conventional_turnover_hpa2yr_112"/>
    <x v="152"/>
    <n v="1"/>
    <n v="1"/>
    <n v="80"/>
    <n v="115"/>
  </r>
  <r>
    <x v="24"/>
    <s v="conventional_turnover_hpa2yr_113"/>
    <x v="153"/>
    <n v="1"/>
    <n v="1"/>
    <n v="80"/>
    <n v="115"/>
  </r>
  <r>
    <x v="24"/>
    <s v="conventional_turnover_hpa2yr_114"/>
    <x v="154"/>
    <n v="1"/>
    <n v="1"/>
    <n v="80"/>
    <n v="115"/>
  </r>
  <r>
    <x v="24"/>
    <s v="conventional_turnover_hpa2yr_115"/>
    <x v="155"/>
    <n v="1"/>
    <n v="1"/>
    <n v="80"/>
    <n v="115"/>
  </r>
  <r>
    <x v="25"/>
    <s v="conventional_turnover_pct_hihpa_wala_1"/>
    <x v="41"/>
    <n v="0"/>
    <n v="1"/>
    <n v="1"/>
    <n v="10"/>
  </r>
  <r>
    <x v="25"/>
    <s v="conventional_turnover_pct_hihpa_wala_2"/>
    <x v="42"/>
    <n v="0"/>
    <n v="1"/>
    <n v="1"/>
    <n v="10"/>
  </r>
  <r>
    <x v="25"/>
    <s v="conventional_turnover_pct_hihpa_wala_3"/>
    <x v="43"/>
    <n v="0"/>
    <n v="1"/>
    <n v="1"/>
    <n v="10"/>
  </r>
  <r>
    <x v="25"/>
    <s v="conventional_turnover_pct_hihpa_wala_4"/>
    <x v="44"/>
    <n v="0.154757834757835"/>
    <n v="1"/>
    <n v="1"/>
    <n v="10"/>
  </r>
  <r>
    <x v="25"/>
    <s v="conventional_turnover_pct_hihpa_wala_5"/>
    <x v="45"/>
    <n v="0.23"/>
    <n v="1"/>
    <n v="1"/>
    <n v="10"/>
  </r>
  <r>
    <x v="25"/>
    <s v="conventional_turnover_pct_hihpa_wala_6"/>
    <x v="46"/>
    <n v="0.291217569412836"/>
    <n v="1"/>
    <n v="1"/>
    <n v="10"/>
  </r>
  <r>
    <x v="25"/>
    <s v="conventional_turnover_pct_hihpa_wala_7"/>
    <x v="47"/>
    <n v="0.82340000000000002"/>
    <n v="1"/>
    <n v="1"/>
    <n v="10"/>
  </r>
  <r>
    <x v="25"/>
    <s v="conventional_turnover_pct_hihpa_wala_8"/>
    <x v="48"/>
    <n v="1"/>
    <n v="1"/>
    <n v="1"/>
    <n v="10"/>
  </r>
  <r>
    <x v="25"/>
    <s v="conventional_turnover_pct_hihpa_wala_9"/>
    <x v="49"/>
    <n v="1"/>
    <n v="1"/>
    <n v="1"/>
    <n v="10"/>
  </r>
  <r>
    <x v="25"/>
    <s v="conventional_turnover_pct_hihpa_wala_10"/>
    <x v="50"/>
    <n v="1"/>
    <n v="1"/>
    <n v="1"/>
    <n v="10"/>
  </r>
  <r>
    <x v="26"/>
    <s v="conventional_turnover_lohpa_wala_-10"/>
    <x v="30"/>
    <n v="-0.53166666666666695"/>
    <n v="1"/>
    <n v="-10"/>
    <n v="57"/>
  </r>
  <r>
    <x v="26"/>
    <s v="conventional_turnover_lohpa_wala_-9"/>
    <x v="31"/>
    <n v="-0.46250000000000002"/>
    <n v="1"/>
    <n v="-10"/>
    <n v="57"/>
  </r>
  <r>
    <x v="26"/>
    <s v="conventional_turnover_lohpa_wala_-8"/>
    <x v="32"/>
    <n v="-0.39333333333333298"/>
    <n v="1"/>
    <n v="-10"/>
    <n v="57"/>
  </r>
  <r>
    <x v="26"/>
    <s v="conventional_turnover_lohpa_wala_-7"/>
    <x v="33"/>
    <n v="-0.32416666666666699"/>
    <n v="1"/>
    <n v="-10"/>
    <n v="57"/>
  </r>
  <r>
    <x v="26"/>
    <s v="conventional_turnover_lohpa_wala_-6"/>
    <x v="34"/>
    <n v="-0.255"/>
    <n v="1"/>
    <n v="-10"/>
    <n v="57"/>
  </r>
  <r>
    <x v="26"/>
    <s v="conventional_turnover_lohpa_wala_-5"/>
    <x v="35"/>
    <n v="-0.18583333333333299"/>
    <n v="1"/>
    <n v="-10"/>
    <n v="57"/>
  </r>
  <r>
    <x v="26"/>
    <s v="conventional_turnover_lohpa_wala_-4"/>
    <x v="36"/>
    <n v="-0.116666666666667"/>
    <n v="1"/>
    <n v="-10"/>
    <n v="57"/>
  </r>
  <r>
    <x v="26"/>
    <s v="conventional_turnover_lohpa_wala_-3"/>
    <x v="37"/>
    <n v="-4.7500000000000001E-2"/>
    <n v="1"/>
    <n v="-10"/>
    <n v="57"/>
  </r>
  <r>
    <x v="26"/>
    <s v="conventional_turnover_lohpa_wala_-2"/>
    <x v="38"/>
    <n v="2.1666666666666699E-2"/>
    <n v="1"/>
    <n v="-10"/>
    <n v="57"/>
  </r>
  <r>
    <x v="26"/>
    <s v="conventional_turnover_lohpa_wala_-1"/>
    <x v="39"/>
    <n v="9.0833333333333294E-2"/>
    <n v="1"/>
    <n v="-10"/>
    <n v="57"/>
  </r>
  <r>
    <x v="26"/>
    <s v="conventional_turnover_lohpa_wala_0"/>
    <x v="40"/>
    <n v="0.16"/>
    <n v="1"/>
    <n v="-10"/>
    <n v="57"/>
  </r>
  <r>
    <x v="26"/>
    <s v="conventional_turnover_lohpa_wala_1"/>
    <x v="41"/>
    <n v="0.23236111111111099"/>
    <n v="1"/>
    <n v="-10"/>
    <n v="57"/>
  </r>
  <r>
    <x v="26"/>
    <s v="conventional_turnover_lohpa_wala_2"/>
    <x v="42"/>
    <n v="0.30855555555555603"/>
    <n v="1"/>
    <n v="-10"/>
    <n v="57"/>
  </r>
  <r>
    <x v="26"/>
    <s v="conventional_turnover_lohpa_wala_3"/>
    <x v="43"/>
    <n v="0.38474999999999998"/>
    <n v="1"/>
    <n v="-10"/>
    <n v="57"/>
  </r>
  <r>
    <x v="26"/>
    <s v="conventional_turnover_lohpa_wala_4"/>
    <x v="44"/>
    <n v="0.45711111111111102"/>
    <n v="1"/>
    <n v="-10"/>
    <n v="57"/>
  </r>
  <r>
    <x v="26"/>
    <s v="conventional_turnover_lohpa_wala_5"/>
    <x v="45"/>
    <n v="0.52180555555555597"/>
    <n v="1"/>
    <n v="-10"/>
    <n v="57"/>
  </r>
  <r>
    <x v="26"/>
    <s v="conventional_turnover_lohpa_wala_6"/>
    <x v="46"/>
    <n v="0.57499999999999996"/>
    <n v="1"/>
    <n v="-10"/>
    <n v="57"/>
  </r>
  <r>
    <x v="26"/>
    <s v="conventional_turnover_lohpa_wala_7"/>
    <x v="47"/>
    <n v="0.61417361111111102"/>
    <n v="1"/>
    <n v="-10"/>
    <n v="57"/>
  </r>
  <r>
    <x v="26"/>
    <s v="conventional_turnover_lohpa_wala_8"/>
    <x v="48"/>
    <n v="0.64188888888888895"/>
    <n v="1"/>
    <n v="-10"/>
    <n v="57"/>
  </r>
  <r>
    <x v="26"/>
    <s v="conventional_turnover_lohpa_wala_9"/>
    <x v="49"/>
    <n v="0.66193749999999996"/>
    <n v="1"/>
    <n v="-10"/>
    <n v="57"/>
  </r>
  <r>
    <x v="26"/>
    <s v="conventional_turnover_lohpa_wala_10"/>
    <x v="50"/>
    <n v="0.678111111111111"/>
    <n v="1"/>
    <n v="-10"/>
    <n v="57"/>
  </r>
  <r>
    <x v="26"/>
    <s v="conventional_turnover_lohpa_wala_11"/>
    <x v="51"/>
    <n v="0.69420138888888905"/>
    <n v="1"/>
    <n v="-10"/>
    <n v="57"/>
  </r>
  <r>
    <x v="26"/>
    <s v="conventional_turnover_lohpa_wala_12"/>
    <x v="52"/>
    <n v="0.71399999999999997"/>
    <n v="1"/>
    <n v="-10"/>
    <n v="57"/>
  </r>
  <r>
    <x v="26"/>
    <s v="conventional_turnover_lohpa_wala_13"/>
    <x v="53"/>
    <n v="0.73667824074074095"/>
    <n v="1"/>
    <n v="-10"/>
    <n v="57"/>
  </r>
  <r>
    <x v="26"/>
    <s v="conventional_turnover_lohpa_wala_14"/>
    <x v="54"/>
    <n v="0.75903703703703695"/>
    <n v="1"/>
    <n v="-10"/>
    <n v="57"/>
  </r>
  <r>
    <x v="26"/>
    <s v="conventional_turnover_lohpa_wala_15"/>
    <x v="55"/>
    <n v="0.78131249999999997"/>
    <n v="1"/>
    <n v="-10"/>
    <n v="57"/>
  </r>
  <r>
    <x v="26"/>
    <s v="conventional_turnover_lohpa_wala_16"/>
    <x v="56"/>
    <n v="0.80374074074074098"/>
    <n v="1"/>
    <n v="-10"/>
    <n v="57"/>
  </r>
  <r>
    <x v="26"/>
    <s v="conventional_turnover_lohpa_wala_17"/>
    <x v="57"/>
    <n v="0.82655787037036998"/>
    <n v="1"/>
    <n v="-10"/>
    <n v="57"/>
  </r>
  <r>
    <x v="26"/>
    <s v="conventional_turnover_lohpa_wala_18"/>
    <x v="58"/>
    <n v="0.85"/>
    <n v="1"/>
    <n v="-10"/>
    <n v="57"/>
  </r>
  <r>
    <x v="26"/>
    <s v="conventional_turnover_lohpa_wala_19"/>
    <x v="59"/>
    <n v="0.87462384259259296"/>
    <n v="1"/>
    <n v="-10"/>
    <n v="57"/>
  </r>
  <r>
    <x v="26"/>
    <s v="conventional_turnover_lohpa_wala_20"/>
    <x v="60"/>
    <n v="0.90035185185185196"/>
    <n v="1"/>
    <n v="-10"/>
    <n v="57"/>
  </r>
  <r>
    <x v="26"/>
    <s v="conventional_turnover_lohpa_wala_21"/>
    <x v="61"/>
    <n v="0.92646874999999995"/>
    <n v="1"/>
    <n v="-10"/>
    <n v="57"/>
  </r>
  <r>
    <x v="26"/>
    <s v="conventional_turnover_lohpa_wala_22"/>
    <x v="62"/>
    <n v="0.95225925925925903"/>
    <n v="1"/>
    <n v="-10"/>
    <n v="57"/>
  </r>
  <r>
    <x v="26"/>
    <s v="conventional_turnover_lohpa_wala_23"/>
    <x v="63"/>
    <n v="0.97700810185185205"/>
    <n v="1"/>
    <n v="-10"/>
    <n v="57"/>
  </r>
  <r>
    <x v="26"/>
    <s v="conventional_turnover_lohpa_wala_24"/>
    <x v="64"/>
    <n v="1"/>
    <n v="1"/>
    <n v="-10"/>
    <n v="57"/>
  </r>
  <r>
    <x v="26"/>
    <s v="conventional_turnover_lohpa_wala_25"/>
    <x v="65"/>
    <n v="1.0206307870370399"/>
    <n v="1"/>
    <n v="-10"/>
    <n v="57"/>
  </r>
  <r>
    <x v="26"/>
    <s v="conventional_turnover_lohpa_wala_26"/>
    <x v="66"/>
    <n v="1.0393518518518501"/>
    <n v="1"/>
    <n v="-10"/>
    <n v="57"/>
  </r>
  <r>
    <x v="26"/>
    <s v="conventional_turnover_lohpa_wala_27"/>
    <x v="67"/>
    <n v="1.0570312500000001"/>
    <n v="1"/>
    <n v="-10"/>
    <n v="57"/>
  </r>
  <r>
    <x v="26"/>
    <s v="conventional_turnover_lohpa_wala_28"/>
    <x v="68"/>
    <n v="1.07453703703704"/>
    <n v="1"/>
    <n v="-10"/>
    <n v="57"/>
  </r>
  <r>
    <x v="26"/>
    <s v="conventional_turnover_lohpa_wala_29"/>
    <x v="69"/>
    <n v="1.0927372685185199"/>
    <n v="1"/>
    <n v="-10"/>
    <n v="57"/>
  </r>
  <r>
    <x v="26"/>
    <s v="conventional_turnover_lohpa_wala_30"/>
    <x v="70"/>
    <n v="1.1125"/>
    <n v="1"/>
    <n v="-10"/>
    <n v="57"/>
  </r>
  <r>
    <x v="26"/>
    <s v="conventional_turnover_lohpa_wala_31"/>
    <x v="71"/>
    <n v="1.1371527777777799"/>
    <n v="1"/>
    <n v="-10"/>
    <n v="57"/>
  </r>
  <r>
    <x v="26"/>
    <s v="conventional_turnover_lohpa_wala_32"/>
    <x v="72"/>
    <n v="1.1666666666666701"/>
    <n v="1"/>
    <n v="-10"/>
    <n v="57"/>
  </r>
  <r>
    <x v="26"/>
    <s v="conventional_turnover_lohpa_wala_33"/>
    <x v="73"/>
    <n v="1.1968749999999999"/>
    <n v="1"/>
    <n v="-10"/>
    <n v="57"/>
  </r>
  <r>
    <x v="26"/>
    <s v="conventional_turnover_lohpa_wala_34"/>
    <x v="74"/>
    <n v="1.2236111111111101"/>
    <n v="1"/>
    <n v="-10"/>
    <n v="57"/>
  </r>
  <r>
    <x v="26"/>
    <s v="conventional_turnover_lohpa_wala_35"/>
    <x v="75"/>
    <n v="1.24270833333333"/>
    <n v="1"/>
    <n v="-10"/>
    <n v="57"/>
  </r>
  <r>
    <x v="26"/>
    <s v="conventional_turnover_lohpa_wala_36"/>
    <x v="76"/>
    <n v="1.25"/>
    <n v="1"/>
    <n v="-10"/>
    <n v="57"/>
  </r>
  <r>
    <x v="26"/>
    <s v="conventional_turnover_lohpa_wala_37"/>
    <x v="77"/>
    <n v="1.25"/>
    <n v="1"/>
    <n v="-10"/>
    <n v="57"/>
  </r>
  <r>
    <x v="26"/>
    <s v="conventional_turnover_lohpa_wala_38"/>
    <x v="78"/>
    <n v="1.25"/>
    <n v="1"/>
    <n v="-10"/>
    <n v="57"/>
  </r>
  <r>
    <x v="26"/>
    <s v="conventional_turnover_lohpa_wala_39"/>
    <x v="79"/>
    <n v="1.25"/>
    <n v="1"/>
    <n v="-10"/>
    <n v="57"/>
  </r>
  <r>
    <x v="26"/>
    <s v="conventional_turnover_lohpa_wala_40"/>
    <x v="80"/>
    <n v="1.25"/>
    <n v="1"/>
    <n v="-10"/>
    <n v="57"/>
  </r>
  <r>
    <x v="26"/>
    <s v="conventional_turnover_lohpa_wala_41"/>
    <x v="81"/>
    <n v="1.25"/>
    <n v="1"/>
    <n v="-10"/>
    <n v="57"/>
  </r>
  <r>
    <x v="26"/>
    <s v="conventional_turnover_lohpa_wala_42"/>
    <x v="82"/>
    <n v="1.25"/>
    <n v="1"/>
    <n v="-10"/>
    <n v="57"/>
  </r>
  <r>
    <x v="26"/>
    <s v="conventional_turnover_lohpa_wala_43"/>
    <x v="83"/>
    <n v="1.25"/>
    <n v="1"/>
    <n v="-10"/>
    <n v="57"/>
  </r>
  <r>
    <x v="26"/>
    <s v="conventional_turnover_lohpa_wala_44"/>
    <x v="84"/>
    <n v="1.25"/>
    <n v="1"/>
    <n v="-10"/>
    <n v="57"/>
  </r>
  <r>
    <x v="26"/>
    <s v="conventional_turnover_lohpa_wala_45"/>
    <x v="85"/>
    <n v="1.25"/>
    <n v="1"/>
    <n v="-10"/>
    <n v="57"/>
  </r>
  <r>
    <x v="26"/>
    <s v="conventional_turnover_lohpa_wala_46"/>
    <x v="86"/>
    <n v="1.25"/>
    <n v="1"/>
    <n v="-10"/>
    <n v="57"/>
  </r>
  <r>
    <x v="26"/>
    <s v="conventional_turnover_lohpa_wala_47"/>
    <x v="87"/>
    <n v="1.25"/>
    <n v="1"/>
    <n v="-10"/>
    <n v="57"/>
  </r>
  <r>
    <x v="26"/>
    <s v="conventional_turnover_lohpa_wala_48"/>
    <x v="88"/>
    <n v="1.25"/>
    <n v="1"/>
    <n v="-10"/>
    <n v="57"/>
  </r>
  <r>
    <x v="26"/>
    <s v="conventional_turnover_lohpa_wala_49"/>
    <x v="89"/>
    <n v="1.25"/>
    <n v="1"/>
    <n v="-10"/>
    <n v="57"/>
  </r>
  <r>
    <x v="26"/>
    <s v="conventional_turnover_lohpa_wala_50"/>
    <x v="90"/>
    <n v="1.25"/>
    <n v="1"/>
    <n v="-10"/>
    <n v="57"/>
  </r>
  <r>
    <x v="26"/>
    <s v="conventional_turnover_lohpa_wala_51"/>
    <x v="91"/>
    <n v="1.25"/>
    <n v="1"/>
    <n v="-10"/>
    <n v="57"/>
  </r>
  <r>
    <x v="26"/>
    <s v="conventional_turnover_lohpa_wala_52"/>
    <x v="92"/>
    <n v="1.25"/>
    <n v="1"/>
    <n v="-10"/>
    <n v="57"/>
  </r>
  <r>
    <x v="26"/>
    <s v="conventional_turnover_lohpa_wala_53"/>
    <x v="93"/>
    <n v="1.25"/>
    <n v="1"/>
    <n v="-10"/>
    <n v="57"/>
  </r>
  <r>
    <x v="26"/>
    <s v="conventional_turnover_lohpa_wala_54"/>
    <x v="94"/>
    <n v="1.25"/>
    <n v="1"/>
    <n v="-10"/>
    <n v="57"/>
  </r>
  <r>
    <x v="26"/>
    <s v="conventional_turnover_lohpa_wala_55"/>
    <x v="95"/>
    <n v="1.25"/>
    <n v="1"/>
    <n v="-10"/>
    <n v="57"/>
  </r>
  <r>
    <x v="26"/>
    <s v="conventional_turnover_lohpa_wala_56"/>
    <x v="96"/>
    <n v="1.25"/>
    <n v="1"/>
    <n v="-10"/>
    <n v="57"/>
  </r>
  <r>
    <x v="26"/>
    <s v="conventional_turnover_lohpa_wala_57"/>
    <x v="97"/>
    <n v="1.25"/>
    <n v="1"/>
    <n v="-10"/>
    <n v="57"/>
  </r>
  <r>
    <x v="27"/>
    <s v="conventional_turnover_hihpa_wala_-6"/>
    <x v="34"/>
    <n v="-0.53"/>
    <n v="1"/>
    <n v="-6"/>
    <n v="36"/>
  </r>
  <r>
    <x v="27"/>
    <s v="conventional_turnover_hihpa_wala_-5"/>
    <x v="35"/>
    <n v="-0.41499999999999998"/>
    <n v="1"/>
    <n v="-6"/>
    <n v="36"/>
  </r>
  <r>
    <x v="27"/>
    <s v="conventional_turnover_hihpa_wala_-4"/>
    <x v="36"/>
    <n v="-0.3"/>
    <n v="1"/>
    <n v="-6"/>
    <n v="36"/>
  </r>
  <r>
    <x v="27"/>
    <s v="conventional_turnover_hihpa_wala_-3"/>
    <x v="37"/>
    <n v="-0.185"/>
    <n v="1"/>
    <n v="-6"/>
    <n v="36"/>
  </r>
  <r>
    <x v="27"/>
    <s v="conventional_turnover_hihpa_wala_-2"/>
    <x v="38"/>
    <n v="-7.0000000000000007E-2"/>
    <n v="1"/>
    <n v="-6"/>
    <n v="36"/>
  </r>
  <r>
    <x v="27"/>
    <s v="conventional_turnover_hihpa_wala_-1"/>
    <x v="39"/>
    <n v="4.4999999999999998E-2"/>
    <n v="1"/>
    <n v="-6"/>
    <n v="36"/>
  </r>
  <r>
    <x v="27"/>
    <s v="conventional_turnover_hihpa_wala_0"/>
    <x v="40"/>
    <n v="0.16"/>
    <n v="1"/>
    <n v="-6"/>
    <n v="36"/>
  </r>
  <r>
    <x v="27"/>
    <s v="conventional_turnover_hihpa_wala_1"/>
    <x v="41"/>
    <n v="0.28042824074074102"/>
    <n v="1"/>
    <n v="-6"/>
    <n v="36"/>
  </r>
  <r>
    <x v="27"/>
    <s v="conventional_turnover_hihpa_wala_2"/>
    <x v="42"/>
    <n v="0.40737037037036999"/>
    <n v="1"/>
    <n v="-6"/>
    <n v="36"/>
  </r>
  <r>
    <x v="27"/>
    <s v="conventional_turnover_hihpa_wala_3"/>
    <x v="43"/>
    <n v="0.53431249999999997"/>
    <n v="1"/>
    <n v="-6"/>
    <n v="36"/>
  </r>
  <r>
    <x v="27"/>
    <s v="conventional_turnover_hihpa_wala_4"/>
    <x v="44"/>
    <n v="0.65474074074074096"/>
    <n v="1"/>
    <n v="-6"/>
    <n v="36"/>
  </r>
  <r>
    <x v="27"/>
    <s v="conventional_turnover_hihpa_wala_5"/>
    <x v="45"/>
    <n v="0.76214120370370397"/>
    <n v="1"/>
    <n v="-6"/>
    <n v="36"/>
  </r>
  <r>
    <x v="27"/>
    <s v="conventional_turnover_hihpa_wala_6"/>
    <x v="46"/>
    <n v="0.85"/>
    <n v="1"/>
    <n v="-6"/>
    <n v="36"/>
  </r>
  <r>
    <x v="27"/>
    <s v="conventional_turnover_hihpa_wala_7"/>
    <x v="47"/>
    <n v="0.91446064814814798"/>
    <n v="1"/>
    <n v="-6"/>
    <n v="36"/>
  </r>
  <r>
    <x v="27"/>
    <s v="conventional_turnover_hihpa_wala_8"/>
    <x v="48"/>
    <n v="0.95996296296296302"/>
    <n v="1"/>
    <n v="-6"/>
    <n v="36"/>
  </r>
  <r>
    <x v="27"/>
    <s v="conventional_turnover_hihpa_wala_9"/>
    <x v="49"/>
    <n v="0.99243749999999997"/>
    <n v="1"/>
    <n v="-6"/>
    <n v="36"/>
  </r>
  <r>
    <x v="27"/>
    <s v="conventional_turnover_hihpa_wala_10"/>
    <x v="50"/>
    <n v="1.0178148148148101"/>
    <n v="1"/>
    <n v="-6"/>
    <n v="36"/>
  </r>
  <r>
    <x v="27"/>
    <s v="conventional_turnover_hihpa_wala_11"/>
    <x v="51"/>
    <n v="1.0420254629629599"/>
    <n v="1"/>
    <n v="-6"/>
    <n v="36"/>
  </r>
  <r>
    <x v="27"/>
    <s v="conventional_turnover_hihpa_wala_12"/>
    <x v="52"/>
    <n v="1.071"/>
    <n v="1"/>
    <n v="-6"/>
    <n v="36"/>
  </r>
  <r>
    <x v="27"/>
    <s v="conventional_turnover_hihpa_wala_13"/>
    <x v="53"/>
    <n v="1.1074074074074101"/>
    <n v="1"/>
    <n v="-6"/>
    <n v="36"/>
  </r>
  <r>
    <x v="27"/>
    <s v="conventional_turnover_hihpa_wala_14"/>
    <x v="54"/>
    <n v="1.14703703703704"/>
    <n v="1"/>
    <n v="-6"/>
    <n v="36"/>
  </r>
  <r>
    <x v="27"/>
    <s v="conventional_turnover_hihpa_wala_15"/>
    <x v="55"/>
    <n v="1.1855"/>
    <n v="1"/>
    <n v="-6"/>
    <n v="36"/>
  </r>
  <r>
    <x v="27"/>
    <s v="conventional_turnover_hihpa_wala_16"/>
    <x v="56"/>
    <n v="1.21840740740741"/>
    <n v="1"/>
    <n v="-6"/>
    <n v="36"/>
  </r>
  <r>
    <x v="27"/>
    <s v="conventional_turnover_hihpa_wala_17"/>
    <x v="57"/>
    <n v="1.24137037037037"/>
    <n v="1"/>
    <n v="-6"/>
    <n v="36"/>
  </r>
  <r>
    <x v="27"/>
    <s v="conventional_turnover_hihpa_wala_18"/>
    <x v="58"/>
    <n v="1.25"/>
    <n v="1"/>
    <n v="-6"/>
    <n v="36"/>
  </r>
  <r>
    <x v="27"/>
    <s v="conventional_turnover_hihpa_wala_19"/>
    <x v="59"/>
    <n v="1.25"/>
    <n v="1"/>
    <n v="-6"/>
    <n v="36"/>
  </r>
  <r>
    <x v="27"/>
    <s v="conventional_turnover_hihpa_wala_20"/>
    <x v="60"/>
    <n v="1.25"/>
    <n v="1"/>
    <n v="-6"/>
    <n v="36"/>
  </r>
  <r>
    <x v="27"/>
    <s v="conventional_turnover_hihpa_wala_21"/>
    <x v="61"/>
    <n v="1.25"/>
    <n v="1"/>
    <n v="-6"/>
    <n v="36"/>
  </r>
  <r>
    <x v="27"/>
    <s v="conventional_turnover_hihpa_wala_22"/>
    <x v="62"/>
    <n v="1.25"/>
    <n v="1"/>
    <n v="-6"/>
    <n v="36"/>
  </r>
  <r>
    <x v="27"/>
    <s v="conventional_turnover_hihpa_wala_23"/>
    <x v="63"/>
    <n v="1.25"/>
    <n v="1"/>
    <n v="-6"/>
    <n v="36"/>
  </r>
  <r>
    <x v="27"/>
    <s v="conventional_turnover_hihpa_wala_24"/>
    <x v="64"/>
    <n v="1.25"/>
    <n v="1"/>
    <n v="-6"/>
    <n v="36"/>
  </r>
  <r>
    <x v="27"/>
    <s v="conventional_turnover_hihpa_wala_25"/>
    <x v="65"/>
    <n v="1.25"/>
    <n v="1"/>
    <n v="-6"/>
    <n v="36"/>
  </r>
  <r>
    <x v="27"/>
    <s v="conventional_turnover_hihpa_wala_26"/>
    <x v="66"/>
    <n v="1.25"/>
    <n v="1"/>
    <n v="-6"/>
    <n v="36"/>
  </r>
  <r>
    <x v="27"/>
    <s v="conventional_turnover_hihpa_wala_27"/>
    <x v="67"/>
    <n v="1.25"/>
    <n v="1"/>
    <n v="-6"/>
    <n v="36"/>
  </r>
  <r>
    <x v="27"/>
    <s v="conventional_turnover_hihpa_wala_28"/>
    <x v="68"/>
    <n v="1.25"/>
    <n v="1"/>
    <n v="-6"/>
    <n v="36"/>
  </r>
  <r>
    <x v="27"/>
    <s v="conventional_turnover_hihpa_wala_29"/>
    <x v="69"/>
    <n v="1.25"/>
    <n v="1"/>
    <n v="-6"/>
    <n v="36"/>
  </r>
  <r>
    <x v="27"/>
    <s v="conventional_turnover_hihpa_wala_30"/>
    <x v="70"/>
    <n v="1.25"/>
    <n v="1"/>
    <n v="-6"/>
    <n v="36"/>
  </r>
  <r>
    <x v="27"/>
    <s v="conventional_turnover_hihpa_wala_31"/>
    <x v="71"/>
    <n v="1.25"/>
    <n v="1"/>
    <n v="-6"/>
    <n v="36"/>
  </r>
  <r>
    <x v="27"/>
    <s v="conventional_turnover_hihpa_wala_32"/>
    <x v="72"/>
    <n v="1.25"/>
    <n v="1"/>
    <n v="-6"/>
    <n v="36"/>
  </r>
  <r>
    <x v="27"/>
    <s v="conventional_turnover_hihpa_wala_33"/>
    <x v="73"/>
    <n v="1.25"/>
    <n v="1"/>
    <n v="-6"/>
    <n v="36"/>
  </r>
  <r>
    <x v="27"/>
    <s v="conventional_turnover_hihpa_wala_34"/>
    <x v="74"/>
    <n v="1.25"/>
    <n v="1"/>
    <n v="-6"/>
    <n v="36"/>
  </r>
  <r>
    <x v="27"/>
    <s v="conventional_turnover_hihpa_wala_35"/>
    <x v="75"/>
    <n v="1.25"/>
    <n v="1"/>
    <n v="-6"/>
    <n v="36"/>
  </r>
  <r>
    <x v="27"/>
    <s v="conventional_turnover_hihpa_wala_36"/>
    <x v="76"/>
    <n v="1.25"/>
    <n v="1"/>
    <n v="-6"/>
    <n v="36"/>
  </r>
  <r>
    <x v="28"/>
    <s v="conventional_turnover_wala_-12"/>
    <x v="28"/>
    <n v="1"/>
    <n v="1"/>
    <n v="-12"/>
    <n v="72"/>
  </r>
  <r>
    <x v="28"/>
    <s v="conventional_turnover_wala_-11"/>
    <x v="29"/>
    <n v="1"/>
    <n v="1"/>
    <n v="-12"/>
    <n v="72"/>
  </r>
  <r>
    <x v="28"/>
    <s v="conventional_turnover_wala_-10"/>
    <x v="30"/>
    <n v="1"/>
    <n v="1"/>
    <n v="-12"/>
    <n v="72"/>
  </r>
  <r>
    <x v="28"/>
    <s v="conventional_turnover_wala_-9"/>
    <x v="31"/>
    <n v="1"/>
    <n v="1"/>
    <n v="-12"/>
    <n v="72"/>
  </r>
  <r>
    <x v="28"/>
    <s v="conventional_turnover_wala_-8"/>
    <x v="32"/>
    <n v="1"/>
    <n v="1"/>
    <n v="-12"/>
    <n v="72"/>
  </r>
  <r>
    <x v="28"/>
    <s v="conventional_turnover_wala_-7"/>
    <x v="33"/>
    <n v="1"/>
    <n v="1"/>
    <n v="-12"/>
    <n v="72"/>
  </r>
  <r>
    <x v="28"/>
    <s v="conventional_turnover_wala_-6"/>
    <x v="34"/>
    <n v="1"/>
    <n v="1"/>
    <n v="-12"/>
    <n v="72"/>
  </r>
  <r>
    <x v="28"/>
    <s v="conventional_turnover_wala_-5"/>
    <x v="35"/>
    <n v="1"/>
    <n v="1"/>
    <n v="-12"/>
    <n v="72"/>
  </r>
  <r>
    <x v="28"/>
    <s v="conventional_turnover_wala_-4"/>
    <x v="36"/>
    <n v="1"/>
    <n v="1"/>
    <n v="-12"/>
    <n v="72"/>
  </r>
  <r>
    <x v="28"/>
    <s v="conventional_turnover_wala_-3"/>
    <x v="37"/>
    <n v="1"/>
    <n v="1"/>
    <n v="-12"/>
    <n v="72"/>
  </r>
  <r>
    <x v="28"/>
    <s v="conventional_turnover_wala_-2"/>
    <x v="38"/>
    <n v="1"/>
    <n v="1"/>
    <n v="-12"/>
    <n v="72"/>
  </r>
  <r>
    <x v="28"/>
    <s v="conventional_turnover_wala_-1"/>
    <x v="39"/>
    <n v="1"/>
    <n v="1"/>
    <n v="-12"/>
    <n v="72"/>
  </r>
  <r>
    <x v="28"/>
    <s v="conventional_turnover_wala_0"/>
    <x v="40"/>
    <n v="1"/>
    <n v="1"/>
    <n v="-12"/>
    <n v="72"/>
  </r>
  <r>
    <x v="28"/>
    <s v="conventional_turnover_wala_1"/>
    <x v="41"/>
    <n v="1"/>
    <n v="1"/>
    <n v="-12"/>
    <n v="72"/>
  </r>
  <r>
    <x v="28"/>
    <s v="conventional_turnover_wala_2"/>
    <x v="42"/>
    <n v="1"/>
    <n v="1"/>
    <n v="-12"/>
    <n v="72"/>
  </r>
  <r>
    <x v="28"/>
    <s v="conventional_turnover_wala_3"/>
    <x v="43"/>
    <n v="1"/>
    <n v="1"/>
    <n v="-12"/>
    <n v="72"/>
  </r>
  <r>
    <x v="28"/>
    <s v="conventional_turnover_wala_4"/>
    <x v="44"/>
    <n v="1"/>
    <n v="1"/>
    <n v="-12"/>
    <n v="72"/>
  </r>
  <r>
    <x v="28"/>
    <s v="conventional_turnover_wala_5"/>
    <x v="45"/>
    <n v="1"/>
    <n v="1"/>
    <n v="-12"/>
    <n v="72"/>
  </r>
  <r>
    <x v="28"/>
    <s v="conventional_turnover_wala_6"/>
    <x v="46"/>
    <n v="1"/>
    <n v="1"/>
    <n v="-12"/>
    <n v="72"/>
  </r>
  <r>
    <x v="28"/>
    <s v="conventional_turnover_wala_7"/>
    <x v="47"/>
    <n v="1"/>
    <n v="1"/>
    <n v="-12"/>
    <n v="72"/>
  </r>
  <r>
    <x v="28"/>
    <s v="conventional_turnover_wala_8"/>
    <x v="48"/>
    <n v="1"/>
    <n v="1"/>
    <n v="-12"/>
    <n v="72"/>
  </r>
  <r>
    <x v="28"/>
    <s v="conventional_turnover_wala_9"/>
    <x v="49"/>
    <n v="1"/>
    <n v="1"/>
    <n v="-12"/>
    <n v="72"/>
  </r>
  <r>
    <x v="28"/>
    <s v="conventional_turnover_wala_10"/>
    <x v="50"/>
    <n v="1"/>
    <n v="1"/>
    <n v="-12"/>
    <n v="72"/>
  </r>
  <r>
    <x v="28"/>
    <s v="conventional_turnover_wala_11"/>
    <x v="51"/>
    <n v="1"/>
    <n v="1"/>
    <n v="-12"/>
    <n v="72"/>
  </r>
  <r>
    <x v="28"/>
    <s v="conventional_turnover_wala_12"/>
    <x v="52"/>
    <n v="1"/>
    <n v="1"/>
    <n v="-12"/>
    <n v="72"/>
  </r>
  <r>
    <x v="28"/>
    <s v="conventional_turnover_wala_13"/>
    <x v="53"/>
    <n v="1"/>
    <n v="1"/>
    <n v="-12"/>
    <n v="72"/>
  </r>
  <r>
    <x v="28"/>
    <s v="conventional_turnover_wala_14"/>
    <x v="54"/>
    <n v="1"/>
    <n v="1"/>
    <n v="-12"/>
    <n v="72"/>
  </r>
  <r>
    <x v="28"/>
    <s v="conventional_turnover_wala_15"/>
    <x v="55"/>
    <n v="1"/>
    <n v="1"/>
    <n v="-12"/>
    <n v="72"/>
  </r>
  <r>
    <x v="28"/>
    <s v="conventional_turnover_wala_16"/>
    <x v="56"/>
    <n v="1"/>
    <n v="1"/>
    <n v="-12"/>
    <n v="72"/>
  </r>
  <r>
    <x v="28"/>
    <s v="conventional_turnover_wala_17"/>
    <x v="57"/>
    <n v="1"/>
    <n v="1"/>
    <n v="-12"/>
    <n v="72"/>
  </r>
  <r>
    <x v="28"/>
    <s v="conventional_turnover_wala_18"/>
    <x v="58"/>
    <n v="1"/>
    <n v="1"/>
    <n v="-12"/>
    <n v="72"/>
  </r>
  <r>
    <x v="28"/>
    <s v="conventional_turnover_wala_19"/>
    <x v="59"/>
    <n v="1"/>
    <n v="1"/>
    <n v="-12"/>
    <n v="72"/>
  </r>
  <r>
    <x v="28"/>
    <s v="conventional_turnover_wala_20"/>
    <x v="60"/>
    <n v="1"/>
    <n v="1"/>
    <n v="-12"/>
    <n v="72"/>
  </r>
  <r>
    <x v="28"/>
    <s v="conventional_turnover_wala_21"/>
    <x v="61"/>
    <n v="1"/>
    <n v="1"/>
    <n v="-12"/>
    <n v="72"/>
  </r>
  <r>
    <x v="28"/>
    <s v="conventional_turnover_wala_22"/>
    <x v="62"/>
    <n v="1"/>
    <n v="1"/>
    <n v="-12"/>
    <n v="72"/>
  </r>
  <r>
    <x v="28"/>
    <s v="conventional_turnover_wala_23"/>
    <x v="63"/>
    <n v="1"/>
    <n v="1"/>
    <n v="-12"/>
    <n v="72"/>
  </r>
  <r>
    <x v="28"/>
    <s v="conventional_turnover_wala_24"/>
    <x v="64"/>
    <n v="1"/>
    <n v="1"/>
    <n v="-12"/>
    <n v="72"/>
  </r>
  <r>
    <x v="28"/>
    <s v="conventional_turnover_wala_25"/>
    <x v="65"/>
    <n v="1"/>
    <n v="1"/>
    <n v="-12"/>
    <n v="72"/>
  </r>
  <r>
    <x v="28"/>
    <s v="conventional_turnover_wala_26"/>
    <x v="66"/>
    <n v="1"/>
    <n v="1"/>
    <n v="-12"/>
    <n v="72"/>
  </r>
  <r>
    <x v="28"/>
    <s v="conventional_turnover_wala_27"/>
    <x v="67"/>
    <n v="1"/>
    <n v="1"/>
    <n v="-12"/>
    <n v="72"/>
  </r>
  <r>
    <x v="28"/>
    <s v="conventional_turnover_wala_28"/>
    <x v="68"/>
    <n v="1"/>
    <n v="1"/>
    <n v="-12"/>
    <n v="72"/>
  </r>
  <r>
    <x v="28"/>
    <s v="conventional_turnover_wala_29"/>
    <x v="69"/>
    <n v="1"/>
    <n v="1"/>
    <n v="-12"/>
    <n v="72"/>
  </r>
  <r>
    <x v="28"/>
    <s v="conventional_turnover_wala_30"/>
    <x v="70"/>
    <n v="1"/>
    <n v="1"/>
    <n v="-12"/>
    <n v="72"/>
  </r>
  <r>
    <x v="28"/>
    <s v="conventional_turnover_wala_31"/>
    <x v="71"/>
    <n v="1"/>
    <n v="1"/>
    <n v="-12"/>
    <n v="72"/>
  </r>
  <r>
    <x v="28"/>
    <s v="conventional_turnover_wala_32"/>
    <x v="72"/>
    <n v="1"/>
    <n v="1"/>
    <n v="-12"/>
    <n v="72"/>
  </r>
  <r>
    <x v="28"/>
    <s v="conventional_turnover_wala_33"/>
    <x v="73"/>
    <n v="1"/>
    <n v="1"/>
    <n v="-12"/>
    <n v="72"/>
  </r>
  <r>
    <x v="28"/>
    <s v="conventional_turnover_wala_34"/>
    <x v="74"/>
    <n v="1"/>
    <n v="1"/>
    <n v="-12"/>
    <n v="72"/>
  </r>
  <r>
    <x v="28"/>
    <s v="conventional_turnover_wala_35"/>
    <x v="75"/>
    <n v="1"/>
    <n v="1"/>
    <n v="-12"/>
    <n v="72"/>
  </r>
  <r>
    <x v="28"/>
    <s v="conventional_turnover_wala_36"/>
    <x v="76"/>
    <n v="1"/>
    <n v="1"/>
    <n v="-12"/>
    <n v="72"/>
  </r>
  <r>
    <x v="28"/>
    <s v="conventional_turnover_wala_37"/>
    <x v="77"/>
    <n v="1"/>
    <n v="1"/>
    <n v="-12"/>
    <n v="72"/>
  </r>
  <r>
    <x v="28"/>
    <s v="conventional_turnover_wala_38"/>
    <x v="78"/>
    <n v="1"/>
    <n v="1"/>
    <n v="-12"/>
    <n v="72"/>
  </r>
  <r>
    <x v="28"/>
    <s v="conventional_turnover_wala_39"/>
    <x v="79"/>
    <n v="1"/>
    <n v="1"/>
    <n v="-12"/>
    <n v="72"/>
  </r>
  <r>
    <x v="28"/>
    <s v="conventional_turnover_wala_40"/>
    <x v="80"/>
    <n v="1"/>
    <n v="1"/>
    <n v="-12"/>
    <n v="72"/>
  </r>
  <r>
    <x v="28"/>
    <s v="conventional_turnover_wala_41"/>
    <x v="81"/>
    <n v="1"/>
    <n v="1"/>
    <n v="-12"/>
    <n v="72"/>
  </r>
  <r>
    <x v="28"/>
    <s v="conventional_turnover_wala_42"/>
    <x v="82"/>
    <n v="1"/>
    <n v="1"/>
    <n v="-12"/>
    <n v="72"/>
  </r>
  <r>
    <x v="28"/>
    <s v="conventional_turnover_wala_43"/>
    <x v="83"/>
    <n v="1"/>
    <n v="1"/>
    <n v="-12"/>
    <n v="72"/>
  </r>
  <r>
    <x v="28"/>
    <s v="conventional_turnover_wala_44"/>
    <x v="84"/>
    <n v="1"/>
    <n v="1"/>
    <n v="-12"/>
    <n v="72"/>
  </r>
  <r>
    <x v="28"/>
    <s v="conventional_turnover_wala_45"/>
    <x v="85"/>
    <n v="1"/>
    <n v="1"/>
    <n v="-12"/>
    <n v="72"/>
  </r>
  <r>
    <x v="28"/>
    <s v="conventional_turnover_wala_46"/>
    <x v="86"/>
    <n v="1"/>
    <n v="1"/>
    <n v="-12"/>
    <n v="72"/>
  </r>
  <r>
    <x v="28"/>
    <s v="conventional_turnover_wala_47"/>
    <x v="87"/>
    <n v="1"/>
    <n v="1"/>
    <n v="-12"/>
    <n v="72"/>
  </r>
  <r>
    <x v="28"/>
    <s v="conventional_turnover_wala_48"/>
    <x v="88"/>
    <n v="1"/>
    <n v="1"/>
    <n v="-12"/>
    <n v="72"/>
  </r>
  <r>
    <x v="28"/>
    <s v="conventional_turnover_wala_49"/>
    <x v="89"/>
    <n v="1"/>
    <n v="1"/>
    <n v="-12"/>
    <n v="72"/>
  </r>
  <r>
    <x v="28"/>
    <s v="conventional_turnover_wala_50"/>
    <x v="90"/>
    <n v="1"/>
    <n v="1"/>
    <n v="-12"/>
    <n v="72"/>
  </r>
  <r>
    <x v="28"/>
    <s v="conventional_turnover_wala_51"/>
    <x v="91"/>
    <n v="1"/>
    <n v="1"/>
    <n v="-12"/>
    <n v="72"/>
  </r>
  <r>
    <x v="28"/>
    <s v="conventional_turnover_wala_52"/>
    <x v="92"/>
    <n v="1"/>
    <n v="1"/>
    <n v="-12"/>
    <n v="72"/>
  </r>
  <r>
    <x v="28"/>
    <s v="conventional_turnover_wala_53"/>
    <x v="93"/>
    <n v="1"/>
    <n v="1"/>
    <n v="-12"/>
    <n v="72"/>
  </r>
  <r>
    <x v="28"/>
    <s v="conventional_turnover_wala_54"/>
    <x v="94"/>
    <n v="1"/>
    <n v="1"/>
    <n v="-12"/>
    <n v="72"/>
  </r>
  <r>
    <x v="28"/>
    <s v="conventional_turnover_wala_55"/>
    <x v="95"/>
    <n v="1"/>
    <n v="1"/>
    <n v="-12"/>
    <n v="72"/>
  </r>
  <r>
    <x v="28"/>
    <s v="conventional_turnover_wala_56"/>
    <x v="96"/>
    <n v="1"/>
    <n v="1"/>
    <n v="-12"/>
    <n v="72"/>
  </r>
  <r>
    <x v="28"/>
    <s v="conventional_turnover_wala_57"/>
    <x v="97"/>
    <n v="1"/>
    <n v="1"/>
    <n v="-12"/>
    <n v="72"/>
  </r>
  <r>
    <x v="28"/>
    <s v="conventional_turnover_wala_58"/>
    <x v="98"/>
    <n v="1"/>
    <n v="1"/>
    <n v="-12"/>
    <n v="72"/>
  </r>
  <r>
    <x v="28"/>
    <s v="conventional_turnover_wala_59"/>
    <x v="99"/>
    <n v="1"/>
    <n v="1"/>
    <n v="-12"/>
    <n v="72"/>
  </r>
  <r>
    <x v="28"/>
    <s v="conventional_turnover_wala_60"/>
    <x v="100"/>
    <n v="1"/>
    <n v="1"/>
    <n v="-12"/>
    <n v="72"/>
  </r>
  <r>
    <x v="28"/>
    <s v="conventional_turnover_wala_61"/>
    <x v="101"/>
    <n v="1"/>
    <n v="1"/>
    <n v="-12"/>
    <n v="72"/>
  </r>
  <r>
    <x v="28"/>
    <s v="conventional_turnover_wala_62"/>
    <x v="102"/>
    <n v="1"/>
    <n v="1"/>
    <n v="-12"/>
    <n v="72"/>
  </r>
  <r>
    <x v="28"/>
    <s v="conventional_turnover_wala_63"/>
    <x v="103"/>
    <n v="1"/>
    <n v="1"/>
    <n v="-12"/>
    <n v="72"/>
  </r>
  <r>
    <x v="28"/>
    <s v="conventional_turnover_wala_64"/>
    <x v="104"/>
    <n v="1"/>
    <n v="1"/>
    <n v="-12"/>
    <n v="72"/>
  </r>
  <r>
    <x v="28"/>
    <s v="conventional_turnover_wala_65"/>
    <x v="105"/>
    <n v="1"/>
    <n v="1"/>
    <n v="-12"/>
    <n v="72"/>
  </r>
  <r>
    <x v="28"/>
    <s v="conventional_turnover_wala_66"/>
    <x v="106"/>
    <n v="1"/>
    <n v="1"/>
    <n v="-12"/>
    <n v="72"/>
  </r>
  <r>
    <x v="28"/>
    <s v="conventional_turnover_wala_67"/>
    <x v="107"/>
    <n v="1"/>
    <n v="1"/>
    <n v="-12"/>
    <n v="72"/>
  </r>
  <r>
    <x v="28"/>
    <s v="conventional_turnover_wala_68"/>
    <x v="108"/>
    <n v="1"/>
    <n v="1"/>
    <n v="-12"/>
    <n v="72"/>
  </r>
  <r>
    <x v="28"/>
    <s v="conventional_turnover_wala_69"/>
    <x v="109"/>
    <n v="1"/>
    <n v="1"/>
    <n v="-12"/>
    <n v="72"/>
  </r>
  <r>
    <x v="28"/>
    <s v="conventional_turnover_wala_70"/>
    <x v="110"/>
    <n v="1"/>
    <n v="1"/>
    <n v="-12"/>
    <n v="72"/>
  </r>
  <r>
    <x v="28"/>
    <s v="conventional_turnover_wala_71"/>
    <x v="111"/>
    <n v="1"/>
    <n v="1"/>
    <n v="-12"/>
    <n v="72"/>
  </r>
  <r>
    <x v="28"/>
    <s v="conventional_turnover_wala_72"/>
    <x v="112"/>
    <n v="1"/>
    <n v="1"/>
    <n v="-12"/>
    <n v="72"/>
  </r>
  <r>
    <x v="29"/>
    <s v="conventional_turnover_incentive_-730"/>
    <x v="1444"/>
    <n v="0.73140000000000005"/>
    <n v="1"/>
    <n v="-730"/>
    <n v="180"/>
  </r>
  <r>
    <x v="29"/>
    <s v="conventional_turnover_incentive_-729"/>
    <x v="1445"/>
    <n v="0.73141999999999996"/>
    <n v="1"/>
    <n v="-730"/>
    <n v="180"/>
  </r>
  <r>
    <x v="29"/>
    <s v="conventional_turnover_incentive_-728"/>
    <x v="1446"/>
    <n v="0.73143999999999998"/>
    <n v="1"/>
    <n v="-730"/>
    <n v="180"/>
  </r>
  <r>
    <x v="29"/>
    <s v="conventional_turnover_incentive_-727"/>
    <x v="1447"/>
    <n v="0.73146"/>
    <n v="1"/>
    <n v="-730"/>
    <n v="180"/>
  </r>
  <r>
    <x v="29"/>
    <s v="conventional_turnover_incentive_-726"/>
    <x v="1448"/>
    <n v="0.73148000000000002"/>
    <n v="1"/>
    <n v="-730"/>
    <n v="180"/>
  </r>
  <r>
    <x v="29"/>
    <s v="conventional_turnover_incentive_-725"/>
    <x v="1449"/>
    <n v="0.73150000000000004"/>
    <n v="1"/>
    <n v="-730"/>
    <n v="180"/>
  </r>
  <r>
    <x v="29"/>
    <s v="conventional_turnover_incentive_-724"/>
    <x v="1450"/>
    <n v="0.73151999999999995"/>
    <n v="1"/>
    <n v="-730"/>
    <n v="180"/>
  </r>
  <r>
    <x v="29"/>
    <s v="conventional_turnover_incentive_-723"/>
    <x v="1451"/>
    <n v="0.73153999999999997"/>
    <n v="1"/>
    <n v="-730"/>
    <n v="180"/>
  </r>
  <r>
    <x v="29"/>
    <s v="conventional_turnover_incentive_-722"/>
    <x v="1452"/>
    <n v="0.73155999999999999"/>
    <n v="1"/>
    <n v="-730"/>
    <n v="180"/>
  </r>
  <r>
    <x v="29"/>
    <s v="conventional_turnover_incentive_-721"/>
    <x v="1453"/>
    <n v="0.73158000000000001"/>
    <n v="1"/>
    <n v="-730"/>
    <n v="180"/>
  </r>
  <r>
    <x v="29"/>
    <s v="conventional_turnover_incentive_-720"/>
    <x v="1454"/>
    <n v="0.73160000000000003"/>
    <n v="1"/>
    <n v="-730"/>
    <n v="180"/>
  </r>
  <r>
    <x v="29"/>
    <s v="conventional_turnover_incentive_-719"/>
    <x v="1455"/>
    <n v="0.73162000000000005"/>
    <n v="1"/>
    <n v="-730"/>
    <n v="180"/>
  </r>
  <r>
    <x v="29"/>
    <s v="conventional_turnover_incentive_-718"/>
    <x v="1456"/>
    <n v="0.73163999999999996"/>
    <n v="1"/>
    <n v="-730"/>
    <n v="180"/>
  </r>
  <r>
    <x v="29"/>
    <s v="conventional_turnover_incentive_-717"/>
    <x v="1457"/>
    <n v="0.73165999999999998"/>
    <n v="1"/>
    <n v="-730"/>
    <n v="180"/>
  </r>
  <r>
    <x v="29"/>
    <s v="conventional_turnover_incentive_-716"/>
    <x v="1458"/>
    <n v="0.73168"/>
    <n v="1"/>
    <n v="-730"/>
    <n v="180"/>
  </r>
  <r>
    <x v="29"/>
    <s v="conventional_turnover_incentive_-715"/>
    <x v="1459"/>
    <n v="0.73170000000000002"/>
    <n v="1"/>
    <n v="-730"/>
    <n v="180"/>
  </r>
  <r>
    <x v="29"/>
    <s v="conventional_turnover_incentive_-714"/>
    <x v="1460"/>
    <n v="0.73172000000000004"/>
    <n v="1"/>
    <n v="-730"/>
    <n v="180"/>
  </r>
  <r>
    <x v="29"/>
    <s v="conventional_turnover_incentive_-713"/>
    <x v="1461"/>
    <n v="0.73173999999999995"/>
    <n v="1"/>
    <n v="-730"/>
    <n v="180"/>
  </r>
  <r>
    <x v="29"/>
    <s v="conventional_turnover_incentive_-712"/>
    <x v="1462"/>
    <n v="0.73175999999999997"/>
    <n v="1"/>
    <n v="-730"/>
    <n v="180"/>
  </r>
  <r>
    <x v="29"/>
    <s v="conventional_turnover_incentive_-711"/>
    <x v="1463"/>
    <n v="0.73177999999999999"/>
    <n v="1"/>
    <n v="-730"/>
    <n v="180"/>
  </r>
  <r>
    <x v="29"/>
    <s v="conventional_turnover_incentive_-710"/>
    <x v="1464"/>
    <n v="0.73180000000000001"/>
    <n v="1"/>
    <n v="-730"/>
    <n v="180"/>
  </r>
  <r>
    <x v="29"/>
    <s v="conventional_turnover_incentive_-709"/>
    <x v="1465"/>
    <n v="0.73182000000000003"/>
    <n v="1"/>
    <n v="-730"/>
    <n v="180"/>
  </r>
  <r>
    <x v="29"/>
    <s v="conventional_turnover_incentive_-708"/>
    <x v="1466"/>
    <n v="0.73184000000000005"/>
    <n v="1"/>
    <n v="-730"/>
    <n v="180"/>
  </r>
  <r>
    <x v="29"/>
    <s v="conventional_turnover_incentive_-707"/>
    <x v="1467"/>
    <n v="0.73185999999999996"/>
    <n v="1"/>
    <n v="-730"/>
    <n v="180"/>
  </r>
  <r>
    <x v="29"/>
    <s v="conventional_turnover_incentive_-706"/>
    <x v="1468"/>
    <n v="0.73187999999999998"/>
    <n v="1"/>
    <n v="-730"/>
    <n v="180"/>
  </r>
  <r>
    <x v="29"/>
    <s v="conventional_turnover_incentive_-705"/>
    <x v="1469"/>
    <n v="0.7319"/>
    <n v="1"/>
    <n v="-730"/>
    <n v="180"/>
  </r>
  <r>
    <x v="29"/>
    <s v="conventional_turnover_incentive_-704"/>
    <x v="1470"/>
    <n v="0.73192000000000002"/>
    <n v="1"/>
    <n v="-730"/>
    <n v="180"/>
  </r>
  <r>
    <x v="29"/>
    <s v="conventional_turnover_incentive_-703"/>
    <x v="1471"/>
    <n v="0.73194000000000004"/>
    <n v="1"/>
    <n v="-730"/>
    <n v="180"/>
  </r>
  <r>
    <x v="29"/>
    <s v="conventional_turnover_incentive_-702"/>
    <x v="1472"/>
    <n v="0.73196000000000006"/>
    <n v="1"/>
    <n v="-730"/>
    <n v="180"/>
  </r>
  <r>
    <x v="29"/>
    <s v="conventional_turnover_incentive_-701"/>
    <x v="1473"/>
    <n v="0.73197999999999996"/>
    <n v="1"/>
    <n v="-730"/>
    <n v="180"/>
  </r>
  <r>
    <x v="29"/>
    <s v="conventional_turnover_incentive_-700"/>
    <x v="1256"/>
    <n v="0.73199999999999998"/>
    <n v="1"/>
    <n v="-730"/>
    <n v="180"/>
  </r>
  <r>
    <x v="29"/>
    <s v="conventional_turnover_incentive_-699"/>
    <x v="1474"/>
    <n v="0.73202"/>
    <n v="1"/>
    <n v="-730"/>
    <n v="180"/>
  </r>
  <r>
    <x v="29"/>
    <s v="conventional_turnover_incentive_-698"/>
    <x v="1475"/>
    <n v="0.73204000000000002"/>
    <n v="1"/>
    <n v="-730"/>
    <n v="180"/>
  </r>
  <r>
    <x v="29"/>
    <s v="conventional_turnover_incentive_-697"/>
    <x v="1476"/>
    <n v="0.73206000000000004"/>
    <n v="1"/>
    <n v="-730"/>
    <n v="180"/>
  </r>
  <r>
    <x v="29"/>
    <s v="conventional_turnover_incentive_-696"/>
    <x v="1477"/>
    <n v="0.73207999999999995"/>
    <n v="1"/>
    <n v="-730"/>
    <n v="180"/>
  </r>
  <r>
    <x v="29"/>
    <s v="conventional_turnover_incentive_-695"/>
    <x v="1478"/>
    <n v="0.73209999999999997"/>
    <n v="1"/>
    <n v="-730"/>
    <n v="180"/>
  </r>
  <r>
    <x v="29"/>
    <s v="conventional_turnover_incentive_-694"/>
    <x v="1479"/>
    <n v="0.73211999999999999"/>
    <n v="1"/>
    <n v="-730"/>
    <n v="180"/>
  </r>
  <r>
    <x v="29"/>
    <s v="conventional_turnover_incentive_-693"/>
    <x v="1480"/>
    <n v="0.73214000000000001"/>
    <n v="1"/>
    <n v="-730"/>
    <n v="180"/>
  </r>
  <r>
    <x v="29"/>
    <s v="conventional_turnover_incentive_-692"/>
    <x v="1481"/>
    <n v="0.73216000000000003"/>
    <n v="1"/>
    <n v="-730"/>
    <n v="180"/>
  </r>
  <r>
    <x v="29"/>
    <s v="conventional_turnover_incentive_-691"/>
    <x v="1482"/>
    <n v="0.73218000000000005"/>
    <n v="1"/>
    <n v="-730"/>
    <n v="180"/>
  </r>
  <r>
    <x v="29"/>
    <s v="conventional_turnover_incentive_-690"/>
    <x v="1483"/>
    <n v="0.73219999999999996"/>
    <n v="1"/>
    <n v="-730"/>
    <n v="180"/>
  </r>
  <r>
    <x v="29"/>
    <s v="conventional_turnover_incentive_-689"/>
    <x v="1484"/>
    <n v="0.73221999999999998"/>
    <n v="1"/>
    <n v="-730"/>
    <n v="180"/>
  </r>
  <r>
    <x v="29"/>
    <s v="conventional_turnover_incentive_-688"/>
    <x v="1485"/>
    <n v="0.73224"/>
    <n v="1"/>
    <n v="-730"/>
    <n v="180"/>
  </r>
  <r>
    <x v="29"/>
    <s v="conventional_turnover_incentive_-687"/>
    <x v="1486"/>
    <n v="0.73226000000000002"/>
    <n v="1"/>
    <n v="-730"/>
    <n v="180"/>
  </r>
  <r>
    <x v="29"/>
    <s v="conventional_turnover_incentive_-686"/>
    <x v="1487"/>
    <n v="0.73228000000000004"/>
    <n v="1"/>
    <n v="-730"/>
    <n v="180"/>
  </r>
  <r>
    <x v="29"/>
    <s v="conventional_turnover_incentive_-685"/>
    <x v="1488"/>
    <n v="0.73229999999999995"/>
    <n v="1"/>
    <n v="-730"/>
    <n v="180"/>
  </r>
  <r>
    <x v="29"/>
    <s v="conventional_turnover_incentive_-684"/>
    <x v="1489"/>
    <n v="0.73231999999999997"/>
    <n v="1"/>
    <n v="-730"/>
    <n v="180"/>
  </r>
  <r>
    <x v="29"/>
    <s v="conventional_turnover_incentive_-683"/>
    <x v="1490"/>
    <n v="0.73233999999999999"/>
    <n v="1"/>
    <n v="-730"/>
    <n v="180"/>
  </r>
  <r>
    <x v="29"/>
    <s v="conventional_turnover_incentive_-682"/>
    <x v="1491"/>
    <n v="0.73236000000000001"/>
    <n v="1"/>
    <n v="-730"/>
    <n v="180"/>
  </r>
  <r>
    <x v="29"/>
    <s v="conventional_turnover_incentive_-681"/>
    <x v="1492"/>
    <n v="0.73238000000000003"/>
    <n v="1"/>
    <n v="-730"/>
    <n v="180"/>
  </r>
  <r>
    <x v="29"/>
    <s v="conventional_turnover_incentive_-680"/>
    <x v="1493"/>
    <n v="0.73240000000000005"/>
    <n v="1"/>
    <n v="-730"/>
    <n v="180"/>
  </r>
  <r>
    <x v="29"/>
    <s v="conventional_turnover_incentive_-679"/>
    <x v="1494"/>
    <n v="0.73241999999999996"/>
    <n v="1"/>
    <n v="-730"/>
    <n v="180"/>
  </r>
  <r>
    <x v="29"/>
    <s v="conventional_turnover_incentive_-678"/>
    <x v="1495"/>
    <n v="0.73243999999999998"/>
    <n v="1"/>
    <n v="-730"/>
    <n v="180"/>
  </r>
  <r>
    <x v="29"/>
    <s v="conventional_turnover_incentive_-677"/>
    <x v="1496"/>
    <n v="0.73246"/>
    <n v="1"/>
    <n v="-730"/>
    <n v="180"/>
  </r>
  <r>
    <x v="29"/>
    <s v="conventional_turnover_incentive_-676"/>
    <x v="1497"/>
    <n v="0.73248000000000002"/>
    <n v="1"/>
    <n v="-730"/>
    <n v="180"/>
  </r>
  <r>
    <x v="29"/>
    <s v="conventional_turnover_incentive_-675"/>
    <x v="1498"/>
    <n v="0.73250000000000004"/>
    <n v="1"/>
    <n v="-730"/>
    <n v="180"/>
  </r>
  <r>
    <x v="29"/>
    <s v="conventional_turnover_incentive_-674"/>
    <x v="1499"/>
    <n v="0.73251999999999995"/>
    <n v="1"/>
    <n v="-730"/>
    <n v="180"/>
  </r>
  <r>
    <x v="29"/>
    <s v="conventional_turnover_incentive_-673"/>
    <x v="1500"/>
    <n v="0.73253999999999997"/>
    <n v="1"/>
    <n v="-730"/>
    <n v="180"/>
  </r>
  <r>
    <x v="29"/>
    <s v="conventional_turnover_incentive_-672"/>
    <x v="1501"/>
    <n v="0.73255999999999999"/>
    <n v="1"/>
    <n v="-730"/>
    <n v="180"/>
  </r>
  <r>
    <x v="29"/>
    <s v="conventional_turnover_incentive_-671"/>
    <x v="1502"/>
    <n v="0.73258000000000001"/>
    <n v="1"/>
    <n v="-730"/>
    <n v="180"/>
  </r>
  <r>
    <x v="29"/>
    <s v="conventional_turnover_incentive_-670"/>
    <x v="1503"/>
    <n v="0.73260000000000003"/>
    <n v="1"/>
    <n v="-730"/>
    <n v="180"/>
  </r>
  <r>
    <x v="29"/>
    <s v="conventional_turnover_incentive_-669"/>
    <x v="1504"/>
    <n v="0.73262000000000005"/>
    <n v="1"/>
    <n v="-730"/>
    <n v="180"/>
  </r>
  <r>
    <x v="29"/>
    <s v="conventional_turnover_incentive_-668"/>
    <x v="1505"/>
    <n v="0.73263999999999996"/>
    <n v="1"/>
    <n v="-730"/>
    <n v="180"/>
  </r>
  <r>
    <x v="29"/>
    <s v="conventional_turnover_incentive_-667"/>
    <x v="1506"/>
    <n v="0.73265999999999998"/>
    <n v="1"/>
    <n v="-730"/>
    <n v="180"/>
  </r>
  <r>
    <x v="29"/>
    <s v="conventional_turnover_incentive_-666"/>
    <x v="1507"/>
    <n v="0.73268"/>
    <n v="1"/>
    <n v="-730"/>
    <n v="180"/>
  </r>
  <r>
    <x v="29"/>
    <s v="conventional_turnover_incentive_-665"/>
    <x v="1508"/>
    <n v="0.73270000000000002"/>
    <n v="1"/>
    <n v="-730"/>
    <n v="180"/>
  </r>
  <r>
    <x v="29"/>
    <s v="conventional_turnover_incentive_-664"/>
    <x v="1509"/>
    <n v="0.73272000000000004"/>
    <n v="1"/>
    <n v="-730"/>
    <n v="180"/>
  </r>
  <r>
    <x v="29"/>
    <s v="conventional_turnover_incentive_-663"/>
    <x v="1510"/>
    <n v="0.73273999999999995"/>
    <n v="1"/>
    <n v="-730"/>
    <n v="180"/>
  </r>
  <r>
    <x v="29"/>
    <s v="conventional_turnover_incentive_-662"/>
    <x v="1511"/>
    <n v="0.73275999999999997"/>
    <n v="1"/>
    <n v="-730"/>
    <n v="180"/>
  </r>
  <r>
    <x v="29"/>
    <s v="conventional_turnover_incentive_-661"/>
    <x v="1512"/>
    <n v="0.73277999999999999"/>
    <n v="1"/>
    <n v="-730"/>
    <n v="180"/>
  </r>
  <r>
    <x v="29"/>
    <s v="conventional_turnover_incentive_-660"/>
    <x v="1513"/>
    <n v="0.73280000000000001"/>
    <n v="1"/>
    <n v="-730"/>
    <n v="180"/>
  </r>
  <r>
    <x v="29"/>
    <s v="conventional_turnover_incentive_-659"/>
    <x v="1514"/>
    <n v="0.73282000000000003"/>
    <n v="1"/>
    <n v="-730"/>
    <n v="180"/>
  </r>
  <r>
    <x v="29"/>
    <s v="conventional_turnover_incentive_-658"/>
    <x v="1515"/>
    <n v="0.73284000000000005"/>
    <n v="1"/>
    <n v="-730"/>
    <n v="180"/>
  </r>
  <r>
    <x v="29"/>
    <s v="conventional_turnover_incentive_-657"/>
    <x v="1516"/>
    <n v="0.73285999999999996"/>
    <n v="1"/>
    <n v="-730"/>
    <n v="180"/>
  </r>
  <r>
    <x v="29"/>
    <s v="conventional_turnover_incentive_-656"/>
    <x v="1517"/>
    <n v="0.73287999999999998"/>
    <n v="1"/>
    <n v="-730"/>
    <n v="180"/>
  </r>
  <r>
    <x v="29"/>
    <s v="conventional_turnover_incentive_-655"/>
    <x v="1518"/>
    <n v="0.7329"/>
    <n v="1"/>
    <n v="-730"/>
    <n v="180"/>
  </r>
  <r>
    <x v="29"/>
    <s v="conventional_turnover_incentive_-654"/>
    <x v="1519"/>
    <n v="0.73292000000000002"/>
    <n v="1"/>
    <n v="-730"/>
    <n v="180"/>
  </r>
  <r>
    <x v="29"/>
    <s v="conventional_turnover_incentive_-653"/>
    <x v="1520"/>
    <n v="0.73294000000000004"/>
    <n v="1"/>
    <n v="-730"/>
    <n v="180"/>
  </r>
  <r>
    <x v="29"/>
    <s v="conventional_turnover_incentive_-652"/>
    <x v="1521"/>
    <n v="0.73295999999999994"/>
    <n v="1"/>
    <n v="-730"/>
    <n v="180"/>
  </r>
  <r>
    <x v="29"/>
    <s v="conventional_turnover_incentive_-651"/>
    <x v="1522"/>
    <n v="0.73297999999999996"/>
    <n v="1"/>
    <n v="-730"/>
    <n v="180"/>
  </r>
  <r>
    <x v="29"/>
    <s v="conventional_turnover_incentive_-650"/>
    <x v="1523"/>
    <n v="0.73299999999999998"/>
    <n v="1"/>
    <n v="-730"/>
    <n v="180"/>
  </r>
  <r>
    <x v="29"/>
    <s v="conventional_turnover_incentive_-649"/>
    <x v="1524"/>
    <n v="0.73302"/>
    <n v="1"/>
    <n v="-730"/>
    <n v="180"/>
  </r>
  <r>
    <x v="29"/>
    <s v="conventional_turnover_incentive_-648"/>
    <x v="1525"/>
    <n v="0.73304000000000002"/>
    <n v="1"/>
    <n v="-730"/>
    <n v="180"/>
  </r>
  <r>
    <x v="29"/>
    <s v="conventional_turnover_incentive_-647"/>
    <x v="1526"/>
    <n v="0.73306000000000004"/>
    <n v="1"/>
    <n v="-730"/>
    <n v="180"/>
  </r>
  <r>
    <x v="29"/>
    <s v="conventional_turnover_incentive_-646"/>
    <x v="1527"/>
    <n v="0.73307999999999995"/>
    <n v="1"/>
    <n v="-730"/>
    <n v="180"/>
  </r>
  <r>
    <x v="29"/>
    <s v="conventional_turnover_incentive_-645"/>
    <x v="1528"/>
    <n v="0.73309999999999997"/>
    <n v="1"/>
    <n v="-730"/>
    <n v="180"/>
  </r>
  <r>
    <x v="29"/>
    <s v="conventional_turnover_incentive_-644"/>
    <x v="1529"/>
    <n v="0.73311999999999999"/>
    <n v="1"/>
    <n v="-730"/>
    <n v="180"/>
  </r>
  <r>
    <x v="29"/>
    <s v="conventional_turnover_incentive_-643"/>
    <x v="1530"/>
    <n v="0.73314000000000001"/>
    <n v="1"/>
    <n v="-730"/>
    <n v="180"/>
  </r>
  <r>
    <x v="29"/>
    <s v="conventional_turnover_incentive_-642"/>
    <x v="1531"/>
    <n v="0.73316000000000003"/>
    <n v="1"/>
    <n v="-730"/>
    <n v="180"/>
  </r>
  <r>
    <x v="29"/>
    <s v="conventional_turnover_incentive_-641"/>
    <x v="1532"/>
    <n v="0.73318000000000005"/>
    <n v="1"/>
    <n v="-730"/>
    <n v="180"/>
  </r>
  <r>
    <x v="29"/>
    <s v="conventional_turnover_incentive_-640"/>
    <x v="1533"/>
    <n v="0.73319999999999996"/>
    <n v="1"/>
    <n v="-730"/>
    <n v="180"/>
  </r>
  <r>
    <x v="29"/>
    <s v="conventional_turnover_incentive_-639"/>
    <x v="1534"/>
    <n v="0.73321999999999998"/>
    <n v="1"/>
    <n v="-730"/>
    <n v="180"/>
  </r>
  <r>
    <x v="29"/>
    <s v="conventional_turnover_incentive_-638"/>
    <x v="1535"/>
    <n v="0.73324"/>
    <n v="1"/>
    <n v="-730"/>
    <n v="180"/>
  </r>
  <r>
    <x v="29"/>
    <s v="conventional_turnover_incentive_-637"/>
    <x v="1536"/>
    <n v="0.73326000000000002"/>
    <n v="1"/>
    <n v="-730"/>
    <n v="180"/>
  </r>
  <r>
    <x v="29"/>
    <s v="conventional_turnover_incentive_-636"/>
    <x v="1537"/>
    <n v="0.73328000000000004"/>
    <n v="1"/>
    <n v="-730"/>
    <n v="180"/>
  </r>
  <r>
    <x v="29"/>
    <s v="conventional_turnover_incentive_-635"/>
    <x v="1538"/>
    <n v="0.73329999999999995"/>
    <n v="1"/>
    <n v="-730"/>
    <n v="180"/>
  </r>
  <r>
    <x v="29"/>
    <s v="conventional_turnover_incentive_-634"/>
    <x v="1539"/>
    <n v="0.73331999999999997"/>
    <n v="1"/>
    <n v="-730"/>
    <n v="180"/>
  </r>
  <r>
    <x v="29"/>
    <s v="conventional_turnover_incentive_-633"/>
    <x v="1540"/>
    <n v="0.73333999999999999"/>
    <n v="1"/>
    <n v="-730"/>
    <n v="180"/>
  </r>
  <r>
    <x v="29"/>
    <s v="conventional_turnover_incentive_-632"/>
    <x v="1541"/>
    <n v="0.73336000000000001"/>
    <n v="1"/>
    <n v="-730"/>
    <n v="180"/>
  </r>
  <r>
    <x v="29"/>
    <s v="conventional_turnover_incentive_-631"/>
    <x v="1542"/>
    <n v="0.73338000000000003"/>
    <n v="1"/>
    <n v="-730"/>
    <n v="180"/>
  </r>
  <r>
    <x v="29"/>
    <s v="conventional_turnover_incentive_-630"/>
    <x v="1543"/>
    <n v="0.73340000000000005"/>
    <n v="1"/>
    <n v="-730"/>
    <n v="180"/>
  </r>
  <r>
    <x v="29"/>
    <s v="conventional_turnover_incentive_-629"/>
    <x v="1544"/>
    <n v="0.73341999999999996"/>
    <n v="1"/>
    <n v="-730"/>
    <n v="180"/>
  </r>
  <r>
    <x v="29"/>
    <s v="conventional_turnover_incentive_-628"/>
    <x v="1545"/>
    <n v="0.73343999999999998"/>
    <n v="1"/>
    <n v="-730"/>
    <n v="180"/>
  </r>
  <r>
    <x v="29"/>
    <s v="conventional_turnover_incentive_-627"/>
    <x v="1546"/>
    <n v="0.73346"/>
    <n v="1"/>
    <n v="-730"/>
    <n v="180"/>
  </r>
  <r>
    <x v="29"/>
    <s v="conventional_turnover_incentive_-626"/>
    <x v="1547"/>
    <n v="0.73348000000000002"/>
    <n v="1"/>
    <n v="-730"/>
    <n v="180"/>
  </r>
  <r>
    <x v="29"/>
    <s v="conventional_turnover_incentive_-625"/>
    <x v="1548"/>
    <n v="0.73350000000000004"/>
    <n v="1"/>
    <n v="-730"/>
    <n v="180"/>
  </r>
  <r>
    <x v="29"/>
    <s v="conventional_turnover_incentive_-624"/>
    <x v="1549"/>
    <n v="0.73351999999999995"/>
    <n v="1"/>
    <n v="-730"/>
    <n v="180"/>
  </r>
  <r>
    <x v="29"/>
    <s v="conventional_turnover_incentive_-623"/>
    <x v="1550"/>
    <n v="0.73353999999999997"/>
    <n v="1"/>
    <n v="-730"/>
    <n v="180"/>
  </r>
  <r>
    <x v="29"/>
    <s v="conventional_turnover_incentive_-622"/>
    <x v="1551"/>
    <n v="0.73355999999999999"/>
    <n v="1"/>
    <n v="-730"/>
    <n v="180"/>
  </r>
  <r>
    <x v="29"/>
    <s v="conventional_turnover_incentive_-621"/>
    <x v="1552"/>
    <n v="0.73358000000000001"/>
    <n v="1"/>
    <n v="-730"/>
    <n v="180"/>
  </r>
  <r>
    <x v="29"/>
    <s v="conventional_turnover_incentive_-620"/>
    <x v="1553"/>
    <n v="0.73360000000000003"/>
    <n v="1"/>
    <n v="-730"/>
    <n v="180"/>
  </r>
  <r>
    <x v="29"/>
    <s v="conventional_turnover_incentive_-619"/>
    <x v="1554"/>
    <n v="0.73362000000000005"/>
    <n v="1"/>
    <n v="-730"/>
    <n v="180"/>
  </r>
  <r>
    <x v="29"/>
    <s v="conventional_turnover_incentive_-618"/>
    <x v="1555"/>
    <n v="0.73363999999999996"/>
    <n v="1"/>
    <n v="-730"/>
    <n v="180"/>
  </r>
  <r>
    <x v="29"/>
    <s v="conventional_turnover_incentive_-617"/>
    <x v="1556"/>
    <n v="0.73365999999999998"/>
    <n v="1"/>
    <n v="-730"/>
    <n v="180"/>
  </r>
  <r>
    <x v="29"/>
    <s v="conventional_turnover_incentive_-616"/>
    <x v="1557"/>
    <n v="0.73368"/>
    <n v="1"/>
    <n v="-730"/>
    <n v="180"/>
  </r>
  <r>
    <x v="29"/>
    <s v="conventional_turnover_incentive_-615"/>
    <x v="1558"/>
    <n v="0.73370000000000002"/>
    <n v="1"/>
    <n v="-730"/>
    <n v="180"/>
  </r>
  <r>
    <x v="29"/>
    <s v="conventional_turnover_incentive_-614"/>
    <x v="1559"/>
    <n v="0.73372000000000004"/>
    <n v="1"/>
    <n v="-730"/>
    <n v="180"/>
  </r>
  <r>
    <x v="29"/>
    <s v="conventional_turnover_incentive_-613"/>
    <x v="1560"/>
    <n v="0.73373999999999995"/>
    <n v="1"/>
    <n v="-730"/>
    <n v="180"/>
  </r>
  <r>
    <x v="29"/>
    <s v="conventional_turnover_incentive_-612"/>
    <x v="1561"/>
    <n v="0.73375999999999997"/>
    <n v="1"/>
    <n v="-730"/>
    <n v="180"/>
  </r>
  <r>
    <x v="29"/>
    <s v="conventional_turnover_incentive_-611"/>
    <x v="1562"/>
    <n v="0.73377999999999999"/>
    <n v="1"/>
    <n v="-730"/>
    <n v="180"/>
  </r>
  <r>
    <x v="29"/>
    <s v="conventional_turnover_incentive_-610"/>
    <x v="1563"/>
    <n v="0.73380000000000001"/>
    <n v="1"/>
    <n v="-730"/>
    <n v="180"/>
  </r>
  <r>
    <x v="29"/>
    <s v="conventional_turnover_incentive_-609"/>
    <x v="1564"/>
    <n v="0.73382000000000003"/>
    <n v="1"/>
    <n v="-730"/>
    <n v="180"/>
  </r>
  <r>
    <x v="29"/>
    <s v="conventional_turnover_incentive_-608"/>
    <x v="1565"/>
    <n v="0.73384000000000005"/>
    <n v="1"/>
    <n v="-730"/>
    <n v="180"/>
  </r>
  <r>
    <x v="29"/>
    <s v="conventional_turnover_incentive_-607"/>
    <x v="1566"/>
    <n v="0.73385999999999996"/>
    <n v="1"/>
    <n v="-730"/>
    <n v="180"/>
  </r>
  <r>
    <x v="29"/>
    <s v="conventional_turnover_incentive_-606"/>
    <x v="1567"/>
    <n v="0.73387999999999998"/>
    <n v="1"/>
    <n v="-730"/>
    <n v="180"/>
  </r>
  <r>
    <x v="29"/>
    <s v="conventional_turnover_incentive_-605"/>
    <x v="1568"/>
    <n v="0.7339"/>
    <n v="1"/>
    <n v="-730"/>
    <n v="180"/>
  </r>
  <r>
    <x v="29"/>
    <s v="conventional_turnover_incentive_-604"/>
    <x v="1569"/>
    <n v="0.73392000000000002"/>
    <n v="1"/>
    <n v="-730"/>
    <n v="180"/>
  </r>
  <r>
    <x v="29"/>
    <s v="conventional_turnover_incentive_-603"/>
    <x v="1570"/>
    <n v="0.73394000000000004"/>
    <n v="1"/>
    <n v="-730"/>
    <n v="180"/>
  </r>
  <r>
    <x v="29"/>
    <s v="conventional_turnover_incentive_-602"/>
    <x v="1571"/>
    <n v="0.73395999999999995"/>
    <n v="1"/>
    <n v="-730"/>
    <n v="180"/>
  </r>
  <r>
    <x v="29"/>
    <s v="conventional_turnover_incentive_-601"/>
    <x v="1572"/>
    <n v="0.73397999999999997"/>
    <n v="1"/>
    <n v="-730"/>
    <n v="180"/>
  </r>
  <r>
    <x v="29"/>
    <s v="conventional_turnover_incentive_-600"/>
    <x v="1257"/>
    <n v="0.73399999999999999"/>
    <n v="1"/>
    <n v="-730"/>
    <n v="180"/>
  </r>
  <r>
    <x v="29"/>
    <s v="conventional_turnover_incentive_-599"/>
    <x v="1573"/>
    <n v="0.73401990100000003"/>
    <n v="1"/>
    <n v="-730"/>
    <n v="180"/>
  </r>
  <r>
    <x v="29"/>
    <s v="conventional_turnover_incentive_-598"/>
    <x v="1574"/>
    <n v="0.73403960800000001"/>
    <n v="1"/>
    <n v="-730"/>
    <n v="180"/>
  </r>
  <r>
    <x v="29"/>
    <s v="conventional_turnover_incentive_-597"/>
    <x v="1575"/>
    <n v="0.73405912699999998"/>
    <n v="1"/>
    <n v="-730"/>
    <n v="180"/>
  </r>
  <r>
    <x v="29"/>
    <s v="conventional_turnover_incentive_-596"/>
    <x v="1576"/>
    <n v="0.73407846399999999"/>
    <n v="1"/>
    <n v="-730"/>
    <n v="180"/>
  </r>
  <r>
    <x v="29"/>
    <s v="conventional_turnover_incentive_-595"/>
    <x v="1577"/>
    <n v="0.73409762499999998"/>
    <n v="1"/>
    <n v="-730"/>
    <n v="180"/>
  </r>
  <r>
    <x v="29"/>
    <s v="conventional_turnover_incentive_-594"/>
    <x v="1578"/>
    <n v="0.734116616"/>
    <n v="1"/>
    <n v="-730"/>
    <n v="180"/>
  </r>
  <r>
    <x v="29"/>
    <s v="conventional_turnover_incentive_-593"/>
    <x v="1579"/>
    <n v="0.734135443"/>
    <n v="1"/>
    <n v="-730"/>
    <n v="180"/>
  </r>
  <r>
    <x v="29"/>
    <s v="conventional_turnover_incentive_-592"/>
    <x v="1580"/>
    <n v="0.73415411200000003"/>
    <n v="1"/>
    <n v="-730"/>
    <n v="180"/>
  </r>
  <r>
    <x v="29"/>
    <s v="conventional_turnover_incentive_-591"/>
    <x v="1581"/>
    <n v="0.73417262900000002"/>
    <n v="1"/>
    <n v="-730"/>
    <n v="180"/>
  </r>
  <r>
    <x v="29"/>
    <s v="conventional_turnover_incentive_-590"/>
    <x v="1582"/>
    <n v="0.73419100000000004"/>
    <n v="1"/>
    <n v="-730"/>
    <n v="180"/>
  </r>
  <r>
    <x v="29"/>
    <s v="conventional_turnover_incentive_-589"/>
    <x v="1583"/>
    <n v="0.73420923100000002"/>
    <n v="1"/>
    <n v="-730"/>
    <n v="180"/>
  </r>
  <r>
    <x v="29"/>
    <s v="conventional_turnover_incentive_-588"/>
    <x v="1584"/>
    <n v="0.73422732800000001"/>
    <n v="1"/>
    <n v="-730"/>
    <n v="180"/>
  </r>
  <r>
    <x v="29"/>
    <s v="conventional_turnover_incentive_-587"/>
    <x v="1585"/>
    <n v="0.73424529699999996"/>
    <n v="1"/>
    <n v="-730"/>
    <n v="180"/>
  </r>
  <r>
    <x v="29"/>
    <s v="conventional_turnover_incentive_-586"/>
    <x v="1586"/>
    <n v="0.73426314400000003"/>
    <n v="1"/>
    <n v="-730"/>
    <n v="180"/>
  </r>
  <r>
    <x v="29"/>
    <s v="conventional_turnover_incentive_-585"/>
    <x v="1587"/>
    <n v="0.73428087500000006"/>
    <n v="1"/>
    <n v="-730"/>
    <n v="180"/>
  </r>
  <r>
    <x v="29"/>
    <s v="conventional_turnover_incentive_-584"/>
    <x v="1588"/>
    <n v="0.73429849599999997"/>
    <n v="1"/>
    <n v="-730"/>
    <n v="180"/>
  </r>
  <r>
    <x v="29"/>
    <s v="conventional_turnover_incentive_-583"/>
    <x v="1589"/>
    <n v="0.73431601300000005"/>
    <n v="1"/>
    <n v="-730"/>
    <n v="180"/>
  </r>
  <r>
    <x v="29"/>
    <s v="conventional_turnover_incentive_-582"/>
    <x v="1590"/>
    <n v="0.73433343200000001"/>
    <n v="1"/>
    <n v="-730"/>
    <n v="180"/>
  </r>
  <r>
    <x v="29"/>
    <s v="conventional_turnover_incentive_-581"/>
    <x v="1591"/>
    <n v="0.73435075900000002"/>
    <n v="1"/>
    <n v="-730"/>
    <n v="180"/>
  </r>
  <r>
    <x v="29"/>
    <s v="conventional_turnover_incentive_-580"/>
    <x v="1592"/>
    <n v="0.73436800000000002"/>
    <n v="1"/>
    <n v="-730"/>
    <n v="180"/>
  </r>
  <r>
    <x v="29"/>
    <s v="conventional_turnover_incentive_-579"/>
    <x v="1593"/>
    <n v="0.73438516099999995"/>
    <n v="1"/>
    <n v="-730"/>
    <n v="180"/>
  </r>
  <r>
    <x v="29"/>
    <s v="conventional_turnover_incentive_-578"/>
    <x v="1594"/>
    <n v="0.73440224799999998"/>
    <n v="1"/>
    <n v="-730"/>
    <n v="180"/>
  </r>
  <r>
    <x v="29"/>
    <s v="conventional_turnover_incentive_-577"/>
    <x v="1595"/>
    <n v="0.73441926700000004"/>
    <n v="1"/>
    <n v="-730"/>
    <n v="180"/>
  </r>
  <r>
    <x v="29"/>
    <s v="conventional_turnover_incentive_-576"/>
    <x v="1596"/>
    <n v="0.73443622399999997"/>
    <n v="1"/>
    <n v="-730"/>
    <n v="180"/>
  </r>
  <r>
    <x v="29"/>
    <s v="conventional_turnover_incentive_-575"/>
    <x v="1597"/>
    <n v="0.73445312500000004"/>
    <n v="1"/>
    <n v="-730"/>
    <n v="180"/>
  </r>
  <r>
    <x v="29"/>
    <s v="conventional_turnover_incentive_-574"/>
    <x v="1598"/>
    <n v="0.73446997599999997"/>
    <n v="1"/>
    <n v="-730"/>
    <n v="180"/>
  </r>
  <r>
    <x v="29"/>
    <s v="conventional_turnover_incentive_-573"/>
    <x v="1599"/>
    <n v="0.73448678300000003"/>
    <n v="1"/>
    <n v="-730"/>
    <n v="180"/>
  </r>
  <r>
    <x v="29"/>
    <s v="conventional_turnover_incentive_-572"/>
    <x v="1600"/>
    <n v="0.73450355199999995"/>
    <n v="1"/>
    <n v="-730"/>
    <n v="180"/>
  </r>
  <r>
    <x v="29"/>
    <s v="conventional_turnover_incentive_-571"/>
    <x v="1601"/>
    <n v="0.73452028899999999"/>
    <n v="1"/>
    <n v="-730"/>
    <n v="180"/>
  </r>
  <r>
    <x v="29"/>
    <s v="conventional_turnover_incentive_-570"/>
    <x v="1602"/>
    <n v="0.734537"/>
    <n v="1"/>
    <n v="-730"/>
    <n v="180"/>
  </r>
  <r>
    <x v="29"/>
    <s v="conventional_turnover_incentive_-569"/>
    <x v="1603"/>
    <n v="0.73455369100000001"/>
    <n v="1"/>
    <n v="-730"/>
    <n v="180"/>
  </r>
  <r>
    <x v="29"/>
    <s v="conventional_turnover_incentive_-568"/>
    <x v="1604"/>
    <n v="0.73457036799999997"/>
    <n v="1"/>
    <n v="-730"/>
    <n v="180"/>
  </r>
  <r>
    <x v="29"/>
    <s v="conventional_turnover_incentive_-567"/>
    <x v="1605"/>
    <n v="0.73458703700000005"/>
    <n v="1"/>
    <n v="-730"/>
    <n v="180"/>
  </r>
  <r>
    <x v="29"/>
    <s v="conventional_turnover_incentive_-566"/>
    <x v="1606"/>
    <n v="0.73460370399999997"/>
    <n v="1"/>
    <n v="-730"/>
    <n v="180"/>
  </r>
  <r>
    <x v="29"/>
    <s v="conventional_turnover_incentive_-565"/>
    <x v="1607"/>
    <n v="0.73462037499999999"/>
    <n v="1"/>
    <n v="-730"/>
    <n v="180"/>
  </r>
  <r>
    <x v="29"/>
    <s v="conventional_turnover_incentive_-564"/>
    <x v="1608"/>
    <n v="0.73463705599999995"/>
    <n v="1"/>
    <n v="-730"/>
    <n v="180"/>
  </r>
  <r>
    <x v="29"/>
    <s v="conventional_turnover_incentive_-563"/>
    <x v="1609"/>
    <n v="0.73465375300000002"/>
    <n v="1"/>
    <n v="-730"/>
    <n v="180"/>
  </r>
  <r>
    <x v="29"/>
    <s v="conventional_turnover_incentive_-562"/>
    <x v="1610"/>
    <n v="0.73467047200000002"/>
    <n v="1"/>
    <n v="-730"/>
    <n v="180"/>
  </r>
  <r>
    <x v="29"/>
    <s v="conventional_turnover_incentive_-561"/>
    <x v="1611"/>
    <n v="0.734687219"/>
    <n v="1"/>
    <n v="-730"/>
    <n v="180"/>
  </r>
  <r>
    <x v="29"/>
    <s v="conventional_turnover_incentive_-560"/>
    <x v="1612"/>
    <n v="0.73470400000000002"/>
    <n v="1"/>
    <n v="-730"/>
    <n v="180"/>
  </r>
  <r>
    <x v="29"/>
    <s v="conventional_turnover_incentive_-559"/>
    <x v="1613"/>
    <n v="0.73472082100000002"/>
    <n v="1"/>
    <n v="-730"/>
    <n v="180"/>
  </r>
  <r>
    <x v="29"/>
    <s v="conventional_turnover_incentive_-558"/>
    <x v="1614"/>
    <n v="0.73473768800000006"/>
    <n v="1"/>
    <n v="-730"/>
    <n v="180"/>
  </r>
  <r>
    <x v="29"/>
    <s v="conventional_turnover_incentive_-557"/>
    <x v="1615"/>
    <n v="0.73475460699999995"/>
    <n v="1"/>
    <n v="-730"/>
    <n v="180"/>
  </r>
  <r>
    <x v="29"/>
    <s v="conventional_turnover_incentive_-556"/>
    <x v="1616"/>
    <n v="0.73477158399999998"/>
    <n v="1"/>
    <n v="-730"/>
    <n v="180"/>
  </r>
  <r>
    <x v="29"/>
    <s v="conventional_turnover_incentive_-555"/>
    <x v="1617"/>
    <n v="0.73478862499999997"/>
    <n v="1"/>
    <n v="-730"/>
    <n v="180"/>
  </r>
  <r>
    <x v="29"/>
    <s v="conventional_turnover_incentive_-554"/>
    <x v="1618"/>
    <n v="0.73480573599999999"/>
    <n v="1"/>
    <n v="-730"/>
    <n v="180"/>
  </r>
  <r>
    <x v="29"/>
    <s v="conventional_turnover_incentive_-553"/>
    <x v="1619"/>
    <n v="0.73482292299999996"/>
    <n v="1"/>
    <n v="-730"/>
    <n v="180"/>
  </r>
  <r>
    <x v="29"/>
    <s v="conventional_turnover_incentive_-552"/>
    <x v="1620"/>
    <n v="0.73484019199999995"/>
    <n v="1"/>
    <n v="-730"/>
    <n v="180"/>
  </r>
  <r>
    <x v="29"/>
    <s v="conventional_turnover_incentive_-551"/>
    <x v="1621"/>
    <n v="0.734857549"/>
    <n v="1"/>
    <n v="-730"/>
    <n v="180"/>
  </r>
  <r>
    <x v="29"/>
    <s v="conventional_turnover_incentive_-550"/>
    <x v="1622"/>
    <n v="0.73487499999999994"/>
    <n v="1"/>
    <n v="-730"/>
    <n v="180"/>
  </r>
  <r>
    <x v="29"/>
    <s v="conventional_turnover_incentive_-549"/>
    <x v="1623"/>
    <n v="0.73489255099999995"/>
    <n v="1"/>
    <n v="-730"/>
    <n v="180"/>
  </r>
  <r>
    <x v="29"/>
    <s v="conventional_turnover_incentive_-548"/>
    <x v="1624"/>
    <n v="0.73491020799999995"/>
    <n v="1"/>
    <n v="-730"/>
    <n v="180"/>
  </r>
  <r>
    <x v="29"/>
    <s v="conventional_turnover_incentive_-547"/>
    <x v="1625"/>
    <n v="0.73492797700000001"/>
    <n v="1"/>
    <n v="-730"/>
    <n v="180"/>
  </r>
  <r>
    <x v="29"/>
    <s v="conventional_turnover_incentive_-546"/>
    <x v="1626"/>
    <n v="0.73494586399999995"/>
    <n v="1"/>
    <n v="-730"/>
    <n v="180"/>
  </r>
  <r>
    <x v="29"/>
    <s v="conventional_turnover_incentive_-545"/>
    <x v="1627"/>
    <n v="0.73496387500000004"/>
    <n v="1"/>
    <n v="-730"/>
    <n v="180"/>
  </r>
  <r>
    <x v="29"/>
    <s v="conventional_turnover_incentive_-544"/>
    <x v="1628"/>
    <n v="0.73498201600000002"/>
    <n v="1"/>
    <n v="-730"/>
    <n v="180"/>
  </r>
  <r>
    <x v="29"/>
    <s v="conventional_turnover_incentive_-543"/>
    <x v="1629"/>
    <n v="0.73500029300000003"/>
    <n v="1"/>
    <n v="-730"/>
    <n v="180"/>
  </r>
  <r>
    <x v="29"/>
    <s v="conventional_turnover_incentive_-542"/>
    <x v="1630"/>
    <n v="0.73501871200000002"/>
    <n v="1"/>
    <n v="-730"/>
    <n v="180"/>
  </r>
  <r>
    <x v="29"/>
    <s v="conventional_turnover_incentive_-541"/>
    <x v="1631"/>
    <n v="0.73503727900000004"/>
    <n v="1"/>
    <n v="-730"/>
    <n v="180"/>
  </r>
  <r>
    <x v="29"/>
    <s v="conventional_turnover_incentive_-540"/>
    <x v="1632"/>
    <n v="0.73505600000000004"/>
    <n v="1"/>
    <n v="-730"/>
    <n v="180"/>
  </r>
  <r>
    <x v="29"/>
    <s v="conventional_turnover_incentive_-539"/>
    <x v="1633"/>
    <n v="0.73507488099999996"/>
    <n v="1"/>
    <n v="-730"/>
    <n v="180"/>
  </r>
  <r>
    <x v="29"/>
    <s v="conventional_turnover_incentive_-538"/>
    <x v="1634"/>
    <n v="0.73509392799999995"/>
    <n v="1"/>
    <n v="-730"/>
    <n v="180"/>
  </r>
  <r>
    <x v="29"/>
    <s v="conventional_turnover_incentive_-537"/>
    <x v="1635"/>
    <n v="0.73511314699999997"/>
    <n v="1"/>
    <n v="-730"/>
    <n v="180"/>
  </r>
  <r>
    <x v="29"/>
    <s v="conventional_turnover_incentive_-536"/>
    <x v="1636"/>
    <n v="0.73513254400000005"/>
    <n v="1"/>
    <n v="-730"/>
    <n v="180"/>
  </r>
  <r>
    <x v="29"/>
    <s v="conventional_turnover_incentive_-535"/>
    <x v="1637"/>
    <n v="0.73515212500000005"/>
    <n v="1"/>
    <n v="-730"/>
    <n v="180"/>
  </r>
  <r>
    <x v="29"/>
    <s v="conventional_turnover_incentive_-534"/>
    <x v="1638"/>
    <n v="0.73517189599999999"/>
    <n v="1"/>
    <n v="-730"/>
    <n v="180"/>
  </r>
  <r>
    <x v="29"/>
    <s v="conventional_turnover_incentive_-533"/>
    <x v="1639"/>
    <n v="0.73519186299999995"/>
    <n v="1"/>
    <n v="-730"/>
    <n v="180"/>
  </r>
  <r>
    <x v="29"/>
    <s v="conventional_turnover_incentive_-532"/>
    <x v="1640"/>
    <n v="0.73521203199999996"/>
    <n v="1"/>
    <n v="-730"/>
    <n v="180"/>
  </r>
  <r>
    <x v="29"/>
    <s v="conventional_turnover_incentive_-531"/>
    <x v="1641"/>
    <n v="0.73523240899999998"/>
    <n v="1"/>
    <n v="-730"/>
    <n v="180"/>
  </r>
  <r>
    <x v="29"/>
    <s v="conventional_turnover_incentive_-530"/>
    <x v="1642"/>
    <n v="0.73525300000000005"/>
    <n v="1"/>
    <n v="-730"/>
    <n v="180"/>
  </r>
  <r>
    <x v="29"/>
    <s v="conventional_turnover_incentive_-529"/>
    <x v="1643"/>
    <n v="0.735273811"/>
    <n v="1"/>
    <n v="-730"/>
    <n v="180"/>
  </r>
  <r>
    <x v="29"/>
    <s v="conventional_turnover_incentive_-528"/>
    <x v="1644"/>
    <n v="0.735294848"/>
    <n v="1"/>
    <n v="-730"/>
    <n v="180"/>
  </r>
  <r>
    <x v="29"/>
    <s v="conventional_turnover_incentive_-527"/>
    <x v="1645"/>
    <n v="0.73531611699999999"/>
    <n v="1"/>
    <n v="-730"/>
    <n v="180"/>
  </r>
  <r>
    <x v="29"/>
    <s v="conventional_turnover_incentive_-526"/>
    <x v="1646"/>
    <n v="0.73533762400000002"/>
    <n v="1"/>
    <n v="-730"/>
    <n v="180"/>
  </r>
  <r>
    <x v="29"/>
    <s v="conventional_turnover_incentive_-525"/>
    <x v="1647"/>
    <n v="0.73535937500000004"/>
    <n v="1"/>
    <n v="-730"/>
    <n v="180"/>
  </r>
  <r>
    <x v="29"/>
    <s v="conventional_turnover_incentive_-524"/>
    <x v="1648"/>
    <n v="0.73538137599999998"/>
    <n v="1"/>
    <n v="-730"/>
    <n v="180"/>
  </r>
  <r>
    <x v="29"/>
    <s v="conventional_turnover_incentive_-523"/>
    <x v="1649"/>
    <n v="0.735403633"/>
    <n v="1"/>
    <n v="-730"/>
    <n v="180"/>
  </r>
  <r>
    <x v="29"/>
    <s v="conventional_turnover_incentive_-522"/>
    <x v="1650"/>
    <n v="0.73542615200000006"/>
    <n v="1"/>
    <n v="-730"/>
    <n v="180"/>
  </r>
  <r>
    <x v="29"/>
    <s v="conventional_turnover_incentive_-521"/>
    <x v="1651"/>
    <n v="0.73544893899999997"/>
    <n v="1"/>
    <n v="-730"/>
    <n v="180"/>
  </r>
  <r>
    <x v="29"/>
    <s v="conventional_turnover_incentive_-520"/>
    <x v="1652"/>
    <n v="0.73547200000000001"/>
    <n v="1"/>
    <n v="-730"/>
    <n v="180"/>
  </r>
  <r>
    <x v="29"/>
    <s v="conventional_turnover_incentive_-519"/>
    <x v="1653"/>
    <n v="0.73549534100000002"/>
    <n v="1"/>
    <n v="-730"/>
    <n v="180"/>
  </r>
  <r>
    <x v="29"/>
    <s v="conventional_turnover_incentive_-518"/>
    <x v="1654"/>
    <n v="0.73551896800000005"/>
    <n v="1"/>
    <n v="-730"/>
    <n v="180"/>
  </r>
  <r>
    <x v="29"/>
    <s v="conventional_turnover_incentive_-517"/>
    <x v="1655"/>
    <n v="0.73554288700000003"/>
    <n v="1"/>
    <n v="-730"/>
    <n v="180"/>
  </r>
  <r>
    <x v="29"/>
    <s v="conventional_turnover_incentive_-516"/>
    <x v="1656"/>
    <n v="0.73556710400000003"/>
    <n v="1"/>
    <n v="-730"/>
    <n v="180"/>
  </r>
  <r>
    <x v="29"/>
    <s v="conventional_turnover_incentive_-515"/>
    <x v="1657"/>
    <n v="0.73559162499999997"/>
    <n v="1"/>
    <n v="-730"/>
    <n v="180"/>
  </r>
  <r>
    <x v="29"/>
    <s v="conventional_turnover_incentive_-514"/>
    <x v="1658"/>
    <n v="0.73561645600000003"/>
    <n v="1"/>
    <n v="-730"/>
    <n v="180"/>
  </r>
  <r>
    <x v="29"/>
    <s v="conventional_turnover_incentive_-513"/>
    <x v="1659"/>
    <n v="0.73564160300000003"/>
    <n v="1"/>
    <n v="-730"/>
    <n v="180"/>
  </r>
  <r>
    <x v="29"/>
    <s v="conventional_turnover_incentive_-512"/>
    <x v="1660"/>
    <n v="0.73566707200000003"/>
    <n v="1"/>
    <n v="-730"/>
    <n v="180"/>
  </r>
  <r>
    <x v="29"/>
    <s v="conventional_turnover_incentive_-511"/>
    <x v="1661"/>
    <n v="0.73569286899999997"/>
    <n v="1"/>
    <n v="-730"/>
    <n v="180"/>
  </r>
  <r>
    <x v="29"/>
    <s v="conventional_turnover_incentive_-510"/>
    <x v="1662"/>
    <n v="0.73571900000000001"/>
    <n v="1"/>
    <n v="-730"/>
    <n v="180"/>
  </r>
  <r>
    <x v="29"/>
    <s v="conventional_turnover_incentive_-509"/>
    <x v="1663"/>
    <n v="0.73574547099999998"/>
    <n v="1"/>
    <n v="-730"/>
    <n v="180"/>
  </r>
  <r>
    <x v="29"/>
    <s v="conventional_turnover_incentive_-508"/>
    <x v="1664"/>
    <n v="0.73577228800000005"/>
    <n v="1"/>
    <n v="-730"/>
    <n v="180"/>
  </r>
  <r>
    <x v="29"/>
    <s v="conventional_turnover_incentive_-507"/>
    <x v="1665"/>
    <n v="0.73579945700000005"/>
    <n v="1"/>
    <n v="-730"/>
    <n v="180"/>
  </r>
  <r>
    <x v="29"/>
    <s v="conventional_turnover_incentive_-506"/>
    <x v="1666"/>
    <n v="0.73582698400000002"/>
    <n v="1"/>
    <n v="-730"/>
    <n v="180"/>
  </r>
  <r>
    <x v="29"/>
    <s v="conventional_turnover_incentive_-505"/>
    <x v="1667"/>
    <n v="0.73585487500000002"/>
    <n v="1"/>
    <n v="-730"/>
    <n v="180"/>
  </r>
  <r>
    <x v="29"/>
    <s v="conventional_turnover_incentive_-504"/>
    <x v="1668"/>
    <n v="0.73588313599999999"/>
    <n v="1"/>
    <n v="-730"/>
    <n v="180"/>
  </r>
  <r>
    <x v="29"/>
    <s v="conventional_turnover_incentive_-503"/>
    <x v="1669"/>
    <n v="0.73591177299999999"/>
    <n v="1"/>
    <n v="-730"/>
    <n v="180"/>
  </r>
  <r>
    <x v="29"/>
    <s v="conventional_turnover_incentive_-502"/>
    <x v="1670"/>
    <n v="0.73594079199999995"/>
    <n v="1"/>
    <n v="-730"/>
    <n v="180"/>
  </r>
  <r>
    <x v="29"/>
    <s v="conventional_turnover_incentive_-501"/>
    <x v="1671"/>
    <n v="0.73597019900000005"/>
    <n v="1"/>
    <n v="-730"/>
    <n v="180"/>
  </r>
  <r>
    <x v="29"/>
    <s v="conventional_turnover_incentive_-500"/>
    <x v="1258"/>
    <n v="0.73599999999999999"/>
    <n v="1"/>
    <n v="-730"/>
    <n v="180"/>
  </r>
  <r>
    <x v="29"/>
    <s v="conventional_turnover_incentive_-499"/>
    <x v="1672"/>
    <n v="0.73602955550000004"/>
    <n v="1"/>
    <n v="-730"/>
    <n v="180"/>
  </r>
  <r>
    <x v="29"/>
    <s v="conventional_turnover_incentive_-498"/>
    <x v="1673"/>
    <n v="0.73605824399999997"/>
    <n v="1"/>
    <n v="-730"/>
    <n v="180"/>
  </r>
  <r>
    <x v="29"/>
    <s v="conventional_turnover_incentive_-497"/>
    <x v="1674"/>
    <n v="0.73608609849999995"/>
    <n v="1"/>
    <n v="-730"/>
    <n v="180"/>
  </r>
  <r>
    <x v="29"/>
    <s v="conventional_turnover_incentive_-496"/>
    <x v="1675"/>
    <n v="0.73611315200000005"/>
    <n v="1"/>
    <n v="-730"/>
    <n v="180"/>
  </r>
  <r>
    <x v="29"/>
    <s v="conventional_turnover_incentive_-495"/>
    <x v="1676"/>
    <n v="0.73613943749999999"/>
    <n v="1"/>
    <n v="-730"/>
    <n v="180"/>
  </r>
  <r>
    <x v="29"/>
    <s v="conventional_turnover_incentive_-494"/>
    <x v="1677"/>
    <n v="0.73616498799999996"/>
    <n v="1"/>
    <n v="-730"/>
    <n v="180"/>
  </r>
  <r>
    <x v="29"/>
    <s v="conventional_turnover_incentive_-493"/>
    <x v="1678"/>
    <n v="0.73618983650000003"/>
    <n v="1"/>
    <n v="-730"/>
    <n v="180"/>
  </r>
  <r>
    <x v="29"/>
    <s v="conventional_turnover_incentive_-492"/>
    <x v="1679"/>
    <n v="0.73621401600000003"/>
    <n v="1"/>
    <n v="-730"/>
    <n v="180"/>
  </r>
  <r>
    <x v="29"/>
    <s v="conventional_turnover_incentive_-491"/>
    <x v="1680"/>
    <n v="0.73623755950000003"/>
    <n v="1"/>
    <n v="-730"/>
    <n v="180"/>
  </r>
  <r>
    <x v="29"/>
    <s v="conventional_turnover_incentive_-490"/>
    <x v="1681"/>
    <n v="0.73626049999999998"/>
    <n v="1"/>
    <n v="-730"/>
    <n v="180"/>
  </r>
  <r>
    <x v="29"/>
    <s v="conventional_turnover_incentive_-489"/>
    <x v="1682"/>
    <n v="0.73628287049999996"/>
    <n v="1"/>
    <n v="-730"/>
    <n v="180"/>
  </r>
  <r>
    <x v="29"/>
    <s v="conventional_turnover_incentive_-488"/>
    <x v="1683"/>
    <n v="0.73630470400000003"/>
    <n v="1"/>
    <n v="-730"/>
    <n v="180"/>
  </r>
  <r>
    <x v="29"/>
    <s v="conventional_turnover_incentive_-487"/>
    <x v="1684"/>
    <n v="0.73632603350000003"/>
    <n v="1"/>
    <n v="-730"/>
    <n v="180"/>
  </r>
  <r>
    <x v="29"/>
    <s v="conventional_turnover_incentive_-486"/>
    <x v="1685"/>
    <n v="0.73634689200000003"/>
    <n v="1"/>
    <n v="-730"/>
    <n v="180"/>
  </r>
  <r>
    <x v="29"/>
    <s v="conventional_turnover_incentive_-485"/>
    <x v="1686"/>
    <n v="0.73636731249999998"/>
    <n v="1"/>
    <n v="-730"/>
    <n v="180"/>
  </r>
  <r>
    <x v="29"/>
    <s v="conventional_turnover_incentive_-484"/>
    <x v="1687"/>
    <n v="0.73638732799999995"/>
    <n v="1"/>
    <n v="-730"/>
    <n v="180"/>
  </r>
  <r>
    <x v="29"/>
    <s v="conventional_turnover_incentive_-483"/>
    <x v="1688"/>
    <n v="0.73640697150000001"/>
    <n v="1"/>
    <n v="-730"/>
    <n v="180"/>
  </r>
  <r>
    <x v="29"/>
    <s v="conventional_turnover_incentive_-482"/>
    <x v="1689"/>
    <n v="0.73642627599999999"/>
    <n v="1"/>
    <n v="-730"/>
    <n v="180"/>
  </r>
  <r>
    <x v="29"/>
    <s v="conventional_turnover_incentive_-481"/>
    <x v="1690"/>
    <n v="0.73644527449999997"/>
    <n v="1"/>
    <n v="-730"/>
    <n v="180"/>
  </r>
  <r>
    <x v="29"/>
    <s v="conventional_turnover_incentive_-480"/>
    <x v="1691"/>
    <n v="0.73646400000000001"/>
    <n v="1"/>
    <n v="-730"/>
    <n v="180"/>
  </r>
  <r>
    <x v="29"/>
    <s v="conventional_turnover_incentive_-479"/>
    <x v="1692"/>
    <n v="0.73648248549999995"/>
    <n v="1"/>
    <n v="-730"/>
    <n v="180"/>
  </r>
  <r>
    <x v="29"/>
    <s v="conventional_turnover_incentive_-478"/>
    <x v="1693"/>
    <n v="0.73650076399999997"/>
    <n v="1"/>
    <n v="-730"/>
    <n v="180"/>
  </r>
  <r>
    <x v="29"/>
    <s v="conventional_turnover_incentive_-477"/>
    <x v="1694"/>
    <n v="0.73651886850000003"/>
    <n v="1"/>
    <n v="-730"/>
    <n v="180"/>
  </r>
  <r>
    <x v="29"/>
    <s v="conventional_turnover_incentive_-476"/>
    <x v="1695"/>
    <n v="0.73653683199999997"/>
    <n v="1"/>
    <n v="-730"/>
    <n v="180"/>
  </r>
  <r>
    <x v="29"/>
    <s v="conventional_turnover_incentive_-475"/>
    <x v="1696"/>
    <n v="0.73655468749999997"/>
    <n v="1"/>
    <n v="-730"/>
    <n v="180"/>
  </r>
  <r>
    <x v="29"/>
    <s v="conventional_turnover_incentive_-474"/>
    <x v="1697"/>
    <n v="0.73657246799999998"/>
    <n v="1"/>
    <n v="-730"/>
    <n v="180"/>
  </r>
  <r>
    <x v="29"/>
    <s v="conventional_turnover_incentive_-473"/>
    <x v="1698"/>
    <n v="0.73659020649999996"/>
    <n v="1"/>
    <n v="-730"/>
    <n v="180"/>
  </r>
  <r>
    <x v="29"/>
    <s v="conventional_turnover_incentive_-472"/>
    <x v="1699"/>
    <n v="0.73660793599999996"/>
    <n v="1"/>
    <n v="-730"/>
    <n v="180"/>
  </r>
  <r>
    <x v="29"/>
    <s v="conventional_turnover_incentive_-471"/>
    <x v="1700"/>
    <n v="0.73662568949999996"/>
    <n v="1"/>
    <n v="-730"/>
    <n v="180"/>
  </r>
  <r>
    <x v="29"/>
    <s v="conventional_turnover_incentive_-470"/>
    <x v="1701"/>
    <n v="0.73664350000000001"/>
    <n v="1"/>
    <n v="-730"/>
    <n v="180"/>
  </r>
  <r>
    <x v="29"/>
    <s v="conventional_turnover_incentive_-469"/>
    <x v="1702"/>
    <n v="0.73666140049999995"/>
    <n v="1"/>
    <n v="-730"/>
    <n v="180"/>
  </r>
  <r>
    <x v="29"/>
    <s v="conventional_turnover_incentive_-468"/>
    <x v="1703"/>
    <n v="0.73667942399999997"/>
    <n v="1"/>
    <n v="-730"/>
    <n v="180"/>
  </r>
  <r>
    <x v="29"/>
    <s v="conventional_turnover_incentive_-467"/>
    <x v="1704"/>
    <n v="0.73669760350000002"/>
    <n v="1"/>
    <n v="-730"/>
    <n v="180"/>
  </r>
  <r>
    <x v="29"/>
    <s v="conventional_turnover_incentive_-466"/>
    <x v="1705"/>
    <n v="0.73671597200000005"/>
    <n v="1"/>
    <n v="-730"/>
    <n v="180"/>
  </r>
  <r>
    <x v="29"/>
    <s v="conventional_turnover_incentive_-465"/>
    <x v="1706"/>
    <n v="0.73673456250000002"/>
    <n v="1"/>
    <n v="-730"/>
    <n v="180"/>
  </r>
  <r>
    <x v="29"/>
    <s v="conventional_turnover_incentive_-464"/>
    <x v="1707"/>
    <n v="0.736753408"/>
    <n v="1"/>
    <n v="-730"/>
    <n v="180"/>
  </r>
  <r>
    <x v="29"/>
    <s v="conventional_turnover_incentive_-463"/>
    <x v="1708"/>
    <n v="0.73677254150000004"/>
    <n v="1"/>
    <n v="-730"/>
    <n v="180"/>
  </r>
  <r>
    <x v="29"/>
    <s v="conventional_turnover_incentive_-462"/>
    <x v="1709"/>
    <n v="0.736791996"/>
    <n v="1"/>
    <n v="-730"/>
    <n v="180"/>
  </r>
  <r>
    <x v="29"/>
    <s v="conventional_turnover_incentive_-461"/>
    <x v="1710"/>
    <n v="0.73681180449999994"/>
    <n v="1"/>
    <n v="-730"/>
    <n v="180"/>
  </r>
  <r>
    <x v="29"/>
    <s v="conventional_turnover_incentive_-460"/>
    <x v="1711"/>
    <n v="0.73683200000000004"/>
    <n v="1"/>
    <n v="-730"/>
    <n v="180"/>
  </r>
  <r>
    <x v="29"/>
    <s v="conventional_turnover_incentive_-459"/>
    <x v="1712"/>
    <n v="0.73685261550000003"/>
    <n v="1"/>
    <n v="-730"/>
    <n v="180"/>
  </r>
  <r>
    <x v="29"/>
    <s v="conventional_turnover_incentive_-458"/>
    <x v="1713"/>
    <n v="0.73687368399999997"/>
    <n v="1"/>
    <n v="-730"/>
    <n v="180"/>
  </r>
  <r>
    <x v="29"/>
    <s v="conventional_turnover_incentive_-457"/>
    <x v="1714"/>
    <n v="0.73689523850000005"/>
    <n v="1"/>
    <n v="-730"/>
    <n v="180"/>
  </r>
  <r>
    <x v="29"/>
    <s v="conventional_turnover_incentive_-456"/>
    <x v="1715"/>
    <n v="0.73691731199999999"/>
    <n v="1"/>
    <n v="-730"/>
    <n v="180"/>
  </r>
  <r>
    <x v="29"/>
    <s v="conventional_turnover_incentive_-455"/>
    <x v="1716"/>
    <n v="0.73693993749999998"/>
    <n v="1"/>
    <n v="-730"/>
    <n v="180"/>
  </r>
  <r>
    <x v="29"/>
    <s v="conventional_turnover_incentive_-454"/>
    <x v="1717"/>
    <n v="0.73696314799999996"/>
    <n v="1"/>
    <n v="-730"/>
    <n v="180"/>
  </r>
  <r>
    <x v="29"/>
    <s v="conventional_turnover_incentive_-453"/>
    <x v="1718"/>
    <n v="0.7369869765"/>
    <n v="1"/>
    <n v="-730"/>
    <n v="180"/>
  </r>
  <r>
    <x v="29"/>
    <s v="conventional_turnover_incentive_-452"/>
    <x v="1719"/>
    <n v="0.73701145599999995"/>
    <n v="1"/>
    <n v="-730"/>
    <n v="180"/>
  </r>
  <r>
    <x v="29"/>
    <s v="conventional_turnover_incentive_-451"/>
    <x v="1720"/>
    <n v="0.73703661949999999"/>
    <n v="1"/>
    <n v="-730"/>
    <n v="180"/>
  </r>
  <r>
    <x v="29"/>
    <s v="conventional_turnover_incentive_-450"/>
    <x v="1721"/>
    <n v="0.73706249999999995"/>
    <n v="1"/>
    <n v="-730"/>
    <n v="180"/>
  </r>
  <r>
    <x v="29"/>
    <s v="conventional_turnover_incentive_-449"/>
    <x v="1722"/>
    <n v="0.73708913050000002"/>
    <n v="1"/>
    <n v="-730"/>
    <n v="180"/>
  </r>
  <r>
    <x v="29"/>
    <s v="conventional_turnover_incentive_-448"/>
    <x v="1723"/>
    <n v="0.73711654400000004"/>
    <n v="1"/>
    <n v="-730"/>
    <n v="180"/>
  </r>
  <r>
    <x v="29"/>
    <s v="conventional_turnover_incentive_-447"/>
    <x v="1724"/>
    <n v="0.73714477349999996"/>
    <n v="1"/>
    <n v="-730"/>
    <n v="180"/>
  </r>
  <r>
    <x v="29"/>
    <s v="conventional_turnover_incentive_-446"/>
    <x v="1725"/>
    <n v="0.73717385199999996"/>
    <n v="1"/>
    <n v="-730"/>
    <n v="180"/>
  </r>
  <r>
    <x v="29"/>
    <s v="conventional_turnover_incentive_-445"/>
    <x v="1726"/>
    <n v="0.7372038125"/>
    <n v="1"/>
    <n v="-730"/>
    <n v="180"/>
  </r>
  <r>
    <x v="29"/>
    <s v="conventional_turnover_incentive_-444"/>
    <x v="1727"/>
    <n v="0.73723468800000003"/>
    <n v="1"/>
    <n v="-730"/>
    <n v="180"/>
  </r>
  <r>
    <x v="29"/>
    <s v="conventional_turnover_incentive_-443"/>
    <x v="1728"/>
    <n v="0.7372665115"/>
    <n v="1"/>
    <n v="-730"/>
    <n v="180"/>
  </r>
  <r>
    <x v="29"/>
    <s v="conventional_turnover_incentive_-442"/>
    <x v="1729"/>
    <n v="0.73729931599999998"/>
    <n v="1"/>
    <n v="-730"/>
    <n v="180"/>
  </r>
  <r>
    <x v="29"/>
    <s v="conventional_turnover_incentive_-441"/>
    <x v="1730"/>
    <n v="0.73733313450000004"/>
    <n v="1"/>
    <n v="-730"/>
    <n v="180"/>
  </r>
  <r>
    <x v="29"/>
    <s v="conventional_turnover_incentive_-440"/>
    <x v="1731"/>
    <n v="0.73736800000000002"/>
    <n v="1"/>
    <n v="-730"/>
    <n v="180"/>
  </r>
  <r>
    <x v="29"/>
    <s v="conventional_turnover_incentive_-439"/>
    <x v="1732"/>
    <n v="0.73740394549999999"/>
    <n v="1"/>
    <n v="-730"/>
    <n v="180"/>
  </r>
  <r>
    <x v="29"/>
    <s v="conventional_turnover_incentive_-438"/>
    <x v="1733"/>
    <n v="0.73744100400000001"/>
    <n v="1"/>
    <n v="-730"/>
    <n v="180"/>
  </r>
  <r>
    <x v="29"/>
    <s v="conventional_turnover_incentive_-437"/>
    <x v="1734"/>
    <n v="0.73747920850000004"/>
    <n v="1"/>
    <n v="-730"/>
    <n v="180"/>
  </r>
  <r>
    <x v="29"/>
    <s v="conventional_turnover_incentive_-436"/>
    <x v="1735"/>
    <n v="0.73751859200000003"/>
    <n v="1"/>
    <n v="-730"/>
    <n v="180"/>
  </r>
  <r>
    <x v="29"/>
    <s v="conventional_turnover_incentive_-435"/>
    <x v="1736"/>
    <n v="0.73755918750000005"/>
    <n v="1"/>
    <n v="-730"/>
    <n v="180"/>
  </r>
  <r>
    <x v="29"/>
    <s v="conventional_turnover_incentive_-434"/>
    <x v="1737"/>
    <n v="0.73760102800000005"/>
    <n v="1"/>
    <n v="-730"/>
    <n v="180"/>
  </r>
  <r>
    <x v="29"/>
    <s v="conventional_turnover_incentive_-433"/>
    <x v="1738"/>
    <n v="0.73764414649999999"/>
    <n v="1"/>
    <n v="-730"/>
    <n v="180"/>
  </r>
  <r>
    <x v="29"/>
    <s v="conventional_turnover_incentive_-432"/>
    <x v="1739"/>
    <n v="0.73768857600000004"/>
    <n v="1"/>
    <n v="-730"/>
    <n v="180"/>
  </r>
  <r>
    <x v="29"/>
    <s v="conventional_turnover_incentive_-431"/>
    <x v="1740"/>
    <n v="0.73773434950000005"/>
    <n v="1"/>
    <n v="-730"/>
    <n v="180"/>
  </r>
  <r>
    <x v="29"/>
    <s v="conventional_turnover_incentive_-430"/>
    <x v="1741"/>
    <n v="0.73778149999999998"/>
    <n v="1"/>
    <n v="-730"/>
    <n v="180"/>
  </r>
  <r>
    <x v="29"/>
    <s v="conventional_turnover_incentive_-429"/>
    <x v="1742"/>
    <n v="0.7378300605"/>
    <n v="1"/>
    <n v="-730"/>
    <n v="180"/>
  </r>
  <r>
    <x v="29"/>
    <s v="conventional_turnover_incentive_-428"/>
    <x v="1743"/>
    <n v="0.73788006399999995"/>
    <n v="1"/>
    <n v="-730"/>
    <n v="180"/>
  </r>
  <r>
    <x v="29"/>
    <s v="conventional_turnover_incentive_-427"/>
    <x v="1744"/>
    <n v="0.73793154350000001"/>
    <n v="1"/>
    <n v="-730"/>
    <n v="180"/>
  </r>
  <r>
    <x v="29"/>
    <s v="conventional_turnover_incentive_-426"/>
    <x v="1745"/>
    <n v="0.73798453200000003"/>
    <n v="1"/>
    <n v="-730"/>
    <n v="180"/>
  </r>
  <r>
    <x v="29"/>
    <s v="conventional_turnover_incentive_-425"/>
    <x v="1746"/>
    <n v="0.73803906249999995"/>
    <n v="1"/>
    <n v="-730"/>
    <n v="180"/>
  </r>
  <r>
    <x v="29"/>
    <s v="conventional_turnover_incentive_-424"/>
    <x v="1747"/>
    <n v="0.73809516799999997"/>
    <n v="1"/>
    <n v="-730"/>
    <n v="180"/>
  </r>
  <r>
    <x v="29"/>
    <s v="conventional_turnover_incentive_-423"/>
    <x v="1748"/>
    <n v="0.73815288150000002"/>
    <n v="1"/>
    <n v="-730"/>
    <n v="180"/>
  </r>
  <r>
    <x v="29"/>
    <s v="conventional_turnover_incentive_-422"/>
    <x v="1749"/>
    <n v="0.73821223599999997"/>
    <n v="1"/>
    <n v="-730"/>
    <n v="180"/>
  </r>
  <r>
    <x v="29"/>
    <s v="conventional_turnover_incentive_-421"/>
    <x v="1750"/>
    <n v="0.73827326449999997"/>
    <n v="1"/>
    <n v="-730"/>
    <n v="180"/>
  </r>
  <r>
    <x v="29"/>
    <s v="conventional_turnover_incentive_-420"/>
    <x v="1751"/>
    <n v="0.73833599999999999"/>
    <n v="1"/>
    <n v="-730"/>
    <n v="180"/>
  </r>
  <r>
    <x v="29"/>
    <s v="conventional_turnover_incentive_-419"/>
    <x v="1752"/>
    <n v="0.73840047549999999"/>
    <n v="1"/>
    <n v="-730"/>
    <n v="180"/>
  </r>
  <r>
    <x v="29"/>
    <s v="conventional_turnover_incentive_-418"/>
    <x v="1753"/>
    <n v="0.73846672400000002"/>
    <n v="1"/>
    <n v="-730"/>
    <n v="180"/>
  </r>
  <r>
    <x v="29"/>
    <s v="conventional_turnover_incentive_-417"/>
    <x v="1754"/>
    <n v="0.73853477850000004"/>
    <n v="1"/>
    <n v="-730"/>
    <n v="180"/>
  </r>
  <r>
    <x v="29"/>
    <s v="conventional_turnover_incentive_-416"/>
    <x v="1755"/>
    <n v="0.73860467200000002"/>
    <n v="1"/>
    <n v="-730"/>
    <n v="180"/>
  </r>
  <r>
    <x v="29"/>
    <s v="conventional_turnover_incentive_-415"/>
    <x v="1756"/>
    <n v="0.7386764375"/>
    <n v="1"/>
    <n v="-730"/>
    <n v="180"/>
  </r>
  <r>
    <x v="29"/>
    <s v="conventional_turnover_incentive_-414"/>
    <x v="1757"/>
    <n v="0.73875010799999996"/>
    <n v="1"/>
    <n v="-730"/>
    <n v="180"/>
  </r>
  <r>
    <x v="29"/>
    <s v="conventional_turnover_incentive_-413"/>
    <x v="1758"/>
    <n v="0.73882571649999995"/>
    <n v="1"/>
    <n v="-730"/>
    <n v="180"/>
  </r>
  <r>
    <x v="29"/>
    <s v="conventional_turnover_incentive_-412"/>
    <x v="1759"/>
    <n v="0.73890329600000004"/>
    <n v="1"/>
    <n v="-730"/>
    <n v="180"/>
  </r>
  <r>
    <x v="29"/>
    <s v="conventional_turnover_incentive_-411"/>
    <x v="1760"/>
    <n v="0.73898287949999997"/>
    <n v="1"/>
    <n v="-730"/>
    <n v="180"/>
  </r>
  <r>
    <x v="29"/>
    <s v="conventional_turnover_incentive_-410"/>
    <x v="1761"/>
    <n v="0.73906450000000001"/>
    <n v="1"/>
    <n v="-730"/>
    <n v="180"/>
  </r>
  <r>
    <x v="29"/>
    <s v="conventional_turnover_incentive_-409"/>
    <x v="1762"/>
    <n v="0.73914819050000002"/>
    <n v="1"/>
    <n v="-730"/>
    <n v="180"/>
  </r>
  <r>
    <x v="29"/>
    <s v="conventional_turnover_incentive_-408"/>
    <x v="1763"/>
    <n v="0.73923398399999996"/>
    <n v="1"/>
    <n v="-730"/>
    <n v="180"/>
  </r>
  <r>
    <x v="29"/>
    <s v="conventional_turnover_incentive_-407"/>
    <x v="1764"/>
    <n v="0.73932191349999998"/>
    <n v="1"/>
    <n v="-730"/>
    <n v="180"/>
  </r>
  <r>
    <x v="29"/>
    <s v="conventional_turnover_incentive_-406"/>
    <x v="1765"/>
    <n v="0.73941201199999995"/>
    <n v="1"/>
    <n v="-730"/>
    <n v="180"/>
  </r>
  <r>
    <x v="29"/>
    <s v="conventional_turnover_incentive_-405"/>
    <x v="1766"/>
    <n v="0.73950431250000004"/>
    <n v="1"/>
    <n v="-730"/>
    <n v="180"/>
  </r>
  <r>
    <x v="29"/>
    <s v="conventional_turnover_incentive_-404"/>
    <x v="1767"/>
    <n v="0.73959884799999998"/>
    <n v="1"/>
    <n v="-730"/>
    <n v="180"/>
  </r>
  <r>
    <x v="29"/>
    <s v="conventional_turnover_incentive_-403"/>
    <x v="1768"/>
    <n v="0.73969565150000005"/>
    <n v="1"/>
    <n v="-730"/>
    <n v="180"/>
  </r>
  <r>
    <x v="29"/>
    <s v="conventional_turnover_incentive_-402"/>
    <x v="1769"/>
    <n v="0.739794756"/>
    <n v="1"/>
    <n v="-730"/>
    <n v="180"/>
  </r>
  <r>
    <x v="29"/>
    <s v="conventional_turnover_incentive_-401"/>
    <x v="1770"/>
    <n v="0.73989619449999999"/>
    <n v="1"/>
    <n v="-730"/>
    <n v="180"/>
  </r>
  <r>
    <x v="29"/>
    <s v="conventional_turnover_incentive_-400"/>
    <x v="1259"/>
    <n v="0.74"/>
    <n v="1"/>
    <n v="-730"/>
    <n v="180"/>
  </r>
  <r>
    <x v="29"/>
    <s v="conventional_turnover_incentive_-399"/>
    <x v="1771"/>
    <n v="0.74010277899999999"/>
    <n v="1"/>
    <n v="-730"/>
    <n v="180"/>
  </r>
  <r>
    <x v="29"/>
    <s v="conventional_turnover_incentive_-398"/>
    <x v="1772"/>
    <n v="0.74020123199999999"/>
    <n v="1"/>
    <n v="-730"/>
    <n v="180"/>
  </r>
  <r>
    <x v="29"/>
    <s v="conventional_turnover_incentive_-397"/>
    <x v="1773"/>
    <n v="0.74029553299999995"/>
    <n v="1"/>
    <n v="-730"/>
    <n v="180"/>
  </r>
  <r>
    <x v="29"/>
    <s v="conventional_turnover_incentive_-396"/>
    <x v="1774"/>
    <n v="0.74038585599999995"/>
    <n v="1"/>
    <n v="-730"/>
    <n v="180"/>
  </r>
  <r>
    <x v="29"/>
    <s v="conventional_turnover_incentive_-395"/>
    <x v="1775"/>
    <n v="0.74047237499999996"/>
    <n v="1"/>
    <n v="-730"/>
    <n v="180"/>
  </r>
  <r>
    <x v="29"/>
    <s v="conventional_turnover_incentive_-394"/>
    <x v="1776"/>
    <n v="0.74055526400000005"/>
    <n v="1"/>
    <n v="-730"/>
    <n v="180"/>
  </r>
  <r>
    <x v="29"/>
    <s v="conventional_turnover_incentive_-393"/>
    <x v="1777"/>
    <n v="0.74063469699999995"/>
    <n v="1"/>
    <n v="-730"/>
    <n v="180"/>
  </r>
  <r>
    <x v="29"/>
    <s v="conventional_turnover_incentive_-392"/>
    <x v="1778"/>
    <n v="0.74071084799999998"/>
    <n v="1"/>
    <n v="-730"/>
    <n v="180"/>
  </r>
  <r>
    <x v="29"/>
    <s v="conventional_turnover_incentive_-391"/>
    <x v="1779"/>
    <n v="0.74078389099999997"/>
    <n v="1"/>
    <n v="-730"/>
    <n v="180"/>
  </r>
  <r>
    <x v="29"/>
    <s v="conventional_turnover_incentive_-390"/>
    <x v="1780"/>
    <n v="0.74085400000000001"/>
    <n v="1"/>
    <n v="-730"/>
    <n v="180"/>
  </r>
  <r>
    <x v="29"/>
    <s v="conventional_turnover_incentive_-389"/>
    <x v="1781"/>
    <n v="0.74092134899999995"/>
    <n v="1"/>
    <n v="-730"/>
    <n v="180"/>
  </r>
  <r>
    <x v="29"/>
    <s v="conventional_turnover_incentive_-388"/>
    <x v="1782"/>
    <n v="0.74098611199999997"/>
    <n v="1"/>
    <n v="-730"/>
    <n v="180"/>
  </r>
  <r>
    <x v="29"/>
    <s v="conventional_turnover_incentive_-387"/>
    <x v="1783"/>
    <n v="0.74104846300000005"/>
    <n v="1"/>
    <n v="-730"/>
    <n v="180"/>
  </r>
  <r>
    <x v="29"/>
    <s v="conventional_turnover_incentive_-386"/>
    <x v="1784"/>
    <n v="0.74110857600000002"/>
    <n v="1"/>
    <n v="-730"/>
    <n v="180"/>
  </r>
  <r>
    <x v="29"/>
    <s v="conventional_turnover_incentive_-385"/>
    <x v="1785"/>
    <n v="0.74116662499999997"/>
    <n v="1"/>
    <n v="-730"/>
    <n v="180"/>
  </r>
  <r>
    <x v="29"/>
    <s v="conventional_turnover_incentive_-384"/>
    <x v="1786"/>
    <n v="0.74122278399999997"/>
    <n v="1"/>
    <n v="-730"/>
    <n v="180"/>
  </r>
  <r>
    <x v="29"/>
    <s v="conventional_turnover_incentive_-383"/>
    <x v="1787"/>
    <n v="0.74127722699999998"/>
    <n v="1"/>
    <n v="-730"/>
    <n v="180"/>
  </r>
  <r>
    <x v="29"/>
    <s v="conventional_turnover_incentive_-382"/>
    <x v="1788"/>
    <n v="0.74133012799999998"/>
    <n v="1"/>
    <n v="-730"/>
    <n v="180"/>
  </r>
  <r>
    <x v="29"/>
    <s v="conventional_turnover_incentive_-381"/>
    <x v="1789"/>
    <n v="0.74138166100000003"/>
    <n v="1"/>
    <n v="-730"/>
    <n v="180"/>
  </r>
  <r>
    <x v="29"/>
    <s v="conventional_turnover_incentive_-380"/>
    <x v="1790"/>
    <n v="0.74143199999999998"/>
    <n v="1"/>
    <n v="-730"/>
    <n v="180"/>
  </r>
  <r>
    <x v="29"/>
    <s v="conventional_turnover_incentive_-379"/>
    <x v="1791"/>
    <n v="0.74148131900000003"/>
    <n v="1"/>
    <n v="-730"/>
    <n v="180"/>
  </r>
  <r>
    <x v="29"/>
    <s v="conventional_turnover_incentive_-378"/>
    <x v="1792"/>
    <n v="0.74152979200000002"/>
    <n v="1"/>
    <n v="-730"/>
    <n v="180"/>
  </r>
  <r>
    <x v="29"/>
    <s v="conventional_turnover_incentive_-377"/>
    <x v="1793"/>
    <n v="0.74157759300000003"/>
    <n v="1"/>
    <n v="-730"/>
    <n v="180"/>
  </r>
  <r>
    <x v="29"/>
    <s v="conventional_turnover_incentive_-376"/>
    <x v="1794"/>
    <n v="0.74162489600000003"/>
    <n v="1"/>
    <n v="-730"/>
    <n v="180"/>
  </r>
  <r>
    <x v="29"/>
    <s v="conventional_turnover_incentive_-375"/>
    <x v="1795"/>
    <n v="0.74167187499999998"/>
    <n v="1"/>
    <n v="-730"/>
    <n v="180"/>
  </r>
  <r>
    <x v="29"/>
    <s v="conventional_turnover_incentive_-374"/>
    <x v="1796"/>
    <n v="0.74171870399999995"/>
    <n v="1"/>
    <n v="-730"/>
    <n v="180"/>
  </r>
  <r>
    <x v="29"/>
    <s v="conventional_turnover_incentive_-373"/>
    <x v="1797"/>
    <n v="0.74176555700000002"/>
    <n v="1"/>
    <n v="-730"/>
    <n v="180"/>
  </r>
  <r>
    <x v="29"/>
    <s v="conventional_turnover_incentive_-372"/>
    <x v="1798"/>
    <n v="0.74181260800000004"/>
    <n v="1"/>
    <n v="-730"/>
    <n v="180"/>
  </r>
  <r>
    <x v="29"/>
    <s v="conventional_turnover_incentive_-371"/>
    <x v="1799"/>
    <n v="0.74186003099999998"/>
    <n v="1"/>
    <n v="-730"/>
    <n v="180"/>
  </r>
  <r>
    <x v="29"/>
    <s v="conventional_turnover_incentive_-370"/>
    <x v="1800"/>
    <n v="0.74190800000000001"/>
    <n v="1"/>
    <n v="-730"/>
    <n v="180"/>
  </r>
  <r>
    <x v="29"/>
    <s v="conventional_turnover_incentive_-369"/>
    <x v="1801"/>
    <n v="0.741956689"/>
    <n v="1"/>
    <n v="-730"/>
    <n v="180"/>
  </r>
  <r>
    <x v="29"/>
    <s v="conventional_turnover_incentive_-368"/>
    <x v="1802"/>
    <n v="0.74200627200000002"/>
    <n v="1"/>
    <n v="-730"/>
    <n v="180"/>
  </r>
  <r>
    <x v="29"/>
    <s v="conventional_turnover_incentive_-367"/>
    <x v="1803"/>
    <n v="0.74205692300000003"/>
    <n v="1"/>
    <n v="-730"/>
    <n v="180"/>
  </r>
  <r>
    <x v="29"/>
    <s v="conventional_turnover_incentive_-366"/>
    <x v="1804"/>
    <n v="0.742108816"/>
    <n v="1"/>
    <n v="-730"/>
    <n v="180"/>
  </r>
  <r>
    <x v="29"/>
    <s v="conventional_turnover_incentive_-365"/>
    <x v="1805"/>
    <n v="0.74216212500000001"/>
    <n v="1"/>
    <n v="-730"/>
    <n v="180"/>
  </r>
  <r>
    <x v="29"/>
    <s v="conventional_turnover_incentive_-364"/>
    <x v="1806"/>
    <n v="0.742217024"/>
    <n v="1"/>
    <n v="-730"/>
    <n v="180"/>
  </r>
  <r>
    <x v="29"/>
    <s v="conventional_turnover_incentive_-363"/>
    <x v="1807"/>
    <n v="0.74227368699999996"/>
    <n v="1"/>
    <n v="-730"/>
    <n v="180"/>
  </r>
  <r>
    <x v="29"/>
    <s v="conventional_turnover_incentive_-362"/>
    <x v="1808"/>
    <n v="0.74233228799999995"/>
    <n v="1"/>
    <n v="-730"/>
    <n v="180"/>
  </r>
  <r>
    <x v="29"/>
    <s v="conventional_turnover_incentive_-361"/>
    <x v="1809"/>
    <n v="0.74239300100000005"/>
    <n v="1"/>
    <n v="-730"/>
    <n v="180"/>
  </r>
  <r>
    <x v="29"/>
    <s v="conventional_turnover_incentive_-360"/>
    <x v="1810"/>
    <n v="0.742456"/>
    <n v="1"/>
    <n v="-730"/>
    <n v="180"/>
  </r>
  <r>
    <x v="29"/>
    <s v="conventional_turnover_incentive_-359"/>
    <x v="1811"/>
    <n v="0.74252145899999999"/>
    <n v="1"/>
    <n v="-730"/>
    <n v="180"/>
  </r>
  <r>
    <x v="29"/>
    <s v="conventional_turnover_incentive_-358"/>
    <x v="1812"/>
    <n v="0.74258955199999999"/>
    <n v="1"/>
    <n v="-730"/>
    <n v="180"/>
  </r>
  <r>
    <x v="29"/>
    <s v="conventional_turnover_incentive_-357"/>
    <x v="1813"/>
    <n v="0.74266045300000005"/>
    <n v="1"/>
    <n v="-730"/>
    <n v="180"/>
  </r>
  <r>
    <x v="29"/>
    <s v="conventional_turnover_incentive_-356"/>
    <x v="1814"/>
    <n v="0.74273433600000005"/>
    <n v="1"/>
    <n v="-730"/>
    <n v="180"/>
  </r>
  <r>
    <x v="29"/>
    <s v="conventional_turnover_incentive_-355"/>
    <x v="1815"/>
    <n v="0.74281137500000005"/>
    <n v="1"/>
    <n v="-730"/>
    <n v="180"/>
  </r>
  <r>
    <x v="29"/>
    <s v="conventional_turnover_incentive_-354"/>
    <x v="1816"/>
    <n v="0.74289174400000002"/>
    <n v="1"/>
    <n v="-730"/>
    <n v="180"/>
  </r>
  <r>
    <x v="29"/>
    <s v="conventional_turnover_incentive_-353"/>
    <x v="1817"/>
    <n v="0.74297561700000003"/>
    <n v="1"/>
    <n v="-730"/>
    <n v="180"/>
  </r>
  <r>
    <x v="29"/>
    <s v="conventional_turnover_incentive_-352"/>
    <x v="1818"/>
    <n v="0.74306316800000005"/>
    <n v="1"/>
    <n v="-730"/>
    <n v="180"/>
  </r>
  <r>
    <x v="29"/>
    <s v="conventional_turnover_incentive_-351"/>
    <x v="1819"/>
    <n v="0.74315457100000004"/>
    <n v="1"/>
    <n v="-730"/>
    <n v="180"/>
  </r>
  <r>
    <x v="29"/>
    <s v="conventional_turnover_incentive_-350"/>
    <x v="1820"/>
    <n v="0.74324999999999997"/>
    <n v="1"/>
    <n v="-730"/>
    <n v="180"/>
  </r>
  <r>
    <x v="29"/>
    <s v="conventional_turnover_incentive_-349"/>
    <x v="1821"/>
    <n v="0.74334962900000001"/>
    <n v="1"/>
    <n v="-730"/>
    <n v="180"/>
  </r>
  <r>
    <x v="29"/>
    <s v="conventional_turnover_incentive_-348"/>
    <x v="1822"/>
    <n v="0.74345363200000003"/>
    <n v="1"/>
    <n v="-730"/>
    <n v="180"/>
  </r>
  <r>
    <x v="29"/>
    <s v="conventional_turnover_incentive_-347"/>
    <x v="1823"/>
    <n v="0.74356218299999999"/>
    <n v="1"/>
    <n v="-730"/>
    <n v="180"/>
  </r>
  <r>
    <x v="29"/>
    <s v="conventional_turnover_incentive_-346"/>
    <x v="1824"/>
    <n v="0.74367545599999996"/>
    <n v="1"/>
    <n v="-730"/>
    <n v="180"/>
  </r>
  <r>
    <x v="29"/>
    <s v="conventional_turnover_incentive_-345"/>
    <x v="1825"/>
    <n v="0.74379362500000001"/>
    <n v="1"/>
    <n v="-730"/>
    <n v="180"/>
  </r>
  <r>
    <x v="29"/>
    <s v="conventional_turnover_incentive_-344"/>
    <x v="1826"/>
    <n v="0.74391686400000001"/>
    <n v="1"/>
    <n v="-730"/>
    <n v="180"/>
  </r>
  <r>
    <x v="29"/>
    <s v="conventional_turnover_incentive_-343"/>
    <x v="1827"/>
    <n v="0.74404534700000002"/>
    <n v="1"/>
    <n v="-730"/>
    <n v="180"/>
  </r>
  <r>
    <x v="29"/>
    <s v="conventional_turnover_incentive_-342"/>
    <x v="1828"/>
    <n v="0.74417924800000002"/>
    <n v="1"/>
    <n v="-730"/>
    <n v="180"/>
  </r>
  <r>
    <x v="29"/>
    <s v="conventional_turnover_incentive_-341"/>
    <x v="1829"/>
    <n v="0.74431874099999995"/>
    <n v="1"/>
    <n v="-730"/>
    <n v="180"/>
  </r>
  <r>
    <x v="29"/>
    <s v="conventional_turnover_incentive_-340"/>
    <x v="1830"/>
    <n v="0.74446400000000001"/>
    <n v="1"/>
    <n v="-730"/>
    <n v="180"/>
  </r>
  <r>
    <x v="29"/>
    <s v="conventional_turnover_incentive_-339"/>
    <x v="1831"/>
    <n v="0.74461519899999995"/>
    <n v="1"/>
    <n v="-730"/>
    <n v="180"/>
  </r>
  <r>
    <x v="29"/>
    <s v="conventional_turnover_incentive_-338"/>
    <x v="1832"/>
    <n v="0.74477251200000005"/>
    <n v="1"/>
    <n v="-730"/>
    <n v="180"/>
  </r>
  <r>
    <x v="29"/>
    <s v="conventional_turnover_incentive_-337"/>
    <x v="1833"/>
    <n v="0.74493611299999996"/>
    <n v="1"/>
    <n v="-730"/>
    <n v="180"/>
  </r>
  <r>
    <x v="29"/>
    <s v="conventional_turnover_incentive_-336"/>
    <x v="1834"/>
    <n v="0.74510617599999995"/>
    <n v="1"/>
    <n v="-730"/>
    <n v="180"/>
  </r>
  <r>
    <x v="29"/>
    <s v="conventional_turnover_incentive_-335"/>
    <x v="1835"/>
    <n v="0.74528287500000001"/>
    <n v="1"/>
    <n v="-730"/>
    <n v="180"/>
  </r>
  <r>
    <x v="29"/>
    <s v="conventional_turnover_incentive_-334"/>
    <x v="1836"/>
    <n v="0.74546638399999998"/>
    <n v="1"/>
    <n v="-730"/>
    <n v="180"/>
  </r>
  <r>
    <x v="29"/>
    <s v="conventional_turnover_incentive_-333"/>
    <x v="1837"/>
    <n v="0.74565687700000005"/>
    <n v="1"/>
    <n v="-730"/>
    <n v="180"/>
  </r>
  <r>
    <x v="29"/>
    <s v="conventional_turnover_incentive_-332"/>
    <x v="1838"/>
    <n v="0.74585452799999996"/>
    <n v="1"/>
    <n v="-730"/>
    <n v="180"/>
  </r>
  <r>
    <x v="29"/>
    <s v="conventional_turnover_incentive_-331"/>
    <x v="1839"/>
    <n v="0.74605951100000001"/>
    <n v="1"/>
    <n v="-730"/>
    <n v="180"/>
  </r>
  <r>
    <x v="29"/>
    <s v="conventional_turnover_incentive_-330"/>
    <x v="1840"/>
    <n v="0.74627200000000005"/>
    <n v="1"/>
    <n v="-730"/>
    <n v="180"/>
  </r>
  <r>
    <x v="29"/>
    <s v="conventional_turnover_incentive_-329"/>
    <x v="1841"/>
    <n v="0.74649216900000004"/>
    <n v="1"/>
    <n v="-730"/>
    <n v="180"/>
  </r>
  <r>
    <x v="29"/>
    <s v="conventional_turnover_incentive_-328"/>
    <x v="1842"/>
    <n v="0.74672019199999995"/>
    <n v="1"/>
    <n v="-730"/>
    <n v="180"/>
  </r>
  <r>
    <x v="29"/>
    <s v="conventional_turnover_incentive_-327"/>
    <x v="1843"/>
    <n v="0.74695624299999996"/>
    <n v="1"/>
    <n v="-730"/>
    <n v="180"/>
  </r>
  <r>
    <x v="29"/>
    <s v="conventional_turnover_incentive_-326"/>
    <x v="1844"/>
    <n v="0.74720049600000005"/>
    <n v="1"/>
    <n v="-730"/>
    <n v="180"/>
  </r>
  <r>
    <x v="29"/>
    <s v="conventional_turnover_incentive_-325"/>
    <x v="1845"/>
    <n v="0.74745312500000005"/>
    <n v="1"/>
    <n v="-730"/>
    <n v="180"/>
  </r>
  <r>
    <x v="29"/>
    <s v="conventional_turnover_incentive_-324"/>
    <x v="1846"/>
    <n v="0.74771430400000005"/>
    <n v="1"/>
    <n v="-730"/>
    <n v="180"/>
  </r>
  <r>
    <x v="29"/>
    <s v="conventional_turnover_incentive_-323"/>
    <x v="1847"/>
    <n v="0.74798420700000001"/>
    <n v="1"/>
    <n v="-730"/>
    <n v="180"/>
  </r>
  <r>
    <x v="29"/>
    <s v="conventional_turnover_incentive_-322"/>
    <x v="1848"/>
    <n v="0.74826300800000001"/>
    <n v="1"/>
    <n v="-730"/>
    <n v="180"/>
  </r>
  <r>
    <x v="29"/>
    <s v="conventional_turnover_incentive_-321"/>
    <x v="1849"/>
    <n v="0.748550881"/>
    <n v="1"/>
    <n v="-730"/>
    <n v="180"/>
  </r>
  <r>
    <x v="29"/>
    <s v="conventional_turnover_incentive_-320"/>
    <x v="1850"/>
    <n v="0.74884799999999996"/>
    <n v="1"/>
    <n v="-730"/>
    <n v="180"/>
  </r>
  <r>
    <x v="29"/>
    <s v="conventional_turnover_incentive_-319"/>
    <x v="1851"/>
    <n v="0.74915453899999995"/>
    <n v="1"/>
    <n v="-730"/>
    <n v="180"/>
  </r>
  <r>
    <x v="29"/>
    <s v="conventional_turnover_incentive_-318"/>
    <x v="1852"/>
    <n v="0.74947067199999995"/>
    <n v="1"/>
    <n v="-730"/>
    <n v="180"/>
  </r>
  <r>
    <x v="29"/>
    <s v="conventional_turnover_incentive_-317"/>
    <x v="1853"/>
    <n v="0.74979657300000002"/>
    <n v="1"/>
    <n v="-730"/>
    <n v="180"/>
  </r>
  <r>
    <x v="29"/>
    <s v="conventional_turnover_incentive_-316"/>
    <x v="1854"/>
    <n v="0.75013241600000002"/>
    <n v="1"/>
    <n v="-730"/>
    <n v="180"/>
  </r>
  <r>
    <x v="29"/>
    <s v="conventional_turnover_incentive_-315"/>
    <x v="1855"/>
    <n v="0.75047837500000003"/>
    <n v="1"/>
    <n v="-730"/>
    <n v="180"/>
  </r>
  <r>
    <x v="29"/>
    <s v="conventional_turnover_incentive_-314"/>
    <x v="1856"/>
    <n v="0.75083462400000001"/>
    <n v="1"/>
    <n v="-730"/>
    <n v="180"/>
  </r>
  <r>
    <x v="29"/>
    <s v="conventional_turnover_incentive_-313"/>
    <x v="1857"/>
    <n v="0.75120133700000002"/>
    <n v="1"/>
    <n v="-730"/>
    <n v="180"/>
  </r>
  <r>
    <x v="29"/>
    <s v="conventional_turnover_incentive_-312"/>
    <x v="1858"/>
    <n v="0.75157868800000005"/>
    <n v="1"/>
    <n v="-730"/>
    <n v="180"/>
  </r>
  <r>
    <x v="29"/>
    <s v="conventional_turnover_incentive_-311"/>
    <x v="1859"/>
    <n v="0.75196685100000005"/>
    <n v="1"/>
    <n v="-730"/>
    <n v="180"/>
  </r>
  <r>
    <x v="29"/>
    <s v="conventional_turnover_incentive_-310"/>
    <x v="1860"/>
    <n v="0.75236599999999998"/>
    <n v="1"/>
    <n v="-730"/>
    <n v="180"/>
  </r>
  <r>
    <x v="29"/>
    <s v="conventional_turnover_incentive_-309"/>
    <x v="1861"/>
    <n v="0.75277630900000003"/>
    <n v="1"/>
    <n v="-730"/>
    <n v="180"/>
  </r>
  <r>
    <x v="29"/>
    <s v="conventional_turnover_incentive_-308"/>
    <x v="1862"/>
    <n v="0.75319795199999995"/>
    <n v="1"/>
    <n v="-730"/>
    <n v="180"/>
  </r>
  <r>
    <x v="29"/>
    <s v="conventional_turnover_incentive_-307"/>
    <x v="1863"/>
    <n v="0.75363110300000002"/>
    <n v="1"/>
    <n v="-730"/>
    <n v="180"/>
  </r>
  <r>
    <x v="29"/>
    <s v="conventional_turnover_incentive_-306"/>
    <x v="1864"/>
    <n v="0.754075936"/>
    <n v="1"/>
    <n v="-730"/>
    <n v="180"/>
  </r>
  <r>
    <x v="29"/>
    <s v="conventional_turnover_incentive_-305"/>
    <x v="1865"/>
    <n v="0.75453262499999996"/>
    <n v="1"/>
    <n v="-730"/>
    <n v="180"/>
  </r>
  <r>
    <x v="29"/>
    <s v="conventional_turnover_incentive_-304"/>
    <x v="1866"/>
    <n v="0.75500134399999996"/>
    <n v="1"/>
    <n v="-730"/>
    <n v="180"/>
  </r>
  <r>
    <x v="29"/>
    <s v="conventional_turnover_incentive_-303"/>
    <x v="1867"/>
    <n v="0.75548226699999999"/>
    <n v="1"/>
    <n v="-730"/>
    <n v="180"/>
  </r>
  <r>
    <x v="29"/>
    <s v="conventional_turnover_incentive_-302"/>
    <x v="1868"/>
    <n v="0.75597556799999999"/>
    <n v="1"/>
    <n v="-730"/>
    <n v="180"/>
  </r>
  <r>
    <x v="29"/>
    <s v="conventional_turnover_incentive_-301"/>
    <x v="1869"/>
    <n v="0.75648142100000004"/>
    <n v="1"/>
    <n v="-730"/>
    <n v="180"/>
  </r>
  <r>
    <x v="29"/>
    <s v="conventional_turnover_incentive_-300"/>
    <x v="1260"/>
    <n v="0.75700000000000001"/>
    <n v="1"/>
    <n v="-730"/>
    <n v="180"/>
  </r>
  <r>
    <x v="29"/>
    <s v="conventional_turnover_incentive_-299"/>
    <x v="1870"/>
    <n v="0.75752652050000002"/>
    <n v="1"/>
    <n v="-730"/>
    <n v="180"/>
  </r>
  <r>
    <x v="29"/>
    <s v="conventional_turnover_incentive_-298"/>
    <x v="1871"/>
    <n v="0.75805616399999998"/>
    <n v="1"/>
    <n v="-730"/>
    <n v="180"/>
  </r>
  <r>
    <x v="29"/>
    <s v="conventional_turnover_incentive_-297"/>
    <x v="1872"/>
    <n v="0.75858905350000005"/>
    <n v="1"/>
    <n v="-730"/>
    <n v="180"/>
  </r>
  <r>
    <x v="29"/>
    <s v="conventional_turnover_incentive_-296"/>
    <x v="1873"/>
    <n v="0.759125312"/>
    <n v="1"/>
    <n v="-730"/>
    <n v="180"/>
  </r>
  <r>
    <x v="29"/>
    <s v="conventional_turnover_incentive_-295"/>
    <x v="1874"/>
    <n v="0.75966506249999999"/>
    <n v="1"/>
    <n v="-730"/>
    <n v="180"/>
  </r>
  <r>
    <x v="29"/>
    <s v="conventional_turnover_incentive_-294"/>
    <x v="1875"/>
    <n v="0.76020842799999999"/>
    <n v="1"/>
    <n v="-730"/>
    <n v="180"/>
  </r>
  <r>
    <x v="29"/>
    <s v="conventional_turnover_incentive_-293"/>
    <x v="1876"/>
    <n v="0.76075553149999997"/>
    <n v="1"/>
    <n v="-730"/>
    <n v="180"/>
  </r>
  <r>
    <x v="29"/>
    <s v="conventional_turnover_incentive_-292"/>
    <x v="1877"/>
    <n v="0.761306496"/>
    <n v="1"/>
    <n v="-730"/>
    <n v="180"/>
  </r>
  <r>
    <x v="29"/>
    <s v="conventional_turnover_incentive_-291"/>
    <x v="1878"/>
    <n v="0.76186144450000004"/>
    <n v="1"/>
    <n v="-730"/>
    <n v="180"/>
  </r>
  <r>
    <x v="29"/>
    <s v="conventional_turnover_incentive_-290"/>
    <x v="981"/>
    <n v="0.76242049999999995"/>
    <n v="1"/>
    <n v="-730"/>
    <n v="180"/>
  </r>
  <r>
    <x v="29"/>
    <s v="conventional_turnover_incentive_-289"/>
    <x v="982"/>
    <n v="0.76298378550000001"/>
    <n v="1"/>
    <n v="-730"/>
    <n v="180"/>
  </r>
  <r>
    <x v="29"/>
    <s v="conventional_turnover_incentive_-288"/>
    <x v="983"/>
    <n v="0.76355142399999998"/>
    <n v="1"/>
    <n v="-730"/>
    <n v="180"/>
  </r>
  <r>
    <x v="29"/>
    <s v="conventional_turnover_incentive_-287"/>
    <x v="984"/>
    <n v="0.76412353850000003"/>
    <n v="1"/>
    <n v="-730"/>
    <n v="180"/>
  </r>
  <r>
    <x v="29"/>
    <s v="conventional_turnover_incentive_-286"/>
    <x v="985"/>
    <n v="0.76470025200000002"/>
    <n v="1"/>
    <n v="-730"/>
    <n v="180"/>
  </r>
  <r>
    <x v="29"/>
    <s v="conventional_turnover_incentive_-285"/>
    <x v="986"/>
    <n v="0.76528168750000003"/>
    <n v="1"/>
    <n v="-730"/>
    <n v="180"/>
  </r>
  <r>
    <x v="29"/>
    <s v="conventional_turnover_incentive_-284"/>
    <x v="987"/>
    <n v="0.76586796800000001"/>
    <n v="1"/>
    <n v="-730"/>
    <n v="180"/>
  </r>
  <r>
    <x v="29"/>
    <s v="conventional_turnover_incentive_-283"/>
    <x v="988"/>
    <n v="0.76645921650000004"/>
    <n v="1"/>
    <n v="-730"/>
    <n v="180"/>
  </r>
  <r>
    <x v="29"/>
    <s v="conventional_turnover_incentive_-282"/>
    <x v="989"/>
    <n v="0.76705555599999997"/>
    <n v="1"/>
    <n v="-730"/>
    <n v="180"/>
  </r>
  <r>
    <x v="29"/>
    <s v="conventional_turnover_incentive_-281"/>
    <x v="990"/>
    <n v="0.76765710949999999"/>
    <n v="1"/>
    <n v="-730"/>
    <n v="180"/>
  </r>
  <r>
    <x v="29"/>
    <s v="conventional_turnover_incentive_-280"/>
    <x v="991"/>
    <n v="0.76826399999999995"/>
    <n v="1"/>
    <n v="-730"/>
    <n v="180"/>
  </r>
  <r>
    <x v="29"/>
    <s v="conventional_turnover_incentive_-279"/>
    <x v="992"/>
    <n v="0.76887635050000003"/>
    <n v="1"/>
    <n v="-730"/>
    <n v="180"/>
  </r>
  <r>
    <x v="29"/>
    <s v="conventional_turnover_incentive_-278"/>
    <x v="993"/>
    <n v="0.76949428399999997"/>
    <n v="1"/>
    <n v="-730"/>
    <n v="180"/>
  </r>
  <r>
    <x v="29"/>
    <s v="conventional_turnover_incentive_-277"/>
    <x v="994"/>
    <n v="0.77011792349999997"/>
    <n v="1"/>
    <n v="-730"/>
    <n v="180"/>
  </r>
  <r>
    <x v="29"/>
    <s v="conventional_turnover_incentive_-276"/>
    <x v="995"/>
    <n v="0.77074739199999998"/>
    <n v="1"/>
    <n v="-730"/>
    <n v="180"/>
  </r>
  <r>
    <x v="29"/>
    <s v="conventional_turnover_incentive_-275"/>
    <x v="996"/>
    <n v="0.77138281249999996"/>
    <n v="1"/>
    <n v="-730"/>
    <n v="180"/>
  </r>
  <r>
    <x v="29"/>
    <s v="conventional_turnover_incentive_-274"/>
    <x v="997"/>
    <n v="0.77202430799999999"/>
    <n v="1"/>
    <n v="-730"/>
    <n v="180"/>
  </r>
  <r>
    <x v="29"/>
    <s v="conventional_turnover_incentive_-273"/>
    <x v="998"/>
    <n v="0.77267200150000004"/>
    <n v="1"/>
    <n v="-730"/>
    <n v="180"/>
  </r>
  <r>
    <x v="29"/>
    <s v="conventional_turnover_incentive_-272"/>
    <x v="999"/>
    <n v="0.77332601599999995"/>
    <n v="1"/>
    <n v="-730"/>
    <n v="180"/>
  </r>
  <r>
    <x v="29"/>
    <s v="conventional_turnover_incentive_-271"/>
    <x v="1000"/>
    <n v="0.77398647450000002"/>
    <n v="1"/>
    <n v="-730"/>
    <n v="180"/>
  </r>
  <r>
    <x v="29"/>
    <s v="conventional_turnover_incentive_-270"/>
    <x v="1001"/>
    <n v="0.77465349999999999"/>
    <n v="1"/>
    <n v="-730"/>
    <n v="180"/>
  </r>
  <r>
    <x v="29"/>
    <s v="conventional_turnover_incentive_-269"/>
    <x v="1002"/>
    <n v="0.77532721550000006"/>
    <n v="1"/>
    <n v="-730"/>
    <n v="180"/>
  </r>
  <r>
    <x v="29"/>
    <s v="conventional_turnover_incentive_-268"/>
    <x v="1003"/>
    <n v="0.77600774400000005"/>
    <n v="1"/>
    <n v="-730"/>
    <n v="180"/>
  </r>
  <r>
    <x v="29"/>
    <s v="conventional_turnover_incentive_-267"/>
    <x v="1004"/>
    <n v="0.77669520849999996"/>
    <n v="1"/>
    <n v="-730"/>
    <n v="180"/>
  </r>
  <r>
    <x v="29"/>
    <s v="conventional_turnover_incentive_-266"/>
    <x v="1005"/>
    <n v="0.77738973200000006"/>
    <n v="1"/>
    <n v="-730"/>
    <n v="180"/>
  </r>
  <r>
    <x v="29"/>
    <s v="conventional_turnover_incentive_-265"/>
    <x v="1006"/>
    <n v="0.77809143749999998"/>
    <n v="1"/>
    <n v="-730"/>
    <n v="180"/>
  </r>
  <r>
    <x v="29"/>
    <s v="conventional_turnover_incentive_-264"/>
    <x v="1007"/>
    <n v="0.77880044800000003"/>
    <n v="1"/>
    <n v="-730"/>
    <n v="180"/>
  </r>
  <r>
    <x v="29"/>
    <s v="conventional_turnover_incentive_-263"/>
    <x v="1008"/>
    <n v="0.77951688649999995"/>
    <n v="1"/>
    <n v="-730"/>
    <n v="180"/>
  </r>
  <r>
    <x v="29"/>
    <s v="conventional_turnover_incentive_-262"/>
    <x v="1009"/>
    <n v="0.78024087600000003"/>
    <n v="1"/>
    <n v="-730"/>
    <n v="180"/>
  </r>
  <r>
    <x v="29"/>
    <s v="conventional_turnover_incentive_-261"/>
    <x v="1010"/>
    <n v="0.78097253950000001"/>
    <n v="1"/>
    <n v="-730"/>
    <n v="180"/>
  </r>
  <r>
    <x v="29"/>
    <s v="conventional_turnover_incentive_-260"/>
    <x v="1011"/>
    <n v="0.78171199999999996"/>
    <n v="1"/>
    <n v="-730"/>
    <n v="180"/>
  </r>
  <r>
    <x v="29"/>
    <s v="conventional_turnover_incentive_-259"/>
    <x v="1012"/>
    <n v="0.78245938049999997"/>
    <n v="1"/>
    <n v="-730"/>
    <n v="180"/>
  </r>
  <r>
    <x v="29"/>
    <s v="conventional_turnover_incentive_-258"/>
    <x v="1013"/>
    <n v="0.78321480399999999"/>
    <n v="1"/>
    <n v="-730"/>
    <n v="180"/>
  </r>
  <r>
    <x v="29"/>
    <s v="conventional_turnover_incentive_-257"/>
    <x v="1014"/>
    <n v="0.78397839349999998"/>
    <n v="1"/>
    <n v="-730"/>
    <n v="180"/>
  </r>
  <r>
    <x v="29"/>
    <s v="conventional_turnover_incentive_-256"/>
    <x v="1015"/>
    <n v="0.78475027200000003"/>
    <n v="1"/>
    <n v="-730"/>
    <n v="180"/>
  </r>
  <r>
    <x v="29"/>
    <s v="conventional_turnover_incentive_-255"/>
    <x v="1016"/>
    <n v="0.78553056249999997"/>
    <n v="1"/>
    <n v="-730"/>
    <n v="180"/>
  </r>
  <r>
    <x v="29"/>
    <s v="conventional_turnover_incentive_-254"/>
    <x v="1017"/>
    <n v="0.78631938800000001"/>
    <n v="1"/>
    <n v="-730"/>
    <n v="180"/>
  </r>
  <r>
    <x v="29"/>
    <s v="conventional_turnover_incentive_-253"/>
    <x v="1018"/>
    <n v="0.78711687149999998"/>
    <n v="1"/>
    <n v="-730"/>
    <n v="180"/>
  </r>
  <r>
    <x v="29"/>
    <s v="conventional_turnover_incentive_-252"/>
    <x v="1019"/>
    <n v="0.78792313599999997"/>
    <n v="1"/>
    <n v="-730"/>
    <n v="180"/>
  </r>
  <r>
    <x v="29"/>
    <s v="conventional_turnover_incentive_-251"/>
    <x v="1020"/>
    <n v="0.78873830450000004"/>
    <n v="1"/>
    <n v="-730"/>
    <n v="180"/>
  </r>
  <r>
    <x v="29"/>
    <s v="conventional_turnover_incentive_-250"/>
    <x v="1021"/>
    <n v="0.78956249999999994"/>
    <n v="1"/>
    <n v="-730"/>
    <n v="180"/>
  </r>
  <r>
    <x v="29"/>
    <s v="conventional_turnover_incentive_-249"/>
    <x v="1022"/>
    <n v="0.79039584549999997"/>
    <n v="1"/>
    <n v="-730"/>
    <n v="180"/>
  </r>
  <r>
    <x v="29"/>
    <s v="conventional_turnover_incentive_-248"/>
    <x v="1023"/>
    <n v="0.79123846399999997"/>
    <n v="1"/>
    <n v="-730"/>
    <n v="180"/>
  </r>
  <r>
    <x v="29"/>
    <s v="conventional_turnover_incentive_-247"/>
    <x v="1024"/>
    <n v="0.79209047850000003"/>
    <n v="1"/>
    <n v="-730"/>
    <n v="180"/>
  </r>
  <r>
    <x v="29"/>
    <s v="conventional_turnover_incentive_-246"/>
    <x v="1025"/>
    <n v="0.79295201199999998"/>
    <n v="1"/>
    <n v="-730"/>
    <n v="180"/>
  </r>
  <r>
    <x v="29"/>
    <s v="conventional_turnover_incentive_-245"/>
    <x v="1026"/>
    <n v="0.79382318750000003"/>
    <n v="1"/>
    <n v="-730"/>
    <n v="180"/>
  </r>
  <r>
    <x v="29"/>
    <s v="conventional_turnover_incentive_-244"/>
    <x v="1027"/>
    <n v="0.79470412800000001"/>
    <n v="1"/>
    <n v="-730"/>
    <n v="180"/>
  </r>
  <r>
    <x v="29"/>
    <s v="conventional_turnover_incentive_-243"/>
    <x v="1028"/>
    <n v="0.79559495650000001"/>
    <n v="1"/>
    <n v="-730"/>
    <n v="180"/>
  </r>
  <r>
    <x v="29"/>
    <s v="conventional_turnover_incentive_-242"/>
    <x v="1029"/>
    <n v="0.79649579599999998"/>
    <n v="1"/>
    <n v="-730"/>
    <n v="180"/>
  </r>
  <r>
    <x v="29"/>
    <s v="conventional_turnover_incentive_-241"/>
    <x v="1030"/>
    <n v="0.7974067695"/>
    <n v="1"/>
    <n v="-730"/>
    <n v="180"/>
  </r>
  <r>
    <x v="29"/>
    <s v="conventional_turnover_incentive_-240"/>
    <x v="1031"/>
    <n v="0.79832800000000004"/>
    <n v="1"/>
    <n v="-730"/>
    <n v="180"/>
  </r>
  <r>
    <x v="29"/>
    <s v="conventional_turnover_incentive_-239"/>
    <x v="1032"/>
    <n v="0.79925961050000005"/>
    <n v="1"/>
    <n v="-730"/>
    <n v="180"/>
  </r>
  <r>
    <x v="29"/>
    <s v="conventional_turnover_incentive_-238"/>
    <x v="1033"/>
    <n v="0.800201724"/>
    <n v="1"/>
    <n v="-730"/>
    <n v="180"/>
  </r>
  <r>
    <x v="29"/>
    <s v="conventional_turnover_incentive_-237"/>
    <x v="1034"/>
    <n v="0.80115446349999997"/>
    <n v="1"/>
    <n v="-730"/>
    <n v="180"/>
  </r>
  <r>
    <x v="29"/>
    <s v="conventional_turnover_incentive_-236"/>
    <x v="1035"/>
    <n v="0.80211795200000002"/>
    <n v="1"/>
    <n v="-730"/>
    <n v="180"/>
  </r>
  <r>
    <x v="29"/>
    <s v="conventional_turnover_incentive_-235"/>
    <x v="1036"/>
    <n v="0.80309231250000002"/>
    <n v="1"/>
    <n v="-730"/>
    <n v="180"/>
  </r>
  <r>
    <x v="29"/>
    <s v="conventional_turnover_incentive_-234"/>
    <x v="1037"/>
    <n v="0.80407766800000002"/>
    <n v="1"/>
    <n v="-730"/>
    <n v="180"/>
  </r>
  <r>
    <x v="29"/>
    <s v="conventional_turnover_incentive_-233"/>
    <x v="1038"/>
    <n v="0.80507414150000001"/>
    <n v="1"/>
    <n v="-730"/>
    <n v="180"/>
  </r>
  <r>
    <x v="29"/>
    <s v="conventional_turnover_incentive_-232"/>
    <x v="1039"/>
    <n v="0.80608185600000004"/>
    <n v="1"/>
    <n v="-730"/>
    <n v="180"/>
  </r>
  <r>
    <x v="29"/>
    <s v="conventional_turnover_incentive_-231"/>
    <x v="1040"/>
    <n v="0.80710093449999998"/>
    <n v="1"/>
    <n v="-730"/>
    <n v="180"/>
  </r>
  <r>
    <x v="29"/>
    <s v="conventional_turnover_incentive_-230"/>
    <x v="1041"/>
    <n v="0.8081315"/>
    <n v="1"/>
    <n v="-730"/>
    <n v="180"/>
  </r>
  <r>
    <x v="29"/>
    <s v="conventional_turnover_incentive_-229"/>
    <x v="1042"/>
    <n v="0.80917367549999997"/>
    <n v="1"/>
    <n v="-730"/>
    <n v="180"/>
  </r>
  <r>
    <x v="29"/>
    <s v="conventional_turnover_incentive_-228"/>
    <x v="1043"/>
    <n v="0.81022758399999995"/>
    <n v="1"/>
    <n v="-730"/>
    <n v="180"/>
  </r>
  <r>
    <x v="29"/>
    <s v="conventional_turnover_incentive_-227"/>
    <x v="1044"/>
    <n v="0.81129334850000001"/>
    <n v="1"/>
    <n v="-730"/>
    <n v="180"/>
  </r>
  <r>
    <x v="29"/>
    <s v="conventional_turnover_incentive_-226"/>
    <x v="1045"/>
    <n v="0.81237109200000002"/>
    <n v="1"/>
    <n v="-730"/>
    <n v="180"/>
  </r>
  <r>
    <x v="29"/>
    <s v="conventional_turnover_incentive_-225"/>
    <x v="1046"/>
    <n v="0.81346093750000004"/>
    <n v="1"/>
    <n v="-730"/>
    <n v="180"/>
  </r>
  <r>
    <x v="29"/>
    <s v="conventional_turnover_incentive_-224"/>
    <x v="1047"/>
    <n v="0.81456300800000003"/>
    <n v="1"/>
    <n v="-730"/>
    <n v="180"/>
  </r>
  <r>
    <x v="29"/>
    <s v="conventional_turnover_incentive_-223"/>
    <x v="1048"/>
    <n v="0.81567742649999997"/>
    <n v="1"/>
    <n v="-730"/>
    <n v="180"/>
  </r>
  <r>
    <x v="29"/>
    <s v="conventional_turnover_incentive_-222"/>
    <x v="1049"/>
    <n v="0.81680431600000003"/>
    <n v="1"/>
    <n v="-730"/>
    <n v="180"/>
  </r>
  <r>
    <x v="29"/>
    <s v="conventional_turnover_incentive_-221"/>
    <x v="1050"/>
    <n v="0.81794379949999996"/>
    <n v="1"/>
    <n v="-730"/>
    <n v="180"/>
  </r>
  <r>
    <x v="29"/>
    <s v="conventional_turnover_incentive_-220"/>
    <x v="1051"/>
    <n v="0.81909600000000005"/>
    <n v="1"/>
    <n v="-730"/>
    <n v="180"/>
  </r>
  <r>
    <x v="29"/>
    <s v="conventional_turnover_incentive_-219"/>
    <x v="1052"/>
    <n v="0.82026104050000004"/>
    <n v="1"/>
    <n v="-730"/>
    <n v="180"/>
  </r>
  <r>
    <x v="29"/>
    <s v="conventional_turnover_incentive_-218"/>
    <x v="1053"/>
    <n v="0.82143904400000001"/>
    <n v="1"/>
    <n v="-730"/>
    <n v="180"/>
  </r>
  <r>
    <x v="29"/>
    <s v="conventional_turnover_incentive_-217"/>
    <x v="1054"/>
    <n v="0.82263013350000003"/>
    <n v="1"/>
    <n v="-730"/>
    <n v="180"/>
  </r>
  <r>
    <x v="29"/>
    <s v="conventional_turnover_incentive_-216"/>
    <x v="1055"/>
    <n v="0.82383443199999995"/>
    <n v="1"/>
    <n v="-730"/>
    <n v="180"/>
  </r>
  <r>
    <x v="29"/>
    <s v="conventional_turnover_incentive_-215"/>
    <x v="1056"/>
    <n v="0.82505206249999996"/>
    <n v="1"/>
    <n v="-730"/>
    <n v="180"/>
  </r>
  <r>
    <x v="29"/>
    <s v="conventional_turnover_incentive_-214"/>
    <x v="1057"/>
    <n v="0.82628314800000002"/>
    <n v="1"/>
    <n v="-730"/>
    <n v="180"/>
  </r>
  <r>
    <x v="29"/>
    <s v="conventional_turnover_incentive_-213"/>
    <x v="1058"/>
    <n v="0.82752781149999999"/>
    <n v="1"/>
    <n v="-730"/>
    <n v="180"/>
  </r>
  <r>
    <x v="29"/>
    <s v="conventional_turnover_incentive_-212"/>
    <x v="1059"/>
    <n v="0.82878617600000004"/>
    <n v="1"/>
    <n v="-730"/>
    <n v="180"/>
  </r>
  <r>
    <x v="29"/>
    <s v="conventional_turnover_incentive_-211"/>
    <x v="1060"/>
    <n v="0.83005836450000003"/>
    <n v="1"/>
    <n v="-730"/>
    <n v="180"/>
  </r>
  <r>
    <x v="29"/>
    <s v="conventional_turnover_incentive_-210"/>
    <x v="1061"/>
    <n v="0.83134450000000004"/>
    <n v="1"/>
    <n v="-730"/>
    <n v="180"/>
  </r>
  <r>
    <x v="29"/>
    <s v="conventional_turnover_incentive_-209"/>
    <x v="1062"/>
    <n v="0.83264470550000003"/>
    <n v="1"/>
    <n v="-730"/>
    <n v="180"/>
  </r>
  <r>
    <x v="29"/>
    <s v="conventional_turnover_incentive_-208"/>
    <x v="1063"/>
    <n v="0.83395910399999995"/>
    <n v="1"/>
    <n v="-730"/>
    <n v="180"/>
  </r>
  <r>
    <x v="29"/>
    <s v="conventional_turnover_incentive_-207"/>
    <x v="1064"/>
    <n v="0.8352878185"/>
    <n v="1"/>
    <n v="-730"/>
    <n v="180"/>
  </r>
  <r>
    <x v="29"/>
    <s v="conventional_turnover_incentive_-206"/>
    <x v="1065"/>
    <n v="0.83663097200000003"/>
    <n v="1"/>
    <n v="-730"/>
    <n v="180"/>
  </r>
  <r>
    <x v="29"/>
    <s v="conventional_turnover_incentive_-205"/>
    <x v="1066"/>
    <n v="0.8379886875"/>
    <n v="1"/>
    <n v="-730"/>
    <n v="180"/>
  </r>
  <r>
    <x v="29"/>
    <s v="conventional_turnover_incentive_-204"/>
    <x v="1067"/>
    <n v="0.83936108799999998"/>
    <n v="1"/>
    <n v="-730"/>
    <n v="180"/>
  </r>
  <r>
    <x v="29"/>
    <s v="conventional_turnover_incentive_-203"/>
    <x v="1068"/>
    <n v="0.84074829650000005"/>
    <n v="1"/>
    <n v="-730"/>
    <n v="180"/>
  </r>
  <r>
    <x v="29"/>
    <s v="conventional_turnover_incentive_-202"/>
    <x v="1069"/>
    <n v="0.84215043599999995"/>
    <n v="1"/>
    <n v="-730"/>
    <n v="180"/>
  </r>
  <r>
    <x v="29"/>
    <s v="conventional_turnover_incentive_-201"/>
    <x v="1070"/>
    <n v="0.84356762949999997"/>
    <n v="1"/>
    <n v="-730"/>
    <n v="180"/>
  </r>
  <r>
    <x v="29"/>
    <s v="conventional_turnover_incentive_-200"/>
    <x v="1071"/>
    <n v="0.84499999999999997"/>
    <n v="1"/>
    <n v="-730"/>
    <n v="180"/>
  </r>
  <r>
    <x v="29"/>
    <s v="conventional_turnover_incentive_-199"/>
    <x v="1072"/>
    <n v="0.84643708600000001"/>
    <n v="1"/>
    <n v="-730"/>
    <n v="180"/>
  </r>
  <r>
    <x v="29"/>
    <s v="conventional_turnover_incentive_-198"/>
    <x v="1073"/>
    <n v="0.84786868800000004"/>
    <n v="1"/>
    <n v="-730"/>
    <n v="180"/>
  </r>
  <r>
    <x v="29"/>
    <s v="conventional_turnover_incentive_-197"/>
    <x v="1074"/>
    <n v="0.84929532200000002"/>
    <n v="1"/>
    <n v="-730"/>
    <n v="180"/>
  </r>
  <r>
    <x v="29"/>
    <s v="conventional_turnover_incentive_-196"/>
    <x v="1075"/>
    <n v="0.85071750400000001"/>
    <n v="1"/>
    <n v="-730"/>
    <n v="180"/>
  </r>
  <r>
    <x v="29"/>
    <s v="conventional_turnover_incentive_-195"/>
    <x v="1076"/>
    <n v="0.85213574999999997"/>
    <n v="1"/>
    <n v="-730"/>
    <n v="180"/>
  </r>
  <r>
    <x v="29"/>
    <s v="conventional_turnover_incentive_-194"/>
    <x v="1077"/>
    <n v="0.85355057599999995"/>
    <n v="1"/>
    <n v="-730"/>
    <n v="180"/>
  </r>
  <r>
    <x v="29"/>
    <s v="conventional_turnover_incentive_-193"/>
    <x v="1078"/>
    <n v="0.85496249800000002"/>
    <n v="1"/>
    <n v="-730"/>
    <n v="180"/>
  </r>
  <r>
    <x v="29"/>
    <s v="conventional_turnover_incentive_-192"/>
    <x v="1079"/>
    <n v="0.85637203200000001"/>
    <n v="1"/>
    <n v="-730"/>
    <n v="180"/>
  </r>
  <r>
    <x v="29"/>
    <s v="conventional_turnover_incentive_-191"/>
    <x v="1080"/>
    <n v="0.85777969399999998"/>
    <n v="1"/>
    <n v="-730"/>
    <n v="180"/>
  </r>
  <r>
    <x v="29"/>
    <s v="conventional_turnover_incentive_-190"/>
    <x v="1081"/>
    <n v="0.85918600000000001"/>
    <n v="1"/>
    <n v="-730"/>
    <n v="180"/>
  </r>
  <r>
    <x v="29"/>
    <s v="conventional_turnover_incentive_-189"/>
    <x v="1082"/>
    <n v="0.86059146600000003"/>
    <n v="1"/>
    <n v="-730"/>
    <n v="180"/>
  </r>
  <r>
    <x v="29"/>
    <s v="conventional_turnover_incentive_-188"/>
    <x v="1083"/>
    <n v="0.861996608"/>
    <n v="1"/>
    <n v="-730"/>
    <n v="180"/>
  </r>
  <r>
    <x v="29"/>
    <s v="conventional_turnover_incentive_-187"/>
    <x v="1084"/>
    <n v="0.86340194199999998"/>
    <n v="1"/>
    <n v="-730"/>
    <n v="180"/>
  </r>
  <r>
    <x v="29"/>
    <s v="conventional_turnover_incentive_-186"/>
    <x v="1085"/>
    <n v="0.86480798400000003"/>
    <n v="1"/>
    <n v="-730"/>
    <n v="180"/>
  </r>
  <r>
    <x v="29"/>
    <s v="conventional_turnover_incentive_-185"/>
    <x v="1086"/>
    <n v="0.86621524999999999"/>
    <n v="1"/>
    <n v="-730"/>
    <n v="180"/>
  </r>
  <r>
    <x v="29"/>
    <s v="conventional_turnover_incentive_-184"/>
    <x v="1087"/>
    <n v="0.86762425600000004"/>
    <n v="1"/>
    <n v="-730"/>
    <n v="180"/>
  </r>
  <r>
    <x v="29"/>
    <s v="conventional_turnover_incentive_-183"/>
    <x v="1088"/>
    <n v="0.86903551800000001"/>
    <n v="1"/>
    <n v="-730"/>
    <n v="180"/>
  </r>
  <r>
    <x v="29"/>
    <s v="conventional_turnover_incentive_-182"/>
    <x v="1089"/>
    <n v="0.87044955199999996"/>
    <n v="1"/>
    <n v="-730"/>
    <n v="180"/>
  </r>
  <r>
    <x v="29"/>
    <s v="conventional_turnover_incentive_-181"/>
    <x v="1090"/>
    <n v="0.87186687399999996"/>
    <n v="1"/>
    <n v="-730"/>
    <n v="180"/>
  </r>
  <r>
    <x v="29"/>
    <s v="conventional_turnover_incentive_-180"/>
    <x v="1091"/>
    <n v="0.87328799999999995"/>
    <n v="1"/>
    <n v="-730"/>
    <n v="180"/>
  </r>
  <r>
    <x v="29"/>
    <s v="conventional_turnover_incentive_-179"/>
    <x v="1092"/>
    <n v="0.87471344600000001"/>
    <n v="1"/>
    <n v="-730"/>
    <n v="180"/>
  </r>
  <r>
    <x v="29"/>
    <s v="conventional_turnover_incentive_-178"/>
    <x v="1093"/>
    <n v="0.87614372799999996"/>
    <n v="1"/>
    <n v="-730"/>
    <n v="180"/>
  </r>
  <r>
    <x v="29"/>
    <s v="conventional_turnover_incentive_-177"/>
    <x v="1094"/>
    <n v="0.87757936199999997"/>
    <n v="1"/>
    <n v="-730"/>
    <n v="180"/>
  </r>
  <r>
    <x v="29"/>
    <s v="conventional_turnover_incentive_-176"/>
    <x v="1095"/>
    <n v="0.87902086400000001"/>
    <n v="1"/>
    <n v="-730"/>
    <n v="180"/>
  </r>
  <r>
    <x v="29"/>
    <s v="conventional_turnover_incentive_-175"/>
    <x v="1096"/>
    <n v="0.88046875000000002"/>
    <n v="1"/>
    <n v="-730"/>
    <n v="180"/>
  </r>
  <r>
    <x v="29"/>
    <s v="conventional_turnover_incentive_-174"/>
    <x v="1097"/>
    <n v="0.88192353599999995"/>
    <n v="1"/>
    <n v="-730"/>
    <n v="180"/>
  </r>
  <r>
    <x v="29"/>
    <s v="conventional_turnover_incentive_-173"/>
    <x v="1098"/>
    <n v="0.88338573799999998"/>
    <n v="1"/>
    <n v="-730"/>
    <n v="180"/>
  </r>
  <r>
    <x v="29"/>
    <s v="conventional_turnover_incentive_-172"/>
    <x v="1099"/>
    <n v="0.88485587200000004"/>
    <n v="1"/>
    <n v="-730"/>
    <n v="180"/>
  </r>
  <r>
    <x v="29"/>
    <s v="conventional_turnover_incentive_-171"/>
    <x v="1100"/>
    <n v="0.88633445399999999"/>
    <n v="1"/>
    <n v="-730"/>
    <n v="180"/>
  </r>
  <r>
    <x v="29"/>
    <s v="conventional_turnover_incentive_-170"/>
    <x v="1101"/>
    <n v="0.887822"/>
    <n v="1"/>
    <n v="-730"/>
    <n v="180"/>
  </r>
  <r>
    <x v="29"/>
    <s v="conventional_turnover_incentive_-169"/>
    <x v="1102"/>
    <n v="0.88931902600000001"/>
    <n v="1"/>
    <n v="-730"/>
    <n v="180"/>
  </r>
  <r>
    <x v="29"/>
    <s v="conventional_turnover_incentive_-168"/>
    <x v="1103"/>
    <n v="0.89082604799999998"/>
    <n v="1"/>
    <n v="-730"/>
    <n v="180"/>
  </r>
  <r>
    <x v="29"/>
    <s v="conventional_turnover_incentive_-167"/>
    <x v="1104"/>
    <n v="0.89234358199999997"/>
    <n v="1"/>
    <n v="-730"/>
    <n v="180"/>
  </r>
  <r>
    <x v="29"/>
    <s v="conventional_turnover_incentive_-166"/>
    <x v="1105"/>
    <n v="0.89387214400000004"/>
    <n v="1"/>
    <n v="-730"/>
    <n v="180"/>
  </r>
  <r>
    <x v="29"/>
    <s v="conventional_turnover_incentive_-165"/>
    <x v="1106"/>
    <n v="0.89541225000000002"/>
    <n v="1"/>
    <n v="-730"/>
    <n v="180"/>
  </r>
  <r>
    <x v="29"/>
    <s v="conventional_turnover_incentive_-164"/>
    <x v="1107"/>
    <n v="0.89696441599999999"/>
    <n v="1"/>
    <n v="-730"/>
    <n v="180"/>
  </r>
  <r>
    <x v="29"/>
    <s v="conventional_turnover_incentive_-163"/>
    <x v="1108"/>
    <n v="0.89852915799999999"/>
    <n v="1"/>
    <n v="-730"/>
    <n v="180"/>
  </r>
  <r>
    <x v="29"/>
    <s v="conventional_turnover_incentive_-162"/>
    <x v="1109"/>
    <n v="0.90010699199999999"/>
    <n v="1"/>
    <n v="-730"/>
    <n v="180"/>
  </r>
  <r>
    <x v="29"/>
    <s v="conventional_turnover_incentive_-161"/>
    <x v="1110"/>
    <n v="0.90169843400000005"/>
    <n v="1"/>
    <n v="-730"/>
    <n v="180"/>
  </r>
  <r>
    <x v="29"/>
    <s v="conventional_turnover_incentive_-160"/>
    <x v="1111"/>
    <n v="0.903304"/>
    <n v="1"/>
    <n v="-730"/>
    <n v="180"/>
  </r>
  <r>
    <x v="29"/>
    <s v="conventional_turnover_incentive_-159"/>
    <x v="1112"/>
    <n v="0.90492420600000001"/>
    <n v="1"/>
    <n v="-730"/>
    <n v="180"/>
  </r>
  <r>
    <x v="29"/>
    <s v="conventional_turnover_incentive_-158"/>
    <x v="1113"/>
    <n v="0.90655956800000004"/>
    <n v="1"/>
    <n v="-730"/>
    <n v="180"/>
  </r>
  <r>
    <x v="29"/>
    <s v="conventional_turnover_incentive_-157"/>
    <x v="1114"/>
    <n v="0.90821060200000003"/>
    <n v="1"/>
    <n v="-730"/>
    <n v="180"/>
  </r>
  <r>
    <x v="29"/>
    <s v="conventional_turnover_incentive_-156"/>
    <x v="1115"/>
    <n v="0.90987782399999995"/>
    <n v="1"/>
    <n v="-730"/>
    <n v="180"/>
  </r>
  <r>
    <x v="29"/>
    <s v="conventional_turnover_incentive_-155"/>
    <x v="1116"/>
    <n v="0.91156174999999995"/>
    <n v="1"/>
    <n v="-730"/>
    <n v="180"/>
  </r>
  <r>
    <x v="29"/>
    <s v="conventional_turnover_incentive_-154"/>
    <x v="1117"/>
    <n v="0.91326289599999999"/>
    <n v="1"/>
    <n v="-730"/>
    <n v="180"/>
  </r>
  <r>
    <x v="29"/>
    <s v="conventional_turnover_incentive_-153"/>
    <x v="1118"/>
    <n v="0.91498177800000002"/>
    <n v="1"/>
    <n v="-730"/>
    <n v="180"/>
  </r>
  <r>
    <x v="29"/>
    <s v="conventional_turnover_incentive_-152"/>
    <x v="1119"/>
    <n v="0.916718912"/>
    <n v="1"/>
    <n v="-730"/>
    <n v="180"/>
  </r>
  <r>
    <x v="29"/>
    <s v="conventional_turnover_incentive_-151"/>
    <x v="1120"/>
    <n v="0.91847481399999997"/>
    <n v="1"/>
    <n v="-730"/>
    <n v="180"/>
  </r>
  <r>
    <x v="29"/>
    <s v="conventional_turnover_incentive_-150"/>
    <x v="1121"/>
    <n v="0.92025000000000001"/>
    <n v="1"/>
    <n v="-730"/>
    <n v="180"/>
  </r>
  <r>
    <x v="29"/>
    <s v="conventional_turnover_incentive_-149"/>
    <x v="1122"/>
    <n v="0.92204498599999996"/>
    <n v="1"/>
    <n v="-730"/>
    <n v="180"/>
  </r>
  <r>
    <x v="29"/>
    <s v="conventional_turnover_incentive_-148"/>
    <x v="1123"/>
    <n v="0.92386028799999997"/>
    <n v="1"/>
    <n v="-730"/>
    <n v="180"/>
  </r>
  <r>
    <x v="29"/>
    <s v="conventional_turnover_incentive_-147"/>
    <x v="1124"/>
    <n v="0.92569642200000002"/>
    <n v="1"/>
    <n v="-730"/>
    <n v="180"/>
  </r>
  <r>
    <x v="29"/>
    <s v="conventional_turnover_incentive_-146"/>
    <x v="1125"/>
    <n v="0.92755390400000004"/>
    <n v="1"/>
    <n v="-730"/>
    <n v="180"/>
  </r>
  <r>
    <x v="29"/>
    <s v="conventional_turnover_incentive_-145"/>
    <x v="1126"/>
    <n v="0.92943324999999999"/>
    <n v="1"/>
    <n v="-730"/>
    <n v="180"/>
  </r>
  <r>
    <x v="29"/>
    <s v="conventional_turnover_incentive_-144"/>
    <x v="1127"/>
    <n v="0.93133497600000004"/>
    <n v="1"/>
    <n v="-730"/>
    <n v="180"/>
  </r>
  <r>
    <x v="29"/>
    <s v="conventional_turnover_incentive_-143"/>
    <x v="1128"/>
    <n v="0.93325959800000002"/>
    <n v="1"/>
    <n v="-730"/>
    <n v="180"/>
  </r>
  <r>
    <x v="29"/>
    <s v="conventional_turnover_incentive_-142"/>
    <x v="1129"/>
    <n v="0.93520763200000001"/>
    <n v="1"/>
    <n v="-730"/>
    <n v="180"/>
  </r>
  <r>
    <x v="29"/>
    <s v="conventional_turnover_incentive_-141"/>
    <x v="1130"/>
    <n v="0.93717959399999995"/>
    <n v="1"/>
    <n v="-730"/>
    <n v="180"/>
  </r>
  <r>
    <x v="29"/>
    <s v="conventional_turnover_incentive_-140"/>
    <x v="1131"/>
    <n v="0.93917600000000001"/>
    <n v="1"/>
    <n v="-730"/>
    <n v="180"/>
  </r>
  <r>
    <x v="29"/>
    <s v="conventional_turnover_incentive_-139"/>
    <x v="1132"/>
    <n v="0.94119736600000004"/>
    <n v="1"/>
    <n v="-730"/>
    <n v="180"/>
  </r>
  <r>
    <x v="29"/>
    <s v="conventional_turnover_incentive_-138"/>
    <x v="1133"/>
    <n v="0.94324420799999997"/>
    <n v="1"/>
    <n v="-730"/>
    <n v="180"/>
  </r>
  <r>
    <x v="29"/>
    <s v="conventional_turnover_incentive_-137"/>
    <x v="1134"/>
    <n v="0.945317042"/>
    <n v="1"/>
    <n v="-730"/>
    <n v="180"/>
  </r>
  <r>
    <x v="29"/>
    <s v="conventional_turnover_incentive_-136"/>
    <x v="1135"/>
    <n v="0.94741638399999994"/>
    <n v="1"/>
    <n v="-730"/>
    <n v="180"/>
  </r>
  <r>
    <x v="29"/>
    <s v="conventional_turnover_incentive_-135"/>
    <x v="1136"/>
    <n v="0.94954274999999999"/>
    <n v="1"/>
    <n v="-730"/>
    <n v="180"/>
  </r>
  <r>
    <x v="29"/>
    <s v="conventional_turnover_incentive_-134"/>
    <x v="1137"/>
    <n v="0.95169665599999997"/>
    <n v="1"/>
    <n v="-730"/>
    <n v="180"/>
  </r>
  <r>
    <x v="29"/>
    <s v="conventional_turnover_incentive_-133"/>
    <x v="1138"/>
    <n v="0.95387861799999996"/>
    <n v="1"/>
    <n v="-730"/>
    <n v="180"/>
  </r>
  <r>
    <x v="29"/>
    <s v="conventional_turnover_incentive_-132"/>
    <x v="1139"/>
    <n v="0.956089152"/>
    <n v="1"/>
    <n v="-730"/>
    <n v="180"/>
  </r>
  <r>
    <x v="29"/>
    <s v="conventional_turnover_incentive_-131"/>
    <x v="1140"/>
    <n v="0.95832877400000005"/>
    <n v="1"/>
    <n v="-730"/>
    <n v="180"/>
  </r>
  <r>
    <x v="29"/>
    <s v="conventional_turnover_incentive_-130"/>
    <x v="1141"/>
    <n v="0.96059799999999995"/>
    <n v="1"/>
    <n v="-730"/>
    <n v="180"/>
  </r>
  <r>
    <x v="29"/>
    <s v="conventional_turnover_incentive_-129"/>
    <x v="1142"/>
    <n v="0.96289734599999999"/>
    <n v="1"/>
    <n v="-730"/>
    <n v="180"/>
  </r>
  <r>
    <x v="29"/>
    <s v="conventional_turnover_incentive_-128"/>
    <x v="1143"/>
    <n v="0.965227328"/>
    <n v="1"/>
    <n v="-730"/>
    <n v="180"/>
  </r>
  <r>
    <x v="29"/>
    <s v="conventional_turnover_incentive_-127"/>
    <x v="1144"/>
    <n v="0.96758846200000004"/>
    <n v="1"/>
    <n v="-730"/>
    <n v="180"/>
  </r>
  <r>
    <x v="29"/>
    <s v="conventional_turnover_incentive_-126"/>
    <x v="1145"/>
    <n v="0.96998126399999995"/>
    <n v="1"/>
    <n v="-730"/>
    <n v="180"/>
  </r>
  <r>
    <x v="29"/>
    <s v="conventional_turnover_incentive_-125"/>
    <x v="1146"/>
    <n v="0.97240625000000003"/>
    <n v="1"/>
    <n v="-730"/>
    <n v="180"/>
  </r>
  <r>
    <x v="29"/>
    <s v="conventional_turnover_incentive_-124"/>
    <x v="1147"/>
    <n v="0.97486393599999999"/>
    <n v="1"/>
    <n v="-730"/>
    <n v="180"/>
  </r>
  <r>
    <x v="29"/>
    <s v="conventional_turnover_incentive_-123"/>
    <x v="1148"/>
    <n v="0.977354838"/>
    <n v="1"/>
    <n v="-730"/>
    <n v="180"/>
  </r>
  <r>
    <x v="29"/>
    <s v="conventional_turnover_incentive_-122"/>
    <x v="1149"/>
    <n v="0.97987947200000003"/>
    <n v="1"/>
    <n v="-730"/>
    <n v="180"/>
  </r>
  <r>
    <x v="29"/>
    <s v="conventional_turnover_incentive_-121"/>
    <x v="1150"/>
    <n v="0.98243835400000001"/>
    <n v="1"/>
    <n v="-730"/>
    <n v="180"/>
  </r>
  <r>
    <x v="29"/>
    <s v="conventional_turnover_incentive_-120"/>
    <x v="1151"/>
    <n v="0.98503200000000002"/>
    <n v="1"/>
    <n v="-730"/>
    <n v="180"/>
  </r>
  <r>
    <x v="29"/>
    <s v="conventional_turnover_incentive_-119"/>
    <x v="1152"/>
    <n v="0.98766092599999999"/>
    <n v="1"/>
    <n v="-730"/>
    <n v="180"/>
  </r>
  <r>
    <x v="29"/>
    <s v="conventional_turnover_incentive_-118"/>
    <x v="1153"/>
    <n v="0.990325648"/>
    <n v="1"/>
    <n v="-730"/>
    <n v="180"/>
  </r>
  <r>
    <x v="29"/>
    <s v="conventional_turnover_incentive_-117"/>
    <x v="1154"/>
    <n v="0.99302668199999999"/>
    <n v="1"/>
    <n v="-730"/>
    <n v="180"/>
  </r>
  <r>
    <x v="29"/>
    <s v="conventional_turnover_incentive_-116"/>
    <x v="1155"/>
    <n v="0.99576454400000003"/>
    <n v="1"/>
    <n v="-730"/>
    <n v="180"/>
  </r>
  <r>
    <x v="29"/>
    <s v="conventional_turnover_incentive_-115"/>
    <x v="1156"/>
    <n v="0.99853974999999995"/>
    <n v="1"/>
    <n v="-730"/>
    <n v="180"/>
  </r>
  <r>
    <x v="29"/>
    <s v="conventional_turnover_incentive_-114"/>
    <x v="1157"/>
    <n v="1.001352816"/>
    <n v="1"/>
    <n v="-730"/>
    <n v="180"/>
  </r>
  <r>
    <x v="29"/>
    <s v="conventional_turnover_incentive_-113"/>
    <x v="1158"/>
    <n v="1.0042042579999999"/>
    <n v="1"/>
    <n v="-730"/>
    <n v="180"/>
  </r>
  <r>
    <x v="29"/>
    <s v="conventional_turnover_incentive_-112"/>
    <x v="1159"/>
    <n v="1.0070945920000001"/>
    <n v="1"/>
    <n v="-730"/>
    <n v="180"/>
  </r>
  <r>
    <x v="29"/>
    <s v="conventional_turnover_incentive_-111"/>
    <x v="1160"/>
    <n v="1.0100243339999999"/>
    <n v="1"/>
    <n v="-730"/>
    <n v="180"/>
  </r>
  <r>
    <x v="29"/>
    <s v="conventional_turnover_incentive_-110"/>
    <x v="1161"/>
    <n v="1.012994"/>
    <n v="1"/>
    <n v="-730"/>
    <n v="180"/>
  </r>
  <r>
    <x v="29"/>
    <s v="conventional_turnover_incentive_-109"/>
    <x v="1162"/>
    <n v="1.016004106"/>
    <n v="1"/>
    <n v="-730"/>
    <n v="180"/>
  </r>
  <r>
    <x v="29"/>
    <s v="conventional_turnover_incentive_-108"/>
    <x v="1163"/>
    <n v="1.019055168"/>
    <n v="1"/>
    <n v="-730"/>
    <n v="180"/>
  </r>
  <r>
    <x v="29"/>
    <s v="conventional_turnover_incentive_-107"/>
    <x v="1164"/>
    <n v="1.022147702"/>
    <n v="1"/>
    <n v="-730"/>
    <n v="180"/>
  </r>
  <r>
    <x v="29"/>
    <s v="conventional_turnover_incentive_-106"/>
    <x v="1165"/>
    <n v="1.0252822239999999"/>
    <n v="1"/>
    <n v="-730"/>
    <n v="180"/>
  </r>
  <r>
    <x v="29"/>
    <s v="conventional_turnover_incentive_-105"/>
    <x v="1166"/>
    <n v="1.02845925"/>
    <n v="1"/>
    <n v="-730"/>
    <n v="180"/>
  </r>
  <r>
    <x v="29"/>
    <s v="conventional_turnover_incentive_-104"/>
    <x v="1167"/>
    <n v="1.0316792960000001"/>
    <n v="1"/>
    <n v="-730"/>
    <n v="180"/>
  </r>
  <r>
    <x v="29"/>
    <s v="conventional_turnover_incentive_-103"/>
    <x v="1168"/>
    <n v="1.0349428780000001"/>
    <n v="1"/>
    <n v="-730"/>
    <n v="180"/>
  </r>
  <r>
    <x v="29"/>
    <s v="conventional_turnover_incentive_-102"/>
    <x v="1169"/>
    <n v="1.0382505120000001"/>
    <n v="1"/>
    <n v="-730"/>
    <n v="180"/>
  </r>
  <r>
    <x v="29"/>
    <s v="conventional_turnover_incentive_-101"/>
    <x v="1170"/>
    <n v="1.0416027139999999"/>
    <n v="1"/>
    <n v="-730"/>
    <n v="180"/>
  </r>
  <r>
    <x v="29"/>
    <s v="conventional_turnover_incentive_-100"/>
    <x v="1171"/>
    <n v="1.0449999999999999"/>
    <n v="1"/>
    <n v="-730"/>
    <n v="180"/>
  </r>
  <r>
    <x v="29"/>
    <s v="conventional_turnover_incentive_-99"/>
    <x v="1172"/>
    <n v="1.0485710960000001"/>
    <n v="1"/>
    <n v="-730"/>
    <n v="180"/>
  </r>
  <r>
    <x v="29"/>
    <s v="conventional_turnover_incentive_-98"/>
    <x v="1173"/>
    <n v="1.0524343679999999"/>
    <n v="1"/>
    <n v="-730"/>
    <n v="180"/>
  </r>
  <r>
    <x v="29"/>
    <s v="conventional_turnover_incentive_-97"/>
    <x v="1174"/>
    <n v="1.0565747919999999"/>
    <n v="1"/>
    <n v="-730"/>
    <n v="180"/>
  </r>
  <r>
    <x v="29"/>
    <s v="conventional_turnover_incentive_-96"/>
    <x v="1175"/>
    <n v="1.0609773440000001"/>
    <n v="1"/>
    <n v="-730"/>
    <n v="180"/>
  </r>
  <r>
    <x v="29"/>
    <s v="conventional_turnover_incentive_-95"/>
    <x v="1176"/>
    <n v="1.0656270000000001"/>
    <n v="1"/>
    <n v="-730"/>
    <n v="180"/>
  </r>
  <r>
    <x v="29"/>
    <s v="conventional_turnover_incentive_-94"/>
    <x v="1177"/>
    <n v="1.0705087360000001"/>
    <n v="1"/>
    <n v="-730"/>
    <n v="180"/>
  </r>
  <r>
    <x v="29"/>
    <s v="conventional_turnover_incentive_-93"/>
    <x v="1178"/>
    <n v="1.0756075279999999"/>
    <n v="1"/>
    <n v="-730"/>
    <n v="180"/>
  </r>
  <r>
    <x v="29"/>
    <s v="conventional_turnover_incentive_-92"/>
    <x v="1179"/>
    <n v="1.080908352"/>
    <n v="1"/>
    <n v="-730"/>
    <n v="180"/>
  </r>
  <r>
    <x v="29"/>
    <s v="conventional_turnover_incentive_-91"/>
    <x v="1180"/>
    <n v="1.086396184"/>
    <n v="1"/>
    <n v="-730"/>
    <n v="180"/>
  </r>
  <r>
    <x v="29"/>
    <s v="conventional_turnover_incentive_-90"/>
    <x v="1181"/>
    <n v="1.0920559999999999"/>
    <n v="1"/>
    <n v="-730"/>
    <n v="180"/>
  </r>
  <r>
    <x v="29"/>
    <s v="conventional_turnover_incentive_-89"/>
    <x v="1182"/>
    <n v="1.097872776"/>
    <n v="1"/>
    <n v="-730"/>
    <n v="180"/>
  </r>
  <r>
    <x v="29"/>
    <s v="conventional_turnover_incentive_-88"/>
    <x v="1183"/>
    <n v="1.103831488"/>
    <n v="1"/>
    <n v="-730"/>
    <n v="180"/>
  </r>
  <r>
    <x v="29"/>
    <s v="conventional_turnover_incentive_-87"/>
    <x v="1184"/>
    <n v="1.109917112"/>
    <n v="1"/>
    <n v="-730"/>
    <n v="180"/>
  </r>
  <r>
    <x v="29"/>
    <s v="conventional_turnover_incentive_-86"/>
    <x v="1185"/>
    <n v="1.1161146239999999"/>
    <n v="1"/>
    <n v="-730"/>
    <n v="180"/>
  </r>
  <r>
    <x v="29"/>
    <s v="conventional_turnover_incentive_-85"/>
    <x v="1186"/>
    <n v="1.122409"/>
    <n v="1"/>
    <n v="-730"/>
    <n v="180"/>
  </r>
  <r>
    <x v="29"/>
    <s v="conventional_turnover_incentive_-84"/>
    <x v="1187"/>
    <n v="1.128785216"/>
    <n v="1"/>
    <n v="-730"/>
    <n v="180"/>
  </r>
  <r>
    <x v="29"/>
    <s v="conventional_turnover_incentive_-83"/>
    <x v="1188"/>
    <n v="1.135228248"/>
    <n v="1"/>
    <n v="-730"/>
    <n v="180"/>
  </r>
  <r>
    <x v="29"/>
    <s v="conventional_turnover_incentive_-82"/>
    <x v="1189"/>
    <n v="1.141723072"/>
    <n v="1"/>
    <n v="-730"/>
    <n v="180"/>
  </r>
  <r>
    <x v="29"/>
    <s v="conventional_turnover_incentive_-81"/>
    <x v="1190"/>
    <n v="1.148254664"/>
    <n v="1"/>
    <n v="-730"/>
    <n v="180"/>
  </r>
  <r>
    <x v="29"/>
    <s v="conventional_turnover_incentive_-80"/>
    <x v="1191"/>
    <n v="1.1548080000000001"/>
    <n v="1"/>
    <n v="-730"/>
    <n v="180"/>
  </r>
  <r>
    <x v="29"/>
    <s v="conventional_turnover_incentive_-79"/>
    <x v="1192"/>
    <n v="1.1613680559999999"/>
    <n v="1"/>
    <n v="-730"/>
    <n v="180"/>
  </r>
  <r>
    <x v="29"/>
    <s v="conventional_turnover_incentive_-78"/>
    <x v="1193"/>
    <n v="1.1679198079999999"/>
    <n v="1"/>
    <n v="-730"/>
    <n v="180"/>
  </r>
  <r>
    <x v="29"/>
    <s v="conventional_turnover_incentive_-77"/>
    <x v="1194"/>
    <n v="1.174448232"/>
    <n v="1"/>
    <n v="-730"/>
    <n v="180"/>
  </r>
  <r>
    <x v="29"/>
    <s v="conventional_turnover_incentive_-76"/>
    <x v="1195"/>
    <n v="1.1809383040000001"/>
    <n v="1"/>
    <n v="-730"/>
    <n v="180"/>
  </r>
  <r>
    <x v="29"/>
    <s v="conventional_turnover_incentive_-75"/>
    <x v="1196"/>
    <n v="1.1873750000000001"/>
    <n v="1"/>
    <n v="-730"/>
    <n v="180"/>
  </r>
  <r>
    <x v="29"/>
    <s v="conventional_turnover_incentive_-74"/>
    <x v="1197"/>
    <n v="1.1937432960000001"/>
    <n v="1"/>
    <n v="-730"/>
    <n v="180"/>
  </r>
  <r>
    <x v="29"/>
    <s v="conventional_turnover_incentive_-73"/>
    <x v="1198"/>
    <n v="1.200028168"/>
    <n v="1"/>
    <n v="-730"/>
    <n v="180"/>
  </r>
  <r>
    <x v="29"/>
    <s v="conventional_turnover_incentive_-72"/>
    <x v="1199"/>
    <n v="1.206214592"/>
    <n v="1"/>
    <n v="-730"/>
    <n v="180"/>
  </r>
  <r>
    <x v="29"/>
    <s v="conventional_turnover_incentive_-71"/>
    <x v="1200"/>
    <n v="1.2122875440000001"/>
    <n v="1"/>
    <n v="-730"/>
    <n v="180"/>
  </r>
  <r>
    <x v="29"/>
    <s v="conventional_turnover_incentive_-70"/>
    <x v="1201"/>
    <n v="1.218232"/>
    <n v="1"/>
    <n v="-730"/>
    <n v="180"/>
  </r>
  <r>
    <x v="29"/>
    <s v="conventional_turnover_incentive_-69"/>
    <x v="1202"/>
    <n v="1.224032936"/>
    <n v="1"/>
    <n v="-730"/>
    <n v="180"/>
  </r>
  <r>
    <x v="29"/>
    <s v="conventional_turnover_incentive_-68"/>
    <x v="1203"/>
    <n v="1.2296753279999999"/>
    <n v="1"/>
    <n v="-730"/>
    <n v="180"/>
  </r>
  <r>
    <x v="29"/>
    <s v="conventional_turnover_incentive_-67"/>
    <x v="1204"/>
    <n v="1.2351441519999999"/>
    <n v="1"/>
    <n v="-730"/>
    <n v="180"/>
  </r>
  <r>
    <x v="29"/>
    <s v="conventional_turnover_incentive_-66"/>
    <x v="1205"/>
    <n v="1.240424384"/>
    <n v="1"/>
    <n v="-730"/>
    <n v="180"/>
  </r>
  <r>
    <x v="29"/>
    <s v="conventional_turnover_incentive_-65"/>
    <x v="1206"/>
    <n v="1.245501"/>
    <n v="1"/>
    <n v="-730"/>
    <n v="180"/>
  </r>
  <r>
    <x v="29"/>
    <s v="conventional_turnover_incentive_-64"/>
    <x v="1207"/>
    <n v="1.250358976"/>
    <n v="1"/>
    <n v="-730"/>
    <n v="180"/>
  </r>
  <r>
    <x v="29"/>
    <s v="conventional_turnover_incentive_-63"/>
    <x v="1208"/>
    <n v="1.254983288"/>
    <n v="1"/>
    <n v="-730"/>
    <n v="180"/>
  </r>
  <r>
    <x v="29"/>
    <s v="conventional_turnover_incentive_-62"/>
    <x v="1209"/>
    <n v="1.2593589119999999"/>
    <n v="1"/>
    <n v="-730"/>
    <n v="180"/>
  </r>
  <r>
    <x v="29"/>
    <s v="conventional_turnover_incentive_-61"/>
    <x v="1210"/>
    <n v="1.2634708240000001"/>
    <n v="1"/>
    <n v="-730"/>
    <n v="180"/>
  </r>
  <r>
    <x v="29"/>
    <s v="conventional_turnover_incentive_-60"/>
    <x v="1211"/>
    <n v="1.267304"/>
    <n v="1"/>
    <n v="-730"/>
    <n v="180"/>
  </r>
  <r>
    <x v="29"/>
    <s v="conventional_turnover_incentive_-59"/>
    <x v="1212"/>
    <n v="1.2708434159999999"/>
    <n v="1"/>
    <n v="-730"/>
    <n v="180"/>
  </r>
  <r>
    <x v="29"/>
    <s v="conventional_turnover_incentive_-58"/>
    <x v="1213"/>
    <n v="1.2740740479999999"/>
    <n v="1"/>
    <n v="-730"/>
    <n v="180"/>
  </r>
  <r>
    <x v="29"/>
    <s v="conventional_turnover_incentive_-57"/>
    <x v="1214"/>
    <n v="1.276980872"/>
    <n v="1"/>
    <n v="-730"/>
    <n v="180"/>
  </r>
  <r>
    <x v="29"/>
    <s v="conventional_turnover_incentive_-56"/>
    <x v="1215"/>
    <n v="1.2795488639999999"/>
    <n v="1"/>
    <n v="-730"/>
    <n v="180"/>
  </r>
  <r>
    <x v="29"/>
    <s v="conventional_turnover_incentive_-55"/>
    <x v="1216"/>
    <n v="1.281763"/>
    <n v="1"/>
    <n v="-730"/>
    <n v="180"/>
  </r>
  <r>
    <x v="29"/>
    <s v="conventional_turnover_incentive_-54"/>
    <x v="1217"/>
    <n v="1.2836082559999999"/>
    <n v="1"/>
    <n v="-730"/>
    <n v="180"/>
  </r>
  <r>
    <x v="29"/>
    <s v="conventional_turnover_incentive_-53"/>
    <x v="1218"/>
    <n v="1.2850696079999999"/>
    <n v="1"/>
    <n v="-730"/>
    <n v="180"/>
  </r>
  <r>
    <x v="29"/>
    <s v="conventional_turnover_incentive_-52"/>
    <x v="1219"/>
    <n v="1.286132032"/>
    <n v="1"/>
    <n v="-730"/>
    <n v="180"/>
  </r>
  <r>
    <x v="29"/>
    <s v="conventional_turnover_incentive_-51"/>
    <x v="1220"/>
    <n v="1.286780504"/>
    <n v="1"/>
    <n v="-730"/>
    <n v="180"/>
  </r>
  <r>
    <x v="29"/>
    <s v="conventional_turnover_incentive_-50"/>
    <x v="1221"/>
    <n v="1.2869999999999999"/>
    <n v="1"/>
    <n v="-730"/>
    <n v="180"/>
  </r>
  <r>
    <x v="29"/>
    <s v="conventional_turnover_incentive_-49"/>
    <x v="1222"/>
    <n v="1.2869999999999999"/>
    <n v="1"/>
    <n v="-730"/>
    <n v="180"/>
  </r>
  <r>
    <x v="29"/>
    <s v="conventional_turnover_incentive_-48"/>
    <x v="1223"/>
    <n v="1.2869999999999999"/>
    <n v="1"/>
    <n v="-730"/>
    <n v="180"/>
  </r>
  <r>
    <x v="29"/>
    <s v="conventional_turnover_incentive_-47"/>
    <x v="1224"/>
    <n v="1.2869999999999999"/>
    <n v="1"/>
    <n v="-730"/>
    <n v="180"/>
  </r>
  <r>
    <x v="29"/>
    <s v="conventional_turnover_incentive_-46"/>
    <x v="1225"/>
    <n v="1.2869999999999999"/>
    <n v="1"/>
    <n v="-730"/>
    <n v="180"/>
  </r>
  <r>
    <x v="29"/>
    <s v="conventional_turnover_incentive_-45"/>
    <x v="1226"/>
    <n v="1.2869999999999999"/>
    <n v="1"/>
    <n v="-730"/>
    <n v="180"/>
  </r>
  <r>
    <x v="29"/>
    <s v="conventional_turnover_incentive_-44"/>
    <x v="1227"/>
    <n v="1.2869999999999999"/>
    <n v="1"/>
    <n v="-730"/>
    <n v="180"/>
  </r>
  <r>
    <x v="29"/>
    <s v="conventional_turnover_incentive_-43"/>
    <x v="1228"/>
    <n v="1.2869999999999999"/>
    <n v="1"/>
    <n v="-730"/>
    <n v="180"/>
  </r>
  <r>
    <x v="29"/>
    <s v="conventional_turnover_incentive_-42"/>
    <x v="1229"/>
    <n v="1.2869999999999999"/>
    <n v="1"/>
    <n v="-730"/>
    <n v="180"/>
  </r>
  <r>
    <x v="29"/>
    <s v="conventional_turnover_incentive_-41"/>
    <x v="1230"/>
    <n v="1.2869999999999999"/>
    <n v="1"/>
    <n v="-730"/>
    <n v="180"/>
  </r>
  <r>
    <x v="29"/>
    <s v="conventional_turnover_incentive_-40"/>
    <x v="0"/>
    <n v="1.2869999999999999"/>
    <n v="1"/>
    <n v="-730"/>
    <n v="180"/>
  </r>
  <r>
    <x v="29"/>
    <s v="conventional_turnover_incentive_-39"/>
    <x v="1"/>
    <n v="1.2869999999999999"/>
    <n v="1"/>
    <n v="-730"/>
    <n v="180"/>
  </r>
  <r>
    <x v="29"/>
    <s v="conventional_turnover_incentive_-38"/>
    <x v="2"/>
    <n v="1.2869999999999999"/>
    <n v="1"/>
    <n v="-730"/>
    <n v="180"/>
  </r>
  <r>
    <x v="29"/>
    <s v="conventional_turnover_incentive_-37"/>
    <x v="3"/>
    <n v="1.2869999999999999"/>
    <n v="1"/>
    <n v="-730"/>
    <n v="180"/>
  </r>
  <r>
    <x v="29"/>
    <s v="conventional_turnover_incentive_-36"/>
    <x v="4"/>
    <n v="1.2869999999999999"/>
    <n v="1"/>
    <n v="-730"/>
    <n v="180"/>
  </r>
  <r>
    <x v="29"/>
    <s v="conventional_turnover_incentive_-35"/>
    <x v="5"/>
    <n v="1.2869999999999999"/>
    <n v="1"/>
    <n v="-730"/>
    <n v="180"/>
  </r>
  <r>
    <x v="29"/>
    <s v="conventional_turnover_incentive_-34"/>
    <x v="6"/>
    <n v="1.2869999999999999"/>
    <n v="1"/>
    <n v="-730"/>
    <n v="180"/>
  </r>
  <r>
    <x v="29"/>
    <s v="conventional_turnover_incentive_-33"/>
    <x v="7"/>
    <n v="1.2869999999999999"/>
    <n v="1"/>
    <n v="-730"/>
    <n v="180"/>
  </r>
  <r>
    <x v="29"/>
    <s v="conventional_turnover_incentive_-32"/>
    <x v="8"/>
    <n v="1.2869999999999999"/>
    <n v="1"/>
    <n v="-730"/>
    <n v="180"/>
  </r>
  <r>
    <x v="29"/>
    <s v="conventional_turnover_incentive_-31"/>
    <x v="9"/>
    <n v="1.2869999999999999"/>
    <n v="1"/>
    <n v="-730"/>
    <n v="180"/>
  </r>
  <r>
    <x v="29"/>
    <s v="conventional_turnover_incentive_-30"/>
    <x v="10"/>
    <n v="1.2869999999999999"/>
    <n v="1"/>
    <n v="-730"/>
    <n v="180"/>
  </r>
  <r>
    <x v="29"/>
    <s v="conventional_turnover_incentive_-29"/>
    <x v="11"/>
    <n v="1.2869999999999999"/>
    <n v="1"/>
    <n v="-730"/>
    <n v="180"/>
  </r>
  <r>
    <x v="29"/>
    <s v="conventional_turnover_incentive_-28"/>
    <x v="12"/>
    <n v="1.2869999999999999"/>
    <n v="1"/>
    <n v="-730"/>
    <n v="180"/>
  </r>
  <r>
    <x v="29"/>
    <s v="conventional_turnover_incentive_-27"/>
    <x v="13"/>
    <n v="1.2869999999999999"/>
    <n v="1"/>
    <n v="-730"/>
    <n v="180"/>
  </r>
  <r>
    <x v="29"/>
    <s v="conventional_turnover_incentive_-26"/>
    <x v="14"/>
    <n v="1.2869999999999999"/>
    <n v="1"/>
    <n v="-730"/>
    <n v="180"/>
  </r>
  <r>
    <x v="29"/>
    <s v="conventional_turnover_incentive_-25"/>
    <x v="15"/>
    <n v="1.2869999999999999"/>
    <n v="1"/>
    <n v="-730"/>
    <n v="180"/>
  </r>
  <r>
    <x v="29"/>
    <s v="conventional_turnover_incentive_-24"/>
    <x v="16"/>
    <n v="1.2869999999999999"/>
    <n v="1"/>
    <n v="-730"/>
    <n v="180"/>
  </r>
  <r>
    <x v="29"/>
    <s v="conventional_turnover_incentive_-23"/>
    <x v="17"/>
    <n v="1.2869999999999999"/>
    <n v="1"/>
    <n v="-730"/>
    <n v="180"/>
  </r>
  <r>
    <x v="29"/>
    <s v="conventional_turnover_incentive_-22"/>
    <x v="18"/>
    <n v="1.2869999999999999"/>
    <n v="1"/>
    <n v="-730"/>
    <n v="180"/>
  </r>
  <r>
    <x v="29"/>
    <s v="conventional_turnover_incentive_-21"/>
    <x v="19"/>
    <n v="1.2869999999999999"/>
    <n v="1"/>
    <n v="-730"/>
    <n v="180"/>
  </r>
  <r>
    <x v="29"/>
    <s v="conventional_turnover_incentive_-20"/>
    <x v="20"/>
    <n v="1.2869999999999999"/>
    <n v="1"/>
    <n v="-730"/>
    <n v="180"/>
  </r>
  <r>
    <x v="29"/>
    <s v="conventional_turnover_incentive_-19"/>
    <x v="21"/>
    <n v="1.2869999999999999"/>
    <n v="1"/>
    <n v="-730"/>
    <n v="180"/>
  </r>
  <r>
    <x v="29"/>
    <s v="conventional_turnover_incentive_-18"/>
    <x v="22"/>
    <n v="1.2869999999999999"/>
    <n v="1"/>
    <n v="-730"/>
    <n v="180"/>
  </r>
  <r>
    <x v="29"/>
    <s v="conventional_turnover_incentive_-17"/>
    <x v="23"/>
    <n v="1.2869999999999999"/>
    <n v="1"/>
    <n v="-730"/>
    <n v="180"/>
  </r>
  <r>
    <x v="29"/>
    <s v="conventional_turnover_incentive_-16"/>
    <x v="24"/>
    <n v="1.2869999999999999"/>
    <n v="1"/>
    <n v="-730"/>
    <n v="180"/>
  </r>
  <r>
    <x v="29"/>
    <s v="conventional_turnover_incentive_-15"/>
    <x v="25"/>
    <n v="1.2869999999999999"/>
    <n v="1"/>
    <n v="-730"/>
    <n v="180"/>
  </r>
  <r>
    <x v="29"/>
    <s v="conventional_turnover_incentive_-14"/>
    <x v="26"/>
    <n v="1.2869999999999999"/>
    <n v="1"/>
    <n v="-730"/>
    <n v="180"/>
  </r>
  <r>
    <x v="29"/>
    <s v="conventional_turnover_incentive_-13"/>
    <x v="27"/>
    <n v="1.2869999999999999"/>
    <n v="1"/>
    <n v="-730"/>
    <n v="180"/>
  </r>
  <r>
    <x v="29"/>
    <s v="conventional_turnover_incentive_-12"/>
    <x v="28"/>
    <n v="1.2869999999999999"/>
    <n v="1"/>
    <n v="-730"/>
    <n v="180"/>
  </r>
  <r>
    <x v="29"/>
    <s v="conventional_turnover_incentive_-11"/>
    <x v="29"/>
    <n v="1.2869999999999999"/>
    <n v="1"/>
    <n v="-730"/>
    <n v="180"/>
  </r>
  <r>
    <x v="29"/>
    <s v="conventional_turnover_incentive_-10"/>
    <x v="30"/>
    <n v="1.2869999999999999"/>
    <n v="1"/>
    <n v="-730"/>
    <n v="180"/>
  </r>
  <r>
    <x v="29"/>
    <s v="conventional_turnover_incentive_-9"/>
    <x v="31"/>
    <n v="1.2869999999999999"/>
    <n v="1"/>
    <n v="-730"/>
    <n v="180"/>
  </r>
  <r>
    <x v="29"/>
    <s v="conventional_turnover_incentive_-8"/>
    <x v="32"/>
    <n v="1.2869999999999999"/>
    <n v="1"/>
    <n v="-730"/>
    <n v="180"/>
  </r>
  <r>
    <x v="29"/>
    <s v="conventional_turnover_incentive_-7"/>
    <x v="33"/>
    <n v="1.2869999999999999"/>
    <n v="1"/>
    <n v="-730"/>
    <n v="180"/>
  </r>
  <r>
    <x v="29"/>
    <s v="conventional_turnover_incentive_-6"/>
    <x v="34"/>
    <n v="1.2869999999999999"/>
    <n v="1"/>
    <n v="-730"/>
    <n v="180"/>
  </r>
  <r>
    <x v="29"/>
    <s v="conventional_turnover_incentive_-5"/>
    <x v="35"/>
    <n v="1.2869999999999999"/>
    <n v="1"/>
    <n v="-730"/>
    <n v="180"/>
  </r>
  <r>
    <x v="29"/>
    <s v="conventional_turnover_incentive_-4"/>
    <x v="36"/>
    <n v="1.2869999999999999"/>
    <n v="1"/>
    <n v="-730"/>
    <n v="180"/>
  </r>
  <r>
    <x v="29"/>
    <s v="conventional_turnover_incentive_-3"/>
    <x v="37"/>
    <n v="1.2869999999999999"/>
    <n v="1"/>
    <n v="-730"/>
    <n v="180"/>
  </r>
  <r>
    <x v="29"/>
    <s v="conventional_turnover_incentive_-2"/>
    <x v="38"/>
    <n v="1.2869999999999999"/>
    <n v="1"/>
    <n v="-730"/>
    <n v="180"/>
  </r>
  <r>
    <x v="29"/>
    <s v="conventional_turnover_incentive_-1"/>
    <x v="39"/>
    <n v="1.2869999999999999"/>
    <n v="1"/>
    <n v="-730"/>
    <n v="180"/>
  </r>
  <r>
    <x v="29"/>
    <s v="conventional_turnover_incentive_0"/>
    <x v="40"/>
    <n v="1.2869999999999999"/>
    <n v="1"/>
    <n v="-730"/>
    <n v="180"/>
  </r>
  <r>
    <x v="29"/>
    <s v="conventional_turnover_incentive_1"/>
    <x v="41"/>
    <n v="1.2869999999999999"/>
    <n v="1"/>
    <n v="-730"/>
    <n v="180"/>
  </r>
  <r>
    <x v="29"/>
    <s v="conventional_turnover_incentive_2"/>
    <x v="42"/>
    <n v="1.2869999999999999"/>
    <n v="1"/>
    <n v="-730"/>
    <n v="180"/>
  </r>
  <r>
    <x v="29"/>
    <s v="conventional_turnover_incentive_3"/>
    <x v="43"/>
    <n v="1.2869999999999999"/>
    <n v="1"/>
    <n v="-730"/>
    <n v="180"/>
  </r>
  <r>
    <x v="29"/>
    <s v="conventional_turnover_incentive_4"/>
    <x v="44"/>
    <n v="1.2869999999999999"/>
    <n v="1"/>
    <n v="-730"/>
    <n v="180"/>
  </r>
  <r>
    <x v="29"/>
    <s v="conventional_turnover_incentive_5"/>
    <x v="45"/>
    <n v="1.2869999999999999"/>
    <n v="1"/>
    <n v="-730"/>
    <n v="180"/>
  </r>
  <r>
    <x v="29"/>
    <s v="conventional_turnover_incentive_6"/>
    <x v="46"/>
    <n v="1.2869999999999999"/>
    <n v="1"/>
    <n v="-730"/>
    <n v="180"/>
  </r>
  <r>
    <x v="29"/>
    <s v="conventional_turnover_incentive_7"/>
    <x v="47"/>
    <n v="1.2869999999999999"/>
    <n v="1"/>
    <n v="-730"/>
    <n v="180"/>
  </r>
  <r>
    <x v="29"/>
    <s v="conventional_turnover_incentive_8"/>
    <x v="48"/>
    <n v="1.2869999999999999"/>
    <n v="1"/>
    <n v="-730"/>
    <n v="180"/>
  </r>
  <r>
    <x v="29"/>
    <s v="conventional_turnover_incentive_9"/>
    <x v="49"/>
    <n v="1.2869999999999999"/>
    <n v="1"/>
    <n v="-730"/>
    <n v="180"/>
  </r>
  <r>
    <x v="29"/>
    <s v="conventional_turnover_incentive_10"/>
    <x v="50"/>
    <n v="1.2869999999999999"/>
    <n v="1"/>
    <n v="-730"/>
    <n v="180"/>
  </r>
  <r>
    <x v="29"/>
    <s v="conventional_turnover_incentive_11"/>
    <x v="51"/>
    <n v="1.2869999999999999"/>
    <n v="1"/>
    <n v="-730"/>
    <n v="180"/>
  </r>
  <r>
    <x v="29"/>
    <s v="conventional_turnover_incentive_12"/>
    <x v="52"/>
    <n v="1.2869999999999999"/>
    <n v="1"/>
    <n v="-730"/>
    <n v="180"/>
  </r>
  <r>
    <x v="29"/>
    <s v="conventional_turnover_incentive_13"/>
    <x v="53"/>
    <n v="1.2869999999999999"/>
    <n v="1"/>
    <n v="-730"/>
    <n v="180"/>
  </r>
  <r>
    <x v="29"/>
    <s v="conventional_turnover_incentive_14"/>
    <x v="54"/>
    <n v="1.2869999999999999"/>
    <n v="1"/>
    <n v="-730"/>
    <n v="180"/>
  </r>
  <r>
    <x v="29"/>
    <s v="conventional_turnover_incentive_15"/>
    <x v="55"/>
    <n v="1.2869999999999999"/>
    <n v="1"/>
    <n v="-730"/>
    <n v="180"/>
  </r>
  <r>
    <x v="29"/>
    <s v="conventional_turnover_incentive_16"/>
    <x v="56"/>
    <n v="1.2869999999999999"/>
    <n v="1"/>
    <n v="-730"/>
    <n v="180"/>
  </r>
  <r>
    <x v="29"/>
    <s v="conventional_turnover_incentive_17"/>
    <x v="57"/>
    <n v="1.2869999999999999"/>
    <n v="1"/>
    <n v="-730"/>
    <n v="180"/>
  </r>
  <r>
    <x v="29"/>
    <s v="conventional_turnover_incentive_18"/>
    <x v="58"/>
    <n v="1.2869999999999999"/>
    <n v="1"/>
    <n v="-730"/>
    <n v="180"/>
  </r>
  <r>
    <x v="29"/>
    <s v="conventional_turnover_incentive_19"/>
    <x v="59"/>
    <n v="1.2869999999999999"/>
    <n v="1"/>
    <n v="-730"/>
    <n v="180"/>
  </r>
  <r>
    <x v="29"/>
    <s v="conventional_turnover_incentive_20"/>
    <x v="60"/>
    <n v="1.2869999999999999"/>
    <n v="1"/>
    <n v="-730"/>
    <n v="180"/>
  </r>
  <r>
    <x v="29"/>
    <s v="conventional_turnover_incentive_21"/>
    <x v="61"/>
    <n v="1.2869999999999999"/>
    <n v="1"/>
    <n v="-730"/>
    <n v="180"/>
  </r>
  <r>
    <x v="29"/>
    <s v="conventional_turnover_incentive_22"/>
    <x v="62"/>
    <n v="1.2869999999999999"/>
    <n v="1"/>
    <n v="-730"/>
    <n v="180"/>
  </r>
  <r>
    <x v="29"/>
    <s v="conventional_turnover_incentive_23"/>
    <x v="63"/>
    <n v="1.2869999999999999"/>
    <n v="1"/>
    <n v="-730"/>
    <n v="180"/>
  </r>
  <r>
    <x v="29"/>
    <s v="conventional_turnover_incentive_24"/>
    <x v="64"/>
    <n v="1.2869999999999999"/>
    <n v="1"/>
    <n v="-730"/>
    <n v="180"/>
  </r>
  <r>
    <x v="29"/>
    <s v="conventional_turnover_incentive_25"/>
    <x v="65"/>
    <n v="1.2869999999999999"/>
    <n v="1"/>
    <n v="-730"/>
    <n v="180"/>
  </r>
  <r>
    <x v="29"/>
    <s v="conventional_turnover_incentive_26"/>
    <x v="66"/>
    <n v="1.2869999999999999"/>
    <n v="1"/>
    <n v="-730"/>
    <n v="180"/>
  </r>
  <r>
    <x v="29"/>
    <s v="conventional_turnover_incentive_27"/>
    <x v="67"/>
    <n v="1.2869999999999999"/>
    <n v="1"/>
    <n v="-730"/>
    <n v="180"/>
  </r>
  <r>
    <x v="29"/>
    <s v="conventional_turnover_incentive_28"/>
    <x v="68"/>
    <n v="1.2869999999999999"/>
    <n v="1"/>
    <n v="-730"/>
    <n v="180"/>
  </r>
  <r>
    <x v="29"/>
    <s v="conventional_turnover_incentive_29"/>
    <x v="69"/>
    <n v="1.2869999999999999"/>
    <n v="1"/>
    <n v="-730"/>
    <n v="180"/>
  </r>
  <r>
    <x v="29"/>
    <s v="conventional_turnover_incentive_30"/>
    <x v="70"/>
    <n v="1.2869999999999999"/>
    <n v="1"/>
    <n v="-730"/>
    <n v="180"/>
  </r>
  <r>
    <x v="29"/>
    <s v="conventional_turnover_incentive_31"/>
    <x v="71"/>
    <n v="1.2869999999999999"/>
    <n v="1"/>
    <n v="-730"/>
    <n v="180"/>
  </r>
  <r>
    <x v="29"/>
    <s v="conventional_turnover_incentive_32"/>
    <x v="72"/>
    <n v="1.2869999999999999"/>
    <n v="1"/>
    <n v="-730"/>
    <n v="180"/>
  </r>
  <r>
    <x v="29"/>
    <s v="conventional_turnover_incentive_33"/>
    <x v="73"/>
    <n v="1.2869999999999999"/>
    <n v="1"/>
    <n v="-730"/>
    <n v="180"/>
  </r>
  <r>
    <x v="29"/>
    <s v="conventional_turnover_incentive_34"/>
    <x v="74"/>
    <n v="1.2869999999999999"/>
    <n v="1"/>
    <n v="-730"/>
    <n v="180"/>
  </r>
  <r>
    <x v="29"/>
    <s v="conventional_turnover_incentive_35"/>
    <x v="75"/>
    <n v="1.2869999999999999"/>
    <n v="1"/>
    <n v="-730"/>
    <n v="180"/>
  </r>
  <r>
    <x v="29"/>
    <s v="conventional_turnover_incentive_36"/>
    <x v="76"/>
    <n v="1.2869999999999999"/>
    <n v="1"/>
    <n v="-730"/>
    <n v="180"/>
  </r>
  <r>
    <x v="29"/>
    <s v="conventional_turnover_incentive_37"/>
    <x v="77"/>
    <n v="1.2869999999999999"/>
    <n v="1"/>
    <n v="-730"/>
    <n v="180"/>
  </r>
  <r>
    <x v="29"/>
    <s v="conventional_turnover_incentive_38"/>
    <x v="78"/>
    <n v="1.2869999999999999"/>
    <n v="1"/>
    <n v="-730"/>
    <n v="180"/>
  </r>
  <r>
    <x v="29"/>
    <s v="conventional_turnover_incentive_39"/>
    <x v="79"/>
    <n v="1.2869999999999999"/>
    <n v="1"/>
    <n v="-730"/>
    <n v="180"/>
  </r>
  <r>
    <x v="29"/>
    <s v="conventional_turnover_incentive_40"/>
    <x v="80"/>
    <n v="1.2869999999999999"/>
    <n v="1"/>
    <n v="-730"/>
    <n v="180"/>
  </r>
  <r>
    <x v="29"/>
    <s v="conventional_turnover_incentive_41"/>
    <x v="81"/>
    <n v="1.2869999999999999"/>
    <n v="1"/>
    <n v="-730"/>
    <n v="180"/>
  </r>
  <r>
    <x v="29"/>
    <s v="conventional_turnover_incentive_42"/>
    <x v="82"/>
    <n v="1.2869999999999999"/>
    <n v="1"/>
    <n v="-730"/>
    <n v="180"/>
  </r>
  <r>
    <x v="29"/>
    <s v="conventional_turnover_incentive_43"/>
    <x v="83"/>
    <n v="1.2869999999999999"/>
    <n v="1"/>
    <n v="-730"/>
    <n v="180"/>
  </r>
  <r>
    <x v="29"/>
    <s v="conventional_turnover_incentive_44"/>
    <x v="84"/>
    <n v="1.2869999999999999"/>
    <n v="1"/>
    <n v="-730"/>
    <n v="180"/>
  </r>
  <r>
    <x v="29"/>
    <s v="conventional_turnover_incentive_45"/>
    <x v="85"/>
    <n v="1.2869999999999999"/>
    <n v="1"/>
    <n v="-730"/>
    <n v="180"/>
  </r>
  <r>
    <x v="29"/>
    <s v="conventional_turnover_incentive_46"/>
    <x v="86"/>
    <n v="1.2869999999999999"/>
    <n v="1"/>
    <n v="-730"/>
    <n v="180"/>
  </r>
  <r>
    <x v="29"/>
    <s v="conventional_turnover_incentive_47"/>
    <x v="87"/>
    <n v="1.2869999999999999"/>
    <n v="1"/>
    <n v="-730"/>
    <n v="180"/>
  </r>
  <r>
    <x v="29"/>
    <s v="conventional_turnover_incentive_48"/>
    <x v="88"/>
    <n v="1.2869999999999999"/>
    <n v="1"/>
    <n v="-730"/>
    <n v="180"/>
  </r>
  <r>
    <x v="29"/>
    <s v="conventional_turnover_incentive_49"/>
    <x v="89"/>
    <n v="1.2869999999999999"/>
    <n v="1"/>
    <n v="-730"/>
    <n v="180"/>
  </r>
  <r>
    <x v="29"/>
    <s v="conventional_turnover_incentive_50"/>
    <x v="90"/>
    <n v="1.2869999999999999"/>
    <n v="1"/>
    <n v="-730"/>
    <n v="180"/>
  </r>
  <r>
    <x v="29"/>
    <s v="conventional_turnover_incentive_51"/>
    <x v="91"/>
    <n v="1.2869999999999999"/>
    <n v="1"/>
    <n v="-730"/>
    <n v="180"/>
  </r>
  <r>
    <x v="29"/>
    <s v="conventional_turnover_incentive_52"/>
    <x v="92"/>
    <n v="1.2869999999999999"/>
    <n v="1"/>
    <n v="-730"/>
    <n v="180"/>
  </r>
  <r>
    <x v="29"/>
    <s v="conventional_turnover_incentive_53"/>
    <x v="93"/>
    <n v="1.2869999999999999"/>
    <n v="1"/>
    <n v="-730"/>
    <n v="180"/>
  </r>
  <r>
    <x v="29"/>
    <s v="conventional_turnover_incentive_54"/>
    <x v="94"/>
    <n v="1.2869999999999999"/>
    <n v="1"/>
    <n v="-730"/>
    <n v="180"/>
  </r>
  <r>
    <x v="29"/>
    <s v="conventional_turnover_incentive_55"/>
    <x v="95"/>
    <n v="1.2869999999999999"/>
    <n v="1"/>
    <n v="-730"/>
    <n v="180"/>
  </r>
  <r>
    <x v="29"/>
    <s v="conventional_turnover_incentive_56"/>
    <x v="96"/>
    <n v="1.2869999999999999"/>
    <n v="1"/>
    <n v="-730"/>
    <n v="180"/>
  </r>
  <r>
    <x v="29"/>
    <s v="conventional_turnover_incentive_57"/>
    <x v="97"/>
    <n v="1.2869999999999999"/>
    <n v="1"/>
    <n v="-730"/>
    <n v="180"/>
  </r>
  <r>
    <x v="29"/>
    <s v="conventional_turnover_incentive_58"/>
    <x v="98"/>
    <n v="1.2869999999999999"/>
    <n v="1"/>
    <n v="-730"/>
    <n v="180"/>
  </r>
  <r>
    <x v="29"/>
    <s v="conventional_turnover_incentive_59"/>
    <x v="99"/>
    <n v="1.2869999999999999"/>
    <n v="1"/>
    <n v="-730"/>
    <n v="180"/>
  </r>
  <r>
    <x v="29"/>
    <s v="conventional_turnover_incentive_60"/>
    <x v="100"/>
    <n v="1.2869999999999999"/>
    <n v="1"/>
    <n v="-730"/>
    <n v="180"/>
  </r>
  <r>
    <x v="29"/>
    <s v="conventional_turnover_incentive_61"/>
    <x v="101"/>
    <n v="1.2869999999999999"/>
    <n v="1"/>
    <n v="-730"/>
    <n v="180"/>
  </r>
  <r>
    <x v="29"/>
    <s v="conventional_turnover_incentive_62"/>
    <x v="102"/>
    <n v="1.2869999999999999"/>
    <n v="1"/>
    <n v="-730"/>
    <n v="180"/>
  </r>
  <r>
    <x v="29"/>
    <s v="conventional_turnover_incentive_63"/>
    <x v="103"/>
    <n v="1.2869999999999999"/>
    <n v="1"/>
    <n v="-730"/>
    <n v="180"/>
  </r>
  <r>
    <x v="29"/>
    <s v="conventional_turnover_incentive_64"/>
    <x v="104"/>
    <n v="1.2869999999999999"/>
    <n v="1"/>
    <n v="-730"/>
    <n v="180"/>
  </r>
  <r>
    <x v="29"/>
    <s v="conventional_turnover_incentive_65"/>
    <x v="105"/>
    <n v="1.2869999999999999"/>
    <n v="1"/>
    <n v="-730"/>
    <n v="180"/>
  </r>
  <r>
    <x v="29"/>
    <s v="conventional_turnover_incentive_66"/>
    <x v="106"/>
    <n v="1.2869999999999999"/>
    <n v="1"/>
    <n v="-730"/>
    <n v="180"/>
  </r>
  <r>
    <x v="29"/>
    <s v="conventional_turnover_incentive_67"/>
    <x v="107"/>
    <n v="1.2869999999999999"/>
    <n v="1"/>
    <n v="-730"/>
    <n v="180"/>
  </r>
  <r>
    <x v="29"/>
    <s v="conventional_turnover_incentive_68"/>
    <x v="108"/>
    <n v="1.2869999999999999"/>
    <n v="1"/>
    <n v="-730"/>
    <n v="180"/>
  </r>
  <r>
    <x v="29"/>
    <s v="conventional_turnover_incentive_69"/>
    <x v="109"/>
    <n v="1.2869999999999999"/>
    <n v="1"/>
    <n v="-730"/>
    <n v="180"/>
  </r>
  <r>
    <x v="29"/>
    <s v="conventional_turnover_incentive_70"/>
    <x v="110"/>
    <n v="1.2869999999999999"/>
    <n v="1"/>
    <n v="-730"/>
    <n v="180"/>
  </r>
  <r>
    <x v="29"/>
    <s v="conventional_turnover_incentive_71"/>
    <x v="111"/>
    <n v="1.2869999999999999"/>
    <n v="1"/>
    <n v="-730"/>
    <n v="180"/>
  </r>
  <r>
    <x v="29"/>
    <s v="conventional_turnover_incentive_72"/>
    <x v="112"/>
    <n v="1.2869999999999999"/>
    <n v="1"/>
    <n v="-730"/>
    <n v="180"/>
  </r>
  <r>
    <x v="29"/>
    <s v="conventional_turnover_incentive_73"/>
    <x v="113"/>
    <n v="1.2869999999999999"/>
    <n v="1"/>
    <n v="-730"/>
    <n v="180"/>
  </r>
  <r>
    <x v="29"/>
    <s v="conventional_turnover_incentive_74"/>
    <x v="114"/>
    <n v="1.2869999999999999"/>
    <n v="1"/>
    <n v="-730"/>
    <n v="180"/>
  </r>
  <r>
    <x v="29"/>
    <s v="conventional_turnover_incentive_75"/>
    <x v="115"/>
    <n v="1.2869999999999999"/>
    <n v="1"/>
    <n v="-730"/>
    <n v="180"/>
  </r>
  <r>
    <x v="29"/>
    <s v="conventional_turnover_incentive_76"/>
    <x v="116"/>
    <n v="1.2869999999999999"/>
    <n v="1"/>
    <n v="-730"/>
    <n v="180"/>
  </r>
  <r>
    <x v="29"/>
    <s v="conventional_turnover_incentive_77"/>
    <x v="117"/>
    <n v="1.2869999999999999"/>
    <n v="1"/>
    <n v="-730"/>
    <n v="180"/>
  </r>
  <r>
    <x v="29"/>
    <s v="conventional_turnover_incentive_78"/>
    <x v="118"/>
    <n v="1.2869999999999999"/>
    <n v="1"/>
    <n v="-730"/>
    <n v="180"/>
  </r>
  <r>
    <x v="29"/>
    <s v="conventional_turnover_incentive_79"/>
    <x v="119"/>
    <n v="1.2869999999999999"/>
    <n v="1"/>
    <n v="-730"/>
    <n v="180"/>
  </r>
  <r>
    <x v="29"/>
    <s v="conventional_turnover_incentive_80"/>
    <x v="120"/>
    <n v="1.2869999999999999"/>
    <n v="1"/>
    <n v="-730"/>
    <n v="180"/>
  </r>
  <r>
    <x v="29"/>
    <s v="conventional_turnover_incentive_81"/>
    <x v="121"/>
    <n v="1.2869999999999999"/>
    <n v="1"/>
    <n v="-730"/>
    <n v="180"/>
  </r>
  <r>
    <x v="29"/>
    <s v="conventional_turnover_incentive_82"/>
    <x v="122"/>
    <n v="1.2869999999999999"/>
    <n v="1"/>
    <n v="-730"/>
    <n v="180"/>
  </r>
  <r>
    <x v="29"/>
    <s v="conventional_turnover_incentive_83"/>
    <x v="123"/>
    <n v="1.2869999999999999"/>
    <n v="1"/>
    <n v="-730"/>
    <n v="180"/>
  </r>
  <r>
    <x v="29"/>
    <s v="conventional_turnover_incentive_84"/>
    <x v="124"/>
    <n v="1.2869999999999999"/>
    <n v="1"/>
    <n v="-730"/>
    <n v="180"/>
  </r>
  <r>
    <x v="29"/>
    <s v="conventional_turnover_incentive_85"/>
    <x v="125"/>
    <n v="1.2869999999999999"/>
    <n v="1"/>
    <n v="-730"/>
    <n v="180"/>
  </r>
  <r>
    <x v="29"/>
    <s v="conventional_turnover_incentive_86"/>
    <x v="126"/>
    <n v="1.2869999999999999"/>
    <n v="1"/>
    <n v="-730"/>
    <n v="180"/>
  </r>
  <r>
    <x v="29"/>
    <s v="conventional_turnover_incentive_87"/>
    <x v="127"/>
    <n v="1.2869999999999999"/>
    <n v="1"/>
    <n v="-730"/>
    <n v="180"/>
  </r>
  <r>
    <x v="29"/>
    <s v="conventional_turnover_incentive_88"/>
    <x v="128"/>
    <n v="1.2869999999999999"/>
    <n v="1"/>
    <n v="-730"/>
    <n v="180"/>
  </r>
  <r>
    <x v="29"/>
    <s v="conventional_turnover_incentive_89"/>
    <x v="129"/>
    <n v="1.2869999999999999"/>
    <n v="1"/>
    <n v="-730"/>
    <n v="180"/>
  </r>
  <r>
    <x v="29"/>
    <s v="conventional_turnover_incentive_90"/>
    <x v="130"/>
    <n v="1.2869999999999999"/>
    <n v="1"/>
    <n v="-730"/>
    <n v="180"/>
  </r>
  <r>
    <x v="29"/>
    <s v="conventional_turnover_incentive_91"/>
    <x v="131"/>
    <n v="1.2869999999999999"/>
    <n v="1"/>
    <n v="-730"/>
    <n v="180"/>
  </r>
  <r>
    <x v="29"/>
    <s v="conventional_turnover_incentive_92"/>
    <x v="132"/>
    <n v="1.2869999999999999"/>
    <n v="1"/>
    <n v="-730"/>
    <n v="180"/>
  </r>
  <r>
    <x v="29"/>
    <s v="conventional_turnover_incentive_93"/>
    <x v="133"/>
    <n v="1.2869999999999999"/>
    <n v="1"/>
    <n v="-730"/>
    <n v="180"/>
  </r>
  <r>
    <x v="29"/>
    <s v="conventional_turnover_incentive_94"/>
    <x v="134"/>
    <n v="1.2869999999999999"/>
    <n v="1"/>
    <n v="-730"/>
    <n v="180"/>
  </r>
  <r>
    <x v="29"/>
    <s v="conventional_turnover_incentive_95"/>
    <x v="135"/>
    <n v="1.2869999999999999"/>
    <n v="1"/>
    <n v="-730"/>
    <n v="180"/>
  </r>
  <r>
    <x v="29"/>
    <s v="conventional_turnover_incentive_96"/>
    <x v="136"/>
    <n v="1.2869999999999999"/>
    <n v="1"/>
    <n v="-730"/>
    <n v="180"/>
  </r>
  <r>
    <x v="29"/>
    <s v="conventional_turnover_incentive_97"/>
    <x v="137"/>
    <n v="1.2869999999999999"/>
    <n v="1"/>
    <n v="-730"/>
    <n v="180"/>
  </r>
  <r>
    <x v="29"/>
    <s v="conventional_turnover_incentive_98"/>
    <x v="138"/>
    <n v="1.2869999999999999"/>
    <n v="1"/>
    <n v="-730"/>
    <n v="180"/>
  </r>
  <r>
    <x v="29"/>
    <s v="conventional_turnover_incentive_99"/>
    <x v="139"/>
    <n v="1.2869999999999999"/>
    <n v="1"/>
    <n v="-730"/>
    <n v="180"/>
  </r>
  <r>
    <x v="29"/>
    <s v="conventional_turnover_incentive_100"/>
    <x v="140"/>
    <n v="1.2869999999999999"/>
    <n v="1"/>
    <n v="-730"/>
    <n v="180"/>
  </r>
  <r>
    <x v="29"/>
    <s v="conventional_turnover_incentive_101"/>
    <x v="141"/>
    <n v="1.2869999999999999"/>
    <n v="1"/>
    <n v="-730"/>
    <n v="180"/>
  </r>
  <r>
    <x v="29"/>
    <s v="conventional_turnover_incentive_102"/>
    <x v="142"/>
    <n v="1.2869999999999999"/>
    <n v="1"/>
    <n v="-730"/>
    <n v="180"/>
  </r>
  <r>
    <x v="29"/>
    <s v="conventional_turnover_incentive_103"/>
    <x v="143"/>
    <n v="1.2869999999999999"/>
    <n v="1"/>
    <n v="-730"/>
    <n v="180"/>
  </r>
  <r>
    <x v="29"/>
    <s v="conventional_turnover_incentive_104"/>
    <x v="144"/>
    <n v="1.2869999999999999"/>
    <n v="1"/>
    <n v="-730"/>
    <n v="180"/>
  </r>
  <r>
    <x v="29"/>
    <s v="conventional_turnover_incentive_105"/>
    <x v="145"/>
    <n v="1.2869999999999999"/>
    <n v="1"/>
    <n v="-730"/>
    <n v="180"/>
  </r>
  <r>
    <x v="29"/>
    <s v="conventional_turnover_incentive_106"/>
    <x v="146"/>
    <n v="1.2869999999999999"/>
    <n v="1"/>
    <n v="-730"/>
    <n v="180"/>
  </r>
  <r>
    <x v="29"/>
    <s v="conventional_turnover_incentive_107"/>
    <x v="147"/>
    <n v="1.2869999999999999"/>
    <n v="1"/>
    <n v="-730"/>
    <n v="180"/>
  </r>
  <r>
    <x v="29"/>
    <s v="conventional_turnover_incentive_108"/>
    <x v="148"/>
    <n v="1.2869999999999999"/>
    <n v="1"/>
    <n v="-730"/>
    <n v="180"/>
  </r>
  <r>
    <x v="29"/>
    <s v="conventional_turnover_incentive_109"/>
    <x v="149"/>
    <n v="1.2869999999999999"/>
    <n v="1"/>
    <n v="-730"/>
    <n v="180"/>
  </r>
  <r>
    <x v="29"/>
    <s v="conventional_turnover_incentive_110"/>
    <x v="150"/>
    <n v="1.2869999999999999"/>
    <n v="1"/>
    <n v="-730"/>
    <n v="180"/>
  </r>
  <r>
    <x v="29"/>
    <s v="conventional_turnover_incentive_111"/>
    <x v="151"/>
    <n v="1.2869999999999999"/>
    <n v="1"/>
    <n v="-730"/>
    <n v="180"/>
  </r>
  <r>
    <x v="29"/>
    <s v="conventional_turnover_incentive_112"/>
    <x v="152"/>
    <n v="1.2869999999999999"/>
    <n v="1"/>
    <n v="-730"/>
    <n v="180"/>
  </r>
  <r>
    <x v="29"/>
    <s v="conventional_turnover_incentive_113"/>
    <x v="153"/>
    <n v="1.2869999999999999"/>
    <n v="1"/>
    <n v="-730"/>
    <n v="180"/>
  </r>
  <r>
    <x v="29"/>
    <s v="conventional_turnover_incentive_114"/>
    <x v="154"/>
    <n v="1.2869999999999999"/>
    <n v="1"/>
    <n v="-730"/>
    <n v="180"/>
  </r>
  <r>
    <x v="29"/>
    <s v="conventional_turnover_incentive_115"/>
    <x v="155"/>
    <n v="1.2869999999999999"/>
    <n v="1"/>
    <n v="-730"/>
    <n v="180"/>
  </r>
  <r>
    <x v="29"/>
    <s v="conventional_turnover_incentive_116"/>
    <x v="156"/>
    <n v="1.2869999999999999"/>
    <n v="1"/>
    <n v="-730"/>
    <n v="180"/>
  </r>
  <r>
    <x v="29"/>
    <s v="conventional_turnover_incentive_117"/>
    <x v="157"/>
    <n v="1.2869999999999999"/>
    <n v="1"/>
    <n v="-730"/>
    <n v="180"/>
  </r>
  <r>
    <x v="29"/>
    <s v="conventional_turnover_incentive_118"/>
    <x v="158"/>
    <n v="1.2869999999999999"/>
    <n v="1"/>
    <n v="-730"/>
    <n v="180"/>
  </r>
  <r>
    <x v="29"/>
    <s v="conventional_turnover_incentive_119"/>
    <x v="159"/>
    <n v="1.2869999999999999"/>
    <n v="1"/>
    <n v="-730"/>
    <n v="180"/>
  </r>
  <r>
    <x v="29"/>
    <s v="conventional_turnover_incentive_120"/>
    <x v="160"/>
    <n v="1.2869999999999999"/>
    <n v="1"/>
    <n v="-730"/>
    <n v="180"/>
  </r>
  <r>
    <x v="29"/>
    <s v="conventional_turnover_incentive_121"/>
    <x v="161"/>
    <n v="1.2869999999999999"/>
    <n v="1"/>
    <n v="-730"/>
    <n v="180"/>
  </r>
  <r>
    <x v="29"/>
    <s v="conventional_turnover_incentive_122"/>
    <x v="162"/>
    <n v="1.2869999999999999"/>
    <n v="1"/>
    <n v="-730"/>
    <n v="180"/>
  </r>
  <r>
    <x v="29"/>
    <s v="conventional_turnover_incentive_123"/>
    <x v="163"/>
    <n v="1.2869999999999999"/>
    <n v="1"/>
    <n v="-730"/>
    <n v="180"/>
  </r>
  <r>
    <x v="29"/>
    <s v="conventional_turnover_incentive_124"/>
    <x v="164"/>
    <n v="1.2869999999999999"/>
    <n v="1"/>
    <n v="-730"/>
    <n v="180"/>
  </r>
  <r>
    <x v="29"/>
    <s v="conventional_turnover_incentive_125"/>
    <x v="165"/>
    <n v="1.2869999999999999"/>
    <n v="1"/>
    <n v="-730"/>
    <n v="180"/>
  </r>
  <r>
    <x v="29"/>
    <s v="conventional_turnover_incentive_126"/>
    <x v="166"/>
    <n v="1.2869999999999999"/>
    <n v="1"/>
    <n v="-730"/>
    <n v="180"/>
  </r>
  <r>
    <x v="29"/>
    <s v="conventional_turnover_incentive_127"/>
    <x v="167"/>
    <n v="1.2869999999999999"/>
    <n v="1"/>
    <n v="-730"/>
    <n v="180"/>
  </r>
  <r>
    <x v="29"/>
    <s v="conventional_turnover_incentive_128"/>
    <x v="168"/>
    <n v="1.2869999999999999"/>
    <n v="1"/>
    <n v="-730"/>
    <n v="180"/>
  </r>
  <r>
    <x v="29"/>
    <s v="conventional_turnover_incentive_129"/>
    <x v="169"/>
    <n v="1.2869999999999999"/>
    <n v="1"/>
    <n v="-730"/>
    <n v="180"/>
  </r>
  <r>
    <x v="29"/>
    <s v="conventional_turnover_incentive_130"/>
    <x v="170"/>
    <n v="1.2869999999999999"/>
    <n v="1"/>
    <n v="-730"/>
    <n v="180"/>
  </r>
  <r>
    <x v="29"/>
    <s v="conventional_turnover_incentive_131"/>
    <x v="171"/>
    <n v="1.2869999999999999"/>
    <n v="1"/>
    <n v="-730"/>
    <n v="180"/>
  </r>
  <r>
    <x v="29"/>
    <s v="conventional_turnover_incentive_132"/>
    <x v="172"/>
    <n v="1.2869999999999999"/>
    <n v="1"/>
    <n v="-730"/>
    <n v="180"/>
  </r>
  <r>
    <x v="29"/>
    <s v="conventional_turnover_incentive_133"/>
    <x v="173"/>
    <n v="1.2869999999999999"/>
    <n v="1"/>
    <n v="-730"/>
    <n v="180"/>
  </r>
  <r>
    <x v="29"/>
    <s v="conventional_turnover_incentive_134"/>
    <x v="174"/>
    <n v="1.2869999999999999"/>
    <n v="1"/>
    <n v="-730"/>
    <n v="180"/>
  </r>
  <r>
    <x v="29"/>
    <s v="conventional_turnover_incentive_135"/>
    <x v="175"/>
    <n v="1.2869999999999999"/>
    <n v="1"/>
    <n v="-730"/>
    <n v="180"/>
  </r>
  <r>
    <x v="29"/>
    <s v="conventional_turnover_incentive_136"/>
    <x v="176"/>
    <n v="1.2869999999999999"/>
    <n v="1"/>
    <n v="-730"/>
    <n v="180"/>
  </r>
  <r>
    <x v="29"/>
    <s v="conventional_turnover_incentive_137"/>
    <x v="177"/>
    <n v="1.2869999999999999"/>
    <n v="1"/>
    <n v="-730"/>
    <n v="180"/>
  </r>
  <r>
    <x v="29"/>
    <s v="conventional_turnover_incentive_138"/>
    <x v="178"/>
    <n v="1.2869999999999999"/>
    <n v="1"/>
    <n v="-730"/>
    <n v="180"/>
  </r>
  <r>
    <x v="29"/>
    <s v="conventional_turnover_incentive_139"/>
    <x v="179"/>
    <n v="1.2869999999999999"/>
    <n v="1"/>
    <n v="-730"/>
    <n v="180"/>
  </r>
  <r>
    <x v="29"/>
    <s v="conventional_turnover_incentive_140"/>
    <x v="180"/>
    <n v="1.2869999999999999"/>
    <n v="1"/>
    <n v="-730"/>
    <n v="180"/>
  </r>
  <r>
    <x v="29"/>
    <s v="conventional_turnover_incentive_141"/>
    <x v="181"/>
    <n v="1.2869999999999999"/>
    <n v="1"/>
    <n v="-730"/>
    <n v="180"/>
  </r>
  <r>
    <x v="29"/>
    <s v="conventional_turnover_incentive_142"/>
    <x v="182"/>
    <n v="1.2869999999999999"/>
    <n v="1"/>
    <n v="-730"/>
    <n v="180"/>
  </r>
  <r>
    <x v="29"/>
    <s v="conventional_turnover_incentive_143"/>
    <x v="183"/>
    <n v="1.2869999999999999"/>
    <n v="1"/>
    <n v="-730"/>
    <n v="180"/>
  </r>
  <r>
    <x v="29"/>
    <s v="conventional_turnover_incentive_144"/>
    <x v="184"/>
    <n v="1.2869999999999999"/>
    <n v="1"/>
    <n v="-730"/>
    <n v="180"/>
  </r>
  <r>
    <x v="29"/>
    <s v="conventional_turnover_incentive_145"/>
    <x v="185"/>
    <n v="1.2869999999999999"/>
    <n v="1"/>
    <n v="-730"/>
    <n v="180"/>
  </r>
  <r>
    <x v="29"/>
    <s v="conventional_turnover_incentive_146"/>
    <x v="186"/>
    <n v="1.2869999999999999"/>
    <n v="1"/>
    <n v="-730"/>
    <n v="180"/>
  </r>
  <r>
    <x v="29"/>
    <s v="conventional_turnover_incentive_147"/>
    <x v="187"/>
    <n v="1.2869999999999999"/>
    <n v="1"/>
    <n v="-730"/>
    <n v="180"/>
  </r>
  <r>
    <x v="29"/>
    <s v="conventional_turnover_incentive_148"/>
    <x v="188"/>
    <n v="1.2869999999999999"/>
    <n v="1"/>
    <n v="-730"/>
    <n v="180"/>
  </r>
  <r>
    <x v="29"/>
    <s v="conventional_turnover_incentive_149"/>
    <x v="189"/>
    <n v="1.2869999999999999"/>
    <n v="1"/>
    <n v="-730"/>
    <n v="180"/>
  </r>
  <r>
    <x v="29"/>
    <s v="conventional_turnover_incentive_150"/>
    <x v="190"/>
    <n v="1.2869999999999999"/>
    <n v="1"/>
    <n v="-730"/>
    <n v="180"/>
  </r>
  <r>
    <x v="29"/>
    <s v="conventional_turnover_incentive_151"/>
    <x v="191"/>
    <n v="1.2869999999999999"/>
    <n v="1"/>
    <n v="-730"/>
    <n v="180"/>
  </r>
  <r>
    <x v="29"/>
    <s v="conventional_turnover_incentive_152"/>
    <x v="192"/>
    <n v="1.2869999999999999"/>
    <n v="1"/>
    <n v="-730"/>
    <n v="180"/>
  </r>
  <r>
    <x v="29"/>
    <s v="conventional_turnover_incentive_153"/>
    <x v="193"/>
    <n v="1.2869999999999999"/>
    <n v="1"/>
    <n v="-730"/>
    <n v="180"/>
  </r>
  <r>
    <x v="29"/>
    <s v="conventional_turnover_incentive_154"/>
    <x v="194"/>
    <n v="1.2869999999999999"/>
    <n v="1"/>
    <n v="-730"/>
    <n v="180"/>
  </r>
  <r>
    <x v="29"/>
    <s v="conventional_turnover_incentive_155"/>
    <x v="195"/>
    <n v="1.2869999999999999"/>
    <n v="1"/>
    <n v="-730"/>
    <n v="180"/>
  </r>
  <r>
    <x v="29"/>
    <s v="conventional_turnover_incentive_156"/>
    <x v="196"/>
    <n v="1.2869999999999999"/>
    <n v="1"/>
    <n v="-730"/>
    <n v="180"/>
  </r>
  <r>
    <x v="29"/>
    <s v="conventional_turnover_incentive_157"/>
    <x v="197"/>
    <n v="1.2869999999999999"/>
    <n v="1"/>
    <n v="-730"/>
    <n v="180"/>
  </r>
  <r>
    <x v="29"/>
    <s v="conventional_turnover_incentive_158"/>
    <x v="198"/>
    <n v="1.2869999999999999"/>
    <n v="1"/>
    <n v="-730"/>
    <n v="180"/>
  </r>
  <r>
    <x v="29"/>
    <s v="conventional_turnover_incentive_159"/>
    <x v="199"/>
    <n v="1.2869999999999999"/>
    <n v="1"/>
    <n v="-730"/>
    <n v="180"/>
  </r>
  <r>
    <x v="29"/>
    <s v="conventional_turnover_incentive_160"/>
    <x v="200"/>
    <n v="1.2869999999999999"/>
    <n v="1"/>
    <n v="-730"/>
    <n v="180"/>
  </r>
  <r>
    <x v="29"/>
    <s v="conventional_turnover_incentive_161"/>
    <x v="201"/>
    <n v="1.2869999999999999"/>
    <n v="1"/>
    <n v="-730"/>
    <n v="180"/>
  </r>
  <r>
    <x v="29"/>
    <s v="conventional_turnover_incentive_162"/>
    <x v="202"/>
    <n v="1.2869999999999999"/>
    <n v="1"/>
    <n v="-730"/>
    <n v="180"/>
  </r>
  <r>
    <x v="29"/>
    <s v="conventional_turnover_incentive_163"/>
    <x v="203"/>
    <n v="1.2869999999999999"/>
    <n v="1"/>
    <n v="-730"/>
    <n v="180"/>
  </r>
  <r>
    <x v="29"/>
    <s v="conventional_turnover_incentive_164"/>
    <x v="204"/>
    <n v="1.2869999999999999"/>
    <n v="1"/>
    <n v="-730"/>
    <n v="180"/>
  </r>
  <r>
    <x v="29"/>
    <s v="conventional_turnover_incentive_165"/>
    <x v="205"/>
    <n v="1.2869999999999999"/>
    <n v="1"/>
    <n v="-730"/>
    <n v="180"/>
  </r>
  <r>
    <x v="29"/>
    <s v="conventional_turnover_incentive_166"/>
    <x v="206"/>
    <n v="1.2869999999999999"/>
    <n v="1"/>
    <n v="-730"/>
    <n v="180"/>
  </r>
  <r>
    <x v="29"/>
    <s v="conventional_turnover_incentive_167"/>
    <x v="207"/>
    <n v="1.2869999999999999"/>
    <n v="1"/>
    <n v="-730"/>
    <n v="180"/>
  </r>
  <r>
    <x v="29"/>
    <s v="conventional_turnover_incentive_168"/>
    <x v="208"/>
    <n v="1.2869999999999999"/>
    <n v="1"/>
    <n v="-730"/>
    <n v="180"/>
  </r>
  <r>
    <x v="29"/>
    <s v="conventional_turnover_incentive_169"/>
    <x v="209"/>
    <n v="1.2869999999999999"/>
    <n v="1"/>
    <n v="-730"/>
    <n v="180"/>
  </r>
  <r>
    <x v="29"/>
    <s v="conventional_turnover_incentive_170"/>
    <x v="210"/>
    <n v="1.2869999999999999"/>
    <n v="1"/>
    <n v="-730"/>
    <n v="180"/>
  </r>
  <r>
    <x v="29"/>
    <s v="conventional_turnover_incentive_171"/>
    <x v="211"/>
    <n v="1.2869999999999999"/>
    <n v="1"/>
    <n v="-730"/>
    <n v="180"/>
  </r>
  <r>
    <x v="29"/>
    <s v="conventional_turnover_incentive_172"/>
    <x v="212"/>
    <n v="1.2869999999999999"/>
    <n v="1"/>
    <n v="-730"/>
    <n v="180"/>
  </r>
  <r>
    <x v="29"/>
    <s v="conventional_turnover_incentive_173"/>
    <x v="213"/>
    <n v="1.2869999999999999"/>
    <n v="1"/>
    <n v="-730"/>
    <n v="180"/>
  </r>
  <r>
    <x v="29"/>
    <s v="conventional_turnover_incentive_174"/>
    <x v="214"/>
    <n v="1.2869999999999999"/>
    <n v="1"/>
    <n v="-730"/>
    <n v="180"/>
  </r>
  <r>
    <x v="29"/>
    <s v="conventional_turnover_incentive_175"/>
    <x v="215"/>
    <n v="1.2869999999999999"/>
    <n v="1"/>
    <n v="-730"/>
    <n v="180"/>
  </r>
  <r>
    <x v="29"/>
    <s v="conventional_turnover_incentive_176"/>
    <x v="216"/>
    <n v="1.2869999999999999"/>
    <n v="1"/>
    <n v="-730"/>
    <n v="180"/>
  </r>
  <r>
    <x v="29"/>
    <s v="conventional_turnover_incentive_177"/>
    <x v="217"/>
    <n v="1.2869999999999999"/>
    <n v="1"/>
    <n v="-730"/>
    <n v="180"/>
  </r>
  <r>
    <x v="29"/>
    <s v="conventional_turnover_incentive_178"/>
    <x v="218"/>
    <n v="1.2869999999999999"/>
    <n v="1"/>
    <n v="-730"/>
    <n v="180"/>
  </r>
  <r>
    <x v="29"/>
    <s v="conventional_turnover_incentive_179"/>
    <x v="219"/>
    <n v="1.2869999999999999"/>
    <n v="1"/>
    <n v="-730"/>
    <n v="180"/>
  </r>
  <r>
    <x v="29"/>
    <s v="conventional_turnover_incentive_180"/>
    <x v="220"/>
    <n v="1.2869999999999999"/>
    <n v="1"/>
    <n v="-730"/>
    <n v="180"/>
  </r>
  <r>
    <x v="30"/>
    <s v="conventional_turnover_cltv_-40"/>
    <x v="0"/>
    <n v="1.0081451881449599"/>
    <n v="1"/>
    <n v="-40"/>
    <n v="240"/>
  </r>
  <r>
    <x v="30"/>
    <s v="conventional_turnover_cltv_-39"/>
    <x v="1"/>
    <n v="1.00814155844134"/>
    <n v="1"/>
    <n v="-40"/>
    <n v="240"/>
  </r>
  <r>
    <x v="30"/>
    <s v="conventional_turnover_cltv_-38"/>
    <x v="2"/>
    <n v="1.0081379287377199"/>
    <n v="1"/>
    <n v="-40"/>
    <n v="240"/>
  </r>
  <r>
    <x v="30"/>
    <s v="conventional_turnover_cltv_-37"/>
    <x v="3"/>
    <n v="1.00813429903409"/>
    <n v="1"/>
    <n v="-40"/>
    <n v="240"/>
  </r>
  <r>
    <x v="30"/>
    <s v="conventional_turnover_cltv_-36"/>
    <x v="4"/>
    <n v="1.0081306693304699"/>
    <n v="1"/>
    <n v="-40"/>
    <n v="240"/>
  </r>
  <r>
    <x v="30"/>
    <s v="conventional_turnover_cltv_-35"/>
    <x v="5"/>
    <n v="1.00812703962684"/>
    <n v="1"/>
    <n v="-40"/>
    <n v="240"/>
  </r>
  <r>
    <x v="30"/>
    <s v="conventional_turnover_cltv_-34"/>
    <x v="6"/>
    <n v="1.0081234099232199"/>
    <n v="1"/>
    <n v="-40"/>
    <n v="240"/>
  </r>
  <r>
    <x v="30"/>
    <s v="conventional_turnover_cltv_-33"/>
    <x v="7"/>
    <n v="1.0081197802196"/>
    <n v="1"/>
    <n v="-40"/>
    <n v="240"/>
  </r>
  <r>
    <x v="30"/>
    <s v="conventional_turnover_cltv_-32"/>
    <x v="8"/>
    <n v="1.0081161505159699"/>
    <n v="1"/>
    <n v="-40"/>
    <n v="240"/>
  </r>
  <r>
    <x v="30"/>
    <s v="conventional_turnover_cltv_-31"/>
    <x v="9"/>
    <n v="1.00811252081235"/>
    <n v="1"/>
    <n v="-40"/>
    <n v="240"/>
  </r>
  <r>
    <x v="30"/>
    <s v="conventional_turnover_cltv_-30"/>
    <x v="10"/>
    <n v="1.0081088911087199"/>
    <n v="1"/>
    <n v="-40"/>
    <n v="240"/>
  </r>
  <r>
    <x v="30"/>
    <s v="conventional_turnover_cltv_-29"/>
    <x v="11"/>
    <n v="1.0081052614051"/>
    <n v="1"/>
    <n v="-40"/>
    <n v="240"/>
  </r>
  <r>
    <x v="30"/>
    <s v="conventional_turnover_cltv_-28"/>
    <x v="12"/>
    <n v="1.0081016317014799"/>
    <n v="1"/>
    <n v="-40"/>
    <n v="240"/>
  </r>
  <r>
    <x v="30"/>
    <s v="conventional_turnover_cltv_-27"/>
    <x v="13"/>
    <n v="1.00809800199785"/>
    <n v="1"/>
    <n v="-40"/>
    <n v="240"/>
  </r>
  <r>
    <x v="30"/>
    <s v="conventional_turnover_cltv_-26"/>
    <x v="14"/>
    <n v="1.0080943722942299"/>
    <n v="1"/>
    <n v="-40"/>
    <n v="240"/>
  </r>
  <r>
    <x v="30"/>
    <s v="conventional_turnover_cltv_-25"/>
    <x v="15"/>
    <n v="1.0080907425906001"/>
    <n v="1"/>
    <n v="-40"/>
    <n v="240"/>
  </r>
  <r>
    <x v="30"/>
    <s v="conventional_turnover_cltv_-24"/>
    <x v="16"/>
    <n v="1.0080871128869799"/>
    <n v="1"/>
    <n v="-40"/>
    <n v="240"/>
  </r>
  <r>
    <x v="30"/>
    <s v="conventional_turnover_cltv_-23"/>
    <x v="17"/>
    <n v="1.0080834831833501"/>
    <n v="1"/>
    <n v="-40"/>
    <n v="240"/>
  </r>
  <r>
    <x v="30"/>
    <s v="conventional_turnover_cltv_-22"/>
    <x v="18"/>
    <n v="1.0080798534797299"/>
    <n v="1"/>
    <n v="-40"/>
    <n v="240"/>
  </r>
  <r>
    <x v="30"/>
    <s v="conventional_turnover_cltv_-21"/>
    <x v="19"/>
    <n v="1.0080762237761101"/>
    <n v="1"/>
    <n v="-40"/>
    <n v="240"/>
  </r>
  <r>
    <x v="30"/>
    <s v="conventional_turnover_cltv_-20"/>
    <x v="20"/>
    <n v="1.00807259407248"/>
    <n v="1"/>
    <n v="-40"/>
    <n v="240"/>
  </r>
  <r>
    <x v="30"/>
    <s v="conventional_turnover_cltv_-19"/>
    <x v="21"/>
    <n v="1.0080689643688601"/>
    <n v="1"/>
    <n v="-40"/>
    <n v="240"/>
  </r>
  <r>
    <x v="30"/>
    <s v="conventional_turnover_cltv_-18"/>
    <x v="22"/>
    <n v="1.00806533466523"/>
    <n v="1"/>
    <n v="-40"/>
    <n v="240"/>
  </r>
  <r>
    <x v="30"/>
    <s v="conventional_turnover_cltv_-17"/>
    <x v="23"/>
    <n v="1.0080617049616101"/>
    <n v="1"/>
    <n v="-40"/>
    <n v="240"/>
  </r>
  <r>
    <x v="30"/>
    <s v="conventional_turnover_cltv_-16"/>
    <x v="24"/>
    <n v="1.00805807525799"/>
    <n v="1"/>
    <n v="-40"/>
    <n v="240"/>
  </r>
  <r>
    <x v="30"/>
    <s v="conventional_turnover_cltv_-15"/>
    <x v="25"/>
    <n v="1.0080544455543601"/>
    <n v="1"/>
    <n v="-40"/>
    <n v="240"/>
  </r>
  <r>
    <x v="30"/>
    <s v="conventional_turnover_cltv_-14"/>
    <x v="26"/>
    <n v="1.00805081585074"/>
    <n v="1"/>
    <n v="-40"/>
    <n v="240"/>
  </r>
  <r>
    <x v="30"/>
    <s v="conventional_turnover_cltv_-13"/>
    <x v="27"/>
    <n v="1.0080471861471101"/>
    <n v="1"/>
    <n v="-40"/>
    <n v="240"/>
  </r>
  <r>
    <x v="30"/>
    <s v="conventional_turnover_cltv_-12"/>
    <x v="28"/>
    <n v="1.00804355644349"/>
    <n v="1"/>
    <n v="-40"/>
    <n v="240"/>
  </r>
  <r>
    <x v="30"/>
    <s v="conventional_turnover_cltv_-11"/>
    <x v="29"/>
    <n v="1.0080399267398701"/>
    <n v="1"/>
    <n v="-40"/>
    <n v="240"/>
  </r>
  <r>
    <x v="30"/>
    <s v="conventional_turnover_cltv_-10"/>
    <x v="30"/>
    <n v="1.00803629703624"/>
    <n v="1"/>
    <n v="-40"/>
    <n v="240"/>
  </r>
  <r>
    <x v="30"/>
    <s v="conventional_turnover_cltv_-9"/>
    <x v="31"/>
    <n v="1.0080326673326201"/>
    <n v="1"/>
    <n v="-40"/>
    <n v="240"/>
  </r>
  <r>
    <x v="30"/>
    <s v="conventional_turnover_cltv_-8"/>
    <x v="32"/>
    <n v="1.00802903762899"/>
    <n v="1"/>
    <n v="-40"/>
    <n v="240"/>
  </r>
  <r>
    <x v="30"/>
    <s v="conventional_turnover_cltv_-7"/>
    <x v="33"/>
    <n v="1.0080254079253701"/>
    <n v="1"/>
    <n v="-40"/>
    <n v="240"/>
  </r>
  <r>
    <x v="30"/>
    <s v="conventional_turnover_cltv_-6"/>
    <x v="34"/>
    <n v="1.00802177822174"/>
    <n v="1"/>
    <n v="-40"/>
    <n v="240"/>
  </r>
  <r>
    <x v="30"/>
    <s v="conventional_turnover_cltv_-5"/>
    <x v="35"/>
    <n v="1.0080181485181201"/>
    <n v="1"/>
    <n v="-40"/>
    <n v="240"/>
  </r>
  <r>
    <x v="30"/>
    <s v="conventional_turnover_cltv_-4"/>
    <x v="36"/>
    <n v="1.0080145188145"/>
    <n v="1"/>
    <n v="-40"/>
    <n v="240"/>
  </r>
  <r>
    <x v="30"/>
    <s v="conventional_turnover_cltv_-3"/>
    <x v="37"/>
    <n v="1.0080108891108699"/>
    <n v="1"/>
    <n v="-40"/>
    <n v="240"/>
  </r>
  <r>
    <x v="30"/>
    <s v="conventional_turnover_cltv_-2"/>
    <x v="38"/>
    <n v="1.00800725940725"/>
    <n v="1"/>
    <n v="-40"/>
    <n v="240"/>
  </r>
  <r>
    <x v="30"/>
    <s v="conventional_turnover_cltv_-1"/>
    <x v="39"/>
    <n v="1.0080036297036199"/>
    <n v="1"/>
    <n v="-40"/>
    <n v="240"/>
  </r>
  <r>
    <x v="30"/>
    <s v="conventional_turnover_cltv_0"/>
    <x v="40"/>
    <n v="1.008"/>
    <n v="1"/>
    <n v="-40"/>
    <n v="240"/>
  </r>
  <r>
    <x v="30"/>
    <s v="conventional_turnover_cltv_1"/>
    <x v="41"/>
    <n v="1.0079957348807"/>
    <n v="1"/>
    <n v="-40"/>
    <n v="240"/>
  </r>
  <r>
    <x v="30"/>
    <s v="conventional_turnover_cltv_2"/>
    <x v="42"/>
    <n v="1.00799022407369"/>
    <n v="1"/>
    <n v="-40"/>
    <n v="240"/>
  </r>
  <r>
    <x v="30"/>
    <s v="conventional_turnover_cltv_3"/>
    <x v="43"/>
    <n v="1.0079835052944499"/>
    <n v="1"/>
    <n v="-40"/>
    <n v="240"/>
  </r>
  <r>
    <x v="30"/>
    <s v="conventional_turnover_cltv_4"/>
    <x v="44"/>
    <n v="1.0079756162584801"/>
    <n v="1"/>
    <n v="-40"/>
    <n v="240"/>
  </r>
  <r>
    <x v="30"/>
    <s v="conventional_turnover_cltv_5"/>
    <x v="45"/>
    <n v="1.00796659468123"/>
    <n v="1"/>
    <n v="-40"/>
    <n v="240"/>
  </r>
  <r>
    <x v="30"/>
    <s v="conventional_turnover_cltv_6"/>
    <x v="46"/>
    <n v="1.0079564782782"/>
    <n v="1"/>
    <n v="-40"/>
    <n v="240"/>
  </r>
  <r>
    <x v="30"/>
    <s v="conventional_turnover_cltv_7"/>
    <x v="47"/>
    <n v="1.0079453047648601"/>
    <n v="1"/>
    <n v="-40"/>
    <n v="240"/>
  </r>
  <r>
    <x v="30"/>
    <s v="conventional_turnover_cltv_8"/>
    <x v="48"/>
    <n v="1.0079331118567001"/>
    <n v="1"/>
    <n v="-40"/>
    <n v="240"/>
  </r>
  <r>
    <x v="30"/>
    <s v="conventional_turnover_cltv_9"/>
    <x v="49"/>
    <n v="1.00791993726919"/>
    <n v="1"/>
    <n v="-40"/>
    <n v="240"/>
  </r>
  <r>
    <x v="30"/>
    <s v="conventional_turnover_cltv_10"/>
    <x v="50"/>
    <n v="1.00790581871781"/>
    <n v="1"/>
    <n v="-40"/>
    <n v="240"/>
  </r>
  <r>
    <x v="30"/>
    <s v="conventional_turnover_cltv_11"/>
    <x v="51"/>
    <n v="1.0078907939180499"/>
    <n v="1"/>
    <n v="-40"/>
    <n v="240"/>
  </r>
  <r>
    <x v="30"/>
    <s v="conventional_turnover_cltv_12"/>
    <x v="52"/>
    <n v="1.00787490058538"/>
    <n v="1"/>
    <n v="-40"/>
    <n v="240"/>
  </r>
  <r>
    <x v="30"/>
    <s v="conventional_turnover_cltv_13"/>
    <x v="53"/>
    <n v="1.0078581764352801"/>
    <n v="1"/>
    <n v="-40"/>
    <n v="240"/>
  </r>
  <r>
    <x v="30"/>
    <s v="conventional_turnover_cltv_14"/>
    <x v="54"/>
    <n v="1.0078406591832301"/>
    <n v="1"/>
    <n v="-40"/>
    <n v="240"/>
  </r>
  <r>
    <x v="30"/>
    <s v="conventional_turnover_cltv_15"/>
    <x v="55"/>
    <n v="1.00782238654472"/>
    <n v="1"/>
    <n v="-40"/>
    <n v="240"/>
  </r>
  <r>
    <x v="30"/>
    <s v="conventional_turnover_cltv_16"/>
    <x v="56"/>
    <n v="1.00780339623522"/>
    <n v="1"/>
    <n v="-40"/>
    <n v="240"/>
  </r>
  <r>
    <x v="30"/>
    <s v="conventional_turnover_cltv_17"/>
    <x v="57"/>
    <n v="1.00778372597021"/>
    <n v="1"/>
    <n v="-40"/>
    <n v="240"/>
  </r>
  <r>
    <x v="30"/>
    <s v="conventional_turnover_cltv_18"/>
    <x v="58"/>
    <n v="1.0077634134651701"/>
    <n v="1"/>
    <n v="-40"/>
    <n v="240"/>
  </r>
  <r>
    <x v="30"/>
    <s v="conventional_turnover_cltv_19"/>
    <x v="59"/>
    <n v="1.0077424964355799"/>
    <n v="1"/>
    <n v="-40"/>
    <n v="240"/>
  </r>
  <r>
    <x v="30"/>
    <s v="conventional_turnover_cltv_20"/>
    <x v="60"/>
    <n v="1.00772101259693"/>
    <n v="1"/>
    <n v="-40"/>
    <n v="240"/>
  </r>
  <r>
    <x v="30"/>
    <s v="conventional_turnover_cltv_21"/>
    <x v="61"/>
    <n v="1.0076989996646799"/>
    <n v="1"/>
    <n v="-40"/>
    <n v="240"/>
  </r>
  <r>
    <x v="30"/>
    <s v="conventional_turnover_cltv_22"/>
    <x v="62"/>
    <n v="1.00767649535433"/>
    <n v="1"/>
    <n v="-40"/>
    <n v="240"/>
  </r>
  <r>
    <x v="30"/>
    <s v="conventional_turnover_cltv_23"/>
    <x v="63"/>
    <n v="1.00765353738134"/>
    <n v="1"/>
    <n v="-40"/>
    <n v="240"/>
  </r>
  <r>
    <x v="30"/>
    <s v="conventional_turnover_cltv_24"/>
    <x v="64"/>
    <n v="1.0076301634612099"/>
    <n v="1"/>
    <n v="-40"/>
    <n v="240"/>
  </r>
  <r>
    <x v="30"/>
    <s v="conventional_turnover_cltv_25"/>
    <x v="65"/>
    <n v="1.0076064113094101"/>
    <n v="1"/>
    <n v="-40"/>
    <n v="240"/>
  </r>
  <r>
    <x v="30"/>
    <s v="conventional_turnover_cltv_26"/>
    <x v="66"/>
    <n v="1.0075823186414099"/>
    <n v="1"/>
    <n v="-40"/>
    <n v="240"/>
  </r>
  <r>
    <x v="30"/>
    <s v="conventional_turnover_cltv_27"/>
    <x v="67"/>
    <n v="1.0075579231727101"/>
    <n v="1"/>
    <n v="-40"/>
    <n v="240"/>
  </r>
  <r>
    <x v="30"/>
    <s v="conventional_turnover_cltv_28"/>
    <x v="68"/>
    <n v="1.0075332626187801"/>
    <n v="1"/>
    <n v="-40"/>
    <n v="240"/>
  </r>
  <r>
    <x v="30"/>
    <s v="conventional_turnover_cltv_29"/>
    <x v="69"/>
    <n v="1.0075083746950899"/>
    <n v="1"/>
    <n v="-40"/>
    <n v="240"/>
  </r>
  <r>
    <x v="30"/>
    <s v="conventional_turnover_cltv_30"/>
    <x v="70"/>
    <n v="1.0074832971171299"/>
    <n v="1"/>
    <n v="-40"/>
    <n v="240"/>
  </r>
  <r>
    <x v="30"/>
    <s v="conventional_turnover_cltv_31"/>
    <x v="71"/>
    <n v="1.0074580676003899"/>
    <n v="1"/>
    <n v="-40"/>
    <n v="240"/>
  </r>
  <r>
    <x v="30"/>
    <s v="conventional_turnover_cltv_32"/>
    <x v="72"/>
    <n v="1.00743272386033"/>
    <n v="1"/>
    <n v="-40"/>
    <n v="240"/>
  </r>
  <r>
    <x v="30"/>
    <s v="conventional_turnover_cltv_33"/>
    <x v="73"/>
    <n v="1.00740730361244"/>
    <n v="1"/>
    <n v="-40"/>
    <n v="240"/>
  </r>
  <r>
    <x v="30"/>
    <s v="conventional_turnover_cltv_34"/>
    <x v="74"/>
    <n v="1.0073818445722"/>
    <n v="1"/>
    <n v="-40"/>
    <n v="240"/>
  </r>
  <r>
    <x v="30"/>
    <s v="conventional_turnover_cltv_35"/>
    <x v="75"/>
    <n v="1.0073563844550799"/>
    <n v="1"/>
    <n v="-40"/>
    <n v="240"/>
  </r>
  <r>
    <x v="30"/>
    <s v="conventional_turnover_cltv_36"/>
    <x v="76"/>
    <n v="1.0073309609765799"/>
    <n v="1"/>
    <n v="-40"/>
    <n v="240"/>
  </r>
  <r>
    <x v="30"/>
    <s v="conventional_turnover_cltv_37"/>
    <x v="77"/>
    <n v="1.0073056118521599"/>
    <n v="1"/>
    <n v="-40"/>
    <n v="240"/>
  </r>
  <r>
    <x v="30"/>
    <s v="conventional_turnover_cltv_38"/>
    <x v="78"/>
    <n v="1.00728037479731"/>
    <n v="1"/>
    <n v="-40"/>
    <n v="240"/>
  </r>
  <r>
    <x v="30"/>
    <s v="conventional_turnover_cltv_39"/>
    <x v="79"/>
    <n v="1.0072552875275"/>
    <n v="1"/>
    <n v="-40"/>
    <n v="240"/>
  </r>
  <r>
    <x v="30"/>
    <s v="conventional_turnover_cltv_40"/>
    <x v="80"/>
    <n v="1.00723038775823"/>
    <n v="1"/>
    <n v="-40"/>
    <n v="240"/>
  </r>
  <r>
    <x v="30"/>
    <s v="conventional_turnover_cltv_41"/>
    <x v="81"/>
    <n v="1.0072057132049601"/>
    <n v="1"/>
    <n v="-40"/>
    <n v="240"/>
  </r>
  <r>
    <x v="30"/>
    <s v="conventional_turnover_cltv_42"/>
    <x v="82"/>
    <n v="1.0071813015831701"/>
    <n v="1"/>
    <n v="-40"/>
    <n v="240"/>
  </r>
  <r>
    <x v="30"/>
    <s v="conventional_turnover_cltv_43"/>
    <x v="83"/>
    <n v="1.0071571906083601"/>
    <n v="1"/>
    <n v="-40"/>
    <n v="240"/>
  </r>
  <r>
    <x v="30"/>
    <s v="conventional_turnover_cltv_44"/>
    <x v="84"/>
    <n v="1.0071334179959901"/>
    <n v="1"/>
    <n v="-40"/>
    <n v="240"/>
  </r>
  <r>
    <x v="30"/>
    <s v="conventional_turnover_cltv_45"/>
    <x v="85"/>
    <n v="1.0071100214615401"/>
    <n v="1"/>
    <n v="-40"/>
    <n v="240"/>
  </r>
  <r>
    <x v="30"/>
    <s v="conventional_turnover_cltv_46"/>
    <x v="86"/>
    <n v="1.0070870387205"/>
    <n v="1"/>
    <n v="-40"/>
    <n v="240"/>
  </r>
  <r>
    <x v="30"/>
    <s v="conventional_turnover_cltv_47"/>
    <x v="87"/>
    <n v="1.00706450748835"/>
    <n v="1"/>
    <n v="-40"/>
    <n v="240"/>
  </r>
  <r>
    <x v="30"/>
    <s v="conventional_turnover_cltv_48"/>
    <x v="88"/>
    <n v="1.0070424654805601"/>
    <n v="1"/>
    <n v="-40"/>
    <n v="240"/>
  </r>
  <r>
    <x v="30"/>
    <s v="conventional_turnover_cltv_49"/>
    <x v="89"/>
    <n v="1.00702095041262"/>
    <n v="1"/>
    <n v="-40"/>
    <n v="240"/>
  </r>
  <r>
    <x v="30"/>
    <s v="conventional_turnover_cltv_50"/>
    <x v="90"/>
    <n v="1.0069999999999999"/>
    <n v="1"/>
    <n v="-40"/>
    <n v="240"/>
  </r>
  <r>
    <x v="30"/>
    <s v="conventional_turnover_cltv_51"/>
    <x v="91"/>
    <n v="1.00697915539505"/>
    <n v="1"/>
    <n v="-40"/>
    <n v="240"/>
  </r>
  <r>
    <x v="30"/>
    <s v="conventional_turnover_cltv_52"/>
    <x v="92"/>
    <n v="1.0069461895948399"/>
    <n v="1"/>
    <n v="-40"/>
    <n v="240"/>
  </r>
  <r>
    <x v="30"/>
    <s v="conventional_turnover_cltv_53"/>
    <x v="93"/>
    <n v="1.0068834880819699"/>
    <n v="1"/>
    <n v="-40"/>
    <n v="240"/>
  </r>
  <r>
    <x v="30"/>
    <s v="conventional_turnover_cltv_54"/>
    <x v="94"/>
    <n v="1.00677343633901"/>
    <n v="1"/>
    <n v="-40"/>
    <n v="240"/>
  </r>
  <r>
    <x v="30"/>
    <s v="conventional_turnover_cltv_55"/>
    <x v="95"/>
    <n v="1.00659841984855"/>
    <n v="1"/>
    <n v="-40"/>
    <n v="240"/>
  </r>
  <r>
    <x v="30"/>
    <s v="conventional_turnover_cltv_56"/>
    <x v="96"/>
    <n v="1.0063408240931799"/>
    <n v="1"/>
    <n v="-40"/>
    <n v="240"/>
  </r>
  <r>
    <x v="30"/>
    <s v="conventional_turnover_cltv_57"/>
    <x v="97"/>
    <n v="1.0059830345554699"/>
    <n v="1"/>
    <n v="-40"/>
    <n v="240"/>
  </r>
  <r>
    <x v="30"/>
    <s v="conventional_turnover_cltv_58"/>
    <x v="98"/>
    <n v="1.0055074367180199"/>
    <n v="1"/>
    <n v="-40"/>
    <n v="240"/>
  </r>
  <r>
    <x v="30"/>
    <s v="conventional_turnover_cltv_59"/>
    <x v="99"/>
    <n v="1.0048964160634"/>
    <n v="1"/>
    <n v="-40"/>
    <n v="240"/>
  </r>
  <r>
    <x v="30"/>
    <s v="conventional_turnover_cltv_60"/>
    <x v="100"/>
    <n v="1.0041323580742001"/>
    <n v="1"/>
    <n v="-40"/>
    <n v="240"/>
  </r>
  <r>
    <x v="30"/>
    <s v="conventional_turnover_cltv_61"/>
    <x v="101"/>
    <n v="1.0031976482330101"/>
    <n v="1"/>
    <n v="-40"/>
    <n v="240"/>
  </r>
  <r>
    <x v="30"/>
    <s v="conventional_turnover_cltv_62"/>
    <x v="102"/>
    <n v="1.0020746720224101"/>
    <n v="1"/>
    <n v="-40"/>
    <n v="240"/>
  </r>
  <r>
    <x v="30"/>
    <s v="conventional_turnover_cltv_63"/>
    <x v="103"/>
    <n v="1.0007458149249899"/>
    <n v="1"/>
    <n v="-40"/>
    <n v="240"/>
  </r>
  <r>
    <x v="30"/>
    <s v="conventional_turnover_cltv_64"/>
    <x v="104"/>
    <n v="0.99919346242332296"/>
    <n v="1"/>
    <n v="-40"/>
    <n v="240"/>
  </r>
  <r>
    <x v="30"/>
    <s v="conventional_turnover_cltv_65"/>
    <x v="105"/>
    <n v="0.99739999999999995"/>
    <n v="1"/>
    <n v="-40"/>
    <n v="240"/>
  </r>
  <r>
    <x v="30"/>
    <s v="conventional_turnover_cltv_66"/>
    <x v="106"/>
    <n v="0.994171207900305"/>
    <n v="1"/>
    <n v="-40"/>
    <n v="240"/>
  </r>
  <r>
    <x v="30"/>
    <s v="conventional_turnover_cltv_67"/>
    <x v="107"/>
    <n v="0.98853527802308805"/>
    <n v="1"/>
    <n v="-40"/>
    <n v="240"/>
  </r>
  <r>
    <x v="30"/>
    <s v="conventional_turnover_cltv_68"/>
    <x v="108"/>
    <n v="0.98080821333128398"/>
    <n v="1"/>
    <n v="-40"/>
    <n v="240"/>
  </r>
  <r>
    <x v="30"/>
    <s v="conventional_turnover_cltv_69"/>
    <x v="109"/>
    <n v="0.97130601678782702"/>
    <n v="1"/>
    <n v="-40"/>
    <n v="240"/>
  </r>
  <r>
    <x v="30"/>
    <s v="conventional_turnover_cltv_70"/>
    <x v="110"/>
    <n v="0.96034469135565304"/>
    <n v="1"/>
    <n v="-40"/>
    <n v="240"/>
  </r>
  <r>
    <x v="30"/>
    <s v="conventional_turnover_cltv_71"/>
    <x v="111"/>
    <n v="0.94824023999769402"/>
    <n v="1"/>
    <n v="-40"/>
    <n v="240"/>
  </r>
  <r>
    <x v="30"/>
    <s v="conventional_turnover_cltv_72"/>
    <x v="112"/>
    <n v="0.93530866567688697"/>
    <n v="1"/>
    <n v="-40"/>
    <n v="240"/>
  </r>
  <r>
    <x v="30"/>
    <s v="conventional_turnover_cltv_73"/>
    <x v="113"/>
    <n v="0.92186597135616499"/>
    <n v="1"/>
    <n v="-40"/>
    <n v="240"/>
  </r>
  <r>
    <x v="30"/>
    <s v="conventional_turnover_cltv_74"/>
    <x v="114"/>
    <n v="0.90822815999846296"/>
    <n v="1"/>
    <n v="-40"/>
    <n v="240"/>
  </r>
  <r>
    <x v="30"/>
    <s v="conventional_turnover_cltv_75"/>
    <x v="115"/>
    <n v="0.89471123456671497"/>
    <n v="1"/>
    <n v="-40"/>
    <n v="240"/>
  </r>
  <r>
    <x v="30"/>
    <s v="conventional_turnover_cltv_76"/>
    <x v="116"/>
    <n v="0.88163119802385603"/>
    <n v="1"/>
    <n v="-40"/>
    <n v="240"/>
  </r>
  <r>
    <x v="30"/>
    <s v="conventional_turnover_cltv_77"/>
    <x v="117"/>
    <n v="0.86930405333282101"/>
    <n v="1"/>
    <n v="-40"/>
    <n v="240"/>
  </r>
  <r>
    <x v="30"/>
    <s v="conventional_turnover_cltv_78"/>
    <x v="118"/>
    <n v="0.85804580345654302"/>
    <n v="1"/>
    <n v="-40"/>
    <n v="240"/>
  </r>
  <r>
    <x v="30"/>
    <s v="conventional_turnover_cltv_79"/>
    <x v="119"/>
    <n v="0.84817245135795805"/>
    <n v="1"/>
    <n v="-40"/>
    <n v="240"/>
  </r>
  <r>
    <x v="30"/>
    <s v="conventional_turnover_cltv_80"/>
    <x v="120"/>
    <n v="0.84"/>
    <n v="1"/>
    <n v="-40"/>
    <n v="240"/>
  </r>
  <r>
    <x v="30"/>
    <s v="conventional_turnover_cltv_81"/>
    <x v="121"/>
    <n v="0.83322619259259301"/>
    <n v="1"/>
    <n v="-40"/>
    <n v="240"/>
  </r>
  <r>
    <x v="30"/>
    <s v="conventional_turnover_cltv_82"/>
    <x v="122"/>
    <n v="0.82727398518518502"/>
    <n v="1"/>
    <n v="-40"/>
    <n v="240"/>
  </r>
  <r>
    <x v="30"/>
    <s v="conventional_turnover_cltv_83"/>
    <x v="123"/>
    <n v="0.82204719999999998"/>
    <n v="1"/>
    <n v="-40"/>
    <n v="240"/>
  </r>
  <r>
    <x v="30"/>
    <s v="conventional_turnover_cltv_84"/>
    <x v="124"/>
    <n v="0.81744965925925905"/>
    <n v="1"/>
    <n v="-40"/>
    <n v="240"/>
  </r>
  <r>
    <x v="30"/>
    <s v="conventional_turnover_cltv_85"/>
    <x v="125"/>
    <n v="0.81338518518518499"/>
    <n v="1"/>
    <n v="-40"/>
    <n v="240"/>
  </r>
  <r>
    <x v="30"/>
    <s v="conventional_turnover_cltv_86"/>
    <x v="126"/>
    <n v="0.80975759999999997"/>
    <n v="1"/>
    <n v="-40"/>
    <n v="240"/>
  </r>
  <r>
    <x v="30"/>
    <s v="conventional_turnover_cltv_87"/>
    <x v="127"/>
    <n v="0.80647072592592595"/>
    <n v="1"/>
    <n v="-40"/>
    <n v="240"/>
  </r>
  <r>
    <x v="30"/>
    <s v="conventional_turnover_cltv_88"/>
    <x v="128"/>
    <n v="0.803428385185185"/>
    <n v="1"/>
    <n v="-40"/>
    <n v="240"/>
  </r>
  <r>
    <x v="30"/>
    <s v="conventional_turnover_cltv_89"/>
    <x v="129"/>
    <n v="0.80053439999999998"/>
    <n v="1"/>
    <n v="-40"/>
    <n v="240"/>
  </r>
  <r>
    <x v="30"/>
    <s v="conventional_turnover_cltv_90"/>
    <x v="130"/>
    <n v="0.79769259259259295"/>
    <n v="1"/>
    <n v="-40"/>
    <n v="240"/>
  </r>
  <r>
    <x v="30"/>
    <s v="conventional_turnover_cltv_91"/>
    <x v="131"/>
    <n v="0.79480678518518499"/>
    <n v="1"/>
    <n v="-40"/>
    <n v="240"/>
  </r>
  <r>
    <x v="30"/>
    <s v="conventional_turnover_cltv_92"/>
    <x v="132"/>
    <n v="0.79178079999999995"/>
    <n v="1"/>
    <n v="-40"/>
    <n v="240"/>
  </r>
  <r>
    <x v="30"/>
    <s v="conventional_turnover_cltv_93"/>
    <x v="133"/>
    <n v="0.78851845925925901"/>
    <n v="1"/>
    <n v="-40"/>
    <n v="240"/>
  </r>
  <r>
    <x v="30"/>
    <s v="conventional_turnover_cltv_94"/>
    <x v="134"/>
    <n v="0.78492358518518501"/>
    <n v="1"/>
    <n v="-40"/>
    <n v="240"/>
  </r>
  <r>
    <x v="30"/>
    <s v="conventional_turnover_cltv_95"/>
    <x v="135"/>
    <n v="0.78090000000000004"/>
    <n v="1"/>
    <n v="-40"/>
    <n v="240"/>
  </r>
  <r>
    <x v="30"/>
    <s v="conventional_turnover_cltv_96"/>
    <x v="136"/>
    <n v="0.77692346666666701"/>
    <n v="1"/>
    <n v="-40"/>
    <n v="240"/>
  </r>
  <r>
    <x v="30"/>
    <s v="conventional_turnover_cltv_97"/>
    <x v="137"/>
    <n v="0.77344373333333305"/>
    <n v="1"/>
    <n v="-40"/>
    <n v="240"/>
  </r>
  <r>
    <x v="30"/>
    <s v="conventional_turnover_cltv_98"/>
    <x v="138"/>
    <n v="0.77032560000000005"/>
    <n v="1"/>
    <n v="-40"/>
    <n v="240"/>
  </r>
  <r>
    <x v="30"/>
    <s v="conventional_turnover_cltv_99"/>
    <x v="139"/>
    <n v="0.76743386666666702"/>
    <n v="1"/>
    <n v="-40"/>
    <n v="240"/>
  </r>
  <r>
    <x v="30"/>
    <s v="conventional_turnover_cltv_100"/>
    <x v="140"/>
    <n v="0.76463333333333305"/>
    <n v="1"/>
    <n v="-40"/>
    <n v="240"/>
  </r>
  <r>
    <x v="30"/>
    <s v="conventional_turnover_cltv_101"/>
    <x v="141"/>
    <n v="0.76178880000000004"/>
    <n v="1"/>
    <n v="-40"/>
    <n v="240"/>
  </r>
  <r>
    <x v="30"/>
    <s v="conventional_turnover_cltv_102"/>
    <x v="142"/>
    <n v="0.75876506666666699"/>
    <n v="1"/>
    <n v="-40"/>
    <n v="240"/>
  </r>
  <r>
    <x v="30"/>
    <s v="conventional_turnover_cltv_103"/>
    <x v="143"/>
    <n v="0.75542693333333299"/>
    <n v="1"/>
    <n v="-40"/>
    <n v="240"/>
  </r>
  <r>
    <x v="30"/>
    <s v="conventional_turnover_cltv_104"/>
    <x v="144"/>
    <n v="0.75163919999999995"/>
    <n v="1"/>
    <n v="-40"/>
    <n v="240"/>
  </r>
  <r>
    <x v="30"/>
    <s v="conventional_turnover_cltv_105"/>
    <x v="145"/>
    <n v="0.74726666666666697"/>
    <n v="1"/>
    <n v="-40"/>
    <n v="240"/>
  </r>
  <r>
    <x v="30"/>
    <s v="conventional_turnover_cltv_106"/>
    <x v="146"/>
    <n v="0.74217413333333304"/>
    <n v="1"/>
    <n v="-40"/>
    <n v="240"/>
  </r>
  <r>
    <x v="30"/>
    <s v="conventional_turnover_cltv_107"/>
    <x v="147"/>
    <n v="0.73622639999999995"/>
    <n v="1"/>
    <n v="-40"/>
    <n v="240"/>
  </r>
  <r>
    <x v="30"/>
    <s v="conventional_turnover_cltv_108"/>
    <x v="148"/>
    <n v="0.72928826666666702"/>
    <n v="1"/>
    <n v="-40"/>
    <n v="240"/>
  </r>
  <r>
    <x v="30"/>
    <s v="conventional_turnover_cltv_109"/>
    <x v="149"/>
    <n v="0.72122453333333303"/>
    <n v="1"/>
    <n v="-40"/>
    <n v="240"/>
  </r>
  <r>
    <x v="30"/>
    <s v="conventional_turnover_cltv_110"/>
    <x v="150"/>
    <n v="0.71189999999999998"/>
    <n v="1"/>
    <n v="-40"/>
    <n v="240"/>
  </r>
  <r>
    <x v="30"/>
    <s v="conventional_turnover_cltv_111"/>
    <x v="151"/>
    <n v="0.70061165000000003"/>
    <n v="1"/>
    <n v="-40"/>
    <n v="240"/>
  </r>
  <r>
    <x v="30"/>
    <s v="conventional_turnover_cltv_112"/>
    <x v="152"/>
    <n v="0.6870792"/>
    <n v="1"/>
    <n v="-40"/>
    <n v="240"/>
  </r>
  <r>
    <x v="30"/>
    <s v="conventional_turnover_cltv_113"/>
    <x v="153"/>
    <n v="0.67180154999999997"/>
    <n v="1"/>
    <n v="-40"/>
    <n v="240"/>
  </r>
  <r>
    <x v="30"/>
    <s v="conventional_turnover_cltv_114"/>
    <x v="154"/>
    <n v="0.65527760000000002"/>
    <n v="1"/>
    <n v="-40"/>
    <n v="240"/>
  </r>
  <r>
    <x v="30"/>
    <s v="conventional_turnover_cltv_115"/>
    <x v="155"/>
    <n v="0.63800625"/>
    <n v="1"/>
    <n v="-40"/>
    <n v="240"/>
  </r>
  <r>
    <x v="30"/>
    <s v="conventional_turnover_cltv_116"/>
    <x v="156"/>
    <n v="0.62048639999999999"/>
    <n v="1"/>
    <n v="-40"/>
    <n v="240"/>
  </r>
  <r>
    <x v="30"/>
    <s v="conventional_turnover_cltv_117"/>
    <x v="157"/>
    <n v="0.60321694999999997"/>
    <n v="1"/>
    <n v="-40"/>
    <n v="240"/>
  </r>
  <r>
    <x v="30"/>
    <s v="conventional_turnover_cltv_118"/>
    <x v="158"/>
    <n v="0.58669680000000002"/>
    <n v="1"/>
    <n v="-40"/>
    <n v="240"/>
  </r>
  <r>
    <x v="30"/>
    <s v="conventional_turnover_cltv_119"/>
    <x v="159"/>
    <n v="0.57142484999999998"/>
    <n v="1"/>
    <n v="-40"/>
    <n v="240"/>
  </r>
  <r>
    <x v="30"/>
    <s v="conventional_turnover_cltv_120"/>
    <x v="160"/>
    <n v="0.55789999999999995"/>
    <n v="1"/>
    <n v="-40"/>
    <n v="240"/>
  </r>
  <r>
    <x v="30"/>
    <s v="conventional_turnover_cltv_121"/>
    <x v="161"/>
    <n v="0.54583362499999999"/>
    <n v="1"/>
    <n v="-40"/>
    <n v="240"/>
  </r>
  <r>
    <x v="30"/>
    <s v="conventional_turnover_cltv_122"/>
    <x v="162"/>
    <n v="0.53454800000000002"/>
    <n v="1"/>
    <n v="-40"/>
    <n v="240"/>
  </r>
  <r>
    <x v="30"/>
    <s v="conventional_turnover_cltv_123"/>
    <x v="163"/>
    <n v="0.52395837499999998"/>
    <n v="1"/>
    <n v="-40"/>
    <n v="240"/>
  </r>
  <r>
    <x v="30"/>
    <s v="conventional_turnover_cltv_124"/>
    <x v="164"/>
    <n v="0.51397999999999999"/>
    <n v="1"/>
    <n v="-40"/>
    <n v="240"/>
  </r>
  <r>
    <x v="30"/>
    <s v="conventional_turnover_cltv_125"/>
    <x v="165"/>
    <n v="0.50452812499999999"/>
    <n v="1"/>
    <n v="-40"/>
    <n v="240"/>
  </r>
  <r>
    <x v="30"/>
    <s v="conventional_turnover_cltv_126"/>
    <x v="166"/>
    <n v="0.49551800000000001"/>
    <n v="1"/>
    <n v="-40"/>
    <n v="240"/>
  </r>
  <r>
    <x v="30"/>
    <s v="conventional_turnover_cltv_127"/>
    <x v="167"/>
    <n v="0.48686487499999997"/>
    <n v="1"/>
    <n v="-40"/>
    <n v="240"/>
  </r>
  <r>
    <x v="30"/>
    <s v="conventional_turnover_cltv_128"/>
    <x v="168"/>
    <n v="0.47848400000000002"/>
    <n v="1"/>
    <n v="-40"/>
    <n v="240"/>
  </r>
  <r>
    <x v="30"/>
    <s v="conventional_turnover_cltv_129"/>
    <x v="169"/>
    <n v="0.47029062500000002"/>
    <n v="1"/>
    <n v="-40"/>
    <n v="240"/>
  </r>
  <r>
    <x v="30"/>
    <s v="conventional_turnover_cltv_130"/>
    <x v="170"/>
    <n v="0.4622"/>
    <n v="1"/>
    <n v="-40"/>
    <n v="240"/>
  </r>
  <r>
    <x v="30"/>
    <s v="conventional_turnover_cltv_131"/>
    <x v="171"/>
    <n v="0.45396715625"/>
    <n v="1"/>
    <n v="-40"/>
    <n v="240"/>
  </r>
  <r>
    <x v="30"/>
    <s v="conventional_turnover_cltv_132"/>
    <x v="172"/>
    <n v="0.44545425"/>
    <n v="1"/>
    <n v="-40"/>
    <n v="240"/>
  </r>
  <r>
    <x v="30"/>
    <s v="conventional_turnover_cltv_133"/>
    <x v="173"/>
    <n v="0.43673721874999999"/>
    <n v="1"/>
    <n v="-40"/>
    <n v="240"/>
  </r>
  <r>
    <x v="30"/>
    <s v="conventional_turnover_cltv_134"/>
    <x v="174"/>
    <n v="0.42789199999999999"/>
    <n v="1"/>
    <n v="-40"/>
    <n v="240"/>
  </r>
  <r>
    <x v="30"/>
    <s v="conventional_turnover_cltv_135"/>
    <x v="175"/>
    <n v="0.41899453125000002"/>
    <n v="1"/>
    <n v="-40"/>
    <n v="240"/>
  </r>
  <r>
    <x v="30"/>
    <s v="conventional_turnover_cltv_136"/>
    <x v="176"/>
    <n v="0.41012074999999998"/>
    <n v="1"/>
    <n v="-40"/>
    <n v="240"/>
  </r>
  <r>
    <x v="30"/>
    <s v="conventional_turnover_cltv_137"/>
    <x v="177"/>
    <n v="0.40134659374999998"/>
    <n v="1"/>
    <n v="-40"/>
    <n v="240"/>
  </r>
  <r>
    <x v="30"/>
    <s v="conventional_turnover_cltv_138"/>
    <x v="178"/>
    <n v="0.39274799999999999"/>
    <n v="1"/>
    <n v="-40"/>
    <n v="240"/>
  </r>
  <r>
    <x v="30"/>
    <s v="conventional_turnover_cltv_139"/>
    <x v="179"/>
    <n v="0.38440090625000001"/>
    <n v="1"/>
    <n v="-40"/>
    <n v="240"/>
  </r>
  <r>
    <x v="30"/>
    <s v="conventional_turnover_cltv_140"/>
    <x v="180"/>
    <n v="0.37638125"/>
    <n v="1"/>
    <n v="-40"/>
    <n v="240"/>
  </r>
  <r>
    <x v="30"/>
    <s v="conventional_turnover_cltv_141"/>
    <x v="181"/>
    <n v="0.36876496874999998"/>
    <n v="1"/>
    <n v="-40"/>
    <n v="240"/>
  </r>
  <r>
    <x v="30"/>
    <s v="conventional_turnover_cltv_142"/>
    <x v="182"/>
    <n v="0.361628"/>
    <n v="1"/>
    <n v="-40"/>
    <n v="240"/>
  </r>
  <r>
    <x v="30"/>
    <s v="conventional_turnover_cltv_143"/>
    <x v="183"/>
    <n v="0.35504628124999998"/>
    <n v="1"/>
    <n v="-40"/>
    <n v="240"/>
  </r>
  <r>
    <x v="30"/>
    <s v="conventional_turnover_cltv_144"/>
    <x v="184"/>
    <n v="0.34909574999999998"/>
    <n v="1"/>
    <n v="-40"/>
    <n v="240"/>
  </r>
  <r>
    <x v="30"/>
    <s v="conventional_turnover_cltv_145"/>
    <x v="185"/>
    <n v="0.34385234375000001"/>
    <n v="1"/>
    <n v="-40"/>
    <n v="240"/>
  </r>
  <r>
    <x v="30"/>
    <s v="conventional_turnover_cltv_146"/>
    <x v="186"/>
    <n v="0.33939200000000003"/>
    <n v="1"/>
    <n v="-40"/>
    <n v="240"/>
  </r>
  <r>
    <x v="30"/>
    <s v="conventional_turnover_cltv_147"/>
    <x v="187"/>
    <n v="0.33579065624999999"/>
    <n v="1"/>
    <n v="-40"/>
    <n v="240"/>
  </r>
  <r>
    <x v="30"/>
    <s v="conventional_turnover_cltv_148"/>
    <x v="188"/>
    <n v="0.33312425000000001"/>
    <n v="1"/>
    <n v="-40"/>
    <n v="240"/>
  </r>
  <r>
    <x v="30"/>
    <s v="conventional_turnover_cltv_149"/>
    <x v="189"/>
    <n v="0.33146871875"/>
    <n v="1"/>
    <n v="-40"/>
    <n v="240"/>
  </r>
  <r>
    <x v="30"/>
    <s v="conventional_turnover_cltv_150"/>
    <x v="190"/>
    <n v="0.33090000000000003"/>
    <n v="1"/>
    <n v="-40"/>
    <n v="240"/>
  </r>
  <r>
    <x v="30"/>
    <s v="conventional_turnover_cltv_151"/>
    <x v="191"/>
    <n v="0.33090000000000003"/>
    <n v="1"/>
    <n v="-40"/>
    <n v="240"/>
  </r>
  <r>
    <x v="30"/>
    <s v="conventional_turnover_cltv_152"/>
    <x v="192"/>
    <n v="0.33090000000000003"/>
    <n v="1"/>
    <n v="-40"/>
    <n v="240"/>
  </r>
  <r>
    <x v="30"/>
    <s v="conventional_turnover_cltv_153"/>
    <x v="193"/>
    <n v="0.33090000000000003"/>
    <n v="1"/>
    <n v="-40"/>
    <n v="240"/>
  </r>
  <r>
    <x v="30"/>
    <s v="conventional_turnover_cltv_154"/>
    <x v="194"/>
    <n v="0.33090000000000003"/>
    <n v="1"/>
    <n v="-40"/>
    <n v="240"/>
  </r>
  <r>
    <x v="30"/>
    <s v="conventional_turnover_cltv_155"/>
    <x v="195"/>
    <n v="0.33090000000000003"/>
    <n v="1"/>
    <n v="-40"/>
    <n v="240"/>
  </r>
  <r>
    <x v="30"/>
    <s v="conventional_turnover_cltv_156"/>
    <x v="196"/>
    <n v="0.33090000000000003"/>
    <n v="1"/>
    <n v="-40"/>
    <n v="240"/>
  </r>
  <r>
    <x v="30"/>
    <s v="conventional_turnover_cltv_157"/>
    <x v="197"/>
    <n v="0.33090000000000003"/>
    <n v="1"/>
    <n v="-40"/>
    <n v="240"/>
  </r>
  <r>
    <x v="30"/>
    <s v="conventional_turnover_cltv_158"/>
    <x v="198"/>
    <n v="0.33090000000000003"/>
    <n v="1"/>
    <n v="-40"/>
    <n v="240"/>
  </r>
  <r>
    <x v="30"/>
    <s v="conventional_turnover_cltv_159"/>
    <x v="199"/>
    <n v="0.33090000000000003"/>
    <n v="1"/>
    <n v="-40"/>
    <n v="240"/>
  </r>
  <r>
    <x v="30"/>
    <s v="conventional_turnover_cltv_160"/>
    <x v="200"/>
    <n v="0.33090000000000003"/>
    <n v="1"/>
    <n v="-40"/>
    <n v="240"/>
  </r>
  <r>
    <x v="30"/>
    <s v="conventional_turnover_cltv_161"/>
    <x v="201"/>
    <n v="0.33090000000000003"/>
    <n v="1"/>
    <n v="-40"/>
    <n v="240"/>
  </r>
  <r>
    <x v="30"/>
    <s v="conventional_turnover_cltv_162"/>
    <x v="202"/>
    <n v="0.33090000000000003"/>
    <n v="1"/>
    <n v="-40"/>
    <n v="240"/>
  </r>
  <r>
    <x v="30"/>
    <s v="conventional_turnover_cltv_163"/>
    <x v="203"/>
    <n v="0.33090000000000003"/>
    <n v="1"/>
    <n v="-40"/>
    <n v="240"/>
  </r>
  <r>
    <x v="30"/>
    <s v="conventional_turnover_cltv_164"/>
    <x v="204"/>
    <n v="0.33090000000000003"/>
    <n v="1"/>
    <n v="-40"/>
    <n v="240"/>
  </r>
  <r>
    <x v="30"/>
    <s v="conventional_turnover_cltv_165"/>
    <x v="205"/>
    <n v="0.33090000000000003"/>
    <n v="1"/>
    <n v="-40"/>
    <n v="240"/>
  </r>
  <r>
    <x v="30"/>
    <s v="conventional_turnover_cltv_166"/>
    <x v="206"/>
    <n v="0.33090000000000003"/>
    <n v="1"/>
    <n v="-40"/>
    <n v="240"/>
  </r>
  <r>
    <x v="30"/>
    <s v="conventional_turnover_cltv_167"/>
    <x v="207"/>
    <n v="0.33090000000000003"/>
    <n v="1"/>
    <n v="-40"/>
    <n v="240"/>
  </r>
  <r>
    <x v="30"/>
    <s v="conventional_turnover_cltv_168"/>
    <x v="208"/>
    <n v="0.33090000000000003"/>
    <n v="1"/>
    <n v="-40"/>
    <n v="240"/>
  </r>
  <r>
    <x v="30"/>
    <s v="conventional_turnover_cltv_169"/>
    <x v="209"/>
    <n v="0.33090000000000003"/>
    <n v="1"/>
    <n v="-40"/>
    <n v="240"/>
  </r>
  <r>
    <x v="30"/>
    <s v="conventional_turnover_cltv_170"/>
    <x v="210"/>
    <n v="0.33090000000000003"/>
    <n v="1"/>
    <n v="-40"/>
    <n v="240"/>
  </r>
  <r>
    <x v="30"/>
    <s v="conventional_turnover_cltv_171"/>
    <x v="211"/>
    <n v="0.33090000000000003"/>
    <n v="1"/>
    <n v="-40"/>
    <n v="240"/>
  </r>
  <r>
    <x v="30"/>
    <s v="conventional_turnover_cltv_172"/>
    <x v="212"/>
    <n v="0.33090000000000003"/>
    <n v="1"/>
    <n v="-40"/>
    <n v="240"/>
  </r>
  <r>
    <x v="30"/>
    <s v="conventional_turnover_cltv_173"/>
    <x v="213"/>
    <n v="0.33090000000000003"/>
    <n v="1"/>
    <n v="-40"/>
    <n v="240"/>
  </r>
  <r>
    <x v="30"/>
    <s v="conventional_turnover_cltv_174"/>
    <x v="214"/>
    <n v="0.33090000000000003"/>
    <n v="1"/>
    <n v="-40"/>
    <n v="240"/>
  </r>
  <r>
    <x v="30"/>
    <s v="conventional_turnover_cltv_175"/>
    <x v="215"/>
    <n v="0.33090000000000003"/>
    <n v="1"/>
    <n v="-40"/>
    <n v="240"/>
  </r>
  <r>
    <x v="30"/>
    <s v="conventional_turnover_cltv_176"/>
    <x v="216"/>
    <n v="0.33090000000000003"/>
    <n v="1"/>
    <n v="-40"/>
    <n v="240"/>
  </r>
  <r>
    <x v="30"/>
    <s v="conventional_turnover_cltv_177"/>
    <x v="217"/>
    <n v="0.33090000000000003"/>
    <n v="1"/>
    <n v="-40"/>
    <n v="240"/>
  </r>
  <r>
    <x v="30"/>
    <s v="conventional_turnover_cltv_178"/>
    <x v="218"/>
    <n v="0.33090000000000003"/>
    <n v="1"/>
    <n v="-40"/>
    <n v="240"/>
  </r>
  <r>
    <x v="30"/>
    <s v="conventional_turnover_cltv_179"/>
    <x v="219"/>
    <n v="0.33090000000000003"/>
    <n v="1"/>
    <n v="-40"/>
    <n v="240"/>
  </r>
  <r>
    <x v="30"/>
    <s v="conventional_turnover_cltv_180"/>
    <x v="220"/>
    <n v="0.33090000000000003"/>
    <n v="1"/>
    <n v="-40"/>
    <n v="240"/>
  </r>
  <r>
    <x v="30"/>
    <s v="conventional_turnover_cltv_181"/>
    <x v="221"/>
    <n v="0.33090000000000003"/>
    <n v="1"/>
    <n v="-40"/>
    <n v="240"/>
  </r>
  <r>
    <x v="30"/>
    <s v="conventional_turnover_cltv_182"/>
    <x v="222"/>
    <n v="0.33090000000000003"/>
    <n v="1"/>
    <n v="-40"/>
    <n v="240"/>
  </r>
  <r>
    <x v="30"/>
    <s v="conventional_turnover_cltv_183"/>
    <x v="223"/>
    <n v="0.33090000000000003"/>
    <n v="1"/>
    <n v="-40"/>
    <n v="240"/>
  </r>
  <r>
    <x v="30"/>
    <s v="conventional_turnover_cltv_184"/>
    <x v="224"/>
    <n v="0.33090000000000003"/>
    <n v="1"/>
    <n v="-40"/>
    <n v="240"/>
  </r>
  <r>
    <x v="30"/>
    <s v="conventional_turnover_cltv_185"/>
    <x v="225"/>
    <n v="0.33090000000000003"/>
    <n v="1"/>
    <n v="-40"/>
    <n v="240"/>
  </r>
  <r>
    <x v="30"/>
    <s v="conventional_turnover_cltv_186"/>
    <x v="226"/>
    <n v="0.33090000000000003"/>
    <n v="1"/>
    <n v="-40"/>
    <n v="240"/>
  </r>
  <r>
    <x v="30"/>
    <s v="conventional_turnover_cltv_187"/>
    <x v="227"/>
    <n v="0.33090000000000003"/>
    <n v="1"/>
    <n v="-40"/>
    <n v="240"/>
  </r>
  <r>
    <x v="30"/>
    <s v="conventional_turnover_cltv_188"/>
    <x v="228"/>
    <n v="0.33090000000000003"/>
    <n v="1"/>
    <n v="-40"/>
    <n v="240"/>
  </r>
  <r>
    <x v="30"/>
    <s v="conventional_turnover_cltv_189"/>
    <x v="229"/>
    <n v="0.33090000000000003"/>
    <n v="1"/>
    <n v="-40"/>
    <n v="240"/>
  </r>
  <r>
    <x v="30"/>
    <s v="conventional_turnover_cltv_190"/>
    <x v="230"/>
    <n v="0.33090000000000003"/>
    <n v="1"/>
    <n v="-40"/>
    <n v="240"/>
  </r>
  <r>
    <x v="30"/>
    <s v="conventional_turnover_cltv_191"/>
    <x v="231"/>
    <n v="0.33090000000000003"/>
    <n v="1"/>
    <n v="-40"/>
    <n v="240"/>
  </r>
  <r>
    <x v="30"/>
    <s v="conventional_turnover_cltv_192"/>
    <x v="232"/>
    <n v="0.33090000000000003"/>
    <n v="1"/>
    <n v="-40"/>
    <n v="240"/>
  </r>
  <r>
    <x v="30"/>
    <s v="conventional_turnover_cltv_193"/>
    <x v="233"/>
    <n v="0.33090000000000003"/>
    <n v="1"/>
    <n v="-40"/>
    <n v="240"/>
  </r>
  <r>
    <x v="30"/>
    <s v="conventional_turnover_cltv_194"/>
    <x v="234"/>
    <n v="0.33090000000000003"/>
    <n v="1"/>
    <n v="-40"/>
    <n v="240"/>
  </r>
  <r>
    <x v="30"/>
    <s v="conventional_turnover_cltv_195"/>
    <x v="235"/>
    <n v="0.33090000000000003"/>
    <n v="1"/>
    <n v="-40"/>
    <n v="240"/>
  </r>
  <r>
    <x v="30"/>
    <s v="conventional_turnover_cltv_196"/>
    <x v="236"/>
    <n v="0.33090000000000003"/>
    <n v="1"/>
    <n v="-40"/>
    <n v="240"/>
  </r>
  <r>
    <x v="30"/>
    <s v="conventional_turnover_cltv_197"/>
    <x v="237"/>
    <n v="0.33090000000000003"/>
    <n v="1"/>
    <n v="-40"/>
    <n v="240"/>
  </r>
  <r>
    <x v="30"/>
    <s v="conventional_turnover_cltv_198"/>
    <x v="238"/>
    <n v="0.33090000000000003"/>
    <n v="1"/>
    <n v="-40"/>
    <n v="240"/>
  </r>
  <r>
    <x v="30"/>
    <s v="conventional_turnover_cltv_199"/>
    <x v="239"/>
    <n v="0.33090000000000003"/>
    <n v="1"/>
    <n v="-40"/>
    <n v="240"/>
  </r>
  <r>
    <x v="30"/>
    <s v="conventional_turnover_cltv_200"/>
    <x v="240"/>
    <n v="0.33090000000000003"/>
    <n v="1"/>
    <n v="-40"/>
    <n v="240"/>
  </r>
  <r>
    <x v="30"/>
    <s v="conventional_turnover_cltv_201"/>
    <x v="241"/>
    <n v="0.33090000000000003"/>
    <n v="1"/>
    <n v="-40"/>
    <n v="240"/>
  </r>
  <r>
    <x v="30"/>
    <s v="conventional_turnover_cltv_202"/>
    <x v="242"/>
    <n v="0.33090000000000003"/>
    <n v="1"/>
    <n v="-40"/>
    <n v="240"/>
  </r>
  <r>
    <x v="30"/>
    <s v="conventional_turnover_cltv_203"/>
    <x v="243"/>
    <n v="0.33090000000000003"/>
    <n v="1"/>
    <n v="-40"/>
    <n v="240"/>
  </r>
  <r>
    <x v="30"/>
    <s v="conventional_turnover_cltv_204"/>
    <x v="244"/>
    <n v="0.33090000000000003"/>
    <n v="1"/>
    <n v="-40"/>
    <n v="240"/>
  </r>
  <r>
    <x v="30"/>
    <s v="conventional_turnover_cltv_205"/>
    <x v="245"/>
    <n v="0.33090000000000003"/>
    <n v="1"/>
    <n v="-40"/>
    <n v="240"/>
  </r>
  <r>
    <x v="30"/>
    <s v="conventional_turnover_cltv_206"/>
    <x v="246"/>
    <n v="0.33090000000000003"/>
    <n v="1"/>
    <n v="-40"/>
    <n v="240"/>
  </r>
  <r>
    <x v="30"/>
    <s v="conventional_turnover_cltv_207"/>
    <x v="247"/>
    <n v="0.33090000000000003"/>
    <n v="1"/>
    <n v="-40"/>
    <n v="240"/>
  </r>
  <r>
    <x v="30"/>
    <s v="conventional_turnover_cltv_208"/>
    <x v="248"/>
    <n v="0.33090000000000003"/>
    <n v="1"/>
    <n v="-40"/>
    <n v="240"/>
  </r>
  <r>
    <x v="30"/>
    <s v="conventional_turnover_cltv_209"/>
    <x v="249"/>
    <n v="0.33090000000000003"/>
    <n v="1"/>
    <n v="-40"/>
    <n v="240"/>
  </r>
  <r>
    <x v="30"/>
    <s v="conventional_turnover_cltv_210"/>
    <x v="250"/>
    <n v="0.33090000000000003"/>
    <n v="1"/>
    <n v="-40"/>
    <n v="240"/>
  </r>
  <r>
    <x v="30"/>
    <s v="conventional_turnover_cltv_211"/>
    <x v="251"/>
    <n v="0.33090000000000003"/>
    <n v="1"/>
    <n v="-40"/>
    <n v="240"/>
  </r>
  <r>
    <x v="30"/>
    <s v="conventional_turnover_cltv_212"/>
    <x v="252"/>
    <n v="0.33090000000000003"/>
    <n v="1"/>
    <n v="-40"/>
    <n v="240"/>
  </r>
  <r>
    <x v="30"/>
    <s v="conventional_turnover_cltv_213"/>
    <x v="253"/>
    <n v="0.33090000000000003"/>
    <n v="1"/>
    <n v="-40"/>
    <n v="240"/>
  </r>
  <r>
    <x v="30"/>
    <s v="conventional_turnover_cltv_214"/>
    <x v="254"/>
    <n v="0.33090000000000003"/>
    <n v="1"/>
    <n v="-40"/>
    <n v="240"/>
  </r>
  <r>
    <x v="30"/>
    <s v="conventional_turnover_cltv_215"/>
    <x v="255"/>
    <n v="0.33090000000000003"/>
    <n v="1"/>
    <n v="-40"/>
    <n v="240"/>
  </r>
  <r>
    <x v="30"/>
    <s v="conventional_turnover_cltv_216"/>
    <x v="256"/>
    <n v="0.33090000000000003"/>
    <n v="1"/>
    <n v="-40"/>
    <n v="240"/>
  </r>
  <r>
    <x v="30"/>
    <s v="conventional_turnover_cltv_217"/>
    <x v="257"/>
    <n v="0.33090000000000003"/>
    <n v="1"/>
    <n v="-40"/>
    <n v="240"/>
  </r>
  <r>
    <x v="30"/>
    <s v="conventional_turnover_cltv_218"/>
    <x v="258"/>
    <n v="0.33090000000000003"/>
    <n v="1"/>
    <n v="-40"/>
    <n v="240"/>
  </r>
  <r>
    <x v="30"/>
    <s v="conventional_turnover_cltv_219"/>
    <x v="259"/>
    <n v="0.33090000000000003"/>
    <n v="1"/>
    <n v="-40"/>
    <n v="240"/>
  </r>
  <r>
    <x v="30"/>
    <s v="conventional_turnover_cltv_220"/>
    <x v="260"/>
    <n v="0.33090000000000003"/>
    <n v="1"/>
    <n v="-40"/>
    <n v="240"/>
  </r>
  <r>
    <x v="30"/>
    <s v="conventional_turnover_cltv_221"/>
    <x v="261"/>
    <n v="0.33090000000000003"/>
    <n v="1"/>
    <n v="-40"/>
    <n v="240"/>
  </r>
  <r>
    <x v="30"/>
    <s v="conventional_turnover_cltv_222"/>
    <x v="262"/>
    <n v="0.33090000000000003"/>
    <n v="1"/>
    <n v="-40"/>
    <n v="240"/>
  </r>
  <r>
    <x v="30"/>
    <s v="conventional_turnover_cltv_223"/>
    <x v="263"/>
    <n v="0.33090000000000003"/>
    <n v="1"/>
    <n v="-40"/>
    <n v="240"/>
  </r>
  <r>
    <x v="30"/>
    <s v="conventional_turnover_cltv_224"/>
    <x v="264"/>
    <n v="0.33090000000000003"/>
    <n v="1"/>
    <n v="-40"/>
    <n v="240"/>
  </r>
  <r>
    <x v="30"/>
    <s v="conventional_turnover_cltv_225"/>
    <x v="265"/>
    <n v="0.33090000000000003"/>
    <n v="1"/>
    <n v="-40"/>
    <n v="240"/>
  </r>
  <r>
    <x v="30"/>
    <s v="conventional_turnover_cltv_226"/>
    <x v="266"/>
    <n v="0.33090000000000003"/>
    <n v="1"/>
    <n v="-40"/>
    <n v="240"/>
  </r>
  <r>
    <x v="30"/>
    <s v="conventional_turnover_cltv_227"/>
    <x v="267"/>
    <n v="0.33090000000000003"/>
    <n v="1"/>
    <n v="-40"/>
    <n v="240"/>
  </r>
  <r>
    <x v="30"/>
    <s v="conventional_turnover_cltv_228"/>
    <x v="268"/>
    <n v="0.33090000000000003"/>
    <n v="1"/>
    <n v="-40"/>
    <n v="240"/>
  </r>
  <r>
    <x v="30"/>
    <s v="conventional_turnover_cltv_229"/>
    <x v="269"/>
    <n v="0.33090000000000003"/>
    <n v="1"/>
    <n v="-40"/>
    <n v="240"/>
  </r>
  <r>
    <x v="30"/>
    <s v="conventional_turnover_cltv_230"/>
    <x v="270"/>
    <n v="0.33090000000000003"/>
    <n v="1"/>
    <n v="-40"/>
    <n v="240"/>
  </r>
  <r>
    <x v="30"/>
    <s v="conventional_turnover_cltv_231"/>
    <x v="271"/>
    <n v="0.33090000000000003"/>
    <n v="1"/>
    <n v="-40"/>
    <n v="240"/>
  </r>
  <r>
    <x v="30"/>
    <s v="conventional_turnover_cltv_232"/>
    <x v="272"/>
    <n v="0.33090000000000003"/>
    <n v="1"/>
    <n v="-40"/>
    <n v="240"/>
  </r>
  <r>
    <x v="30"/>
    <s v="conventional_turnover_cltv_233"/>
    <x v="273"/>
    <n v="0.33090000000000003"/>
    <n v="1"/>
    <n v="-40"/>
    <n v="240"/>
  </r>
  <r>
    <x v="30"/>
    <s v="conventional_turnover_cltv_234"/>
    <x v="274"/>
    <n v="0.33090000000000003"/>
    <n v="1"/>
    <n v="-40"/>
    <n v="240"/>
  </r>
  <r>
    <x v="30"/>
    <s v="conventional_turnover_cltv_235"/>
    <x v="275"/>
    <n v="0.33090000000000003"/>
    <n v="1"/>
    <n v="-40"/>
    <n v="240"/>
  </r>
  <r>
    <x v="30"/>
    <s v="conventional_turnover_cltv_236"/>
    <x v="276"/>
    <n v="0.33090000000000003"/>
    <n v="1"/>
    <n v="-40"/>
    <n v="240"/>
  </r>
  <r>
    <x v="30"/>
    <s v="conventional_turnover_cltv_237"/>
    <x v="277"/>
    <n v="0.33090000000000003"/>
    <n v="1"/>
    <n v="-40"/>
    <n v="240"/>
  </r>
  <r>
    <x v="30"/>
    <s v="conventional_turnover_cltv_238"/>
    <x v="278"/>
    <n v="0.33090000000000003"/>
    <n v="1"/>
    <n v="-40"/>
    <n v="240"/>
  </r>
  <r>
    <x v="30"/>
    <s v="conventional_turnover_cltv_239"/>
    <x v="279"/>
    <n v="0.33090000000000003"/>
    <n v="1"/>
    <n v="-40"/>
    <n v="240"/>
  </r>
  <r>
    <x v="30"/>
    <s v="conventional_turnover_cltv_240"/>
    <x v="280"/>
    <n v="0.33090000000000003"/>
    <n v="1"/>
    <n v="-40"/>
    <n v="240"/>
  </r>
  <r>
    <x v="31"/>
    <s v="conventional_turnover_acls_-115"/>
    <x v="1156"/>
    <n v="1.14056"/>
    <n v="1"/>
    <n v="-115"/>
    <n v="690"/>
  </r>
  <r>
    <x v="31"/>
    <s v="conventional_turnover_acls_-114"/>
    <x v="1157"/>
    <n v="1.14056"/>
    <n v="1"/>
    <n v="-115"/>
    <n v="690"/>
  </r>
  <r>
    <x v="31"/>
    <s v="conventional_turnover_acls_-113"/>
    <x v="1158"/>
    <n v="1.14056"/>
    <n v="1"/>
    <n v="-115"/>
    <n v="690"/>
  </r>
  <r>
    <x v="31"/>
    <s v="conventional_turnover_acls_-112"/>
    <x v="1159"/>
    <n v="1.14056"/>
    <n v="1"/>
    <n v="-115"/>
    <n v="690"/>
  </r>
  <r>
    <x v="31"/>
    <s v="conventional_turnover_acls_-111"/>
    <x v="1160"/>
    <n v="1.14056"/>
    <n v="1"/>
    <n v="-115"/>
    <n v="690"/>
  </r>
  <r>
    <x v="31"/>
    <s v="conventional_turnover_acls_-110"/>
    <x v="1161"/>
    <n v="1.14056"/>
    <n v="1"/>
    <n v="-115"/>
    <n v="690"/>
  </r>
  <r>
    <x v="31"/>
    <s v="conventional_turnover_acls_-109"/>
    <x v="1162"/>
    <n v="1.14056"/>
    <n v="1"/>
    <n v="-115"/>
    <n v="690"/>
  </r>
  <r>
    <x v="31"/>
    <s v="conventional_turnover_acls_-108"/>
    <x v="1163"/>
    <n v="1.14056"/>
    <n v="1"/>
    <n v="-115"/>
    <n v="690"/>
  </r>
  <r>
    <x v="31"/>
    <s v="conventional_turnover_acls_-107"/>
    <x v="1164"/>
    <n v="1.14056"/>
    <n v="1"/>
    <n v="-115"/>
    <n v="690"/>
  </r>
  <r>
    <x v="31"/>
    <s v="conventional_turnover_acls_-106"/>
    <x v="1165"/>
    <n v="1.14056"/>
    <n v="1"/>
    <n v="-115"/>
    <n v="690"/>
  </r>
  <r>
    <x v="31"/>
    <s v="conventional_turnover_acls_-105"/>
    <x v="1166"/>
    <n v="1.14056"/>
    <n v="1"/>
    <n v="-115"/>
    <n v="690"/>
  </r>
  <r>
    <x v="31"/>
    <s v="conventional_turnover_acls_-104"/>
    <x v="1167"/>
    <n v="1.14056"/>
    <n v="1"/>
    <n v="-115"/>
    <n v="690"/>
  </r>
  <r>
    <x v="31"/>
    <s v="conventional_turnover_acls_-103"/>
    <x v="1168"/>
    <n v="1.14056"/>
    <n v="1"/>
    <n v="-115"/>
    <n v="690"/>
  </r>
  <r>
    <x v="31"/>
    <s v="conventional_turnover_acls_-102"/>
    <x v="1169"/>
    <n v="1.14056"/>
    <n v="1"/>
    <n v="-115"/>
    <n v="690"/>
  </r>
  <r>
    <x v="31"/>
    <s v="conventional_turnover_acls_-101"/>
    <x v="1170"/>
    <n v="1.14056"/>
    <n v="1"/>
    <n v="-115"/>
    <n v="690"/>
  </r>
  <r>
    <x v="31"/>
    <s v="conventional_turnover_acls_-100"/>
    <x v="1171"/>
    <n v="1.14056"/>
    <n v="1"/>
    <n v="-115"/>
    <n v="690"/>
  </r>
  <r>
    <x v="31"/>
    <s v="conventional_turnover_acls_-99"/>
    <x v="1172"/>
    <n v="1.14056"/>
    <n v="1"/>
    <n v="-115"/>
    <n v="690"/>
  </r>
  <r>
    <x v="31"/>
    <s v="conventional_turnover_acls_-98"/>
    <x v="1173"/>
    <n v="1.14056"/>
    <n v="1"/>
    <n v="-115"/>
    <n v="690"/>
  </r>
  <r>
    <x v="31"/>
    <s v="conventional_turnover_acls_-97"/>
    <x v="1174"/>
    <n v="1.14056"/>
    <n v="1"/>
    <n v="-115"/>
    <n v="690"/>
  </r>
  <r>
    <x v="31"/>
    <s v="conventional_turnover_acls_-96"/>
    <x v="1175"/>
    <n v="1.14056"/>
    <n v="1"/>
    <n v="-115"/>
    <n v="690"/>
  </r>
  <r>
    <x v="31"/>
    <s v="conventional_turnover_acls_-95"/>
    <x v="1176"/>
    <n v="1.14056"/>
    <n v="1"/>
    <n v="-115"/>
    <n v="690"/>
  </r>
  <r>
    <x v="31"/>
    <s v="conventional_turnover_acls_-94"/>
    <x v="1177"/>
    <n v="1.14056"/>
    <n v="1"/>
    <n v="-115"/>
    <n v="690"/>
  </r>
  <r>
    <x v="31"/>
    <s v="conventional_turnover_acls_-93"/>
    <x v="1178"/>
    <n v="1.14056"/>
    <n v="1"/>
    <n v="-115"/>
    <n v="690"/>
  </r>
  <r>
    <x v="31"/>
    <s v="conventional_turnover_acls_-92"/>
    <x v="1179"/>
    <n v="1.14056"/>
    <n v="1"/>
    <n v="-115"/>
    <n v="690"/>
  </r>
  <r>
    <x v="31"/>
    <s v="conventional_turnover_acls_-91"/>
    <x v="1180"/>
    <n v="1.14056"/>
    <n v="1"/>
    <n v="-115"/>
    <n v="690"/>
  </r>
  <r>
    <x v="31"/>
    <s v="conventional_turnover_acls_-90"/>
    <x v="1181"/>
    <n v="1.14056"/>
    <n v="1"/>
    <n v="-115"/>
    <n v="690"/>
  </r>
  <r>
    <x v="31"/>
    <s v="conventional_turnover_acls_-89"/>
    <x v="1182"/>
    <n v="1.14056"/>
    <n v="1"/>
    <n v="-115"/>
    <n v="690"/>
  </r>
  <r>
    <x v="31"/>
    <s v="conventional_turnover_acls_-88"/>
    <x v="1183"/>
    <n v="1.14056"/>
    <n v="1"/>
    <n v="-115"/>
    <n v="690"/>
  </r>
  <r>
    <x v="31"/>
    <s v="conventional_turnover_acls_-87"/>
    <x v="1184"/>
    <n v="1.14056"/>
    <n v="1"/>
    <n v="-115"/>
    <n v="690"/>
  </r>
  <r>
    <x v="31"/>
    <s v="conventional_turnover_acls_-86"/>
    <x v="1185"/>
    <n v="1.14056"/>
    <n v="1"/>
    <n v="-115"/>
    <n v="690"/>
  </r>
  <r>
    <x v="31"/>
    <s v="conventional_turnover_acls_-85"/>
    <x v="1186"/>
    <n v="1.14056"/>
    <n v="1"/>
    <n v="-115"/>
    <n v="690"/>
  </r>
  <r>
    <x v="31"/>
    <s v="conventional_turnover_acls_-84"/>
    <x v="1187"/>
    <n v="1.14056"/>
    <n v="1"/>
    <n v="-115"/>
    <n v="690"/>
  </r>
  <r>
    <x v="31"/>
    <s v="conventional_turnover_acls_-83"/>
    <x v="1188"/>
    <n v="1.14056"/>
    <n v="1"/>
    <n v="-115"/>
    <n v="690"/>
  </r>
  <r>
    <x v="31"/>
    <s v="conventional_turnover_acls_-82"/>
    <x v="1189"/>
    <n v="1.14056"/>
    <n v="1"/>
    <n v="-115"/>
    <n v="690"/>
  </r>
  <r>
    <x v="31"/>
    <s v="conventional_turnover_acls_-81"/>
    <x v="1190"/>
    <n v="1.14056"/>
    <n v="1"/>
    <n v="-115"/>
    <n v="690"/>
  </r>
  <r>
    <x v="31"/>
    <s v="conventional_turnover_acls_-80"/>
    <x v="1191"/>
    <n v="1.14056"/>
    <n v="1"/>
    <n v="-115"/>
    <n v="690"/>
  </r>
  <r>
    <x v="31"/>
    <s v="conventional_turnover_acls_-79"/>
    <x v="1192"/>
    <n v="1.14056"/>
    <n v="1"/>
    <n v="-115"/>
    <n v="690"/>
  </r>
  <r>
    <x v="31"/>
    <s v="conventional_turnover_acls_-78"/>
    <x v="1193"/>
    <n v="1.14056"/>
    <n v="1"/>
    <n v="-115"/>
    <n v="690"/>
  </r>
  <r>
    <x v="31"/>
    <s v="conventional_turnover_acls_-77"/>
    <x v="1194"/>
    <n v="1.14056"/>
    <n v="1"/>
    <n v="-115"/>
    <n v="690"/>
  </r>
  <r>
    <x v="31"/>
    <s v="conventional_turnover_acls_-76"/>
    <x v="1195"/>
    <n v="1.14056"/>
    <n v="1"/>
    <n v="-115"/>
    <n v="690"/>
  </r>
  <r>
    <x v="31"/>
    <s v="conventional_turnover_acls_-75"/>
    <x v="1196"/>
    <n v="1.14056"/>
    <n v="1"/>
    <n v="-115"/>
    <n v="690"/>
  </r>
  <r>
    <x v="31"/>
    <s v="conventional_turnover_acls_-74"/>
    <x v="1197"/>
    <n v="1.14056"/>
    <n v="1"/>
    <n v="-115"/>
    <n v="690"/>
  </r>
  <r>
    <x v="31"/>
    <s v="conventional_turnover_acls_-73"/>
    <x v="1198"/>
    <n v="1.14056"/>
    <n v="1"/>
    <n v="-115"/>
    <n v="690"/>
  </r>
  <r>
    <x v="31"/>
    <s v="conventional_turnover_acls_-72"/>
    <x v="1199"/>
    <n v="1.14056"/>
    <n v="1"/>
    <n v="-115"/>
    <n v="690"/>
  </r>
  <r>
    <x v="31"/>
    <s v="conventional_turnover_acls_-71"/>
    <x v="1200"/>
    <n v="1.14056"/>
    <n v="1"/>
    <n v="-115"/>
    <n v="690"/>
  </r>
  <r>
    <x v="31"/>
    <s v="conventional_turnover_acls_-70"/>
    <x v="1201"/>
    <n v="1.14056"/>
    <n v="1"/>
    <n v="-115"/>
    <n v="690"/>
  </r>
  <r>
    <x v="31"/>
    <s v="conventional_turnover_acls_-69"/>
    <x v="1202"/>
    <n v="1.14056"/>
    <n v="1"/>
    <n v="-115"/>
    <n v="690"/>
  </r>
  <r>
    <x v="31"/>
    <s v="conventional_turnover_acls_-68"/>
    <x v="1203"/>
    <n v="1.14056"/>
    <n v="1"/>
    <n v="-115"/>
    <n v="690"/>
  </r>
  <r>
    <x v="31"/>
    <s v="conventional_turnover_acls_-67"/>
    <x v="1204"/>
    <n v="1.14056"/>
    <n v="1"/>
    <n v="-115"/>
    <n v="690"/>
  </r>
  <r>
    <x v="31"/>
    <s v="conventional_turnover_acls_-66"/>
    <x v="1205"/>
    <n v="1.14056"/>
    <n v="1"/>
    <n v="-115"/>
    <n v="690"/>
  </r>
  <r>
    <x v="31"/>
    <s v="conventional_turnover_acls_-65"/>
    <x v="1206"/>
    <n v="1.14056"/>
    <n v="1"/>
    <n v="-115"/>
    <n v="690"/>
  </r>
  <r>
    <x v="31"/>
    <s v="conventional_turnover_acls_-64"/>
    <x v="1207"/>
    <n v="1.14056"/>
    <n v="1"/>
    <n v="-115"/>
    <n v="690"/>
  </r>
  <r>
    <x v="31"/>
    <s v="conventional_turnover_acls_-63"/>
    <x v="1208"/>
    <n v="1.14056"/>
    <n v="1"/>
    <n v="-115"/>
    <n v="690"/>
  </r>
  <r>
    <x v="31"/>
    <s v="conventional_turnover_acls_-62"/>
    <x v="1209"/>
    <n v="1.14056"/>
    <n v="1"/>
    <n v="-115"/>
    <n v="690"/>
  </r>
  <r>
    <x v="31"/>
    <s v="conventional_turnover_acls_-61"/>
    <x v="1210"/>
    <n v="1.14056"/>
    <n v="1"/>
    <n v="-115"/>
    <n v="690"/>
  </r>
  <r>
    <x v="31"/>
    <s v="conventional_turnover_acls_-60"/>
    <x v="1211"/>
    <n v="1.14056"/>
    <n v="1"/>
    <n v="-115"/>
    <n v="690"/>
  </r>
  <r>
    <x v="31"/>
    <s v="conventional_turnover_acls_-59"/>
    <x v="1212"/>
    <n v="1.14056"/>
    <n v="1"/>
    <n v="-115"/>
    <n v="690"/>
  </r>
  <r>
    <x v="31"/>
    <s v="conventional_turnover_acls_-58"/>
    <x v="1213"/>
    <n v="1.14056"/>
    <n v="1"/>
    <n v="-115"/>
    <n v="690"/>
  </r>
  <r>
    <x v="31"/>
    <s v="conventional_turnover_acls_-57"/>
    <x v="1214"/>
    <n v="1.14056"/>
    <n v="1"/>
    <n v="-115"/>
    <n v="690"/>
  </r>
  <r>
    <x v="31"/>
    <s v="conventional_turnover_acls_-56"/>
    <x v="1215"/>
    <n v="1.14056"/>
    <n v="1"/>
    <n v="-115"/>
    <n v="690"/>
  </r>
  <r>
    <x v="31"/>
    <s v="conventional_turnover_acls_-55"/>
    <x v="1216"/>
    <n v="1.14056"/>
    <n v="1"/>
    <n v="-115"/>
    <n v="690"/>
  </r>
  <r>
    <x v="31"/>
    <s v="conventional_turnover_acls_-54"/>
    <x v="1217"/>
    <n v="1.14056"/>
    <n v="1"/>
    <n v="-115"/>
    <n v="690"/>
  </r>
  <r>
    <x v="31"/>
    <s v="conventional_turnover_acls_-53"/>
    <x v="1218"/>
    <n v="1.14056"/>
    <n v="1"/>
    <n v="-115"/>
    <n v="690"/>
  </r>
  <r>
    <x v="31"/>
    <s v="conventional_turnover_acls_-52"/>
    <x v="1219"/>
    <n v="1.14056"/>
    <n v="1"/>
    <n v="-115"/>
    <n v="690"/>
  </r>
  <r>
    <x v="31"/>
    <s v="conventional_turnover_acls_-51"/>
    <x v="1220"/>
    <n v="1.14056"/>
    <n v="1"/>
    <n v="-115"/>
    <n v="690"/>
  </r>
  <r>
    <x v="31"/>
    <s v="conventional_turnover_acls_-50"/>
    <x v="1221"/>
    <n v="1.14056"/>
    <n v="1"/>
    <n v="-115"/>
    <n v="690"/>
  </r>
  <r>
    <x v="31"/>
    <s v="conventional_turnover_acls_-49"/>
    <x v="1222"/>
    <n v="1.14056"/>
    <n v="1"/>
    <n v="-115"/>
    <n v="690"/>
  </r>
  <r>
    <x v="31"/>
    <s v="conventional_turnover_acls_-48"/>
    <x v="1223"/>
    <n v="1.14056"/>
    <n v="1"/>
    <n v="-115"/>
    <n v="690"/>
  </r>
  <r>
    <x v="31"/>
    <s v="conventional_turnover_acls_-47"/>
    <x v="1224"/>
    <n v="1.14056"/>
    <n v="1"/>
    <n v="-115"/>
    <n v="690"/>
  </r>
  <r>
    <x v="31"/>
    <s v="conventional_turnover_acls_-46"/>
    <x v="1225"/>
    <n v="1.14056"/>
    <n v="1"/>
    <n v="-115"/>
    <n v="690"/>
  </r>
  <r>
    <x v="31"/>
    <s v="conventional_turnover_acls_-45"/>
    <x v="1226"/>
    <n v="1.14056"/>
    <n v="1"/>
    <n v="-115"/>
    <n v="690"/>
  </r>
  <r>
    <x v="31"/>
    <s v="conventional_turnover_acls_-44"/>
    <x v="1227"/>
    <n v="1.14056"/>
    <n v="1"/>
    <n v="-115"/>
    <n v="690"/>
  </r>
  <r>
    <x v="31"/>
    <s v="conventional_turnover_acls_-43"/>
    <x v="1228"/>
    <n v="1.14056"/>
    <n v="1"/>
    <n v="-115"/>
    <n v="690"/>
  </r>
  <r>
    <x v="31"/>
    <s v="conventional_turnover_acls_-42"/>
    <x v="1229"/>
    <n v="1.14056"/>
    <n v="1"/>
    <n v="-115"/>
    <n v="690"/>
  </r>
  <r>
    <x v="31"/>
    <s v="conventional_turnover_acls_-41"/>
    <x v="1230"/>
    <n v="1.14056"/>
    <n v="1"/>
    <n v="-115"/>
    <n v="690"/>
  </r>
  <r>
    <x v="31"/>
    <s v="conventional_turnover_acls_-40"/>
    <x v="0"/>
    <n v="1.14056"/>
    <n v="1"/>
    <n v="-115"/>
    <n v="690"/>
  </r>
  <r>
    <x v="31"/>
    <s v="conventional_turnover_acls_-39"/>
    <x v="1"/>
    <n v="1.14056"/>
    <n v="1"/>
    <n v="-115"/>
    <n v="690"/>
  </r>
  <r>
    <x v="31"/>
    <s v="conventional_turnover_acls_-38"/>
    <x v="2"/>
    <n v="1.14056"/>
    <n v="1"/>
    <n v="-115"/>
    <n v="690"/>
  </r>
  <r>
    <x v="31"/>
    <s v="conventional_turnover_acls_-37"/>
    <x v="3"/>
    <n v="1.14056"/>
    <n v="1"/>
    <n v="-115"/>
    <n v="690"/>
  </r>
  <r>
    <x v="31"/>
    <s v="conventional_turnover_acls_-36"/>
    <x v="4"/>
    <n v="1.14056"/>
    <n v="1"/>
    <n v="-115"/>
    <n v="690"/>
  </r>
  <r>
    <x v="31"/>
    <s v="conventional_turnover_acls_-35"/>
    <x v="5"/>
    <n v="1.14056"/>
    <n v="1"/>
    <n v="-115"/>
    <n v="690"/>
  </r>
  <r>
    <x v="31"/>
    <s v="conventional_turnover_acls_-34"/>
    <x v="6"/>
    <n v="1.14056"/>
    <n v="1"/>
    <n v="-115"/>
    <n v="690"/>
  </r>
  <r>
    <x v="31"/>
    <s v="conventional_turnover_acls_-33"/>
    <x v="7"/>
    <n v="1.14056"/>
    <n v="1"/>
    <n v="-115"/>
    <n v="690"/>
  </r>
  <r>
    <x v="31"/>
    <s v="conventional_turnover_acls_-32"/>
    <x v="8"/>
    <n v="1.14056"/>
    <n v="1"/>
    <n v="-115"/>
    <n v="690"/>
  </r>
  <r>
    <x v="31"/>
    <s v="conventional_turnover_acls_-31"/>
    <x v="9"/>
    <n v="1.14056"/>
    <n v="1"/>
    <n v="-115"/>
    <n v="690"/>
  </r>
  <r>
    <x v="31"/>
    <s v="conventional_turnover_acls_-30"/>
    <x v="10"/>
    <n v="1.14056"/>
    <n v="1"/>
    <n v="-115"/>
    <n v="690"/>
  </r>
  <r>
    <x v="31"/>
    <s v="conventional_turnover_acls_-29"/>
    <x v="11"/>
    <n v="1.14056"/>
    <n v="1"/>
    <n v="-115"/>
    <n v="690"/>
  </r>
  <r>
    <x v="31"/>
    <s v="conventional_turnover_acls_-28"/>
    <x v="12"/>
    <n v="1.14056"/>
    <n v="1"/>
    <n v="-115"/>
    <n v="690"/>
  </r>
  <r>
    <x v="31"/>
    <s v="conventional_turnover_acls_-27"/>
    <x v="13"/>
    <n v="1.14056"/>
    <n v="1"/>
    <n v="-115"/>
    <n v="690"/>
  </r>
  <r>
    <x v="31"/>
    <s v="conventional_turnover_acls_-26"/>
    <x v="14"/>
    <n v="1.14056"/>
    <n v="1"/>
    <n v="-115"/>
    <n v="690"/>
  </r>
  <r>
    <x v="31"/>
    <s v="conventional_turnover_acls_-25"/>
    <x v="15"/>
    <n v="1.14056"/>
    <n v="1"/>
    <n v="-115"/>
    <n v="690"/>
  </r>
  <r>
    <x v="31"/>
    <s v="conventional_turnover_acls_-24"/>
    <x v="16"/>
    <n v="1.14056"/>
    <n v="1"/>
    <n v="-115"/>
    <n v="690"/>
  </r>
  <r>
    <x v="31"/>
    <s v="conventional_turnover_acls_-23"/>
    <x v="17"/>
    <n v="1.14056"/>
    <n v="1"/>
    <n v="-115"/>
    <n v="690"/>
  </r>
  <r>
    <x v="31"/>
    <s v="conventional_turnover_acls_-22"/>
    <x v="18"/>
    <n v="1.14056"/>
    <n v="1"/>
    <n v="-115"/>
    <n v="690"/>
  </r>
  <r>
    <x v="31"/>
    <s v="conventional_turnover_acls_-21"/>
    <x v="19"/>
    <n v="1.14056"/>
    <n v="1"/>
    <n v="-115"/>
    <n v="690"/>
  </r>
  <r>
    <x v="31"/>
    <s v="conventional_turnover_acls_-20"/>
    <x v="20"/>
    <n v="1.14056"/>
    <n v="1"/>
    <n v="-115"/>
    <n v="690"/>
  </r>
  <r>
    <x v="31"/>
    <s v="conventional_turnover_acls_-19"/>
    <x v="21"/>
    <n v="1.14056"/>
    <n v="1"/>
    <n v="-115"/>
    <n v="690"/>
  </r>
  <r>
    <x v="31"/>
    <s v="conventional_turnover_acls_-18"/>
    <x v="22"/>
    <n v="1.14056"/>
    <n v="1"/>
    <n v="-115"/>
    <n v="690"/>
  </r>
  <r>
    <x v="31"/>
    <s v="conventional_turnover_acls_-17"/>
    <x v="23"/>
    <n v="1.14056"/>
    <n v="1"/>
    <n v="-115"/>
    <n v="690"/>
  </r>
  <r>
    <x v="31"/>
    <s v="conventional_turnover_acls_-16"/>
    <x v="24"/>
    <n v="1.14056"/>
    <n v="1"/>
    <n v="-115"/>
    <n v="690"/>
  </r>
  <r>
    <x v="31"/>
    <s v="conventional_turnover_acls_-15"/>
    <x v="25"/>
    <n v="1.14056"/>
    <n v="1"/>
    <n v="-115"/>
    <n v="690"/>
  </r>
  <r>
    <x v="31"/>
    <s v="conventional_turnover_acls_-14"/>
    <x v="26"/>
    <n v="1.14056"/>
    <n v="1"/>
    <n v="-115"/>
    <n v="690"/>
  </r>
  <r>
    <x v="31"/>
    <s v="conventional_turnover_acls_-13"/>
    <x v="27"/>
    <n v="1.14056"/>
    <n v="1"/>
    <n v="-115"/>
    <n v="690"/>
  </r>
  <r>
    <x v="31"/>
    <s v="conventional_turnover_acls_-12"/>
    <x v="28"/>
    <n v="1.14056"/>
    <n v="1"/>
    <n v="-115"/>
    <n v="690"/>
  </r>
  <r>
    <x v="31"/>
    <s v="conventional_turnover_acls_-11"/>
    <x v="29"/>
    <n v="1.14056"/>
    <n v="1"/>
    <n v="-115"/>
    <n v="690"/>
  </r>
  <r>
    <x v="31"/>
    <s v="conventional_turnover_acls_-10"/>
    <x v="30"/>
    <n v="1.14056"/>
    <n v="1"/>
    <n v="-115"/>
    <n v="690"/>
  </r>
  <r>
    <x v="31"/>
    <s v="conventional_turnover_acls_-9"/>
    <x v="31"/>
    <n v="1.14056"/>
    <n v="1"/>
    <n v="-115"/>
    <n v="690"/>
  </r>
  <r>
    <x v="31"/>
    <s v="conventional_turnover_acls_-8"/>
    <x v="32"/>
    <n v="1.14056"/>
    <n v="1"/>
    <n v="-115"/>
    <n v="690"/>
  </r>
  <r>
    <x v="31"/>
    <s v="conventional_turnover_acls_-7"/>
    <x v="33"/>
    <n v="1.14056"/>
    <n v="1"/>
    <n v="-115"/>
    <n v="690"/>
  </r>
  <r>
    <x v="31"/>
    <s v="conventional_turnover_acls_-6"/>
    <x v="34"/>
    <n v="1.14056"/>
    <n v="1"/>
    <n v="-115"/>
    <n v="690"/>
  </r>
  <r>
    <x v="31"/>
    <s v="conventional_turnover_acls_-5"/>
    <x v="35"/>
    <n v="1.14056"/>
    <n v="1"/>
    <n v="-115"/>
    <n v="690"/>
  </r>
  <r>
    <x v="31"/>
    <s v="conventional_turnover_acls_-4"/>
    <x v="36"/>
    <n v="1.14056"/>
    <n v="1"/>
    <n v="-115"/>
    <n v="690"/>
  </r>
  <r>
    <x v="31"/>
    <s v="conventional_turnover_acls_-3"/>
    <x v="37"/>
    <n v="1.14056"/>
    <n v="1"/>
    <n v="-115"/>
    <n v="690"/>
  </r>
  <r>
    <x v="31"/>
    <s v="conventional_turnover_acls_-2"/>
    <x v="38"/>
    <n v="1.14056"/>
    <n v="1"/>
    <n v="-115"/>
    <n v="690"/>
  </r>
  <r>
    <x v="31"/>
    <s v="conventional_turnover_acls_-1"/>
    <x v="39"/>
    <n v="1.14056"/>
    <n v="1"/>
    <n v="-115"/>
    <n v="690"/>
  </r>
  <r>
    <x v="31"/>
    <s v="conventional_turnover_acls_0"/>
    <x v="40"/>
    <n v="1.14056"/>
    <n v="1"/>
    <n v="-115"/>
    <n v="690"/>
  </r>
  <r>
    <x v="31"/>
    <s v="conventional_turnover_acls_1"/>
    <x v="41"/>
    <n v="1.14056"/>
    <n v="1"/>
    <n v="-115"/>
    <n v="690"/>
  </r>
  <r>
    <x v="31"/>
    <s v="conventional_turnover_acls_2"/>
    <x v="42"/>
    <n v="1.14056"/>
    <n v="1"/>
    <n v="-115"/>
    <n v="690"/>
  </r>
  <r>
    <x v="31"/>
    <s v="conventional_turnover_acls_3"/>
    <x v="43"/>
    <n v="1.14056"/>
    <n v="1"/>
    <n v="-115"/>
    <n v="690"/>
  </r>
  <r>
    <x v="31"/>
    <s v="conventional_turnover_acls_4"/>
    <x v="44"/>
    <n v="1.14056"/>
    <n v="1"/>
    <n v="-115"/>
    <n v="690"/>
  </r>
  <r>
    <x v="31"/>
    <s v="conventional_turnover_acls_5"/>
    <x v="45"/>
    <n v="1.14056"/>
    <n v="1"/>
    <n v="-115"/>
    <n v="690"/>
  </r>
  <r>
    <x v="31"/>
    <s v="conventional_turnover_acls_6"/>
    <x v="46"/>
    <n v="1.14056"/>
    <n v="1"/>
    <n v="-115"/>
    <n v="690"/>
  </r>
  <r>
    <x v="31"/>
    <s v="conventional_turnover_acls_7"/>
    <x v="47"/>
    <n v="1.14056"/>
    <n v="1"/>
    <n v="-115"/>
    <n v="690"/>
  </r>
  <r>
    <x v="31"/>
    <s v="conventional_turnover_acls_8"/>
    <x v="48"/>
    <n v="1.14056"/>
    <n v="1"/>
    <n v="-115"/>
    <n v="690"/>
  </r>
  <r>
    <x v="31"/>
    <s v="conventional_turnover_acls_9"/>
    <x v="49"/>
    <n v="1.14056"/>
    <n v="1"/>
    <n v="-115"/>
    <n v="690"/>
  </r>
  <r>
    <x v="31"/>
    <s v="conventional_turnover_acls_10"/>
    <x v="50"/>
    <n v="1.14056"/>
    <n v="1"/>
    <n v="-115"/>
    <n v="690"/>
  </r>
  <r>
    <x v="31"/>
    <s v="conventional_turnover_acls_11"/>
    <x v="51"/>
    <n v="1.14056"/>
    <n v="1"/>
    <n v="-115"/>
    <n v="690"/>
  </r>
  <r>
    <x v="31"/>
    <s v="conventional_turnover_acls_12"/>
    <x v="52"/>
    <n v="1.14056"/>
    <n v="1"/>
    <n v="-115"/>
    <n v="690"/>
  </r>
  <r>
    <x v="31"/>
    <s v="conventional_turnover_acls_13"/>
    <x v="53"/>
    <n v="1.14056"/>
    <n v="1"/>
    <n v="-115"/>
    <n v="690"/>
  </r>
  <r>
    <x v="31"/>
    <s v="conventional_turnover_acls_14"/>
    <x v="54"/>
    <n v="1.14056"/>
    <n v="1"/>
    <n v="-115"/>
    <n v="690"/>
  </r>
  <r>
    <x v="31"/>
    <s v="conventional_turnover_acls_15"/>
    <x v="55"/>
    <n v="1.14056"/>
    <n v="1"/>
    <n v="-115"/>
    <n v="690"/>
  </r>
  <r>
    <x v="31"/>
    <s v="conventional_turnover_acls_16"/>
    <x v="56"/>
    <n v="1.14056"/>
    <n v="1"/>
    <n v="-115"/>
    <n v="690"/>
  </r>
  <r>
    <x v="31"/>
    <s v="conventional_turnover_acls_17"/>
    <x v="57"/>
    <n v="1.14056"/>
    <n v="1"/>
    <n v="-115"/>
    <n v="690"/>
  </r>
  <r>
    <x v="31"/>
    <s v="conventional_turnover_acls_18"/>
    <x v="58"/>
    <n v="1.14056"/>
    <n v="1"/>
    <n v="-115"/>
    <n v="690"/>
  </r>
  <r>
    <x v="31"/>
    <s v="conventional_turnover_acls_19"/>
    <x v="59"/>
    <n v="1.14056"/>
    <n v="1"/>
    <n v="-115"/>
    <n v="690"/>
  </r>
  <r>
    <x v="31"/>
    <s v="conventional_turnover_acls_20"/>
    <x v="60"/>
    <n v="1.14056"/>
    <n v="1"/>
    <n v="-115"/>
    <n v="690"/>
  </r>
  <r>
    <x v="31"/>
    <s v="conventional_turnover_acls_21"/>
    <x v="61"/>
    <n v="1.14056"/>
    <n v="1"/>
    <n v="-115"/>
    <n v="690"/>
  </r>
  <r>
    <x v="31"/>
    <s v="conventional_turnover_acls_22"/>
    <x v="62"/>
    <n v="1.14056"/>
    <n v="1"/>
    <n v="-115"/>
    <n v="690"/>
  </r>
  <r>
    <x v="31"/>
    <s v="conventional_turnover_acls_23"/>
    <x v="63"/>
    <n v="1.14056"/>
    <n v="1"/>
    <n v="-115"/>
    <n v="690"/>
  </r>
  <r>
    <x v="31"/>
    <s v="conventional_turnover_acls_24"/>
    <x v="64"/>
    <n v="1.14056"/>
    <n v="1"/>
    <n v="-115"/>
    <n v="690"/>
  </r>
  <r>
    <x v="31"/>
    <s v="conventional_turnover_acls_25"/>
    <x v="65"/>
    <n v="1.14056"/>
    <n v="1"/>
    <n v="-115"/>
    <n v="690"/>
  </r>
  <r>
    <x v="31"/>
    <s v="conventional_turnover_acls_26"/>
    <x v="66"/>
    <n v="1.14056"/>
    <n v="1"/>
    <n v="-115"/>
    <n v="690"/>
  </r>
  <r>
    <x v="31"/>
    <s v="conventional_turnover_acls_27"/>
    <x v="67"/>
    <n v="1.14056"/>
    <n v="1"/>
    <n v="-115"/>
    <n v="690"/>
  </r>
  <r>
    <x v="31"/>
    <s v="conventional_turnover_acls_28"/>
    <x v="68"/>
    <n v="1.14056"/>
    <n v="1"/>
    <n v="-115"/>
    <n v="690"/>
  </r>
  <r>
    <x v="31"/>
    <s v="conventional_turnover_acls_29"/>
    <x v="69"/>
    <n v="1.14056"/>
    <n v="1"/>
    <n v="-115"/>
    <n v="690"/>
  </r>
  <r>
    <x v="31"/>
    <s v="conventional_turnover_acls_30"/>
    <x v="70"/>
    <n v="1.14056"/>
    <n v="1"/>
    <n v="-115"/>
    <n v="690"/>
  </r>
  <r>
    <x v="31"/>
    <s v="conventional_turnover_acls_31"/>
    <x v="71"/>
    <n v="1.14056"/>
    <n v="1"/>
    <n v="-115"/>
    <n v="690"/>
  </r>
  <r>
    <x v="31"/>
    <s v="conventional_turnover_acls_32"/>
    <x v="72"/>
    <n v="1.14056"/>
    <n v="1"/>
    <n v="-115"/>
    <n v="690"/>
  </r>
  <r>
    <x v="31"/>
    <s v="conventional_turnover_acls_33"/>
    <x v="73"/>
    <n v="1.14056"/>
    <n v="1"/>
    <n v="-115"/>
    <n v="690"/>
  </r>
  <r>
    <x v="31"/>
    <s v="conventional_turnover_acls_34"/>
    <x v="74"/>
    <n v="1.14056"/>
    <n v="1"/>
    <n v="-115"/>
    <n v="690"/>
  </r>
  <r>
    <x v="31"/>
    <s v="conventional_turnover_acls_35"/>
    <x v="75"/>
    <n v="1.14056"/>
    <n v="1"/>
    <n v="-115"/>
    <n v="690"/>
  </r>
  <r>
    <x v="31"/>
    <s v="conventional_turnover_acls_36"/>
    <x v="76"/>
    <n v="1.14056"/>
    <n v="1"/>
    <n v="-115"/>
    <n v="690"/>
  </r>
  <r>
    <x v="31"/>
    <s v="conventional_turnover_acls_37"/>
    <x v="77"/>
    <n v="1.14056"/>
    <n v="1"/>
    <n v="-115"/>
    <n v="690"/>
  </r>
  <r>
    <x v="31"/>
    <s v="conventional_turnover_acls_38"/>
    <x v="78"/>
    <n v="1.14056"/>
    <n v="1"/>
    <n v="-115"/>
    <n v="690"/>
  </r>
  <r>
    <x v="31"/>
    <s v="conventional_turnover_acls_39"/>
    <x v="79"/>
    <n v="1.14056"/>
    <n v="1"/>
    <n v="-115"/>
    <n v="690"/>
  </r>
  <r>
    <x v="31"/>
    <s v="conventional_turnover_acls_40"/>
    <x v="80"/>
    <n v="1.14056"/>
    <n v="1"/>
    <n v="-115"/>
    <n v="690"/>
  </r>
  <r>
    <x v="31"/>
    <s v="conventional_turnover_acls_41"/>
    <x v="81"/>
    <n v="1.14056"/>
    <n v="1"/>
    <n v="-115"/>
    <n v="690"/>
  </r>
  <r>
    <x v="31"/>
    <s v="conventional_turnover_acls_42"/>
    <x v="82"/>
    <n v="1.14056"/>
    <n v="1"/>
    <n v="-115"/>
    <n v="690"/>
  </r>
  <r>
    <x v="31"/>
    <s v="conventional_turnover_acls_43"/>
    <x v="83"/>
    <n v="1.14056"/>
    <n v="1"/>
    <n v="-115"/>
    <n v="690"/>
  </r>
  <r>
    <x v="31"/>
    <s v="conventional_turnover_acls_44"/>
    <x v="84"/>
    <n v="1.14056"/>
    <n v="1"/>
    <n v="-115"/>
    <n v="690"/>
  </r>
  <r>
    <x v="31"/>
    <s v="conventional_turnover_acls_45"/>
    <x v="85"/>
    <n v="1.14056"/>
    <n v="1"/>
    <n v="-115"/>
    <n v="690"/>
  </r>
  <r>
    <x v="31"/>
    <s v="conventional_turnover_acls_46"/>
    <x v="86"/>
    <n v="1.14056"/>
    <n v="1"/>
    <n v="-115"/>
    <n v="690"/>
  </r>
  <r>
    <x v="31"/>
    <s v="conventional_turnover_acls_47"/>
    <x v="87"/>
    <n v="1.14056"/>
    <n v="1"/>
    <n v="-115"/>
    <n v="690"/>
  </r>
  <r>
    <x v="31"/>
    <s v="conventional_turnover_acls_48"/>
    <x v="88"/>
    <n v="1.14056"/>
    <n v="1"/>
    <n v="-115"/>
    <n v="690"/>
  </r>
  <r>
    <x v="31"/>
    <s v="conventional_turnover_acls_49"/>
    <x v="89"/>
    <n v="1.14056"/>
    <n v="1"/>
    <n v="-115"/>
    <n v="690"/>
  </r>
  <r>
    <x v="31"/>
    <s v="conventional_turnover_acls_50"/>
    <x v="90"/>
    <n v="1.14056"/>
    <n v="1"/>
    <n v="-115"/>
    <n v="690"/>
  </r>
  <r>
    <x v="31"/>
    <s v="conventional_turnover_acls_51"/>
    <x v="91"/>
    <n v="1.14056"/>
    <n v="1"/>
    <n v="-115"/>
    <n v="690"/>
  </r>
  <r>
    <x v="31"/>
    <s v="conventional_turnover_acls_52"/>
    <x v="92"/>
    <n v="1.14056"/>
    <n v="1"/>
    <n v="-115"/>
    <n v="690"/>
  </r>
  <r>
    <x v="31"/>
    <s v="conventional_turnover_acls_53"/>
    <x v="93"/>
    <n v="1.14056"/>
    <n v="1"/>
    <n v="-115"/>
    <n v="690"/>
  </r>
  <r>
    <x v="31"/>
    <s v="conventional_turnover_acls_54"/>
    <x v="94"/>
    <n v="1.14056"/>
    <n v="1"/>
    <n v="-115"/>
    <n v="690"/>
  </r>
  <r>
    <x v="31"/>
    <s v="conventional_turnover_acls_55"/>
    <x v="95"/>
    <n v="1.14056"/>
    <n v="1"/>
    <n v="-115"/>
    <n v="690"/>
  </r>
  <r>
    <x v="31"/>
    <s v="conventional_turnover_acls_56"/>
    <x v="96"/>
    <n v="1.1405374707407401"/>
    <n v="1"/>
    <n v="-115"/>
    <n v="690"/>
  </r>
  <r>
    <x v="31"/>
    <s v="conventional_turnover_acls_57"/>
    <x v="97"/>
    <n v="1.1404714103703699"/>
    <n v="1"/>
    <n v="-115"/>
    <n v="690"/>
  </r>
  <r>
    <x v="31"/>
    <s v="conventional_turnover_acls_58"/>
    <x v="98"/>
    <n v="1.1403641099999999"/>
    <n v="1"/>
    <n v="-115"/>
    <n v="690"/>
  </r>
  <r>
    <x v="31"/>
    <s v="conventional_turnover_acls_59"/>
    <x v="99"/>
    <n v="1.1402178607407401"/>
    <n v="1"/>
    <n v="-115"/>
    <n v="690"/>
  </r>
  <r>
    <x v="31"/>
    <s v="conventional_turnover_acls_60"/>
    <x v="100"/>
    <n v="1.1400349537037"/>
    <n v="1"/>
    <n v="-115"/>
    <n v="690"/>
  </r>
  <r>
    <x v="31"/>
    <s v="conventional_turnover_acls_61"/>
    <x v="101"/>
    <n v="1.1398176799999999"/>
    <n v="1"/>
    <n v="-115"/>
    <n v="690"/>
  </r>
  <r>
    <x v="31"/>
    <s v="conventional_turnover_acls_62"/>
    <x v="102"/>
    <n v="1.13956833074074"/>
    <n v="1"/>
    <n v="-115"/>
    <n v="690"/>
  </r>
  <r>
    <x v="31"/>
    <s v="conventional_turnover_acls_63"/>
    <x v="103"/>
    <n v="1.13928919703704"/>
    <n v="1"/>
    <n v="-115"/>
    <n v="690"/>
  </r>
  <r>
    <x v="31"/>
    <s v="conventional_turnover_acls_64"/>
    <x v="104"/>
    <n v="1.13898257"/>
    <n v="1"/>
    <n v="-115"/>
    <n v="690"/>
  </r>
  <r>
    <x v="31"/>
    <s v="conventional_turnover_acls_65"/>
    <x v="105"/>
    <n v="1.13865074074074"/>
    <n v="1"/>
    <n v="-115"/>
    <n v="690"/>
  </r>
  <r>
    <x v="31"/>
    <s v="conventional_turnover_acls_66"/>
    <x v="106"/>
    <n v="1.1382960003703699"/>
    <n v="1"/>
    <n v="-115"/>
    <n v="690"/>
  </r>
  <r>
    <x v="31"/>
    <s v="conventional_turnover_acls_67"/>
    <x v="107"/>
    <n v="1.1379206399999999"/>
    <n v="1"/>
    <n v="-115"/>
    <n v="690"/>
  </r>
  <r>
    <x v="31"/>
    <s v="conventional_turnover_acls_68"/>
    <x v="108"/>
    <n v="1.13752695074074"/>
    <n v="1"/>
    <n v="-115"/>
    <n v="690"/>
  </r>
  <r>
    <x v="31"/>
    <s v="conventional_turnover_acls_69"/>
    <x v="109"/>
    <n v="1.1371172237036999"/>
    <n v="1"/>
    <n v="-115"/>
    <n v="690"/>
  </r>
  <r>
    <x v="31"/>
    <s v="conventional_turnover_acls_70"/>
    <x v="110"/>
    <n v="1.1366937500000001"/>
    <n v="1"/>
    <n v="-115"/>
    <n v="690"/>
  </r>
  <r>
    <x v="31"/>
    <s v="conventional_turnover_acls_71"/>
    <x v="111"/>
    <n v="1.13625882074074"/>
    <n v="1"/>
    <n v="-115"/>
    <n v="690"/>
  </r>
  <r>
    <x v="31"/>
    <s v="conventional_turnover_acls_72"/>
    <x v="112"/>
    <n v="1.13581472703704"/>
    <n v="1"/>
    <n v="-115"/>
    <n v="690"/>
  </r>
  <r>
    <x v="31"/>
    <s v="conventional_turnover_acls_73"/>
    <x v="113"/>
    <n v="1.1353637599999999"/>
    <n v="1"/>
    <n v="-115"/>
    <n v="690"/>
  </r>
  <r>
    <x v="31"/>
    <s v="conventional_turnover_acls_74"/>
    <x v="114"/>
    <n v="1.13490821074074"/>
    <n v="1"/>
    <n v="-115"/>
    <n v="690"/>
  </r>
  <r>
    <x v="31"/>
    <s v="conventional_turnover_acls_75"/>
    <x v="115"/>
    <n v="1.1344503703703701"/>
    <n v="1"/>
    <n v="-115"/>
    <n v="690"/>
  </r>
  <r>
    <x v="31"/>
    <s v="conventional_turnover_acls_76"/>
    <x v="116"/>
    <n v="1.13399253"/>
    <n v="1"/>
    <n v="-115"/>
    <n v="690"/>
  </r>
  <r>
    <x v="31"/>
    <s v="conventional_turnover_acls_77"/>
    <x v="117"/>
    <n v="1.1335369807407401"/>
    <n v="1"/>
    <n v="-115"/>
    <n v="690"/>
  </r>
  <r>
    <x v="31"/>
    <s v="conventional_turnover_acls_78"/>
    <x v="118"/>
    <n v="1.1330860137037"/>
    <n v="1"/>
    <n v="-115"/>
    <n v="690"/>
  </r>
  <r>
    <x v="31"/>
    <s v="conventional_turnover_acls_79"/>
    <x v="119"/>
    <n v="1.13264192"/>
    <n v="1"/>
    <n v="-115"/>
    <n v="690"/>
  </r>
  <r>
    <x v="31"/>
    <s v="conventional_turnover_acls_80"/>
    <x v="120"/>
    <n v="1.1322069907407399"/>
    <n v="1"/>
    <n v="-115"/>
    <n v="690"/>
  </r>
  <r>
    <x v="31"/>
    <s v="conventional_turnover_acls_81"/>
    <x v="121"/>
    <n v="1.1317835170370401"/>
    <n v="1"/>
    <n v="-115"/>
    <n v="690"/>
  </r>
  <r>
    <x v="31"/>
    <s v="conventional_turnover_acls_82"/>
    <x v="122"/>
    <n v="1.13137379"/>
    <n v="1"/>
    <n v="-115"/>
    <n v="690"/>
  </r>
  <r>
    <x v="31"/>
    <s v="conventional_turnover_acls_83"/>
    <x v="123"/>
    <n v="1.1309801007407401"/>
    <n v="1"/>
    <n v="-115"/>
    <n v="690"/>
  </r>
  <r>
    <x v="31"/>
    <s v="conventional_turnover_acls_84"/>
    <x v="124"/>
    <n v="1.1306047403703701"/>
    <n v="1"/>
    <n v="-115"/>
    <n v="690"/>
  </r>
  <r>
    <x v="31"/>
    <s v="conventional_turnover_acls_85"/>
    <x v="125"/>
    <n v="1.13025"/>
    <n v="1"/>
    <n v="-115"/>
    <n v="690"/>
  </r>
  <r>
    <x v="31"/>
    <s v="conventional_turnover_acls_86"/>
    <x v="126"/>
    <n v="1.1299297177160501"/>
    <n v="1"/>
    <n v="-115"/>
    <n v="690"/>
  </r>
  <r>
    <x v="31"/>
    <s v="conventional_turnover_acls_87"/>
    <x v="127"/>
    <n v="1.1296529787654299"/>
    <n v="1"/>
    <n v="-115"/>
    <n v="690"/>
  </r>
  <r>
    <x v="31"/>
    <s v="conventional_turnover_acls_88"/>
    <x v="128"/>
    <n v="1.1294149449999999"/>
    <n v="1"/>
    <n v="-115"/>
    <n v="690"/>
  </r>
  <r>
    <x v="31"/>
    <s v="conventional_turnover_acls_89"/>
    <x v="129"/>
    <n v="1.1292107782716001"/>
    <n v="1"/>
    <n v="-115"/>
    <n v="690"/>
  </r>
  <r>
    <x v="31"/>
    <s v="conventional_turnover_acls_90"/>
    <x v="130"/>
    <n v="1.1290356404321"/>
    <n v="1"/>
    <n v="-115"/>
    <n v="690"/>
  </r>
  <r>
    <x v="31"/>
    <s v="conventional_turnover_acls_91"/>
    <x v="131"/>
    <n v="1.1288846933333301"/>
    <n v="1"/>
    <n v="-115"/>
    <n v="690"/>
  </r>
  <r>
    <x v="31"/>
    <s v="conventional_turnover_acls_92"/>
    <x v="132"/>
    <n v="1.1287530988271599"/>
    <n v="1"/>
    <n v="-115"/>
    <n v="690"/>
  </r>
  <r>
    <x v="31"/>
    <s v="conventional_turnover_acls_93"/>
    <x v="133"/>
    <n v="1.1286360187654301"/>
    <n v="1"/>
    <n v="-115"/>
    <n v="690"/>
  </r>
  <r>
    <x v="31"/>
    <s v="conventional_turnover_acls_94"/>
    <x v="134"/>
    <n v="1.128528615"/>
    <n v="1"/>
    <n v="-115"/>
    <n v="690"/>
  </r>
  <r>
    <x v="31"/>
    <s v="conventional_turnover_acls_95"/>
    <x v="135"/>
    <n v="1.1284260493827201"/>
    <n v="1"/>
    <n v="-115"/>
    <n v="690"/>
  </r>
  <r>
    <x v="31"/>
    <s v="conventional_turnover_acls_96"/>
    <x v="136"/>
    <n v="1.1283234837654299"/>
    <n v="1"/>
    <n v="-115"/>
    <n v="690"/>
  </r>
  <r>
    <x v="31"/>
    <s v="conventional_turnover_acls_97"/>
    <x v="137"/>
    <n v="1.1282160800000001"/>
    <n v="1"/>
    <n v="-115"/>
    <n v="690"/>
  </r>
  <r>
    <x v="31"/>
    <s v="conventional_turnover_acls_98"/>
    <x v="138"/>
    <n v="1.12809899993827"/>
    <n v="1"/>
    <n v="-115"/>
    <n v="690"/>
  </r>
  <r>
    <x v="31"/>
    <s v="conventional_turnover_acls_99"/>
    <x v="139"/>
    <n v="1.1279674054321001"/>
    <n v="1"/>
    <n v="-115"/>
    <n v="690"/>
  </r>
  <r>
    <x v="31"/>
    <s v="conventional_turnover_acls_100"/>
    <x v="140"/>
    <n v="1.1278164583333301"/>
    <n v="1"/>
    <n v="-115"/>
    <n v="690"/>
  </r>
  <r>
    <x v="31"/>
    <s v="conventional_turnover_acls_101"/>
    <x v="141"/>
    <n v="1.12764132049383"/>
    <n v="1"/>
    <n v="-115"/>
    <n v="690"/>
  </r>
  <r>
    <x v="31"/>
    <s v="conventional_turnover_acls_102"/>
    <x v="142"/>
    <n v="1.12743715376543"/>
    <n v="1"/>
    <n v="-115"/>
    <n v="690"/>
  </r>
  <r>
    <x v="31"/>
    <s v="conventional_turnover_acls_103"/>
    <x v="143"/>
    <n v="1.12719912"/>
    <n v="1"/>
    <n v="-115"/>
    <n v="690"/>
  </r>
  <r>
    <x v="31"/>
    <s v="conventional_turnover_acls_104"/>
    <x v="144"/>
    <n v="1.12692238104938"/>
    <n v="1"/>
    <n v="-115"/>
    <n v="690"/>
  </r>
  <r>
    <x v="31"/>
    <s v="conventional_turnover_acls_105"/>
    <x v="145"/>
    <n v="1.1266020987654299"/>
    <n v="1"/>
    <n v="-115"/>
    <n v="690"/>
  </r>
  <r>
    <x v="31"/>
    <s v="conventional_turnover_acls_106"/>
    <x v="146"/>
    <n v="1.1262334350000001"/>
    <n v="1"/>
    <n v="-115"/>
    <n v="690"/>
  </r>
  <r>
    <x v="31"/>
    <s v="conventional_turnover_acls_107"/>
    <x v="147"/>
    <n v="1.1258115516049401"/>
    <n v="1"/>
    <n v="-115"/>
    <n v="690"/>
  </r>
  <r>
    <x v="31"/>
    <s v="conventional_turnover_acls_108"/>
    <x v="148"/>
    <n v="1.1253316104321001"/>
    <n v="1"/>
    <n v="-115"/>
    <n v="690"/>
  </r>
  <r>
    <x v="31"/>
    <s v="conventional_turnover_acls_109"/>
    <x v="149"/>
    <n v="1.1247887733333299"/>
    <n v="1"/>
    <n v="-115"/>
    <n v="690"/>
  </r>
  <r>
    <x v="31"/>
    <s v="conventional_turnover_acls_110"/>
    <x v="150"/>
    <n v="1.12417820216049"/>
    <n v="1"/>
    <n v="-115"/>
    <n v="690"/>
  </r>
  <r>
    <x v="31"/>
    <s v="conventional_turnover_acls_111"/>
    <x v="151"/>
    <n v="1.12349505876543"/>
    <n v="1"/>
    <n v="-115"/>
    <n v="690"/>
  </r>
  <r>
    <x v="31"/>
    <s v="conventional_turnover_acls_112"/>
    <x v="152"/>
    <n v="1.1227345049999999"/>
    <n v="1"/>
    <n v="-115"/>
    <n v="690"/>
  </r>
  <r>
    <x v="31"/>
    <s v="conventional_turnover_acls_113"/>
    <x v="153"/>
    <n v="1.12189170271605"/>
    <n v="1"/>
    <n v="-115"/>
    <n v="690"/>
  </r>
  <r>
    <x v="31"/>
    <s v="conventional_turnover_acls_114"/>
    <x v="154"/>
    <n v="1.12096181376543"/>
    <n v="1"/>
    <n v="-115"/>
    <n v="690"/>
  </r>
  <r>
    <x v="31"/>
    <s v="conventional_turnover_acls_115"/>
    <x v="155"/>
    <n v="1.1199399999999999"/>
    <n v="1"/>
    <n v="-115"/>
    <n v="690"/>
  </r>
  <r>
    <x v="31"/>
    <s v="conventional_turnover_acls_116"/>
    <x v="156"/>
    <n v="1.1188390263100101"/>
    <n v="1"/>
    <n v="-115"/>
    <n v="690"/>
  </r>
  <r>
    <x v="31"/>
    <s v="conventional_turnover_acls_117"/>
    <x v="157"/>
    <n v="1.1176762882578899"/>
    <n v="1"/>
    <n v="-115"/>
    <n v="690"/>
  </r>
  <r>
    <x v="31"/>
    <s v="conventional_turnover_acls_118"/>
    <x v="158"/>
    <n v="1.1164538937037001"/>
    <n v="1"/>
    <n v="-115"/>
    <n v="690"/>
  </r>
  <r>
    <x v="31"/>
    <s v="conventional_turnover_acls_119"/>
    <x v="159"/>
    <n v="1.11517395050754"/>
    <n v="1"/>
    <n v="-115"/>
    <n v="690"/>
  </r>
  <r>
    <x v="31"/>
    <s v="conventional_turnover_acls_120"/>
    <x v="160"/>
    <n v="1.1138385665294901"/>
    <n v="1"/>
    <n v="-115"/>
    <n v="690"/>
  </r>
  <r>
    <x v="31"/>
    <s v="conventional_turnover_acls_121"/>
    <x v="161"/>
    <n v="1.11244984962963"/>
    <n v="1"/>
    <n v="-115"/>
    <n v="690"/>
  </r>
  <r>
    <x v="31"/>
    <s v="conventional_turnover_acls_122"/>
    <x v="162"/>
    <n v="1.11100990766804"/>
    <n v="1"/>
    <n v="-115"/>
    <n v="690"/>
  </r>
  <r>
    <x v="31"/>
    <s v="conventional_turnover_acls_123"/>
    <x v="163"/>
    <n v="1.1095208485048"/>
    <n v="1"/>
    <n v="-115"/>
    <n v="690"/>
  </r>
  <r>
    <x v="31"/>
    <s v="conventional_turnover_acls_124"/>
    <x v="164"/>
    <n v="1.10798478"/>
    <n v="1"/>
    <n v="-115"/>
    <n v="690"/>
  </r>
  <r>
    <x v="31"/>
    <s v="conventional_turnover_acls_125"/>
    <x v="165"/>
    <n v="1.1064038100137199"/>
    <n v="1"/>
    <n v="-115"/>
    <n v="690"/>
  </r>
  <r>
    <x v="31"/>
    <s v="conventional_turnover_acls_126"/>
    <x v="166"/>
    <n v="1.10478004640604"/>
    <n v="1"/>
    <n v="-115"/>
    <n v="690"/>
  </r>
  <r>
    <x v="31"/>
    <s v="conventional_turnover_acls_127"/>
    <x v="167"/>
    <n v="1.1031155970370401"/>
    <n v="1"/>
    <n v="-115"/>
    <n v="690"/>
  </r>
  <r>
    <x v="31"/>
    <s v="conventional_turnover_acls_128"/>
    <x v="168"/>
    <n v="1.1014125697668"/>
    <n v="1"/>
    <n v="-115"/>
    <n v="690"/>
  </r>
  <r>
    <x v="31"/>
    <s v="conventional_turnover_acls_129"/>
    <x v="169"/>
    <n v="1.09967307245542"/>
    <n v="1"/>
    <n v="-115"/>
    <n v="690"/>
  </r>
  <r>
    <x v="31"/>
    <s v="conventional_turnover_acls_130"/>
    <x v="170"/>
    <n v="1.0978992129629599"/>
    <n v="1"/>
    <n v="-115"/>
    <n v="690"/>
  </r>
  <r>
    <x v="31"/>
    <s v="conventional_turnover_acls_131"/>
    <x v="171"/>
    <n v="1.0960930991495199"/>
    <n v="1"/>
    <n v="-115"/>
    <n v="690"/>
  </r>
  <r>
    <x v="31"/>
    <s v="conventional_turnover_acls_132"/>
    <x v="172"/>
    <n v="1.0942568388751699"/>
    <n v="1"/>
    <n v="-115"/>
    <n v="690"/>
  </r>
  <r>
    <x v="31"/>
    <s v="conventional_turnover_acls_133"/>
    <x v="173"/>
    <n v="1.0923925400000001"/>
    <n v="1"/>
    <n v="-115"/>
    <n v="690"/>
  </r>
  <r>
    <x v="31"/>
    <s v="conventional_turnover_acls_134"/>
    <x v="174"/>
    <n v="1.0905023103840901"/>
    <n v="1"/>
    <n v="-115"/>
    <n v="690"/>
  </r>
  <r>
    <x v="31"/>
    <s v="conventional_turnover_acls_135"/>
    <x v="175"/>
    <n v="1.0885882578875199"/>
    <n v="1"/>
    <n v="-115"/>
    <n v="690"/>
  </r>
  <r>
    <x v="31"/>
    <s v="conventional_turnover_acls_136"/>
    <x v="176"/>
    <n v="1.08665249037037"/>
    <n v="1"/>
    <n v="-115"/>
    <n v="690"/>
  </r>
  <r>
    <x v="31"/>
    <s v="conventional_turnover_acls_137"/>
    <x v="177"/>
    <n v="1.0846971156927301"/>
    <n v="1"/>
    <n v="-115"/>
    <n v="690"/>
  </r>
  <r>
    <x v="31"/>
    <s v="conventional_turnover_acls_138"/>
    <x v="178"/>
    <n v="1.0827242417146801"/>
    <n v="1"/>
    <n v="-115"/>
    <n v="690"/>
  </r>
  <r>
    <x v="31"/>
    <s v="conventional_turnover_acls_139"/>
    <x v="179"/>
    <n v="1.0807359762963"/>
    <n v="1"/>
    <n v="-115"/>
    <n v="690"/>
  </r>
  <r>
    <x v="31"/>
    <s v="conventional_turnover_acls_140"/>
    <x v="180"/>
    <n v="1.07873442729767"/>
    <n v="1"/>
    <n v="-115"/>
    <n v="690"/>
  </r>
  <r>
    <x v="31"/>
    <s v="conventional_turnover_acls_141"/>
    <x v="181"/>
    <n v="1.07672170257888"/>
    <n v="1"/>
    <n v="-115"/>
    <n v="690"/>
  </r>
  <r>
    <x v="31"/>
    <s v="conventional_turnover_acls_142"/>
    <x v="182"/>
    <n v="1.0746999100000001"/>
    <n v="1"/>
    <n v="-115"/>
    <n v="690"/>
  </r>
  <r>
    <x v="31"/>
    <s v="conventional_turnover_acls_143"/>
    <x v="183"/>
    <n v="1.0726711574211201"/>
    <n v="1"/>
    <n v="-115"/>
    <n v="690"/>
  </r>
  <r>
    <x v="31"/>
    <s v="conventional_turnover_acls_144"/>
    <x v="184"/>
    <n v="1.07063755270233"/>
    <n v="1"/>
    <n v="-115"/>
    <n v="690"/>
  </r>
  <r>
    <x v="31"/>
    <s v="conventional_turnover_acls_145"/>
    <x v="185"/>
    <n v="1.0686012037037"/>
    <n v="1"/>
    <n v="-115"/>
    <n v="690"/>
  </r>
  <r>
    <x v="31"/>
    <s v="conventional_turnover_acls_146"/>
    <x v="186"/>
    <n v="1.0665642182853201"/>
    <n v="1"/>
    <n v="-115"/>
    <n v="690"/>
  </r>
  <r>
    <x v="31"/>
    <s v="conventional_turnover_acls_147"/>
    <x v="187"/>
    <n v="1.06452870430727"/>
    <n v="1"/>
    <n v="-115"/>
    <n v="690"/>
  </r>
  <r>
    <x v="31"/>
    <s v="conventional_turnover_acls_148"/>
    <x v="188"/>
    <n v="1.0624967696296299"/>
    <n v="1"/>
    <n v="-115"/>
    <n v="690"/>
  </r>
  <r>
    <x v="31"/>
    <s v="conventional_turnover_acls_149"/>
    <x v="189"/>
    <n v="1.0604705221124799"/>
    <n v="1"/>
    <n v="-115"/>
    <n v="690"/>
  </r>
  <r>
    <x v="31"/>
    <s v="conventional_turnover_acls_150"/>
    <x v="190"/>
    <n v="1.0584520696159101"/>
    <n v="1"/>
    <n v="-115"/>
    <n v="690"/>
  </r>
  <r>
    <x v="31"/>
    <s v="conventional_turnover_acls_151"/>
    <x v="191"/>
    <n v="1.05644352"/>
    <n v="1"/>
    <n v="-115"/>
    <n v="690"/>
  </r>
  <r>
    <x v="31"/>
    <s v="conventional_turnover_acls_152"/>
    <x v="192"/>
    <n v="1.05444698112483"/>
    <n v="1"/>
    <n v="-115"/>
    <n v="690"/>
  </r>
  <r>
    <x v="31"/>
    <s v="conventional_turnover_acls_153"/>
    <x v="193"/>
    <n v="1.0524645608504799"/>
    <n v="1"/>
    <n v="-115"/>
    <n v="690"/>
  </r>
  <r>
    <x v="31"/>
    <s v="conventional_turnover_acls_154"/>
    <x v="194"/>
    <n v="1.05049836703704"/>
    <n v="1"/>
    <n v="-115"/>
    <n v="690"/>
  </r>
  <r>
    <x v="31"/>
    <s v="conventional_turnover_acls_155"/>
    <x v="195"/>
    <n v="1.04855050754458"/>
    <n v="1"/>
    <n v="-115"/>
    <n v="690"/>
  </r>
  <r>
    <x v="31"/>
    <s v="conventional_turnover_acls_156"/>
    <x v="196"/>
    <n v="1.0466230902332001"/>
    <n v="1"/>
    <n v="-115"/>
    <n v="690"/>
  </r>
  <r>
    <x v="31"/>
    <s v="conventional_turnover_acls_157"/>
    <x v="197"/>
    <n v="1.0447182229629599"/>
    <n v="1"/>
    <n v="-115"/>
    <n v="690"/>
  </r>
  <r>
    <x v="31"/>
    <s v="conventional_turnover_acls_158"/>
    <x v="198"/>
    <n v="1.0428380135939599"/>
    <n v="1"/>
    <n v="-115"/>
    <n v="690"/>
  </r>
  <r>
    <x v="31"/>
    <s v="conventional_turnover_acls_159"/>
    <x v="199"/>
    <n v="1.0409845699862801"/>
    <n v="1"/>
    <n v="-115"/>
    <n v="690"/>
  </r>
  <r>
    <x v="31"/>
    <s v="conventional_turnover_acls_160"/>
    <x v="200"/>
    <n v="1.0391600000000001"/>
    <n v="1"/>
    <n v="-115"/>
    <n v="690"/>
  </r>
  <r>
    <x v="31"/>
    <s v="conventional_turnover_acls_161"/>
    <x v="201"/>
    <n v="1.03734081844375"/>
    <n v="1"/>
    <n v="-115"/>
    <n v="690"/>
  </r>
  <r>
    <x v="31"/>
    <s v="conventional_turnover_acls_162"/>
    <x v="202"/>
    <n v="1.03550309827222"/>
    <n v="1"/>
    <n v="-115"/>
    <n v="690"/>
  </r>
  <r>
    <x v="31"/>
    <s v="conventional_turnover_acls_163"/>
    <x v="203"/>
    <n v="1.03364828456458"/>
    <n v="1"/>
    <n v="-115"/>
    <n v="690"/>
  </r>
  <r>
    <x v="31"/>
    <s v="conventional_turnover_acls_164"/>
    <x v="204"/>
    <n v="1.0317778224"/>
    <n v="1"/>
    <n v="-115"/>
    <n v="690"/>
  </r>
  <r>
    <x v="31"/>
    <s v="conventional_turnover_acls_165"/>
    <x v="205"/>
    <n v="1.0298931568576399"/>
    <n v="1"/>
    <n v="-115"/>
    <n v="690"/>
  </r>
  <r>
    <x v="31"/>
    <s v="conventional_turnover_acls_166"/>
    <x v="206"/>
    <n v="1.02799573301667"/>
    <n v="1"/>
    <n v="-115"/>
    <n v="690"/>
  </r>
  <r>
    <x v="31"/>
    <s v="conventional_turnover_acls_167"/>
    <x v="207"/>
    <n v="1.02608699595625"/>
    <n v="1"/>
    <n v="-115"/>
    <n v="690"/>
  </r>
  <r>
    <x v="31"/>
    <s v="conventional_turnover_acls_168"/>
    <x v="208"/>
    <n v="1.0241683907555601"/>
    <n v="1"/>
    <n v="-115"/>
    <n v="690"/>
  </r>
  <r>
    <x v="31"/>
    <s v="conventional_turnover_acls_169"/>
    <x v="209"/>
    <n v="1.0222413624937501"/>
    <n v="1"/>
    <n v="-115"/>
    <n v="690"/>
  </r>
  <r>
    <x v="31"/>
    <s v="conventional_turnover_acls_170"/>
    <x v="210"/>
    <n v="1.02030735625"/>
    <n v="1"/>
    <n v="-115"/>
    <n v="690"/>
  </r>
  <r>
    <x v="31"/>
    <s v="conventional_turnover_acls_171"/>
    <x v="211"/>
    <n v="1.01836781710347"/>
    <n v="1"/>
    <n v="-115"/>
    <n v="690"/>
  </r>
  <r>
    <x v="31"/>
    <s v="conventional_turnover_acls_172"/>
    <x v="212"/>
    <n v="1.01642419013333"/>
    <n v="1"/>
    <n v="-115"/>
    <n v="690"/>
  </r>
  <r>
    <x v="31"/>
    <s v="conventional_turnover_acls_173"/>
    <x v="213"/>
    <n v="1.01447792041875"/>
    <n v="1"/>
    <n v="-115"/>
    <n v="690"/>
  </r>
  <r>
    <x v="31"/>
    <s v="conventional_turnover_acls_174"/>
    <x v="214"/>
    <n v="1.0125304530388901"/>
    <n v="1"/>
    <n v="-115"/>
    <n v="690"/>
  </r>
  <r>
    <x v="31"/>
    <s v="conventional_turnover_acls_175"/>
    <x v="215"/>
    <n v="1.0105832330729201"/>
    <n v="1"/>
    <n v="-115"/>
    <n v="690"/>
  </r>
  <r>
    <x v="31"/>
    <s v="conventional_turnover_acls_176"/>
    <x v="216"/>
    <n v="1.0086377056"/>
    <n v="1"/>
    <n v="-115"/>
    <n v="690"/>
  </r>
  <r>
    <x v="31"/>
    <s v="conventional_turnover_acls_177"/>
    <x v="217"/>
    <n v="1.0066953156993099"/>
    <n v="1"/>
    <n v="-115"/>
    <n v="690"/>
  </r>
  <r>
    <x v="31"/>
    <s v="conventional_turnover_acls_178"/>
    <x v="218"/>
    <n v="1.00475750845"/>
    <n v="1"/>
    <n v="-115"/>
    <n v="690"/>
  </r>
  <r>
    <x v="31"/>
    <s v="conventional_turnover_acls_179"/>
    <x v="219"/>
    <n v="1.0028257289312501"/>
    <n v="1"/>
    <n v="-115"/>
    <n v="690"/>
  </r>
  <r>
    <x v="31"/>
    <s v="conventional_turnover_acls_180"/>
    <x v="220"/>
    <n v="1.0009014222222199"/>
    <n v="1"/>
    <n v="-115"/>
    <n v="690"/>
  </r>
  <r>
    <x v="31"/>
    <s v="conventional_turnover_acls_181"/>
    <x v="221"/>
    <n v="0.99898603340208303"/>
    <n v="1"/>
    <n v="-115"/>
    <n v="690"/>
  </r>
  <r>
    <x v="31"/>
    <s v="conventional_turnover_acls_182"/>
    <x v="222"/>
    <n v="0.99708100754999995"/>
    <n v="1"/>
    <n v="-115"/>
    <n v="690"/>
  </r>
  <r>
    <x v="31"/>
    <s v="conventional_turnover_acls_183"/>
    <x v="223"/>
    <n v="0.995187789745139"/>
    <n v="1"/>
    <n v="-115"/>
    <n v="690"/>
  </r>
  <r>
    <x v="31"/>
    <s v="conventional_turnover_acls_184"/>
    <x v="224"/>
    <n v="0.99330782506666704"/>
    <n v="1"/>
    <n v="-115"/>
    <n v="690"/>
  </r>
  <r>
    <x v="31"/>
    <s v="conventional_turnover_acls_185"/>
    <x v="225"/>
    <n v="0.99144255859374997"/>
    <n v="1"/>
    <n v="-115"/>
    <n v="690"/>
  </r>
  <r>
    <x v="31"/>
    <s v="conventional_turnover_acls_186"/>
    <x v="226"/>
    <n v="0.989593435405556"/>
    <n v="1"/>
    <n v="-115"/>
    <n v="690"/>
  </r>
  <r>
    <x v="31"/>
    <s v="conventional_turnover_acls_187"/>
    <x v="227"/>
    <n v="0.98776190058125002"/>
    <n v="1"/>
    <n v="-115"/>
    <n v="690"/>
  </r>
  <r>
    <x v="31"/>
    <s v="conventional_turnover_acls_188"/>
    <x v="228"/>
    <n v="0.98594939920000002"/>
    <n v="1"/>
    <n v="-115"/>
    <n v="690"/>
  </r>
  <r>
    <x v="31"/>
    <s v="conventional_turnover_acls_189"/>
    <x v="229"/>
    <n v="0.984157376340972"/>
    <n v="1"/>
    <n v="-115"/>
    <n v="690"/>
  </r>
  <r>
    <x v="31"/>
    <s v="conventional_turnover_acls_190"/>
    <x v="230"/>
    <n v="0.98238727708333295"/>
    <n v="1"/>
    <n v="-115"/>
    <n v="690"/>
  </r>
  <r>
    <x v="31"/>
    <s v="conventional_turnover_acls_191"/>
    <x v="231"/>
    <n v="0.98064054650624999"/>
    <n v="1"/>
    <n v="-115"/>
    <n v="690"/>
  </r>
  <r>
    <x v="31"/>
    <s v="conventional_turnover_acls_192"/>
    <x v="232"/>
    <n v="0.97891862968888899"/>
    <n v="1"/>
    <n v="-115"/>
    <n v="690"/>
  </r>
  <r>
    <x v="31"/>
    <s v="conventional_turnover_acls_193"/>
    <x v="233"/>
    <n v="0.97722297171041705"/>
    <n v="1"/>
    <n v="-115"/>
    <n v="690"/>
  </r>
  <r>
    <x v="31"/>
    <s v="conventional_turnover_acls_194"/>
    <x v="234"/>
    <n v="0.97555501764999997"/>
    <n v="1"/>
    <n v="-115"/>
    <n v="690"/>
  </r>
  <r>
    <x v="31"/>
    <s v="conventional_turnover_acls_195"/>
    <x v="235"/>
    <n v="0.97391621258680605"/>
    <n v="1"/>
    <n v="-115"/>
    <n v="690"/>
  </r>
  <r>
    <x v="31"/>
    <s v="conventional_turnover_acls_196"/>
    <x v="236"/>
    <n v="0.97230800159999997"/>
    <n v="1"/>
    <n v="-115"/>
    <n v="690"/>
  </r>
  <r>
    <x v="31"/>
    <s v="conventional_turnover_acls_197"/>
    <x v="237"/>
    <n v="0.97073182976875005"/>
    <n v="1"/>
    <n v="-115"/>
    <n v="690"/>
  </r>
  <r>
    <x v="31"/>
    <s v="conventional_turnover_acls_198"/>
    <x v="238"/>
    <n v="0.96918914217222196"/>
    <n v="1"/>
    <n v="-115"/>
    <n v="690"/>
  </r>
  <r>
    <x v="31"/>
    <s v="conventional_turnover_acls_199"/>
    <x v="239"/>
    <n v="0.96768138388958302"/>
    <n v="1"/>
    <n v="-115"/>
    <n v="690"/>
  </r>
  <r>
    <x v="31"/>
    <s v="conventional_turnover_acls_200"/>
    <x v="240"/>
    <n v="0.96621000000000001"/>
    <n v="1"/>
    <n v="-115"/>
    <n v="690"/>
  </r>
  <r>
    <x v="31"/>
    <s v="conventional_turnover_acls_201"/>
    <x v="241"/>
    <n v="0.96476751388672"/>
    <n v="1"/>
    <n v="-115"/>
    <n v="690"/>
  </r>
  <r>
    <x v="31"/>
    <s v="conventional_turnover_acls_202"/>
    <x v="242"/>
    <n v="0.96334525133376003"/>
    <n v="1"/>
    <n v="-115"/>
    <n v="690"/>
  </r>
  <r>
    <x v="31"/>
    <s v="conventional_turnover_acls_203"/>
    <x v="243"/>
    <n v="0.96194286102144"/>
    <n v="1"/>
    <n v="-115"/>
    <n v="690"/>
  </r>
  <r>
    <x v="31"/>
    <s v="conventional_turnover_acls_204"/>
    <x v="244"/>
    <n v="0.96055999163007999"/>
    <n v="1"/>
    <n v="-115"/>
    <n v="690"/>
  </r>
  <r>
    <x v="31"/>
    <s v="conventional_turnover_acls_205"/>
    <x v="245"/>
    <n v="0.95919629183999999"/>
    <n v="1"/>
    <n v="-115"/>
    <n v="690"/>
  </r>
  <r>
    <x v="31"/>
    <s v="conventional_turnover_acls_206"/>
    <x v="246"/>
    <n v="0.95785141033151999"/>
    <n v="1"/>
    <n v="-115"/>
    <n v="690"/>
  </r>
  <r>
    <x v="31"/>
    <s v="conventional_turnover_acls_207"/>
    <x v="247"/>
    <n v="0.95652499578495997"/>
    <n v="1"/>
    <n v="-115"/>
    <n v="690"/>
  </r>
  <r>
    <x v="31"/>
    <s v="conventional_turnover_acls_208"/>
    <x v="248"/>
    <n v="0.95521669688064004"/>
    <n v="1"/>
    <n v="-115"/>
    <n v="690"/>
  </r>
  <r>
    <x v="31"/>
    <s v="conventional_turnover_acls_209"/>
    <x v="249"/>
    <n v="0.95392616229888005"/>
    <n v="1"/>
    <n v="-115"/>
    <n v="690"/>
  </r>
  <r>
    <x v="31"/>
    <s v="conventional_turnover_acls_210"/>
    <x v="250"/>
    <n v="0.95265304072000001"/>
    <n v="1"/>
    <n v="-115"/>
    <n v="690"/>
  </r>
  <r>
    <x v="31"/>
    <s v="conventional_turnover_acls_211"/>
    <x v="251"/>
    <n v="0.95139698082432"/>
    <n v="1"/>
    <n v="-115"/>
    <n v="690"/>
  </r>
  <r>
    <x v="31"/>
    <s v="conventional_turnover_acls_212"/>
    <x v="252"/>
    <n v="0.95015763129216002"/>
    <n v="1"/>
    <n v="-115"/>
    <n v="690"/>
  </r>
  <r>
    <x v="31"/>
    <s v="conventional_turnover_acls_213"/>
    <x v="253"/>
    <n v="0.94893464080384005"/>
    <n v="1"/>
    <n v="-115"/>
    <n v="690"/>
  </r>
  <r>
    <x v="31"/>
    <s v="conventional_turnover_acls_214"/>
    <x v="254"/>
    <n v="0.94772765803967995"/>
    <n v="1"/>
    <n v="-115"/>
    <n v="690"/>
  </r>
  <r>
    <x v="31"/>
    <s v="conventional_turnover_acls_215"/>
    <x v="255"/>
    <n v="0.94653633167999995"/>
    <n v="1"/>
    <n v="-115"/>
    <n v="690"/>
  </r>
  <r>
    <x v="31"/>
    <s v="conventional_turnover_acls_216"/>
    <x v="256"/>
    <n v="0.94536031040512003"/>
    <n v="1"/>
    <n v="-115"/>
    <n v="690"/>
  </r>
  <r>
    <x v="31"/>
    <s v="conventional_turnover_acls_217"/>
    <x v="257"/>
    <n v="0.94419924289535995"/>
    <n v="1"/>
    <n v="-115"/>
    <n v="690"/>
  </r>
  <r>
    <x v="31"/>
    <s v="conventional_turnover_acls_218"/>
    <x v="258"/>
    <n v="0.94305277783104002"/>
    <n v="1"/>
    <n v="-115"/>
    <n v="690"/>
  </r>
  <r>
    <x v="31"/>
    <s v="conventional_turnover_acls_219"/>
    <x v="259"/>
    <n v="0.94192056389248002"/>
    <n v="1"/>
    <n v="-115"/>
    <n v="690"/>
  </r>
  <r>
    <x v="31"/>
    <s v="conventional_turnover_acls_220"/>
    <x v="260"/>
    <n v="0.94080224976000004"/>
    <n v="1"/>
    <n v="-115"/>
    <n v="690"/>
  </r>
  <r>
    <x v="31"/>
    <s v="conventional_turnover_acls_221"/>
    <x v="261"/>
    <n v="0.93969748411391996"/>
    <n v="1"/>
    <n v="-115"/>
    <n v="690"/>
  </r>
  <r>
    <x v="31"/>
    <s v="conventional_turnover_acls_222"/>
    <x v="262"/>
    <n v="0.93860591563455997"/>
    <n v="1"/>
    <n v="-115"/>
    <n v="690"/>
  </r>
  <r>
    <x v="31"/>
    <s v="conventional_turnover_acls_223"/>
    <x v="263"/>
    <n v="0.93752719300223997"/>
    <n v="1"/>
    <n v="-115"/>
    <n v="690"/>
  </r>
  <r>
    <x v="31"/>
    <s v="conventional_turnover_acls_224"/>
    <x v="264"/>
    <n v="0.93646096489728003"/>
    <n v="1"/>
    <n v="-115"/>
    <n v="690"/>
  </r>
  <r>
    <x v="31"/>
    <s v="conventional_turnover_acls_225"/>
    <x v="265"/>
    <n v="0.93540688000000005"/>
    <n v="1"/>
    <n v="-115"/>
    <n v="690"/>
  </r>
  <r>
    <x v="31"/>
    <s v="conventional_turnover_acls_226"/>
    <x v="266"/>
    <n v="0.93436458699072"/>
    <n v="1"/>
    <n v="-115"/>
    <n v="690"/>
  </r>
  <r>
    <x v="31"/>
    <s v="conventional_turnover_acls_227"/>
    <x v="267"/>
    <n v="0.93333373454975999"/>
    <n v="1"/>
    <n v="-115"/>
    <n v="690"/>
  </r>
  <r>
    <x v="31"/>
    <s v="conventional_turnover_acls_228"/>
    <x v="268"/>
    <n v="0.93231397135743999"/>
    <n v="1"/>
    <n v="-115"/>
    <n v="690"/>
  </r>
  <r>
    <x v="31"/>
    <s v="conventional_turnover_acls_229"/>
    <x v="269"/>
    <n v="0.93130494609407999"/>
    <n v="1"/>
    <n v="-115"/>
    <n v="690"/>
  </r>
  <r>
    <x v="31"/>
    <s v="conventional_turnover_acls_230"/>
    <x v="270"/>
    <n v="0.93030630743999998"/>
    <n v="1"/>
    <n v="-115"/>
    <n v="690"/>
  </r>
  <r>
    <x v="31"/>
    <s v="conventional_turnover_acls_231"/>
    <x v="271"/>
    <n v="0.92931770407551995"/>
    <n v="1"/>
    <n v="-115"/>
    <n v="690"/>
  </r>
  <r>
    <x v="31"/>
    <s v="conventional_turnover_acls_232"/>
    <x v="272"/>
    <n v="0.92833878468095998"/>
    <n v="1"/>
    <n v="-115"/>
    <n v="690"/>
  </r>
  <r>
    <x v="31"/>
    <s v="conventional_turnover_acls_233"/>
    <x v="273"/>
    <n v="0.92736919793663997"/>
    <n v="1"/>
    <n v="-115"/>
    <n v="690"/>
  </r>
  <r>
    <x v="31"/>
    <s v="conventional_turnover_acls_234"/>
    <x v="274"/>
    <n v="0.92640859252287999"/>
    <n v="1"/>
    <n v="-115"/>
    <n v="690"/>
  </r>
  <r>
    <x v="31"/>
    <s v="conventional_turnover_acls_235"/>
    <x v="275"/>
    <n v="0.92545661712000005"/>
    <n v="1"/>
    <n v="-115"/>
    <n v="690"/>
  </r>
  <r>
    <x v="31"/>
    <s v="conventional_turnover_acls_236"/>
    <x v="276"/>
    <n v="0.92451292040832"/>
    <n v="1"/>
    <n v="-115"/>
    <n v="690"/>
  </r>
  <r>
    <x v="31"/>
    <s v="conventional_turnover_acls_237"/>
    <x v="277"/>
    <n v="0.92357715106815996"/>
    <n v="1"/>
    <n v="-115"/>
    <n v="690"/>
  </r>
  <r>
    <x v="31"/>
    <s v="conventional_turnover_acls_238"/>
    <x v="278"/>
    <n v="0.92264895777984002"/>
    <n v="1"/>
    <n v="-115"/>
    <n v="690"/>
  </r>
  <r>
    <x v="31"/>
    <s v="conventional_turnover_acls_239"/>
    <x v="279"/>
    <n v="0.92172798922368004"/>
    <n v="1"/>
    <n v="-115"/>
    <n v="690"/>
  </r>
  <r>
    <x v="31"/>
    <s v="conventional_turnover_acls_240"/>
    <x v="280"/>
    <n v="0.92081389408000003"/>
    <n v="1"/>
    <n v="-115"/>
    <n v="690"/>
  </r>
  <r>
    <x v="31"/>
    <s v="conventional_turnover_acls_241"/>
    <x v="281"/>
    <n v="0.91990632102911996"/>
    <n v="1"/>
    <n v="-115"/>
    <n v="690"/>
  </r>
  <r>
    <x v="31"/>
    <s v="conventional_turnover_acls_242"/>
    <x v="282"/>
    <n v="0.91900491875136003"/>
    <n v="1"/>
    <n v="-115"/>
    <n v="690"/>
  </r>
  <r>
    <x v="31"/>
    <s v="conventional_turnover_acls_243"/>
    <x v="283"/>
    <n v="0.91810933592704003"/>
    <n v="1"/>
    <n v="-115"/>
    <n v="690"/>
  </r>
  <r>
    <x v="31"/>
    <s v="conventional_turnover_acls_244"/>
    <x v="284"/>
    <n v="0.91721922123648003"/>
    <n v="1"/>
    <n v="-115"/>
    <n v="690"/>
  </r>
  <r>
    <x v="31"/>
    <s v="conventional_turnover_acls_245"/>
    <x v="285"/>
    <n v="0.91633422336000003"/>
    <n v="1"/>
    <n v="-115"/>
    <n v="690"/>
  </r>
  <r>
    <x v="31"/>
    <s v="conventional_turnover_acls_246"/>
    <x v="286"/>
    <n v="0.91545399097792002"/>
    <n v="1"/>
    <n v="-115"/>
    <n v="690"/>
  </r>
  <r>
    <x v="31"/>
    <s v="conventional_turnover_acls_247"/>
    <x v="287"/>
    <n v="0.91457817277055997"/>
    <n v="1"/>
    <n v="-115"/>
    <n v="690"/>
  </r>
  <r>
    <x v="31"/>
    <s v="conventional_turnover_acls_248"/>
    <x v="288"/>
    <n v="0.91370641741823999"/>
    <n v="1"/>
    <n v="-115"/>
    <n v="690"/>
  </r>
  <r>
    <x v="31"/>
    <s v="conventional_turnover_acls_249"/>
    <x v="289"/>
    <n v="0.91283837360127995"/>
    <n v="1"/>
    <n v="-115"/>
    <n v="690"/>
  </r>
  <r>
    <x v="31"/>
    <s v="conventional_turnover_acls_250"/>
    <x v="290"/>
    <n v="0.91197368999999995"/>
    <n v="1"/>
    <n v="-115"/>
    <n v="690"/>
  </r>
  <r>
    <x v="31"/>
    <s v="conventional_turnover_acls_251"/>
    <x v="291"/>
    <n v="0.91111201529471997"/>
    <n v="1"/>
    <n v="-115"/>
    <n v="690"/>
  </r>
  <r>
    <x v="31"/>
    <s v="conventional_turnover_acls_252"/>
    <x v="292"/>
    <n v="0.91025299816576"/>
    <n v="1"/>
    <n v="-115"/>
    <n v="690"/>
  </r>
  <r>
    <x v="31"/>
    <s v="conventional_turnover_acls_253"/>
    <x v="293"/>
    <n v="0.90939628729344002"/>
    <n v="1"/>
    <n v="-115"/>
    <n v="690"/>
  </r>
  <r>
    <x v="31"/>
    <s v="conventional_turnover_acls_254"/>
    <x v="294"/>
    <n v="0.90854153135808002"/>
    <n v="1"/>
    <n v="-115"/>
    <n v="690"/>
  </r>
  <r>
    <x v="31"/>
    <s v="conventional_turnover_acls_255"/>
    <x v="295"/>
    <n v="0.90768837903999999"/>
    <n v="1"/>
    <n v="-115"/>
    <n v="690"/>
  </r>
  <r>
    <x v="31"/>
    <s v="conventional_turnover_acls_256"/>
    <x v="296"/>
    <n v="0.90683647901952003"/>
    <n v="1"/>
    <n v="-115"/>
    <n v="690"/>
  </r>
  <r>
    <x v="31"/>
    <s v="conventional_turnover_acls_257"/>
    <x v="297"/>
    <n v="0.90598547997696"/>
    <n v="1"/>
    <n v="-115"/>
    <n v="690"/>
  </r>
  <r>
    <x v="31"/>
    <s v="conventional_turnover_acls_258"/>
    <x v="298"/>
    <n v="0.90513503059264"/>
    <n v="1"/>
    <n v="-115"/>
    <n v="690"/>
  </r>
  <r>
    <x v="31"/>
    <s v="conventional_turnover_acls_259"/>
    <x v="299"/>
    <n v="0.90428477954688002"/>
    <n v="1"/>
    <n v="-115"/>
    <n v="690"/>
  </r>
  <r>
    <x v="31"/>
    <s v="conventional_turnover_acls_260"/>
    <x v="300"/>
    <n v="0.90343437552000005"/>
    <n v="1"/>
    <n v="-115"/>
    <n v="690"/>
  </r>
  <r>
    <x v="31"/>
    <s v="conventional_turnover_acls_261"/>
    <x v="301"/>
    <n v="0.90258346719231997"/>
    <n v="1"/>
    <n v="-115"/>
    <n v="690"/>
  </r>
  <r>
    <x v="31"/>
    <s v="conventional_turnover_acls_262"/>
    <x v="302"/>
    <n v="0.90173170324415997"/>
    <n v="1"/>
    <n v="-115"/>
    <n v="690"/>
  </r>
  <r>
    <x v="31"/>
    <s v="conventional_turnover_acls_263"/>
    <x v="303"/>
    <n v="0.90087873235584004"/>
    <n v="1"/>
    <n v="-115"/>
    <n v="690"/>
  </r>
  <r>
    <x v="31"/>
    <s v="conventional_turnover_acls_264"/>
    <x v="304"/>
    <n v="0.90002420320767995"/>
    <n v="1"/>
    <n v="-115"/>
    <n v="690"/>
  </r>
  <r>
    <x v="31"/>
    <s v="conventional_turnover_acls_265"/>
    <x v="305"/>
    <n v="0.89916776448000002"/>
    <n v="1"/>
    <n v="-115"/>
    <n v="690"/>
  </r>
  <r>
    <x v="31"/>
    <s v="conventional_turnover_acls_266"/>
    <x v="306"/>
    <n v="0.89830906485312001"/>
    <n v="1"/>
    <n v="-115"/>
    <n v="690"/>
  </r>
  <r>
    <x v="31"/>
    <s v="conventional_turnover_acls_267"/>
    <x v="307"/>
    <n v="0.89744775300736002"/>
    <n v="1"/>
    <n v="-115"/>
    <n v="690"/>
  </r>
  <r>
    <x v="31"/>
    <s v="conventional_turnover_acls_268"/>
    <x v="308"/>
    <n v="0.89658347762304003"/>
    <n v="1"/>
    <n v="-115"/>
    <n v="690"/>
  </r>
  <r>
    <x v="31"/>
    <s v="conventional_turnover_acls_269"/>
    <x v="309"/>
    <n v="0.89571588738048002"/>
    <n v="1"/>
    <n v="-115"/>
    <n v="690"/>
  </r>
  <r>
    <x v="31"/>
    <s v="conventional_turnover_acls_270"/>
    <x v="310"/>
    <n v="0.89484463096"/>
    <n v="1"/>
    <n v="-115"/>
    <n v="690"/>
  </r>
  <r>
    <x v="31"/>
    <s v="conventional_turnover_acls_271"/>
    <x v="311"/>
    <n v="0.89396935704192004"/>
    <n v="1"/>
    <n v="-115"/>
    <n v="690"/>
  </r>
  <r>
    <x v="31"/>
    <s v="conventional_turnover_acls_272"/>
    <x v="312"/>
    <n v="0.89308971430656003"/>
    <n v="1"/>
    <n v="-115"/>
    <n v="690"/>
  </r>
  <r>
    <x v="31"/>
    <s v="conventional_turnover_acls_273"/>
    <x v="313"/>
    <n v="0.89220535143423996"/>
    <n v="1"/>
    <n v="-115"/>
    <n v="690"/>
  </r>
  <r>
    <x v="31"/>
    <s v="conventional_turnover_acls_274"/>
    <x v="314"/>
    <n v="0.89131591710528002"/>
    <n v="1"/>
    <n v="-115"/>
    <n v="690"/>
  </r>
  <r>
    <x v="31"/>
    <s v="conventional_turnover_acls_275"/>
    <x v="315"/>
    <n v="0.89042105999999999"/>
    <n v="1"/>
    <n v="-115"/>
    <n v="690"/>
  </r>
  <r>
    <x v="31"/>
    <s v="conventional_turnover_acls_276"/>
    <x v="316"/>
    <n v="0.88952042879871995"/>
    <n v="1"/>
    <n v="-115"/>
    <n v="690"/>
  </r>
  <r>
    <x v="31"/>
    <s v="conventional_turnover_acls_277"/>
    <x v="317"/>
    <n v="0.88861367218176002"/>
    <n v="1"/>
    <n v="-115"/>
    <n v="690"/>
  </r>
  <r>
    <x v="31"/>
    <s v="conventional_turnover_acls_278"/>
    <x v="318"/>
    <n v="0.88770043882944005"/>
    <n v="1"/>
    <n v="-115"/>
    <n v="690"/>
  </r>
  <r>
    <x v="31"/>
    <s v="conventional_turnover_acls_279"/>
    <x v="319"/>
    <n v="0.88678037742208005"/>
    <n v="1"/>
    <n v="-115"/>
    <n v="690"/>
  </r>
  <r>
    <x v="31"/>
    <s v="conventional_turnover_acls_280"/>
    <x v="320"/>
    <n v="0.88585313663999998"/>
    <n v="1"/>
    <n v="-115"/>
    <n v="690"/>
  </r>
  <r>
    <x v="31"/>
    <s v="conventional_turnover_acls_281"/>
    <x v="321"/>
    <n v="0.88491836516351996"/>
    <n v="1"/>
    <n v="-115"/>
    <n v="690"/>
  </r>
  <r>
    <x v="31"/>
    <s v="conventional_turnover_acls_282"/>
    <x v="322"/>
    <n v="0.88397571167295996"/>
    <n v="1"/>
    <n v="-115"/>
    <n v="690"/>
  </r>
  <r>
    <x v="31"/>
    <s v="conventional_turnover_acls_283"/>
    <x v="323"/>
    <n v="0.88302482484863998"/>
    <n v="1"/>
    <n v="-115"/>
    <n v="690"/>
  </r>
  <r>
    <x v="31"/>
    <s v="conventional_turnover_acls_284"/>
    <x v="324"/>
    <n v="0.88206535337087999"/>
    <n v="1"/>
    <n v="-115"/>
    <n v="690"/>
  </r>
  <r>
    <x v="31"/>
    <s v="conventional_turnover_acls_285"/>
    <x v="325"/>
    <n v="0.88109694591999999"/>
    <n v="1"/>
    <n v="-115"/>
    <n v="690"/>
  </r>
  <r>
    <x v="31"/>
    <s v="conventional_turnover_acls_286"/>
    <x v="326"/>
    <n v="0.88011925117631995"/>
    <n v="1"/>
    <n v="-115"/>
    <n v="690"/>
  </r>
  <r>
    <x v="31"/>
    <s v="conventional_turnover_acls_287"/>
    <x v="327"/>
    <n v="0.87913191782015998"/>
    <n v="1"/>
    <n v="-115"/>
    <n v="690"/>
  </r>
  <r>
    <x v="31"/>
    <s v="conventional_turnover_acls_288"/>
    <x v="328"/>
    <n v="0.87813459453183995"/>
    <n v="1"/>
    <n v="-115"/>
    <n v="690"/>
  </r>
  <r>
    <x v="31"/>
    <s v="conventional_turnover_acls_289"/>
    <x v="329"/>
    <n v="0.87712692999167996"/>
    <n v="1"/>
    <n v="-115"/>
    <n v="690"/>
  </r>
  <r>
    <x v="31"/>
    <s v="conventional_turnover_acls_290"/>
    <x v="330"/>
    <n v="0.87610857287999999"/>
    <n v="1"/>
    <n v="-115"/>
    <n v="690"/>
  </r>
  <r>
    <x v="31"/>
    <s v="conventional_turnover_acls_291"/>
    <x v="331"/>
    <n v="0.87507917187712003"/>
    <n v="1"/>
    <n v="-115"/>
    <n v="690"/>
  </r>
  <r>
    <x v="31"/>
    <s v="conventional_turnover_acls_292"/>
    <x v="332"/>
    <n v="0.87403837566335996"/>
    <n v="1"/>
    <n v="-115"/>
    <n v="690"/>
  </r>
  <r>
    <x v="31"/>
    <s v="conventional_turnover_acls_293"/>
    <x v="333"/>
    <n v="0.87298583291903997"/>
    <n v="1"/>
    <n v="-115"/>
    <n v="690"/>
  </r>
  <r>
    <x v="31"/>
    <s v="conventional_turnover_acls_294"/>
    <x v="334"/>
    <n v="0.87192119232447995"/>
    <n v="1"/>
    <n v="-115"/>
    <n v="690"/>
  </r>
  <r>
    <x v="31"/>
    <s v="conventional_turnover_acls_295"/>
    <x v="335"/>
    <n v="0.87084410256"/>
    <n v="1"/>
    <n v="-115"/>
    <n v="690"/>
  </r>
  <r>
    <x v="31"/>
    <s v="conventional_turnover_acls_296"/>
    <x v="336"/>
    <n v="0.86975421230591998"/>
    <n v="1"/>
    <n v="-115"/>
    <n v="690"/>
  </r>
  <r>
    <x v="31"/>
    <s v="conventional_turnover_acls_297"/>
    <x v="337"/>
    <n v="0.86865117024256"/>
    <n v="1"/>
    <n v="-115"/>
    <n v="690"/>
  </r>
  <r>
    <x v="31"/>
    <s v="conventional_turnover_acls_298"/>
    <x v="338"/>
    <n v="0.86753462505024004"/>
    <n v="1"/>
    <n v="-115"/>
    <n v="690"/>
  </r>
  <r>
    <x v="31"/>
    <s v="conventional_turnover_acls_299"/>
    <x v="339"/>
    <n v="0.86640422540927997"/>
    <n v="1"/>
    <n v="-115"/>
    <n v="690"/>
  </r>
  <r>
    <x v="31"/>
    <s v="conventional_turnover_acls_300"/>
    <x v="340"/>
    <n v="0.86525962000000001"/>
    <n v="1"/>
    <n v="-115"/>
    <n v="690"/>
  </r>
  <r>
    <x v="31"/>
    <s v="conventional_turnover_acls_301"/>
    <x v="341"/>
    <n v="0.86410045750272002"/>
    <n v="1"/>
    <n v="-115"/>
    <n v="690"/>
  </r>
  <r>
    <x v="31"/>
    <s v="conventional_turnover_acls_302"/>
    <x v="342"/>
    <n v="0.86292638659776"/>
    <n v="1"/>
    <n v="-115"/>
    <n v="690"/>
  </r>
  <r>
    <x v="31"/>
    <s v="conventional_turnover_acls_303"/>
    <x v="343"/>
    <n v="0.86173705596544004"/>
    <n v="1"/>
    <n v="-115"/>
    <n v="690"/>
  </r>
  <r>
    <x v="31"/>
    <s v="conventional_turnover_acls_304"/>
    <x v="344"/>
    <n v="0.86053211428608001"/>
    <n v="1"/>
    <n v="-115"/>
    <n v="690"/>
  </r>
  <r>
    <x v="31"/>
    <s v="conventional_turnover_acls_305"/>
    <x v="345"/>
    <n v="0.85931121024000001"/>
    <n v="1"/>
    <n v="-115"/>
    <n v="690"/>
  </r>
  <r>
    <x v="31"/>
    <s v="conventional_turnover_acls_306"/>
    <x v="346"/>
    <n v="0.85807399250752003"/>
    <n v="1"/>
    <n v="-115"/>
    <n v="690"/>
  </r>
  <r>
    <x v="31"/>
    <s v="conventional_turnover_acls_307"/>
    <x v="347"/>
    <n v="0.85682010976895995"/>
    <n v="1"/>
    <n v="-115"/>
    <n v="690"/>
  </r>
  <r>
    <x v="31"/>
    <s v="conventional_turnover_acls_308"/>
    <x v="348"/>
    <n v="0.85554921070463996"/>
    <n v="1"/>
    <n v="-115"/>
    <n v="690"/>
  </r>
  <r>
    <x v="31"/>
    <s v="conventional_turnover_acls_309"/>
    <x v="349"/>
    <n v="0.85426094399487995"/>
    <n v="1"/>
    <n v="-115"/>
    <n v="690"/>
  </r>
  <r>
    <x v="31"/>
    <s v="conventional_turnover_acls_310"/>
    <x v="350"/>
    <n v="0.85295495832000001"/>
    <n v="1"/>
    <n v="-115"/>
    <n v="690"/>
  </r>
  <r>
    <x v="31"/>
    <s v="conventional_turnover_acls_311"/>
    <x v="351"/>
    <n v="0.85163090236032002"/>
    <n v="1"/>
    <n v="-115"/>
    <n v="690"/>
  </r>
  <r>
    <x v="31"/>
    <s v="conventional_turnover_acls_312"/>
    <x v="352"/>
    <n v="0.85028842479615996"/>
    <n v="1"/>
    <n v="-115"/>
    <n v="690"/>
  </r>
  <r>
    <x v="31"/>
    <s v="conventional_turnover_acls_313"/>
    <x v="353"/>
    <n v="0.84892717430784004"/>
    <n v="1"/>
    <n v="-115"/>
    <n v="690"/>
  </r>
  <r>
    <x v="31"/>
    <s v="conventional_turnover_acls_314"/>
    <x v="354"/>
    <n v="0.84754679957568002"/>
    <n v="1"/>
    <n v="-115"/>
    <n v="690"/>
  </r>
  <r>
    <x v="31"/>
    <s v="conventional_turnover_acls_315"/>
    <x v="355"/>
    <n v="0.84614694928"/>
    <n v="1"/>
    <n v="-115"/>
    <n v="690"/>
  </r>
  <r>
    <x v="31"/>
    <s v="conventional_turnover_acls_316"/>
    <x v="356"/>
    <n v="0.84472727210111997"/>
    <n v="1"/>
    <n v="-115"/>
    <n v="690"/>
  </r>
  <r>
    <x v="31"/>
    <s v="conventional_turnover_acls_317"/>
    <x v="357"/>
    <n v="0.84328741671936003"/>
    <n v="1"/>
    <n v="-115"/>
    <n v="690"/>
  </r>
  <r>
    <x v="31"/>
    <s v="conventional_turnover_acls_318"/>
    <x v="358"/>
    <n v="0.84182703181504004"/>
    <n v="1"/>
    <n v="-115"/>
    <n v="690"/>
  </r>
  <r>
    <x v="31"/>
    <s v="conventional_turnover_acls_319"/>
    <x v="359"/>
    <n v="0.84034576606847999"/>
    <n v="1"/>
    <n v="-115"/>
    <n v="690"/>
  </r>
  <r>
    <x v="31"/>
    <s v="conventional_turnover_acls_320"/>
    <x v="360"/>
    <n v="0.83884326815999999"/>
    <n v="1"/>
    <n v="-115"/>
    <n v="690"/>
  </r>
  <r>
    <x v="31"/>
    <s v="conventional_turnover_acls_321"/>
    <x v="361"/>
    <n v="0.83731918676992001"/>
    <n v="1"/>
    <n v="-115"/>
    <n v="690"/>
  </r>
  <r>
    <x v="31"/>
    <s v="conventional_turnover_acls_322"/>
    <x v="362"/>
    <n v="0.83577317057856004"/>
    <n v="1"/>
    <n v="-115"/>
    <n v="690"/>
  </r>
  <r>
    <x v="31"/>
    <s v="conventional_turnover_acls_323"/>
    <x v="363"/>
    <n v="0.83420486826623996"/>
    <n v="1"/>
    <n v="-115"/>
    <n v="690"/>
  </r>
  <r>
    <x v="31"/>
    <s v="conventional_turnover_acls_324"/>
    <x v="364"/>
    <n v="0.83261392851327998"/>
    <n v="1"/>
    <n v="-115"/>
    <n v="690"/>
  </r>
  <r>
    <x v="31"/>
    <s v="conventional_turnover_acls_325"/>
    <x v="365"/>
    <n v="0.83099999999999996"/>
    <n v="1"/>
    <n v="-115"/>
    <n v="690"/>
  </r>
  <r>
    <x v="31"/>
    <s v="conventional_turnover_acls_326"/>
    <x v="366"/>
    <n v="0.82934152182400001"/>
    <n v="1"/>
    <n v="-115"/>
    <n v="690"/>
  </r>
  <r>
    <x v="31"/>
    <s v="conventional_turnover_acls_327"/>
    <x v="367"/>
    <n v="0.82761896819199998"/>
    <n v="1"/>
    <n v="-115"/>
    <n v="690"/>
  </r>
  <r>
    <x v="31"/>
    <s v="conventional_turnover_acls_328"/>
    <x v="368"/>
    <n v="0.82583504044800005"/>
    <n v="1"/>
    <n v="-115"/>
    <n v="690"/>
  </r>
  <r>
    <x v="31"/>
    <s v="conventional_turnover_acls_329"/>
    <x v="369"/>
    <n v="0.82399243993600002"/>
    <n v="1"/>
    <n v="-115"/>
    <n v="690"/>
  </r>
  <r>
    <x v="31"/>
    <s v="conventional_turnover_acls_330"/>
    <x v="370"/>
    <n v="0.82209386799999995"/>
    <n v="1"/>
    <n v="-115"/>
    <n v="690"/>
  </r>
  <r>
    <x v="31"/>
    <s v="conventional_turnover_acls_331"/>
    <x v="371"/>
    <n v="0.82014202598399999"/>
    <n v="1"/>
    <n v="-115"/>
    <n v="690"/>
  </r>
  <r>
    <x v="31"/>
    <s v="conventional_turnover_acls_332"/>
    <x v="372"/>
    <n v="0.81813961523199996"/>
    <n v="1"/>
    <n v="-115"/>
    <n v="690"/>
  </r>
  <r>
    <x v="31"/>
    <s v="conventional_turnover_acls_333"/>
    <x v="373"/>
    <n v="0.81608933708800002"/>
    <n v="1"/>
    <n v="-115"/>
    <n v="690"/>
  </r>
  <r>
    <x v="31"/>
    <s v="conventional_turnover_acls_334"/>
    <x v="374"/>
    <n v="0.81399389289599999"/>
    <n v="1"/>
    <n v="-115"/>
    <n v="690"/>
  </r>
  <r>
    <x v="31"/>
    <s v="conventional_turnover_acls_335"/>
    <x v="375"/>
    <n v="0.81185598400000003"/>
    <n v="1"/>
    <n v="-115"/>
    <n v="690"/>
  </r>
  <r>
    <x v="31"/>
    <s v="conventional_turnover_acls_336"/>
    <x v="376"/>
    <n v="0.80967831174399996"/>
    <n v="1"/>
    <n v="-115"/>
    <n v="690"/>
  </r>
  <r>
    <x v="31"/>
    <s v="conventional_turnover_acls_337"/>
    <x v="377"/>
    <n v="0.80746357747200004"/>
    <n v="1"/>
    <n v="-115"/>
    <n v="690"/>
  </r>
  <r>
    <x v="31"/>
    <s v="conventional_turnover_acls_338"/>
    <x v="378"/>
    <n v="0.80521448252799999"/>
    <n v="1"/>
    <n v="-115"/>
    <n v="690"/>
  </r>
  <r>
    <x v="31"/>
    <s v="conventional_turnover_acls_339"/>
    <x v="379"/>
    <n v="0.80293372825599996"/>
    <n v="1"/>
    <n v="-115"/>
    <n v="690"/>
  </r>
  <r>
    <x v="31"/>
    <s v="conventional_turnover_acls_340"/>
    <x v="380"/>
    <n v="0.80062401599999999"/>
    <n v="1"/>
    <n v="-115"/>
    <n v="690"/>
  </r>
  <r>
    <x v="31"/>
    <s v="conventional_turnover_acls_341"/>
    <x v="381"/>
    <n v="0.79828804710400003"/>
    <n v="1"/>
    <n v="-115"/>
    <n v="690"/>
  </r>
  <r>
    <x v="31"/>
    <s v="conventional_turnover_acls_342"/>
    <x v="382"/>
    <n v="0.795928522912"/>
    <n v="1"/>
    <n v="-115"/>
    <n v="690"/>
  </r>
  <r>
    <x v="31"/>
    <s v="conventional_turnover_acls_343"/>
    <x v="383"/>
    <n v="0.79354814476799995"/>
    <n v="1"/>
    <n v="-115"/>
    <n v="690"/>
  </r>
  <r>
    <x v="31"/>
    <s v="conventional_turnover_acls_344"/>
    <x v="384"/>
    <n v="0.79114961401600004"/>
    <n v="1"/>
    <n v="-115"/>
    <n v="690"/>
  </r>
  <r>
    <x v="31"/>
    <s v="conventional_turnover_acls_345"/>
    <x v="385"/>
    <n v="0.78873563199999996"/>
    <n v="1"/>
    <n v="-115"/>
    <n v="690"/>
  </r>
  <r>
    <x v="31"/>
    <s v="conventional_turnover_acls_346"/>
    <x v="386"/>
    <n v="0.786308900064"/>
    <n v="1"/>
    <n v="-115"/>
    <n v="690"/>
  </r>
  <r>
    <x v="31"/>
    <s v="conventional_turnover_acls_347"/>
    <x v="387"/>
    <n v="0.78387211955199998"/>
    <n v="1"/>
    <n v="-115"/>
    <n v="690"/>
  </r>
  <r>
    <x v="31"/>
    <s v="conventional_turnover_acls_348"/>
    <x v="388"/>
    <n v="0.78142799180800004"/>
    <n v="1"/>
    <n v="-115"/>
    <n v="690"/>
  </r>
  <r>
    <x v="31"/>
    <s v="conventional_turnover_acls_349"/>
    <x v="389"/>
    <n v="0.77897921817600002"/>
    <n v="1"/>
    <n v="-115"/>
    <n v="690"/>
  </r>
  <r>
    <x v="31"/>
    <s v="conventional_turnover_acls_350"/>
    <x v="390"/>
    <n v="0.77652849999999995"/>
    <n v="1"/>
    <n v="-115"/>
    <n v="690"/>
  </r>
  <r>
    <x v="31"/>
    <s v="conventional_turnover_acls_351"/>
    <x v="391"/>
    <n v="0.774078538624"/>
    <n v="1"/>
    <n v="-115"/>
    <n v="690"/>
  </r>
  <r>
    <x v="31"/>
    <s v="conventional_turnover_acls_352"/>
    <x v="392"/>
    <n v="0.77163203539199998"/>
    <n v="1"/>
    <n v="-115"/>
    <n v="690"/>
  </r>
  <r>
    <x v="31"/>
    <s v="conventional_turnover_acls_353"/>
    <x v="393"/>
    <n v="0.76919169164800005"/>
    <n v="1"/>
    <n v="-115"/>
    <n v="690"/>
  </r>
  <r>
    <x v="31"/>
    <s v="conventional_turnover_acls_354"/>
    <x v="394"/>
    <n v="0.76676020873600004"/>
    <n v="1"/>
    <n v="-115"/>
    <n v="690"/>
  </r>
  <r>
    <x v="31"/>
    <s v="conventional_turnover_acls_355"/>
    <x v="395"/>
    <n v="0.76434028799999998"/>
    <n v="1"/>
    <n v="-115"/>
    <n v="690"/>
  </r>
  <r>
    <x v="31"/>
    <s v="conventional_turnover_acls_356"/>
    <x v="396"/>
    <n v="0.76193463078400003"/>
    <n v="1"/>
    <n v="-115"/>
    <n v="690"/>
  </r>
  <r>
    <x v="31"/>
    <s v="conventional_turnover_acls_357"/>
    <x v="397"/>
    <n v="0.75954593843200002"/>
    <n v="1"/>
    <n v="-115"/>
    <n v="690"/>
  </r>
  <r>
    <x v="31"/>
    <s v="conventional_turnover_acls_358"/>
    <x v="398"/>
    <n v="0.75717691228799999"/>
    <n v="1"/>
    <n v="-115"/>
    <n v="690"/>
  </r>
  <r>
    <x v="31"/>
    <s v="conventional_turnover_acls_359"/>
    <x v="399"/>
    <n v="0.75483025369599999"/>
    <n v="1"/>
    <n v="-115"/>
    <n v="690"/>
  </r>
  <r>
    <x v="31"/>
    <s v="conventional_turnover_acls_360"/>
    <x v="400"/>
    <n v="0.75250866400000005"/>
    <n v="1"/>
    <n v="-115"/>
    <n v="690"/>
  </r>
  <r>
    <x v="31"/>
    <s v="conventional_turnover_acls_361"/>
    <x v="401"/>
    <n v="0.750214844544"/>
    <n v="1"/>
    <n v="-115"/>
    <n v="690"/>
  </r>
  <r>
    <x v="31"/>
    <s v="conventional_turnover_acls_362"/>
    <x v="402"/>
    <n v="0.747951496672"/>
    <n v="1"/>
    <n v="-115"/>
    <n v="690"/>
  </r>
  <r>
    <x v="31"/>
    <s v="conventional_turnover_acls_363"/>
    <x v="403"/>
    <n v="0.74572132172799999"/>
    <n v="1"/>
    <n v="-115"/>
    <n v="690"/>
  </r>
  <r>
    <x v="31"/>
    <s v="conventional_turnover_acls_364"/>
    <x v="404"/>
    <n v="0.74352702105599999"/>
    <n v="1"/>
    <n v="-115"/>
    <n v="690"/>
  </r>
  <r>
    <x v="31"/>
    <s v="conventional_turnover_acls_365"/>
    <x v="405"/>
    <n v="0.74137129599999996"/>
    <n v="1"/>
    <n v="-115"/>
    <n v="690"/>
  </r>
  <r>
    <x v="31"/>
    <s v="conventional_turnover_acls_366"/>
    <x v="406"/>
    <n v="0.73925684790400004"/>
    <n v="1"/>
    <n v="-115"/>
    <n v="690"/>
  </r>
  <r>
    <x v="31"/>
    <s v="conventional_turnover_acls_367"/>
    <x v="407"/>
    <n v="0.73718637811200005"/>
    <n v="1"/>
    <n v="-115"/>
    <n v="690"/>
  </r>
  <r>
    <x v="31"/>
    <s v="conventional_turnover_acls_368"/>
    <x v="408"/>
    <n v="0.73516258796800005"/>
    <n v="1"/>
    <n v="-115"/>
    <n v="690"/>
  </r>
  <r>
    <x v="31"/>
    <s v="conventional_turnover_acls_369"/>
    <x v="409"/>
    <n v="0.73318817881599996"/>
    <n v="1"/>
    <n v="-115"/>
    <n v="690"/>
  </r>
  <r>
    <x v="31"/>
    <s v="conventional_turnover_acls_370"/>
    <x v="410"/>
    <n v="0.73126585200000005"/>
    <n v="1"/>
    <n v="-115"/>
    <n v="690"/>
  </r>
  <r>
    <x v="31"/>
    <s v="conventional_turnover_acls_371"/>
    <x v="411"/>
    <n v="0.72939830886400003"/>
    <n v="1"/>
    <n v="-115"/>
    <n v="690"/>
  </r>
  <r>
    <x v="31"/>
    <s v="conventional_turnover_acls_372"/>
    <x v="412"/>
    <n v="0.72758825075199995"/>
    <n v="1"/>
    <n v="-115"/>
    <n v="690"/>
  </r>
  <r>
    <x v="31"/>
    <s v="conventional_turnover_acls_373"/>
    <x v="413"/>
    <n v="0.72583837900799997"/>
    <n v="1"/>
    <n v="-115"/>
    <n v="690"/>
  </r>
  <r>
    <x v="31"/>
    <s v="conventional_turnover_acls_374"/>
    <x v="414"/>
    <n v="0.72415139497600001"/>
    <n v="1"/>
    <n v="-115"/>
    <n v="690"/>
  </r>
  <r>
    <x v="31"/>
    <s v="conventional_turnover_acls_375"/>
    <x v="415"/>
    <n v="0.72253000000000001"/>
    <n v="1"/>
    <n v="-115"/>
    <n v="690"/>
  </r>
  <r>
    <x v="31"/>
    <s v="conventional_turnover_acls_376"/>
    <x v="416"/>
    <n v="0.72095773752888903"/>
    <n v="1"/>
    <n v="-115"/>
    <n v="690"/>
  </r>
  <r>
    <x v="31"/>
    <s v="conventional_turnover_acls_377"/>
    <x v="417"/>
    <n v="0.719415934897778"/>
    <n v="1"/>
    <n v="-115"/>
    <n v="690"/>
  </r>
  <r>
    <x v="31"/>
    <s v="conventional_turnover_acls_378"/>
    <x v="418"/>
    <n v="0.71790396928"/>
    <n v="1"/>
    <n v="-115"/>
    <n v="690"/>
  </r>
  <r>
    <x v="31"/>
    <s v="conventional_turnover_acls_379"/>
    <x v="419"/>
    <n v="0.71642121784888901"/>
    <n v="1"/>
    <n v="-115"/>
    <n v="690"/>
  </r>
  <r>
    <x v="31"/>
    <s v="conventional_turnover_acls_380"/>
    <x v="420"/>
    <n v="0.71496705777777803"/>
    <n v="1"/>
    <n v="-115"/>
    <n v="690"/>
  </r>
  <r>
    <x v="31"/>
    <s v="conventional_turnover_acls_381"/>
    <x v="421"/>
    <n v="0.71354086624000002"/>
    <n v="1"/>
    <n v="-115"/>
    <n v="690"/>
  </r>
  <r>
    <x v="31"/>
    <s v="conventional_turnover_acls_382"/>
    <x v="422"/>
    <n v="0.71214202040888896"/>
    <n v="1"/>
    <n v="-115"/>
    <n v="690"/>
  </r>
  <r>
    <x v="31"/>
    <s v="conventional_turnover_acls_383"/>
    <x v="423"/>
    <n v="0.71076989745777797"/>
    <n v="1"/>
    <n v="-115"/>
    <n v="690"/>
  </r>
  <r>
    <x v="31"/>
    <s v="conventional_turnover_acls_384"/>
    <x v="424"/>
    <n v="0.70942387456"/>
    <n v="1"/>
    <n v="-115"/>
    <n v="690"/>
  </r>
  <r>
    <x v="31"/>
    <s v="conventional_turnover_acls_385"/>
    <x v="425"/>
    <n v="0.70810332888888905"/>
    <n v="1"/>
    <n v="-115"/>
    <n v="690"/>
  </r>
  <r>
    <x v="31"/>
    <s v="conventional_turnover_acls_386"/>
    <x v="426"/>
    <n v="0.70680763761777798"/>
    <n v="1"/>
    <n v="-115"/>
    <n v="690"/>
  </r>
  <r>
    <x v="31"/>
    <s v="conventional_turnover_acls_387"/>
    <x v="427"/>
    <n v="0.70553617792000001"/>
    <n v="1"/>
    <n v="-115"/>
    <n v="690"/>
  </r>
  <r>
    <x v="31"/>
    <s v="conventional_turnover_acls_388"/>
    <x v="428"/>
    <n v="0.70428832696888899"/>
    <n v="1"/>
    <n v="-115"/>
    <n v="690"/>
  </r>
  <r>
    <x v="31"/>
    <s v="conventional_turnover_acls_389"/>
    <x v="429"/>
    <n v="0.70306346193777802"/>
    <n v="1"/>
    <n v="-115"/>
    <n v="690"/>
  </r>
  <r>
    <x v="31"/>
    <s v="conventional_turnover_acls_390"/>
    <x v="430"/>
    <n v="0.70186095999999998"/>
    <n v="1"/>
    <n v="-115"/>
    <n v="690"/>
  </r>
  <r>
    <x v="31"/>
    <s v="conventional_turnover_acls_391"/>
    <x v="431"/>
    <n v="0.70068019832888895"/>
    <n v="1"/>
    <n v="-115"/>
    <n v="690"/>
  </r>
  <r>
    <x v="31"/>
    <s v="conventional_turnover_acls_392"/>
    <x v="432"/>
    <n v="0.69952055409777802"/>
    <n v="1"/>
    <n v="-115"/>
    <n v="690"/>
  </r>
  <r>
    <x v="31"/>
    <s v="conventional_turnover_acls_393"/>
    <x v="433"/>
    <n v="0.69838140447999997"/>
    <n v="1"/>
    <n v="-115"/>
    <n v="690"/>
  </r>
  <r>
    <x v="31"/>
    <s v="conventional_turnover_acls_394"/>
    <x v="434"/>
    <n v="0.69726212664888898"/>
    <n v="1"/>
    <n v="-115"/>
    <n v="690"/>
  </r>
  <r>
    <x v="31"/>
    <s v="conventional_turnover_acls_395"/>
    <x v="435"/>
    <n v="0.69616209777777804"/>
    <n v="1"/>
    <n v="-115"/>
    <n v="690"/>
  </r>
  <r>
    <x v="31"/>
    <s v="conventional_turnover_acls_396"/>
    <x v="436"/>
    <n v="0.69508069504000003"/>
    <n v="1"/>
    <n v="-115"/>
    <n v="690"/>
  </r>
  <r>
    <x v="31"/>
    <s v="conventional_turnover_acls_397"/>
    <x v="437"/>
    <n v="0.69401729560888903"/>
    <n v="1"/>
    <n v="-115"/>
    <n v="690"/>
  </r>
  <r>
    <x v="31"/>
    <s v="conventional_turnover_acls_398"/>
    <x v="438"/>
    <n v="0.69297127665777802"/>
    <n v="1"/>
    <n v="-115"/>
    <n v="690"/>
  </r>
  <r>
    <x v="31"/>
    <s v="conventional_turnover_acls_399"/>
    <x v="439"/>
    <n v="0.69194201536"/>
    <n v="1"/>
    <n v="-115"/>
    <n v="690"/>
  </r>
  <r>
    <x v="31"/>
    <s v="conventional_turnover_acls_400"/>
    <x v="440"/>
    <n v="0.69092888888888904"/>
    <n v="1"/>
    <n v="-115"/>
    <n v="690"/>
  </r>
  <r>
    <x v="31"/>
    <s v="conventional_turnover_acls_401"/>
    <x v="441"/>
    <n v="0.68993127441777802"/>
    <n v="1"/>
    <n v="-115"/>
    <n v="690"/>
  </r>
  <r>
    <x v="31"/>
    <s v="conventional_turnover_acls_402"/>
    <x v="442"/>
    <n v="0.68894854912000003"/>
    <n v="1"/>
    <n v="-115"/>
    <n v="690"/>
  </r>
  <r>
    <x v="31"/>
    <s v="conventional_turnover_acls_403"/>
    <x v="443"/>
    <n v="0.68798009016888895"/>
    <n v="1"/>
    <n v="-115"/>
    <n v="690"/>
  </r>
  <r>
    <x v="31"/>
    <s v="conventional_turnover_acls_404"/>
    <x v="444"/>
    <n v="0.68702527473777797"/>
    <n v="1"/>
    <n v="-115"/>
    <n v="690"/>
  </r>
  <r>
    <x v="31"/>
    <s v="conventional_turnover_acls_405"/>
    <x v="445"/>
    <n v="0.68608347999999997"/>
    <n v="1"/>
    <n v="-115"/>
    <n v="690"/>
  </r>
  <r>
    <x v="31"/>
    <s v="conventional_turnover_acls_406"/>
    <x v="446"/>
    <n v="0.68515408312888904"/>
    <n v="1"/>
    <n v="-115"/>
    <n v="690"/>
  </r>
  <r>
    <x v="31"/>
    <s v="conventional_turnover_acls_407"/>
    <x v="447"/>
    <n v="0.68423646129777804"/>
    <n v="1"/>
    <n v="-115"/>
    <n v="690"/>
  </r>
  <r>
    <x v="31"/>
    <s v="conventional_turnover_acls_408"/>
    <x v="448"/>
    <n v="0.68332999167999997"/>
    <n v="1"/>
    <n v="-115"/>
    <n v="690"/>
  </r>
  <r>
    <x v="31"/>
    <s v="conventional_turnover_acls_409"/>
    <x v="449"/>
    <n v="0.68243405144888902"/>
    <n v="1"/>
    <n v="-115"/>
    <n v="690"/>
  </r>
  <r>
    <x v="31"/>
    <s v="conventional_turnover_acls_410"/>
    <x v="450"/>
    <n v="0.68154801777777796"/>
    <n v="1"/>
    <n v="-115"/>
    <n v="690"/>
  </r>
  <r>
    <x v="31"/>
    <s v="conventional_turnover_acls_411"/>
    <x v="451"/>
    <n v="0.68067126783999998"/>
    <n v="1"/>
    <n v="-115"/>
    <n v="690"/>
  </r>
  <r>
    <x v="31"/>
    <s v="conventional_turnover_acls_412"/>
    <x v="452"/>
    <n v="0.67980317880888896"/>
    <n v="1"/>
    <n v="-115"/>
    <n v="690"/>
  </r>
  <r>
    <x v="31"/>
    <s v="conventional_turnover_acls_413"/>
    <x v="453"/>
    <n v="0.67894312785777799"/>
    <n v="1"/>
    <n v="-115"/>
    <n v="690"/>
  </r>
  <r>
    <x v="31"/>
    <s v="conventional_turnover_acls_414"/>
    <x v="454"/>
    <n v="0.67809049215999995"/>
    <n v="1"/>
    <n v="-115"/>
    <n v="690"/>
  </r>
  <r>
    <x v="31"/>
    <s v="conventional_turnover_acls_415"/>
    <x v="455"/>
    <n v="0.67724464888888902"/>
    <n v="1"/>
    <n v="-115"/>
    <n v="690"/>
  </r>
  <r>
    <x v="31"/>
    <s v="conventional_turnover_acls_416"/>
    <x v="456"/>
    <n v="0.67640497521777798"/>
    <n v="1"/>
    <n v="-115"/>
    <n v="690"/>
  </r>
  <r>
    <x v="31"/>
    <s v="conventional_turnover_acls_417"/>
    <x v="457"/>
    <n v="0.67557084832000003"/>
    <n v="1"/>
    <n v="-115"/>
    <n v="690"/>
  </r>
  <r>
    <x v="31"/>
    <s v="conventional_turnover_acls_418"/>
    <x v="458"/>
    <n v="0.67474164536888903"/>
    <n v="1"/>
    <n v="-115"/>
    <n v="690"/>
  </r>
  <r>
    <x v="31"/>
    <s v="conventional_turnover_acls_419"/>
    <x v="459"/>
    <n v="0.67391674353777797"/>
    <n v="1"/>
    <n v="-115"/>
    <n v="690"/>
  </r>
  <r>
    <x v="31"/>
    <s v="conventional_turnover_acls_420"/>
    <x v="460"/>
    <n v="0.67309551999999995"/>
    <n v="1"/>
    <n v="-115"/>
    <n v="690"/>
  </r>
  <r>
    <x v="31"/>
    <s v="conventional_turnover_acls_421"/>
    <x v="461"/>
    <n v="0.67227735192888904"/>
    <n v="1"/>
    <n v="-115"/>
    <n v="690"/>
  </r>
  <r>
    <x v="31"/>
    <s v="conventional_turnover_acls_422"/>
    <x v="462"/>
    <n v="0.67146161649777802"/>
    <n v="1"/>
    <n v="-115"/>
    <n v="690"/>
  </r>
  <r>
    <x v="31"/>
    <s v="conventional_turnover_acls_423"/>
    <x v="463"/>
    <n v="0.67064769087999998"/>
    <n v="1"/>
    <n v="-115"/>
    <n v="690"/>
  </r>
  <r>
    <x v="31"/>
    <s v="conventional_turnover_acls_424"/>
    <x v="464"/>
    <n v="0.669834952248889"/>
    <n v="1"/>
    <n v="-115"/>
    <n v="690"/>
  </r>
  <r>
    <x v="31"/>
    <s v="conventional_turnover_acls_425"/>
    <x v="465"/>
    <n v="0.66902277777777797"/>
    <n v="1"/>
    <n v="-115"/>
    <n v="690"/>
  </r>
  <r>
    <x v="31"/>
    <s v="conventional_turnover_acls_426"/>
    <x v="466"/>
    <n v="0.66821054463999996"/>
    <n v="1"/>
    <n v="-115"/>
    <n v="690"/>
  </r>
  <r>
    <x v="31"/>
    <s v="conventional_turnover_acls_427"/>
    <x v="467"/>
    <n v="0.66739763000888896"/>
    <n v="1"/>
    <n v="-115"/>
    <n v="690"/>
  </r>
  <r>
    <x v="31"/>
    <s v="conventional_turnover_acls_428"/>
    <x v="468"/>
    <n v="0.66658341105777796"/>
    <n v="1"/>
    <n v="-115"/>
    <n v="690"/>
  </r>
  <r>
    <x v="31"/>
    <s v="conventional_turnover_acls_429"/>
    <x v="469"/>
    <n v="0.66576726496000005"/>
    <n v="1"/>
    <n v="-115"/>
    <n v="690"/>
  </r>
  <r>
    <x v="31"/>
    <s v="conventional_turnover_acls_430"/>
    <x v="470"/>
    <n v="0.66494856888888898"/>
    <n v="1"/>
    <n v="-115"/>
    <n v="690"/>
  </r>
  <r>
    <x v="31"/>
    <s v="conventional_turnover_acls_431"/>
    <x v="471"/>
    <n v="0.66412670001777796"/>
    <n v="1"/>
    <n v="-115"/>
    <n v="690"/>
  </r>
  <r>
    <x v="31"/>
    <s v="conventional_turnover_acls_432"/>
    <x v="472"/>
    <n v="0.66330103551999997"/>
    <n v="1"/>
    <n v="-115"/>
    <n v="690"/>
  </r>
  <r>
    <x v="31"/>
    <s v="conventional_turnover_acls_433"/>
    <x v="473"/>
    <n v="0.66247095256888899"/>
    <n v="1"/>
    <n v="-115"/>
    <n v="690"/>
  </r>
  <r>
    <x v="31"/>
    <s v="conventional_turnover_acls_434"/>
    <x v="474"/>
    <n v="0.66163582833777801"/>
    <n v="1"/>
    <n v="-115"/>
    <n v="690"/>
  </r>
  <r>
    <x v="31"/>
    <s v="conventional_turnover_acls_435"/>
    <x v="475"/>
    <n v="0.66079504"/>
    <n v="1"/>
    <n v="-115"/>
    <n v="690"/>
  </r>
  <r>
    <x v="31"/>
    <s v="conventional_turnover_acls_436"/>
    <x v="476"/>
    <n v="0.65994796472888895"/>
    <n v="1"/>
    <n v="-115"/>
    <n v="690"/>
  </r>
  <r>
    <x v="31"/>
    <s v="conventional_turnover_acls_437"/>
    <x v="477"/>
    <n v="0.65909397969777805"/>
    <n v="1"/>
    <n v="-115"/>
    <n v="690"/>
  </r>
  <r>
    <x v="31"/>
    <s v="conventional_turnover_acls_438"/>
    <x v="478"/>
    <n v="0.65823246207999997"/>
    <n v="1"/>
    <n v="-115"/>
    <n v="690"/>
  </r>
  <r>
    <x v="31"/>
    <s v="conventional_turnover_acls_439"/>
    <x v="479"/>
    <n v="0.65736278904888901"/>
    <n v="1"/>
    <n v="-115"/>
    <n v="690"/>
  </r>
  <r>
    <x v="31"/>
    <s v="conventional_turnover_acls_440"/>
    <x v="480"/>
    <n v="0.65648433777777804"/>
    <n v="1"/>
    <n v="-115"/>
    <n v="690"/>
  </r>
  <r>
    <x v="31"/>
    <s v="conventional_turnover_acls_441"/>
    <x v="481"/>
    <n v="0.65559648544000004"/>
    <n v="1"/>
    <n v="-115"/>
    <n v="690"/>
  </r>
  <r>
    <x v="31"/>
    <s v="conventional_turnover_acls_442"/>
    <x v="482"/>
    <n v="0.654698609208889"/>
    <n v="1"/>
    <n v="-115"/>
    <n v="690"/>
  </r>
  <r>
    <x v="31"/>
    <s v="conventional_turnover_acls_443"/>
    <x v="483"/>
    <n v="0.65379008625777801"/>
    <n v="1"/>
    <n v="-115"/>
    <n v="690"/>
  </r>
  <r>
    <x v="31"/>
    <s v="conventional_turnover_acls_444"/>
    <x v="484"/>
    <n v="0.65287029376000005"/>
    <n v="1"/>
    <n v="-115"/>
    <n v="690"/>
  </r>
  <r>
    <x v="31"/>
    <s v="conventional_turnover_acls_445"/>
    <x v="485"/>
    <n v="0.65193860888888899"/>
    <n v="1"/>
    <n v="-115"/>
    <n v="690"/>
  </r>
  <r>
    <x v="31"/>
    <s v="conventional_turnover_acls_446"/>
    <x v="486"/>
    <n v="0.65099440881777804"/>
    <n v="1"/>
    <n v="-115"/>
    <n v="690"/>
  </r>
  <r>
    <x v="31"/>
    <s v="conventional_turnover_acls_447"/>
    <x v="487"/>
    <n v="0.65003707072000005"/>
    <n v="1"/>
    <n v="-115"/>
    <n v="690"/>
  </r>
  <r>
    <x v="31"/>
    <s v="conventional_turnover_acls_448"/>
    <x v="488"/>
    <n v="0.64906597176888903"/>
    <n v="1"/>
    <n v="-115"/>
    <n v="690"/>
  </r>
  <r>
    <x v="31"/>
    <s v="conventional_turnover_acls_449"/>
    <x v="489"/>
    <n v="0.64808048913777805"/>
    <n v="1"/>
    <n v="-115"/>
    <n v="690"/>
  </r>
  <r>
    <x v="31"/>
    <s v="conventional_turnover_acls_450"/>
    <x v="490"/>
    <n v="0.64707999999999999"/>
    <n v="1"/>
    <n v="-115"/>
    <n v="690"/>
  </r>
  <r>
    <x v="31"/>
    <s v="conventional_turnover_acls_451"/>
    <x v="491"/>
    <n v="0.64605673600000002"/>
    <n v="1"/>
    <n v="-115"/>
    <n v="690"/>
  </r>
  <r>
    <x v="31"/>
    <s v="conventional_turnover_acls_452"/>
    <x v="492"/>
    <n v="0.64500584000000005"/>
    <n v="1"/>
    <n v="-115"/>
    <n v="690"/>
  </r>
  <r>
    <x v="31"/>
    <s v="conventional_turnover_acls_453"/>
    <x v="493"/>
    <n v="0.643931056"/>
    <n v="1"/>
    <n v="-115"/>
    <n v="690"/>
  </r>
  <r>
    <x v="31"/>
    <s v="conventional_turnover_acls_454"/>
    <x v="494"/>
    <n v="0.64283612800000001"/>
    <n v="1"/>
    <n v="-115"/>
    <n v="690"/>
  </r>
  <r>
    <x v="31"/>
    <s v="conventional_turnover_acls_455"/>
    <x v="495"/>
    <n v="0.64172479999999998"/>
    <n v="1"/>
    <n v="-115"/>
    <n v="690"/>
  </r>
  <r>
    <x v="31"/>
    <s v="conventional_turnover_acls_456"/>
    <x v="496"/>
    <n v="0.64060081599999996"/>
    <n v="1"/>
    <n v="-115"/>
    <n v="690"/>
  </r>
  <r>
    <x v="31"/>
    <s v="conventional_turnover_acls_457"/>
    <x v="497"/>
    <n v="0.63946791999999997"/>
    <n v="1"/>
    <n v="-115"/>
    <n v="690"/>
  </r>
  <r>
    <x v="31"/>
    <s v="conventional_turnover_acls_458"/>
    <x v="498"/>
    <n v="0.63832985600000003"/>
    <n v="1"/>
    <n v="-115"/>
    <n v="690"/>
  </r>
  <r>
    <x v="31"/>
    <s v="conventional_turnover_acls_459"/>
    <x v="499"/>
    <n v="0.63719036799999995"/>
    <n v="1"/>
    <n v="-115"/>
    <n v="690"/>
  </r>
  <r>
    <x v="31"/>
    <s v="conventional_turnover_acls_460"/>
    <x v="500"/>
    <n v="0.63605319999999999"/>
    <n v="1"/>
    <n v="-115"/>
    <n v="690"/>
  </r>
  <r>
    <x v="31"/>
    <s v="conventional_turnover_acls_461"/>
    <x v="501"/>
    <n v="0.63492209600000005"/>
    <n v="1"/>
    <n v="-115"/>
    <n v="690"/>
  </r>
  <r>
    <x v="31"/>
    <s v="conventional_turnover_acls_462"/>
    <x v="502"/>
    <n v="0.63380080000000005"/>
    <n v="1"/>
    <n v="-115"/>
    <n v="690"/>
  </r>
  <r>
    <x v="31"/>
    <s v="conventional_turnover_acls_463"/>
    <x v="503"/>
    <n v="0.63269305600000003"/>
    <n v="1"/>
    <n v="-115"/>
    <n v="690"/>
  </r>
  <r>
    <x v="31"/>
    <s v="conventional_turnover_acls_464"/>
    <x v="504"/>
    <n v="0.63160260800000001"/>
    <n v="1"/>
    <n v="-115"/>
    <n v="690"/>
  </r>
  <r>
    <x v="31"/>
    <s v="conventional_turnover_acls_465"/>
    <x v="505"/>
    <n v="0.63053320000000002"/>
    <n v="1"/>
    <n v="-115"/>
    <n v="690"/>
  </r>
  <r>
    <x v="31"/>
    <s v="conventional_turnover_acls_466"/>
    <x v="506"/>
    <n v="0.62948857599999997"/>
    <n v="1"/>
    <n v="-115"/>
    <n v="690"/>
  </r>
  <r>
    <x v="31"/>
    <s v="conventional_turnover_acls_467"/>
    <x v="507"/>
    <n v="0.62847248"/>
    <n v="1"/>
    <n v="-115"/>
    <n v="690"/>
  </r>
  <r>
    <x v="31"/>
    <s v="conventional_turnover_acls_468"/>
    <x v="508"/>
    <n v="0.62748865600000003"/>
    <n v="1"/>
    <n v="-115"/>
    <n v="690"/>
  </r>
  <r>
    <x v="31"/>
    <s v="conventional_turnover_acls_469"/>
    <x v="509"/>
    <n v="0.62654084799999998"/>
    <n v="1"/>
    <n v="-115"/>
    <n v="690"/>
  </r>
  <r>
    <x v="31"/>
    <s v="conventional_turnover_acls_470"/>
    <x v="510"/>
    <n v="0.62563279999999999"/>
    <n v="1"/>
    <n v="-115"/>
    <n v="690"/>
  </r>
  <r>
    <x v="31"/>
    <s v="conventional_turnover_acls_471"/>
    <x v="511"/>
    <n v="0.62476825599999997"/>
    <n v="1"/>
    <n v="-115"/>
    <n v="690"/>
  </r>
  <r>
    <x v="31"/>
    <s v="conventional_turnover_acls_472"/>
    <x v="512"/>
    <n v="0.62395096000000005"/>
    <n v="1"/>
    <n v="-115"/>
    <n v="690"/>
  </r>
  <r>
    <x v="31"/>
    <s v="conventional_turnover_acls_473"/>
    <x v="513"/>
    <n v="0.62318465599999995"/>
    <n v="1"/>
    <n v="-115"/>
    <n v="690"/>
  </r>
  <r>
    <x v="31"/>
    <s v="conventional_turnover_acls_474"/>
    <x v="514"/>
    <n v="0.62247308800000001"/>
    <n v="1"/>
    <n v="-115"/>
    <n v="690"/>
  </r>
  <r>
    <x v="31"/>
    <s v="conventional_turnover_acls_475"/>
    <x v="515"/>
    <n v="0.62182000000000004"/>
    <n v="1"/>
    <n v="-115"/>
    <n v="690"/>
  </r>
  <r>
    <x v="31"/>
    <s v="conventional_turnover_acls_476"/>
    <x v="516"/>
    <n v="0.62120815480000002"/>
    <n v="1"/>
    <n v="-115"/>
    <n v="690"/>
  </r>
  <r>
    <x v="31"/>
    <s v="conventional_turnover_acls_477"/>
    <x v="517"/>
    <n v="0.62061757439999998"/>
    <n v="1"/>
    <n v="-115"/>
    <n v="690"/>
  </r>
  <r>
    <x v="31"/>
    <s v="conventional_turnover_acls_478"/>
    <x v="518"/>
    <n v="0.62004789159999996"/>
    <n v="1"/>
    <n v="-115"/>
    <n v="690"/>
  </r>
  <r>
    <x v="31"/>
    <s v="conventional_turnover_acls_479"/>
    <x v="519"/>
    <n v="0.61949873919999998"/>
    <n v="1"/>
    <n v="-115"/>
    <n v="690"/>
  </r>
  <r>
    <x v="31"/>
    <s v="conventional_turnover_acls_480"/>
    <x v="520"/>
    <n v="0.61896974999999999"/>
    <n v="1"/>
    <n v="-115"/>
    <n v="690"/>
  </r>
  <r>
    <x v="31"/>
    <s v="conventional_turnover_acls_481"/>
    <x v="521"/>
    <n v="0.61846055680000001"/>
    <n v="1"/>
    <n v="-115"/>
    <n v="690"/>
  </r>
  <r>
    <x v="31"/>
    <s v="conventional_turnover_acls_482"/>
    <x v="522"/>
    <n v="0.61797079239999997"/>
    <n v="1"/>
    <n v="-115"/>
    <n v="690"/>
  </r>
  <r>
    <x v="31"/>
    <s v="conventional_turnover_acls_483"/>
    <x v="523"/>
    <n v="0.61750008960000002"/>
    <n v="1"/>
    <n v="-115"/>
    <n v="690"/>
  </r>
  <r>
    <x v="31"/>
    <s v="conventional_turnover_acls_484"/>
    <x v="524"/>
    <n v="0.61704808119999999"/>
    <n v="1"/>
    <n v="-115"/>
    <n v="690"/>
  </r>
  <r>
    <x v="31"/>
    <s v="conventional_turnover_acls_485"/>
    <x v="525"/>
    <n v="0.61661440000000001"/>
    <n v="1"/>
    <n v="-115"/>
    <n v="690"/>
  </r>
  <r>
    <x v="31"/>
    <s v="conventional_turnover_acls_486"/>
    <x v="526"/>
    <n v="0.61619867880000001"/>
    <n v="1"/>
    <n v="-115"/>
    <n v="690"/>
  </r>
  <r>
    <x v="31"/>
    <s v="conventional_turnover_acls_487"/>
    <x v="527"/>
    <n v="0.61580055040000004"/>
    <n v="1"/>
    <n v="-115"/>
    <n v="690"/>
  </r>
  <r>
    <x v="31"/>
    <s v="conventional_turnover_acls_488"/>
    <x v="528"/>
    <n v="0.61541964760000001"/>
    <n v="1"/>
    <n v="-115"/>
    <n v="690"/>
  </r>
  <r>
    <x v="31"/>
    <s v="conventional_turnover_acls_489"/>
    <x v="529"/>
    <n v="0.61505560319999997"/>
    <n v="1"/>
    <n v="-115"/>
    <n v="690"/>
  </r>
  <r>
    <x v="31"/>
    <s v="conventional_turnover_acls_490"/>
    <x v="530"/>
    <n v="0.61470804999999995"/>
    <n v="1"/>
    <n v="-115"/>
    <n v="690"/>
  </r>
  <r>
    <x v="31"/>
    <s v="conventional_turnover_acls_491"/>
    <x v="531"/>
    <n v="0.6143766208"/>
    <n v="1"/>
    <n v="-115"/>
    <n v="690"/>
  </r>
  <r>
    <x v="31"/>
    <s v="conventional_turnover_acls_492"/>
    <x v="532"/>
    <n v="0.61406094840000003"/>
    <n v="1"/>
    <n v="-115"/>
    <n v="690"/>
  </r>
  <r>
    <x v="31"/>
    <s v="conventional_turnover_acls_493"/>
    <x v="533"/>
    <n v="0.61376066559999998"/>
    <n v="1"/>
    <n v="-115"/>
    <n v="690"/>
  </r>
  <r>
    <x v="31"/>
    <s v="conventional_turnover_acls_494"/>
    <x v="534"/>
    <n v="0.61347540519999999"/>
    <n v="1"/>
    <n v="-115"/>
    <n v="690"/>
  </r>
  <r>
    <x v="31"/>
    <s v="conventional_turnover_acls_495"/>
    <x v="535"/>
    <n v="0.61320479999999999"/>
    <n v="1"/>
    <n v="-115"/>
    <n v="690"/>
  </r>
  <r>
    <x v="31"/>
    <s v="conventional_turnover_acls_496"/>
    <x v="536"/>
    <n v="0.61294848280000003"/>
    <n v="1"/>
    <n v="-115"/>
    <n v="690"/>
  </r>
  <r>
    <x v="31"/>
    <s v="conventional_turnover_acls_497"/>
    <x v="537"/>
    <n v="0.61270608640000002"/>
    <n v="1"/>
    <n v="-115"/>
    <n v="690"/>
  </r>
  <r>
    <x v="31"/>
    <s v="conventional_turnover_acls_498"/>
    <x v="538"/>
    <n v="0.6124772436"/>
    <n v="1"/>
    <n v="-115"/>
    <n v="690"/>
  </r>
  <r>
    <x v="31"/>
    <s v="conventional_turnover_acls_499"/>
    <x v="539"/>
    <n v="0.61226158720000001"/>
    <n v="1"/>
    <n v="-115"/>
    <n v="690"/>
  </r>
  <r>
    <x v="31"/>
    <s v="conventional_turnover_acls_500"/>
    <x v="540"/>
    <n v="0.61205874999999998"/>
    <n v="1"/>
    <n v="-115"/>
    <n v="690"/>
  </r>
  <r>
    <x v="31"/>
    <s v="conventional_turnover_acls_501"/>
    <x v="541"/>
    <n v="0.61186836479999995"/>
    <n v="1"/>
    <n v="-115"/>
    <n v="690"/>
  </r>
  <r>
    <x v="31"/>
    <s v="conventional_turnover_acls_502"/>
    <x v="542"/>
    <n v="0.61169006439999996"/>
    <n v="1"/>
    <n v="-115"/>
    <n v="690"/>
  </r>
  <r>
    <x v="31"/>
    <s v="conventional_turnover_acls_503"/>
    <x v="543"/>
    <n v="0.61152348160000003"/>
    <n v="1"/>
    <n v="-115"/>
    <n v="690"/>
  </r>
  <r>
    <x v="31"/>
    <s v="conventional_turnover_acls_504"/>
    <x v="544"/>
    <n v="0.61136824919999999"/>
    <n v="1"/>
    <n v="-115"/>
    <n v="690"/>
  </r>
  <r>
    <x v="31"/>
    <s v="conventional_turnover_acls_505"/>
    <x v="545"/>
    <n v="0.61122399999999999"/>
    <n v="1"/>
    <n v="-115"/>
    <n v="690"/>
  </r>
  <r>
    <x v="31"/>
    <s v="conventional_turnover_acls_506"/>
    <x v="546"/>
    <n v="0.61109036679999995"/>
    <n v="1"/>
    <n v="-115"/>
    <n v="690"/>
  </r>
  <r>
    <x v="31"/>
    <s v="conventional_turnover_acls_507"/>
    <x v="547"/>
    <n v="0.61096698240000002"/>
    <n v="1"/>
    <n v="-115"/>
    <n v="690"/>
  </r>
  <r>
    <x v="31"/>
    <s v="conventional_turnover_acls_508"/>
    <x v="548"/>
    <n v="0.61085347960000003"/>
    <n v="1"/>
    <n v="-115"/>
    <n v="690"/>
  </r>
  <r>
    <x v="31"/>
    <s v="conventional_turnover_acls_509"/>
    <x v="549"/>
    <n v="0.61074949119999999"/>
    <n v="1"/>
    <n v="-115"/>
    <n v="690"/>
  </r>
  <r>
    <x v="31"/>
    <s v="conventional_turnover_acls_510"/>
    <x v="550"/>
    <n v="0.61065464999999997"/>
    <n v="1"/>
    <n v="-115"/>
    <n v="690"/>
  </r>
  <r>
    <x v="31"/>
    <s v="conventional_turnover_acls_511"/>
    <x v="551"/>
    <n v="0.61056858879999998"/>
    <n v="1"/>
    <n v="-115"/>
    <n v="690"/>
  </r>
  <r>
    <x v="31"/>
    <s v="conventional_turnover_acls_512"/>
    <x v="552"/>
    <n v="0.61049094039999996"/>
    <n v="1"/>
    <n v="-115"/>
    <n v="690"/>
  </r>
  <r>
    <x v="31"/>
    <s v="conventional_turnover_acls_513"/>
    <x v="553"/>
    <n v="0.61042133759999995"/>
    <n v="1"/>
    <n v="-115"/>
    <n v="690"/>
  </r>
  <r>
    <x v="31"/>
    <s v="conventional_turnover_acls_514"/>
    <x v="554"/>
    <n v="0.61035941319999998"/>
    <n v="1"/>
    <n v="-115"/>
    <n v="690"/>
  </r>
  <r>
    <x v="31"/>
    <s v="conventional_turnover_acls_515"/>
    <x v="555"/>
    <n v="0.61030479999999998"/>
    <n v="1"/>
    <n v="-115"/>
    <n v="690"/>
  </r>
  <r>
    <x v="31"/>
    <s v="conventional_turnover_acls_516"/>
    <x v="556"/>
    <n v="0.61025713079999999"/>
    <n v="1"/>
    <n v="-115"/>
    <n v="690"/>
  </r>
  <r>
    <x v="31"/>
    <s v="conventional_turnover_acls_517"/>
    <x v="557"/>
    <n v="0.61021603840000005"/>
    <n v="1"/>
    <n v="-115"/>
    <n v="690"/>
  </r>
  <r>
    <x v="31"/>
    <s v="conventional_turnover_acls_518"/>
    <x v="558"/>
    <n v="0.61018115559999997"/>
    <n v="1"/>
    <n v="-115"/>
    <n v="690"/>
  </r>
  <r>
    <x v="31"/>
    <s v="conventional_turnover_acls_519"/>
    <x v="559"/>
    <n v="0.61015211520000001"/>
    <n v="1"/>
    <n v="-115"/>
    <n v="690"/>
  </r>
  <r>
    <x v="31"/>
    <s v="conventional_turnover_acls_520"/>
    <x v="560"/>
    <n v="0.61012854999999999"/>
    <n v="1"/>
    <n v="-115"/>
    <n v="690"/>
  </r>
  <r>
    <x v="31"/>
    <s v="conventional_turnover_acls_521"/>
    <x v="561"/>
    <n v="0.61011009279999995"/>
    <n v="1"/>
    <n v="-115"/>
    <n v="690"/>
  </r>
  <r>
    <x v="31"/>
    <s v="conventional_turnover_acls_522"/>
    <x v="562"/>
    <n v="0.61009637640000003"/>
    <n v="1"/>
    <n v="-115"/>
    <n v="690"/>
  </r>
  <r>
    <x v="31"/>
    <s v="conventional_turnover_acls_523"/>
    <x v="563"/>
    <n v="0.61008703360000005"/>
    <n v="1"/>
    <n v="-115"/>
    <n v="690"/>
  </r>
  <r>
    <x v="31"/>
    <s v="conventional_turnover_acls_524"/>
    <x v="564"/>
    <n v="0.61008169720000005"/>
    <n v="1"/>
    <n v="-115"/>
    <n v="690"/>
  </r>
  <r>
    <x v="31"/>
    <s v="conventional_turnover_acls_525"/>
    <x v="565"/>
    <n v="0.61007999999999996"/>
    <n v="1"/>
    <n v="-115"/>
    <n v="690"/>
  </r>
  <r>
    <x v="31"/>
    <s v="conventional_turnover_acls_526"/>
    <x v="566"/>
    <n v="0.61007999999999996"/>
    <n v="1"/>
    <n v="-115"/>
    <n v="690"/>
  </r>
  <r>
    <x v="31"/>
    <s v="conventional_turnover_acls_527"/>
    <x v="567"/>
    <n v="0.61007999999999996"/>
    <n v="1"/>
    <n v="-115"/>
    <n v="690"/>
  </r>
  <r>
    <x v="31"/>
    <s v="conventional_turnover_acls_528"/>
    <x v="568"/>
    <n v="0.61007999999999996"/>
    <n v="1"/>
    <n v="-115"/>
    <n v="690"/>
  </r>
  <r>
    <x v="31"/>
    <s v="conventional_turnover_acls_529"/>
    <x v="569"/>
    <n v="0.61007999999999996"/>
    <n v="1"/>
    <n v="-115"/>
    <n v="690"/>
  </r>
  <r>
    <x v="31"/>
    <s v="conventional_turnover_acls_530"/>
    <x v="570"/>
    <n v="0.61007999999999996"/>
    <n v="1"/>
    <n v="-115"/>
    <n v="690"/>
  </r>
  <r>
    <x v="31"/>
    <s v="conventional_turnover_acls_531"/>
    <x v="571"/>
    <n v="0.61007999999999996"/>
    <n v="1"/>
    <n v="-115"/>
    <n v="690"/>
  </r>
  <r>
    <x v="31"/>
    <s v="conventional_turnover_acls_532"/>
    <x v="572"/>
    <n v="0.61007999999999996"/>
    <n v="1"/>
    <n v="-115"/>
    <n v="690"/>
  </r>
  <r>
    <x v="31"/>
    <s v="conventional_turnover_acls_533"/>
    <x v="573"/>
    <n v="0.61007999999999996"/>
    <n v="1"/>
    <n v="-115"/>
    <n v="690"/>
  </r>
  <r>
    <x v="31"/>
    <s v="conventional_turnover_acls_534"/>
    <x v="574"/>
    <n v="0.61007999999999996"/>
    <n v="1"/>
    <n v="-115"/>
    <n v="690"/>
  </r>
  <r>
    <x v="31"/>
    <s v="conventional_turnover_acls_535"/>
    <x v="575"/>
    <n v="0.61007999999999996"/>
    <n v="1"/>
    <n v="-115"/>
    <n v="690"/>
  </r>
  <r>
    <x v="31"/>
    <s v="conventional_turnover_acls_536"/>
    <x v="576"/>
    <n v="0.61007999999999996"/>
    <n v="1"/>
    <n v="-115"/>
    <n v="690"/>
  </r>
  <r>
    <x v="31"/>
    <s v="conventional_turnover_acls_537"/>
    <x v="577"/>
    <n v="0.61007999999999996"/>
    <n v="1"/>
    <n v="-115"/>
    <n v="690"/>
  </r>
  <r>
    <x v="31"/>
    <s v="conventional_turnover_acls_538"/>
    <x v="578"/>
    <n v="0.61007999999999996"/>
    <n v="1"/>
    <n v="-115"/>
    <n v="690"/>
  </r>
  <r>
    <x v="31"/>
    <s v="conventional_turnover_acls_539"/>
    <x v="579"/>
    <n v="0.61007999999999996"/>
    <n v="1"/>
    <n v="-115"/>
    <n v="690"/>
  </r>
  <r>
    <x v="31"/>
    <s v="conventional_turnover_acls_540"/>
    <x v="580"/>
    <n v="0.61007999999999996"/>
    <n v="1"/>
    <n v="-115"/>
    <n v="690"/>
  </r>
  <r>
    <x v="31"/>
    <s v="conventional_turnover_acls_541"/>
    <x v="581"/>
    <n v="0.61007999999999996"/>
    <n v="1"/>
    <n v="-115"/>
    <n v="690"/>
  </r>
  <r>
    <x v="31"/>
    <s v="conventional_turnover_acls_542"/>
    <x v="582"/>
    <n v="0.61007999999999996"/>
    <n v="1"/>
    <n v="-115"/>
    <n v="690"/>
  </r>
  <r>
    <x v="31"/>
    <s v="conventional_turnover_acls_543"/>
    <x v="583"/>
    <n v="0.61007999999999996"/>
    <n v="1"/>
    <n v="-115"/>
    <n v="690"/>
  </r>
  <r>
    <x v="31"/>
    <s v="conventional_turnover_acls_544"/>
    <x v="584"/>
    <n v="0.61007999999999996"/>
    <n v="1"/>
    <n v="-115"/>
    <n v="690"/>
  </r>
  <r>
    <x v="31"/>
    <s v="conventional_turnover_acls_545"/>
    <x v="585"/>
    <n v="0.61007999999999996"/>
    <n v="1"/>
    <n v="-115"/>
    <n v="690"/>
  </r>
  <r>
    <x v="31"/>
    <s v="conventional_turnover_acls_546"/>
    <x v="586"/>
    <n v="0.61007999999999996"/>
    <n v="1"/>
    <n v="-115"/>
    <n v="690"/>
  </r>
  <r>
    <x v="31"/>
    <s v="conventional_turnover_acls_547"/>
    <x v="587"/>
    <n v="0.61007999999999996"/>
    <n v="1"/>
    <n v="-115"/>
    <n v="690"/>
  </r>
  <r>
    <x v="31"/>
    <s v="conventional_turnover_acls_548"/>
    <x v="588"/>
    <n v="0.61007999999999996"/>
    <n v="1"/>
    <n v="-115"/>
    <n v="690"/>
  </r>
  <r>
    <x v="31"/>
    <s v="conventional_turnover_acls_549"/>
    <x v="589"/>
    <n v="0.61007999999999996"/>
    <n v="1"/>
    <n v="-115"/>
    <n v="690"/>
  </r>
  <r>
    <x v="31"/>
    <s v="conventional_turnover_acls_550"/>
    <x v="590"/>
    <n v="0.61007999999999996"/>
    <n v="1"/>
    <n v="-115"/>
    <n v="690"/>
  </r>
  <r>
    <x v="31"/>
    <s v="conventional_turnover_acls_551"/>
    <x v="591"/>
    <n v="0.61007999999999996"/>
    <n v="1"/>
    <n v="-115"/>
    <n v="690"/>
  </r>
  <r>
    <x v="31"/>
    <s v="conventional_turnover_acls_552"/>
    <x v="592"/>
    <n v="0.61007999999999996"/>
    <n v="1"/>
    <n v="-115"/>
    <n v="690"/>
  </r>
  <r>
    <x v="31"/>
    <s v="conventional_turnover_acls_553"/>
    <x v="593"/>
    <n v="0.61007999999999996"/>
    <n v="1"/>
    <n v="-115"/>
    <n v="690"/>
  </r>
  <r>
    <x v="31"/>
    <s v="conventional_turnover_acls_554"/>
    <x v="594"/>
    <n v="0.61007999999999996"/>
    <n v="1"/>
    <n v="-115"/>
    <n v="690"/>
  </r>
  <r>
    <x v="31"/>
    <s v="conventional_turnover_acls_555"/>
    <x v="595"/>
    <n v="0.61007999999999996"/>
    <n v="1"/>
    <n v="-115"/>
    <n v="690"/>
  </r>
  <r>
    <x v="31"/>
    <s v="conventional_turnover_acls_556"/>
    <x v="596"/>
    <n v="0.61007999999999996"/>
    <n v="1"/>
    <n v="-115"/>
    <n v="690"/>
  </r>
  <r>
    <x v="31"/>
    <s v="conventional_turnover_acls_557"/>
    <x v="597"/>
    <n v="0.61007999999999996"/>
    <n v="1"/>
    <n v="-115"/>
    <n v="690"/>
  </r>
  <r>
    <x v="31"/>
    <s v="conventional_turnover_acls_558"/>
    <x v="598"/>
    <n v="0.61007999999999996"/>
    <n v="1"/>
    <n v="-115"/>
    <n v="690"/>
  </r>
  <r>
    <x v="31"/>
    <s v="conventional_turnover_acls_559"/>
    <x v="599"/>
    <n v="0.61007999999999996"/>
    <n v="1"/>
    <n v="-115"/>
    <n v="690"/>
  </r>
  <r>
    <x v="31"/>
    <s v="conventional_turnover_acls_560"/>
    <x v="600"/>
    <n v="0.61007999999999996"/>
    <n v="1"/>
    <n v="-115"/>
    <n v="690"/>
  </r>
  <r>
    <x v="31"/>
    <s v="conventional_turnover_acls_561"/>
    <x v="601"/>
    <n v="0.61007999999999996"/>
    <n v="1"/>
    <n v="-115"/>
    <n v="690"/>
  </r>
  <r>
    <x v="31"/>
    <s v="conventional_turnover_acls_562"/>
    <x v="602"/>
    <n v="0.61007999999999996"/>
    <n v="1"/>
    <n v="-115"/>
    <n v="690"/>
  </r>
  <r>
    <x v="31"/>
    <s v="conventional_turnover_acls_563"/>
    <x v="603"/>
    <n v="0.61007999999999996"/>
    <n v="1"/>
    <n v="-115"/>
    <n v="690"/>
  </r>
  <r>
    <x v="31"/>
    <s v="conventional_turnover_acls_564"/>
    <x v="604"/>
    <n v="0.61007999999999996"/>
    <n v="1"/>
    <n v="-115"/>
    <n v="690"/>
  </r>
  <r>
    <x v="31"/>
    <s v="conventional_turnover_acls_565"/>
    <x v="605"/>
    <n v="0.61007999999999996"/>
    <n v="1"/>
    <n v="-115"/>
    <n v="690"/>
  </r>
  <r>
    <x v="31"/>
    <s v="conventional_turnover_acls_566"/>
    <x v="606"/>
    <n v="0.61007999999999996"/>
    <n v="1"/>
    <n v="-115"/>
    <n v="690"/>
  </r>
  <r>
    <x v="31"/>
    <s v="conventional_turnover_acls_567"/>
    <x v="607"/>
    <n v="0.61007999999999996"/>
    <n v="1"/>
    <n v="-115"/>
    <n v="690"/>
  </r>
  <r>
    <x v="31"/>
    <s v="conventional_turnover_acls_568"/>
    <x v="608"/>
    <n v="0.61007999999999996"/>
    <n v="1"/>
    <n v="-115"/>
    <n v="690"/>
  </r>
  <r>
    <x v="31"/>
    <s v="conventional_turnover_acls_569"/>
    <x v="609"/>
    <n v="0.61007999999999996"/>
    <n v="1"/>
    <n v="-115"/>
    <n v="690"/>
  </r>
  <r>
    <x v="31"/>
    <s v="conventional_turnover_acls_570"/>
    <x v="610"/>
    <n v="0.61007999999999996"/>
    <n v="1"/>
    <n v="-115"/>
    <n v="690"/>
  </r>
  <r>
    <x v="31"/>
    <s v="conventional_turnover_acls_571"/>
    <x v="611"/>
    <n v="0.61007999999999996"/>
    <n v="1"/>
    <n v="-115"/>
    <n v="690"/>
  </r>
  <r>
    <x v="31"/>
    <s v="conventional_turnover_acls_572"/>
    <x v="612"/>
    <n v="0.61007999999999996"/>
    <n v="1"/>
    <n v="-115"/>
    <n v="690"/>
  </r>
  <r>
    <x v="31"/>
    <s v="conventional_turnover_acls_573"/>
    <x v="613"/>
    <n v="0.61007999999999996"/>
    <n v="1"/>
    <n v="-115"/>
    <n v="690"/>
  </r>
  <r>
    <x v="31"/>
    <s v="conventional_turnover_acls_574"/>
    <x v="614"/>
    <n v="0.61007999999999996"/>
    <n v="1"/>
    <n v="-115"/>
    <n v="690"/>
  </r>
  <r>
    <x v="31"/>
    <s v="conventional_turnover_acls_575"/>
    <x v="615"/>
    <n v="0.61007999999999996"/>
    <n v="1"/>
    <n v="-115"/>
    <n v="690"/>
  </r>
  <r>
    <x v="31"/>
    <s v="conventional_turnover_acls_576"/>
    <x v="616"/>
    <n v="0.61007999999999996"/>
    <n v="1"/>
    <n v="-115"/>
    <n v="690"/>
  </r>
  <r>
    <x v="31"/>
    <s v="conventional_turnover_acls_577"/>
    <x v="617"/>
    <n v="0.61007999999999996"/>
    <n v="1"/>
    <n v="-115"/>
    <n v="690"/>
  </r>
  <r>
    <x v="31"/>
    <s v="conventional_turnover_acls_578"/>
    <x v="618"/>
    <n v="0.61007999999999996"/>
    <n v="1"/>
    <n v="-115"/>
    <n v="690"/>
  </r>
  <r>
    <x v="31"/>
    <s v="conventional_turnover_acls_579"/>
    <x v="619"/>
    <n v="0.61007999999999996"/>
    <n v="1"/>
    <n v="-115"/>
    <n v="690"/>
  </r>
  <r>
    <x v="31"/>
    <s v="conventional_turnover_acls_580"/>
    <x v="620"/>
    <n v="0.61007999999999996"/>
    <n v="1"/>
    <n v="-115"/>
    <n v="690"/>
  </r>
  <r>
    <x v="31"/>
    <s v="conventional_turnover_acls_581"/>
    <x v="621"/>
    <n v="0.61007999999999996"/>
    <n v="1"/>
    <n v="-115"/>
    <n v="690"/>
  </r>
  <r>
    <x v="31"/>
    <s v="conventional_turnover_acls_582"/>
    <x v="622"/>
    <n v="0.61007999999999996"/>
    <n v="1"/>
    <n v="-115"/>
    <n v="690"/>
  </r>
  <r>
    <x v="31"/>
    <s v="conventional_turnover_acls_583"/>
    <x v="623"/>
    <n v="0.61007999999999996"/>
    <n v="1"/>
    <n v="-115"/>
    <n v="690"/>
  </r>
  <r>
    <x v="31"/>
    <s v="conventional_turnover_acls_584"/>
    <x v="624"/>
    <n v="0.61007999999999996"/>
    <n v="1"/>
    <n v="-115"/>
    <n v="690"/>
  </r>
  <r>
    <x v="31"/>
    <s v="conventional_turnover_acls_585"/>
    <x v="625"/>
    <n v="0.61007999999999996"/>
    <n v="1"/>
    <n v="-115"/>
    <n v="690"/>
  </r>
  <r>
    <x v="31"/>
    <s v="conventional_turnover_acls_586"/>
    <x v="626"/>
    <n v="0.61007999999999996"/>
    <n v="1"/>
    <n v="-115"/>
    <n v="690"/>
  </r>
  <r>
    <x v="31"/>
    <s v="conventional_turnover_acls_587"/>
    <x v="627"/>
    <n v="0.61007999999999996"/>
    <n v="1"/>
    <n v="-115"/>
    <n v="690"/>
  </r>
  <r>
    <x v="31"/>
    <s v="conventional_turnover_acls_588"/>
    <x v="628"/>
    <n v="0.61007999999999996"/>
    <n v="1"/>
    <n v="-115"/>
    <n v="690"/>
  </r>
  <r>
    <x v="31"/>
    <s v="conventional_turnover_acls_589"/>
    <x v="629"/>
    <n v="0.61007999999999996"/>
    <n v="1"/>
    <n v="-115"/>
    <n v="690"/>
  </r>
  <r>
    <x v="31"/>
    <s v="conventional_turnover_acls_590"/>
    <x v="630"/>
    <n v="0.61007999999999996"/>
    <n v="1"/>
    <n v="-115"/>
    <n v="690"/>
  </r>
  <r>
    <x v="31"/>
    <s v="conventional_turnover_acls_591"/>
    <x v="631"/>
    <n v="0.61007999999999996"/>
    <n v="1"/>
    <n v="-115"/>
    <n v="690"/>
  </r>
  <r>
    <x v="31"/>
    <s v="conventional_turnover_acls_592"/>
    <x v="632"/>
    <n v="0.61007999999999996"/>
    <n v="1"/>
    <n v="-115"/>
    <n v="690"/>
  </r>
  <r>
    <x v="31"/>
    <s v="conventional_turnover_acls_593"/>
    <x v="633"/>
    <n v="0.61007999999999996"/>
    <n v="1"/>
    <n v="-115"/>
    <n v="690"/>
  </r>
  <r>
    <x v="31"/>
    <s v="conventional_turnover_acls_594"/>
    <x v="634"/>
    <n v="0.61007999999999996"/>
    <n v="1"/>
    <n v="-115"/>
    <n v="690"/>
  </r>
  <r>
    <x v="31"/>
    <s v="conventional_turnover_acls_595"/>
    <x v="635"/>
    <n v="0.61007999999999996"/>
    <n v="1"/>
    <n v="-115"/>
    <n v="690"/>
  </r>
  <r>
    <x v="31"/>
    <s v="conventional_turnover_acls_596"/>
    <x v="636"/>
    <n v="0.61007999999999996"/>
    <n v="1"/>
    <n v="-115"/>
    <n v="690"/>
  </r>
  <r>
    <x v="31"/>
    <s v="conventional_turnover_acls_597"/>
    <x v="637"/>
    <n v="0.61007999999999996"/>
    <n v="1"/>
    <n v="-115"/>
    <n v="690"/>
  </r>
  <r>
    <x v="31"/>
    <s v="conventional_turnover_acls_598"/>
    <x v="638"/>
    <n v="0.61007999999999996"/>
    <n v="1"/>
    <n v="-115"/>
    <n v="690"/>
  </r>
  <r>
    <x v="31"/>
    <s v="conventional_turnover_acls_599"/>
    <x v="639"/>
    <n v="0.61007999999999996"/>
    <n v="1"/>
    <n v="-115"/>
    <n v="690"/>
  </r>
  <r>
    <x v="31"/>
    <s v="conventional_turnover_acls_600"/>
    <x v="640"/>
    <n v="0.61007999999999996"/>
    <n v="1"/>
    <n v="-115"/>
    <n v="690"/>
  </r>
  <r>
    <x v="31"/>
    <s v="conventional_turnover_acls_601"/>
    <x v="641"/>
    <n v="0.61007999999999996"/>
    <n v="1"/>
    <n v="-115"/>
    <n v="690"/>
  </r>
  <r>
    <x v="31"/>
    <s v="conventional_turnover_acls_602"/>
    <x v="642"/>
    <n v="0.61007999999999996"/>
    <n v="1"/>
    <n v="-115"/>
    <n v="690"/>
  </r>
  <r>
    <x v="31"/>
    <s v="conventional_turnover_acls_603"/>
    <x v="643"/>
    <n v="0.61007999999999996"/>
    <n v="1"/>
    <n v="-115"/>
    <n v="690"/>
  </r>
  <r>
    <x v="31"/>
    <s v="conventional_turnover_acls_604"/>
    <x v="644"/>
    <n v="0.61007999999999996"/>
    <n v="1"/>
    <n v="-115"/>
    <n v="690"/>
  </r>
  <r>
    <x v="31"/>
    <s v="conventional_turnover_acls_605"/>
    <x v="645"/>
    <n v="0.61007999999999996"/>
    <n v="1"/>
    <n v="-115"/>
    <n v="690"/>
  </r>
  <r>
    <x v="31"/>
    <s v="conventional_turnover_acls_606"/>
    <x v="646"/>
    <n v="0.61007999999999996"/>
    <n v="1"/>
    <n v="-115"/>
    <n v="690"/>
  </r>
  <r>
    <x v="31"/>
    <s v="conventional_turnover_acls_607"/>
    <x v="647"/>
    <n v="0.61007999999999996"/>
    <n v="1"/>
    <n v="-115"/>
    <n v="690"/>
  </r>
  <r>
    <x v="31"/>
    <s v="conventional_turnover_acls_608"/>
    <x v="648"/>
    <n v="0.61007999999999996"/>
    <n v="1"/>
    <n v="-115"/>
    <n v="690"/>
  </r>
  <r>
    <x v="31"/>
    <s v="conventional_turnover_acls_609"/>
    <x v="649"/>
    <n v="0.61007999999999996"/>
    <n v="1"/>
    <n v="-115"/>
    <n v="690"/>
  </r>
  <r>
    <x v="31"/>
    <s v="conventional_turnover_acls_610"/>
    <x v="650"/>
    <n v="0.61007999999999996"/>
    <n v="1"/>
    <n v="-115"/>
    <n v="690"/>
  </r>
  <r>
    <x v="31"/>
    <s v="conventional_turnover_acls_611"/>
    <x v="651"/>
    <n v="0.61007999999999996"/>
    <n v="1"/>
    <n v="-115"/>
    <n v="690"/>
  </r>
  <r>
    <x v="31"/>
    <s v="conventional_turnover_acls_612"/>
    <x v="652"/>
    <n v="0.61007999999999996"/>
    <n v="1"/>
    <n v="-115"/>
    <n v="690"/>
  </r>
  <r>
    <x v="31"/>
    <s v="conventional_turnover_acls_613"/>
    <x v="653"/>
    <n v="0.61007999999999996"/>
    <n v="1"/>
    <n v="-115"/>
    <n v="690"/>
  </r>
  <r>
    <x v="31"/>
    <s v="conventional_turnover_acls_614"/>
    <x v="654"/>
    <n v="0.61007999999999996"/>
    <n v="1"/>
    <n v="-115"/>
    <n v="690"/>
  </r>
  <r>
    <x v="31"/>
    <s v="conventional_turnover_acls_615"/>
    <x v="655"/>
    <n v="0.61007999999999996"/>
    <n v="1"/>
    <n v="-115"/>
    <n v="690"/>
  </r>
  <r>
    <x v="31"/>
    <s v="conventional_turnover_acls_616"/>
    <x v="656"/>
    <n v="0.61007999999999996"/>
    <n v="1"/>
    <n v="-115"/>
    <n v="690"/>
  </r>
  <r>
    <x v="31"/>
    <s v="conventional_turnover_acls_617"/>
    <x v="657"/>
    <n v="0.61007999999999996"/>
    <n v="1"/>
    <n v="-115"/>
    <n v="690"/>
  </r>
  <r>
    <x v="31"/>
    <s v="conventional_turnover_acls_618"/>
    <x v="658"/>
    <n v="0.61007999999999996"/>
    <n v="1"/>
    <n v="-115"/>
    <n v="690"/>
  </r>
  <r>
    <x v="31"/>
    <s v="conventional_turnover_acls_619"/>
    <x v="659"/>
    <n v="0.61007999999999996"/>
    <n v="1"/>
    <n v="-115"/>
    <n v="690"/>
  </r>
  <r>
    <x v="31"/>
    <s v="conventional_turnover_acls_620"/>
    <x v="660"/>
    <n v="0.61007999999999996"/>
    <n v="1"/>
    <n v="-115"/>
    <n v="690"/>
  </r>
  <r>
    <x v="31"/>
    <s v="conventional_turnover_acls_621"/>
    <x v="661"/>
    <n v="0.61007999999999996"/>
    <n v="1"/>
    <n v="-115"/>
    <n v="690"/>
  </r>
  <r>
    <x v="31"/>
    <s v="conventional_turnover_acls_622"/>
    <x v="662"/>
    <n v="0.61007999999999996"/>
    <n v="1"/>
    <n v="-115"/>
    <n v="690"/>
  </r>
  <r>
    <x v="31"/>
    <s v="conventional_turnover_acls_623"/>
    <x v="663"/>
    <n v="0.61007999999999996"/>
    <n v="1"/>
    <n v="-115"/>
    <n v="690"/>
  </r>
  <r>
    <x v="31"/>
    <s v="conventional_turnover_acls_624"/>
    <x v="664"/>
    <n v="0.61007999999999996"/>
    <n v="1"/>
    <n v="-115"/>
    <n v="690"/>
  </r>
  <r>
    <x v="31"/>
    <s v="conventional_turnover_acls_625"/>
    <x v="665"/>
    <n v="0.61007999999999996"/>
    <n v="1"/>
    <n v="-115"/>
    <n v="690"/>
  </r>
  <r>
    <x v="31"/>
    <s v="conventional_turnover_acls_626"/>
    <x v="666"/>
    <n v="0.61007999999999996"/>
    <n v="1"/>
    <n v="-115"/>
    <n v="690"/>
  </r>
  <r>
    <x v="31"/>
    <s v="conventional_turnover_acls_627"/>
    <x v="667"/>
    <n v="0.61007999999999996"/>
    <n v="1"/>
    <n v="-115"/>
    <n v="690"/>
  </r>
  <r>
    <x v="31"/>
    <s v="conventional_turnover_acls_628"/>
    <x v="668"/>
    <n v="0.61007999999999996"/>
    <n v="1"/>
    <n v="-115"/>
    <n v="690"/>
  </r>
  <r>
    <x v="31"/>
    <s v="conventional_turnover_acls_629"/>
    <x v="669"/>
    <n v="0.61007999999999996"/>
    <n v="1"/>
    <n v="-115"/>
    <n v="690"/>
  </r>
  <r>
    <x v="31"/>
    <s v="conventional_turnover_acls_630"/>
    <x v="670"/>
    <n v="0.61007999999999996"/>
    <n v="1"/>
    <n v="-115"/>
    <n v="690"/>
  </r>
  <r>
    <x v="31"/>
    <s v="conventional_turnover_acls_631"/>
    <x v="671"/>
    <n v="0.61007999999999996"/>
    <n v="1"/>
    <n v="-115"/>
    <n v="690"/>
  </r>
  <r>
    <x v="31"/>
    <s v="conventional_turnover_acls_632"/>
    <x v="672"/>
    <n v="0.61007999999999996"/>
    <n v="1"/>
    <n v="-115"/>
    <n v="690"/>
  </r>
  <r>
    <x v="31"/>
    <s v="conventional_turnover_acls_633"/>
    <x v="673"/>
    <n v="0.61007999999999996"/>
    <n v="1"/>
    <n v="-115"/>
    <n v="690"/>
  </r>
  <r>
    <x v="31"/>
    <s v="conventional_turnover_acls_634"/>
    <x v="674"/>
    <n v="0.61007999999999996"/>
    <n v="1"/>
    <n v="-115"/>
    <n v="690"/>
  </r>
  <r>
    <x v="31"/>
    <s v="conventional_turnover_acls_635"/>
    <x v="675"/>
    <n v="0.61007999999999996"/>
    <n v="1"/>
    <n v="-115"/>
    <n v="690"/>
  </r>
  <r>
    <x v="31"/>
    <s v="conventional_turnover_acls_636"/>
    <x v="676"/>
    <n v="0.61007999999999996"/>
    <n v="1"/>
    <n v="-115"/>
    <n v="690"/>
  </r>
  <r>
    <x v="31"/>
    <s v="conventional_turnover_acls_637"/>
    <x v="677"/>
    <n v="0.61007999999999996"/>
    <n v="1"/>
    <n v="-115"/>
    <n v="690"/>
  </r>
  <r>
    <x v="31"/>
    <s v="conventional_turnover_acls_638"/>
    <x v="678"/>
    <n v="0.61007999999999996"/>
    <n v="1"/>
    <n v="-115"/>
    <n v="690"/>
  </r>
  <r>
    <x v="31"/>
    <s v="conventional_turnover_acls_639"/>
    <x v="679"/>
    <n v="0.61007999999999996"/>
    <n v="1"/>
    <n v="-115"/>
    <n v="690"/>
  </r>
  <r>
    <x v="31"/>
    <s v="conventional_turnover_acls_640"/>
    <x v="680"/>
    <n v="0.61007999999999996"/>
    <n v="1"/>
    <n v="-115"/>
    <n v="690"/>
  </r>
  <r>
    <x v="31"/>
    <s v="conventional_turnover_acls_641"/>
    <x v="681"/>
    <n v="0.61007999999999996"/>
    <n v="1"/>
    <n v="-115"/>
    <n v="690"/>
  </r>
  <r>
    <x v="31"/>
    <s v="conventional_turnover_acls_642"/>
    <x v="682"/>
    <n v="0.61007999999999996"/>
    <n v="1"/>
    <n v="-115"/>
    <n v="690"/>
  </r>
  <r>
    <x v="31"/>
    <s v="conventional_turnover_acls_643"/>
    <x v="683"/>
    <n v="0.61007999999999996"/>
    <n v="1"/>
    <n v="-115"/>
    <n v="690"/>
  </r>
  <r>
    <x v="31"/>
    <s v="conventional_turnover_acls_644"/>
    <x v="684"/>
    <n v="0.61007999999999996"/>
    <n v="1"/>
    <n v="-115"/>
    <n v="690"/>
  </r>
  <r>
    <x v="31"/>
    <s v="conventional_turnover_acls_645"/>
    <x v="685"/>
    <n v="0.61007999999999996"/>
    <n v="1"/>
    <n v="-115"/>
    <n v="690"/>
  </r>
  <r>
    <x v="31"/>
    <s v="conventional_turnover_acls_646"/>
    <x v="686"/>
    <n v="0.61007999999999996"/>
    <n v="1"/>
    <n v="-115"/>
    <n v="690"/>
  </r>
  <r>
    <x v="31"/>
    <s v="conventional_turnover_acls_647"/>
    <x v="687"/>
    <n v="0.61007999999999996"/>
    <n v="1"/>
    <n v="-115"/>
    <n v="690"/>
  </r>
  <r>
    <x v="31"/>
    <s v="conventional_turnover_acls_648"/>
    <x v="688"/>
    <n v="0.61007999999999996"/>
    <n v="1"/>
    <n v="-115"/>
    <n v="690"/>
  </r>
  <r>
    <x v="31"/>
    <s v="conventional_turnover_acls_649"/>
    <x v="689"/>
    <n v="0.61007999999999996"/>
    <n v="1"/>
    <n v="-115"/>
    <n v="690"/>
  </r>
  <r>
    <x v="31"/>
    <s v="conventional_turnover_acls_650"/>
    <x v="690"/>
    <n v="0.61007999999999996"/>
    <n v="1"/>
    <n v="-115"/>
    <n v="690"/>
  </r>
  <r>
    <x v="31"/>
    <s v="conventional_turnover_acls_651"/>
    <x v="691"/>
    <n v="0.61007999999999996"/>
    <n v="1"/>
    <n v="-115"/>
    <n v="690"/>
  </r>
  <r>
    <x v="31"/>
    <s v="conventional_turnover_acls_652"/>
    <x v="692"/>
    <n v="0.61007999999999996"/>
    <n v="1"/>
    <n v="-115"/>
    <n v="690"/>
  </r>
  <r>
    <x v="31"/>
    <s v="conventional_turnover_acls_653"/>
    <x v="693"/>
    <n v="0.61007999999999996"/>
    <n v="1"/>
    <n v="-115"/>
    <n v="690"/>
  </r>
  <r>
    <x v="31"/>
    <s v="conventional_turnover_acls_654"/>
    <x v="694"/>
    <n v="0.61007999999999996"/>
    <n v="1"/>
    <n v="-115"/>
    <n v="690"/>
  </r>
  <r>
    <x v="31"/>
    <s v="conventional_turnover_acls_655"/>
    <x v="695"/>
    <n v="0.61007999999999996"/>
    <n v="1"/>
    <n v="-115"/>
    <n v="690"/>
  </r>
  <r>
    <x v="31"/>
    <s v="conventional_turnover_acls_656"/>
    <x v="696"/>
    <n v="0.61007999999999996"/>
    <n v="1"/>
    <n v="-115"/>
    <n v="690"/>
  </r>
  <r>
    <x v="31"/>
    <s v="conventional_turnover_acls_657"/>
    <x v="697"/>
    <n v="0.61007999999999996"/>
    <n v="1"/>
    <n v="-115"/>
    <n v="690"/>
  </r>
  <r>
    <x v="31"/>
    <s v="conventional_turnover_acls_658"/>
    <x v="698"/>
    <n v="0.61007999999999996"/>
    <n v="1"/>
    <n v="-115"/>
    <n v="690"/>
  </r>
  <r>
    <x v="31"/>
    <s v="conventional_turnover_acls_659"/>
    <x v="699"/>
    <n v="0.61007999999999996"/>
    <n v="1"/>
    <n v="-115"/>
    <n v="690"/>
  </r>
  <r>
    <x v="31"/>
    <s v="conventional_turnover_acls_660"/>
    <x v="700"/>
    <n v="0.61007999999999996"/>
    <n v="1"/>
    <n v="-115"/>
    <n v="690"/>
  </r>
  <r>
    <x v="31"/>
    <s v="conventional_turnover_acls_661"/>
    <x v="701"/>
    <n v="0.61007999999999996"/>
    <n v="1"/>
    <n v="-115"/>
    <n v="690"/>
  </r>
  <r>
    <x v="31"/>
    <s v="conventional_turnover_acls_662"/>
    <x v="702"/>
    <n v="0.61007999999999996"/>
    <n v="1"/>
    <n v="-115"/>
    <n v="690"/>
  </r>
  <r>
    <x v="31"/>
    <s v="conventional_turnover_acls_663"/>
    <x v="703"/>
    <n v="0.61007999999999996"/>
    <n v="1"/>
    <n v="-115"/>
    <n v="690"/>
  </r>
  <r>
    <x v="31"/>
    <s v="conventional_turnover_acls_664"/>
    <x v="704"/>
    <n v="0.61007999999999996"/>
    <n v="1"/>
    <n v="-115"/>
    <n v="690"/>
  </r>
  <r>
    <x v="31"/>
    <s v="conventional_turnover_acls_665"/>
    <x v="705"/>
    <n v="0.61007999999999996"/>
    <n v="1"/>
    <n v="-115"/>
    <n v="690"/>
  </r>
  <r>
    <x v="31"/>
    <s v="conventional_turnover_acls_666"/>
    <x v="706"/>
    <n v="0.61007999999999996"/>
    <n v="1"/>
    <n v="-115"/>
    <n v="690"/>
  </r>
  <r>
    <x v="31"/>
    <s v="conventional_turnover_acls_667"/>
    <x v="707"/>
    <n v="0.61007999999999996"/>
    <n v="1"/>
    <n v="-115"/>
    <n v="690"/>
  </r>
  <r>
    <x v="31"/>
    <s v="conventional_turnover_acls_668"/>
    <x v="708"/>
    <n v="0.61007999999999996"/>
    <n v="1"/>
    <n v="-115"/>
    <n v="690"/>
  </r>
  <r>
    <x v="31"/>
    <s v="conventional_turnover_acls_669"/>
    <x v="709"/>
    <n v="0.61007999999999996"/>
    <n v="1"/>
    <n v="-115"/>
    <n v="690"/>
  </r>
  <r>
    <x v="31"/>
    <s v="conventional_turnover_acls_670"/>
    <x v="710"/>
    <n v="0.61007999999999996"/>
    <n v="1"/>
    <n v="-115"/>
    <n v="690"/>
  </r>
  <r>
    <x v="31"/>
    <s v="conventional_turnover_acls_671"/>
    <x v="711"/>
    <n v="0.61007999999999996"/>
    <n v="1"/>
    <n v="-115"/>
    <n v="690"/>
  </r>
  <r>
    <x v="31"/>
    <s v="conventional_turnover_acls_672"/>
    <x v="712"/>
    <n v="0.61007999999999996"/>
    <n v="1"/>
    <n v="-115"/>
    <n v="690"/>
  </r>
  <r>
    <x v="31"/>
    <s v="conventional_turnover_acls_673"/>
    <x v="713"/>
    <n v="0.61007999999999996"/>
    <n v="1"/>
    <n v="-115"/>
    <n v="690"/>
  </r>
  <r>
    <x v="31"/>
    <s v="conventional_turnover_acls_674"/>
    <x v="714"/>
    <n v="0.61007999999999996"/>
    <n v="1"/>
    <n v="-115"/>
    <n v="690"/>
  </r>
  <r>
    <x v="31"/>
    <s v="conventional_turnover_acls_675"/>
    <x v="715"/>
    <n v="0.61007999999999996"/>
    <n v="1"/>
    <n v="-115"/>
    <n v="690"/>
  </r>
  <r>
    <x v="31"/>
    <s v="conventional_turnover_acls_676"/>
    <x v="716"/>
    <n v="0.61007999999999996"/>
    <n v="1"/>
    <n v="-115"/>
    <n v="690"/>
  </r>
  <r>
    <x v="31"/>
    <s v="conventional_turnover_acls_677"/>
    <x v="717"/>
    <n v="0.61007999999999996"/>
    <n v="1"/>
    <n v="-115"/>
    <n v="690"/>
  </r>
  <r>
    <x v="31"/>
    <s v="conventional_turnover_acls_678"/>
    <x v="718"/>
    <n v="0.61007999999999996"/>
    <n v="1"/>
    <n v="-115"/>
    <n v="690"/>
  </r>
  <r>
    <x v="31"/>
    <s v="conventional_turnover_acls_679"/>
    <x v="719"/>
    <n v="0.61007999999999996"/>
    <n v="1"/>
    <n v="-115"/>
    <n v="690"/>
  </r>
  <r>
    <x v="31"/>
    <s v="conventional_turnover_acls_680"/>
    <x v="720"/>
    <n v="0.61007999999999996"/>
    <n v="1"/>
    <n v="-115"/>
    <n v="690"/>
  </r>
  <r>
    <x v="31"/>
    <s v="conventional_turnover_acls_681"/>
    <x v="721"/>
    <n v="0.61007999999999996"/>
    <n v="1"/>
    <n v="-115"/>
    <n v="690"/>
  </r>
  <r>
    <x v="31"/>
    <s v="conventional_turnover_acls_682"/>
    <x v="722"/>
    <n v="0.61007999999999996"/>
    <n v="1"/>
    <n v="-115"/>
    <n v="690"/>
  </r>
  <r>
    <x v="31"/>
    <s v="conventional_turnover_acls_683"/>
    <x v="723"/>
    <n v="0.61007999999999996"/>
    <n v="1"/>
    <n v="-115"/>
    <n v="690"/>
  </r>
  <r>
    <x v="31"/>
    <s v="conventional_turnover_acls_684"/>
    <x v="724"/>
    <n v="0.61007999999999996"/>
    <n v="1"/>
    <n v="-115"/>
    <n v="690"/>
  </r>
  <r>
    <x v="31"/>
    <s v="conventional_turnover_acls_685"/>
    <x v="725"/>
    <n v="0.61007999999999996"/>
    <n v="1"/>
    <n v="-115"/>
    <n v="690"/>
  </r>
  <r>
    <x v="31"/>
    <s v="conventional_turnover_acls_686"/>
    <x v="726"/>
    <n v="0.61007999999999996"/>
    <n v="1"/>
    <n v="-115"/>
    <n v="690"/>
  </r>
  <r>
    <x v="31"/>
    <s v="conventional_turnover_acls_687"/>
    <x v="727"/>
    <n v="0.61007999999999996"/>
    <n v="1"/>
    <n v="-115"/>
    <n v="690"/>
  </r>
  <r>
    <x v="31"/>
    <s v="conventional_turnover_acls_688"/>
    <x v="728"/>
    <n v="0.61007999999999996"/>
    <n v="1"/>
    <n v="-115"/>
    <n v="690"/>
  </r>
  <r>
    <x v="31"/>
    <s v="conventional_turnover_acls_689"/>
    <x v="729"/>
    <n v="0.61007999999999996"/>
    <n v="1"/>
    <n v="-115"/>
    <n v="690"/>
  </r>
  <r>
    <x v="31"/>
    <s v="conventional_turnover_acls_690"/>
    <x v="730"/>
    <n v="0.61007999999999996"/>
    <n v="1"/>
    <n v="-115"/>
    <n v="690"/>
  </r>
  <r>
    <x v="32"/>
    <s v="conventional_turnover_wacls_-160"/>
    <x v="1111"/>
    <n v="1"/>
    <n v="1"/>
    <n v="-160"/>
    <n v="960"/>
  </r>
  <r>
    <x v="32"/>
    <s v="conventional_turnover_wacls_-159"/>
    <x v="1112"/>
    <n v="1"/>
    <n v="1"/>
    <n v="-160"/>
    <n v="960"/>
  </r>
  <r>
    <x v="32"/>
    <s v="conventional_turnover_wacls_-158"/>
    <x v="1113"/>
    <n v="1"/>
    <n v="1"/>
    <n v="-160"/>
    <n v="960"/>
  </r>
  <r>
    <x v="32"/>
    <s v="conventional_turnover_wacls_-157"/>
    <x v="1114"/>
    <n v="1"/>
    <n v="1"/>
    <n v="-160"/>
    <n v="960"/>
  </r>
  <r>
    <x v="32"/>
    <s v="conventional_turnover_wacls_-156"/>
    <x v="1115"/>
    <n v="1"/>
    <n v="1"/>
    <n v="-160"/>
    <n v="960"/>
  </r>
  <r>
    <x v="32"/>
    <s v="conventional_turnover_wacls_-155"/>
    <x v="1116"/>
    <n v="1"/>
    <n v="1"/>
    <n v="-160"/>
    <n v="960"/>
  </r>
  <r>
    <x v="32"/>
    <s v="conventional_turnover_wacls_-154"/>
    <x v="1117"/>
    <n v="1"/>
    <n v="1"/>
    <n v="-160"/>
    <n v="960"/>
  </r>
  <r>
    <x v="32"/>
    <s v="conventional_turnover_wacls_-153"/>
    <x v="1118"/>
    <n v="1"/>
    <n v="1"/>
    <n v="-160"/>
    <n v="960"/>
  </r>
  <r>
    <x v="32"/>
    <s v="conventional_turnover_wacls_-152"/>
    <x v="1119"/>
    <n v="1"/>
    <n v="1"/>
    <n v="-160"/>
    <n v="960"/>
  </r>
  <r>
    <x v="32"/>
    <s v="conventional_turnover_wacls_-151"/>
    <x v="1120"/>
    <n v="1"/>
    <n v="1"/>
    <n v="-160"/>
    <n v="960"/>
  </r>
  <r>
    <x v="32"/>
    <s v="conventional_turnover_wacls_-150"/>
    <x v="1121"/>
    <n v="1"/>
    <n v="1"/>
    <n v="-160"/>
    <n v="960"/>
  </r>
  <r>
    <x v="32"/>
    <s v="conventional_turnover_wacls_-149"/>
    <x v="1122"/>
    <n v="1"/>
    <n v="1"/>
    <n v="-160"/>
    <n v="960"/>
  </r>
  <r>
    <x v="32"/>
    <s v="conventional_turnover_wacls_-148"/>
    <x v="1123"/>
    <n v="1"/>
    <n v="1"/>
    <n v="-160"/>
    <n v="960"/>
  </r>
  <r>
    <x v="32"/>
    <s v="conventional_turnover_wacls_-147"/>
    <x v="1124"/>
    <n v="1"/>
    <n v="1"/>
    <n v="-160"/>
    <n v="960"/>
  </r>
  <r>
    <x v="32"/>
    <s v="conventional_turnover_wacls_-146"/>
    <x v="1125"/>
    <n v="1"/>
    <n v="1"/>
    <n v="-160"/>
    <n v="960"/>
  </r>
  <r>
    <x v="32"/>
    <s v="conventional_turnover_wacls_-145"/>
    <x v="1126"/>
    <n v="1"/>
    <n v="1"/>
    <n v="-160"/>
    <n v="960"/>
  </r>
  <r>
    <x v="32"/>
    <s v="conventional_turnover_wacls_-144"/>
    <x v="1127"/>
    <n v="1"/>
    <n v="1"/>
    <n v="-160"/>
    <n v="960"/>
  </r>
  <r>
    <x v="32"/>
    <s v="conventional_turnover_wacls_-143"/>
    <x v="1128"/>
    <n v="1"/>
    <n v="1"/>
    <n v="-160"/>
    <n v="960"/>
  </r>
  <r>
    <x v="32"/>
    <s v="conventional_turnover_wacls_-142"/>
    <x v="1129"/>
    <n v="1"/>
    <n v="1"/>
    <n v="-160"/>
    <n v="960"/>
  </r>
  <r>
    <x v="32"/>
    <s v="conventional_turnover_wacls_-141"/>
    <x v="1130"/>
    <n v="1"/>
    <n v="1"/>
    <n v="-160"/>
    <n v="960"/>
  </r>
  <r>
    <x v="32"/>
    <s v="conventional_turnover_wacls_-140"/>
    <x v="1131"/>
    <n v="1"/>
    <n v="1"/>
    <n v="-160"/>
    <n v="960"/>
  </r>
  <r>
    <x v="32"/>
    <s v="conventional_turnover_wacls_-139"/>
    <x v="1132"/>
    <n v="1"/>
    <n v="1"/>
    <n v="-160"/>
    <n v="960"/>
  </r>
  <r>
    <x v="32"/>
    <s v="conventional_turnover_wacls_-138"/>
    <x v="1133"/>
    <n v="1"/>
    <n v="1"/>
    <n v="-160"/>
    <n v="960"/>
  </r>
  <r>
    <x v="32"/>
    <s v="conventional_turnover_wacls_-137"/>
    <x v="1134"/>
    <n v="1"/>
    <n v="1"/>
    <n v="-160"/>
    <n v="960"/>
  </r>
  <r>
    <x v="32"/>
    <s v="conventional_turnover_wacls_-136"/>
    <x v="1135"/>
    <n v="1"/>
    <n v="1"/>
    <n v="-160"/>
    <n v="960"/>
  </r>
  <r>
    <x v="32"/>
    <s v="conventional_turnover_wacls_-135"/>
    <x v="1136"/>
    <n v="1"/>
    <n v="1"/>
    <n v="-160"/>
    <n v="960"/>
  </r>
  <r>
    <x v="32"/>
    <s v="conventional_turnover_wacls_-134"/>
    <x v="1137"/>
    <n v="1"/>
    <n v="1"/>
    <n v="-160"/>
    <n v="960"/>
  </r>
  <r>
    <x v="32"/>
    <s v="conventional_turnover_wacls_-133"/>
    <x v="1138"/>
    <n v="1"/>
    <n v="1"/>
    <n v="-160"/>
    <n v="960"/>
  </r>
  <r>
    <x v="32"/>
    <s v="conventional_turnover_wacls_-132"/>
    <x v="1139"/>
    <n v="1"/>
    <n v="1"/>
    <n v="-160"/>
    <n v="960"/>
  </r>
  <r>
    <x v="32"/>
    <s v="conventional_turnover_wacls_-131"/>
    <x v="1140"/>
    <n v="1"/>
    <n v="1"/>
    <n v="-160"/>
    <n v="960"/>
  </r>
  <r>
    <x v="32"/>
    <s v="conventional_turnover_wacls_-130"/>
    <x v="1141"/>
    <n v="1"/>
    <n v="1"/>
    <n v="-160"/>
    <n v="960"/>
  </r>
  <r>
    <x v="32"/>
    <s v="conventional_turnover_wacls_-129"/>
    <x v="1142"/>
    <n v="1"/>
    <n v="1"/>
    <n v="-160"/>
    <n v="960"/>
  </r>
  <r>
    <x v="32"/>
    <s v="conventional_turnover_wacls_-128"/>
    <x v="1143"/>
    <n v="1"/>
    <n v="1"/>
    <n v="-160"/>
    <n v="960"/>
  </r>
  <r>
    <x v="32"/>
    <s v="conventional_turnover_wacls_-127"/>
    <x v="1144"/>
    <n v="1"/>
    <n v="1"/>
    <n v="-160"/>
    <n v="960"/>
  </r>
  <r>
    <x v="32"/>
    <s v="conventional_turnover_wacls_-126"/>
    <x v="1145"/>
    <n v="1"/>
    <n v="1"/>
    <n v="-160"/>
    <n v="960"/>
  </r>
  <r>
    <x v="32"/>
    <s v="conventional_turnover_wacls_-125"/>
    <x v="1146"/>
    <n v="1"/>
    <n v="1"/>
    <n v="-160"/>
    <n v="960"/>
  </r>
  <r>
    <x v="32"/>
    <s v="conventional_turnover_wacls_-124"/>
    <x v="1147"/>
    <n v="1"/>
    <n v="1"/>
    <n v="-160"/>
    <n v="960"/>
  </r>
  <r>
    <x v="32"/>
    <s v="conventional_turnover_wacls_-123"/>
    <x v="1148"/>
    <n v="1"/>
    <n v="1"/>
    <n v="-160"/>
    <n v="960"/>
  </r>
  <r>
    <x v="32"/>
    <s v="conventional_turnover_wacls_-122"/>
    <x v="1149"/>
    <n v="1"/>
    <n v="1"/>
    <n v="-160"/>
    <n v="960"/>
  </r>
  <r>
    <x v="32"/>
    <s v="conventional_turnover_wacls_-121"/>
    <x v="1150"/>
    <n v="1"/>
    <n v="1"/>
    <n v="-160"/>
    <n v="960"/>
  </r>
  <r>
    <x v="32"/>
    <s v="conventional_turnover_wacls_-120"/>
    <x v="1151"/>
    <n v="1"/>
    <n v="1"/>
    <n v="-160"/>
    <n v="960"/>
  </r>
  <r>
    <x v="32"/>
    <s v="conventional_turnover_wacls_-119"/>
    <x v="1152"/>
    <n v="1"/>
    <n v="1"/>
    <n v="-160"/>
    <n v="960"/>
  </r>
  <r>
    <x v="32"/>
    <s v="conventional_turnover_wacls_-118"/>
    <x v="1153"/>
    <n v="1"/>
    <n v="1"/>
    <n v="-160"/>
    <n v="960"/>
  </r>
  <r>
    <x v="32"/>
    <s v="conventional_turnover_wacls_-117"/>
    <x v="1154"/>
    <n v="1"/>
    <n v="1"/>
    <n v="-160"/>
    <n v="960"/>
  </r>
  <r>
    <x v="32"/>
    <s v="conventional_turnover_wacls_-116"/>
    <x v="1155"/>
    <n v="1"/>
    <n v="1"/>
    <n v="-160"/>
    <n v="960"/>
  </r>
  <r>
    <x v="32"/>
    <s v="conventional_turnover_wacls_-115"/>
    <x v="1156"/>
    <n v="1"/>
    <n v="1"/>
    <n v="-160"/>
    <n v="960"/>
  </r>
  <r>
    <x v="32"/>
    <s v="conventional_turnover_wacls_-114"/>
    <x v="1157"/>
    <n v="1"/>
    <n v="1"/>
    <n v="-160"/>
    <n v="960"/>
  </r>
  <r>
    <x v="32"/>
    <s v="conventional_turnover_wacls_-113"/>
    <x v="1158"/>
    <n v="1"/>
    <n v="1"/>
    <n v="-160"/>
    <n v="960"/>
  </r>
  <r>
    <x v="32"/>
    <s v="conventional_turnover_wacls_-112"/>
    <x v="1159"/>
    <n v="1"/>
    <n v="1"/>
    <n v="-160"/>
    <n v="960"/>
  </r>
  <r>
    <x v="32"/>
    <s v="conventional_turnover_wacls_-111"/>
    <x v="1160"/>
    <n v="1"/>
    <n v="1"/>
    <n v="-160"/>
    <n v="960"/>
  </r>
  <r>
    <x v="32"/>
    <s v="conventional_turnover_wacls_-110"/>
    <x v="1161"/>
    <n v="1"/>
    <n v="1"/>
    <n v="-160"/>
    <n v="960"/>
  </r>
  <r>
    <x v="32"/>
    <s v="conventional_turnover_wacls_-109"/>
    <x v="1162"/>
    <n v="1"/>
    <n v="1"/>
    <n v="-160"/>
    <n v="960"/>
  </r>
  <r>
    <x v="32"/>
    <s v="conventional_turnover_wacls_-108"/>
    <x v="1163"/>
    <n v="1"/>
    <n v="1"/>
    <n v="-160"/>
    <n v="960"/>
  </r>
  <r>
    <x v="32"/>
    <s v="conventional_turnover_wacls_-107"/>
    <x v="1164"/>
    <n v="1"/>
    <n v="1"/>
    <n v="-160"/>
    <n v="960"/>
  </r>
  <r>
    <x v="32"/>
    <s v="conventional_turnover_wacls_-106"/>
    <x v="1165"/>
    <n v="1"/>
    <n v="1"/>
    <n v="-160"/>
    <n v="960"/>
  </r>
  <r>
    <x v="32"/>
    <s v="conventional_turnover_wacls_-105"/>
    <x v="1166"/>
    <n v="1"/>
    <n v="1"/>
    <n v="-160"/>
    <n v="960"/>
  </r>
  <r>
    <x v="32"/>
    <s v="conventional_turnover_wacls_-104"/>
    <x v="1167"/>
    <n v="1"/>
    <n v="1"/>
    <n v="-160"/>
    <n v="960"/>
  </r>
  <r>
    <x v="32"/>
    <s v="conventional_turnover_wacls_-103"/>
    <x v="1168"/>
    <n v="1"/>
    <n v="1"/>
    <n v="-160"/>
    <n v="960"/>
  </r>
  <r>
    <x v="32"/>
    <s v="conventional_turnover_wacls_-102"/>
    <x v="1169"/>
    <n v="1"/>
    <n v="1"/>
    <n v="-160"/>
    <n v="960"/>
  </r>
  <r>
    <x v="32"/>
    <s v="conventional_turnover_wacls_-101"/>
    <x v="1170"/>
    <n v="1"/>
    <n v="1"/>
    <n v="-160"/>
    <n v="960"/>
  </r>
  <r>
    <x v="32"/>
    <s v="conventional_turnover_wacls_-100"/>
    <x v="1171"/>
    <n v="1"/>
    <n v="1"/>
    <n v="-160"/>
    <n v="960"/>
  </r>
  <r>
    <x v="32"/>
    <s v="conventional_turnover_wacls_-99"/>
    <x v="1172"/>
    <n v="1"/>
    <n v="1"/>
    <n v="-160"/>
    <n v="960"/>
  </r>
  <r>
    <x v="32"/>
    <s v="conventional_turnover_wacls_-98"/>
    <x v="1173"/>
    <n v="1"/>
    <n v="1"/>
    <n v="-160"/>
    <n v="960"/>
  </r>
  <r>
    <x v="32"/>
    <s v="conventional_turnover_wacls_-97"/>
    <x v="1174"/>
    <n v="1"/>
    <n v="1"/>
    <n v="-160"/>
    <n v="960"/>
  </r>
  <r>
    <x v="32"/>
    <s v="conventional_turnover_wacls_-96"/>
    <x v="1175"/>
    <n v="1"/>
    <n v="1"/>
    <n v="-160"/>
    <n v="960"/>
  </r>
  <r>
    <x v="32"/>
    <s v="conventional_turnover_wacls_-95"/>
    <x v="1176"/>
    <n v="1"/>
    <n v="1"/>
    <n v="-160"/>
    <n v="960"/>
  </r>
  <r>
    <x v="32"/>
    <s v="conventional_turnover_wacls_-94"/>
    <x v="1177"/>
    <n v="1"/>
    <n v="1"/>
    <n v="-160"/>
    <n v="960"/>
  </r>
  <r>
    <x v="32"/>
    <s v="conventional_turnover_wacls_-93"/>
    <x v="1178"/>
    <n v="1"/>
    <n v="1"/>
    <n v="-160"/>
    <n v="960"/>
  </r>
  <r>
    <x v="32"/>
    <s v="conventional_turnover_wacls_-92"/>
    <x v="1179"/>
    <n v="1"/>
    <n v="1"/>
    <n v="-160"/>
    <n v="960"/>
  </r>
  <r>
    <x v="32"/>
    <s v="conventional_turnover_wacls_-91"/>
    <x v="1180"/>
    <n v="1"/>
    <n v="1"/>
    <n v="-160"/>
    <n v="960"/>
  </r>
  <r>
    <x v="32"/>
    <s v="conventional_turnover_wacls_-90"/>
    <x v="1181"/>
    <n v="1"/>
    <n v="1"/>
    <n v="-160"/>
    <n v="960"/>
  </r>
  <r>
    <x v="32"/>
    <s v="conventional_turnover_wacls_-89"/>
    <x v="1182"/>
    <n v="1"/>
    <n v="1"/>
    <n v="-160"/>
    <n v="960"/>
  </r>
  <r>
    <x v="32"/>
    <s v="conventional_turnover_wacls_-88"/>
    <x v="1183"/>
    <n v="1"/>
    <n v="1"/>
    <n v="-160"/>
    <n v="960"/>
  </r>
  <r>
    <x v="32"/>
    <s v="conventional_turnover_wacls_-87"/>
    <x v="1184"/>
    <n v="1"/>
    <n v="1"/>
    <n v="-160"/>
    <n v="960"/>
  </r>
  <r>
    <x v="32"/>
    <s v="conventional_turnover_wacls_-86"/>
    <x v="1185"/>
    <n v="1"/>
    <n v="1"/>
    <n v="-160"/>
    <n v="960"/>
  </r>
  <r>
    <x v="32"/>
    <s v="conventional_turnover_wacls_-85"/>
    <x v="1186"/>
    <n v="1"/>
    <n v="1"/>
    <n v="-160"/>
    <n v="960"/>
  </r>
  <r>
    <x v="32"/>
    <s v="conventional_turnover_wacls_-84"/>
    <x v="1187"/>
    <n v="1"/>
    <n v="1"/>
    <n v="-160"/>
    <n v="960"/>
  </r>
  <r>
    <x v="32"/>
    <s v="conventional_turnover_wacls_-83"/>
    <x v="1188"/>
    <n v="1"/>
    <n v="1"/>
    <n v="-160"/>
    <n v="960"/>
  </r>
  <r>
    <x v="32"/>
    <s v="conventional_turnover_wacls_-82"/>
    <x v="1189"/>
    <n v="1"/>
    <n v="1"/>
    <n v="-160"/>
    <n v="960"/>
  </r>
  <r>
    <x v="32"/>
    <s v="conventional_turnover_wacls_-81"/>
    <x v="1190"/>
    <n v="1"/>
    <n v="1"/>
    <n v="-160"/>
    <n v="960"/>
  </r>
  <r>
    <x v="32"/>
    <s v="conventional_turnover_wacls_-80"/>
    <x v="1191"/>
    <n v="1"/>
    <n v="1"/>
    <n v="-160"/>
    <n v="960"/>
  </r>
  <r>
    <x v="32"/>
    <s v="conventional_turnover_wacls_-79"/>
    <x v="1192"/>
    <n v="1"/>
    <n v="1"/>
    <n v="-160"/>
    <n v="960"/>
  </r>
  <r>
    <x v="32"/>
    <s v="conventional_turnover_wacls_-78"/>
    <x v="1193"/>
    <n v="1"/>
    <n v="1"/>
    <n v="-160"/>
    <n v="960"/>
  </r>
  <r>
    <x v="32"/>
    <s v="conventional_turnover_wacls_-77"/>
    <x v="1194"/>
    <n v="1"/>
    <n v="1"/>
    <n v="-160"/>
    <n v="960"/>
  </r>
  <r>
    <x v="32"/>
    <s v="conventional_turnover_wacls_-76"/>
    <x v="1195"/>
    <n v="1"/>
    <n v="1"/>
    <n v="-160"/>
    <n v="960"/>
  </r>
  <r>
    <x v="32"/>
    <s v="conventional_turnover_wacls_-75"/>
    <x v="1196"/>
    <n v="1"/>
    <n v="1"/>
    <n v="-160"/>
    <n v="960"/>
  </r>
  <r>
    <x v="32"/>
    <s v="conventional_turnover_wacls_-74"/>
    <x v="1197"/>
    <n v="1"/>
    <n v="1"/>
    <n v="-160"/>
    <n v="960"/>
  </r>
  <r>
    <x v="32"/>
    <s v="conventional_turnover_wacls_-73"/>
    <x v="1198"/>
    <n v="1"/>
    <n v="1"/>
    <n v="-160"/>
    <n v="960"/>
  </r>
  <r>
    <x v="32"/>
    <s v="conventional_turnover_wacls_-72"/>
    <x v="1199"/>
    <n v="1"/>
    <n v="1"/>
    <n v="-160"/>
    <n v="960"/>
  </r>
  <r>
    <x v="32"/>
    <s v="conventional_turnover_wacls_-71"/>
    <x v="1200"/>
    <n v="1"/>
    <n v="1"/>
    <n v="-160"/>
    <n v="960"/>
  </r>
  <r>
    <x v="32"/>
    <s v="conventional_turnover_wacls_-70"/>
    <x v="1201"/>
    <n v="1"/>
    <n v="1"/>
    <n v="-160"/>
    <n v="960"/>
  </r>
  <r>
    <x v="32"/>
    <s v="conventional_turnover_wacls_-69"/>
    <x v="1202"/>
    <n v="1"/>
    <n v="1"/>
    <n v="-160"/>
    <n v="960"/>
  </r>
  <r>
    <x v="32"/>
    <s v="conventional_turnover_wacls_-68"/>
    <x v="1203"/>
    <n v="1"/>
    <n v="1"/>
    <n v="-160"/>
    <n v="960"/>
  </r>
  <r>
    <x v="32"/>
    <s v="conventional_turnover_wacls_-67"/>
    <x v="1204"/>
    <n v="1"/>
    <n v="1"/>
    <n v="-160"/>
    <n v="960"/>
  </r>
  <r>
    <x v="32"/>
    <s v="conventional_turnover_wacls_-66"/>
    <x v="1205"/>
    <n v="1"/>
    <n v="1"/>
    <n v="-160"/>
    <n v="960"/>
  </r>
  <r>
    <x v="32"/>
    <s v="conventional_turnover_wacls_-65"/>
    <x v="1206"/>
    <n v="1"/>
    <n v="1"/>
    <n v="-160"/>
    <n v="960"/>
  </r>
  <r>
    <x v="32"/>
    <s v="conventional_turnover_wacls_-64"/>
    <x v="1207"/>
    <n v="1"/>
    <n v="1"/>
    <n v="-160"/>
    <n v="960"/>
  </r>
  <r>
    <x v="32"/>
    <s v="conventional_turnover_wacls_-63"/>
    <x v="1208"/>
    <n v="1"/>
    <n v="1"/>
    <n v="-160"/>
    <n v="960"/>
  </r>
  <r>
    <x v="32"/>
    <s v="conventional_turnover_wacls_-62"/>
    <x v="1209"/>
    <n v="1"/>
    <n v="1"/>
    <n v="-160"/>
    <n v="960"/>
  </r>
  <r>
    <x v="32"/>
    <s v="conventional_turnover_wacls_-61"/>
    <x v="1210"/>
    <n v="1"/>
    <n v="1"/>
    <n v="-160"/>
    <n v="960"/>
  </r>
  <r>
    <x v="32"/>
    <s v="conventional_turnover_wacls_-60"/>
    <x v="1211"/>
    <n v="1"/>
    <n v="1"/>
    <n v="-160"/>
    <n v="960"/>
  </r>
  <r>
    <x v="32"/>
    <s v="conventional_turnover_wacls_-59"/>
    <x v="1212"/>
    <n v="1"/>
    <n v="1"/>
    <n v="-160"/>
    <n v="960"/>
  </r>
  <r>
    <x v="32"/>
    <s v="conventional_turnover_wacls_-58"/>
    <x v="1213"/>
    <n v="1"/>
    <n v="1"/>
    <n v="-160"/>
    <n v="960"/>
  </r>
  <r>
    <x v="32"/>
    <s v="conventional_turnover_wacls_-57"/>
    <x v="1214"/>
    <n v="1"/>
    <n v="1"/>
    <n v="-160"/>
    <n v="960"/>
  </r>
  <r>
    <x v="32"/>
    <s v="conventional_turnover_wacls_-56"/>
    <x v="1215"/>
    <n v="1"/>
    <n v="1"/>
    <n v="-160"/>
    <n v="960"/>
  </r>
  <r>
    <x v="32"/>
    <s v="conventional_turnover_wacls_-55"/>
    <x v="1216"/>
    <n v="1"/>
    <n v="1"/>
    <n v="-160"/>
    <n v="960"/>
  </r>
  <r>
    <x v="32"/>
    <s v="conventional_turnover_wacls_-54"/>
    <x v="1217"/>
    <n v="1"/>
    <n v="1"/>
    <n v="-160"/>
    <n v="960"/>
  </r>
  <r>
    <x v="32"/>
    <s v="conventional_turnover_wacls_-53"/>
    <x v="1218"/>
    <n v="1"/>
    <n v="1"/>
    <n v="-160"/>
    <n v="960"/>
  </r>
  <r>
    <x v="32"/>
    <s v="conventional_turnover_wacls_-52"/>
    <x v="1219"/>
    <n v="1"/>
    <n v="1"/>
    <n v="-160"/>
    <n v="960"/>
  </r>
  <r>
    <x v="32"/>
    <s v="conventional_turnover_wacls_-51"/>
    <x v="1220"/>
    <n v="1"/>
    <n v="1"/>
    <n v="-160"/>
    <n v="960"/>
  </r>
  <r>
    <x v="32"/>
    <s v="conventional_turnover_wacls_-50"/>
    <x v="1221"/>
    <n v="1"/>
    <n v="1"/>
    <n v="-160"/>
    <n v="960"/>
  </r>
  <r>
    <x v="32"/>
    <s v="conventional_turnover_wacls_-49"/>
    <x v="1222"/>
    <n v="1"/>
    <n v="1"/>
    <n v="-160"/>
    <n v="960"/>
  </r>
  <r>
    <x v="32"/>
    <s v="conventional_turnover_wacls_-48"/>
    <x v="1223"/>
    <n v="1"/>
    <n v="1"/>
    <n v="-160"/>
    <n v="960"/>
  </r>
  <r>
    <x v="32"/>
    <s v="conventional_turnover_wacls_-47"/>
    <x v="1224"/>
    <n v="1"/>
    <n v="1"/>
    <n v="-160"/>
    <n v="960"/>
  </r>
  <r>
    <x v="32"/>
    <s v="conventional_turnover_wacls_-46"/>
    <x v="1225"/>
    <n v="1"/>
    <n v="1"/>
    <n v="-160"/>
    <n v="960"/>
  </r>
  <r>
    <x v="32"/>
    <s v="conventional_turnover_wacls_-45"/>
    <x v="1226"/>
    <n v="1"/>
    <n v="1"/>
    <n v="-160"/>
    <n v="960"/>
  </r>
  <r>
    <x v="32"/>
    <s v="conventional_turnover_wacls_-44"/>
    <x v="1227"/>
    <n v="1"/>
    <n v="1"/>
    <n v="-160"/>
    <n v="960"/>
  </r>
  <r>
    <x v="32"/>
    <s v="conventional_turnover_wacls_-43"/>
    <x v="1228"/>
    <n v="1"/>
    <n v="1"/>
    <n v="-160"/>
    <n v="960"/>
  </r>
  <r>
    <x v="32"/>
    <s v="conventional_turnover_wacls_-42"/>
    <x v="1229"/>
    <n v="1"/>
    <n v="1"/>
    <n v="-160"/>
    <n v="960"/>
  </r>
  <r>
    <x v="32"/>
    <s v="conventional_turnover_wacls_-41"/>
    <x v="1230"/>
    <n v="1"/>
    <n v="1"/>
    <n v="-160"/>
    <n v="960"/>
  </r>
  <r>
    <x v="32"/>
    <s v="conventional_turnover_wacls_-40"/>
    <x v="0"/>
    <n v="1"/>
    <n v="1"/>
    <n v="-160"/>
    <n v="960"/>
  </r>
  <r>
    <x v="32"/>
    <s v="conventional_turnover_wacls_-39"/>
    <x v="1"/>
    <n v="1"/>
    <n v="1"/>
    <n v="-160"/>
    <n v="960"/>
  </r>
  <r>
    <x v="32"/>
    <s v="conventional_turnover_wacls_-38"/>
    <x v="2"/>
    <n v="1"/>
    <n v="1"/>
    <n v="-160"/>
    <n v="960"/>
  </r>
  <r>
    <x v="32"/>
    <s v="conventional_turnover_wacls_-37"/>
    <x v="3"/>
    <n v="1"/>
    <n v="1"/>
    <n v="-160"/>
    <n v="960"/>
  </r>
  <r>
    <x v="32"/>
    <s v="conventional_turnover_wacls_-36"/>
    <x v="4"/>
    <n v="1"/>
    <n v="1"/>
    <n v="-160"/>
    <n v="960"/>
  </r>
  <r>
    <x v="32"/>
    <s v="conventional_turnover_wacls_-35"/>
    <x v="5"/>
    <n v="1"/>
    <n v="1"/>
    <n v="-160"/>
    <n v="960"/>
  </r>
  <r>
    <x v="32"/>
    <s v="conventional_turnover_wacls_-34"/>
    <x v="6"/>
    <n v="1"/>
    <n v="1"/>
    <n v="-160"/>
    <n v="960"/>
  </r>
  <r>
    <x v="32"/>
    <s v="conventional_turnover_wacls_-33"/>
    <x v="7"/>
    <n v="1"/>
    <n v="1"/>
    <n v="-160"/>
    <n v="960"/>
  </r>
  <r>
    <x v="32"/>
    <s v="conventional_turnover_wacls_-32"/>
    <x v="8"/>
    <n v="1"/>
    <n v="1"/>
    <n v="-160"/>
    <n v="960"/>
  </r>
  <r>
    <x v="32"/>
    <s v="conventional_turnover_wacls_-31"/>
    <x v="9"/>
    <n v="1"/>
    <n v="1"/>
    <n v="-160"/>
    <n v="960"/>
  </r>
  <r>
    <x v="32"/>
    <s v="conventional_turnover_wacls_-30"/>
    <x v="10"/>
    <n v="1"/>
    <n v="1"/>
    <n v="-160"/>
    <n v="960"/>
  </r>
  <r>
    <x v="32"/>
    <s v="conventional_turnover_wacls_-29"/>
    <x v="11"/>
    <n v="1"/>
    <n v="1"/>
    <n v="-160"/>
    <n v="960"/>
  </r>
  <r>
    <x v="32"/>
    <s v="conventional_turnover_wacls_-28"/>
    <x v="12"/>
    <n v="1"/>
    <n v="1"/>
    <n v="-160"/>
    <n v="960"/>
  </r>
  <r>
    <x v="32"/>
    <s v="conventional_turnover_wacls_-27"/>
    <x v="13"/>
    <n v="1"/>
    <n v="1"/>
    <n v="-160"/>
    <n v="960"/>
  </r>
  <r>
    <x v="32"/>
    <s v="conventional_turnover_wacls_-26"/>
    <x v="14"/>
    <n v="1"/>
    <n v="1"/>
    <n v="-160"/>
    <n v="960"/>
  </r>
  <r>
    <x v="32"/>
    <s v="conventional_turnover_wacls_-25"/>
    <x v="15"/>
    <n v="1"/>
    <n v="1"/>
    <n v="-160"/>
    <n v="960"/>
  </r>
  <r>
    <x v="32"/>
    <s v="conventional_turnover_wacls_-24"/>
    <x v="16"/>
    <n v="1"/>
    <n v="1"/>
    <n v="-160"/>
    <n v="960"/>
  </r>
  <r>
    <x v="32"/>
    <s v="conventional_turnover_wacls_-23"/>
    <x v="17"/>
    <n v="1"/>
    <n v="1"/>
    <n v="-160"/>
    <n v="960"/>
  </r>
  <r>
    <x v="32"/>
    <s v="conventional_turnover_wacls_-22"/>
    <x v="18"/>
    <n v="1"/>
    <n v="1"/>
    <n v="-160"/>
    <n v="960"/>
  </r>
  <r>
    <x v="32"/>
    <s v="conventional_turnover_wacls_-21"/>
    <x v="19"/>
    <n v="1"/>
    <n v="1"/>
    <n v="-160"/>
    <n v="960"/>
  </r>
  <r>
    <x v="32"/>
    <s v="conventional_turnover_wacls_-20"/>
    <x v="20"/>
    <n v="1"/>
    <n v="1"/>
    <n v="-160"/>
    <n v="960"/>
  </r>
  <r>
    <x v="32"/>
    <s v="conventional_turnover_wacls_-19"/>
    <x v="21"/>
    <n v="1"/>
    <n v="1"/>
    <n v="-160"/>
    <n v="960"/>
  </r>
  <r>
    <x v="32"/>
    <s v="conventional_turnover_wacls_-18"/>
    <x v="22"/>
    <n v="1"/>
    <n v="1"/>
    <n v="-160"/>
    <n v="960"/>
  </r>
  <r>
    <x v="32"/>
    <s v="conventional_turnover_wacls_-17"/>
    <x v="23"/>
    <n v="1"/>
    <n v="1"/>
    <n v="-160"/>
    <n v="960"/>
  </r>
  <r>
    <x v="32"/>
    <s v="conventional_turnover_wacls_-16"/>
    <x v="24"/>
    <n v="1"/>
    <n v="1"/>
    <n v="-160"/>
    <n v="960"/>
  </r>
  <r>
    <x v="32"/>
    <s v="conventional_turnover_wacls_-15"/>
    <x v="25"/>
    <n v="1"/>
    <n v="1"/>
    <n v="-160"/>
    <n v="960"/>
  </r>
  <r>
    <x v="32"/>
    <s v="conventional_turnover_wacls_-14"/>
    <x v="26"/>
    <n v="1"/>
    <n v="1"/>
    <n v="-160"/>
    <n v="960"/>
  </r>
  <r>
    <x v="32"/>
    <s v="conventional_turnover_wacls_-13"/>
    <x v="27"/>
    <n v="1"/>
    <n v="1"/>
    <n v="-160"/>
    <n v="960"/>
  </r>
  <r>
    <x v="32"/>
    <s v="conventional_turnover_wacls_-12"/>
    <x v="28"/>
    <n v="1"/>
    <n v="1"/>
    <n v="-160"/>
    <n v="960"/>
  </r>
  <r>
    <x v="32"/>
    <s v="conventional_turnover_wacls_-11"/>
    <x v="29"/>
    <n v="1"/>
    <n v="1"/>
    <n v="-160"/>
    <n v="960"/>
  </r>
  <r>
    <x v="32"/>
    <s v="conventional_turnover_wacls_-10"/>
    <x v="30"/>
    <n v="1"/>
    <n v="1"/>
    <n v="-160"/>
    <n v="960"/>
  </r>
  <r>
    <x v="32"/>
    <s v="conventional_turnover_wacls_-9"/>
    <x v="31"/>
    <n v="1"/>
    <n v="1"/>
    <n v="-160"/>
    <n v="960"/>
  </r>
  <r>
    <x v="32"/>
    <s v="conventional_turnover_wacls_-8"/>
    <x v="32"/>
    <n v="1"/>
    <n v="1"/>
    <n v="-160"/>
    <n v="960"/>
  </r>
  <r>
    <x v="32"/>
    <s v="conventional_turnover_wacls_-7"/>
    <x v="33"/>
    <n v="1"/>
    <n v="1"/>
    <n v="-160"/>
    <n v="960"/>
  </r>
  <r>
    <x v="32"/>
    <s v="conventional_turnover_wacls_-6"/>
    <x v="34"/>
    <n v="1"/>
    <n v="1"/>
    <n v="-160"/>
    <n v="960"/>
  </r>
  <r>
    <x v="32"/>
    <s v="conventional_turnover_wacls_-5"/>
    <x v="35"/>
    <n v="1"/>
    <n v="1"/>
    <n v="-160"/>
    <n v="960"/>
  </r>
  <r>
    <x v="32"/>
    <s v="conventional_turnover_wacls_-4"/>
    <x v="36"/>
    <n v="1"/>
    <n v="1"/>
    <n v="-160"/>
    <n v="960"/>
  </r>
  <r>
    <x v="32"/>
    <s v="conventional_turnover_wacls_-3"/>
    <x v="37"/>
    <n v="1"/>
    <n v="1"/>
    <n v="-160"/>
    <n v="960"/>
  </r>
  <r>
    <x v="32"/>
    <s v="conventional_turnover_wacls_-2"/>
    <x v="38"/>
    <n v="1"/>
    <n v="1"/>
    <n v="-160"/>
    <n v="960"/>
  </r>
  <r>
    <x v="32"/>
    <s v="conventional_turnover_wacls_-1"/>
    <x v="39"/>
    <n v="1"/>
    <n v="1"/>
    <n v="-160"/>
    <n v="960"/>
  </r>
  <r>
    <x v="32"/>
    <s v="conventional_turnover_wacls_0"/>
    <x v="40"/>
    <n v="1"/>
    <n v="1"/>
    <n v="-160"/>
    <n v="960"/>
  </r>
  <r>
    <x v="32"/>
    <s v="conventional_turnover_wacls_1"/>
    <x v="41"/>
    <n v="1"/>
    <n v="1"/>
    <n v="-160"/>
    <n v="960"/>
  </r>
  <r>
    <x v="32"/>
    <s v="conventional_turnover_wacls_2"/>
    <x v="42"/>
    <n v="1"/>
    <n v="1"/>
    <n v="-160"/>
    <n v="960"/>
  </r>
  <r>
    <x v="32"/>
    <s v="conventional_turnover_wacls_3"/>
    <x v="43"/>
    <n v="1"/>
    <n v="1"/>
    <n v="-160"/>
    <n v="960"/>
  </r>
  <r>
    <x v="32"/>
    <s v="conventional_turnover_wacls_4"/>
    <x v="44"/>
    <n v="1"/>
    <n v="1"/>
    <n v="-160"/>
    <n v="960"/>
  </r>
  <r>
    <x v="32"/>
    <s v="conventional_turnover_wacls_5"/>
    <x v="45"/>
    <n v="1"/>
    <n v="1"/>
    <n v="-160"/>
    <n v="960"/>
  </r>
  <r>
    <x v="32"/>
    <s v="conventional_turnover_wacls_6"/>
    <x v="46"/>
    <n v="1"/>
    <n v="1"/>
    <n v="-160"/>
    <n v="960"/>
  </r>
  <r>
    <x v="32"/>
    <s v="conventional_turnover_wacls_7"/>
    <x v="47"/>
    <n v="1"/>
    <n v="1"/>
    <n v="-160"/>
    <n v="960"/>
  </r>
  <r>
    <x v="32"/>
    <s v="conventional_turnover_wacls_8"/>
    <x v="48"/>
    <n v="1"/>
    <n v="1"/>
    <n v="-160"/>
    <n v="960"/>
  </r>
  <r>
    <x v="32"/>
    <s v="conventional_turnover_wacls_9"/>
    <x v="49"/>
    <n v="1"/>
    <n v="1"/>
    <n v="-160"/>
    <n v="960"/>
  </r>
  <r>
    <x v="32"/>
    <s v="conventional_turnover_wacls_10"/>
    <x v="50"/>
    <n v="1"/>
    <n v="1"/>
    <n v="-160"/>
    <n v="960"/>
  </r>
  <r>
    <x v="32"/>
    <s v="conventional_turnover_wacls_11"/>
    <x v="51"/>
    <n v="1"/>
    <n v="1"/>
    <n v="-160"/>
    <n v="960"/>
  </r>
  <r>
    <x v="32"/>
    <s v="conventional_turnover_wacls_12"/>
    <x v="52"/>
    <n v="1"/>
    <n v="1"/>
    <n v="-160"/>
    <n v="960"/>
  </r>
  <r>
    <x v="32"/>
    <s v="conventional_turnover_wacls_13"/>
    <x v="53"/>
    <n v="1"/>
    <n v="1"/>
    <n v="-160"/>
    <n v="960"/>
  </r>
  <r>
    <x v="32"/>
    <s v="conventional_turnover_wacls_14"/>
    <x v="54"/>
    <n v="1"/>
    <n v="1"/>
    <n v="-160"/>
    <n v="960"/>
  </r>
  <r>
    <x v="32"/>
    <s v="conventional_turnover_wacls_15"/>
    <x v="55"/>
    <n v="1"/>
    <n v="1"/>
    <n v="-160"/>
    <n v="960"/>
  </r>
  <r>
    <x v="32"/>
    <s v="conventional_turnover_wacls_16"/>
    <x v="56"/>
    <n v="1"/>
    <n v="1"/>
    <n v="-160"/>
    <n v="960"/>
  </r>
  <r>
    <x v="32"/>
    <s v="conventional_turnover_wacls_17"/>
    <x v="57"/>
    <n v="1"/>
    <n v="1"/>
    <n v="-160"/>
    <n v="960"/>
  </r>
  <r>
    <x v="32"/>
    <s v="conventional_turnover_wacls_18"/>
    <x v="58"/>
    <n v="1"/>
    <n v="1"/>
    <n v="-160"/>
    <n v="960"/>
  </r>
  <r>
    <x v="32"/>
    <s v="conventional_turnover_wacls_19"/>
    <x v="59"/>
    <n v="1"/>
    <n v="1"/>
    <n v="-160"/>
    <n v="960"/>
  </r>
  <r>
    <x v="32"/>
    <s v="conventional_turnover_wacls_20"/>
    <x v="60"/>
    <n v="1"/>
    <n v="1"/>
    <n v="-160"/>
    <n v="960"/>
  </r>
  <r>
    <x v="32"/>
    <s v="conventional_turnover_wacls_21"/>
    <x v="61"/>
    <n v="1"/>
    <n v="1"/>
    <n v="-160"/>
    <n v="960"/>
  </r>
  <r>
    <x v="32"/>
    <s v="conventional_turnover_wacls_22"/>
    <x v="62"/>
    <n v="1"/>
    <n v="1"/>
    <n v="-160"/>
    <n v="960"/>
  </r>
  <r>
    <x v="32"/>
    <s v="conventional_turnover_wacls_23"/>
    <x v="63"/>
    <n v="1"/>
    <n v="1"/>
    <n v="-160"/>
    <n v="960"/>
  </r>
  <r>
    <x v="32"/>
    <s v="conventional_turnover_wacls_24"/>
    <x v="64"/>
    <n v="1"/>
    <n v="1"/>
    <n v="-160"/>
    <n v="960"/>
  </r>
  <r>
    <x v="32"/>
    <s v="conventional_turnover_wacls_25"/>
    <x v="65"/>
    <n v="1"/>
    <n v="1"/>
    <n v="-160"/>
    <n v="960"/>
  </r>
  <r>
    <x v="32"/>
    <s v="conventional_turnover_wacls_26"/>
    <x v="66"/>
    <n v="1"/>
    <n v="1"/>
    <n v="-160"/>
    <n v="960"/>
  </r>
  <r>
    <x v="32"/>
    <s v="conventional_turnover_wacls_27"/>
    <x v="67"/>
    <n v="1"/>
    <n v="1"/>
    <n v="-160"/>
    <n v="960"/>
  </r>
  <r>
    <x v="32"/>
    <s v="conventional_turnover_wacls_28"/>
    <x v="68"/>
    <n v="1"/>
    <n v="1"/>
    <n v="-160"/>
    <n v="960"/>
  </r>
  <r>
    <x v="32"/>
    <s v="conventional_turnover_wacls_29"/>
    <x v="69"/>
    <n v="1"/>
    <n v="1"/>
    <n v="-160"/>
    <n v="960"/>
  </r>
  <r>
    <x v="32"/>
    <s v="conventional_turnover_wacls_30"/>
    <x v="70"/>
    <n v="1"/>
    <n v="1"/>
    <n v="-160"/>
    <n v="960"/>
  </r>
  <r>
    <x v="32"/>
    <s v="conventional_turnover_wacls_31"/>
    <x v="71"/>
    <n v="1"/>
    <n v="1"/>
    <n v="-160"/>
    <n v="960"/>
  </r>
  <r>
    <x v="32"/>
    <s v="conventional_turnover_wacls_32"/>
    <x v="72"/>
    <n v="1"/>
    <n v="1"/>
    <n v="-160"/>
    <n v="960"/>
  </r>
  <r>
    <x v="32"/>
    <s v="conventional_turnover_wacls_33"/>
    <x v="73"/>
    <n v="1"/>
    <n v="1"/>
    <n v="-160"/>
    <n v="960"/>
  </r>
  <r>
    <x v="32"/>
    <s v="conventional_turnover_wacls_34"/>
    <x v="74"/>
    <n v="1"/>
    <n v="1"/>
    <n v="-160"/>
    <n v="960"/>
  </r>
  <r>
    <x v="32"/>
    <s v="conventional_turnover_wacls_35"/>
    <x v="75"/>
    <n v="1"/>
    <n v="1"/>
    <n v="-160"/>
    <n v="960"/>
  </r>
  <r>
    <x v="32"/>
    <s v="conventional_turnover_wacls_36"/>
    <x v="76"/>
    <n v="1"/>
    <n v="1"/>
    <n v="-160"/>
    <n v="960"/>
  </r>
  <r>
    <x v="32"/>
    <s v="conventional_turnover_wacls_37"/>
    <x v="77"/>
    <n v="1"/>
    <n v="1"/>
    <n v="-160"/>
    <n v="960"/>
  </r>
  <r>
    <x v="32"/>
    <s v="conventional_turnover_wacls_38"/>
    <x v="78"/>
    <n v="1"/>
    <n v="1"/>
    <n v="-160"/>
    <n v="960"/>
  </r>
  <r>
    <x v="32"/>
    <s v="conventional_turnover_wacls_39"/>
    <x v="79"/>
    <n v="1"/>
    <n v="1"/>
    <n v="-160"/>
    <n v="960"/>
  </r>
  <r>
    <x v="32"/>
    <s v="conventional_turnover_wacls_40"/>
    <x v="80"/>
    <n v="1"/>
    <n v="1"/>
    <n v="-160"/>
    <n v="960"/>
  </r>
  <r>
    <x v="32"/>
    <s v="conventional_turnover_wacls_41"/>
    <x v="81"/>
    <n v="1"/>
    <n v="1"/>
    <n v="-160"/>
    <n v="960"/>
  </r>
  <r>
    <x v="32"/>
    <s v="conventional_turnover_wacls_42"/>
    <x v="82"/>
    <n v="1"/>
    <n v="1"/>
    <n v="-160"/>
    <n v="960"/>
  </r>
  <r>
    <x v="32"/>
    <s v="conventional_turnover_wacls_43"/>
    <x v="83"/>
    <n v="1"/>
    <n v="1"/>
    <n v="-160"/>
    <n v="960"/>
  </r>
  <r>
    <x v="32"/>
    <s v="conventional_turnover_wacls_44"/>
    <x v="84"/>
    <n v="1"/>
    <n v="1"/>
    <n v="-160"/>
    <n v="960"/>
  </r>
  <r>
    <x v="32"/>
    <s v="conventional_turnover_wacls_45"/>
    <x v="85"/>
    <n v="1"/>
    <n v="1"/>
    <n v="-160"/>
    <n v="960"/>
  </r>
  <r>
    <x v="32"/>
    <s v="conventional_turnover_wacls_46"/>
    <x v="86"/>
    <n v="1"/>
    <n v="1"/>
    <n v="-160"/>
    <n v="960"/>
  </r>
  <r>
    <x v="32"/>
    <s v="conventional_turnover_wacls_47"/>
    <x v="87"/>
    <n v="1"/>
    <n v="1"/>
    <n v="-160"/>
    <n v="960"/>
  </r>
  <r>
    <x v="32"/>
    <s v="conventional_turnover_wacls_48"/>
    <x v="88"/>
    <n v="1"/>
    <n v="1"/>
    <n v="-160"/>
    <n v="960"/>
  </r>
  <r>
    <x v="32"/>
    <s v="conventional_turnover_wacls_49"/>
    <x v="89"/>
    <n v="1"/>
    <n v="1"/>
    <n v="-160"/>
    <n v="960"/>
  </r>
  <r>
    <x v="32"/>
    <s v="conventional_turnover_wacls_50"/>
    <x v="90"/>
    <n v="1"/>
    <n v="1"/>
    <n v="-160"/>
    <n v="960"/>
  </r>
  <r>
    <x v="32"/>
    <s v="conventional_turnover_wacls_51"/>
    <x v="91"/>
    <n v="1"/>
    <n v="1"/>
    <n v="-160"/>
    <n v="960"/>
  </r>
  <r>
    <x v="32"/>
    <s v="conventional_turnover_wacls_52"/>
    <x v="92"/>
    <n v="1"/>
    <n v="1"/>
    <n v="-160"/>
    <n v="960"/>
  </r>
  <r>
    <x v="32"/>
    <s v="conventional_turnover_wacls_53"/>
    <x v="93"/>
    <n v="1"/>
    <n v="1"/>
    <n v="-160"/>
    <n v="960"/>
  </r>
  <r>
    <x v="32"/>
    <s v="conventional_turnover_wacls_54"/>
    <x v="94"/>
    <n v="1"/>
    <n v="1"/>
    <n v="-160"/>
    <n v="960"/>
  </r>
  <r>
    <x v="32"/>
    <s v="conventional_turnover_wacls_55"/>
    <x v="95"/>
    <n v="1"/>
    <n v="1"/>
    <n v="-160"/>
    <n v="960"/>
  </r>
  <r>
    <x v="32"/>
    <s v="conventional_turnover_wacls_56"/>
    <x v="96"/>
    <n v="1"/>
    <n v="1"/>
    <n v="-160"/>
    <n v="960"/>
  </r>
  <r>
    <x v="32"/>
    <s v="conventional_turnover_wacls_57"/>
    <x v="97"/>
    <n v="1"/>
    <n v="1"/>
    <n v="-160"/>
    <n v="960"/>
  </r>
  <r>
    <x v="32"/>
    <s v="conventional_turnover_wacls_58"/>
    <x v="98"/>
    <n v="1"/>
    <n v="1"/>
    <n v="-160"/>
    <n v="960"/>
  </r>
  <r>
    <x v="32"/>
    <s v="conventional_turnover_wacls_59"/>
    <x v="99"/>
    <n v="1"/>
    <n v="1"/>
    <n v="-160"/>
    <n v="960"/>
  </r>
  <r>
    <x v="32"/>
    <s v="conventional_turnover_wacls_60"/>
    <x v="100"/>
    <n v="1"/>
    <n v="1"/>
    <n v="-160"/>
    <n v="960"/>
  </r>
  <r>
    <x v="32"/>
    <s v="conventional_turnover_wacls_61"/>
    <x v="101"/>
    <n v="1"/>
    <n v="1"/>
    <n v="-160"/>
    <n v="960"/>
  </r>
  <r>
    <x v="32"/>
    <s v="conventional_turnover_wacls_62"/>
    <x v="102"/>
    <n v="1"/>
    <n v="1"/>
    <n v="-160"/>
    <n v="960"/>
  </r>
  <r>
    <x v="32"/>
    <s v="conventional_turnover_wacls_63"/>
    <x v="103"/>
    <n v="1"/>
    <n v="1"/>
    <n v="-160"/>
    <n v="960"/>
  </r>
  <r>
    <x v="32"/>
    <s v="conventional_turnover_wacls_64"/>
    <x v="104"/>
    <n v="1"/>
    <n v="1"/>
    <n v="-160"/>
    <n v="960"/>
  </r>
  <r>
    <x v="32"/>
    <s v="conventional_turnover_wacls_65"/>
    <x v="105"/>
    <n v="1"/>
    <n v="1"/>
    <n v="-160"/>
    <n v="960"/>
  </r>
  <r>
    <x v="32"/>
    <s v="conventional_turnover_wacls_66"/>
    <x v="106"/>
    <n v="1"/>
    <n v="1"/>
    <n v="-160"/>
    <n v="960"/>
  </r>
  <r>
    <x v="32"/>
    <s v="conventional_turnover_wacls_67"/>
    <x v="107"/>
    <n v="1"/>
    <n v="1"/>
    <n v="-160"/>
    <n v="960"/>
  </r>
  <r>
    <x v="32"/>
    <s v="conventional_turnover_wacls_68"/>
    <x v="108"/>
    <n v="1"/>
    <n v="1"/>
    <n v="-160"/>
    <n v="960"/>
  </r>
  <r>
    <x v="32"/>
    <s v="conventional_turnover_wacls_69"/>
    <x v="109"/>
    <n v="1"/>
    <n v="1"/>
    <n v="-160"/>
    <n v="960"/>
  </r>
  <r>
    <x v="32"/>
    <s v="conventional_turnover_wacls_70"/>
    <x v="110"/>
    <n v="1"/>
    <n v="1"/>
    <n v="-160"/>
    <n v="960"/>
  </r>
  <r>
    <x v="32"/>
    <s v="conventional_turnover_wacls_71"/>
    <x v="111"/>
    <n v="1"/>
    <n v="1"/>
    <n v="-160"/>
    <n v="960"/>
  </r>
  <r>
    <x v="32"/>
    <s v="conventional_turnover_wacls_72"/>
    <x v="112"/>
    <n v="1"/>
    <n v="1"/>
    <n v="-160"/>
    <n v="960"/>
  </r>
  <r>
    <x v="32"/>
    <s v="conventional_turnover_wacls_73"/>
    <x v="113"/>
    <n v="1"/>
    <n v="1"/>
    <n v="-160"/>
    <n v="960"/>
  </r>
  <r>
    <x v="32"/>
    <s v="conventional_turnover_wacls_74"/>
    <x v="114"/>
    <n v="1"/>
    <n v="1"/>
    <n v="-160"/>
    <n v="960"/>
  </r>
  <r>
    <x v="32"/>
    <s v="conventional_turnover_wacls_75"/>
    <x v="115"/>
    <n v="1"/>
    <n v="1"/>
    <n v="-160"/>
    <n v="960"/>
  </r>
  <r>
    <x v="32"/>
    <s v="conventional_turnover_wacls_76"/>
    <x v="116"/>
    <n v="1"/>
    <n v="1"/>
    <n v="-160"/>
    <n v="960"/>
  </r>
  <r>
    <x v="32"/>
    <s v="conventional_turnover_wacls_77"/>
    <x v="117"/>
    <n v="1"/>
    <n v="1"/>
    <n v="-160"/>
    <n v="960"/>
  </r>
  <r>
    <x v="32"/>
    <s v="conventional_turnover_wacls_78"/>
    <x v="118"/>
    <n v="1"/>
    <n v="1"/>
    <n v="-160"/>
    <n v="960"/>
  </r>
  <r>
    <x v="32"/>
    <s v="conventional_turnover_wacls_79"/>
    <x v="119"/>
    <n v="1"/>
    <n v="1"/>
    <n v="-160"/>
    <n v="960"/>
  </r>
  <r>
    <x v="32"/>
    <s v="conventional_turnover_wacls_80"/>
    <x v="120"/>
    <n v="1"/>
    <n v="1"/>
    <n v="-160"/>
    <n v="960"/>
  </r>
  <r>
    <x v="32"/>
    <s v="conventional_turnover_wacls_81"/>
    <x v="121"/>
    <n v="1"/>
    <n v="1"/>
    <n v="-160"/>
    <n v="960"/>
  </r>
  <r>
    <x v="32"/>
    <s v="conventional_turnover_wacls_82"/>
    <x v="122"/>
    <n v="1"/>
    <n v="1"/>
    <n v="-160"/>
    <n v="960"/>
  </r>
  <r>
    <x v="32"/>
    <s v="conventional_turnover_wacls_83"/>
    <x v="123"/>
    <n v="1"/>
    <n v="1"/>
    <n v="-160"/>
    <n v="960"/>
  </r>
  <r>
    <x v="32"/>
    <s v="conventional_turnover_wacls_84"/>
    <x v="124"/>
    <n v="1"/>
    <n v="1"/>
    <n v="-160"/>
    <n v="960"/>
  </r>
  <r>
    <x v="32"/>
    <s v="conventional_turnover_wacls_85"/>
    <x v="125"/>
    <n v="1"/>
    <n v="1"/>
    <n v="-160"/>
    <n v="960"/>
  </r>
  <r>
    <x v="32"/>
    <s v="conventional_turnover_wacls_86"/>
    <x v="126"/>
    <n v="1"/>
    <n v="1"/>
    <n v="-160"/>
    <n v="960"/>
  </r>
  <r>
    <x v="32"/>
    <s v="conventional_turnover_wacls_87"/>
    <x v="127"/>
    <n v="1"/>
    <n v="1"/>
    <n v="-160"/>
    <n v="960"/>
  </r>
  <r>
    <x v="32"/>
    <s v="conventional_turnover_wacls_88"/>
    <x v="128"/>
    <n v="1"/>
    <n v="1"/>
    <n v="-160"/>
    <n v="960"/>
  </r>
  <r>
    <x v="32"/>
    <s v="conventional_turnover_wacls_89"/>
    <x v="129"/>
    <n v="1"/>
    <n v="1"/>
    <n v="-160"/>
    <n v="960"/>
  </r>
  <r>
    <x v="32"/>
    <s v="conventional_turnover_wacls_90"/>
    <x v="130"/>
    <n v="1"/>
    <n v="1"/>
    <n v="-160"/>
    <n v="960"/>
  </r>
  <r>
    <x v="32"/>
    <s v="conventional_turnover_wacls_91"/>
    <x v="131"/>
    <n v="1"/>
    <n v="1"/>
    <n v="-160"/>
    <n v="960"/>
  </r>
  <r>
    <x v="32"/>
    <s v="conventional_turnover_wacls_92"/>
    <x v="132"/>
    <n v="1"/>
    <n v="1"/>
    <n v="-160"/>
    <n v="960"/>
  </r>
  <r>
    <x v="32"/>
    <s v="conventional_turnover_wacls_93"/>
    <x v="133"/>
    <n v="1"/>
    <n v="1"/>
    <n v="-160"/>
    <n v="960"/>
  </r>
  <r>
    <x v="32"/>
    <s v="conventional_turnover_wacls_94"/>
    <x v="134"/>
    <n v="1"/>
    <n v="1"/>
    <n v="-160"/>
    <n v="960"/>
  </r>
  <r>
    <x v="32"/>
    <s v="conventional_turnover_wacls_95"/>
    <x v="135"/>
    <n v="1"/>
    <n v="1"/>
    <n v="-160"/>
    <n v="960"/>
  </r>
  <r>
    <x v="32"/>
    <s v="conventional_turnover_wacls_96"/>
    <x v="136"/>
    <n v="1"/>
    <n v="1"/>
    <n v="-160"/>
    <n v="960"/>
  </r>
  <r>
    <x v="32"/>
    <s v="conventional_turnover_wacls_97"/>
    <x v="137"/>
    <n v="1"/>
    <n v="1"/>
    <n v="-160"/>
    <n v="960"/>
  </r>
  <r>
    <x v="32"/>
    <s v="conventional_turnover_wacls_98"/>
    <x v="138"/>
    <n v="1"/>
    <n v="1"/>
    <n v="-160"/>
    <n v="960"/>
  </r>
  <r>
    <x v="32"/>
    <s v="conventional_turnover_wacls_99"/>
    <x v="139"/>
    <n v="1"/>
    <n v="1"/>
    <n v="-160"/>
    <n v="960"/>
  </r>
  <r>
    <x v="32"/>
    <s v="conventional_turnover_wacls_100"/>
    <x v="140"/>
    <n v="1"/>
    <n v="1"/>
    <n v="-160"/>
    <n v="960"/>
  </r>
  <r>
    <x v="32"/>
    <s v="conventional_turnover_wacls_101"/>
    <x v="141"/>
    <n v="1"/>
    <n v="1"/>
    <n v="-160"/>
    <n v="960"/>
  </r>
  <r>
    <x v="32"/>
    <s v="conventional_turnover_wacls_102"/>
    <x v="142"/>
    <n v="1"/>
    <n v="1"/>
    <n v="-160"/>
    <n v="960"/>
  </r>
  <r>
    <x v="32"/>
    <s v="conventional_turnover_wacls_103"/>
    <x v="143"/>
    <n v="1"/>
    <n v="1"/>
    <n v="-160"/>
    <n v="960"/>
  </r>
  <r>
    <x v="32"/>
    <s v="conventional_turnover_wacls_104"/>
    <x v="144"/>
    <n v="1"/>
    <n v="1"/>
    <n v="-160"/>
    <n v="960"/>
  </r>
  <r>
    <x v="32"/>
    <s v="conventional_turnover_wacls_105"/>
    <x v="145"/>
    <n v="1"/>
    <n v="1"/>
    <n v="-160"/>
    <n v="960"/>
  </r>
  <r>
    <x v="32"/>
    <s v="conventional_turnover_wacls_106"/>
    <x v="146"/>
    <n v="1"/>
    <n v="1"/>
    <n v="-160"/>
    <n v="960"/>
  </r>
  <r>
    <x v="32"/>
    <s v="conventional_turnover_wacls_107"/>
    <x v="147"/>
    <n v="1"/>
    <n v="1"/>
    <n v="-160"/>
    <n v="960"/>
  </r>
  <r>
    <x v="32"/>
    <s v="conventional_turnover_wacls_108"/>
    <x v="148"/>
    <n v="1"/>
    <n v="1"/>
    <n v="-160"/>
    <n v="960"/>
  </r>
  <r>
    <x v="32"/>
    <s v="conventional_turnover_wacls_109"/>
    <x v="149"/>
    <n v="1"/>
    <n v="1"/>
    <n v="-160"/>
    <n v="960"/>
  </r>
  <r>
    <x v="32"/>
    <s v="conventional_turnover_wacls_110"/>
    <x v="150"/>
    <n v="1"/>
    <n v="1"/>
    <n v="-160"/>
    <n v="960"/>
  </r>
  <r>
    <x v="32"/>
    <s v="conventional_turnover_wacls_111"/>
    <x v="151"/>
    <n v="1"/>
    <n v="1"/>
    <n v="-160"/>
    <n v="960"/>
  </r>
  <r>
    <x v="32"/>
    <s v="conventional_turnover_wacls_112"/>
    <x v="152"/>
    <n v="1"/>
    <n v="1"/>
    <n v="-160"/>
    <n v="960"/>
  </r>
  <r>
    <x v="32"/>
    <s v="conventional_turnover_wacls_113"/>
    <x v="153"/>
    <n v="1"/>
    <n v="1"/>
    <n v="-160"/>
    <n v="960"/>
  </r>
  <r>
    <x v="32"/>
    <s v="conventional_turnover_wacls_114"/>
    <x v="154"/>
    <n v="1"/>
    <n v="1"/>
    <n v="-160"/>
    <n v="960"/>
  </r>
  <r>
    <x v="32"/>
    <s v="conventional_turnover_wacls_115"/>
    <x v="155"/>
    <n v="1"/>
    <n v="1"/>
    <n v="-160"/>
    <n v="960"/>
  </r>
  <r>
    <x v="32"/>
    <s v="conventional_turnover_wacls_116"/>
    <x v="156"/>
    <n v="1"/>
    <n v="1"/>
    <n v="-160"/>
    <n v="960"/>
  </r>
  <r>
    <x v="32"/>
    <s v="conventional_turnover_wacls_117"/>
    <x v="157"/>
    <n v="1"/>
    <n v="1"/>
    <n v="-160"/>
    <n v="960"/>
  </r>
  <r>
    <x v="32"/>
    <s v="conventional_turnover_wacls_118"/>
    <x v="158"/>
    <n v="1"/>
    <n v="1"/>
    <n v="-160"/>
    <n v="960"/>
  </r>
  <r>
    <x v="32"/>
    <s v="conventional_turnover_wacls_119"/>
    <x v="159"/>
    <n v="1"/>
    <n v="1"/>
    <n v="-160"/>
    <n v="960"/>
  </r>
  <r>
    <x v="32"/>
    <s v="conventional_turnover_wacls_120"/>
    <x v="160"/>
    <n v="1"/>
    <n v="1"/>
    <n v="-160"/>
    <n v="960"/>
  </r>
  <r>
    <x v="32"/>
    <s v="conventional_turnover_wacls_121"/>
    <x v="161"/>
    <n v="1"/>
    <n v="1"/>
    <n v="-160"/>
    <n v="960"/>
  </r>
  <r>
    <x v="32"/>
    <s v="conventional_turnover_wacls_122"/>
    <x v="162"/>
    <n v="1"/>
    <n v="1"/>
    <n v="-160"/>
    <n v="960"/>
  </r>
  <r>
    <x v="32"/>
    <s v="conventional_turnover_wacls_123"/>
    <x v="163"/>
    <n v="1"/>
    <n v="1"/>
    <n v="-160"/>
    <n v="960"/>
  </r>
  <r>
    <x v="32"/>
    <s v="conventional_turnover_wacls_124"/>
    <x v="164"/>
    <n v="1"/>
    <n v="1"/>
    <n v="-160"/>
    <n v="960"/>
  </r>
  <r>
    <x v="32"/>
    <s v="conventional_turnover_wacls_125"/>
    <x v="165"/>
    <n v="1"/>
    <n v="1"/>
    <n v="-160"/>
    <n v="960"/>
  </r>
  <r>
    <x v="32"/>
    <s v="conventional_turnover_wacls_126"/>
    <x v="166"/>
    <n v="1"/>
    <n v="1"/>
    <n v="-160"/>
    <n v="960"/>
  </r>
  <r>
    <x v="32"/>
    <s v="conventional_turnover_wacls_127"/>
    <x v="167"/>
    <n v="1"/>
    <n v="1"/>
    <n v="-160"/>
    <n v="960"/>
  </r>
  <r>
    <x v="32"/>
    <s v="conventional_turnover_wacls_128"/>
    <x v="168"/>
    <n v="1"/>
    <n v="1"/>
    <n v="-160"/>
    <n v="960"/>
  </r>
  <r>
    <x v="32"/>
    <s v="conventional_turnover_wacls_129"/>
    <x v="169"/>
    <n v="1"/>
    <n v="1"/>
    <n v="-160"/>
    <n v="960"/>
  </r>
  <r>
    <x v="32"/>
    <s v="conventional_turnover_wacls_130"/>
    <x v="170"/>
    <n v="1"/>
    <n v="1"/>
    <n v="-160"/>
    <n v="960"/>
  </r>
  <r>
    <x v="32"/>
    <s v="conventional_turnover_wacls_131"/>
    <x v="171"/>
    <n v="1"/>
    <n v="1"/>
    <n v="-160"/>
    <n v="960"/>
  </r>
  <r>
    <x v="32"/>
    <s v="conventional_turnover_wacls_132"/>
    <x v="172"/>
    <n v="1"/>
    <n v="1"/>
    <n v="-160"/>
    <n v="960"/>
  </r>
  <r>
    <x v="32"/>
    <s v="conventional_turnover_wacls_133"/>
    <x v="173"/>
    <n v="1"/>
    <n v="1"/>
    <n v="-160"/>
    <n v="960"/>
  </r>
  <r>
    <x v="32"/>
    <s v="conventional_turnover_wacls_134"/>
    <x v="174"/>
    <n v="1"/>
    <n v="1"/>
    <n v="-160"/>
    <n v="960"/>
  </r>
  <r>
    <x v="32"/>
    <s v="conventional_turnover_wacls_135"/>
    <x v="175"/>
    <n v="1"/>
    <n v="1"/>
    <n v="-160"/>
    <n v="960"/>
  </r>
  <r>
    <x v="32"/>
    <s v="conventional_turnover_wacls_136"/>
    <x v="176"/>
    <n v="1"/>
    <n v="1"/>
    <n v="-160"/>
    <n v="960"/>
  </r>
  <r>
    <x v="32"/>
    <s v="conventional_turnover_wacls_137"/>
    <x v="177"/>
    <n v="1"/>
    <n v="1"/>
    <n v="-160"/>
    <n v="960"/>
  </r>
  <r>
    <x v="32"/>
    <s v="conventional_turnover_wacls_138"/>
    <x v="178"/>
    <n v="1"/>
    <n v="1"/>
    <n v="-160"/>
    <n v="960"/>
  </r>
  <r>
    <x v="32"/>
    <s v="conventional_turnover_wacls_139"/>
    <x v="179"/>
    <n v="1"/>
    <n v="1"/>
    <n v="-160"/>
    <n v="960"/>
  </r>
  <r>
    <x v="32"/>
    <s v="conventional_turnover_wacls_140"/>
    <x v="180"/>
    <n v="1"/>
    <n v="1"/>
    <n v="-160"/>
    <n v="960"/>
  </r>
  <r>
    <x v="32"/>
    <s v="conventional_turnover_wacls_141"/>
    <x v="181"/>
    <n v="1"/>
    <n v="1"/>
    <n v="-160"/>
    <n v="960"/>
  </r>
  <r>
    <x v="32"/>
    <s v="conventional_turnover_wacls_142"/>
    <x v="182"/>
    <n v="1"/>
    <n v="1"/>
    <n v="-160"/>
    <n v="960"/>
  </r>
  <r>
    <x v="32"/>
    <s v="conventional_turnover_wacls_143"/>
    <x v="183"/>
    <n v="1"/>
    <n v="1"/>
    <n v="-160"/>
    <n v="960"/>
  </r>
  <r>
    <x v="32"/>
    <s v="conventional_turnover_wacls_144"/>
    <x v="184"/>
    <n v="1"/>
    <n v="1"/>
    <n v="-160"/>
    <n v="960"/>
  </r>
  <r>
    <x v="32"/>
    <s v="conventional_turnover_wacls_145"/>
    <x v="185"/>
    <n v="1"/>
    <n v="1"/>
    <n v="-160"/>
    <n v="960"/>
  </r>
  <r>
    <x v="32"/>
    <s v="conventional_turnover_wacls_146"/>
    <x v="186"/>
    <n v="1"/>
    <n v="1"/>
    <n v="-160"/>
    <n v="960"/>
  </r>
  <r>
    <x v="32"/>
    <s v="conventional_turnover_wacls_147"/>
    <x v="187"/>
    <n v="1"/>
    <n v="1"/>
    <n v="-160"/>
    <n v="960"/>
  </r>
  <r>
    <x v="32"/>
    <s v="conventional_turnover_wacls_148"/>
    <x v="188"/>
    <n v="1"/>
    <n v="1"/>
    <n v="-160"/>
    <n v="960"/>
  </r>
  <r>
    <x v="32"/>
    <s v="conventional_turnover_wacls_149"/>
    <x v="189"/>
    <n v="1"/>
    <n v="1"/>
    <n v="-160"/>
    <n v="960"/>
  </r>
  <r>
    <x v="32"/>
    <s v="conventional_turnover_wacls_150"/>
    <x v="190"/>
    <n v="1"/>
    <n v="1"/>
    <n v="-160"/>
    <n v="960"/>
  </r>
  <r>
    <x v="32"/>
    <s v="conventional_turnover_wacls_151"/>
    <x v="191"/>
    <n v="1"/>
    <n v="1"/>
    <n v="-160"/>
    <n v="960"/>
  </r>
  <r>
    <x v="32"/>
    <s v="conventional_turnover_wacls_152"/>
    <x v="192"/>
    <n v="1"/>
    <n v="1"/>
    <n v="-160"/>
    <n v="960"/>
  </r>
  <r>
    <x v="32"/>
    <s v="conventional_turnover_wacls_153"/>
    <x v="193"/>
    <n v="1"/>
    <n v="1"/>
    <n v="-160"/>
    <n v="960"/>
  </r>
  <r>
    <x v="32"/>
    <s v="conventional_turnover_wacls_154"/>
    <x v="194"/>
    <n v="1"/>
    <n v="1"/>
    <n v="-160"/>
    <n v="960"/>
  </r>
  <r>
    <x v="32"/>
    <s v="conventional_turnover_wacls_155"/>
    <x v="195"/>
    <n v="1"/>
    <n v="1"/>
    <n v="-160"/>
    <n v="960"/>
  </r>
  <r>
    <x v="32"/>
    <s v="conventional_turnover_wacls_156"/>
    <x v="196"/>
    <n v="1"/>
    <n v="1"/>
    <n v="-160"/>
    <n v="960"/>
  </r>
  <r>
    <x v="32"/>
    <s v="conventional_turnover_wacls_157"/>
    <x v="197"/>
    <n v="1"/>
    <n v="1"/>
    <n v="-160"/>
    <n v="960"/>
  </r>
  <r>
    <x v="32"/>
    <s v="conventional_turnover_wacls_158"/>
    <x v="198"/>
    <n v="1"/>
    <n v="1"/>
    <n v="-160"/>
    <n v="960"/>
  </r>
  <r>
    <x v="32"/>
    <s v="conventional_turnover_wacls_159"/>
    <x v="199"/>
    <n v="1"/>
    <n v="1"/>
    <n v="-160"/>
    <n v="960"/>
  </r>
  <r>
    <x v="32"/>
    <s v="conventional_turnover_wacls_160"/>
    <x v="200"/>
    <n v="1"/>
    <n v="1"/>
    <n v="-160"/>
    <n v="960"/>
  </r>
  <r>
    <x v="32"/>
    <s v="conventional_turnover_wacls_161"/>
    <x v="201"/>
    <n v="1"/>
    <n v="1"/>
    <n v="-160"/>
    <n v="960"/>
  </r>
  <r>
    <x v="32"/>
    <s v="conventional_turnover_wacls_162"/>
    <x v="202"/>
    <n v="1"/>
    <n v="1"/>
    <n v="-160"/>
    <n v="960"/>
  </r>
  <r>
    <x v="32"/>
    <s v="conventional_turnover_wacls_163"/>
    <x v="203"/>
    <n v="1"/>
    <n v="1"/>
    <n v="-160"/>
    <n v="960"/>
  </r>
  <r>
    <x v="32"/>
    <s v="conventional_turnover_wacls_164"/>
    <x v="204"/>
    <n v="1"/>
    <n v="1"/>
    <n v="-160"/>
    <n v="960"/>
  </r>
  <r>
    <x v="32"/>
    <s v="conventional_turnover_wacls_165"/>
    <x v="205"/>
    <n v="1"/>
    <n v="1"/>
    <n v="-160"/>
    <n v="960"/>
  </r>
  <r>
    <x v="32"/>
    <s v="conventional_turnover_wacls_166"/>
    <x v="206"/>
    <n v="1"/>
    <n v="1"/>
    <n v="-160"/>
    <n v="960"/>
  </r>
  <r>
    <x v="32"/>
    <s v="conventional_turnover_wacls_167"/>
    <x v="207"/>
    <n v="1"/>
    <n v="1"/>
    <n v="-160"/>
    <n v="960"/>
  </r>
  <r>
    <x v="32"/>
    <s v="conventional_turnover_wacls_168"/>
    <x v="208"/>
    <n v="1"/>
    <n v="1"/>
    <n v="-160"/>
    <n v="960"/>
  </r>
  <r>
    <x v="32"/>
    <s v="conventional_turnover_wacls_169"/>
    <x v="209"/>
    <n v="1"/>
    <n v="1"/>
    <n v="-160"/>
    <n v="960"/>
  </r>
  <r>
    <x v="32"/>
    <s v="conventional_turnover_wacls_170"/>
    <x v="210"/>
    <n v="1"/>
    <n v="1"/>
    <n v="-160"/>
    <n v="960"/>
  </r>
  <r>
    <x v="32"/>
    <s v="conventional_turnover_wacls_171"/>
    <x v="211"/>
    <n v="1"/>
    <n v="1"/>
    <n v="-160"/>
    <n v="960"/>
  </r>
  <r>
    <x v="32"/>
    <s v="conventional_turnover_wacls_172"/>
    <x v="212"/>
    <n v="1"/>
    <n v="1"/>
    <n v="-160"/>
    <n v="960"/>
  </r>
  <r>
    <x v="32"/>
    <s v="conventional_turnover_wacls_173"/>
    <x v="213"/>
    <n v="1"/>
    <n v="1"/>
    <n v="-160"/>
    <n v="960"/>
  </r>
  <r>
    <x v="32"/>
    <s v="conventional_turnover_wacls_174"/>
    <x v="214"/>
    <n v="1"/>
    <n v="1"/>
    <n v="-160"/>
    <n v="960"/>
  </r>
  <r>
    <x v="32"/>
    <s v="conventional_turnover_wacls_175"/>
    <x v="215"/>
    <n v="1"/>
    <n v="1"/>
    <n v="-160"/>
    <n v="960"/>
  </r>
  <r>
    <x v="32"/>
    <s v="conventional_turnover_wacls_176"/>
    <x v="216"/>
    <n v="1"/>
    <n v="1"/>
    <n v="-160"/>
    <n v="960"/>
  </r>
  <r>
    <x v="32"/>
    <s v="conventional_turnover_wacls_177"/>
    <x v="217"/>
    <n v="1"/>
    <n v="1"/>
    <n v="-160"/>
    <n v="960"/>
  </r>
  <r>
    <x v="32"/>
    <s v="conventional_turnover_wacls_178"/>
    <x v="218"/>
    <n v="1"/>
    <n v="1"/>
    <n v="-160"/>
    <n v="960"/>
  </r>
  <r>
    <x v="32"/>
    <s v="conventional_turnover_wacls_179"/>
    <x v="219"/>
    <n v="1"/>
    <n v="1"/>
    <n v="-160"/>
    <n v="960"/>
  </r>
  <r>
    <x v="32"/>
    <s v="conventional_turnover_wacls_180"/>
    <x v="220"/>
    <n v="1"/>
    <n v="1"/>
    <n v="-160"/>
    <n v="960"/>
  </r>
  <r>
    <x v="32"/>
    <s v="conventional_turnover_wacls_181"/>
    <x v="221"/>
    <n v="1"/>
    <n v="1"/>
    <n v="-160"/>
    <n v="960"/>
  </r>
  <r>
    <x v="32"/>
    <s v="conventional_turnover_wacls_182"/>
    <x v="222"/>
    <n v="1"/>
    <n v="1"/>
    <n v="-160"/>
    <n v="960"/>
  </r>
  <r>
    <x v="32"/>
    <s v="conventional_turnover_wacls_183"/>
    <x v="223"/>
    <n v="1"/>
    <n v="1"/>
    <n v="-160"/>
    <n v="960"/>
  </r>
  <r>
    <x v="32"/>
    <s v="conventional_turnover_wacls_184"/>
    <x v="224"/>
    <n v="1"/>
    <n v="1"/>
    <n v="-160"/>
    <n v="960"/>
  </r>
  <r>
    <x v="32"/>
    <s v="conventional_turnover_wacls_185"/>
    <x v="225"/>
    <n v="1"/>
    <n v="1"/>
    <n v="-160"/>
    <n v="960"/>
  </r>
  <r>
    <x v="32"/>
    <s v="conventional_turnover_wacls_186"/>
    <x v="226"/>
    <n v="1"/>
    <n v="1"/>
    <n v="-160"/>
    <n v="960"/>
  </r>
  <r>
    <x v="32"/>
    <s v="conventional_turnover_wacls_187"/>
    <x v="227"/>
    <n v="1"/>
    <n v="1"/>
    <n v="-160"/>
    <n v="960"/>
  </r>
  <r>
    <x v="32"/>
    <s v="conventional_turnover_wacls_188"/>
    <x v="228"/>
    <n v="1"/>
    <n v="1"/>
    <n v="-160"/>
    <n v="960"/>
  </r>
  <r>
    <x v="32"/>
    <s v="conventional_turnover_wacls_189"/>
    <x v="229"/>
    <n v="1"/>
    <n v="1"/>
    <n v="-160"/>
    <n v="960"/>
  </r>
  <r>
    <x v="32"/>
    <s v="conventional_turnover_wacls_190"/>
    <x v="230"/>
    <n v="1"/>
    <n v="1"/>
    <n v="-160"/>
    <n v="960"/>
  </r>
  <r>
    <x v="32"/>
    <s v="conventional_turnover_wacls_191"/>
    <x v="231"/>
    <n v="1"/>
    <n v="1"/>
    <n v="-160"/>
    <n v="960"/>
  </r>
  <r>
    <x v="32"/>
    <s v="conventional_turnover_wacls_192"/>
    <x v="232"/>
    <n v="1"/>
    <n v="1"/>
    <n v="-160"/>
    <n v="960"/>
  </r>
  <r>
    <x v="32"/>
    <s v="conventional_turnover_wacls_193"/>
    <x v="233"/>
    <n v="1"/>
    <n v="1"/>
    <n v="-160"/>
    <n v="960"/>
  </r>
  <r>
    <x v="32"/>
    <s v="conventional_turnover_wacls_194"/>
    <x v="234"/>
    <n v="1"/>
    <n v="1"/>
    <n v="-160"/>
    <n v="960"/>
  </r>
  <r>
    <x v="32"/>
    <s v="conventional_turnover_wacls_195"/>
    <x v="235"/>
    <n v="1"/>
    <n v="1"/>
    <n v="-160"/>
    <n v="960"/>
  </r>
  <r>
    <x v="32"/>
    <s v="conventional_turnover_wacls_196"/>
    <x v="236"/>
    <n v="1"/>
    <n v="1"/>
    <n v="-160"/>
    <n v="960"/>
  </r>
  <r>
    <x v="32"/>
    <s v="conventional_turnover_wacls_197"/>
    <x v="237"/>
    <n v="1"/>
    <n v="1"/>
    <n v="-160"/>
    <n v="960"/>
  </r>
  <r>
    <x v="32"/>
    <s v="conventional_turnover_wacls_198"/>
    <x v="238"/>
    <n v="1"/>
    <n v="1"/>
    <n v="-160"/>
    <n v="960"/>
  </r>
  <r>
    <x v="32"/>
    <s v="conventional_turnover_wacls_199"/>
    <x v="239"/>
    <n v="1"/>
    <n v="1"/>
    <n v="-160"/>
    <n v="960"/>
  </r>
  <r>
    <x v="32"/>
    <s v="conventional_turnover_wacls_200"/>
    <x v="240"/>
    <n v="1"/>
    <n v="1"/>
    <n v="-160"/>
    <n v="960"/>
  </r>
  <r>
    <x v="32"/>
    <s v="conventional_turnover_wacls_201"/>
    <x v="241"/>
    <n v="1"/>
    <n v="1"/>
    <n v="-160"/>
    <n v="960"/>
  </r>
  <r>
    <x v="32"/>
    <s v="conventional_turnover_wacls_202"/>
    <x v="242"/>
    <n v="1"/>
    <n v="1"/>
    <n v="-160"/>
    <n v="960"/>
  </r>
  <r>
    <x v="32"/>
    <s v="conventional_turnover_wacls_203"/>
    <x v="243"/>
    <n v="1"/>
    <n v="1"/>
    <n v="-160"/>
    <n v="960"/>
  </r>
  <r>
    <x v="32"/>
    <s v="conventional_turnover_wacls_204"/>
    <x v="244"/>
    <n v="1"/>
    <n v="1"/>
    <n v="-160"/>
    <n v="960"/>
  </r>
  <r>
    <x v="32"/>
    <s v="conventional_turnover_wacls_205"/>
    <x v="245"/>
    <n v="1"/>
    <n v="1"/>
    <n v="-160"/>
    <n v="960"/>
  </r>
  <r>
    <x v="32"/>
    <s v="conventional_turnover_wacls_206"/>
    <x v="246"/>
    <n v="1"/>
    <n v="1"/>
    <n v="-160"/>
    <n v="960"/>
  </r>
  <r>
    <x v="32"/>
    <s v="conventional_turnover_wacls_207"/>
    <x v="247"/>
    <n v="1"/>
    <n v="1"/>
    <n v="-160"/>
    <n v="960"/>
  </r>
  <r>
    <x v="32"/>
    <s v="conventional_turnover_wacls_208"/>
    <x v="248"/>
    <n v="1"/>
    <n v="1"/>
    <n v="-160"/>
    <n v="960"/>
  </r>
  <r>
    <x v="32"/>
    <s v="conventional_turnover_wacls_209"/>
    <x v="249"/>
    <n v="1"/>
    <n v="1"/>
    <n v="-160"/>
    <n v="960"/>
  </r>
  <r>
    <x v="32"/>
    <s v="conventional_turnover_wacls_210"/>
    <x v="250"/>
    <n v="1"/>
    <n v="1"/>
    <n v="-160"/>
    <n v="960"/>
  </r>
  <r>
    <x v="32"/>
    <s v="conventional_turnover_wacls_211"/>
    <x v="251"/>
    <n v="1"/>
    <n v="1"/>
    <n v="-160"/>
    <n v="960"/>
  </r>
  <r>
    <x v="32"/>
    <s v="conventional_turnover_wacls_212"/>
    <x v="252"/>
    <n v="1"/>
    <n v="1"/>
    <n v="-160"/>
    <n v="960"/>
  </r>
  <r>
    <x v="32"/>
    <s v="conventional_turnover_wacls_213"/>
    <x v="253"/>
    <n v="1"/>
    <n v="1"/>
    <n v="-160"/>
    <n v="960"/>
  </r>
  <r>
    <x v="32"/>
    <s v="conventional_turnover_wacls_214"/>
    <x v="254"/>
    <n v="1"/>
    <n v="1"/>
    <n v="-160"/>
    <n v="960"/>
  </r>
  <r>
    <x v="32"/>
    <s v="conventional_turnover_wacls_215"/>
    <x v="255"/>
    <n v="1"/>
    <n v="1"/>
    <n v="-160"/>
    <n v="960"/>
  </r>
  <r>
    <x v="32"/>
    <s v="conventional_turnover_wacls_216"/>
    <x v="256"/>
    <n v="1"/>
    <n v="1"/>
    <n v="-160"/>
    <n v="960"/>
  </r>
  <r>
    <x v="32"/>
    <s v="conventional_turnover_wacls_217"/>
    <x v="257"/>
    <n v="1"/>
    <n v="1"/>
    <n v="-160"/>
    <n v="960"/>
  </r>
  <r>
    <x v="32"/>
    <s v="conventional_turnover_wacls_218"/>
    <x v="258"/>
    <n v="1"/>
    <n v="1"/>
    <n v="-160"/>
    <n v="960"/>
  </r>
  <r>
    <x v="32"/>
    <s v="conventional_turnover_wacls_219"/>
    <x v="259"/>
    <n v="1"/>
    <n v="1"/>
    <n v="-160"/>
    <n v="960"/>
  </r>
  <r>
    <x v="32"/>
    <s v="conventional_turnover_wacls_220"/>
    <x v="260"/>
    <n v="1"/>
    <n v="1"/>
    <n v="-160"/>
    <n v="960"/>
  </r>
  <r>
    <x v="32"/>
    <s v="conventional_turnover_wacls_221"/>
    <x v="261"/>
    <n v="1"/>
    <n v="1"/>
    <n v="-160"/>
    <n v="960"/>
  </r>
  <r>
    <x v="32"/>
    <s v="conventional_turnover_wacls_222"/>
    <x v="262"/>
    <n v="1"/>
    <n v="1"/>
    <n v="-160"/>
    <n v="960"/>
  </r>
  <r>
    <x v="32"/>
    <s v="conventional_turnover_wacls_223"/>
    <x v="263"/>
    <n v="1"/>
    <n v="1"/>
    <n v="-160"/>
    <n v="960"/>
  </r>
  <r>
    <x v="32"/>
    <s v="conventional_turnover_wacls_224"/>
    <x v="264"/>
    <n v="1"/>
    <n v="1"/>
    <n v="-160"/>
    <n v="960"/>
  </r>
  <r>
    <x v="32"/>
    <s v="conventional_turnover_wacls_225"/>
    <x v="265"/>
    <n v="1"/>
    <n v="1"/>
    <n v="-160"/>
    <n v="960"/>
  </r>
  <r>
    <x v="32"/>
    <s v="conventional_turnover_wacls_226"/>
    <x v="266"/>
    <n v="1"/>
    <n v="1"/>
    <n v="-160"/>
    <n v="960"/>
  </r>
  <r>
    <x v="32"/>
    <s v="conventional_turnover_wacls_227"/>
    <x v="267"/>
    <n v="1"/>
    <n v="1"/>
    <n v="-160"/>
    <n v="960"/>
  </r>
  <r>
    <x v="32"/>
    <s v="conventional_turnover_wacls_228"/>
    <x v="268"/>
    <n v="1"/>
    <n v="1"/>
    <n v="-160"/>
    <n v="960"/>
  </r>
  <r>
    <x v="32"/>
    <s v="conventional_turnover_wacls_229"/>
    <x v="269"/>
    <n v="1"/>
    <n v="1"/>
    <n v="-160"/>
    <n v="960"/>
  </r>
  <r>
    <x v="32"/>
    <s v="conventional_turnover_wacls_230"/>
    <x v="270"/>
    <n v="1"/>
    <n v="1"/>
    <n v="-160"/>
    <n v="960"/>
  </r>
  <r>
    <x v="32"/>
    <s v="conventional_turnover_wacls_231"/>
    <x v="271"/>
    <n v="1"/>
    <n v="1"/>
    <n v="-160"/>
    <n v="960"/>
  </r>
  <r>
    <x v="32"/>
    <s v="conventional_turnover_wacls_232"/>
    <x v="272"/>
    <n v="1"/>
    <n v="1"/>
    <n v="-160"/>
    <n v="960"/>
  </r>
  <r>
    <x v="32"/>
    <s v="conventional_turnover_wacls_233"/>
    <x v="273"/>
    <n v="1"/>
    <n v="1"/>
    <n v="-160"/>
    <n v="960"/>
  </r>
  <r>
    <x v="32"/>
    <s v="conventional_turnover_wacls_234"/>
    <x v="274"/>
    <n v="1"/>
    <n v="1"/>
    <n v="-160"/>
    <n v="960"/>
  </r>
  <r>
    <x v="32"/>
    <s v="conventional_turnover_wacls_235"/>
    <x v="275"/>
    <n v="1"/>
    <n v="1"/>
    <n v="-160"/>
    <n v="960"/>
  </r>
  <r>
    <x v="32"/>
    <s v="conventional_turnover_wacls_236"/>
    <x v="276"/>
    <n v="1"/>
    <n v="1"/>
    <n v="-160"/>
    <n v="960"/>
  </r>
  <r>
    <x v="32"/>
    <s v="conventional_turnover_wacls_237"/>
    <x v="277"/>
    <n v="1"/>
    <n v="1"/>
    <n v="-160"/>
    <n v="960"/>
  </r>
  <r>
    <x v="32"/>
    <s v="conventional_turnover_wacls_238"/>
    <x v="278"/>
    <n v="1"/>
    <n v="1"/>
    <n v="-160"/>
    <n v="960"/>
  </r>
  <r>
    <x v="32"/>
    <s v="conventional_turnover_wacls_239"/>
    <x v="279"/>
    <n v="1"/>
    <n v="1"/>
    <n v="-160"/>
    <n v="960"/>
  </r>
  <r>
    <x v="32"/>
    <s v="conventional_turnover_wacls_240"/>
    <x v="280"/>
    <n v="1"/>
    <n v="1"/>
    <n v="-160"/>
    <n v="960"/>
  </r>
  <r>
    <x v="32"/>
    <s v="conventional_turnover_wacls_241"/>
    <x v="281"/>
    <n v="1"/>
    <n v="1"/>
    <n v="-160"/>
    <n v="960"/>
  </r>
  <r>
    <x v="32"/>
    <s v="conventional_turnover_wacls_242"/>
    <x v="282"/>
    <n v="1"/>
    <n v="1"/>
    <n v="-160"/>
    <n v="960"/>
  </r>
  <r>
    <x v="32"/>
    <s v="conventional_turnover_wacls_243"/>
    <x v="283"/>
    <n v="1"/>
    <n v="1"/>
    <n v="-160"/>
    <n v="960"/>
  </r>
  <r>
    <x v="32"/>
    <s v="conventional_turnover_wacls_244"/>
    <x v="284"/>
    <n v="1"/>
    <n v="1"/>
    <n v="-160"/>
    <n v="960"/>
  </r>
  <r>
    <x v="32"/>
    <s v="conventional_turnover_wacls_245"/>
    <x v="285"/>
    <n v="1"/>
    <n v="1"/>
    <n v="-160"/>
    <n v="960"/>
  </r>
  <r>
    <x v="32"/>
    <s v="conventional_turnover_wacls_246"/>
    <x v="286"/>
    <n v="1"/>
    <n v="1"/>
    <n v="-160"/>
    <n v="960"/>
  </r>
  <r>
    <x v="32"/>
    <s v="conventional_turnover_wacls_247"/>
    <x v="287"/>
    <n v="1"/>
    <n v="1"/>
    <n v="-160"/>
    <n v="960"/>
  </r>
  <r>
    <x v="32"/>
    <s v="conventional_turnover_wacls_248"/>
    <x v="288"/>
    <n v="1"/>
    <n v="1"/>
    <n v="-160"/>
    <n v="960"/>
  </r>
  <r>
    <x v="32"/>
    <s v="conventional_turnover_wacls_249"/>
    <x v="289"/>
    <n v="1"/>
    <n v="1"/>
    <n v="-160"/>
    <n v="960"/>
  </r>
  <r>
    <x v="32"/>
    <s v="conventional_turnover_wacls_250"/>
    <x v="290"/>
    <n v="1"/>
    <n v="1"/>
    <n v="-160"/>
    <n v="960"/>
  </r>
  <r>
    <x v="32"/>
    <s v="conventional_turnover_wacls_251"/>
    <x v="291"/>
    <n v="1"/>
    <n v="1"/>
    <n v="-160"/>
    <n v="960"/>
  </r>
  <r>
    <x v="32"/>
    <s v="conventional_turnover_wacls_252"/>
    <x v="292"/>
    <n v="1"/>
    <n v="1"/>
    <n v="-160"/>
    <n v="960"/>
  </r>
  <r>
    <x v="32"/>
    <s v="conventional_turnover_wacls_253"/>
    <x v="293"/>
    <n v="1"/>
    <n v="1"/>
    <n v="-160"/>
    <n v="960"/>
  </r>
  <r>
    <x v="32"/>
    <s v="conventional_turnover_wacls_254"/>
    <x v="294"/>
    <n v="1"/>
    <n v="1"/>
    <n v="-160"/>
    <n v="960"/>
  </r>
  <r>
    <x v="32"/>
    <s v="conventional_turnover_wacls_255"/>
    <x v="295"/>
    <n v="1"/>
    <n v="1"/>
    <n v="-160"/>
    <n v="960"/>
  </r>
  <r>
    <x v="32"/>
    <s v="conventional_turnover_wacls_256"/>
    <x v="296"/>
    <n v="1"/>
    <n v="1"/>
    <n v="-160"/>
    <n v="960"/>
  </r>
  <r>
    <x v="32"/>
    <s v="conventional_turnover_wacls_257"/>
    <x v="297"/>
    <n v="1"/>
    <n v="1"/>
    <n v="-160"/>
    <n v="960"/>
  </r>
  <r>
    <x v="32"/>
    <s v="conventional_turnover_wacls_258"/>
    <x v="298"/>
    <n v="1"/>
    <n v="1"/>
    <n v="-160"/>
    <n v="960"/>
  </r>
  <r>
    <x v="32"/>
    <s v="conventional_turnover_wacls_259"/>
    <x v="299"/>
    <n v="1"/>
    <n v="1"/>
    <n v="-160"/>
    <n v="960"/>
  </r>
  <r>
    <x v="32"/>
    <s v="conventional_turnover_wacls_260"/>
    <x v="300"/>
    <n v="1"/>
    <n v="1"/>
    <n v="-160"/>
    <n v="960"/>
  </r>
  <r>
    <x v="32"/>
    <s v="conventional_turnover_wacls_261"/>
    <x v="301"/>
    <n v="1"/>
    <n v="1"/>
    <n v="-160"/>
    <n v="960"/>
  </r>
  <r>
    <x v="32"/>
    <s v="conventional_turnover_wacls_262"/>
    <x v="302"/>
    <n v="1"/>
    <n v="1"/>
    <n v="-160"/>
    <n v="960"/>
  </r>
  <r>
    <x v="32"/>
    <s v="conventional_turnover_wacls_263"/>
    <x v="303"/>
    <n v="1"/>
    <n v="1"/>
    <n v="-160"/>
    <n v="960"/>
  </r>
  <r>
    <x v="32"/>
    <s v="conventional_turnover_wacls_264"/>
    <x v="304"/>
    <n v="1"/>
    <n v="1"/>
    <n v="-160"/>
    <n v="960"/>
  </r>
  <r>
    <x v="32"/>
    <s v="conventional_turnover_wacls_265"/>
    <x v="305"/>
    <n v="1"/>
    <n v="1"/>
    <n v="-160"/>
    <n v="960"/>
  </r>
  <r>
    <x v="32"/>
    <s v="conventional_turnover_wacls_266"/>
    <x v="306"/>
    <n v="1"/>
    <n v="1"/>
    <n v="-160"/>
    <n v="960"/>
  </r>
  <r>
    <x v="32"/>
    <s v="conventional_turnover_wacls_267"/>
    <x v="307"/>
    <n v="1"/>
    <n v="1"/>
    <n v="-160"/>
    <n v="960"/>
  </r>
  <r>
    <x v="32"/>
    <s v="conventional_turnover_wacls_268"/>
    <x v="308"/>
    <n v="1"/>
    <n v="1"/>
    <n v="-160"/>
    <n v="960"/>
  </r>
  <r>
    <x v="32"/>
    <s v="conventional_turnover_wacls_269"/>
    <x v="309"/>
    <n v="1"/>
    <n v="1"/>
    <n v="-160"/>
    <n v="960"/>
  </r>
  <r>
    <x v="32"/>
    <s v="conventional_turnover_wacls_270"/>
    <x v="310"/>
    <n v="1"/>
    <n v="1"/>
    <n v="-160"/>
    <n v="960"/>
  </r>
  <r>
    <x v="32"/>
    <s v="conventional_turnover_wacls_271"/>
    <x v="311"/>
    <n v="1"/>
    <n v="1"/>
    <n v="-160"/>
    <n v="960"/>
  </r>
  <r>
    <x v="32"/>
    <s v="conventional_turnover_wacls_272"/>
    <x v="312"/>
    <n v="1"/>
    <n v="1"/>
    <n v="-160"/>
    <n v="960"/>
  </r>
  <r>
    <x v="32"/>
    <s v="conventional_turnover_wacls_273"/>
    <x v="313"/>
    <n v="1"/>
    <n v="1"/>
    <n v="-160"/>
    <n v="960"/>
  </r>
  <r>
    <x v="32"/>
    <s v="conventional_turnover_wacls_274"/>
    <x v="314"/>
    <n v="1"/>
    <n v="1"/>
    <n v="-160"/>
    <n v="960"/>
  </r>
  <r>
    <x v="32"/>
    <s v="conventional_turnover_wacls_275"/>
    <x v="315"/>
    <n v="1"/>
    <n v="1"/>
    <n v="-160"/>
    <n v="960"/>
  </r>
  <r>
    <x v="32"/>
    <s v="conventional_turnover_wacls_276"/>
    <x v="316"/>
    <n v="1"/>
    <n v="1"/>
    <n v="-160"/>
    <n v="960"/>
  </r>
  <r>
    <x v="32"/>
    <s v="conventional_turnover_wacls_277"/>
    <x v="317"/>
    <n v="1"/>
    <n v="1"/>
    <n v="-160"/>
    <n v="960"/>
  </r>
  <r>
    <x v="32"/>
    <s v="conventional_turnover_wacls_278"/>
    <x v="318"/>
    <n v="1"/>
    <n v="1"/>
    <n v="-160"/>
    <n v="960"/>
  </r>
  <r>
    <x v="32"/>
    <s v="conventional_turnover_wacls_279"/>
    <x v="319"/>
    <n v="1"/>
    <n v="1"/>
    <n v="-160"/>
    <n v="960"/>
  </r>
  <r>
    <x v="32"/>
    <s v="conventional_turnover_wacls_280"/>
    <x v="320"/>
    <n v="1"/>
    <n v="1"/>
    <n v="-160"/>
    <n v="960"/>
  </r>
  <r>
    <x v="32"/>
    <s v="conventional_turnover_wacls_281"/>
    <x v="321"/>
    <n v="1"/>
    <n v="1"/>
    <n v="-160"/>
    <n v="960"/>
  </r>
  <r>
    <x v="32"/>
    <s v="conventional_turnover_wacls_282"/>
    <x v="322"/>
    <n v="1"/>
    <n v="1"/>
    <n v="-160"/>
    <n v="960"/>
  </r>
  <r>
    <x v="32"/>
    <s v="conventional_turnover_wacls_283"/>
    <x v="323"/>
    <n v="1"/>
    <n v="1"/>
    <n v="-160"/>
    <n v="960"/>
  </r>
  <r>
    <x v="32"/>
    <s v="conventional_turnover_wacls_284"/>
    <x v="324"/>
    <n v="1"/>
    <n v="1"/>
    <n v="-160"/>
    <n v="960"/>
  </r>
  <r>
    <x v="32"/>
    <s v="conventional_turnover_wacls_285"/>
    <x v="325"/>
    <n v="1"/>
    <n v="1"/>
    <n v="-160"/>
    <n v="960"/>
  </r>
  <r>
    <x v="32"/>
    <s v="conventional_turnover_wacls_286"/>
    <x v="326"/>
    <n v="1"/>
    <n v="1"/>
    <n v="-160"/>
    <n v="960"/>
  </r>
  <r>
    <x v="32"/>
    <s v="conventional_turnover_wacls_287"/>
    <x v="327"/>
    <n v="1"/>
    <n v="1"/>
    <n v="-160"/>
    <n v="960"/>
  </r>
  <r>
    <x v="32"/>
    <s v="conventional_turnover_wacls_288"/>
    <x v="328"/>
    <n v="1"/>
    <n v="1"/>
    <n v="-160"/>
    <n v="960"/>
  </r>
  <r>
    <x v="32"/>
    <s v="conventional_turnover_wacls_289"/>
    <x v="329"/>
    <n v="1"/>
    <n v="1"/>
    <n v="-160"/>
    <n v="960"/>
  </r>
  <r>
    <x v="32"/>
    <s v="conventional_turnover_wacls_290"/>
    <x v="330"/>
    <n v="1"/>
    <n v="1"/>
    <n v="-160"/>
    <n v="960"/>
  </r>
  <r>
    <x v="32"/>
    <s v="conventional_turnover_wacls_291"/>
    <x v="331"/>
    <n v="1"/>
    <n v="1"/>
    <n v="-160"/>
    <n v="960"/>
  </r>
  <r>
    <x v="32"/>
    <s v="conventional_turnover_wacls_292"/>
    <x v="332"/>
    <n v="1"/>
    <n v="1"/>
    <n v="-160"/>
    <n v="960"/>
  </r>
  <r>
    <x v="32"/>
    <s v="conventional_turnover_wacls_293"/>
    <x v="333"/>
    <n v="1"/>
    <n v="1"/>
    <n v="-160"/>
    <n v="960"/>
  </r>
  <r>
    <x v="32"/>
    <s v="conventional_turnover_wacls_294"/>
    <x v="334"/>
    <n v="1"/>
    <n v="1"/>
    <n v="-160"/>
    <n v="960"/>
  </r>
  <r>
    <x v="32"/>
    <s v="conventional_turnover_wacls_295"/>
    <x v="335"/>
    <n v="1"/>
    <n v="1"/>
    <n v="-160"/>
    <n v="960"/>
  </r>
  <r>
    <x v="32"/>
    <s v="conventional_turnover_wacls_296"/>
    <x v="336"/>
    <n v="1"/>
    <n v="1"/>
    <n v="-160"/>
    <n v="960"/>
  </r>
  <r>
    <x v="32"/>
    <s v="conventional_turnover_wacls_297"/>
    <x v="337"/>
    <n v="1"/>
    <n v="1"/>
    <n v="-160"/>
    <n v="960"/>
  </r>
  <r>
    <x v="32"/>
    <s v="conventional_turnover_wacls_298"/>
    <x v="338"/>
    <n v="1"/>
    <n v="1"/>
    <n v="-160"/>
    <n v="960"/>
  </r>
  <r>
    <x v="32"/>
    <s v="conventional_turnover_wacls_299"/>
    <x v="339"/>
    <n v="1"/>
    <n v="1"/>
    <n v="-160"/>
    <n v="960"/>
  </r>
  <r>
    <x v="32"/>
    <s v="conventional_turnover_wacls_300"/>
    <x v="340"/>
    <n v="1"/>
    <n v="1"/>
    <n v="-160"/>
    <n v="960"/>
  </r>
  <r>
    <x v="32"/>
    <s v="conventional_turnover_wacls_301"/>
    <x v="341"/>
    <n v="1"/>
    <n v="1"/>
    <n v="-160"/>
    <n v="960"/>
  </r>
  <r>
    <x v="32"/>
    <s v="conventional_turnover_wacls_302"/>
    <x v="342"/>
    <n v="1"/>
    <n v="1"/>
    <n v="-160"/>
    <n v="960"/>
  </r>
  <r>
    <x v="32"/>
    <s v="conventional_turnover_wacls_303"/>
    <x v="343"/>
    <n v="1"/>
    <n v="1"/>
    <n v="-160"/>
    <n v="960"/>
  </r>
  <r>
    <x v="32"/>
    <s v="conventional_turnover_wacls_304"/>
    <x v="344"/>
    <n v="1"/>
    <n v="1"/>
    <n v="-160"/>
    <n v="960"/>
  </r>
  <r>
    <x v="32"/>
    <s v="conventional_turnover_wacls_305"/>
    <x v="345"/>
    <n v="1"/>
    <n v="1"/>
    <n v="-160"/>
    <n v="960"/>
  </r>
  <r>
    <x v="32"/>
    <s v="conventional_turnover_wacls_306"/>
    <x v="346"/>
    <n v="1"/>
    <n v="1"/>
    <n v="-160"/>
    <n v="960"/>
  </r>
  <r>
    <x v="32"/>
    <s v="conventional_turnover_wacls_307"/>
    <x v="347"/>
    <n v="1"/>
    <n v="1"/>
    <n v="-160"/>
    <n v="960"/>
  </r>
  <r>
    <x v="32"/>
    <s v="conventional_turnover_wacls_308"/>
    <x v="348"/>
    <n v="1"/>
    <n v="1"/>
    <n v="-160"/>
    <n v="960"/>
  </r>
  <r>
    <x v="32"/>
    <s v="conventional_turnover_wacls_309"/>
    <x v="349"/>
    <n v="1"/>
    <n v="1"/>
    <n v="-160"/>
    <n v="960"/>
  </r>
  <r>
    <x v="32"/>
    <s v="conventional_turnover_wacls_310"/>
    <x v="350"/>
    <n v="1"/>
    <n v="1"/>
    <n v="-160"/>
    <n v="960"/>
  </r>
  <r>
    <x v="32"/>
    <s v="conventional_turnover_wacls_311"/>
    <x v="351"/>
    <n v="1"/>
    <n v="1"/>
    <n v="-160"/>
    <n v="960"/>
  </r>
  <r>
    <x v="32"/>
    <s v="conventional_turnover_wacls_312"/>
    <x v="352"/>
    <n v="1"/>
    <n v="1"/>
    <n v="-160"/>
    <n v="960"/>
  </r>
  <r>
    <x v="32"/>
    <s v="conventional_turnover_wacls_313"/>
    <x v="353"/>
    <n v="1"/>
    <n v="1"/>
    <n v="-160"/>
    <n v="960"/>
  </r>
  <r>
    <x v="32"/>
    <s v="conventional_turnover_wacls_314"/>
    <x v="354"/>
    <n v="1"/>
    <n v="1"/>
    <n v="-160"/>
    <n v="960"/>
  </r>
  <r>
    <x v="32"/>
    <s v="conventional_turnover_wacls_315"/>
    <x v="355"/>
    <n v="1"/>
    <n v="1"/>
    <n v="-160"/>
    <n v="960"/>
  </r>
  <r>
    <x v="32"/>
    <s v="conventional_turnover_wacls_316"/>
    <x v="356"/>
    <n v="1"/>
    <n v="1"/>
    <n v="-160"/>
    <n v="960"/>
  </r>
  <r>
    <x v="32"/>
    <s v="conventional_turnover_wacls_317"/>
    <x v="357"/>
    <n v="1"/>
    <n v="1"/>
    <n v="-160"/>
    <n v="960"/>
  </r>
  <r>
    <x v="32"/>
    <s v="conventional_turnover_wacls_318"/>
    <x v="358"/>
    <n v="1"/>
    <n v="1"/>
    <n v="-160"/>
    <n v="960"/>
  </r>
  <r>
    <x v="32"/>
    <s v="conventional_turnover_wacls_319"/>
    <x v="359"/>
    <n v="1"/>
    <n v="1"/>
    <n v="-160"/>
    <n v="960"/>
  </r>
  <r>
    <x v="32"/>
    <s v="conventional_turnover_wacls_320"/>
    <x v="360"/>
    <n v="1"/>
    <n v="1"/>
    <n v="-160"/>
    <n v="960"/>
  </r>
  <r>
    <x v="32"/>
    <s v="conventional_turnover_wacls_321"/>
    <x v="361"/>
    <n v="1"/>
    <n v="1"/>
    <n v="-160"/>
    <n v="960"/>
  </r>
  <r>
    <x v="32"/>
    <s v="conventional_turnover_wacls_322"/>
    <x v="362"/>
    <n v="1"/>
    <n v="1"/>
    <n v="-160"/>
    <n v="960"/>
  </r>
  <r>
    <x v="32"/>
    <s v="conventional_turnover_wacls_323"/>
    <x v="363"/>
    <n v="1"/>
    <n v="1"/>
    <n v="-160"/>
    <n v="960"/>
  </r>
  <r>
    <x v="32"/>
    <s v="conventional_turnover_wacls_324"/>
    <x v="364"/>
    <n v="1"/>
    <n v="1"/>
    <n v="-160"/>
    <n v="960"/>
  </r>
  <r>
    <x v="32"/>
    <s v="conventional_turnover_wacls_325"/>
    <x v="365"/>
    <n v="1"/>
    <n v="1"/>
    <n v="-160"/>
    <n v="960"/>
  </r>
  <r>
    <x v="32"/>
    <s v="conventional_turnover_wacls_326"/>
    <x v="366"/>
    <n v="1"/>
    <n v="1"/>
    <n v="-160"/>
    <n v="960"/>
  </r>
  <r>
    <x v="32"/>
    <s v="conventional_turnover_wacls_327"/>
    <x v="367"/>
    <n v="1"/>
    <n v="1"/>
    <n v="-160"/>
    <n v="960"/>
  </r>
  <r>
    <x v="32"/>
    <s v="conventional_turnover_wacls_328"/>
    <x v="368"/>
    <n v="1"/>
    <n v="1"/>
    <n v="-160"/>
    <n v="960"/>
  </r>
  <r>
    <x v="32"/>
    <s v="conventional_turnover_wacls_329"/>
    <x v="369"/>
    <n v="1"/>
    <n v="1"/>
    <n v="-160"/>
    <n v="960"/>
  </r>
  <r>
    <x v="32"/>
    <s v="conventional_turnover_wacls_330"/>
    <x v="370"/>
    <n v="1"/>
    <n v="1"/>
    <n v="-160"/>
    <n v="960"/>
  </r>
  <r>
    <x v="32"/>
    <s v="conventional_turnover_wacls_331"/>
    <x v="371"/>
    <n v="1"/>
    <n v="1"/>
    <n v="-160"/>
    <n v="960"/>
  </r>
  <r>
    <x v="32"/>
    <s v="conventional_turnover_wacls_332"/>
    <x v="372"/>
    <n v="1"/>
    <n v="1"/>
    <n v="-160"/>
    <n v="960"/>
  </r>
  <r>
    <x v="32"/>
    <s v="conventional_turnover_wacls_333"/>
    <x v="373"/>
    <n v="1"/>
    <n v="1"/>
    <n v="-160"/>
    <n v="960"/>
  </r>
  <r>
    <x v="32"/>
    <s v="conventional_turnover_wacls_334"/>
    <x v="374"/>
    <n v="1"/>
    <n v="1"/>
    <n v="-160"/>
    <n v="960"/>
  </r>
  <r>
    <x v="32"/>
    <s v="conventional_turnover_wacls_335"/>
    <x v="375"/>
    <n v="1"/>
    <n v="1"/>
    <n v="-160"/>
    <n v="960"/>
  </r>
  <r>
    <x v="32"/>
    <s v="conventional_turnover_wacls_336"/>
    <x v="376"/>
    <n v="1"/>
    <n v="1"/>
    <n v="-160"/>
    <n v="960"/>
  </r>
  <r>
    <x v="32"/>
    <s v="conventional_turnover_wacls_337"/>
    <x v="377"/>
    <n v="1"/>
    <n v="1"/>
    <n v="-160"/>
    <n v="960"/>
  </r>
  <r>
    <x v="32"/>
    <s v="conventional_turnover_wacls_338"/>
    <x v="378"/>
    <n v="1"/>
    <n v="1"/>
    <n v="-160"/>
    <n v="960"/>
  </r>
  <r>
    <x v="32"/>
    <s v="conventional_turnover_wacls_339"/>
    <x v="379"/>
    <n v="1"/>
    <n v="1"/>
    <n v="-160"/>
    <n v="960"/>
  </r>
  <r>
    <x v="32"/>
    <s v="conventional_turnover_wacls_340"/>
    <x v="380"/>
    <n v="1"/>
    <n v="1"/>
    <n v="-160"/>
    <n v="960"/>
  </r>
  <r>
    <x v="32"/>
    <s v="conventional_turnover_wacls_341"/>
    <x v="381"/>
    <n v="1"/>
    <n v="1"/>
    <n v="-160"/>
    <n v="960"/>
  </r>
  <r>
    <x v="32"/>
    <s v="conventional_turnover_wacls_342"/>
    <x v="382"/>
    <n v="1"/>
    <n v="1"/>
    <n v="-160"/>
    <n v="960"/>
  </r>
  <r>
    <x v="32"/>
    <s v="conventional_turnover_wacls_343"/>
    <x v="383"/>
    <n v="1"/>
    <n v="1"/>
    <n v="-160"/>
    <n v="960"/>
  </r>
  <r>
    <x v="32"/>
    <s v="conventional_turnover_wacls_344"/>
    <x v="384"/>
    <n v="1"/>
    <n v="1"/>
    <n v="-160"/>
    <n v="960"/>
  </r>
  <r>
    <x v="32"/>
    <s v="conventional_turnover_wacls_345"/>
    <x v="385"/>
    <n v="1"/>
    <n v="1"/>
    <n v="-160"/>
    <n v="960"/>
  </r>
  <r>
    <x v="32"/>
    <s v="conventional_turnover_wacls_346"/>
    <x v="386"/>
    <n v="1"/>
    <n v="1"/>
    <n v="-160"/>
    <n v="960"/>
  </r>
  <r>
    <x v="32"/>
    <s v="conventional_turnover_wacls_347"/>
    <x v="387"/>
    <n v="1"/>
    <n v="1"/>
    <n v="-160"/>
    <n v="960"/>
  </r>
  <r>
    <x v="32"/>
    <s v="conventional_turnover_wacls_348"/>
    <x v="388"/>
    <n v="1"/>
    <n v="1"/>
    <n v="-160"/>
    <n v="960"/>
  </r>
  <r>
    <x v="32"/>
    <s v="conventional_turnover_wacls_349"/>
    <x v="389"/>
    <n v="1"/>
    <n v="1"/>
    <n v="-160"/>
    <n v="960"/>
  </r>
  <r>
    <x v="32"/>
    <s v="conventional_turnover_wacls_350"/>
    <x v="390"/>
    <n v="1"/>
    <n v="1"/>
    <n v="-160"/>
    <n v="960"/>
  </r>
  <r>
    <x v="32"/>
    <s v="conventional_turnover_wacls_351"/>
    <x v="391"/>
    <n v="1"/>
    <n v="1"/>
    <n v="-160"/>
    <n v="960"/>
  </r>
  <r>
    <x v="32"/>
    <s v="conventional_turnover_wacls_352"/>
    <x v="392"/>
    <n v="1"/>
    <n v="1"/>
    <n v="-160"/>
    <n v="960"/>
  </r>
  <r>
    <x v="32"/>
    <s v="conventional_turnover_wacls_353"/>
    <x v="393"/>
    <n v="1"/>
    <n v="1"/>
    <n v="-160"/>
    <n v="960"/>
  </r>
  <r>
    <x v="32"/>
    <s v="conventional_turnover_wacls_354"/>
    <x v="394"/>
    <n v="1"/>
    <n v="1"/>
    <n v="-160"/>
    <n v="960"/>
  </r>
  <r>
    <x v="32"/>
    <s v="conventional_turnover_wacls_355"/>
    <x v="395"/>
    <n v="1"/>
    <n v="1"/>
    <n v="-160"/>
    <n v="960"/>
  </r>
  <r>
    <x v="32"/>
    <s v="conventional_turnover_wacls_356"/>
    <x v="396"/>
    <n v="1"/>
    <n v="1"/>
    <n v="-160"/>
    <n v="960"/>
  </r>
  <r>
    <x v="32"/>
    <s v="conventional_turnover_wacls_357"/>
    <x v="397"/>
    <n v="1"/>
    <n v="1"/>
    <n v="-160"/>
    <n v="960"/>
  </r>
  <r>
    <x v="32"/>
    <s v="conventional_turnover_wacls_358"/>
    <x v="398"/>
    <n v="1"/>
    <n v="1"/>
    <n v="-160"/>
    <n v="960"/>
  </r>
  <r>
    <x v="32"/>
    <s v="conventional_turnover_wacls_359"/>
    <x v="399"/>
    <n v="1"/>
    <n v="1"/>
    <n v="-160"/>
    <n v="960"/>
  </r>
  <r>
    <x v="32"/>
    <s v="conventional_turnover_wacls_360"/>
    <x v="400"/>
    <n v="1"/>
    <n v="1"/>
    <n v="-160"/>
    <n v="960"/>
  </r>
  <r>
    <x v="32"/>
    <s v="conventional_turnover_wacls_361"/>
    <x v="401"/>
    <n v="1"/>
    <n v="1"/>
    <n v="-160"/>
    <n v="960"/>
  </r>
  <r>
    <x v="32"/>
    <s v="conventional_turnover_wacls_362"/>
    <x v="402"/>
    <n v="1"/>
    <n v="1"/>
    <n v="-160"/>
    <n v="960"/>
  </r>
  <r>
    <x v="32"/>
    <s v="conventional_turnover_wacls_363"/>
    <x v="403"/>
    <n v="1"/>
    <n v="1"/>
    <n v="-160"/>
    <n v="960"/>
  </r>
  <r>
    <x v="32"/>
    <s v="conventional_turnover_wacls_364"/>
    <x v="404"/>
    <n v="1"/>
    <n v="1"/>
    <n v="-160"/>
    <n v="960"/>
  </r>
  <r>
    <x v="32"/>
    <s v="conventional_turnover_wacls_365"/>
    <x v="405"/>
    <n v="1"/>
    <n v="1"/>
    <n v="-160"/>
    <n v="960"/>
  </r>
  <r>
    <x v="32"/>
    <s v="conventional_turnover_wacls_366"/>
    <x v="406"/>
    <n v="1"/>
    <n v="1"/>
    <n v="-160"/>
    <n v="960"/>
  </r>
  <r>
    <x v="32"/>
    <s v="conventional_turnover_wacls_367"/>
    <x v="407"/>
    <n v="1"/>
    <n v="1"/>
    <n v="-160"/>
    <n v="960"/>
  </r>
  <r>
    <x v="32"/>
    <s v="conventional_turnover_wacls_368"/>
    <x v="408"/>
    <n v="1"/>
    <n v="1"/>
    <n v="-160"/>
    <n v="960"/>
  </r>
  <r>
    <x v="32"/>
    <s v="conventional_turnover_wacls_369"/>
    <x v="409"/>
    <n v="1"/>
    <n v="1"/>
    <n v="-160"/>
    <n v="960"/>
  </r>
  <r>
    <x v="32"/>
    <s v="conventional_turnover_wacls_370"/>
    <x v="410"/>
    <n v="1"/>
    <n v="1"/>
    <n v="-160"/>
    <n v="960"/>
  </r>
  <r>
    <x v="32"/>
    <s v="conventional_turnover_wacls_371"/>
    <x v="411"/>
    <n v="1"/>
    <n v="1"/>
    <n v="-160"/>
    <n v="960"/>
  </r>
  <r>
    <x v="32"/>
    <s v="conventional_turnover_wacls_372"/>
    <x v="412"/>
    <n v="1"/>
    <n v="1"/>
    <n v="-160"/>
    <n v="960"/>
  </r>
  <r>
    <x v="32"/>
    <s v="conventional_turnover_wacls_373"/>
    <x v="413"/>
    <n v="1"/>
    <n v="1"/>
    <n v="-160"/>
    <n v="960"/>
  </r>
  <r>
    <x v="32"/>
    <s v="conventional_turnover_wacls_374"/>
    <x v="414"/>
    <n v="1"/>
    <n v="1"/>
    <n v="-160"/>
    <n v="960"/>
  </r>
  <r>
    <x v="32"/>
    <s v="conventional_turnover_wacls_375"/>
    <x v="415"/>
    <n v="1"/>
    <n v="1"/>
    <n v="-160"/>
    <n v="960"/>
  </r>
  <r>
    <x v="32"/>
    <s v="conventional_turnover_wacls_376"/>
    <x v="416"/>
    <n v="1"/>
    <n v="1"/>
    <n v="-160"/>
    <n v="960"/>
  </r>
  <r>
    <x v="32"/>
    <s v="conventional_turnover_wacls_377"/>
    <x v="417"/>
    <n v="1"/>
    <n v="1"/>
    <n v="-160"/>
    <n v="960"/>
  </r>
  <r>
    <x v="32"/>
    <s v="conventional_turnover_wacls_378"/>
    <x v="418"/>
    <n v="1"/>
    <n v="1"/>
    <n v="-160"/>
    <n v="960"/>
  </r>
  <r>
    <x v="32"/>
    <s v="conventional_turnover_wacls_379"/>
    <x v="419"/>
    <n v="1"/>
    <n v="1"/>
    <n v="-160"/>
    <n v="960"/>
  </r>
  <r>
    <x v="32"/>
    <s v="conventional_turnover_wacls_380"/>
    <x v="420"/>
    <n v="1"/>
    <n v="1"/>
    <n v="-160"/>
    <n v="960"/>
  </r>
  <r>
    <x v="32"/>
    <s v="conventional_turnover_wacls_381"/>
    <x v="421"/>
    <n v="1"/>
    <n v="1"/>
    <n v="-160"/>
    <n v="960"/>
  </r>
  <r>
    <x v="32"/>
    <s v="conventional_turnover_wacls_382"/>
    <x v="422"/>
    <n v="1"/>
    <n v="1"/>
    <n v="-160"/>
    <n v="960"/>
  </r>
  <r>
    <x v="32"/>
    <s v="conventional_turnover_wacls_383"/>
    <x v="423"/>
    <n v="1"/>
    <n v="1"/>
    <n v="-160"/>
    <n v="960"/>
  </r>
  <r>
    <x v="32"/>
    <s v="conventional_turnover_wacls_384"/>
    <x v="424"/>
    <n v="1"/>
    <n v="1"/>
    <n v="-160"/>
    <n v="960"/>
  </r>
  <r>
    <x v="32"/>
    <s v="conventional_turnover_wacls_385"/>
    <x v="425"/>
    <n v="1"/>
    <n v="1"/>
    <n v="-160"/>
    <n v="960"/>
  </r>
  <r>
    <x v="32"/>
    <s v="conventional_turnover_wacls_386"/>
    <x v="426"/>
    <n v="1"/>
    <n v="1"/>
    <n v="-160"/>
    <n v="960"/>
  </r>
  <r>
    <x v="32"/>
    <s v="conventional_turnover_wacls_387"/>
    <x v="427"/>
    <n v="1"/>
    <n v="1"/>
    <n v="-160"/>
    <n v="960"/>
  </r>
  <r>
    <x v="32"/>
    <s v="conventional_turnover_wacls_388"/>
    <x v="428"/>
    <n v="1"/>
    <n v="1"/>
    <n v="-160"/>
    <n v="960"/>
  </r>
  <r>
    <x v="32"/>
    <s v="conventional_turnover_wacls_389"/>
    <x v="429"/>
    <n v="1"/>
    <n v="1"/>
    <n v="-160"/>
    <n v="960"/>
  </r>
  <r>
    <x v="32"/>
    <s v="conventional_turnover_wacls_390"/>
    <x v="430"/>
    <n v="1"/>
    <n v="1"/>
    <n v="-160"/>
    <n v="960"/>
  </r>
  <r>
    <x v="32"/>
    <s v="conventional_turnover_wacls_391"/>
    <x v="431"/>
    <n v="1"/>
    <n v="1"/>
    <n v="-160"/>
    <n v="960"/>
  </r>
  <r>
    <x v="32"/>
    <s v="conventional_turnover_wacls_392"/>
    <x v="432"/>
    <n v="1"/>
    <n v="1"/>
    <n v="-160"/>
    <n v="960"/>
  </r>
  <r>
    <x v="32"/>
    <s v="conventional_turnover_wacls_393"/>
    <x v="433"/>
    <n v="1"/>
    <n v="1"/>
    <n v="-160"/>
    <n v="960"/>
  </r>
  <r>
    <x v="32"/>
    <s v="conventional_turnover_wacls_394"/>
    <x v="434"/>
    <n v="1"/>
    <n v="1"/>
    <n v="-160"/>
    <n v="960"/>
  </r>
  <r>
    <x v="32"/>
    <s v="conventional_turnover_wacls_395"/>
    <x v="435"/>
    <n v="1"/>
    <n v="1"/>
    <n v="-160"/>
    <n v="960"/>
  </r>
  <r>
    <x v="32"/>
    <s v="conventional_turnover_wacls_396"/>
    <x v="436"/>
    <n v="1"/>
    <n v="1"/>
    <n v="-160"/>
    <n v="960"/>
  </r>
  <r>
    <x v="32"/>
    <s v="conventional_turnover_wacls_397"/>
    <x v="437"/>
    <n v="1"/>
    <n v="1"/>
    <n v="-160"/>
    <n v="960"/>
  </r>
  <r>
    <x v="32"/>
    <s v="conventional_turnover_wacls_398"/>
    <x v="438"/>
    <n v="1"/>
    <n v="1"/>
    <n v="-160"/>
    <n v="960"/>
  </r>
  <r>
    <x v="32"/>
    <s v="conventional_turnover_wacls_399"/>
    <x v="439"/>
    <n v="1"/>
    <n v="1"/>
    <n v="-160"/>
    <n v="960"/>
  </r>
  <r>
    <x v="32"/>
    <s v="conventional_turnover_wacls_400"/>
    <x v="440"/>
    <n v="1"/>
    <n v="1"/>
    <n v="-160"/>
    <n v="960"/>
  </r>
  <r>
    <x v="32"/>
    <s v="conventional_turnover_wacls_401"/>
    <x v="441"/>
    <n v="1"/>
    <n v="1"/>
    <n v="-160"/>
    <n v="960"/>
  </r>
  <r>
    <x v="32"/>
    <s v="conventional_turnover_wacls_402"/>
    <x v="442"/>
    <n v="1"/>
    <n v="1"/>
    <n v="-160"/>
    <n v="960"/>
  </r>
  <r>
    <x v="32"/>
    <s v="conventional_turnover_wacls_403"/>
    <x v="443"/>
    <n v="1"/>
    <n v="1"/>
    <n v="-160"/>
    <n v="960"/>
  </r>
  <r>
    <x v="32"/>
    <s v="conventional_turnover_wacls_404"/>
    <x v="444"/>
    <n v="1"/>
    <n v="1"/>
    <n v="-160"/>
    <n v="960"/>
  </r>
  <r>
    <x v="32"/>
    <s v="conventional_turnover_wacls_405"/>
    <x v="445"/>
    <n v="1"/>
    <n v="1"/>
    <n v="-160"/>
    <n v="960"/>
  </r>
  <r>
    <x v="32"/>
    <s v="conventional_turnover_wacls_406"/>
    <x v="446"/>
    <n v="1"/>
    <n v="1"/>
    <n v="-160"/>
    <n v="960"/>
  </r>
  <r>
    <x v="32"/>
    <s v="conventional_turnover_wacls_407"/>
    <x v="447"/>
    <n v="1"/>
    <n v="1"/>
    <n v="-160"/>
    <n v="960"/>
  </r>
  <r>
    <x v="32"/>
    <s v="conventional_turnover_wacls_408"/>
    <x v="448"/>
    <n v="1"/>
    <n v="1"/>
    <n v="-160"/>
    <n v="960"/>
  </r>
  <r>
    <x v="32"/>
    <s v="conventional_turnover_wacls_409"/>
    <x v="449"/>
    <n v="1"/>
    <n v="1"/>
    <n v="-160"/>
    <n v="960"/>
  </r>
  <r>
    <x v="32"/>
    <s v="conventional_turnover_wacls_410"/>
    <x v="450"/>
    <n v="1"/>
    <n v="1"/>
    <n v="-160"/>
    <n v="960"/>
  </r>
  <r>
    <x v="32"/>
    <s v="conventional_turnover_wacls_411"/>
    <x v="451"/>
    <n v="1"/>
    <n v="1"/>
    <n v="-160"/>
    <n v="960"/>
  </r>
  <r>
    <x v="32"/>
    <s v="conventional_turnover_wacls_412"/>
    <x v="452"/>
    <n v="1"/>
    <n v="1"/>
    <n v="-160"/>
    <n v="960"/>
  </r>
  <r>
    <x v="32"/>
    <s v="conventional_turnover_wacls_413"/>
    <x v="453"/>
    <n v="1"/>
    <n v="1"/>
    <n v="-160"/>
    <n v="960"/>
  </r>
  <r>
    <x v="32"/>
    <s v="conventional_turnover_wacls_414"/>
    <x v="454"/>
    <n v="1"/>
    <n v="1"/>
    <n v="-160"/>
    <n v="960"/>
  </r>
  <r>
    <x v="32"/>
    <s v="conventional_turnover_wacls_415"/>
    <x v="455"/>
    <n v="1"/>
    <n v="1"/>
    <n v="-160"/>
    <n v="960"/>
  </r>
  <r>
    <x v="32"/>
    <s v="conventional_turnover_wacls_416"/>
    <x v="456"/>
    <n v="1"/>
    <n v="1"/>
    <n v="-160"/>
    <n v="960"/>
  </r>
  <r>
    <x v="32"/>
    <s v="conventional_turnover_wacls_417"/>
    <x v="457"/>
    <n v="1"/>
    <n v="1"/>
    <n v="-160"/>
    <n v="960"/>
  </r>
  <r>
    <x v="32"/>
    <s v="conventional_turnover_wacls_418"/>
    <x v="458"/>
    <n v="1"/>
    <n v="1"/>
    <n v="-160"/>
    <n v="960"/>
  </r>
  <r>
    <x v="32"/>
    <s v="conventional_turnover_wacls_419"/>
    <x v="459"/>
    <n v="1"/>
    <n v="1"/>
    <n v="-160"/>
    <n v="960"/>
  </r>
  <r>
    <x v="32"/>
    <s v="conventional_turnover_wacls_420"/>
    <x v="460"/>
    <n v="1"/>
    <n v="1"/>
    <n v="-160"/>
    <n v="960"/>
  </r>
  <r>
    <x v="32"/>
    <s v="conventional_turnover_wacls_421"/>
    <x v="461"/>
    <n v="1"/>
    <n v="1"/>
    <n v="-160"/>
    <n v="960"/>
  </r>
  <r>
    <x v="32"/>
    <s v="conventional_turnover_wacls_422"/>
    <x v="462"/>
    <n v="1"/>
    <n v="1"/>
    <n v="-160"/>
    <n v="960"/>
  </r>
  <r>
    <x v="32"/>
    <s v="conventional_turnover_wacls_423"/>
    <x v="463"/>
    <n v="1"/>
    <n v="1"/>
    <n v="-160"/>
    <n v="960"/>
  </r>
  <r>
    <x v="32"/>
    <s v="conventional_turnover_wacls_424"/>
    <x v="464"/>
    <n v="1"/>
    <n v="1"/>
    <n v="-160"/>
    <n v="960"/>
  </r>
  <r>
    <x v="32"/>
    <s v="conventional_turnover_wacls_425"/>
    <x v="465"/>
    <n v="1"/>
    <n v="1"/>
    <n v="-160"/>
    <n v="960"/>
  </r>
  <r>
    <x v="32"/>
    <s v="conventional_turnover_wacls_426"/>
    <x v="466"/>
    <n v="1"/>
    <n v="1"/>
    <n v="-160"/>
    <n v="960"/>
  </r>
  <r>
    <x v="32"/>
    <s v="conventional_turnover_wacls_427"/>
    <x v="467"/>
    <n v="1"/>
    <n v="1"/>
    <n v="-160"/>
    <n v="960"/>
  </r>
  <r>
    <x v="32"/>
    <s v="conventional_turnover_wacls_428"/>
    <x v="468"/>
    <n v="1"/>
    <n v="1"/>
    <n v="-160"/>
    <n v="960"/>
  </r>
  <r>
    <x v="32"/>
    <s v="conventional_turnover_wacls_429"/>
    <x v="469"/>
    <n v="1"/>
    <n v="1"/>
    <n v="-160"/>
    <n v="960"/>
  </r>
  <r>
    <x v="32"/>
    <s v="conventional_turnover_wacls_430"/>
    <x v="470"/>
    <n v="1"/>
    <n v="1"/>
    <n v="-160"/>
    <n v="960"/>
  </r>
  <r>
    <x v="32"/>
    <s v="conventional_turnover_wacls_431"/>
    <x v="471"/>
    <n v="1"/>
    <n v="1"/>
    <n v="-160"/>
    <n v="960"/>
  </r>
  <r>
    <x v="32"/>
    <s v="conventional_turnover_wacls_432"/>
    <x v="472"/>
    <n v="1"/>
    <n v="1"/>
    <n v="-160"/>
    <n v="960"/>
  </r>
  <r>
    <x v="32"/>
    <s v="conventional_turnover_wacls_433"/>
    <x v="473"/>
    <n v="1"/>
    <n v="1"/>
    <n v="-160"/>
    <n v="960"/>
  </r>
  <r>
    <x v="32"/>
    <s v="conventional_turnover_wacls_434"/>
    <x v="474"/>
    <n v="1"/>
    <n v="1"/>
    <n v="-160"/>
    <n v="960"/>
  </r>
  <r>
    <x v="32"/>
    <s v="conventional_turnover_wacls_435"/>
    <x v="475"/>
    <n v="1"/>
    <n v="1"/>
    <n v="-160"/>
    <n v="960"/>
  </r>
  <r>
    <x v="32"/>
    <s v="conventional_turnover_wacls_436"/>
    <x v="476"/>
    <n v="1"/>
    <n v="1"/>
    <n v="-160"/>
    <n v="960"/>
  </r>
  <r>
    <x v="32"/>
    <s v="conventional_turnover_wacls_437"/>
    <x v="477"/>
    <n v="1"/>
    <n v="1"/>
    <n v="-160"/>
    <n v="960"/>
  </r>
  <r>
    <x v="32"/>
    <s v="conventional_turnover_wacls_438"/>
    <x v="478"/>
    <n v="1"/>
    <n v="1"/>
    <n v="-160"/>
    <n v="960"/>
  </r>
  <r>
    <x v="32"/>
    <s v="conventional_turnover_wacls_439"/>
    <x v="479"/>
    <n v="1"/>
    <n v="1"/>
    <n v="-160"/>
    <n v="960"/>
  </r>
  <r>
    <x v="32"/>
    <s v="conventional_turnover_wacls_440"/>
    <x v="480"/>
    <n v="1"/>
    <n v="1"/>
    <n v="-160"/>
    <n v="960"/>
  </r>
  <r>
    <x v="32"/>
    <s v="conventional_turnover_wacls_441"/>
    <x v="481"/>
    <n v="1"/>
    <n v="1"/>
    <n v="-160"/>
    <n v="960"/>
  </r>
  <r>
    <x v="32"/>
    <s v="conventional_turnover_wacls_442"/>
    <x v="482"/>
    <n v="1"/>
    <n v="1"/>
    <n v="-160"/>
    <n v="960"/>
  </r>
  <r>
    <x v="32"/>
    <s v="conventional_turnover_wacls_443"/>
    <x v="483"/>
    <n v="1"/>
    <n v="1"/>
    <n v="-160"/>
    <n v="960"/>
  </r>
  <r>
    <x v="32"/>
    <s v="conventional_turnover_wacls_444"/>
    <x v="484"/>
    <n v="1"/>
    <n v="1"/>
    <n v="-160"/>
    <n v="960"/>
  </r>
  <r>
    <x v="32"/>
    <s v="conventional_turnover_wacls_445"/>
    <x v="485"/>
    <n v="1"/>
    <n v="1"/>
    <n v="-160"/>
    <n v="960"/>
  </r>
  <r>
    <x v="32"/>
    <s v="conventional_turnover_wacls_446"/>
    <x v="486"/>
    <n v="1"/>
    <n v="1"/>
    <n v="-160"/>
    <n v="960"/>
  </r>
  <r>
    <x v="32"/>
    <s v="conventional_turnover_wacls_447"/>
    <x v="487"/>
    <n v="1"/>
    <n v="1"/>
    <n v="-160"/>
    <n v="960"/>
  </r>
  <r>
    <x v="32"/>
    <s v="conventional_turnover_wacls_448"/>
    <x v="488"/>
    <n v="1"/>
    <n v="1"/>
    <n v="-160"/>
    <n v="960"/>
  </r>
  <r>
    <x v="32"/>
    <s v="conventional_turnover_wacls_449"/>
    <x v="489"/>
    <n v="1"/>
    <n v="1"/>
    <n v="-160"/>
    <n v="960"/>
  </r>
  <r>
    <x v="32"/>
    <s v="conventional_turnover_wacls_450"/>
    <x v="490"/>
    <n v="1"/>
    <n v="1"/>
    <n v="-160"/>
    <n v="960"/>
  </r>
  <r>
    <x v="32"/>
    <s v="conventional_turnover_wacls_451"/>
    <x v="491"/>
    <n v="1"/>
    <n v="1"/>
    <n v="-160"/>
    <n v="960"/>
  </r>
  <r>
    <x v="32"/>
    <s v="conventional_turnover_wacls_452"/>
    <x v="492"/>
    <n v="1"/>
    <n v="1"/>
    <n v="-160"/>
    <n v="960"/>
  </r>
  <r>
    <x v="32"/>
    <s v="conventional_turnover_wacls_453"/>
    <x v="493"/>
    <n v="1"/>
    <n v="1"/>
    <n v="-160"/>
    <n v="960"/>
  </r>
  <r>
    <x v="32"/>
    <s v="conventional_turnover_wacls_454"/>
    <x v="494"/>
    <n v="1"/>
    <n v="1"/>
    <n v="-160"/>
    <n v="960"/>
  </r>
  <r>
    <x v="32"/>
    <s v="conventional_turnover_wacls_455"/>
    <x v="495"/>
    <n v="1"/>
    <n v="1"/>
    <n v="-160"/>
    <n v="960"/>
  </r>
  <r>
    <x v="32"/>
    <s v="conventional_turnover_wacls_456"/>
    <x v="496"/>
    <n v="1"/>
    <n v="1"/>
    <n v="-160"/>
    <n v="960"/>
  </r>
  <r>
    <x v="32"/>
    <s v="conventional_turnover_wacls_457"/>
    <x v="497"/>
    <n v="1"/>
    <n v="1"/>
    <n v="-160"/>
    <n v="960"/>
  </r>
  <r>
    <x v="32"/>
    <s v="conventional_turnover_wacls_458"/>
    <x v="498"/>
    <n v="1"/>
    <n v="1"/>
    <n v="-160"/>
    <n v="960"/>
  </r>
  <r>
    <x v="32"/>
    <s v="conventional_turnover_wacls_459"/>
    <x v="499"/>
    <n v="1"/>
    <n v="1"/>
    <n v="-160"/>
    <n v="960"/>
  </r>
  <r>
    <x v="32"/>
    <s v="conventional_turnover_wacls_460"/>
    <x v="500"/>
    <n v="1"/>
    <n v="1"/>
    <n v="-160"/>
    <n v="960"/>
  </r>
  <r>
    <x v="32"/>
    <s v="conventional_turnover_wacls_461"/>
    <x v="501"/>
    <n v="1"/>
    <n v="1"/>
    <n v="-160"/>
    <n v="960"/>
  </r>
  <r>
    <x v="32"/>
    <s v="conventional_turnover_wacls_462"/>
    <x v="502"/>
    <n v="1"/>
    <n v="1"/>
    <n v="-160"/>
    <n v="960"/>
  </r>
  <r>
    <x v="32"/>
    <s v="conventional_turnover_wacls_463"/>
    <x v="503"/>
    <n v="1"/>
    <n v="1"/>
    <n v="-160"/>
    <n v="960"/>
  </r>
  <r>
    <x v="32"/>
    <s v="conventional_turnover_wacls_464"/>
    <x v="504"/>
    <n v="1"/>
    <n v="1"/>
    <n v="-160"/>
    <n v="960"/>
  </r>
  <r>
    <x v="32"/>
    <s v="conventional_turnover_wacls_465"/>
    <x v="505"/>
    <n v="1"/>
    <n v="1"/>
    <n v="-160"/>
    <n v="960"/>
  </r>
  <r>
    <x v="32"/>
    <s v="conventional_turnover_wacls_466"/>
    <x v="506"/>
    <n v="1"/>
    <n v="1"/>
    <n v="-160"/>
    <n v="960"/>
  </r>
  <r>
    <x v="32"/>
    <s v="conventional_turnover_wacls_467"/>
    <x v="507"/>
    <n v="1"/>
    <n v="1"/>
    <n v="-160"/>
    <n v="960"/>
  </r>
  <r>
    <x v="32"/>
    <s v="conventional_turnover_wacls_468"/>
    <x v="508"/>
    <n v="1"/>
    <n v="1"/>
    <n v="-160"/>
    <n v="960"/>
  </r>
  <r>
    <x v="32"/>
    <s v="conventional_turnover_wacls_469"/>
    <x v="509"/>
    <n v="1"/>
    <n v="1"/>
    <n v="-160"/>
    <n v="960"/>
  </r>
  <r>
    <x v="32"/>
    <s v="conventional_turnover_wacls_470"/>
    <x v="510"/>
    <n v="1"/>
    <n v="1"/>
    <n v="-160"/>
    <n v="960"/>
  </r>
  <r>
    <x v="32"/>
    <s v="conventional_turnover_wacls_471"/>
    <x v="511"/>
    <n v="1"/>
    <n v="1"/>
    <n v="-160"/>
    <n v="960"/>
  </r>
  <r>
    <x v="32"/>
    <s v="conventional_turnover_wacls_472"/>
    <x v="512"/>
    <n v="1"/>
    <n v="1"/>
    <n v="-160"/>
    <n v="960"/>
  </r>
  <r>
    <x v="32"/>
    <s v="conventional_turnover_wacls_473"/>
    <x v="513"/>
    <n v="1"/>
    <n v="1"/>
    <n v="-160"/>
    <n v="960"/>
  </r>
  <r>
    <x v="32"/>
    <s v="conventional_turnover_wacls_474"/>
    <x v="514"/>
    <n v="1"/>
    <n v="1"/>
    <n v="-160"/>
    <n v="960"/>
  </r>
  <r>
    <x v="32"/>
    <s v="conventional_turnover_wacls_475"/>
    <x v="515"/>
    <n v="1"/>
    <n v="1"/>
    <n v="-160"/>
    <n v="960"/>
  </r>
  <r>
    <x v="32"/>
    <s v="conventional_turnover_wacls_476"/>
    <x v="516"/>
    <n v="1"/>
    <n v="1"/>
    <n v="-160"/>
    <n v="960"/>
  </r>
  <r>
    <x v="32"/>
    <s v="conventional_turnover_wacls_477"/>
    <x v="517"/>
    <n v="1"/>
    <n v="1"/>
    <n v="-160"/>
    <n v="960"/>
  </r>
  <r>
    <x v="32"/>
    <s v="conventional_turnover_wacls_478"/>
    <x v="518"/>
    <n v="1"/>
    <n v="1"/>
    <n v="-160"/>
    <n v="960"/>
  </r>
  <r>
    <x v="32"/>
    <s v="conventional_turnover_wacls_479"/>
    <x v="519"/>
    <n v="1"/>
    <n v="1"/>
    <n v="-160"/>
    <n v="960"/>
  </r>
  <r>
    <x v="32"/>
    <s v="conventional_turnover_wacls_480"/>
    <x v="520"/>
    <n v="1"/>
    <n v="1"/>
    <n v="-160"/>
    <n v="960"/>
  </r>
  <r>
    <x v="32"/>
    <s v="conventional_turnover_wacls_481"/>
    <x v="521"/>
    <n v="1"/>
    <n v="1"/>
    <n v="-160"/>
    <n v="960"/>
  </r>
  <r>
    <x v="32"/>
    <s v="conventional_turnover_wacls_482"/>
    <x v="522"/>
    <n v="1"/>
    <n v="1"/>
    <n v="-160"/>
    <n v="960"/>
  </r>
  <r>
    <x v="32"/>
    <s v="conventional_turnover_wacls_483"/>
    <x v="523"/>
    <n v="1"/>
    <n v="1"/>
    <n v="-160"/>
    <n v="960"/>
  </r>
  <r>
    <x v="32"/>
    <s v="conventional_turnover_wacls_484"/>
    <x v="524"/>
    <n v="1"/>
    <n v="1"/>
    <n v="-160"/>
    <n v="960"/>
  </r>
  <r>
    <x v="32"/>
    <s v="conventional_turnover_wacls_485"/>
    <x v="525"/>
    <n v="1"/>
    <n v="1"/>
    <n v="-160"/>
    <n v="960"/>
  </r>
  <r>
    <x v="32"/>
    <s v="conventional_turnover_wacls_486"/>
    <x v="526"/>
    <n v="1"/>
    <n v="1"/>
    <n v="-160"/>
    <n v="960"/>
  </r>
  <r>
    <x v="32"/>
    <s v="conventional_turnover_wacls_487"/>
    <x v="527"/>
    <n v="1"/>
    <n v="1"/>
    <n v="-160"/>
    <n v="960"/>
  </r>
  <r>
    <x v="32"/>
    <s v="conventional_turnover_wacls_488"/>
    <x v="528"/>
    <n v="1"/>
    <n v="1"/>
    <n v="-160"/>
    <n v="960"/>
  </r>
  <r>
    <x v="32"/>
    <s v="conventional_turnover_wacls_489"/>
    <x v="529"/>
    <n v="1"/>
    <n v="1"/>
    <n v="-160"/>
    <n v="960"/>
  </r>
  <r>
    <x v="32"/>
    <s v="conventional_turnover_wacls_490"/>
    <x v="530"/>
    <n v="1"/>
    <n v="1"/>
    <n v="-160"/>
    <n v="960"/>
  </r>
  <r>
    <x v="32"/>
    <s v="conventional_turnover_wacls_491"/>
    <x v="531"/>
    <n v="1"/>
    <n v="1"/>
    <n v="-160"/>
    <n v="960"/>
  </r>
  <r>
    <x v="32"/>
    <s v="conventional_turnover_wacls_492"/>
    <x v="532"/>
    <n v="1"/>
    <n v="1"/>
    <n v="-160"/>
    <n v="960"/>
  </r>
  <r>
    <x v="32"/>
    <s v="conventional_turnover_wacls_493"/>
    <x v="533"/>
    <n v="1"/>
    <n v="1"/>
    <n v="-160"/>
    <n v="960"/>
  </r>
  <r>
    <x v="32"/>
    <s v="conventional_turnover_wacls_494"/>
    <x v="534"/>
    <n v="1"/>
    <n v="1"/>
    <n v="-160"/>
    <n v="960"/>
  </r>
  <r>
    <x v="32"/>
    <s v="conventional_turnover_wacls_495"/>
    <x v="535"/>
    <n v="1"/>
    <n v="1"/>
    <n v="-160"/>
    <n v="960"/>
  </r>
  <r>
    <x v="32"/>
    <s v="conventional_turnover_wacls_496"/>
    <x v="536"/>
    <n v="1"/>
    <n v="1"/>
    <n v="-160"/>
    <n v="960"/>
  </r>
  <r>
    <x v="32"/>
    <s v="conventional_turnover_wacls_497"/>
    <x v="537"/>
    <n v="1"/>
    <n v="1"/>
    <n v="-160"/>
    <n v="960"/>
  </r>
  <r>
    <x v="32"/>
    <s v="conventional_turnover_wacls_498"/>
    <x v="538"/>
    <n v="1"/>
    <n v="1"/>
    <n v="-160"/>
    <n v="960"/>
  </r>
  <r>
    <x v="32"/>
    <s v="conventional_turnover_wacls_499"/>
    <x v="539"/>
    <n v="1"/>
    <n v="1"/>
    <n v="-160"/>
    <n v="960"/>
  </r>
  <r>
    <x v="32"/>
    <s v="conventional_turnover_wacls_500"/>
    <x v="540"/>
    <n v="1"/>
    <n v="1"/>
    <n v="-160"/>
    <n v="960"/>
  </r>
  <r>
    <x v="32"/>
    <s v="conventional_turnover_wacls_501"/>
    <x v="541"/>
    <n v="1"/>
    <n v="1"/>
    <n v="-160"/>
    <n v="960"/>
  </r>
  <r>
    <x v="32"/>
    <s v="conventional_turnover_wacls_502"/>
    <x v="542"/>
    <n v="1"/>
    <n v="1"/>
    <n v="-160"/>
    <n v="960"/>
  </r>
  <r>
    <x v="32"/>
    <s v="conventional_turnover_wacls_503"/>
    <x v="543"/>
    <n v="1"/>
    <n v="1"/>
    <n v="-160"/>
    <n v="960"/>
  </r>
  <r>
    <x v="32"/>
    <s v="conventional_turnover_wacls_504"/>
    <x v="544"/>
    <n v="1"/>
    <n v="1"/>
    <n v="-160"/>
    <n v="960"/>
  </r>
  <r>
    <x v="32"/>
    <s v="conventional_turnover_wacls_505"/>
    <x v="545"/>
    <n v="1"/>
    <n v="1"/>
    <n v="-160"/>
    <n v="960"/>
  </r>
  <r>
    <x v="32"/>
    <s v="conventional_turnover_wacls_506"/>
    <x v="546"/>
    <n v="1"/>
    <n v="1"/>
    <n v="-160"/>
    <n v="960"/>
  </r>
  <r>
    <x v="32"/>
    <s v="conventional_turnover_wacls_507"/>
    <x v="547"/>
    <n v="1"/>
    <n v="1"/>
    <n v="-160"/>
    <n v="960"/>
  </r>
  <r>
    <x v="32"/>
    <s v="conventional_turnover_wacls_508"/>
    <x v="548"/>
    <n v="1"/>
    <n v="1"/>
    <n v="-160"/>
    <n v="960"/>
  </r>
  <r>
    <x v="32"/>
    <s v="conventional_turnover_wacls_509"/>
    <x v="549"/>
    <n v="1"/>
    <n v="1"/>
    <n v="-160"/>
    <n v="960"/>
  </r>
  <r>
    <x v="32"/>
    <s v="conventional_turnover_wacls_510"/>
    <x v="550"/>
    <n v="1"/>
    <n v="1"/>
    <n v="-160"/>
    <n v="960"/>
  </r>
  <r>
    <x v="32"/>
    <s v="conventional_turnover_wacls_511"/>
    <x v="551"/>
    <n v="1"/>
    <n v="1"/>
    <n v="-160"/>
    <n v="960"/>
  </r>
  <r>
    <x v="32"/>
    <s v="conventional_turnover_wacls_512"/>
    <x v="552"/>
    <n v="1"/>
    <n v="1"/>
    <n v="-160"/>
    <n v="960"/>
  </r>
  <r>
    <x v="32"/>
    <s v="conventional_turnover_wacls_513"/>
    <x v="553"/>
    <n v="1"/>
    <n v="1"/>
    <n v="-160"/>
    <n v="960"/>
  </r>
  <r>
    <x v="32"/>
    <s v="conventional_turnover_wacls_514"/>
    <x v="554"/>
    <n v="1"/>
    <n v="1"/>
    <n v="-160"/>
    <n v="960"/>
  </r>
  <r>
    <x v="32"/>
    <s v="conventional_turnover_wacls_515"/>
    <x v="555"/>
    <n v="1"/>
    <n v="1"/>
    <n v="-160"/>
    <n v="960"/>
  </r>
  <r>
    <x v="32"/>
    <s v="conventional_turnover_wacls_516"/>
    <x v="556"/>
    <n v="1"/>
    <n v="1"/>
    <n v="-160"/>
    <n v="960"/>
  </r>
  <r>
    <x v="32"/>
    <s v="conventional_turnover_wacls_517"/>
    <x v="557"/>
    <n v="1"/>
    <n v="1"/>
    <n v="-160"/>
    <n v="960"/>
  </r>
  <r>
    <x v="32"/>
    <s v="conventional_turnover_wacls_518"/>
    <x v="558"/>
    <n v="1"/>
    <n v="1"/>
    <n v="-160"/>
    <n v="960"/>
  </r>
  <r>
    <x v="32"/>
    <s v="conventional_turnover_wacls_519"/>
    <x v="559"/>
    <n v="1"/>
    <n v="1"/>
    <n v="-160"/>
    <n v="960"/>
  </r>
  <r>
    <x v="32"/>
    <s v="conventional_turnover_wacls_520"/>
    <x v="560"/>
    <n v="1"/>
    <n v="1"/>
    <n v="-160"/>
    <n v="960"/>
  </r>
  <r>
    <x v="32"/>
    <s v="conventional_turnover_wacls_521"/>
    <x v="561"/>
    <n v="1"/>
    <n v="1"/>
    <n v="-160"/>
    <n v="960"/>
  </r>
  <r>
    <x v="32"/>
    <s v="conventional_turnover_wacls_522"/>
    <x v="562"/>
    <n v="1"/>
    <n v="1"/>
    <n v="-160"/>
    <n v="960"/>
  </r>
  <r>
    <x v="32"/>
    <s v="conventional_turnover_wacls_523"/>
    <x v="563"/>
    <n v="1"/>
    <n v="1"/>
    <n v="-160"/>
    <n v="960"/>
  </r>
  <r>
    <x v="32"/>
    <s v="conventional_turnover_wacls_524"/>
    <x v="564"/>
    <n v="1"/>
    <n v="1"/>
    <n v="-160"/>
    <n v="960"/>
  </r>
  <r>
    <x v="32"/>
    <s v="conventional_turnover_wacls_525"/>
    <x v="565"/>
    <n v="1"/>
    <n v="1"/>
    <n v="-160"/>
    <n v="960"/>
  </r>
  <r>
    <x v="32"/>
    <s v="conventional_turnover_wacls_526"/>
    <x v="566"/>
    <n v="1"/>
    <n v="1"/>
    <n v="-160"/>
    <n v="960"/>
  </r>
  <r>
    <x v="32"/>
    <s v="conventional_turnover_wacls_527"/>
    <x v="567"/>
    <n v="1"/>
    <n v="1"/>
    <n v="-160"/>
    <n v="960"/>
  </r>
  <r>
    <x v="32"/>
    <s v="conventional_turnover_wacls_528"/>
    <x v="568"/>
    <n v="1"/>
    <n v="1"/>
    <n v="-160"/>
    <n v="960"/>
  </r>
  <r>
    <x v="32"/>
    <s v="conventional_turnover_wacls_529"/>
    <x v="569"/>
    <n v="1"/>
    <n v="1"/>
    <n v="-160"/>
    <n v="960"/>
  </r>
  <r>
    <x v="32"/>
    <s v="conventional_turnover_wacls_530"/>
    <x v="570"/>
    <n v="1"/>
    <n v="1"/>
    <n v="-160"/>
    <n v="960"/>
  </r>
  <r>
    <x v="32"/>
    <s v="conventional_turnover_wacls_531"/>
    <x v="571"/>
    <n v="1"/>
    <n v="1"/>
    <n v="-160"/>
    <n v="960"/>
  </r>
  <r>
    <x v="32"/>
    <s v="conventional_turnover_wacls_532"/>
    <x v="572"/>
    <n v="1"/>
    <n v="1"/>
    <n v="-160"/>
    <n v="960"/>
  </r>
  <r>
    <x v="32"/>
    <s v="conventional_turnover_wacls_533"/>
    <x v="573"/>
    <n v="1"/>
    <n v="1"/>
    <n v="-160"/>
    <n v="960"/>
  </r>
  <r>
    <x v="32"/>
    <s v="conventional_turnover_wacls_534"/>
    <x v="574"/>
    <n v="1"/>
    <n v="1"/>
    <n v="-160"/>
    <n v="960"/>
  </r>
  <r>
    <x v="32"/>
    <s v="conventional_turnover_wacls_535"/>
    <x v="575"/>
    <n v="1"/>
    <n v="1"/>
    <n v="-160"/>
    <n v="960"/>
  </r>
  <r>
    <x v="32"/>
    <s v="conventional_turnover_wacls_536"/>
    <x v="576"/>
    <n v="1"/>
    <n v="1"/>
    <n v="-160"/>
    <n v="960"/>
  </r>
  <r>
    <x v="32"/>
    <s v="conventional_turnover_wacls_537"/>
    <x v="577"/>
    <n v="1"/>
    <n v="1"/>
    <n v="-160"/>
    <n v="960"/>
  </r>
  <r>
    <x v="32"/>
    <s v="conventional_turnover_wacls_538"/>
    <x v="578"/>
    <n v="1"/>
    <n v="1"/>
    <n v="-160"/>
    <n v="960"/>
  </r>
  <r>
    <x v="32"/>
    <s v="conventional_turnover_wacls_539"/>
    <x v="579"/>
    <n v="1"/>
    <n v="1"/>
    <n v="-160"/>
    <n v="960"/>
  </r>
  <r>
    <x v="32"/>
    <s v="conventional_turnover_wacls_540"/>
    <x v="580"/>
    <n v="1"/>
    <n v="1"/>
    <n v="-160"/>
    <n v="960"/>
  </r>
  <r>
    <x v="32"/>
    <s v="conventional_turnover_wacls_541"/>
    <x v="581"/>
    <n v="1"/>
    <n v="1"/>
    <n v="-160"/>
    <n v="960"/>
  </r>
  <r>
    <x v="32"/>
    <s v="conventional_turnover_wacls_542"/>
    <x v="582"/>
    <n v="1"/>
    <n v="1"/>
    <n v="-160"/>
    <n v="960"/>
  </r>
  <r>
    <x v="32"/>
    <s v="conventional_turnover_wacls_543"/>
    <x v="583"/>
    <n v="1"/>
    <n v="1"/>
    <n v="-160"/>
    <n v="960"/>
  </r>
  <r>
    <x v="32"/>
    <s v="conventional_turnover_wacls_544"/>
    <x v="584"/>
    <n v="1"/>
    <n v="1"/>
    <n v="-160"/>
    <n v="960"/>
  </r>
  <r>
    <x v="32"/>
    <s v="conventional_turnover_wacls_545"/>
    <x v="585"/>
    <n v="1"/>
    <n v="1"/>
    <n v="-160"/>
    <n v="960"/>
  </r>
  <r>
    <x v="32"/>
    <s v="conventional_turnover_wacls_546"/>
    <x v="586"/>
    <n v="1"/>
    <n v="1"/>
    <n v="-160"/>
    <n v="960"/>
  </r>
  <r>
    <x v="32"/>
    <s v="conventional_turnover_wacls_547"/>
    <x v="587"/>
    <n v="1"/>
    <n v="1"/>
    <n v="-160"/>
    <n v="960"/>
  </r>
  <r>
    <x v="32"/>
    <s v="conventional_turnover_wacls_548"/>
    <x v="588"/>
    <n v="1"/>
    <n v="1"/>
    <n v="-160"/>
    <n v="960"/>
  </r>
  <r>
    <x v="32"/>
    <s v="conventional_turnover_wacls_549"/>
    <x v="589"/>
    <n v="1"/>
    <n v="1"/>
    <n v="-160"/>
    <n v="960"/>
  </r>
  <r>
    <x v="32"/>
    <s v="conventional_turnover_wacls_550"/>
    <x v="590"/>
    <n v="1"/>
    <n v="1"/>
    <n v="-160"/>
    <n v="960"/>
  </r>
  <r>
    <x v="32"/>
    <s v="conventional_turnover_wacls_551"/>
    <x v="591"/>
    <n v="1"/>
    <n v="1"/>
    <n v="-160"/>
    <n v="960"/>
  </r>
  <r>
    <x v="32"/>
    <s v="conventional_turnover_wacls_552"/>
    <x v="592"/>
    <n v="1"/>
    <n v="1"/>
    <n v="-160"/>
    <n v="960"/>
  </r>
  <r>
    <x v="32"/>
    <s v="conventional_turnover_wacls_553"/>
    <x v="593"/>
    <n v="1"/>
    <n v="1"/>
    <n v="-160"/>
    <n v="960"/>
  </r>
  <r>
    <x v="32"/>
    <s v="conventional_turnover_wacls_554"/>
    <x v="594"/>
    <n v="1"/>
    <n v="1"/>
    <n v="-160"/>
    <n v="960"/>
  </r>
  <r>
    <x v="32"/>
    <s v="conventional_turnover_wacls_555"/>
    <x v="595"/>
    <n v="1"/>
    <n v="1"/>
    <n v="-160"/>
    <n v="960"/>
  </r>
  <r>
    <x v="32"/>
    <s v="conventional_turnover_wacls_556"/>
    <x v="596"/>
    <n v="1"/>
    <n v="1"/>
    <n v="-160"/>
    <n v="960"/>
  </r>
  <r>
    <x v="32"/>
    <s v="conventional_turnover_wacls_557"/>
    <x v="597"/>
    <n v="1"/>
    <n v="1"/>
    <n v="-160"/>
    <n v="960"/>
  </r>
  <r>
    <x v="32"/>
    <s v="conventional_turnover_wacls_558"/>
    <x v="598"/>
    <n v="1"/>
    <n v="1"/>
    <n v="-160"/>
    <n v="960"/>
  </r>
  <r>
    <x v="32"/>
    <s v="conventional_turnover_wacls_559"/>
    <x v="599"/>
    <n v="1"/>
    <n v="1"/>
    <n v="-160"/>
    <n v="960"/>
  </r>
  <r>
    <x v="32"/>
    <s v="conventional_turnover_wacls_560"/>
    <x v="600"/>
    <n v="1"/>
    <n v="1"/>
    <n v="-160"/>
    <n v="960"/>
  </r>
  <r>
    <x v="32"/>
    <s v="conventional_turnover_wacls_561"/>
    <x v="601"/>
    <n v="1"/>
    <n v="1"/>
    <n v="-160"/>
    <n v="960"/>
  </r>
  <r>
    <x v="32"/>
    <s v="conventional_turnover_wacls_562"/>
    <x v="602"/>
    <n v="1"/>
    <n v="1"/>
    <n v="-160"/>
    <n v="960"/>
  </r>
  <r>
    <x v="32"/>
    <s v="conventional_turnover_wacls_563"/>
    <x v="603"/>
    <n v="1"/>
    <n v="1"/>
    <n v="-160"/>
    <n v="960"/>
  </r>
  <r>
    <x v="32"/>
    <s v="conventional_turnover_wacls_564"/>
    <x v="604"/>
    <n v="1"/>
    <n v="1"/>
    <n v="-160"/>
    <n v="960"/>
  </r>
  <r>
    <x v="32"/>
    <s v="conventional_turnover_wacls_565"/>
    <x v="605"/>
    <n v="1"/>
    <n v="1"/>
    <n v="-160"/>
    <n v="960"/>
  </r>
  <r>
    <x v="32"/>
    <s v="conventional_turnover_wacls_566"/>
    <x v="606"/>
    <n v="1"/>
    <n v="1"/>
    <n v="-160"/>
    <n v="960"/>
  </r>
  <r>
    <x v="32"/>
    <s v="conventional_turnover_wacls_567"/>
    <x v="607"/>
    <n v="1"/>
    <n v="1"/>
    <n v="-160"/>
    <n v="960"/>
  </r>
  <r>
    <x v="32"/>
    <s v="conventional_turnover_wacls_568"/>
    <x v="608"/>
    <n v="1"/>
    <n v="1"/>
    <n v="-160"/>
    <n v="960"/>
  </r>
  <r>
    <x v="32"/>
    <s v="conventional_turnover_wacls_569"/>
    <x v="609"/>
    <n v="1"/>
    <n v="1"/>
    <n v="-160"/>
    <n v="960"/>
  </r>
  <r>
    <x v="32"/>
    <s v="conventional_turnover_wacls_570"/>
    <x v="610"/>
    <n v="1"/>
    <n v="1"/>
    <n v="-160"/>
    <n v="960"/>
  </r>
  <r>
    <x v="32"/>
    <s v="conventional_turnover_wacls_571"/>
    <x v="611"/>
    <n v="1"/>
    <n v="1"/>
    <n v="-160"/>
    <n v="960"/>
  </r>
  <r>
    <x v="32"/>
    <s v="conventional_turnover_wacls_572"/>
    <x v="612"/>
    <n v="1"/>
    <n v="1"/>
    <n v="-160"/>
    <n v="960"/>
  </r>
  <r>
    <x v="32"/>
    <s v="conventional_turnover_wacls_573"/>
    <x v="613"/>
    <n v="1"/>
    <n v="1"/>
    <n v="-160"/>
    <n v="960"/>
  </r>
  <r>
    <x v="32"/>
    <s v="conventional_turnover_wacls_574"/>
    <x v="614"/>
    <n v="1"/>
    <n v="1"/>
    <n v="-160"/>
    <n v="960"/>
  </r>
  <r>
    <x v="32"/>
    <s v="conventional_turnover_wacls_575"/>
    <x v="615"/>
    <n v="1"/>
    <n v="1"/>
    <n v="-160"/>
    <n v="960"/>
  </r>
  <r>
    <x v="32"/>
    <s v="conventional_turnover_wacls_576"/>
    <x v="616"/>
    <n v="1"/>
    <n v="1"/>
    <n v="-160"/>
    <n v="960"/>
  </r>
  <r>
    <x v="32"/>
    <s v="conventional_turnover_wacls_577"/>
    <x v="617"/>
    <n v="1"/>
    <n v="1"/>
    <n v="-160"/>
    <n v="960"/>
  </r>
  <r>
    <x v="32"/>
    <s v="conventional_turnover_wacls_578"/>
    <x v="618"/>
    <n v="1"/>
    <n v="1"/>
    <n v="-160"/>
    <n v="960"/>
  </r>
  <r>
    <x v="32"/>
    <s v="conventional_turnover_wacls_579"/>
    <x v="619"/>
    <n v="1"/>
    <n v="1"/>
    <n v="-160"/>
    <n v="960"/>
  </r>
  <r>
    <x v="32"/>
    <s v="conventional_turnover_wacls_580"/>
    <x v="620"/>
    <n v="1"/>
    <n v="1"/>
    <n v="-160"/>
    <n v="960"/>
  </r>
  <r>
    <x v="32"/>
    <s v="conventional_turnover_wacls_581"/>
    <x v="621"/>
    <n v="1"/>
    <n v="1"/>
    <n v="-160"/>
    <n v="960"/>
  </r>
  <r>
    <x v="32"/>
    <s v="conventional_turnover_wacls_582"/>
    <x v="622"/>
    <n v="1"/>
    <n v="1"/>
    <n v="-160"/>
    <n v="960"/>
  </r>
  <r>
    <x v="32"/>
    <s v="conventional_turnover_wacls_583"/>
    <x v="623"/>
    <n v="1"/>
    <n v="1"/>
    <n v="-160"/>
    <n v="960"/>
  </r>
  <r>
    <x v="32"/>
    <s v="conventional_turnover_wacls_584"/>
    <x v="624"/>
    <n v="1"/>
    <n v="1"/>
    <n v="-160"/>
    <n v="960"/>
  </r>
  <r>
    <x v="32"/>
    <s v="conventional_turnover_wacls_585"/>
    <x v="625"/>
    <n v="1"/>
    <n v="1"/>
    <n v="-160"/>
    <n v="960"/>
  </r>
  <r>
    <x v="32"/>
    <s v="conventional_turnover_wacls_586"/>
    <x v="626"/>
    <n v="1"/>
    <n v="1"/>
    <n v="-160"/>
    <n v="960"/>
  </r>
  <r>
    <x v="32"/>
    <s v="conventional_turnover_wacls_587"/>
    <x v="627"/>
    <n v="1"/>
    <n v="1"/>
    <n v="-160"/>
    <n v="960"/>
  </r>
  <r>
    <x v="32"/>
    <s v="conventional_turnover_wacls_588"/>
    <x v="628"/>
    <n v="1"/>
    <n v="1"/>
    <n v="-160"/>
    <n v="960"/>
  </r>
  <r>
    <x v="32"/>
    <s v="conventional_turnover_wacls_589"/>
    <x v="629"/>
    <n v="1"/>
    <n v="1"/>
    <n v="-160"/>
    <n v="960"/>
  </r>
  <r>
    <x v="32"/>
    <s v="conventional_turnover_wacls_590"/>
    <x v="630"/>
    <n v="1"/>
    <n v="1"/>
    <n v="-160"/>
    <n v="960"/>
  </r>
  <r>
    <x v="32"/>
    <s v="conventional_turnover_wacls_591"/>
    <x v="631"/>
    <n v="1"/>
    <n v="1"/>
    <n v="-160"/>
    <n v="960"/>
  </r>
  <r>
    <x v="32"/>
    <s v="conventional_turnover_wacls_592"/>
    <x v="632"/>
    <n v="1"/>
    <n v="1"/>
    <n v="-160"/>
    <n v="960"/>
  </r>
  <r>
    <x v="32"/>
    <s v="conventional_turnover_wacls_593"/>
    <x v="633"/>
    <n v="1"/>
    <n v="1"/>
    <n v="-160"/>
    <n v="960"/>
  </r>
  <r>
    <x v="32"/>
    <s v="conventional_turnover_wacls_594"/>
    <x v="634"/>
    <n v="1"/>
    <n v="1"/>
    <n v="-160"/>
    <n v="960"/>
  </r>
  <r>
    <x v="32"/>
    <s v="conventional_turnover_wacls_595"/>
    <x v="635"/>
    <n v="1"/>
    <n v="1"/>
    <n v="-160"/>
    <n v="960"/>
  </r>
  <r>
    <x v="32"/>
    <s v="conventional_turnover_wacls_596"/>
    <x v="636"/>
    <n v="1"/>
    <n v="1"/>
    <n v="-160"/>
    <n v="960"/>
  </r>
  <r>
    <x v="32"/>
    <s v="conventional_turnover_wacls_597"/>
    <x v="637"/>
    <n v="1"/>
    <n v="1"/>
    <n v="-160"/>
    <n v="960"/>
  </r>
  <r>
    <x v="32"/>
    <s v="conventional_turnover_wacls_598"/>
    <x v="638"/>
    <n v="1"/>
    <n v="1"/>
    <n v="-160"/>
    <n v="960"/>
  </r>
  <r>
    <x v="32"/>
    <s v="conventional_turnover_wacls_599"/>
    <x v="639"/>
    <n v="1"/>
    <n v="1"/>
    <n v="-160"/>
    <n v="960"/>
  </r>
  <r>
    <x v="32"/>
    <s v="conventional_turnover_wacls_600"/>
    <x v="640"/>
    <n v="1"/>
    <n v="1"/>
    <n v="-160"/>
    <n v="960"/>
  </r>
  <r>
    <x v="32"/>
    <s v="conventional_turnover_wacls_601"/>
    <x v="641"/>
    <n v="1"/>
    <n v="1"/>
    <n v="-160"/>
    <n v="960"/>
  </r>
  <r>
    <x v="32"/>
    <s v="conventional_turnover_wacls_602"/>
    <x v="642"/>
    <n v="1"/>
    <n v="1"/>
    <n v="-160"/>
    <n v="960"/>
  </r>
  <r>
    <x v="32"/>
    <s v="conventional_turnover_wacls_603"/>
    <x v="643"/>
    <n v="1"/>
    <n v="1"/>
    <n v="-160"/>
    <n v="960"/>
  </r>
  <r>
    <x v="32"/>
    <s v="conventional_turnover_wacls_604"/>
    <x v="644"/>
    <n v="1"/>
    <n v="1"/>
    <n v="-160"/>
    <n v="960"/>
  </r>
  <r>
    <x v="32"/>
    <s v="conventional_turnover_wacls_605"/>
    <x v="645"/>
    <n v="1"/>
    <n v="1"/>
    <n v="-160"/>
    <n v="960"/>
  </r>
  <r>
    <x v="32"/>
    <s v="conventional_turnover_wacls_606"/>
    <x v="646"/>
    <n v="1"/>
    <n v="1"/>
    <n v="-160"/>
    <n v="960"/>
  </r>
  <r>
    <x v="32"/>
    <s v="conventional_turnover_wacls_607"/>
    <x v="647"/>
    <n v="1"/>
    <n v="1"/>
    <n v="-160"/>
    <n v="960"/>
  </r>
  <r>
    <x v="32"/>
    <s v="conventional_turnover_wacls_608"/>
    <x v="648"/>
    <n v="1"/>
    <n v="1"/>
    <n v="-160"/>
    <n v="960"/>
  </r>
  <r>
    <x v="32"/>
    <s v="conventional_turnover_wacls_609"/>
    <x v="649"/>
    <n v="1"/>
    <n v="1"/>
    <n v="-160"/>
    <n v="960"/>
  </r>
  <r>
    <x v="32"/>
    <s v="conventional_turnover_wacls_610"/>
    <x v="650"/>
    <n v="1"/>
    <n v="1"/>
    <n v="-160"/>
    <n v="960"/>
  </r>
  <r>
    <x v="32"/>
    <s v="conventional_turnover_wacls_611"/>
    <x v="651"/>
    <n v="1"/>
    <n v="1"/>
    <n v="-160"/>
    <n v="960"/>
  </r>
  <r>
    <x v="32"/>
    <s v="conventional_turnover_wacls_612"/>
    <x v="652"/>
    <n v="1"/>
    <n v="1"/>
    <n v="-160"/>
    <n v="960"/>
  </r>
  <r>
    <x v="32"/>
    <s v="conventional_turnover_wacls_613"/>
    <x v="653"/>
    <n v="1"/>
    <n v="1"/>
    <n v="-160"/>
    <n v="960"/>
  </r>
  <r>
    <x v="32"/>
    <s v="conventional_turnover_wacls_614"/>
    <x v="654"/>
    <n v="1"/>
    <n v="1"/>
    <n v="-160"/>
    <n v="960"/>
  </r>
  <r>
    <x v="32"/>
    <s v="conventional_turnover_wacls_615"/>
    <x v="655"/>
    <n v="1"/>
    <n v="1"/>
    <n v="-160"/>
    <n v="960"/>
  </r>
  <r>
    <x v="32"/>
    <s v="conventional_turnover_wacls_616"/>
    <x v="656"/>
    <n v="1"/>
    <n v="1"/>
    <n v="-160"/>
    <n v="960"/>
  </r>
  <r>
    <x v="32"/>
    <s v="conventional_turnover_wacls_617"/>
    <x v="657"/>
    <n v="1"/>
    <n v="1"/>
    <n v="-160"/>
    <n v="960"/>
  </r>
  <r>
    <x v="32"/>
    <s v="conventional_turnover_wacls_618"/>
    <x v="658"/>
    <n v="1"/>
    <n v="1"/>
    <n v="-160"/>
    <n v="960"/>
  </r>
  <r>
    <x v="32"/>
    <s v="conventional_turnover_wacls_619"/>
    <x v="659"/>
    <n v="1"/>
    <n v="1"/>
    <n v="-160"/>
    <n v="960"/>
  </r>
  <r>
    <x v="32"/>
    <s v="conventional_turnover_wacls_620"/>
    <x v="660"/>
    <n v="1"/>
    <n v="1"/>
    <n v="-160"/>
    <n v="960"/>
  </r>
  <r>
    <x v="32"/>
    <s v="conventional_turnover_wacls_621"/>
    <x v="661"/>
    <n v="1"/>
    <n v="1"/>
    <n v="-160"/>
    <n v="960"/>
  </r>
  <r>
    <x v="32"/>
    <s v="conventional_turnover_wacls_622"/>
    <x v="662"/>
    <n v="1"/>
    <n v="1"/>
    <n v="-160"/>
    <n v="960"/>
  </r>
  <r>
    <x v="32"/>
    <s v="conventional_turnover_wacls_623"/>
    <x v="663"/>
    <n v="1"/>
    <n v="1"/>
    <n v="-160"/>
    <n v="960"/>
  </r>
  <r>
    <x v="32"/>
    <s v="conventional_turnover_wacls_624"/>
    <x v="664"/>
    <n v="1"/>
    <n v="1"/>
    <n v="-160"/>
    <n v="960"/>
  </r>
  <r>
    <x v="32"/>
    <s v="conventional_turnover_wacls_625"/>
    <x v="665"/>
    <n v="1"/>
    <n v="1"/>
    <n v="-160"/>
    <n v="960"/>
  </r>
  <r>
    <x v="32"/>
    <s v="conventional_turnover_wacls_626"/>
    <x v="666"/>
    <n v="1"/>
    <n v="1"/>
    <n v="-160"/>
    <n v="960"/>
  </r>
  <r>
    <x v="32"/>
    <s v="conventional_turnover_wacls_627"/>
    <x v="667"/>
    <n v="1"/>
    <n v="1"/>
    <n v="-160"/>
    <n v="960"/>
  </r>
  <r>
    <x v="32"/>
    <s v="conventional_turnover_wacls_628"/>
    <x v="668"/>
    <n v="1"/>
    <n v="1"/>
    <n v="-160"/>
    <n v="960"/>
  </r>
  <r>
    <x v="32"/>
    <s v="conventional_turnover_wacls_629"/>
    <x v="669"/>
    <n v="1"/>
    <n v="1"/>
    <n v="-160"/>
    <n v="960"/>
  </r>
  <r>
    <x v="32"/>
    <s v="conventional_turnover_wacls_630"/>
    <x v="670"/>
    <n v="1"/>
    <n v="1"/>
    <n v="-160"/>
    <n v="960"/>
  </r>
  <r>
    <x v="32"/>
    <s v="conventional_turnover_wacls_631"/>
    <x v="671"/>
    <n v="1"/>
    <n v="1"/>
    <n v="-160"/>
    <n v="960"/>
  </r>
  <r>
    <x v="32"/>
    <s v="conventional_turnover_wacls_632"/>
    <x v="672"/>
    <n v="1"/>
    <n v="1"/>
    <n v="-160"/>
    <n v="960"/>
  </r>
  <r>
    <x v="32"/>
    <s v="conventional_turnover_wacls_633"/>
    <x v="673"/>
    <n v="1"/>
    <n v="1"/>
    <n v="-160"/>
    <n v="960"/>
  </r>
  <r>
    <x v="32"/>
    <s v="conventional_turnover_wacls_634"/>
    <x v="674"/>
    <n v="1"/>
    <n v="1"/>
    <n v="-160"/>
    <n v="960"/>
  </r>
  <r>
    <x v="32"/>
    <s v="conventional_turnover_wacls_635"/>
    <x v="675"/>
    <n v="1"/>
    <n v="1"/>
    <n v="-160"/>
    <n v="960"/>
  </r>
  <r>
    <x v="32"/>
    <s v="conventional_turnover_wacls_636"/>
    <x v="676"/>
    <n v="1"/>
    <n v="1"/>
    <n v="-160"/>
    <n v="960"/>
  </r>
  <r>
    <x v="32"/>
    <s v="conventional_turnover_wacls_637"/>
    <x v="677"/>
    <n v="1"/>
    <n v="1"/>
    <n v="-160"/>
    <n v="960"/>
  </r>
  <r>
    <x v="32"/>
    <s v="conventional_turnover_wacls_638"/>
    <x v="678"/>
    <n v="1"/>
    <n v="1"/>
    <n v="-160"/>
    <n v="960"/>
  </r>
  <r>
    <x v="32"/>
    <s v="conventional_turnover_wacls_639"/>
    <x v="679"/>
    <n v="1"/>
    <n v="1"/>
    <n v="-160"/>
    <n v="960"/>
  </r>
  <r>
    <x v="32"/>
    <s v="conventional_turnover_wacls_640"/>
    <x v="680"/>
    <n v="1"/>
    <n v="1"/>
    <n v="-160"/>
    <n v="960"/>
  </r>
  <r>
    <x v="32"/>
    <s v="conventional_turnover_wacls_641"/>
    <x v="681"/>
    <n v="1"/>
    <n v="1"/>
    <n v="-160"/>
    <n v="960"/>
  </r>
  <r>
    <x v="32"/>
    <s v="conventional_turnover_wacls_642"/>
    <x v="682"/>
    <n v="1"/>
    <n v="1"/>
    <n v="-160"/>
    <n v="960"/>
  </r>
  <r>
    <x v="32"/>
    <s v="conventional_turnover_wacls_643"/>
    <x v="683"/>
    <n v="1"/>
    <n v="1"/>
    <n v="-160"/>
    <n v="960"/>
  </r>
  <r>
    <x v="32"/>
    <s v="conventional_turnover_wacls_644"/>
    <x v="684"/>
    <n v="1"/>
    <n v="1"/>
    <n v="-160"/>
    <n v="960"/>
  </r>
  <r>
    <x v="32"/>
    <s v="conventional_turnover_wacls_645"/>
    <x v="685"/>
    <n v="1"/>
    <n v="1"/>
    <n v="-160"/>
    <n v="960"/>
  </r>
  <r>
    <x v="32"/>
    <s v="conventional_turnover_wacls_646"/>
    <x v="686"/>
    <n v="1"/>
    <n v="1"/>
    <n v="-160"/>
    <n v="960"/>
  </r>
  <r>
    <x v="32"/>
    <s v="conventional_turnover_wacls_647"/>
    <x v="687"/>
    <n v="1"/>
    <n v="1"/>
    <n v="-160"/>
    <n v="960"/>
  </r>
  <r>
    <x v="32"/>
    <s v="conventional_turnover_wacls_648"/>
    <x v="688"/>
    <n v="1"/>
    <n v="1"/>
    <n v="-160"/>
    <n v="960"/>
  </r>
  <r>
    <x v="32"/>
    <s v="conventional_turnover_wacls_649"/>
    <x v="689"/>
    <n v="1"/>
    <n v="1"/>
    <n v="-160"/>
    <n v="960"/>
  </r>
  <r>
    <x v="32"/>
    <s v="conventional_turnover_wacls_650"/>
    <x v="690"/>
    <n v="1"/>
    <n v="1"/>
    <n v="-160"/>
    <n v="960"/>
  </r>
  <r>
    <x v="32"/>
    <s v="conventional_turnover_wacls_651"/>
    <x v="691"/>
    <n v="1"/>
    <n v="1"/>
    <n v="-160"/>
    <n v="960"/>
  </r>
  <r>
    <x v="32"/>
    <s v="conventional_turnover_wacls_652"/>
    <x v="692"/>
    <n v="1"/>
    <n v="1"/>
    <n v="-160"/>
    <n v="960"/>
  </r>
  <r>
    <x v="32"/>
    <s v="conventional_turnover_wacls_653"/>
    <x v="693"/>
    <n v="1"/>
    <n v="1"/>
    <n v="-160"/>
    <n v="960"/>
  </r>
  <r>
    <x v="32"/>
    <s v="conventional_turnover_wacls_654"/>
    <x v="694"/>
    <n v="1"/>
    <n v="1"/>
    <n v="-160"/>
    <n v="960"/>
  </r>
  <r>
    <x v="32"/>
    <s v="conventional_turnover_wacls_655"/>
    <x v="695"/>
    <n v="1"/>
    <n v="1"/>
    <n v="-160"/>
    <n v="960"/>
  </r>
  <r>
    <x v="32"/>
    <s v="conventional_turnover_wacls_656"/>
    <x v="696"/>
    <n v="1"/>
    <n v="1"/>
    <n v="-160"/>
    <n v="960"/>
  </r>
  <r>
    <x v="32"/>
    <s v="conventional_turnover_wacls_657"/>
    <x v="697"/>
    <n v="1"/>
    <n v="1"/>
    <n v="-160"/>
    <n v="960"/>
  </r>
  <r>
    <x v="32"/>
    <s v="conventional_turnover_wacls_658"/>
    <x v="698"/>
    <n v="1"/>
    <n v="1"/>
    <n v="-160"/>
    <n v="960"/>
  </r>
  <r>
    <x v="32"/>
    <s v="conventional_turnover_wacls_659"/>
    <x v="699"/>
    <n v="1"/>
    <n v="1"/>
    <n v="-160"/>
    <n v="960"/>
  </r>
  <r>
    <x v="32"/>
    <s v="conventional_turnover_wacls_660"/>
    <x v="700"/>
    <n v="1"/>
    <n v="1"/>
    <n v="-160"/>
    <n v="960"/>
  </r>
  <r>
    <x v="32"/>
    <s v="conventional_turnover_wacls_661"/>
    <x v="701"/>
    <n v="1"/>
    <n v="1"/>
    <n v="-160"/>
    <n v="960"/>
  </r>
  <r>
    <x v="32"/>
    <s v="conventional_turnover_wacls_662"/>
    <x v="702"/>
    <n v="1"/>
    <n v="1"/>
    <n v="-160"/>
    <n v="960"/>
  </r>
  <r>
    <x v="32"/>
    <s v="conventional_turnover_wacls_663"/>
    <x v="703"/>
    <n v="1"/>
    <n v="1"/>
    <n v="-160"/>
    <n v="960"/>
  </r>
  <r>
    <x v="32"/>
    <s v="conventional_turnover_wacls_664"/>
    <x v="704"/>
    <n v="1"/>
    <n v="1"/>
    <n v="-160"/>
    <n v="960"/>
  </r>
  <r>
    <x v="32"/>
    <s v="conventional_turnover_wacls_665"/>
    <x v="705"/>
    <n v="1"/>
    <n v="1"/>
    <n v="-160"/>
    <n v="960"/>
  </r>
  <r>
    <x v="32"/>
    <s v="conventional_turnover_wacls_666"/>
    <x v="706"/>
    <n v="1"/>
    <n v="1"/>
    <n v="-160"/>
    <n v="960"/>
  </r>
  <r>
    <x v="32"/>
    <s v="conventional_turnover_wacls_667"/>
    <x v="707"/>
    <n v="1"/>
    <n v="1"/>
    <n v="-160"/>
    <n v="960"/>
  </r>
  <r>
    <x v="32"/>
    <s v="conventional_turnover_wacls_668"/>
    <x v="708"/>
    <n v="1"/>
    <n v="1"/>
    <n v="-160"/>
    <n v="960"/>
  </r>
  <r>
    <x v="32"/>
    <s v="conventional_turnover_wacls_669"/>
    <x v="709"/>
    <n v="1"/>
    <n v="1"/>
    <n v="-160"/>
    <n v="960"/>
  </r>
  <r>
    <x v="32"/>
    <s v="conventional_turnover_wacls_670"/>
    <x v="710"/>
    <n v="1"/>
    <n v="1"/>
    <n v="-160"/>
    <n v="960"/>
  </r>
  <r>
    <x v="32"/>
    <s v="conventional_turnover_wacls_671"/>
    <x v="711"/>
    <n v="1"/>
    <n v="1"/>
    <n v="-160"/>
    <n v="960"/>
  </r>
  <r>
    <x v="32"/>
    <s v="conventional_turnover_wacls_672"/>
    <x v="712"/>
    <n v="1"/>
    <n v="1"/>
    <n v="-160"/>
    <n v="960"/>
  </r>
  <r>
    <x v="32"/>
    <s v="conventional_turnover_wacls_673"/>
    <x v="713"/>
    <n v="1"/>
    <n v="1"/>
    <n v="-160"/>
    <n v="960"/>
  </r>
  <r>
    <x v="32"/>
    <s v="conventional_turnover_wacls_674"/>
    <x v="714"/>
    <n v="1"/>
    <n v="1"/>
    <n v="-160"/>
    <n v="960"/>
  </r>
  <r>
    <x v="32"/>
    <s v="conventional_turnover_wacls_675"/>
    <x v="715"/>
    <n v="1"/>
    <n v="1"/>
    <n v="-160"/>
    <n v="960"/>
  </r>
  <r>
    <x v="32"/>
    <s v="conventional_turnover_wacls_676"/>
    <x v="716"/>
    <n v="1"/>
    <n v="1"/>
    <n v="-160"/>
    <n v="960"/>
  </r>
  <r>
    <x v="32"/>
    <s v="conventional_turnover_wacls_677"/>
    <x v="717"/>
    <n v="1"/>
    <n v="1"/>
    <n v="-160"/>
    <n v="960"/>
  </r>
  <r>
    <x v="32"/>
    <s v="conventional_turnover_wacls_678"/>
    <x v="718"/>
    <n v="1"/>
    <n v="1"/>
    <n v="-160"/>
    <n v="960"/>
  </r>
  <r>
    <x v="32"/>
    <s v="conventional_turnover_wacls_679"/>
    <x v="719"/>
    <n v="1"/>
    <n v="1"/>
    <n v="-160"/>
    <n v="960"/>
  </r>
  <r>
    <x v="32"/>
    <s v="conventional_turnover_wacls_680"/>
    <x v="720"/>
    <n v="1"/>
    <n v="1"/>
    <n v="-160"/>
    <n v="960"/>
  </r>
  <r>
    <x v="32"/>
    <s v="conventional_turnover_wacls_681"/>
    <x v="721"/>
    <n v="1"/>
    <n v="1"/>
    <n v="-160"/>
    <n v="960"/>
  </r>
  <r>
    <x v="32"/>
    <s v="conventional_turnover_wacls_682"/>
    <x v="722"/>
    <n v="1"/>
    <n v="1"/>
    <n v="-160"/>
    <n v="960"/>
  </r>
  <r>
    <x v="32"/>
    <s v="conventional_turnover_wacls_683"/>
    <x v="723"/>
    <n v="1"/>
    <n v="1"/>
    <n v="-160"/>
    <n v="960"/>
  </r>
  <r>
    <x v="32"/>
    <s v="conventional_turnover_wacls_684"/>
    <x v="724"/>
    <n v="1"/>
    <n v="1"/>
    <n v="-160"/>
    <n v="960"/>
  </r>
  <r>
    <x v="32"/>
    <s v="conventional_turnover_wacls_685"/>
    <x v="725"/>
    <n v="1"/>
    <n v="1"/>
    <n v="-160"/>
    <n v="960"/>
  </r>
  <r>
    <x v="32"/>
    <s v="conventional_turnover_wacls_686"/>
    <x v="726"/>
    <n v="1"/>
    <n v="1"/>
    <n v="-160"/>
    <n v="960"/>
  </r>
  <r>
    <x v="32"/>
    <s v="conventional_turnover_wacls_687"/>
    <x v="727"/>
    <n v="1"/>
    <n v="1"/>
    <n v="-160"/>
    <n v="960"/>
  </r>
  <r>
    <x v="32"/>
    <s v="conventional_turnover_wacls_688"/>
    <x v="728"/>
    <n v="1"/>
    <n v="1"/>
    <n v="-160"/>
    <n v="960"/>
  </r>
  <r>
    <x v="32"/>
    <s v="conventional_turnover_wacls_689"/>
    <x v="729"/>
    <n v="1"/>
    <n v="1"/>
    <n v="-160"/>
    <n v="960"/>
  </r>
  <r>
    <x v="32"/>
    <s v="conventional_turnover_wacls_690"/>
    <x v="730"/>
    <n v="1"/>
    <n v="1"/>
    <n v="-160"/>
    <n v="960"/>
  </r>
  <r>
    <x v="32"/>
    <s v="conventional_turnover_wacls_691"/>
    <x v="731"/>
    <n v="1"/>
    <n v="1"/>
    <n v="-160"/>
    <n v="960"/>
  </r>
  <r>
    <x v="32"/>
    <s v="conventional_turnover_wacls_692"/>
    <x v="732"/>
    <n v="1"/>
    <n v="1"/>
    <n v="-160"/>
    <n v="960"/>
  </r>
  <r>
    <x v="32"/>
    <s v="conventional_turnover_wacls_693"/>
    <x v="733"/>
    <n v="1"/>
    <n v="1"/>
    <n v="-160"/>
    <n v="960"/>
  </r>
  <r>
    <x v="32"/>
    <s v="conventional_turnover_wacls_694"/>
    <x v="734"/>
    <n v="1"/>
    <n v="1"/>
    <n v="-160"/>
    <n v="960"/>
  </r>
  <r>
    <x v="32"/>
    <s v="conventional_turnover_wacls_695"/>
    <x v="735"/>
    <n v="1"/>
    <n v="1"/>
    <n v="-160"/>
    <n v="960"/>
  </r>
  <r>
    <x v="32"/>
    <s v="conventional_turnover_wacls_696"/>
    <x v="736"/>
    <n v="1"/>
    <n v="1"/>
    <n v="-160"/>
    <n v="960"/>
  </r>
  <r>
    <x v="32"/>
    <s v="conventional_turnover_wacls_697"/>
    <x v="737"/>
    <n v="1"/>
    <n v="1"/>
    <n v="-160"/>
    <n v="960"/>
  </r>
  <r>
    <x v="32"/>
    <s v="conventional_turnover_wacls_698"/>
    <x v="738"/>
    <n v="1"/>
    <n v="1"/>
    <n v="-160"/>
    <n v="960"/>
  </r>
  <r>
    <x v="32"/>
    <s v="conventional_turnover_wacls_699"/>
    <x v="739"/>
    <n v="1"/>
    <n v="1"/>
    <n v="-160"/>
    <n v="960"/>
  </r>
  <r>
    <x v="32"/>
    <s v="conventional_turnover_wacls_700"/>
    <x v="740"/>
    <n v="1"/>
    <n v="1"/>
    <n v="-160"/>
    <n v="960"/>
  </r>
  <r>
    <x v="32"/>
    <s v="conventional_turnover_wacls_701"/>
    <x v="741"/>
    <n v="1"/>
    <n v="1"/>
    <n v="-160"/>
    <n v="960"/>
  </r>
  <r>
    <x v="32"/>
    <s v="conventional_turnover_wacls_702"/>
    <x v="742"/>
    <n v="1"/>
    <n v="1"/>
    <n v="-160"/>
    <n v="960"/>
  </r>
  <r>
    <x v="32"/>
    <s v="conventional_turnover_wacls_703"/>
    <x v="743"/>
    <n v="1"/>
    <n v="1"/>
    <n v="-160"/>
    <n v="960"/>
  </r>
  <r>
    <x v="32"/>
    <s v="conventional_turnover_wacls_704"/>
    <x v="744"/>
    <n v="1"/>
    <n v="1"/>
    <n v="-160"/>
    <n v="960"/>
  </r>
  <r>
    <x v="32"/>
    <s v="conventional_turnover_wacls_705"/>
    <x v="745"/>
    <n v="1"/>
    <n v="1"/>
    <n v="-160"/>
    <n v="960"/>
  </r>
  <r>
    <x v="32"/>
    <s v="conventional_turnover_wacls_706"/>
    <x v="746"/>
    <n v="1"/>
    <n v="1"/>
    <n v="-160"/>
    <n v="960"/>
  </r>
  <r>
    <x v="32"/>
    <s v="conventional_turnover_wacls_707"/>
    <x v="747"/>
    <n v="1"/>
    <n v="1"/>
    <n v="-160"/>
    <n v="960"/>
  </r>
  <r>
    <x v="32"/>
    <s v="conventional_turnover_wacls_708"/>
    <x v="748"/>
    <n v="1"/>
    <n v="1"/>
    <n v="-160"/>
    <n v="960"/>
  </r>
  <r>
    <x v="32"/>
    <s v="conventional_turnover_wacls_709"/>
    <x v="749"/>
    <n v="1"/>
    <n v="1"/>
    <n v="-160"/>
    <n v="960"/>
  </r>
  <r>
    <x v="32"/>
    <s v="conventional_turnover_wacls_710"/>
    <x v="750"/>
    <n v="1"/>
    <n v="1"/>
    <n v="-160"/>
    <n v="960"/>
  </r>
  <r>
    <x v="32"/>
    <s v="conventional_turnover_wacls_711"/>
    <x v="751"/>
    <n v="1"/>
    <n v="1"/>
    <n v="-160"/>
    <n v="960"/>
  </r>
  <r>
    <x v="32"/>
    <s v="conventional_turnover_wacls_712"/>
    <x v="752"/>
    <n v="1"/>
    <n v="1"/>
    <n v="-160"/>
    <n v="960"/>
  </r>
  <r>
    <x v="32"/>
    <s v="conventional_turnover_wacls_713"/>
    <x v="753"/>
    <n v="1"/>
    <n v="1"/>
    <n v="-160"/>
    <n v="960"/>
  </r>
  <r>
    <x v="32"/>
    <s v="conventional_turnover_wacls_714"/>
    <x v="754"/>
    <n v="1"/>
    <n v="1"/>
    <n v="-160"/>
    <n v="960"/>
  </r>
  <r>
    <x v="32"/>
    <s v="conventional_turnover_wacls_715"/>
    <x v="755"/>
    <n v="1"/>
    <n v="1"/>
    <n v="-160"/>
    <n v="960"/>
  </r>
  <r>
    <x v="32"/>
    <s v="conventional_turnover_wacls_716"/>
    <x v="756"/>
    <n v="1"/>
    <n v="1"/>
    <n v="-160"/>
    <n v="960"/>
  </r>
  <r>
    <x v="32"/>
    <s v="conventional_turnover_wacls_717"/>
    <x v="757"/>
    <n v="1"/>
    <n v="1"/>
    <n v="-160"/>
    <n v="960"/>
  </r>
  <r>
    <x v="32"/>
    <s v="conventional_turnover_wacls_718"/>
    <x v="758"/>
    <n v="1"/>
    <n v="1"/>
    <n v="-160"/>
    <n v="960"/>
  </r>
  <r>
    <x v="32"/>
    <s v="conventional_turnover_wacls_719"/>
    <x v="759"/>
    <n v="1"/>
    <n v="1"/>
    <n v="-160"/>
    <n v="960"/>
  </r>
  <r>
    <x v="32"/>
    <s v="conventional_turnover_wacls_720"/>
    <x v="760"/>
    <n v="1"/>
    <n v="1"/>
    <n v="-160"/>
    <n v="960"/>
  </r>
  <r>
    <x v="32"/>
    <s v="conventional_turnover_wacls_721"/>
    <x v="761"/>
    <n v="1"/>
    <n v="1"/>
    <n v="-160"/>
    <n v="960"/>
  </r>
  <r>
    <x v="32"/>
    <s v="conventional_turnover_wacls_722"/>
    <x v="762"/>
    <n v="1"/>
    <n v="1"/>
    <n v="-160"/>
    <n v="960"/>
  </r>
  <r>
    <x v="32"/>
    <s v="conventional_turnover_wacls_723"/>
    <x v="763"/>
    <n v="1"/>
    <n v="1"/>
    <n v="-160"/>
    <n v="960"/>
  </r>
  <r>
    <x v="32"/>
    <s v="conventional_turnover_wacls_724"/>
    <x v="764"/>
    <n v="1"/>
    <n v="1"/>
    <n v="-160"/>
    <n v="960"/>
  </r>
  <r>
    <x v="32"/>
    <s v="conventional_turnover_wacls_725"/>
    <x v="765"/>
    <n v="1"/>
    <n v="1"/>
    <n v="-160"/>
    <n v="960"/>
  </r>
  <r>
    <x v="32"/>
    <s v="conventional_turnover_wacls_726"/>
    <x v="766"/>
    <n v="1"/>
    <n v="1"/>
    <n v="-160"/>
    <n v="960"/>
  </r>
  <r>
    <x v="32"/>
    <s v="conventional_turnover_wacls_727"/>
    <x v="767"/>
    <n v="1"/>
    <n v="1"/>
    <n v="-160"/>
    <n v="960"/>
  </r>
  <r>
    <x v="32"/>
    <s v="conventional_turnover_wacls_728"/>
    <x v="768"/>
    <n v="1"/>
    <n v="1"/>
    <n v="-160"/>
    <n v="960"/>
  </r>
  <r>
    <x v="32"/>
    <s v="conventional_turnover_wacls_729"/>
    <x v="769"/>
    <n v="1"/>
    <n v="1"/>
    <n v="-160"/>
    <n v="960"/>
  </r>
  <r>
    <x v="32"/>
    <s v="conventional_turnover_wacls_730"/>
    <x v="770"/>
    <n v="1"/>
    <n v="1"/>
    <n v="-160"/>
    <n v="960"/>
  </r>
  <r>
    <x v="32"/>
    <s v="conventional_turnover_wacls_731"/>
    <x v="771"/>
    <n v="1"/>
    <n v="1"/>
    <n v="-160"/>
    <n v="960"/>
  </r>
  <r>
    <x v="32"/>
    <s v="conventional_turnover_wacls_732"/>
    <x v="772"/>
    <n v="1"/>
    <n v="1"/>
    <n v="-160"/>
    <n v="960"/>
  </r>
  <r>
    <x v="32"/>
    <s v="conventional_turnover_wacls_733"/>
    <x v="773"/>
    <n v="1"/>
    <n v="1"/>
    <n v="-160"/>
    <n v="960"/>
  </r>
  <r>
    <x v="32"/>
    <s v="conventional_turnover_wacls_734"/>
    <x v="774"/>
    <n v="1"/>
    <n v="1"/>
    <n v="-160"/>
    <n v="960"/>
  </r>
  <r>
    <x v="32"/>
    <s v="conventional_turnover_wacls_735"/>
    <x v="775"/>
    <n v="1"/>
    <n v="1"/>
    <n v="-160"/>
    <n v="960"/>
  </r>
  <r>
    <x v="32"/>
    <s v="conventional_turnover_wacls_736"/>
    <x v="776"/>
    <n v="1"/>
    <n v="1"/>
    <n v="-160"/>
    <n v="960"/>
  </r>
  <r>
    <x v="32"/>
    <s v="conventional_turnover_wacls_737"/>
    <x v="777"/>
    <n v="1"/>
    <n v="1"/>
    <n v="-160"/>
    <n v="960"/>
  </r>
  <r>
    <x v="32"/>
    <s v="conventional_turnover_wacls_738"/>
    <x v="778"/>
    <n v="1"/>
    <n v="1"/>
    <n v="-160"/>
    <n v="960"/>
  </r>
  <r>
    <x v="32"/>
    <s v="conventional_turnover_wacls_739"/>
    <x v="779"/>
    <n v="1"/>
    <n v="1"/>
    <n v="-160"/>
    <n v="960"/>
  </r>
  <r>
    <x v="32"/>
    <s v="conventional_turnover_wacls_740"/>
    <x v="780"/>
    <n v="1"/>
    <n v="1"/>
    <n v="-160"/>
    <n v="960"/>
  </r>
  <r>
    <x v="32"/>
    <s v="conventional_turnover_wacls_741"/>
    <x v="781"/>
    <n v="1"/>
    <n v="1"/>
    <n v="-160"/>
    <n v="960"/>
  </r>
  <r>
    <x v="32"/>
    <s v="conventional_turnover_wacls_742"/>
    <x v="782"/>
    <n v="1"/>
    <n v="1"/>
    <n v="-160"/>
    <n v="960"/>
  </r>
  <r>
    <x v="32"/>
    <s v="conventional_turnover_wacls_743"/>
    <x v="783"/>
    <n v="1"/>
    <n v="1"/>
    <n v="-160"/>
    <n v="960"/>
  </r>
  <r>
    <x v="32"/>
    <s v="conventional_turnover_wacls_744"/>
    <x v="784"/>
    <n v="1"/>
    <n v="1"/>
    <n v="-160"/>
    <n v="960"/>
  </r>
  <r>
    <x v="32"/>
    <s v="conventional_turnover_wacls_745"/>
    <x v="785"/>
    <n v="1"/>
    <n v="1"/>
    <n v="-160"/>
    <n v="960"/>
  </r>
  <r>
    <x v="32"/>
    <s v="conventional_turnover_wacls_746"/>
    <x v="786"/>
    <n v="1"/>
    <n v="1"/>
    <n v="-160"/>
    <n v="960"/>
  </r>
  <r>
    <x v="32"/>
    <s v="conventional_turnover_wacls_747"/>
    <x v="787"/>
    <n v="1"/>
    <n v="1"/>
    <n v="-160"/>
    <n v="960"/>
  </r>
  <r>
    <x v="32"/>
    <s v="conventional_turnover_wacls_748"/>
    <x v="788"/>
    <n v="1"/>
    <n v="1"/>
    <n v="-160"/>
    <n v="960"/>
  </r>
  <r>
    <x v="32"/>
    <s v="conventional_turnover_wacls_749"/>
    <x v="789"/>
    <n v="1"/>
    <n v="1"/>
    <n v="-160"/>
    <n v="960"/>
  </r>
  <r>
    <x v="32"/>
    <s v="conventional_turnover_wacls_750"/>
    <x v="790"/>
    <n v="1"/>
    <n v="1"/>
    <n v="-160"/>
    <n v="960"/>
  </r>
  <r>
    <x v="32"/>
    <s v="conventional_turnover_wacls_751"/>
    <x v="791"/>
    <n v="1"/>
    <n v="1"/>
    <n v="-160"/>
    <n v="960"/>
  </r>
  <r>
    <x v="32"/>
    <s v="conventional_turnover_wacls_752"/>
    <x v="792"/>
    <n v="1"/>
    <n v="1"/>
    <n v="-160"/>
    <n v="960"/>
  </r>
  <r>
    <x v="32"/>
    <s v="conventional_turnover_wacls_753"/>
    <x v="793"/>
    <n v="1"/>
    <n v="1"/>
    <n v="-160"/>
    <n v="960"/>
  </r>
  <r>
    <x v="32"/>
    <s v="conventional_turnover_wacls_754"/>
    <x v="794"/>
    <n v="1"/>
    <n v="1"/>
    <n v="-160"/>
    <n v="960"/>
  </r>
  <r>
    <x v="32"/>
    <s v="conventional_turnover_wacls_755"/>
    <x v="795"/>
    <n v="1"/>
    <n v="1"/>
    <n v="-160"/>
    <n v="960"/>
  </r>
  <r>
    <x v="32"/>
    <s v="conventional_turnover_wacls_756"/>
    <x v="796"/>
    <n v="1"/>
    <n v="1"/>
    <n v="-160"/>
    <n v="960"/>
  </r>
  <r>
    <x v="32"/>
    <s v="conventional_turnover_wacls_757"/>
    <x v="797"/>
    <n v="1"/>
    <n v="1"/>
    <n v="-160"/>
    <n v="960"/>
  </r>
  <r>
    <x v="32"/>
    <s v="conventional_turnover_wacls_758"/>
    <x v="798"/>
    <n v="1"/>
    <n v="1"/>
    <n v="-160"/>
    <n v="960"/>
  </r>
  <r>
    <x v="32"/>
    <s v="conventional_turnover_wacls_759"/>
    <x v="799"/>
    <n v="1"/>
    <n v="1"/>
    <n v="-160"/>
    <n v="960"/>
  </r>
  <r>
    <x v="32"/>
    <s v="conventional_turnover_wacls_760"/>
    <x v="800"/>
    <n v="1"/>
    <n v="1"/>
    <n v="-160"/>
    <n v="960"/>
  </r>
  <r>
    <x v="32"/>
    <s v="conventional_turnover_wacls_761"/>
    <x v="801"/>
    <n v="1"/>
    <n v="1"/>
    <n v="-160"/>
    <n v="960"/>
  </r>
  <r>
    <x v="32"/>
    <s v="conventional_turnover_wacls_762"/>
    <x v="802"/>
    <n v="1"/>
    <n v="1"/>
    <n v="-160"/>
    <n v="960"/>
  </r>
  <r>
    <x v="32"/>
    <s v="conventional_turnover_wacls_763"/>
    <x v="803"/>
    <n v="1"/>
    <n v="1"/>
    <n v="-160"/>
    <n v="960"/>
  </r>
  <r>
    <x v="32"/>
    <s v="conventional_turnover_wacls_764"/>
    <x v="804"/>
    <n v="1"/>
    <n v="1"/>
    <n v="-160"/>
    <n v="960"/>
  </r>
  <r>
    <x v="32"/>
    <s v="conventional_turnover_wacls_765"/>
    <x v="805"/>
    <n v="1"/>
    <n v="1"/>
    <n v="-160"/>
    <n v="960"/>
  </r>
  <r>
    <x v="32"/>
    <s v="conventional_turnover_wacls_766"/>
    <x v="806"/>
    <n v="1"/>
    <n v="1"/>
    <n v="-160"/>
    <n v="960"/>
  </r>
  <r>
    <x v="32"/>
    <s v="conventional_turnover_wacls_767"/>
    <x v="807"/>
    <n v="1"/>
    <n v="1"/>
    <n v="-160"/>
    <n v="960"/>
  </r>
  <r>
    <x v="32"/>
    <s v="conventional_turnover_wacls_768"/>
    <x v="808"/>
    <n v="1"/>
    <n v="1"/>
    <n v="-160"/>
    <n v="960"/>
  </r>
  <r>
    <x v="32"/>
    <s v="conventional_turnover_wacls_769"/>
    <x v="809"/>
    <n v="1"/>
    <n v="1"/>
    <n v="-160"/>
    <n v="960"/>
  </r>
  <r>
    <x v="32"/>
    <s v="conventional_turnover_wacls_770"/>
    <x v="810"/>
    <n v="1"/>
    <n v="1"/>
    <n v="-160"/>
    <n v="960"/>
  </r>
  <r>
    <x v="32"/>
    <s v="conventional_turnover_wacls_771"/>
    <x v="811"/>
    <n v="1"/>
    <n v="1"/>
    <n v="-160"/>
    <n v="960"/>
  </r>
  <r>
    <x v="32"/>
    <s v="conventional_turnover_wacls_772"/>
    <x v="812"/>
    <n v="1"/>
    <n v="1"/>
    <n v="-160"/>
    <n v="960"/>
  </r>
  <r>
    <x v="32"/>
    <s v="conventional_turnover_wacls_773"/>
    <x v="813"/>
    <n v="1"/>
    <n v="1"/>
    <n v="-160"/>
    <n v="960"/>
  </r>
  <r>
    <x v="32"/>
    <s v="conventional_turnover_wacls_774"/>
    <x v="814"/>
    <n v="1"/>
    <n v="1"/>
    <n v="-160"/>
    <n v="960"/>
  </r>
  <r>
    <x v="32"/>
    <s v="conventional_turnover_wacls_775"/>
    <x v="815"/>
    <n v="1"/>
    <n v="1"/>
    <n v="-160"/>
    <n v="960"/>
  </r>
  <r>
    <x v="32"/>
    <s v="conventional_turnover_wacls_776"/>
    <x v="816"/>
    <n v="1"/>
    <n v="1"/>
    <n v="-160"/>
    <n v="960"/>
  </r>
  <r>
    <x v="32"/>
    <s v="conventional_turnover_wacls_777"/>
    <x v="817"/>
    <n v="1"/>
    <n v="1"/>
    <n v="-160"/>
    <n v="960"/>
  </r>
  <r>
    <x v="32"/>
    <s v="conventional_turnover_wacls_778"/>
    <x v="818"/>
    <n v="1"/>
    <n v="1"/>
    <n v="-160"/>
    <n v="960"/>
  </r>
  <r>
    <x v="32"/>
    <s v="conventional_turnover_wacls_779"/>
    <x v="819"/>
    <n v="1"/>
    <n v="1"/>
    <n v="-160"/>
    <n v="960"/>
  </r>
  <r>
    <x v="32"/>
    <s v="conventional_turnover_wacls_780"/>
    <x v="820"/>
    <n v="1"/>
    <n v="1"/>
    <n v="-160"/>
    <n v="960"/>
  </r>
  <r>
    <x v="32"/>
    <s v="conventional_turnover_wacls_781"/>
    <x v="821"/>
    <n v="1"/>
    <n v="1"/>
    <n v="-160"/>
    <n v="960"/>
  </r>
  <r>
    <x v="32"/>
    <s v="conventional_turnover_wacls_782"/>
    <x v="822"/>
    <n v="1"/>
    <n v="1"/>
    <n v="-160"/>
    <n v="960"/>
  </r>
  <r>
    <x v="32"/>
    <s v="conventional_turnover_wacls_783"/>
    <x v="823"/>
    <n v="1"/>
    <n v="1"/>
    <n v="-160"/>
    <n v="960"/>
  </r>
  <r>
    <x v="32"/>
    <s v="conventional_turnover_wacls_784"/>
    <x v="824"/>
    <n v="1"/>
    <n v="1"/>
    <n v="-160"/>
    <n v="960"/>
  </r>
  <r>
    <x v="32"/>
    <s v="conventional_turnover_wacls_785"/>
    <x v="825"/>
    <n v="1"/>
    <n v="1"/>
    <n v="-160"/>
    <n v="960"/>
  </r>
  <r>
    <x v="32"/>
    <s v="conventional_turnover_wacls_786"/>
    <x v="826"/>
    <n v="1"/>
    <n v="1"/>
    <n v="-160"/>
    <n v="960"/>
  </r>
  <r>
    <x v="32"/>
    <s v="conventional_turnover_wacls_787"/>
    <x v="827"/>
    <n v="1"/>
    <n v="1"/>
    <n v="-160"/>
    <n v="960"/>
  </r>
  <r>
    <x v="32"/>
    <s v="conventional_turnover_wacls_788"/>
    <x v="828"/>
    <n v="1"/>
    <n v="1"/>
    <n v="-160"/>
    <n v="960"/>
  </r>
  <r>
    <x v="32"/>
    <s v="conventional_turnover_wacls_789"/>
    <x v="829"/>
    <n v="1"/>
    <n v="1"/>
    <n v="-160"/>
    <n v="960"/>
  </r>
  <r>
    <x v="32"/>
    <s v="conventional_turnover_wacls_790"/>
    <x v="830"/>
    <n v="1"/>
    <n v="1"/>
    <n v="-160"/>
    <n v="960"/>
  </r>
  <r>
    <x v="32"/>
    <s v="conventional_turnover_wacls_791"/>
    <x v="831"/>
    <n v="1"/>
    <n v="1"/>
    <n v="-160"/>
    <n v="960"/>
  </r>
  <r>
    <x v="32"/>
    <s v="conventional_turnover_wacls_792"/>
    <x v="832"/>
    <n v="1"/>
    <n v="1"/>
    <n v="-160"/>
    <n v="960"/>
  </r>
  <r>
    <x v="32"/>
    <s v="conventional_turnover_wacls_793"/>
    <x v="833"/>
    <n v="1"/>
    <n v="1"/>
    <n v="-160"/>
    <n v="960"/>
  </r>
  <r>
    <x v="32"/>
    <s v="conventional_turnover_wacls_794"/>
    <x v="834"/>
    <n v="1"/>
    <n v="1"/>
    <n v="-160"/>
    <n v="960"/>
  </r>
  <r>
    <x v="32"/>
    <s v="conventional_turnover_wacls_795"/>
    <x v="835"/>
    <n v="1"/>
    <n v="1"/>
    <n v="-160"/>
    <n v="960"/>
  </r>
  <r>
    <x v="32"/>
    <s v="conventional_turnover_wacls_796"/>
    <x v="836"/>
    <n v="1"/>
    <n v="1"/>
    <n v="-160"/>
    <n v="960"/>
  </r>
  <r>
    <x v="32"/>
    <s v="conventional_turnover_wacls_797"/>
    <x v="837"/>
    <n v="1"/>
    <n v="1"/>
    <n v="-160"/>
    <n v="960"/>
  </r>
  <r>
    <x v="32"/>
    <s v="conventional_turnover_wacls_798"/>
    <x v="838"/>
    <n v="1"/>
    <n v="1"/>
    <n v="-160"/>
    <n v="960"/>
  </r>
  <r>
    <x v="32"/>
    <s v="conventional_turnover_wacls_799"/>
    <x v="839"/>
    <n v="1"/>
    <n v="1"/>
    <n v="-160"/>
    <n v="960"/>
  </r>
  <r>
    <x v="32"/>
    <s v="conventional_turnover_wacls_800"/>
    <x v="840"/>
    <n v="1"/>
    <n v="1"/>
    <n v="-160"/>
    <n v="960"/>
  </r>
  <r>
    <x v="32"/>
    <s v="conventional_turnover_wacls_801"/>
    <x v="841"/>
    <n v="1"/>
    <n v="1"/>
    <n v="-160"/>
    <n v="960"/>
  </r>
  <r>
    <x v="32"/>
    <s v="conventional_turnover_wacls_802"/>
    <x v="842"/>
    <n v="1"/>
    <n v="1"/>
    <n v="-160"/>
    <n v="960"/>
  </r>
  <r>
    <x v="32"/>
    <s v="conventional_turnover_wacls_803"/>
    <x v="843"/>
    <n v="1"/>
    <n v="1"/>
    <n v="-160"/>
    <n v="960"/>
  </r>
  <r>
    <x v="32"/>
    <s v="conventional_turnover_wacls_804"/>
    <x v="844"/>
    <n v="1"/>
    <n v="1"/>
    <n v="-160"/>
    <n v="960"/>
  </r>
  <r>
    <x v="32"/>
    <s v="conventional_turnover_wacls_805"/>
    <x v="845"/>
    <n v="1"/>
    <n v="1"/>
    <n v="-160"/>
    <n v="960"/>
  </r>
  <r>
    <x v="32"/>
    <s v="conventional_turnover_wacls_806"/>
    <x v="846"/>
    <n v="1"/>
    <n v="1"/>
    <n v="-160"/>
    <n v="960"/>
  </r>
  <r>
    <x v="32"/>
    <s v="conventional_turnover_wacls_807"/>
    <x v="847"/>
    <n v="1"/>
    <n v="1"/>
    <n v="-160"/>
    <n v="960"/>
  </r>
  <r>
    <x v="32"/>
    <s v="conventional_turnover_wacls_808"/>
    <x v="848"/>
    <n v="1"/>
    <n v="1"/>
    <n v="-160"/>
    <n v="960"/>
  </r>
  <r>
    <x v="32"/>
    <s v="conventional_turnover_wacls_809"/>
    <x v="849"/>
    <n v="1"/>
    <n v="1"/>
    <n v="-160"/>
    <n v="960"/>
  </r>
  <r>
    <x v="32"/>
    <s v="conventional_turnover_wacls_810"/>
    <x v="850"/>
    <n v="1"/>
    <n v="1"/>
    <n v="-160"/>
    <n v="960"/>
  </r>
  <r>
    <x v="32"/>
    <s v="conventional_turnover_wacls_811"/>
    <x v="851"/>
    <n v="1"/>
    <n v="1"/>
    <n v="-160"/>
    <n v="960"/>
  </r>
  <r>
    <x v="32"/>
    <s v="conventional_turnover_wacls_812"/>
    <x v="852"/>
    <n v="1"/>
    <n v="1"/>
    <n v="-160"/>
    <n v="960"/>
  </r>
  <r>
    <x v="32"/>
    <s v="conventional_turnover_wacls_813"/>
    <x v="853"/>
    <n v="1"/>
    <n v="1"/>
    <n v="-160"/>
    <n v="960"/>
  </r>
  <r>
    <x v="32"/>
    <s v="conventional_turnover_wacls_814"/>
    <x v="854"/>
    <n v="1"/>
    <n v="1"/>
    <n v="-160"/>
    <n v="960"/>
  </r>
  <r>
    <x v="32"/>
    <s v="conventional_turnover_wacls_815"/>
    <x v="855"/>
    <n v="1"/>
    <n v="1"/>
    <n v="-160"/>
    <n v="960"/>
  </r>
  <r>
    <x v="32"/>
    <s v="conventional_turnover_wacls_816"/>
    <x v="856"/>
    <n v="1"/>
    <n v="1"/>
    <n v="-160"/>
    <n v="960"/>
  </r>
  <r>
    <x v="32"/>
    <s v="conventional_turnover_wacls_817"/>
    <x v="857"/>
    <n v="1"/>
    <n v="1"/>
    <n v="-160"/>
    <n v="960"/>
  </r>
  <r>
    <x v="32"/>
    <s v="conventional_turnover_wacls_818"/>
    <x v="858"/>
    <n v="1"/>
    <n v="1"/>
    <n v="-160"/>
    <n v="960"/>
  </r>
  <r>
    <x v="32"/>
    <s v="conventional_turnover_wacls_819"/>
    <x v="859"/>
    <n v="1"/>
    <n v="1"/>
    <n v="-160"/>
    <n v="960"/>
  </r>
  <r>
    <x v="32"/>
    <s v="conventional_turnover_wacls_820"/>
    <x v="860"/>
    <n v="1"/>
    <n v="1"/>
    <n v="-160"/>
    <n v="960"/>
  </r>
  <r>
    <x v="32"/>
    <s v="conventional_turnover_wacls_821"/>
    <x v="861"/>
    <n v="1"/>
    <n v="1"/>
    <n v="-160"/>
    <n v="960"/>
  </r>
  <r>
    <x v="32"/>
    <s v="conventional_turnover_wacls_822"/>
    <x v="862"/>
    <n v="1"/>
    <n v="1"/>
    <n v="-160"/>
    <n v="960"/>
  </r>
  <r>
    <x v="32"/>
    <s v="conventional_turnover_wacls_823"/>
    <x v="863"/>
    <n v="1"/>
    <n v="1"/>
    <n v="-160"/>
    <n v="960"/>
  </r>
  <r>
    <x v="32"/>
    <s v="conventional_turnover_wacls_824"/>
    <x v="864"/>
    <n v="1"/>
    <n v="1"/>
    <n v="-160"/>
    <n v="960"/>
  </r>
  <r>
    <x v="32"/>
    <s v="conventional_turnover_wacls_825"/>
    <x v="865"/>
    <n v="1"/>
    <n v="1"/>
    <n v="-160"/>
    <n v="960"/>
  </r>
  <r>
    <x v="32"/>
    <s v="conventional_turnover_wacls_826"/>
    <x v="866"/>
    <n v="1"/>
    <n v="1"/>
    <n v="-160"/>
    <n v="960"/>
  </r>
  <r>
    <x v="32"/>
    <s v="conventional_turnover_wacls_827"/>
    <x v="867"/>
    <n v="1"/>
    <n v="1"/>
    <n v="-160"/>
    <n v="960"/>
  </r>
  <r>
    <x v="32"/>
    <s v="conventional_turnover_wacls_828"/>
    <x v="868"/>
    <n v="1"/>
    <n v="1"/>
    <n v="-160"/>
    <n v="960"/>
  </r>
  <r>
    <x v="32"/>
    <s v="conventional_turnover_wacls_829"/>
    <x v="869"/>
    <n v="1"/>
    <n v="1"/>
    <n v="-160"/>
    <n v="960"/>
  </r>
  <r>
    <x v="32"/>
    <s v="conventional_turnover_wacls_830"/>
    <x v="870"/>
    <n v="1"/>
    <n v="1"/>
    <n v="-160"/>
    <n v="960"/>
  </r>
  <r>
    <x v="32"/>
    <s v="conventional_turnover_wacls_831"/>
    <x v="871"/>
    <n v="1"/>
    <n v="1"/>
    <n v="-160"/>
    <n v="960"/>
  </r>
  <r>
    <x v="32"/>
    <s v="conventional_turnover_wacls_832"/>
    <x v="872"/>
    <n v="1"/>
    <n v="1"/>
    <n v="-160"/>
    <n v="960"/>
  </r>
  <r>
    <x v="32"/>
    <s v="conventional_turnover_wacls_833"/>
    <x v="873"/>
    <n v="1"/>
    <n v="1"/>
    <n v="-160"/>
    <n v="960"/>
  </r>
  <r>
    <x v="32"/>
    <s v="conventional_turnover_wacls_834"/>
    <x v="874"/>
    <n v="1"/>
    <n v="1"/>
    <n v="-160"/>
    <n v="960"/>
  </r>
  <r>
    <x v="32"/>
    <s v="conventional_turnover_wacls_835"/>
    <x v="875"/>
    <n v="1"/>
    <n v="1"/>
    <n v="-160"/>
    <n v="960"/>
  </r>
  <r>
    <x v="32"/>
    <s v="conventional_turnover_wacls_836"/>
    <x v="876"/>
    <n v="1"/>
    <n v="1"/>
    <n v="-160"/>
    <n v="960"/>
  </r>
  <r>
    <x v="32"/>
    <s v="conventional_turnover_wacls_837"/>
    <x v="877"/>
    <n v="1"/>
    <n v="1"/>
    <n v="-160"/>
    <n v="960"/>
  </r>
  <r>
    <x v="32"/>
    <s v="conventional_turnover_wacls_838"/>
    <x v="878"/>
    <n v="1"/>
    <n v="1"/>
    <n v="-160"/>
    <n v="960"/>
  </r>
  <r>
    <x v="32"/>
    <s v="conventional_turnover_wacls_839"/>
    <x v="879"/>
    <n v="1"/>
    <n v="1"/>
    <n v="-160"/>
    <n v="960"/>
  </r>
  <r>
    <x v="32"/>
    <s v="conventional_turnover_wacls_840"/>
    <x v="880"/>
    <n v="1"/>
    <n v="1"/>
    <n v="-160"/>
    <n v="960"/>
  </r>
  <r>
    <x v="32"/>
    <s v="conventional_turnover_wacls_841"/>
    <x v="881"/>
    <n v="1"/>
    <n v="1"/>
    <n v="-160"/>
    <n v="960"/>
  </r>
  <r>
    <x v="32"/>
    <s v="conventional_turnover_wacls_842"/>
    <x v="882"/>
    <n v="1"/>
    <n v="1"/>
    <n v="-160"/>
    <n v="960"/>
  </r>
  <r>
    <x v="32"/>
    <s v="conventional_turnover_wacls_843"/>
    <x v="883"/>
    <n v="1"/>
    <n v="1"/>
    <n v="-160"/>
    <n v="960"/>
  </r>
  <r>
    <x v="32"/>
    <s v="conventional_turnover_wacls_844"/>
    <x v="884"/>
    <n v="1"/>
    <n v="1"/>
    <n v="-160"/>
    <n v="960"/>
  </r>
  <r>
    <x v="32"/>
    <s v="conventional_turnover_wacls_845"/>
    <x v="885"/>
    <n v="1"/>
    <n v="1"/>
    <n v="-160"/>
    <n v="960"/>
  </r>
  <r>
    <x v="32"/>
    <s v="conventional_turnover_wacls_846"/>
    <x v="886"/>
    <n v="1"/>
    <n v="1"/>
    <n v="-160"/>
    <n v="960"/>
  </r>
  <r>
    <x v="32"/>
    <s v="conventional_turnover_wacls_847"/>
    <x v="887"/>
    <n v="1"/>
    <n v="1"/>
    <n v="-160"/>
    <n v="960"/>
  </r>
  <r>
    <x v="32"/>
    <s v="conventional_turnover_wacls_848"/>
    <x v="888"/>
    <n v="1"/>
    <n v="1"/>
    <n v="-160"/>
    <n v="960"/>
  </r>
  <r>
    <x v="32"/>
    <s v="conventional_turnover_wacls_849"/>
    <x v="889"/>
    <n v="1"/>
    <n v="1"/>
    <n v="-160"/>
    <n v="960"/>
  </r>
  <r>
    <x v="32"/>
    <s v="conventional_turnover_wacls_850"/>
    <x v="890"/>
    <n v="1"/>
    <n v="1"/>
    <n v="-160"/>
    <n v="960"/>
  </r>
  <r>
    <x v="32"/>
    <s v="conventional_turnover_wacls_851"/>
    <x v="891"/>
    <n v="1"/>
    <n v="1"/>
    <n v="-160"/>
    <n v="960"/>
  </r>
  <r>
    <x v="32"/>
    <s v="conventional_turnover_wacls_852"/>
    <x v="892"/>
    <n v="1"/>
    <n v="1"/>
    <n v="-160"/>
    <n v="960"/>
  </r>
  <r>
    <x v="32"/>
    <s v="conventional_turnover_wacls_853"/>
    <x v="893"/>
    <n v="1"/>
    <n v="1"/>
    <n v="-160"/>
    <n v="960"/>
  </r>
  <r>
    <x v="32"/>
    <s v="conventional_turnover_wacls_854"/>
    <x v="894"/>
    <n v="1"/>
    <n v="1"/>
    <n v="-160"/>
    <n v="960"/>
  </r>
  <r>
    <x v="32"/>
    <s v="conventional_turnover_wacls_855"/>
    <x v="895"/>
    <n v="1"/>
    <n v="1"/>
    <n v="-160"/>
    <n v="960"/>
  </r>
  <r>
    <x v="32"/>
    <s v="conventional_turnover_wacls_856"/>
    <x v="896"/>
    <n v="1"/>
    <n v="1"/>
    <n v="-160"/>
    <n v="960"/>
  </r>
  <r>
    <x v="32"/>
    <s v="conventional_turnover_wacls_857"/>
    <x v="897"/>
    <n v="1"/>
    <n v="1"/>
    <n v="-160"/>
    <n v="960"/>
  </r>
  <r>
    <x v="32"/>
    <s v="conventional_turnover_wacls_858"/>
    <x v="898"/>
    <n v="1"/>
    <n v="1"/>
    <n v="-160"/>
    <n v="960"/>
  </r>
  <r>
    <x v="32"/>
    <s v="conventional_turnover_wacls_859"/>
    <x v="899"/>
    <n v="1"/>
    <n v="1"/>
    <n v="-160"/>
    <n v="960"/>
  </r>
  <r>
    <x v="32"/>
    <s v="conventional_turnover_wacls_860"/>
    <x v="900"/>
    <n v="1"/>
    <n v="1"/>
    <n v="-160"/>
    <n v="960"/>
  </r>
  <r>
    <x v="32"/>
    <s v="conventional_turnover_wacls_861"/>
    <x v="901"/>
    <n v="1"/>
    <n v="1"/>
    <n v="-160"/>
    <n v="960"/>
  </r>
  <r>
    <x v="32"/>
    <s v="conventional_turnover_wacls_862"/>
    <x v="902"/>
    <n v="1"/>
    <n v="1"/>
    <n v="-160"/>
    <n v="960"/>
  </r>
  <r>
    <x v="32"/>
    <s v="conventional_turnover_wacls_863"/>
    <x v="903"/>
    <n v="1"/>
    <n v="1"/>
    <n v="-160"/>
    <n v="960"/>
  </r>
  <r>
    <x v="32"/>
    <s v="conventional_turnover_wacls_864"/>
    <x v="904"/>
    <n v="1"/>
    <n v="1"/>
    <n v="-160"/>
    <n v="960"/>
  </r>
  <r>
    <x v="32"/>
    <s v="conventional_turnover_wacls_865"/>
    <x v="905"/>
    <n v="1"/>
    <n v="1"/>
    <n v="-160"/>
    <n v="960"/>
  </r>
  <r>
    <x v="32"/>
    <s v="conventional_turnover_wacls_866"/>
    <x v="906"/>
    <n v="1"/>
    <n v="1"/>
    <n v="-160"/>
    <n v="960"/>
  </r>
  <r>
    <x v="32"/>
    <s v="conventional_turnover_wacls_867"/>
    <x v="907"/>
    <n v="1"/>
    <n v="1"/>
    <n v="-160"/>
    <n v="960"/>
  </r>
  <r>
    <x v="32"/>
    <s v="conventional_turnover_wacls_868"/>
    <x v="908"/>
    <n v="1"/>
    <n v="1"/>
    <n v="-160"/>
    <n v="960"/>
  </r>
  <r>
    <x v="32"/>
    <s v="conventional_turnover_wacls_869"/>
    <x v="909"/>
    <n v="1"/>
    <n v="1"/>
    <n v="-160"/>
    <n v="960"/>
  </r>
  <r>
    <x v="32"/>
    <s v="conventional_turnover_wacls_870"/>
    <x v="910"/>
    <n v="1"/>
    <n v="1"/>
    <n v="-160"/>
    <n v="960"/>
  </r>
  <r>
    <x v="32"/>
    <s v="conventional_turnover_wacls_871"/>
    <x v="911"/>
    <n v="1"/>
    <n v="1"/>
    <n v="-160"/>
    <n v="960"/>
  </r>
  <r>
    <x v="32"/>
    <s v="conventional_turnover_wacls_872"/>
    <x v="912"/>
    <n v="1"/>
    <n v="1"/>
    <n v="-160"/>
    <n v="960"/>
  </r>
  <r>
    <x v="32"/>
    <s v="conventional_turnover_wacls_873"/>
    <x v="913"/>
    <n v="1"/>
    <n v="1"/>
    <n v="-160"/>
    <n v="960"/>
  </r>
  <r>
    <x v="32"/>
    <s v="conventional_turnover_wacls_874"/>
    <x v="914"/>
    <n v="1"/>
    <n v="1"/>
    <n v="-160"/>
    <n v="960"/>
  </r>
  <r>
    <x v="32"/>
    <s v="conventional_turnover_wacls_875"/>
    <x v="915"/>
    <n v="1"/>
    <n v="1"/>
    <n v="-160"/>
    <n v="960"/>
  </r>
  <r>
    <x v="32"/>
    <s v="conventional_turnover_wacls_876"/>
    <x v="916"/>
    <n v="1"/>
    <n v="1"/>
    <n v="-160"/>
    <n v="960"/>
  </r>
  <r>
    <x v="32"/>
    <s v="conventional_turnover_wacls_877"/>
    <x v="917"/>
    <n v="1"/>
    <n v="1"/>
    <n v="-160"/>
    <n v="960"/>
  </r>
  <r>
    <x v="32"/>
    <s v="conventional_turnover_wacls_878"/>
    <x v="918"/>
    <n v="1"/>
    <n v="1"/>
    <n v="-160"/>
    <n v="960"/>
  </r>
  <r>
    <x v="32"/>
    <s v="conventional_turnover_wacls_879"/>
    <x v="919"/>
    <n v="1"/>
    <n v="1"/>
    <n v="-160"/>
    <n v="960"/>
  </r>
  <r>
    <x v="32"/>
    <s v="conventional_turnover_wacls_880"/>
    <x v="920"/>
    <n v="1"/>
    <n v="1"/>
    <n v="-160"/>
    <n v="960"/>
  </r>
  <r>
    <x v="32"/>
    <s v="conventional_turnover_wacls_881"/>
    <x v="921"/>
    <n v="1"/>
    <n v="1"/>
    <n v="-160"/>
    <n v="960"/>
  </r>
  <r>
    <x v="32"/>
    <s v="conventional_turnover_wacls_882"/>
    <x v="922"/>
    <n v="1"/>
    <n v="1"/>
    <n v="-160"/>
    <n v="960"/>
  </r>
  <r>
    <x v="32"/>
    <s v="conventional_turnover_wacls_883"/>
    <x v="923"/>
    <n v="1"/>
    <n v="1"/>
    <n v="-160"/>
    <n v="960"/>
  </r>
  <r>
    <x v="32"/>
    <s v="conventional_turnover_wacls_884"/>
    <x v="924"/>
    <n v="1"/>
    <n v="1"/>
    <n v="-160"/>
    <n v="960"/>
  </r>
  <r>
    <x v="32"/>
    <s v="conventional_turnover_wacls_885"/>
    <x v="925"/>
    <n v="1"/>
    <n v="1"/>
    <n v="-160"/>
    <n v="960"/>
  </r>
  <r>
    <x v="32"/>
    <s v="conventional_turnover_wacls_886"/>
    <x v="926"/>
    <n v="1"/>
    <n v="1"/>
    <n v="-160"/>
    <n v="960"/>
  </r>
  <r>
    <x v="32"/>
    <s v="conventional_turnover_wacls_887"/>
    <x v="927"/>
    <n v="1"/>
    <n v="1"/>
    <n v="-160"/>
    <n v="960"/>
  </r>
  <r>
    <x v="32"/>
    <s v="conventional_turnover_wacls_888"/>
    <x v="928"/>
    <n v="1"/>
    <n v="1"/>
    <n v="-160"/>
    <n v="960"/>
  </r>
  <r>
    <x v="32"/>
    <s v="conventional_turnover_wacls_889"/>
    <x v="929"/>
    <n v="1"/>
    <n v="1"/>
    <n v="-160"/>
    <n v="960"/>
  </r>
  <r>
    <x v="32"/>
    <s v="conventional_turnover_wacls_890"/>
    <x v="930"/>
    <n v="1"/>
    <n v="1"/>
    <n v="-160"/>
    <n v="960"/>
  </r>
  <r>
    <x v="32"/>
    <s v="conventional_turnover_wacls_891"/>
    <x v="931"/>
    <n v="1"/>
    <n v="1"/>
    <n v="-160"/>
    <n v="960"/>
  </r>
  <r>
    <x v="32"/>
    <s v="conventional_turnover_wacls_892"/>
    <x v="932"/>
    <n v="1"/>
    <n v="1"/>
    <n v="-160"/>
    <n v="960"/>
  </r>
  <r>
    <x v="32"/>
    <s v="conventional_turnover_wacls_893"/>
    <x v="933"/>
    <n v="1"/>
    <n v="1"/>
    <n v="-160"/>
    <n v="960"/>
  </r>
  <r>
    <x v="32"/>
    <s v="conventional_turnover_wacls_894"/>
    <x v="934"/>
    <n v="1"/>
    <n v="1"/>
    <n v="-160"/>
    <n v="960"/>
  </r>
  <r>
    <x v="32"/>
    <s v="conventional_turnover_wacls_895"/>
    <x v="935"/>
    <n v="1"/>
    <n v="1"/>
    <n v="-160"/>
    <n v="960"/>
  </r>
  <r>
    <x v="32"/>
    <s v="conventional_turnover_wacls_896"/>
    <x v="936"/>
    <n v="1"/>
    <n v="1"/>
    <n v="-160"/>
    <n v="960"/>
  </r>
  <r>
    <x v="32"/>
    <s v="conventional_turnover_wacls_897"/>
    <x v="937"/>
    <n v="1"/>
    <n v="1"/>
    <n v="-160"/>
    <n v="960"/>
  </r>
  <r>
    <x v="32"/>
    <s v="conventional_turnover_wacls_898"/>
    <x v="938"/>
    <n v="1"/>
    <n v="1"/>
    <n v="-160"/>
    <n v="960"/>
  </r>
  <r>
    <x v="32"/>
    <s v="conventional_turnover_wacls_899"/>
    <x v="939"/>
    <n v="1"/>
    <n v="1"/>
    <n v="-160"/>
    <n v="960"/>
  </r>
  <r>
    <x v="32"/>
    <s v="conventional_turnover_wacls_900"/>
    <x v="940"/>
    <n v="1"/>
    <n v="1"/>
    <n v="-160"/>
    <n v="960"/>
  </r>
  <r>
    <x v="32"/>
    <s v="conventional_turnover_wacls_901"/>
    <x v="941"/>
    <n v="1"/>
    <n v="1"/>
    <n v="-160"/>
    <n v="960"/>
  </r>
  <r>
    <x v="32"/>
    <s v="conventional_turnover_wacls_902"/>
    <x v="942"/>
    <n v="1"/>
    <n v="1"/>
    <n v="-160"/>
    <n v="960"/>
  </r>
  <r>
    <x v="32"/>
    <s v="conventional_turnover_wacls_903"/>
    <x v="943"/>
    <n v="1"/>
    <n v="1"/>
    <n v="-160"/>
    <n v="960"/>
  </r>
  <r>
    <x v="32"/>
    <s v="conventional_turnover_wacls_904"/>
    <x v="944"/>
    <n v="1"/>
    <n v="1"/>
    <n v="-160"/>
    <n v="960"/>
  </r>
  <r>
    <x v="32"/>
    <s v="conventional_turnover_wacls_905"/>
    <x v="945"/>
    <n v="1"/>
    <n v="1"/>
    <n v="-160"/>
    <n v="960"/>
  </r>
  <r>
    <x v="32"/>
    <s v="conventional_turnover_wacls_906"/>
    <x v="946"/>
    <n v="1"/>
    <n v="1"/>
    <n v="-160"/>
    <n v="960"/>
  </r>
  <r>
    <x v="32"/>
    <s v="conventional_turnover_wacls_907"/>
    <x v="947"/>
    <n v="1"/>
    <n v="1"/>
    <n v="-160"/>
    <n v="960"/>
  </r>
  <r>
    <x v="32"/>
    <s v="conventional_turnover_wacls_908"/>
    <x v="948"/>
    <n v="1"/>
    <n v="1"/>
    <n v="-160"/>
    <n v="960"/>
  </r>
  <r>
    <x v="32"/>
    <s v="conventional_turnover_wacls_909"/>
    <x v="949"/>
    <n v="1"/>
    <n v="1"/>
    <n v="-160"/>
    <n v="960"/>
  </r>
  <r>
    <x v="32"/>
    <s v="conventional_turnover_wacls_910"/>
    <x v="950"/>
    <n v="1"/>
    <n v="1"/>
    <n v="-160"/>
    <n v="960"/>
  </r>
  <r>
    <x v="32"/>
    <s v="conventional_turnover_wacls_911"/>
    <x v="951"/>
    <n v="1"/>
    <n v="1"/>
    <n v="-160"/>
    <n v="960"/>
  </r>
  <r>
    <x v="32"/>
    <s v="conventional_turnover_wacls_912"/>
    <x v="952"/>
    <n v="1"/>
    <n v="1"/>
    <n v="-160"/>
    <n v="960"/>
  </r>
  <r>
    <x v="32"/>
    <s v="conventional_turnover_wacls_913"/>
    <x v="953"/>
    <n v="1"/>
    <n v="1"/>
    <n v="-160"/>
    <n v="960"/>
  </r>
  <r>
    <x v="32"/>
    <s v="conventional_turnover_wacls_914"/>
    <x v="954"/>
    <n v="1"/>
    <n v="1"/>
    <n v="-160"/>
    <n v="960"/>
  </r>
  <r>
    <x v="32"/>
    <s v="conventional_turnover_wacls_915"/>
    <x v="955"/>
    <n v="1"/>
    <n v="1"/>
    <n v="-160"/>
    <n v="960"/>
  </r>
  <r>
    <x v="32"/>
    <s v="conventional_turnover_wacls_916"/>
    <x v="956"/>
    <n v="1"/>
    <n v="1"/>
    <n v="-160"/>
    <n v="960"/>
  </r>
  <r>
    <x v="32"/>
    <s v="conventional_turnover_wacls_917"/>
    <x v="957"/>
    <n v="1"/>
    <n v="1"/>
    <n v="-160"/>
    <n v="960"/>
  </r>
  <r>
    <x v="32"/>
    <s v="conventional_turnover_wacls_918"/>
    <x v="958"/>
    <n v="1"/>
    <n v="1"/>
    <n v="-160"/>
    <n v="960"/>
  </r>
  <r>
    <x v="32"/>
    <s v="conventional_turnover_wacls_919"/>
    <x v="959"/>
    <n v="1"/>
    <n v="1"/>
    <n v="-160"/>
    <n v="960"/>
  </r>
  <r>
    <x v="32"/>
    <s v="conventional_turnover_wacls_920"/>
    <x v="960"/>
    <n v="1"/>
    <n v="1"/>
    <n v="-160"/>
    <n v="960"/>
  </r>
  <r>
    <x v="32"/>
    <s v="conventional_turnover_wacls_921"/>
    <x v="961"/>
    <n v="1"/>
    <n v="1"/>
    <n v="-160"/>
    <n v="960"/>
  </r>
  <r>
    <x v="32"/>
    <s v="conventional_turnover_wacls_922"/>
    <x v="962"/>
    <n v="1"/>
    <n v="1"/>
    <n v="-160"/>
    <n v="960"/>
  </r>
  <r>
    <x v="32"/>
    <s v="conventional_turnover_wacls_923"/>
    <x v="963"/>
    <n v="1"/>
    <n v="1"/>
    <n v="-160"/>
    <n v="960"/>
  </r>
  <r>
    <x v="32"/>
    <s v="conventional_turnover_wacls_924"/>
    <x v="964"/>
    <n v="1"/>
    <n v="1"/>
    <n v="-160"/>
    <n v="960"/>
  </r>
  <r>
    <x v="32"/>
    <s v="conventional_turnover_wacls_925"/>
    <x v="965"/>
    <n v="1"/>
    <n v="1"/>
    <n v="-160"/>
    <n v="960"/>
  </r>
  <r>
    <x v="32"/>
    <s v="conventional_turnover_wacls_926"/>
    <x v="966"/>
    <n v="1"/>
    <n v="1"/>
    <n v="-160"/>
    <n v="960"/>
  </r>
  <r>
    <x v="32"/>
    <s v="conventional_turnover_wacls_927"/>
    <x v="967"/>
    <n v="1"/>
    <n v="1"/>
    <n v="-160"/>
    <n v="960"/>
  </r>
  <r>
    <x v="32"/>
    <s v="conventional_turnover_wacls_928"/>
    <x v="968"/>
    <n v="1"/>
    <n v="1"/>
    <n v="-160"/>
    <n v="960"/>
  </r>
  <r>
    <x v="32"/>
    <s v="conventional_turnover_wacls_929"/>
    <x v="969"/>
    <n v="1"/>
    <n v="1"/>
    <n v="-160"/>
    <n v="960"/>
  </r>
  <r>
    <x v="32"/>
    <s v="conventional_turnover_wacls_930"/>
    <x v="970"/>
    <n v="1"/>
    <n v="1"/>
    <n v="-160"/>
    <n v="960"/>
  </r>
  <r>
    <x v="32"/>
    <s v="conventional_turnover_wacls_931"/>
    <x v="971"/>
    <n v="1"/>
    <n v="1"/>
    <n v="-160"/>
    <n v="960"/>
  </r>
  <r>
    <x v="32"/>
    <s v="conventional_turnover_wacls_932"/>
    <x v="972"/>
    <n v="1"/>
    <n v="1"/>
    <n v="-160"/>
    <n v="960"/>
  </r>
  <r>
    <x v="32"/>
    <s v="conventional_turnover_wacls_933"/>
    <x v="973"/>
    <n v="1"/>
    <n v="1"/>
    <n v="-160"/>
    <n v="960"/>
  </r>
  <r>
    <x v="32"/>
    <s v="conventional_turnover_wacls_934"/>
    <x v="974"/>
    <n v="1"/>
    <n v="1"/>
    <n v="-160"/>
    <n v="960"/>
  </r>
  <r>
    <x v="32"/>
    <s v="conventional_turnover_wacls_935"/>
    <x v="975"/>
    <n v="1"/>
    <n v="1"/>
    <n v="-160"/>
    <n v="960"/>
  </r>
  <r>
    <x v="32"/>
    <s v="conventional_turnover_wacls_936"/>
    <x v="976"/>
    <n v="1"/>
    <n v="1"/>
    <n v="-160"/>
    <n v="960"/>
  </r>
  <r>
    <x v="32"/>
    <s v="conventional_turnover_wacls_937"/>
    <x v="977"/>
    <n v="1"/>
    <n v="1"/>
    <n v="-160"/>
    <n v="960"/>
  </r>
  <r>
    <x v="32"/>
    <s v="conventional_turnover_wacls_938"/>
    <x v="978"/>
    <n v="1"/>
    <n v="1"/>
    <n v="-160"/>
    <n v="960"/>
  </r>
  <r>
    <x v="32"/>
    <s v="conventional_turnover_wacls_939"/>
    <x v="979"/>
    <n v="1"/>
    <n v="1"/>
    <n v="-160"/>
    <n v="960"/>
  </r>
  <r>
    <x v="32"/>
    <s v="conventional_turnover_wacls_940"/>
    <x v="980"/>
    <n v="1"/>
    <n v="1"/>
    <n v="-160"/>
    <n v="960"/>
  </r>
  <r>
    <x v="32"/>
    <s v="conventional_turnover_wacls_941"/>
    <x v="1879"/>
    <n v="1"/>
    <n v="1"/>
    <n v="-160"/>
    <n v="960"/>
  </r>
  <r>
    <x v="32"/>
    <s v="conventional_turnover_wacls_942"/>
    <x v="1880"/>
    <n v="1"/>
    <n v="1"/>
    <n v="-160"/>
    <n v="960"/>
  </r>
  <r>
    <x v="32"/>
    <s v="conventional_turnover_wacls_943"/>
    <x v="1881"/>
    <n v="1"/>
    <n v="1"/>
    <n v="-160"/>
    <n v="960"/>
  </r>
  <r>
    <x v="32"/>
    <s v="conventional_turnover_wacls_944"/>
    <x v="1882"/>
    <n v="1"/>
    <n v="1"/>
    <n v="-160"/>
    <n v="960"/>
  </r>
  <r>
    <x v="32"/>
    <s v="conventional_turnover_wacls_945"/>
    <x v="1883"/>
    <n v="1"/>
    <n v="1"/>
    <n v="-160"/>
    <n v="960"/>
  </r>
  <r>
    <x v="32"/>
    <s v="conventional_turnover_wacls_946"/>
    <x v="1884"/>
    <n v="1"/>
    <n v="1"/>
    <n v="-160"/>
    <n v="960"/>
  </r>
  <r>
    <x v="32"/>
    <s v="conventional_turnover_wacls_947"/>
    <x v="1885"/>
    <n v="1"/>
    <n v="1"/>
    <n v="-160"/>
    <n v="960"/>
  </r>
  <r>
    <x v="32"/>
    <s v="conventional_turnover_wacls_948"/>
    <x v="1886"/>
    <n v="1"/>
    <n v="1"/>
    <n v="-160"/>
    <n v="960"/>
  </r>
  <r>
    <x v="32"/>
    <s v="conventional_turnover_wacls_949"/>
    <x v="1887"/>
    <n v="1"/>
    <n v="1"/>
    <n v="-160"/>
    <n v="960"/>
  </r>
  <r>
    <x v="32"/>
    <s v="conventional_turnover_wacls_950"/>
    <x v="1888"/>
    <n v="1"/>
    <n v="1"/>
    <n v="-160"/>
    <n v="960"/>
  </r>
  <r>
    <x v="32"/>
    <s v="conventional_turnover_wacls_951"/>
    <x v="1889"/>
    <n v="1"/>
    <n v="1"/>
    <n v="-160"/>
    <n v="960"/>
  </r>
  <r>
    <x v="32"/>
    <s v="conventional_turnover_wacls_952"/>
    <x v="1890"/>
    <n v="1"/>
    <n v="1"/>
    <n v="-160"/>
    <n v="960"/>
  </r>
  <r>
    <x v="32"/>
    <s v="conventional_turnover_wacls_953"/>
    <x v="1891"/>
    <n v="1"/>
    <n v="1"/>
    <n v="-160"/>
    <n v="960"/>
  </r>
  <r>
    <x v="32"/>
    <s v="conventional_turnover_wacls_954"/>
    <x v="1892"/>
    <n v="1"/>
    <n v="1"/>
    <n v="-160"/>
    <n v="960"/>
  </r>
  <r>
    <x v="32"/>
    <s v="conventional_turnover_wacls_955"/>
    <x v="1893"/>
    <n v="1"/>
    <n v="1"/>
    <n v="-160"/>
    <n v="960"/>
  </r>
  <r>
    <x v="32"/>
    <s v="conventional_turnover_wacls_956"/>
    <x v="1894"/>
    <n v="1"/>
    <n v="1"/>
    <n v="-160"/>
    <n v="960"/>
  </r>
  <r>
    <x v="32"/>
    <s v="conventional_turnover_wacls_957"/>
    <x v="1895"/>
    <n v="1"/>
    <n v="1"/>
    <n v="-160"/>
    <n v="960"/>
  </r>
  <r>
    <x v="32"/>
    <s v="conventional_turnover_wacls_958"/>
    <x v="1896"/>
    <n v="1"/>
    <n v="1"/>
    <n v="-160"/>
    <n v="960"/>
  </r>
  <r>
    <x v="32"/>
    <s v="conventional_turnover_wacls_959"/>
    <x v="1897"/>
    <n v="1"/>
    <n v="1"/>
    <n v="-160"/>
    <n v="960"/>
  </r>
  <r>
    <x v="32"/>
    <s v="conventional_turnover_wacls_960"/>
    <x v="1898"/>
    <n v="1"/>
    <n v="1"/>
    <n v="-160"/>
    <n v="960"/>
  </r>
  <r>
    <x v="33"/>
    <s v="conventional_turnover_fico_560"/>
    <x v="600"/>
    <n v="1.02"/>
    <n v="1"/>
    <n v="560"/>
    <n v="840"/>
  </r>
  <r>
    <x v="33"/>
    <s v="conventional_turnover_fico_561"/>
    <x v="601"/>
    <n v="1.02"/>
    <n v="1"/>
    <n v="560"/>
    <n v="840"/>
  </r>
  <r>
    <x v="33"/>
    <s v="conventional_turnover_fico_562"/>
    <x v="602"/>
    <n v="1.02"/>
    <n v="1"/>
    <n v="560"/>
    <n v="840"/>
  </r>
  <r>
    <x v="33"/>
    <s v="conventional_turnover_fico_563"/>
    <x v="603"/>
    <n v="1.02"/>
    <n v="1"/>
    <n v="560"/>
    <n v="840"/>
  </r>
  <r>
    <x v="33"/>
    <s v="conventional_turnover_fico_564"/>
    <x v="604"/>
    <n v="1.02"/>
    <n v="1"/>
    <n v="560"/>
    <n v="840"/>
  </r>
  <r>
    <x v="33"/>
    <s v="conventional_turnover_fico_565"/>
    <x v="605"/>
    <n v="1.02"/>
    <n v="1"/>
    <n v="560"/>
    <n v="840"/>
  </r>
  <r>
    <x v="33"/>
    <s v="conventional_turnover_fico_566"/>
    <x v="606"/>
    <n v="1.02"/>
    <n v="1"/>
    <n v="560"/>
    <n v="840"/>
  </r>
  <r>
    <x v="33"/>
    <s v="conventional_turnover_fico_567"/>
    <x v="607"/>
    <n v="1.02"/>
    <n v="1"/>
    <n v="560"/>
    <n v="840"/>
  </r>
  <r>
    <x v="33"/>
    <s v="conventional_turnover_fico_568"/>
    <x v="608"/>
    <n v="1.02"/>
    <n v="1"/>
    <n v="560"/>
    <n v="840"/>
  </r>
  <r>
    <x v="33"/>
    <s v="conventional_turnover_fico_569"/>
    <x v="609"/>
    <n v="1.02"/>
    <n v="1"/>
    <n v="560"/>
    <n v="840"/>
  </r>
  <r>
    <x v="33"/>
    <s v="conventional_turnover_fico_570"/>
    <x v="610"/>
    <n v="1.02"/>
    <n v="1"/>
    <n v="560"/>
    <n v="840"/>
  </r>
  <r>
    <x v="33"/>
    <s v="conventional_turnover_fico_571"/>
    <x v="611"/>
    <n v="1.02"/>
    <n v="1"/>
    <n v="560"/>
    <n v="840"/>
  </r>
  <r>
    <x v="33"/>
    <s v="conventional_turnover_fico_572"/>
    <x v="612"/>
    <n v="1.02"/>
    <n v="1"/>
    <n v="560"/>
    <n v="840"/>
  </r>
  <r>
    <x v="33"/>
    <s v="conventional_turnover_fico_573"/>
    <x v="613"/>
    <n v="1.02"/>
    <n v="1"/>
    <n v="560"/>
    <n v="840"/>
  </r>
  <r>
    <x v="33"/>
    <s v="conventional_turnover_fico_574"/>
    <x v="614"/>
    <n v="1.02"/>
    <n v="1"/>
    <n v="560"/>
    <n v="840"/>
  </r>
  <r>
    <x v="33"/>
    <s v="conventional_turnover_fico_575"/>
    <x v="615"/>
    <n v="1.02"/>
    <n v="1"/>
    <n v="560"/>
    <n v="840"/>
  </r>
  <r>
    <x v="33"/>
    <s v="conventional_turnover_fico_576"/>
    <x v="616"/>
    <n v="1.02"/>
    <n v="1"/>
    <n v="560"/>
    <n v="840"/>
  </r>
  <r>
    <x v="33"/>
    <s v="conventional_turnover_fico_577"/>
    <x v="617"/>
    <n v="1.02"/>
    <n v="1"/>
    <n v="560"/>
    <n v="840"/>
  </r>
  <r>
    <x v="33"/>
    <s v="conventional_turnover_fico_578"/>
    <x v="618"/>
    <n v="1.02"/>
    <n v="1"/>
    <n v="560"/>
    <n v="840"/>
  </r>
  <r>
    <x v="33"/>
    <s v="conventional_turnover_fico_579"/>
    <x v="619"/>
    <n v="1.02"/>
    <n v="1"/>
    <n v="560"/>
    <n v="840"/>
  </r>
  <r>
    <x v="33"/>
    <s v="conventional_turnover_fico_580"/>
    <x v="620"/>
    <n v="1.02"/>
    <n v="1"/>
    <n v="560"/>
    <n v="840"/>
  </r>
  <r>
    <x v="33"/>
    <s v="conventional_turnover_fico_581"/>
    <x v="621"/>
    <n v="1.02"/>
    <n v="1"/>
    <n v="560"/>
    <n v="840"/>
  </r>
  <r>
    <x v="33"/>
    <s v="conventional_turnover_fico_582"/>
    <x v="622"/>
    <n v="1.02"/>
    <n v="1"/>
    <n v="560"/>
    <n v="840"/>
  </r>
  <r>
    <x v="33"/>
    <s v="conventional_turnover_fico_583"/>
    <x v="623"/>
    <n v="1.02"/>
    <n v="1"/>
    <n v="560"/>
    <n v="840"/>
  </r>
  <r>
    <x v="33"/>
    <s v="conventional_turnover_fico_584"/>
    <x v="624"/>
    <n v="1.02"/>
    <n v="1"/>
    <n v="560"/>
    <n v="840"/>
  </r>
  <r>
    <x v="33"/>
    <s v="conventional_turnover_fico_585"/>
    <x v="625"/>
    <n v="1.02"/>
    <n v="1"/>
    <n v="560"/>
    <n v="840"/>
  </r>
  <r>
    <x v="33"/>
    <s v="conventional_turnover_fico_586"/>
    <x v="626"/>
    <n v="1.02"/>
    <n v="1"/>
    <n v="560"/>
    <n v="840"/>
  </r>
  <r>
    <x v="33"/>
    <s v="conventional_turnover_fico_587"/>
    <x v="627"/>
    <n v="1.02"/>
    <n v="1"/>
    <n v="560"/>
    <n v="840"/>
  </r>
  <r>
    <x v="33"/>
    <s v="conventional_turnover_fico_588"/>
    <x v="628"/>
    <n v="1.02"/>
    <n v="1"/>
    <n v="560"/>
    <n v="840"/>
  </r>
  <r>
    <x v="33"/>
    <s v="conventional_turnover_fico_589"/>
    <x v="629"/>
    <n v="1.02"/>
    <n v="1"/>
    <n v="560"/>
    <n v="840"/>
  </r>
  <r>
    <x v="33"/>
    <s v="conventional_turnover_fico_590"/>
    <x v="630"/>
    <n v="1.02"/>
    <n v="1"/>
    <n v="560"/>
    <n v="840"/>
  </r>
  <r>
    <x v="33"/>
    <s v="conventional_turnover_fico_591"/>
    <x v="631"/>
    <n v="1.02"/>
    <n v="1"/>
    <n v="560"/>
    <n v="840"/>
  </r>
  <r>
    <x v="33"/>
    <s v="conventional_turnover_fico_592"/>
    <x v="632"/>
    <n v="1.02"/>
    <n v="1"/>
    <n v="560"/>
    <n v="840"/>
  </r>
  <r>
    <x v="33"/>
    <s v="conventional_turnover_fico_593"/>
    <x v="633"/>
    <n v="1.02"/>
    <n v="1"/>
    <n v="560"/>
    <n v="840"/>
  </r>
  <r>
    <x v="33"/>
    <s v="conventional_turnover_fico_594"/>
    <x v="634"/>
    <n v="1.02"/>
    <n v="1"/>
    <n v="560"/>
    <n v="840"/>
  </r>
  <r>
    <x v="33"/>
    <s v="conventional_turnover_fico_595"/>
    <x v="635"/>
    <n v="1.02"/>
    <n v="1"/>
    <n v="560"/>
    <n v="840"/>
  </r>
  <r>
    <x v="33"/>
    <s v="conventional_turnover_fico_596"/>
    <x v="636"/>
    <n v="1.02"/>
    <n v="1"/>
    <n v="560"/>
    <n v="840"/>
  </r>
  <r>
    <x v="33"/>
    <s v="conventional_turnover_fico_597"/>
    <x v="637"/>
    <n v="1.02"/>
    <n v="1"/>
    <n v="560"/>
    <n v="840"/>
  </r>
  <r>
    <x v="33"/>
    <s v="conventional_turnover_fico_598"/>
    <x v="638"/>
    <n v="1.02"/>
    <n v="1"/>
    <n v="560"/>
    <n v="840"/>
  </r>
  <r>
    <x v="33"/>
    <s v="conventional_turnover_fico_599"/>
    <x v="639"/>
    <n v="1.02"/>
    <n v="1"/>
    <n v="560"/>
    <n v="840"/>
  </r>
  <r>
    <x v="33"/>
    <s v="conventional_turnover_fico_600"/>
    <x v="640"/>
    <n v="1.02"/>
    <n v="1"/>
    <n v="560"/>
    <n v="840"/>
  </r>
  <r>
    <x v="33"/>
    <s v="conventional_turnover_fico_601"/>
    <x v="641"/>
    <n v="1.02"/>
    <n v="1"/>
    <n v="560"/>
    <n v="840"/>
  </r>
  <r>
    <x v="33"/>
    <s v="conventional_turnover_fico_602"/>
    <x v="642"/>
    <n v="1.02"/>
    <n v="1"/>
    <n v="560"/>
    <n v="840"/>
  </r>
  <r>
    <x v="33"/>
    <s v="conventional_turnover_fico_603"/>
    <x v="643"/>
    <n v="1.02"/>
    <n v="1"/>
    <n v="560"/>
    <n v="840"/>
  </r>
  <r>
    <x v="33"/>
    <s v="conventional_turnover_fico_604"/>
    <x v="644"/>
    <n v="1.02"/>
    <n v="1"/>
    <n v="560"/>
    <n v="840"/>
  </r>
  <r>
    <x v="33"/>
    <s v="conventional_turnover_fico_605"/>
    <x v="645"/>
    <n v="1.02"/>
    <n v="1"/>
    <n v="560"/>
    <n v="840"/>
  </r>
  <r>
    <x v="33"/>
    <s v="conventional_turnover_fico_606"/>
    <x v="646"/>
    <n v="1.02"/>
    <n v="1"/>
    <n v="560"/>
    <n v="840"/>
  </r>
  <r>
    <x v="33"/>
    <s v="conventional_turnover_fico_607"/>
    <x v="647"/>
    <n v="1.02"/>
    <n v="1"/>
    <n v="560"/>
    <n v="840"/>
  </r>
  <r>
    <x v="33"/>
    <s v="conventional_turnover_fico_608"/>
    <x v="648"/>
    <n v="1.02"/>
    <n v="1"/>
    <n v="560"/>
    <n v="840"/>
  </r>
  <r>
    <x v="33"/>
    <s v="conventional_turnover_fico_609"/>
    <x v="649"/>
    <n v="1.02"/>
    <n v="1"/>
    <n v="560"/>
    <n v="840"/>
  </r>
  <r>
    <x v="33"/>
    <s v="conventional_turnover_fico_610"/>
    <x v="650"/>
    <n v="1.02"/>
    <n v="1"/>
    <n v="560"/>
    <n v="840"/>
  </r>
  <r>
    <x v="33"/>
    <s v="conventional_turnover_fico_611"/>
    <x v="651"/>
    <n v="1.02"/>
    <n v="1"/>
    <n v="560"/>
    <n v="840"/>
  </r>
  <r>
    <x v="33"/>
    <s v="conventional_turnover_fico_612"/>
    <x v="652"/>
    <n v="1.02"/>
    <n v="1"/>
    <n v="560"/>
    <n v="840"/>
  </r>
  <r>
    <x v="33"/>
    <s v="conventional_turnover_fico_613"/>
    <x v="653"/>
    <n v="1.02"/>
    <n v="1"/>
    <n v="560"/>
    <n v="840"/>
  </r>
  <r>
    <x v="33"/>
    <s v="conventional_turnover_fico_614"/>
    <x v="654"/>
    <n v="1.02"/>
    <n v="1"/>
    <n v="560"/>
    <n v="840"/>
  </r>
  <r>
    <x v="33"/>
    <s v="conventional_turnover_fico_615"/>
    <x v="655"/>
    <n v="1.02"/>
    <n v="1"/>
    <n v="560"/>
    <n v="840"/>
  </r>
  <r>
    <x v="33"/>
    <s v="conventional_turnover_fico_616"/>
    <x v="656"/>
    <n v="1.02"/>
    <n v="1"/>
    <n v="560"/>
    <n v="840"/>
  </r>
  <r>
    <x v="33"/>
    <s v="conventional_turnover_fico_617"/>
    <x v="657"/>
    <n v="1.02"/>
    <n v="1"/>
    <n v="560"/>
    <n v="840"/>
  </r>
  <r>
    <x v="33"/>
    <s v="conventional_turnover_fico_618"/>
    <x v="658"/>
    <n v="1.02"/>
    <n v="1"/>
    <n v="560"/>
    <n v="840"/>
  </r>
  <r>
    <x v="33"/>
    <s v="conventional_turnover_fico_619"/>
    <x v="659"/>
    <n v="1.02"/>
    <n v="1"/>
    <n v="560"/>
    <n v="840"/>
  </r>
  <r>
    <x v="33"/>
    <s v="conventional_turnover_fico_620"/>
    <x v="660"/>
    <n v="1.02"/>
    <n v="1"/>
    <n v="560"/>
    <n v="840"/>
  </r>
  <r>
    <x v="33"/>
    <s v="conventional_turnover_fico_621"/>
    <x v="661"/>
    <n v="1.02"/>
    <n v="1"/>
    <n v="560"/>
    <n v="840"/>
  </r>
  <r>
    <x v="33"/>
    <s v="conventional_turnover_fico_622"/>
    <x v="662"/>
    <n v="1.02"/>
    <n v="1"/>
    <n v="560"/>
    <n v="840"/>
  </r>
  <r>
    <x v="33"/>
    <s v="conventional_turnover_fico_623"/>
    <x v="663"/>
    <n v="1.02"/>
    <n v="1"/>
    <n v="560"/>
    <n v="840"/>
  </r>
  <r>
    <x v="33"/>
    <s v="conventional_turnover_fico_624"/>
    <x v="664"/>
    <n v="1.02"/>
    <n v="1"/>
    <n v="560"/>
    <n v="840"/>
  </r>
  <r>
    <x v="33"/>
    <s v="conventional_turnover_fico_625"/>
    <x v="665"/>
    <n v="1.02"/>
    <n v="1"/>
    <n v="560"/>
    <n v="840"/>
  </r>
  <r>
    <x v="33"/>
    <s v="conventional_turnover_fico_626"/>
    <x v="666"/>
    <n v="1.02"/>
    <n v="1"/>
    <n v="560"/>
    <n v="840"/>
  </r>
  <r>
    <x v="33"/>
    <s v="conventional_turnover_fico_627"/>
    <x v="667"/>
    <n v="1.02"/>
    <n v="1"/>
    <n v="560"/>
    <n v="840"/>
  </r>
  <r>
    <x v="33"/>
    <s v="conventional_turnover_fico_628"/>
    <x v="668"/>
    <n v="1.02"/>
    <n v="1"/>
    <n v="560"/>
    <n v="840"/>
  </r>
  <r>
    <x v="33"/>
    <s v="conventional_turnover_fico_629"/>
    <x v="669"/>
    <n v="1.02"/>
    <n v="1"/>
    <n v="560"/>
    <n v="840"/>
  </r>
  <r>
    <x v="33"/>
    <s v="conventional_turnover_fico_630"/>
    <x v="670"/>
    <n v="1.02"/>
    <n v="1"/>
    <n v="560"/>
    <n v="840"/>
  </r>
  <r>
    <x v="33"/>
    <s v="conventional_turnover_fico_631"/>
    <x v="671"/>
    <n v="1.02"/>
    <n v="1"/>
    <n v="560"/>
    <n v="840"/>
  </r>
  <r>
    <x v="33"/>
    <s v="conventional_turnover_fico_632"/>
    <x v="672"/>
    <n v="1.02"/>
    <n v="1"/>
    <n v="560"/>
    <n v="840"/>
  </r>
  <r>
    <x v="33"/>
    <s v="conventional_turnover_fico_633"/>
    <x v="673"/>
    <n v="1.02"/>
    <n v="1"/>
    <n v="560"/>
    <n v="840"/>
  </r>
  <r>
    <x v="33"/>
    <s v="conventional_turnover_fico_634"/>
    <x v="674"/>
    <n v="1.02"/>
    <n v="1"/>
    <n v="560"/>
    <n v="840"/>
  </r>
  <r>
    <x v="33"/>
    <s v="conventional_turnover_fico_635"/>
    <x v="675"/>
    <n v="1.02"/>
    <n v="1"/>
    <n v="560"/>
    <n v="840"/>
  </r>
  <r>
    <x v="33"/>
    <s v="conventional_turnover_fico_636"/>
    <x v="676"/>
    <n v="1.02"/>
    <n v="1"/>
    <n v="560"/>
    <n v="840"/>
  </r>
  <r>
    <x v="33"/>
    <s v="conventional_turnover_fico_637"/>
    <x v="677"/>
    <n v="1.02"/>
    <n v="1"/>
    <n v="560"/>
    <n v="840"/>
  </r>
  <r>
    <x v="33"/>
    <s v="conventional_turnover_fico_638"/>
    <x v="678"/>
    <n v="1.02"/>
    <n v="1"/>
    <n v="560"/>
    <n v="840"/>
  </r>
  <r>
    <x v="33"/>
    <s v="conventional_turnover_fico_639"/>
    <x v="679"/>
    <n v="1.02"/>
    <n v="1"/>
    <n v="560"/>
    <n v="840"/>
  </r>
  <r>
    <x v="33"/>
    <s v="conventional_turnover_fico_640"/>
    <x v="680"/>
    <n v="1.02"/>
    <n v="1"/>
    <n v="560"/>
    <n v="840"/>
  </r>
  <r>
    <x v="33"/>
    <s v="conventional_turnover_fico_641"/>
    <x v="681"/>
    <n v="1.02"/>
    <n v="1"/>
    <n v="560"/>
    <n v="840"/>
  </r>
  <r>
    <x v="33"/>
    <s v="conventional_turnover_fico_642"/>
    <x v="682"/>
    <n v="1.02"/>
    <n v="1"/>
    <n v="560"/>
    <n v="840"/>
  </r>
  <r>
    <x v="33"/>
    <s v="conventional_turnover_fico_643"/>
    <x v="683"/>
    <n v="1.02"/>
    <n v="1"/>
    <n v="560"/>
    <n v="840"/>
  </r>
  <r>
    <x v="33"/>
    <s v="conventional_turnover_fico_644"/>
    <x v="684"/>
    <n v="1.02"/>
    <n v="1"/>
    <n v="560"/>
    <n v="840"/>
  </r>
  <r>
    <x v="33"/>
    <s v="conventional_turnover_fico_645"/>
    <x v="685"/>
    <n v="1.02"/>
    <n v="1"/>
    <n v="560"/>
    <n v="840"/>
  </r>
  <r>
    <x v="33"/>
    <s v="conventional_turnover_fico_646"/>
    <x v="686"/>
    <n v="1.02"/>
    <n v="1"/>
    <n v="560"/>
    <n v="840"/>
  </r>
  <r>
    <x v="33"/>
    <s v="conventional_turnover_fico_647"/>
    <x v="687"/>
    <n v="1.02"/>
    <n v="1"/>
    <n v="560"/>
    <n v="840"/>
  </r>
  <r>
    <x v="33"/>
    <s v="conventional_turnover_fico_648"/>
    <x v="688"/>
    <n v="1.02"/>
    <n v="1"/>
    <n v="560"/>
    <n v="840"/>
  </r>
  <r>
    <x v="33"/>
    <s v="conventional_turnover_fico_649"/>
    <x v="689"/>
    <n v="1.02"/>
    <n v="1"/>
    <n v="560"/>
    <n v="840"/>
  </r>
  <r>
    <x v="33"/>
    <s v="conventional_turnover_fico_650"/>
    <x v="690"/>
    <n v="1.02"/>
    <n v="1"/>
    <n v="560"/>
    <n v="840"/>
  </r>
  <r>
    <x v="33"/>
    <s v="conventional_turnover_fico_651"/>
    <x v="691"/>
    <n v="1.02"/>
    <n v="1"/>
    <n v="560"/>
    <n v="840"/>
  </r>
  <r>
    <x v="33"/>
    <s v="conventional_turnover_fico_652"/>
    <x v="692"/>
    <n v="1.02"/>
    <n v="1"/>
    <n v="560"/>
    <n v="840"/>
  </r>
  <r>
    <x v="33"/>
    <s v="conventional_turnover_fico_653"/>
    <x v="693"/>
    <n v="1.02"/>
    <n v="1"/>
    <n v="560"/>
    <n v="840"/>
  </r>
  <r>
    <x v="33"/>
    <s v="conventional_turnover_fico_654"/>
    <x v="694"/>
    <n v="1.02"/>
    <n v="1"/>
    <n v="560"/>
    <n v="840"/>
  </r>
  <r>
    <x v="33"/>
    <s v="conventional_turnover_fico_655"/>
    <x v="695"/>
    <n v="1.02"/>
    <n v="1"/>
    <n v="560"/>
    <n v="840"/>
  </r>
  <r>
    <x v="33"/>
    <s v="conventional_turnover_fico_656"/>
    <x v="696"/>
    <n v="1.02"/>
    <n v="1"/>
    <n v="560"/>
    <n v="840"/>
  </r>
  <r>
    <x v="33"/>
    <s v="conventional_turnover_fico_657"/>
    <x v="697"/>
    <n v="1.02"/>
    <n v="1"/>
    <n v="560"/>
    <n v="840"/>
  </r>
  <r>
    <x v="33"/>
    <s v="conventional_turnover_fico_658"/>
    <x v="698"/>
    <n v="1.02"/>
    <n v="1"/>
    <n v="560"/>
    <n v="840"/>
  </r>
  <r>
    <x v="33"/>
    <s v="conventional_turnover_fico_659"/>
    <x v="699"/>
    <n v="1.02"/>
    <n v="1"/>
    <n v="560"/>
    <n v="840"/>
  </r>
  <r>
    <x v="33"/>
    <s v="conventional_turnover_fico_660"/>
    <x v="700"/>
    <n v="1.02"/>
    <n v="1"/>
    <n v="560"/>
    <n v="840"/>
  </r>
  <r>
    <x v="33"/>
    <s v="conventional_turnover_fico_661"/>
    <x v="701"/>
    <n v="1.02"/>
    <n v="1"/>
    <n v="560"/>
    <n v="840"/>
  </r>
  <r>
    <x v="33"/>
    <s v="conventional_turnover_fico_662"/>
    <x v="702"/>
    <n v="1.02"/>
    <n v="1"/>
    <n v="560"/>
    <n v="840"/>
  </r>
  <r>
    <x v="33"/>
    <s v="conventional_turnover_fico_663"/>
    <x v="703"/>
    <n v="1.02"/>
    <n v="1"/>
    <n v="560"/>
    <n v="840"/>
  </r>
  <r>
    <x v="33"/>
    <s v="conventional_turnover_fico_664"/>
    <x v="704"/>
    <n v="1.02"/>
    <n v="1"/>
    <n v="560"/>
    <n v="840"/>
  </r>
  <r>
    <x v="33"/>
    <s v="conventional_turnover_fico_665"/>
    <x v="705"/>
    <n v="1.02"/>
    <n v="1"/>
    <n v="560"/>
    <n v="840"/>
  </r>
  <r>
    <x v="33"/>
    <s v="conventional_turnover_fico_666"/>
    <x v="706"/>
    <n v="1.02"/>
    <n v="1"/>
    <n v="560"/>
    <n v="840"/>
  </r>
  <r>
    <x v="33"/>
    <s v="conventional_turnover_fico_667"/>
    <x v="707"/>
    <n v="1.02"/>
    <n v="1"/>
    <n v="560"/>
    <n v="840"/>
  </r>
  <r>
    <x v="33"/>
    <s v="conventional_turnover_fico_668"/>
    <x v="708"/>
    <n v="1.02"/>
    <n v="1"/>
    <n v="560"/>
    <n v="840"/>
  </r>
  <r>
    <x v="33"/>
    <s v="conventional_turnover_fico_669"/>
    <x v="709"/>
    <n v="1.02"/>
    <n v="1"/>
    <n v="560"/>
    <n v="840"/>
  </r>
  <r>
    <x v="33"/>
    <s v="conventional_turnover_fico_670"/>
    <x v="710"/>
    <n v="1.02"/>
    <n v="1"/>
    <n v="560"/>
    <n v="840"/>
  </r>
  <r>
    <x v="33"/>
    <s v="conventional_turnover_fico_671"/>
    <x v="711"/>
    <n v="1.02"/>
    <n v="1"/>
    <n v="560"/>
    <n v="840"/>
  </r>
  <r>
    <x v="33"/>
    <s v="conventional_turnover_fico_672"/>
    <x v="712"/>
    <n v="1.02"/>
    <n v="1"/>
    <n v="560"/>
    <n v="840"/>
  </r>
  <r>
    <x v="33"/>
    <s v="conventional_turnover_fico_673"/>
    <x v="713"/>
    <n v="1.02"/>
    <n v="1"/>
    <n v="560"/>
    <n v="840"/>
  </r>
  <r>
    <x v="33"/>
    <s v="conventional_turnover_fico_674"/>
    <x v="714"/>
    <n v="1.02"/>
    <n v="1"/>
    <n v="560"/>
    <n v="840"/>
  </r>
  <r>
    <x v="33"/>
    <s v="conventional_turnover_fico_675"/>
    <x v="715"/>
    <n v="1.02"/>
    <n v="1"/>
    <n v="560"/>
    <n v="840"/>
  </r>
  <r>
    <x v="33"/>
    <s v="conventional_turnover_fico_676"/>
    <x v="716"/>
    <n v="1.02"/>
    <n v="1"/>
    <n v="560"/>
    <n v="840"/>
  </r>
  <r>
    <x v="33"/>
    <s v="conventional_turnover_fico_677"/>
    <x v="717"/>
    <n v="1.02"/>
    <n v="1"/>
    <n v="560"/>
    <n v="840"/>
  </r>
  <r>
    <x v="33"/>
    <s v="conventional_turnover_fico_678"/>
    <x v="718"/>
    <n v="1.02"/>
    <n v="1"/>
    <n v="560"/>
    <n v="840"/>
  </r>
  <r>
    <x v="33"/>
    <s v="conventional_turnover_fico_679"/>
    <x v="719"/>
    <n v="1.02"/>
    <n v="1"/>
    <n v="560"/>
    <n v="840"/>
  </r>
  <r>
    <x v="33"/>
    <s v="conventional_turnover_fico_680"/>
    <x v="720"/>
    <n v="1.02"/>
    <n v="1"/>
    <n v="560"/>
    <n v="840"/>
  </r>
  <r>
    <x v="33"/>
    <s v="conventional_turnover_fico_681"/>
    <x v="721"/>
    <n v="1.0198050000000001"/>
    <n v="1"/>
    <n v="560"/>
    <n v="840"/>
  </r>
  <r>
    <x v="33"/>
    <s v="conventional_turnover_fico_682"/>
    <x v="722"/>
    <n v="1.0192399999999999"/>
    <n v="1"/>
    <n v="560"/>
    <n v="840"/>
  </r>
  <r>
    <x v="33"/>
    <s v="conventional_turnover_fico_683"/>
    <x v="723"/>
    <n v="1.018335"/>
    <n v="1"/>
    <n v="560"/>
    <n v="840"/>
  </r>
  <r>
    <x v="33"/>
    <s v="conventional_turnover_fico_684"/>
    <x v="724"/>
    <n v="1.01712"/>
    <n v="1"/>
    <n v="560"/>
    <n v="840"/>
  </r>
  <r>
    <x v="33"/>
    <s v="conventional_turnover_fico_685"/>
    <x v="725"/>
    <n v="1.015625"/>
    <n v="1"/>
    <n v="560"/>
    <n v="840"/>
  </r>
  <r>
    <x v="33"/>
    <s v="conventional_turnover_fico_686"/>
    <x v="726"/>
    <n v="1.0138799999999999"/>
    <n v="1"/>
    <n v="560"/>
    <n v="840"/>
  </r>
  <r>
    <x v="33"/>
    <s v="conventional_turnover_fico_687"/>
    <x v="727"/>
    <n v="1.0119149999999999"/>
    <n v="1"/>
    <n v="560"/>
    <n v="840"/>
  </r>
  <r>
    <x v="33"/>
    <s v="conventional_turnover_fico_688"/>
    <x v="728"/>
    <n v="1.00976"/>
    <n v="1"/>
    <n v="560"/>
    <n v="840"/>
  </r>
  <r>
    <x v="33"/>
    <s v="conventional_turnover_fico_689"/>
    <x v="729"/>
    <n v="1.0074449999999999"/>
    <n v="1"/>
    <n v="560"/>
    <n v="840"/>
  </r>
  <r>
    <x v="33"/>
    <s v="conventional_turnover_fico_690"/>
    <x v="730"/>
    <n v="1.0049999999999999"/>
    <n v="1"/>
    <n v="560"/>
    <n v="840"/>
  </r>
  <r>
    <x v="33"/>
    <s v="conventional_turnover_fico_691"/>
    <x v="731"/>
    <n v="1.0024550000000001"/>
    <n v="1"/>
    <n v="560"/>
    <n v="840"/>
  </r>
  <r>
    <x v="33"/>
    <s v="conventional_turnover_fico_692"/>
    <x v="732"/>
    <n v="0.99983999999999995"/>
    <n v="1"/>
    <n v="560"/>
    <n v="840"/>
  </r>
  <r>
    <x v="33"/>
    <s v="conventional_turnover_fico_693"/>
    <x v="733"/>
    <n v="0.99718499999999999"/>
    <n v="1"/>
    <n v="560"/>
    <n v="840"/>
  </r>
  <r>
    <x v="33"/>
    <s v="conventional_turnover_fico_694"/>
    <x v="734"/>
    <n v="0.99451999999999996"/>
    <n v="1"/>
    <n v="560"/>
    <n v="840"/>
  </r>
  <r>
    <x v="33"/>
    <s v="conventional_turnover_fico_695"/>
    <x v="735"/>
    <n v="0.99187499999999995"/>
    <n v="1"/>
    <n v="560"/>
    <n v="840"/>
  </r>
  <r>
    <x v="33"/>
    <s v="conventional_turnover_fico_696"/>
    <x v="736"/>
    <n v="0.98928000000000005"/>
    <n v="1"/>
    <n v="560"/>
    <n v="840"/>
  </r>
  <r>
    <x v="33"/>
    <s v="conventional_turnover_fico_697"/>
    <x v="737"/>
    <n v="0.986765"/>
    <n v="1"/>
    <n v="560"/>
    <n v="840"/>
  </r>
  <r>
    <x v="33"/>
    <s v="conventional_turnover_fico_698"/>
    <x v="738"/>
    <n v="0.98436000000000001"/>
    <n v="1"/>
    <n v="560"/>
    <n v="840"/>
  </r>
  <r>
    <x v="33"/>
    <s v="conventional_turnover_fico_699"/>
    <x v="739"/>
    <n v="0.98209500000000005"/>
    <n v="1"/>
    <n v="560"/>
    <n v="840"/>
  </r>
  <r>
    <x v="33"/>
    <s v="conventional_turnover_fico_700"/>
    <x v="740"/>
    <n v="0.98"/>
    <n v="1"/>
    <n v="560"/>
    <n v="840"/>
  </r>
  <r>
    <x v="33"/>
    <s v="conventional_turnover_fico_701"/>
    <x v="741"/>
    <n v="0.9779878125"/>
    <n v="1"/>
    <n v="560"/>
    <n v="840"/>
  </r>
  <r>
    <x v="33"/>
    <s v="conventional_turnover_fico_702"/>
    <x v="742"/>
    <n v="0.9759525"/>
    <n v="1"/>
    <n v="560"/>
    <n v="840"/>
  </r>
  <r>
    <x v="33"/>
    <s v="conventional_turnover_fico_703"/>
    <x v="743"/>
    <n v="0.97389593750000003"/>
    <n v="1"/>
    <n v="560"/>
    <n v="840"/>
  </r>
  <r>
    <x v="33"/>
    <s v="conventional_turnover_fico_704"/>
    <x v="744"/>
    <n v="0.97182000000000002"/>
    <n v="1"/>
    <n v="560"/>
    <n v="840"/>
  </r>
  <r>
    <x v="33"/>
    <s v="conventional_turnover_fico_705"/>
    <x v="745"/>
    <n v="0.9697265625"/>
    <n v="1"/>
    <n v="560"/>
    <n v="840"/>
  </r>
  <r>
    <x v="33"/>
    <s v="conventional_turnover_fico_706"/>
    <x v="746"/>
    <n v="0.96761750000000002"/>
    <n v="1"/>
    <n v="560"/>
    <n v="840"/>
  </r>
  <r>
    <x v="33"/>
    <s v="conventional_turnover_fico_707"/>
    <x v="747"/>
    <n v="0.9654946875"/>
    <n v="1"/>
    <n v="560"/>
    <n v="840"/>
  </r>
  <r>
    <x v="33"/>
    <s v="conventional_turnover_fico_708"/>
    <x v="748"/>
    <n v="0.96335999999999999"/>
    <n v="1"/>
    <n v="560"/>
    <n v="840"/>
  </r>
  <r>
    <x v="33"/>
    <s v="conventional_turnover_fico_709"/>
    <x v="749"/>
    <n v="0.96121531250000003"/>
    <n v="1"/>
    <n v="560"/>
    <n v="840"/>
  </r>
  <r>
    <x v="33"/>
    <s v="conventional_turnover_fico_710"/>
    <x v="750"/>
    <n v="0.95906250000000004"/>
    <n v="1"/>
    <n v="560"/>
    <n v="840"/>
  </r>
  <r>
    <x v="33"/>
    <s v="conventional_turnover_fico_711"/>
    <x v="751"/>
    <n v="0.95690343749999995"/>
    <n v="1"/>
    <n v="560"/>
    <n v="840"/>
  </r>
  <r>
    <x v="33"/>
    <s v="conventional_turnover_fico_712"/>
    <x v="752"/>
    <n v="0.95474000000000003"/>
    <n v="1"/>
    <n v="560"/>
    <n v="840"/>
  </r>
  <r>
    <x v="33"/>
    <s v="conventional_turnover_fico_713"/>
    <x v="753"/>
    <n v="0.95257406249999999"/>
    <n v="1"/>
    <n v="560"/>
    <n v="840"/>
  </r>
  <r>
    <x v="33"/>
    <s v="conventional_turnover_fico_714"/>
    <x v="754"/>
    <n v="0.95040749999999996"/>
    <n v="1"/>
    <n v="560"/>
    <n v="840"/>
  </r>
  <r>
    <x v="33"/>
    <s v="conventional_turnover_fico_715"/>
    <x v="755"/>
    <n v="0.9482421875"/>
    <n v="1"/>
    <n v="560"/>
    <n v="840"/>
  </r>
  <r>
    <x v="33"/>
    <s v="conventional_turnover_fico_716"/>
    <x v="756"/>
    <n v="0.94608000000000003"/>
    <n v="1"/>
    <n v="560"/>
    <n v="840"/>
  </r>
  <r>
    <x v="33"/>
    <s v="conventional_turnover_fico_717"/>
    <x v="757"/>
    <n v="0.94392281249999999"/>
    <n v="1"/>
    <n v="560"/>
    <n v="840"/>
  </r>
  <r>
    <x v="33"/>
    <s v="conventional_turnover_fico_718"/>
    <x v="758"/>
    <n v="0.94177250000000001"/>
    <n v="1"/>
    <n v="560"/>
    <n v="840"/>
  </r>
  <r>
    <x v="33"/>
    <s v="conventional_turnover_fico_719"/>
    <x v="759"/>
    <n v="0.93963093750000004"/>
    <n v="1"/>
    <n v="560"/>
    <n v="840"/>
  </r>
  <r>
    <x v="33"/>
    <s v="conventional_turnover_fico_720"/>
    <x v="760"/>
    <n v="0.9375"/>
    <n v="1"/>
    <n v="560"/>
    <n v="840"/>
  </r>
  <r>
    <x v="33"/>
    <s v="conventional_turnover_fico_721"/>
    <x v="761"/>
    <n v="0.93538156250000004"/>
    <n v="1"/>
    <n v="560"/>
    <n v="840"/>
  </r>
  <r>
    <x v="33"/>
    <s v="conventional_turnover_fico_722"/>
    <x v="762"/>
    <n v="0.93327749999999998"/>
    <n v="1"/>
    <n v="560"/>
    <n v="840"/>
  </r>
  <r>
    <x v="33"/>
    <s v="conventional_turnover_fico_723"/>
    <x v="763"/>
    <n v="0.93118968749999997"/>
    <n v="1"/>
    <n v="560"/>
    <n v="840"/>
  </r>
  <r>
    <x v="33"/>
    <s v="conventional_turnover_fico_724"/>
    <x v="764"/>
    <n v="0.92911999999999995"/>
    <n v="1"/>
    <n v="560"/>
    <n v="840"/>
  </r>
  <r>
    <x v="33"/>
    <s v="conventional_turnover_fico_725"/>
    <x v="765"/>
    <n v="0.92707031250000005"/>
    <n v="1"/>
    <n v="560"/>
    <n v="840"/>
  </r>
  <r>
    <x v="33"/>
    <s v="conventional_turnover_fico_726"/>
    <x v="766"/>
    <n v="0.92504249999999999"/>
    <n v="1"/>
    <n v="560"/>
    <n v="840"/>
  </r>
  <r>
    <x v="33"/>
    <s v="conventional_turnover_fico_727"/>
    <x v="767"/>
    <n v="0.92303843750000003"/>
    <n v="1"/>
    <n v="560"/>
    <n v="840"/>
  </r>
  <r>
    <x v="33"/>
    <s v="conventional_turnover_fico_728"/>
    <x v="768"/>
    <n v="0.92105999999999999"/>
    <n v="1"/>
    <n v="560"/>
    <n v="840"/>
  </r>
  <r>
    <x v="33"/>
    <s v="conventional_turnover_fico_729"/>
    <x v="769"/>
    <n v="0.91910906250000002"/>
    <n v="1"/>
    <n v="560"/>
    <n v="840"/>
  </r>
  <r>
    <x v="33"/>
    <s v="conventional_turnover_fico_730"/>
    <x v="770"/>
    <n v="0.91718750000000004"/>
    <n v="1"/>
    <n v="560"/>
    <n v="840"/>
  </r>
  <r>
    <x v="33"/>
    <s v="conventional_turnover_fico_731"/>
    <x v="771"/>
    <n v="0.9152971875"/>
    <n v="1"/>
    <n v="560"/>
    <n v="840"/>
  </r>
  <r>
    <x v="33"/>
    <s v="conventional_turnover_fico_732"/>
    <x v="772"/>
    <n v="0.91344000000000003"/>
    <n v="1"/>
    <n v="560"/>
    <n v="840"/>
  </r>
  <r>
    <x v="33"/>
    <s v="conventional_turnover_fico_733"/>
    <x v="773"/>
    <n v="0.91161781249999996"/>
    <n v="1"/>
    <n v="560"/>
    <n v="840"/>
  </r>
  <r>
    <x v="33"/>
    <s v="conventional_turnover_fico_734"/>
    <x v="774"/>
    <n v="0.90983250000000004"/>
    <n v="1"/>
    <n v="560"/>
    <n v="840"/>
  </r>
  <r>
    <x v="33"/>
    <s v="conventional_turnover_fico_735"/>
    <x v="775"/>
    <n v="0.9080859375"/>
    <n v="1"/>
    <n v="560"/>
    <n v="840"/>
  </r>
  <r>
    <x v="33"/>
    <s v="conventional_turnover_fico_736"/>
    <x v="776"/>
    <n v="0.90637999999999996"/>
    <n v="1"/>
    <n v="560"/>
    <n v="840"/>
  </r>
  <r>
    <x v="33"/>
    <s v="conventional_turnover_fico_737"/>
    <x v="777"/>
    <n v="0.90471656249999999"/>
    <n v="1"/>
    <n v="560"/>
    <n v="840"/>
  </r>
  <r>
    <x v="33"/>
    <s v="conventional_turnover_fico_738"/>
    <x v="778"/>
    <n v="0.9030975"/>
    <n v="1"/>
    <n v="560"/>
    <n v="840"/>
  </r>
  <r>
    <x v="33"/>
    <s v="conventional_turnover_fico_739"/>
    <x v="779"/>
    <n v="0.90152468750000003"/>
    <n v="1"/>
    <n v="560"/>
    <n v="840"/>
  </r>
  <r>
    <x v="33"/>
    <s v="conventional_turnover_fico_740"/>
    <x v="780"/>
    <n v="0.9"/>
    <n v="1"/>
    <n v="560"/>
    <n v="840"/>
  </r>
  <r>
    <x v="33"/>
    <s v="conventional_turnover_fico_741"/>
    <x v="781"/>
    <n v="0.8985725"/>
    <n v="1"/>
    <n v="560"/>
    <n v="840"/>
  </r>
  <r>
    <x v="33"/>
    <s v="conventional_turnover_fico_742"/>
    <x v="782"/>
    <n v="0.89727999999999997"/>
    <n v="1"/>
    <n v="560"/>
    <n v="840"/>
  </r>
  <r>
    <x v="33"/>
    <s v="conventional_turnover_fico_743"/>
    <x v="783"/>
    <n v="0.89610749999999995"/>
    <n v="1"/>
    <n v="560"/>
    <n v="840"/>
  </r>
  <r>
    <x v="33"/>
    <s v="conventional_turnover_fico_744"/>
    <x v="784"/>
    <n v="0.89503999999999995"/>
    <n v="1"/>
    <n v="560"/>
    <n v="840"/>
  </r>
  <r>
    <x v="33"/>
    <s v="conventional_turnover_fico_745"/>
    <x v="785"/>
    <n v="0.89406249999999998"/>
    <n v="1"/>
    <n v="560"/>
    <n v="840"/>
  </r>
  <r>
    <x v="33"/>
    <s v="conventional_turnover_fico_746"/>
    <x v="786"/>
    <n v="0.89315999999999995"/>
    <n v="1"/>
    <n v="560"/>
    <n v="840"/>
  </r>
  <r>
    <x v="33"/>
    <s v="conventional_turnover_fico_747"/>
    <x v="787"/>
    <n v="0.89231749999999999"/>
    <n v="1"/>
    <n v="560"/>
    <n v="840"/>
  </r>
  <r>
    <x v="33"/>
    <s v="conventional_turnover_fico_748"/>
    <x v="788"/>
    <n v="0.89151999999999998"/>
    <n v="1"/>
    <n v="560"/>
    <n v="840"/>
  </r>
  <r>
    <x v="33"/>
    <s v="conventional_turnover_fico_749"/>
    <x v="789"/>
    <n v="0.89075249999999995"/>
    <n v="1"/>
    <n v="560"/>
    <n v="840"/>
  </r>
  <r>
    <x v="33"/>
    <s v="conventional_turnover_fico_750"/>
    <x v="790"/>
    <n v="0.89"/>
    <n v="1"/>
    <n v="560"/>
    <n v="840"/>
  </r>
  <r>
    <x v="33"/>
    <s v="conventional_turnover_fico_751"/>
    <x v="791"/>
    <n v="0.88924749999999997"/>
    <n v="1"/>
    <n v="560"/>
    <n v="840"/>
  </r>
  <r>
    <x v="33"/>
    <s v="conventional_turnover_fico_752"/>
    <x v="792"/>
    <n v="0.88848000000000005"/>
    <n v="1"/>
    <n v="560"/>
    <n v="840"/>
  </r>
  <r>
    <x v="33"/>
    <s v="conventional_turnover_fico_753"/>
    <x v="793"/>
    <n v="0.88768250000000004"/>
    <n v="1"/>
    <n v="560"/>
    <n v="840"/>
  </r>
  <r>
    <x v="33"/>
    <s v="conventional_turnover_fico_754"/>
    <x v="794"/>
    <n v="0.88683999999999996"/>
    <n v="1"/>
    <n v="560"/>
    <n v="840"/>
  </r>
  <r>
    <x v="33"/>
    <s v="conventional_turnover_fico_755"/>
    <x v="795"/>
    <n v="0.88593750000000004"/>
    <n v="1"/>
    <n v="560"/>
    <n v="840"/>
  </r>
  <r>
    <x v="33"/>
    <s v="conventional_turnover_fico_756"/>
    <x v="796"/>
    <n v="0.88495999999999997"/>
    <n v="1"/>
    <n v="560"/>
    <n v="840"/>
  </r>
  <r>
    <x v="33"/>
    <s v="conventional_turnover_fico_757"/>
    <x v="797"/>
    <n v="0.88389249999999997"/>
    <n v="1"/>
    <n v="560"/>
    <n v="840"/>
  </r>
  <r>
    <x v="33"/>
    <s v="conventional_turnover_fico_758"/>
    <x v="798"/>
    <n v="0.88271999999999995"/>
    <n v="1"/>
    <n v="560"/>
    <n v="840"/>
  </r>
  <r>
    <x v="33"/>
    <s v="conventional_turnover_fico_759"/>
    <x v="799"/>
    <n v="0.88142750000000003"/>
    <n v="1"/>
    <n v="560"/>
    <n v="840"/>
  </r>
  <r>
    <x v="33"/>
    <s v="conventional_turnover_fico_760"/>
    <x v="800"/>
    <n v="0.88"/>
    <n v="1"/>
    <n v="560"/>
    <n v="840"/>
  </r>
  <r>
    <x v="33"/>
    <s v="conventional_turnover_fico_761"/>
    <x v="801"/>
    <n v="0.87847531249999999"/>
    <n v="1"/>
    <n v="560"/>
    <n v="840"/>
  </r>
  <r>
    <x v="33"/>
    <s v="conventional_turnover_fico_762"/>
    <x v="802"/>
    <n v="0.87690250000000003"/>
    <n v="1"/>
    <n v="560"/>
    <n v="840"/>
  </r>
  <r>
    <x v="33"/>
    <s v="conventional_turnover_fico_763"/>
    <x v="803"/>
    <n v="0.87528343750000004"/>
    <n v="1"/>
    <n v="560"/>
    <n v="840"/>
  </r>
  <r>
    <x v="33"/>
    <s v="conventional_turnover_fico_764"/>
    <x v="804"/>
    <n v="0.87361999999999995"/>
    <n v="1"/>
    <n v="560"/>
    <n v="840"/>
  </r>
  <r>
    <x v="33"/>
    <s v="conventional_turnover_fico_765"/>
    <x v="805"/>
    <n v="0.87191406250000003"/>
    <n v="1"/>
    <n v="560"/>
    <n v="840"/>
  </r>
  <r>
    <x v="33"/>
    <s v="conventional_turnover_fico_766"/>
    <x v="806"/>
    <n v="0.87016749999999998"/>
    <n v="1"/>
    <n v="560"/>
    <n v="840"/>
  </r>
  <r>
    <x v="33"/>
    <s v="conventional_turnover_fico_767"/>
    <x v="807"/>
    <n v="0.86838218749999996"/>
    <n v="1"/>
    <n v="560"/>
    <n v="840"/>
  </r>
  <r>
    <x v="33"/>
    <s v="conventional_turnover_fico_768"/>
    <x v="808"/>
    <n v="0.86656"/>
    <n v="1"/>
    <n v="560"/>
    <n v="840"/>
  </r>
  <r>
    <x v="33"/>
    <s v="conventional_turnover_fico_769"/>
    <x v="809"/>
    <n v="0.86470281250000003"/>
    <n v="1"/>
    <n v="560"/>
    <n v="840"/>
  </r>
  <r>
    <x v="33"/>
    <s v="conventional_turnover_fico_770"/>
    <x v="810"/>
    <n v="0.86281249999999998"/>
    <n v="1"/>
    <n v="560"/>
    <n v="840"/>
  </r>
  <r>
    <x v="33"/>
    <s v="conventional_turnover_fico_771"/>
    <x v="811"/>
    <n v="0.86089093750000001"/>
    <n v="1"/>
    <n v="560"/>
    <n v="840"/>
  </r>
  <r>
    <x v="33"/>
    <s v="conventional_turnover_fico_772"/>
    <x v="812"/>
    <n v="0.85894000000000004"/>
    <n v="1"/>
    <n v="560"/>
    <n v="840"/>
  </r>
  <r>
    <x v="33"/>
    <s v="conventional_turnover_fico_773"/>
    <x v="813"/>
    <n v="0.8569615625"/>
    <n v="1"/>
    <n v="560"/>
    <n v="840"/>
  </r>
  <r>
    <x v="33"/>
    <s v="conventional_turnover_fico_774"/>
    <x v="814"/>
    <n v="0.85495750000000004"/>
    <n v="1"/>
    <n v="560"/>
    <n v="840"/>
  </r>
  <r>
    <x v="33"/>
    <s v="conventional_turnover_fico_775"/>
    <x v="815"/>
    <n v="0.85292968749999998"/>
    <n v="1"/>
    <n v="560"/>
    <n v="840"/>
  </r>
  <r>
    <x v="33"/>
    <s v="conventional_turnover_fico_776"/>
    <x v="816"/>
    <n v="0.85087999999999997"/>
    <n v="1"/>
    <n v="560"/>
    <n v="840"/>
  </r>
  <r>
    <x v="33"/>
    <s v="conventional_turnover_fico_777"/>
    <x v="817"/>
    <n v="0.84881031250000005"/>
    <n v="1"/>
    <n v="560"/>
    <n v="840"/>
  </r>
  <r>
    <x v="33"/>
    <s v="conventional_turnover_fico_778"/>
    <x v="818"/>
    <n v="0.84672250000000004"/>
    <n v="1"/>
    <n v="560"/>
    <n v="840"/>
  </r>
  <r>
    <x v="33"/>
    <s v="conventional_turnover_fico_779"/>
    <x v="819"/>
    <n v="0.84461843749999999"/>
    <n v="1"/>
    <n v="560"/>
    <n v="840"/>
  </r>
  <r>
    <x v="33"/>
    <s v="conventional_turnover_fico_780"/>
    <x v="820"/>
    <n v="0.84250000000000003"/>
    <n v="1"/>
    <n v="560"/>
    <n v="840"/>
  </r>
  <r>
    <x v="33"/>
    <s v="conventional_turnover_fico_781"/>
    <x v="821"/>
    <n v="0.84036906249999999"/>
    <n v="1"/>
    <n v="560"/>
    <n v="840"/>
  </r>
  <r>
    <x v="33"/>
    <s v="conventional_turnover_fico_782"/>
    <x v="822"/>
    <n v="0.83822750000000001"/>
    <n v="1"/>
    <n v="560"/>
    <n v="840"/>
  </r>
  <r>
    <x v="33"/>
    <s v="conventional_turnover_fico_783"/>
    <x v="823"/>
    <n v="0.83607718750000004"/>
    <n v="1"/>
    <n v="560"/>
    <n v="840"/>
  </r>
  <r>
    <x v="33"/>
    <s v="conventional_turnover_fico_784"/>
    <x v="824"/>
    <n v="0.83391999999999999"/>
    <n v="1"/>
    <n v="560"/>
    <n v="840"/>
  </r>
  <r>
    <x v="33"/>
    <s v="conventional_turnover_fico_785"/>
    <x v="825"/>
    <n v="0.83175781250000003"/>
    <n v="1"/>
    <n v="560"/>
    <n v="840"/>
  </r>
  <r>
    <x v="33"/>
    <s v="conventional_turnover_fico_786"/>
    <x v="826"/>
    <n v="0.82959249999999995"/>
    <n v="1"/>
    <n v="560"/>
    <n v="840"/>
  </r>
  <r>
    <x v="33"/>
    <s v="conventional_turnover_fico_787"/>
    <x v="827"/>
    <n v="0.82742593750000004"/>
    <n v="1"/>
    <n v="560"/>
    <n v="840"/>
  </r>
  <r>
    <x v="33"/>
    <s v="conventional_turnover_fico_788"/>
    <x v="828"/>
    <n v="0.82525999999999999"/>
    <n v="1"/>
    <n v="560"/>
    <n v="840"/>
  </r>
  <r>
    <x v="33"/>
    <s v="conventional_turnover_fico_789"/>
    <x v="829"/>
    <n v="0.82309656249999996"/>
    <n v="1"/>
    <n v="560"/>
    <n v="840"/>
  </r>
  <r>
    <x v="33"/>
    <s v="conventional_turnover_fico_790"/>
    <x v="830"/>
    <n v="0.82093749999999999"/>
    <n v="1"/>
    <n v="560"/>
    <n v="840"/>
  </r>
  <r>
    <x v="33"/>
    <s v="conventional_turnover_fico_791"/>
    <x v="831"/>
    <n v="0.8187846875"/>
    <n v="1"/>
    <n v="560"/>
    <n v="840"/>
  </r>
  <r>
    <x v="33"/>
    <s v="conventional_turnover_fico_792"/>
    <x v="832"/>
    <n v="0.81664000000000003"/>
    <n v="1"/>
    <n v="560"/>
    <n v="840"/>
  </r>
  <r>
    <x v="33"/>
    <s v="conventional_turnover_fico_793"/>
    <x v="833"/>
    <n v="0.81450531250000002"/>
    <n v="1"/>
    <n v="560"/>
    <n v="840"/>
  </r>
  <r>
    <x v="33"/>
    <s v="conventional_turnover_fico_794"/>
    <x v="834"/>
    <n v="0.81238250000000001"/>
    <n v="1"/>
    <n v="560"/>
    <n v="840"/>
  </r>
  <r>
    <x v="33"/>
    <s v="conventional_turnover_fico_795"/>
    <x v="835"/>
    <n v="0.81027343750000003"/>
    <n v="1"/>
    <n v="560"/>
    <n v="840"/>
  </r>
  <r>
    <x v="33"/>
    <s v="conventional_turnover_fico_796"/>
    <x v="836"/>
    <n v="0.80818000000000001"/>
    <n v="1"/>
    <n v="560"/>
    <n v="840"/>
  </r>
  <r>
    <x v="33"/>
    <s v="conventional_turnover_fico_797"/>
    <x v="837"/>
    <n v="0.8061040625"/>
    <n v="1"/>
    <n v="560"/>
    <n v="840"/>
  </r>
  <r>
    <x v="33"/>
    <s v="conventional_turnover_fico_798"/>
    <x v="838"/>
    <n v="0.80404750000000003"/>
    <n v="1"/>
    <n v="560"/>
    <n v="840"/>
  </r>
  <r>
    <x v="33"/>
    <s v="conventional_turnover_fico_799"/>
    <x v="839"/>
    <n v="0.80201218750000003"/>
    <n v="1"/>
    <n v="560"/>
    <n v="840"/>
  </r>
  <r>
    <x v="33"/>
    <s v="conventional_turnover_fico_800"/>
    <x v="840"/>
    <n v="0.8"/>
    <n v="1"/>
    <n v="560"/>
    <n v="840"/>
  </r>
  <r>
    <x v="33"/>
    <s v="conventional_turnover_fico_801"/>
    <x v="841"/>
    <n v="0.79800000000000004"/>
    <n v="1"/>
    <n v="560"/>
    <n v="840"/>
  </r>
  <r>
    <x v="33"/>
    <s v="conventional_turnover_fico_802"/>
    <x v="842"/>
    <n v="0.79600000000000004"/>
    <n v="1"/>
    <n v="560"/>
    <n v="840"/>
  </r>
  <r>
    <x v="33"/>
    <s v="conventional_turnover_fico_803"/>
    <x v="843"/>
    <n v="0.79400000000000004"/>
    <n v="1"/>
    <n v="560"/>
    <n v="840"/>
  </r>
  <r>
    <x v="33"/>
    <s v="conventional_turnover_fico_804"/>
    <x v="844"/>
    <n v="0.79200000000000004"/>
    <n v="1"/>
    <n v="560"/>
    <n v="840"/>
  </r>
  <r>
    <x v="33"/>
    <s v="conventional_turnover_fico_805"/>
    <x v="845"/>
    <n v="0.79"/>
    <n v="1"/>
    <n v="560"/>
    <n v="840"/>
  </r>
  <r>
    <x v="33"/>
    <s v="conventional_turnover_fico_806"/>
    <x v="846"/>
    <n v="0.78800000000000003"/>
    <n v="1"/>
    <n v="560"/>
    <n v="840"/>
  </r>
  <r>
    <x v="33"/>
    <s v="conventional_turnover_fico_807"/>
    <x v="847"/>
    <n v="0.78600000000000003"/>
    <n v="1"/>
    <n v="560"/>
    <n v="840"/>
  </r>
  <r>
    <x v="33"/>
    <s v="conventional_turnover_fico_808"/>
    <x v="848"/>
    <n v="0.78400000000000003"/>
    <n v="1"/>
    <n v="560"/>
    <n v="840"/>
  </r>
  <r>
    <x v="33"/>
    <s v="conventional_turnover_fico_809"/>
    <x v="849"/>
    <n v="0.78200000000000003"/>
    <n v="1"/>
    <n v="560"/>
    <n v="840"/>
  </r>
  <r>
    <x v="33"/>
    <s v="conventional_turnover_fico_810"/>
    <x v="850"/>
    <n v="0.78"/>
    <n v="1"/>
    <n v="560"/>
    <n v="840"/>
  </r>
  <r>
    <x v="33"/>
    <s v="conventional_turnover_fico_811"/>
    <x v="851"/>
    <n v="0.77800000000000002"/>
    <n v="1"/>
    <n v="560"/>
    <n v="840"/>
  </r>
  <r>
    <x v="33"/>
    <s v="conventional_turnover_fico_812"/>
    <x v="852"/>
    <n v="0.77600000000000002"/>
    <n v="1"/>
    <n v="560"/>
    <n v="840"/>
  </r>
  <r>
    <x v="33"/>
    <s v="conventional_turnover_fico_813"/>
    <x v="853"/>
    <n v="0.77400000000000002"/>
    <n v="1"/>
    <n v="560"/>
    <n v="840"/>
  </r>
  <r>
    <x v="33"/>
    <s v="conventional_turnover_fico_814"/>
    <x v="854"/>
    <n v="0.77200000000000002"/>
    <n v="1"/>
    <n v="560"/>
    <n v="840"/>
  </r>
  <r>
    <x v="33"/>
    <s v="conventional_turnover_fico_815"/>
    <x v="855"/>
    <n v="0.77"/>
    <n v="1"/>
    <n v="560"/>
    <n v="840"/>
  </r>
  <r>
    <x v="33"/>
    <s v="conventional_turnover_fico_816"/>
    <x v="856"/>
    <n v="0.76800000000000002"/>
    <n v="1"/>
    <n v="560"/>
    <n v="840"/>
  </r>
  <r>
    <x v="33"/>
    <s v="conventional_turnover_fico_817"/>
    <x v="857"/>
    <n v="0.76600000000000001"/>
    <n v="1"/>
    <n v="560"/>
    <n v="840"/>
  </r>
  <r>
    <x v="33"/>
    <s v="conventional_turnover_fico_818"/>
    <x v="858"/>
    <n v="0.76400000000000001"/>
    <n v="1"/>
    <n v="560"/>
    <n v="840"/>
  </r>
  <r>
    <x v="33"/>
    <s v="conventional_turnover_fico_819"/>
    <x v="859"/>
    <n v="0.76200000000000001"/>
    <n v="1"/>
    <n v="560"/>
    <n v="840"/>
  </r>
  <r>
    <x v="33"/>
    <s v="conventional_turnover_fico_820"/>
    <x v="860"/>
    <n v="0.76"/>
    <n v="1"/>
    <n v="560"/>
    <n v="840"/>
  </r>
  <r>
    <x v="33"/>
    <s v="conventional_turnover_fico_821"/>
    <x v="861"/>
    <n v="0.75800000000000001"/>
    <n v="1"/>
    <n v="560"/>
    <n v="840"/>
  </r>
  <r>
    <x v="33"/>
    <s v="conventional_turnover_fico_822"/>
    <x v="862"/>
    <n v="0.75600000000000001"/>
    <n v="1"/>
    <n v="560"/>
    <n v="840"/>
  </r>
  <r>
    <x v="33"/>
    <s v="conventional_turnover_fico_823"/>
    <x v="863"/>
    <n v="0.754"/>
    <n v="1"/>
    <n v="560"/>
    <n v="840"/>
  </r>
  <r>
    <x v="33"/>
    <s v="conventional_turnover_fico_824"/>
    <x v="864"/>
    <n v="0.752"/>
    <n v="1"/>
    <n v="560"/>
    <n v="840"/>
  </r>
  <r>
    <x v="33"/>
    <s v="conventional_turnover_fico_825"/>
    <x v="865"/>
    <n v="0.75"/>
    <n v="1"/>
    <n v="560"/>
    <n v="840"/>
  </r>
  <r>
    <x v="33"/>
    <s v="conventional_turnover_fico_826"/>
    <x v="866"/>
    <n v="0.748"/>
    <n v="1"/>
    <n v="560"/>
    <n v="840"/>
  </r>
  <r>
    <x v="33"/>
    <s v="conventional_turnover_fico_827"/>
    <x v="867"/>
    <n v="0.746"/>
    <n v="1"/>
    <n v="560"/>
    <n v="840"/>
  </r>
  <r>
    <x v="33"/>
    <s v="conventional_turnover_fico_828"/>
    <x v="868"/>
    <n v="0.74399999999999999"/>
    <n v="1"/>
    <n v="560"/>
    <n v="840"/>
  </r>
  <r>
    <x v="33"/>
    <s v="conventional_turnover_fico_829"/>
    <x v="869"/>
    <n v="0.74199999999999999"/>
    <n v="1"/>
    <n v="560"/>
    <n v="840"/>
  </r>
  <r>
    <x v="33"/>
    <s v="conventional_turnover_fico_830"/>
    <x v="870"/>
    <n v="0.74"/>
    <n v="1"/>
    <n v="560"/>
    <n v="840"/>
  </r>
  <r>
    <x v="33"/>
    <s v="conventional_turnover_fico_831"/>
    <x v="871"/>
    <n v="0.73799999999999999"/>
    <n v="1"/>
    <n v="560"/>
    <n v="840"/>
  </r>
  <r>
    <x v="33"/>
    <s v="conventional_turnover_fico_832"/>
    <x v="872"/>
    <n v="0.73599999999999999"/>
    <n v="1"/>
    <n v="560"/>
    <n v="840"/>
  </r>
  <r>
    <x v="33"/>
    <s v="conventional_turnover_fico_833"/>
    <x v="873"/>
    <n v="0.73399999999999999"/>
    <n v="1"/>
    <n v="560"/>
    <n v="840"/>
  </r>
  <r>
    <x v="33"/>
    <s v="conventional_turnover_fico_834"/>
    <x v="874"/>
    <n v="0.73199999999999998"/>
    <n v="1"/>
    <n v="560"/>
    <n v="840"/>
  </r>
  <r>
    <x v="33"/>
    <s v="conventional_turnover_fico_835"/>
    <x v="875"/>
    <n v="0.73"/>
    <n v="1"/>
    <n v="560"/>
    <n v="840"/>
  </r>
  <r>
    <x v="33"/>
    <s v="conventional_turnover_fico_836"/>
    <x v="876"/>
    <n v="0.72799999999999998"/>
    <n v="1"/>
    <n v="560"/>
    <n v="840"/>
  </r>
  <r>
    <x v="33"/>
    <s v="conventional_turnover_fico_837"/>
    <x v="877"/>
    <n v="0.72599999999999998"/>
    <n v="1"/>
    <n v="560"/>
    <n v="840"/>
  </r>
  <r>
    <x v="33"/>
    <s v="conventional_turnover_fico_838"/>
    <x v="878"/>
    <n v="0.72399999999999998"/>
    <n v="1"/>
    <n v="560"/>
    <n v="840"/>
  </r>
  <r>
    <x v="33"/>
    <s v="conventional_turnover_fico_839"/>
    <x v="879"/>
    <n v="0.72199999999999998"/>
    <n v="1"/>
    <n v="560"/>
    <n v="840"/>
  </r>
  <r>
    <x v="33"/>
    <s v="conventional_turnover_fico_840"/>
    <x v="880"/>
    <n v="0.72"/>
    <n v="1"/>
    <n v="560"/>
    <n v="840"/>
  </r>
  <r>
    <x v="34"/>
    <s v="conventional_turnover_sato_-140"/>
    <x v="1131"/>
    <n v="1"/>
    <n v="1"/>
    <n v="-140"/>
    <n v="140"/>
  </r>
  <r>
    <x v="34"/>
    <s v="conventional_turnover_sato_-139"/>
    <x v="1132"/>
    <n v="1"/>
    <n v="1"/>
    <n v="-140"/>
    <n v="140"/>
  </r>
  <r>
    <x v="34"/>
    <s v="conventional_turnover_sato_-138"/>
    <x v="1133"/>
    <n v="1"/>
    <n v="1"/>
    <n v="-140"/>
    <n v="140"/>
  </r>
  <r>
    <x v="34"/>
    <s v="conventional_turnover_sato_-137"/>
    <x v="1134"/>
    <n v="1"/>
    <n v="1"/>
    <n v="-140"/>
    <n v="140"/>
  </r>
  <r>
    <x v="34"/>
    <s v="conventional_turnover_sato_-136"/>
    <x v="1135"/>
    <n v="1"/>
    <n v="1"/>
    <n v="-140"/>
    <n v="140"/>
  </r>
  <r>
    <x v="34"/>
    <s v="conventional_turnover_sato_-135"/>
    <x v="1136"/>
    <n v="1"/>
    <n v="1"/>
    <n v="-140"/>
    <n v="140"/>
  </r>
  <r>
    <x v="34"/>
    <s v="conventional_turnover_sato_-134"/>
    <x v="1137"/>
    <n v="1"/>
    <n v="1"/>
    <n v="-140"/>
    <n v="140"/>
  </r>
  <r>
    <x v="34"/>
    <s v="conventional_turnover_sato_-133"/>
    <x v="1138"/>
    <n v="1"/>
    <n v="1"/>
    <n v="-140"/>
    <n v="140"/>
  </r>
  <r>
    <x v="34"/>
    <s v="conventional_turnover_sato_-132"/>
    <x v="1139"/>
    <n v="1"/>
    <n v="1"/>
    <n v="-140"/>
    <n v="140"/>
  </r>
  <r>
    <x v="34"/>
    <s v="conventional_turnover_sato_-131"/>
    <x v="1140"/>
    <n v="1"/>
    <n v="1"/>
    <n v="-140"/>
    <n v="140"/>
  </r>
  <r>
    <x v="34"/>
    <s v="conventional_turnover_sato_-130"/>
    <x v="1141"/>
    <n v="1"/>
    <n v="1"/>
    <n v="-140"/>
    <n v="140"/>
  </r>
  <r>
    <x v="34"/>
    <s v="conventional_turnover_sato_-129"/>
    <x v="1142"/>
    <n v="1"/>
    <n v="1"/>
    <n v="-140"/>
    <n v="140"/>
  </r>
  <r>
    <x v="34"/>
    <s v="conventional_turnover_sato_-128"/>
    <x v="1143"/>
    <n v="1"/>
    <n v="1"/>
    <n v="-140"/>
    <n v="140"/>
  </r>
  <r>
    <x v="34"/>
    <s v="conventional_turnover_sato_-127"/>
    <x v="1144"/>
    <n v="1"/>
    <n v="1"/>
    <n v="-140"/>
    <n v="140"/>
  </r>
  <r>
    <x v="34"/>
    <s v="conventional_turnover_sato_-126"/>
    <x v="1145"/>
    <n v="1"/>
    <n v="1"/>
    <n v="-140"/>
    <n v="140"/>
  </r>
  <r>
    <x v="34"/>
    <s v="conventional_turnover_sato_-125"/>
    <x v="1146"/>
    <n v="1"/>
    <n v="1"/>
    <n v="-140"/>
    <n v="140"/>
  </r>
  <r>
    <x v="34"/>
    <s v="conventional_turnover_sato_-124"/>
    <x v="1147"/>
    <n v="1"/>
    <n v="1"/>
    <n v="-140"/>
    <n v="140"/>
  </r>
  <r>
    <x v="34"/>
    <s v="conventional_turnover_sato_-123"/>
    <x v="1148"/>
    <n v="1"/>
    <n v="1"/>
    <n v="-140"/>
    <n v="140"/>
  </r>
  <r>
    <x v="34"/>
    <s v="conventional_turnover_sato_-122"/>
    <x v="1149"/>
    <n v="1"/>
    <n v="1"/>
    <n v="-140"/>
    <n v="140"/>
  </r>
  <r>
    <x v="34"/>
    <s v="conventional_turnover_sato_-121"/>
    <x v="1150"/>
    <n v="1"/>
    <n v="1"/>
    <n v="-140"/>
    <n v="140"/>
  </r>
  <r>
    <x v="34"/>
    <s v="conventional_turnover_sato_-120"/>
    <x v="1151"/>
    <n v="1"/>
    <n v="1"/>
    <n v="-140"/>
    <n v="140"/>
  </r>
  <r>
    <x v="34"/>
    <s v="conventional_turnover_sato_-119"/>
    <x v="1152"/>
    <n v="1"/>
    <n v="1"/>
    <n v="-140"/>
    <n v="140"/>
  </r>
  <r>
    <x v="34"/>
    <s v="conventional_turnover_sato_-118"/>
    <x v="1153"/>
    <n v="1"/>
    <n v="1"/>
    <n v="-140"/>
    <n v="140"/>
  </r>
  <r>
    <x v="34"/>
    <s v="conventional_turnover_sato_-117"/>
    <x v="1154"/>
    <n v="1"/>
    <n v="1"/>
    <n v="-140"/>
    <n v="140"/>
  </r>
  <r>
    <x v="34"/>
    <s v="conventional_turnover_sato_-116"/>
    <x v="1155"/>
    <n v="1"/>
    <n v="1"/>
    <n v="-140"/>
    <n v="140"/>
  </r>
  <r>
    <x v="34"/>
    <s v="conventional_turnover_sato_-115"/>
    <x v="1156"/>
    <n v="1"/>
    <n v="1"/>
    <n v="-140"/>
    <n v="140"/>
  </r>
  <r>
    <x v="34"/>
    <s v="conventional_turnover_sato_-114"/>
    <x v="1157"/>
    <n v="1"/>
    <n v="1"/>
    <n v="-140"/>
    <n v="140"/>
  </r>
  <r>
    <x v="34"/>
    <s v="conventional_turnover_sato_-113"/>
    <x v="1158"/>
    <n v="1"/>
    <n v="1"/>
    <n v="-140"/>
    <n v="140"/>
  </r>
  <r>
    <x v="34"/>
    <s v="conventional_turnover_sato_-112"/>
    <x v="1159"/>
    <n v="1"/>
    <n v="1"/>
    <n v="-140"/>
    <n v="140"/>
  </r>
  <r>
    <x v="34"/>
    <s v="conventional_turnover_sato_-111"/>
    <x v="1160"/>
    <n v="1"/>
    <n v="1"/>
    <n v="-140"/>
    <n v="140"/>
  </r>
  <r>
    <x v="34"/>
    <s v="conventional_turnover_sato_-110"/>
    <x v="1161"/>
    <n v="1"/>
    <n v="1"/>
    <n v="-140"/>
    <n v="140"/>
  </r>
  <r>
    <x v="34"/>
    <s v="conventional_turnover_sato_-109"/>
    <x v="1162"/>
    <n v="1"/>
    <n v="1"/>
    <n v="-140"/>
    <n v="140"/>
  </r>
  <r>
    <x v="34"/>
    <s v="conventional_turnover_sato_-108"/>
    <x v="1163"/>
    <n v="1"/>
    <n v="1"/>
    <n v="-140"/>
    <n v="140"/>
  </r>
  <r>
    <x v="34"/>
    <s v="conventional_turnover_sato_-107"/>
    <x v="1164"/>
    <n v="1"/>
    <n v="1"/>
    <n v="-140"/>
    <n v="140"/>
  </r>
  <r>
    <x v="34"/>
    <s v="conventional_turnover_sato_-106"/>
    <x v="1165"/>
    <n v="1"/>
    <n v="1"/>
    <n v="-140"/>
    <n v="140"/>
  </r>
  <r>
    <x v="34"/>
    <s v="conventional_turnover_sato_-105"/>
    <x v="1166"/>
    <n v="1"/>
    <n v="1"/>
    <n v="-140"/>
    <n v="140"/>
  </r>
  <r>
    <x v="34"/>
    <s v="conventional_turnover_sato_-104"/>
    <x v="1167"/>
    <n v="1"/>
    <n v="1"/>
    <n v="-140"/>
    <n v="140"/>
  </r>
  <r>
    <x v="34"/>
    <s v="conventional_turnover_sato_-103"/>
    <x v="1168"/>
    <n v="1"/>
    <n v="1"/>
    <n v="-140"/>
    <n v="140"/>
  </r>
  <r>
    <x v="34"/>
    <s v="conventional_turnover_sato_-102"/>
    <x v="1169"/>
    <n v="1"/>
    <n v="1"/>
    <n v="-140"/>
    <n v="140"/>
  </r>
  <r>
    <x v="34"/>
    <s v="conventional_turnover_sato_-101"/>
    <x v="1170"/>
    <n v="1"/>
    <n v="1"/>
    <n v="-140"/>
    <n v="140"/>
  </r>
  <r>
    <x v="34"/>
    <s v="conventional_turnover_sato_-100"/>
    <x v="1171"/>
    <n v="1"/>
    <n v="1"/>
    <n v="-140"/>
    <n v="140"/>
  </r>
  <r>
    <x v="34"/>
    <s v="conventional_turnover_sato_-99"/>
    <x v="1172"/>
    <n v="1"/>
    <n v="1"/>
    <n v="-140"/>
    <n v="140"/>
  </r>
  <r>
    <x v="34"/>
    <s v="conventional_turnover_sato_-98"/>
    <x v="1173"/>
    <n v="1"/>
    <n v="1"/>
    <n v="-140"/>
    <n v="140"/>
  </r>
  <r>
    <x v="34"/>
    <s v="conventional_turnover_sato_-97"/>
    <x v="1174"/>
    <n v="1"/>
    <n v="1"/>
    <n v="-140"/>
    <n v="140"/>
  </r>
  <r>
    <x v="34"/>
    <s v="conventional_turnover_sato_-96"/>
    <x v="1175"/>
    <n v="1"/>
    <n v="1"/>
    <n v="-140"/>
    <n v="140"/>
  </r>
  <r>
    <x v="34"/>
    <s v="conventional_turnover_sato_-95"/>
    <x v="1176"/>
    <n v="1"/>
    <n v="1"/>
    <n v="-140"/>
    <n v="140"/>
  </r>
  <r>
    <x v="34"/>
    <s v="conventional_turnover_sato_-94"/>
    <x v="1177"/>
    <n v="1"/>
    <n v="1"/>
    <n v="-140"/>
    <n v="140"/>
  </r>
  <r>
    <x v="34"/>
    <s v="conventional_turnover_sato_-93"/>
    <x v="1178"/>
    <n v="1"/>
    <n v="1"/>
    <n v="-140"/>
    <n v="140"/>
  </r>
  <r>
    <x v="34"/>
    <s v="conventional_turnover_sato_-92"/>
    <x v="1179"/>
    <n v="1"/>
    <n v="1"/>
    <n v="-140"/>
    <n v="140"/>
  </r>
  <r>
    <x v="34"/>
    <s v="conventional_turnover_sato_-91"/>
    <x v="1180"/>
    <n v="1"/>
    <n v="1"/>
    <n v="-140"/>
    <n v="140"/>
  </r>
  <r>
    <x v="34"/>
    <s v="conventional_turnover_sato_-90"/>
    <x v="1181"/>
    <n v="1"/>
    <n v="1"/>
    <n v="-140"/>
    <n v="140"/>
  </r>
  <r>
    <x v="34"/>
    <s v="conventional_turnover_sato_-89"/>
    <x v="1182"/>
    <n v="1"/>
    <n v="1"/>
    <n v="-140"/>
    <n v="140"/>
  </r>
  <r>
    <x v="34"/>
    <s v="conventional_turnover_sato_-88"/>
    <x v="1183"/>
    <n v="1"/>
    <n v="1"/>
    <n v="-140"/>
    <n v="140"/>
  </r>
  <r>
    <x v="34"/>
    <s v="conventional_turnover_sato_-87"/>
    <x v="1184"/>
    <n v="1"/>
    <n v="1"/>
    <n v="-140"/>
    <n v="140"/>
  </r>
  <r>
    <x v="34"/>
    <s v="conventional_turnover_sato_-86"/>
    <x v="1185"/>
    <n v="1"/>
    <n v="1"/>
    <n v="-140"/>
    <n v="140"/>
  </r>
  <r>
    <x v="34"/>
    <s v="conventional_turnover_sato_-85"/>
    <x v="1186"/>
    <n v="1"/>
    <n v="1"/>
    <n v="-140"/>
    <n v="140"/>
  </r>
  <r>
    <x v="34"/>
    <s v="conventional_turnover_sato_-84"/>
    <x v="1187"/>
    <n v="1"/>
    <n v="1"/>
    <n v="-140"/>
    <n v="140"/>
  </r>
  <r>
    <x v="34"/>
    <s v="conventional_turnover_sato_-83"/>
    <x v="1188"/>
    <n v="1"/>
    <n v="1"/>
    <n v="-140"/>
    <n v="140"/>
  </r>
  <r>
    <x v="34"/>
    <s v="conventional_turnover_sato_-82"/>
    <x v="1189"/>
    <n v="1"/>
    <n v="1"/>
    <n v="-140"/>
    <n v="140"/>
  </r>
  <r>
    <x v="34"/>
    <s v="conventional_turnover_sato_-81"/>
    <x v="1190"/>
    <n v="1"/>
    <n v="1"/>
    <n v="-140"/>
    <n v="140"/>
  </r>
  <r>
    <x v="34"/>
    <s v="conventional_turnover_sato_-80"/>
    <x v="1191"/>
    <n v="1"/>
    <n v="1"/>
    <n v="-140"/>
    <n v="140"/>
  </r>
  <r>
    <x v="34"/>
    <s v="conventional_turnover_sato_-79"/>
    <x v="1192"/>
    <n v="1"/>
    <n v="1"/>
    <n v="-140"/>
    <n v="140"/>
  </r>
  <r>
    <x v="34"/>
    <s v="conventional_turnover_sato_-78"/>
    <x v="1193"/>
    <n v="1"/>
    <n v="1"/>
    <n v="-140"/>
    <n v="140"/>
  </r>
  <r>
    <x v="34"/>
    <s v="conventional_turnover_sato_-77"/>
    <x v="1194"/>
    <n v="1"/>
    <n v="1"/>
    <n v="-140"/>
    <n v="140"/>
  </r>
  <r>
    <x v="34"/>
    <s v="conventional_turnover_sato_-76"/>
    <x v="1195"/>
    <n v="1"/>
    <n v="1"/>
    <n v="-140"/>
    <n v="140"/>
  </r>
  <r>
    <x v="34"/>
    <s v="conventional_turnover_sato_-75"/>
    <x v="1196"/>
    <n v="1"/>
    <n v="1"/>
    <n v="-140"/>
    <n v="140"/>
  </r>
  <r>
    <x v="34"/>
    <s v="conventional_turnover_sato_-74"/>
    <x v="1197"/>
    <n v="1"/>
    <n v="1"/>
    <n v="-140"/>
    <n v="140"/>
  </r>
  <r>
    <x v="34"/>
    <s v="conventional_turnover_sato_-73"/>
    <x v="1198"/>
    <n v="1"/>
    <n v="1"/>
    <n v="-140"/>
    <n v="140"/>
  </r>
  <r>
    <x v="34"/>
    <s v="conventional_turnover_sato_-72"/>
    <x v="1199"/>
    <n v="1"/>
    <n v="1"/>
    <n v="-140"/>
    <n v="140"/>
  </r>
  <r>
    <x v="34"/>
    <s v="conventional_turnover_sato_-71"/>
    <x v="1200"/>
    <n v="1"/>
    <n v="1"/>
    <n v="-140"/>
    <n v="140"/>
  </r>
  <r>
    <x v="34"/>
    <s v="conventional_turnover_sato_-70"/>
    <x v="1201"/>
    <n v="1"/>
    <n v="1"/>
    <n v="-140"/>
    <n v="140"/>
  </r>
  <r>
    <x v="34"/>
    <s v="conventional_turnover_sato_-69"/>
    <x v="1202"/>
    <n v="1"/>
    <n v="1"/>
    <n v="-140"/>
    <n v="140"/>
  </r>
  <r>
    <x v="34"/>
    <s v="conventional_turnover_sato_-68"/>
    <x v="1203"/>
    <n v="1"/>
    <n v="1"/>
    <n v="-140"/>
    <n v="140"/>
  </r>
  <r>
    <x v="34"/>
    <s v="conventional_turnover_sato_-67"/>
    <x v="1204"/>
    <n v="1"/>
    <n v="1"/>
    <n v="-140"/>
    <n v="140"/>
  </r>
  <r>
    <x v="34"/>
    <s v="conventional_turnover_sato_-66"/>
    <x v="1205"/>
    <n v="1"/>
    <n v="1"/>
    <n v="-140"/>
    <n v="140"/>
  </r>
  <r>
    <x v="34"/>
    <s v="conventional_turnover_sato_-65"/>
    <x v="1206"/>
    <n v="1"/>
    <n v="1"/>
    <n v="-140"/>
    <n v="140"/>
  </r>
  <r>
    <x v="34"/>
    <s v="conventional_turnover_sato_-64"/>
    <x v="1207"/>
    <n v="1"/>
    <n v="1"/>
    <n v="-140"/>
    <n v="140"/>
  </r>
  <r>
    <x v="34"/>
    <s v="conventional_turnover_sato_-63"/>
    <x v="1208"/>
    <n v="1"/>
    <n v="1"/>
    <n v="-140"/>
    <n v="140"/>
  </r>
  <r>
    <x v="34"/>
    <s v="conventional_turnover_sato_-62"/>
    <x v="1209"/>
    <n v="1"/>
    <n v="1"/>
    <n v="-140"/>
    <n v="140"/>
  </r>
  <r>
    <x v="34"/>
    <s v="conventional_turnover_sato_-61"/>
    <x v="1210"/>
    <n v="1"/>
    <n v="1"/>
    <n v="-140"/>
    <n v="140"/>
  </r>
  <r>
    <x v="34"/>
    <s v="conventional_turnover_sato_-60"/>
    <x v="1211"/>
    <n v="1"/>
    <n v="1"/>
    <n v="-140"/>
    <n v="140"/>
  </r>
  <r>
    <x v="34"/>
    <s v="conventional_turnover_sato_-59"/>
    <x v="1212"/>
    <n v="1"/>
    <n v="1"/>
    <n v="-140"/>
    <n v="140"/>
  </r>
  <r>
    <x v="34"/>
    <s v="conventional_turnover_sato_-58"/>
    <x v="1213"/>
    <n v="1"/>
    <n v="1"/>
    <n v="-140"/>
    <n v="140"/>
  </r>
  <r>
    <x v="34"/>
    <s v="conventional_turnover_sato_-57"/>
    <x v="1214"/>
    <n v="1"/>
    <n v="1"/>
    <n v="-140"/>
    <n v="140"/>
  </r>
  <r>
    <x v="34"/>
    <s v="conventional_turnover_sato_-56"/>
    <x v="1215"/>
    <n v="1"/>
    <n v="1"/>
    <n v="-140"/>
    <n v="140"/>
  </r>
  <r>
    <x v="34"/>
    <s v="conventional_turnover_sato_-55"/>
    <x v="1216"/>
    <n v="1"/>
    <n v="1"/>
    <n v="-140"/>
    <n v="140"/>
  </r>
  <r>
    <x v="34"/>
    <s v="conventional_turnover_sato_-54"/>
    <x v="1217"/>
    <n v="1"/>
    <n v="1"/>
    <n v="-140"/>
    <n v="140"/>
  </r>
  <r>
    <x v="34"/>
    <s v="conventional_turnover_sato_-53"/>
    <x v="1218"/>
    <n v="1"/>
    <n v="1"/>
    <n v="-140"/>
    <n v="140"/>
  </r>
  <r>
    <x v="34"/>
    <s v="conventional_turnover_sato_-52"/>
    <x v="1219"/>
    <n v="1"/>
    <n v="1"/>
    <n v="-140"/>
    <n v="140"/>
  </r>
  <r>
    <x v="34"/>
    <s v="conventional_turnover_sato_-51"/>
    <x v="1220"/>
    <n v="1"/>
    <n v="1"/>
    <n v="-140"/>
    <n v="140"/>
  </r>
  <r>
    <x v="34"/>
    <s v="conventional_turnover_sato_-50"/>
    <x v="1221"/>
    <n v="1"/>
    <n v="1"/>
    <n v="-140"/>
    <n v="140"/>
  </r>
  <r>
    <x v="34"/>
    <s v="conventional_turnover_sato_-49"/>
    <x v="1222"/>
    <n v="1"/>
    <n v="1"/>
    <n v="-140"/>
    <n v="140"/>
  </r>
  <r>
    <x v="34"/>
    <s v="conventional_turnover_sato_-48"/>
    <x v="1223"/>
    <n v="1"/>
    <n v="1"/>
    <n v="-140"/>
    <n v="140"/>
  </r>
  <r>
    <x v="34"/>
    <s v="conventional_turnover_sato_-47"/>
    <x v="1224"/>
    <n v="1"/>
    <n v="1"/>
    <n v="-140"/>
    <n v="140"/>
  </r>
  <r>
    <x v="34"/>
    <s v="conventional_turnover_sato_-46"/>
    <x v="1225"/>
    <n v="1"/>
    <n v="1"/>
    <n v="-140"/>
    <n v="140"/>
  </r>
  <r>
    <x v="34"/>
    <s v="conventional_turnover_sato_-45"/>
    <x v="1226"/>
    <n v="1"/>
    <n v="1"/>
    <n v="-140"/>
    <n v="140"/>
  </r>
  <r>
    <x v="34"/>
    <s v="conventional_turnover_sato_-44"/>
    <x v="1227"/>
    <n v="1"/>
    <n v="1"/>
    <n v="-140"/>
    <n v="140"/>
  </r>
  <r>
    <x v="34"/>
    <s v="conventional_turnover_sato_-43"/>
    <x v="1228"/>
    <n v="1"/>
    <n v="1"/>
    <n v="-140"/>
    <n v="140"/>
  </r>
  <r>
    <x v="34"/>
    <s v="conventional_turnover_sato_-42"/>
    <x v="1229"/>
    <n v="1"/>
    <n v="1"/>
    <n v="-140"/>
    <n v="140"/>
  </r>
  <r>
    <x v="34"/>
    <s v="conventional_turnover_sato_-41"/>
    <x v="1230"/>
    <n v="1"/>
    <n v="1"/>
    <n v="-140"/>
    <n v="140"/>
  </r>
  <r>
    <x v="34"/>
    <s v="conventional_turnover_sato_-40"/>
    <x v="0"/>
    <n v="1"/>
    <n v="1"/>
    <n v="-140"/>
    <n v="140"/>
  </r>
  <r>
    <x v="34"/>
    <s v="conventional_turnover_sato_-39"/>
    <x v="1"/>
    <n v="1"/>
    <n v="1"/>
    <n v="-140"/>
    <n v="140"/>
  </r>
  <r>
    <x v="34"/>
    <s v="conventional_turnover_sato_-38"/>
    <x v="2"/>
    <n v="1"/>
    <n v="1"/>
    <n v="-140"/>
    <n v="140"/>
  </r>
  <r>
    <x v="34"/>
    <s v="conventional_turnover_sato_-37"/>
    <x v="3"/>
    <n v="1"/>
    <n v="1"/>
    <n v="-140"/>
    <n v="140"/>
  </r>
  <r>
    <x v="34"/>
    <s v="conventional_turnover_sato_-36"/>
    <x v="4"/>
    <n v="1"/>
    <n v="1"/>
    <n v="-140"/>
    <n v="140"/>
  </r>
  <r>
    <x v="34"/>
    <s v="conventional_turnover_sato_-35"/>
    <x v="5"/>
    <n v="1"/>
    <n v="1"/>
    <n v="-140"/>
    <n v="140"/>
  </r>
  <r>
    <x v="34"/>
    <s v="conventional_turnover_sato_-34"/>
    <x v="6"/>
    <n v="1"/>
    <n v="1"/>
    <n v="-140"/>
    <n v="140"/>
  </r>
  <r>
    <x v="34"/>
    <s v="conventional_turnover_sato_-33"/>
    <x v="7"/>
    <n v="1"/>
    <n v="1"/>
    <n v="-140"/>
    <n v="140"/>
  </r>
  <r>
    <x v="34"/>
    <s v="conventional_turnover_sato_-32"/>
    <x v="8"/>
    <n v="1"/>
    <n v="1"/>
    <n v="-140"/>
    <n v="140"/>
  </r>
  <r>
    <x v="34"/>
    <s v="conventional_turnover_sato_-31"/>
    <x v="9"/>
    <n v="1"/>
    <n v="1"/>
    <n v="-140"/>
    <n v="140"/>
  </r>
  <r>
    <x v="34"/>
    <s v="conventional_turnover_sato_-30"/>
    <x v="10"/>
    <n v="1"/>
    <n v="1"/>
    <n v="-140"/>
    <n v="140"/>
  </r>
  <r>
    <x v="34"/>
    <s v="conventional_turnover_sato_-29"/>
    <x v="11"/>
    <n v="1"/>
    <n v="1"/>
    <n v="-140"/>
    <n v="140"/>
  </r>
  <r>
    <x v="34"/>
    <s v="conventional_turnover_sato_-28"/>
    <x v="12"/>
    <n v="1"/>
    <n v="1"/>
    <n v="-140"/>
    <n v="140"/>
  </r>
  <r>
    <x v="34"/>
    <s v="conventional_turnover_sato_-27"/>
    <x v="13"/>
    <n v="1"/>
    <n v="1"/>
    <n v="-140"/>
    <n v="140"/>
  </r>
  <r>
    <x v="34"/>
    <s v="conventional_turnover_sato_-26"/>
    <x v="14"/>
    <n v="1"/>
    <n v="1"/>
    <n v="-140"/>
    <n v="140"/>
  </r>
  <r>
    <x v="34"/>
    <s v="conventional_turnover_sato_-25"/>
    <x v="15"/>
    <n v="1"/>
    <n v="1"/>
    <n v="-140"/>
    <n v="140"/>
  </r>
  <r>
    <x v="34"/>
    <s v="conventional_turnover_sato_-24"/>
    <x v="16"/>
    <n v="1"/>
    <n v="1"/>
    <n v="-140"/>
    <n v="140"/>
  </r>
  <r>
    <x v="34"/>
    <s v="conventional_turnover_sato_-23"/>
    <x v="17"/>
    <n v="1"/>
    <n v="1"/>
    <n v="-140"/>
    <n v="140"/>
  </r>
  <r>
    <x v="34"/>
    <s v="conventional_turnover_sato_-22"/>
    <x v="18"/>
    <n v="1"/>
    <n v="1"/>
    <n v="-140"/>
    <n v="140"/>
  </r>
  <r>
    <x v="34"/>
    <s v="conventional_turnover_sato_-21"/>
    <x v="19"/>
    <n v="1"/>
    <n v="1"/>
    <n v="-140"/>
    <n v="140"/>
  </r>
  <r>
    <x v="34"/>
    <s v="conventional_turnover_sato_-20"/>
    <x v="20"/>
    <n v="1"/>
    <n v="1"/>
    <n v="-140"/>
    <n v="140"/>
  </r>
  <r>
    <x v="34"/>
    <s v="conventional_turnover_sato_-19"/>
    <x v="21"/>
    <n v="1"/>
    <n v="1"/>
    <n v="-140"/>
    <n v="140"/>
  </r>
  <r>
    <x v="34"/>
    <s v="conventional_turnover_sato_-18"/>
    <x v="22"/>
    <n v="1"/>
    <n v="1"/>
    <n v="-140"/>
    <n v="140"/>
  </r>
  <r>
    <x v="34"/>
    <s v="conventional_turnover_sato_-17"/>
    <x v="23"/>
    <n v="1"/>
    <n v="1"/>
    <n v="-140"/>
    <n v="140"/>
  </r>
  <r>
    <x v="34"/>
    <s v="conventional_turnover_sato_-16"/>
    <x v="24"/>
    <n v="1"/>
    <n v="1"/>
    <n v="-140"/>
    <n v="140"/>
  </r>
  <r>
    <x v="34"/>
    <s v="conventional_turnover_sato_-15"/>
    <x v="25"/>
    <n v="1"/>
    <n v="1"/>
    <n v="-140"/>
    <n v="140"/>
  </r>
  <r>
    <x v="34"/>
    <s v="conventional_turnover_sato_-14"/>
    <x v="26"/>
    <n v="1"/>
    <n v="1"/>
    <n v="-140"/>
    <n v="140"/>
  </r>
  <r>
    <x v="34"/>
    <s v="conventional_turnover_sato_-13"/>
    <x v="27"/>
    <n v="1"/>
    <n v="1"/>
    <n v="-140"/>
    <n v="140"/>
  </r>
  <r>
    <x v="34"/>
    <s v="conventional_turnover_sato_-12"/>
    <x v="28"/>
    <n v="1"/>
    <n v="1"/>
    <n v="-140"/>
    <n v="140"/>
  </r>
  <r>
    <x v="34"/>
    <s v="conventional_turnover_sato_-11"/>
    <x v="29"/>
    <n v="1"/>
    <n v="1"/>
    <n v="-140"/>
    <n v="140"/>
  </r>
  <r>
    <x v="34"/>
    <s v="conventional_turnover_sato_-10"/>
    <x v="30"/>
    <n v="1"/>
    <n v="1"/>
    <n v="-140"/>
    <n v="140"/>
  </r>
  <r>
    <x v="34"/>
    <s v="conventional_turnover_sato_-9"/>
    <x v="31"/>
    <n v="1"/>
    <n v="1"/>
    <n v="-140"/>
    <n v="140"/>
  </r>
  <r>
    <x v="34"/>
    <s v="conventional_turnover_sato_-8"/>
    <x v="32"/>
    <n v="1"/>
    <n v="1"/>
    <n v="-140"/>
    <n v="140"/>
  </r>
  <r>
    <x v="34"/>
    <s v="conventional_turnover_sato_-7"/>
    <x v="33"/>
    <n v="1"/>
    <n v="1"/>
    <n v="-140"/>
    <n v="140"/>
  </r>
  <r>
    <x v="34"/>
    <s v="conventional_turnover_sato_-6"/>
    <x v="34"/>
    <n v="1"/>
    <n v="1"/>
    <n v="-140"/>
    <n v="140"/>
  </r>
  <r>
    <x v="34"/>
    <s v="conventional_turnover_sato_-5"/>
    <x v="35"/>
    <n v="1"/>
    <n v="1"/>
    <n v="-140"/>
    <n v="140"/>
  </r>
  <r>
    <x v="34"/>
    <s v="conventional_turnover_sato_-4"/>
    <x v="36"/>
    <n v="1"/>
    <n v="1"/>
    <n v="-140"/>
    <n v="140"/>
  </r>
  <r>
    <x v="34"/>
    <s v="conventional_turnover_sato_-3"/>
    <x v="37"/>
    <n v="1"/>
    <n v="1"/>
    <n v="-140"/>
    <n v="140"/>
  </r>
  <r>
    <x v="34"/>
    <s v="conventional_turnover_sato_-2"/>
    <x v="38"/>
    <n v="1"/>
    <n v="1"/>
    <n v="-140"/>
    <n v="140"/>
  </r>
  <r>
    <x v="34"/>
    <s v="conventional_turnover_sato_-1"/>
    <x v="39"/>
    <n v="1"/>
    <n v="1"/>
    <n v="-140"/>
    <n v="140"/>
  </r>
  <r>
    <x v="34"/>
    <s v="conventional_turnover_sato_0"/>
    <x v="40"/>
    <n v="1"/>
    <n v="1"/>
    <n v="-140"/>
    <n v="140"/>
  </r>
  <r>
    <x v="34"/>
    <s v="conventional_turnover_sato_1"/>
    <x v="41"/>
    <n v="1"/>
    <n v="1"/>
    <n v="-140"/>
    <n v="140"/>
  </r>
  <r>
    <x v="34"/>
    <s v="conventional_turnover_sato_2"/>
    <x v="42"/>
    <n v="1"/>
    <n v="1"/>
    <n v="-140"/>
    <n v="140"/>
  </r>
  <r>
    <x v="34"/>
    <s v="conventional_turnover_sato_3"/>
    <x v="43"/>
    <n v="1"/>
    <n v="1"/>
    <n v="-140"/>
    <n v="140"/>
  </r>
  <r>
    <x v="34"/>
    <s v="conventional_turnover_sato_4"/>
    <x v="44"/>
    <n v="1"/>
    <n v="1"/>
    <n v="-140"/>
    <n v="140"/>
  </r>
  <r>
    <x v="34"/>
    <s v="conventional_turnover_sato_5"/>
    <x v="45"/>
    <n v="1"/>
    <n v="1"/>
    <n v="-140"/>
    <n v="140"/>
  </r>
  <r>
    <x v="34"/>
    <s v="conventional_turnover_sato_6"/>
    <x v="46"/>
    <n v="1"/>
    <n v="1"/>
    <n v="-140"/>
    <n v="140"/>
  </r>
  <r>
    <x v="34"/>
    <s v="conventional_turnover_sato_7"/>
    <x v="47"/>
    <n v="1"/>
    <n v="1"/>
    <n v="-140"/>
    <n v="140"/>
  </r>
  <r>
    <x v="34"/>
    <s v="conventional_turnover_sato_8"/>
    <x v="48"/>
    <n v="1"/>
    <n v="1"/>
    <n v="-140"/>
    <n v="140"/>
  </r>
  <r>
    <x v="34"/>
    <s v="conventional_turnover_sato_9"/>
    <x v="49"/>
    <n v="1"/>
    <n v="1"/>
    <n v="-140"/>
    <n v="140"/>
  </r>
  <r>
    <x v="34"/>
    <s v="conventional_turnover_sato_10"/>
    <x v="50"/>
    <n v="1"/>
    <n v="1"/>
    <n v="-140"/>
    <n v="140"/>
  </r>
  <r>
    <x v="34"/>
    <s v="conventional_turnover_sato_11"/>
    <x v="51"/>
    <n v="1"/>
    <n v="1"/>
    <n v="-140"/>
    <n v="140"/>
  </r>
  <r>
    <x v="34"/>
    <s v="conventional_turnover_sato_12"/>
    <x v="52"/>
    <n v="1"/>
    <n v="1"/>
    <n v="-140"/>
    <n v="140"/>
  </r>
  <r>
    <x v="34"/>
    <s v="conventional_turnover_sato_13"/>
    <x v="53"/>
    <n v="1"/>
    <n v="1"/>
    <n v="-140"/>
    <n v="140"/>
  </r>
  <r>
    <x v="34"/>
    <s v="conventional_turnover_sato_14"/>
    <x v="54"/>
    <n v="1"/>
    <n v="1"/>
    <n v="-140"/>
    <n v="140"/>
  </r>
  <r>
    <x v="34"/>
    <s v="conventional_turnover_sato_15"/>
    <x v="55"/>
    <n v="1"/>
    <n v="1"/>
    <n v="-140"/>
    <n v="140"/>
  </r>
  <r>
    <x v="34"/>
    <s v="conventional_turnover_sato_16"/>
    <x v="56"/>
    <n v="1"/>
    <n v="1"/>
    <n v="-140"/>
    <n v="140"/>
  </r>
  <r>
    <x v="34"/>
    <s v="conventional_turnover_sato_17"/>
    <x v="57"/>
    <n v="1"/>
    <n v="1"/>
    <n v="-140"/>
    <n v="140"/>
  </r>
  <r>
    <x v="34"/>
    <s v="conventional_turnover_sato_18"/>
    <x v="58"/>
    <n v="1"/>
    <n v="1"/>
    <n v="-140"/>
    <n v="140"/>
  </r>
  <r>
    <x v="34"/>
    <s v="conventional_turnover_sato_19"/>
    <x v="59"/>
    <n v="1"/>
    <n v="1"/>
    <n v="-140"/>
    <n v="140"/>
  </r>
  <r>
    <x v="34"/>
    <s v="conventional_turnover_sato_20"/>
    <x v="60"/>
    <n v="1"/>
    <n v="1"/>
    <n v="-140"/>
    <n v="140"/>
  </r>
  <r>
    <x v="34"/>
    <s v="conventional_turnover_sato_21"/>
    <x v="61"/>
    <n v="1"/>
    <n v="1"/>
    <n v="-140"/>
    <n v="140"/>
  </r>
  <r>
    <x v="34"/>
    <s v="conventional_turnover_sato_22"/>
    <x v="62"/>
    <n v="1"/>
    <n v="1"/>
    <n v="-140"/>
    <n v="140"/>
  </r>
  <r>
    <x v="34"/>
    <s v="conventional_turnover_sato_23"/>
    <x v="63"/>
    <n v="1"/>
    <n v="1"/>
    <n v="-140"/>
    <n v="140"/>
  </r>
  <r>
    <x v="34"/>
    <s v="conventional_turnover_sato_24"/>
    <x v="64"/>
    <n v="1"/>
    <n v="1"/>
    <n v="-140"/>
    <n v="140"/>
  </r>
  <r>
    <x v="34"/>
    <s v="conventional_turnover_sato_25"/>
    <x v="65"/>
    <n v="1"/>
    <n v="1"/>
    <n v="-140"/>
    <n v="140"/>
  </r>
  <r>
    <x v="34"/>
    <s v="conventional_turnover_sato_26"/>
    <x v="66"/>
    <n v="1"/>
    <n v="1"/>
    <n v="-140"/>
    <n v="140"/>
  </r>
  <r>
    <x v="34"/>
    <s v="conventional_turnover_sato_27"/>
    <x v="67"/>
    <n v="1"/>
    <n v="1"/>
    <n v="-140"/>
    <n v="140"/>
  </r>
  <r>
    <x v="34"/>
    <s v="conventional_turnover_sato_28"/>
    <x v="68"/>
    <n v="1"/>
    <n v="1"/>
    <n v="-140"/>
    <n v="140"/>
  </r>
  <r>
    <x v="34"/>
    <s v="conventional_turnover_sato_29"/>
    <x v="69"/>
    <n v="1"/>
    <n v="1"/>
    <n v="-140"/>
    <n v="140"/>
  </r>
  <r>
    <x v="34"/>
    <s v="conventional_turnover_sato_30"/>
    <x v="70"/>
    <n v="1"/>
    <n v="1"/>
    <n v="-140"/>
    <n v="140"/>
  </r>
  <r>
    <x v="34"/>
    <s v="conventional_turnover_sato_31"/>
    <x v="71"/>
    <n v="1"/>
    <n v="1"/>
    <n v="-140"/>
    <n v="140"/>
  </r>
  <r>
    <x v="34"/>
    <s v="conventional_turnover_sato_32"/>
    <x v="72"/>
    <n v="1"/>
    <n v="1"/>
    <n v="-140"/>
    <n v="140"/>
  </r>
  <r>
    <x v="34"/>
    <s v="conventional_turnover_sato_33"/>
    <x v="73"/>
    <n v="1"/>
    <n v="1"/>
    <n v="-140"/>
    <n v="140"/>
  </r>
  <r>
    <x v="34"/>
    <s v="conventional_turnover_sato_34"/>
    <x v="74"/>
    <n v="1"/>
    <n v="1"/>
    <n v="-140"/>
    <n v="140"/>
  </r>
  <r>
    <x v="34"/>
    <s v="conventional_turnover_sato_35"/>
    <x v="75"/>
    <n v="1"/>
    <n v="1"/>
    <n v="-140"/>
    <n v="140"/>
  </r>
  <r>
    <x v="34"/>
    <s v="conventional_turnover_sato_36"/>
    <x v="76"/>
    <n v="1"/>
    <n v="1"/>
    <n v="-140"/>
    <n v="140"/>
  </r>
  <r>
    <x v="34"/>
    <s v="conventional_turnover_sato_37"/>
    <x v="77"/>
    <n v="1"/>
    <n v="1"/>
    <n v="-140"/>
    <n v="140"/>
  </r>
  <r>
    <x v="34"/>
    <s v="conventional_turnover_sato_38"/>
    <x v="78"/>
    <n v="1"/>
    <n v="1"/>
    <n v="-140"/>
    <n v="140"/>
  </r>
  <r>
    <x v="34"/>
    <s v="conventional_turnover_sato_39"/>
    <x v="79"/>
    <n v="1"/>
    <n v="1"/>
    <n v="-140"/>
    <n v="140"/>
  </r>
  <r>
    <x v="34"/>
    <s v="conventional_turnover_sato_40"/>
    <x v="80"/>
    <n v="1"/>
    <n v="1"/>
    <n v="-140"/>
    <n v="140"/>
  </r>
  <r>
    <x v="34"/>
    <s v="conventional_turnover_sato_41"/>
    <x v="81"/>
    <n v="1"/>
    <n v="1"/>
    <n v="-140"/>
    <n v="140"/>
  </r>
  <r>
    <x v="34"/>
    <s v="conventional_turnover_sato_42"/>
    <x v="82"/>
    <n v="1"/>
    <n v="1"/>
    <n v="-140"/>
    <n v="140"/>
  </r>
  <r>
    <x v="34"/>
    <s v="conventional_turnover_sato_43"/>
    <x v="83"/>
    <n v="1"/>
    <n v="1"/>
    <n v="-140"/>
    <n v="140"/>
  </r>
  <r>
    <x v="34"/>
    <s v="conventional_turnover_sato_44"/>
    <x v="84"/>
    <n v="1"/>
    <n v="1"/>
    <n v="-140"/>
    <n v="140"/>
  </r>
  <r>
    <x v="34"/>
    <s v="conventional_turnover_sato_45"/>
    <x v="85"/>
    <n v="1"/>
    <n v="1"/>
    <n v="-140"/>
    <n v="140"/>
  </r>
  <r>
    <x v="34"/>
    <s v="conventional_turnover_sato_46"/>
    <x v="86"/>
    <n v="1"/>
    <n v="1"/>
    <n v="-140"/>
    <n v="140"/>
  </r>
  <r>
    <x v="34"/>
    <s v="conventional_turnover_sato_47"/>
    <x v="87"/>
    <n v="1"/>
    <n v="1"/>
    <n v="-140"/>
    <n v="140"/>
  </r>
  <r>
    <x v="34"/>
    <s v="conventional_turnover_sato_48"/>
    <x v="88"/>
    <n v="1"/>
    <n v="1"/>
    <n v="-140"/>
    <n v="140"/>
  </r>
  <r>
    <x v="34"/>
    <s v="conventional_turnover_sato_49"/>
    <x v="89"/>
    <n v="1"/>
    <n v="1"/>
    <n v="-140"/>
    <n v="140"/>
  </r>
  <r>
    <x v="34"/>
    <s v="conventional_turnover_sato_50"/>
    <x v="90"/>
    <n v="1"/>
    <n v="1"/>
    <n v="-140"/>
    <n v="140"/>
  </r>
  <r>
    <x v="34"/>
    <s v="conventional_turnover_sato_51"/>
    <x v="91"/>
    <n v="1"/>
    <n v="1"/>
    <n v="-140"/>
    <n v="140"/>
  </r>
  <r>
    <x v="34"/>
    <s v="conventional_turnover_sato_52"/>
    <x v="92"/>
    <n v="1"/>
    <n v="1"/>
    <n v="-140"/>
    <n v="140"/>
  </r>
  <r>
    <x v="34"/>
    <s v="conventional_turnover_sato_53"/>
    <x v="93"/>
    <n v="1"/>
    <n v="1"/>
    <n v="-140"/>
    <n v="140"/>
  </r>
  <r>
    <x v="34"/>
    <s v="conventional_turnover_sato_54"/>
    <x v="94"/>
    <n v="1"/>
    <n v="1"/>
    <n v="-140"/>
    <n v="140"/>
  </r>
  <r>
    <x v="34"/>
    <s v="conventional_turnover_sato_55"/>
    <x v="95"/>
    <n v="1"/>
    <n v="1"/>
    <n v="-140"/>
    <n v="140"/>
  </r>
  <r>
    <x v="34"/>
    <s v="conventional_turnover_sato_56"/>
    <x v="96"/>
    <n v="1"/>
    <n v="1"/>
    <n v="-140"/>
    <n v="140"/>
  </r>
  <r>
    <x v="34"/>
    <s v="conventional_turnover_sato_57"/>
    <x v="97"/>
    <n v="1"/>
    <n v="1"/>
    <n v="-140"/>
    <n v="140"/>
  </r>
  <r>
    <x v="34"/>
    <s v="conventional_turnover_sato_58"/>
    <x v="98"/>
    <n v="1"/>
    <n v="1"/>
    <n v="-140"/>
    <n v="140"/>
  </r>
  <r>
    <x v="34"/>
    <s v="conventional_turnover_sato_59"/>
    <x v="99"/>
    <n v="1"/>
    <n v="1"/>
    <n v="-140"/>
    <n v="140"/>
  </r>
  <r>
    <x v="34"/>
    <s v="conventional_turnover_sato_60"/>
    <x v="100"/>
    <n v="1"/>
    <n v="1"/>
    <n v="-140"/>
    <n v="140"/>
  </r>
  <r>
    <x v="34"/>
    <s v="conventional_turnover_sato_61"/>
    <x v="101"/>
    <n v="1"/>
    <n v="1"/>
    <n v="-140"/>
    <n v="140"/>
  </r>
  <r>
    <x v="34"/>
    <s v="conventional_turnover_sato_62"/>
    <x v="102"/>
    <n v="1"/>
    <n v="1"/>
    <n v="-140"/>
    <n v="140"/>
  </r>
  <r>
    <x v="34"/>
    <s v="conventional_turnover_sato_63"/>
    <x v="103"/>
    <n v="1"/>
    <n v="1"/>
    <n v="-140"/>
    <n v="140"/>
  </r>
  <r>
    <x v="34"/>
    <s v="conventional_turnover_sato_64"/>
    <x v="104"/>
    <n v="1"/>
    <n v="1"/>
    <n v="-140"/>
    <n v="140"/>
  </r>
  <r>
    <x v="34"/>
    <s v="conventional_turnover_sato_65"/>
    <x v="105"/>
    <n v="1"/>
    <n v="1"/>
    <n v="-140"/>
    <n v="140"/>
  </r>
  <r>
    <x v="34"/>
    <s v="conventional_turnover_sato_66"/>
    <x v="106"/>
    <n v="1"/>
    <n v="1"/>
    <n v="-140"/>
    <n v="140"/>
  </r>
  <r>
    <x v="34"/>
    <s v="conventional_turnover_sato_67"/>
    <x v="107"/>
    <n v="1"/>
    <n v="1"/>
    <n v="-140"/>
    <n v="140"/>
  </r>
  <r>
    <x v="34"/>
    <s v="conventional_turnover_sato_68"/>
    <x v="108"/>
    <n v="1"/>
    <n v="1"/>
    <n v="-140"/>
    <n v="140"/>
  </r>
  <r>
    <x v="34"/>
    <s v="conventional_turnover_sato_69"/>
    <x v="109"/>
    <n v="1"/>
    <n v="1"/>
    <n v="-140"/>
    <n v="140"/>
  </r>
  <r>
    <x v="34"/>
    <s v="conventional_turnover_sato_70"/>
    <x v="110"/>
    <n v="1"/>
    <n v="1"/>
    <n v="-140"/>
    <n v="140"/>
  </r>
  <r>
    <x v="34"/>
    <s v="conventional_turnover_sato_71"/>
    <x v="111"/>
    <n v="1"/>
    <n v="1"/>
    <n v="-140"/>
    <n v="140"/>
  </r>
  <r>
    <x v="34"/>
    <s v="conventional_turnover_sato_72"/>
    <x v="112"/>
    <n v="1"/>
    <n v="1"/>
    <n v="-140"/>
    <n v="140"/>
  </r>
  <r>
    <x v="34"/>
    <s v="conventional_turnover_sato_73"/>
    <x v="113"/>
    <n v="1"/>
    <n v="1"/>
    <n v="-140"/>
    <n v="140"/>
  </r>
  <r>
    <x v="34"/>
    <s v="conventional_turnover_sato_74"/>
    <x v="114"/>
    <n v="1"/>
    <n v="1"/>
    <n v="-140"/>
    <n v="140"/>
  </r>
  <r>
    <x v="34"/>
    <s v="conventional_turnover_sato_75"/>
    <x v="115"/>
    <n v="1"/>
    <n v="1"/>
    <n v="-140"/>
    <n v="140"/>
  </r>
  <r>
    <x v="34"/>
    <s v="conventional_turnover_sato_76"/>
    <x v="116"/>
    <n v="1"/>
    <n v="1"/>
    <n v="-140"/>
    <n v="140"/>
  </r>
  <r>
    <x v="34"/>
    <s v="conventional_turnover_sato_77"/>
    <x v="117"/>
    <n v="1"/>
    <n v="1"/>
    <n v="-140"/>
    <n v="140"/>
  </r>
  <r>
    <x v="34"/>
    <s v="conventional_turnover_sato_78"/>
    <x v="118"/>
    <n v="1"/>
    <n v="1"/>
    <n v="-140"/>
    <n v="140"/>
  </r>
  <r>
    <x v="34"/>
    <s v="conventional_turnover_sato_79"/>
    <x v="119"/>
    <n v="1"/>
    <n v="1"/>
    <n v="-140"/>
    <n v="140"/>
  </r>
  <r>
    <x v="34"/>
    <s v="conventional_turnover_sato_80"/>
    <x v="120"/>
    <n v="1"/>
    <n v="1"/>
    <n v="-140"/>
    <n v="140"/>
  </r>
  <r>
    <x v="34"/>
    <s v="conventional_turnover_sato_81"/>
    <x v="121"/>
    <n v="1"/>
    <n v="1"/>
    <n v="-140"/>
    <n v="140"/>
  </r>
  <r>
    <x v="34"/>
    <s v="conventional_turnover_sato_82"/>
    <x v="122"/>
    <n v="1"/>
    <n v="1"/>
    <n v="-140"/>
    <n v="140"/>
  </r>
  <r>
    <x v="34"/>
    <s v="conventional_turnover_sato_83"/>
    <x v="123"/>
    <n v="1"/>
    <n v="1"/>
    <n v="-140"/>
    <n v="140"/>
  </r>
  <r>
    <x v="34"/>
    <s v="conventional_turnover_sato_84"/>
    <x v="124"/>
    <n v="1"/>
    <n v="1"/>
    <n v="-140"/>
    <n v="140"/>
  </r>
  <r>
    <x v="34"/>
    <s v="conventional_turnover_sato_85"/>
    <x v="125"/>
    <n v="1"/>
    <n v="1"/>
    <n v="-140"/>
    <n v="140"/>
  </r>
  <r>
    <x v="34"/>
    <s v="conventional_turnover_sato_86"/>
    <x v="126"/>
    <n v="1"/>
    <n v="1"/>
    <n v="-140"/>
    <n v="140"/>
  </r>
  <r>
    <x v="34"/>
    <s v="conventional_turnover_sato_87"/>
    <x v="127"/>
    <n v="1"/>
    <n v="1"/>
    <n v="-140"/>
    <n v="140"/>
  </r>
  <r>
    <x v="34"/>
    <s v="conventional_turnover_sato_88"/>
    <x v="128"/>
    <n v="1"/>
    <n v="1"/>
    <n v="-140"/>
    <n v="140"/>
  </r>
  <r>
    <x v="34"/>
    <s v="conventional_turnover_sato_89"/>
    <x v="129"/>
    <n v="1"/>
    <n v="1"/>
    <n v="-140"/>
    <n v="140"/>
  </r>
  <r>
    <x v="34"/>
    <s v="conventional_turnover_sato_90"/>
    <x v="130"/>
    <n v="1"/>
    <n v="1"/>
    <n v="-140"/>
    <n v="140"/>
  </r>
  <r>
    <x v="34"/>
    <s v="conventional_turnover_sato_91"/>
    <x v="131"/>
    <n v="1"/>
    <n v="1"/>
    <n v="-140"/>
    <n v="140"/>
  </r>
  <r>
    <x v="34"/>
    <s v="conventional_turnover_sato_92"/>
    <x v="132"/>
    <n v="1"/>
    <n v="1"/>
    <n v="-140"/>
    <n v="140"/>
  </r>
  <r>
    <x v="34"/>
    <s v="conventional_turnover_sato_93"/>
    <x v="133"/>
    <n v="1"/>
    <n v="1"/>
    <n v="-140"/>
    <n v="140"/>
  </r>
  <r>
    <x v="34"/>
    <s v="conventional_turnover_sato_94"/>
    <x v="134"/>
    <n v="1"/>
    <n v="1"/>
    <n v="-140"/>
    <n v="140"/>
  </r>
  <r>
    <x v="34"/>
    <s v="conventional_turnover_sato_95"/>
    <x v="135"/>
    <n v="1"/>
    <n v="1"/>
    <n v="-140"/>
    <n v="140"/>
  </r>
  <r>
    <x v="34"/>
    <s v="conventional_turnover_sato_96"/>
    <x v="136"/>
    <n v="1"/>
    <n v="1"/>
    <n v="-140"/>
    <n v="140"/>
  </r>
  <r>
    <x v="34"/>
    <s v="conventional_turnover_sato_97"/>
    <x v="137"/>
    <n v="1"/>
    <n v="1"/>
    <n v="-140"/>
    <n v="140"/>
  </r>
  <r>
    <x v="34"/>
    <s v="conventional_turnover_sato_98"/>
    <x v="138"/>
    <n v="1"/>
    <n v="1"/>
    <n v="-140"/>
    <n v="140"/>
  </r>
  <r>
    <x v="34"/>
    <s v="conventional_turnover_sato_99"/>
    <x v="139"/>
    <n v="1"/>
    <n v="1"/>
    <n v="-140"/>
    <n v="140"/>
  </r>
  <r>
    <x v="34"/>
    <s v="conventional_turnover_sato_100"/>
    <x v="140"/>
    <n v="1"/>
    <n v="1"/>
    <n v="-140"/>
    <n v="140"/>
  </r>
  <r>
    <x v="34"/>
    <s v="conventional_turnover_sato_101"/>
    <x v="141"/>
    <n v="1"/>
    <n v="1"/>
    <n v="-140"/>
    <n v="140"/>
  </r>
  <r>
    <x v="34"/>
    <s v="conventional_turnover_sato_102"/>
    <x v="142"/>
    <n v="1"/>
    <n v="1"/>
    <n v="-140"/>
    <n v="140"/>
  </r>
  <r>
    <x v="34"/>
    <s v="conventional_turnover_sato_103"/>
    <x v="143"/>
    <n v="1"/>
    <n v="1"/>
    <n v="-140"/>
    <n v="140"/>
  </r>
  <r>
    <x v="34"/>
    <s v="conventional_turnover_sato_104"/>
    <x v="144"/>
    <n v="1"/>
    <n v="1"/>
    <n v="-140"/>
    <n v="140"/>
  </r>
  <r>
    <x v="34"/>
    <s v="conventional_turnover_sato_105"/>
    <x v="145"/>
    <n v="1"/>
    <n v="1"/>
    <n v="-140"/>
    <n v="140"/>
  </r>
  <r>
    <x v="34"/>
    <s v="conventional_turnover_sato_106"/>
    <x v="146"/>
    <n v="1"/>
    <n v="1"/>
    <n v="-140"/>
    <n v="140"/>
  </r>
  <r>
    <x v="34"/>
    <s v="conventional_turnover_sato_107"/>
    <x v="147"/>
    <n v="1"/>
    <n v="1"/>
    <n v="-140"/>
    <n v="140"/>
  </r>
  <r>
    <x v="34"/>
    <s v="conventional_turnover_sato_108"/>
    <x v="148"/>
    <n v="1"/>
    <n v="1"/>
    <n v="-140"/>
    <n v="140"/>
  </r>
  <r>
    <x v="34"/>
    <s v="conventional_turnover_sato_109"/>
    <x v="149"/>
    <n v="1"/>
    <n v="1"/>
    <n v="-140"/>
    <n v="140"/>
  </r>
  <r>
    <x v="34"/>
    <s v="conventional_turnover_sato_110"/>
    <x v="150"/>
    <n v="1"/>
    <n v="1"/>
    <n v="-140"/>
    <n v="140"/>
  </r>
  <r>
    <x v="34"/>
    <s v="conventional_turnover_sato_111"/>
    <x v="151"/>
    <n v="1"/>
    <n v="1"/>
    <n v="-140"/>
    <n v="140"/>
  </r>
  <r>
    <x v="34"/>
    <s v="conventional_turnover_sato_112"/>
    <x v="152"/>
    <n v="1"/>
    <n v="1"/>
    <n v="-140"/>
    <n v="140"/>
  </r>
  <r>
    <x v="34"/>
    <s v="conventional_turnover_sato_113"/>
    <x v="153"/>
    <n v="1"/>
    <n v="1"/>
    <n v="-140"/>
    <n v="140"/>
  </r>
  <r>
    <x v="34"/>
    <s v="conventional_turnover_sato_114"/>
    <x v="154"/>
    <n v="1"/>
    <n v="1"/>
    <n v="-140"/>
    <n v="140"/>
  </r>
  <r>
    <x v="34"/>
    <s v="conventional_turnover_sato_115"/>
    <x v="155"/>
    <n v="1"/>
    <n v="1"/>
    <n v="-140"/>
    <n v="140"/>
  </r>
  <r>
    <x v="34"/>
    <s v="conventional_turnover_sato_116"/>
    <x v="156"/>
    <n v="1"/>
    <n v="1"/>
    <n v="-140"/>
    <n v="140"/>
  </r>
  <r>
    <x v="34"/>
    <s v="conventional_turnover_sato_117"/>
    <x v="157"/>
    <n v="1"/>
    <n v="1"/>
    <n v="-140"/>
    <n v="140"/>
  </r>
  <r>
    <x v="34"/>
    <s v="conventional_turnover_sato_118"/>
    <x v="158"/>
    <n v="1"/>
    <n v="1"/>
    <n v="-140"/>
    <n v="140"/>
  </r>
  <r>
    <x v="34"/>
    <s v="conventional_turnover_sato_119"/>
    <x v="159"/>
    <n v="1"/>
    <n v="1"/>
    <n v="-140"/>
    <n v="140"/>
  </r>
  <r>
    <x v="34"/>
    <s v="conventional_turnover_sato_120"/>
    <x v="160"/>
    <n v="1"/>
    <n v="1"/>
    <n v="-140"/>
    <n v="140"/>
  </r>
  <r>
    <x v="34"/>
    <s v="conventional_turnover_sato_121"/>
    <x v="161"/>
    <n v="1"/>
    <n v="1"/>
    <n v="-140"/>
    <n v="140"/>
  </r>
  <r>
    <x v="34"/>
    <s v="conventional_turnover_sato_122"/>
    <x v="162"/>
    <n v="1"/>
    <n v="1"/>
    <n v="-140"/>
    <n v="140"/>
  </r>
  <r>
    <x v="34"/>
    <s v="conventional_turnover_sato_123"/>
    <x v="163"/>
    <n v="1"/>
    <n v="1"/>
    <n v="-140"/>
    <n v="140"/>
  </r>
  <r>
    <x v="34"/>
    <s v="conventional_turnover_sato_124"/>
    <x v="164"/>
    <n v="1"/>
    <n v="1"/>
    <n v="-140"/>
    <n v="140"/>
  </r>
  <r>
    <x v="34"/>
    <s v="conventional_turnover_sato_125"/>
    <x v="165"/>
    <n v="1"/>
    <n v="1"/>
    <n v="-140"/>
    <n v="140"/>
  </r>
  <r>
    <x v="34"/>
    <s v="conventional_turnover_sato_126"/>
    <x v="166"/>
    <n v="1"/>
    <n v="1"/>
    <n v="-140"/>
    <n v="140"/>
  </r>
  <r>
    <x v="34"/>
    <s v="conventional_turnover_sato_127"/>
    <x v="167"/>
    <n v="1"/>
    <n v="1"/>
    <n v="-140"/>
    <n v="140"/>
  </r>
  <r>
    <x v="34"/>
    <s v="conventional_turnover_sato_128"/>
    <x v="168"/>
    <n v="1"/>
    <n v="1"/>
    <n v="-140"/>
    <n v="140"/>
  </r>
  <r>
    <x v="34"/>
    <s v="conventional_turnover_sato_129"/>
    <x v="169"/>
    <n v="1"/>
    <n v="1"/>
    <n v="-140"/>
    <n v="140"/>
  </r>
  <r>
    <x v="34"/>
    <s v="conventional_turnover_sato_130"/>
    <x v="170"/>
    <n v="1"/>
    <n v="1"/>
    <n v="-140"/>
    <n v="140"/>
  </r>
  <r>
    <x v="34"/>
    <s v="conventional_turnover_sato_131"/>
    <x v="171"/>
    <n v="1"/>
    <n v="1"/>
    <n v="-140"/>
    <n v="140"/>
  </r>
  <r>
    <x v="34"/>
    <s v="conventional_turnover_sato_132"/>
    <x v="172"/>
    <n v="1"/>
    <n v="1"/>
    <n v="-140"/>
    <n v="140"/>
  </r>
  <r>
    <x v="34"/>
    <s v="conventional_turnover_sato_133"/>
    <x v="173"/>
    <n v="1"/>
    <n v="1"/>
    <n v="-140"/>
    <n v="140"/>
  </r>
  <r>
    <x v="34"/>
    <s v="conventional_turnover_sato_134"/>
    <x v="174"/>
    <n v="1"/>
    <n v="1"/>
    <n v="-140"/>
    <n v="140"/>
  </r>
  <r>
    <x v="34"/>
    <s v="conventional_turnover_sato_135"/>
    <x v="175"/>
    <n v="1"/>
    <n v="1"/>
    <n v="-140"/>
    <n v="140"/>
  </r>
  <r>
    <x v="34"/>
    <s v="conventional_turnover_sato_136"/>
    <x v="176"/>
    <n v="1"/>
    <n v="1"/>
    <n v="-140"/>
    <n v="140"/>
  </r>
  <r>
    <x v="34"/>
    <s v="conventional_turnover_sato_137"/>
    <x v="177"/>
    <n v="1"/>
    <n v="1"/>
    <n v="-140"/>
    <n v="140"/>
  </r>
  <r>
    <x v="34"/>
    <s v="conventional_turnover_sato_138"/>
    <x v="178"/>
    <n v="1"/>
    <n v="1"/>
    <n v="-140"/>
    <n v="140"/>
  </r>
  <r>
    <x v="34"/>
    <s v="conventional_turnover_sato_139"/>
    <x v="179"/>
    <n v="1"/>
    <n v="1"/>
    <n v="-140"/>
    <n v="140"/>
  </r>
  <r>
    <x v="34"/>
    <s v="conventional_turnover_sato_140"/>
    <x v="180"/>
    <n v="1"/>
    <n v="1"/>
    <n v="-140"/>
    <n v="140"/>
  </r>
  <r>
    <x v="35"/>
    <s v="conventional_turnover_pct_HARPed_-20"/>
    <x v="20"/>
    <n v="1"/>
    <n v="1"/>
    <n v="-20"/>
    <n v="120"/>
  </r>
  <r>
    <x v="35"/>
    <s v="conventional_turnover_pct_HARPed_-19"/>
    <x v="21"/>
    <n v="1"/>
    <n v="1"/>
    <n v="-20"/>
    <n v="120"/>
  </r>
  <r>
    <x v="35"/>
    <s v="conventional_turnover_pct_HARPed_-18"/>
    <x v="22"/>
    <n v="1"/>
    <n v="1"/>
    <n v="-20"/>
    <n v="120"/>
  </r>
  <r>
    <x v="35"/>
    <s v="conventional_turnover_pct_HARPed_-17"/>
    <x v="23"/>
    <n v="1"/>
    <n v="1"/>
    <n v="-20"/>
    <n v="120"/>
  </r>
  <r>
    <x v="35"/>
    <s v="conventional_turnover_pct_HARPed_-16"/>
    <x v="24"/>
    <n v="1"/>
    <n v="1"/>
    <n v="-20"/>
    <n v="120"/>
  </r>
  <r>
    <x v="35"/>
    <s v="conventional_turnover_pct_HARPed_-15"/>
    <x v="25"/>
    <n v="1"/>
    <n v="1"/>
    <n v="-20"/>
    <n v="120"/>
  </r>
  <r>
    <x v="35"/>
    <s v="conventional_turnover_pct_HARPed_-14"/>
    <x v="26"/>
    <n v="1"/>
    <n v="1"/>
    <n v="-20"/>
    <n v="120"/>
  </r>
  <r>
    <x v="35"/>
    <s v="conventional_turnover_pct_HARPed_-13"/>
    <x v="27"/>
    <n v="1"/>
    <n v="1"/>
    <n v="-20"/>
    <n v="120"/>
  </r>
  <r>
    <x v="35"/>
    <s v="conventional_turnover_pct_HARPed_-12"/>
    <x v="28"/>
    <n v="1"/>
    <n v="1"/>
    <n v="-20"/>
    <n v="120"/>
  </r>
  <r>
    <x v="35"/>
    <s v="conventional_turnover_pct_HARPed_-11"/>
    <x v="29"/>
    <n v="1"/>
    <n v="1"/>
    <n v="-20"/>
    <n v="120"/>
  </r>
  <r>
    <x v="35"/>
    <s v="conventional_turnover_pct_HARPed_-10"/>
    <x v="30"/>
    <n v="1"/>
    <n v="1"/>
    <n v="-20"/>
    <n v="120"/>
  </r>
  <r>
    <x v="35"/>
    <s v="conventional_turnover_pct_HARPed_-9"/>
    <x v="31"/>
    <n v="1"/>
    <n v="1"/>
    <n v="-20"/>
    <n v="120"/>
  </r>
  <r>
    <x v="35"/>
    <s v="conventional_turnover_pct_HARPed_-8"/>
    <x v="32"/>
    <n v="1"/>
    <n v="1"/>
    <n v="-20"/>
    <n v="120"/>
  </r>
  <r>
    <x v="35"/>
    <s v="conventional_turnover_pct_HARPed_-7"/>
    <x v="33"/>
    <n v="1"/>
    <n v="1"/>
    <n v="-20"/>
    <n v="120"/>
  </r>
  <r>
    <x v="35"/>
    <s v="conventional_turnover_pct_HARPed_-6"/>
    <x v="34"/>
    <n v="1"/>
    <n v="1"/>
    <n v="-20"/>
    <n v="120"/>
  </r>
  <r>
    <x v="35"/>
    <s v="conventional_turnover_pct_HARPed_-5"/>
    <x v="35"/>
    <n v="1"/>
    <n v="1"/>
    <n v="-20"/>
    <n v="120"/>
  </r>
  <r>
    <x v="35"/>
    <s v="conventional_turnover_pct_HARPed_-4"/>
    <x v="36"/>
    <n v="1"/>
    <n v="1"/>
    <n v="-20"/>
    <n v="120"/>
  </r>
  <r>
    <x v="35"/>
    <s v="conventional_turnover_pct_HARPed_-3"/>
    <x v="37"/>
    <n v="1"/>
    <n v="1"/>
    <n v="-20"/>
    <n v="120"/>
  </r>
  <r>
    <x v="35"/>
    <s v="conventional_turnover_pct_HARPed_-2"/>
    <x v="38"/>
    <n v="1"/>
    <n v="1"/>
    <n v="-20"/>
    <n v="120"/>
  </r>
  <r>
    <x v="35"/>
    <s v="conventional_turnover_pct_HARPed_-1"/>
    <x v="39"/>
    <n v="1"/>
    <n v="1"/>
    <n v="-20"/>
    <n v="120"/>
  </r>
  <r>
    <x v="35"/>
    <s v="conventional_turnover_pct_HARPed_0"/>
    <x v="40"/>
    <n v="1"/>
    <n v="1"/>
    <n v="-20"/>
    <n v="120"/>
  </r>
  <r>
    <x v="35"/>
    <s v="conventional_turnover_pct_HARPed_1"/>
    <x v="41"/>
    <n v="1"/>
    <n v="1"/>
    <n v="-20"/>
    <n v="120"/>
  </r>
  <r>
    <x v="35"/>
    <s v="conventional_turnover_pct_HARPed_2"/>
    <x v="42"/>
    <n v="1"/>
    <n v="1"/>
    <n v="-20"/>
    <n v="120"/>
  </r>
  <r>
    <x v="35"/>
    <s v="conventional_turnover_pct_HARPed_3"/>
    <x v="43"/>
    <n v="1"/>
    <n v="1"/>
    <n v="-20"/>
    <n v="120"/>
  </r>
  <r>
    <x v="35"/>
    <s v="conventional_turnover_pct_HARPed_4"/>
    <x v="44"/>
    <n v="1"/>
    <n v="1"/>
    <n v="-20"/>
    <n v="120"/>
  </r>
  <r>
    <x v="35"/>
    <s v="conventional_turnover_pct_HARPed_5"/>
    <x v="45"/>
    <n v="1"/>
    <n v="1"/>
    <n v="-20"/>
    <n v="120"/>
  </r>
  <r>
    <x v="35"/>
    <s v="conventional_turnover_pct_HARPed_6"/>
    <x v="46"/>
    <n v="1"/>
    <n v="1"/>
    <n v="-20"/>
    <n v="120"/>
  </r>
  <r>
    <x v="35"/>
    <s v="conventional_turnover_pct_HARPed_7"/>
    <x v="47"/>
    <n v="1"/>
    <n v="1"/>
    <n v="-20"/>
    <n v="120"/>
  </r>
  <r>
    <x v="35"/>
    <s v="conventional_turnover_pct_HARPed_8"/>
    <x v="48"/>
    <n v="1"/>
    <n v="1"/>
    <n v="-20"/>
    <n v="120"/>
  </r>
  <r>
    <x v="35"/>
    <s v="conventional_turnover_pct_HARPed_9"/>
    <x v="49"/>
    <n v="1"/>
    <n v="1"/>
    <n v="-20"/>
    <n v="120"/>
  </r>
  <r>
    <x v="35"/>
    <s v="conventional_turnover_pct_HARPed_10"/>
    <x v="50"/>
    <n v="1"/>
    <n v="1"/>
    <n v="-20"/>
    <n v="120"/>
  </r>
  <r>
    <x v="35"/>
    <s v="conventional_turnover_pct_HARPed_11"/>
    <x v="51"/>
    <n v="1"/>
    <n v="1"/>
    <n v="-20"/>
    <n v="120"/>
  </r>
  <r>
    <x v="35"/>
    <s v="conventional_turnover_pct_HARPed_12"/>
    <x v="52"/>
    <n v="1"/>
    <n v="1"/>
    <n v="-20"/>
    <n v="120"/>
  </r>
  <r>
    <x v="35"/>
    <s v="conventional_turnover_pct_HARPed_13"/>
    <x v="53"/>
    <n v="1"/>
    <n v="1"/>
    <n v="-20"/>
    <n v="120"/>
  </r>
  <r>
    <x v="35"/>
    <s v="conventional_turnover_pct_HARPed_14"/>
    <x v="54"/>
    <n v="1"/>
    <n v="1"/>
    <n v="-20"/>
    <n v="120"/>
  </r>
  <r>
    <x v="35"/>
    <s v="conventional_turnover_pct_HARPed_15"/>
    <x v="55"/>
    <n v="1"/>
    <n v="1"/>
    <n v="-20"/>
    <n v="120"/>
  </r>
  <r>
    <x v="35"/>
    <s v="conventional_turnover_pct_HARPed_16"/>
    <x v="56"/>
    <n v="1"/>
    <n v="1"/>
    <n v="-20"/>
    <n v="120"/>
  </r>
  <r>
    <x v="35"/>
    <s v="conventional_turnover_pct_HARPed_17"/>
    <x v="57"/>
    <n v="1"/>
    <n v="1"/>
    <n v="-20"/>
    <n v="120"/>
  </r>
  <r>
    <x v="35"/>
    <s v="conventional_turnover_pct_HARPed_18"/>
    <x v="58"/>
    <n v="1"/>
    <n v="1"/>
    <n v="-20"/>
    <n v="120"/>
  </r>
  <r>
    <x v="35"/>
    <s v="conventional_turnover_pct_HARPed_19"/>
    <x v="59"/>
    <n v="1"/>
    <n v="1"/>
    <n v="-20"/>
    <n v="120"/>
  </r>
  <r>
    <x v="35"/>
    <s v="conventional_turnover_pct_HARPed_20"/>
    <x v="60"/>
    <n v="1"/>
    <n v="1"/>
    <n v="-20"/>
    <n v="120"/>
  </r>
  <r>
    <x v="35"/>
    <s v="conventional_turnover_pct_HARPed_21"/>
    <x v="61"/>
    <n v="1"/>
    <n v="1"/>
    <n v="-20"/>
    <n v="120"/>
  </r>
  <r>
    <x v="35"/>
    <s v="conventional_turnover_pct_HARPed_22"/>
    <x v="62"/>
    <n v="1"/>
    <n v="1"/>
    <n v="-20"/>
    <n v="120"/>
  </r>
  <r>
    <x v="35"/>
    <s v="conventional_turnover_pct_HARPed_23"/>
    <x v="63"/>
    <n v="1"/>
    <n v="1"/>
    <n v="-20"/>
    <n v="120"/>
  </r>
  <r>
    <x v="35"/>
    <s v="conventional_turnover_pct_HARPed_24"/>
    <x v="64"/>
    <n v="1"/>
    <n v="1"/>
    <n v="-20"/>
    <n v="120"/>
  </r>
  <r>
    <x v="35"/>
    <s v="conventional_turnover_pct_HARPed_25"/>
    <x v="65"/>
    <n v="1"/>
    <n v="1"/>
    <n v="-20"/>
    <n v="120"/>
  </r>
  <r>
    <x v="35"/>
    <s v="conventional_turnover_pct_HARPed_26"/>
    <x v="66"/>
    <n v="1"/>
    <n v="1"/>
    <n v="-20"/>
    <n v="120"/>
  </r>
  <r>
    <x v="35"/>
    <s v="conventional_turnover_pct_HARPed_27"/>
    <x v="67"/>
    <n v="1"/>
    <n v="1"/>
    <n v="-20"/>
    <n v="120"/>
  </r>
  <r>
    <x v="35"/>
    <s v="conventional_turnover_pct_HARPed_28"/>
    <x v="68"/>
    <n v="1"/>
    <n v="1"/>
    <n v="-20"/>
    <n v="120"/>
  </r>
  <r>
    <x v="35"/>
    <s v="conventional_turnover_pct_HARPed_29"/>
    <x v="69"/>
    <n v="1"/>
    <n v="1"/>
    <n v="-20"/>
    <n v="120"/>
  </r>
  <r>
    <x v="35"/>
    <s v="conventional_turnover_pct_HARPed_30"/>
    <x v="70"/>
    <n v="1"/>
    <n v="1"/>
    <n v="-20"/>
    <n v="120"/>
  </r>
  <r>
    <x v="35"/>
    <s v="conventional_turnover_pct_HARPed_31"/>
    <x v="71"/>
    <n v="1"/>
    <n v="1"/>
    <n v="-20"/>
    <n v="120"/>
  </r>
  <r>
    <x v="35"/>
    <s v="conventional_turnover_pct_HARPed_32"/>
    <x v="72"/>
    <n v="1"/>
    <n v="1"/>
    <n v="-20"/>
    <n v="120"/>
  </r>
  <r>
    <x v="35"/>
    <s v="conventional_turnover_pct_HARPed_33"/>
    <x v="73"/>
    <n v="1"/>
    <n v="1"/>
    <n v="-20"/>
    <n v="120"/>
  </r>
  <r>
    <x v="35"/>
    <s v="conventional_turnover_pct_HARPed_34"/>
    <x v="74"/>
    <n v="1"/>
    <n v="1"/>
    <n v="-20"/>
    <n v="120"/>
  </r>
  <r>
    <x v="35"/>
    <s v="conventional_turnover_pct_HARPed_35"/>
    <x v="75"/>
    <n v="1"/>
    <n v="1"/>
    <n v="-20"/>
    <n v="120"/>
  </r>
  <r>
    <x v="35"/>
    <s v="conventional_turnover_pct_HARPed_36"/>
    <x v="76"/>
    <n v="1"/>
    <n v="1"/>
    <n v="-20"/>
    <n v="120"/>
  </r>
  <r>
    <x v="35"/>
    <s v="conventional_turnover_pct_HARPed_37"/>
    <x v="77"/>
    <n v="1"/>
    <n v="1"/>
    <n v="-20"/>
    <n v="120"/>
  </r>
  <r>
    <x v="35"/>
    <s v="conventional_turnover_pct_HARPed_38"/>
    <x v="78"/>
    <n v="1"/>
    <n v="1"/>
    <n v="-20"/>
    <n v="120"/>
  </r>
  <r>
    <x v="35"/>
    <s v="conventional_turnover_pct_HARPed_39"/>
    <x v="79"/>
    <n v="1"/>
    <n v="1"/>
    <n v="-20"/>
    <n v="120"/>
  </r>
  <r>
    <x v="35"/>
    <s v="conventional_turnover_pct_HARPed_40"/>
    <x v="80"/>
    <n v="1"/>
    <n v="1"/>
    <n v="-20"/>
    <n v="120"/>
  </r>
  <r>
    <x v="35"/>
    <s v="conventional_turnover_pct_HARPed_41"/>
    <x v="81"/>
    <n v="1"/>
    <n v="1"/>
    <n v="-20"/>
    <n v="120"/>
  </r>
  <r>
    <x v="35"/>
    <s v="conventional_turnover_pct_HARPed_42"/>
    <x v="82"/>
    <n v="1"/>
    <n v="1"/>
    <n v="-20"/>
    <n v="120"/>
  </r>
  <r>
    <x v="35"/>
    <s v="conventional_turnover_pct_HARPed_43"/>
    <x v="83"/>
    <n v="1"/>
    <n v="1"/>
    <n v="-20"/>
    <n v="120"/>
  </r>
  <r>
    <x v="35"/>
    <s v="conventional_turnover_pct_HARPed_44"/>
    <x v="84"/>
    <n v="1"/>
    <n v="1"/>
    <n v="-20"/>
    <n v="120"/>
  </r>
  <r>
    <x v="35"/>
    <s v="conventional_turnover_pct_HARPed_45"/>
    <x v="85"/>
    <n v="1"/>
    <n v="1"/>
    <n v="-20"/>
    <n v="120"/>
  </r>
  <r>
    <x v="35"/>
    <s v="conventional_turnover_pct_HARPed_46"/>
    <x v="86"/>
    <n v="1"/>
    <n v="1"/>
    <n v="-20"/>
    <n v="120"/>
  </r>
  <r>
    <x v="35"/>
    <s v="conventional_turnover_pct_HARPed_47"/>
    <x v="87"/>
    <n v="1"/>
    <n v="1"/>
    <n v="-20"/>
    <n v="120"/>
  </r>
  <r>
    <x v="35"/>
    <s v="conventional_turnover_pct_HARPed_48"/>
    <x v="88"/>
    <n v="1"/>
    <n v="1"/>
    <n v="-20"/>
    <n v="120"/>
  </r>
  <r>
    <x v="35"/>
    <s v="conventional_turnover_pct_HARPed_49"/>
    <x v="89"/>
    <n v="1"/>
    <n v="1"/>
    <n v="-20"/>
    <n v="120"/>
  </r>
  <r>
    <x v="35"/>
    <s v="conventional_turnover_pct_HARPed_50"/>
    <x v="90"/>
    <n v="1"/>
    <n v="1"/>
    <n v="-20"/>
    <n v="120"/>
  </r>
  <r>
    <x v="35"/>
    <s v="conventional_turnover_pct_HARPed_51"/>
    <x v="91"/>
    <n v="1"/>
    <n v="1"/>
    <n v="-20"/>
    <n v="120"/>
  </r>
  <r>
    <x v="35"/>
    <s v="conventional_turnover_pct_HARPed_52"/>
    <x v="92"/>
    <n v="1"/>
    <n v="1"/>
    <n v="-20"/>
    <n v="120"/>
  </r>
  <r>
    <x v="35"/>
    <s v="conventional_turnover_pct_HARPed_53"/>
    <x v="93"/>
    <n v="1"/>
    <n v="1"/>
    <n v="-20"/>
    <n v="120"/>
  </r>
  <r>
    <x v="35"/>
    <s v="conventional_turnover_pct_HARPed_54"/>
    <x v="94"/>
    <n v="1"/>
    <n v="1"/>
    <n v="-20"/>
    <n v="120"/>
  </r>
  <r>
    <x v="35"/>
    <s v="conventional_turnover_pct_HARPed_55"/>
    <x v="95"/>
    <n v="1"/>
    <n v="1"/>
    <n v="-20"/>
    <n v="120"/>
  </r>
  <r>
    <x v="35"/>
    <s v="conventional_turnover_pct_HARPed_56"/>
    <x v="96"/>
    <n v="1"/>
    <n v="1"/>
    <n v="-20"/>
    <n v="120"/>
  </r>
  <r>
    <x v="35"/>
    <s v="conventional_turnover_pct_HARPed_57"/>
    <x v="97"/>
    <n v="1"/>
    <n v="1"/>
    <n v="-20"/>
    <n v="120"/>
  </r>
  <r>
    <x v="35"/>
    <s v="conventional_turnover_pct_HARPed_58"/>
    <x v="98"/>
    <n v="1"/>
    <n v="1"/>
    <n v="-20"/>
    <n v="120"/>
  </r>
  <r>
    <x v="35"/>
    <s v="conventional_turnover_pct_HARPed_59"/>
    <x v="99"/>
    <n v="1"/>
    <n v="1"/>
    <n v="-20"/>
    <n v="120"/>
  </r>
  <r>
    <x v="35"/>
    <s v="conventional_turnover_pct_HARPed_60"/>
    <x v="100"/>
    <n v="1"/>
    <n v="1"/>
    <n v="-20"/>
    <n v="120"/>
  </r>
  <r>
    <x v="35"/>
    <s v="conventional_turnover_pct_HARPed_61"/>
    <x v="101"/>
    <n v="1"/>
    <n v="1"/>
    <n v="-20"/>
    <n v="120"/>
  </r>
  <r>
    <x v="35"/>
    <s v="conventional_turnover_pct_HARPed_62"/>
    <x v="102"/>
    <n v="1"/>
    <n v="1"/>
    <n v="-20"/>
    <n v="120"/>
  </r>
  <r>
    <x v="35"/>
    <s v="conventional_turnover_pct_HARPed_63"/>
    <x v="103"/>
    <n v="1"/>
    <n v="1"/>
    <n v="-20"/>
    <n v="120"/>
  </r>
  <r>
    <x v="35"/>
    <s v="conventional_turnover_pct_HARPed_64"/>
    <x v="104"/>
    <n v="1"/>
    <n v="1"/>
    <n v="-20"/>
    <n v="120"/>
  </r>
  <r>
    <x v="35"/>
    <s v="conventional_turnover_pct_HARPed_65"/>
    <x v="105"/>
    <n v="1"/>
    <n v="1"/>
    <n v="-20"/>
    <n v="120"/>
  </r>
  <r>
    <x v="35"/>
    <s v="conventional_turnover_pct_HARPed_66"/>
    <x v="106"/>
    <n v="1"/>
    <n v="1"/>
    <n v="-20"/>
    <n v="120"/>
  </r>
  <r>
    <x v="35"/>
    <s v="conventional_turnover_pct_HARPed_67"/>
    <x v="107"/>
    <n v="1"/>
    <n v="1"/>
    <n v="-20"/>
    <n v="120"/>
  </r>
  <r>
    <x v="35"/>
    <s v="conventional_turnover_pct_HARPed_68"/>
    <x v="108"/>
    <n v="1"/>
    <n v="1"/>
    <n v="-20"/>
    <n v="120"/>
  </r>
  <r>
    <x v="35"/>
    <s v="conventional_turnover_pct_HARPed_69"/>
    <x v="109"/>
    <n v="1"/>
    <n v="1"/>
    <n v="-20"/>
    <n v="120"/>
  </r>
  <r>
    <x v="35"/>
    <s v="conventional_turnover_pct_HARPed_70"/>
    <x v="110"/>
    <n v="1"/>
    <n v="1"/>
    <n v="-20"/>
    <n v="120"/>
  </r>
  <r>
    <x v="35"/>
    <s v="conventional_turnover_pct_HARPed_71"/>
    <x v="111"/>
    <n v="1"/>
    <n v="1"/>
    <n v="-20"/>
    <n v="120"/>
  </r>
  <r>
    <x v="35"/>
    <s v="conventional_turnover_pct_HARPed_72"/>
    <x v="112"/>
    <n v="1"/>
    <n v="1"/>
    <n v="-20"/>
    <n v="120"/>
  </r>
  <r>
    <x v="35"/>
    <s v="conventional_turnover_pct_HARPed_73"/>
    <x v="113"/>
    <n v="1"/>
    <n v="1"/>
    <n v="-20"/>
    <n v="120"/>
  </r>
  <r>
    <x v="35"/>
    <s v="conventional_turnover_pct_HARPed_74"/>
    <x v="114"/>
    <n v="1"/>
    <n v="1"/>
    <n v="-20"/>
    <n v="120"/>
  </r>
  <r>
    <x v="35"/>
    <s v="conventional_turnover_pct_HARPed_75"/>
    <x v="115"/>
    <n v="1"/>
    <n v="1"/>
    <n v="-20"/>
    <n v="120"/>
  </r>
  <r>
    <x v="35"/>
    <s v="conventional_turnover_pct_HARPed_76"/>
    <x v="116"/>
    <n v="1"/>
    <n v="1"/>
    <n v="-20"/>
    <n v="120"/>
  </r>
  <r>
    <x v="35"/>
    <s v="conventional_turnover_pct_HARPed_77"/>
    <x v="117"/>
    <n v="1"/>
    <n v="1"/>
    <n v="-20"/>
    <n v="120"/>
  </r>
  <r>
    <x v="35"/>
    <s v="conventional_turnover_pct_HARPed_78"/>
    <x v="118"/>
    <n v="1"/>
    <n v="1"/>
    <n v="-20"/>
    <n v="120"/>
  </r>
  <r>
    <x v="35"/>
    <s v="conventional_turnover_pct_HARPed_79"/>
    <x v="119"/>
    <n v="1"/>
    <n v="1"/>
    <n v="-20"/>
    <n v="120"/>
  </r>
  <r>
    <x v="35"/>
    <s v="conventional_turnover_pct_HARPed_80"/>
    <x v="120"/>
    <n v="1"/>
    <n v="1"/>
    <n v="-20"/>
    <n v="120"/>
  </r>
  <r>
    <x v="35"/>
    <s v="conventional_turnover_pct_HARPed_81"/>
    <x v="121"/>
    <n v="1"/>
    <n v="1"/>
    <n v="-20"/>
    <n v="120"/>
  </r>
  <r>
    <x v="35"/>
    <s v="conventional_turnover_pct_HARPed_82"/>
    <x v="122"/>
    <n v="1"/>
    <n v="1"/>
    <n v="-20"/>
    <n v="120"/>
  </r>
  <r>
    <x v="35"/>
    <s v="conventional_turnover_pct_HARPed_83"/>
    <x v="123"/>
    <n v="1"/>
    <n v="1"/>
    <n v="-20"/>
    <n v="120"/>
  </r>
  <r>
    <x v="35"/>
    <s v="conventional_turnover_pct_HARPed_84"/>
    <x v="124"/>
    <n v="1"/>
    <n v="1"/>
    <n v="-20"/>
    <n v="120"/>
  </r>
  <r>
    <x v="35"/>
    <s v="conventional_turnover_pct_HARPed_85"/>
    <x v="125"/>
    <n v="1"/>
    <n v="1"/>
    <n v="-20"/>
    <n v="120"/>
  </r>
  <r>
    <x v="35"/>
    <s v="conventional_turnover_pct_HARPed_86"/>
    <x v="126"/>
    <n v="1"/>
    <n v="1"/>
    <n v="-20"/>
    <n v="120"/>
  </r>
  <r>
    <x v="35"/>
    <s v="conventional_turnover_pct_HARPed_87"/>
    <x v="127"/>
    <n v="1"/>
    <n v="1"/>
    <n v="-20"/>
    <n v="120"/>
  </r>
  <r>
    <x v="35"/>
    <s v="conventional_turnover_pct_HARPed_88"/>
    <x v="128"/>
    <n v="1"/>
    <n v="1"/>
    <n v="-20"/>
    <n v="120"/>
  </r>
  <r>
    <x v="35"/>
    <s v="conventional_turnover_pct_HARPed_89"/>
    <x v="129"/>
    <n v="1"/>
    <n v="1"/>
    <n v="-20"/>
    <n v="120"/>
  </r>
  <r>
    <x v="35"/>
    <s v="conventional_turnover_pct_HARPed_90"/>
    <x v="130"/>
    <n v="1"/>
    <n v="1"/>
    <n v="-20"/>
    <n v="120"/>
  </r>
  <r>
    <x v="35"/>
    <s v="conventional_turnover_pct_HARPed_91"/>
    <x v="131"/>
    <n v="1"/>
    <n v="1"/>
    <n v="-20"/>
    <n v="120"/>
  </r>
  <r>
    <x v="35"/>
    <s v="conventional_turnover_pct_HARPed_92"/>
    <x v="132"/>
    <n v="1"/>
    <n v="1"/>
    <n v="-20"/>
    <n v="120"/>
  </r>
  <r>
    <x v="35"/>
    <s v="conventional_turnover_pct_HARPed_93"/>
    <x v="133"/>
    <n v="1"/>
    <n v="1"/>
    <n v="-20"/>
    <n v="120"/>
  </r>
  <r>
    <x v="35"/>
    <s v="conventional_turnover_pct_HARPed_94"/>
    <x v="134"/>
    <n v="1"/>
    <n v="1"/>
    <n v="-20"/>
    <n v="120"/>
  </r>
  <r>
    <x v="35"/>
    <s v="conventional_turnover_pct_HARPed_95"/>
    <x v="135"/>
    <n v="1"/>
    <n v="1"/>
    <n v="-20"/>
    <n v="120"/>
  </r>
  <r>
    <x v="35"/>
    <s v="conventional_turnover_pct_HARPed_96"/>
    <x v="136"/>
    <n v="1"/>
    <n v="1"/>
    <n v="-20"/>
    <n v="120"/>
  </r>
  <r>
    <x v="35"/>
    <s v="conventional_turnover_pct_HARPed_97"/>
    <x v="137"/>
    <n v="1"/>
    <n v="1"/>
    <n v="-20"/>
    <n v="120"/>
  </r>
  <r>
    <x v="35"/>
    <s v="conventional_turnover_pct_HARPed_98"/>
    <x v="138"/>
    <n v="1"/>
    <n v="1"/>
    <n v="-20"/>
    <n v="120"/>
  </r>
  <r>
    <x v="35"/>
    <s v="conventional_turnover_pct_HARPed_99"/>
    <x v="139"/>
    <n v="1"/>
    <n v="1"/>
    <n v="-20"/>
    <n v="120"/>
  </r>
  <r>
    <x v="35"/>
    <s v="conventional_turnover_pct_HARPed_100"/>
    <x v="140"/>
    <n v="1"/>
    <n v="1"/>
    <n v="-20"/>
    <n v="120"/>
  </r>
  <r>
    <x v="35"/>
    <s v="conventional_turnover_pct_HARPed_101"/>
    <x v="141"/>
    <n v="1"/>
    <n v="1"/>
    <n v="-20"/>
    <n v="120"/>
  </r>
  <r>
    <x v="35"/>
    <s v="conventional_turnover_pct_HARPed_102"/>
    <x v="142"/>
    <n v="1"/>
    <n v="1"/>
    <n v="-20"/>
    <n v="120"/>
  </r>
  <r>
    <x v="35"/>
    <s v="conventional_turnover_pct_HARPed_103"/>
    <x v="143"/>
    <n v="1"/>
    <n v="1"/>
    <n v="-20"/>
    <n v="120"/>
  </r>
  <r>
    <x v="35"/>
    <s v="conventional_turnover_pct_HARPed_104"/>
    <x v="144"/>
    <n v="1"/>
    <n v="1"/>
    <n v="-20"/>
    <n v="120"/>
  </r>
  <r>
    <x v="35"/>
    <s v="conventional_turnover_pct_HARPed_105"/>
    <x v="145"/>
    <n v="1"/>
    <n v="1"/>
    <n v="-20"/>
    <n v="120"/>
  </r>
  <r>
    <x v="35"/>
    <s v="conventional_turnover_pct_HARPed_106"/>
    <x v="146"/>
    <n v="1"/>
    <n v="1"/>
    <n v="-20"/>
    <n v="120"/>
  </r>
  <r>
    <x v="35"/>
    <s v="conventional_turnover_pct_HARPed_107"/>
    <x v="147"/>
    <n v="1"/>
    <n v="1"/>
    <n v="-20"/>
    <n v="120"/>
  </r>
  <r>
    <x v="35"/>
    <s v="conventional_turnover_pct_HARPed_108"/>
    <x v="148"/>
    <n v="1"/>
    <n v="1"/>
    <n v="-20"/>
    <n v="120"/>
  </r>
  <r>
    <x v="35"/>
    <s v="conventional_turnover_pct_HARPed_109"/>
    <x v="149"/>
    <n v="1"/>
    <n v="1"/>
    <n v="-20"/>
    <n v="120"/>
  </r>
  <r>
    <x v="35"/>
    <s v="conventional_turnover_pct_HARPed_110"/>
    <x v="150"/>
    <n v="1"/>
    <n v="1"/>
    <n v="-20"/>
    <n v="120"/>
  </r>
  <r>
    <x v="35"/>
    <s v="conventional_turnover_pct_HARPed_111"/>
    <x v="151"/>
    <n v="1"/>
    <n v="1"/>
    <n v="-20"/>
    <n v="120"/>
  </r>
  <r>
    <x v="35"/>
    <s v="conventional_turnover_pct_HARPed_112"/>
    <x v="152"/>
    <n v="1"/>
    <n v="1"/>
    <n v="-20"/>
    <n v="120"/>
  </r>
  <r>
    <x v="35"/>
    <s v="conventional_turnover_pct_HARPed_113"/>
    <x v="153"/>
    <n v="1"/>
    <n v="1"/>
    <n v="-20"/>
    <n v="120"/>
  </r>
  <r>
    <x v="35"/>
    <s v="conventional_turnover_pct_HARPed_114"/>
    <x v="154"/>
    <n v="1"/>
    <n v="1"/>
    <n v="-20"/>
    <n v="120"/>
  </r>
  <r>
    <x v="35"/>
    <s v="conventional_turnover_pct_HARPed_115"/>
    <x v="155"/>
    <n v="1"/>
    <n v="1"/>
    <n v="-20"/>
    <n v="120"/>
  </r>
  <r>
    <x v="35"/>
    <s v="conventional_turnover_pct_HARPed_116"/>
    <x v="156"/>
    <n v="1"/>
    <n v="1"/>
    <n v="-20"/>
    <n v="120"/>
  </r>
  <r>
    <x v="35"/>
    <s v="conventional_turnover_pct_HARPed_117"/>
    <x v="157"/>
    <n v="1"/>
    <n v="1"/>
    <n v="-20"/>
    <n v="120"/>
  </r>
  <r>
    <x v="35"/>
    <s v="conventional_turnover_pct_HARPed_118"/>
    <x v="158"/>
    <n v="1"/>
    <n v="1"/>
    <n v="-20"/>
    <n v="120"/>
  </r>
  <r>
    <x v="35"/>
    <s v="conventional_turnover_pct_HARPed_119"/>
    <x v="159"/>
    <n v="1"/>
    <n v="1"/>
    <n v="-20"/>
    <n v="120"/>
  </r>
  <r>
    <x v="35"/>
    <s v="conventional_turnover_pct_HARPed_120"/>
    <x v="160"/>
    <n v="1"/>
    <n v="1"/>
    <n v="-20"/>
    <n v="120"/>
  </r>
  <r>
    <x v="36"/>
    <s v="conventional_turnover_HARP_eligible_-20"/>
    <x v="20"/>
    <n v="1"/>
    <n v="1"/>
    <n v="-20"/>
    <n v="120"/>
  </r>
  <r>
    <x v="36"/>
    <s v="conventional_turnover_HARP_eligible_-19"/>
    <x v="21"/>
    <n v="1"/>
    <n v="1"/>
    <n v="-20"/>
    <n v="120"/>
  </r>
  <r>
    <x v="36"/>
    <s v="conventional_turnover_HARP_eligible_-18"/>
    <x v="22"/>
    <n v="1"/>
    <n v="1"/>
    <n v="-20"/>
    <n v="120"/>
  </r>
  <r>
    <x v="36"/>
    <s v="conventional_turnover_HARP_eligible_-17"/>
    <x v="23"/>
    <n v="1"/>
    <n v="1"/>
    <n v="-20"/>
    <n v="120"/>
  </r>
  <r>
    <x v="36"/>
    <s v="conventional_turnover_HARP_eligible_-16"/>
    <x v="24"/>
    <n v="1"/>
    <n v="1"/>
    <n v="-20"/>
    <n v="120"/>
  </r>
  <r>
    <x v="36"/>
    <s v="conventional_turnover_HARP_eligible_-15"/>
    <x v="25"/>
    <n v="1"/>
    <n v="1"/>
    <n v="-20"/>
    <n v="120"/>
  </r>
  <r>
    <x v="36"/>
    <s v="conventional_turnover_HARP_eligible_-14"/>
    <x v="26"/>
    <n v="1"/>
    <n v="1"/>
    <n v="-20"/>
    <n v="120"/>
  </r>
  <r>
    <x v="36"/>
    <s v="conventional_turnover_HARP_eligible_-13"/>
    <x v="27"/>
    <n v="1"/>
    <n v="1"/>
    <n v="-20"/>
    <n v="120"/>
  </r>
  <r>
    <x v="36"/>
    <s v="conventional_turnover_HARP_eligible_-12"/>
    <x v="28"/>
    <n v="1"/>
    <n v="1"/>
    <n v="-20"/>
    <n v="120"/>
  </r>
  <r>
    <x v="36"/>
    <s v="conventional_turnover_HARP_eligible_-11"/>
    <x v="29"/>
    <n v="1"/>
    <n v="1"/>
    <n v="-20"/>
    <n v="120"/>
  </r>
  <r>
    <x v="36"/>
    <s v="conventional_turnover_HARP_eligible_-10"/>
    <x v="30"/>
    <n v="1"/>
    <n v="1"/>
    <n v="-20"/>
    <n v="120"/>
  </r>
  <r>
    <x v="36"/>
    <s v="conventional_turnover_HARP_eligible_-9"/>
    <x v="31"/>
    <n v="1"/>
    <n v="1"/>
    <n v="-20"/>
    <n v="120"/>
  </r>
  <r>
    <x v="36"/>
    <s v="conventional_turnover_HARP_eligible_-8"/>
    <x v="32"/>
    <n v="1"/>
    <n v="1"/>
    <n v="-20"/>
    <n v="120"/>
  </r>
  <r>
    <x v="36"/>
    <s v="conventional_turnover_HARP_eligible_-7"/>
    <x v="33"/>
    <n v="1"/>
    <n v="1"/>
    <n v="-20"/>
    <n v="120"/>
  </r>
  <r>
    <x v="36"/>
    <s v="conventional_turnover_HARP_eligible_-6"/>
    <x v="34"/>
    <n v="1"/>
    <n v="1"/>
    <n v="-20"/>
    <n v="120"/>
  </r>
  <r>
    <x v="36"/>
    <s v="conventional_turnover_HARP_eligible_-5"/>
    <x v="35"/>
    <n v="1"/>
    <n v="1"/>
    <n v="-20"/>
    <n v="120"/>
  </r>
  <r>
    <x v="36"/>
    <s v="conventional_turnover_HARP_eligible_-4"/>
    <x v="36"/>
    <n v="1"/>
    <n v="1"/>
    <n v="-20"/>
    <n v="120"/>
  </r>
  <r>
    <x v="36"/>
    <s v="conventional_turnover_HARP_eligible_-3"/>
    <x v="37"/>
    <n v="1"/>
    <n v="1"/>
    <n v="-20"/>
    <n v="120"/>
  </r>
  <r>
    <x v="36"/>
    <s v="conventional_turnover_HARP_eligible_-2"/>
    <x v="38"/>
    <n v="1"/>
    <n v="1"/>
    <n v="-20"/>
    <n v="120"/>
  </r>
  <r>
    <x v="36"/>
    <s v="conventional_turnover_HARP_eligible_-1"/>
    <x v="39"/>
    <n v="1"/>
    <n v="1"/>
    <n v="-20"/>
    <n v="120"/>
  </r>
  <r>
    <x v="36"/>
    <s v="conventional_turnover_HARP_eligible_0"/>
    <x v="40"/>
    <n v="1"/>
    <n v="1"/>
    <n v="-20"/>
    <n v="120"/>
  </r>
  <r>
    <x v="36"/>
    <s v="conventional_turnover_HARP_eligible_1"/>
    <x v="41"/>
    <n v="1"/>
    <n v="1"/>
    <n v="-20"/>
    <n v="120"/>
  </r>
  <r>
    <x v="36"/>
    <s v="conventional_turnover_HARP_eligible_2"/>
    <x v="42"/>
    <n v="1"/>
    <n v="1"/>
    <n v="-20"/>
    <n v="120"/>
  </r>
  <r>
    <x v="36"/>
    <s v="conventional_turnover_HARP_eligible_3"/>
    <x v="43"/>
    <n v="1"/>
    <n v="1"/>
    <n v="-20"/>
    <n v="120"/>
  </r>
  <r>
    <x v="36"/>
    <s v="conventional_turnover_HARP_eligible_4"/>
    <x v="44"/>
    <n v="1"/>
    <n v="1"/>
    <n v="-20"/>
    <n v="120"/>
  </r>
  <r>
    <x v="36"/>
    <s v="conventional_turnover_HARP_eligible_5"/>
    <x v="45"/>
    <n v="1"/>
    <n v="1"/>
    <n v="-20"/>
    <n v="120"/>
  </r>
  <r>
    <x v="36"/>
    <s v="conventional_turnover_HARP_eligible_6"/>
    <x v="46"/>
    <n v="1"/>
    <n v="1"/>
    <n v="-20"/>
    <n v="120"/>
  </r>
  <r>
    <x v="36"/>
    <s v="conventional_turnover_HARP_eligible_7"/>
    <x v="47"/>
    <n v="1"/>
    <n v="1"/>
    <n v="-20"/>
    <n v="120"/>
  </r>
  <r>
    <x v="36"/>
    <s v="conventional_turnover_HARP_eligible_8"/>
    <x v="48"/>
    <n v="1"/>
    <n v="1"/>
    <n v="-20"/>
    <n v="120"/>
  </r>
  <r>
    <x v="36"/>
    <s v="conventional_turnover_HARP_eligible_9"/>
    <x v="49"/>
    <n v="1"/>
    <n v="1"/>
    <n v="-20"/>
    <n v="120"/>
  </r>
  <r>
    <x v="36"/>
    <s v="conventional_turnover_HARP_eligible_10"/>
    <x v="50"/>
    <n v="1"/>
    <n v="1"/>
    <n v="-20"/>
    <n v="120"/>
  </r>
  <r>
    <x v="36"/>
    <s v="conventional_turnover_HARP_eligible_11"/>
    <x v="51"/>
    <n v="1"/>
    <n v="1"/>
    <n v="-20"/>
    <n v="120"/>
  </r>
  <r>
    <x v="36"/>
    <s v="conventional_turnover_HARP_eligible_12"/>
    <x v="52"/>
    <n v="1"/>
    <n v="1"/>
    <n v="-20"/>
    <n v="120"/>
  </r>
  <r>
    <x v="36"/>
    <s v="conventional_turnover_HARP_eligible_13"/>
    <x v="53"/>
    <n v="1"/>
    <n v="1"/>
    <n v="-20"/>
    <n v="120"/>
  </r>
  <r>
    <x v="36"/>
    <s v="conventional_turnover_HARP_eligible_14"/>
    <x v="54"/>
    <n v="1"/>
    <n v="1"/>
    <n v="-20"/>
    <n v="120"/>
  </r>
  <r>
    <x v="36"/>
    <s v="conventional_turnover_HARP_eligible_15"/>
    <x v="55"/>
    <n v="1"/>
    <n v="1"/>
    <n v="-20"/>
    <n v="120"/>
  </r>
  <r>
    <x v="36"/>
    <s v="conventional_turnover_HARP_eligible_16"/>
    <x v="56"/>
    <n v="1"/>
    <n v="1"/>
    <n v="-20"/>
    <n v="120"/>
  </r>
  <r>
    <x v="36"/>
    <s v="conventional_turnover_HARP_eligible_17"/>
    <x v="57"/>
    <n v="1"/>
    <n v="1"/>
    <n v="-20"/>
    <n v="120"/>
  </r>
  <r>
    <x v="36"/>
    <s v="conventional_turnover_HARP_eligible_18"/>
    <x v="58"/>
    <n v="1"/>
    <n v="1"/>
    <n v="-20"/>
    <n v="120"/>
  </r>
  <r>
    <x v="36"/>
    <s v="conventional_turnover_HARP_eligible_19"/>
    <x v="59"/>
    <n v="1"/>
    <n v="1"/>
    <n v="-20"/>
    <n v="120"/>
  </r>
  <r>
    <x v="36"/>
    <s v="conventional_turnover_HARP_eligible_20"/>
    <x v="60"/>
    <n v="1"/>
    <n v="1"/>
    <n v="-20"/>
    <n v="120"/>
  </r>
  <r>
    <x v="36"/>
    <s v="conventional_turnover_HARP_eligible_21"/>
    <x v="61"/>
    <n v="1"/>
    <n v="1"/>
    <n v="-20"/>
    <n v="120"/>
  </r>
  <r>
    <x v="36"/>
    <s v="conventional_turnover_HARP_eligible_22"/>
    <x v="62"/>
    <n v="1"/>
    <n v="1"/>
    <n v="-20"/>
    <n v="120"/>
  </r>
  <r>
    <x v="36"/>
    <s v="conventional_turnover_HARP_eligible_23"/>
    <x v="63"/>
    <n v="1"/>
    <n v="1"/>
    <n v="-20"/>
    <n v="120"/>
  </r>
  <r>
    <x v="36"/>
    <s v="conventional_turnover_HARP_eligible_24"/>
    <x v="64"/>
    <n v="1"/>
    <n v="1"/>
    <n v="-20"/>
    <n v="120"/>
  </r>
  <r>
    <x v="36"/>
    <s v="conventional_turnover_HARP_eligible_25"/>
    <x v="65"/>
    <n v="1"/>
    <n v="1"/>
    <n v="-20"/>
    <n v="120"/>
  </r>
  <r>
    <x v="36"/>
    <s v="conventional_turnover_HARP_eligible_26"/>
    <x v="66"/>
    <n v="1"/>
    <n v="1"/>
    <n v="-20"/>
    <n v="120"/>
  </r>
  <r>
    <x v="36"/>
    <s v="conventional_turnover_HARP_eligible_27"/>
    <x v="67"/>
    <n v="1"/>
    <n v="1"/>
    <n v="-20"/>
    <n v="120"/>
  </r>
  <r>
    <x v="36"/>
    <s v="conventional_turnover_HARP_eligible_28"/>
    <x v="68"/>
    <n v="1"/>
    <n v="1"/>
    <n v="-20"/>
    <n v="120"/>
  </r>
  <r>
    <x v="36"/>
    <s v="conventional_turnover_HARP_eligible_29"/>
    <x v="69"/>
    <n v="1"/>
    <n v="1"/>
    <n v="-20"/>
    <n v="120"/>
  </r>
  <r>
    <x v="36"/>
    <s v="conventional_turnover_HARP_eligible_30"/>
    <x v="70"/>
    <n v="1"/>
    <n v="1"/>
    <n v="-20"/>
    <n v="120"/>
  </r>
  <r>
    <x v="36"/>
    <s v="conventional_turnover_HARP_eligible_31"/>
    <x v="71"/>
    <n v="1"/>
    <n v="1"/>
    <n v="-20"/>
    <n v="120"/>
  </r>
  <r>
    <x v="36"/>
    <s v="conventional_turnover_HARP_eligible_32"/>
    <x v="72"/>
    <n v="1"/>
    <n v="1"/>
    <n v="-20"/>
    <n v="120"/>
  </r>
  <r>
    <x v="36"/>
    <s v="conventional_turnover_HARP_eligible_33"/>
    <x v="73"/>
    <n v="1"/>
    <n v="1"/>
    <n v="-20"/>
    <n v="120"/>
  </r>
  <r>
    <x v="36"/>
    <s v="conventional_turnover_HARP_eligible_34"/>
    <x v="74"/>
    <n v="1"/>
    <n v="1"/>
    <n v="-20"/>
    <n v="120"/>
  </r>
  <r>
    <x v="36"/>
    <s v="conventional_turnover_HARP_eligible_35"/>
    <x v="75"/>
    <n v="1"/>
    <n v="1"/>
    <n v="-20"/>
    <n v="120"/>
  </r>
  <r>
    <x v="36"/>
    <s v="conventional_turnover_HARP_eligible_36"/>
    <x v="76"/>
    <n v="1"/>
    <n v="1"/>
    <n v="-20"/>
    <n v="120"/>
  </r>
  <r>
    <x v="36"/>
    <s v="conventional_turnover_HARP_eligible_37"/>
    <x v="77"/>
    <n v="1"/>
    <n v="1"/>
    <n v="-20"/>
    <n v="120"/>
  </r>
  <r>
    <x v="36"/>
    <s v="conventional_turnover_HARP_eligible_38"/>
    <x v="78"/>
    <n v="1"/>
    <n v="1"/>
    <n v="-20"/>
    <n v="120"/>
  </r>
  <r>
    <x v="36"/>
    <s v="conventional_turnover_HARP_eligible_39"/>
    <x v="79"/>
    <n v="1"/>
    <n v="1"/>
    <n v="-20"/>
    <n v="120"/>
  </r>
  <r>
    <x v="36"/>
    <s v="conventional_turnover_HARP_eligible_40"/>
    <x v="80"/>
    <n v="1"/>
    <n v="1"/>
    <n v="-20"/>
    <n v="120"/>
  </r>
  <r>
    <x v="36"/>
    <s v="conventional_turnover_HARP_eligible_41"/>
    <x v="81"/>
    <n v="1"/>
    <n v="1"/>
    <n v="-20"/>
    <n v="120"/>
  </r>
  <r>
    <x v="36"/>
    <s v="conventional_turnover_HARP_eligible_42"/>
    <x v="82"/>
    <n v="1"/>
    <n v="1"/>
    <n v="-20"/>
    <n v="120"/>
  </r>
  <r>
    <x v="36"/>
    <s v="conventional_turnover_HARP_eligible_43"/>
    <x v="83"/>
    <n v="1"/>
    <n v="1"/>
    <n v="-20"/>
    <n v="120"/>
  </r>
  <r>
    <x v="36"/>
    <s v="conventional_turnover_HARP_eligible_44"/>
    <x v="84"/>
    <n v="1"/>
    <n v="1"/>
    <n v="-20"/>
    <n v="120"/>
  </r>
  <r>
    <x v="36"/>
    <s v="conventional_turnover_HARP_eligible_45"/>
    <x v="85"/>
    <n v="1"/>
    <n v="1"/>
    <n v="-20"/>
    <n v="120"/>
  </r>
  <r>
    <x v="36"/>
    <s v="conventional_turnover_HARP_eligible_46"/>
    <x v="86"/>
    <n v="1"/>
    <n v="1"/>
    <n v="-20"/>
    <n v="120"/>
  </r>
  <r>
    <x v="36"/>
    <s v="conventional_turnover_HARP_eligible_47"/>
    <x v="87"/>
    <n v="1"/>
    <n v="1"/>
    <n v="-20"/>
    <n v="120"/>
  </r>
  <r>
    <x v="36"/>
    <s v="conventional_turnover_HARP_eligible_48"/>
    <x v="88"/>
    <n v="1"/>
    <n v="1"/>
    <n v="-20"/>
    <n v="120"/>
  </r>
  <r>
    <x v="36"/>
    <s v="conventional_turnover_HARP_eligible_49"/>
    <x v="89"/>
    <n v="1"/>
    <n v="1"/>
    <n v="-20"/>
    <n v="120"/>
  </r>
  <r>
    <x v="36"/>
    <s v="conventional_turnover_HARP_eligible_50"/>
    <x v="90"/>
    <n v="1"/>
    <n v="1"/>
    <n v="-20"/>
    <n v="120"/>
  </r>
  <r>
    <x v="36"/>
    <s v="conventional_turnover_HARP_eligible_51"/>
    <x v="91"/>
    <n v="1"/>
    <n v="1"/>
    <n v="-20"/>
    <n v="120"/>
  </r>
  <r>
    <x v="36"/>
    <s v="conventional_turnover_HARP_eligible_52"/>
    <x v="92"/>
    <n v="1"/>
    <n v="1"/>
    <n v="-20"/>
    <n v="120"/>
  </r>
  <r>
    <x v="36"/>
    <s v="conventional_turnover_HARP_eligible_53"/>
    <x v="93"/>
    <n v="1"/>
    <n v="1"/>
    <n v="-20"/>
    <n v="120"/>
  </r>
  <r>
    <x v="36"/>
    <s v="conventional_turnover_HARP_eligible_54"/>
    <x v="94"/>
    <n v="1"/>
    <n v="1"/>
    <n v="-20"/>
    <n v="120"/>
  </r>
  <r>
    <x v="36"/>
    <s v="conventional_turnover_HARP_eligible_55"/>
    <x v="95"/>
    <n v="1"/>
    <n v="1"/>
    <n v="-20"/>
    <n v="120"/>
  </r>
  <r>
    <x v="36"/>
    <s v="conventional_turnover_HARP_eligible_56"/>
    <x v="96"/>
    <n v="1"/>
    <n v="1"/>
    <n v="-20"/>
    <n v="120"/>
  </r>
  <r>
    <x v="36"/>
    <s v="conventional_turnover_HARP_eligible_57"/>
    <x v="97"/>
    <n v="1"/>
    <n v="1"/>
    <n v="-20"/>
    <n v="120"/>
  </r>
  <r>
    <x v="36"/>
    <s v="conventional_turnover_HARP_eligible_58"/>
    <x v="98"/>
    <n v="1"/>
    <n v="1"/>
    <n v="-20"/>
    <n v="120"/>
  </r>
  <r>
    <x v="36"/>
    <s v="conventional_turnover_HARP_eligible_59"/>
    <x v="99"/>
    <n v="1"/>
    <n v="1"/>
    <n v="-20"/>
    <n v="120"/>
  </r>
  <r>
    <x v="36"/>
    <s v="conventional_turnover_HARP_eligible_60"/>
    <x v="100"/>
    <n v="1"/>
    <n v="1"/>
    <n v="-20"/>
    <n v="120"/>
  </r>
  <r>
    <x v="36"/>
    <s v="conventional_turnover_HARP_eligible_61"/>
    <x v="101"/>
    <n v="1"/>
    <n v="1"/>
    <n v="-20"/>
    <n v="120"/>
  </r>
  <r>
    <x v="36"/>
    <s v="conventional_turnover_HARP_eligible_62"/>
    <x v="102"/>
    <n v="1"/>
    <n v="1"/>
    <n v="-20"/>
    <n v="120"/>
  </r>
  <r>
    <x v="36"/>
    <s v="conventional_turnover_HARP_eligible_63"/>
    <x v="103"/>
    <n v="1"/>
    <n v="1"/>
    <n v="-20"/>
    <n v="120"/>
  </r>
  <r>
    <x v="36"/>
    <s v="conventional_turnover_HARP_eligible_64"/>
    <x v="104"/>
    <n v="1"/>
    <n v="1"/>
    <n v="-20"/>
    <n v="120"/>
  </r>
  <r>
    <x v="36"/>
    <s v="conventional_turnover_HARP_eligible_65"/>
    <x v="105"/>
    <n v="1"/>
    <n v="1"/>
    <n v="-20"/>
    <n v="120"/>
  </r>
  <r>
    <x v="36"/>
    <s v="conventional_turnover_HARP_eligible_66"/>
    <x v="106"/>
    <n v="1"/>
    <n v="1"/>
    <n v="-20"/>
    <n v="120"/>
  </r>
  <r>
    <x v="36"/>
    <s v="conventional_turnover_HARP_eligible_67"/>
    <x v="107"/>
    <n v="1"/>
    <n v="1"/>
    <n v="-20"/>
    <n v="120"/>
  </r>
  <r>
    <x v="36"/>
    <s v="conventional_turnover_HARP_eligible_68"/>
    <x v="108"/>
    <n v="1"/>
    <n v="1"/>
    <n v="-20"/>
    <n v="120"/>
  </r>
  <r>
    <x v="36"/>
    <s v="conventional_turnover_HARP_eligible_69"/>
    <x v="109"/>
    <n v="1"/>
    <n v="1"/>
    <n v="-20"/>
    <n v="120"/>
  </r>
  <r>
    <x v="36"/>
    <s v="conventional_turnover_HARP_eligible_70"/>
    <x v="110"/>
    <n v="1"/>
    <n v="1"/>
    <n v="-20"/>
    <n v="120"/>
  </r>
  <r>
    <x v="36"/>
    <s v="conventional_turnover_HARP_eligible_71"/>
    <x v="111"/>
    <n v="1"/>
    <n v="1"/>
    <n v="-20"/>
    <n v="120"/>
  </r>
  <r>
    <x v="36"/>
    <s v="conventional_turnover_HARP_eligible_72"/>
    <x v="112"/>
    <n v="1"/>
    <n v="1"/>
    <n v="-20"/>
    <n v="120"/>
  </r>
  <r>
    <x v="36"/>
    <s v="conventional_turnover_HARP_eligible_73"/>
    <x v="113"/>
    <n v="1"/>
    <n v="1"/>
    <n v="-20"/>
    <n v="120"/>
  </r>
  <r>
    <x v="36"/>
    <s v="conventional_turnover_HARP_eligible_74"/>
    <x v="114"/>
    <n v="1"/>
    <n v="1"/>
    <n v="-20"/>
    <n v="120"/>
  </r>
  <r>
    <x v="36"/>
    <s v="conventional_turnover_HARP_eligible_75"/>
    <x v="115"/>
    <n v="1"/>
    <n v="1"/>
    <n v="-20"/>
    <n v="120"/>
  </r>
  <r>
    <x v="36"/>
    <s v="conventional_turnover_HARP_eligible_76"/>
    <x v="116"/>
    <n v="1"/>
    <n v="1"/>
    <n v="-20"/>
    <n v="120"/>
  </r>
  <r>
    <x v="36"/>
    <s v="conventional_turnover_HARP_eligible_77"/>
    <x v="117"/>
    <n v="1"/>
    <n v="1"/>
    <n v="-20"/>
    <n v="120"/>
  </r>
  <r>
    <x v="36"/>
    <s v="conventional_turnover_HARP_eligible_78"/>
    <x v="118"/>
    <n v="1"/>
    <n v="1"/>
    <n v="-20"/>
    <n v="120"/>
  </r>
  <r>
    <x v="36"/>
    <s v="conventional_turnover_HARP_eligible_79"/>
    <x v="119"/>
    <n v="1"/>
    <n v="1"/>
    <n v="-20"/>
    <n v="120"/>
  </r>
  <r>
    <x v="36"/>
    <s v="conventional_turnover_HARP_eligible_80"/>
    <x v="120"/>
    <n v="1"/>
    <n v="1"/>
    <n v="-20"/>
    <n v="120"/>
  </r>
  <r>
    <x v="36"/>
    <s v="conventional_turnover_HARP_eligible_81"/>
    <x v="121"/>
    <n v="1"/>
    <n v="1"/>
    <n v="-20"/>
    <n v="120"/>
  </r>
  <r>
    <x v="36"/>
    <s v="conventional_turnover_HARP_eligible_82"/>
    <x v="122"/>
    <n v="1"/>
    <n v="1"/>
    <n v="-20"/>
    <n v="120"/>
  </r>
  <r>
    <x v="36"/>
    <s v="conventional_turnover_HARP_eligible_83"/>
    <x v="123"/>
    <n v="1"/>
    <n v="1"/>
    <n v="-20"/>
    <n v="120"/>
  </r>
  <r>
    <x v="36"/>
    <s v="conventional_turnover_HARP_eligible_84"/>
    <x v="124"/>
    <n v="1"/>
    <n v="1"/>
    <n v="-20"/>
    <n v="120"/>
  </r>
  <r>
    <x v="36"/>
    <s v="conventional_turnover_HARP_eligible_85"/>
    <x v="125"/>
    <n v="1"/>
    <n v="1"/>
    <n v="-20"/>
    <n v="120"/>
  </r>
  <r>
    <x v="36"/>
    <s v="conventional_turnover_HARP_eligible_86"/>
    <x v="126"/>
    <n v="1"/>
    <n v="1"/>
    <n v="-20"/>
    <n v="120"/>
  </r>
  <r>
    <x v="36"/>
    <s v="conventional_turnover_HARP_eligible_87"/>
    <x v="127"/>
    <n v="1"/>
    <n v="1"/>
    <n v="-20"/>
    <n v="120"/>
  </r>
  <r>
    <x v="36"/>
    <s v="conventional_turnover_HARP_eligible_88"/>
    <x v="128"/>
    <n v="1"/>
    <n v="1"/>
    <n v="-20"/>
    <n v="120"/>
  </r>
  <r>
    <x v="36"/>
    <s v="conventional_turnover_HARP_eligible_89"/>
    <x v="129"/>
    <n v="1"/>
    <n v="1"/>
    <n v="-20"/>
    <n v="120"/>
  </r>
  <r>
    <x v="36"/>
    <s v="conventional_turnover_HARP_eligible_90"/>
    <x v="130"/>
    <n v="1"/>
    <n v="1"/>
    <n v="-20"/>
    <n v="120"/>
  </r>
  <r>
    <x v="36"/>
    <s v="conventional_turnover_HARP_eligible_91"/>
    <x v="131"/>
    <n v="1"/>
    <n v="1"/>
    <n v="-20"/>
    <n v="120"/>
  </r>
  <r>
    <x v="36"/>
    <s v="conventional_turnover_HARP_eligible_92"/>
    <x v="132"/>
    <n v="1"/>
    <n v="1"/>
    <n v="-20"/>
    <n v="120"/>
  </r>
  <r>
    <x v="36"/>
    <s v="conventional_turnover_HARP_eligible_93"/>
    <x v="133"/>
    <n v="1"/>
    <n v="1"/>
    <n v="-20"/>
    <n v="120"/>
  </r>
  <r>
    <x v="36"/>
    <s v="conventional_turnover_HARP_eligible_94"/>
    <x v="134"/>
    <n v="1"/>
    <n v="1"/>
    <n v="-20"/>
    <n v="120"/>
  </r>
  <r>
    <x v="36"/>
    <s v="conventional_turnover_HARP_eligible_95"/>
    <x v="135"/>
    <n v="1"/>
    <n v="1"/>
    <n v="-20"/>
    <n v="120"/>
  </r>
  <r>
    <x v="36"/>
    <s v="conventional_turnover_HARP_eligible_96"/>
    <x v="136"/>
    <n v="1"/>
    <n v="1"/>
    <n v="-20"/>
    <n v="120"/>
  </r>
  <r>
    <x v="36"/>
    <s v="conventional_turnover_HARP_eligible_97"/>
    <x v="137"/>
    <n v="1"/>
    <n v="1"/>
    <n v="-20"/>
    <n v="120"/>
  </r>
  <r>
    <x v="36"/>
    <s v="conventional_turnover_HARP_eligible_98"/>
    <x v="138"/>
    <n v="1"/>
    <n v="1"/>
    <n v="-20"/>
    <n v="120"/>
  </r>
  <r>
    <x v="36"/>
    <s v="conventional_turnover_HARP_eligible_99"/>
    <x v="139"/>
    <n v="1"/>
    <n v="1"/>
    <n v="-20"/>
    <n v="120"/>
  </r>
  <r>
    <x v="36"/>
    <s v="conventional_turnover_HARP_eligible_100"/>
    <x v="140"/>
    <n v="1"/>
    <n v="1"/>
    <n v="-20"/>
    <n v="120"/>
  </r>
  <r>
    <x v="36"/>
    <s v="conventional_turnover_HARP_eligible_101"/>
    <x v="141"/>
    <n v="1"/>
    <n v="1"/>
    <n v="-20"/>
    <n v="120"/>
  </r>
  <r>
    <x v="36"/>
    <s v="conventional_turnover_HARP_eligible_102"/>
    <x v="142"/>
    <n v="1"/>
    <n v="1"/>
    <n v="-20"/>
    <n v="120"/>
  </r>
  <r>
    <x v="36"/>
    <s v="conventional_turnover_HARP_eligible_103"/>
    <x v="143"/>
    <n v="1"/>
    <n v="1"/>
    <n v="-20"/>
    <n v="120"/>
  </r>
  <r>
    <x v="36"/>
    <s v="conventional_turnover_HARP_eligible_104"/>
    <x v="144"/>
    <n v="1"/>
    <n v="1"/>
    <n v="-20"/>
    <n v="120"/>
  </r>
  <r>
    <x v="36"/>
    <s v="conventional_turnover_HARP_eligible_105"/>
    <x v="145"/>
    <n v="1"/>
    <n v="1"/>
    <n v="-20"/>
    <n v="120"/>
  </r>
  <r>
    <x v="36"/>
    <s v="conventional_turnover_HARP_eligible_106"/>
    <x v="146"/>
    <n v="1"/>
    <n v="1"/>
    <n v="-20"/>
    <n v="120"/>
  </r>
  <r>
    <x v="36"/>
    <s v="conventional_turnover_HARP_eligible_107"/>
    <x v="147"/>
    <n v="1"/>
    <n v="1"/>
    <n v="-20"/>
    <n v="120"/>
  </r>
  <r>
    <x v="36"/>
    <s v="conventional_turnover_HARP_eligible_108"/>
    <x v="148"/>
    <n v="1"/>
    <n v="1"/>
    <n v="-20"/>
    <n v="120"/>
  </r>
  <r>
    <x v="36"/>
    <s v="conventional_turnover_HARP_eligible_109"/>
    <x v="149"/>
    <n v="1"/>
    <n v="1"/>
    <n v="-20"/>
    <n v="120"/>
  </r>
  <r>
    <x v="36"/>
    <s v="conventional_turnover_HARP_eligible_110"/>
    <x v="150"/>
    <n v="1"/>
    <n v="1"/>
    <n v="-20"/>
    <n v="120"/>
  </r>
  <r>
    <x v="36"/>
    <s v="conventional_turnover_HARP_eligible_111"/>
    <x v="151"/>
    <n v="1"/>
    <n v="1"/>
    <n v="-20"/>
    <n v="120"/>
  </r>
  <r>
    <x v="36"/>
    <s v="conventional_turnover_HARP_eligible_112"/>
    <x v="152"/>
    <n v="1"/>
    <n v="1"/>
    <n v="-20"/>
    <n v="120"/>
  </r>
  <r>
    <x v="36"/>
    <s v="conventional_turnover_HARP_eligible_113"/>
    <x v="153"/>
    <n v="1"/>
    <n v="1"/>
    <n v="-20"/>
    <n v="120"/>
  </r>
  <r>
    <x v="36"/>
    <s v="conventional_turnover_HARP_eligible_114"/>
    <x v="154"/>
    <n v="1"/>
    <n v="1"/>
    <n v="-20"/>
    <n v="120"/>
  </r>
  <r>
    <x v="36"/>
    <s v="conventional_turnover_HARP_eligible_115"/>
    <x v="155"/>
    <n v="1"/>
    <n v="1"/>
    <n v="-20"/>
    <n v="120"/>
  </r>
  <r>
    <x v="36"/>
    <s v="conventional_turnover_HARP_eligible_116"/>
    <x v="156"/>
    <n v="1"/>
    <n v="1"/>
    <n v="-20"/>
    <n v="120"/>
  </r>
  <r>
    <x v="36"/>
    <s v="conventional_turnover_HARP_eligible_117"/>
    <x v="157"/>
    <n v="1"/>
    <n v="1"/>
    <n v="-20"/>
    <n v="120"/>
  </r>
  <r>
    <x v="36"/>
    <s v="conventional_turnover_HARP_eligible_118"/>
    <x v="158"/>
    <n v="1"/>
    <n v="1"/>
    <n v="-20"/>
    <n v="120"/>
  </r>
  <r>
    <x v="36"/>
    <s v="conventional_turnover_HARP_eligible_119"/>
    <x v="159"/>
    <n v="1"/>
    <n v="1"/>
    <n v="-20"/>
    <n v="120"/>
  </r>
  <r>
    <x v="36"/>
    <s v="conventional_turnover_HARP_eligible_120"/>
    <x v="160"/>
    <n v="1"/>
    <n v="1"/>
    <n v="-20"/>
    <n v="120"/>
  </r>
  <r>
    <x v="37"/>
    <s v="conventional_turnover_pct_purchase_-20"/>
    <x v="20"/>
    <n v="1"/>
    <n v="1"/>
    <n v="-20"/>
    <n v="120"/>
  </r>
  <r>
    <x v="37"/>
    <s v="conventional_turnover_pct_purchase_-19"/>
    <x v="21"/>
    <n v="1"/>
    <n v="1"/>
    <n v="-20"/>
    <n v="120"/>
  </r>
  <r>
    <x v="37"/>
    <s v="conventional_turnover_pct_purchase_-18"/>
    <x v="22"/>
    <n v="1"/>
    <n v="1"/>
    <n v="-20"/>
    <n v="120"/>
  </r>
  <r>
    <x v="37"/>
    <s v="conventional_turnover_pct_purchase_-17"/>
    <x v="23"/>
    <n v="1"/>
    <n v="1"/>
    <n v="-20"/>
    <n v="120"/>
  </r>
  <r>
    <x v="37"/>
    <s v="conventional_turnover_pct_purchase_-16"/>
    <x v="24"/>
    <n v="1"/>
    <n v="1"/>
    <n v="-20"/>
    <n v="120"/>
  </r>
  <r>
    <x v="37"/>
    <s v="conventional_turnover_pct_purchase_-15"/>
    <x v="25"/>
    <n v="1"/>
    <n v="1"/>
    <n v="-20"/>
    <n v="120"/>
  </r>
  <r>
    <x v="37"/>
    <s v="conventional_turnover_pct_purchase_-14"/>
    <x v="26"/>
    <n v="1"/>
    <n v="1"/>
    <n v="-20"/>
    <n v="120"/>
  </r>
  <r>
    <x v="37"/>
    <s v="conventional_turnover_pct_purchase_-13"/>
    <x v="27"/>
    <n v="1"/>
    <n v="1"/>
    <n v="-20"/>
    <n v="120"/>
  </r>
  <r>
    <x v="37"/>
    <s v="conventional_turnover_pct_purchase_-12"/>
    <x v="28"/>
    <n v="1"/>
    <n v="1"/>
    <n v="-20"/>
    <n v="120"/>
  </r>
  <r>
    <x v="37"/>
    <s v="conventional_turnover_pct_purchase_-11"/>
    <x v="29"/>
    <n v="1"/>
    <n v="1"/>
    <n v="-20"/>
    <n v="120"/>
  </r>
  <r>
    <x v="37"/>
    <s v="conventional_turnover_pct_purchase_-10"/>
    <x v="30"/>
    <n v="1"/>
    <n v="1"/>
    <n v="-20"/>
    <n v="120"/>
  </r>
  <r>
    <x v="37"/>
    <s v="conventional_turnover_pct_purchase_-9"/>
    <x v="31"/>
    <n v="1"/>
    <n v="1"/>
    <n v="-20"/>
    <n v="120"/>
  </r>
  <r>
    <x v="37"/>
    <s v="conventional_turnover_pct_purchase_-8"/>
    <x v="32"/>
    <n v="1"/>
    <n v="1"/>
    <n v="-20"/>
    <n v="120"/>
  </r>
  <r>
    <x v="37"/>
    <s v="conventional_turnover_pct_purchase_-7"/>
    <x v="33"/>
    <n v="1"/>
    <n v="1"/>
    <n v="-20"/>
    <n v="120"/>
  </r>
  <r>
    <x v="37"/>
    <s v="conventional_turnover_pct_purchase_-6"/>
    <x v="34"/>
    <n v="1"/>
    <n v="1"/>
    <n v="-20"/>
    <n v="120"/>
  </r>
  <r>
    <x v="37"/>
    <s v="conventional_turnover_pct_purchase_-5"/>
    <x v="35"/>
    <n v="1"/>
    <n v="1"/>
    <n v="-20"/>
    <n v="120"/>
  </r>
  <r>
    <x v="37"/>
    <s v="conventional_turnover_pct_purchase_-4"/>
    <x v="36"/>
    <n v="1"/>
    <n v="1"/>
    <n v="-20"/>
    <n v="120"/>
  </r>
  <r>
    <x v="37"/>
    <s v="conventional_turnover_pct_purchase_-3"/>
    <x v="37"/>
    <n v="1"/>
    <n v="1"/>
    <n v="-20"/>
    <n v="120"/>
  </r>
  <r>
    <x v="37"/>
    <s v="conventional_turnover_pct_purchase_-2"/>
    <x v="38"/>
    <n v="1"/>
    <n v="1"/>
    <n v="-20"/>
    <n v="120"/>
  </r>
  <r>
    <x v="37"/>
    <s v="conventional_turnover_pct_purchase_-1"/>
    <x v="39"/>
    <n v="1"/>
    <n v="1"/>
    <n v="-20"/>
    <n v="120"/>
  </r>
  <r>
    <x v="37"/>
    <s v="conventional_turnover_pct_purchase_0"/>
    <x v="40"/>
    <n v="1"/>
    <n v="1"/>
    <n v="-20"/>
    <n v="120"/>
  </r>
  <r>
    <x v="37"/>
    <s v="conventional_turnover_pct_purchase_1"/>
    <x v="41"/>
    <n v="1"/>
    <n v="1"/>
    <n v="-20"/>
    <n v="120"/>
  </r>
  <r>
    <x v="37"/>
    <s v="conventional_turnover_pct_purchase_2"/>
    <x v="42"/>
    <n v="1"/>
    <n v="1"/>
    <n v="-20"/>
    <n v="120"/>
  </r>
  <r>
    <x v="37"/>
    <s v="conventional_turnover_pct_purchase_3"/>
    <x v="43"/>
    <n v="1"/>
    <n v="1"/>
    <n v="-20"/>
    <n v="120"/>
  </r>
  <r>
    <x v="37"/>
    <s v="conventional_turnover_pct_purchase_4"/>
    <x v="44"/>
    <n v="1"/>
    <n v="1"/>
    <n v="-20"/>
    <n v="120"/>
  </r>
  <r>
    <x v="37"/>
    <s v="conventional_turnover_pct_purchase_5"/>
    <x v="45"/>
    <n v="1"/>
    <n v="1"/>
    <n v="-20"/>
    <n v="120"/>
  </r>
  <r>
    <x v="37"/>
    <s v="conventional_turnover_pct_purchase_6"/>
    <x v="46"/>
    <n v="1"/>
    <n v="1"/>
    <n v="-20"/>
    <n v="120"/>
  </r>
  <r>
    <x v="37"/>
    <s v="conventional_turnover_pct_purchase_7"/>
    <x v="47"/>
    <n v="1"/>
    <n v="1"/>
    <n v="-20"/>
    <n v="120"/>
  </r>
  <r>
    <x v="37"/>
    <s v="conventional_turnover_pct_purchase_8"/>
    <x v="48"/>
    <n v="1"/>
    <n v="1"/>
    <n v="-20"/>
    <n v="120"/>
  </r>
  <r>
    <x v="37"/>
    <s v="conventional_turnover_pct_purchase_9"/>
    <x v="49"/>
    <n v="1"/>
    <n v="1"/>
    <n v="-20"/>
    <n v="120"/>
  </r>
  <r>
    <x v="37"/>
    <s v="conventional_turnover_pct_purchase_10"/>
    <x v="50"/>
    <n v="1"/>
    <n v="1"/>
    <n v="-20"/>
    <n v="120"/>
  </r>
  <r>
    <x v="37"/>
    <s v="conventional_turnover_pct_purchase_11"/>
    <x v="51"/>
    <n v="1"/>
    <n v="1"/>
    <n v="-20"/>
    <n v="120"/>
  </r>
  <r>
    <x v="37"/>
    <s v="conventional_turnover_pct_purchase_12"/>
    <x v="52"/>
    <n v="1"/>
    <n v="1"/>
    <n v="-20"/>
    <n v="120"/>
  </r>
  <r>
    <x v="37"/>
    <s v="conventional_turnover_pct_purchase_13"/>
    <x v="53"/>
    <n v="1"/>
    <n v="1"/>
    <n v="-20"/>
    <n v="120"/>
  </r>
  <r>
    <x v="37"/>
    <s v="conventional_turnover_pct_purchase_14"/>
    <x v="54"/>
    <n v="1"/>
    <n v="1"/>
    <n v="-20"/>
    <n v="120"/>
  </r>
  <r>
    <x v="37"/>
    <s v="conventional_turnover_pct_purchase_15"/>
    <x v="55"/>
    <n v="1"/>
    <n v="1"/>
    <n v="-20"/>
    <n v="120"/>
  </r>
  <r>
    <x v="37"/>
    <s v="conventional_turnover_pct_purchase_16"/>
    <x v="56"/>
    <n v="1"/>
    <n v="1"/>
    <n v="-20"/>
    <n v="120"/>
  </r>
  <r>
    <x v="37"/>
    <s v="conventional_turnover_pct_purchase_17"/>
    <x v="57"/>
    <n v="1"/>
    <n v="1"/>
    <n v="-20"/>
    <n v="120"/>
  </r>
  <r>
    <x v="37"/>
    <s v="conventional_turnover_pct_purchase_18"/>
    <x v="58"/>
    <n v="1"/>
    <n v="1"/>
    <n v="-20"/>
    <n v="120"/>
  </r>
  <r>
    <x v="37"/>
    <s v="conventional_turnover_pct_purchase_19"/>
    <x v="59"/>
    <n v="1"/>
    <n v="1"/>
    <n v="-20"/>
    <n v="120"/>
  </r>
  <r>
    <x v="37"/>
    <s v="conventional_turnover_pct_purchase_20"/>
    <x v="60"/>
    <n v="1"/>
    <n v="1"/>
    <n v="-20"/>
    <n v="120"/>
  </r>
  <r>
    <x v="37"/>
    <s v="conventional_turnover_pct_purchase_21"/>
    <x v="61"/>
    <n v="1"/>
    <n v="1"/>
    <n v="-20"/>
    <n v="120"/>
  </r>
  <r>
    <x v="37"/>
    <s v="conventional_turnover_pct_purchase_22"/>
    <x v="62"/>
    <n v="1"/>
    <n v="1"/>
    <n v="-20"/>
    <n v="120"/>
  </r>
  <r>
    <x v="37"/>
    <s v="conventional_turnover_pct_purchase_23"/>
    <x v="63"/>
    <n v="1"/>
    <n v="1"/>
    <n v="-20"/>
    <n v="120"/>
  </r>
  <r>
    <x v="37"/>
    <s v="conventional_turnover_pct_purchase_24"/>
    <x v="64"/>
    <n v="1"/>
    <n v="1"/>
    <n v="-20"/>
    <n v="120"/>
  </r>
  <r>
    <x v="37"/>
    <s v="conventional_turnover_pct_purchase_25"/>
    <x v="65"/>
    <n v="1"/>
    <n v="1"/>
    <n v="-20"/>
    <n v="120"/>
  </r>
  <r>
    <x v="37"/>
    <s v="conventional_turnover_pct_purchase_26"/>
    <x v="66"/>
    <n v="1"/>
    <n v="1"/>
    <n v="-20"/>
    <n v="120"/>
  </r>
  <r>
    <x v="37"/>
    <s v="conventional_turnover_pct_purchase_27"/>
    <x v="67"/>
    <n v="1"/>
    <n v="1"/>
    <n v="-20"/>
    <n v="120"/>
  </r>
  <r>
    <x v="37"/>
    <s v="conventional_turnover_pct_purchase_28"/>
    <x v="68"/>
    <n v="1"/>
    <n v="1"/>
    <n v="-20"/>
    <n v="120"/>
  </r>
  <r>
    <x v="37"/>
    <s v="conventional_turnover_pct_purchase_29"/>
    <x v="69"/>
    <n v="1"/>
    <n v="1"/>
    <n v="-20"/>
    <n v="120"/>
  </r>
  <r>
    <x v="37"/>
    <s v="conventional_turnover_pct_purchase_30"/>
    <x v="70"/>
    <n v="1"/>
    <n v="1"/>
    <n v="-20"/>
    <n v="120"/>
  </r>
  <r>
    <x v="37"/>
    <s v="conventional_turnover_pct_purchase_31"/>
    <x v="71"/>
    <n v="1"/>
    <n v="1"/>
    <n v="-20"/>
    <n v="120"/>
  </r>
  <r>
    <x v="37"/>
    <s v="conventional_turnover_pct_purchase_32"/>
    <x v="72"/>
    <n v="1"/>
    <n v="1"/>
    <n v="-20"/>
    <n v="120"/>
  </r>
  <r>
    <x v="37"/>
    <s v="conventional_turnover_pct_purchase_33"/>
    <x v="73"/>
    <n v="1"/>
    <n v="1"/>
    <n v="-20"/>
    <n v="120"/>
  </r>
  <r>
    <x v="37"/>
    <s v="conventional_turnover_pct_purchase_34"/>
    <x v="74"/>
    <n v="1"/>
    <n v="1"/>
    <n v="-20"/>
    <n v="120"/>
  </r>
  <r>
    <x v="37"/>
    <s v="conventional_turnover_pct_purchase_35"/>
    <x v="75"/>
    <n v="1"/>
    <n v="1"/>
    <n v="-20"/>
    <n v="120"/>
  </r>
  <r>
    <x v="37"/>
    <s v="conventional_turnover_pct_purchase_36"/>
    <x v="76"/>
    <n v="1"/>
    <n v="1"/>
    <n v="-20"/>
    <n v="120"/>
  </r>
  <r>
    <x v="37"/>
    <s v="conventional_turnover_pct_purchase_37"/>
    <x v="77"/>
    <n v="1"/>
    <n v="1"/>
    <n v="-20"/>
    <n v="120"/>
  </r>
  <r>
    <x v="37"/>
    <s v="conventional_turnover_pct_purchase_38"/>
    <x v="78"/>
    <n v="1"/>
    <n v="1"/>
    <n v="-20"/>
    <n v="120"/>
  </r>
  <r>
    <x v="37"/>
    <s v="conventional_turnover_pct_purchase_39"/>
    <x v="79"/>
    <n v="1"/>
    <n v="1"/>
    <n v="-20"/>
    <n v="120"/>
  </r>
  <r>
    <x v="37"/>
    <s v="conventional_turnover_pct_purchase_40"/>
    <x v="80"/>
    <n v="1"/>
    <n v="1"/>
    <n v="-20"/>
    <n v="120"/>
  </r>
  <r>
    <x v="37"/>
    <s v="conventional_turnover_pct_purchase_41"/>
    <x v="81"/>
    <n v="1"/>
    <n v="1"/>
    <n v="-20"/>
    <n v="120"/>
  </r>
  <r>
    <x v="37"/>
    <s v="conventional_turnover_pct_purchase_42"/>
    <x v="82"/>
    <n v="1"/>
    <n v="1"/>
    <n v="-20"/>
    <n v="120"/>
  </r>
  <r>
    <x v="37"/>
    <s v="conventional_turnover_pct_purchase_43"/>
    <x v="83"/>
    <n v="1"/>
    <n v="1"/>
    <n v="-20"/>
    <n v="120"/>
  </r>
  <r>
    <x v="37"/>
    <s v="conventional_turnover_pct_purchase_44"/>
    <x v="84"/>
    <n v="1"/>
    <n v="1"/>
    <n v="-20"/>
    <n v="120"/>
  </r>
  <r>
    <x v="37"/>
    <s v="conventional_turnover_pct_purchase_45"/>
    <x v="85"/>
    <n v="1"/>
    <n v="1"/>
    <n v="-20"/>
    <n v="120"/>
  </r>
  <r>
    <x v="37"/>
    <s v="conventional_turnover_pct_purchase_46"/>
    <x v="86"/>
    <n v="1"/>
    <n v="1"/>
    <n v="-20"/>
    <n v="120"/>
  </r>
  <r>
    <x v="37"/>
    <s v="conventional_turnover_pct_purchase_47"/>
    <x v="87"/>
    <n v="1"/>
    <n v="1"/>
    <n v="-20"/>
    <n v="120"/>
  </r>
  <r>
    <x v="37"/>
    <s v="conventional_turnover_pct_purchase_48"/>
    <x v="88"/>
    <n v="1"/>
    <n v="1"/>
    <n v="-20"/>
    <n v="120"/>
  </r>
  <r>
    <x v="37"/>
    <s v="conventional_turnover_pct_purchase_49"/>
    <x v="89"/>
    <n v="1"/>
    <n v="1"/>
    <n v="-20"/>
    <n v="120"/>
  </r>
  <r>
    <x v="37"/>
    <s v="conventional_turnover_pct_purchase_50"/>
    <x v="90"/>
    <n v="1"/>
    <n v="1"/>
    <n v="-20"/>
    <n v="120"/>
  </r>
  <r>
    <x v="37"/>
    <s v="conventional_turnover_pct_purchase_51"/>
    <x v="91"/>
    <n v="1"/>
    <n v="1"/>
    <n v="-20"/>
    <n v="120"/>
  </r>
  <r>
    <x v="37"/>
    <s v="conventional_turnover_pct_purchase_52"/>
    <x v="92"/>
    <n v="1"/>
    <n v="1"/>
    <n v="-20"/>
    <n v="120"/>
  </r>
  <r>
    <x v="37"/>
    <s v="conventional_turnover_pct_purchase_53"/>
    <x v="93"/>
    <n v="1"/>
    <n v="1"/>
    <n v="-20"/>
    <n v="120"/>
  </r>
  <r>
    <x v="37"/>
    <s v="conventional_turnover_pct_purchase_54"/>
    <x v="94"/>
    <n v="1"/>
    <n v="1"/>
    <n v="-20"/>
    <n v="120"/>
  </r>
  <r>
    <x v="37"/>
    <s v="conventional_turnover_pct_purchase_55"/>
    <x v="95"/>
    <n v="1"/>
    <n v="1"/>
    <n v="-20"/>
    <n v="120"/>
  </r>
  <r>
    <x v="37"/>
    <s v="conventional_turnover_pct_purchase_56"/>
    <x v="96"/>
    <n v="1"/>
    <n v="1"/>
    <n v="-20"/>
    <n v="120"/>
  </r>
  <r>
    <x v="37"/>
    <s v="conventional_turnover_pct_purchase_57"/>
    <x v="97"/>
    <n v="1"/>
    <n v="1"/>
    <n v="-20"/>
    <n v="120"/>
  </r>
  <r>
    <x v="37"/>
    <s v="conventional_turnover_pct_purchase_58"/>
    <x v="98"/>
    <n v="1"/>
    <n v="1"/>
    <n v="-20"/>
    <n v="120"/>
  </r>
  <r>
    <x v="37"/>
    <s v="conventional_turnover_pct_purchase_59"/>
    <x v="99"/>
    <n v="1"/>
    <n v="1"/>
    <n v="-20"/>
    <n v="120"/>
  </r>
  <r>
    <x v="37"/>
    <s v="conventional_turnover_pct_purchase_60"/>
    <x v="100"/>
    <n v="1"/>
    <n v="1"/>
    <n v="-20"/>
    <n v="120"/>
  </r>
  <r>
    <x v="37"/>
    <s v="conventional_turnover_pct_purchase_61"/>
    <x v="101"/>
    <n v="1"/>
    <n v="1"/>
    <n v="-20"/>
    <n v="120"/>
  </r>
  <r>
    <x v="37"/>
    <s v="conventional_turnover_pct_purchase_62"/>
    <x v="102"/>
    <n v="1"/>
    <n v="1"/>
    <n v="-20"/>
    <n v="120"/>
  </r>
  <r>
    <x v="37"/>
    <s v="conventional_turnover_pct_purchase_63"/>
    <x v="103"/>
    <n v="1"/>
    <n v="1"/>
    <n v="-20"/>
    <n v="120"/>
  </r>
  <r>
    <x v="37"/>
    <s v="conventional_turnover_pct_purchase_64"/>
    <x v="104"/>
    <n v="1"/>
    <n v="1"/>
    <n v="-20"/>
    <n v="120"/>
  </r>
  <r>
    <x v="37"/>
    <s v="conventional_turnover_pct_purchase_65"/>
    <x v="105"/>
    <n v="1"/>
    <n v="1"/>
    <n v="-20"/>
    <n v="120"/>
  </r>
  <r>
    <x v="37"/>
    <s v="conventional_turnover_pct_purchase_66"/>
    <x v="106"/>
    <n v="1"/>
    <n v="1"/>
    <n v="-20"/>
    <n v="120"/>
  </r>
  <r>
    <x v="37"/>
    <s v="conventional_turnover_pct_purchase_67"/>
    <x v="107"/>
    <n v="1"/>
    <n v="1"/>
    <n v="-20"/>
    <n v="120"/>
  </r>
  <r>
    <x v="37"/>
    <s v="conventional_turnover_pct_purchase_68"/>
    <x v="108"/>
    <n v="1"/>
    <n v="1"/>
    <n v="-20"/>
    <n v="120"/>
  </r>
  <r>
    <x v="37"/>
    <s v="conventional_turnover_pct_purchase_69"/>
    <x v="109"/>
    <n v="1"/>
    <n v="1"/>
    <n v="-20"/>
    <n v="120"/>
  </r>
  <r>
    <x v="37"/>
    <s v="conventional_turnover_pct_purchase_70"/>
    <x v="110"/>
    <n v="1"/>
    <n v="1"/>
    <n v="-20"/>
    <n v="120"/>
  </r>
  <r>
    <x v="37"/>
    <s v="conventional_turnover_pct_purchase_71"/>
    <x v="111"/>
    <n v="1"/>
    <n v="1"/>
    <n v="-20"/>
    <n v="120"/>
  </r>
  <r>
    <x v="37"/>
    <s v="conventional_turnover_pct_purchase_72"/>
    <x v="112"/>
    <n v="1"/>
    <n v="1"/>
    <n v="-20"/>
    <n v="120"/>
  </r>
  <r>
    <x v="37"/>
    <s v="conventional_turnover_pct_purchase_73"/>
    <x v="113"/>
    <n v="1"/>
    <n v="1"/>
    <n v="-20"/>
    <n v="120"/>
  </r>
  <r>
    <x v="37"/>
    <s v="conventional_turnover_pct_purchase_74"/>
    <x v="114"/>
    <n v="1"/>
    <n v="1"/>
    <n v="-20"/>
    <n v="120"/>
  </r>
  <r>
    <x v="37"/>
    <s v="conventional_turnover_pct_purchase_75"/>
    <x v="115"/>
    <n v="1"/>
    <n v="1"/>
    <n v="-20"/>
    <n v="120"/>
  </r>
  <r>
    <x v="37"/>
    <s v="conventional_turnover_pct_purchase_76"/>
    <x v="116"/>
    <n v="1"/>
    <n v="1"/>
    <n v="-20"/>
    <n v="120"/>
  </r>
  <r>
    <x v="37"/>
    <s v="conventional_turnover_pct_purchase_77"/>
    <x v="117"/>
    <n v="1"/>
    <n v="1"/>
    <n v="-20"/>
    <n v="120"/>
  </r>
  <r>
    <x v="37"/>
    <s v="conventional_turnover_pct_purchase_78"/>
    <x v="118"/>
    <n v="1"/>
    <n v="1"/>
    <n v="-20"/>
    <n v="120"/>
  </r>
  <r>
    <x v="37"/>
    <s v="conventional_turnover_pct_purchase_79"/>
    <x v="119"/>
    <n v="1"/>
    <n v="1"/>
    <n v="-20"/>
    <n v="120"/>
  </r>
  <r>
    <x v="37"/>
    <s v="conventional_turnover_pct_purchase_80"/>
    <x v="120"/>
    <n v="1"/>
    <n v="1"/>
    <n v="-20"/>
    <n v="120"/>
  </r>
  <r>
    <x v="37"/>
    <s v="conventional_turnover_pct_purchase_81"/>
    <x v="121"/>
    <n v="1"/>
    <n v="1"/>
    <n v="-20"/>
    <n v="120"/>
  </r>
  <r>
    <x v="37"/>
    <s v="conventional_turnover_pct_purchase_82"/>
    <x v="122"/>
    <n v="1"/>
    <n v="1"/>
    <n v="-20"/>
    <n v="120"/>
  </r>
  <r>
    <x v="37"/>
    <s v="conventional_turnover_pct_purchase_83"/>
    <x v="123"/>
    <n v="1"/>
    <n v="1"/>
    <n v="-20"/>
    <n v="120"/>
  </r>
  <r>
    <x v="37"/>
    <s v="conventional_turnover_pct_purchase_84"/>
    <x v="124"/>
    <n v="1"/>
    <n v="1"/>
    <n v="-20"/>
    <n v="120"/>
  </r>
  <r>
    <x v="37"/>
    <s v="conventional_turnover_pct_purchase_85"/>
    <x v="125"/>
    <n v="1"/>
    <n v="1"/>
    <n v="-20"/>
    <n v="120"/>
  </r>
  <r>
    <x v="37"/>
    <s v="conventional_turnover_pct_purchase_86"/>
    <x v="126"/>
    <n v="1"/>
    <n v="1"/>
    <n v="-20"/>
    <n v="120"/>
  </r>
  <r>
    <x v="37"/>
    <s v="conventional_turnover_pct_purchase_87"/>
    <x v="127"/>
    <n v="1"/>
    <n v="1"/>
    <n v="-20"/>
    <n v="120"/>
  </r>
  <r>
    <x v="37"/>
    <s v="conventional_turnover_pct_purchase_88"/>
    <x v="128"/>
    <n v="1"/>
    <n v="1"/>
    <n v="-20"/>
    <n v="120"/>
  </r>
  <r>
    <x v="37"/>
    <s v="conventional_turnover_pct_purchase_89"/>
    <x v="129"/>
    <n v="1"/>
    <n v="1"/>
    <n v="-20"/>
    <n v="120"/>
  </r>
  <r>
    <x v="37"/>
    <s v="conventional_turnover_pct_purchase_90"/>
    <x v="130"/>
    <n v="1"/>
    <n v="1"/>
    <n v="-20"/>
    <n v="120"/>
  </r>
  <r>
    <x v="37"/>
    <s v="conventional_turnover_pct_purchase_91"/>
    <x v="131"/>
    <n v="1"/>
    <n v="1"/>
    <n v="-20"/>
    <n v="120"/>
  </r>
  <r>
    <x v="37"/>
    <s v="conventional_turnover_pct_purchase_92"/>
    <x v="132"/>
    <n v="1"/>
    <n v="1"/>
    <n v="-20"/>
    <n v="120"/>
  </r>
  <r>
    <x v="37"/>
    <s v="conventional_turnover_pct_purchase_93"/>
    <x v="133"/>
    <n v="1"/>
    <n v="1"/>
    <n v="-20"/>
    <n v="120"/>
  </r>
  <r>
    <x v="37"/>
    <s v="conventional_turnover_pct_purchase_94"/>
    <x v="134"/>
    <n v="1"/>
    <n v="1"/>
    <n v="-20"/>
    <n v="120"/>
  </r>
  <r>
    <x v="37"/>
    <s v="conventional_turnover_pct_purchase_95"/>
    <x v="135"/>
    <n v="1"/>
    <n v="1"/>
    <n v="-20"/>
    <n v="120"/>
  </r>
  <r>
    <x v="37"/>
    <s v="conventional_turnover_pct_purchase_96"/>
    <x v="136"/>
    <n v="1"/>
    <n v="1"/>
    <n v="-20"/>
    <n v="120"/>
  </r>
  <r>
    <x v="37"/>
    <s v="conventional_turnover_pct_purchase_97"/>
    <x v="137"/>
    <n v="1"/>
    <n v="1"/>
    <n v="-20"/>
    <n v="120"/>
  </r>
  <r>
    <x v="37"/>
    <s v="conventional_turnover_pct_purchase_98"/>
    <x v="138"/>
    <n v="1"/>
    <n v="1"/>
    <n v="-20"/>
    <n v="120"/>
  </r>
  <r>
    <x v="37"/>
    <s v="conventional_turnover_pct_purchase_99"/>
    <x v="139"/>
    <n v="1"/>
    <n v="1"/>
    <n v="-20"/>
    <n v="120"/>
  </r>
  <r>
    <x v="37"/>
    <s v="conventional_turnover_pct_purchase_100"/>
    <x v="140"/>
    <n v="1"/>
    <n v="1"/>
    <n v="-20"/>
    <n v="120"/>
  </r>
  <r>
    <x v="37"/>
    <s v="conventional_turnover_pct_purchase_101"/>
    <x v="141"/>
    <n v="1"/>
    <n v="1"/>
    <n v="-20"/>
    <n v="120"/>
  </r>
  <r>
    <x v="37"/>
    <s v="conventional_turnover_pct_purchase_102"/>
    <x v="142"/>
    <n v="1"/>
    <n v="1"/>
    <n v="-20"/>
    <n v="120"/>
  </r>
  <r>
    <x v="37"/>
    <s v="conventional_turnover_pct_purchase_103"/>
    <x v="143"/>
    <n v="1"/>
    <n v="1"/>
    <n v="-20"/>
    <n v="120"/>
  </r>
  <r>
    <x v="37"/>
    <s v="conventional_turnover_pct_purchase_104"/>
    <x v="144"/>
    <n v="1"/>
    <n v="1"/>
    <n v="-20"/>
    <n v="120"/>
  </r>
  <r>
    <x v="37"/>
    <s v="conventional_turnover_pct_purchase_105"/>
    <x v="145"/>
    <n v="1"/>
    <n v="1"/>
    <n v="-20"/>
    <n v="120"/>
  </r>
  <r>
    <x v="37"/>
    <s v="conventional_turnover_pct_purchase_106"/>
    <x v="146"/>
    <n v="1"/>
    <n v="1"/>
    <n v="-20"/>
    <n v="120"/>
  </r>
  <r>
    <x v="37"/>
    <s v="conventional_turnover_pct_purchase_107"/>
    <x v="147"/>
    <n v="1"/>
    <n v="1"/>
    <n v="-20"/>
    <n v="120"/>
  </r>
  <r>
    <x v="37"/>
    <s v="conventional_turnover_pct_purchase_108"/>
    <x v="148"/>
    <n v="1"/>
    <n v="1"/>
    <n v="-20"/>
    <n v="120"/>
  </r>
  <r>
    <x v="37"/>
    <s v="conventional_turnover_pct_purchase_109"/>
    <x v="149"/>
    <n v="1"/>
    <n v="1"/>
    <n v="-20"/>
    <n v="120"/>
  </r>
  <r>
    <x v="37"/>
    <s v="conventional_turnover_pct_purchase_110"/>
    <x v="150"/>
    <n v="1"/>
    <n v="1"/>
    <n v="-20"/>
    <n v="120"/>
  </r>
  <r>
    <x v="37"/>
    <s v="conventional_turnover_pct_purchase_111"/>
    <x v="151"/>
    <n v="1"/>
    <n v="1"/>
    <n v="-20"/>
    <n v="120"/>
  </r>
  <r>
    <x v="37"/>
    <s v="conventional_turnover_pct_purchase_112"/>
    <x v="152"/>
    <n v="1"/>
    <n v="1"/>
    <n v="-20"/>
    <n v="120"/>
  </r>
  <r>
    <x v="37"/>
    <s v="conventional_turnover_pct_purchase_113"/>
    <x v="153"/>
    <n v="1"/>
    <n v="1"/>
    <n v="-20"/>
    <n v="120"/>
  </r>
  <r>
    <x v="37"/>
    <s v="conventional_turnover_pct_purchase_114"/>
    <x v="154"/>
    <n v="1"/>
    <n v="1"/>
    <n v="-20"/>
    <n v="120"/>
  </r>
  <r>
    <x v="37"/>
    <s v="conventional_turnover_pct_purchase_115"/>
    <x v="155"/>
    <n v="1"/>
    <n v="1"/>
    <n v="-20"/>
    <n v="120"/>
  </r>
  <r>
    <x v="37"/>
    <s v="conventional_turnover_pct_purchase_116"/>
    <x v="156"/>
    <n v="1"/>
    <n v="1"/>
    <n v="-20"/>
    <n v="120"/>
  </r>
  <r>
    <x v="37"/>
    <s v="conventional_turnover_pct_purchase_117"/>
    <x v="157"/>
    <n v="1"/>
    <n v="1"/>
    <n v="-20"/>
    <n v="120"/>
  </r>
  <r>
    <x v="37"/>
    <s v="conventional_turnover_pct_purchase_118"/>
    <x v="158"/>
    <n v="1"/>
    <n v="1"/>
    <n v="-20"/>
    <n v="120"/>
  </r>
  <r>
    <x v="37"/>
    <s v="conventional_turnover_pct_purchase_119"/>
    <x v="159"/>
    <n v="1"/>
    <n v="1"/>
    <n v="-20"/>
    <n v="120"/>
  </r>
  <r>
    <x v="37"/>
    <s v="conventional_turnover_pct_purchase_120"/>
    <x v="160"/>
    <n v="1"/>
    <n v="1"/>
    <n v="-20"/>
    <n v="120"/>
  </r>
  <r>
    <x v="38"/>
    <s v="conventional_turnover_pct_REFI_-20"/>
    <x v="20"/>
    <n v="1"/>
    <n v="1"/>
    <n v="-20"/>
    <n v="120"/>
  </r>
  <r>
    <x v="38"/>
    <s v="conventional_turnover_pct_REFI_-19"/>
    <x v="21"/>
    <n v="1"/>
    <n v="1"/>
    <n v="-20"/>
    <n v="120"/>
  </r>
  <r>
    <x v="38"/>
    <s v="conventional_turnover_pct_REFI_-18"/>
    <x v="22"/>
    <n v="1"/>
    <n v="1"/>
    <n v="-20"/>
    <n v="120"/>
  </r>
  <r>
    <x v="38"/>
    <s v="conventional_turnover_pct_REFI_-17"/>
    <x v="23"/>
    <n v="1"/>
    <n v="1"/>
    <n v="-20"/>
    <n v="120"/>
  </r>
  <r>
    <x v="38"/>
    <s v="conventional_turnover_pct_REFI_-16"/>
    <x v="24"/>
    <n v="1"/>
    <n v="1"/>
    <n v="-20"/>
    <n v="120"/>
  </r>
  <r>
    <x v="38"/>
    <s v="conventional_turnover_pct_REFI_-15"/>
    <x v="25"/>
    <n v="1"/>
    <n v="1"/>
    <n v="-20"/>
    <n v="120"/>
  </r>
  <r>
    <x v="38"/>
    <s v="conventional_turnover_pct_REFI_-14"/>
    <x v="26"/>
    <n v="1"/>
    <n v="1"/>
    <n v="-20"/>
    <n v="120"/>
  </r>
  <r>
    <x v="38"/>
    <s v="conventional_turnover_pct_REFI_-13"/>
    <x v="27"/>
    <n v="1"/>
    <n v="1"/>
    <n v="-20"/>
    <n v="120"/>
  </r>
  <r>
    <x v="38"/>
    <s v="conventional_turnover_pct_REFI_-12"/>
    <x v="28"/>
    <n v="1"/>
    <n v="1"/>
    <n v="-20"/>
    <n v="120"/>
  </r>
  <r>
    <x v="38"/>
    <s v="conventional_turnover_pct_REFI_-11"/>
    <x v="29"/>
    <n v="1"/>
    <n v="1"/>
    <n v="-20"/>
    <n v="120"/>
  </r>
  <r>
    <x v="38"/>
    <s v="conventional_turnover_pct_REFI_-10"/>
    <x v="30"/>
    <n v="1"/>
    <n v="1"/>
    <n v="-20"/>
    <n v="120"/>
  </r>
  <r>
    <x v="38"/>
    <s v="conventional_turnover_pct_REFI_-9"/>
    <x v="31"/>
    <n v="1"/>
    <n v="1"/>
    <n v="-20"/>
    <n v="120"/>
  </r>
  <r>
    <x v="38"/>
    <s v="conventional_turnover_pct_REFI_-8"/>
    <x v="32"/>
    <n v="1"/>
    <n v="1"/>
    <n v="-20"/>
    <n v="120"/>
  </r>
  <r>
    <x v="38"/>
    <s v="conventional_turnover_pct_REFI_-7"/>
    <x v="33"/>
    <n v="1"/>
    <n v="1"/>
    <n v="-20"/>
    <n v="120"/>
  </r>
  <r>
    <x v="38"/>
    <s v="conventional_turnover_pct_REFI_-6"/>
    <x v="34"/>
    <n v="1"/>
    <n v="1"/>
    <n v="-20"/>
    <n v="120"/>
  </r>
  <r>
    <x v="38"/>
    <s v="conventional_turnover_pct_REFI_-5"/>
    <x v="35"/>
    <n v="1"/>
    <n v="1"/>
    <n v="-20"/>
    <n v="120"/>
  </r>
  <r>
    <x v="38"/>
    <s v="conventional_turnover_pct_REFI_-4"/>
    <x v="36"/>
    <n v="1"/>
    <n v="1"/>
    <n v="-20"/>
    <n v="120"/>
  </r>
  <r>
    <x v="38"/>
    <s v="conventional_turnover_pct_REFI_-3"/>
    <x v="37"/>
    <n v="1"/>
    <n v="1"/>
    <n v="-20"/>
    <n v="120"/>
  </r>
  <r>
    <x v="38"/>
    <s v="conventional_turnover_pct_REFI_-2"/>
    <x v="38"/>
    <n v="1"/>
    <n v="1"/>
    <n v="-20"/>
    <n v="120"/>
  </r>
  <r>
    <x v="38"/>
    <s v="conventional_turnover_pct_REFI_-1"/>
    <x v="39"/>
    <n v="1"/>
    <n v="1"/>
    <n v="-20"/>
    <n v="120"/>
  </r>
  <r>
    <x v="38"/>
    <s v="conventional_turnover_pct_REFI_0"/>
    <x v="40"/>
    <n v="1"/>
    <n v="1"/>
    <n v="-20"/>
    <n v="120"/>
  </r>
  <r>
    <x v="38"/>
    <s v="conventional_turnover_pct_REFI_1"/>
    <x v="41"/>
    <n v="1"/>
    <n v="1"/>
    <n v="-20"/>
    <n v="120"/>
  </r>
  <r>
    <x v="38"/>
    <s v="conventional_turnover_pct_REFI_2"/>
    <x v="42"/>
    <n v="1"/>
    <n v="1"/>
    <n v="-20"/>
    <n v="120"/>
  </r>
  <r>
    <x v="38"/>
    <s v="conventional_turnover_pct_REFI_3"/>
    <x v="43"/>
    <n v="1"/>
    <n v="1"/>
    <n v="-20"/>
    <n v="120"/>
  </r>
  <r>
    <x v="38"/>
    <s v="conventional_turnover_pct_REFI_4"/>
    <x v="44"/>
    <n v="1"/>
    <n v="1"/>
    <n v="-20"/>
    <n v="120"/>
  </r>
  <r>
    <x v="38"/>
    <s v="conventional_turnover_pct_REFI_5"/>
    <x v="45"/>
    <n v="1"/>
    <n v="1"/>
    <n v="-20"/>
    <n v="120"/>
  </r>
  <r>
    <x v="38"/>
    <s v="conventional_turnover_pct_REFI_6"/>
    <x v="46"/>
    <n v="1"/>
    <n v="1"/>
    <n v="-20"/>
    <n v="120"/>
  </r>
  <r>
    <x v="38"/>
    <s v="conventional_turnover_pct_REFI_7"/>
    <x v="47"/>
    <n v="1"/>
    <n v="1"/>
    <n v="-20"/>
    <n v="120"/>
  </r>
  <r>
    <x v="38"/>
    <s v="conventional_turnover_pct_REFI_8"/>
    <x v="48"/>
    <n v="1"/>
    <n v="1"/>
    <n v="-20"/>
    <n v="120"/>
  </r>
  <r>
    <x v="38"/>
    <s v="conventional_turnover_pct_REFI_9"/>
    <x v="49"/>
    <n v="1"/>
    <n v="1"/>
    <n v="-20"/>
    <n v="120"/>
  </r>
  <r>
    <x v="38"/>
    <s v="conventional_turnover_pct_REFI_10"/>
    <x v="50"/>
    <n v="1"/>
    <n v="1"/>
    <n v="-20"/>
    <n v="120"/>
  </r>
  <r>
    <x v="38"/>
    <s v="conventional_turnover_pct_REFI_11"/>
    <x v="51"/>
    <n v="1"/>
    <n v="1"/>
    <n v="-20"/>
    <n v="120"/>
  </r>
  <r>
    <x v="38"/>
    <s v="conventional_turnover_pct_REFI_12"/>
    <x v="52"/>
    <n v="1"/>
    <n v="1"/>
    <n v="-20"/>
    <n v="120"/>
  </r>
  <r>
    <x v="38"/>
    <s v="conventional_turnover_pct_REFI_13"/>
    <x v="53"/>
    <n v="1"/>
    <n v="1"/>
    <n v="-20"/>
    <n v="120"/>
  </r>
  <r>
    <x v="38"/>
    <s v="conventional_turnover_pct_REFI_14"/>
    <x v="54"/>
    <n v="1"/>
    <n v="1"/>
    <n v="-20"/>
    <n v="120"/>
  </r>
  <r>
    <x v="38"/>
    <s v="conventional_turnover_pct_REFI_15"/>
    <x v="55"/>
    <n v="1"/>
    <n v="1"/>
    <n v="-20"/>
    <n v="120"/>
  </r>
  <r>
    <x v="38"/>
    <s v="conventional_turnover_pct_REFI_16"/>
    <x v="56"/>
    <n v="1"/>
    <n v="1"/>
    <n v="-20"/>
    <n v="120"/>
  </r>
  <r>
    <x v="38"/>
    <s v="conventional_turnover_pct_REFI_17"/>
    <x v="57"/>
    <n v="1"/>
    <n v="1"/>
    <n v="-20"/>
    <n v="120"/>
  </r>
  <r>
    <x v="38"/>
    <s v="conventional_turnover_pct_REFI_18"/>
    <x v="58"/>
    <n v="1"/>
    <n v="1"/>
    <n v="-20"/>
    <n v="120"/>
  </r>
  <r>
    <x v="38"/>
    <s v="conventional_turnover_pct_REFI_19"/>
    <x v="59"/>
    <n v="1"/>
    <n v="1"/>
    <n v="-20"/>
    <n v="120"/>
  </r>
  <r>
    <x v="38"/>
    <s v="conventional_turnover_pct_REFI_20"/>
    <x v="60"/>
    <n v="1"/>
    <n v="1"/>
    <n v="-20"/>
    <n v="120"/>
  </r>
  <r>
    <x v="38"/>
    <s v="conventional_turnover_pct_REFI_21"/>
    <x v="61"/>
    <n v="1"/>
    <n v="1"/>
    <n v="-20"/>
    <n v="120"/>
  </r>
  <r>
    <x v="38"/>
    <s v="conventional_turnover_pct_REFI_22"/>
    <x v="62"/>
    <n v="1"/>
    <n v="1"/>
    <n v="-20"/>
    <n v="120"/>
  </r>
  <r>
    <x v="38"/>
    <s v="conventional_turnover_pct_REFI_23"/>
    <x v="63"/>
    <n v="1"/>
    <n v="1"/>
    <n v="-20"/>
    <n v="120"/>
  </r>
  <r>
    <x v="38"/>
    <s v="conventional_turnover_pct_REFI_24"/>
    <x v="64"/>
    <n v="1"/>
    <n v="1"/>
    <n v="-20"/>
    <n v="120"/>
  </r>
  <r>
    <x v="38"/>
    <s v="conventional_turnover_pct_REFI_25"/>
    <x v="65"/>
    <n v="1"/>
    <n v="1"/>
    <n v="-20"/>
    <n v="120"/>
  </r>
  <r>
    <x v="38"/>
    <s v="conventional_turnover_pct_REFI_26"/>
    <x v="66"/>
    <n v="1"/>
    <n v="1"/>
    <n v="-20"/>
    <n v="120"/>
  </r>
  <r>
    <x v="38"/>
    <s v="conventional_turnover_pct_REFI_27"/>
    <x v="67"/>
    <n v="1"/>
    <n v="1"/>
    <n v="-20"/>
    <n v="120"/>
  </r>
  <r>
    <x v="38"/>
    <s v="conventional_turnover_pct_REFI_28"/>
    <x v="68"/>
    <n v="1"/>
    <n v="1"/>
    <n v="-20"/>
    <n v="120"/>
  </r>
  <r>
    <x v="38"/>
    <s v="conventional_turnover_pct_REFI_29"/>
    <x v="69"/>
    <n v="1"/>
    <n v="1"/>
    <n v="-20"/>
    <n v="120"/>
  </r>
  <r>
    <x v="38"/>
    <s v="conventional_turnover_pct_REFI_30"/>
    <x v="70"/>
    <n v="1"/>
    <n v="1"/>
    <n v="-20"/>
    <n v="120"/>
  </r>
  <r>
    <x v="38"/>
    <s v="conventional_turnover_pct_REFI_31"/>
    <x v="71"/>
    <n v="1"/>
    <n v="1"/>
    <n v="-20"/>
    <n v="120"/>
  </r>
  <r>
    <x v="38"/>
    <s v="conventional_turnover_pct_REFI_32"/>
    <x v="72"/>
    <n v="1"/>
    <n v="1"/>
    <n v="-20"/>
    <n v="120"/>
  </r>
  <r>
    <x v="38"/>
    <s v="conventional_turnover_pct_REFI_33"/>
    <x v="73"/>
    <n v="1"/>
    <n v="1"/>
    <n v="-20"/>
    <n v="120"/>
  </r>
  <r>
    <x v="38"/>
    <s v="conventional_turnover_pct_REFI_34"/>
    <x v="74"/>
    <n v="1"/>
    <n v="1"/>
    <n v="-20"/>
    <n v="120"/>
  </r>
  <r>
    <x v="38"/>
    <s v="conventional_turnover_pct_REFI_35"/>
    <x v="75"/>
    <n v="1"/>
    <n v="1"/>
    <n v="-20"/>
    <n v="120"/>
  </r>
  <r>
    <x v="38"/>
    <s v="conventional_turnover_pct_REFI_36"/>
    <x v="76"/>
    <n v="1"/>
    <n v="1"/>
    <n v="-20"/>
    <n v="120"/>
  </r>
  <r>
    <x v="38"/>
    <s v="conventional_turnover_pct_REFI_37"/>
    <x v="77"/>
    <n v="1"/>
    <n v="1"/>
    <n v="-20"/>
    <n v="120"/>
  </r>
  <r>
    <x v="38"/>
    <s v="conventional_turnover_pct_REFI_38"/>
    <x v="78"/>
    <n v="1"/>
    <n v="1"/>
    <n v="-20"/>
    <n v="120"/>
  </r>
  <r>
    <x v="38"/>
    <s v="conventional_turnover_pct_REFI_39"/>
    <x v="79"/>
    <n v="1"/>
    <n v="1"/>
    <n v="-20"/>
    <n v="120"/>
  </r>
  <r>
    <x v="38"/>
    <s v="conventional_turnover_pct_REFI_40"/>
    <x v="80"/>
    <n v="1"/>
    <n v="1"/>
    <n v="-20"/>
    <n v="120"/>
  </r>
  <r>
    <x v="38"/>
    <s v="conventional_turnover_pct_REFI_41"/>
    <x v="81"/>
    <n v="1"/>
    <n v="1"/>
    <n v="-20"/>
    <n v="120"/>
  </r>
  <r>
    <x v="38"/>
    <s v="conventional_turnover_pct_REFI_42"/>
    <x v="82"/>
    <n v="1"/>
    <n v="1"/>
    <n v="-20"/>
    <n v="120"/>
  </r>
  <r>
    <x v="38"/>
    <s v="conventional_turnover_pct_REFI_43"/>
    <x v="83"/>
    <n v="1"/>
    <n v="1"/>
    <n v="-20"/>
    <n v="120"/>
  </r>
  <r>
    <x v="38"/>
    <s v="conventional_turnover_pct_REFI_44"/>
    <x v="84"/>
    <n v="1"/>
    <n v="1"/>
    <n v="-20"/>
    <n v="120"/>
  </r>
  <r>
    <x v="38"/>
    <s v="conventional_turnover_pct_REFI_45"/>
    <x v="85"/>
    <n v="1"/>
    <n v="1"/>
    <n v="-20"/>
    <n v="120"/>
  </r>
  <r>
    <x v="38"/>
    <s v="conventional_turnover_pct_REFI_46"/>
    <x v="86"/>
    <n v="1"/>
    <n v="1"/>
    <n v="-20"/>
    <n v="120"/>
  </r>
  <r>
    <x v="38"/>
    <s v="conventional_turnover_pct_REFI_47"/>
    <x v="87"/>
    <n v="1"/>
    <n v="1"/>
    <n v="-20"/>
    <n v="120"/>
  </r>
  <r>
    <x v="38"/>
    <s v="conventional_turnover_pct_REFI_48"/>
    <x v="88"/>
    <n v="1"/>
    <n v="1"/>
    <n v="-20"/>
    <n v="120"/>
  </r>
  <r>
    <x v="38"/>
    <s v="conventional_turnover_pct_REFI_49"/>
    <x v="89"/>
    <n v="1"/>
    <n v="1"/>
    <n v="-20"/>
    <n v="120"/>
  </r>
  <r>
    <x v="38"/>
    <s v="conventional_turnover_pct_REFI_50"/>
    <x v="90"/>
    <n v="1"/>
    <n v="1"/>
    <n v="-20"/>
    <n v="120"/>
  </r>
  <r>
    <x v="38"/>
    <s v="conventional_turnover_pct_REFI_51"/>
    <x v="91"/>
    <n v="1"/>
    <n v="1"/>
    <n v="-20"/>
    <n v="120"/>
  </r>
  <r>
    <x v="38"/>
    <s v="conventional_turnover_pct_REFI_52"/>
    <x v="92"/>
    <n v="1"/>
    <n v="1"/>
    <n v="-20"/>
    <n v="120"/>
  </r>
  <r>
    <x v="38"/>
    <s v="conventional_turnover_pct_REFI_53"/>
    <x v="93"/>
    <n v="1"/>
    <n v="1"/>
    <n v="-20"/>
    <n v="120"/>
  </r>
  <r>
    <x v="38"/>
    <s v="conventional_turnover_pct_REFI_54"/>
    <x v="94"/>
    <n v="1"/>
    <n v="1"/>
    <n v="-20"/>
    <n v="120"/>
  </r>
  <r>
    <x v="38"/>
    <s v="conventional_turnover_pct_REFI_55"/>
    <x v="95"/>
    <n v="1"/>
    <n v="1"/>
    <n v="-20"/>
    <n v="120"/>
  </r>
  <r>
    <x v="38"/>
    <s v="conventional_turnover_pct_REFI_56"/>
    <x v="96"/>
    <n v="1"/>
    <n v="1"/>
    <n v="-20"/>
    <n v="120"/>
  </r>
  <r>
    <x v="38"/>
    <s v="conventional_turnover_pct_REFI_57"/>
    <x v="97"/>
    <n v="1"/>
    <n v="1"/>
    <n v="-20"/>
    <n v="120"/>
  </r>
  <r>
    <x v="38"/>
    <s v="conventional_turnover_pct_REFI_58"/>
    <x v="98"/>
    <n v="1"/>
    <n v="1"/>
    <n v="-20"/>
    <n v="120"/>
  </r>
  <r>
    <x v="38"/>
    <s v="conventional_turnover_pct_REFI_59"/>
    <x v="99"/>
    <n v="1"/>
    <n v="1"/>
    <n v="-20"/>
    <n v="120"/>
  </r>
  <r>
    <x v="38"/>
    <s v="conventional_turnover_pct_REFI_60"/>
    <x v="100"/>
    <n v="1"/>
    <n v="1"/>
    <n v="-20"/>
    <n v="120"/>
  </r>
  <r>
    <x v="38"/>
    <s v="conventional_turnover_pct_REFI_61"/>
    <x v="101"/>
    <n v="1"/>
    <n v="1"/>
    <n v="-20"/>
    <n v="120"/>
  </r>
  <r>
    <x v="38"/>
    <s v="conventional_turnover_pct_REFI_62"/>
    <x v="102"/>
    <n v="1"/>
    <n v="1"/>
    <n v="-20"/>
    <n v="120"/>
  </r>
  <r>
    <x v="38"/>
    <s v="conventional_turnover_pct_REFI_63"/>
    <x v="103"/>
    <n v="1"/>
    <n v="1"/>
    <n v="-20"/>
    <n v="120"/>
  </r>
  <r>
    <x v="38"/>
    <s v="conventional_turnover_pct_REFI_64"/>
    <x v="104"/>
    <n v="1"/>
    <n v="1"/>
    <n v="-20"/>
    <n v="120"/>
  </r>
  <r>
    <x v="38"/>
    <s v="conventional_turnover_pct_REFI_65"/>
    <x v="105"/>
    <n v="1"/>
    <n v="1"/>
    <n v="-20"/>
    <n v="120"/>
  </r>
  <r>
    <x v="38"/>
    <s v="conventional_turnover_pct_REFI_66"/>
    <x v="106"/>
    <n v="1"/>
    <n v="1"/>
    <n v="-20"/>
    <n v="120"/>
  </r>
  <r>
    <x v="38"/>
    <s v="conventional_turnover_pct_REFI_67"/>
    <x v="107"/>
    <n v="1"/>
    <n v="1"/>
    <n v="-20"/>
    <n v="120"/>
  </r>
  <r>
    <x v="38"/>
    <s v="conventional_turnover_pct_REFI_68"/>
    <x v="108"/>
    <n v="1"/>
    <n v="1"/>
    <n v="-20"/>
    <n v="120"/>
  </r>
  <r>
    <x v="38"/>
    <s v="conventional_turnover_pct_REFI_69"/>
    <x v="109"/>
    <n v="1"/>
    <n v="1"/>
    <n v="-20"/>
    <n v="120"/>
  </r>
  <r>
    <x v="38"/>
    <s v="conventional_turnover_pct_REFI_70"/>
    <x v="110"/>
    <n v="1"/>
    <n v="1"/>
    <n v="-20"/>
    <n v="120"/>
  </r>
  <r>
    <x v="38"/>
    <s v="conventional_turnover_pct_REFI_71"/>
    <x v="111"/>
    <n v="1"/>
    <n v="1"/>
    <n v="-20"/>
    <n v="120"/>
  </r>
  <r>
    <x v="38"/>
    <s v="conventional_turnover_pct_REFI_72"/>
    <x v="112"/>
    <n v="1"/>
    <n v="1"/>
    <n v="-20"/>
    <n v="120"/>
  </r>
  <r>
    <x v="38"/>
    <s v="conventional_turnover_pct_REFI_73"/>
    <x v="113"/>
    <n v="1"/>
    <n v="1"/>
    <n v="-20"/>
    <n v="120"/>
  </r>
  <r>
    <x v="38"/>
    <s v="conventional_turnover_pct_REFI_74"/>
    <x v="114"/>
    <n v="1"/>
    <n v="1"/>
    <n v="-20"/>
    <n v="120"/>
  </r>
  <r>
    <x v="38"/>
    <s v="conventional_turnover_pct_REFI_75"/>
    <x v="115"/>
    <n v="1"/>
    <n v="1"/>
    <n v="-20"/>
    <n v="120"/>
  </r>
  <r>
    <x v="38"/>
    <s v="conventional_turnover_pct_REFI_76"/>
    <x v="116"/>
    <n v="1"/>
    <n v="1"/>
    <n v="-20"/>
    <n v="120"/>
  </r>
  <r>
    <x v="38"/>
    <s v="conventional_turnover_pct_REFI_77"/>
    <x v="117"/>
    <n v="1"/>
    <n v="1"/>
    <n v="-20"/>
    <n v="120"/>
  </r>
  <r>
    <x v="38"/>
    <s v="conventional_turnover_pct_REFI_78"/>
    <x v="118"/>
    <n v="1"/>
    <n v="1"/>
    <n v="-20"/>
    <n v="120"/>
  </r>
  <r>
    <x v="38"/>
    <s v="conventional_turnover_pct_REFI_79"/>
    <x v="119"/>
    <n v="1"/>
    <n v="1"/>
    <n v="-20"/>
    <n v="120"/>
  </r>
  <r>
    <x v="38"/>
    <s v="conventional_turnover_pct_REFI_80"/>
    <x v="120"/>
    <n v="1"/>
    <n v="1"/>
    <n v="-20"/>
    <n v="120"/>
  </r>
  <r>
    <x v="38"/>
    <s v="conventional_turnover_pct_REFI_81"/>
    <x v="121"/>
    <n v="1"/>
    <n v="1"/>
    <n v="-20"/>
    <n v="120"/>
  </r>
  <r>
    <x v="38"/>
    <s v="conventional_turnover_pct_REFI_82"/>
    <x v="122"/>
    <n v="1"/>
    <n v="1"/>
    <n v="-20"/>
    <n v="120"/>
  </r>
  <r>
    <x v="38"/>
    <s v="conventional_turnover_pct_REFI_83"/>
    <x v="123"/>
    <n v="1"/>
    <n v="1"/>
    <n v="-20"/>
    <n v="120"/>
  </r>
  <r>
    <x v="38"/>
    <s v="conventional_turnover_pct_REFI_84"/>
    <x v="124"/>
    <n v="1"/>
    <n v="1"/>
    <n v="-20"/>
    <n v="120"/>
  </r>
  <r>
    <x v="38"/>
    <s v="conventional_turnover_pct_REFI_85"/>
    <x v="125"/>
    <n v="1"/>
    <n v="1"/>
    <n v="-20"/>
    <n v="120"/>
  </r>
  <r>
    <x v="38"/>
    <s v="conventional_turnover_pct_REFI_86"/>
    <x v="126"/>
    <n v="1"/>
    <n v="1"/>
    <n v="-20"/>
    <n v="120"/>
  </r>
  <r>
    <x v="38"/>
    <s v="conventional_turnover_pct_REFI_87"/>
    <x v="127"/>
    <n v="1"/>
    <n v="1"/>
    <n v="-20"/>
    <n v="120"/>
  </r>
  <r>
    <x v="38"/>
    <s v="conventional_turnover_pct_REFI_88"/>
    <x v="128"/>
    <n v="1"/>
    <n v="1"/>
    <n v="-20"/>
    <n v="120"/>
  </r>
  <r>
    <x v="38"/>
    <s v="conventional_turnover_pct_REFI_89"/>
    <x v="129"/>
    <n v="1"/>
    <n v="1"/>
    <n v="-20"/>
    <n v="120"/>
  </r>
  <r>
    <x v="38"/>
    <s v="conventional_turnover_pct_REFI_90"/>
    <x v="130"/>
    <n v="1"/>
    <n v="1"/>
    <n v="-20"/>
    <n v="120"/>
  </r>
  <r>
    <x v="38"/>
    <s v="conventional_turnover_pct_REFI_91"/>
    <x v="131"/>
    <n v="1"/>
    <n v="1"/>
    <n v="-20"/>
    <n v="120"/>
  </r>
  <r>
    <x v="38"/>
    <s v="conventional_turnover_pct_REFI_92"/>
    <x v="132"/>
    <n v="1"/>
    <n v="1"/>
    <n v="-20"/>
    <n v="120"/>
  </r>
  <r>
    <x v="38"/>
    <s v="conventional_turnover_pct_REFI_93"/>
    <x v="133"/>
    <n v="1"/>
    <n v="1"/>
    <n v="-20"/>
    <n v="120"/>
  </r>
  <r>
    <x v="38"/>
    <s v="conventional_turnover_pct_REFI_94"/>
    <x v="134"/>
    <n v="1"/>
    <n v="1"/>
    <n v="-20"/>
    <n v="120"/>
  </r>
  <r>
    <x v="38"/>
    <s v="conventional_turnover_pct_REFI_95"/>
    <x v="135"/>
    <n v="1"/>
    <n v="1"/>
    <n v="-20"/>
    <n v="120"/>
  </r>
  <r>
    <x v="38"/>
    <s v="conventional_turnover_pct_REFI_96"/>
    <x v="136"/>
    <n v="1"/>
    <n v="1"/>
    <n v="-20"/>
    <n v="120"/>
  </r>
  <r>
    <x v="38"/>
    <s v="conventional_turnover_pct_REFI_97"/>
    <x v="137"/>
    <n v="1"/>
    <n v="1"/>
    <n v="-20"/>
    <n v="120"/>
  </r>
  <r>
    <x v="38"/>
    <s v="conventional_turnover_pct_REFI_98"/>
    <x v="138"/>
    <n v="1"/>
    <n v="1"/>
    <n v="-20"/>
    <n v="120"/>
  </r>
  <r>
    <x v="38"/>
    <s v="conventional_turnover_pct_REFI_99"/>
    <x v="139"/>
    <n v="1"/>
    <n v="1"/>
    <n v="-20"/>
    <n v="120"/>
  </r>
  <r>
    <x v="38"/>
    <s v="conventional_turnover_pct_REFI_100"/>
    <x v="140"/>
    <n v="1"/>
    <n v="1"/>
    <n v="-20"/>
    <n v="120"/>
  </r>
  <r>
    <x v="38"/>
    <s v="conventional_turnover_pct_REFI_101"/>
    <x v="141"/>
    <n v="1"/>
    <n v="1"/>
    <n v="-20"/>
    <n v="120"/>
  </r>
  <r>
    <x v="38"/>
    <s v="conventional_turnover_pct_REFI_102"/>
    <x v="142"/>
    <n v="1"/>
    <n v="1"/>
    <n v="-20"/>
    <n v="120"/>
  </r>
  <r>
    <x v="38"/>
    <s v="conventional_turnover_pct_REFI_103"/>
    <x v="143"/>
    <n v="1"/>
    <n v="1"/>
    <n v="-20"/>
    <n v="120"/>
  </r>
  <r>
    <x v="38"/>
    <s v="conventional_turnover_pct_REFI_104"/>
    <x v="144"/>
    <n v="1"/>
    <n v="1"/>
    <n v="-20"/>
    <n v="120"/>
  </r>
  <r>
    <x v="38"/>
    <s v="conventional_turnover_pct_REFI_105"/>
    <x v="145"/>
    <n v="1"/>
    <n v="1"/>
    <n v="-20"/>
    <n v="120"/>
  </r>
  <r>
    <x v="38"/>
    <s v="conventional_turnover_pct_REFI_106"/>
    <x v="146"/>
    <n v="1"/>
    <n v="1"/>
    <n v="-20"/>
    <n v="120"/>
  </r>
  <r>
    <x v="38"/>
    <s v="conventional_turnover_pct_REFI_107"/>
    <x v="147"/>
    <n v="1"/>
    <n v="1"/>
    <n v="-20"/>
    <n v="120"/>
  </r>
  <r>
    <x v="38"/>
    <s v="conventional_turnover_pct_REFI_108"/>
    <x v="148"/>
    <n v="1"/>
    <n v="1"/>
    <n v="-20"/>
    <n v="120"/>
  </r>
  <r>
    <x v="38"/>
    <s v="conventional_turnover_pct_REFI_109"/>
    <x v="149"/>
    <n v="1"/>
    <n v="1"/>
    <n v="-20"/>
    <n v="120"/>
  </r>
  <r>
    <x v="38"/>
    <s v="conventional_turnover_pct_REFI_110"/>
    <x v="150"/>
    <n v="1"/>
    <n v="1"/>
    <n v="-20"/>
    <n v="120"/>
  </r>
  <r>
    <x v="38"/>
    <s v="conventional_turnover_pct_REFI_111"/>
    <x v="151"/>
    <n v="1"/>
    <n v="1"/>
    <n v="-20"/>
    <n v="120"/>
  </r>
  <r>
    <x v="38"/>
    <s v="conventional_turnover_pct_REFI_112"/>
    <x v="152"/>
    <n v="1"/>
    <n v="1"/>
    <n v="-20"/>
    <n v="120"/>
  </r>
  <r>
    <x v="38"/>
    <s v="conventional_turnover_pct_REFI_113"/>
    <x v="153"/>
    <n v="1"/>
    <n v="1"/>
    <n v="-20"/>
    <n v="120"/>
  </r>
  <r>
    <x v="38"/>
    <s v="conventional_turnover_pct_REFI_114"/>
    <x v="154"/>
    <n v="1"/>
    <n v="1"/>
    <n v="-20"/>
    <n v="120"/>
  </r>
  <r>
    <x v="38"/>
    <s v="conventional_turnover_pct_REFI_115"/>
    <x v="155"/>
    <n v="1"/>
    <n v="1"/>
    <n v="-20"/>
    <n v="120"/>
  </r>
  <r>
    <x v="38"/>
    <s v="conventional_turnover_pct_REFI_116"/>
    <x v="156"/>
    <n v="1"/>
    <n v="1"/>
    <n v="-20"/>
    <n v="120"/>
  </r>
  <r>
    <x v="38"/>
    <s v="conventional_turnover_pct_REFI_117"/>
    <x v="157"/>
    <n v="1"/>
    <n v="1"/>
    <n v="-20"/>
    <n v="120"/>
  </r>
  <r>
    <x v="38"/>
    <s v="conventional_turnover_pct_REFI_118"/>
    <x v="158"/>
    <n v="1"/>
    <n v="1"/>
    <n v="-20"/>
    <n v="120"/>
  </r>
  <r>
    <x v="38"/>
    <s v="conventional_turnover_pct_REFI_119"/>
    <x v="159"/>
    <n v="1"/>
    <n v="1"/>
    <n v="-20"/>
    <n v="120"/>
  </r>
  <r>
    <x v="38"/>
    <s v="conventional_turnover_pct_REFI_120"/>
    <x v="160"/>
    <n v="1"/>
    <n v="1"/>
    <n v="-20"/>
    <n v="120"/>
  </r>
  <r>
    <x v="39"/>
    <s v="conventional_turnover_pct_inv_-20"/>
    <x v="20"/>
    <n v="0.96399999999999997"/>
    <n v="1"/>
    <n v="-20"/>
    <n v="120"/>
  </r>
  <r>
    <x v="39"/>
    <s v="conventional_turnover_pct_inv_-19"/>
    <x v="21"/>
    <n v="0.96579999999999999"/>
    <n v="1"/>
    <n v="-20"/>
    <n v="120"/>
  </r>
  <r>
    <x v="39"/>
    <s v="conventional_turnover_pct_inv_-18"/>
    <x v="22"/>
    <n v="0.96760000000000002"/>
    <n v="1"/>
    <n v="-20"/>
    <n v="120"/>
  </r>
  <r>
    <x v="39"/>
    <s v="conventional_turnover_pct_inv_-17"/>
    <x v="23"/>
    <n v="0.96940000000000004"/>
    <n v="1"/>
    <n v="-20"/>
    <n v="120"/>
  </r>
  <r>
    <x v="39"/>
    <s v="conventional_turnover_pct_inv_-16"/>
    <x v="24"/>
    <n v="0.97119999999999995"/>
    <n v="1"/>
    <n v="-20"/>
    <n v="120"/>
  </r>
  <r>
    <x v="39"/>
    <s v="conventional_turnover_pct_inv_-15"/>
    <x v="25"/>
    <n v="0.97299999999999998"/>
    <n v="1"/>
    <n v="-20"/>
    <n v="120"/>
  </r>
  <r>
    <x v="39"/>
    <s v="conventional_turnover_pct_inv_-14"/>
    <x v="26"/>
    <n v="0.9748"/>
    <n v="1"/>
    <n v="-20"/>
    <n v="120"/>
  </r>
  <r>
    <x v="39"/>
    <s v="conventional_turnover_pct_inv_-13"/>
    <x v="27"/>
    <n v="0.97660000000000002"/>
    <n v="1"/>
    <n v="-20"/>
    <n v="120"/>
  </r>
  <r>
    <x v="39"/>
    <s v="conventional_turnover_pct_inv_-12"/>
    <x v="28"/>
    <n v="0.97840000000000005"/>
    <n v="1"/>
    <n v="-20"/>
    <n v="120"/>
  </r>
  <r>
    <x v="39"/>
    <s v="conventional_turnover_pct_inv_-11"/>
    <x v="29"/>
    <n v="0.98019999999999996"/>
    <n v="1"/>
    <n v="-20"/>
    <n v="120"/>
  </r>
  <r>
    <x v="39"/>
    <s v="conventional_turnover_pct_inv_-10"/>
    <x v="30"/>
    <n v="0.98199999999999998"/>
    <n v="1"/>
    <n v="-20"/>
    <n v="120"/>
  </r>
  <r>
    <x v="39"/>
    <s v="conventional_turnover_pct_inv_-9"/>
    <x v="31"/>
    <n v="0.98380000000000001"/>
    <n v="1"/>
    <n v="-20"/>
    <n v="120"/>
  </r>
  <r>
    <x v="39"/>
    <s v="conventional_turnover_pct_inv_-8"/>
    <x v="32"/>
    <n v="0.98560000000000003"/>
    <n v="1"/>
    <n v="-20"/>
    <n v="120"/>
  </r>
  <r>
    <x v="39"/>
    <s v="conventional_turnover_pct_inv_-7"/>
    <x v="33"/>
    <n v="0.98740000000000006"/>
    <n v="1"/>
    <n v="-20"/>
    <n v="120"/>
  </r>
  <r>
    <x v="39"/>
    <s v="conventional_turnover_pct_inv_-6"/>
    <x v="34"/>
    <n v="0.98919999999999997"/>
    <n v="1"/>
    <n v="-20"/>
    <n v="120"/>
  </r>
  <r>
    <x v="39"/>
    <s v="conventional_turnover_pct_inv_-5"/>
    <x v="35"/>
    <n v="0.99099999999999999"/>
    <n v="1"/>
    <n v="-20"/>
    <n v="120"/>
  </r>
  <r>
    <x v="39"/>
    <s v="conventional_turnover_pct_inv_-4"/>
    <x v="36"/>
    <n v="0.99280000000000002"/>
    <n v="1"/>
    <n v="-20"/>
    <n v="120"/>
  </r>
  <r>
    <x v="39"/>
    <s v="conventional_turnover_pct_inv_-3"/>
    <x v="37"/>
    <n v="0.99460000000000004"/>
    <n v="1"/>
    <n v="-20"/>
    <n v="120"/>
  </r>
  <r>
    <x v="39"/>
    <s v="conventional_turnover_pct_inv_-2"/>
    <x v="38"/>
    <n v="0.99639999999999995"/>
    <n v="1"/>
    <n v="-20"/>
    <n v="120"/>
  </r>
  <r>
    <x v="39"/>
    <s v="conventional_turnover_pct_inv_-1"/>
    <x v="39"/>
    <n v="0.99819999999999998"/>
    <n v="1"/>
    <n v="-20"/>
    <n v="120"/>
  </r>
  <r>
    <x v="39"/>
    <s v="conventional_turnover_pct_inv_0"/>
    <x v="40"/>
    <n v="1"/>
    <n v="1"/>
    <n v="-20"/>
    <n v="120"/>
  </r>
  <r>
    <x v="39"/>
    <s v="conventional_turnover_pct_inv_1"/>
    <x v="41"/>
    <n v="1.0018"/>
    <n v="1"/>
    <n v="-20"/>
    <n v="120"/>
  </r>
  <r>
    <x v="39"/>
    <s v="conventional_turnover_pct_inv_2"/>
    <x v="42"/>
    <n v="1.0036"/>
    <n v="1"/>
    <n v="-20"/>
    <n v="120"/>
  </r>
  <r>
    <x v="39"/>
    <s v="conventional_turnover_pct_inv_3"/>
    <x v="43"/>
    <n v="1.0054000000000001"/>
    <n v="1"/>
    <n v="-20"/>
    <n v="120"/>
  </r>
  <r>
    <x v="39"/>
    <s v="conventional_turnover_pct_inv_4"/>
    <x v="44"/>
    <n v="1.0072000000000001"/>
    <n v="1"/>
    <n v="-20"/>
    <n v="120"/>
  </r>
  <r>
    <x v="39"/>
    <s v="conventional_turnover_pct_inv_5"/>
    <x v="45"/>
    <n v="1.0089999999999999"/>
    <n v="1"/>
    <n v="-20"/>
    <n v="120"/>
  </r>
  <r>
    <x v="39"/>
    <s v="conventional_turnover_pct_inv_6"/>
    <x v="46"/>
    <n v="1.0107999999999999"/>
    <n v="1"/>
    <n v="-20"/>
    <n v="120"/>
  </r>
  <r>
    <x v="39"/>
    <s v="conventional_turnover_pct_inv_7"/>
    <x v="47"/>
    <n v="1.0125999999999999"/>
    <n v="1"/>
    <n v="-20"/>
    <n v="120"/>
  </r>
  <r>
    <x v="39"/>
    <s v="conventional_turnover_pct_inv_8"/>
    <x v="48"/>
    <n v="1.0144"/>
    <n v="1"/>
    <n v="-20"/>
    <n v="120"/>
  </r>
  <r>
    <x v="39"/>
    <s v="conventional_turnover_pct_inv_9"/>
    <x v="49"/>
    <n v="1.0162"/>
    <n v="1"/>
    <n v="-20"/>
    <n v="120"/>
  </r>
  <r>
    <x v="39"/>
    <s v="conventional_turnover_pct_inv_10"/>
    <x v="50"/>
    <n v="1.018"/>
    <n v="1"/>
    <n v="-20"/>
    <n v="120"/>
  </r>
  <r>
    <x v="39"/>
    <s v="conventional_turnover_pct_inv_11"/>
    <x v="51"/>
    <n v="1.0198"/>
    <n v="1"/>
    <n v="-20"/>
    <n v="120"/>
  </r>
  <r>
    <x v="39"/>
    <s v="conventional_turnover_pct_inv_12"/>
    <x v="52"/>
    <n v="1.0216000000000001"/>
    <n v="1"/>
    <n v="-20"/>
    <n v="120"/>
  </r>
  <r>
    <x v="39"/>
    <s v="conventional_turnover_pct_inv_13"/>
    <x v="53"/>
    <n v="1.0234000000000001"/>
    <n v="1"/>
    <n v="-20"/>
    <n v="120"/>
  </r>
  <r>
    <x v="39"/>
    <s v="conventional_turnover_pct_inv_14"/>
    <x v="54"/>
    <n v="1.0251999999999999"/>
    <n v="1"/>
    <n v="-20"/>
    <n v="120"/>
  </r>
  <r>
    <x v="39"/>
    <s v="conventional_turnover_pct_inv_15"/>
    <x v="55"/>
    <n v="1.0269999999999999"/>
    <n v="1"/>
    <n v="-20"/>
    <n v="120"/>
  </r>
  <r>
    <x v="39"/>
    <s v="conventional_turnover_pct_inv_16"/>
    <x v="56"/>
    <n v="1.0287999999999999"/>
    <n v="1"/>
    <n v="-20"/>
    <n v="120"/>
  </r>
  <r>
    <x v="39"/>
    <s v="conventional_turnover_pct_inv_17"/>
    <x v="57"/>
    <n v="1.0306"/>
    <n v="1"/>
    <n v="-20"/>
    <n v="120"/>
  </r>
  <r>
    <x v="39"/>
    <s v="conventional_turnover_pct_inv_18"/>
    <x v="58"/>
    <n v="1.0324"/>
    <n v="1"/>
    <n v="-20"/>
    <n v="120"/>
  </r>
  <r>
    <x v="39"/>
    <s v="conventional_turnover_pct_inv_19"/>
    <x v="59"/>
    <n v="1.0342"/>
    <n v="1"/>
    <n v="-20"/>
    <n v="120"/>
  </r>
  <r>
    <x v="39"/>
    <s v="conventional_turnover_pct_inv_20"/>
    <x v="60"/>
    <n v="1.036"/>
    <n v="1"/>
    <n v="-20"/>
    <n v="120"/>
  </r>
  <r>
    <x v="39"/>
    <s v="conventional_turnover_pct_inv_21"/>
    <x v="61"/>
    <n v="1.0378000000000001"/>
    <n v="1"/>
    <n v="-20"/>
    <n v="120"/>
  </r>
  <r>
    <x v="39"/>
    <s v="conventional_turnover_pct_inv_22"/>
    <x v="62"/>
    <n v="1.0396000000000001"/>
    <n v="1"/>
    <n v="-20"/>
    <n v="120"/>
  </r>
  <r>
    <x v="39"/>
    <s v="conventional_turnover_pct_inv_23"/>
    <x v="63"/>
    <n v="1.0414000000000001"/>
    <n v="1"/>
    <n v="-20"/>
    <n v="120"/>
  </r>
  <r>
    <x v="39"/>
    <s v="conventional_turnover_pct_inv_24"/>
    <x v="64"/>
    <n v="1.0431999999999999"/>
    <n v="1"/>
    <n v="-20"/>
    <n v="120"/>
  </r>
  <r>
    <x v="39"/>
    <s v="conventional_turnover_pct_inv_25"/>
    <x v="65"/>
    <n v="1.0449999999999999"/>
    <n v="1"/>
    <n v="-20"/>
    <n v="120"/>
  </r>
  <r>
    <x v="39"/>
    <s v="conventional_turnover_pct_inv_26"/>
    <x v="66"/>
    <n v="1.0468"/>
    <n v="1"/>
    <n v="-20"/>
    <n v="120"/>
  </r>
  <r>
    <x v="39"/>
    <s v="conventional_turnover_pct_inv_27"/>
    <x v="67"/>
    <n v="1.0486"/>
    <n v="1"/>
    <n v="-20"/>
    <n v="120"/>
  </r>
  <r>
    <x v="39"/>
    <s v="conventional_turnover_pct_inv_28"/>
    <x v="68"/>
    <n v="1.0504"/>
    <n v="1"/>
    <n v="-20"/>
    <n v="120"/>
  </r>
  <r>
    <x v="39"/>
    <s v="conventional_turnover_pct_inv_29"/>
    <x v="69"/>
    <n v="1.0522"/>
    <n v="1"/>
    <n v="-20"/>
    <n v="120"/>
  </r>
  <r>
    <x v="39"/>
    <s v="conventional_turnover_pct_inv_30"/>
    <x v="70"/>
    <n v="1.054"/>
    <n v="1"/>
    <n v="-20"/>
    <n v="120"/>
  </r>
  <r>
    <x v="39"/>
    <s v="conventional_turnover_pct_inv_31"/>
    <x v="71"/>
    <n v="1.0558000000000001"/>
    <n v="1"/>
    <n v="-20"/>
    <n v="120"/>
  </r>
  <r>
    <x v="39"/>
    <s v="conventional_turnover_pct_inv_32"/>
    <x v="72"/>
    <n v="1.0576000000000001"/>
    <n v="1"/>
    <n v="-20"/>
    <n v="120"/>
  </r>
  <r>
    <x v="39"/>
    <s v="conventional_turnover_pct_inv_33"/>
    <x v="73"/>
    <n v="1.0593999999999999"/>
    <n v="1"/>
    <n v="-20"/>
    <n v="120"/>
  </r>
  <r>
    <x v="39"/>
    <s v="conventional_turnover_pct_inv_34"/>
    <x v="74"/>
    <n v="1.0611999999999999"/>
    <n v="1"/>
    <n v="-20"/>
    <n v="120"/>
  </r>
  <r>
    <x v="39"/>
    <s v="conventional_turnover_pct_inv_35"/>
    <x v="75"/>
    <n v="1.0629999999999999"/>
    <n v="1"/>
    <n v="-20"/>
    <n v="120"/>
  </r>
  <r>
    <x v="39"/>
    <s v="conventional_turnover_pct_inv_36"/>
    <x v="76"/>
    <n v="1.0648"/>
    <n v="1"/>
    <n v="-20"/>
    <n v="120"/>
  </r>
  <r>
    <x v="39"/>
    <s v="conventional_turnover_pct_inv_37"/>
    <x v="77"/>
    <n v="1.0666"/>
    <n v="1"/>
    <n v="-20"/>
    <n v="120"/>
  </r>
  <r>
    <x v="39"/>
    <s v="conventional_turnover_pct_inv_38"/>
    <x v="78"/>
    <n v="1.0684"/>
    <n v="1"/>
    <n v="-20"/>
    <n v="120"/>
  </r>
  <r>
    <x v="39"/>
    <s v="conventional_turnover_pct_inv_39"/>
    <x v="79"/>
    <n v="1.0702"/>
    <n v="1"/>
    <n v="-20"/>
    <n v="120"/>
  </r>
  <r>
    <x v="39"/>
    <s v="conventional_turnover_pct_inv_40"/>
    <x v="80"/>
    <n v="1.0720000000000001"/>
    <n v="1"/>
    <n v="-20"/>
    <n v="120"/>
  </r>
  <r>
    <x v="39"/>
    <s v="conventional_turnover_pct_inv_41"/>
    <x v="81"/>
    <n v="1.0738000000000001"/>
    <n v="1"/>
    <n v="-20"/>
    <n v="120"/>
  </r>
  <r>
    <x v="39"/>
    <s v="conventional_turnover_pct_inv_42"/>
    <x v="82"/>
    <n v="1.0755999999999999"/>
    <n v="1"/>
    <n v="-20"/>
    <n v="120"/>
  </r>
  <r>
    <x v="39"/>
    <s v="conventional_turnover_pct_inv_43"/>
    <x v="83"/>
    <n v="1.0773999999999999"/>
    <n v="1"/>
    <n v="-20"/>
    <n v="120"/>
  </r>
  <r>
    <x v="39"/>
    <s v="conventional_turnover_pct_inv_44"/>
    <x v="84"/>
    <n v="1.0791999999999999"/>
    <n v="1"/>
    <n v="-20"/>
    <n v="120"/>
  </r>
  <r>
    <x v="39"/>
    <s v="conventional_turnover_pct_inv_45"/>
    <x v="85"/>
    <n v="1.081"/>
    <n v="1"/>
    <n v="-20"/>
    <n v="120"/>
  </r>
  <r>
    <x v="39"/>
    <s v="conventional_turnover_pct_inv_46"/>
    <x v="86"/>
    <n v="1.0828"/>
    <n v="1"/>
    <n v="-20"/>
    <n v="120"/>
  </r>
  <r>
    <x v="39"/>
    <s v="conventional_turnover_pct_inv_47"/>
    <x v="87"/>
    <n v="1.0846"/>
    <n v="1"/>
    <n v="-20"/>
    <n v="120"/>
  </r>
  <r>
    <x v="39"/>
    <s v="conventional_turnover_pct_inv_48"/>
    <x v="88"/>
    <n v="1.0864"/>
    <n v="1"/>
    <n v="-20"/>
    <n v="120"/>
  </r>
  <r>
    <x v="39"/>
    <s v="conventional_turnover_pct_inv_49"/>
    <x v="89"/>
    <n v="1.0882000000000001"/>
    <n v="1"/>
    <n v="-20"/>
    <n v="120"/>
  </r>
  <r>
    <x v="39"/>
    <s v="conventional_turnover_pct_inv_50"/>
    <x v="90"/>
    <n v="1.0900000000000001"/>
    <n v="1"/>
    <n v="-20"/>
    <n v="120"/>
  </r>
  <r>
    <x v="39"/>
    <s v="conventional_turnover_pct_inv_51"/>
    <x v="91"/>
    <n v="1.0918000000000001"/>
    <n v="1"/>
    <n v="-20"/>
    <n v="120"/>
  </r>
  <r>
    <x v="39"/>
    <s v="conventional_turnover_pct_inv_52"/>
    <x v="92"/>
    <n v="1.0935999999999999"/>
    <n v="1"/>
    <n v="-20"/>
    <n v="120"/>
  </r>
  <r>
    <x v="39"/>
    <s v="conventional_turnover_pct_inv_53"/>
    <x v="93"/>
    <n v="1.0953999999999999"/>
    <n v="1"/>
    <n v="-20"/>
    <n v="120"/>
  </r>
  <r>
    <x v="39"/>
    <s v="conventional_turnover_pct_inv_54"/>
    <x v="94"/>
    <n v="1.0972"/>
    <n v="1"/>
    <n v="-20"/>
    <n v="120"/>
  </r>
  <r>
    <x v="39"/>
    <s v="conventional_turnover_pct_inv_55"/>
    <x v="95"/>
    <n v="1.099"/>
    <n v="1"/>
    <n v="-20"/>
    <n v="120"/>
  </r>
  <r>
    <x v="39"/>
    <s v="conventional_turnover_pct_inv_56"/>
    <x v="96"/>
    <n v="1.1008"/>
    <n v="1"/>
    <n v="-20"/>
    <n v="120"/>
  </r>
  <r>
    <x v="39"/>
    <s v="conventional_turnover_pct_inv_57"/>
    <x v="97"/>
    <n v="1.1026"/>
    <n v="1"/>
    <n v="-20"/>
    <n v="120"/>
  </r>
  <r>
    <x v="39"/>
    <s v="conventional_turnover_pct_inv_58"/>
    <x v="98"/>
    <n v="1.1044"/>
    <n v="1"/>
    <n v="-20"/>
    <n v="120"/>
  </r>
  <r>
    <x v="39"/>
    <s v="conventional_turnover_pct_inv_59"/>
    <x v="99"/>
    <n v="1.1062000000000001"/>
    <n v="1"/>
    <n v="-20"/>
    <n v="120"/>
  </r>
  <r>
    <x v="39"/>
    <s v="conventional_turnover_pct_inv_60"/>
    <x v="100"/>
    <n v="1.1080000000000001"/>
    <n v="1"/>
    <n v="-20"/>
    <n v="120"/>
  </r>
  <r>
    <x v="39"/>
    <s v="conventional_turnover_pct_inv_61"/>
    <x v="101"/>
    <n v="1.1097999999999999"/>
    <n v="1"/>
    <n v="-20"/>
    <n v="120"/>
  </r>
  <r>
    <x v="39"/>
    <s v="conventional_turnover_pct_inv_62"/>
    <x v="102"/>
    <n v="1.1115999999999999"/>
    <n v="1"/>
    <n v="-20"/>
    <n v="120"/>
  </r>
  <r>
    <x v="39"/>
    <s v="conventional_turnover_pct_inv_63"/>
    <x v="103"/>
    <n v="1.1133999999999999"/>
    <n v="1"/>
    <n v="-20"/>
    <n v="120"/>
  </r>
  <r>
    <x v="39"/>
    <s v="conventional_turnover_pct_inv_64"/>
    <x v="104"/>
    <n v="1.1152"/>
    <n v="1"/>
    <n v="-20"/>
    <n v="120"/>
  </r>
  <r>
    <x v="39"/>
    <s v="conventional_turnover_pct_inv_65"/>
    <x v="105"/>
    <n v="1.117"/>
    <n v="1"/>
    <n v="-20"/>
    <n v="120"/>
  </r>
  <r>
    <x v="39"/>
    <s v="conventional_turnover_pct_inv_66"/>
    <x v="106"/>
    <n v="1.1188"/>
    <n v="1"/>
    <n v="-20"/>
    <n v="120"/>
  </r>
  <r>
    <x v="39"/>
    <s v="conventional_turnover_pct_inv_67"/>
    <x v="107"/>
    <n v="1.1206"/>
    <n v="1"/>
    <n v="-20"/>
    <n v="120"/>
  </r>
  <r>
    <x v="39"/>
    <s v="conventional_turnover_pct_inv_68"/>
    <x v="108"/>
    <n v="1.1224000000000001"/>
    <n v="1"/>
    <n v="-20"/>
    <n v="120"/>
  </r>
  <r>
    <x v="39"/>
    <s v="conventional_turnover_pct_inv_69"/>
    <x v="109"/>
    <n v="1.1242000000000001"/>
    <n v="1"/>
    <n v="-20"/>
    <n v="120"/>
  </r>
  <r>
    <x v="39"/>
    <s v="conventional_turnover_pct_inv_70"/>
    <x v="110"/>
    <n v="1.1259999999999999"/>
    <n v="1"/>
    <n v="-20"/>
    <n v="120"/>
  </r>
  <r>
    <x v="39"/>
    <s v="conventional_turnover_pct_inv_71"/>
    <x v="111"/>
    <n v="1.1277999999999999"/>
    <n v="1"/>
    <n v="-20"/>
    <n v="120"/>
  </r>
  <r>
    <x v="39"/>
    <s v="conventional_turnover_pct_inv_72"/>
    <x v="112"/>
    <n v="1.1295999999999999"/>
    <n v="1"/>
    <n v="-20"/>
    <n v="120"/>
  </r>
  <r>
    <x v="39"/>
    <s v="conventional_turnover_pct_inv_73"/>
    <x v="113"/>
    <n v="1.1314"/>
    <n v="1"/>
    <n v="-20"/>
    <n v="120"/>
  </r>
  <r>
    <x v="39"/>
    <s v="conventional_turnover_pct_inv_74"/>
    <x v="114"/>
    <n v="1.1332"/>
    <n v="1"/>
    <n v="-20"/>
    <n v="120"/>
  </r>
  <r>
    <x v="39"/>
    <s v="conventional_turnover_pct_inv_75"/>
    <x v="115"/>
    <n v="1.135"/>
    <n v="1"/>
    <n v="-20"/>
    <n v="120"/>
  </r>
  <r>
    <x v="39"/>
    <s v="conventional_turnover_pct_inv_76"/>
    <x v="116"/>
    <n v="1.1368"/>
    <n v="1"/>
    <n v="-20"/>
    <n v="120"/>
  </r>
  <r>
    <x v="39"/>
    <s v="conventional_turnover_pct_inv_77"/>
    <x v="117"/>
    <n v="1.1386000000000001"/>
    <n v="1"/>
    <n v="-20"/>
    <n v="120"/>
  </r>
  <r>
    <x v="39"/>
    <s v="conventional_turnover_pct_inv_78"/>
    <x v="118"/>
    <n v="1.1404000000000001"/>
    <n v="1"/>
    <n v="-20"/>
    <n v="120"/>
  </r>
  <r>
    <x v="39"/>
    <s v="conventional_turnover_pct_inv_79"/>
    <x v="119"/>
    <n v="1.1422000000000001"/>
    <n v="1"/>
    <n v="-20"/>
    <n v="120"/>
  </r>
  <r>
    <x v="39"/>
    <s v="conventional_turnover_pct_inv_80"/>
    <x v="120"/>
    <n v="1.1439999999999999"/>
    <n v="1"/>
    <n v="-20"/>
    <n v="120"/>
  </r>
  <r>
    <x v="39"/>
    <s v="conventional_turnover_pct_inv_81"/>
    <x v="121"/>
    <n v="1.1457999999999999"/>
    <n v="1"/>
    <n v="-20"/>
    <n v="120"/>
  </r>
  <r>
    <x v="39"/>
    <s v="conventional_turnover_pct_inv_82"/>
    <x v="122"/>
    <n v="1.1476"/>
    <n v="1"/>
    <n v="-20"/>
    <n v="120"/>
  </r>
  <r>
    <x v="39"/>
    <s v="conventional_turnover_pct_inv_83"/>
    <x v="123"/>
    <n v="1.1494"/>
    <n v="1"/>
    <n v="-20"/>
    <n v="120"/>
  </r>
  <r>
    <x v="39"/>
    <s v="conventional_turnover_pct_inv_84"/>
    <x v="124"/>
    <n v="1.1512"/>
    <n v="1"/>
    <n v="-20"/>
    <n v="120"/>
  </r>
  <r>
    <x v="39"/>
    <s v="conventional_turnover_pct_inv_85"/>
    <x v="125"/>
    <n v="1.153"/>
    <n v="1"/>
    <n v="-20"/>
    <n v="120"/>
  </r>
  <r>
    <x v="39"/>
    <s v="conventional_turnover_pct_inv_86"/>
    <x v="126"/>
    <n v="1.1548"/>
    <n v="1"/>
    <n v="-20"/>
    <n v="120"/>
  </r>
  <r>
    <x v="39"/>
    <s v="conventional_turnover_pct_inv_87"/>
    <x v="127"/>
    <n v="1.1566000000000001"/>
    <n v="1"/>
    <n v="-20"/>
    <n v="120"/>
  </r>
  <r>
    <x v="39"/>
    <s v="conventional_turnover_pct_inv_88"/>
    <x v="128"/>
    <n v="1.1584000000000001"/>
    <n v="1"/>
    <n v="-20"/>
    <n v="120"/>
  </r>
  <r>
    <x v="39"/>
    <s v="conventional_turnover_pct_inv_89"/>
    <x v="129"/>
    <n v="1.1601999999999999"/>
    <n v="1"/>
    <n v="-20"/>
    <n v="120"/>
  </r>
  <r>
    <x v="39"/>
    <s v="conventional_turnover_pct_inv_90"/>
    <x v="130"/>
    <n v="1.1619999999999999"/>
    <n v="1"/>
    <n v="-20"/>
    <n v="120"/>
  </r>
  <r>
    <x v="39"/>
    <s v="conventional_turnover_pct_inv_91"/>
    <x v="131"/>
    <n v="1.1637999999999999"/>
    <n v="1"/>
    <n v="-20"/>
    <n v="120"/>
  </r>
  <r>
    <x v="39"/>
    <s v="conventional_turnover_pct_inv_92"/>
    <x v="132"/>
    <n v="1.1656"/>
    <n v="1"/>
    <n v="-20"/>
    <n v="120"/>
  </r>
  <r>
    <x v="39"/>
    <s v="conventional_turnover_pct_inv_93"/>
    <x v="133"/>
    <n v="1.1674"/>
    <n v="1"/>
    <n v="-20"/>
    <n v="120"/>
  </r>
  <r>
    <x v="39"/>
    <s v="conventional_turnover_pct_inv_94"/>
    <x v="134"/>
    <n v="1.1692"/>
    <n v="1"/>
    <n v="-20"/>
    <n v="120"/>
  </r>
  <r>
    <x v="39"/>
    <s v="conventional_turnover_pct_inv_95"/>
    <x v="135"/>
    <n v="1.171"/>
    <n v="1"/>
    <n v="-20"/>
    <n v="120"/>
  </r>
  <r>
    <x v="39"/>
    <s v="conventional_turnover_pct_inv_96"/>
    <x v="136"/>
    <n v="1.1728000000000001"/>
    <n v="1"/>
    <n v="-20"/>
    <n v="120"/>
  </r>
  <r>
    <x v="39"/>
    <s v="conventional_turnover_pct_inv_97"/>
    <x v="137"/>
    <n v="1.1746000000000001"/>
    <n v="1"/>
    <n v="-20"/>
    <n v="120"/>
  </r>
  <r>
    <x v="39"/>
    <s v="conventional_turnover_pct_inv_98"/>
    <x v="138"/>
    <n v="1.1763999999999999"/>
    <n v="1"/>
    <n v="-20"/>
    <n v="120"/>
  </r>
  <r>
    <x v="39"/>
    <s v="conventional_turnover_pct_inv_99"/>
    <x v="139"/>
    <n v="1.1781999999999999"/>
    <n v="1"/>
    <n v="-20"/>
    <n v="120"/>
  </r>
  <r>
    <x v="39"/>
    <s v="conventional_turnover_pct_inv_100"/>
    <x v="140"/>
    <n v="1.18"/>
    <n v="1"/>
    <n v="-20"/>
    <n v="120"/>
  </r>
  <r>
    <x v="39"/>
    <s v="conventional_turnover_pct_inv_101"/>
    <x v="141"/>
    <n v="1.1818"/>
    <n v="1"/>
    <n v="-20"/>
    <n v="120"/>
  </r>
  <r>
    <x v="39"/>
    <s v="conventional_turnover_pct_inv_102"/>
    <x v="142"/>
    <n v="1.1836"/>
    <n v="1"/>
    <n v="-20"/>
    <n v="120"/>
  </r>
  <r>
    <x v="39"/>
    <s v="conventional_turnover_pct_inv_103"/>
    <x v="143"/>
    <n v="1.1854"/>
    <n v="1"/>
    <n v="-20"/>
    <n v="120"/>
  </r>
  <r>
    <x v="39"/>
    <s v="conventional_turnover_pct_inv_104"/>
    <x v="144"/>
    <n v="1.1872"/>
    <n v="1"/>
    <n v="-20"/>
    <n v="120"/>
  </r>
  <r>
    <x v="39"/>
    <s v="conventional_turnover_pct_inv_105"/>
    <x v="145"/>
    <n v="1.1890000000000001"/>
    <n v="1"/>
    <n v="-20"/>
    <n v="120"/>
  </r>
  <r>
    <x v="39"/>
    <s v="conventional_turnover_pct_inv_106"/>
    <x v="146"/>
    <n v="1.1908000000000001"/>
    <n v="1"/>
    <n v="-20"/>
    <n v="120"/>
  </r>
  <r>
    <x v="39"/>
    <s v="conventional_turnover_pct_inv_107"/>
    <x v="147"/>
    <n v="1.1926000000000001"/>
    <n v="1"/>
    <n v="-20"/>
    <n v="120"/>
  </r>
  <r>
    <x v="39"/>
    <s v="conventional_turnover_pct_inv_108"/>
    <x v="148"/>
    <n v="1.1943999999999999"/>
    <n v="1"/>
    <n v="-20"/>
    <n v="120"/>
  </r>
  <r>
    <x v="39"/>
    <s v="conventional_turnover_pct_inv_109"/>
    <x v="149"/>
    <n v="1.1961999999999999"/>
    <n v="1"/>
    <n v="-20"/>
    <n v="120"/>
  </r>
  <r>
    <x v="39"/>
    <s v="conventional_turnover_pct_inv_110"/>
    <x v="150"/>
    <n v="1.198"/>
    <n v="1"/>
    <n v="-20"/>
    <n v="120"/>
  </r>
  <r>
    <x v="39"/>
    <s v="conventional_turnover_pct_inv_111"/>
    <x v="151"/>
    <n v="1.1998"/>
    <n v="1"/>
    <n v="-20"/>
    <n v="120"/>
  </r>
  <r>
    <x v="39"/>
    <s v="conventional_turnover_pct_inv_112"/>
    <x v="152"/>
    <n v="1.2016"/>
    <n v="1"/>
    <n v="-20"/>
    <n v="120"/>
  </r>
  <r>
    <x v="39"/>
    <s v="conventional_turnover_pct_inv_113"/>
    <x v="153"/>
    <n v="1.2034"/>
    <n v="1"/>
    <n v="-20"/>
    <n v="120"/>
  </r>
  <r>
    <x v="39"/>
    <s v="conventional_turnover_pct_inv_114"/>
    <x v="154"/>
    <n v="1.2052"/>
    <n v="1"/>
    <n v="-20"/>
    <n v="120"/>
  </r>
  <r>
    <x v="39"/>
    <s v="conventional_turnover_pct_inv_115"/>
    <x v="155"/>
    <n v="1.2070000000000001"/>
    <n v="1"/>
    <n v="-20"/>
    <n v="120"/>
  </r>
  <r>
    <x v="39"/>
    <s v="conventional_turnover_pct_inv_116"/>
    <x v="156"/>
    <n v="1.2088000000000001"/>
    <n v="1"/>
    <n v="-20"/>
    <n v="120"/>
  </r>
  <r>
    <x v="39"/>
    <s v="conventional_turnover_pct_inv_117"/>
    <x v="157"/>
    <n v="1.2105999999999999"/>
    <n v="1"/>
    <n v="-20"/>
    <n v="120"/>
  </r>
  <r>
    <x v="39"/>
    <s v="conventional_turnover_pct_inv_118"/>
    <x v="158"/>
    <n v="1.2123999999999999"/>
    <n v="1"/>
    <n v="-20"/>
    <n v="120"/>
  </r>
  <r>
    <x v="39"/>
    <s v="conventional_turnover_pct_inv_119"/>
    <x v="159"/>
    <n v="1.2141999999999999"/>
    <n v="1"/>
    <n v="-20"/>
    <n v="120"/>
  </r>
  <r>
    <x v="39"/>
    <s v="conventional_turnover_pct_inv_120"/>
    <x v="160"/>
    <n v="1.216"/>
    <n v="1"/>
    <n v="-20"/>
    <n v="120"/>
  </r>
  <r>
    <x v="40"/>
    <s v="conventional_turnover_pct_second_lien_-20"/>
    <x v="20"/>
    <n v="0.93615999999999999"/>
    <n v="1"/>
    <n v="-20"/>
    <n v="120"/>
  </r>
  <r>
    <x v="40"/>
    <s v="conventional_turnover_pct_second_lien_-19"/>
    <x v="21"/>
    <n v="0.93785200000000002"/>
    <n v="1"/>
    <n v="-20"/>
    <n v="120"/>
  </r>
  <r>
    <x v="40"/>
    <s v="conventional_turnover_pct_second_lien_-18"/>
    <x v="22"/>
    <n v="0.93954400000000005"/>
    <n v="1"/>
    <n v="-20"/>
    <n v="120"/>
  </r>
  <r>
    <x v="40"/>
    <s v="conventional_turnover_pct_second_lien_-17"/>
    <x v="23"/>
    <n v="0.94123599999999996"/>
    <n v="1"/>
    <n v="-20"/>
    <n v="120"/>
  </r>
  <r>
    <x v="40"/>
    <s v="conventional_turnover_pct_second_lien_-16"/>
    <x v="24"/>
    <n v="0.94292799999999999"/>
    <n v="1"/>
    <n v="-20"/>
    <n v="120"/>
  </r>
  <r>
    <x v="40"/>
    <s v="conventional_turnover_pct_second_lien_-15"/>
    <x v="25"/>
    <n v="0.94462000000000002"/>
    <n v="1"/>
    <n v="-20"/>
    <n v="120"/>
  </r>
  <r>
    <x v="40"/>
    <s v="conventional_turnover_pct_second_lien_-14"/>
    <x v="26"/>
    <n v="0.94631200000000004"/>
    <n v="1"/>
    <n v="-20"/>
    <n v="120"/>
  </r>
  <r>
    <x v="40"/>
    <s v="conventional_turnover_pct_second_lien_-13"/>
    <x v="27"/>
    <n v="0.94800399999999996"/>
    <n v="1"/>
    <n v="-20"/>
    <n v="120"/>
  </r>
  <r>
    <x v="40"/>
    <s v="conventional_turnover_pct_second_lien_-12"/>
    <x v="28"/>
    <n v="0.94969599999999998"/>
    <n v="1"/>
    <n v="-20"/>
    <n v="120"/>
  </r>
  <r>
    <x v="40"/>
    <s v="conventional_turnover_pct_second_lien_-11"/>
    <x v="29"/>
    <n v="0.95138800000000001"/>
    <n v="1"/>
    <n v="-20"/>
    <n v="120"/>
  </r>
  <r>
    <x v="40"/>
    <s v="conventional_turnover_pct_second_lien_-10"/>
    <x v="30"/>
    <n v="0.95308000000000004"/>
    <n v="1"/>
    <n v="-20"/>
    <n v="120"/>
  </r>
  <r>
    <x v="40"/>
    <s v="conventional_turnover_pct_second_lien_-9"/>
    <x v="31"/>
    <n v="0.95477199999999995"/>
    <n v="1"/>
    <n v="-20"/>
    <n v="120"/>
  </r>
  <r>
    <x v="40"/>
    <s v="conventional_turnover_pct_second_lien_-8"/>
    <x v="32"/>
    <n v="0.95646399999999998"/>
    <n v="1"/>
    <n v="-20"/>
    <n v="120"/>
  </r>
  <r>
    <x v="40"/>
    <s v="conventional_turnover_pct_second_lien_-7"/>
    <x v="33"/>
    <n v="0.95815600000000001"/>
    <n v="1"/>
    <n v="-20"/>
    <n v="120"/>
  </r>
  <r>
    <x v="40"/>
    <s v="conventional_turnover_pct_second_lien_-6"/>
    <x v="34"/>
    <n v="0.95984800000000003"/>
    <n v="1"/>
    <n v="-20"/>
    <n v="120"/>
  </r>
  <r>
    <x v="40"/>
    <s v="conventional_turnover_pct_second_lien_-5"/>
    <x v="35"/>
    <n v="0.96153999999999995"/>
    <n v="1"/>
    <n v="-20"/>
    <n v="120"/>
  </r>
  <r>
    <x v="40"/>
    <s v="conventional_turnover_pct_second_lien_-4"/>
    <x v="36"/>
    <n v="0.96323199999999998"/>
    <n v="1"/>
    <n v="-20"/>
    <n v="120"/>
  </r>
  <r>
    <x v="40"/>
    <s v="conventional_turnover_pct_second_lien_-3"/>
    <x v="37"/>
    <n v="0.964924"/>
    <n v="1"/>
    <n v="-20"/>
    <n v="120"/>
  </r>
  <r>
    <x v="40"/>
    <s v="conventional_turnover_pct_second_lien_-2"/>
    <x v="38"/>
    <n v="0.96661600000000003"/>
    <n v="1"/>
    <n v="-20"/>
    <n v="120"/>
  </r>
  <r>
    <x v="40"/>
    <s v="conventional_turnover_pct_second_lien_-1"/>
    <x v="39"/>
    <n v="0.96830799999999995"/>
    <n v="1"/>
    <n v="-20"/>
    <n v="120"/>
  </r>
  <r>
    <x v="40"/>
    <s v="conventional_turnover_pct_second_lien_0"/>
    <x v="40"/>
    <n v="0.97"/>
    <n v="1"/>
    <n v="-20"/>
    <n v="120"/>
  </r>
  <r>
    <x v="40"/>
    <s v="conventional_turnover_pct_second_lien_1"/>
    <x v="41"/>
    <n v="0.971692"/>
    <n v="1"/>
    <n v="-20"/>
    <n v="120"/>
  </r>
  <r>
    <x v="40"/>
    <s v="conventional_turnover_pct_second_lien_2"/>
    <x v="42"/>
    <n v="0.97338400000000003"/>
    <n v="1"/>
    <n v="-20"/>
    <n v="120"/>
  </r>
  <r>
    <x v="40"/>
    <s v="conventional_turnover_pct_second_lien_3"/>
    <x v="43"/>
    <n v="0.97507600000000005"/>
    <n v="1"/>
    <n v="-20"/>
    <n v="120"/>
  </r>
  <r>
    <x v="40"/>
    <s v="conventional_turnover_pct_second_lien_4"/>
    <x v="44"/>
    <n v="0.97676799999999997"/>
    <n v="1"/>
    <n v="-20"/>
    <n v="120"/>
  </r>
  <r>
    <x v="40"/>
    <s v="conventional_turnover_pct_second_lien_5"/>
    <x v="45"/>
    <n v="0.97846"/>
    <n v="1"/>
    <n v="-20"/>
    <n v="120"/>
  </r>
  <r>
    <x v="40"/>
    <s v="conventional_turnover_pct_second_lien_6"/>
    <x v="46"/>
    <n v="0.98015200000000002"/>
    <n v="1"/>
    <n v="-20"/>
    <n v="120"/>
  </r>
  <r>
    <x v="40"/>
    <s v="conventional_turnover_pct_second_lien_7"/>
    <x v="47"/>
    <n v="0.98184400000000005"/>
    <n v="1"/>
    <n v="-20"/>
    <n v="120"/>
  </r>
  <r>
    <x v="40"/>
    <s v="conventional_turnover_pct_second_lien_8"/>
    <x v="48"/>
    <n v="0.98353599999999997"/>
    <n v="1"/>
    <n v="-20"/>
    <n v="120"/>
  </r>
  <r>
    <x v="40"/>
    <s v="conventional_turnover_pct_second_lien_9"/>
    <x v="49"/>
    <n v="0.98522799999999999"/>
    <n v="1"/>
    <n v="-20"/>
    <n v="120"/>
  </r>
  <r>
    <x v="40"/>
    <s v="conventional_turnover_pct_second_lien_10"/>
    <x v="50"/>
    <n v="0.98692000000000002"/>
    <n v="1"/>
    <n v="-20"/>
    <n v="120"/>
  </r>
  <r>
    <x v="40"/>
    <s v="conventional_turnover_pct_second_lien_11"/>
    <x v="51"/>
    <n v="0.98861200000000005"/>
    <n v="1"/>
    <n v="-20"/>
    <n v="120"/>
  </r>
  <r>
    <x v="40"/>
    <s v="conventional_turnover_pct_second_lien_12"/>
    <x v="52"/>
    <n v="0.99030399999999996"/>
    <n v="1"/>
    <n v="-20"/>
    <n v="120"/>
  </r>
  <r>
    <x v="40"/>
    <s v="conventional_turnover_pct_second_lien_13"/>
    <x v="53"/>
    <n v="0.99199599999999999"/>
    <n v="1"/>
    <n v="-20"/>
    <n v="120"/>
  </r>
  <r>
    <x v="40"/>
    <s v="conventional_turnover_pct_second_lien_14"/>
    <x v="54"/>
    <n v="0.99368800000000002"/>
    <n v="1"/>
    <n v="-20"/>
    <n v="120"/>
  </r>
  <r>
    <x v="40"/>
    <s v="conventional_turnover_pct_second_lien_15"/>
    <x v="55"/>
    <n v="0.99538000000000004"/>
    <n v="1"/>
    <n v="-20"/>
    <n v="120"/>
  </r>
  <r>
    <x v="40"/>
    <s v="conventional_turnover_pct_second_lien_16"/>
    <x v="56"/>
    <n v="0.99707199999999996"/>
    <n v="1"/>
    <n v="-20"/>
    <n v="120"/>
  </r>
  <r>
    <x v="40"/>
    <s v="conventional_turnover_pct_second_lien_17"/>
    <x v="57"/>
    <n v="0.99876399999999999"/>
    <n v="1"/>
    <n v="-20"/>
    <n v="120"/>
  </r>
  <r>
    <x v="40"/>
    <s v="conventional_turnover_pct_second_lien_18"/>
    <x v="58"/>
    <n v="1.000456"/>
    <n v="1"/>
    <n v="-20"/>
    <n v="120"/>
  </r>
  <r>
    <x v="40"/>
    <s v="conventional_turnover_pct_second_lien_19"/>
    <x v="59"/>
    <n v="1.002148"/>
    <n v="1"/>
    <n v="-20"/>
    <n v="120"/>
  </r>
  <r>
    <x v="40"/>
    <s v="conventional_turnover_pct_second_lien_20"/>
    <x v="60"/>
    <n v="1.0038400000000001"/>
    <n v="1"/>
    <n v="-20"/>
    <n v="120"/>
  </r>
  <r>
    <x v="40"/>
    <s v="conventional_turnover_pct_second_lien_21"/>
    <x v="61"/>
    <n v="1.0055320000000001"/>
    <n v="1"/>
    <n v="-20"/>
    <n v="120"/>
  </r>
  <r>
    <x v="40"/>
    <s v="conventional_turnover_pct_second_lien_22"/>
    <x v="62"/>
    <n v="1.0072239999999999"/>
    <n v="1"/>
    <n v="-20"/>
    <n v="120"/>
  </r>
  <r>
    <x v="40"/>
    <s v="conventional_turnover_pct_second_lien_23"/>
    <x v="63"/>
    <n v="1.0089159999999999"/>
    <n v="1"/>
    <n v="-20"/>
    <n v="120"/>
  </r>
  <r>
    <x v="40"/>
    <s v="conventional_turnover_pct_second_lien_24"/>
    <x v="64"/>
    <n v="1.010608"/>
    <n v="1"/>
    <n v="-20"/>
    <n v="120"/>
  </r>
  <r>
    <x v="40"/>
    <s v="conventional_turnover_pct_second_lien_25"/>
    <x v="65"/>
    <n v="1.0123"/>
    <n v="1"/>
    <n v="-20"/>
    <n v="120"/>
  </r>
  <r>
    <x v="40"/>
    <s v="conventional_turnover_pct_second_lien_26"/>
    <x v="66"/>
    <n v="1.013992"/>
    <n v="1"/>
    <n v="-20"/>
    <n v="120"/>
  </r>
  <r>
    <x v="40"/>
    <s v="conventional_turnover_pct_second_lien_27"/>
    <x v="67"/>
    <n v="1.015684"/>
    <n v="1"/>
    <n v="-20"/>
    <n v="120"/>
  </r>
  <r>
    <x v="40"/>
    <s v="conventional_turnover_pct_second_lien_28"/>
    <x v="68"/>
    <n v="1.0173760000000001"/>
    <n v="1"/>
    <n v="-20"/>
    <n v="120"/>
  </r>
  <r>
    <x v="40"/>
    <s v="conventional_turnover_pct_second_lien_29"/>
    <x v="69"/>
    <n v="1.0190680000000001"/>
    <n v="1"/>
    <n v="-20"/>
    <n v="120"/>
  </r>
  <r>
    <x v="40"/>
    <s v="conventional_turnover_pct_second_lien_30"/>
    <x v="70"/>
    <n v="1.0207599999999999"/>
    <n v="1"/>
    <n v="-20"/>
    <n v="120"/>
  </r>
  <r>
    <x v="40"/>
    <s v="conventional_turnover_pct_second_lien_31"/>
    <x v="71"/>
    <n v="1.0224519999999999"/>
    <n v="1"/>
    <n v="-20"/>
    <n v="120"/>
  </r>
  <r>
    <x v="40"/>
    <s v="conventional_turnover_pct_second_lien_32"/>
    <x v="72"/>
    <n v="1.0241439999999999"/>
    <n v="1"/>
    <n v="-20"/>
    <n v="120"/>
  </r>
  <r>
    <x v="40"/>
    <s v="conventional_turnover_pct_second_lien_33"/>
    <x v="73"/>
    <n v="1.025836"/>
    <n v="1"/>
    <n v="-20"/>
    <n v="120"/>
  </r>
  <r>
    <x v="40"/>
    <s v="conventional_turnover_pct_second_lien_34"/>
    <x v="74"/>
    <n v="1.027528"/>
    <n v="1"/>
    <n v="-20"/>
    <n v="120"/>
  </r>
  <r>
    <x v="40"/>
    <s v="conventional_turnover_pct_second_lien_35"/>
    <x v="75"/>
    <n v="1.02922"/>
    <n v="1"/>
    <n v="-20"/>
    <n v="120"/>
  </r>
  <r>
    <x v="40"/>
    <s v="conventional_turnover_pct_second_lien_36"/>
    <x v="76"/>
    <n v="1.0309120000000001"/>
    <n v="1"/>
    <n v="-20"/>
    <n v="120"/>
  </r>
  <r>
    <x v="40"/>
    <s v="conventional_turnover_pct_second_lien_37"/>
    <x v="77"/>
    <n v="1.0326040000000001"/>
    <n v="1"/>
    <n v="-20"/>
    <n v="120"/>
  </r>
  <r>
    <x v="40"/>
    <s v="conventional_turnover_pct_second_lien_38"/>
    <x v="78"/>
    <n v="1.0342960000000001"/>
    <n v="1"/>
    <n v="-20"/>
    <n v="120"/>
  </r>
  <r>
    <x v="40"/>
    <s v="conventional_turnover_pct_second_lien_39"/>
    <x v="79"/>
    <n v="1.0359879999999999"/>
    <n v="1"/>
    <n v="-20"/>
    <n v="120"/>
  </r>
  <r>
    <x v="40"/>
    <s v="conventional_turnover_pct_second_lien_40"/>
    <x v="80"/>
    <n v="1.0376799999999999"/>
    <n v="1"/>
    <n v="-20"/>
    <n v="120"/>
  </r>
  <r>
    <x v="40"/>
    <s v="conventional_turnover_pct_second_lien_41"/>
    <x v="81"/>
    <n v="1.039372"/>
    <n v="1"/>
    <n v="-20"/>
    <n v="120"/>
  </r>
  <r>
    <x v="40"/>
    <s v="conventional_turnover_pct_second_lien_42"/>
    <x v="82"/>
    <n v="1.041064"/>
    <n v="1"/>
    <n v="-20"/>
    <n v="120"/>
  </r>
  <r>
    <x v="40"/>
    <s v="conventional_turnover_pct_second_lien_43"/>
    <x v="83"/>
    <n v="1.042756"/>
    <n v="1"/>
    <n v="-20"/>
    <n v="120"/>
  </r>
  <r>
    <x v="40"/>
    <s v="conventional_turnover_pct_second_lien_44"/>
    <x v="84"/>
    <n v="1.044448"/>
    <n v="1"/>
    <n v="-20"/>
    <n v="120"/>
  </r>
  <r>
    <x v="40"/>
    <s v="conventional_turnover_pct_second_lien_45"/>
    <x v="85"/>
    <n v="1.0461400000000001"/>
    <n v="1"/>
    <n v="-20"/>
    <n v="120"/>
  </r>
  <r>
    <x v="40"/>
    <s v="conventional_turnover_pct_second_lien_46"/>
    <x v="86"/>
    <n v="1.0478320000000001"/>
    <n v="1"/>
    <n v="-20"/>
    <n v="120"/>
  </r>
  <r>
    <x v="40"/>
    <s v="conventional_turnover_pct_second_lien_47"/>
    <x v="87"/>
    <n v="1.0495239999999999"/>
    <n v="1"/>
    <n v="-20"/>
    <n v="120"/>
  </r>
  <r>
    <x v="40"/>
    <s v="conventional_turnover_pct_second_lien_48"/>
    <x v="88"/>
    <n v="1.0512159999999999"/>
    <n v="1"/>
    <n v="-20"/>
    <n v="120"/>
  </r>
  <r>
    <x v="40"/>
    <s v="conventional_turnover_pct_second_lien_49"/>
    <x v="89"/>
    <n v="1.052908"/>
    <n v="1"/>
    <n v="-20"/>
    <n v="120"/>
  </r>
  <r>
    <x v="40"/>
    <s v="conventional_turnover_pct_second_lien_50"/>
    <x v="90"/>
    <n v="1.0546"/>
    <n v="1"/>
    <n v="-20"/>
    <n v="120"/>
  </r>
  <r>
    <x v="40"/>
    <s v="conventional_turnover_pct_second_lien_51"/>
    <x v="91"/>
    <n v="1.056292"/>
    <n v="1"/>
    <n v="-20"/>
    <n v="120"/>
  </r>
  <r>
    <x v="40"/>
    <s v="conventional_turnover_pct_second_lien_52"/>
    <x v="92"/>
    <n v="1.057984"/>
    <n v="1"/>
    <n v="-20"/>
    <n v="120"/>
  </r>
  <r>
    <x v="40"/>
    <s v="conventional_turnover_pct_second_lien_53"/>
    <x v="93"/>
    <n v="1.0596760000000001"/>
    <n v="1"/>
    <n v="-20"/>
    <n v="120"/>
  </r>
  <r>
    <x v="40"/>
    <s v="conventional_turnover_pct_second_lien_54"/>
    <x v="94"/>
    <n v="1.0613680000000001"/>
    <n v="1"/>
    <n v="-20"/>
    <n v="120"/>
  </r>
  <r>
    <x v="40"/>
    <s v="conventional_turnover_pct_second_lien_55"/>
    <x v="95"/>
    <n v="1.0630599999999999"/>
    <n v="1"/>
    <n v="-20"/>
    <n v="120"/>
  </r>
  <r>
    <x v="40"/>
    <s v="conventional_turnover_pct_second_lien_56"/>
    <x v="96"/>
    <n v="1.0647519999999999"/>
    <n v="1"/>
    <n v="-20"/>
    <n v="120"/>
  </r>
  <r>
    <x v="40"/>
    <s v="conventional_turnover_pct_second_lien_57"/>
    <x v="97"/>
    <n v="1.0664439999999999"/>
    <n v="1"/>
    <n v="-20"/>
    <n v="120"/>
  </r>
  <r>
    <x v="40"/>
    <s v="conventional_turnover_pct_second_lien_58"/>
    <x v="98"/>
    <n v="1.068136"/>
    <n v="1"/>
    <n v="-20"/>
    <n v="120"/>
  </r>
  <r>
    <x v="40"/>
    <s v="conventional_turnover_pct_second_lien_59"/>
    <x v="99"/>
    <n v="1.069828"/>
    <n v="1"/>
    <n v="-20"/>
    <n v="120"/>
  </r>
  <r>
    <x v="40"/>
    <s v="conventional_turnover_pct_second_lien_60"/>
    <x v="100"/>
    <n v="1.07152"/>
    <n v="1"/>
    <n v="-20"/>
    <n v="120"/>
  </r>
  <r>
    <x v="40"/>
    <s v="conventional_turnover_pct_second_lien_61"/>
    <x v="101"/>
    <n v="1.0732120000000001"/>
    <n v="1"/>
    <n v="-20"/>
    <n v="120"/>
  </r>
  <r>
    <x v="40"/>
    <s v="conventional_turnover_pct_second_lien_62"/>
    <x v="102"/>
    <n v="1.0749040000000001"/>
    <n v="1"/>
    <n v="-20"/>
    <n v="120"/>
  </r>
  <r>
    <x v="40"/>
    <s v="conventional_turnover_pct_second_lien_63"/>
    <x v="103"/>
    <n v="1.0765960000000001"/>
    <n v="1"/>
    <n v="-20"/>
    <n v="120"/>
  </r>
  <r>
    <x v="40"/>
    <s v="conventional_turnover_pct_second_lien_64"/>
    <x v="104"/>
    <n v="1.0782879999999999"/>
    <n v="1"/>
    <n v="-20"/>
    <n v="120"/>
  </r>
  <r>
    <x v="40"/>
    <s v="conventional_turnover_pct_second_lien_65"/>
    <x v="105"/>
    <n v="1.0799799999999999"/>
    <n v="1"/>
    <n v="-20"/>
    <n v="120"/>
  </r>
  <r>
    <x v="40"/>
    <s v="conventional_turnover_pct_second_lien_66"/>
    <x v="106"/>
    <n v="1.081672"/>
    <n v="1"/>
    <n v="-20"/>
    <n v="120"/>
  </r>
  <r>
    <x v="40"/>
    <s v="conventional_turnover_pct_second_lien_67"/>
    <x v="107"/>
    <n v="1.083364"/>
    <n v="1"/>
    <n v="-20"/>
    <n v="120"/>
  </r>
  <r>
    <x v="40"/>
    <s v="conventional_turnover_pct_second_lien_68"/>
    <x v="108"/>
    <n v="1.085056"/>
    <n v="1"/>
    <n v="-20"/>
    <n v="120"/>
  </r>
  <r>
    <x v="40"/>
    <s v="conventional_turnover_pct_second_lien_69"/>
    <x v="109"/>
    <n v="1.086748"/>
    <n v="1"/>
    <n v="-20"/>
    <n v="120"/>
  </r>
  <r>
    <x v="40"/>
    <s v="conventional_turnover_pct_second_lien_70"/>
    <x v="110"/>
    <n v="1.0884400000000001"/>
    <n v="1"/>
    <n v="-20"/>
    <n v="120"/>
  </r>
  <r>
    <x v="40"/>
    <s v="conventional_turnover_pct_second_lien_71"/>
    <x v="111"/>
    <n v="1.0901320000000001"/>
    <n v="1"/>
    <n v="-20"/>
    <n v="120"/>
  </r>
  <r>
    <x v="40"/>
    <s v="conventional_turnover_pct_second_lien_72"/>
    <x v="112"/>
    <n v="1.0918239999999999"/>
    <n v="1"/>
    <n v="-20"/>
    <n v="120"/>
  </r>
  <r>
    <x v="40"/>
    <s v="conventional_turnover_pct_second_lien_73"/>
    <x v="113"/>
    <n v="1.0935159999999999"/>
    <n v="1"/>
    <n v="-20"/>
    <n v="120"/>
  </r>
  <r>
    <x v="40"/>
    <s v="conventional_turnover_pct_second_lien_74"/>
    <x v="114"/>
    <n v="1.095208"/>
    <n v="1"/>
    <n v="-20"/>
    <n v="120"/>
  </r>
  <r>
    <x v="40"/>
    <s v="conventional_turnover_pct_second_lien_75"/>
    <x v="115"/>
    <n v="1.0969"/>
    <n v="1"/>
    <n v="-20"/>
    <n v="120"/>
  </r>
  <r>
    <x v="40"/>
    <s v="conventional_turnover_pct_second_lien_76"/>
    <x v="116"/>
    <n v="1.098592"/>
    <n v="1"/>
    <n v="-20"/>
    <n v="120"/>
  </r>
  <r>
    <x v="40"/>
    <s v="conventional_turnover_pct_second_lien_77"/>
    <x v="117"/>
    <n v="1.100284"/>
    <n v="1"/>
    <n v="-20"/>
    <n v="120"/>
  </r>
  <r>
    <x v="40"/>
    <s v="conventional_turnover_pct_second_lien_78"/>
    <x v="118"/>
    <n v="1.1019760000000001"/>
    <n v="1"/>
    <n v="-20"/>
    <n v="120"/>
  </r>
  <r>
    <x v="40"/>
    <s v="conventional_turnover_pct_second_lien_79"/>
    <x v="119"/>
    <n v="1.1036680000000001"/>
    <n v="1"/>
    <n v="-20"/>
    <n v="120"/>
  </r>
  <r>
    <x v="40"/>
    <s v="conventional_turnover_pct_second_lien_80"/>
    <x v="120"/>
    <n v="1.1053599999999999"/>
    <n v="1"/>
    <n v="-20"/>
    <n v="120"/>
  </r>
  <r>
    <x v="40"/>
    <s v="conventional_turnover_pct_second_lien_81"/>
    <x v="121"/>
    <n v="1.1070519999999999"/>
    <n v="1"/>
    <n v="-20"/>
    <n v="120"/>
  </r>
  <r>
    <x v="40"/>
    <s v="conventional_turnover_pct_second_lien_82"/>
    <x v="122"/>
    <n v="1.108744"/>
    <n v="1"/>
    <n v="-20"/>
    <n v="120"/>
  </r>
  <r>
    <x v="40"/>
    <s v="conventional_turnover_pct_second_lien_83"/>
    <x v="123"/>
    <n v="1.110436"/>
    <n v="1"/>
    <n v="-20"/>
    <n v="120"/>
  </r>
  <r>
    <x v="40"/>
    <s v="conventional_turnover_pct_second_lien_84"/>
    <x v="124"/>
    <n v="1.112128"/>
    <n v="1"/>
    <n v="-20"/>
    <n v="120"/>
  </r>
  <r>
    <x v="40"/>
    <s v="conventional_turnover_pct_second_lien_85"/>
    <x v="125"/>
    <n v="1.11382"/>
    <n v="1"/>
    <n v="-20"/>
    <n v="120"/>
  </r>
  <r>
    <x v="40"/>
    <s v="conventional_turnover_pct_second_lien_86"/>
    <x v="126"/>
    <n v="1.1155120000000001"/>
    <n v="1"/>
    <n v="-20"/>
    <n v="120"/>
  </r>
  <r>
    <x v="40"/>
    <s v="conventional_turnover_pct_second_lien_87"/>
    <x v="127"/>
    <n v="1.1172040000000001"/>
    <n v="1"/>
    <n v="-20"/>
    <n v="120"/>
  </r>
  <r>
    <x v="40"/>
    <s v="conventional_turnover_pct_second_lien_88"/>
    <x v="128"/>
    <n v="1.1188959999999999"/>
    <n v="1"/>
    <n v="-20"/>
    <n v="120"/>
  </r>
  <r>
    <x v="40"/>
    <s v="conventional_turnover_pct_second_lien_89"/>
    <x v="129"/>
    <n v="1.1205879999999999"/>
    <n v="1"/>
    <n v="-20"/>
    <n v="120"/>
  </r>
  <r>
    <x v="40"/>
    <s v="conventional_turnover_pct_second_lien_90"/>
    <x v="130"/>
    <n v="1.1222799999999999"/>
    <n v="1"/>
    <n v="-20"/>
    <n v="120"/>
  </r>
  <r>
    <x v="40"/>
    <s v="conventional_turnover_pct_second_lien_91"/>
    <x v="131"/>
    <n v="1.123972"/>
    <n v="1"/>
    <n v="-20"/>
    <n v="120"/>
  </r>
  <r>
    <x v="40"/>
    <s v="conventional_turnover_pct_second_lien_92"/>
    <x v="132"/>
    <n v="1.125664"/>
    <n v="1"/>
    <n v="-20"/>
    <n v="120"/>
  </r>
  <r>
    <x v="40"/>
    <s v="conventional_turnover_pct_second_lien_93"/>
    <x v="133"/>
    <n v="1.127356"/>
    <n v="1"/>
    <n v="-20"/>
    <n v="120"/>
  </r>
  <r>
    <x v="40"/>
    <s v="conventional_turnover_pct_second_lien_94"/>
    <x v="134"/>
    <n v="1.1290480000000001"/>
    <n v="1"/>
    <n v="-20"/>
    <n v="120"/>
  </r>
  <r>
    <x v="40"/>
    <s v="conventional_turnover_pct_second_lien_95"/>
    <x v="135"/>
    <n v="1.1307400000000001"/>
    <n v="1"/>
    <n v="-20"/>
    <n v="120"/>
  </r>
  <r>
    <x v="40"/>
    <s v="conventional_turnover_pct_second_lien_96"/>
    <x v="136"/>
    <n v="1.1324320000000001"/>
    <n v="1"/>
    <n v="-20"/>
    <n v="120"/>
  </r>
  <r>
    <x v="40"/>
    <s v="conventional_turnover_pct_second_lien_97"/>
    <x v="137"/>
    <n v="1.1341239999999999"/>
    <n v="1"/>
    <n v="-20"/>
    <n v="120"/>
  </r>
  <r>
    <x v="40"/>
    <s v="conventional_turnover_pct_second_lien_98"/>
    <x v="138"/>
    <n v="1.1358159999999999"/>
    <n v="1"/>
    <n v="-20"/>
    <n v="120"/>
  </r>
  <r>
    <x v="40"/>
    <s v="conventional_turnover_pct_second_lien_99"/>
    <x v="139"/>
    <n v="1.137508"/>
    <n v="1"/>
    <n v="-20"/>
    <n v="120"/>
  </r>
  <r>
    <x v="40"/>
    <s v="conventional_turnover_pct_second_lien_100"/>
    <x v="140"/>
    <n v="1.1392"/>
    <n v="1"/>
    <n v="-20"/>
    <n v="120"/>
  </r>
  <r>
    <x v="40"/>
    <s v="conventional_turnover_pct_second_lien_101"/>
    <x v="141"/>
    <n v="1.140892"/>
    <n v="1"/>
    <n v="-20"/>
    <n v="120"/>
  </r>
  <r>
    <x v="40"/>
    <s v="conventional_turnover_pct_second_lien_102"/>
    <x v="142"/>
    <n v="1.142584"/>
    <n v="1"/>
    <n v="-20"/>
    <n v="120"/>
  </r>
  <r>
    <x v="40"/>
    <s v="conventional_turnover_pct_second_lien_103"/>
    <x v="143"/>
    <n v="1.1442760000000001"/>
    <n v="1"/>
    <n v="-20"/>
    <n v="120"/>
  </r>
  <r>
    <x v="40"/>
    <s v="conventional_turnover_pct_second_lien_104"/>
    <x v="144"/>
    <n v="1.1459680000000001"/>
    <n v="1"/>
    <n v="-20"/>
    <n v="120"/>
  </r>
  <r>
    <x v="40"/>
    <s v="conventional_turnover_pct_second_lien_105"/>
    <x v="145"/>
    <n v="1.1476599999999999"/>
    <n v="1"/>
    <n v="-20"/>
    <n v="120"/>
  </r>
  <r>
    <x v="40"/>
    <s v="conventional_turnover_pct_second_lien_106"/>
    <x v="146"/>
    <n v="1.1493519999999999"/>
    <n v="1"/>
    <n v="-20"/>
    <n v="120"/>
  </r>
  <r>
    <x v="40"/>
    <s v="conventional_turnover_pct_second_lien_107"/>
    <x v="147"/>
    <n v="1.151044"/>
    <n v="1"/>
    <n v="-20"/>
    <n v="120"/>
  </r>
  <r>
    <x v="40"/>
    <s v="conventional_turnover_pct_second_lien_108"/>
    <x v="148"/>
    <n v="1.152736"/>
    <n v="1"/>
    <n v="-20"/>
    <n v="120"/>
  </r>
  <r>
    <x v="40"/>
    <s v="conventional_turnover_pct_second_lien_109"/>
    <x v="149"/>
    <n v="1.154428"/>
    <n v="1"/>
    <n v="-20"/>
    <n v="120"/>
  </r>
  <r>
    <x v="40"/>
    <s v="conventional_turnover_pct_second_lien_110"/>
    <x v="150"/>
    <n v="1.15612"/>
    <n v="1"/>
    <n v="-20"/>
    <n v="120"/>
  </r>
  <r>
    <x v="40"/>
    <s v="conventional_turnover_pct_second_lien_111"/>
    <x v="151"/>
    <n v="1.1578120000000001"/>
    <n v="1"/>
    <n v="-20"/>
    <n v="120"/>
  </r>
  <r>
    <x v="40"/>
    <s v="conventional_turnover_pct_second_lien_112"/>
    <x v="152"/>
    <n v="1.1595040000000001"/>
    <n v="1"/>
    <n v="-20"/>
    <n v="120"/>
  </r>
  <r>
    <x v="40"/>
    <s v="conventional_turnover_pct_second_lien_113"/>
    <x v="153"/>
    <n v="1.1611959999999999"/>
    <n v="1"/>
    <n v="-20"/>
    <n v="120"/>
  </r>
  <r>
    <x v="40"/>
    <s v="conventional_turnover_pct_second_lien_114"/>
    <x v="154"/>
    <n v="1.1628879999999999"/>
    <n v="1"/>
    <n v="-20"/>
    <n v="120"/>
  </r>
  <r>
    <x v="40"/>
    <s v="conventional_turnover_pct_second_lien_115"/>
    <x v="155"/>
    <n v="1.1645799999999999"/>
    <n v="1"/>
    <n v="-20"/>
    <n v="120"/>
  </r>
  <r>
    <x v="40"/>
    <s v="conventional_turnover_pct_second_lien_116"/>
    <x v="156"/>
    <n v="1.166272"/>
    <n v="1"/>
    <n v="-20"/>
    <n v="120"/>
  </r>
  <r>
    <x v="40"/>
    <s v="conventional_turnover_pct_second_lien_117"/>
    <x v="157"/>
    <n v="1.167964"/>
    <n v="1"/>
    <n v="-20"/>
    <n v="120"/>
  </r>
  <r>
    <x v="40"/>
    <s v="conventional_turnover_pct_second_lien_118"/>
    <x v="158"/>
    <n v="1.169656"/>
    <n v="1"/>
    <n v="-20"/>
    <n v="120"/>
  </r>
  <r>
    <x v="40"/>
    <s v="conventional_turnover_pct_second_lien_119"/>
    <x v="159"/>
    <n v="1.1713480000000001"/>
    <n v="1"/>
    <n v="-20"/>
    <n v="120"/>
  </r>
  <r>
    <x v="40"/>
    <s v="conventional_turnover_pct_second_lien_120"/>
    <x v="160"/>
    <n v="1.1730400000000001"/>
    <n v="1"/>
    <n v="-20"/>
    <n v="120"/>
  </r>
  <r>
    <x v="41"/>
    <s v="conventional_turnover_purch_oltv_51"/>
    <x v="91"/>
    <n v="1.131"/>
    <n v="1"/>
    <n v="51"/>
    <n v="114"/>
  </r>
  <r>
    <x v="41"/>
    <s v="conventional_turnover_purch_oltv_52"/>
    <x v="92"/>
    <n v="1.131"/>
    <n v="1"/>
    <n v="51"/>
    <n v="114"/>
  </r>
  <r>
    <x v="41"/>
    <s v="conventional_turnover_purch_oltv_53"/>
    <x v="93"/>
    <n v="1.131"/>
    <n v="1"/>
    <n v="51"/>
    <n v="114"/>
  </r>
  <r>
    <x v="41"/>
    <s v="conventional_turnover_purch_oltv_54"/>
    <x v="94"/>
    <n v="1.131"/>
    <n v="1"/>
    <n v="51"/>
    <n v="114"/>
  </r>
  <r>
    <x v="41"/>
    <s v="conventional_turnover_purch_oltv_55"/>
    <x v="95"/>
    <n v="1.131"/>
    <n v="1"/>
    <n v="51"/>
    <n v="114"/>
  </r>
  <r>
    <x v="41"/>
    <s v="conventional_turnover_purch_oltv_56"/>
    <x v="96"/>
    <n v="1.131"/>
    <n v="1"/>
    <n v="51"/>
    <n v="114"/>
  </r>
  <r>
    <x v="41"/>
    <s v="conventional_turnover_purch_oltv_57"/>
    <x v="97"/>
    <n v="1.131"/>
    <n v="1"/>
    <n v="51"/>
    <n v="114"/>
  </r>
  <r>
    <x v="41"/>
    <s v="conventional_turnover_purch_oltv_58"/>
    <x v="98"/>
    <n v="1.131"/>
    <n v="1"/>
    <n v="51"/>
    <n v="114"/>
  </r>
  <r>
    <x v="41"/>
    <s v="conventional_turnover_purch_oltv_59"/>
    <x v="99"/>
    <n v="1.131"/>
    <n v="1"/>
    <n v="51"/>
    <n v="114"/>
  </r>
  <r>
    <x v="41"/>
    <s v="conventional_turnover_purch_oltv_60"/>
    <x v="100"/>
    <n v="1.131"/>
    <n v="1"/>
    <n v="51"/>
    <n v="114"/>
  </r>
  <r>
    <x v="41"/>
    <s v="conventional_turnover_purch_oltv_61"/>
    <x v="101"/>
    <n v="1.131"/>
    <n v="1"/>
    <n v="51"/>
    <n v="114"/>
  </r>
  <r>
    <x v="41"/>
    <s v="conventional_turnover_purch_oltv_62"/>
    <x v="102"/>
    <n v="1.131"/>
    <n v="1"/>
    <n v="51"/>
    <n v="114"/>
  </r>
  <r>
    <x v="41"/>
    <s v="conventional_turnover_purch_oltv_63"/>
    <x v="103"/>
    <n v="1.131"/>
    <n v="1"/>
    <n v="51"/>
    <n v="114"/>
  </r>
  <r>
    <x v="41"/>
    <s v="conventional_turnover_purch_oltv_64"/>
    <x v="104"/>
    <n v="1.131"/>
    <n v="1"/>
    <n v="51"/>
    <n v="114"/>
  </r>
  <r>
    <x v="41"/>
    <s v="conventional_turnover_purch_oltv_65"/>
    <x v="105"/>
    <n v="1.131"/>
    <n v="1"/>
    <n v="51"/>
    <n v="114"/>
  </r>
  <r>
    <x v="41"/>
    <s v="conventional_turnover_purch_oltv_66"/>
    <x v="106"/>
    <n v="1.131"/>
    <n v="1"/>
    <n v="51"/>
    <n v="114"/>
  </r>
  <r>
    <x v="41"/>
    <s v="conventional_turnover_purch_oltv_67"/>
    <x v="107"/>
    <n v="1.131"/>
    <n v="1"/>
    <n v="51"/>
    <n v="114"/>
  </r>
  <r>
    <x v="41"/>
    <s v="conventional_turnover_purch_oltv_68"/>
    <x v="108"/>
    <n v="1.131"/>
    <n v="1"/>
    <n v="51"/>
    <n v="114"/>
  </r>
  <r>
    <x v="41"/>
    <s v="conventional_turnover_purch_oltv_69"/>
    <x v="109"/>
    <n v="1.131"/>
    <n v="1"/>
    <n v="51"/>
    <n v="114"/>
  </r>
  <r>
    <x v="41"/>
    <s v="conventional_turnover_purch_oltv_70"/>
    <x v="110"/>
    <n v="1.131"/>
    <n v="1"/>
    <n v="51"/>
    <n v="114"/>
  </r>
  <r>
    <x v="41"/>
    <s v="conventional_turnover_purch_oltv_71"/>
    <x v="111"/>
    <n v="1.131"/>
    <n v="1"/>
    <n v="51"/>
    <n v="114"/>
  </r>
  <r>
    <x v="41"/>
    <s v="conventional_turnover_purch_oltv_72"/>
    <x v="112"/>
    <n v="1.131"/>
    <n v="1"/>
    <n v="51"/>
    <n v="114"/>
  </r>
  <r>
    <x v="41"/>
    <s v="conventional_turnover_purch_oltv_73"/>
    <x v="113"/>
    <n v="1.131"/>
    <n v="1"/>
    <n v="51"/>
    <n v="114"/>
  </r>
  <r>
    <x v="41"/>
    <s v="conventional_turnover_purch_oltv_74"/>
    <x v="114"/>
    <n v="1.131"/>
    <n v="1"/>
    <n v="51"/>
    <n v="114"/>
  </r>
  <r>
    <x v="41"/>
    <s v="conventional_turnover_purch_oltv_75"/>
    <x v="115"/>
    <n v="1.131"/>
    <n v="1"/>
    <n v="51"/>
    <n v="114"/>
  </r>
  <r>
    <x v="41"/>
    <s v="conventional_turnover_purch_oltv_76"/>
    <x v="116"/>
    <n v="1.131"/>
    <n v="1"/>
    <n v="51"/>
    <n v="114"/>
  </r>
  <r>
    <x v="41"/>
    <s v="conventional_turnover_purch_oltv_77"/>
    <x v="117"/>
    <n v="1.131"/>
    <n v="1"/>
    <n v="51"/>
    <n v="114"/>
  </r>
  <r>
    <x v="41"/>
    <s v="conventional_turnover_purch_oltv_78"/>
    <x v="118"/>
    <n v="1.131"/>
    <n v="1"/>
    <n v="51"/>
    <n v="114"/>
  </r>
  <r>
    <x v="41"/>
    <s v="conventional_turnover_purch_oltv_79"/>
    <x v="119"/>
    <n v="1.131"/>
    <n v="1"/>
    <n v="51"/>
    <n v="114"/>
  </r>
  <r>
    <x v="41"/>
    <s v="conventional_turnover_purch_oltv_80"/>
    <x v="120"/>
    <n v="1.131"/>
    <n v="1"/>
    <n v="51"/>
    <n v="114"/>
  </r>
  <r>
    <x v="41"/>
    <s v="conventional_turnover_purch_oltv_81"/>
    <x v="121"/>
    <n v="1.131"/>
    <n v="1"/>
    <n v="51"/>
    <n v="114"/>
  </r>
  <r>
    <x v="41"/>
    <s v="conventional_turnover_purch_oltv_82"/>
    <x v="122"/>
    <n v="1.131"/>
    <n v="1"/>
    <n v="51"/>
    <n v="114"/>
  </r>
  <r>
    <x v="41"/>
    <s v="conventional_turnover_purch_oltv_83"/>
    <x v="123"/>
    <n v="1.131"/>
    <n v="1"/>
    <n v="51"/>
    <n v="114"/>
  </r>
  <r>
    <x v="41"/>
    <s v="conventional_turnover_purch_oltv_84"/>
    <x v="124"/>
    <n v="1.131"/>
    <n v="1"/>
    <n v="51"/>
    <n v="114"/>
  </r>
  <r>
    <x v="41"/>
    <s v="conventional_turnover_purch_oltv_85"/>
    <x v="125"/>
    <n v="1.131"/>
    <n v="1"/>
    <n v="51"/>
    <n v="114"/>
  </r>
  <r>
    <x v="41"/>
    <s v="conventional_turnover_purch_oltv_86"/>
    <x v="126"/>
    <n v="1.131"/>
    <n v="1"/>
    <n v="51"/>
    <n v="114"/>
  </r>
  <r>
    <x v="41"/>
    <s v="conventional_turnover_purch_oltv_87"/>
    <x v="127"/>
    <n v="1.131"/>
    <n v="1"/>
    <n v="51"/>
    <n v="114"/>
  </r>
  <r>
    <x v="41"/>
    <s v="conventional_turnover_purch_oltv_88"/>
    <x v="128"/>
    <n v="1.131"/>
    <n v="1"/>
    <n v="51"/>
    <n v="114"/>
  </r>
  <r>
    <x v="41"/>
    <s v="conventional_turnover_purch_oltv_89"/>
    <x v="129"/>
    <n v="1.131"/>
    <n v="1"/>
    <n v="51"/>
    <n v="114"/>
  </r>
  <r>
    <x v="41"/>
    <s v="conventional_turnover_purch_oltv_90"/>
    <x v="130"/>
    <n v="1.131"/>
    <n v="1"/>
    <n v="51"/>
    <n v="114"/>
  </r>
  <r>
    <x v="41"/>
    <s v="conventional_turnover_purch_oltv_91"/>
    <x v="131"/>
    <n v="1.131"/>
    <n v="1"/>
    <n v="51"/>
    <n v="114"/>
  </r>
  <r>
    <x v="41"/>
    <s v="conventional_turnover_purch_oltv_92"/>
    <x v="132"/>
    <n v="1.131"/>
    <n v="1"/>
    <n v="51"/>
    <n v="114"/>
  </r>
  <r>
    <x v="41"/>
    <s v="conventional_turnover_purch_oltv_93"/>
    <x v="133"/>
    <n v="1.131"/>
    <n v="1"/>
    <n v="51"/>
    <n v="114"/>
  </r>
  <r>
    <x v="41"/>
    <s v="conventional_turnover_purch_oltv_94"/>
    <x v="134"/>
    <n v="1.131"/>
    <n v="1"/>
    <n v="51"/>
    <n v="114"/>
  </r>
  <r>
    <x v="41"/>
    <s v="conventional_turnover_purch_oltv_95"/>
    <x v="135"/>
    <n v="1.131"/>
    <n v="1"/>
    <n v="51"/>
    <n v="114"/>
  </r>
  <r>
    <x v="41"/>
    <s v="conventional_turnover_purch_oltv_96"/>
    <x v="136"/>
    <n v="1.131"/>
    <n v="1"/>
    <n v="51"/>
    <n v="114"/>
  </r>
  <r>
    <x v="41"/>
    <s v="conventional_turnover_purch_oltv_97"/>
    <x v="137"/>
    <n v="1.131"/>
    <n v="1"/>
    <n v="51"/>
    <n v="114"/>
  </r>
  <r>
    <x v="41"/>
    <s v="conventional_turnover_purch_oltv_98"/>
    <x v="138"/>
    <n v="1.131"/>
    <n v="1"/>
    <n v="51"/>
    <n v="114"/>
  </r>
  <r>
    <x v="41"/>
    <s v="conventional_turnover_purch_oltv_99"/>
    <x v="139"/>
    <n v="1.131"/>
    <n v="1"/>
    <n v="51"/>
    <n v="114"/>
  </r>
  <r>
    <x v="41"/>
    <s v="conventional_turnover_purch_oltv_100"/>
    <x v="140"/>
    <n v="1.131"/>
    <n v="1"/>
    <n v="51"/>
    <n v="114"/>
  </r>
  <r>
    <x v="41"/>
    <s v="conventional_turnover_purch_oltv_101"/>
    <x v="141"/>
    <n v="1.131"/>
    <n v="1"/>
    <n v="51"/>
    <n v="114"/>
  </r>
  <r>
    <x v="41"/>
    <s v="conventional_turnover_purch_oltv_102"/>
    <x v="142"/>
    <n v="1.131"/>
    <n v="1"/>
    <n v="51"/>
    <n v="114"/>
  </r>
  <r>
    <x v="41"/>
    <s v="conventional_turnover_purch_oltv_103"/>
    <x v="143"/>
    <n v="1.131"/>
    <n v="1"/>
    <n v="51"/>
    <n v="114"/>
  </r>
  <r>
    <x v="41"/>
    <s v="conventional_turnover_purch_oltv_104"/>
    <x v="144"/>
    <n v="1.131"/>
    <n v="1"/>
    <n v="51"/>
    <n v="114"/>
  </r>
  <r>
    <x v="41"/>
    <s v="conventional_turnover_purch_oltv_105"/>
    <x v="145"/>
    <n v="1.131"/>
    <n v="1"/>
    <n v="51"/>
    <n v="114"/>
  </r>
  <r>
    <x v="41"/>
    <s v="conventional_turnover_purch_oltv_106"/>
    <x v="146"/>
    <n v="1.131"/>
    <n v="1"/>
    <n v="51"/>
    <n v="114"/>
  </r>
  <r>
    <x v="41"/>
    <s v="conventional_turnover_purch_oltv_107"/>
    <x v="147"/>
    <n v="1.131"/>
    <n v="1"/>
    <n v="51"/>
    <n v="114"/>
  </r>
  <r>
    <x v="41"/>
    <s v="conventional_turnover_purch_oltv_108"/>
    <x v="148"/>
    <n v="1.131"/>
    <n v="1"/>
    <n v="51"/>
    <n v="114"/>
  </r>
  <r>
    <x v="41"/>
    <s v="conventional_turnover_purch_oltv_109"/>
    <x v="149"/>
    <n v="1.131"/>
    <n v="1"/>
    <n v="51"/>
    <n v="114"/>
  </r>
  <r>
    <x v="41"/>
    <s v="conventional_turnover_purch_oltv_110"/>
    <x v="150"/>
    <n v="1.131"/>
    <n v="1"/>
    <n v="51"/>
    <n v="114"/>
  </r>
  <r>
    <x v="41"/>
    <s v="conventional_turnover_purch_oltv_111"/>
    <x v="151"/>
    <n v="1.131"/>
    <n v="1"/>
    <n v="51"/>
    <n v="114"/>
  </r>
  <r>
    <x v="41"/>
    <s v="conventional_turnover_purch_oltv_112"/>
    <x v="152"/>
    <n v="1.131"/>
    <n v="1"/>
    <n v="51"/>
    <n v="114"/>
  </r>
  <r>
    <x v="41"/>
    <s v="conventional_turnover_purch_oltv_113"/>
    <x v="153"/>
    <n v="1.131"/>
    <n v="1"/>
    <n v="51"/>
    <n v="114"/>
  </r>
  <r>
    <x v="41"/>
    <s v="conventional_turnover_purch_oltv_114"/>
    <x v="154"/>
    <n v="1.131"/>
    <n v="1"/>
    <n v="51"/>
    <n v="114"/>
  </r>
  <r>
    <x v="42"/>
    <s v="conventional_turnover_refi_HARP_oltv_44"/>
    <x v="84"/>
    <n v="1"/>
    <n v="1"/>
    <n v="44"/>
    <n v="156"/>
  </r>
  <r>
    <x v="42"/>
    <s v="conventional_turnover_refi_HARP_oltv_45"/>
    <x v="85"/>
    <n v="1"/>
    <n v="1"/>
    <n v="44"/>
    <n v="156"/>
  </r>
  <r>
    <x v="42"/>
    <s v="conventional_turnover_refi_HARP_oltv_46"/>
    <x v="86"/>
    <n v="1"/>
    <n v="1"/>
    <n v="44"/>
    <n v="156"/>
  </r>
  <r>
    <x v="42"/>
    <s v="conventional_turnover_refi_HARP_oltv_47"/>
    <x v="87"/>
    <n v="1"/>
    <n v="1"/>
    <n v="44"/>
    <n v="156"/>
  </r>
  <r>
    <x v="42"/>
    <s v="conventional_turnover_refi_HARP_oltv_48"/>
    <x v="88"/>
    <n v="1"/>
    <n v="1"/>
    <n v="44"/>
    <n v="156"/>
  </r>
  <r>
    <x v="42"/>
    <s v="conventional_turnover_refi_HARP_oltv_49"/>
    <x v="89"/>
    <n v="1"/>
    <n v="1"/>
    <n v="44"/>
    <n v="156"/>
  </r>
  <r>
    <x v="42"/>
    <s v="conventional_turnover_refi_HARP_oltv_50"/>
    <x v="90"/>
    <n v="1"/>
    <n v="1"/>
    <n v="44"/>
    <n v="156"/>
  </r>
  <r>
    <x v="42"/>
    <s v="conventional_turnover_refi_HARP_oltv_51"/>
    <x v="91"/>
    <n v="1"/>
    <n v="1"/>
    <n v="44"/>
    <n v="156"/>
  </r>
  <r>
    <x v="42"/>
    <s v="conventional_turnover_refi_HARP_oltv_52"/>
    <x v="92"/>
    <n v="1"/>
    <n v="1"/>
    <n v="44"/>
    <n v="156"/>
  </r>
  <r>
    <x v="42"/>
    <s v="conventional_turnover_refi_HARP_oltv_53"/>
    <x v="93"/>
    <n v="1"/>
    <n v="1"/>
    <n v="44"/>
    <n v="156"/>
  </r>
  <r>
    <x v="42"/>
    <s v="conventional_turnover_refi_HARP_oltv_54"/>
    <x v="94"/>
    <n v="1"/>
    <n v="1"/>
    <n v="44"/>
    <n v="156"/>
  </r>
  <r>
    <x v="42"/>
    <s v="conventional_turnover_refi_HARP_oltv_55"/>
    <x v="95"/>
    <n v="1"/>
    <n v="1"/>
    <n v="44"/>
    <n v="156"/>
  </r>
  <r>
    <x v="42"/>
    <s v="conventional_turnover_refi_HARP_oltv_56"/>
    <x v="96"/>
    <n v="1"/>
    <n v="1"/>
    <n v="44"/>
    <n v="156"/>
  </r>
  <r>
    <x v="42"/>
    <s v="conventional_turnover_refi_HARP_oltv_57"/>
    <x v="97"/>
    <n v="1"/>
    <n v="1"/>
    <n v="44"/>
    <n v="156"/>
  </r>
  <r>
    <x v="42"/>
    <s v="conventional_turnover_refi_HARP_oltv_58"/>
    <x v="98"/>
    <n v="1"/>
    <n v="1"/>
    <n v="44"/>
    <n v="156"/>
  </r>
  <r>
    <x v="42"/>
    <s v="conventional_turnover_refi_HARP_oltv_59"/>
    <x v="99"/>
    <n v="1"/>
    <n v="1"/>
    <n v="44"/>
    <n v="156"/>
  </r>
  <r>
    <x v="42"/>
    <s v="conventional_turnover_refi_HARP_oltv_60"/>
    <x v="100"/>
    <n v="1"/>
    <n v="1"/>
    <n v="44"/>
    <n v="156"/>
  </r>
  <r>
    <x v="42"/>
    <s v="conventional_turnover_refi_HARP_oltv_61"/>
    <x v="101"/>
    <n v="1"/>
    <n v="1"/>
    <n v="44"/>
    <n v="156"/>
  </r>
  <r>
    <x v="42"/>
    <s v="conventional_turnover_refi_HARP_oltv_62"/>
    <x v="102"/>
    <n v="1"/>
    <n v="1"/>
    <n v="44"/>
    <n v="156"/>
  </r>
  <r>
    <x v="42"/>
    <s v="conventional_turnover_refi_HARP_oltv_63"/>
    <x v="103"/>
    <n v="1"/>
    <n v="1"/>
    <n v="44"/>
    <n v="156"/>
  </r>
  <r>
    <x v="42"/>
    <s v="conventional_turnover_refi_HARP_oltv_64"/>
    <x v="104"/>
    <n v="1"/>
    <n v="1"/>
    <n v="44"/>
    <n v="156"/>
  </r>
  <r>
    <x v="42"/>
    <s v="conventional_turnover_refi_HARP_oltv_65"/>
    <x v="105"/>
    <n v="1"/>
    <n v="1"/>
    <n v="44"/>
    <n v="156"/>
  </r>
  <r>
    <x v="42"/>
    <s v="conventional_turnover_refi_HARP_oltv_66"/>
    <x v="106"/>
    <n v="1"/>
    <n v="1"/>
    <n v="44"/>
    <n v="156"/>
  </r>
  <r>
    <x v="42"/>
    <s v="conventional_turnover_refi_HARP_oltv_67"/>
    <x v="107"/>
    <n v="1"/>
    <n v="1"/>
    <n v="44"/>
    <n v="156"/>
  </r>
  <r>
    <x v="42"/>
    <s v="conventional_turnover_refi_HARP_oltv_68"/>
    <x v="108"/>
    <n v="1"/>
    <n v="1"/>
    <n v="44"/>
    <n v="156"/>
  </r>
  <r>
    <x v="42"/>
    <s v="conventional_turnover_refi_HARP_oltv_69"/>
    <x v="109"/>
    <n v="1"/>
    <n v="1"/>
    <n v="44"/>
    <n v="156"/>
  </r>
  <r>
    <x v="42"/>
    <s v="conventional_turnover_refi_HARP_oltv_70"/>
    <x v="110"/>
    <n v="1"/>
    <n v="1"/>
    <n v="44"/>
    <n v="156"/>
  </r>
  <r>
    <x v="42"/>
    <s v="conventional_turnover_refi_HARP_oltv_71"/>
    <x v="111"/>
    <n v="1"/>
    <n v="1"/>
    <n v="44"/>
    <n v="156"/>
  </r>
  <r>
    <x v="42"/>
    <s v="conventional_turnover_refi_HARP_oltv_72"/>
    <x v="112"/>
    <n v="1"/>
    <n v="1"/>
    <n v="44"/>
    <n v="156"/>
  </r>
  <r>
    <x v="42"/>
    <s v="conventional_turnover_refi_HARP_oltv_73"/>
    <x v="113"/>
    <n v="1"/>
    <n v="1"/>
    <n v="44"/>
    <n v="156"/>
  </r>
  <r>
    <x v="42"/>
    <s v="conventional_turnover_refi_HARP_oltv_74"/>
    <x v="114"/>
    <n v="1"/>
    <n v="1"/>
    <n v="44"/>
    <n v="156"/>
  </r>
  <r>
    <x v="42"/>
    <s v="conventional_turnover_refi_HARP_oltv_75"/>
    <x v="115"/>
    <n v="1"/>
    <n v="1"/>
    <n v="44"/>
    <n v="156"/>
  </r>
  <r>
    <x v="42"/>
    <s v="conventional_turnover_refi_HARP_oltv_76"/>
    <x v="116"/>
    <n v="1.00308"/>
    <n v="1"/>
    <n v="44"/>
    <n v="156"/>
  </r>
  <r>
    <x v="42"/>
    <s v="conventional_turnover_refi_HARP_oltv_77"/>
    <x v="117"/>
    <n v="1.0114399999999999"/>
    <n v="1"/>
    <n v="44"/>
    <n v="156"/>
  </r>
  <r>
    <x v="42"/>
    <s v="conventional_turnover_refi_HARP_oltv_78"/>
    <x v="118"/>
    <n v="1.02376"/>
    <n v="1"/>
    <n v="44"/>
    <n v="156"/>
  </r>
  <r>
    <x v="42"/>
    <s v="conventional_turnover_refi_HARP_oltv_79"/>
    <x v="119"/>
    <n v="1.0387200000000001"/>
    <n v="1"/>
    <n v="44"/>
    <n v="156"/>
  </r>
  <r>
    <x v="42"/>
    <s v="conventional_turnover_refi_HARP_oltv_80"/>
    <x v="120"/>
    <n v="1.0549999999999999"/>
    <n v="1"/>
    <n v="44"/>
    <n v="156"/>
  </r>
  <r>
    <x v="42"/>
    <s v="conventional_turnover_refi_HARP_oltv_81"/>
    <x v="121"/>
    <n v="1.07128"/>
    <n v="1"/>
    <n v="44"/>
    <n v="156"/>
  </r>
  <r>
    <x v="42"/>
    <s v="conventional_turnover_refi_HARP_oltv_82"/>
    <x v="122"/>
    <n v="1.0862400000000001"/>
    <n v="1"/>
    <n v="44"/>
    <n v="156"/>
  </r>
  <r>
    <x v="42"/>
    <s v="conventional_turnover_refi_HARP_oltv_83"/>
    <x v="123"/>
    <n v="1.09856"/>
    <n v="1"/>
    <n v="44"/>
    <n v="156"/>
  </r>
  <r>
    <x v="42"/>
    <s v="conventional_turnover_refi_HARP_oltv_84"/>
    <x v="124"/>
    <n v="1.1069199999999999"/>
    <n v="1"/>
    <n v="44"/>
    <n v="156"/>
  </r>
  <r>
    <x v="42"/>
    <s v="conventional_turnover_refi_HARP_oltv_85"/>
    <x v="125"/>
    <n v="1.1100000000000001"/>
    <n v="1"/>
    <n v="44"/>
    <n v="156"/>
  </r>
  <r>
    <x v="42"/>
    <s v="conventional_turnover_refi_HARP_oltv_86"/>
    <x v="126"/>
    <n v="1.1100000000000001"/>
    <n v="1"/>
    <n v="44"/>
    <n v="156"/>
  </r>
  <r>
    <x v="42"/>
    <s v="conventional_turnover_refi_HARP_oltv_87"/>
    <x v="127"/>
    <n v="1.1100000000000001"/>
    <n v="1"/>
    <n v="44"/>
    <n v="156"/>
  </r>
  <r>
    <x v="42"/>
    <s v="conventional_turnover_refi_HARP_oltv_88"/>
    <x v="128"/>
    <n v="1.1100000000000001"/>
    <n v="1"/>
    <n v="44"/>
    <n v="156"/>
  </r>
  <r>
    <x v="42"/>
    <s v="conventional_turnover_refi_HARP_oltv_89"/>
    <x v="129"/>
    <n v="1.1100000000000001"/>
    <n v="1"/>
    <n v="44"/>
    <n v="156"/>
  </r>
  <r>
    <x v="42"/>
    <s v="conventional_turnover_refi_HARP_oltv_90"/>
    <x v="130"/>
    <n v="1.1100000000000001"/>
    <n v="1"/>
    <n v="44"/>
    <n v="156"/>
  </r>
  <r>
    <x v="42"/>
    <s v="conventional_turnover_refi_HARP_oltv_91"/>
    <x v="131"/>
    <n v="1.1100000000000001"/>
    <n v="1"/>
    <n v="44"/>
    <n v="156"/>
  </r>
  <r>
    <x v="42"/>
    <s v="conventional_turnover_refi_HARP_oltv_92"/>
    <x v="132"/>
    <n v="1.1100000000000001"/>
    <n v="1"/>
    <n v="44"/>
    <n v="156"/>
  </r>
  <r>
    <x v="42"/>
    <s v="conventional_turnover_refi_HARP_oltv_93"/>
    <x v="133"/>
    <n v="1.1100000000000001"/>
    <n v="1"/>
    <n v="44"/>
    <n v="156"/>
  </r>
  <r>
    <x v="42"/>
    <s v="conventional_turnover_refi_HARP_oltv_94"/>
    <x v="134"/>
    <n v="1.1100000000000001"/>
    <n v="1"/>
    <n v="44"/>
    <n v="156"/>
  </r>
  <r>
    <x v="42"/>
    <s v="conventional_turnover_refi_HARP_oltv_95"/>
    <x v="135"/>
    <n v="1.1100000000000001"/>
    <n v="1"/>
    <n v="44"/>
    <n v="156"/>
  </r>
  <r>
    <x v="42"/>
    <s v="conventional_turnover_refi_HARP_oltv_96"/>
    <x v="136"/>
    <n v="1.1100000000000001"/>
    <n v="1"/>
    <n v="44"/>
    <n v="156"/>
  </r>
  <r>
    <x v="42"/>
    <s v="conventional_turnover_refi_HARP_oltv_97"/>
    <x v="137"/>
    <n v="1.1100000000000001"/>
    <n v="1"/>
    <n v="44"/>
    <n v="156"/>
  </r>
  <r>
    <x v="42"/>
    <s v="conventional_turnover_refi_HARP_oltv_98"/>
    <x v="138"/>
    <n v="1.1100000000000001"/>
    <n v="1"/>
    <n v="44"/>
    <n v="156"/>
  </r>
  <r>
    <x v="42"/>
    <s v="conventional_turnover_refi_HARP_oltv_99"/>
    <x v="139"/>
    <n v="1.1100000000000001"/>
    <n v="1"/>
    <n v="44"/>
    <n v="156"/>
  </r>
  <r>
    <x v="42"/>
    <s v="conventional_turnover_refi_HARP_oltv_100"/>
    <x v="140"/>
    <n v="1.1100000000000001"/>
    <n v="1"/>
    <n v="44"/>
    <n v="156"/>
  </r>
  <r>
    <x v="42"/>
    <s v="conventional_turnover_refi_HARP_oltv_101"/>
    <x v="141"/>
    <n v="1.11392"/>
    <n v="1"/>
    <n v="44"/>
    <n v="156"/>
  </r>
  <r>
    <x v="42"/>
    <s v="conventional_turnover_refi_HARP_oltv_102"/>
    <x v="142"/>
    <n v="1.12456"/>
    <n v="1"/>
    <n v="44"/>
    <n v="156"/>
  </r>
  <r>
    <x v="42"/>
    <s v="conventional_turnover_refi_HARP_oltv_103"/>
    <x v="143"/>
    <n v="1.1402399999999999"/>
    <n v="1"/>
    <n v="44"/>
    <n v="156"/>
  </r>
  <r>
    <x v="42"/>
    <s v="conventional_turnover_refi_HARP_oltv_104"/>
    <x v="144"/>
    <n v="1.1592800000000001"/>
    <n v="1"/>
    <n v="44"/>
    <n v="156"/>
  </r>
  <r>
    <x v="42"/>
    <s v="conventional_turnover_refi_HARP_oltv_105"/>
    <x v="145"/>
    <n v="1.18"/>
    <n v="1"/>
    <n v="44"/>
    <n v="156"/>
  </r>
  <r>
    <x v="42"/>
    <s v="conventional_turnover_refi_HARP_oltv_106"/>
    <x v="146"/>
    <n v="1.20072"/>
    <n v="1"/>
    <n v="44"/>
    <n v="156"/>
  </r>
  <r>
    <x v="42"/>
    <s v="conventional_turnover_refi_HARP_oltv_107"/>
    <x v="147"/>
    <n v="1.21976"/>
    <n v="1"/>
    <n v="44"/>
    <n v="156"/>
  </r>
  <r>
    <x v="42"/>
    <s v="conventional_turnover_refi_HARP_oltv_108"/>
    <x v="148"/>
    <n v="1.2354400000000001"/>
    <n v="1"/>
    <n v="44"/>
    <n v="156"/>
  </r>
  <r>
    <x v="42"/>
    <s v="conventional_turnover_refi_HARP_oltv_109"/>
    <x v="149"/>
    <n v="1.2460800000000001"/>
    <n v="1"/>
    <n v="44"/>
    <n v="156"/>
  </r>
  <r>
    <x v="42"/>
    <s v="conventional_turnover_refi_HARP_oltv_110"/>
    <x v="150"/>
    <n v="1.25"/>
    <n v="1"/>
    <n v="44"/>
    <n v="156"/>
  </r>
  <r>
    <x v="42"/>
    <s v="conventional_turnover_refi_HARP_oltv_111"/>
    <x v="151"/>
    <n v="1.25"/>
    <n v="1"/>
    <n v="44"/>
    <n v="156"/>
  </r>
  <r>
    <x v="42"/>
    <s v="conventional_turnover_refi_HARP_oltv_112"/>
    <x v="152"/>
    <n v="1.25"/>
    <n v="1"/>
    <n v="44"/>
    <n v="156"/>
  </r>
  <r>
    <x v="42"/>
    <s v="conventional_turnover_refi_HARP_oltv_113"/>
    <x v="153"/>
    <n v="1.25"/>
    <n v="1"/>
    <n v="44"/>
    <n v="156"/>
  </r>
  <r>
    <x v="42"/>
    <s v="conventional_turnover_refi_HARP_oltv_114"/>
    <x v="154"/>
    <n v="1.25"/>
    <n v="1"/>
    <n v="44"/>
    <n v="156"/>
  </r>
  <r>
    <x v="42"/>
    <s v="conventional_turnover_refi_HARP_oltv_115"/>
    <x v="155"/>
    <n v="1.25"/>
    <n v="1"/>
    <n v="44"/>
    <n v="156"/>
  </r>
  <r>
    <x v="42"/>
    <s v="conventional_turnover_refi_HARP_oltv_116"/>
    <x v="156"/>
    <n v="1.25"/>
    <n v="1"/>
    <n v="44"/>
    <n v="156"/>
  </r>
  <r>
    <x v="42"/>
    <s v="conventional_turnover_refi_HARP_oltv_117"/>
    <x v="157"/>
    <n v="1.25"/>
    <n v="1"/>
    <n v="44"/>
    <n v="156"/>
  </r>
  <r>
    <x v="42"/>
    <s v="conventional_turnover_refi_HARP_oltv_118"/>
    <x v="158"/>
    <n v="1.25"/>
    <n v="1"/>
    <n v="44"/>
    <n v="156"/>
  </r>
  <r>
    <x v="42"/>
    <s v="conventional_turnover_refi_HARP_oltv_119"/>
    <x v="159"/>
    <n v="1.25"/>
    <n v="1"/>
    <n v="44"/>
    <n v="156"/>
  </r>
  <r>
    <x v="42"/>
    <s v="conventional_turnover_refi_HARP_oltv_120"/>
    <x v="160"/>
    <n v="1.25"/>
    <n v="1"/>
    <n v="44"/>
    <n v="156"/>
  </r>
  <r>
    <x v="42"/>
    <s v="conventional_turnover_refi_HARP_oltv_121"/>
    <x v="161"/>
    <n v="1.2542"/>
    <n v="1"/>
    <n v="44"/>
    <n v="156"/>
  </r>
  <r>
    <x v="42"/>
    <s v="conventional_turnover_refi_HARP_oltv_122"/>
    <x v="162"/>
    <n v="1.2656000000000001"/>
    <n v="1"/>
    <n v="44"/>
    <n v="156"/>
  </r>
  <r>
    <x v="42"/>
    <s v="conventional_turnover_refi_HARP_oltv_123"/>
    <x v="163"/>
    <n v="1.2824"/>
    <n v="1"/>
    <n v="44"/>
    <n v="156"/>
  </r>
  <r>
    <x v="42"/>
    <s v="conventional_turnover_refi_HARP_oltv_124"/>
    <x v="164"/>
    <n v="1.3028"/>
    <n v="1"/>
    <n v="44"/>
    <n v="156"/>
  </r>
  <r>
    <x v="42"/>
    <s v="conventional_turnover_refi_HARP_oltv_125"/>
    <x v="165"/>
    <n v="1.325"/>
    <n v="1"/>
    <n v="44"/>
    <n v="156"/>
  </r>
  <r>
    <x v="42"/>
    <s v="conventional_turnover_refi_HARP_oltv_126"/>
    <x v="166"/>
    <n v="1.3472"/>
    <n v="1"/>
    <n v="44"/>
    <n v="156"/>
  </r>
  <r>
    <x v="42"/>
    <s v="conventional_turnover_refi_HARP_oltv_127"/>
    <x v="167"/>
    <n v="1.3675999999999999"/>
    <n v="1"/>
    <n v="44"/>
    <n v="156"/>
  </r>
  <r>
    <x v="42"/>
    <s v="conventional_turnover_refi_HARP_oltv_128"/>
    <x v="168"/>
    <n v="1.3844000000000001"/>
    <n v="1"/>
    <n v="44"/>
    <n v="156"/>
  </r>
  <r>
    <x v="42"/>
    <s v="conventional_turnover_refi_HARP_oltv_129"/>
    <x v="169"/>
    <n v="1.3957999999999999"/>
    <n v="1"/>
    <n v="44"/>
    <n v="156"/>
  </r>
  <r>
    <x v="42"/>
    <s v="conventional_turnover_refi_HARP_oltv_130"/>
    <x v="170"/>
    <n v="1.4"/>
    <n v="1"/>
    <n v="44"/>
    <n v="156"/>
  </r>
  <r>
    <x v="42"/>
    <s v="conventional_turnover_refi_HARP_oltv_131"/>
    <x v="171"/>
    <n v="1.4"/>
    <n v="1"/>
    <n v="44"/>
    <n v="156"/>
  </r>
  <r>
    <x v="42"/>
    <s v="conventional_turnover_refi_HARP_oltv_132"/>
    <x v="172"/>
    <n v="1.4"/>
    <n v="1"/>
    <n v="44"/>
    <n v="156"/>
  </r>
  <r>
    <x v="42"/>
    <s v="conventional_turnover_refi_HARP_oltv_133"/>
    <x v="173"/>
    <n v="1.4"/>
    <n v="1"/>
    <n v="44"/>
    <n v="156"/>
  </r>
  <r>
    <x v="42"/>
    <s v="conventional_turnover_refi_HARP_oltv_134"/>
    <x v="174"/>
    <n v="1.4"/>
    <n v="1"/>
    <n v="44"/>
    <n v="156"/>
  </r>
  <r>
    <x v="42"/>
    <s v="conventional_turnover_refi_HARP_oltv_135"/>
    <x v="175"/>
    <n v="1.4"/>
    <n v="1"/>
    <n v="44"/>
    <n v="156"/>
  </r>
  <r>
    <x v="42"/>
    <s v="conventional_turnover_refi_HARP_oltv_136"/>
    <x v="176"/>
    <n v="1.4"/>
    <n v="1"/>
    <n v="44"/>
    <n v="156"/>
  </r>
  <r>
    <x v="42"/>
    <s v="conventional_turnover_refi_HARP_oltv_137"/>
    <x v="177"/>
    <n v="1.4"/>
    <n v="1"/>
    <n v="44"/>
    <n v="156"/>
  </r>
  <r>
    <x v="42"/>
    <s v="conventional_turnover_refi_HARP_oltv_138"/>
    <x v="178"/>
    <n v="1.4"/>
    <n v="1"/>
    <n v="44"/>
    <n v="156"/>
  </r>
  <r>
    <x v="42"/>
    <s v="conventional_turnover_refi_HARP_oltv_139"/>
    <x v="179"/>
    <n v="1.4"/>
    <n v="1"/>
    <n v="44"/>
    <n v="156"/>
  </r>
  <r>
    <x v="42"/>
    <s v="conventional_turnover_refi_HARP_oltv_140"/>
    <x v="180"/>
    <n v="1.4"/>
    <n v="1"/>
    <n v="44"/>
    <n v="156"/>
  </r>
  <r>
    <x v="42"/>
    <s v="conventional_turnover_refi_HARP_oltv_141"/>
    <x v="181"/>
    <n v="1.4"/>
    <n v="1"/>
    <n v="44"/>
    <n v="156"/>
  </r>
  <r>
    <x v="42"/>
    <s v="conventional_turnover_refi_HARP_oltv_142"/>
    <x v="182"/>
    <n v="1.4"/>
    <n v="1"/>
    <n v="44"/>
    <n v="156"/>
  </r>
  <r>
    <x v="42"/>
    <s v="conventional_turnover_refi_HARP_oltv_143"/>
    <x v="183"/>
    <n v="1.4"/>
    <n v="1"/>
    <n v="44"/>
    <n v="156"/>
  </r>
  <r>
    <x v="42"/>
    <s v="conventional_turnover_refi_HARP_oltv_144"/>
    <x v="184"/>
    <n v="1.4"/>
    <n v="1"/>
    <n v="44"/>
    <n v="156"/>
  </r>
  <r>
    <x v="42"/>
    <s v="conventional_turnover_refi_HARP_oltv_145"/>
    <x v="185"/>
    <n v="1.4"/>
    <n v="1"/>
    <n v="44"/>
    <n v="156"/>
  </r>
  <r>
    <x v="42"/>
    <s v="conventional_turnover_refi_HARP_oltv_146"/>
    <x v="186"/>
    <n v="1.4"/>
    <n v="1"/>
    <n v="44"/>
    <n v="156"/>
  </r>
  <r>
    <x v="42"/>
    <s v="conventional_turnover_refi_HARP_oltv_147"/>
    <x v="187"/>
    <n v="1.4"/>
    <n v="1"/>
    <n v="44"/>
    <n v="156"/>
  </r>
  <r>
    <x v="42"/>
    <s v="conventional_turnover_refi_HARP_oltv_148"/>
    <x v="188"/>
    <n v="1.4"/>
    <n v="1"/>
    <n v="44"/>
    <n v="156"/>
  </r>
  <r>
    <x v="42"/>
    <s v="conventional_turnover_refi_HARP_oltv_149"/>
    <x v="189"/>
    <n v="1.4"/>
    <n v="1"/>
    <n v="44"/>
    <n v="156"/>
  </r>
  <r>
    <x v="42"/>
    <s v="conventional_turnover_refi_HARP_oltv_150"/>
    <x v="190"/>
    <n v="1.4"/>
    <n v="1"/>
    <n v="44"/>
    <n v="156"/>
  </r>
  <r>
    <x v="42"/>
    <s v="conventional_turnover_refi_HARP_oltv_151"/>
    <x v="191"/>
    <n v="1.4"/>
    <n v="1"/>
    <n v="44"/>
    <n v="156"/>
  </r>
  <r>
    <x v="42"/>
    <s v="conventional_turnover_refi_HARP_oltv_152"/>
    <x v="192"/>
    <n v="1.4"/>
    <n v="1"/>
    <n v="44"/>
    <n v="156"/>
  </r>
  <r>
    <x v="42"/>
    <s v="conventional_turnover_refi_HARP_oltv_153"/>
    <x v="193"/>
    <n v="1.4"/>
    <n v="1"/>
    <n v="44"/>
    <n v="156"/>
  </r>
  <r>
    <x v="42"/>
    <s v="conventional_turnover_refi_HARP_oltv_154"/>
    <x v="194"/>
    <n v="1.4"/>
    <n v="1"/>
    <n v="44"/>
    <n v="156"/>
  </r>
  <r>
    <x v="42"/>
    <s v="conventional_turnover_refi_HARP_oltv_155"/>
    <x v="195"/>
    <n v="1.4"/>
    <n v="1"/>
    <n v="44"/>
    <n v="156"/>
  </r>
  <r>
    <x v="42"/>
    <s v="conventional_turnover_refi_HARP_oltv_156"/>
    <x v="196"/>
    <n v="1.4"/>
    <n v="1"/>
    <n v="44"/>
    <n v="156"/>
  </r>
  <r>
    <x v="43"/>
    <s v="conventional_turnover_refi_NonHARP_oltv_51"/>
    <x v="91"/>
    <n v="0.97"/>
    <n v="1"/>
    <n v="51"/>
    <n v="114"/>
  </r>
  <r>
    <x v="43"/>
    <s v="conventional_turnover_refi_NonHARP_oltv_52"/>
    <x v="92"/>
    <n v="0.97"/>
    <n v="1"/>
    <n v="51"/>
    <n v="114"/>
  </r>
  <r>
    <x v="43"/>
    <s v="conventional_turnover_refi_NonHARP_oltv_53"/>
    <x v="93"/>
    <n v="0.97"/>
    <n v="1"/>
    <n v="51"/>
    <n v="114"/>
  </r>
  <r>
    <x v="43"/>
    <s v="conventional_turnover_refi_NonHARP_oltv_54"/>
    <x v="94"/>
    <n v="0.97"/>
    <n v="1"/>
    <n v="51"/>
    <n v="114"/>
  </r>
  <r>
    <x v="43"/>
    <s v="conventional_turnover_refi_NonHARP_oltv_55"/>
    <x v="95"/>
    <n v="0.97"/>
    <n v="1"/>
    <n v="51"/>
    <n v="114"/>
  </r>
  <r>
    <x v="43"/>
    <s v="conventional_turnover_refi_NonHARP_oltv_56"/>
    <x v="96"/>
    <n v="0.97"/>
    <n v="1"/>
    <n v="51"/>
    <n v="114"/>
  </r>
  <r>
    <x v="43"/>
    <s v="conventional_turnover_refi_NonHARP_oltv_57"/>
    <x v="97"/>
    <n v="0.97"/>
    <n v="1"/>
    <n v="51"/>
    <n v="114"/>
  </r>
  <r>
    <x v="43"/>
    <s v="conventional_turnover_refi_NonHARP_oltv_58"/>
    <x v="98"/>
    <n v="0.97"/>
    <n v="1"/>
    <n v="51"/>
    <n v="114"/>
  </r>
  <r>
    <x v="43"/>
    <s v="conventional_turnover_refi_NonHARP_oltv_59"/>
    <x v="99"/>
    <n v="0.97"/>
    <n v="1"/>
    <n v="51"/>
    <n v="114"/>
  </r>
  <r>
    <x v="43"/>
    <s v="conventional_turnover_refi_NonHARP_oltv_60"/>
    <x v="100"/>
    <n v="0.97"/>
    <n v="1"/>
    <n v="51"/>
    <n v="114"/>
  </r>
  <r>
    <x v="43"/>
    <s v="conventional_turnover_refi_NonHARP_oltv_61"/>
    <x v="101"/>
    <n v="0.97"/>
    <n v="1"/>
    <n v="51"/>
    <n v="114"/>
  </r>
  <r>
    <x v="43"/>
    <s v="conventional_turnover_refi_NonHARP_oltv_62"/>
    <x v="102"/>
    <n v="0.97"/>
    <n v="1"/>
    <n v="51"/>
    <n v="114"/>
  </r>
  <r>
    <x v="43"/>
    <s v="conventional_turnover_refi_NonHARP_oltv_63"/>
    <x v="103"/>
    <n v="0.97"/>
    <n v="1"/>
    <n v="51"/>
    <n v="114"/>
  </r>
  <r>
    <x v="43"/>
    <s v="conventional_turnover_refi_NonHARP_oltv_64"/>
    <x v="104"/>
    <n v="0.97"/>
    <n v="1"/>
    <n v="51"/>
    <n v="114"/>
  </r>
  <r>
    <x v="43"/>
    <s v="conventional_turnover_refi_NonHARP_oltv_65"/>
    <x v="105"/>
    <n v="0.97"/>
    <n v="1"/>
    <n v="51"/>
    <n v="114"/>
  </r>
  <r>
    <x v="43"/>
    <s v="conventional_turnover_refi_NonHARP_oltv_66"/>
    <x v="106"/>
    <n v="0.97"/>
    <n v="1"/>
    <n v="51"/>
    <n v="114"/>
  </r>
  <r>
    <x v="43"/>
    <s v="conventional_turnover_refi_NonHARP_oltv_67"/>
    <x v="107"/>
    <n v="0.97"/>
    <n v="1"/>
    <n v="51"/>
    <n v="114"/>
  </r>
  <r>
    <x v="43"/>
    <s v="conventional_turnover_refi_NonHARP_oltv_68"/>
    <x v="108"/>
    <n v="0.97"/>
    <n v="1"/>
    <n v="51"/>
    <n v="114"/>
  </r>
  <r>
    <x v="43"/>
    <s v="conventional_turnover_refi_NonHARP_oltv_69"/>
    <x v="109"/>
    <n v="0.97"/>
    <n v="1"/>
    <n v="51"/>
    <n v="114"/>
  </r>
  <r>
    <x v="43"/>
    <s v="conventional_turnover_refi_NonHARP_oltv_70"/>
    <x v="110"/>
    <n v="0.97"/>
    <n v="1"/>
    <n v="51"/>
    <n v="114"/>
  </r>
  <r>
    <x v="43"/>
    <s v="conventional_turnover_refi_NonHARP_oltv_71"/>
    <x v="111"/>
    <n v="0.97"/>
    <n v="1"/>
    <n v="51"/>
    <n v="114"/>
  </r>
  <r>
    <x v="43"/>
    <s v="conventional_turnover_refi_NonHARP_oltv_72"/>
    <x v="112"/>
    <n v="0.97"/>
    <n v="1"/>
    <n v="51"/>
    <n v="114"/>
  </r>
  <r>
    <x v="43"/>
    <s v="conventional_turnover_refi_NonHARP_oltv_73"/>
    <x v="113"/>
    <n v="0.97"/>
    <n v="1"/>
    <n v="51"/>
    <n v="114"/>
  </r>
  <r>
    <x v="43"/>
    <s v="conventional_turnover_refi_NonHARP_oltv_74"/>
    <x v="114"/>
    <n v="0.97"/>
    <n v="1"/>
    <n v="51"/>
    <n v="114"/>
  </r>
  <r>
    <x v="43"/>
    <s v="conventional_turnover_refi_NonHARP_oltv_75"/>
    <x v="115"/>
    <n v="0.97"/>
    <n v="1"/>
    <n v="51"/>
    <n v="114"/>
  </r>
  <r>
    <x v="43"/>
    <s v="conventional_turnover_refi_NonHARP_oltv_76"/>
    <x v="116"/>
    <n v="0.97"/>
    <n v="1"/>
    <n v="51"/>
    <n v="114"/>
  </r>
  <r>
    <x v="43"/>
    <s v="conventional_turnover_refi_NonHARP_oltv_77"/>
    <x v="117"/>
    <n v="0.97"/>
    <n v="1"/>
    <n v="51"/>
    <n v="114"/>
  </r>
  <r>
    <x v="43"/>
    <s v="conventional_turnover_refi_NonHARP_oltv_78"/>
    <x v="118"/>
    <n v="0.97"/>
    <n v="1"/>
    <n v="51"/>
    <n v="114"/>
  </r>
  <r>
    <x v="43"/>
    <s v="conventional_turnover_refi_NonHARP_oltv_79"/>
    <x v="119"/>
    <n v="0.97"/>
    <n v="1"/>
    <n v="51"/>
    <n v="114"/>
  </r>
  <r>
    <x v="43"/>
    <s v="conventional_turnover_refi_NonHARP_oltv_80"/>
    <x v="120"/>
    <n v="0.97"/>
    <n v="1"/>
    <n v="51"/>
    <n v="114"/>
  </r>
  <r>
    <x v="43"/>
    <s v="conventional_turnover_refi_NonHARP_oltv_81"/>
    <x v="121"/>
    <n v="0.97"/>
    <n v="1"/>
    <n v="51"/>
    <n v="114"/>
  </r>
  <r>
    <x v="43"/>
    <s v="conventional_turnover_refi_NonHARP_oltv_82"/>
    <x v="122"/>
    <n v="0.97"/>
    <n v="1"/>
    <n v="51"/>
    <n v="114"/>
  </r>
  <r>
    <x v="43"/>
    <s v="conventional_turnover_refi_NonHARP_oltv_83"/>
    <x v="123"/>
    <n v="0.97"/>
    <n v="1"/>
    <n v="51"/>
    <n v="114"/>
  </r>
  <r>
    <x v="43"/>
    <s v="conventional_turnover_refi_NonHARP_oltv_84"/>
    <x v="124"/>
    <n v="0.97"/>
    <n v="1"/>
    <n v="51"/>
    <n v="114"/>
  </r>
  <r>
    <x v="43"/>
    <s v="conventional_turnover_refi_NonHARP_oltv_85"/>
    <x v="125"/>
    <n v="0.97"/>
    <n v="1"/>
    <n v="51"/>
    <n v="114"/>
  </r>
  <r>
    <x v="43"/>
    <s v="conventional_turnover_refi_NonHARP_oltv_86"/>
    <x v="126"/>
    <n v="0.97"/>
    <n v="1"/>
    <n v="51"/>
    <n v="114"/>
  </r>
  <r>
    <x v="43"/>
    <s v="conventional_turnover_refi_NonHARP_oltv_87"/>
    <x v="127"/>
    <n v="0.97"/>
    <n v="1"/>
    <n v="51"/>
    <n v="114"/>
  </r>
  <r>
    <x v="43"/>
    <s v="conventional_turnover_refi_NonHARP_oltv_88"/>
    <x v="128"/>
    <n v="0.97"/>
    <n v="1"/>
    <n v="51"/>
    <n v="114"/>
  </r>
  <r>
    <x v="43"/>
    <s v="conventional_turnover_refi_NonHARP_oltv_89"/>
    <x v="129"/>
    <n v="0.97"/>
    <n v="1"/>
    <n v="51"/>
    <n v="114"/>
  </r>
  <r>
    <x v="43"/>
    <s v="conventional_turnover_refi_NonHARP_oltv_90"/>
    <x v="130"/>
    <n v="0.97"/>
    <n v="1"/>
    <n v="51"/>
    <n v="114"/>
  </r>
  <r>
    <x v="43"/>
    <s v="conventional_turnover_refi_NonHARP_oltv_91"/>
    <x v="131"/>
    <n v="0.97"/>
    <n v="1"/>
    <n v="51"/>
    <n v="114"/>
  </r>
  <r>
    <x v="43"/>
    <s v="conventional_turnover_refi_NonHARP_oltv_92"/>
    <x v="132"/>
    <n v="0.97"/>
    <n v="1"/>
    <n v="51"/>
    <n v="114"/>
  </r>
  <r>
    <x v="43"/>
    <s v="conventional_turnover_refi_NonHARP_oltv_93"/>
    <x v="133"/>
    <n v="0.97"/>
    <n v="1"/>
    <n v="51"/>
    <n v="114"/>
  </r>
  <r>
    <x v="43"/>
    <s v="conventional_turnover_refi_NonHARP_oltv_94"/>
    <x v="134"/>
    <n v="0.97"/>
    <n v="1"/>
    <n v="51"/>
    <n v="114"/>
  </r>
  <r>
    <x v="43"/>
    <s v="conventional_turnover_refi_NonHARP_oltv_95"/>
    <x v="135"/>
    <n v="0.97"/>
    <n v="1"/>
    <n v="51"/>
    <n v="114"/>
  </r>
  <r>
    <x v="43"/>
    <s v="conventional_turnover_refi_NonHARP_oltv_96"/>
    <x v="136"/>
    <n v="0.97"/>
    <n v="1"/>
    <n v="51"/>
    <n v="114"/>
  </r>
  <r>
    <x v="43"/>
    <s v="conventional_turnover_refi_NonHARP_oltv_97"/>
    <x v="137"/>
    <n v="0.97"/>
    <n v="1"/>
    <n v="51"/>
    <n v="114"/>
  </r>
  <r>
    <x v="43"/>
    <s v="conventional_turnover_refi_NonHARP_oltv_98"/>
    <x v="138"/>
    <n v="0.97"/>
    <n v="1"/>
    <n v="51"/>
    <n v="114"/>
  </r>
  <r>
    <x v="43"/>
    <s v="conventional_turnover_refi_NonHARP_oltv_99"/>
    <x v="139"/>
    <n v="0.97"/>
    <n v="1"/>
    <n v="51"/>
    <n v="114"/>
  </r>
  <r>
    <x v="43"/>
    <s v="conventional_turnover_refi_NonHARP_oltv_100"/>
    <x v="140"/>
    <n v="0.97"/>
    <n v="1"/>
    <n v="51"/>
    <n v="114"/>
  </r>
  <r>
    <x v="43"/>
    <s v="conventional_turnover_refi_NonHARP_oltv_101"/>
    <x v="141"/>
    <n v="0.97"/>
    <n v="1"/>
    <n v="51"/>
    <n v="114"/>
  </r>
  <r>
    <x v="43"/>
    <s v="conventional_turnover_refi_NonHARP_oltv_102"/>
    <x v="142"/>
    <n v="0.97"/>
    <n v="1"/>
    <n v="51"/>
    <n v="114"/>
  </r>
  <r>
    <x v="43"/>
    <s v="conventional_turnover_refi_NonHARP_oltv_103"/>
    <x v="143"/>
    <n v="0.97"/>
    <n v="1"/>
    <n v="51"/>
    <n v="114"/>
  </r>
  <r>
    <x v="43"/>
    <s v="conventional_turnover_refi_NonHARP_oltv_104"/>
    <x v="144"/>
    <n v="0.97"/>
    <n v="1"/>
    <n v="51"/>
    <n v="114"/>
  </r>
  <r>
    <x v="43"/>
    <s v="conventional_turnover_refi_NonHARP_oltv_105"/>
    <x v="145"/>
    <n v="0.97"/>
    <n v="1"/>
    <n v="51"/>
    <n v="114"/>
  </r>
  <r>
    <x v="43"/>
    <s v="conventional_turnover_refi_NonHARP_oltv_106"/>
    <x v="146"/>
    <n v="0.97"/>
    <n v="1"/>
    <n v="51"/>
    <n v="114"/>
  </r>
  <r>
    <x v="43"/>
    <s v="conventional_turnover_refi_NonHARP_oltv_107"/>
    <x v="147"/>
    <n v="0.97"/>
    <n v="1"/>
    <n v="51"/>
    <n v="114"/>
  </r>
  <r>
    <x v="43"/>
    <s v="conventional_turnover_refi_NonHARP_oltv_108"/>
    <x v="148"/>
    <n v="0.97"/>
    <n v="1"/>
    <n v="51"/>
    <n v="114"/>
  </r>
  <r>
    <x v="43"/>
    <s v="conventional_turnover_refi_NonHARP_oltv_109"/>
    <x v="149"/>
    <n v="0.97"/>
    <n v="1"/>
    <n v="51"/>
    <n v="114"/>
  </r>
  <r>
    <x v="43"/>
    <s v="conventional_turnover_refi_NonHARP_oltv_110"/>
    <x v="150"/>
    <n v="0.97"/>
    <n v="1"/>
    <n v="51"/>
    <n v="114"/>
  </r>
  <r>
    <x v="43"/>
    <s v="conventional_turnover_refi_NonHARP_oltv_111"/>
    <x v="151"/>
    <n v="0.97"/>
    <n v="1"/>
    <n v="51"/>
    <n v="114"/>
  </r>
  <r>
    <x v="43"/>
    <s v="conventional_turnover_refi_NonHARP_oltv_112"/>
    <x v="152"/>
    <n v="0.97"/>
    <n v="1"/>
    <n v="51"/>
    <n v="114"/>
  </r>
  <r>
    <x v="43"/>
    <s v="conventional_turnover_refi_NonHARP_oltv_113"/>
    <x v="153"/>
    <n v="0.97"/>
    <n v="1"/>
    <n v="51"/>
    <n v="114"/>
  </r>
  <r>
    <x v="43"/>
    <s v="conventional_turnover_refi_NonHARP_oltv_114"/>
    <x v="154"/>
    <n v="0.97"/>
    <n v="1"/>
    <n v="51"/>
    <n v="114"/>
  </r>
  <r>
    <x v="44"/>
    <s v="conventional_turnover_fico_acls_interact_1_acls_8"/>
    <x v="48"/>
    <n v="0.65500000000000003"/>
    <n v="1"/>
    <n v="8"/>
    <n v="232"/>
  </r>
  <r>
    <x v="44"/>
    <s v="conventional_turnover_fico_acls_interact_1_acls_9"/>
    <x v="49"/>
    <n v="0.65500000000000003"/>
    <n v="1"/>
    <n v="8"/>
    <n v="232"/>
  </r>
  <r>
    <x v="44"/>
    <s v="conventional_turnover_fico_acls_interact_1_acls_10"/>
    <x v="50"/>
    <n v="0.65500000000000003"/>
    <n v="1"/>
    <n v="8"/>
    <n v="232"/>
  </r>
  <r>
    <x v="44"/>
    <s v="conventional_turnover_fico_acls_interact_1_acls_11"/>
    <x v="51"/>
    <n v="0.65500000000000003"/>
    <n v="1"/>
    <n v="8"/>
    <n v="232"/>
  </r>
  <r>
    <x v="44"/>
    <s v="conventional_turnover_fico_acls_interact_1_acls_12"/>
    <x v="52"/>
    <n v="0.65500000000000003"/>
    <n v="1"/>
    <n v="8"/>
    <n v="232"/>
  </r>
  <r>
    <x v="44"/>
    <s v="conventional_turnover_fico_acls_interact_1_acls_13"/>
    <x v="53"/>
    <n v="0.65500000000000003"/>
    <n v="1"/>
    <n v="8"/>
    <n v="232"/>
  </r>
  <r>
    <x v="44"/>
    <s v="conventional_turnover_fico_acls_interact_1_acls_14"/>
    <x v="54"/>
    <n v="0.65500000000000003"/>
    <n v="1"/>
    <n v="8"/>
    <n v="232"/>
  </r>
  <r>
    <x v="44"/>
    <s v="conventional_turnover_fico_acls_interact_1_acls_15"/>
    <x v="55"/>
    <n v="0.65500000000000003"/>
    <n v="1"/>
    <n v="8"/>
    <n v="232"/>
  </r>
  <r>
    <x v="44"/>
    <s v="conventional_turnover_fico_acls_interact_1_acls_16"/>
    <x v="56"/>
    <n v="0.65500000000000003"/>
    <n v="1"/>
    <n v="8"/>
    <n v="232"/>
  </r>
  <r>
    <x v="44"/>
    <s v="conventional_turnover_fico_acls_interact_1_acls_17"/>
    <x v="57"/>
    <n v="0.65500000000000003"/>
    <n v="1"/>
    <n v="8"/>
    <n v="232"/>
  </r>
  <r>
    <x v="44"/>
    <s v="conventional_turnover_fico_acls_interact_1_acls_18"/>
    <x v="58"/>
    <n v="0.65500000000000003"/>
    <n v="1"/>
    <n v="8"/>
    <n v="232"/>
  </r>
  <r>
    <x v="44"/>
    <s v="conventional_turnover_fico_acls_interact_1_acls_19"/>
    <x v="59"/>
    <n v="0.65500000000000003"/>
    <n v="1"/>
    <n v="8"/>
    <n v="232"/>
  </r>
  <r>
    <x v="44"/>
    <s v="conventional_turnover_fico_acls_interact_1_acls_20"/>
    <x v="60"/>
    <n v="0.65500000000000003"/>
    <n v="1"/>
    <n v="8"/>
    <n v="232"/>
  </r>
  <r>
    <x v="44"/>
    <s v="conventional_turnover_fico_acls_interact_1_acls_21"/>
    <x v="61"/>
    <n v="0.65500000000000003"/>
    <n v="1"/>
    <n v="8"/>
    <n v="232"/>
  </r>
  <r>
    <x v="44"/>
    <s v="conventional_turnover_fico_acls_interact_1_acls_22"/>
    <x v="62"/>
    <n v="0.65500000000000003"/>
    <n v="1"/>
    <n v="8"/>
    <n v="232"/>
  </r>
  <r>
    <x v="44"/>
    <s v="conventional_turnover_fico_acls_interact_1_acls_23"/>
    <x v="63"/>
    <n v="0.65500000000000003"/>
    <n v="1"/>
    <n v="8"/>
    <n v="232"/>
  </r>
  <r>
    <x v="44"/>
    <s v="conventional_turnover_fico_acls_interact_1_acls_24"/>
    <x v="64"/>
    <n v="0.65500000000000003"/>
    <n v="1"/>
    <n v="8"/>
    <n v="232"/>
  </r>
  <r>
    <x v="44"/>
    <s v="conventional_turnover_fico_acls_interact_1_acls_25"/>
    <x v="65"/>
    <n v="0.65500000000000003"/>
    <n v="1"/>
    <n v="8"/>
    <n v="232"/>
  </r>
  <r>
    <x v="44"/>
    <s v="conventional_turnover_fico_acls_interact_1_acls_26"/>
    <x v="66"/>
    <n v="0.65500000000000003"/>
    <n v="1"/>
    <n v="8"/>
    <n v="232"/>
  </r>
  <r>
    <x v="44"/>
    <s v="conventional_turnover_fico_acls_interact_1_acls_27"/>
    <x v="67"/>
    <n v="0.65500000000000003"/>
    <n v="1"/>
    <n v="8"/>
    <n v="232"/>
  </r>
  <r>
    <x v="44"/>
    <s v="conventional_turnover_fico_acls_interact_1_acls_28"/>
    <x v="68"/>
    <n v="0.65500000000000003"/>
    <n v="1"/>
    <n v="8"/>
    <n v="232"/>
  </r>
  <r>
    <x v="44"/>
    <s v="conventional_turnover_fico_acls_interact_1_acls_29"/>
    <x v="69"/>
    <n v="0.65500000000000003"/>
    <n v="1"/>
    <n v="8"/>
    <n v="232"/>
  </r>
  <r>
    <x v="44"/>
    <s v="conventional_turnover_fico_acls_interact_1_acls_30"/>
    <x v="70"/>
    <n v="0.65500000000000003"/>
    <n v="1"/>
    <n v="8"/>
    <n v="232"/>
  </r>
  <r>
    <x v="44"/>
    <s v="conventional_turnover_fico_acls_interact_1_acls_31"/>
    <x v="71"/>
    <n v="0.65500000000000003"/>
    <n v="1"/>
    <n v="8"/>
    <n v="232"/>
  </r>
  <r>
    <x v="44"/>
    <s v="conventional_turnover_fico_acls_interact_1_acls_32"/>
    <x v="72"/>
    <n v="0.65500000000000003"/>
    <n v="1"/>
    <n v="8"/>
    <n v="232"/>
  </r>
  <r>
    <x v="44"/>
    <s v="conventional_turnover_fico_acls_interact_1_acls_33"/>
    <x v="73"/>
    <n v="0.65500000000000003"/>
    <n v="1"/>
    <n v="8"/>
    <n v="232"/>
  </r>
  <r>
    <x v="44"/>
    <s v="conventional_turnover_fico_acls_interact_1_acls_34"/>
    <x v="74"/>
    <n v="0.65500000000000003"/>
    <n v="1"/>
    <n v="8"/>
    <n v="232"/>
  </r>
  <r>
    <x v="44"/>
    <s v="conventional_turnover_fico_acls_interact_1_acls_35"/>
    <x v="75"/>
    <n v="0.65500000000000003"/>
    <n v="1"/>
    <n v="8"/>
    <n v="232"/>
  </r>
  <r>
    <x v="44"/>
    <s v="conventional_turnover_fico_acls_interact_1_acls_36"/>
    <x v="76"/>
    <n v="0.65500000000000003"/>
    <n v="1"/>
    <n v="8"/>
    <n v="232"/>
  </r>
  <r>
    <x v="44"/>
    <s v="conventional_turnover_fico_acls_interact_1_acls_37"/>
    <x v="77"/>
    <n v="0.65500000000000003"/>
    <n v="1"/>
    <n v="8"/>
    <n v="232"/>
  </r>
  <r>
    <x v="44"/>
    <s v="conventional_turnover_fico_acls_interact_1_acls_38"/>
    <x v="78"/>
    <n v="0.65500000000000003"/>
    <n v="1"/>
    <n v="8"/>
    <n v="232"/>
  </r>
  <r>
    <x v="44"/>
    <s v="conventional_turnover_fico_acls_interact_1_acls_39"/>
    <x v="79"/>
    <n v="0.65500000000000003"/>
    <n v="1"/>
    <n v="8"/>
    <n v="232"/>
  </r>
  <r>
    <x v="44"/>
    <s v="conventional_turnover_fico_acls_interact_1_acls_40"/>
    <x v="80"/>
    <n v="0.65500000000000003"/>
    <n v="1"/>
    <n v="8"/>
    <n v="232"/>
  </r>
  <r>
    <x v="44"/>
    <s v="conventional_turnover_fico_acls_interact_1_acls_41"/>
    <x v="81"/>
    <n v="0.65500000000000003"/>
    <n v="1"/>
    <n v="8"/>
    <n v="232"/>
  </r>
  <r>
    <x v="44"/>
    <s v="conventional_turnover_fico_acls_interact_1_acls_42"/>
    <x v="82"/>
    <n v="0.65500000000000003"/>
    <n v="1"/>
    <n v="8"/>
    <n v="232"/>
  </r>
  <r>
    <x v="44"/>
    <s v="conventional_turnover_fico_acls_interact_1_acls_43"/>
    <x v="83"/>
    <n v="0.65500000000000003"/>
    <n v="1"/>
    <n v="8"/>
    <n v="232"/>
  </r>
  <r>
    <x v="44"/>
    <s v="conventional_turnover_fico_acls_interact_1_acls_44"/>
    <x v="84"/>
    <n v="0.65500000000000003"/>
    <n v="1"/>
    <n v="8"/>
    <n v="232"/>
  </r>
  <r>
    <x v="44"/>
    <s v="conventional_turnover_fico_acls_interact_1_acls_45"/>
    <x v="85"/>
    <n v="0.65500000000000003"/>
    <n v="1"/>
    <n v="8"/>
    <n v="232"/>
  </r>
  <r>
    <x v="44"/>
    <s v="conventional_turnover_fico_acls_interact_1_acls_46"/>
    <x v="86"/>
    <n v="0.65500000000000003"/>
    <n v="1"/>
    <n v="8"/>
    <n v="232"/>
  </r>
  <r>
    <x v="44"/>
    <s v="conventional_turnover_fico_acls_interact_1_acls_47"/>
    <x v="87"/>
    <n v="0.65500000000000003"/>
    <n v="1"/>
    <n v="8"/>
    <n v="232"/>
  </r>
  <r>
    <x v="44"/>
    <s v="conventional_turnover_fico_acls_interact_1_acls_48"/>
    <x v="88"/>
    <n v="0.65500000000000003"/>
    <n v="1"/>
    <n v="8"/>
    <n v="232"/>
  </r>
  <r>
    <x v="44"/>
    <s v="conventional_turnover_fico_acls_interact_1_acls_49"/>
    <x v="89"/>
    <n v="0.65500000000000003"/>
    <n v="1"/>
    <n v="8"/>
    <n v="232"/>
  </r>
  <r>
    <x v="44"/>
    <s v="conventional_turnover_fico_acls_interact_1_acls_50"/>
    <x v="90"/>
    <n v="0.65500000000000003"/>
    <n v="1"/>
    <n v="8"/>
    <n v="232"/>
  </r>
  <r>
    <x v="44"/>
    <s v="conventional_turnover_fico_acls_interact_1_acls_51"/>
    <x v="91"/>
    <n v="0.65550020136363596"/>
    <n v="1"/>
    <n v="8"/>
    <n v="232"/>
  </r>
  <r>
    <x v="44"/>
    <s v="conventional_turnover_fico_acls_interact_1_acls_52"/>
    <x v="92"/>
    <n v="0.65689773818181796"/>
    <n v="1"/>
    <n v="8"/>
    <n v="232"/>
  </r>
  <r>
    <x v="44"/>
    <s v="conventional_turnover_fico_acls_interact_1_acls_53"/>
    <x v="93"/>
    <n v="0.65903800954545499"/>
    <n v="1"/>
    <n v="8"/>
    <n v="232"/>
  </r>
  <r>
    <x v="44"/>
    <s v="conventional_turnover_fico_acls_interact_1_acls_54"/>
    <x v="94"/>
    <n v="0.66176641454545504"/>
    <n v="1"/>
    <n v="8"/>
    <n v="232"/>
  </r>
  <r>
    <x v="44"/>
    <s v="conventional_turnover_fico_acls_interact_1_acls_55"/>
    <x v="95"/>
    <n v="0.66492835227272695"/>
    <n v="1"/>
    <n v="8"/>
    <n v="232"/>
  </r>
  <r>
    <x v="44"/>
    <s v="conventional_turnover_fico_acls_interact_1_acls_56"/>
    <x v="96"/>
    <n v="0.66836922181818204"/>
    <n v="1"/>
    <n v="8"/>
    <n v="232"/>
  </r>
  <r>
    <x v="44"/>
    <s v="conventional_turnover_fico_acls_interact_1_acls_57"/>
    <x v="97"/>
    <n v="0.67193442227272704"/>
    <n v="1"/>
    <n v="8"/>
    <n v="232"/>
  </r>
  <r>
    <x v="44"/>
    <s v="conventional_turnover_fico_acls_interact_1_acls_58"/>
    <x v="98"/>
    <n v="0.67546935272727304"/>
    <n v="1"/>
    <n v="8"/>
    <n v="232"/>
  </r>
  <r>
    <x v="44"/>
    <s v="conventional_turnover_fico_acls_interact_1_acls_59"/>
    <x v="99"/>
    <n v="0.67881941227272702"/>
    <n v="1"/>
    <n v="8"/>
    <n v="232"/>
  </r>
  <r>
    <x v="44"/>
    <s v="conventional_turnover_fico_acls_interact_1_acls_60"/>
    <x v="100"/>
    <n v="0.68183000000000005"/>
    <n v="1"/>
    <n v="8"/>
    <n v="232"/>
  </r>
  <r>
    <x v="44"/>
    <s v="conventional_turnover_fico_acls_interact_1_acls_61"/>
    <x v="101"/>
    <n v="0.68462070432757305"/>
    <n v="1"/>
    <n v="8"/>
    <n v="232"/>
  </r>
  <r>
    <x v="44"/>
    <s v="conventional_turnover_fico_acls_interact_1_acls_62"/>
    <x v="102"/>
    <n v="0.687414555281743"/>
    <n v="1"/>
    <n v="8"/>
    <n v="232"/>
  </r>
  <r>
    <x v="44"/>
    <s v="conventional_turnover_fico_acls_interact_1_acls_63"/>
    <x v="103"/>
    <n v="0.69021211436513896"/>
    <n v="1"/>
    <n v="8"/>
    <n v="232"/>
  </r>
  <r>
    <x v="44"/>
    <s v="conventional_turnover_fico_acls_interact_1_acls_64"/>
    <x v="104"/>
    <n v="0.69301394308039099"/>
    <n v="1"/>
    <n v="8"/>
    <n v="232"/>
  </r>
  <r>
    <x v="44"/>
    <s v="conventional_turnover_fico_acls_interact_1_acls_65"/>
    <x v="105"/>
    <n v="0.69582060293012804"/>
    <n v="1"/>
    <n v="8"/>
    <n v="232"/>
  </r>
  <r>
    <x v="44"/>
    <s v="conventional_turnover_fico_acls_interact_1_acls_66"/>
    <x v="106"/>
    <n v="0.69863265541698005"/>
    <n v="1"/>
    <n v="8"/>
    <n v="232"/>
  </r>
  <r>
    <x v="44"/>
    <s v="conventional_turnover_fico_acls_interact_1_acls_67"/>
    <x v="107"/>
    <n v="0.70145066204357598"/>
    <n v="1"/>
    <n v="8"/>
    <n v="232"/>
  </r>
  <r>
    <x v="44"/>
    <s v="conventional_turnover_fico_acls_interact_1_acls_68"/>
    <x v="108"/>
    <n v="0.70427518431254699"/>
    <n v="1"/>
    <n v="8"/>
    <n v="232"/>
  </r>
  <r>
    <x v="44"/>
    <s v="conventional_turnover_fico_acls_interact_1_acls_69"/>
    <x v="109"/>
    <n v="0.70710678372652103"/>
    <n v="1"/>
    <n v="8"/>
    <n v="232"/>
  </r>
  <r>
    <x v="44"/>
    <s v="conventional_turnover_fico_acls_interact_1_acls_70"/>
    <x v="110"/>
    <n v="0.70994602178812904"/>
    <n v="1"/>
    <n v="8"/>
    <n v="232"/>
  </r>
  <r>
    <x v="44"/>
    <s v="conventional_turnover_fico_acls_interact_1_acls_71"/>
    <x v="111"/>
    <n v="0.71279345999999999"/>
    <n v="1"/>
    <n v="8"/>
    <n v="232"/>
  </r>
  <r>
    <x v="44"/>
    <s v="conventional_turnover_fico_acls_interact_1_acls_72"/>
    <x v="112"/>
    <n v="0.71564965986476303"/>
    <n v="1"/>
    <n v="8"/>
    <n v="232"/>
  </r>
  <r>
    <x v="44"/>
    <s v="conventional_turnover_fico_acls_interact_1_acls_73"/>
    <x v="113"/>
    <n v="0.71851518288504901"/>
    <n v="1"/>
    <n v="8"/>
    <n v="232"/>
  </r>
  <r>
    <x v="44"/>
    <s v="conventional_turnover_fico_acls_interact_1_acls_74"/>
    <x v="114"/>
    <n v="0.72139059056348598"/>
    <n v="1"/>
    <n v="8"/>
    <n v="232"/>
  </r>
  <r>
    <x v="44"/>
    <s v="conventional_turnover_fico_acls_interact_1_acls_75"/>
    <x v="115"/>
    <n v="0.724276444402705"/>
    <n v="1"/>
    <n v="8"/>
    <n v="232"/>
  </r>
  <r>
    <x v="44"/>
    <s v="conventional_turnover_fico_acls_interact_1_acls_76"/>
    <x v="116"/>
    <n v="0.72717330590533402"/>
    <n v="1"/>
    <n v="8"/>
    <n v="232"/>
  </r>
  <r>
    <x v="44"/>
    <s v="conventional_turnover_fico_acls_interact_1_acls_77"/>
    <x v="117"/>
    <n v="0.73008173657400499"/>
    <n v="1"/>
    <n v="8"/>
    <n v="232"/>
  </r>
  <r>
    <x v="44"/>
    <s v="conventional_turnover_fico_acls_interact_1_acls_78"/>
    <x v="118"/>
    <n v="0.73300229791134497"/>
    <n v="1"/>
    <n v="8"/>
    <n v="232"/>
  </r>
  <r>
    <x v="44"/>
    <s v="conventional_turnover_fico_acls_interact_1_acls_79"/>
    <x v="119"/>
    <n v="0.73593555141998501"/>
    <n v="1"/>
    <n v="8"/>
    <n v="232"/>
  </r>
  <r>
    <x v="44"/>
    <s v="conventional_turnover_fico_acls_interact_1_acls_80"/>
    <x v="120"/>
    <n v="0.73888205860255496"/>
    <n v="1"/>
    <n v="8"/>
    <n v="232"/>
  </r>
  <r>
    <x v="44"/>
    <s v="conventional_turnover_fico_acls_interact_1_acls_81"/>
    <x v="121"/>
    <n v="0.74184238096168298"/>
    <n v="1"/>
    <n v="8"/>
    <n v="232"/>
  </r>
  <r>
    <x v="44"/>
    <s v="conventional_turnover_fico_acls_interact_1_acls_82"/>
    <x v="122"/>
    <n v="0.74481708000000002"/>
    <n v="1"/>
    <n v="8"/>
    <n v="232"/>
  </r>
  <r>
    <x v="44"/>
    <s v="conventional_turnover_fico_acls_interact_1_acls_83"/>
    <x v="123"/>
    <n v="0.74780671722013503"/>
    <n v="1"/>
    <n v="8"/>
    <n v="232"/>
  </r>
  <r>
    <x v="44"/>
    <s v="conventional_turnover_fico_acls_interact_1_acls_84"/>
    <x v="124"/>
    <n v="0.75081185412471796"/>
    <n v="1"/>
    <n v="8"/>
    <n v="232"/>
  </r>
  <r>
    <x v="44"/>
    <s v="conventional_turnover_fico_acls_interact_1_acls_85"/>
    <x v="125"/>
    <n v="0.75383305221637897"/>
    <n v="1"/>
    <n v="8"/>
    <n v="232"/>
  </r>
  <r>
    <x v="44"/>
    <s v="conventional_turnover_fico_acls_interact_1_acls_86"/>
    <x v="126"/>
    <n v="0.75687087299774602"/>
    <n v="1"/>
    <n v="8"/>
    <n v="232"/>
  </r>
  <r>
    <x v="44"/>
    <s v="conventional_turnover_fico_acls_interact_1_acls_87"/>
    <x v="127"/>
    <n v="0.75992587797144995"/>
    <n v="1"/>
    <n v="8"/>
    <n v="232"/>
  </r>
  <r>
    <x v="44"/>
    <s v="conventional_turnover_fico_acls_interact_1_acls_88"/>
    <x v="128"/>
    <n v="0.76299751579692998"/>
    <n v="1"/>
    <n v="8"/>
    <n v="232"/>
  </r>
  <r>
    <x v="44"/>
    <s v="conventional_turnover_fico_acls_interact_1_acls_89"/>
    <x v="129"/>
    <n v="0.76607961293978799"/>
    <n v="1"/>
    <n v="8"/>
    <n v="232"/>
  </r>
  <r>
    <x v="44"/>
    <s v="conventional_turnover_fico_acls_interact_1_acls_90"/>
    <x v="130"/>
    <n v="0.76917146989374297"/>
    <n v="1"/>
    <n v="8"/>
    <n v="232"/>
  </r>
  <r>
    <x v="44"/>
    <s v="conventional_turnover_fico_acls_interact_1_acls_91"/>
    <x v="131"/>
    <n v="0.77227349355371899"/>
    <n v="1"/>
    <n v="8"/>
    <n v="232"/>
  </r>
  <r>
    <x v="44"/>
    <s v="conventional_turnover_fico_acls_interact_1_acls_92"/>
    <x v="132"/>
    <n v="0.77538609081464005"/>
    <n v="1"/>
    <n v="8"/>
    <n v="232"/>
  </r>
  <r>
    <x v="44"/>
    <s v="conventional_turnover_fico_acls_interact_1_acls_93"/>
    <x v="133"/>
    <n v="0.778509668571429"/>
    <n v="1"/>
    <n v="8"/>
    <n v="232"/>
  </r>
  <r>
    <x v="44"/>
    <s v="conventional_turnover_fico_acls_interact_1_acls_94"/>
    <x v="134"/>
    <n v="0.78164463371900805"/>
    <n v="1"/>
    <n v="8"/>
    <n v="232"/>
  </r>
  <r>
    <x v="44"/>
    <s v="conventional_turnover_fico_acls_interact_1_acls_95"/>
    <x v="135"/>
    <n v="0.78479139315230195"/>
    <n v="1"/>
    <n v="8"/>
    <n v="232"/>
  </r>
  <r>
    <x v="44"/>
    <s v="conventional_turnover_fico_acls_interact_1_acls_96"/>
    <x v="136"/>
    <n v="0.78795035376623401"/>
    <n v="1"/>
    <n v="8"/>
    <n v="232"/>
  </r>
  <r>
    <x v="44"/>
    <s v="conventional_turnover_fico_acls_interact_1_acls_97"/>
    <x v="137"/>
    <n v="0.79112192245572599"/>
    <n v="1"/>
    <n v="8"/>
    <n v="232"/>
  </r>
  <r>
    <x v="44"/>
    <s v="conventional_turnover_fico_acls_interact_1_acls_98"/>
    <x v="138"/>
    <n v="0.79430650611570297"/>
    <n v="1"/>
    <n v="8"/>
    <n v="232"/>
  </r>
  <r>
    <x v="44"/>
    <s v="conventional_turnover_fico_acls_interact_1_acls_99"/>
    <x v="139"/>
    <n v="0.79750451164108604"/>
    <n v="1"/>
    <n v="8"/>
    <n v="232"/>
  </r>
  <r>
    <x v="44"/>
    <s v="conventional_turnover_fico_acls_interact_1_acls_100"/>
    <x v="140"/>
    <n v="0.80071634592680097"/>
    <n v="1"/>
    <n v="8"/>
    <n v="232"/>
  </r>
  <r>
    <x v="44"/>
    <s v="conventional_turnover_fico_acls_interact_1_acls_101"/>
    <x v="141"/>
    <n v="0.80394241586776904"/>
    <n v="1"/>
    <n v="8"/>
    <n v="232"/>
  </r>
  <r>
    <x v="44"/>
    <s v="conventional_turnover_fico_acls_interact_1_acls_102"/>
    <x v="142"/>
    <n v="0.80718312835891404"/>
    <n v="1"/>
    <n v="8"/>
    <n v="232"/>
  </r>
  <r>
    <x v="44"/>
    <s v="conventional_turnover_fico_acls_interact_1_acls_103"/>
    <x v="143"/>
    <n v="0.81043889029515903"/>
    <n v="1"/>
    <n v="8"/>
    <n v="232"/>
  </r>
  <r>
    <x v="44"/>
    <s v="conventional_turnover_fico_acls_interact_1_acls_104"/>
    <x v="144"/>
    <n v="0.813710108571429"/>
    <n v="1"/>
    <n v="8"/>
    <n v="232"/>
  </r>
  <r>
    <x v="44"/>
    <s v="conventional_turnover_fico_acls_interact_1_acls_105"/>
    <x v="145"/>
    <n v="0.81699719008264504"/>
    <n v="1"/>
    <n v="8"/>
    <n v="232"/>
  </r>
  <r>
    <x v="44"/>
    <s v="conventional_turnover_fico_acls_interact_1_acls_106"/>
    <x v="146"/>
    <n v="0.82030054172373101"/>
    <n v="1"/>
    <n v="8"/>
    <n v="232"/>
  </r>
  <r>
    <x v="44"/>
    <s v="conventional_turnover_fico_acls_interact_1_acls_107"/>
    <x v="147"/>
    <n v="0.82362057038961001"/>
    <n v="1"/>
    <n v="8"/>
    <n v="232"/>
  </r>
  <r>
    <x v="44"/>
    <s v="conventional_turnover_fico_acls_interact_1_acls_108"/>
    <x v="148"/>
    <n v="0.826957682975207"/>
    <n v="1"/>
    <n v="8"/>
    <n v="232"/>
  </r>
  <r>
    <x v="44"/>
    <s v="conventional_turnover_fico_acls_interact_1_acls_109"/>
    <x v="149"/>
    <n v="0.83031228637544297"/>
    <n v="1"/>
    <n v="8"/>
    <n v="232"/>
  </r>
  <r>
    <x v="44"/>
    <s v="conventional_turnover_fico_acls_interact_1_acls_110"/>
    <x v="150"/>
    <n v="0.833684787485242"/>
    <n v="1"/>
    <n v="8"/>
    <n v="232"/>
  </r>
  <r>
    <x v="44"/>
    <s v="conventional_turnover_fico_acls_interact_1_acls_111"/>
    <x v="151"/>
    <n v="0.83707559319952796"/>
    <n v="1"/>
    <n v="8"/>
    <n v="232"/>
  </r>
  <r>
    <x v="44"/>
    <s v="conventional_turnover_fico_acls_interact_1_acls_112"/>
    <x v="152"/>
    <n v="0.84048511041322305"/>
    <n v="1"/>
    <n v="8"/>
    <n v="232"/>
  </r>
  <r>
    <x v="44"/>
    <s v="conventional_turnover_fico_acls_interact_1_acls_113"/>
    <x v="153"/>
    <n v="0.84391374602125202"/>
    <n v="1"/>
    <n v="8"/>
    <n v="232"/>
  </r>
  <r>
    <x v="44"/>
    <s v="conventional_turnover_fico_acls_interact_1_acls_114"/>
    <x v="154"/>
    <n v="0.84736190691853597"/>
    <n v="1"/>
    <n v="8"/>
    <n v="232"/>
  </r>
  <r>
    <x v="44"/>
    <s v="conventional_turnover_fico_acls_interact_1_acls_115"/>
    <x v="155"/>
    <n v="0.85082999999999998"/>
    <n v="1"/>
    <n v="8"/>
    <n v="232"/>
  </r>
  <r>
    <x v="44"/>
    <s v="conventional_turnover_fico_acls_interact_1_acls_116"/>
    <x v="156"/>
    <n v="0.85436170541849998"/>
    <n v="1"/>
    <n v="8"/>
    <n v="232"/>
  </r>
  <r>
    <x v="44"/>
    <s v="conventional_turnover_fico_acls_interact_1_acls_117"/>
    <x v="157"/>
    <n v="0.85799490434985404"/>
    <n v="1"/>
    <n v="8"/>
    <n v="232"/>
  </r>
  <r>
    <x v="44"/>
    <s v="conventional_turnover_fico_acls_interact_1_acls_118"/>
    <x v="158"/>
    <n v="0.86172130522343005"/>
    <n v="1"/>
    <n v="8"/>
    <n v="232"/>
  </r>
  <r>
    <x v="44"/>
    <s v="conventional_turnover_fico_acls_interact_1_acls_119"/>
    <x v="159"/>
    <n v="0.86553261646859203"/>
    <n v="1"/>
    <n v="8"/>
    <n v="232"/>
  </r>
  <r>
    <x v="44"/>
    <s v="conventional_turnover_fico_acls_interact_1_acls_120"/>
    <x v="160"/>
    <n v="0.86942054651471001"/>
    <n v="1"/>
    <n v="8"/>
    <n v="232"/>
  </r>
  <r>
    <x v="44"/>
    <s v="conventional_turnover_fico_acls_interact_1_acls_121"/>
    <x v="161"/>
    <n v="0.87337680379114702"/>
    <n v="1"/>
    <n v="8"/>
    <n v="232"/>
  </r>
  <r>
    <x v="44"/>
    <s v="conventional_turnover_fico_acls_interact_1_acls_122"/>
    <x v="162"/>
    <n v="0.87739309672727295"/>
    <n v="1"/>
    <n v="8"/>
    <n v="232"/>
  </r>
  <r>
    <x v="44"/>
    <s v="conventional_turnover_fico_acls_interact_1_acls_123"/>
    <x v="163"/>
    <n v="0.88146113375245205"/>
    <n v="1"/>
    <n v="8"/>
    <n v="232"/>
  </r>
  <r>
    <x v="44"/>
    <s v="conventional_turnover_fico_acls_interact_1_acls_124"/>
    <x v="164"/>
    <n v="0.88557262329605102"/>
    <n v="1"/>
    <n v="8"/>
    <n v="232"/>
  </r>
  <r>
    <x v="44"/>
    <s v="conventional_turnover_fico_acls_interact_1_acls_125"/>
    <x v="165"/>
    <n v="0.88971927378743698"/>
    <n v="1"/>
    <n v="8"/>
    <n v="232"/>
  </r>
  <r>
    <x v="44"/>
    <s v="conventional_turnover_fico_acls_interact_1_acls_126"/>
    <x v="166"/>
    <n v="0.89389279365597696"/>
    <n v="1"/>
    <n v="8"/>
    <n v="232"/>
  </r>
  <r>
    <x v="44"/>
    <s v="conventional_turnover_fico_acls_interact_1_acls_127"/>
    <x v="167"/>
    <n v="0.89808489133103597"/>
    <n v="1"/>
    <n v="8"/>
    <n v="232"/>
  </r>
  <r>
    <x v="44"/>
    <s v="conventional_turnover_fico_acls_interact_1_acls_128"/>
    <x v="168"/>
    <n v="0.90228727524198205"/>
    <n v="1"/>
    <n v="8"/>
    <n v="232"/>
  </r>
  <r>
    <x v="44"/>
    <s v="conventional_turnover_fico_acls_interact_1_acls_129"/>
    <x v="169"/>
    <n v="0.90649165381818197"/>
    <n v="1"/>
    <n v="8"/>
    <n v="232"/>
  </r>
  <r>
    <x v="44"/>
    <s v="conventional_turnover_fico_acls_interact_1_acls_130"/>
    <x v="170"/>
    <n v="0.91068973548900101"/>
    <n v="1"/>
    <n v="8"/>
    <n v="232"/>
  </r>
  <r>
    <x v="44"/>
    <s v="conventional_turnover_fico_acls_interact_1_acls_131"/>
    <x v="171"/>
    <n v="0.91487322868380605"/>
    <n v="1"/>
    <n v="8"/>
    <n v="232"/>
  </r>
  <r>
    <x v="44"/>
    <s v="conventional_turnover_fico_acls_interact_1_acls_132"/>
    <x v="172"/>
    <n v="0.91903384183196402"/>
    <n v="1"/>
    <n v="8"/>
    <n v="232"/>
  </r>
  <r>
    <x v="44"/>
    <s v="conventional_turnover_fico_acls_interact_1_acls_133"/>
    <x v="173"/>
    <n v="0.92316328336284104"/>
    <n v="1"/>
    <n v="8"/>
    <n v="232"/>
  </r>
  <r>
    <x v="44"/>
    <s v="conventional_turnover_fico_acls_interact_1_acls_134"/>
    <x v="174"/>
    <n v="0.92725326170580402"/>
    <n v="1"/>
    <n v="8"/>
    <n v="232"/>
  </r>
  <r>
    <x v="44"/>
    <s v="conventional_turnover_fico_acls_interact_1_acls_135"/>
    <x v="175"/>
    <n v="0.93129548529021999"/>
    <n v="1"/>
    <n v="8"/>
    <n v="232"/>
  </r>
  <r>
    <x v="44"/>
    <s v="conventional_turnover_fico_acls_interact_1_acls_136"/>
    <x v="176"/>
    <n v="0.93528166254545497"/>
    <n v="1"/>
    <n v="8"/>
    <n v="232"/>
  </r>
  <r>
    <x v="44"/>
    <s v="conventional_turnover_fico_acls_interact_1_acls_137"/>
    <x v="177"/>
    <n v="0.93920350190087498"/>
    <n v="1"/>
    <n v="8"/>
    <n v="232"/>
  </r>
  <r>
    <x v="44"/>
    <s v="conventional_turnover_fico_acls_interact_1_acls_138"/>
    <x v="178"/>
    <n v="0.94305271178584704"/>
    <n v="1"/>
    <n v="8"/>
    <n v="232"/>
  </r>
  <r>
    <x v="44"/>
    <s v="conventional_turnover_fico_acls_interact_1_acls_139"/>
    <x v="179"/>
    <n v="0.94682100062973795"/>
    <n v="1"/>
    <n v="8"/>
    <n v="232"/>
  </r>
  <r>
    <x v="44"/>
    <s v="conventional_turnover_fico_acls_interact_1_acls_140"/>
    <x v="180"/>
    <n v="0.95050007686191396"/>
    <n v="1"/>
    <n v="8"/>
    <n v="232"/>
  </r>
  <r>
    <x v="44"/>
    <s v="conventional_turnover_fico_acls_interact_1_acls_141"/>
    <x v="181"/>
    <n v="0.95408164891174096"/>
    <n v="1"/>
    <n v="8"/>
    <n v="232"/>
  </r>
  <r>
    <x v="44"/>
    <s v="conventional_turnover_fico_acls_interact_1_acls_142"/>
    <x v="182"/>
    <n v="0.957557425208587"/>
    <n v="1"/>
    <n v="8"/>
    <n v="232"/>
  </r>
  <r>
    <x v="44"/>
    <s v="conventional_turnover_fico_acls_interact_1_acls_143"/>
    <x v="183"/>
    <n v="0.96091911418181797"/>
    <n v="1"/>
    <n v="8"/>
    <n v="232"/>
  </r>
  <r>
    <x v="44"/>
    <s v="conventional_turnover_fico_acls_interact_1_acls_144"/>
    <x v="184"/>
    <n v="0.96415842426080001"/>
    <n v="1"/>
    <n v="8"/>
    <n v="232"/>
  </r>
  <r>
    <x v="44"/>
    <s v="conventional_turnover_fico_acls_interact_1_acls_145"/>
    <x v="185"/>
    <n v="0.96726706387490102"/>
    <n v="1"/>
    <n v="8"/>
    <n v="232"/>
  </r>
  <r>
    <x v="44"/>
    <s v="conventional_turnover_fico_acls_interact_1_acls_146"/>
    <x v="186"/>
    <n v="0.97023674145348504"/>
    <n v="1"/>
    <n v="8"/>
    <n v="232"/>
  </r>
  <r>
    <x v="44"/>
    <s v="conventional_turnover_fico_acls_interact_1_acls_147"/>
    <x v="187"/>
    <n v="0.97305916542592097"/>
    <n v="1"/>
    <n v="8"/>
    <n v="232"/>
  </r>
  <r>
    <x v="44"/>
    <s v="conventional_turnover_fico_acls_interact_1_acls_148"/>
    <x v="188"/>
    <n v="0.97572604422157405"/>
    <n v="1"/>
    <n v="8"/>
    <n v="232"/>
  </r>
  <r>
    <x v="44"/>
    <s v="conventional_turnover_fico_acls_interact_1_acls_149"/>
    <x v="189"/>
    <n v="0.97822908626981198"/>
    <n v="1"/>
    <n v="8"/>
    <n v="232"/>
  </r>
  <r>
    <x v="44"/>
    <s v="conventional_turnover_fico_acls_interact_1_acls_150"/>
    <x v="190"/>
    <n v="0.98055999999999999"/>
    <n v="1"/>
    <n v="8"/>
    <n v="232"/>
  </r>
  <r>
    <x v="44"/>
    <s v="conventional_turnover_fico_acls_interact_1_acls_151"/>
    <x v="191"/>
    <n v="0.98271712987428606"/>
    <n v="1"/>
    <n v="8"/>
    <n v="232"/>
  </r>
  <r>
    <x v="44"/>
    <s v="conventional_turnover_fico_acls_interact_1_acls_152"/>
    <x v="192"/>
    <n v="0.98470874413714304"/>
    <n v="1"/>
    <n v="8"/>
    <n v="232"/>
  </r>
  <r>
    <x v="44"/>
    <s v="conventional_turnover_fico_acls_interact_1_acls_153"/>
    <x v="193"/>
    <n v="0.98654143689142804"/>
    <n v="1"/>
    <n v="8"/>
    <n v="232"/>
  </r>
  <r>
    <x v="44"/>
    <s v="conventional_turnover_fico_acls_interact_1_acls_154"/>
    <x v="194"/>
    <n v="0.98822180224"/>
    <n v="1"/>
    <n v="8"/>
    <n v="232"/>
  </r>
  <r>
    <x v="44"/>
    <s v="conventional_turnover_fico_acls_interact_1_acls_155"/>
    <x v="195"/>
    <n v="0.98975643428571403"/>
    <n v="1"/>
    <n v="8"/>
    <n v="232"/>
  </r>
  <r>
    <x v="44"/>
    <s v="conventional_turnover_fico_acls_interact_1_acls_156"/>
    <x v="196"/>
    <n v="0.99115192713142897"/>
    <n v="1"/>
    <n v="8"/>
    <n v="232"/>
  </r>
  <r>
    <x v="44"/>
    <s v="conventional_turnover_fico_acls_interact_1_acls_157"/>
    <x v="197"/>
    <n v="0.99241487488000002"/>
    <n v="1"/>
    <n v="8"/>
    <n v="232"/>
  </r>
  <r>
    <x v="44"/>
    <s v="conventional_turnover_fico_acls_interact_1_acls_158"/>
    <x v="198"/>
    <n v="0.99355187163428604"/>
    <n v="1"/>
    <n v="8"/>
    <n v="232"/>
  </r>
  <r>
    <x v="44"/>
    <s v="conventional_turnover_fico_acls_interact_1_acls_159"/>
    <x v="199"/>
    <n v="0.99456951149714301"/>
    <n v="1"/>
    <n v="8"/>
    <n v="232"/>
  </r>
  <r>
    <x v="44"/>
    <s v="conventional_turnover_fico_acls_interact_1_acls_160"/>
    <x v="200"/>
    <n v="0.995474388571429"/>
    <n v="1"/>
    <n v="8"/>
    <n v="232"/>
  </r>
  <r>
    <x v="44"/>
    <s v="conventional_turnover_fico_acls_interact_1_acls_161"/>
    <x v="201"/>
    <n v="0.99627309695999999"/>
    <n v="1"/>
    <n v="8"/>
    <n v="232"/>
  </r>
  <r>
    <x v="44"/>
    <s v="conventional_turnover_fico_acls_interact_1_acls_162"/>
    <x v="202"/>
    <n v="0.99697223076571395"/>
    <n v="1"/>
    <n v="8"/>
    <n v="232"/>
  </r>
  <r>
    <x v="44"/>
    <s v="conventional_turnover_fico_acls_interact_1_acls_163"/>
    <x v="203"/>
    <n v="0.99757838409142896"/>
    <n v="1"/>
    <n v="8"/>
    <n v="232"/>
  </r>
  <r>
    <x v="44"/>
    <s v="conventional_turnover_fico_acls_interact_1_acls_164"/>
    <x v="204"/>
    <n v="0.99809815103999999"/>
    <n v="1"/>
    <n v="8"/>
    <n v="232"/>
  </r>
  <r>
    <x v="44"/>
    <s v="conventional_turnover_fico_acls_interact_1_acls_165"/>
    <x v="205"/>
    <n v="0.99853812571428602"/>
    <n v="1"/>
    <n v="8"/>
    <n v="232"/>
  </r>
  <r>
    <x v="44"/>
    <s v="conventional_turnover_fico_acls_interact_1_acls_166"/>
    <x v="206"/>
    <n v="0.99890490221714301"/>
    <n v="1"/>
    <n v="8"/>
    <n v="232"/>
  </r>
  <r>
    <x v="44"/>
    <s v="conventional_turnover_fico_acls_interact_1_acls_167"/>
    <x v="207"/>
    <n v="0.99920507465142905"/>
    <n v="1"/>
    <n v="8"/>
    <n v="232"/>
  </r>
  <r>
    <x v="44"/>
    <s v="conventional_turnover_fico_acls_interact_1_acls_168"/>
    <x v="208"/>
    <n v="0.99944523712"/>
    <n v="1"/>
    <n v="8"/>
    <n v="232"/>
  </r>
  <r>
    <x v="44"/>
    <s v="conventional_turnover_fico_acls_interact_1_acls_169"/>
    <x v="209"/>
    <n v="0.99963198372571405"/>
    <n v="1"/>
    <n v="8"/>
    <n v="232"/>
  </r>
  <r>
    <x v="44"/>
    <s v="conventional_turnover_fico_acls_interact_1_acls_170"/>
    <x v="210"/>
    <n v="0.99977190857142895"/>
    <n v="1"/>
    <n v="8"/>
    <n v="232"/>
  </r>
  <r>
    <x v="44"/>
    <s v="conventional_turnover_fico_acls_interact_1_acls_171"/>
    <x v="211"/>
    <n v="0.99987160576"/>
    <n v="1"/>
    <n v="8"/>
    <n v="232"/>
  </r>
  <r>
    <x v="44"/>
    <s v="conventional_turnover_fico_acls_interact_1_acls_172"/>
    <x v="212"/>
    <n v="0.99993766939428597"/>
    <n v="1"/>
    <n v="8"/>
    <n v="232"/>
  </r>
  <r>
    <x v="44"/>
    <s v="conventional_turnover_fico_acls_interact_1_acls_173"/>
    <x v="213"/>
    <n v="0.99997669357714303"/>
    <n v="1"/>
    <n v="8"/>
    <n v="232"/>
  </r>
  <r>
    <x v="44"/>
    <s v="conventional_turnover_fico_acls_interact_1_acls_174"/>
    <x v="214"/>
    <n v="0.99999527241142905"/>
    <n v="1"/>
    <n v="8"/>
    <n v="232"/>
  </r>
  <r>
    <x v="44"/>
    <s v="conventional_turnover_fico_acls_interact_1_acls_175"/>
    <x v="215"/>
    <n v="1"/>
    <n v="1"/>
    <n v="8"/>
    <n v="232"/>
  </r>
  <r>
    <x v="44"/>
    <s v="conventional_turnover_fico_acls_interact_1_acls_176"/>
    <x v="216"/>
    <n v="1"/>
    <n v="1"/>
    <n v="8"/>
    <n v="232"/>
  </r>
  <r>
    <x v="44"/>
    <s v="conventional_turnover_fico_acls_interact_1_acls_177"/>
    <x v="217"/>
    <n v="1"/>
    <n v="1"/>
    <n v="8"/>
    <n v="232"/>
  </r>
  <r>
    <x v="44"/>
    <s v="conventional_turnover_fico_acls_interact_1_acls_178"/>
    <x v="218"/>
    <n v="1"/>
    <n v="1"/>
    <n v="8"/>
    <n v="232"/>
  </r>
  <r>
    <x v="44"/>
    <s v="conventional_turnover_fico_acls_interact_1_acls_179"/>
    <x v="219"/>
    <n v="1"/>
    <n v="1"/>
    <n v="8"/>
    <n v="232"/>
  </r>
  <r>
    <x v="44"/>
    <s v="conventional_turnover_fico_acls_interact_1_acls_180"/>
    <x v="220"/>
    <n v="1"/>
    <n v="1"/>
    <n v="8"/>
    <n v="232"/>
  </r>
  <r>
    <x v="44"/>
    <s v="conventional_turnover_fico_acls_interact_1_acls_181"/>
    <x v="221"/>
    <n v="1"/>
    <n v="1"/>
    <n v="8"/>
    <n v="232"/>
  </r>
  <r>
    <x v="44"/>
    <s v="conventional_turnover_fico_acls_interact_1_acls_182"/>
    <x v="222"/>
    <n v="1"/>
    <n v="1"/>
    <n v="8"/>
    <n v="232"/>
  </r>
  <r>
    <x v="44"/>
    <s v="conventional_turnover_fico_acls_interact_1_acls_183"/>
    <x v="223"/>
    <n v="1"/>
    <n v="1"/>
    <n v="8"/>
    <n v="232"/>
  </r>
  <r>
    <x v="44"/>
    <s v="conventional_turnover_fico_acls_interact_1_acls_184"/>
    <x v="224"/>
    <n v="1"/>
    <n v="1"/>
    <n v="8"/>
    <n v="232"/>
  </r>
  <r>
    <x v="44"/>
    <s v="conventional_turnover_fico_acls_interact_1_acls_185"/>
    <x v="225"/>
    <n v="1"/>
    <n v="1"/>
    <n v="8"/>
    <n v="232"/>
  </r>
  <r>
    <x v="44"/>
    <s v="conventional_turnover_fico_acls_interact_1_acls_186"/>
    <x v="226"/>
    <n v="1"/>
    <n v="1"/>
    <n v="8"/>
    <n v="232"/>
  </r>
  <r>
    <x v="44"/>
    <s v="conventional_turnover_fico_acls_interact_1_acls_187"/>
    <x v="227"/>
    <n v="1"/>
    <n v="1"/>
    <n v="8"/>
    <n v="232"/>
  </r>
  <r>
    <x v="44"/>
    <s v="conventional_turnover_fico_acls_interact_1_acls_188"/>
    <x v="228"/>
    <n v="1"/>
    <n v="1"/>
    <n v="8"/>
    <n v="232"/>
  </r>
  <r>
    <x v="44"/>
    <s v="conventional_turnover_fico_acls_interact_1_acls_189"/>
    <x v="229"/>
    <n v="1"/>
    <n v="1"/>
    <n v="8"/>
    <n v="232"/>
  </r>
  <r>
    <x v="44"/>
    <s v="conventional_turnover_fico_acls_interact_1_acls_190"/>
    <x v="230"/>
    <n v="1"/>
    <n v="1"/>
    <n v="8"/>
    <n v="232"/>
  </r>
  <r>
    <x v="44"/>
    <s v="conventional_turnover_fico_acls_interact_1_acls_191"/>
    <x v="231"/>
    <n v="1"/>
    <n v="1"/>
    <n v="8"/>
    <n v="232"/>
  </r>
  <r>
    <x v="44"/>
    <s v="conventional_turnover_fico_acls_interact_1_acls_192"/>
    <x v="232"/>
    <n v="1"/>
    <n v="1"/>
    <n v="8"/>
    <n v="232"/>
  </r>
  <r>
    <x v="44"/>
    <s v="conventional_turnover_fico_acls_interact_1_acls_193"/>
    <x v="233"/>
    <n v="1"/>
    <n v="1"/>
    <n v="8"/>
    <n v="232"/>
  </r>
  <r>
    <x v="44"/>
    <s v="conventional_turnover_fico_acls_interact_1_acls_194"/>
    <x v="234"/>
    <n v="1"/>
    <n v="1"/>
    <n v="8"/>
    <n v="232"/>
  </r>
  <r>
    <x v="44"/>
    <s v="conventional_turnover_fico_acls_interact_1_acls_195"/>
    <x v="235"/>
    <n v="1"/>
    <n v="1"/>
    <n v="8"/>
    <n v="232"/>
  </r>
  <r>
    <x v="44"/>
    <s v="conventional_turnover_fico_acls_interact_1_acls_196"/>
    <x v="236"/>
    <n v="1"/>
    <n v="1"/>
    <n v="8"/>
    <n v="232"/>
  </r>
  <r>
    <x v="44"/>
    <s v="conventional_turnover_fico_acls_interact_1_acls_197"/>
    <x v="237"/>
    <n v="1"/>
    <n v="1"/>
    <n v="8"/>
    <n v="232"/>
  </r>
  <r>
    <x v="44"/>
    <s v="conventional_turnover_fico_acls_interact_1_acls_198"/>
    <x v="238"/>
    <n v="1"/>
    <n v="1"/>
    <n v="8"/>
    <n v="232"/>
  </r>
  <r>
    <x v="44"/>
    <s v="conventional_turnover_fico_acls_interact_1_acls_199"/>
    <x v="239"/>
    <n v="1"/>
    <n v="1"/>
    <n v="8"/>
    <n v="232"/>
  </r>
  <r>
    <x v="44"/>
    <s v="conventional_turnover_fico_acls_interact_1_acls_200"/>
    <x v="240"/>
    <n v="1"/>
    <n v="1"/>
    <n v="8"/>
    <n v="232"/>
  </r>
  <r>
    <x v="44"/>
    <s v="conventional_turnover_fico_acls_interact_1_acls_201"/>
    <x v="241"/>
    <n v="1"/>
    <n v="1"/>
    <n v="8"/>
    <n v="232"/>
  </r>
  <r>
    <x v="44"/>
    <s v="conventional_turnover_fico_acls_interact_1_acls_202"/>
    <x v="242"/>
    <n v="1"/>
    <n v="1"/>
    <n v="8"/>
    <n v="232"/>
  </r>
  <r>
    <x v="44"/>
    <s v="conventional_turnover_fico_acls_interact_1_acls_203"/>
    <x v="243"/>
    <n v="1"/>
    <n v="1"/>
    <n v="8"/>
    <n v="232"/>
  </r>
  <r>
    <x v="44"/>
    <s v="conventional_turnover_fico_acls_interact_1_acls_204"/>
    <x v="244"/>
    <n v="1"/>
    <n v="1"/>
    <n v="8"/>
    <n v="232"/>
  </r>
  <r>
    <x v="44"/>
    <s v="conventional_turnover_fico_acls_interact_1_acls_205"/>
    <x v="245"/>
    <n v="1"/>
    <n v="1"/>
    <n v="8"/>
    <n v="232"/>
  </r>
  <r>
    <x v="44"/>
    <s v="conventional_turnover_fico_acls_interact_1_acls_206"/>
    <x v="246"/>
    <n v="1"/>
    <n v="1"/>
    <n v="8"/>
    <n v="232"/>
  </r>
  <r>
    <x v="44"/>
    <s v="conventional_turnover_fico_acls_interact_1_acls_207"/>
    <x v="247"/>
    <n v="1"/>
    <n v="1"/>
    <n v="8"/>
    <n v="232"/>
  </r>
  <r>
    <x v="44"/>
    <s v="conventional_turnover_fico_acls_interact_1_acls_208"/>
    <x v="248"/>
    <n v="1"/>
    <n v="1"/>
    <n v="8"/>
    <n v="232"/>
  </r>
  <r>
    <x v="44"/>
    <s v="conventional_turnover_fico_acls_interact_1_acls_209"/>
    <x v="249"/>
    <n v="1"/>
    <n v="1"/>
    <n v="8"/>
    <n v="232"/>
  </r>
  <r>
    <x v="44"/>
    <s v="conventional_turnover_fico_acls_interact_1_acls_210"/>
    <x v="250"/>
    <n v="1"/>
    <n v="1"/>
    <n v="8"/>
    <n v="232"/>
  </r>
  <r>
    <x v="44"/>
    <s v="conventional_turnover_fico_acls_interact_1_acls_211"/>
    <x v="251"/>
    <n v="1"/>
    <n v="1"/>
    <n v="8"/>
    <n v="232"/>
  </r>
  <r>
    <x v="44"/>
    <s v="conventional_turnover_fico_acls_interact_1_acls_212"/>
    <x v="252"/>
    <n v="1"/>
    <n v="1"/>
    <n v="8"/>
    <n v="232"/>
  </r>
  <r>
    <x v="44"/>
    <s v="conventional_turnover_fico_acls_interact_1_acls_213"/>
    <x v="253"/>
    <n v="1"/>
    <n v="1"/>
    <n v="8"/>
    <n v="232"/>
  </r>
  <r>
    <x v="44"/>
    <s v="conventional_turnover_fico_acls_interact_1_acls_214"/>
    <x v="254"/>
    <n v="1"/>
    <n v="1"/>
    <n v="8"/>
    <n v="232"/>
  </r>
  <r>
    <x v="44"/>
    <s v="conventional_turnover_fico_acls_interact_1_acls_215"/>
    <x v="255"/>
    <n v="1"/>
    <n v="1"/>
    <n v="8"/>
    <n v="232"/>
  </r>
  <r>
    <x v="44"/>
    <s v="conventional_turnover_fico_acls_interact_1_acls_216"/>
    <x v="256"/>
    <n v="1"/>
    <n v="1"/>
    <n v="8"/>
    <n v="232"/>
  </r>
  <r>
    <x v="44"/>
    <s v="conventional_turnover_fico_acls_interact_1_acls_217"/>
    <x v="257"/>
    <n v="1"/>
    <n v="1"/>
    <n v="8"/>
    <n v="232"/>
  </r>
  <r>
    <x v="44"/>
    <s v="conventional_turnover_fico_acls_interact_1_acls_218"/>
    <x v="258"/>
    <n v="1"/>
    <n v="1"/>
    <n v="8"/>
    <n v="232"/>
  </r>
  <r>
    <x v="44"/>
    <s v="conventional_turnover_fico_acls_interact_1_acls_219"/>
    <x v="259"/>
    <n v="1"/>
    <n v="1"/>
    <n v="8"/>
    <n v="232"/>
  </r>
  <r>
    <x v="44"/>
    <s v="conventional_turnover_fico_acls_interact_1_acls_220"/>
    <x v="260"/>
    <n v="1"/>
    <n v="1"/>
    <n v="8"/>
    <n v="232"/>
  </r>
  <r>
    <x v="44"/>
    <s v="conventional_turnover_fico_acls_interact_1_acls_221"/>
    <x v="261"/>
    <n v="1"/>
    <n v="1"/>
    <n v="8"/>
    <n v="232"/>
  </r>
  <r>
    <x v="44"/>
    <s v="conventional_turnover_fico_acls_interact_1_acls_222"/>
    <x v="262"/>
    <n v="1"/>
    <n v="1"/>
    <n v="8"/>
    <n v="232"/>
  </r>
  <r>
    <x v="44"/>
    <s v="conventional_turnover_fico_acls_interact_1_acls_223"/>
    <x v="263"/>
    <n v="1"/>
    <n v="1"/>
    <n v="8"/>
    <n v="232"/>
  </r>
  <r>
    <x v="44"/>
    <s v="conventional_turnover_fico_acls_interact_1_acls_224"/>
    <x v="264"/>
    <n v="1"/>
    <n v="1"/>
    <n v="8"/>
    <n v="232"/>
  </r>
  <r>
    <x v="44"/>
    <s v="conventional_turnover_fico_acls_interact_1_acls_225"/>
    <x v="265"/>
    <n v="1"/>
    <n v="1"/>
    <n v="8"/>
    <n v="232"/>
  </r>
  <r>
    <x v="44"/>
    <s v="conventional_turnover_fico_acls_interact_1_acls_226"/>
    <x v="266"/>
    <n v="1"/>
    <n v="1"/>
    <n v="8"/>
    <n v="232"/>
  </r>
  <r>
    <x v="44"/>
    <s v="conventional_turnover_fico_acls_interact_1_acls_227"/>
    <x v="267"/>
    <n v="1"/>
    <n v="1"/>
    <n v="8"/>
    <n v="232"/>
  </r>
  <r>
    <x v="44"/>
    <s v="conventional_turnover_fico_acls_interact_1_acls_228"/>
    <x v="268"/>
    <n v="1"/>
    <n v="1"/>
    <n v="8"/>
    <n v="232"/>
  </r>
  <r>
    <x v="44"/>
    <s v="conventional_turnover_fico_acls_interact_1_acls_229"/>
    <x v="269"/>
    <n v="1"/>
    <n v="1"/>
    <n v="8"/>
    <n v="232"/>
  </r>
  <r>
    <x v="44"/>
    <s v="conventional_turnover_fico_acls_interact_1_acls_230"/>
    <x v="270"/>
    <n v="1"/>
    <n v="1"/>
    <n v="8"/>
    <n v="232"/>
  </r>
  <r>
    <x v="44"/>
    <s v="conventional_turnover_fico_acls_interact_1_acls_231"/>
    <x v="271"/>
    <n v="1"/>
    <n v="1"/>
    <n v="8"/>
    <n v="232"/>
  </r>
  <r>
    <x v="44"/>
    <s v="conventional_turnover_fico_acls_interact_1_acls_232"/>
    <x v="272"/>
    <n v="1"/>
    <n v="1"/>
    <n v="8"/>
    <n v="232"/>
  </r>
  <r>
    <x v="45"/>
    <s v="conventional_turnover_fico_acls_interact_2_fico_556"/>
    <x v="596"/>
    <n v="1"/>
    <n v="1"/>
    <n v="556"/>
    <n v="864"/>
  </r>
  <r>
    <x v="45"/>
    <s v="conventional_turnover_fico_acls_interact_2_fico_557"/>
    <x v="597"/>
    <n v="1"/>
    <n v="1"/>
    <n v="556"/>
    <n v="864"/>
  </r>
  <r>
    <x v="45"/>
    <s v="conventional_turnover_fico_acls_interact_2_fico_558"/>
    <x v="598"/>
    <n v="1"/>
    <n v="1"/>
    <n v="556"/>
    <n v="864"/>
  </r>
  <r>
    <x v="45"/>
    <s v="conventional_turnover_fico_acls_interact_2_fico_559"/>
    <x v="599"/>
    <n v="1"/>
    <n v="1"/>
    <n v="556"/>
    <n v="864"/>
  </r>
  <r>
    <x v="45"/>
    <s v="conventional_turnover_fico_acls_interact_2_fico_560"/>
    <x v="600"/>
    <n v="1"/>
    <n v="1"/>
    <n v="556"/>
    <n v="864"/>
  </r>
  <r>
    <x v="45"/>
    <s v="conventional_turnover_fico_acls_interact_2_fico_561"/>
    <x v="601"/>
    <n v="1"/>
    <n v="1"/>
    <n v="556"/>
    <n v="864"/>
  </r>
  <r>
    <x v="45"/>
    <s v="conventional_turnover_fico_acls_interact_2_fico_562"/>
    <x v="602"/>
    <n v="1"/>
    <n v="1"/>
    <n v="556"/>
    <n v="864"/>
  </r>
  <r>
    <x v="45"/>
    <s v="conventional_turnover_fico_acls_interact_2_fico_563"/>
    <x v="603"/>
    <n v="1"/>
    <n v="1"/>
    <n v="556"/>
    <n v="864"/>
  </r>
  <r>
    <x v="45"/>
    <s v="conventional_turnover_fico_acls_interact_2_fico_564"/>
    <x v="604"/>
    <n v="1"/>
    <n v="1"/>
    <n v="556"/>
    <n v="864"/>
  </r>
  <r>
    <x v="45"/>
    <s v="conventional_turnover_fico_acls_interact_2_fico_565"/>
    <x v="605"/>
    <n v="1"/>
    <n v="1"/>
    <n v="556"/>
    <n v="864"/>
  </r>
  <r>
    <x v="45"/>
    <s v="conventional_turnover_fico_acls_interact_2_fico_566"/>
    <x v="606"/>
    <n v="1"/>
    <n v="1"/>
    <n v="556"/>
    <n v="864"/>
  </r>
  <r>
    <x v="45"/>
    <s v="conventional_turnover_fico_acls_interact_2_fico_567"/>
    <x v="607"/>
    <n v="1"/>
    <n v="1"/>
    <n v="556"/>
    <n v="864"/>
  </r>
  <r>
    <x v="45"/>
    <s v="conventional_turnover_fico_acls_interact_2_fico_568"/>
    <x v="608"/>
    <n v="1"/>
    <n v="1"/>
    <n v="556"/>
    <n v="864"/>
  </r>
  <r>
    <x v="45"/>
    <s v="conventional_turnover_fico_acls_interact_2_fico_569"/>
    <x v="609"/>
    <n v="1"/>
    <n v="1"/>
    <n v="556"/>
    <n v="864"/>
  </r>
  <r>
    <x v="45"/>
    <s v="conventional_turnover_fico_acls_interact_2_fico_570"/>
    <x v="610"/>
    <n v="1"/>
    <n v="1"/>
    <n v="556"/>
    <n v="864"/>
  </r>
  <r>
    <x v="45"/>
    <s v="conventional_turnover_fico_acls_interact_2_fico_571"/>
    <x v="611"/>
    <n v="1"/>
    <n v="1"/>
    <n v="556"/>
    <n v="864"/>
  </r>
  <r>
    <x v="45"/>
    <s v="conventional_turnover_fico_acls_interact_2_fico_572"/>
    <x v="612"/>
    <n v="1"/>
    <n v="1"/>
    <n v="556"/>
    <n v="864"/>
  </r>
  <r>
    <x v="45"/>
    <s v="conventional_turnover_fico_acls_interact_2_fico_573"/>
    <x v="613"/>
    <n v="1"/>
    <n v="1"/>
    <n v="556"/>
    <n v="864"/>
  </r>
  <r>
    <x v="45"/>
    <s v="conventional_turnover_fico_acls_interact_2_fico_574"/>
    <x v="614"/>
    <n v="1"/>
    <n v="1"/>
    <n v="556"/>
    <n v="864"/>
  </r>
  <r>
    <x v="45"/>
    <s v="conventional_turnover_fico_acls_interact_2_fico_575"/>
    <x v="615"/>
    <n v="1"/>
    <n v="1"/>
    <n v="556"/>
    <n v="864"/>
  </r>
  <r>
    <x v="45"/>
    <s v="conventional_turnover_fico_acls_interact_2_fico_576"/>
    <x v="616"/>
    <n v="1"/>
    <n v="1"/>
    <n v="556"/>
    <n v="864"/>
  </r>
  <r>
    <x v="45"/>
    <s v="conventional_turnover_fico_acls_interact_2_fico_577"/>
    <x v="617"/>
    <n v="1"/>
    <n v="1"/>
    <n v="556"/>
    <n v="864"/>
  </r>
  <r>
    <x v="45"/>
    <s v="conventional_turnover_fico_acls_interact_2_fico_578"/>
    <x v="618"/>
    <n v="1"/>
    <n v="1"/>
    <n v="556"/>
    <n v="864"/>
  </r>
  <r>
    <x v="45"/>
    <s v="conventional_turnover_fico_acls_interact_2_fico_579"/>
    <x v="619"/>
    <n v="1"/>
    <n v="1"/>
    <n v="556"/>
    <n v="864"/>
  </r>
  <r>
    <x v="45"/>
    <s v="conventional_turnover_fico_acls_interact_2_fico_580"/>
    <x v="620"/>
    <n v="1"/>
    <n v="1"/>
    <n v="556"/>
    <n v="864"/>
  </r>
  <r>
    <x v="45"/>
    <s v="conventional_turnover_fico_acls_interact_2_fico_581"/>
    <x v="621"/>
    <n v="1"/>
    <n v="1"/>
    <n v="556"/>
    <n v="864"/>
  </r>
  <r>
    <x v="45"/>
    <s v="conventional_turnover_fico_acls_interact_2_fico_582"/>
    <x v="622"/>
    <n v="1"/>
    <n v="1"/>
    <n v="556"/>
    <n v="864"/>
  </r>
  <r>
    <x v="45"/>
    <s v="conventional_turnover_fico_acls_interact_2_fico_583"/>
    <x v="623"/>
    <n v="1"/>
    <n v="1"/>
    <n v="556"/>
    <n v="864"/>
  </r>
  <r>
    <x v="45"/>
    <s v="conventional_turnover_fico_acls_interact_2_fico_584"/>
    <x v="624"/>
    <n v="1"/>
    <n v="1"/>
    <n v="556"/>
    <n v="864"/>
  </r>
  <r>
    <x v="45"/>
    <s v="conventional_turnover_fico_acls_interact_2_fico_585"/>
    <x v="625"/>
    <n v="1"/>
    <n v="1"/>
    <n v="556"/>
    <n v="864"/>
  </r>
  <r>
    <x v="45"/>
    <s v="conventional_turnover_fico_acls_interact_2_fico_586"/>
    <x v="626"/>
    <n v="1"/>
    <n v="1"/>
    <n v="556"/>
    <n v="864"/>
  </r>
  <r>
    <x v="45"/>
    <s v="conventional_turnover_fico_acls_interact_2_fico_587"/>
    <x v="627"/>
    <n v="1"/>
    <n v="1"/>
    <n v="556"/>
    <n v="864"/>
  </r>
  <r>
    <x v="45"/>
    <s v="conventional_turnover_fico_acls_interact_2_fico_588"/>
    <x v="628"/>
    <n v="1"/>
    <n v="1"/>
    <n v="556"/>
    <n v="864"/>
  </r>
  <r>
    <x v="45"/>
    <s v="conventional_turnover_fico_acls_interact_2_fico_589"/>
    <x v="629"/>
    <n v="1"/>
    <n v="1"/>
    <n v="556"/>
    <n v="864"/>
  </r>
  <r>
    <x v="45"/>
    <s v="conventional_turnover_fico_acls_interact_2_fico_590"/>
    <x v="630"/>
    <n v="1"/>
    <n v="1"/>
    <n v="556"/>
    <n v="864"/>
  </r>
  <r>
    <x v="45"/>
    <s v="conventional_turnover_fico_acls_interact_2_fico_591"/>
    <x v="631"/>
    <n v="1"/>
    <n v="1"/>
    <n v="556"/>
    <n v="864"/>
  </r>
  <r>
    <x v="45"/>
    <s v="conventional_turnover_fico_acls_interact_2_fico_592"/>
    <x v="632"/>
    <n v="1"/>
    <n v="1"/>
    <n v="556"/>
    <n v="864"/>
  </r>
  <r>
    <x v="45"/>
    <s v="conventional_turnover_fico_acls_interact_2_fico_593"/>
    <x v="633"/>
    <n v="1"/>
    <n v="1"/>
    <n v="556"/>
    <n v="864"/>
  </r>
  <r>
    <x v="45"/>
    <s v="conventional_turnover_fico_acls_interact_2_fico_594"/>
    <x v="634"/>
    <n v="1"/>
    <n v="1"/>
    <n v="556"/>
    <n v="864"/>
  </r>
  <r>
    <x v="45"/>
    <s v="conventional_turnover_fico_acls_interact_2_fico_595"/>
    <x v="635"/>
    <n v="1"/>
    <n v="1"/>
    <n v="556"/>
    <n v="864"/>
  </r>
  <r>
    <x v="45"/>
    <s v="conventional_turnover_fico_acls_interact_2_fico_596"/>
    <x v="636"/>
    <n v="1"/>
    <n v="1"/>
    <n v="556"/>
    <n v="864"/>
  </r>
  <r>
    <x v="45"/>
    <s v="conventional_turnover_fico_acls_interact_2_fico_597"/>
    <x v="637"/>
    <n v="1"/>
    <n v="1"/>
    <n v="556"/>
    <n v="864"/>
  </r>
  <r>
    <x v="45"/>
    <s v="conventional_turnover_fico_acls_interact_2_fico_598"/>
    <x v="638"/>
    <n v="1"/>
    <n v="1"/>
    <n v="556"/>
    <n v="864"/>
  </r>
  <r>
    <x v="45"/>
    <s v="conventional_turnover_fico_acls_interact_2_fico_599"/>
    <x v="639"/>
    <n v="1"/>
    <n v="1"/>
    <n v="556"/>
    <n v="864"/>
  </r>
  <r>
    <x v="45"/>
    <s v="conventional_turnover_fico_acls_interact_2_fico_600"/>
    <x v="640"/>
    <n v="1"/>
    <n v="1"/>
    <n v="556"/>
    <n v="864"/>
  </r>
  <r>
    <x v="45"/>
    <s v="conventional_turnover_fico_acls_interact_2_fico_601"/>
    <x v="641"/>
    <n v="1"/>
    <n v="1"/>
    <n v="556"/>
    <n v="864"/>
  </r>
  <r>
    <x v="45"/>
    <s v="conventional_turnover_fico_acls_interact_2_fico_602"/>
    <x v="642"/>
    <n v="1"/>
    <n v="1"/>
    <n v="556"/>
    <n v="864"/>
  </r>
  <r>
    <x v="45"/>
    <s v="conventional_turnover_fico_acls_interact_2_fico_603"/>
    <x v="643"/>
    <n v="1"/>
    <n v="1"/>
    <n v="556"/>
    <n v="864"/>
  </r>
  <r>
    <x v="45"/>
    <s v="conventional_turnover_fico_acls_interact_2_fico_604"/>
    <x v="644"/>
    <n v="1"/>
    <n v="1"/>
    <n v="556"/>
    <n v="864"/>
  </r>
  <r>
    <x v="45"/>
    <s v="conventional_turnover_fico_acls_interact_2_fico_605"/>
    <x v="645"/>
    <n v="1"/>
    <n v="1"/>
    <n v="556"/>
    <n v="864"/>
  </r>
  <r>
    <x v="45"/>
    <s v="conventional_turnover_fico_acls_interact_2_fico_606"/>
    <x v="646"/>
    <n v="1"/>
    <n v="1"/>
    <n v="556"/>
    <n v="864"/>
  </r>
  <r>
    <x v="45"/>
    <s v="conventional_turnover_fico_acls_interact_2_fico_607"/>
    <x v="647"/>
    <n v="1"/>
    <n v="1"/>
    <n v="556"/>
    <n v="864"/>
  </r>
  <r>
    <x v="45"/>
    <s v="conventional_turnover_fico_acls_interact_2_fico_608"/>
    <x v="648"/>
    <n v="1"/>
    <n v="1"/>
    <n v="556"/>
    <n v="864"/>
  </r>
  <r>
    <x v="45"/>
    <s v="conventional_turnover_fico_acls_interact_2_fico_609"/>
    <x v="649"/>
    <n v="1"/>
    <n v="1"/>
    <n v="556"/>
    <n v="864"/>
  </r>
  <r>
    <x v="45"/>
    <s v="conventional_turnover_fico_acls_interact_2_fico_610"/>
    <x v="650"/>
    <n v="1"/>
    <n v="1"/>
    <n v="556"/>
    <n v="864"/>
  </r>
  <r>
    <x v="45"/>
    <s v="conventional_turnover_fico_acls_interact_2_fico_611"/>
    <x v="651"/>
    <n v="1"/>
    <n v="1"/>
    <n v="556"/>
    <n v="864"/>
  </r>
  <r>
    <x v="45"/>
    <s v="conventional_turnover_fico_acls_interact_2_fico_612"/>
    <x v="652"/>
    <n v="1"/>
    <n v="1"/>
    <n v="556"/>
    <n v="864"/>
  </r>
  <r>
    <x v="45"/>
    <s v="conventional_turnover_fico_acls_interact_2_fico_613"/>
    <x v="653"/>
    <n v="1"/>
    <n v="1"/>
    <n v="556"/>
    <n v="864"/>
  </r>
  <r>
    <x v="45"/>
    <s v="conventional_turnover_fico_acls_interact_2_fico_614"/>
    <x v="654"/>
    <n v="1"/>
    <n v="1"/>
    <n v="556"/>
    <n v="864"/>
  </r>
  <r>
    <x v="45"/>
    <s v="conventional_turnover_fico_acls_interact_2_fico_615"/>
    <x v="655"/>
    <n v="1"/>
    <n v="1"/>
    <n v="556"/>
    <n v="864"/>
  </r>
  <r>
    <x v="45"/>
    <s v="conventional_turnover_fico_acls_interact_2_fico_616"/>
    <x v="656"/>
    <n v="1"/>
    <n v="1"/>
    <n v="556"/>
    <n v="864"/>
  </r>
  <r>
    <x v="45"/>
    <s v="conventional_turnover_fico_acls_interact_2_fico_617"/>
    <x v="657"/>
    <n v="1"/>
    <n v="1"/>
    <n v="556"/>
    <n v="864"/>
  </r>
  <r>
    <x v="45"/>
    <s v="conventional_turnover_fico_acls_interact_2_fico_618"/>
    <x v="658"/>
    <n v="1"/>
    <n v="1"/>
    <n v="556"/>
    <n v="864"/>
  </r>
  <r>
    <x v="45"/>
    <s v="conventional_turnover_fico_acls_interact_2_fico_619"/>
    <x v="659"/>
    <n v="1"/>
    <n v="1"/>
    <n v="556"/>
    <n v="864"/>
  </r>
  <r>
    <x v="45"/>
    <s v="conventional_turnover_fico_acls_interact_2_fico_620"/>
    <x v="660"/>
    <n v="1"/>
    <n v="1"/>
    <n v="556"/>
    <n v="864"/>
  </r>
  <r>
    <x v="45"/>
    <s v="conventional_turnover_fico_acls_interact_2_fico_621"/>
    <x v="661"/>
    <n v="0.99983186125000001"/>
    <n v="1"/>
    <n v="556"/>
    <n v="864"/>
  </r>
  <r>
    <x v="45"/>
    <s v="conventional_turnover_fico_acls_interact_2_fico_622"/>
    <x v="662"/>
    <n v="0.99933879000000003"/>
    <n v="1"/>
    <n v="556"/>
    <n v="864"/>
  </r>
  <r>
    <x v="45"/>
    <s v="conventional_turnover_fico_acls_interact_2_fico_623"/>
    <x v="663"/>
    <n v="0.99853780375000001"/>
    <n v="1"/>
    <n v="556"/>
    <n v="864"/>
  </r>
  <r>
    <x v="45"/>
    <s v="conventional_turnover_fico_acls_interact_2_fico_624"/>
    <x v="664"/>
    <n v="0.99744591999999999"/>
    <n v="1"/>
    <n v="556"/>
    <n v="864"/>
  </r>
  <r>
    <x v="45"/>
    <s v="conventional_turnover_fico_acls_interact_2_fico_625"/>
    <x v="665"/>
    <n v="0.99608015625000002"/>
    <n v="1"/>
    <n v="556"/>
    <n v="864"/>
  </r>
  <r>
    <x v="45"/>
    <s v="conventional_turnover_fico_acls_interact_2_fico_626"/>
    <x v="666"/>
    <n v="0.99445753000000003"/>
    <n v="1"/>
    <n v="556"/>
    <n v="864"/>
  </r>
  <r>
    <x v="45"/>
    <s v="conventional_turnover_fico_acls_interact_2_fico_627"/>
    <x v="667"/>
    <n v="0.99259505874999998"/>
    <n v="1"/>
    <n v="556"/>
    <n v="864"/>
  </r>
  <r>
    <x v="45"/>
    <s v="conventional_turnover_fico_acls_interact_2_fico_628"/>
    <x v="668"/>
    <n v="0.99050976000000002"/>
    <n v="1"/>
    <n v="556"/>
    <n v="864"/>
  </r>
  <r>
    <x v="45"/>
    <s v="conventional_turnover_fico_acls_interact_2_fico_629"/>
    <x v="669"/>
    <n v="0.98821865124999997"/>
    <n v="1"/>
    <n v="556"/>
    <n v="864"/>
  </r>
  <r>
    <x v="45"/>
    <s v="conventional_turnover_fico_acls_interact_2_fico_630"/>
    <x v="670"/>
    <n v="0.98573875"/>
    <n v="1"/>
    <n v="556"/>
    <n v="864"/>
  </r>
  <r>
    <x v="45"/>
    <s v="conventional_turnover_fico_acls_interact_2_fico_631"/>
    <x v="671"/>
    <n v="0.98308707375000004"/>
    <n v="1"/>
    <n v="556"/>
    <n v="864"/>
  </r>
  <r>
    <x v="45"/>
    <s v="conventional_turnover_fico_acls_interact_2_fico_632"/>
    <x v="672"/>
    <n v="0.98028064000000004"/>
    <n v="1"/>
    <n v="556"/>
    <n v="864"/>
  </r>
  <r>
    <x v="45"/>
    <s v="conventional_turnover_fico_acls_interact_2_fico_633"/>
    <x v="673"/>
    <n v="0.97733646625000004"/>
    <n v="1"/>
    <n v="556"/>
    <n v="864"/>
  </r>
  <r>
    <x v="45"/>
    <s v="conventional_turnover_fico_acls_interact_2_fico_634"/>
    <x v="674"/>
    <n v="0.97427156999999998"/>
    <n v="1"/>
    <n v="556"/>
    <n v="864"/>
  </r>
  <r>
    <x v="45"/>
    <s v="conventional_turnover_fico_acls_interact_2_fico_635"/>
    <x v="675"/>
    <n v="0.97110296875000002"/>
    <n v="1"/>
    <n v="556"/>
    <n v="864"/>
  </r>
  <r>
    <x v="45"/>
    <s v="conventional_turnover_fico_acls_interact_2_fico_636"/>
    <x v="676"/>
    <n v="0.96784767999999999"/>
    <n v="1"/>
    <n v="556"/>
    <n v="864"/>
  </r>
  <r>
    <x v="45"/>
    <s v="conventional_turnover_fico_acls_interact_2_fico_637"/>
    <x v="677"/>
    <n v="0.96452272125000005"/>
    <n v="1"/>
    <n v="556"/>
    <n v="864"/>
  </r>
  <r>
    <x v="45"/>
    <s v="conventional_turnover_fico_acls_interact_2_fico_638"/>
    <x v="678"/>
    <n v="0.96114511000000002"/>
    <n v="1"/>
    <n v="556"/>
    <n v="864"/>
  </r>
  <r>
    <x v="45"/>
    <s v="conventional_turnover_fico_acls_interact_2_fico_639"/>
    <x v="679"/>
    <n v="0.95773186374999997"/>
    <n v="1"/>
    <n v="556"/>
    <n v="864"/>
  </r>
  <r>
    <x v="45"/>
    <s v="conventional_turnover_fico_acls_interact_2_fico_640"/>
    <x v="680"/>
    <n v="0.95430000000000004"/>
    <n v="1"/>
    <n v="556"/>
    <n v="864"/>
  </r>
  <r>
    <x v="45"/>
    <s v="conventional_turnover_fico_acls_interact_2_fico_641"/>
    <x v="681"/>
    <n v="0.95083059437499995"/>
    <n v="1"/>
    <n v="556"/>
    <n v="864"/>
  </r>
  <r>
    <x v="45"/>
    <s v="conventional_turnover_fico_acls_interact_2_fico_642"/>
    <x v="682"/>
    <n v="0.947288405"/>
    <n v="1"/>
    <n v="556"/>
    <n v="864"/>
  </r>
  <r>
    <x v="45"/>
    <s v="conventional_turnover_fico_acls_interact_2_fico_643"/>
    <x v="683"/>
    <n v="0.943665973125"/>
    <n v="1"/>
    <n v="556"/>
    <n v="864"/>
  </r>
  <r>
    <x v="45"/>
    <s v="conventional_turnover_fico_acls_interact_2_fico_644"/>
    <x v="684"/>
    <n v="0.93995583999999999"/>
    <n v="1"/>
    <n v="556"/>
    <n v="864"/>
  </r>
  <r>
    <x v="45"/>
    <s v="conventional_turnover_fico_acls_interact_2_fico_645"/>
    <x v="685"/>
    <n v="0.93615054687499999"/>
    <n v="1"/>
    <n v="556"/>
    <n v="864"/>
  </r>
  <r>
    <x v="45"/>
    <s v="conventional_turnover_fico_acls_interact_2_fico_646"/>
    <x v="686"/>
    <n v="0.93224263500000004"/>
    <n v="1"/>
    <n v="556"/>
    <n v="864"/>
  </r>
  <r>
    <x v="45"/>
    <s v="conventional_turnover_fico_acls_interact_2_fico_647"/>
    <x v="687"/>
    <n v="0.92822464562499996"/>
    <n v="1"/>
    <n v="556"/>
    <n v="864"/>
  </r>
  <r>
    <x v="45"/>
    <s v="conventional_turnover_fico_acls_interact_2_fico_648"/>
    <x v="688"/>
    <n v="0.92408911999999999"/>
    <n v="1"/>
    <n v="556"/>
    <n v="864"/>
  </r>
  <r>
    <x v="45"/>
    <s v="conventional_turnover_fico_acls_interact_2_fico_649"/>
    <x v="689"/>
    <n v="0.91982859937499994"/>
    <n v="1"/>
    <n v="556"/>
    <n v="864"/>
  </r>
  <r>
    <x v="45"/>
    <s v="conventional_turnover_fico_acls_interact_2_fico_650"/>
    <x v="690"/>
    <n v="0.91543562499999998"/>
    <n v="1"/>
    <n v="556"/>
    <n v="864"/>
  </r>
  <r>
    <x v="45"/>
    <s v="conventional_turnover_fico_acls_interact_2_fico_651"/>
    <x v="691"/>
    <n v="0.910902738125"/>
    <n v="1"/>
    <n v="556"/>
    <n v="864"/>
  </r>
  <r>
    <x v="45"/>
    <s v="conventional_turnover_fico_acls_interact_2_fico_652"/>
    <x v="692"/>
    <n v="0.90622248000000005"/>
    <n v="1"/>
    <n v="556"/>
    <n v="864"/>
  </r>
  <r>
    <x v="45"/>
    <s v="conventional_turnover_fico_acls_interact_2_fico_653"/>
    <x v="693"/>
    <n v="0.90138739187500005"/>
    <n v="1"/>
    <n v="556"/>
    <n v="864"/>
  </r>
  <r>
    <x v="45"/>
    <s v="conventional_turnover_fico_acls_interact_2_fico_654"/>
    <x v="694"/>
    <n v="0.89639001500000004"/>
    <n v="1"/>
    <n v="556"/>
    <n v="864"/>
  </r>
  <r>
    <x v="45"/>
    <s v="conventional_turnover_fico_acls_interact_2_fico_655"/>
    <x v="695"/>
    <n v="0.89122289062500004"/>
    <n v="1"/>
    <n v="556"/>
    <n v="864"/>
  </r>
  <r>
    <x v="45"/>
    <s v="conventional_turnover_fico_acls_interact_2_fico_656"/>
    <x v="696"/>
    <n v="0.88587855999999998"/>
    <n v="1"/>
    <n v="556"/>
    <n v="864"/>
  </r>
  <r>
    <x v="45"/>
    <s v="conventional_turnover_fico_acls_interact_2_fico_657"/>
    <x v="697"/>
    <n v="0.880349564375"/>
    <n v="1"/>
    <n v="556"/>
    <n v="864"/>
  </r>
  <r>
    <x v="45"/>
    <s v="conventional_turnover_fico_acls_interact_2_fico_658"/>
    <x v="698"/>
    <n v="0.87462844500000003"/>
    <n v="1"/>
    <n v="556"/>
    <n v="864"/>
  </r>
  <r>
    <x v="45"/>
    <s v="conventional_turnover_fico_acls_interact_2_fico_659"/>
    <x v="699"/>
    <n v="0.86870774312499999"/>
    <n v="1"/>
    <n v="556"/>
    <n v="864"/>
  </r>
  <r>
    <x v="45"/>
    <s v="conventional_turnover_fico_acls_interact_2_fico_660"/>
    <x v="700"/>
    <n v="0.86258000000000001"/>
    <n v="1"/>
    <n v="556"/>
    <n v="864"/>
  </r>
  <r>
    <x v="45"/>
    <s v="conventional_turnover_fico_acls_interact_2_fico_661"/>
    <x v="701"/>
    <n v="0.8562480925"/>
    <n v="1"/>
    <n v="556"/>
    <n v="864"/>
  </r>
  <r>
    <x v="45"/>
    <s v="conventional_turnover_fico_acls_interact_2_fico_662"/>
    <x v="702"/>
    <n v="0.84972318999999996"/>
    <n v="1"/>
    <n v="556"/>
    <n v="864"/>
  </r>
  <r>
    <x v="45"/>
    <s v="conventional_turnover_fico_acls_interact_2_fico_663"/>
    <x v="703"/>
    <n v="0.84301027250000005"/>
    <n v="1"/>
    <n v="556"/>
    <n v="864"/>
  </r>
  <r>
    <x v="45"/>
    <s v="conventional_turnover_fico_acls_interact_2_fico_664"/>
    <x v="704"/>
    <n v="0.83611431999999997"/>
    <n v="1"/>
    <n v="556"/>
    <n v="864"/>
  </r>
  <r>
    <x v="45"/>
    <s v="conventional_turnover_fico_acls_interact_2_fico_665"/>
    <x v="705"/>
    <n v="0.82904031249999999"/>
    <n v="1"/>
    <n v="556"/>
    <n v="864"/>
  </r>
  <r>
    <x v="45"/>
    <s v="conventional_turnover_fico_acls_interact_2_fico_666"/>
    <x v="706"/>
    <n v="0.82179323000000004"/>
    <n v="1"/>
    <n v="556"/>
    <n v="864"/>
  </r>
  <r>
    <x v="45"/>
    <s v="conventional_turnover_fico_acls_interact_2_fico_667"/>
    <x v="707"/>
    <n v="0.81437805249999995"/>
    <n v="1"/>
    <n v="556"/>
    <n v="864"/>
  </r>
  <r>
    <x v="45"/>
    <s v="conventional_turnover_fico_acls_interact_2_fico_668"/>
    <x v="708"/>
    <n v="0.80679975999999998"/>
    <n v="1"/>
    <n v="556"/>
    <n v="864"/>
  </r>
  <r>
    <x v="45"/>
    <s v="conventional_turnover_fico_acls_interact_2_fico_669"/>
    <x v="709"/>
    <n v="0.79906333249999995"/>
    <n v="1"/>
    <n v="556"/>
    <n v="864"/>
  </r>
  <r>
    <x v="45"/>
    <s v="conventional_turnover_fico_acls_interact_2_fico_670"/>
    <x v="710"/>
    <n v="0.79117375000000001"/>
    <n v="1"/>
    <n v="556"/>
    <n v="864"/>
  </r>
  <r>
    <x v="45"/>
    <s v="conventional_turnover_fico_acls_interact_2_fico_671"/>
    <x v="711"/>
    <n v="0.78313599249999999"/>
    <n v="1"/>
    <n v="556"/>
    <n v="864"/>
  </r>
  <r>
    <x v="45"/>
    <s v="conventional_turnover_fico_acls_interact_2_fico_672"/>
    <x v="712"/>
    <n v="0.77495504000000004"/>
    <n v="1"/>
    <n v="556"/>
    <n v="864"/>
  </r>
  <r>
    <x v="45"/>
    <s v="conventional_turnover_fico_acls_interact_2_fico_673"/>
    <x v="713"/>
    <n v="0.76663587249999998"/>
    <n v="1"/>
    <n v="556"/>
    <n v="864"/>
  </r>
  <r>
    <x v="45"/>
    <s v="conventional_turnover_fico_acls_interact_2_fico_674"/>
    <x v="714"/>
    <n v="0.75818346999999997"/>
    <n v="1"/>
    <n v="556"/>
    <n v="864"/>
  </r>
  <r>
    <x v="45"/>
    <s v="conventional_turnover_fico_acls_interact_2_fico_675"/>
    <x v="715"/>
    <n v="0.74960281250000005"/>
    <n v="1"/>
    <n v="556"/>
    <n v="864"/>
  </r>
  <r>
    <x v="45"/>
    <s v="conventional_turnover_fico_acls_interact_2_fico_676"/>
    <x v="716"/>
    <n v="0.74089888000000004"/>
    <n v="1"/>
    <n v="556"/>
    <n v="864"/>
  </r>
  <r>
    <x v="45"/>
    <s v="conventional_turnover_fico_acls_interact_2_fico_677"/>
    <x v="717"/>
    <n v="0.73207665249999998"/>
    <n v="1"/>
    <n v="556"/>
    <n v="864"/>
  </r>
  <r>
    <x v="45"/>
    <s v="conventional_turnover_fico_acls_interact_2_fico_678"/>
    <x v="718"/>
    <n v="0.72314111000000003"/>
    <n v="1"/>
    <n v="556"/>
    <n v="864"/>
  </r>
  <r>
    <x v="45"/>
    <s v="conventional_turnover_fico_acls_interact_2_fico_679"/>
    <x v="719"/>
    <n v="0.71409723250000001"/>
    <n v="1"/>
    <n v="556"/>
    <n v="864"/>
  </r>
  <r>
    <x v="45"/>
    <s v="conventional_turnover_fico_acls_interact_2_fico_680"/>
    <x v="720"/>
    <n v="0.70494999999999997"/>
    <n v="1"/>
    <n v="556"/>
    <n v="864"/>
  </r>
  <r>
    <x v="45"/>
    <s v="conventional_turnover_fico_acls_interact_2_fico_681"/>
    <x v="721"/>
    <n v="0.69561534437500006"/>
    <n v="1"/>
    <n v="556"/>
    <n v="864"/>
  </r>
  <r>
    <x v="45"/>
    <s v="conventional_turnover_fico_acls_interact_2_fico_682"/>
    <x v="722"/>
    <n v="0.68602095500000004"/>
    <n v="1"/>
    <n v="556"/>
    <n v="864"/>
  </r>
  <r>
    <x v="45"/>
    <s v="conventional_turnover_fico_acls_interact_2_fico_683"/>
    <x v="723"/>
    <n v="0.67618944812500004"/>
    <n v="1"/>
    <n v="556"/>
    <n v="864"/>
  </r>
  <r>
    <x v="45"/>
    <s v="conventional_turnover_fico_acls_interact_2_fico_684"/>
    <x v="724"/>
    <n v="0.66614344000000003"/>
    <n v="1"/>
    <n v="556"/>
    <n v="864"/>
  </r>
  <r>
    <x v="45"/>
    <s v="conventional_turnover_fico_acls_interact_2_fico_685"/>
    <x v="725"/>
    <n v="0.65590554687500002"/>
    <n v="1"/>
    <n v="556"/>
    <n v="864"/>
  </r>
  <r>
    <x v="45"/>
    <s v="conventional_turnover_fico_acls_interact_2_fico_686"/>
    <x v="726"/>
    <n v="0.64549838500000001"/>
    <n v="1"/>
    <n v="556"/>
    <n v="864"/>
  </r>
  <r>
    <x v="45"/>
    <s v="conventional_turnover_fico_acls_interact_2_fico_687"/>
    <x v="727"/>
    <n v="0.63494457062499998"/>
    <n v="1"/>
    <n v="556"/>
    <n v="864"/>
  </r>
  <r>
    <x v="45"/>
    <s v="conventional_turnover_fico_acls_interact_2_fico_688"/>
    <x v="728"/>
    <n v="0.62426672000000005"/>
    <n v="1"/>
    <n v="556"/>
    <n v="864"/>
  </r>
  <r>
    <x v="45"/>
    <s v="conventional_turnover_fico_acls_interact_2_fico_689"/>
    <x v="729"/>
    <n v="0.61348744937499999"/>
    <n v="1"/>
    <n v="556"/>
    <n v="864"/>
  </r>
  <r>
    <x v="45"/>
    <s v="conventional_turnover_fico_acls_interact_2_fico_690"/>
    <x v="730"/>
    <n v="0.60262937500000002"/>
    <n v="1"/>
    <n v="556"/>
    <n v="864"/>
  </r>
  <r>
    <x v="45"/>
    <s v="conventional_turnover_fico_acls_interact_2_fico_691"/>
    <x v="731"/>
    <n v="0.59171511312500003"/>
    <n v="1"/>
    <n v="556"/>
    <n v="864"/>
  </r>
  <r>
    <x v="45"/>
    <s v="conventional_turnover_fico_acls_interact_2_fico_692"/>
    <x v="732"/>
    <n v="0.58076728"/>
    <n v="1"/>
    <n v="556"/>
    <n v="864"/>
  </r>
  <r>
    <x v="45"/>
    <s v="conventional_turnover_fico_acls_interact_2_fico_693"/>
    <x v="733"/>
    <n v="0.56980849187500004"/>
    <n v="1"/>
    <n v="556"/>
    <n v="864"/>
  </r>
  <r>
    <x v="45"/>
    <s v="conventional_turnover_fico_acls_interact_2_fico_694"/>
    <x v="734"/>
    <n v="0.55886136500000005"/>
    <n v="1"/>
    <n v="556"/>
    <n v="864"/>
  </r>
  <r>
    <x v="45"/>
    <s v="conventional_turnover_fico_acls_interact_2_fico_695"/>
    <x v="735"/>
    <n v="0.54794851562500002"/>
    <n v="1"/>
    <n v="556"/>
    <n v="864"/>
  </r>
  <r>
    <x v="45"/>
    <s v="conventional_turnover_fico_acls_interact_2_fico_696"/>
    <x v="736"/>
    <n v="0.53709256000000005"/>
    <n v="1"/>
    <n v="556"/>
    <n v="864"/>
  </r>
  <r>
    <x v="45"/>
    <s v="conventional_turnover_fico_acls_interact_2_fico_697"/>
    <x v="737"/>
    <n v="0.52631611437500003"/>
    <n v="1"/>
    <n v="556"/>
    <n v="864"/>
  </r>
  <r>
    <x v="45"/>
    <s v="conventional_turnover_fico_acls_interact_2_fico_698"/>
    <x v="738"/>
    <n v="0.51564179499999996"/>
    <n v="1"/>
    <n v="556"/>
    <n v="864"/>
  </r>
  <r>
    <x v="45"/>
    <s v="conventional_turnover_fico_acls_interact_2_fico_699"/>
    <x v="739"/>
    <n v="0.50509221812500005"/>
    <n v="1"/>
    <n v="556"/>
    <n v="864"/>
  </r>
  <r>
    <x v="45"/>
    <s v="conventional_turnover_fico_acls_interact_2_fico_700"/>
    <x v="740"/>
    <n v="0.49469000000000002"/>
    <n v="1"/>
    <n v="556"/>
    <n v="864"/>
  </r>
  <r>
    <x v="45"/>
    <s v="conventional_turnover_fico_acls_interact_2_fico_701"/>
    <x v="741"/>
    <n v="0.484316268125"/>
    <n v="1"/>
    <n v="556"/>
    <n v="864"/>
  </r>
  <r>
    <x v="45"/>
    <s v="conventional_turnover_fico_acls_interact_2_fico_702"/>
    <x v="742"/>
    <n v="0.47385019499999997"/>
    <n v="1"/>
    <n v="556"/>
    <n v="864"/>
  </r>
  <r>
    <x v="45"/>
    <s v="conventional_turnover_fico_acls_interact_2_fico_703"/>
    <x v="743"/>
    <n v="0.46331146437499998"/>
    <n v="1"/>
    <n v="556"/>
    <n v="864"/>
  </r>
  <r>
    <x v="45"/>
    <s v="conventional_turnover_fico_acls_interact_2_fico_704"/>
    <x v="744"/>
    <n v="0.45271976000000003"/>
    <n v="1"/>
    <n v="556"/>
    <n v="864"/>
  </r>
  <r>
    <x v="45"/>
    <s v="conventional_turnover_fico_acls_interact_2_fico_705"/>
    <x v="745"/>
    <n v="0.442094765625"/>
    <n v="1"/>
    <n v="556"/>
    <n v="864"/>
  </r>
  <r>
    <x v="45"/>
    <s v="conventional_turnover_fico_acls_interact_2_fico_706"/>
    <x v="746"/>
    <n v="0.431456165"/>
    <n v="1"/>
    <n v="556"/>
    <n v="864"/>
  </r>
  <r>
    <x v="45"/>
    <s v="conventional_turnover_fico_acls_interact_2_fico_707"/>
    <x v="747"/>
    <n v="0.42082364187499999"/>
    <n v="1"/>
    <n v="556"/>
    <n v="864"/>
  </r>
  <r>
    <x v="45"/>
    <s v="conventional_turnover_fico_acls_interact_2_fico_708"/>
    <x v="748"/>
    <n v="0.41021688000000001"/>
    <n v="1"/>
    <n v="556"/>
    <n v="864"/>
  </r>
  <r>
    <x v="45"/>
    <s v="conventional_turnover_fico_acls_interact_2_fico_709"/>
    <x v="749"/>
    <n v="0.399655563125"/>
    <n v="1"/>
    <n v="556"/>
    <n v="864"/>
  </r>
  <r>
    <x v="45"/>
    <s v="conventional_turnover_fico_acls_interact_2_fico_710"/>
    <x v="750"/>
    <n v="0.38915937499999997"/>
    <n v="1"/>
    <n v="556"/>
    <n v="864"/>
  </r>
  <r>
    <x v="45"/>
    <s v="conventional_turnover_fico_acls_interact_2_fico_711"/>
    <x v="751"/>
    <n v="0.37874799937499998"/>
    <n v="1"/>
    <n v="556"/>
    <n v="864"/>
  </r>
  <r>
    <x v="45"/>
    <s v="conventional_turnover_fico_acls_interact_2_fico_712"/>
    <x v="752"/>
    <n v="0.36844112000000001"/>
    <n v="1"/>
    <n v="556"/>
    <n v="864"/>
  </r>
  <r>
    <x v="45"/>
    <s v="conventional_turnover_fico_acls_interact_2_fico_713"/>
    <x v="753"/>
    <n v="0.35825842062500002"/>
    <n v="1"/>
    <n v="556"/>
    <n v="864"/>
  </r>
  <r>
    <x v="45"/>
    <s v="conventional_turnover_fico_acls_interact_2_fico_714"/>
    <x v="754"/>
    <n v="0.348219585"/>
    <n v="1"/>
    <n v="556"/>
    <n v="864"/>
  </r>
  <r>
    <x v="45"/>
    <s v="conventional_turnover_fico_acls_interact_2_fico_715"/>
    <x v="755"/>
    <n v="0.33834429687500001"/>
    <n v="1"/>
    <n v="556"/>
    <n v="864"/>
  </r>
  <r>
    <x v="45"/>
    <s v="conventional_turnover_fico_acls_interact_2_fico_716"/>
    <x v="756"/>
    <n v="0.32865223999999998"/>
    <n v="1"/>
    <n v="556"/>
    <n v="864"/>
  </r>
  <r>
    <x v="45"/>
    <s v="conventional_turnover_fico_acls_interact_2_fico_717"/>
    <x v="757"/>
    <n v="0.31916309812499999"/>
    <n v="1"/>
    <n v="556"/>
    <n v="864"/>
  </r>
  <r>
    <x v="45"/>
    <s v="conventional_turnover_fico_acls_interact_2_fico_718"/>
    <x v="758"/>
    <n v="0.30989655500000002"/>
    <n v="1"/>
    <n v="556"/>
    <n v="864"/>
  </r>
  <r>
    <x v="45"/>
    <s v="conventional_turnover_fico_acls_interact_2_fico_719"/>
    <x v="759"/>
    <n v="0.30087229437500002"/>
    <n v="1"/>
    <n v="556"/>
    <n v="864"/>
  </r>
  <r>
    <x v="45"/>
    <s v="conventional_turnover_fico_acls_interact_2_fico_720"/>
    <x v="760"/>
    <n v="0.29210999999999998"/>
    <n v="1"/>
    <n v="556"/>
    <n v="864"/>
  </r>
  <r>
    <x v="45"/>
    <s v="conventional_turnover_fico_acls_interact_2_fico_721"/>
    <x v="761"/>
    <n v="0.28355711374999998"/>
    <n v="1"/>
    <n v="556"/>
    <n v="864"/>
  </r>
  <r>
    <x v="45"/>
    <s v="conventional_turnover_fico_acls_interact_2_fico_722"/>
    <x v="762"/>
    <n v="0.27514865999999999"/>
    <n v="1"/>
    <n v="556"/>
    <n v="864"/>
  </r>
  <r>
    <x v="45"/>
    <s v="conventional_turnover_fico_acls_interact_2_fico_723"/>
    <x v="763"/>
    <n v="0.26688569625000003"/>
    <n v="1"/>
    <n v="556"/>
    <n v="864"/>
  </r>
  <r>
    <x v="45"/>
    <s v="conventional_turnover_fico_acls_interact_2_fico_724"/>
    <x v="764"/>
    <n v="0.25876927999999999"/>
    <n v="1"/>
    <n v="556"/>
    <n v="864"/>
  </r>
  <r>
    <x v="45"/>
    <s v="conventional_turnover_fico_acls_interact_2_fico_725"/>
    <x v="765"/>
    <n v="0.25080046875000001"/>
    <n v="1"/>
    <n v="556"/>
    <n v="864"/>
  </r>
  <r>
    <x v="45"/>
    <s v="conventional_turnover_fico_acls_interact_2_fico_726"/>
    <x v="766"/>
    <n v="0.24298032"/>
    <n v="1"/>
    <n v="556"/>
    <n v="864"/>
  </r>
  <r>
    <x v="45"/>
    <s v="conventional_turnover_fico_acls_interact_2_fico_727"/>
    <x v="767"/>
    <n v="0.23530989124999999"/>
    <n v="1"/>
    <n v="556"/>
    <n v="864"/>
  </r>
  <r>
    <x v="45"/>
    <s v="conventional_turnover_fico_acls_interact_2_fico_728"/>
    <x v="768"/>
    <n v="0.22779024"/>
    <n v="1"/>
    <n v="556"/>
    <n v="864"/>
  </r>
  <r>
    <x v="45"/>
    <s v="conventional_turnover_fico_acls_interact_2_fico_729"/>
    <x v="769"/>
    <n v="0.22042242375000001"/>
    <n v="1"/>
    <n v="556"/>
    <n v="864"/>
  </r>
  <r>
    <x v="45"/>
    <s v="conventional_turnover_fico_acls_interact_2_fico_730"/>
    <x v="770"/>
    <n v="0.21320749999999999"/>
    <n v="1"/>
    <n v="556"/>
    <n v="864"/>
  </r>
  <r>
    <x v="45"/>
    <s v="conventional_turnover_fico_acls_interact_2_fico_731"/>
    <x v="771"/>
    <n v="0.20614652624999999"/>
    <n v="1"/>
    <n v="556"/>
    <n v="864"/>
  </r>
  <r>
    <x v="45"/>
    <s v="conventional_turnover_fico_acls_interact_2_fico_732"/>
    <x v="772"/>
    <n v="0.19924056000000001"/>
    <n v="1"/>
    <n v="556"/>
    <n v="864"/>
  </r>
  <r>
    <x v="45"/>
    <s v="conventional_turnover_fico_acls_interact_2_fico_733"/>
    <x v="773"/>
    <n v="0.19249065874999999"/>
    <n v="1"/>
    <n v="556"/>
    <n v="864"/>
  </r>
  <r>
    <x v="45"/>
    <s v="conventional_turnover_fico_acls_interact_2_fico_734"/>
    <x v="774"/>
    <n v="0.18589787999999999"/>
    <n v="1"/>
    <n v="556"/>
    <n v="864"/>
  </r>
  <r>
    <x v="45"/>
    <s v="conventional_turnover_fico_acls_interact_2_fico_735"/>
    <x v="775"/>
    <n v="0.17946328125"/>
    <n v="1"/>
    <n v="556"/>
    <n v="864"/>
  </r>
  <r>
    <x v="45"/>
    <s v="conventional_turnover_fico_acls_interact_2_fico_736"/>
    <x v="776"/>
    <n v="0.17318792"/>
    <n v="1"/>
    <n v="556"/>
    <n v="864"/>
  </r>
  <r>
    <x v="45"/>
    <s v="conventional_turnover_fico_acls_interact_2_fico_737"/>
    <x v="777"/>
    <n v="0.16707285375"/>
    <n v="1"/>
    <n v="556"/>
    <n v="864"/>
  </r>
  <r>
    <x v="45"/>
    <s v="conventional_turnover_fico_acls_interact_2_fico_738"/>
    <x v="778"/>
    <n v="0.16111913999999999"/>
    <n v="1"/>
    <n v="556"/>
    <n v="864"/>
  </r>
  <r>
    <x v="45"/>
    <s v="conventional_turnover_fico_acls_interact_2_fico_739"/>
    <x v="779"/>
    <n v="0.15532783624999999"/>
    <n v="1"/>
    <n v="556"/>
    <n v="864"/>
  </r>
  <r>
    <x v="45"/>
    <s v="conventional_turnover_fico_acls_interact_2_fico_740"/>
    <x v="780"/>
    <n v="0.1497"/>
    <n v="1"/>
    <n v="556"/>
    <n v="864"/>
  </r>
  <r>
    <x v="45"/>
    <s v="conventional_turnover_fico_acls_interact_2_fico_741"/>
    <x v="781"/>
    <n v="0.14425940937500001"/>
    <n v="1"/>
    <n v="556"/>
    <n v="864"/>
  </r>
  <r>
    <x v="45"/>
    <s v="conventional_turnover_fico_acls_interact_2_fico_742"/>
    <x v="782"/>
    <n v="0.13902357500000001"/>
    <n v="1"/>
    <n v="556"/>
    <n v="864"/>
  </r>
  <r>
    <x v="45"/>
    <s v="conventional_turnover_fico_acls_interact_2_fico_743"/>
    <x v="783"/>
    <n v="0.13398415312500001"/>
    <n v="1"/>
    <n v="556"/>
    <n v="864"/>
  </r>
  <r>
    <x v="45"/>
    <s v="conventional_turnover_fico_acls_interact_2_fico_744"/>
    <x v="784"/>
    <n v="0.12913279999999999"/>
    <n v="1"/>
    <n v="556"/>
    <n v="864"/>
  </r>
  <r>
    <x v="45"/>
    <s v="conventional_turnover_fico_acls_interact_2_fico_745"/>
    <x v="785"/>
    <n v="0.124461171875"/>
    <n v="1"/>
    <n v="556"/>
    <n v="864"/>
  </r>
  <r>
    <x v="45"/>
    <s v="conventional_turnover_fico_acls_interact_2_fico_746"/>
    <x v="786"/>
    <n v="0.119960925"/>
    <n v="1"/>
    <n v="556"/>
    <n v="864"/>
  </r>
  <r>
    <x v="45"/>
    <s v="conventional_turnover_fico_acls_interact_2_fico_747"/>
    <x v="787"/>
    <n v="0.115623715625"/>
    <n v="1"/>
    <n v="556"/>
    <n v="864"/>
  </r>
  <r>
    <x v="45"/>
    <s v="conventional_turnover_fico_acls_interact_2_fico_748"/>
    <x v="788"/>
    <n v="0.1114412"/>
    <n v="1"/>
    <n v="556"/>
    <n v="864"/>
  </r>
  <r>
    <x v="45"/>
    <s v="conventional_turnover_fico_acls_interact_2_fico_749"/>
    <x v="789"/>
    <n v="0.107405034375"/>
    <n v="1"/>
    <n v="556"/>
    <n v="864"/>
  </r>
  <r>
    <x v="45"/>
    <s v="conventional_turnover_fico_acls_interact_2_fico_750"/>
    <x v="790"/>
    <n v="0.103506875"/>
    <n v="1"/>
    <n v="556"/>
    <n v="864"/>
  </r>
  <r>
    <x v="45"/>
    <s v="conventional_turnover_fico_acls_interact_2_fico_751"/>
    <x v="791"/>
    <n v="9.9738378124999999E-2"/>
    <n v="1"/>
    <n v="556"/>
    <n v="864"/>
  </r>
  <r>
    <x v="45"/>
    <s v="conventional_turnover_fico_acls_interact_2_fico_752"/>
    <x v="792"/>
    <n v="9.6091200000000002E-2"/>
    <n v="1"/>
    <n v="556"/>
    <n v="864"/>
  </r>
  <r>
    <x v="45"/>
    <s v="conventional_turnover_fico_acls_interact_2_fico_753"/>
    <x v="793"/>
    <n v="9.2556996875000005E-2"/>
    <n v="1"/>
    <n v="556"/>
    <n v="864"/>
  </r>
  <r>
    <x v="45"/>
    <s v="conventional_turnover_fico_acls_interact_2_fico_754"/>
    <x v="794"/>
    <n v="8.9127424999999996E-2"/>
    <n v="1"/>
    <n v="556"/>
    <n v="864"/>
  </r>
  <r>
    <x v="45"/>
    <s v="conventional_turnover_fico_acls_interact_2_fico_755"/>
    <x v="795"/>
    <n v="8.5794140625000001E-2"/>
    <n v="1"/>
    <n v="556"/>
    <n v="864"/>
  </r>
  <r>
    <x v="45"/>
    <s v="conventional_turnover_fico_acls_interact_2_fico_756"/>
    <x v="796"/>
    <n v="8.2548800000000006E-2"/>
    <n v="1"/>
    <n v="556"/>
    <n v="864"/>
  </r>
  <r>
    <x v="45"/>
    <s v="conventional_turnover_fico_acls_interact_2_fico_757"/>
    <x v="797"/>
    <n v="7.9383059374999995E-2"/>
    <n v="1"/>
    <n v="556"/>
    <n v="864"/>
  </r>
  <r>
    <x v="45"/>
    <s v="conventional_turnover_fico_acls_interact_2_fico_758"/>
    <x v="798"/>
    <n v="7.6288574999999997E-2"/>
    <n v="1"/>
    <n v="556"/>
    <n v="864"/>
  </r>
  <r>
    <x v="45"/>
    <s v="conventional_turnover_fico_acls_interact_2_fico_759"/>
    <x v="799"/>
    <n v="7.3257003124999998E-2"/>
    <n v="1"/>
    <n v="556"/>
    <n v="864"/>
  </r>
  <r>
    <x v="45"/>
    <s v="conventional_turnover_fico_acls_interact_2_fico_760"/>
    <x v="800"/>
    <n v="7.0279999999999995E-2"/>
    <n v="1"/>
    <n v="556"/>
    <n v="864"/>
  </r>
  <r>
    <x v="45"/>
    <s v="conventional_turnover_fico_acls_interact_2_fico_761"/>
    <x v="801"/>
    <n v="6.7418396249999998E-2"/>
    <n v="1"/>
    <n v="556"/>
    <n v="864"/>
  </r>
  <r>
    <x v="45"/>
    <s v="conventional_turnover_fico_acls_interact_2_fico_762"/>
    <x v="802"/>
    <n v="6.4730170000000004E-2"/>
    <n v="1"/>
    <n v="556"/>
    <n v="864"/>
  </r>
  <r>
    <x v="45"/>
    <s v="conventional_turnover_fico_acls_interact_2_fico_763"/>
    <x v="803"/>
    <n v="6.220269875E-2"/>
    <n v="1"/>
    <n v="556"/>
    <n v="864"/>
  </r>
  <r>
    <x v="45"/>
    <s v="conventional_turnover_fico_acls_interact_2_fico_764"/>
    <x v="804"/>
    <n v="5.9823359999999999E-2"/>
    <n v="1"/>
    <n v="556"/>
    <n v="864"/>
  </r>
  <r>
    <x v="45"/>
    <s v="conventional_turnover_fico_acls_interact_2_fico_765"/>
    <x v="805"/>
    <n v="5.7579531250000003E-2"/>
    <n v="1"/>
    <n v="556"/>
    <n v="864"/>
  </r>
  <r>
    <x v="45"/>
    <s v="conventional_turnover_fico_acls_interact_2_fico_766"/>
    <x v="806"/>
    <n v="5.5458590000000002E-2"/>
    <n v="1"/>
    <n v="556"/>
    <n v="864"/>
  </r>
  <r>
    <x v="45"/>
    <s v="conventional_turnover_fico_acls_interact_2_fico_767"/>
    <x v="807"/>
    <n v="5.3447913749999999E-2"/>
    <n v="1"/>
    <n v="556"/>
    <n v="864"/>
  </r>
  <r>
    <x v="45"/>
    <s v="conventional_turnover_fico_acls_interact_2_fico_768"/>
    <x v="808"/>
    <n v="5.1534879999999998E-2"/>
    <n v="1"/>
    <n v="556"/>
    <n v="864"/>
  </r>
  <r>
    <x v="45"/>
    <s v="conventional_turnover_fico_acls_interact_2_fico_769"/>
    <x v="809"/>
    <n v="4.9706866250000002E-2"/>
    <n v="1"/>
    <n v="556"/>
    <n v="864"/>
  </r>
  <r>
    <x v="45"/>
    <s v="conventional_turnover_fico_acls_interact_2_fico_770"/>
    <x v="810"/>
    <n v="4.7951250000000001E-2"/>
    <n v="1"/>
    <n v="556"/>
    <n v="864"/>
  </r>
  <r>
    <x v="45"/>
    <s v="conventional_turnover_fico_acls_interact_2_fico_771"/>
    <x v="811"/>
    <n v="4.6255408749999997E-2"/>
    <n v="1"/>
    <n v="556"/>
    <n v="864"/>
  </r>
  <r>
    <x v="45"/>
    <s v="conventional_turnover_fico_acls_interact_2_fico_772"/>
    <x v="812"/>
    <n v="4.4606720000000002E-2"/>
    <n v="1"/>
    <n v="556"/>
    <n v="864"/>
  </r>
  <r>
    <x v="45"/>
    <s v="conventional_turnover_fico_acls_interact_2_fico_773"/>
    <x v="813"/>
    <n v="4.2992561249999998E-2"/>
    <n v="1"/>
    <n v="556"/>
    <n v="864"/>
  </r>
  <r>
    <x v="45"/>
    <s v="conventional_turnover_fico_acls_interact_2_fico_774"/>
    <x v="814"/>
    <n v="4.1400310000000003E-2"/>
    <n v="1"/>
    <n v="556"/>
    <n v="864"/>
  </r>
  <r>
    <x v="45"/>
    <s v="conventional_turnover_fico_acls_interact_2_fico_775"/>
    <x v="815"/>
    <n v="3.9817343749999998E-2"/>
    <n v="1"/>
    <n v="556"/>
    <n v="864"/>
  </r>
  <r>
    <x v="45"/>
    <s v="conventional_turnover_fico_acls_interact_2_fico_776"/>
    <x v="816"/>
    <n v="3.8231040000000001E-2"/>
    <n v="1"/>
    <n v="556"/>
    <n v="864"/>
  </r>
  <r>
    <x v="45"/>
    <s v="conventional_turnover_fico_acls_interact_2_fico_777"/>
    <x v="817"/>
    <n v="3.6628776250000002E-2"/>
    <n v="1"/>
    <n v="556"/>
    <n v="864"/>
  </r>
  <r>
    <x v="45"/>
    <s v="conventional_turnover_fico_acls_interact_2_fico_778"/>
    <x v="818"/>
    <n v="3.4997929999999997E-2"/>
    <n v="1"/>
    <n v="556"/>
    <n v="864"/>
  </r>
  <r>
    <x v="45"/>
    <s v="conventional_turnover_fico_acls_interact_2_fico_779"/>
    <x v="819"/>
    <n v="3.3325878750000003E-2"/>
    <n v="1"/>
    <n v="556"/>
    <n v="864"/>
  </r>
  <r>
    <x v="45"/>
    <s v="conventional_turnover_fico_acls_interact_2_fico_780"/>
    <x v="820"/>
    <n v="3.1600000000000003E-2"/>
    <n v="1"/>
    <n v="556"/>
    <n v="864"/>
  </r>
  <r>
    <x v="45"/>
    <s v="conventional_turnover_fico_acls_interact_2_fico_781"/>
    <x v="821"/>
    <n v="2.9785207500000001E-2"/>
    <n v="1"/>
    <n v="556"/>
    <n v="864"/>
  </r>
  <r>
    <x v="45"/>
    <s v="conventional_turnover_fico_acls_interact_2_fico_782"/>
    <x v="822"/>
    <n v="2.7868859999999999E-2"/>
    <n v="1"/>
    <n v="556"/>
    <n v="864"/>
  </r>
  <r>
    <x v="45"/>
    <s v="conventional_turnover_fico_acls_interact_2_fico_783"/>
    <x v="823"/>
    <n v="2.5872002500000001E-2"/>
    <n v="1"/>
    <n v="556"/>
    <n v="864"/>
  </r>
  <r>
    <x v="45"/>
    <s v="conventional_turnover_fico_acls_interact_2_fico_784"/>
    <x v="824"/>
    <n v="2.3815679999999999E-2"/>
    <n v="1"/>
    <n v="556"/>
    <n v="864"/>
  </r>
  <r>
    <x v="45"/>
    <s v="conventional_turnover_fico_acls_interact_2_fico_785"/>
    <x v="825"/>
    <n v="2.1720937499999999E-2"/>
    <n v="1"/>
    <n v="556"/>
    <n v="864"/>
  </r>
  <r>
    <x v="45"/>
    <s v="conventional_turnover_fico_acls_interact_2_fico_786"/>
    <x v="826"/>
    <n v="1.9608819999999999E-2"/>
    <n v="1"/>
    <n v="556"/>
    <n v="864"/>
  </r>
  <r>
    <x v="45"/>
    <s v="conventional_turnover_fico_acls_interact_2_fico_787"/>
    <x v="827"/>
    <n v="1.75003725E-2"/>
    <n v="1"/>
    <n v="556"/>
    <n v="864"/>
  </r>
  <r>
    <x v="45"/>
    <s v="conventional_turnover_fico_acls_interact_2_fico_788"/>
    <x v="828"/>
    <n v="1.5416640000000001E-2"/>
    <n v="1"/>
    <n v="556"/>
    <n v="864"/>
  </r>
  <r>
    <x v="45"/>
    <s v="conventional_turnover_fico_acls_interact_2_fico_789"/>
    <x v="829"/>
    <n v="1.33786675E-2"/>
    <n v="1"/>
    <n v="556"/>
    <n v="864"/>
  </r>
  <r>
    <x v="45"/>
    <s v="conventional_turnover_fico_acls_interact_2_fico_790"/>
    <x v="830"/>
    <n v="1.1407499999999999E-2"/>
    <n v="1"/>
    <n v="556"/>
    <n v="864"/>
  </r>
  <r>
    <x v="45"/>
    <s v="conventional_turnover_fico_acls_interact_2_fico_791"/>
    <x v="831"/>
    <n v="9.5241825000000006E-3"/>
    <n v="1"/>
    <n v="556"/>
    <n v="864"/>
  </r>
  <r>
    <x v="45"/>
    <s v="conventional_turnover_fico_acls_interact_2_fico_792"/>
    <x v="832"/>
    <n v="7.7497599999999996E-3"/>
    <n v="1"/>
    <n v="556"/>
    <n v="864"/>
  </r>
  <r>
    <x v="45"/>
    <s v="conventional_turnover_fico_acls_interact_2_fico_793"/>
    <x v="833"/>
    <n v="6.1052774999999998E-3"/>
    <n v="1"/>
    <n v="556"/>
    <n v="864"/>
  </r>
  <r>
    <x v="45"/>
    <s v="conventional_turnover_fico_acls_interact_2_fico_794"/>
    <x v="834"/>
    <n v="4.6117800000000002E-3"/>
    <n v="1"/>
    <n v="556"/>
    <n v="864"/>
  </r>
  <r>
    <x v="45"/>
    <s v="conventional_turnover_fico_acls_interact_2_fico_795"/>
    <x v="835"/>
    <n v="3.2903124999999998E-3"/>
    <n v="1"/>
    <n v="556"/>
    <n v="864"/>
  </r>
  <r>
    <x v="45"/>
    <s v="conventional_turnover_fico_acls_interact_2_fico_796"/>
    <x v="836"/>
    <n v="2.1619199999999999E-3"/>
    <n v="1"/>
    <n v="556"/>
    <n v="864"/>
  </r>
  <r>
    <x v="45"/>
    <s v="conventional_turnover_fico_acls_interact_2_fico_797"/>
    <x v="837"/>
    <n v="1.2476474999999999E-3"/>
    <n v="1"/>
    <n v="556"/>
    <n v="864"/>
  </r>
  <r>
    <x v="45"/>
    <s v="conventional_turnover_fico_acls_interact_2_fico_798"/>
    <x v="838"/>
    <n v="5.6854000000000095E-4"/>
    <n v="1"/>
    <n v="556"/>
    <n v="864"/>
  </r>
  <r>
    <x v="45"/>
    <s v="conventional_turnover_fico_acls_interact_2_fico_799"/>
    <x v="839"/>
    <n v="1.45642499999999E-4"/>
    <n v="1"/>
    <n v="556"/>
    <n v="864"/>
  </r>
  <r>
    <x v="45"/>
    <s v="conventional_turnover_fico_acls_interact_2_fico_800"/>
    <x v="840"/>
    <n v="0"/>
    <n v="1"/>
    <n v="556"/>
    <n v="864"/>
  </r>
  <r>
    <x v="45"/>
    <s v="conventional_turnover_fico_acls_interact_2_fico_801"/>
    <x v="841"/>
    <n v="0"/>
    <n v="1"/>
    <n v="556"/>
    <n v="864"/>
  </r>
  <r>
    <x v="45"/>
    <s v="conventional_turnover_fico_acls_interact_2_fico_802"/>
    <x v="842"/>
    <n v="0"/>
    <n v="1"/>
    <n v="556"/>
    <n v="864"/>
  </r>
  <r>
    <x v="45"/>
    <s v="conventional_turnover_fico_acls_interact_2_fico_803"/>
    <x v="843"/>
    <n v="0"/>
    <n v="1"/>
    <n v="556"/>
    <n v="864"/>
  </r>
  <r>
    <x v="45"/>
    <s v="conventional_turnover_fico_acls_interact_2_fico_804"/>
    <x v="844"/>
    <n v="0"/>
    <n v="1"/>
    <n v="556"/>
    <n v="864"/>
  </r>
  <r>
    <x v="45"/>
    <s v="conventional_turnover_fico_acls_interact_2_fico_805"/>
    <x v="845"/>
    <n v="0"/>
    <n v="1"/>
    <n v="556"/>
    <n v="864"/>
  </r>
  <r>
    <x v="45"/>
    <s v="conventional_turnover_fico_acls_interact_2_fico_806"/>
    <x v="846"/>
    <n v="0"/>
    <n v="1"/>
    <n v="556"/>
    <n v="864"/>
  </r>
  <r>
    <x v="45"/>
    <s v="conventional_turnover_fico_acls_interact_2_fico_807"/>
    <x v="847"/>
    <n v="0"/>
    <n v="1"/>
    <n v="556"/>
    <n v="864"/>
  </r>
  <r>
    <x v="45"/>
    <s v="conventional_turnover_fico_acls_interact_2_fico_808"/>
    <x v="848"/>
    <n v="0"/>
    <n v="1"/>
    <n v="556"/>
    <n v="864"/>
  </r>
  <r>
    <x v="45"/>
    <s v="conventional_turnover_fico_acls_interact_2_fico_809"/>
    <x v="849"/>
    <n v="0"/>
    <n v="1"/>
    <n v="556"/>
    <n v="864"/>
  </r>
  <r>
    <x v="45"/>
    <s v="conventional_turnover_fico_acls_interact_2_fico_810"/>
    <x v="850"/>
    <n v="0"/>
    <n v="1"/>
    <n v="556"/>
    <n v="864"/>
  </r>
  <r>
    <x v="45"/>
    <s v="conventional_turnover_fico_acls_interact_2_fico_811"/>
    <x v="851"/>
    <n v="0"/>
    <n v="1"/>
    <n v="556"/>
    <n v="864"/>
  </r>
  <r>
    <x v="45"/>
    <s v="conventional_turnover_fico_acls_interact_2_fico_812"/>
    <x v="852"/>
    <n v="0"/>
    <n v="1"/>
    <n v="556"/>
    <n v="864"/>
  </r>
  <r>
    <x v="45"/>
    <s v="conventional_turnover_fico_acls_interact_2_fico_813"/>
    <x v="853"/>
    <n v="0"/>
    <n v="1"/>
    <n v="556"/>
    <n v="864"/>
  </r>
  <r>
    <x v="45"/>
    <s v="conventional_turnover_fico_acls_interact_2_fico_814"/>
    <x v="854"/>
    <n v="0"/>
    <n v="1"/>
    <n v="556"/>
    <n v="864"/>
  </r>
  <r>
    <x v="45"/>
    <s v="conventional_turnover_fico_acls_interact_2_fico_815"/>
    <x v="855"/>
    <n v="0"/>
    <n v="1"/>
    <n v="556"/>
    <n v="864"/>
  </r>
  <r>
    <x v="45"/>
    <s v="conventional_turnover_fico_acls_interact_2_fico_816"/>
    <x v="856"/>
    <n v="0"/>
    <n v="1"/>
    <n v="556"/>
    <n v="864"/>
  </r>
  <r>
    <x v="45"/>
    <s v="conventional_turnover_fico_acls_interact_2_fico_817"/>
    <x v="857"/>
    <n v="0"/>
    <n v="1"/>
    <n v="556"/>
    <n v="864"/>
  </r>
  <r>
    <x v="45"/>
    <s v="conventional_turnover_fico_acls_interact_2_fico_818"/>
    <x v="858"/>
    <n v="0"/>
    <n v="1"/>
    <n v="556"/>
    <n v="864"/>
  </r>
  <r>
    <x v="45"/>
    <s v="conventional_turnover_fico_acls_interact_2_fico_819"/>
    <x v="859"/>
    <n v="0"/>
    <n v="1"/>
    <n v="556"/>
    <n v="864"/>
  </r>
  <r>
    <x v="45"/>
    <s v="conventional_turnover_fico_acls_interact_2_fico_820"/>
    <x v="860"/>
    <n v="0"/>
    <n v="1"/>
    <n v="556"/>
    <n v="864"/>
  </r>
  <r>
    <x v="45"/>
    <s v="conventional_turnover_fico_acls_interact_2_fico_821"/>
    <x v="861"/>
    <n v="0"/>
    <n v="1"/>
    <n v="556"/>
    <n v="864"/>
  </r>
  <r>
    <x v="45"/>
    <s v="conventional_turnover_fico_acls_interact_2_fico_822"/>
    <x v="862"/>
    <n v="0"/>
    <n v="1"/>
    <n v="556"/>
    <n v="864"/>
  </r>
  <r>
    <x v="45"/>
    <s v="conventional_turnover_fico_acls_interact_2_fico_823"/>
    <x v="863"/>
    <n v="0"/>
    <n v="1"/>
    <n v="556"/>
    <n v="864"/>
  </r>
  <r>
    <x v="45"/>
    <s v="conventional_turnover_fico_acls_interact_2_fico_824"/>
    <x v="864"/>
    <n v="0"/>
    <n v="1"/>
    <n v="556"/>
    <n v="864"/>
  </r>
  <r>
    <x v="45"/>
    <s v="conventional_turnover_fico_acls_interact_2_fico_825"/>
    <x v="865"/>
    <n v="0"/>
    <n v="1"/>
    <n v="556"/>
    <n v="864"/>
  </r>
  <r>
    <x v="45"/>
    <s v="conventional_turnover_fico_acls_interact_2_fico_826"/>
    <x v="866"/>
    <n v="0"/>
    <n v="1"/>
    <n v="556"/>
    <n v="864"/>
  </r>
  <r>
    <x v="45"/>
    <s v="conventional_turnover_fico_acls_interact_2_fico_827"/>
    <x v="867"/>
    <n v="0"/>
    <n v="1"/>
    <n v="556"/>
    <n v="864"/>
  </r>
  <r>
    <x v="45"/>
    <s v="conventional_turnover_fico_acls_interact_2_fico_828"/>
    <x v="868"/>
    <n v="0"/>
    <n v="1"/>
    <n v="556"/>
    <n v="864"/>
  </r>
  <r>
    <x v="45"/>
    <s v="conventional_turnover_fico_acls_interact_2_fico_829"/>
    <x v="869"/>
    <n v="0"/>
    <n v="1"/>
    <n v="556"/>
    <n v="864"/>
  </r>
  <r>
    <x v="45"/>
    <s v="conventional_turnover_fico_acls_interact_2_fico_830"/>
    <x v="870"/>
    <n v="0"/>
    <n v="1"/>
    <n v="556"/>
    <n v="864"/>
  </r>
  <r>
    <x v="45"/>
    <s v="conventional_turnover_fico_acls_interact_2_fico_831"/>
    <x v="871"/>
    <n v="0"/>
    <n v="1"/>
    <n v="556"/>
    <n v="864"/>
  </r>
  <r>
    <x v="45"/>
    <s v="conventional_turnover_fico_acls_interact_2_fico_832"/>
    <x v="872"/>
    <n v="0"/>
    <n v="1"/>
    <n v="556"/>
    <n v="864"/>
  </r>
  <r>
    <x v="45"/>
    <s v="conventional_turnover_fico_acls_interact_2_fico_833"/>
    <x v="873"/>
    <n v="0"/>
    <n v="1"/>
    <n v="556"/>
    <n v="864"/>
  </r>
  <r>
    <x v="45"/>
    <s v="conventional_turnover_fico_acls_interact_2_fico_834"/>
    <x v="874"/>
    <n v="0"/>
    <n v="1"/>
    <n v="556"/>
    <n v="864"/>
  </r>
  <r>
    <x v="45"/>
    <s v="conventional_turnover_fico_acls_interact_2_fico_835"/>
    <x v="875"/>
    <n v="0"/>
    <n v="1"/>
    <n v="556"/>
    <n v="864"/>
  </r>
  <r>
    <x v="45"/>
    <s v="conventional_turnover_fico_acls_interact_2_fico_836"/>
    <x v="876"/>
    <n v="0"/>
    <n v="1"/>
    <n v="556"/>
    <n v="864"/>
  </r>
  <r>
    <x v="45"/>
    <s v="conventional_turnover_fico_acls_interact_2_fico_837"/>
    <x v="877"/>
    <n v="0"/>
    <n v="1"/>
    <n v="556"/>
    <n v="864"/>
  </r>
  <r>
    <x v="45"/>
    <s v="conventional_turnover_fico_acls_interact_2_fico_838"/>
    <x v="878"/>
    <n v="0"/>
    <n v="1"/>
    <n v="556"/>
    <n v="864"/>
  </r>
  <r>
    <x v="45"/>
    <s v="conventional_turnover_fico_acls_interact_2_fico_839"/>
    <x v="879"/>
    <n v="0"/>
    <n v="1"/>
    <n v="556"/>
    <n v="864"/>
  </r>
  <r>
    <x v="45"/>
    <s v="conventional_turnover_fico_acls_interact_2_fico_840"/>
    <x v="880"/>
    <n v="0"/>
    <n v="1"/>
    <n v="556"/>
    <n v="864"/>
  </r>
  <r>
    <x v="45"/>
    <s v="conventional_turnover_fico_acls_interact_2_fico_841"/>
    <x v="881"/>
    <n v="0"/>
    <n v="1"/>
    <n v="556"/>
    <n v="864"/>
  </r>
  <r>
    <x v="45"/>
    <s v="conventional_turnover_fico_acls_interact_2_fico_842"/>
    <x v="882"/>
    <n v="0"/>
    <n v="1"/>
    <n v="556"/>
    <n v="864"/>
  </r>
  <r>
    <x v="45"/>
    <s v="conventional_turnover_fico_acls_interact_2_fico_843"/>
    <x v="883"/>
    <n v="0"/>
    <n v="1"/>
    <n v="556"/>
    <n v="864"/>
  </r>
  <r>
    <x v="45"/>
    <s v="conventional_turnover_fico_acls_interact_2_fico_844"/>
    <x v="884"/>
    <n v="0"/>
    <n v="1"/>
    <n v="556"/>
    <n v="864"/>
  </r>
  <r>
    <x v="45"/>
    <s v="conventional_turnover_fico_acls_interact_2_fico_845"/>
    <x v="885"/>
    <n v="0"/>
    <n v="1"/>
    <n v="556"/>
    <n v="864"/>
  </r>
  <r>
    <x v="45"/>
    <s v="conventional_turnover_fico_acls_interact_2_fico_846"/>
    <x v="886"/>
    <n v="0"/>
    <n v="1"/>
    <n v="556"/>
    <n v="864"/>
  </r>
  <r>
    <x v="45"/>
    <s v="conventional_turnover_fico_acls_interact_2_fico_847"/>
    <x v="887"/>
    <n v="0"/>
    <n v="1"/>
    <n v="556"/>
    <n v="864"/>
  </r>
  <r>
    <x v="45"/>
    <s v="conventional_turnover_fico_acls_interact_2_fico_848"/>
    <x v="888"/>
    <n v="0"/>
    <n v="1"/>
    <n v="556"/>
    <n v="864"/>
  </r>
  <r>
    <x v="45"/>
    <s v="conventional_turnover_fico_acls_interact_2_fico_849"/>
    <x v="889"/>
    <n v="0"/>
    <n v="1"/>
    <n v="556"/>
    <n v="864"/>
  </r>
  <r>
    <x v="45"/>
    <s v="conventional_turnover_fico_acls_interact_2_fico_850"/>
    <x v="890"/>
    <n v="0"/>
    <n v="1"/>
    <n v="556"/>
    <n v="864"/>
  </r>
  <r>
    <x v="45"/>
    <s v="conventional_turnover_fico_acls_interact_2_fico_851"/>
    <x v="891"/>
    <n v="0"/>
    <n v="1"/>
    <n v="556"/>
    <n v="864"/>
  </r>
  <r>
    <x v="45"/>
    <s v="conventional_turnover_fico_acls_interact_2_fico_852"/>
    <x v="892"/>
    <n v="0"/>
    <n v="1"/>
    <n v="556"/>
    <n v="864"/>
  </r>
  <r>
    <x v="45"/>
    <s v="conventional_turnover_fico_acls_interact_2_fico_853"/>
    <x v="893"/>
    <n v="0"/>
    <n v="1"/>
    <n v="556"/>
    <n v="864"/>
  </r>
  <r>
    <x v="45"/>
    <s v="conventional_turnover_fico_acls_interact_2_fico_854"/>
    <x v="894"/>
    <n v="0"/>
    <n v="1"/>
    <n v="556"/>
    <n v="864"/>
  </r>
  <r>
    <x v="45"/>
    <s v="conventional_turnover_fico_acls_interact_2_fico_855"/>
    <x v="895"/>
    <n v="0"/>
    <n v="1"/>
    <n v="556"/>
    <n v="864"/>
  </r>
  <r>
    <x v="45"/>
    <s v="conventional_turnover_fico_acls_interact_2_fico_856"/>
    <x v="896"/>
    <n v="0"/>
    <n v="1"/>
    <n v="556"/>
    <n v="864"/>
  </r>
  <r>
    <x v="45"/>
    <s v="conventional_turnover_fico_acls_interact_2_fico_857"/>
    <x v="897"/>
    <n v="0"/>
    <n v="1"/>
    <n v="556"/>
    <n v="864"/>
  </r>
  <r>
    <x v="45"/>
    <s v="conventional_turnover_fico_acls_interact_2_fico_858"/>
    <x v="898"/>
    <n v="0"/>
    <n v="1"/>
    <n v="556"/>
    <n v="864"/>
  </r>
  <r>
    <x v="45"/>
    <s v="conventional_turnover_fico_acls_interact_2_fico_859"/>
    <x v="899"/>
    <n v="0"/>
    <n v="1"/>
    <n v="556"/>
    <n v="864"/>
  </r>
  <r>
    <x v="45"/>
    <s v="conventional_turnover_fico_acls_interact_2_fico_860"/>
    <x v="900"/>
    <n v="0"/>
    <n v="1"/>
    <n v="556"/>
    <n v="864"/>
  </r>
  <r>
    <x v="45"/>
    <s v="conventional_turnover_fico_acls_interact_2_fico_861"/>
    <x v="901"/>
    <n v="0"/>
    <n v="1"/>
    <n v="556"/>
    <n v="864"/>
  </r>
  <r>
    <x v="45"/>
    <s v="conventional_turnover_fico_acls_interact_2_fico_862"/>
    <x v="902"/>
    <n v="0"/>
    <n v="1"/>
    <n v="556"/>
    <n v="864"/>
  </r>
  <r>
    <x v="45"/>
    <s v="conventional_turnover_fico_acls_interact_2_fico_863"/>
    <x v="903"/>
    <n v="0"/>
    <n v="1"/>
    <n v="556"/>
    <n v="864"/>
  </r>
  <r>
    <x v="45"/>
    <s v="conventional_turnover_fico_acls_interact_2_fico_864"/>
    <x v="904"/>
    <n v="0"/>
    <n v="1"/>
    <n v="556"/>
    <n v="864"/>
  </r>
  <r>
    <x v="46"/>
    <s v="conventional_default_current_cai_-40"/>
    <x v="0"/>
    <n v="3.274"/>
    <n v="1"/>
    <n v="-40"/>
    <n v="940"/>
  </r>
  <r>
    <x v="46"/>
    <s v="conventional_default_current_cai_-39"/>
    <x v="1"/>
    <n v="3.2624"/>
    <n v="1"/>
    <n v="-40"/>
    <n v="940"/>
  </r>
  <r>
    <x v="46"/>
    <s v="conventional_default_current_cai_-38"/>
    <x v="2"/>
    <n v="3.2507999999999999"/>
    <n v="1"/>
    <n v="-40"/>
    <n v="940"/>
  </r>
  <r>
    <x v="46"/>
    <s v="conventional_default_current_cai_-37"/>
    <x v="3"/>
    <n v="3.2391999999999999"/>
    <n v="1"/>
    <n v="-40"/>
    <n v="940"/>
  </r>
  <r>
    <x v="46"/>
    <s v="conventional_default_current_cai_-36"/>
    <x v="4"/>
    <n v="3.2275999999999998"/>
    <n v="1"/>
    <n v="-40"/>
    <n v="940"/>
  </r>
  <r>
    <x v="46"/>
    <s v="conventional_default_current_cai_-35"/>
    <x v="5"/>
    <n v="3.2160000000000002"/>
    <n v="1"/>
    <n v="-40"/>
    <n v="940"/>
  </r>
  <r>
    <x v="46"/>
    <s v="conventional_default_current_cai_-34"/>
    <x v="6"/>
    <n v="3.2044000000000001"/>
    <n v="1"/>
    <n v="-40"/>
    <n v="940"/>
  </r>
  <r>
    <x v="46"/>
    <s v="conventional_default_current_cai_-33"/>
    <x v="7"/>
    <n v="3.1928000000000001"/>
    <n v="1"/>
    <n v="-40"/>
    <n v="940"/>
  </r>
  <r>
    <x v="46"/>
    <s v="conventional_default_current_cai_-32"/>
    <x v="8"/>
    <n v="3.1812"/>
    <n v="1"/>
    <n v="-40"/>
    <n v="940"/>
  </r>
  <r>
    <x v="46"/>
    <s v="conventional_default_current_cai_-31"/>
    <x v="9"/>
    <n v="3.1696"/>
    <n v="1"/>
    <n v="-40"/>
    <n v="940"/>
  </r>
  <r>
    <x v="46"/>
    <s v="conventional_default_current_cai_-30"/>
    <x v="10"/>
    <n v="3.1579999999999999"/>
    <n v="1"/>
    <n v="-40"/>
    <n v="940"/>
  </r>
  <r>
    <x v="46"/>
    <s v="conventional_default_current_cai_-29"/>
    <x v="11"/>
    <n v="3.1463999999999999"/>
    <n v="1"/>
    <n v="-40"/>
    <n v="940"/>
  </r>
  <r>
    <x v="46"/>
    <s v="conventional_default_current_cai_-28"/>
    <x v="12"/>
    <n v="3.1347999999999998"/>
    <n v="1"/>
    <n v="-40"/>
    <n v="940"/>
  </r>
  <r>
    <x v="46"/>
    <s v="conventional_default_current_cai_-27"/>
    <x v="13"/>
    <n v="3.1232000000000002"/>
    <n v="1"/>
    <n v="-40"/>
    <n v="940"/>
  </r>
  <r>
    <x v="46"/>
    <s v="conventional_default_current_cai_-26"/>
    <x v="14"/>
    <n v="3.1116000000000001"/>
    <n v="1"/>
    <n v="-40"/>
    <n v="940"/>
  </r>
  <r>
    <x v="46"/>
    <s v="conventional_default_current_cai_-25"/>
    <x v="15"/>
    <n v="3.1"/>
    <n v="1"/>
    <n v="-40"/>
    <n v="940"/>
  </r>
  <r>
    <x v="46"/>
    <s v="conventional_default_current_cai_-24"/>
    <x v="16"/>
    <n v="3.0884"/>
    <n v="1"/>
    <n v="-40"/>
    <n v="940"/>
  </r>
  <r>
    <x v="46"/>
    <s v="conventional_default_current_cai_-23"/>
    <x v="17"/>
    <n v="3.0768"/>
    <n v="1"/>
    <n v="-40"/>
    <n v="940"/>
  </r>
  <r>
    <x v="46"/>
    <s v="conventional_default_current_cai_-22"/>
    <x v="18"/>
    <n v="3.0651999999999999"/>
    <n v="1"/>
    <n v="-40"/>
    <n v="940"/>
  </r>
  <r>
    <x v="46"/>
    <s v="conventional_default_current_cai_-21"/>
    <x v="19"/>
    <n v="3.0535999999999999"/>
    <n v="1"/>
    <n v="-40"/>
    <n v="940"/>
  </r>
  <r>
    <x v="46"/>
    <s v="conventional_default_current_cai_-20"/>
    <x v="20"/>
    <n v="3.0419999999999998"/>
    <n v="1"/>
    <n v="-40"/>
    <n v="940"/>
  </r>
  <r>
    <x v="46"/>
    <s v="conventional_default_current_cai_-19"/>
    <x v="21"/>
    <n v="3.0304000000000002"/>
    <n v="1"/>
    <n v="-40"/>
    <n v="940"/>
  </r>
  <r>
    <x v="46"/>
    <s v="conventional_default_current_cai_-18"/>
    <x v="22"/>
    <n v="3.0188000000000001"/>
    <n v="1"/>
    <n v="-40"/>
    <n v="940"/>
  </r>
  <r>
    <x v="46"/>
    <s v="conventional_default_current_cai_-17"/>
    <x v="23"/>
    <n v="3.0072000000000001"/>
    <n v="1"/>
    <n v="-40"/>
    <n v="940"/>
  </r>
  <r>
    <x v="46"/>
    <s v="conventional_default_current_cai_-16"/>
    <x v="24"/>
    <n v="2.9956"/>
    <n v="1"/>
    <n v="-40"/>
    <n v="940"/>
  </r>
  <r>
    <x v="46"/>
    <s v="conventional_default_current_cai_-15"/>
    <x v="25"/>
    <n v="2.984"/>
    <n v="1"/>
    <n v="-40"/>
    <n v="940"/>
  </r>
  <r>
    <x v="46"/>
    <s v="conventional_default_current_cai_-14"/>
    <x v="26"/>
    <n v="2.9723999999999999"/>
    <n v="1"/>
    <n v="-40"/>
    <n v="940"/>
  </r>
  <r>
    <x v="46"/>
    <s v="conventional_default_current_cai_-13"/>
    <x v="27"/>
    <n v="2.9607999999999999"/>
    <n v="1"/>
    <n v="-40"/>
    <n v="940"/>
  </r>
  <r>
    <x v="46"/>
    <s v="conventional_default_current_cai_-12"/>
    <x v="28"/>
    <n v="2.9491999999999998"/>
    <n v="1"/>
    <n v="-40"/>
    <n v="940"/>
  </r>
  <r>
    <x v="46"/>
    <s v="conventional_default_current_cai_-11"/>
    <x v="29"/>
    <n v="2.9376000000000002"/>
    <n v="1"/>
    <n v="-40"/>
    <n v="940"/>
  </r>
  <r>
    <x v="46"/>
    <s v="conventional_default_current_cai_-10"/>
    <x v="30"/>
    <n v="2.9260000000000002"/>
    <n v="1"/>
    <n v="-40"/>
    <n v="940"/>
  </r>
  <r>
    <x v="46"/>
    <s v="conventional_default_current_cai_-9"/>
    <x v="31"/>
    <n v="2.9144000000000001"/>
    <n v="1"/>
    <n v="-40"/>
    <n v="940"/>
  </r>
  <r>
    <x v="46"/>
    <s v="conventional_default_current_cai_-8"/>
    <x v="32"/>
    <n v="2.9028"/>
    <n v="1"/>
    <n v="-40"/>
    <n v="940"/>
  </r>
  <r>
    <x v="46"/>
    <s v="conventional_default_current_cai_-7"/>
    <x v="33"/>
    <n v="2.8912"/>
    <n v="1"/>
    <n v="-40"/>
    <n v="940"/>
  </r>
  <r>
    <x v="46"/>
    <s v="conventional_default_current_cai_-6"/>
    <x v="34"/>
    <n v="2.8795999999999999"/>
    <n v="1"/>
    <n v="-40"/>
    <n v="940"/>
  </r>
  <r>
    <x v="46"/>
    <s v="conventional_default_current_cai_-5"/>
    <x v="35"/>
    <n v="2.8679999999999999"/>
    <n v="1"/>
    <n v="-40"/>
    <n v="940"/>
  </r>
  <r>
    <x v="46"/>
    <s v="conventional_default_current_cai_-4"/>
    <x v="36"/>
    <n v="2.8563999999999998"/>
    <n v="1"/>
    <n v="-40"/>
    <n v="940"/>
  </r>
  <r>
    <x v="46"/>
    <s v="conventional_default_current_cai_-3"/>
    <x v="37"/>
    <n v="2.8448000000000002"/>
    <n v="1"/>
    <n v="-40"/>
    <n v="940"/>
  </r>
  <r>
    <x v="46"/>
    <s v="conventional_default_current_cai_-2"/>
    <x v="38"/>
    <n v="2.8332000000000002"/>
    <n v="1"/>
    <n v="-40"/>
    <n v="940"/>
  </r>
  <r>
    <x v="46"/>
    <s v="conventional_default_current_cai_-1"/>
    <x v="39"/>
    <n v="2.8216000000000001"/>
    <n v="1"/>
    <n v="-40"/>
    <n v="940"/>
  </r>
  <r>
    <x v="46"/>
    <s v="conventional_default_current_cai_0"/>
    <x v="40"/>
    <n v="2.81"/>
    <n v="1"/>
    <n v="-40"/>
    <n v="940"/>
  </r>
  <r>
    <x v="46"/>
    <s v="conventional_default_current_cai_1"/>
    <x v="41"/>
    <n v="2.7984"/>
    <n v="1"/>
    <n v="-40"/>
    <n v="940"/>
  </r>
  <r>
    <x v="46"/>
    <s v="conventional_default_current_cai_2"/>
    <x v="42"/>
    <n v="2.7867999999999999"/>
    <n v="1"/>
    <n v="-40"/>
    <n v="940"/>
  </r>
  <r>
    <x v="46"/>
    <s v="conventional_default_current_cai_3"/>
    <x v="43"/>
    <n v="2.7751999999999999"/>
    <n v="1"/>
    <n v="-40"/>
    <n v="940"/>
  </r>
  <r>
    <x v="46"/>
    <s v="conventional_default_current_cai_4"/>
    <x v="44"/>
    <n v="2.7635999999999998"/>
    <n v="1"/>
    <n v="-40"/>
    <n v="940"/>
  </r>
  <r>
    <x v="46"/>
    <s v="conventional_default_current_cai_5"/>
    <x v="45"/>
    <n v="2.7519999999999998"/>
    <n v="1"/>
    <n v="-40"/>
    <n v="940"/>
  </r>
  <r>
    <x v="46"/>
    <s v="conventional_default_current_cai_6"/>
    <x v="46"/>
    <n v="2.7404000000000002"/>
    <n v="1"/>
    <n v="-40"/>
    <n v="940"/>
  </r>
  <r>
    <x v="46"/>
    <s v="conventional_default_current_cai_7"/>
    <x v="47"/>
    <n v="2.7288000000000001"/>
    <n v="1"/>
    <n v="-40"/>
    <n v="940"/>
  </r>
  <r>
    <x v="46"/>
    <s v="conventional_default_current_cai_8"/>
    <x v="48"/>
    <n v="2.7172000000000001"/>
    <n v="1"/>
    <n v="-40"/>
    <n v="940"/>
  </r>
  <r>
    <x v="46"/>
    <s v="conventional_default_current_cai_9"/>
    <x v="49"/>
    <n v="2.7056"/>
    <n v="1"/>
    <n v="-40"/>
    <n v="940"/>
  </r>
  <r>
    <x v="46"/>
    <s v="conventional_default_current_cai_10"/>
    <x v="50"/>
    <n v="2.694"/>
    <n v="1"/>
    <n v="-40"/>
    <n v="940"/>
  </r>
  <r>
    <x v="46"/>
    <s v="conventional_default_current_cai_11"/>
    <x v="51"/>
    <n v="2.6823999999999999"/>
    <n v="1"/>
    <n v="-40"/>
    <n v="940"/>
  </r>
  <r>
    <x v="46"/>
    <s v="conventional_default_current_cai_12"/>
    <x v="52"/>
    <n v="2.6707999999999998"/>
    <n v="1"/>
    <n v="-40"/>
    <n v="940"/>
  </r>
  <r>
    <x v="46"/>
    <s v="conventional_default_current_cai_13"/>
    <x v="53"/>
    <n v="2.6591999999999998"/>
    <n v="1"/>
    <n v="-40"/>
    <n v="940"/>
  </r>
  <r>
    <x v="46"/>
    <s v="conventional_default_current_cai_14"/>
    <x v="54"/>
    <n v="2.6476000000000002"/>
    <n v="1"/>
    <n v="-40"/>
    <n v="940"/>
  </r>
  <r>
    <x v="46"/>
    <s v="conventional_default_current_cai_15"/>
    <x v="55"/>
    <n v="2.6360000000000001"/>
    <n v="1"/>
    <n v="-40"/>
    <n v="940"/>
  </r>
  <r>
    <x v="46"/>
    <s v="conventional_default_current_cai_16"/>
    <x v="56"/>
    <n v="2.6244000000000001"/>
    <n v="1"/>
    <n v="-40"/>
    <n v="940"/>
  </r>
  <r>
    <x v="46"/>
    <s v="conventional_default_current_cai_17"/>
    <x v="57"/>
    <n v="2.6128"/>
    <n v="1"/>
    <n v="-40"/>
    <n v="940"/>
  </r>
  <r>
    <x v="46"/>
    <s v="conventional_default_current_cai_18"/>
    <x v="58"/>
    <n v="2.6012"/>
    <n v="1"/>
    <n v="-40"/>
    <n v="940"/>
  </r>
  <r>
    <x v="46"/>
    <s v="conventional_default_current_cai_19"/>
    <x v="59"/>
    <n v="2.5895999999999999"/>
    <n v="1"/>
    <n v="-40"/>
    <n v="940"/>
  </r>
  <r>
    <x v="46"/>
    <s v="conventional_default_current_cai_20"/>
    <x v="60"/>
    <n v="2.5779999999999998"/>
    <n v="1"/>
    <n v="-40"/>
    <n v="940"/>
  </r>
  <r>
    <x v="46"/>
    <s v="conventional_default_current_cai_21"/>
    <x v="61"/>
    <n v="2.5663999999999998"/>
    <n v="1"/>
    <n v="-40"/>
    <n v="940"/>
  </r>
  <r>
    <x v="46"/>
    <s v="conventional_default_current_cai_22"/>
    <x v="62"/>
    <n v="2.5548000000000002"/>
    <n v="1"/>
    <n v="-40"/>
    <n v="940"/>
  </r>
  <r>
    <x v="46"/>
    <s v="conventional_default_current_cai_23"/>
    <x v="63"/>
    <n v="2.5432000000000001"/>
    <n v="1"/>
    <n v="-40"/>
    <n v="940"/>
  </r>
  <r>
    <x v="46"/>
    <s v="conventional_default_current_cai_24"/>
    <x v="64"/>
    <n v="2.5316000000000001"/>
    <n v="1"/>
    <n v="-40"/>
    <n v="940"/>
  </r>
  <r>
    <x v="46"/>
    <s v="conventional_default_current_cai_25"/>
    <x v="65"/>
    <n v="2.52"/>
    <n v="1"/>
    <n v="-40"/>
    <n v="940"/>
  </r>
  <r>
    <x v="46"/>
    <s v="conventional_default_current_cai_26"/>
    <x v="66"/>
    <n v="2.5084"/>
    <n v="1"/>
    <n v="-40"/>
    <n v="940"/>
  </r>
  <r>
    <x v="46"/>
    <s v="conventional_default_current_cai_27"/>
    <x v="67"/>
    <n v="2.4967999999999999"/>
    <n v="1"/>
    <n v="-40"/>
    <n v="940"/>
  </r>
  <r>
    <x v="46"/>
    <s v="conventional_default_current_cai_28"/>
    <x v="68"/>
    <n v="2.4851999999999999"/>
    <n v="1"/>
    <n v="-40"/>
    <n v="940"/>
  </r>
  <r>
    <x v="46"/>
    <s v="conventional_default_current_cai_29"/>
    <x v="69"/>
    <n v="2.4735999999999998"/>
    <n v="1"/>
    <n v="-40"/>
    <n v="940"/>
  </r>
  <r>
    <x v="46"/>
    <s v="conventional_default_current_cai_30"/>
    <x v="70"/>
    <n v="2.4620000000000002"/>
    <n v="1"/>
    <n v="-40"/>
    <n v="940"/>
  </r>
  <r>
    <x v="46"/>
    <s v="conventional_default_current_cai_31"/>
    <x v="71"/>
    <n v="2.4504000000000001"/>
    <n v="1"/>
    <n v="-40"/>
    <n v="940"/>
  </r>
  <r>
    <x v="46"/>
    <s v="conventional_default_current_cai_32"/>
    <x v="72"/>
    <n v="2.4388000000000001"/>
    <n v="1"/>
    <n v="-40"/>
    <n v="940"/>
  </r>
  <r>
    <x v="46"/>
    <s v="conventional_default_current_cai_33"/>
    <x v="73"/>
    <n v="2.4272"/>
    <n v="1"/>
    <n v="-40"/>
    <n v="940"/>
  </r>
  <r>
    <x v="46"/>
    <s v="conventional_default_current_cai_34"/>
    <x v="74"/>
    <n v="2.4156"/>
    <n v="1"/>
    <n v="-40"/>
    <n v="940"/>
  </r>
  <r>
    <x v="46"/>
    <s v="conventional_default_current_cai_35"/>
    <x v="75"/>
    <n v="2.4039999999999999"/>
    <n v="1"/>
    <n v="-40"/>
    <n v="940"/>
  </r>
  <r>
    <x v="46"/>
    <s v="conventional_default_current_cai_36"/>
    <x v="76"/>
    <n v="2.3923999999999999"/>
    <n v="1"/>
    <n v="-40"/>
    <n v="940"/>
  </r>
  <r>
    <x v="46"/>
    <s v="conventional_default_current_cai_37"/>
    <x v="77"/>
    <n v="2.3807999999999998"/>
    <n v="1"/>
    <n v="-40"/>
    <n v="940"/>
  </r>
  <r>
    <x v="46"/>
    <s v="conventional_default_current_cai_38"/>
    <x v="78"/>
    <n v="2.3692000000000002"/>
    <n v="1"/>
    <n v="-40"/>
    <n v="940"/>
  </r>
  <r>
    <x v="46"/>
    <s v="conventional_default_current_cai_39"/>
    <x v="79"/>
    <n v="2.3576000000000001"/>
    <n v="1"/>
    <n v="-40"/>
    <n v="940"/>
  </r>
  <r>
    <x v="46"/>
    <s v="conventional_default_current_cai_40"/>
    <x v="80"/>
    <n v="2.3460000000000001"/>
    <n v="1"/>
    <n v="-40"/>
    <n v="940"/>
  </r>
  <r>
    <x v="46"/>
    <s v="conventional_default_current_cai_41"/>
    <x v="81"/>
    <n v="2.3344"/>
    <n v="1"/>
    <n v="-40"/>
    <n v="940"/>
  </r>
  <r>
    <x v="46"/>
    <s v="conventional_default_current_cai_42"/>
    <x v="82"/>
    <n v="2.3228"/>
    <n v="1"/>
    <n v="-40"/>
    <n v="940"/>
  </r>
  <r>
    <x v="46"/>
    <s v="conventional_default_current_cai_43"/>
    <x v="83"/>
    <n v="2.3111999999999999"/>
    <n v="1"/>
    <n v="-40"/>
    <n v="940"/>
  </r>
  <r>
    <x v="46"/>
    <s v="conventional_default_current_cai_44"/>
    <x v="84"/>
    <n v="2.2995999999999999"/>
    <n v="1"/>
    <n v="-40"/>
    <n v="940"/>
  </r>
  <r>
    <x v="46"/>
    <s v="conventional_default_current_cai_45"/>
    <x v="85"/>
    <n v="2.2879999999999998"/>
    <n v="1"/>
    <n v="-40"/>
    <n v="940"/>
  </r>
  <r>
    <x v="46"/>
    <s v="conventional_default_current_cai_46"/>
    <x v="86"/>
    <n v="2.2764000000000002"/>
    <n v="1"/>
    <n v="-40"/>
    <n v="940"/>
  </r>
  <r>
    <x v="46"/>
    <s v="conventional_default_current_cai_47"/>
    <x v="87"/>
    <n v="2.2648000000000001"/>
    <n v="1"/>
    <n v="-40"/>
    <n v="940"/>
  </r>
  <r>
    <x v="46"/>
    <s v="conventional_default_current_cai_48"/>
    <x v="88"/>
    <n v="2.2532000000000001"/>
    <n v="1"/>
    <n v="-40"/>
    <n v="940"/>
  </r>
  <r>
    <x v="46"/>
    <s v="conventional_default_current_cai_49"/>
    <x v="89"/>
    <n v="2.2416"/>
    <n v="1"/>
    <n v="-40"/>
    <n v="940"/>
  </r>
  <r>
    <x v="46"/>
    <s v="conventional_default_current_cai_50"/>
    <x v="90"/>
    <n v="2.23"/>
    <n v="1"/>
    <n v="-40"/>
    <n v="940"/>
  </r>
  <r>
    <x v="46"/>
    <s v="conventional_default_current_cai_51"/>
    <x v="91"/>
    <n v="2.2183999999999999"/>
    <n v="1"/>
    <n v="-40"/>
    <n v="940"/>
  </r>
  <r>
    <x v="46"/>
    <s v="conventional_default_current_cai_52"/>
    <x v="92"/>
    <n v="2.2067999999999999"/>
    <n v="1"/>
    <n v="-40"/>
    <n v="940"/>
  </r>
  <r>
    <x v="46"/>
    <s v="conventional_default_current_cai_53"/>
    <x v="93"/>
    <n v="2.1951999999999998"/>
    <n v="1"/>
    <n v="-40"/>
    <n v="940"/>
  </r>
  <r>
    <x v="46"/>
    <s v="conventional_default_current_cai_54"/>
    <x v="94"/>
    <n v="2.1836000000000002"/>
    <n v="1"/>
    <n v="-40"/>
    <n v="940"/>
  </r>
  <r>
    <x v="46"/>
    <s v="conventional_default_current_cai_55"/>
    <x v="95"/>
    <n v="2.1720000000000002"/>
    <n v="1"/>
    <n v="-40"/>
    <n v="940"/>
  </r>
  <r>
    <x v="46"/>
    <s v="conventional_default_current_cai_56"/>
    <x v="96"/>
    <n v="2.1604000000000001"/>
    <n v="1"/>
    <n v="-40"/>
    <n v="940"/>
  </r>
  <r>
    <x v="46"/>
    <s v="conventional_default_current_cai_57"/>
    <x v="97"/>
    <n v="2.1488"/>
    <n v="1"/>
    <n v="-40"/>
    <n v="940"/>
  </r>
  <r>
    <x v="46"/>
    <s v="conventional_default_current_cai_58"/>
    <x v="98"/>
    <n v="2.1372"/>
    <n v="1"/>
    <n v="-40"/>
    <n v="940"/>
  </r>
  <r>
    <x v="46"/>
    <s v="conventional_default_current_cai_59"/>
    <x v="99"/>
    <n v="2.1255999999999999"/>
    <n v="1"/>
    <n v="-40"/>
    <n v="940"/>
  </r>
  <r>
    <x v="46"/>
    <s v="conventional_default_current_cai_60"/>
    <x v="100"/>
    <n v="2.1139999999999999"/>
    <n v="1"/>
    <n v="-40"/>
    <n v="940"/>
  </r>
  <r>
    <x v="46"/>
    <s v="conventional_default_current_cai_61"/>
    <x v="101"/>
    <n v="2.1023999999999998"/>
    <n v="1"/>
    <n v="-40"/>
    <n v="940"/>
  </r>
  <r>
    <x v="46"/>
    <s v="conventional_default_current_cai_62"/>
    <x v="102"/>
    <n v="2.0908000000000002"/>
    <n v="1"/>
    <n v="-40"/>
    <n v="940"/>
  </r>
  <r>
    <x v="46"/>
    <s v="conventional_default_current_cai_63"/>
    <x v="103"/>
    <n v="2.0792000000000002"/>
    <n v="1"/>
    <n v="-40"/>
    <n v="940"/>
  </r>
  <r>
    <x v="46"/>
    <s v="conventional_default_current_cai_64"/>
    <x v="104"/>
    <n v="2.0676000000000001"/>
    <n v="1"/>
    <n v="-40"/>
    <n v="940"/>
  </r>
  <r>
    <x v="46"/>
    <s v="conventional_default_current_cai_65"/>
    <x v="105"/>
    <n v="2.056"/>
    <n v="1"/>
    <n v="-40"/>
    <n v="940"/>
  </r>
  <r>
    <x v="46"/>
    <s v="conventional_default_current_cai_66"/>
    <x v="106"/>
    <n v="2.0444"/>
    <n v="1"/>
    <n v="-40"/>
    <n v="940"/>
  </r>
  <r>
    <x v="46"/>
    <s v="conventional_default_current_cai_67"/>
    <x v="107"/>
    <n v="2.0327999999999999"/>
    <n v="1"/>
    <n v="-40"/>
    <n v="940"/>
  </r>
  <r>
    <x v="46"/>
    <s v="conventional_default_current_cai_68"/>
    <x v="108"/>
    <n v="2.0211999999999999"/>
    <n v="1"/>
    <n v="-40"/>
    <n v="940"/>
  </r>
  <r>
    <x v="46"/>
    <s v="conventional_default_current_cai_69"/>
    <x v="109"/>
    <n v="2.0095999999999998"/>
    <n v="1"/>
    <n v="-40"/>
    <n v="940"/>
  </r>
  <r>
    <x v="46"/>
    <s v="conventional_default_current_cai_70"/>
    <x v="110"/>
    <n v="1.998"/>
    <n v="1"/>
    <n v="-40"/>
    <n v="940"/>
  </r>
  <r>
    <x v="46"/>
    <s v="conventional_default_current_cai_71"/>
    <x v="111"/>
    <n v="1.9863999999999999"/>
    <n v="1"/>
    <n v="-40"/>
    <n v="940"/>
  </r>
  <r>
    <x v="46"/>
    <s v="conventional_default_current_cai_72"/>
    <x v="112"/>
    <n v="1.9748000000000001"/>
    <n v="1"/>
    <n v="-40"/>
    <n v="940"/>
  </r>
  <r>
    <x v="46"/>
    <s v="conventional_default_current_cai_73"/>
    <x v="113"/>
    <n v="1.9632000000000001"/>
    <n v="1"/>
    <n v="-40"/>
    <n v="940"/>
  </r>
  <r>
    <x v="46"/>
    <s v="conventional_default_current_cai_74"/>
    <x v="114"/>
    <n v="1.9516"/>
    <n v="1"/>
    <n v="-40"/>
    <n v="940"/>
  </r>
  <r>
    <x v="46"/>
    <s v="conventional_default_current_cai_75"/>
    <x v="115"/>
    <n v="1.94"/>
    <n v="1"/>
    <n v="-40"/>
    <n v="940"/>
  </r>
  <r>
    <x v="46"/>
    <s v="conventional_default_current_cai_76"/>
    <x v="116"/>
    <n v="1.9283999999999999"/>
    <n v="1"/>
    <n v="-40"/>
    <n v="940"/>
  </r>
  <r>
    <x v="46"/>
    <s v="conventional_default_current_cai_77"/>
    <x v="117"/>
    <n v="1.9168000000000001"/>
    <n v="1"/>
    <n v="-40"/>
    <n v="940"/>
  </r>
  <r>
    <x v="46"/>
    <s v="conventional_default_current_cai_78"/>
    <x v="118"/>
    <n v="1.9052"/>
    <n v="1"/>
    <n v="-40"/>
    <n v="940"/>
  </r>
  <r>
    <x v="46"/>
    <s v="conventional_default_current_cai_79"/>
    <x v="119"/>
    <n v="1.8935999999999999"/>
    <n v="1"/>
    <n v="-40"/>
    <n v="940"/>
  </r>
  <r>
    <x v="46"/>
    <s v="conventional_default_current_cai_80"/>
    <x v="120"/>
    <n v="1.8819999999999999"/>
    <n v="1"/>
    <n v="-40"/>
    <n v="940"/>
  </r>
  <r>
    <x v="46"/>
    <s v="conventional_default_current_cai_81"/>
    <x v="121"/>
    <n v="1.8704000000000001"/>
    <n v="1"/>
    <n v="-40"/>
    <n v="940"/>
  </r>
  <r>
    <x v="46"/>
    <s v="conventional_default_current_cai_82"/>
    <x v="122"/>
    <n v="1.8588"/>
    <n v="1"/>
    <n v="-40"/>
    <n v="940"/>
  </r>
  <r>
    <x v="46"/>
    <s v="conventional_default_current_cai_83"/>
    <x v="123"/>
    <n v="1.8472"/>
    <n v="1"/>
    <n v="-40"/>
    <n v="940"/>
  </r>
  <r>
    <x v="46"/>
    <s v="conventional_default_current_cai_84"/>
    <x v="124"/>
    <n v="1.8355999999999999"/>
    <n v="1"/>
    <n v="-40"/>
    <n v="940"/>
  </r>
  <r>
    <x v="46"/>
    <s v="conventional_default_current_cai_85"/>
    <x v="125"/>
    <n v="1.8240000000000001"/>
    <n v="1"/>
    <n v="-40"/>
    <n v="940"/>
  </r>
  <r>
    <x v="46"/>
    <s v="conventional_default_current_cai_86"/>
    <x v="126"/>
    <n v="1.8124"/>
    <n v="1"/>
    <n v="-40"/>
    <n v="940"/>
  </r>
  <r>
    <x v="46"/>
    <s v="conventional_default_current_cai_87"/>
    <x v="127"/>
    <n v="1.8008"/>
    <n v="1"/>
    <n v="-40"/>
    <n v="940"/>
  </r>
  <r>
    <x v="46"/>
    <s v="conventional_default_current_cai_88"/>
    <x v="128"/>
    <n v="1.7891999999999999"/>
    <n v="1"/>
    <n v="-40"/>
    <n v="940"/>
  </r>
  <r>
    <x v="46"/>
    <s v="conventional_default_current_cai_89"/>
    <x v="129"/>
    <n v="1.7776000000000001"/>
    <n v="1"/>
    <n v="-40"/>
    <n v="940"/>
  </r>
  <r>
    <x v="46"/>
    <s v="conventional_default_current_cai_90"/>
    <x v="130"/>
    <n v="1.766"/>
    <n v="1"/>
    <n v="-40"/>
    <n v="940"/>
  </r>
  <r>
    <x v="46"/>
    <s v="conventional_default_current_cai_91"/>
    <x v="131"/>
    <n v="1.7544"/>
    <n v="1"/>
    <n v="-40"/>
    <n v="940"/>
  </r>
  <r>
    <x v="46"/>
    <s v="conventional_default_current_cai_92"/>
    <x v="132"/>
    <n v="1.7427999999999999"/>
    <n v="1"/>
    <n v="-40"/>
    <n v="940"/>
  </r>
  <r>
    <x v="46"/>
    <s v="conventional_default_current_cai_93"/>
    <x v="133"/>
    <n v="1.7312000000000001"/>
    <n v="1"/>
    <n v="-40"/>
    <n v="940"/>
  </r>
  <r>
    <x v="46"/>
    <s v="conventional_default_current_cai_94"/>
    <x v="134"/>
    <n v="1.7196"/>
    <n v="1"/>
    <n v="-40"/>
    <n v="940"/>
  </r>
  <r>
    <x v="46"/>
    <s v="conventional_default_current_cai_95"/>
    <x v="135"/>
    <n v="1.708"/>
    <n v="1"/>
    <n v="-40"/>
    <n v="940"/>
  </r>
  <r>
    <x v="46"/>
    <s v="conventional_default_current_cai_96"/>
    <x v="136"/>
    <n v="1.6963999999999999"/>
    <n v="1"/>
    <n v="-40"/>
    <n v="940"/>
  </r>
  <r>
    <x v="46"/>
    <s v="conventional_default_current_cai_97"/>
    <x v="137"/>
    <n v="1.6848000000000001"/>
    <n v="1"/>
    <n v="-40"/>
    <n v="940"/>
  </r>
  <r>
    <x v="46"/>
    <s v="conventional_default_current_cai_98"/>
    <x v="138"/>
    <n v="1.6732"/>
    <n v="1"/>
    <n v="-40"/>
    <n v="940"/>
  </r>
  <r>
    <x v="46"/>
    <s v="conventional_default_current_cai_99"/>
    <x v="139"/>
    <n v="1.6616"/>
    <n v="1"/>
    <n v="-40"/>
    <n v="940"/>
  </r>
  <r>
    <x v="46"/>
    <s v="conventional_default_current_cai_100"/>
    <x v="140"/>
    <n v="1.65"/>
    <n v="1"/>
    <n v="-40"/>
    <n v="940"/>
  </r>
  <r>
    <x v="46"/>
    <s v="conventional_default_current_cai_101"/>
    <x v="141"/>
    <n v="1.6381726400000001"/>
    <n v="1"/>
    <n v="-40"/>
    <n v="940"/>
  </r>
  <r>
    <x v="46"/>
    <s v="conventional_default_current_cai_102"/>
    <x v="142"/>
    <n v="1.62590912"/>
    <n v="1"/>
    <n v="-40"/>
    <n v="940"/>
  </r>
  <r>
    <x v="46"/>
    <s v="conventional_default_current_cai_103"/>
    <x v="143"/>
    <n v="1.6132372800000001"/>
    <n v="1"/>
    <n v="-40"/>
    <n v="940"/>
  </r>
  <r>
    <x v="46"/>
    <s v="conventional_default_current_cai_104"/>
    <x v="144"/>
    <n v="1.60018496"/>
    <n v="1"/>
    <n v="-40"/>
    <n v="940"/>
  </r>
  <r>
    <x v="46"/>
    <s v="conventional_default_current_cai_105"/>
    <x v="145"/>
    <n v="1.5867800000000001"/>
    <n v="1"/>
    <n v="-40"/>
    <n v="940"/>
  </r>
  <r>
    <x v="46"/>
    <s v="conventional_default_current_cai_106"/>
    <x v="146"/>
    <n v="1.5730502399999999"/>
    <n v="1"/>
    <n v="-40"/>
    <n v="940"/>
  </r>
  <r>
    <x v="46"/>
    <s v="conventional_default_current_cai_107"/>
    <x v="147"/>
    <n v="1.55902352"/>
    <n v="1"/>
    <n v="-40"/>
    <n v="940"/>
  </r>
  <r>
    <x v="46"/>
    <s v="conventional_default_current_cai_108"/>
    <x v="148"/>
    <n v="1.54472768"/>
    <n v="1"/>
    <n v="-40"/>
    <n v="940"/>
  </r>
  <r>
    <x v="46"/>
    <s v="conventional_default_current_cai_109"/>
    <x v="149"/>
    <n v="1.5301905600000001"/>
    <n v="1"/>
    <n v="-40"/>
    <n v="940"/>
  </r>
  <r>
    <x v="46"/>
    <s v="conventional_default_current_cai_110"/>
    <x v="150"/>
    <n v="1.5154399999999999"/>
    <n v="1"/>
    <n v="-40"/>
    <n v="940"/>
  </r>
  <r>
    <x v="46"/>
    <s v="conventional_default_current_cai_111"/>
    <x v="151"/>
    <n v="1.5005038399999999"/>
    <n v="1"/>
    <n v="-40"/>
    <n v="940"/>
  </r>
  <r>
    <x v="46"/>
    <s v="conventional_default_current_cai_112"/>
    <x v="152"/>
    <n v="1.4854099199999999"/>
    <n v="1"/>
    <n v="-40"/>
    <n v="940"/>
  </r>
  <r>
    <x v="46"/>
    <s v="conventional_default_current_cai_113"/>
    <x v="153"/>
    <n v="1.47018608"/>
    <n v="1"/>
    <n v="-40"/>
    <n v="940"/>
  </r>
  <r>
    <x v="46"/>
    <s v="conventional_default_current_cai_114"/>
    <x v="154"/>
    <n v="1.45486016"/>
    <n v="1"/>
    <n v="-40"/>
    <n v="940"/>
  </r>
  <r>
    <x v="46"/>
    <s v="conventional_default_current_cai_115"/>
    <x v="155"/>
    <n v="1.43946"/>
    <n v="1"/>
    <n v="-40"/>
    <n v="940"/>
  </r>
  <r>
    <x v="46"/>
    <s v="conventional_default_current_cai_116"/>
    <x v="156"/>
    <n v="1.42401344"/>
    <n v="1"/>
    <n v="-40"/>
    <n v="940"/>
  </r>
  <r>
    <x v="46"/>
    <s v="conventional_default_current_cai_117"/>
    <x v="157"/>
    <n v="1.40854832"/>
    <n v="1"/>
    <n v="-40"/>
    <n v="940"/>
  </r>
  <r>
    <x v="46"/>
    <s v="conventional_default_current_cai_118"/>
    <x v="158"/>
    <n v="1.39309248"/>
    <n v="1"/>
    <n v="-40"/>
    <n v="940"/>
  </r>
  <r>
    <x v="46"/>
    <s v="conventional_default_current_cai_119"/>
    <x v="159"/>
    <n v="1.37767376"/>
    <n v="1"/>
    <n v="-40"/>
    <n v="940"/>
  </r>
  <r>
    <x v="46"/>
    <s v="conventional_default_current_cai_120"/>
    <x v="160"/>
    <n v="1.36232"/>
    <n v="1"/>
    <n v="-40"/>
    <n v="940"/>
  </r>
  <r>
    <x v="46"/>
    <s v="conventional_default_current_cai_121"/>
    <x v="161"/>
    <n v="1.34705904"/>
    <n v="1"/>
    <n v="-40"/>
    <n v="940"/>
  </r>
  <r>
    <x v="46"/>
    <s v="conventional_default_current_cai_122"/>
    <x v="162"/>
    <n v="1.33191872"/>
    <n v="1"/>
    <n v="-40"/>
    <n v="940"/>
  </r>
  <r>
    <x v="46"/>
    <s v="conventional_default_current_cai_123"/>
    <x v="163"/>
    <n v="1.31692688"/>
    <n v="1"/>
    <n v="-40"/>
    <n v="940"/>
  </r>
  <r>
    <x v="46"/>
    <s v="conventional_default_current_cai_124"/>
    <x v="164"/>
    <n v="1.3021113600000001"/>
    <n v="1"/>
    <n v="-40"/>
    <n v="940"/>
  </r>
  <r>
    <x v="46"/>
    <s v="conventional_default_current_cai_125"/>
    <x v="165"/>
    <n v="1.2875000000000001"/>
    <n v="1"/>
    <n v="-40"/>
    <n v="940"/>
  </r>
  <r>
    <x v="46"/>
    <s v="conventional_default_current_cai_126"/>
    <x v="166"/>
    <n v="1.2731206399999999"/>
    <n v="1"/>
    <n v="-40"/>
    <n v="940"/>
  </r>
  <r>
    <x v="46"/>
    <s v="conventional_default_current_cai_127"/>
    <x v="167"/>
    <n v="1.25900112"/>
    <n v="1"/>
    <n v="-40"/>
    <n v="940"/>
  </r>
  <r>
    <x v="46"/>
    <s v="conventional_default_current_cai_128"/>
    <x v="168"/>
    <n v="1.24516928"/>
    <n v="1"/>
    <n v="-40"/>
    <n v="940"/>
  </r>
  <r>
    <x v="46"/>
    <s v="conventional_default_current_cai_129"/>
    <x v="169"/>
    <n v="1.2316529599999999"/>
    <n v="1"/>
    <n v="-40"/>
    <n v="940"/>
  </r>
  <r>
    <x v="46"/>
    <s v="conventional_default_current_cai_130"/>
    <x v="170"/>
    <n v="1.21848"/>
    <n v="1"/>
    <n v="-40"/>
    <n v="940"/>
  </r>
  <r>
    <x v="46"/>
    <s v="conventional_default_current_cai_131"/>
    <x v="171"/>
    <n v="1.2056782399999999"/>
    <n v="1"/>
    <n v="-40"/>
    <n v="940"/>
  </r>
  <r>
    <x v="46"/>
    <s v="conventional_default_current_cai_132"/>
    <x v="172"/>
    <n v="1.19327552"/>
    <n v="1"/>
    <n v="-40"/>
    <n v="940"/>
  </r>
  <r>
    <x v="46"/>
    <s v="conventional_default_current_cai_133"/>
    <x v="173"/>
    <n v="1.18129968"/>
    <n v="1"/>
    <n v="-40"/>
    <n v="940"/>
  </r>
  <r>
    <x v="46"/>
    <s v="conventional_default_current_cai_134"/>
    <x v="174"/>
    <n v="1.1697785599999999"/>
    <n v="1"/>
    <n v="-40"/>
    <n v="940"/>
  </r>
  <r>
    <x v="46"/>
    <s v="conventional_default_current_cai_135"/>
    <x v="175"/>
    <n v="1.1587400000000001"/>
    <n v="1"/>
    <n v="-40"/>
    <n v="940"/>
  </r>
  <r>
    <x v="46"/>
    <s v="conventional_default_current_cai_136"/>
    <x v="176"/>
    <n v="1.1482118400000001"/>
    <n v="1"/>
    <n v="-40"/>
    <n v="940"/>
  </r>
  <r>
    <x v="46"/>
    <s v="conventional_default_current_cai_137"/>
    <x v="177"/>
    <n v="1.1382219200000001"/>
    <n v="1"/>
    <n v="-40"/>
    <n v="940"/>
  </r>
  <r>
    <x v="46"/>
    <s v="conventional_default_current_cai_138"/>
    <x v="178"/>
    <n v="1.1287980799999999"/>
    <n v="1"/>
    <n v="-40"/>
    <n v="940"/>
  </r>
  <r>
    <x v="46"/>
    <s v="conventional_default_current_cai_139"/>
    <x v="179"/>
    <n v="1.11996816"/>
    <n v="1"/>
    <n v="-40"/>
    <n v="940"/>
  </r>
  <r>
    <x v="46"/>
    <s v="conventional_default_current_cai_140"/>
    <x v="180"/>
    <n v="1.1117600000000001"/>
    <n v="1"/>
    <n v="-40"/>
    <n v="940"/>
  </r>
  <r>
    <x v="46"/>
    <s v="conventional_default_current_cai_141"/>
    <x v="181"/>
    <n v="1.10420144"/>
    <n v="1"/>
    <n v="-40"/>
    <n v="940"/>
  </r>
  <r>
    <x v="46"/>
    <s v="conventional_default_current_cai_142"/>
    <x v="182"/>
    <n v="1.0973203199999999"/>
    <n v="1"/>
    <n v="-40"/>
    <n v="940"/>
  </r>
  <r>
    <x v="46"/>
    <s v="conventional_default_current_cai_143"/>
    <x v="183"/>
    <n v="1.0911444800000001"/>
    <n v="1"/>
    <n v="-40"/>
    <n v="940"/>
  </r>
  <r>
    <x v="46"/>
    <s v="conventional_default_current_cai_144"/>
    <x v="184"/>
    <n v="1.0857017600000001"/>
    <n v="1"/>
    <n v="-40"/>
    <n v="940"/>
  </r>
  <r>
    <x v="46"/>
    <s v="conventional_default_current_cai_145"/>
    <x v="185"/>
    <n v="1.0810200000000001"/>
    <n v="1"/>
    <n v="-40"/>
    <n v="940"/>
  </r>
  <r>
    <x v="46"/>
    <s v="conventional_default_current_cai_146"/>
    <x v="186"/>
    <n v="1.0771270399999999"/>
    <n v="1"/>
    <n v="-40"/>
    <n v="940"/>
  </r>
  <r>
    <x v="46"/>
    <s v="conventional_default_current_cai_147"/>
    <x v="187"/>
    <n v="1.07405072"/>
    <n v="1"/>
    <n v="-40"/>
    <n v="940"/>
  </r>
  <r>
    <x v="46"/>
    <s v="conventional_default_current_cai_148"/>
    <x v="188"/>
    <n v="1.0718188799999999"/>
    <n v="1"/>
    <n v="-40"/>
    <n v="940"/>
  </r>
  <r>
    <x v="46"/>
    <s v="conventional_default_current_cai_149"/>
    <x v="189"/>
    <n v="1.0704593600000001"/>
    <n v="1"/>
    <n v="-40"/>
    <n v="940"/>
  </r>
  <r>
    <x v="46"/>
    <s v="conventional_default_current_cai_150"/>
    <x v="190"/>
    <n v="1.07"/>
    <n v="1"/>
    <n v="-40"/>
    <n v="940"/>
  </r>
  <r>
    <x v="46"/>
    <s v="conventional_default_current_cai_151"/>
    <x v="191"/>
    <n v="1.07"/>
    <n v="1"/>
    <n v="-40"/>
    <n v="940"/>
  </r>
  <r>
    <x v="46"/>
    <s v="conventional_default_current_cai_152"/>
    <x v="192"/>
    <n v="1.07"/>
    <n v="1"/>
    <n v="-40"/>
    <n v="940"/>
  </r>
  <r>
    <x v="46"/>
    <s v="conventional_default_current_cai_153"/>
    <x v="193"/>
    <n v="1.07"/>
    <n v="1"/>
    <n v="-40"/>
    <n v="940"/>
  </r>
  <r>
    <x v="46"/>
    <s v="conventional_default_current_cai_154"/>
    <x v="194"/>
    <n v="1.07"/>
    <n v="1"/>
    <n v="-40"/>
    <n v="940"/>
  </r>
  <r>
    <x v="46"/>
    <s v="conventional_default_current_cai_155"/>
    <x v="195"/>
    <n v="1.07"/>
    <n v="1"/>
    <n v="-40"/>
    <n v="940"/>
  </r>
  <r>
    <x v="46"/>
    <s v="conventional_default_current_cai_156"/>
    <x v="196"/>
    <n v="1.07"/>
    <n v="1"/>
    <n v="-40"/>
    <n v="940"/>
  </r>
  <r>
    <x v="46"/>
    <s v="conventional_default_current_cai_157"/>
    <x v="197"/>
    <n v="1.07"/>
    <n v="1"/>
    <n v="-40"/>
    <n v="940"/>
  </r>
  <r>
    <x v="46"/>
    <s v="conventional_default_current_cai_158"/>
    <x v="198"/>
    <n v="1.07"/>
    <n v="1"/>
    <n v="-40"/>
    <n v="940"/>
  </r>
  <r>
    <x v="46"/>
    <s v="conventional_default_current_cai_159"/>
    <x v="199"/>
    <n v="1.07"/>
    <n v="1"/>
    <n v="-40"/>
    <n v="940"/>
  </r>
  <r>
    <x v="46"/>
    <s v="conventional_default_current_cai_160"/>
    <x v="200"/>
    <n v="1.07"/>
    <n v="1"/>
    <n v="-40"/>
    <n v="940"/>
  </r>
  <r>
    <x v="46"/>
    <s v="conventional_default_current_cai_161"/>
    <x v="201"/>
    <n v="1.07"/>
    <n v="1"/>
    <n v="-40"/>
    <n v="940"/>
  </r>
  <r>
    <x v="46"/>
    <s v="conventional_default_current_cai_162"/>
    <x v="202"/>
    <n v="1.07"/>
    <n v="1"/>
    <n v="-40"/>
    <n v="940"/>
  </r>
  <r>
    <x v="46"/>
    <s v="conventional_default_current_cai_163"/>
    <x v="203"/>
    <n v="1.07"/>
    <n v="1"/>
    <n v="-40"/>
    <n v="940"/>
  </r>
  <r>
    <x v="46"/>
    <s v="conventional_default_current_cai_164"/>
    <x v="204"/>
    <n v="1.07"/>
    <n v="1"/>
    <n v="-40"/>
    <n v="940"/>
  </r>
  <r>
    <x v="46"/>
    <s v="conventional_default_current_cai_165"/>
    <x v="205"/>
    <n v="1.07"/>
    <n v="1"/>
    <n v="-40"/>
    <n v="940"/>
  </r>
  <r>
    <x v="46"/>
    <s v="conventional_default_current_cai_166"/>
    <x v="206"/>
    <n v="1.07"/>
    <n v="1"/>
    <n v="-40"/>
    <n v="940"/>
  </r>
  <r>
    <x v="46"/>
    <s v="conventional_default_current_cai_167"/>
    <x v="207"/>
    <n v="1.07"/>
    <n v="1"/>
    <n v="-40"/>
    <n v="940"/>
  </r>
  <r>
    <x v="46"/>
    <s v="conventional_default_current_cai_168"/>
    <x v="208"/>
    <n v="1.07"/>
    <n v="1"/>
    <n v="-40"/>
    <n v="940"/>
  </r>
  <r>
    <x v="46"/>
    <s v="conventional_default_current_cai_169"/>
    <x v="209"/>
    <n v="1.07"/>
    <n v="1"/>
    <n v="-40"/>
    <n v="940"/>
  </r>
  <r>
    <x v="46"/>
    <s v="conventional_default_current_cai_170"/>
    <x v="210"/>
    <n v="1.07"/>
    <n v="1"/>
    <n v="-40"/>
    <n v="940"/>
  </r>
  <r>
    <x v="46"/>
    <s v="conventional_default_current_cai_171"/>
    <x v="211"/>
    <n v="1.07"/>
    <n v="1"/>
    <n v="-40"/>
    <n v="940"/>
  </r>
  <r>
    <x v="46"/>
    <s v="conventional_default_current_cai_172"/>
    <x v="212"/>
    <n v="1.07"/>
    <n v="1"/>
    <n v="-40"/>
    <n v="940"/>
  </r>
  <r>
    <x v="46"/>
    <s v="conventional_default_current_cai_173"/>
    <x v="213"/>
    <n v="1.07"/>
    <n v="1"/>
    <n v="-40"/>
    <n v="940"/>
  </r>
  <r>
    <x v="46"/>
    <s v="conventional_default_current_cai_174"/>
    <x v="214"/>
    <n v="1.07"/>
    <n v="1"/>
    <n v="-40"/>
    <n v="940"/>
  </r>
  <r>
    <x v="46"/>
    <s v="conventional_default_current_cai_175"/>
    <x v="215"/>
    <n v="1.07"/>
    <n v="1"/>
    <n v="-40"/>
    <n v="940"/>
  </r>
  <r>
    <x v="46"/>
    <s v="conventional_default_current_cai_176"/>
    <x v="216"/>
    <n v="1.07"/>
    <n v="1"/>
    <n v="-40"/>
    <n v="940"/>
  </r>
  <r>
    <x v="46"/>
    <s v="conventional_default_current_cai_177"/>
    <x v="217"/>
    <n v="1.07"/>
    <n v="1"/>
    <n v="-40"/>
    <n v="940"/>
  </r>
  <r>
    <x v="46"/>
    <s v="conventional_default_current_cai_178"/>
    <x v="218"/>
    <n v="1.07"/>
    <n v="1"/>
    <n v="-40"/>
    <n v="940"/>
  </r>
  <r>
    <x v="46"/>
    <s v="conventional_default_current_cai_179"/>
    <x v="219"/>
    <n v="1.07"/>
    <n v="1"/>
    <n v="-40"/>
    <n v="940"/>
  </r>
  <r>
    <x v="46"/>
    <s v="conventional_default_current_cai_180"/>
    <x v="220"/>
    <n v="1.07"/>
    <n v="1"/>
    <n v="-40"/>
    <n v="940"/>
  </r>
  <r>
    <x v="46"/>
    <s v="conventional_default_current_cai_181"/>
    <x v="221"/>
    <n v="1.07"/>
    <n v="1"/>
    <n v="-40"/>
    <n v="940"/>
  </r>
  <r>
    <x v="46"/>
    <s v="conventional_default_current_cai_182"/>
    <x v="222"/>
    <n v="1.07"/>
    <n v="1"/>
    <n v="-40"/>
    <n v="940"/>
  </r>
  <r>
    <x v="46"/>
    <s v="conventional_default_current_cai_183"/>
    <x v="223"/>
    <n v="1.07"/>
    <n v="1"/>
    <n v="-40"/>
    <n v="940"/>
  </r>
  <r>
    <x v="46"/>
    <s v="conventional_default_current_cai_184"/>
    <x v="224"/>
    <n v="1.07"/>
    <n v="1"/>
    <n v="-40"/>
    <n v="940"/>
  </r>
  <r>
    <x v="46"/>
    <s v="conventional_default_current_cai_185"/>
    <x v="225"/>
    <n v="1.07"/>
    <n v="1"/>
    <n v="-40"/>
    <n v="940"/>
  </r>
  <r>
    <x v="46"/>
    <s v="conventional_default_current_cai_186"/>
    <x v="226"/>
    <n v="1.07"/>
    <n v="1"/>
    <n v="-40"/>
    <n v="940"/>
  </r>
  <r>
    <x v="46"/>
    <s v="conventional_default_current_cai_187"/>
    <x v="227"/>
    <n v="1.07"/>
    <n v="1"/>
    <n v="-40"/>
    <n v="940"/>
  </r>
  <r>
    <x v="46"/>
    <s v="conventional_default_current_cai_188"/>
    <x v="228"/>
    <n v="1.07"/>
    <n v="1"/>
    <n v="-40"/>
    <n v="940"/>
  </r>
  <r>
    <x v="46"/>
    <s v="conventional_default_current_cai_189"/>
    <x v="229"/>
    <n v="1.07"/>
    <n v="1"/>
    <n v="-40"/>
    <n v="940"/>
  </r>
  <r>
    <x v="46"/>
    <s v="conventional_default_current_cai_190"/>
    <x v="230"/>
    <n v="1.07"/>
    <n v="1"/>
    <n v="-40"/>
    <n v="940"/>
  </r>
  <r>
    <x v="46"/>
    <s v="conventional_default_current_cai_191"/>
    <x v="231"/>
    <n v="1.07"/>
    <n v="1"/>
    <n v="-40"/>
    <n v="940"/>
  </r>
  <r>
    <x v="46"/>
    <s v="conventional_default_current_cai_192"/>
    <x v="232"/>
    <n v="1.07"/>
    <n v="1"/>
    <n v="-40"/>
    <n v="940"/>
  </r>
  <r>
    <x v="46"/>
    <s v="conventional_default_current_cai_193"/>
    <x v="233"/>
    <n v="1.07"/>
    <n v="1"/>
    <n v="-40"/>
    <n v="940"/>
  </r>
  <r>
    <x v="46"/>
    <s v="conventional_default_current_cai_194"/>
    <x v="234"/>
    <n v="1.07"/>
    <n v="1"/>
    <n v="-40"/>
    <n v="940"/>
  </r>
  <r>
    <x v="46"/>
    <s v="conventional_default_current_cai_195"/>
    <x v="235"/>
    <n v="1.07"/>
    <n v="1"/>
    <n v="-40"/>
    <n v="940"/>
  </r>
  <r>
    <x v="46"/>
    <s v="conventional_default_current_cai_196"/>
    <x v="236"/>
    <n v="1.07"/>
    <n v="1"/>
    <n v="-40"/>
    <n v="940"/>
  </r>
  <r>
    <x v="46"/>
    <s v="conventional_default_current_cai_197"/>
    <x v="237"/>
    <n v="1.07"/>
    <n v="1"/>
    <n v="-40"/>
    <n v="940"/>
  </r>
  <r>
    <x v="46"/>
    <s v="conventional_default_current_cai_198"/>
    <x v="238"/>
    <n v="1.07"/>
    <n v="1"/>
    <n v="-40"/>
    <n v="940"/>
  </r>
  <r>
    <x v="46"/>
    <s v="conventional_default_current_cai_199"/>
    <x v="239"/>
    <n v="1.07"/>
    <n v="1"/>
    <n v="-40"/>
    <n v="940"/>
  </r>
  <r>
    <x v="46"/>
    <s v="conventional_default_current_cai_200"/>
    <x v="240"/>
    <n v="1.07"/>
    <n v="1"/>
    <n v="-40"/>
    <n v="940"/>
  </r>
  <r>
    <x v="46"/>
    <s v="conventional_default_current_cai_201"/>
    <x v="241"/>
    <n v="1.07"/>
    <n v="1"/>
    <n v="-40"/>
    <n v="940"/>
  </r>
  <r>
    <x v="46"/>
    <s v="conventional_default_current_cai_202"/>
    <x v="242"/>
    <n v="1.07"/>
    <n v="1"/>
    <n v="-40"/>
    <n v="940"/>
  </r>
  <r>
    <x v="46"/>
    <s v="conventional_default_current_cai_203"/>
    <x v="243"/>
    <n v="1.07"/>
    <n v="1"/>
    <n v="-40"/>
    <n v="940"/>
  </r>
  <r>
    <x v="46"/>
    <s v="conventional_default_current_cai_204"/>
    <x v="244"/>
    <n v="1.07"/>
    <n v="1"/>
    <n v="-40"/>
    <n v="940"/>
  </r>
  <r>
    <x v="46"/>
    <s v="conventional_default_current_cai_205"/>
    <x v="245"/>
    <n v="1.07"/>
    <n v="1"/>
    <n v="-40"/>
    <n v="940"/>
  </r>
  <r>
    <x v="46"/>
    <s v="conventional_default_current_cai_206"/>
    <x v="246"/>
    <n v="1.07"/>
    <n v="1"/>
    <n v="-40"/>
    <n v="940"/>
  </r>
  <r>
    <x v="46"/>
    <s v="conventional_default_current_cai_207"/>
    <x v="247"/>
    <n v="1.07"/>
    <n v="1"/>
    <n v="-40"/>
    <n v="940"/>
  </r>
  <r>
    <x v="46"/>
    <s v="conventional_default_current_cai_208"/>
    <x v="248"/>
    <n v="1.07"/>
    <n v="1"/>
    <n v="-40"/>
    <n v="940"/>
  </r>
  <r>
    <x v="46"/>
    <s v="conventional_default_current_cai_209"/>
    <x v="249"/>
    <n v="1.07"/>
    <n v="1"/>
    <n v="-40"/>
    <n v="940"/>
  </r>
  <r>
    <x v="46"/>
    <s v="conventional_default_current_cai_210"/>
    <x v="250"/>
    <n v="1.07"/>
    <n v="1"/>
    <n v="-40"/>
    <n v="940"/>
  </r>
  <r>
    <x v="46"/>
    <s v="conventional_default_current_cai_211"/>
    <x v="251"/>
    <n v="1.07"/>
    <n v="1"/>
    <n v="-40"/>
    <n v="940"/>
  </r>
  <r>
    <x v="46"/>
    <s v="conventional_default_current_cai_212"/>
    <x v="252"/>
    <n v="1.07"/>
    <n v="1"/>
    <n v="-40"/>
    <n v="940"/>
  </r>
  <r>
    <x v="46"/>
    <s v="conventional_default_current_cai_213"/>
    <x v="253"/>
    <n v="1.07"/>
    <n v="1"/>
    <n v="-40"/>
    <n v="940"/>
  </r>
  <r>
    <x v="46"/>
    <s v="conventional_default_current_cai_214"/>
    <x v="254"/>
    <n v="1.07"/>
    <n v="1"/>
    <n v="-40"/>
    <n v="940"/>
  </r>
  <r>
    <x v="46"/>
    <s v="conventional_default_current_cai_215"/>
    <x v="255"/>
    <n v="1.07"/>
    <n v="1"/>
    <n v="-40"/>
    <n v="940"/>
  </r>
  <r>
    <x v="46"/>
    <s v="conventional_default_current_cai_216"/>
    <x v="256"/>
    <n v="1.07"/>
    <n v="1"/>
    <n v="-40"/>
    <n v="940"/>
  </r>
  <r>
    <x v="46"/>
    <s v="conventional_default_current_cai_217"/>
    <x v="257"/>
    <n v="1.07"/>
    <n v="1"/>
    <n v="-40"/>
    <n v="940"/>
  </r>
  <r>
    <x v="46"/>
    <s v="conventional_default_current_cai_218"/>
    <x v="258"/>
    <n v="1.07"/>
    <n v="1"/>
    <n v="-40"/>
    <n v="940"/>
  </r>
  <r>
    <x v="46"/>
    <s v="conventional_default_current_cai_219"/>
    <x v="259"/>
    <n v="1.07"/>
    <n v="1"/>
    <n v="-40"/>
    <n v="940"/>
  </r>
  <r>
    <x v="46"/>
    <s v="conventional_default_current_cai_220"/>
    <x v="260"/>
    <n v="1.07"/>
    <n v="1"/>
    <n v="-40"/>
    <n v="940"/>
  </r>
  <r>
    <x v="46"/>
    <s v="conventional_default_current_cai_221"/>
    <x v="261"/>
    <n v="1.07"/>
    <n v="1"/>
    <n v="-40"/>
    <n v="940"/>
  </r>
  <r>
    <x v="46"/>
    <s v="conventional_default_current_cai_222"/>
    <x v="262"/>
    <n v="1.07"/>
    <n v="1"/>
    <n v="-40"/>
    <n v="940"/>
  </r>
  <r>
    <x v="46"/>
    <s v="conventional_default_current_cai_223"/>
    <x v="263"/>
    <n v="1.07"/>
    <n v="1"/>
    <n v="-40"/>
    <n v="940"/>
  </r>
  <r>
    <x v="46"/>
    <s v="conventional_default_current_cai_224"/>
    <x v="264"/>
    <n v="1.07"/>
    <n v="1"/>
    <n v="-40"/>
    <n v="940"/>
  </r>
  <r>
    <x v="46"/>
    <s v="conventional_default_current_cai_225"/>
    <x v="265"/>
    <n v="1.07"/>
    <n v="1"/>
    <n v="-40"/>
    <n v="940"/>
  </r>
  <r>
    <x v="46"/>
    <s v="conventional_default_current_cai_226"/>
    <x v="266"/>
    <n v="1.07"/>
    <n v="1"/>
    <n v="-40"/>
    <n v="940"/>
  </r>
  <r>
    <x v="46"/>
    <s v="conventional_default_current_cai_227"/>
    <x v="267"/>
    <n v="1.07"/>
    <n v="1"/>
    <n v="-40"/>
    <n v="940"/>
  </r>
  <r>
    <x v="46"/>
    <s v="conventional_default_current_cai_228"/>
    <x v="268"/>
    <n v="1.07"/>
    <n v="1"/>
    <n v="-40"/>
    <n v="940"/>
  </r>
  <r>
    <x v="46"/>
    <s v="conventional_default_current_cai_229"/>
    <x v="269"/>
    <n v="1.07"/>
    <n v="1"/>
    <n v="-40"/>
    <n v="940"/>
  </r>
  <r>
    <x v="46"/>
    <s v="conventional_default_current_cai_230"/>
    <x v="270"/>
    <n v="1.07"/>
    <n v="1"/>
    <n v="-40"/>
    <n v="940"/>
  </r>
  <r>
    <x v="46"/>
    <s v="conventional_default_current_cai_231"/>
    <x v="271"/>
    <n v="1.07"/>
    <n v="1"/>
    <n v="-40"/>
    <n v="940"/>
  </r>
  <r>
    <x v="46"/>
    <s v="conventional_default_current_cai_232"/>
    <x v="272"/>
    <n v="1.07"/>
    <n v="1"/>
    <n v="-40"/>
    <n v="940"/>
  </r>
  <r>
    <x v="46"/>
    <s v="conventional_default_current_cai_233"/>
    <x v="273"/>
    <n v="1.07"/>
    <n v="1"/>
    <n v="-40"/>
    <n v="940"/>
  </r>
  <r>
    <x v="46"/>
    <s v="conventional_default_current_cai_234"/>
    <x v="274"/>
    <n v="1.07"/>
    <n v="1"/>
    <n v="-40"/>
    <n v="940"/>
  </r>
  <r>
    <x v="46"/>
    <s v="conventional_default_current_cai_235"/>
    <x v="275"/>
    <n v="1.07"/>
    <n v="1"/>
    <n v="-40"/>
    <n v="940"/>
  </r>
  <r>
    <x v="46"/>
    <s v="conventional_default_current_cai_236"/>
    <x v="276"/>
    <n v="1.07"/>
    <n v="1"/>
    <n v="-40"/>
    <n v="940"/>
  </r>
  <r>
    <x v="46"/>
    <s v="conventional_default_current_cai_237"/>
    <x v="277"/>
    <n v="1.07"/>
    <n v="1"/>
    <n v="-40"/>
    <n v="940"/>
  </r>
  <r>
    <x v="46"/>
    <s v="conventional_default_current_cai_238"/>
    <x v="278"/>
    <n v="1.07"/>
    <n v="1"/>
    <n v="-40"/>
    <n v="940"/>
  </r>
  <r>
    <x v="46"/>
    <s v="conventional_default_current_cai_239"/>
    <x v="279"/>
    <n v="1.07"/>
    <n v="1"/>
    <n v="-40"/>
    <n v="940"/>
  </r>
  <r>
    <x v="46"/>
    <s v="conventional_default_current_cai_240"/>
    <x v="280"/>
    <n v="1.07"/>
    <n v="1"/>
    <n v="-40"/>
    <n v="940"/>
  </r>
  <r>
    <x v="46"/>
    <s v="conventional_default_current_cai_241"/>
    <x v="281"/>
    <n v="1.07"/>
    <n v="1"/>
    <n v="-40"/>
    <n v="940"/>
  </r>
  <r>
    <x v="46"/>
    <s v="conventional_default_current_cai_242"/>
    <x v="282"/>
    <n v="1.07"/>
    <n v="1"/>
    <n v="-40"/>
    <n v="940"/>
  </r>
  <r>
    <x v="46"/>
    <s v="conventional_default_current_cai_243"/>
    <x v="283"/>
    <n v="1.07"/>
    <n v="1"/>
    <n v="-40"/>
    <n v="940"/>
  </r>
  <r>
    <x v="46"/>
    <s v="conventional_default_current_cai_244"/>
    <x v="284"/>
    <n v="1.07"/>
    <n v="1"/>
    <n v="-40"/>
    <n v="940"/>
  </r>
  <r>
    <x v="46"/>
    <s v="conventional_default_current_cai_245"/>
    <x v="285"/>
    <n v="1.07"/>
    <n v="1"/>
    <n v="-40"/>
    <n v="940"/>
  </r>
  <r>
    <x v="46"/>
    <s v="conventional_default_current_cai_246"/>
    <x v="286"/>
    <n v="1.07"/>
    <n v="1"/>
    <n v="-40"/>
    <n v="940"/>
  </r>
  <r>
    <x v="46"/>
    <s v="conventional_default_current_cai_247"/>
    <x v="287"/>
    <n v="1.07"/>
    <n v="1"/>
    <n v="-40"/>
    <n v="940"/>
  </r>
  <r>
    <x v="46"/>
    <s v="conventional_default_current_cai_248"/>
    <x v="288"/>
    <n v="1.07"/>
    <n v="1"/>
    <n v="-40"/>
    <n v="940"/>
  </r>
  <r>
    <x v="46"/>
    <s v="conventional_default_current_cai_249"/>
    <x v="289"/>
    <n v="1.07"/>
    <n v="1"/>
    <n v="-40"/>
    <n v="940"/>
  </r>
  <r>
    <x v="46"/>
    <s v="conventional_default_current_cai_250"/>
    <x v="290"/>
    <n v="1.07"/>
    <n v="1"/>
    <n v="-40"/>
    <n v="940"/>
  </r>
  <r>
    <x v="46"/>
    <s v="conventional_default_current_cai_251"/>
    <x v="291"/>
    <n v="1.07"/>
    <n v="1"/>
    <n v="-40"/>
    <n v="940"/>
  </r>
  <r>
    <x v="46"/>
    <s v="conventional_default_current_cai_252"/>
    <x v="292"/>
    <n v="1.07"/>
    <n v="1"/>
    <n v="-40"/>
    <n v="940"/>
  </r>
  <r>
    <x v="46"/>
    <s v="conventional_default_current_cai_253"/>
    <x v="293"/>
    <n v="1.07"/>
    <n v="1"/>
    <n v="-40"/>
    <n v="940"/>
  </r>
  <r>
    <x v="46"/>
    <s v="conventional_default_current_cai_254"/>
    <x v="294"/>
    <n v="1.07"/>
    <n v="1"/>
    <n v="-40"/>
    <n v="940"/>
  </r>
  <r>
    <x v="46"/>
    <s v="conventional_default_current_cai_255"/>
    <x v="295"/>
    <n v="1.07"/>
    <n v="1"/>
    <n v="-40"/>
    <n v="940"/>
  </r>
  <r>
    <x v="46"/>
    <s v="conventional_default_current_cai_256"/>
    <x v="296"/>
    <n v="1.07"/>
    <n v="1"/>
    <n v="-40"/>
    <n v="940"/>
  </r>
  <r>
    <x v="46"/>
    <s v="conventional_default_current_cai_257"/>
    <x v="297"/>
    <n v="1.07"/>
    <n v="1"/>
    <n v="-40"/>
    <n v="940"/>
  </r>
  <r>
    <x v="46"/>
    <s v="conventional_default_current_cai_258"/>
    <x v="298"/>
    <n v="1.07"/>
    <n v="1"/>
    <n v="-40"/>
    <n v="940"/>
  </r>
  <r>
    <x v="46"/>
    <s v="conventional_default_current_cai_259"/>
    <x v="299"/>
    <n v="1.07"/>
    <n v="1"/>
    <n v="-40"/>
    <n v="940"/>
  </r>
  <r>
    <x v="46"/>
    <s v="conventional_default_current_cai_260"/>
    <x v="300"/>
    <n v="1.07"/>
    <n v="1"/>
    <n v="-40"/>
    <n v="940"/>
  </r>
  <r>
    <x v="46"/>
    <s v="conventional_default_current_cai_261"/>
    <x v="301"/>
    <n v="1.07"/>
    <n v="1"/>
    <n v="-40"/>
    <n v="940"/>
  </r>
  <r>
    <x v="46"/>
    <s v="conventional_default_current_cai_262"/>
    <x v="302"/>
    <n v="1.07"/>
    <n v="1"/>
    <n v="-40"/>
    <n v="940"/>
  </r>
  <r>
    <x v="46"/>
    <s v="conventional_default_current_cai_263"/>
    <x v="303"/>
    <n v="1.07"/>
    <n v="1"/>
    <n v="-40"/>
    <n v="940"/>
  </r>
  <r>
    <x v="46"/>
    <s v="conventional_default_current_cai_264"/>
    <x v="304"/>
    <n v="1.07"/>
    <n v="1"/>
    <n v="-40"/>
    <n v="940"/>
  </r>
  <r>
    <x v="46"/>
    <s v="conventional_default_current_cai_265"/>
    <x v="305"/>
    <n v="1.07"/>
    <n v="1"/>
    <n v="-40"/>
    <n v="940"/>
  </r>
  <r>
    <x v="46"/>
    <s v="conventional_default_current_cai_266"/>
    <x v="306"/>
    <n v="1.07"/>
    <n v="1"/>
    <n v="-40"/>
    <n v="940"/>
  </r>
  <r>
    <x v="46"/>
    <s v="conventional_default_current_cai_267"/>
    <x v="307"/>
    <n v="1.07"/>
    <n v="1"/>
    <n v="-40"/>
    <n v="940"/>
  </r>
  <r>
    <x v="46"/>
    <s v="conventional_default_current_cai_268"/>
    <x v="308"/>
    <n v="1.07"/>
    <n v="1"/>
    <n v="-40"/>
    <n v="940"/>
  </r>
  <r>
    <x v="46"/>
    <s v="conventional_default_current_cai_269"/>
    <x v="309"/>
    <n v="1.07"/>
    <n v="1"/>
    <n v="-40"/>
    <n v="940"/>
  </r>
  <r>
    <x v="46"/>
    <s v="conventional_default_current_cai_270"/>
    <x v="310"/>
    <n v="1.07"/>
    <n v="1"/>
    <n v="-40"/>
    <n v="940"/>
  </r>
  <r>
    <x v="46"/>
    <s v="conventional_default_current_cai_271"/>
    <x v="311"/>
    <n v="1.07"/>
    <n v="1"/>
    <n v="-40"/>
    <n v="940"/>
  </r>
  <r>
    <x v="46"/>
    <s v="conventional_default_current_cai_272"/>
    <x v="312"/>
    <n v="1.07"/>
    <n v="1"/>
    <n v="-40"/>
    <n v="940"/>
  </r>
  <r>
    <x v="46"/>
    <s v="conventional_default_current_cai_273"/>
    <x v="313"/>
    <n v="1.07"/>
    <n v="1"/>
    <n v="-40"/>
    <n v="940"/>
  </r>
  <r>
    <x v="46"/>
    <s v="conventional_default_current_cai_274"/>
    <x v="314"/>
    <n v="1.07"/>
    <n v="1"/>
    <n v="-40"/>
    <n v="940"/>
  </r>
  <r>
    <x v="46"/>
    <s v="conventional_default_current_cai_275"/>
    <x v="315"/>
    <n v="1.07"/>
    <n v="1"/>
    <n v="-40"/>
    <n v="940"/>
  </r>
  <r>
    <x v="46"/>
    <s v="conventional_default_current_cai_276"/>
    <x v="316"/>
    <n v="1.07"/>
    <n v="1"/>
    <n v="-40"/>
    <n v="940"/>
  </r>
  <r>
    <x v="46"/>
    <s v="conventional_default_current_cai_277"/>
    <x v="317"/>
    <n v="1.07"/>
    <n v="1"/>
    <n v="-40"/>
    <n v="940"/>
  </r>
  <r>
    <x v="46"/>
    <s v="conventional_default_current_cai_278"/>
    <x v="318"/>
    <n v="1.07"/>
    <n v="1"/>
    <n v="-40"/>
    <n v="940"/>
  </r>
  <r>
    <x v="46"/>
    <s v="conventional_default_current_cai_279"/>
    <x v="319"/>
    <n v="1.07"/>
    <n v="1"/>
    <n v="-40"/>
    <n v="940"/>
  </r>
  <r>
    <x v="46"/>
    <s v="conventional_default_current_cai_280"/>
    <x v="320"/>
    <n v="1.07"/>
    <n v="1"/>
    <n v="-40"/>
    <n v="940"/>
  </r>
  <r>
    <x v="46"/>
    <s v="conventional_default_current_cai_281"/>
    <x v="321"/>
    <n v="1.07"/>
    <n v="1"/>
    <n v="-40"/>
    <n v="940"/>
  </r>
  <r>
    <x v="46"/>
    <s v="conventional_default_current_cai_282"/>
    <x v="322"/>
    <n v="1.07"/>
    <n v="1"/>
    <n v="-40"/>
    <n v="940"/>
  </r>
  <r>
    <x v="46"/>
    <s v="conventional_default_current_cai_283"/>
    <x v="323"/>
    <n v="1.07"/>
    <n v="1"/>
    <n v="-40"/>
    <n v="940"/>
  </r>
  <r>
    <x v="46"/>
    <s v="conventional_default_current_cai_284"/>
    <x v="324"/>
    <n v="1.07"/>
    <n v="1"/>
    <n v="-40"/>
    <n v="940"/>
  </r>
  <r>
    <x v="46"/>
    <s v="conventional_default_current_cai_285"/>
    <x v="325"/>
    <n v="1.07"/>
    <n v="1"/>
    <n v="-40"/>
    <n v="940"/>
  </r>
  <r>
    <x v="46"/>
    <s v="conventional_default_current_cai_286"/>
    <x v="326"/>
    <n v="1.07"/>
    <n v="1"/>
    <n v="-40"/>
    <n v="940"/>
  </r>
  <r>
    <x v="46"/>
    <s v="conventional_default_current_cai_287"/>
    <x v="327"/>
    <n v="1.07"/>
    <n v="1"/>
    <n v="-40"/>
    <n v="940"/>
  </r>
  <r>
    <x v="46"/>
    <s v="conventional_default_current_cai_288"/>
    <x v="328"/>
    <n v="1.07"/>
    <n v="1"/>
    <n v="-40"/>
    <n v="940"/>
  </r>
  <r>
    <x v="46"/>
    <s v="conventional_default_current_cai_289"/>
    <x v="329"/>
    <n v="1.07"/>
    <n v="1"/>
    <n v="-40"/>
    <n v="940"/>
  </r>
  <r>
    <x v="46"/>
    <s v="conventional_default_current_cai_290"/>
    <x v="330"/>
    <n v="1.07"/>
    <n v="1"/>
    <n v="-40"/>
    <n v="940"/>
  </r>
  <r>
    <x v="46"/>
    <s v="conventional_default_current_cai_291"/>
    <x v="331"/>
    <n v="1.07"/>
    <n v="1"/>
    <n v="-40"/>
    <n v="940"/>
  </r>
  <r>
    <x v="46"/>
    <s v="conventional_default_current_cai_292"/>
    <x v="332"/>
    <n v="1.07"/>
    <n v="1"/>
    <n v="-40"/>
    <n v="940"/>
  </r>
  <r>
    <x v="46"/>
    <s v="conventional_default_current_cai_293"/>
    <x v="333"/>
    <n v="1.07"/>
    <n v="1"/>
    <n v="-40"/>
    <n v="940"/>
  </r>
  <r>
    <x v="46"/>
    <s v="conventional_default_current_cai_294"/>
    <x v="334"/>
    <n v="1.07"/>
    <n v="1"/>
    <n v="-40"/>
    <n v="940"/>
  </r>
  <r>
    <x v="46"/>
    <s v="conventional_default_current_cai_295"/>
    <x v="335"/>
    <n v="1.07"/>
    <n v="1"/>
    <n v="-40"/>
    <n v="940"/>
  </r>
  <r>
    <x v="46"/>
    <s v="conventional_default_current_cai_296"/>
    <x v="336"/>
    <n v="1.07"/>
    <n v="1"/>
    <n v="-40"/>
    <n v="940"/>
  </r>
  <r>
    <x v="46"/>
    <s v="conventional_default_current_cai_297"/>
    <x v="337"/>
    <n v="1.07"/>
    <n v="1"/>
    <n v="-40"/>
    <n v="940"/>
  </r>
  <r>
    <x v="46"/>
    <s v="conventional_default_current_cai_298"/>
    <x v="338"/>
    <n v="1.07"/>
    <n v="1"/>
    <n v="-40"/>
    <n v="940"/>
  </r>
  <r>
    <x v="46"/>
    <s v="conventional_default_current_cai_299"/>
    <x v="339"/>
    <n v="1.07"/>
    <n v="1"/>
    <n v="-40"/>
    <n v="940"/>
  </r>
  <r>
    <x v="46"/>
    <s v="conventional_default_current_cai_300"/>
    <x v="340"/>
    <n v="1.07"/>
    <n v="1"/>
    <n v="-40"/>
    <n v="940"/>
  </r>
  <r>
    <x v="46"/>
    <s v="conventional_default_current_cai_301"/>
    <x v="341"/>
    <n v="1.07"/>
    <n v="1"/>
    <n v="-40"/>
    <n v="940"/>
  </r>
  <r>
    <x v="46"/>
    <s v="conventional_default_current_cai_302"/>
    <x v="342"/>
    <n v="1.07"/>
    <n v="1"/>
    <n v="-40"/>
    <n v="940"/>
  </r>
  <r>
    <x v="46"/>
    <s v="conventional_default_current_cai_303"/>
    <x v="343"/>
    <n v="1.07"/>
    <n v="1"/>
    <n v="-40"/>
    <n v="940"/>
  </r>
  <r>
    <x v="46"/>
    <s v="conventional_default_current_cai_304"/>
    <x v="344"/>
    <n v="1.07"/>
    <n v="1"/>
    <n v="-40"/>
    <n v="940"/>
  </r>
  <r>
    <x v="46"/>
    <s v="conventional_default_current_cai_305"/>
    <x v="345"/>
    <n v="1.07"/>
    <n v="1"/>
    <n v="-40"/>
    <n v="940"/>
  </r>
  <r>
    <x v="46"/>
    <s v="conventional_default_current_cai_306"/>
    <x v="346"/>
    <n v="1.07"/>
    <n v="1"/>
    <n v="-40"/>
    <n v="940"/>
  </r>
  <r>
    <x v="46"/>
    <s v="conventional_default_current_cai_307"/>
    <x v="347"/>
    <n v="1.07"/>
    <n v="1"/>
    <n v="-40"/>
    <n v="940"/>
  </r>
  <r>
    <x v="46"/>
    <s v="conventional_default_current_cai_308"/>
    <x v="348"/>
    <n v="1.07"/>
    <n v="1"/>
    <n v="-40"/>
    <n v="940"/>
  </r>
  <r>
    <x v="46"/>
    <s v="conventional_default_current_cai_309"/>
    <x v="349"/>
    <n v="1.07"/>
    <n v="1"/>
    <n v="-40"/>
    <n v="940"/>
  </r>
  <r>
    <x v="46"/>
    <s v="conventional_default_current_cai_310"/>
    <x v="350"/>
    <n v="1.07"/>
    <n v="1"/>
    <n v="-40"/>
    <n v="940"/>
  </r>
  <r>
    <x v="46"/>
    <s v="conventional_default_current_cai_311"/>
    <x v="351"/>
    <n v="1.07"/>
    <n v="1"/>
    <n v="-40"/>
    <n v="940"/>
  </r>
  <r>
    <x v="46"/>
    <s v="conventional_default_current_cai_312"/>
    <x v="352"/>
    <n v="1.07"/>
    <n v="1"/>
    <n v="-40"/>
    <n v="940"/>
  </r>
  <r>
    <x v="46"/>
    <s v="conventional_default_current_cai_313"/>
    <x v="353"/>
    <n v="1.07"/>
    <n v="1"/>
    <n v="-40"/>
    <n v="940"/>
  </r>
  <r>
    <x v="46"/>
    <s v="conventional_default_current_cai_314"/>
    <x v="354"/>
    <n v="1.07"/>
    <n v="1"/>
    <n v="-40"/>
    <n v="940"/>
  </r>
  <r>
    <x v="46"/>
    <s v="conventional_default_current_cai_315"/>
    <x v="355"/>
    <n v="1.07"/>
    <n v="1"/>
    <n v="-40"/>
    <n v="940"/>
  </r>
  <r>
    <x v="46"/>
    <s v="conventional_default_current_cai_316"/>
    <x v="356"/>
    <n v="1.07"/>
    <n v="1"/>
    <n v="-40"/>
    <n v="940"/>
  </r>
  <r>
    <x v="46"/>
    <s v="conventional_default_current_cai_317"/>
    <x v="357"/>
    <n v="1.07"/>
    <n v="1"/>
    <n v="-40"/>
    <n v="940"/>
  </r>
  <r>
    <x v="46"/>
    <s v="conventional_default_current_cai_318"/>
    <x v="358"/>
    <n v="1.07"/>
    <n v="1"/>
    <n v="-40"/>
    <n v="940"/>
  </r>
  <r>
    <x v="46"/>
    <s v="conventional_default_current_cai_319"/>
    <x v="359"/>
    <n v="1.07"/>
    <n v="1"/>
    <n v="-40"/>
    <n v="940"/>
  </r>
  <r>
    <x v="46"/>
    <s v="conventional_default_current_cai_320"/>
    <x v="360"/>
    <n v="1.07"/>
    <n v="1"/>
    <n v="-40"/>
    <n v="940"/>
  </r>
  <r>
    <x v="46"/>
    <s v="conventional_default_current_cai_321"/>
    <x v="361"/>
    <n v="1.07"/>
    <n v="1"/>
    <n v="-40"/>
    <n v="940"/>
  </r>
  <r>
    <x v="46"/>
    <s v="conventional_default_current_cai_322"/>
    <x v="362"/>
    <n v="1.07"/>
    <n v="1"/>
    <n v="-40"/>
    <n v="940"/>
  </r>
  <r>
    <x v="46"/>
    <s v="conventional_default_current_cai_323"/>
    <x v="363"/>
    <n v="1.07"/>
    <n v="1"/>
    <n v="-40"/>
    <n v="940"/>
  </r>
  <r>
    <x v="46"/>
    <s v="conventional_default_current_cai_324"/>
    <x v="364"/>
    <n v="1.07"/>
    <n v="1"/>
    <n v="-40"/>
    <n v="940"/>
  </r>
  <r>
    <x v="46"/>
    <s v="conventional_default_current_cai_325"/>
    <x v="365"/>
    <n v="1.07"/>
    <n v="1"/>
    <n v="-40"/>
    <n v="940"/>
  </r>
  <r>
    <x v="46"/>
    <s v="conventional_default_current_cai_326"/>
    <x v="366"/>
    <n v="1.07"/>
    <n v="1"/>
    <n v="-40"/>
    <n v="940"/>
  </r>
  <r>
    <x v="46"/>
    <s v="conventional_default_current_cai_327"/>
    <x v="367"/>
    <n v="1.07"/>
    <n v="1"/>
    <n v="-40"/>
    <n v="940"/>
  </r>
  <r>
    <x v="46"/>
    <s v="conventional_default_current_cai_328"/>
    <x v="368"/>
    <n v="1.07"/>
    <n v="1"/>
    <n v="-40"/>
    <n v="940"/>
  </r>
  <r>
    <x v="46"/>
    <s v="conventional_default_current_cai_329"/>
    <x v="369"/>
    <n v="1.07"/>
    <n v="1"/>
    <n v="-40"/>
    <n v="940"/>
  </r>
  <r>
    <x v="46"/>
    <s v="conventional_default_current_cai_330"/>
    <x v="370"/>
    <n v="1.07"/>
    <n v="1"/>
    <n v="-40"/>
    <n v="940"/>
  </r>
  <r>
    <x v="46"/>
    <s v="conventional_default_current_cai_331"/>
    <x v="371"/>
    <n v="1.07"/>
    <n v="1"/>
    <n v="-40"/>
    <n v="940"/>
  </r>
  <r>
    <x v="46"/>
    <s v="conventional_default_current_cai_332"/>
    <x v="372"/>
    <n v="1.07"/>
    <n v="1"/>
    <n v="-40"/>
    <n v="940"/>
  </r>
  <r>
    <x v="46"/>
    <s v="conventional_default_current_cai_333"/>
    <x v="373"/>
    <n v="1.07"/>
    <n v="1"/>
    <n v="-40"/>
    <n v="940"/>
  </r>
  <r>
    <x v="46"/>
    <s v="conventional_default_current_cai_334"/>
    <x v="374"/>
    <n v="1.07"/>
    <n v="1"/>
    <n v="-40"/>
    <n v="940"/>
  </r>
  <r>
    <x v="46"/>
    <s v="conventional_default_current_cai_335"/>
    <x v="375"/>
    <n v="1.07"/>
    <n v="1"/>
    <n v="-40"/>
    <n v="940"/>
  </r>
  <r>
    <x v="46"/>
    <s v="conventional_default_current_cai_336"/>
    <x v="376"/>
    <n v="1.07"/>
    <n v="1"/>
    <n v="-40"/>
    <n v="940"/>
  </r>
  <r>
    <x v="46"/>
    <s v="conventional_default_current_cai_337"/>
    <x v="377"/>
    <n v="1.07"/>
    <n v="1"/>
    <n v="-40"/>
    <n v="940"/>
  </r>
  <r>
    <x v="46"/>
    <s v="conventional_default_current_cai_338"/>
    <x v="378"/>
    <n v="1.07"/>
    <n v="1"/>
    <n v="-40"/>
    <n v="940"/>
  </r>
  <r>
    <x v="46"/>
    <s v="conventional_default_current_cai_339"/>
    <x v="379"/>
    <n v="1.07"/>
    <n v="1"/>
    <n v="-40"/>
    <n v="940"/>
  </r>
  <r>
    <x v="46"/>
    <s v="conventional_default_current_cai_340"/>
    <x v="380"/>
    <n v="1.07"/>
    <n v="1"/>
    <n v="-40"/>
    <n v="940"/>
  </r>
  <r>
    <x v="46"/>
    <s v="conventional_default_current_cai_341"/>
    <x v="381"/>
    <n v="1.07"/>
    <n v="1"/>
    <n v="-40"/>
    <n v="940"/>
  </r>
  <r>
    <x v="46"/>
    <s v="conventional_default_current_cai_342"/>
    <x v="382"/>
    <n v="1.07"/>
    <n v="1"/>
    <n v="-40"/>
    <n v="940"/>
  </r>
  <r>
    <x v="46"/>
    <s v="conventional_default_current_cai_343"/>
    <x v="383"/>
    <n v="1.07"/>
    <n v="1"/>
    <n v="-40"/>
    <n v="940"/>
  </r>
  <r>
    <x v="46"/>
    <s v="conventional_default_current_cai_344"/>
    <x v="384"/>
    <n v="1.07"/>
    <n v="1"/>
    <n v="-40"/>
    <n v="940"/>
  </r>
  <r>
    <x v="46"/>
    <s v="conventional_default_current_cai_345"/>
    <x v="385"/>
    <n v="1.07"/>
    <n v="1"/>
    <n v="-40"/>
    <n v="940"/>
  </r>
  <r>
    <x v="46"/>
    <s v="conventional_default_current_cai_346"/>
    <x v="386"/>
    <n v="1.07"/>
    <n v="1"/>
    <n v="-40"/>
    <n v="940"/>
  </r>
  <r>
    <x v="46"/>
    <s v="conventional_default_current_cai_347"/>
    <x v="387"/>
    <n v="1.07"/>
    <n v="1"/>
    <n v="-40"/>
    <n v="940"/>
  </r>
  <r>
    <x v="46"/>
    <s v="conventional_default_current_cai_348"/>
    <x v="388"/>
    <n v="1.07"/>
    <n v="1"/>
    <n v="-40"/>
    <n v="940"/>
  </r>
  <r>
    <x v="46"/>
    <s v="conventional_default_current_cai_349"/>
    <x v="389"/>
    <n v="1.07"/>
    <n v="1"/>
    <n v="-40"/>
    <n v="940"/>
  </r>
  <r>
    <x v="46"/>
    <s v="conventional_default_current_cai_350"/>
    <x v="390"/>
    <n v="1.07"/>
    <n v="1"/>
    <n v="-40"/>
    <n v="940"/>
  </r>
  <r>
    <x v="46"/>
    <s v="conventional_default_current_cai_351"/>
    <x v="391"/>
    <n v="1.07"/>
    <n v="1"/>
    <n v="-40"/>
    <n v="940"/>
  </r>
  <r>
    <x v="46"/>
    <s v="conventional_default_current_cai_352"/>
    <x v="392"/>
    <n v="1.07"/>
    <n v="1"/>
    <n v="-40"/>
    <n v="940"/>
  </r>
  <r>
    <x v="46"/>
    <s v="conventional_default_current_cai_353"/>
    <x v="393"/>
    <n v="1.07"/>
    <n v="1"/>
    <n v="-40"/>
    <n v="940"/>
  </r>
  <r>
    <x v="46"/>
    <s v="conventional_default_current_cai_354"/>
    <x v="394"/>
    <n v="1.07"/>
    <n v="1"/>
    <n v="-40"/>
    <n v="940"/>
  </r>
  <r>
    <x v="46"/>
    <s v="conventional_default_current_cai_355"/>
    <x v="395"/>
    <n v="1.07"/>
    <n v="1"/>
    <n v="-40"/>
    <n v="940"/>
  </r>
  <r>
    <x v="46"/>
    <s v="conventional_default_current_cai_356"/>
    <x v="396"/>
    <n v="1.07"/>
    <n v="1"/>
    <n v="-40"/>
    <n v="940"/>
  </r>
  <r>
    <x v="46"/>
    <s v="conventional_default_current_cai_357"/>
    <x v="397"/>
    <n v="1.07"/>
    <n v="1"/>
    <n v="-40"/>
    <n v="940"/>
  </r>
  <r>
    <x v="46"/>
    <s v="conventional_default_current_cai_358"/>
    <x v="398"/>
    <n v="1.07"/>
    <n v="1"/>
    <n v="-40"/>
    <n v="940"/>
  </r>
  <r>
    <x v="46"/>
    <s v="conventional_default_current_cai_359"/>
    <x v="399"/>
    <n v="1.07"/>
    <n v="1"/>
    <n v="-40"/>
    <n v="940"/>
  </r>
  <r>
    <x v="46"/>
    <s v="conventional_default_current_cai_360"/>
    <x v="400"/>
    <n v="1.07"/>
    <n v="1"/>
    <n v="-40"/>
    <n v="940"/>
  </r>
  <r>
    <x v="46"/>
    <s v="conventional_default_current_cai_361"/>
    <x v="401"/>
    <n v="1.07"/>
    <n v="1"/>
    <n v="-40"/>
    <n v="940"/>
  </r>
  <r>
    <x v="46"/>
    <s v="conventional_default_current_cai_362"/>
    <x v="402"/>
    <n v="1.07"/>
    <n v="1"/>
    <n v="-40"/>
    <n v="940"/>
  </r>
  <r>
    <x v="46"/>
    <s v="conventional_default_current_cai_363"/>
    <x v="403"/>
    <n v="1.07"/>
    <n v="1"/>
    <n v="-40"/>
    <n v="940"/>
  </r>
  <r>
    <x v="46"/>
    <s v="conventional_default_current_cai_364"/>
    <x v="404"/>
    <n v="1.07"/>
    <n v="1"/>
    <n v="-40"/>
    <n v="940"/>
  </r>
  <r>
    <x v="46"/>
    <s v="conventional_default_current_cai_365"/>
    <x v="405"/>
    <n v="1.07"/>
    <n v="1"/>
    <n v="-40"/>
    <n v="940"/>
  </r>
  <r>
    <x v="46"/>
    <s v="conventional_default_current_cai_366"/>
    <x v="406"/>
    <n v="1.07"/>
    <n v="1"/>
    <n v="-40"/>
    <n v="940"/>
  </r>
  <r>
    <x v="46"/>
    <s v="conventional_default_current_cai_367"/>
    <x v="407"/>
    <n v="1.07"/>
    <n v="1"/>
    <n v="-40"/>
    <n v="940"/>
  </r>
  <r>
    <x v="46"/>
    <s v="conventional_default_current_cai_368"/>
    <x v="408"/>
    <n v="1.07"/>
    <n v="1"/>
    <n v="-40"/>
    <n v="940"/>
  </r>
  <r>
    <x v="46"/>
    <s v="conventional_default_current_cai_369"/>
    <x v="409"/>
    <n v="1.07"/>
    <n v="1"/>
    <n v="-40"/>
    <n v="940"/>
  </r>
  <r>
    <x v="46"/>
    <s v="conventional_default_current_cai_370"/>
    <x v="410"/>
    <n v="1.07"/>
    <n v="1"/>
    <n v="-40"/>
    <n v="940"/>
  </r>
  <r>
    <x v="46"/>
    <s v="conventional_default_current_cai_371"/>
    <x v="411"/>
    <n v="1.07"/>
    <n v="1"/>
    <n v="-40"/>
    <n v="940"/>
  </r>
  <r>
    <x v="46"/>
    <s v="conventional_default_current_cai_372"/>
    <x v="412"/>
    <n v="1.07"/>
    <n v="1"/>
    <n v="-40"/>
    <n v="940"/>
  </r>
  <r>
    <x v="46"/>
    <s v="conventional_default_current_cai_373"/>
    <x v="413"/>
    <n v="1.07"/>
    <n v="1"/>
    <n v="-40"/>
    <n v="940"/>
  </r>
  <r>
    <x v="46"/>
    <s v="conventional_default_current_cai_374"/>
    <x v="414"/>
    <n v="1.07"/>
    <n v="1"/>
    <n v="-40"/>
    <n v="940"/>
  </r>
  <r>
    <x v="46"/>
    <s v="conventional_default_current_cai_375"/>
    <x v="415"/>
    <n v="1.07"/>
    <n v="1"/>
    <n v="-40"/>
    <n v="940"/>
  </r>
  <r>
    <x v="46"/>
    <s v="conventional_default_current_cai_376"/>
    <x v="416"/>
    <n v="1.07"/>
    <n v="1"/>
    <n v="-40"/>
    <n v="940"/>
  </r>
  <r>
    <x v="46"/>
    <s v="conventional_default_current_cai_377"/>
    <x v="417"/>
    <n v="1.07"/>
    <n v="1"/>
    <n v="-40"/>
    <n v="940"/>
  </r>
  <r>
    <x v="46"/>
    <s v="conventional_default_current_cai_378"/>
    <x v="418"/>
    <n v="1.07"/>
    <n v="1"/>
    <n v="-40"/>
    <n v="940"/>
  </r>
  <r>
    <x v="46"/>
    <s v="conventional_default_current_cai_379"/>
    <x v="419"/>
    <n v="1.07"/>
    <n v="1"/>
    <n v="-40"/>
    <n v="940"/>
  </r>
  <r>
    <x v="46"/>
    <s v="conventional_default_current_cai_380"/>
    <x v="420"/>
    <n v="1.07"/>
    <n v="1"/>
    <n v="-40"/>
    <n v="940"/>
  </r>
  <r>
    <x v="46"/>
    <s v="conventional_default_current_cai_381"/>
    <x v="421"/>
    <n v="1.07"/>
    <n v="1"/>
    <n v="-40"/>
    <n v="940"/>
  </r>
  <r>
    <x v="46"/>
    <s v="conventional_default_current_cai_382"/>
    <x v="422"/>
    <n v="1.07"/>
    <n v="1"/>
    <n v="-40"/>
    <n v="940"/>
  </r>
  <r>
    <x v="46"/>
    <s v="conventional_default_current_cai_383"/>
    <x v="423"/>
    <n v="1.07"/>
    <n v="1"/>
    <n v="-40"/>
    <n v="940"/>
  </r>
  <r>
    <x v="46"/>
    <s v="conventional_default_current_cai_384"/>
    <x v="424"/>
    <n v="1.07"/>
    <n v="1"/>
    <n v="-40"/>
    <n v="940"/>
  </r>
  <r>
    <x v="46"/>
    <s v="conventional_default_current_cai_385"/>
    <x v="425"/>
    <n v="1.07"/>
    <n v="1"/>
    <n v="-40"/>
    <n v="940"/>
  </r>
  <r>
    <x v="46"/>
    <s v="conventional_default_current_cai_386"/>
    <x v="426"/>
    <n v="1.07"/>
    <n v="1"/>
    <n v="-40"/>
    <n v="940"/>
  </r>
  <r>
    <x v="46"/>
    <s v="conventional_default_current_cai_387"/>
    <x v="427"/>
    <n v="1.07"/>
    <n v="1"/>
    <n v="-40"/>
    <n v="940"/>
  </r>
  <r>
    <x v="46"/>
    <s v="conventional_default_current_cai_388"/>
    <x v="428"/>
    <n v="1.07"/>
    <n v="1"/>
    <n v="-40"/>
    <n v="940"/>
  </r>
  <r>
    <x v="46"/>
    <s v="conventional_default_current_cai_389"/>
    <x v="429"/>
    <n v="1.07"/>
    <n v="1"/>
    <n v="-40"/>
    <n v="940"/>
  </r>
  <r>
    <x v="46"/>
    <s v="conventional_default_current_cai_390"/>
    <x v="430"/>
    <n v="1.07"/>
    <n v="1"/>
    <n v="-40"/>
    <n v="940"/>
  </r>
  <r>
    <x v="46"/>
    <s v="conventional_default_current_cai_391"/>
    <x v="431"/>
    <n v="1.07"/>
    <n v="1"/>
    <n v="-40"/>
    <n v="940"/>
  </r>
  <r>
    <x v="46"/>
    <s v="conventional_default_current_cai_392"/>
    <x v="432"/>
    <n v="1.07"/>
    <n v="1"/>
    <n v="-40"/>
    <n v="940"/>
  </r>
  <r>
    <x v="46"/>
    <s v="conventional_default_current_cai_393"/>
    <x v="433"/>
    <n v="1.07"/>
    <n v="1"/>
    <n v="-40"/>
    <n v="940"/>
  </r>
  <r>
    <x v="46"/>
    <s v="conventional_default_current_cai_394"/>
    <x v="434"/>
    <n v="1.07"/>
    <n v="1"/>
    <n v="-40"/>
    <n v="940"/>
  </r>
  <r>
    <x v="46"/>
    <s v="conventional_default_current_cai_395"/>
    <x v="435"/>
    <n v="1.07"/>
    <n v="1"/>
    <n v="-40"/>
    <n v="940"/>
  </r>
  <r>
    <x v="46"/>
    <s v="conventional_default_current_cai_396"/>
    <x v="436"/>
    <n v="1.07"/>
    <n v="1"/>
    <n v="-40"/>
    <n v="940"/>
  </r>
  <r>
    <x v="46"/>
    <s v="conventional_default_current_cai_397"/>
    <x v="437"/>
    <n v="1.07"/>
    <n v="1"/>
    <n v="-40"/>
    <n v="940"/>
  </r>
  <r>
    <x v="46"/>
    <s v="conventional_default_current_cai_398"/>
    <x v="438"/>
    <n v="1.07"/>
    <n v="1"/>
    <n v="-40"/>
    <n v="940"/>
  </r>
  <r>
    <x v="46"/>
    <s v="conventional_default_current_cai_399"/>
    <x v="439"/>
    <n v="1.07"/>
    <n v="1"/>
    <n v="-40"/>
    <n v="940"/>
  </r>
  <r>
    <x v="46"/>
    <s v="conventional_default_current_cai_400"/>
    <x v="440"/>
    <n v="1.07"/>
    <n v="1"/>
    <n v="-40"/>
    <n v="940"/>
  </r>
  <r>
    <x v="46"/>
    <s v="conventional_default_current_cai_401"/>
    <x v="441"/>
    <n v="1.07"/>
    <n v="1"/>
    <n v="-40"/>
    <n v="940"/>
  </r>
  <r>
    <x v="46"/>
    <s v="conventional_default_current_cai_402"/>
    <x v="442"/>
    <n v="1.07"/>
    <n v="1"/>
    <n v="-40"/>
    <n v="940"/>
  </r>
  <r>
    <x v="46"/>
    <s v="conventional_default_current_cai_403"/>
    <x v="443"/>
    <n v="1.07"/>
    <n v="1"/>
    <n v="-40"/>
    <n v="940"/>
  </r>
  <r>
    <x v="46"/>
    <s v="conventional_default_current_cai_404"/>
    <x v="444"/>
    <n v="1.07"/>
    <n v="1"/>
    <n v="-40"/>
    <n v="940"/>
  </r>
  <r>
    <x v="46"/>
    <s v="conventional_default_current_cai_405"/>
    <x v="445"/>
    <n v="1.07"/>
    <n v="1"/>
    <n v="-40"/>
    <n v="940"/>
  </r>
  <r>
    <x v="46"/>
    <s v="conventional_default_current_cai_406"/>
    <x v="446"/>
    <n v="1.07"/>
    <n v="1"/>
    <n v="-40"/>
    <n v="940"/>
  </r>
  <r>
    <x v="46"/>
    <s v="conventional_default_current_cai_407"/>
    <x v="447"/>
    <n v="1.07"/>
    <n v="1"/>
    <n v="-40"/>
    <n v="940"/>
  </r>
  <r>
    <x v="46"/>
    <s v="conventional_default_current_cai_408"/>
    <x v="448"/>
    <n v="1.07"/>
    <n v="1"/>
    <n v="-40"/>
    <n v="940"/>
  </r>
  <r>
    <x v="46"/>
    <s v="conventional_default_current_cai_409"/>
    <x v="449"/>
    <n v="1.07"/>
    <n v="1"/>
    <n v="-40"/>
    <n v="940"/>
  </r>
  <r>
    <x v="46"/>
    <s v="conventional_default_current_cai_410"/>
    <x v="450"/>
    <n v="1.07"/>
    <n v="1"/>
    <n v="-40"/>
    <n v="940"/>
  </r>
  <r>
    <x v="46"/>
    <s v="conventional_default_current_cai_411"/>
    <x v="451"/>
    <n v="1.07"/>
    <n v="1"/>
    <n v="-40"/>
    <n v="940"/>
  </r>
  <r>
    <x v="46"/>
    <s v="conventional_default_current_cai_412"/>
    <x v="452"/>
    <n v="1.07"/>
    <n v="1"/>
    <n v="-40"/>
    <n v="940"/>
  </r>
  <r>
    <x v="46"/>
    <s v="conventional_default_current_cai_413"/>
    <x v="453"/>
    <n v="1.07"/>
    <n v="1"/>
    <n v="-40"/>
    <n v="940"/>
  </r>
  <r>
    <x v="46"/>
    <s v="conventional_default_current_cai_414"/>
    <x v="454"/>
    <n v="1.07"/>
    <n v="1"/>
    <n v="-40"/>
    <n v="940"/>
  </r>
  <r>
    <x v="46"/>
    <s v="conventional_default_current_cai_415"/>
    <x v="455"/>
    <n v="1.07"/>
    <n v="1"/>
    <n v="-40"/>
    <n v="940"/>
  </r>
  <r>
    <x v="46"/>
    <s v="conventional_default_current_cai_416"/>
    <x v="456"/>
    <n v="1.07"/>
    <n v="1"/>
    <n v="-40"/>
    <n v="940"/>
  </r>
  <r>
    <x v="46"/>
    <s v="conventional_default_current_cai_417"/>
    <x v="457"/>
    <n v="1.07"/>
    <n v="1"/>
    <n v="-40"/>
    <n v="940"/>
  </r>
  <r>
    <x v="46"/>
    <s v="conventional_default_current_cai_418"/>
    <x v="458"/>
    <n v="1.07"/>
    <n v="1"/>
    <n v="-40"/>
    <n v="940"/>
  </r>
  <r>
    <x v="46"/>
    <s v="conventional_default_current_cai_419"/>
    <x v="459"/>
    <n v="1.07"/>
    <n v="1"/>
    <n v="-40"/>
    <n v="940"/>
  </r>
  <r>
    <x v="46"/>
    <s v="conventional_default_current_cai_420"/>
    <x v="460"/>
    <n v="1.07"/>
    <n v="1"/>
    <n v="-40"/>
    <n v="940"/>
  </r>
  <r>
    <x v="46"/>
    <s v="conventional_default_current_cai_421"/>
    <x v="461"/>
    <n v="1.07"/>
    <n v="1"/>
    <n v="-40"/>
    <n v="940"/>
  </r>
  <r>
    <x v="46"/>
    <s v="conventional_default_current_cai_422"/>
    <x v="462"/>
    <n v="1.07"/>
    <n v="1"/>
    <n v="-40"/>
    <n v="940"/>
  </r>
  <r>
    <x v="46"/>
    <s v="conventional_default_current_cai_423"/>
    <x v="463"/>
    <n v="1.07"/>
    <n v="1"/>
    <n v="-40"/>
    <n v="940"/>
  </r>
  <r>
    <x v="46"/>
    <s v="conventional_default_current_cai_424"/>
    <x v="464"/>
    <n v="1.07"/>
    <n v="1"/>
    <n v="-40"/>
    <n v="940"/>
  </r>
  <r>
    <x v="46"/>
    <s v="conventional_default_current_cai_425"/>
    <x v="465"/>
    <n v="1.07"/>
    <n v="1"/>
    <n v="-40"/>
    <n v="940"/>
  </r>
  <r>
    <x v="46"/>
    <s v="conventional_default_current_cai_426"/>
    <x v="466"/>
    <n v="1.07"/>
    <n v="1"/>
    <n v="-40"/>
    <n v="940"/>
  </r>
  <r>
    <x v="46"/>
    <s v="conventional_default_current_cai_427"/>
    <x v="467"/>
    <n v="1.07"/>
    <n v="1"/>
    <n v="-40"/>
    <n v="940"/>
  </r>
  <r>
    <x v="46"/>
    <s v="conventional_default_current_cai_428"/>
    <x v="468"/>
    <n v="1.07"/>
    <n v="1"/>
    <n v="-40"/>
    <n v="940"/>
  </r>
  <r>
    <x v="46"/>
    <s v="conventional_default_current_cai_429"/>
    <x v="469"/>
    <n v="1.07"/>
    <n v="1"/>
    <n v="-40"/>
    <n v="940"/>
  </r>
  <r>
    <x v="46"/>
    <s v="conventional_default_current_cai_430"/>
    <x v="470"/>
    <n v="1.07"/>
    <n v="1"/>
    <n v="-40"/>
    <n v="940"/>
  </r>
  <r>
    <x v="46"/>
    <s v="conventional_default_current_cai_431"/>
    <x v="471"/>
    <n v="1.07"/>
    <n v="1"/>
    <n v="-40"/>
    <n v="940"/>
  </r>
  <r>
    <x v="46"/>
    <s v="conventional_default_current_cai_432"/>
    <x v="472"/>
    <n v="1.07"/>
    <n v="1"/>
    <n v="-40"/>
    <n v="940"/>
  </r>
  <r>
    <x v="46"/>
    <s v="conventional_default_current_cai_433"/>
    <x v="473"/>
    <n v="1.07"/>
    <n v="1"/>
    <n v="-40"/>
    <n v="940"/>
  </r>
  <r>
    <x v="46"/>
    <s v="conventional_default_current_cai_434"/>
    <x v="474"/>
    <n v="1.07"/>
    <n v="1"/>
    <n v="-40"/>
    <n v="940"/>
  </r>
  <r>
    <x v="46"/>
    <s v="conventional_default_current_cai_435"/>
    <x v="475"/>
    <n v="1.07"/>
    <n v="1"/>
    <n v="-40"/>
    <n v="940"/>
  </r>
  <r>
    <x v="46"/>
    <s v="conventional_default_current_cai_436"/>
    <x v="476"/>
    <n v="1.07"/>
    <n v="1"/>
    <n v="-40"/>
    <n v="940"/>
  </r>
  <r>
    <x v="46"/>
    <s v="conventional_default_current_cai_437"/>
    <x v="477"/>
    <n v="1.07"/>
    <n v="1"/>
    <n v="-40"/>
    <n v="940"/>
  </r>
  <r>
    <x v="46"/>
    <s v="conventional_default_current_cai_438"/>
    <x v="478"/>
    <n v="1.07"/>
    <n v="1"/>
    <n v="-40"/>
    <n v="940"/>
  </r>
  <r>
    <x v="46"/>
    <s v="conventional_default_current_cai_439"/>
    <x v="479"/>
    <n v="1.07"/>
    <n v="1"/>
    <n v="-40"/>
    <n v="940"/>
  </r>
  <r>
    <x v="46"/>
    <s v="conventional_default_current_cai_440"/>
    <x v="480"/>
    <n v="1.07"/>
    <n v="1"/>
    <n v="-40"/>
    <n v="940"/>
  </r>
  <r>
    <x v="46"/>
    <s v="conventional_default_current_cai_441"/>
    <x v="481"/>
    <n v="1.07"/>
    <n v="1"/>
    <n v="-40"/>
    <n v="940"/>
  </r>
  <r>
    <x v="46"/>
    <s v="conventional_default_current_cai_442"/>
    <x v="482"/>
    <n v="1.07"/>
    <n v="1"/>
    <n v="-40"/>
    <n v="940"/>
  </r>
  <r>
    <x v="46"/>
    <s v="conventional_default_current_cai_443"/>
    <x v="483"/>
    <n v="1.07"/>
    <n v="1"/>
    <n v="-40"/>
    <n v="940"/>
  </r>
  <r>
    <x v="46"/>
    <s v="conventional_default_current_cai_444"/>
    <x v="484"/>
    <n v="1.07"/>
    <n v="1"/>
    <n v="-40"/>
    <n v="940"/>
  </r>
  <r>
    <x v="46"/>
    <s v="conventional_default_current_cai_445"/>
    <x v="485"/>
    <n v="1.07"/>
    <n v="1"/>
    <n v="-40"/>
    <n v="940"/>
  </r>
  <r>
    <x v="46"/>
    <s v="conventional_default_current_cai_446"/>
    <x v="486"/>
    <n v="1.07"/>
    <n v="1"/>
    <n v="-40"/>
    <n v="940"/>
  </r>
  <r>
    <x v="46"/>
    <s v="conventional_default_current_cai_447"/>
    <x v="487"/>
    <n v="1.07"/>
    <n v="1"/>
    <n v="-40"/>
    <n v="940"/>
  </r>
  <r>
    <x v="46"/>
    <s v="conventional_default_current_cai_448"/>
    <x v="488"/>
    <n v="1.07"/>
    <n v="1"/>
    <n v="-40"/>
    <n v="940"/>
  </r>
  <r>
    <x v="46"/>
    <s v="conventional_default_current_cai_449"/>
    <x v="489"/>
    <n v="1.07"/>
    <n v="1"/>
    <n v="-40"/>
    <n v="940"/>
  </r>
  <r>
    <x v="46"/>
    <s v="conventional_default_current_cai_450"/>
    <x v="490"/>
    <n v="1.07"/>
    <n v="1"/>
    <n v="-40"/>
    <n v="940"/>
  </r>
  <r>
    <x v="46"/>
    <s v="conventional_default_current_cai_451"/>
    <x v="491"/>
    <n v="1.07"/>
    <n v="1"/>
    <n v="-40"/>
    <n v="940"/>
  </r>
  <r>
    <x v="46"/>
    <s v="conventional_default_current_cai_452"/>
    <x v="492"/>
    <n v="1.07"/>
    <n v="1"/>
    <n v="-40"/>
    <n v="940"/>
  </r>
  <r>
    <x v="46"/>
    <s v="conventional_default_current_cai_453"/>
    <x v="493"/>
    <n v="1.07"/>
    <n v="1"/>
    <n v="-40"/>
    <n v="940"/>
  </r>
  <r>
    <x v="46"/>
    <s v="conventional_default_current_cai_454"/>
    <x v="494"/>
    <n v="1.07"/>
    <n v="1"/>
    <n v="-40"/>
    <n v="940"/>
  </r>
  <r>
    <x v="46"/>
    <s v="conventional_default_current_cai_455"/>
    <x v="495"/>
    <n v="1.07"/>
    <n v="1"/>
    <n v="-40"/>
    <n v="940"/>
  </r>
  <r>
    <x v="46"/>
    <s v="conventional_default_current_cai_456"/>
    <x v="496"/>
    <n v="1.07"/>
    <n v="1"/>
    <n v="-40"/>
    <n v="940"/>
  </r>
  <r>
    <x v="46"/>
    <s v="conventional_default_current_cai_457"/>
    <x v="497"/>
    <n v="1.07"/>
    <n v="1"/>
    <n v="-40"/>
    <n v="940"/>
  </r>
  <r>
    <x v="46"/>
    <s v="conventional_default_current_cai_458"/>
    <x v="498"/>
    <n v="1.07"/>
    <n v="1"/>
    <n v="-40"/>
    <n v="940"/>
  </r>
  <r>
    <x v="46"/>
    <s v="conventional_default_current_cai_459"/>
    <x v="499"/>
    <n v="1.07"/>
    <n v="1"/>
    <n v="-40"/>
    <n v="940"/>
  </r>
  <r>
    <x v="46"/>
    <s v="conventional_default_current_cai_460"/>
    <x v="500"/>
    <n v="1.07"/>
    <n v="1"/>
    <n v="-40"/>
    <n v="940"/>
  </r>
  <r>
    <x v="46"/>
    <s v="conventional_default_current_cai_461"/>
    <x v="501"/>
    <n v="1.07"/>
    <n v="1"/>
    <n v="-40"/>
    <n v="940"/>
  </r>
  <r>
    <x v="46"/>
    <s v="conventional_default_current_cai_462"/>
    <x v="502"/>
    <n v="1.07"/>
    <n v="1"/>
    <n v="-40"/>
    <n v="940"/>
  </r>
  <r>
    <x v="46"/>
    <s v="conventional_default_current_cai_463"/>
    <x v="503"/>
    <n v="1.07"/>
    <n v="1"/>
    <n v="-40"/>
    <n v="940"/>
  </r>
  <r>
    <x v="46"/>
    <s v="conventional_default_current_cai_464"/>
    <x v="504"/>
    <n v="1.07"/>
    <n v="1"/>
    <n v="-40"/>
    <n v="940"/>
  </r>
  <r>
    <x v="46"/>
    <s v="conventional_default_current_cai_465"/>
    <x v="505"/>
    <n v="1.07"/>
    <n v="1"/>
    <n v="-40"/>
    <n v="940"/>
  </r>
  <r>
    <x v="46"/>
    <s v="conventional_default_current_cai_466"/>
    <x v="506"/>
    <n v="1.07"/>
    <n v="1"/>
    <n v="-40"/>
    <n v="940"/>
  </r>
  <r>
    <x v="46"/>
    <s v="conventional_default_current_cai_467"/>
    <x v="507"/>
    <n v="1.07"/>
    <n v="1"/>
    <n v="-40"/>
    <n v="940"/>
  </r>
  <r>
    <x v="46"/>
    <s v="conventional_default_current_cai_468"/>
    <x v="508"/>
    <n v="1.07"/>
    <n v="1"/>
    <n v="-40"/>
    <n v="940"/>
  </r>
  <r>
    <x v="46"/>
    <s v="conventional_default_current_cai_469"/>
    <x v="509"/>
    <n v="1.07"/>
    <n v="1"/>
    <n v="-40"/>
    <n v="940"/>
  </r>
  <r>
    <x v="46"/>
    <s v="conventional_default_current_cai_470"/>
    <x v="510"/>
    <n v="1.07"/>
    <n v="1"/>
    <n v="-40"/>
    <n v="940"/>
  </r>
  <r>
    <x v="46"/>
    <s v="conventional_default_current_cai_471"/>
    <x v="511"/>
    <n v="1.07"/>
    <n v="1"/>
    <n v="-40"/>
    <n v="940"/>
  </r>
  <r>
    <x v="46"/>
    <s v="conventional_default_current_cai_472"/>
    <x v="512"/>
    <n v="1.07"/>
    <n v="1"/>
    <n v="-40"/>
    <n v="940"/>
  </r>
  <r>
    <x v="46"/>
    <s v="conventional_default_current_cai_473"/>
    <x v="513"/>
    <n v="1.07"/>
    <n v="1"/>
    <n v="-40"/>
    <n v="940"/>
  </r>
  <r>
    <x v="46"/>
    <s v="conventional_default_current_cai_474"/>
    <x v="514"/>
    <n v="1.07"/>
    <n v="1"/>
    <n v="-40"/>
    <n v="940"/>
  </r>
  <r>
    <x v="46"/>
    <s v="conventional_default_current_cai_475"/>
    <x v="515"/>
    <n v="1.07"/>
    <n v="1"/>
    <n v="-40"/>
    <n v="940"/>
  </r>
  <r>
    <x v="46"/>
    <s v="conventional_default_current_cai_476"/>
    <x v="516"/>
    <n v="1.07"/>
    <n v="1"/>
    <n v="-40"/>
    <n v="940"/>
  </r>
  <r>
    <x v="46"/>
    <s v="conventional_default_current_cai_477"/>
    <x v="517"/>
    <n v="1.07"/>
    <n v="1"/>
    <n v="-40"/>
    <n v="940"/>
  </r>
  <r>
    <x v="46"/>
    <s v="conventional_default_current_cai_478"/>
    <x v="518"/>
    <n v="1.07"/>
    <n v="1"/>
    <n v="-40"/>
    <n v="940"/>
  </r>
  <r>
    <x v="46"/>
    <s v="conventional_default_current_cai_479"/>
    <x v="519"/>
    <n v="1.07"/>
    <n v="1"/>
    <n v="-40"/>
    <n v="940"/>
  </r>
  <r>
    <x v="46"/>
    <s v="conventional_default_current_cai_480"/>
    <x v="520"/>
    <n v="1.07"/>
    <n v="1"/>
    <n v="-40"/>
    <n v="940"/>
  </r>
  <r>
    <x v="46"/>
    <s v="conventional_default_current_cai_481"/>
    <x v="521"/>
    <n v="1.07"/>
    <n v="1"/>
    <n v="-40"/>
    <n v="940"/>
  </r>
  <r>
    <x v="46"/>
    <s v="conventional_default_current_cai_482"/>
    <x v="522"/>
    <n v="1.07"/>
    <n v="1"/>
    <n v="-40"/>
    <n v="940"/>
  </r>
  <r>
    <x v="46"/>
    <s v="conventional_default_current_cai_483"/>
    <x v="523"/>
    <n v="1.07"/>
    <n v="1"/>
    <n v="-40"/>
    <n v="940"/>
  </r>
  <r>
    <x v="46"/>
    <s v="conventional_default_current_cai_484"/>
    <x v="524"/>
    <n v="1.07"/>
    <n v="1"/>
    <n v="-40"/>
    <n v="940"/>
  </r>
  <r>
    <x v="46"/>
    <s v="conventional_default_current_cai_485"/>
    <x v="525"/>
    <n v="1.07"/>
    <n v="1"/>
    <n v="-40"/>
    <n v="940"/>
  </r>
  <r>
    <x v="46"/>
    <s v="conventional_default_current_cai_486"/>
    <x v="526"/>
    <n v="1.07"/>
    <n v="1"/>
    <n v="-40"/>
    <n v="940"/>
  </r>
  <r>
    <x v="46"/>
    <s v="conventional_default_current_cai_487"/>
    <x v="527"/>
    <n v="1.07"/>
    <n v="1"/>
    <n v="-40"/>
    <n v="940"/>
  </r>
  <r>
    <x v="46"/>
    <s v="conventional_default_current_cai_488"/>
    <x v="528"/>
    <n v="1.07"/>
    <n v="1"/>
    <n v="-40"/>
    <n v="940"/>
  </r>
  <r>
    <x v="46"/>
    <s v="conventional_default_current_cai_489"/>
    <x v="529"/>
    <n v="1.07"/>
    <n v="1"/>
    <n v="-40"/>
    <n v="940"/>
  </r>
  <r>
    <x v="46"/>
    <s v="conventional_default_current_cai_490"/>
    <x v="530"/>
    <n v="1.07"/>
    <n v="1"/>
    <n v="-40"/>
    <n v="940"/>
  </r>
  <r>
    <x v="46"/>
    <s v="conventional_default_current_cai_491"/>
    <x v="531"/>
    <n v="1.07"/>
    <n v="1"/>
    <n v="-40"/>
    <n v="940"/>
  </r>
  <r>
    <x v="46"/>
    <s v="conventional_default_current_cai_492"/>
    <x v="532"/>
    <n v="1.07"/>
    <n v="1"/>
    <n v="-40"/>
    <n v="940"/>
  </r>
  <r>
    <x v="46"/>
    <s v="conventional_default_current_cai_493"/>
    <x v="533"/>
    <n v="1.07"/>
    <n v="1"/>
    <n v="-40"/>
    <n v="940"/>
  </r>
  <r>
    <x v="46"/>
    <s v="conventional_default_current_cai_494"/>
    <x v="534"/>
    <n v="1.07"/>
    <n v="1"/>
    <n v="-40"/>
    <n v="940"/>
  </r>
  <r>
    <x v="46"/>
    <s v="conventional_default_current_cai_495"/>
    <x v="535"/>
    <n v="1.07"/>
    <n v="1"/>
    <n v="-40"/>
    <n v="940"/>
  </r>
  <r>
    <x v="46"/>
    <s v="conventional_default_current_cai_496"/>
    <x v="536"/>
    <n v="1.07"/>
    <n v="1"/>
    <n v="-40"/>
    <n v="940"/>
  </r>
  <r>
    <x v="46"/>
    <s v="conventional_default_current_cai_497"/>
    <x v="537"/>
    <n v="1.07"/>
    <n v="1"/>
    <n v="-40"/>
    <n v="940"/>
  </r>
  <r>
    <x v="46"/>
    <s v="conventional_default_current_cai_498"/>
    <x v="538"/>
    <n v="1.07"/>
    <n v="1"/>
    <n v="-40"/>
    <n v="940"/>
  </r>
  <r>
    <x v="46"/>
    <s v="conventional_default_current_cai_499"/>
    <x v="539"/>
    <n v="1.07"/>
    <n v="1"/>
    <n v="-40"/>
    <n v="940"/>
  </r>
  <r>
    <x v="46"/>
    <s v="conventional_default_current_cai_500"/>
    <x v="540"/>
    <n v="1.07"/>
    <n v="1"/>
    <n v="-40"/>
    <n v="940"/>
  </r>
  <r>
    <x v="46"/>
    <s v="conventional_default_current_cai_501"/>
    <x v="541"/>
    <n v="1.07"/>
    <n v="1"/>
    <n v="-40"/>
    <n v="940"/>
  </r>
  <r>
    <x v="46"/>
    <s v="conventional_default_current_cai_502"/>
    <x v="542"/>
    <n v="1.07"/>
    <n v="1"/>
    <n v="-40"/>
    <n v="940"/>
  </r>
  <r>
    <x v="46"/>
    <s v="conventional_default_current_cai_503"/>
    <x v="543"/>
    <n v="1.07"/>
    <n v="1"/>
    <n v="-40"/>
    <n v="940"/>
  </r>
  <r>
    <x v="46"/>
    <s v="conventional_default_current_cai_504"/>
    <x v="544"/>
    <n v="1.07"/>
    <n v="1"/>
    <n v="-40"/>
    <n v="940"/>
  </r>
  <r>
    <x v="46"/>
    <s v="conventional_default_current_cai_505"/>
    <x v="545"/>
    <n v="1.07"/>
    <n v="1"/>
    <n v="-40"/>
    <n v="940"/>
  </r>
  <r>
    <x v="46"/>
    <s v="conventional_default_current_cai_506"/>
    <x v="546"/>
    <n v="1.07"/>
    <n v="1"/>
    <n v="-40"/>
    <n v="940"/>
  </r>
  <r>
    <x v="46"/>
    <s v="conventional_default_current_cai_507"/>
    <x v="547"/>
    <n v="1.07"/>
    <n v="1"/>
    <n v="-40"/>
    <n v="940"/>
  </r>
  <r>
    <x v="46"/>
    <s v="conventional_default_current_cai_508"/>
    <x v="548"/>
    <n v="1.07"/>
    <n v="1"/>
    <n v="-40"/>
    <n v="940"/>
  </r>
  <r>
    <x v="46"/>
    <s v="conventional_default_current_cai_509"/>
    <x v="549"/>
    <n v="1.07"/>
    <n v="1"/>
    <n v="-40"/>
    <n v="940"/>
  </r>
  <r>
    <x v="46"/>
    <s v="conventional_default_current_cai_510"/>
    <x v="550"/>
    <n v="1.07"/>
    <n v="1"/>
    <n v="-40"/>
    <n v="940"/>
  </r>
  <r>
    <x v="46"/>
    <s v="conventional_default_current_cai_511"/>
    <x v="551"/>
    <n v="1.07"/>
    <n v="1"/>
    <n v="-40"/>
    <n v="940"/>
  </r>
  <r>
    <x v="46"/>
    <s v="conventional_default_current_cai_512"/>
    <x v="552"/>
    <n v="1.07"/>
    <n v="1"/>
    <n v="-40"/>
    <n v="940"/>
  </r>
  <r>
    <x v="46"/>
    <s v="conventional_default_current_cai_513"/>
    <x v="553"/>
    <n v="1.07"/>
    <n v="1"/>
    <n v="-40"/>
    <n v="940"/>
  </r>
  <r>
    <x v="46"/>
    <s v="conventional_default_current_cai_514"/>
    <x v="554"/>
    <n v="1.07"/>
    <n v="1"/>
    <n v="-40"/>
    <n v="940"/>
  </r>
  <r>
    <x v="46"/>
    <s v="conventional_default_current_cai_515"/>
    <x v="555"/>
    <n v="1.07"/>
    <n v="1"/>
    <n v="-40"/>
    <n v="940"/>
  </r>
  <r>
    <x v="46"/>
    <s v="conventional_default_current_cai_516"/>
    <x v="556"/>
    <n v="1.07"/>
    <n v="1"/>
    <n v="-40"/>
    <n v="940"/>
  </r>
  <r>
    <x v="46"/>
    <s v="conventional_default_current_cai_517"/>
    <x v="557"/>
    <n v="1.07"/>
    <n v="1"/>
    <n v="-40"/>
    <n v="940"/>
  </r>
  <r>
    <x v="46"/>
    <s v="conventional_default_current_cai_518"/>
    <x v="558"/>
    <n v="1.07"/>
    <n v="1"/>
    <n v="-40"/>
    <n v="940"/>
  </r>
  <r>
    <x v="46"/>
    <s v="conventional_default_current_cai_519"/>
    <x v="559"/>
    <n v="1.07"/>
    <n v="1"/>
    <n v="-40"/>
    <n v="940"/>
  </r>
  <r>
    <x v="46"/>
    <s v="conventional_default_current_cai_520"/>
    <x v="560"/>
    <n v="1.07"/>
    <n v="1"/>
    <n v="-40"/>
    <n v="940"/>
  </r>
  <r>
    <x v="46"/>
    <s v="conventional_default_current_cai_521"/>
    <x v="561"/>
    <n v="1.07"/>
    <n v="1"/>
    <n v="-40"/>
    <n v="940"/>
  </r>
  <r>
    <x v="46"/>
    <s v="conventional_default_current_cai_522"/>
    <x v="562"/>
    <n v="1.07"/>
    <n v="1"/>
    <n v="-40"/>
    <n v="940"/>
  </r>
  <r>
    <x v="46"/>
    <s v="conventional_default_current_cai_523"/>
    <x v="563"/>
    <n v="1.07"/>
    <n v="1"/>
    <n v="-40"/>
    <n v="940"/>
  </r>
  <r>
    <x v="46"/>
    <s v="conventional_default_current_cai_524"/>
    <x v="564"/>
    <n v="1.07"/>
    <n v="1"/>
    <n v="-40"/>
    <n v="940"/>
  </r>
  <r>
    <x v="46"/>
    <s v="conventional_default_current_cai_525"/>
    <x v="565"/>
    <n v="1.07"/>
    <n v="1"/>
    <n v="-40"/>
    <n v="940"/>
  </r>
  <r>
    <x v="46"/>
    <s v="conventional_default_current_cai_526"/>
    <x v="566"/>
    <n v="1.07"/>
    <n v="1"/>
    <n v="-40"/>
    <n v="940"/>
  </r>
  <r>
    <x v="46"/>
    <s v="conventional_default_current_cai_527"/>
    <x v="567"/>
    <n v="1.07"/>
    <n v="1"/>
    <n v="-40"/>
    <n v="940"/>
  </r>
  <r>
    <x v="46"/>
    <s v="conventional_default_current_cai_528"/>
    <x v="568"/>
    <n v="1.07"/>
    <n v="1"/>
    <n v="-40"/>
    <n v="940"/>
  </r>
  <r>
    <x v="46"/>
    <s v="conventional_default_current_cai_529"/>
    <x v="569"/>
    <n v="1.07"/>
    <n v="1"/>
    <n v="-40"/>
    <n v="940"/>
  </r>
  <r>
    <x v="46"/>
    <s v="conventional_default_current_cai_530"/>
    <x v="570"/>
    <n v="1.07"/>
    <n v="1"/>
    <n v="-40"/>
    <n v="940"/>
  </r>
  <r>
    <x v="46"/>
    <s v="conventional_default_current_cai_531"/>
    <x v="571"/>
    <n v="1.07"/>
    <n v="1"/>
    <n v="-40"/>
    <n v="940"/>
  </r>
  <r>
    <x v="46"/>
    <s v="conventional_default_current_cai_532"/>
    <x v="572"/>
    <n v="1.07"/>
    <n v="1"/>
    <n v="-40"/>
    <n v="940"/>
  </r>
  <r>
    <x v="46"/>
    <s v="conventional_default_current_cai_533"/>
    <x v="573"/>
    <n v="1.07"/>
    <n v="1"/>
    <n v="-40"/>
    <n v="940"/>
  </r>
  <r>
    <x v="46"/>
    <s v="conventional_default_current_cai_534"/>
    <x v="574"/>
    <n v="1.07"/>
    <n v="1"/>
    <n v="-40"/>
    <n v="940"/>
  </r>
  <r>
    <x v="46"/>
    <s v="conventional_default_current_cai_535"/>
    <x v="575"/>
    <n v="1.07"/>
    <n v="1"/>
    <n v="-40"/>
    <n v="940"/>
  </r>
  <r>
    <x v="46"/>
    <s v="conventional_default_current_cai_536"/>
    <x v="576"/>
    <n v="1.07"/>
    <n v="1"/>
    <n v="-40"/>
    <n v="940"/>
  </r>
  <r>
    <x v="46"/>
    <s v="conventional_default_current_cai_537"/>
    <x v="577"/>
    <n v="1.07"/>
    <n v="1"/>
    <n v="-40"/>
    <n v="940"/>
  </r>
  <r>
    <x v="46"/>
    <s v="conventional_default_current_cai_538"/>
    <x v="578"/>
    <n v="1.07"/>
    <n v="1"/>
    <n v="-40"/>
    <n v="940"/>
  </r>
  <r>
    <x v="46"/>
    <s v="conventional_default_current_cai_539"/>
    <x v="579"/>
    <n v="1.07"/>
    <n v="1"/>
    <n v="-40"/>
    <n v="940"/>
  </r>
  <r>
    <x v="46"/>
    <s v="conventional_default_current_cai_540"/>
    <x v="580"/>
    <n v="1.07"/>
    <n v="1"/>
    <n v="-40"/>
    <n v="940"/>
  </r>
  <r>
    <x v="46"/>
    <s v="conventional_default_current_cai_541"/>
    <x v="581"/>
    <n v="1.07"/>
    <n v="1"/>
    <n v="-40"/>
    <n v="940"/>
  </r>
  <r>
    <x v="46"/>
    <s v="conventional_default_current_cai_542"/>
    <x v="582"/>
    <n v="1.07"/>
    <n v="1"/>
    <n v="-40"/>
    <n v="940"/>
  </r>
  <r>
    <x v="46"/>
    <s v="conventional_default_current_cai_543"/>
    <x v="583"/>
    <n v="1.07"/>
    <n v="1"/>
    <n v="-40"/>
    <n v="940"/>
  </r>
  <r>
    <x v="46"/>
    <s v="conventional_default_current_cai_544"/>
    <x v="584"/>
    <n v="1.07"/>
    <n v="1"/>
    <n v="-40"/>
    <n v="940"/>
  </r>
  <r>
    <x v="46"/>
    <s v="conventional_default_current_cai_545"/>
    <x v="585"/>
    <n v="1.07"/>
    <n v="1"/>
    <n v="-40"/>
    <n v="940"/>
  </r>
  <r>
    <x v="46"/>
    <s v="conventional_default_current_cai_546"/>
    <x v="586"/>
    <n v="1.07"/>
    <n v="1"/>
    <n v="-40"/>
    <n v="940"/>
  </r>
  <r>
    <x v="46"/>
    <s v="conventional_default_current_cai_547"/>
    <x v="587"/>
    <n v="1.07"/>
    <n v="1"/>
    <n v="-40"/>
    <n v="940"/>
  </r>
  <r>
    <x v="46"/>
    <s v="conventional_default_current_cai_548"/>
    <x v="588"/>
    <n v="1.07"/>
    <n v="1"/>
    <n v="-40"/>
    <n v="940"/>
  </r>
  <r>
    <x v="46"/>
    <s v="conventional_default_current_cai_549"/>
    <x v="589"/>
    <n v="1.07"/>
    <n v="1"/>
    <n v="-40"/>
    <n v="940"/>
  </r>
  <r>
    <x v="46"/>
    <s v="conventional_default_current_cai_550"/>
    <x v="590"/>
    <n v="1.07"/>
    <n v="1"/>
    <n v="-40"/>
    <n v="940"/>
  </r>
  <r>
    <x v="46"/>
    <s v="conventional_default_current_cai_551"/>
    <x v="591"/>
    <n v="1.07"/>
    <n v="1"/>
    <n v="-40"/>
    <n v="940"/>
  </r>
  <r>
    <x v="46"/>
    <s v="conventional_default_current_cai_552"/>
    <x v="592"/>
    <n v="1.07"/>
    <n v="1"/>
    <n v="-40"/>
    <n v="940"/>
  </r>
  <r>
    <x v="46"/>
    <s v="conventional_default_current_cai_553"/>
    <x v="593"/>
    <n v="1.07"/>
    <n v="1"/>
    <n v="-40"/>
    <n v="940"/>
  </r>
  <r>
    <x v="46"/>
    <s v="conventional_default_current_cai_554"/>
    <x v="594"/>
    <n v="1.07"/>
    <n v="1"/>
    <n v="-40"/>
    <n v="940"/>
  </r>
  <r>
    <x v="46"/>
    <s v="conventional_default_current_cai_555"/>
    <x v="595"/>
    <n v="1.07"/>
    <n v="1"/>
    <n v="-40"/>
    <n v="940"/>
  </r>
  <r>
    <x v="46"/>
    <s v="conventional_default_current_cai_556"/>
    <x v="596"/>
    <n v="1.07"/>
    <n v="1"/>
    <n v="-40"/>
    <n v="940"/>
  </r>
  <r>
    <x v="46"/>
    <s v="conventional_default_current_cai_557"/>
    <x v="597"/>
    <n v="1.07"/>
    <n v="1"/>
    <n v="-40"/>
    <n v="940"/>
  </r>
  <r>
    <x v="46"/>
    <s v="conventional_default_current_cai_558"/>
    <x v="598"/>
    <n v="1.07"/>
    <n v="1"/>
    <n v="-40"/>
    <n v="940"/>
  </r>
  <r>
    <x v="46"/>
    <s v="conventional_default_current_cai_559"/>
    <x v="599"/>
    <n v="1.07"/>
    <n v="1"/>
    <n v="-40"/>
    <n v="940"/>
  </r>
  <r>
    <x v="46"/>
    <s v="conventional_default_current_cai_560"/>
    <x v="600"/>
    <n v="1.07"/>
    <n v="1"/>
    <n v="-40"/>
    <n v="940"/>
  </r>
  <r>
    <x v="46"/>
    <s v="conventional_default_current_cai_561"/>
    <x v="601"/>
    <n v="1.07"/>
    <n v="1"/>
    <n v="-40"/>
    <n v="940"/>
  </r>
  <r>
    <x v="46"/>
    <s v="conventional_default_current_cai_562"/>
    <x v="602"/>
    <n v="1.07"/>
    <n v="1"/>
    <n v="-40"/>
    <n v="940"/>
  </r>
  <r>
    <x v="46"/>
    <s v="conventional_default_current_cai_563"/>
    <x v="603"/>
    <n v="1.07"/>
    <n v="1"/>
    <n v="-40"/>
    <n v="940"/>
  </r>
  <r>
    <x v="46"/>
    <s v="conventional_default_current_cai_564"/>
    <x v="604"/>
    <n v="1.07"/>
    <n v="1"/>
    <n v="-40"/>
    <n v="940"/>
  </r>
  <r>
    <x v="46"/>
    <s v="conventional_default_current_cai_565"/>
    <x v="605"/>
    <n v="1.07"/>
    <n v="1"/>
    <n v="-40"/>
    <n v="940"/>
  </r>
  <r>
    <x v="46"/>
    <s v="conventional_default_current_cai_566"/>
    <x v="606"/>
    <n v="1.07"/>
    <n v="1"/>
    <n v="-40"/>
    <n v="940"/>
  </r>
  <r>
    <x v="46"/>
    <s v="conventional_default_current_cai_567"/>
    <x v="607"/>
    <n v="1.07"/>
    <n v="1"/>
    <n v="-40"/>
    <n v="940"/>
  </r>
  <r>
    <x v="46"/>
    <s v="conventional_default_current_cai_568"/>
    <x v="608"/>
    <n v="1.07"/>
    <n v="1"/>
    <n v="-40"/>
    <n v="940"/>
  </r>
  <r>
    <x v="46"/>
    <s v="conventional_default_current_cai_569"/>
    <x v="609"/>
    <n v="1.07"/>
    <n v="1"/>
    <n v="-40"/>
    <n v="940"/>
  </r>
  <r>
    <x v="46"/>
    <s v="conventional_default_current_cai_570"/>
    <x v="610"/>
    <n v="1.07"/>
    <n v="1"/>
    <n v="-40"/>
    <n v="940"/>
  </r>
  <r>
    <x v="46"/>
    <s v="conventional_default_current_cai_571"/>
    <x v="611"/>
    <n v="1.07"/>
    <n v="1"/>
    <n v="-40"/>
    <n v="940"/>
  </r>
  <r>
    <x v="46"/>
    <s v="conventional_default_current_cai_572"/>
    <x v="612"/>
    <n v="1.07"/>
    <n v="1"/>
    <n v="-40"/>
    <n v="940"/>
  </r>
  <r>
    <x v="46"/>
    <s v="conventional_default_current_cai_573"/>
    <x v="613"/>
    <n v="1.07"/>
    <n v="1"/>
    <n v="-40"/>
    <n v="940"/>
  </r>
  <r>
    <x v="46"/>
    <s v="conventional_default_current_cai_574"/>
    <x v="614"/>
    <n v="1.07"/>
    <n v="1"/>
    <n v="-40"/>
    <n v="940"/>
  </r>
  <r>
    <x v="46"/>
    <s v="conventional_default_current_cai_575"/>
    <x v="615"/>
    <n v="1.07"/>
    <n v="1"/>
    <n v="-40"/>
    <n v="940"/>
  </r>
  <r>
    <x v="46"/>
    <s v="conventional_default_current_cai_576"/>
    <x v="616"/>
    <n v="1.07"/>
    <n v="1"/>
    <n v="-40"/>
    <n v="940"/>
  </r>
  <r>
    <x v="46"/>
    <s v="conventional_default_current_cai_577"/>
    <x v="617"/>
    <n v="1.07"/>
    <n v="1"/>
    <n v="-40"/>
    <n v="940"/>
  </r>
  <r>
    <x v="46"/>
    <s v="conventional_default_current_cai_578"/>
    <x v="618"/>
    <n v="1.07"/>
    <n v="1"/>
    <n v="-40"/>
    <n v="940"/>
  </r>
  <r>
    <x v="46"/>
    <s v="conventional_default_current_cai_579"/>
    <x v="619"/>
    <n v="1.07"/>
    <n v="1"/>
    <n v="-40"/>
    <n v="940"/>
  </r>
  <r>
    <x v="46"/>
    <s v="conventional_default_current_cai_580"/>
    <x v="620"/>
    <n v="1.07"/>
    <n v="1"/>
    <n v="-40"/>
    <n v="940"/>
  </r>
  <r>
    <x v="46"/>
    <s v="conventional_default_current_cai_581"/>
    <x v="621"/>
    <n v="1.07"/>
    <n v="1"/>
    <n v="-40"/>
    <n v="940"/>
  </r>
  <r>
    <x v="46"/>
    <s v="conventional_default_current_cai_582"/>
    <x v="622"/>
    <n v="1.07"/>
    <n v="1"/>
    <n v="-40"/>
    <n v="940"/>
  </r>
  <r>
    <x v="46"/>
    <s v="conventional_default_current_cai_583"/>
    <x v="623"/>
    <n v="1.07"/>
    <n v="1"/>
    <n v="-40"/>
    <n v="940"/>
  </r>
  <r>
    <x v="46"/>
    <s v="conventional_default_current_cai_584"/>
    <x v="624"/>
    <n v="1.07"/>
    <n v="1"/>
    <n v="-40"/>
    <n v="940"/>
  </r>
  <r>
    <x v="46"/>
    <s v="conventional_default_current_cai_585"/>
    <x v="625"/>
    <n v="1.07"/>
    <n v="1"/>
    <n v="-40"/>
    <n v="940"/>
  </r>
  <r>
    <x v="46"/>
    <s v="conventional_default_current_cai_586"/>
    <x v="626"/>
    <n v="1.07"/>
    <n v="1"/>
    <n v="-40"/>
    <n v="940"/>
  </r>
  <r>
    <x v="46"/>
    <s v="conventional_default_current_cai_587"/>
    <x v="627"/>
    <n v="1.07"/>
    <n v="1"/>
    <n v="-40"/>
    <n v="940"/>
  </r>
  <r>
    <x v="46"/>
    <s v="conventional_default_current_cai_588"/>
    <x v="628"/>
    <n v="1.07"/>
    <n v="1"/>
    <n v="-40"/>
    <n v="940"/>
  </r>
  <r>
    <x v="46"/>
    <s v="conventional_default_current_cai_589"/>
    <x v="629"/>
    <n v="1.07"/>
    <n v="1"/>
    <n v="-40"/>
    <n v="940"/>
  </r>
  <r>
    <x v="46"/>
    <s v="conventional_default_current_cai_590"/>
    <x v="630"/>
    <n v="1.07"/>
    <n v="1"/>
    <n v="-40"/>
    <n v="940"/>
  </r>
  <r>
    <x v="46"/>
    <s v="conventional_default_current_cai_591"/>
    <x v="631"/>
    <n v="1.07"/>
    <n v="1"/>
    <n v="-40"/>
    <n v="940"/>
  </r>
  <r>
    <x v="46"/>
    <s v="conventional_default_current_cai_592"/>
    <x v="632"/>
    <n v="1.07"/>
    <n v="1"/>
    <n v="-40"/>
    <n v="940"/>
  </r>
  <r>
    <x v="46"/>
    <s v="conventional_default_current_cai_593"/>
    <x v="633"/>
    <n v="1.07"/>
    <n v="1"/>
    <n v="-40"/>
    <n v="940"/>
  </r>
  <r>
    <x v="46"/>
    <s v="conventional_default_current_cai_594"/>
    <x v="634"/>
    <n v="1.07"/>
    <n v="1"/>
    <n v="-40"/>
    <n v="940"/>
  </r>
  <r>
    <x v="46"/>
    <s v="conventional_default_current_cai_595"/>
    <x v="635"/>
    <n v="1.07"/>
    <n v="1"/>
    <n v="-40"/>
    <n v="940"/>
  </r>
  <r>
    <x v="46"/>
    <s v="conventional_default_current_cai_596"/>
    <x v="636"/>
    <n v="1.07"/>
    <n v="1"/>
    <n v="-40"/>
    <n v="940"/>
  </r>
  <r>
    <x v="46"/>
    <s v="conventional_default_current_cai_597"/>
    <x v="637"/>
    <n v="1.07"/>
    <n v="1"/>
    <n v="-40"/>
    <n v="940"/>
  </r>
  <r>
    <x v="46"/>
    <s v="conventional_default_current_cai_598"/>
    <x v="638"/>
    <n v="1.07"/>
    <n v="1"/>
    <n v="-40"/>
    <n v="940"/>
  </r>
  <r>
    <x v="46"/>
    <s v="conventional_default_current_cai_599"/>
    <x v="639"/>
    <n v="1.07"/>
    <n v="1"/>
    <n v="-40"/>
    <n v="940"/>
  </r>
  <r>
    <x v="46"/>
    <s v="conventional_default_current_cai_600"/>
    <x v="640"/>
    <n v="1.07"/>
    <n v="1"/>
    <n v="-40"/>
    <n v="940"/>
  </r>
  <r>
    <x v="46"/>
    <s v="conventional_default_current_cai_601"/>
    <x v="641"/>
    <n v="1.07"/>
    <n v="1"/>
    <n v="-40"/>
    <n v="940"/>
  </r>
  <r>
    <x v="46"/>
    <s v="conventional_default_current_cai_602"/>
    <x v="642"/>
    <n v="1.07"/>
    <n v="1"/>
    <n v="-40"/>
    <n v="940"/>
  </r>
  <r>
    <x v="46"/>
    <s v="conventional_default_current_cai_603"/>
    <x v="643"/>
    <n v="1.07"/>
    <n v="1"/>
    <n v="-40"/>
    <n v="940"/>
  </r>
  <r>
    <x v="46"/>
    <s v="conventional_default_current_cai_604"/>
    <x v="644"/>
    <n v="1.07"/>
    <n v="1"/>
    <n v="-40"/>
    <n v="940"/>
  </r>
  <r>
    <x v="46"/>
    <s v="conventional_default_current_cai_605"/>
    <x v="645"/>
    <n v="1.07"/>
    <n v="1"/>
    <n v="-40"/>
    <n v="940"/>
  </r>
  <r>
    <x v="46"/>
    <s v="conventional_default_current_cai_606"/>
    <x v="646"/>
    <n v="1.07"/>
    <n v="1"/>
    <n v="-40"/>
    <n v="940"/>
  </r>
  <r>
    <x v="46"/>
    <s v="conventional_default_current_cai_607"/>
    <x v="647"/>
    <n v="1.07"/>
    <n v="1"/>
    <n v="-40"/>
    <n v="940"/>
  </r>
  <r>
    <x v="46"/>
    <s v="conventional_default_current_cai_608"/>
    <x v="648"/>
    <n v="1.07"/>
    <n v="1"/>
    <n v="-40"/>
    <n v="940"/>
  </r>
  <r>
    <x v="46"/>
    <s v="conventional_default_current_cai_609"/>
    <x v="649"/>
    <n v="1.07"/>
    <n v="1"/>
    <n v="-40"/>
    <n v="940"/>
  </r>
  <r>
    <x v="46"/>
    <s v="conventional_default_current_cai_610"/>
    <x v="650"/>
    <n v="1.07"/>
    <n v="1"/>
    <n v="-40"/>
    <n v="940"/>
  </r>
  <r>
    <x v="46"/>
    <s v="conventional_default_current_cai_611"/>
    <x v="651"/>
    <n v="1.07"/>
    <n v="1"/>
    <n v="-40"/>
    <n v="940"/>
  </r>
  <r>
    <x v="46"/>
    <s v="conventional_default_current_cai_612"/>
    <x v="652"/>
    <n v="1.07"/>
    <n v="1"/>
    <n v="-40"/>
    <n v="940"/>
  </r>
  <r>
    <x v="46"/>
    <s v="conventional_default_current_cai_613"/>
    <x v="653"/>
    <n v="1.07"/>
    <n v="1"/>
    <n v="-40"/>
    <n v="940"/>
  </r>
  <r>
    <x v="46"/>
    <s v="conventional_default_current_cai_614"/>
    <x v="654"/>
    <n v="1.07"/>
    <n v="1"/>
    <n v="-40"/>
    <n v="940"/>
  </r>
  <r>
    <x v="46"/>
    <s v="conventional_default_current_cai_615"/>
    <x v="655"/>
    <n v="1.07"/>
    <n v="1"/>
    <n v="-40"/>
    <n v="940"/>
  </r>
  <r>
    <x v="46"/>
    <s v="conventional_default_current_cai_616"/>
    <x v="656"/>
    <n v="1.07"/>
    <n v="1"/>
    <n v="-40"/>
    <n v="940"/>
  </r>
  <r>
    <x v="46"/>
    <s v="conventional_default_current_cai_617"/>
    <x v="657"/>
    <n v="1.07"/>
    <n v="1"/>
    <n v="-40"/>
    <n v="940"/>
  </r>
  <r>
    <x v="46"/>
    <s v="conventional_default_current_cai_618"/>
    <x v="658"/>
    <n v="1.07"/>
    <n v="1"/>
    <n v="-40"/>
    <n v="940"/>
  </r>
  <r>
    <x v="46"/>
    <s v="conventional_default_current_cai_619"/>
    <x v="659"/>
    <n v="1.07"/>
    <n v="1"/>
    <n v="-40"/>
    <n v="940"/>
  </r>
  <r>
    <x v="46"/>
    <s v="conventional_default_current_cai_620"/>
    <x v="660"/>
    <n v="1.07"/>
    <n v="1"/>
    <n v="-40"/>
    <n v="940"/>
  </r>
  <r>
    <x v="46"/>
    <s v="conventional_default_current_cai_621"/>
    <x v="661"/>
    <n v="1.07"/>
    <n v="1"/>
    <n v="-40"/>
    <n v="940"/>
  </r>
  <r>
    <x v="46"/>
    <s v="conventional_default_current_cai_622"/>
    <x v="662"/>
    <n v="1.07"/>
    <n v="1"/>
    <n v="-40"/>
    <n v="940"/>
  </r>
  <r>
    <x v="46"/>
    <s v="conventional_default_current_cai_623"/>
    <x v="663"/>
    <n v="1.07"/>
    <n v="1"/>
    <n v="-40"/>
    <n v="940"/>
  </r>
  <r>
    <x v="46"/>
    <s v="conventional_default_current_cai_624"/>
    <x v="664"/>
    <n v="1.07"/>
    <n v="1"/>
    <n v="-40"/>
    <n v="940"/>
  </r>
  <r>
    <x v="46"/>
    <s v="conventional_default_current_cai_625"/>
    <x v="665"/>
    <n v="1.07"/>
    <n v="1"/>
    <n v="-40"/>
    <n v="940"/>
  </r>
  <r>
    <x v="46"/>
    <s v="conventional_default_current_cai_626"/>
    <x v="666"/>
    <n v="1.07"/>
    <n v="1"/>
    <n v="-40"/>
    <n v="940"/>
  </r>
  <r>
    <x v="46"/>
    <s v="conventional_default_current_cai_627"/>
    <x v="667"/>
    <n v="1.07"/>
    <n v="1"/>
    <n v="-40"/>
    <n v="940"/>
  </r>
  <r>
    <x v="46"/>
    <s v="conventional_default_current_cai_628"/>
    <x v="668"/>
    <n v="1.07"/>
    <n v="1"/>
    <n v="-40"/>
    <n v="940"/>
  </r>
  <r>
    <x v="46"/>
    <s v="conventional_default_current_cai_629"/>
    <x v="669"/>
    <n v="1.07"/>
    <n v="1"/>
    <n v="-40"/>
    <n v="940"/>
  </r>
  <r>
    <x v="46"/>
    <s v="conventional_default_current_cai_630"/>
    <x v="670"/>
    <n v="1.07"/>
    <n v="1"/>
    <n v="-40"/>
    <n v="940"/>
  </r>
  <r>
    <x v="46"/>
    <s v="conventional_default_current_cai_631"/>
    <x v="671"/>
    <n v="1.07"/>
    <n v="1"/>
    <n v="-40"/>
    <n v="940"/>
  </r>
  <r>
    <x v="46"/>
    <s v="conventional_default_current_cai_632"/>
    <x v="672"/>
    <n v="1.07"/>
    <n v="1"/>
    <n v="-40"/>
    <n v="940"/>
  </r>
  <r>
    <x v="46"/>
    <s v="conventional_default_current_cai_633"/>
    <x v="673"/>
    <n v="1.07"/>
    <n v="1"/>
    <n v="-40"/>
    <n v="940"/>
  </r>
  <r>
    <x v="46"/>
    <s v="conventional_default_current_cai_634"/>
    <x v="674"/>
    <n v="1.07"/>
    <n v="1"/>
    <n v="-40"/>
    <n v="940"/>
  </r>
  <r>
    <x v="46"/>
    <s v="conventional_default_current_cai_635"/>
    <x v="675"/>
    <n v="1.07"/>
    <n v="1"/>
    <n v="-40"/>
    <n v="940"/>
  </r>
  <r>
    <x v="46"/>
    <s v="conventional_default_current_cai_636"/>
    <x v="676"/>
    <n v="1.07"/>
    <n v="1"/>
    <n v="-40"/>
    <n v="940"/>
  </r>
  <r>
    <x v="46"/>
    <s v="conventional_default_current_cai_637"/>
    <x v="677"/>
    <n v="1.07"/>
    <n v="1"/>
    <n v="-40"/>
    <n v="940"/>
  </r>
  <r>
    <x v="46"/>
    <s v="conventional_default_current_cai_638"/>
    <x v="678"/>
    <n v="1.07"/>
    <n v="1"/>
    <n v="-40"/>
    <n v="940"/>
  </r>
  <r>
    <x v="46"/>
    <s v="conventional_default_current_cai_639"/>
    <x v="679"/>
    <n v="1.07"/>
    <n v="1"/>
    <n v="-40"/>
    <n v="940"/>
  </r>
  <r>
    <x v="46"/>
    <s v="conventional_default_current_cai_640"/>
    <x v="680"/>
    <n v="1.07"/>
    <n v="1"/>
    <n v="-40"/>
    <n v="940"/>
  </r>
  <r>
    <x v="46"/>
    <s v="conventional_default_current_cai_641"/>
    <x v="681"/>
    <n v="1.07"/>
    <n v="1"/>
    <n v="-40"/>
    <n v="940"/>
  </r>
  <r>
    <x v="46"/>
    <s v="conventional_default_current_cai_642"/>
    <x v="682"/>
    <n v="1.07"/>
    <n v="1"/>
    <n v="-40"/>
    <n v="940"/>
  </r>
  <r>
    <x v="46"/>
    <s v="conventional_default_current_cai_643"/>
    <x v="683"/>
    <n v="1.07"/>
    <n v="1"/>
    <n v="-40"/>
    <n v="940"/>
  </r>
  <r>
    <x v="46"/>
    <s v="conventional_default_current_cai_644"/>
    <x v="684"/>
    <n v="1.07"/>
    <n v="1"/>
    <n v="-40"/>
    <n v="940"/>
  </r>
  <r>
    <x v="46"/>
    <s v="conventional_default_current_cai_645"/>
    <x v="685"/>
    <n v="1.07"/>
    <n v="1"/>
    <n v="-40"/>
    <n v="940"/>
  </r>
  <r>
    <x v="46"/>
    <s v="conventional_default_current_cai_646"/>
    <x v="686"/>
    <n v="1.07"/>
    <n v="1"/>
    <n v="-40"/>
    <n v="940"/>
  </r>
  <r>
    <x v="46"/>
    <s v="conventional_default_current_cai_647"/>
    <x v="687"/>
    <n v="1.07"/>
    <n v="1"/>
    <n v="-40"/>
    <n v="940"/>
  </r>
  <r>
    <x v="46"/>
    <s v="conventional_default_current_cai_648"/>
    <x v="688"/>
    <n v="1.07"/>
    <n v="1"/>
    <n v="-40"/>
    <n v="940"/>
  </r>
  <r>
    <x v="46"/>
    <s v="conventional_default_current_cai_649"/>
    <x v="689"/>
    <n v="1.07"/>
    <n v="1"/>
    <n v="-40"/>
    <n v="940"/>
  </r>
  <r>
    <x v="46"/>
    <s v="conventional_default_current_cai_650"/>
    <x v="690"/>
    <n v="1.07"/>
    <n v="1"/>
    <n v="-40"/>
    <n v="940"/>
  </r>
  <r>
    <x v="46"/>
    <s v="conventional_default_current_cai_651"/>
    <x v="691"/>
    <n v="1.07"/>
    <n v="1"/>
    <n v="-40"/>
    <n v="940"/>
  </r>
  <r>
    <x v="46"/>
    <s v="conventional_default_current_cai_652"/>
    <x v="692"/>
    <n v="1.07"/>
    <n v="1"/>
    <n v="-40"/>
    <n v="940"/>
  </r>
  <r>
    <x v="46"/>
    <s v="conventional_default_current_cai_653"/>
    <x v="693"/>
    <n v="1.07"/>
    <n v="1"/>
    <n v="-40"/>
    <n v="940"/>
  </r>
  <r>
    <x v="46"/>
    <s v="conventional_default_current_cai_654"/>
    <x v="694"/>
    <n v="1.07"/>
    <n v="1"/>
    <n v="-40"/>
    <n v="940"/>
  </r>
  <r>
    <x v="46"/>
    <s v="conventional_default_current_cai_655"/>
    <x v="695"/>
    <n v="1.07"/>
    <n v="1"/>
    <n v="-40"/>
    <n v="940"/>
  </r>
  <r>
    <x v="46"/>
    <s v="conventional_default_current_cai_656"/>
    <x v="696"/>
    <n v="1.07"/>
    <n v="1"/>
    <n v="-40"/>
    <n v="940"/>
  </r>
  <r>
    <x v="46"/>
    <s v="conventional_default_current_cai_657"/>
    <x v="697"/>
    <n v="1.07"/>
    <n v="1"/>
    <n v="-40"/>
    <n v="940"/>
  </r>
  <r>
    <x v="46"/>
    <s v="conventional_default_current_cai_658"/>
    <x v="698"/>
    <n v="1.07"/>
    <n v="1"/>
    <n v="-40"/>
    <n v="940"/>
  </r>
  <r>
    <x v="46"/>
    <s v="conventional_default_current_cai_659"/>
    <x v="699"/>
    <n v="1.07"/>
    <n v="1"/>
    <n v="-40"/>
    <n v="940"/>
  </r>
  <r>
    <x v="46"/>
    <s v="conventional_default_current_cai_660"/>
    <x v="700"/>
    <n v="1.07"/>
    <n v="1"/>
    <n v="-40"/>
    <n v="940"/>
  </r>
  <r>
    <x v="46"/>
    <s v="conventional_default_current_cai_661"/>
    <x v="701"/>
    <n v="1.07"/>
    <n v="1"/>
    <n v="-40"/>
    <n v="940"/>
  </r>
  <r>
    <x v="46"/>
    <s v="conventional_default_current_cai_662"/>
    <x v="702"/>
    <n v="1.07"/>
    <n v="1"/>
    <n v="-40"/>
    <n v="940"/>
  </r>
  <r>
    <x v="46"/>
    <s v="conventional_default_current_cai_663"/>
    <x v="703"/>
    <n v="1.07"/>
    <n v="1"/>
    <n v="-40"/>
    <n v="940"/>
  </r>
  <r>
    <x v="46"/>
    <s v="conventional_default_current_cai_664"/>
    <x v="704"/>
    <n v="1.07"/>
    <n v="1"/>
    <n v="-40"/>
    <n v="940"/>
  </r>
  <r>
    <x v="46"/>
    <s v="conventional_default_current_cai_665"/>
    <x v="705"/>
    <n v="1.07"/>
    <n v="1"/>
    <n v="-40"/>
    <n v="940"/>
  </r>
  <r>
    <x v="46"/>
    <s v="conventional_default_current_cai_666"/>
    <x v="706"/>
    <n v="1.07"/>
    <n v="1"/>
    <n v="-40"/>
    <n v="940"/>
  </r>
  <r>
    <x v="46"/>
    <s v="conventional_default_current_cai_667"/>
    <x v="707"/>
    <n v="1.07"/>
    <n v="1"/>
    <n v="-40"/>
    <n v="940"/>
  </r>
  <r>
    <x v="46"/>
    <s v="conventional_default_current_cai_668"/>
    <x v="708"/>
    <n v="1.07"/>
    <n v="1"/>
    <n v="-40"/>
    <n v="940"/>
  </r>
  <r>
    <x v="46"/>
    <s v="conventional_default_current_cai_669"/>
    <x v="709"/>
    <n v="1.07"/>
    <n v="1"/>
    <n v="-40"/>
    <n v="940"/>
  </r>
  <r>
    <x v="46"/>
    <s v="conventional_default_current_cai_670"/>
    <x v="710"/>
    <n v="1.07"/>
    <n v="1"/>
    <n v="-40"/>
    <n v="940"/>
  </r>
  <r>
    <x v="46"/>
    <s v="conventional_default_current_cai_671"/>
    <x v="711"/>
    <n v="1.07"/>
    <n v="1"/>
    <n v="-40"/>
    <n v="940"/>
  </r>
  <r>
    <x v="46"/>
    <s v="conventional_default_current_cai_672"/>
    <x v="712"/>
    <n v="1.07"/>
    <n v="1"/>
    <n v="-40"/>
    <n v="940"/>
  </r>
  <r>
    <x v="46"/>
    <s v="conventional_default_current_cai_673"/>
    <x v="713"/>
    <n v="1.07"/>
    <n v="1"/>
    <n v="-40"/>
    <n v="940"/>
  </r>
  <r>
    <x v="46"/>
    <s v="conventional_default_current_cai_674"/>
    <x v="714"/>
    <n v="1.07"/>
    <n v="1"/>
    <n v="-40"/>
    <n v="940"/>
  </r>
  <r>
    <x v="46"/>
    <s v="conventional_default_current_cai_675"/>
    <x v="715"/>
    <n v="1.07"/>
    <n v="1"/>
    <n v="-40"/>
    <n v="940"/>
  </r>
  <r>
    <x v="46"/>
    <s v="conventional_default_current_cai_676"/>
    <x v="716"/>
    <n v="1.07"/>
    <n v="1"/>
    <n v="-40"/>
    <n v="940"/>
  </r>
  <r>
    <x v="46"/>
    <s v="conventional_default_current_cai_677"/>
    <x v="717"/>
    <n v="1.07"/>
    <n v="1"/>
    <n v="-40"/>
    <n v="940"/>
  </r>
  <r>
    <x v="46"/>
    <s v="conventional_default_current_cai_678"/>
    <x v="718"/>
    <n v="1.07"/>
    <n v="1"/>
    <n v="-40"/>
    <n v="940"/>
  </r>
  <r>
    <x v="46"/>
    <s v="conventional_default_current_cai_679"/>
    <x v="719"/>
    <n v="1.07"/>
    <n v="1"/>
    <n v="-40"/>
    <n v="940"/>
  </r>
  <r>
    <x v="46"/>
    <s v="conventional_default_current_cai_680"/>
    <x v="720"/>
    <n v="1.07"/>
    <n v="1"/>
    <n v="-40"/>
    <n v="940"/>
  </r>
  <r>
    <x v="46"/>
    <s v="conventional_default_current_cai_681"/>
    <x v="721"/>
    <n v="1.07"/>
    <n v="1"/>
    <n v="-40"/>
    <n v="940"/>
  </r>
  <r>
    <x v="46"/>
    <s v="conventional_default_current_cai_682"/>
    <x v="722"/>
    <n v="1.07"/>
    <n v="1"/>
    <n v="-40"/>
    <n v="940"/>
  </r>
  <r>
    <x v="46"/>
    <s v="conventional_default_current_cai_683"/>
    <x v="723"/>
    <n v="1.07"/>
    <n v="1"/>
    <n v="-40"/>
    <n v="940"/>
  </r>
  <r>
    <x v="46"/>
    <s v="conventional_default_current_cai_684"/>
    <x v="724"/>
    <n v="1.07"/>
    <n v="1"/>
    <n v="-40"/>
    <n v="940"/>
  </r>
  <r>
    <x v="46"/>
    <s v="conventional_default_current_cai_685"/>
    <x v="725"/>
    <n v="1.07"/>
    <n v="1"/>
    <n v="-40"/>
    <n v="940"/>
  </r>
  <r>
    <x v="46"/>
    <s v="conventional_default_current_cai_686"/>
    <x v="726"/>
    <n v="1.07"/>
    <n v="1"/>
    <n v="-40"/>
    <n v="940"/>
  </r>
  <r>
    <x v="46"/>
    <s v="conventional_default_current_cai_687"/>
    <x v="727"/>
    <n v="1.07"/>
    <n v="1"/>
    <n v="-40"/>
    <n v="940"/>
  </r>
  <r>
    <x v="46"/>
    <s v="conventional_default_current_cai_688"/>
    <x v="728"/>
    <n v="1.07"/>
    <n v="1"/>
    <n v="-40"/>
    <n v="940"/>
  </r>
  <r>
    <x v="46"/>
    <s v="conventional_default_current_cai_689"/>
    <x v="729"/>
    <n v="1.07"/>
    <n v="1"/>
    <n v="-40"/>
    <n v="940"/>
  </r>
  <r>
    <x v="46"/>
    <s v="conventional_default_current_cai_690"/>
    <x v="730"/>
    <n v="1.07"/>
    <n v="1"/>
    <n v="-40"/>
    <n v="940"/>
  </r>
  <r>
    <x v="46"/>
    <s v="conventional_default_current_cai_691"/>
    <x v="731"/>
    <n v="1.07"/>
    <n v="1"/>
    <n v="-40"/>
    <n v="940"/>
  </r>
  <r>
    <x v="46"/>
    <s v="conventional_default_current_cai_692"/>
    <x v="732"/>
    <n v="1.07"/>
    <n v="1"/>
    <n v="-40"/>
    <n v="940"/>
  </r>
  <r>
    <x v="46"/>
    <s v="conventional_default_current_cai_693"/>
    <x v="733"/>
    <n v="1.07"/>
    <n v="1"/>
    <n v="-40"/>
    <n v="940"/>
  </r>
  <r>
    <x v="46"/>
    <s v="conventional_default_current_cai_694"/>
    <x v="734"/>
    <n v="1.07"/>
    <n v="1"/>
    <n v="-40"/>
    <n v="940"/>
  </r>
  <r>
    <x v="46"/>
    <s v="conventional_default_current_cai_695"/>
    <x v="735"/>
    <n v="1.07"/>
    <n v="1"/>
    <n v="-40"/>
    <n v="940"/>
  </r>
  <r>
    <x v="46"/>
    <s v="conventional_default_current_cai_696"/>
    <x v="736"/>
    <n v="1.07"/>
    <n v="1"/>
    <n v="-40"/>
    <n v="940"/>
  </r>
  <r>
    <x v="46"/>
    <s v="conventional_default_current_cai_697"/>
    <x v="737"/>
    <n v="1.07"/>
    <n v="1"/>
    <n v="-40"/>
    <n v="940"/>
  </r>
  <r>
    <x v="46"/>
    <s v="conventional_default_current_cai_698"/>
    <x v="738"/>
    <n v="1.07"/>
    <n v="1"/>
    <n v="-40"/>
    <n v="940"/>
  </r>
  <r>
    <x v="46"/>
    <s v="conventional_default_current_cai_699"/>
    <x v="739"/>
    <n v="1.07"/>
    <n v="1"/>
    <n v="-40"/>
    <n v="940"/>
  </r>
  <r>
    <x v="46"/>
    <s v="conventional_default_current_cai_700"/>
    <x v="740"/>
    <n v="1.07"/>
    <n v="1"/>
    <n v="-40"/>
    <n v="940"/>
  </r>
  <r>
    <x v="46"/>
    <s v="conventional_default_current_cai_701"/>
    <x v="741"/>
    <n v="1.07"/>
    <n v="1"/>
    <n v="-40"/>
    <n v="940"/>
  </r>
  <r>
    <x v="46"/>
    <s v="conventional_default_current_cai_702"/>
    <x v="742"/>
    <n v="1.07"/>
    <n v="1"/>
    <n v="-40"/>
    <n v="940"/>
  </r>
  <r>
    <x v="46"/>
    <s v="conventional_default_current_cai_703"/>
    <x v="743"/>
    <n v="1.07"/>
    <n v="1"/>
    <n v="-40"/>
    <n v="940"/>
  </r>
  <r>
    <x v="46"/>
    <s v="conventional_default_current_cai_704"/>
    <x v="744"/>
    <n v="1.07"/>
    <n v="1"/>
    <n v="-40"/>
    <n v="940"/>
  </r>
  <r>
    <x v="46"/>
    <s v="conventional_default_current_cai_705"/>
    <x v="745"/>
    <n v="1.07"/>
    <n v="1"/>
    <n v="-40"/>
    <n v="940"/>
  </r>
  <r>
    <x v="46"/>
    <s v="conventional_default_current_cai_706"/>
    <x v="746"/>
    <n v="1.07"/>
    <n v="1"/>
    <n v="-40"/>
    <n v="940"/>
  </r>
  <r>
    <x v="46"/>
    <s v="conventional_default_current_cai_707"/>
    <x v="747"/>
    <n v="1.07"/>
    <n v="1"/>
    <n v="-40"/>
    <n v="940"/>
  </r>
  <r>
    <x v="46"/>
    <s v="conventional_default_current_cai_708"/>
    <x v="748"/>
    <n v="1.07"/>
    <n v="1"/>
    <n v="-40"/>
    <n v="940"/>
  </r>
  <r>
    <x v="46"/>
    <s v="conventional_default_current_cai_709"/>
    <x v="749"/>
    <n v="1.07"/>
    <n v="1"/>
    <n v="-40"/>
    <n v="940"/>
  </r>
  <r>
    <x v="46"/>
    <s v="conventional_default_current_cai_710"/>
    <x v="750"/>
    <n v="1.07"/>
    <n v="1"/>
    <n v="-40"/>
    <n v="940"/>
  </r>
  <r>
    <x v="46"/>
    <s v="conventional_default_current_cai_711"/>
    <x v="751"/>
    <n v="1.07"/>
    <n v="1"/>
    <n v="-40"/>
    <n v="940"/>
  </r>
  <r>
    <x v="46"/>
    <s v="conventional_default_current_cai_712"/>
    <x v="752"/>
    <n v="1.07"/>
    <n v="1"/>
    <n v="-40"/>
    <n v="940"/>
  </r>
  <r>
    <x v="46"/>
    <s v="conventional_default_current_cai_713"/>
    <x v="753"/>
    <n v="1.07"/>
    <n v="1"/>
    <n v="-40"/>
    <n v="940"/>
  </r>
  <r>
    <x v="46"/>
    <s v="conventional_default_current_cai_714"/>
    <x v="754"/>
    <n v="1.07"/>
    <n v="1"/>
    <n v="-40"/>
    <n v="940"/>
  </r>
  <r>
    <x v="46"/>
    <s v="conventional_default_current_cai_715"/>
    <x v="755"/>
    <n v="1.07"/>
    <n v="1"/>
    <n v="-40"/>
    <n v="940"/>
  </r>
  <r>
    <x v="46"/>
    <s v="conventional_default_current_cai_716"/>
    <x v="756"/>
    <n v="1.07"/>
    <n v="1"/>
    <n v="-40"/>
    <n v="940"/>
  </r>
  <r>
    <x v="46"/>
    <s v="conventional_default_current_cai_717"/>
    <x v="757"/>
    <n v="1.07"/>
    <n v="1"/>
    <n v="-40"/>
    <n v="940"/>
  </r>
  <r>
    <x v="46"/>
    <s v="conventional_default_current_cai_718"/>
    <x v="758"/>
    <n v="1.07"/>
    <n v="1"/>
    <n v="-40"/>
    <n v="940"/>
  </r>
  <r>
    <x v="46"/>
    <s v="conventional_default_current_cai_719"/>
    <x v="759"/>
    <n v="1.07"/>
    <n v="1"/>
    <n v="-40"/>
    <n v="940"/>
  </r>
  <r>
    <x v="46"/>
    <s v="conventional_default_current_cai_720"/>
    <x v="760"/>
    <n v="1.07"/>
    <n v="1"/>
    <n v="-40"/>
    <n v="940"/>
  </r>
  <r>
    <x v="46"/>
    <s v="conventional_default_current_cai_721"/>
    <x v="761"/>
    <n v="1.07"/>
    <n v="1"/>
    <n v="-40"/>
    <n v="940"/>
  </r>
  <r>
    <x v="46"/>
    <s v="conventional_default_current_cai_722"/>
    <x v="762"/>
    <n v="1.07"/>
    <n v="1"/>
    <n v="-40"/>
    <n v="940"/>
  </r>
  <r>
    <x v="46"/>
    <s v="conventional_default_current_cai_723"/>
    <x v="763"/>
    <n v="1.07"/>
    <n v="1"/>
    <n v="-40"/>
    <n v="940"/>
  </r>
  <r>
    <x v="46"/>
    <s v="conventional_default_current_cai_724"/>
    <x v="764"/>
    <n v="1.07"/>
    <n v="1"/>
    <n v="-40"/>
    <n v="940"/>
  </r>
  <r>
    <x v="46"/>
    <s v="conventional_default_current_cai_725"/>
    <x v="765"/>
    <n v="1.07"/>
    <n v="1"/>
    <n v="-40"/>
    <n v="940"/>
  </r>
  <r>
    <x v="46"/>
    <s v="conventional_default_current_cai_726"/>
    <x v="766"/>
    <n v="1.07"/>
    <n v="1"/>
    <n v="-40"/>
    <n v="940"/>
  </r>
  <r>
    <x v="46"/>
    <s v="conventional_default_current_cai_727"/>
    <x v="767"/>
    <n v="1.07"/>
    <n v="1"/>
    <n v="-40"/>
    <n v="940"/>
  </r>
  <r>
    <x v="46"/>
    <s v="conventional_default_current_cai_728"/>
    <x v="768"/>
    <n v="1.07"/>
    <n v="1"/>
    <n v="-40"/>
    <n v="940"/>
  </r>
  <r>
    <x v="46"/>
    <s v="conventional_default_current_cai_729"/>
    <x v="769"/>
    <n v="1.07"/>
    <n v="1"/>
    <n v="-40"/>
    <n v="940"/>
  </r>
  <r>
    <x v="46"/>
    <s v="conventional_default_current_cai_730"/>
    <x v="770"/>
    <n v="1.07"/>
    <n v="1"/>
    <n v="-40"/>
    <n v="940"/>
  </r>
  <r>
    <x v="46"/>
    <s v="conventional_default_current_cai_731"/>
    <x v="771"/>
    <n v="1.07"/>
    <n v="1"/>
    <n v="-40"/>
    <n v="940"/>
  </r>
  <r>
    <x v="46"/>
    <s v="conventional_default_current_cai_732"/>
    <x v="772"/>
    <n v="1.07"/>
    <n v="1"/>
    <n v="-40"/>
    <n v="940"/>
  </r>
  <r>
    <x v="46"/>
    <s v="conventional_default_current_cai_733"/>
    <x v="773"/>
    <n v="1.07"/>
    <n v="1"/>
    <n v="-40"/>
    <n v="940"/>
  </r>
  <r>
    <x v="46"/>
    <s v="conventional_default_current_cai_734"/>
    <x v="774"/>
    <n v="1.07"/>
    <n v="1"/>
    <n v="-40"/>
    <n v="940"/>
  </r>
  <r>
    <x v="46"/>
    <s v="conventional_default_current_cai_735"/>
    <x v="775"/>
    <n v="1.07"/>
    <n v="1"/>
    <n v="-40"/>
    <n v="940"/>
  </r>
  <r>
    <x v="46"/>
    <s v="conventional_default_current_cai_736"/>
    <x v="776"/>
    <n v="1.07"/>
    <n v="1"/>
    <n v="-40"/>
    <n v="940"/>
  </r>
  <r>
    <x v="46"/>
    <s v="conventional_default_current_cai_737"/>
    <x v="777"/>
    <n v="1.07"/>
    <n v="1"/>
    <n v="-40"/>
    <n v="940"/>
  </r>
  <r>
    <x v="46"/>
    <s v="conventional_default_current_cai_738"/>
    <x v="778"/>
    <n v="1.07"/>
    <n v="1"/>
    <n v="-40"/>
    <n v="940"/>
  </r>
  <r>
    <x v="46"/>
    <s v="conventional_default_current_cai_739"/>
    <x v="779"/>
    <n v="1.07"/>
    <n v="1"/>
    <n v="-40"/>
    <n v="940"/>
  </r>
  <r>
    <x v="46"/>
    <s v="conventional_default_current_cai_740"/>
    <x v="780"/>
    <n v="1.07"/>
    <n v="1"/>
    <n v="-40"/>
    <n v="940"/>
  </r>
  <r>
    <x v="46"/>
    <s v="conventional_default_current_cai_741"/>
    <x v="781"/>
    <n v="1.07"/>
    <n v="1"/>
    <n v="-40"/>
    <n v="940"/>
  </r>
  <r>
    <x v="46"/>
    <s v="conventional_default_current_cai_742"/>
    <x v="782"/>
    <n v="1.07"/>
    <n v="1"/>
    <n v="-40"/>
    <n v="940"/>
  </r>
  <r>
    <x v="46"/>
    <s v="conventional_default_current_cai_743"/>
    <x v="783"/>
    <n v="1.07"/>
    <n v="1"/>
    <n v="-40"/>
    <n v="940"/>
  </r>
  <r>
    <x v="46"/>
    <s v="conventional_default_current_cai_744"/>
    <x v="784"/>
    <n v="1.07"/>
    <n v="1"/>
    <n v="-40"/>
    <n v="940"/>
  </r>
  <r>
    <x v="46"/>
    <s v="conventional_default_current_cai_745"/>
    <x v="785"/>
    <n v="1.07"/>
    <n v="1"/>
    <n v="-40"/>
    <n v="940"/>
  </r>
  <r>
    <x v="46"/>
    <s v="conventional_default_current_cai_746"/>
    <x v="786"/>
    <n v="1.07"/>
    <n v="1"/>
    <n v="-40"/>
    <n v="940"/>
  </r>
  <r>
    <x v="46"/>
    <s v="conventional_default_current_cai_747"/>
    <x v="787"/>
    <n v="1.07"/>
    <n v="1"/>
    <n v="-40"/>
    <n v="940"/>
  </r>
  <r>
    <x v="46"/>
    <s v="conventional_default_current_cai_748"/>
    <x v="788"/>
    <n v="1.07"/>
    <n v="1"/>
    <n v="-40"/>
    <n v="940"/>
  </r>
  <r>
    <x v="46"/>
    <s v="conventional_default_current_cai_749"/>
    <x v="789"/>
    <n v="1.07"/>
    <n v="1"/>
    <n v="-40"/>
    <n v="940"/>
  </r>
  <r>
    <x v="46"/>
    <s v="conventional_default_current_cai_750"/>
    <x v="790"/>
    <n v="1.07"/>
    <n v="1"/>
    <n v="-40"/>
    <n v="940"/>
  </r>
  <r>
    <x v="46"/>
    <s v="conventional_default_current_cai_751"/>
    <x v="791"/>
    <n v="1.07"/>
    <n v="1"/>
    <n v="-40"/>
    <n v="940"/>
  </r>
  <r>
    <x v="46"/>
    <s v="conventional_default_current_cai_752"/>
    <x v="792"/>
    <n v="1.07"/>
    <n v="1"/>
    <n v="-40"/>
    <n v="940"/>
  </r>
  <r>
    <x v="46"/>
    <s v="conventional_default_current_cai_753"/>
    <x v="793"/>
    <n v="1.07"/>
    <n v="1"/>
    <n v="-40"/>
    <n v="940"/>
  </r>
  <r>
    <x v="46"/>
    <s v="conventional_default_current_cai_754"/>
    <x v="794"/>
    <n v="1.07"/>
    <n v="1"/>
    <n v="-40"/>
    <n v="940"/>
  </r>
  <r>
    <x v="46"/>
    <s v="conventional_default_current_cai_755"/>
    <x v="795"/>
    <n v="1.07"/>
    <n v="1"/>
    <n v="-40"/>
    <n v="940"/>
  </r>
  <r>
    <x v="46"/>
    <s v="conventional_default_current_cai_756"/>
    <x v="796"/>
    <n v="1.07"/>
    <n v="1"/>
    <n v="-40"/>
    <n v="940"/>
  </r>
  <r>
    <x v="46"/>
    <s v="conventional_default_current_cai_757"/>
    <x v="797"/>
    <n v="1.07"/>
    <n v="1"/>
    <n v="-40"/>
    <n v="940"/>
  </r>
  <r>
    <x v="46"/>
    <s v="conventional_default_current_cai_758"/>
    <x v="798"/>
    <n v="1.07"/>
    <n v="1"/>
    <n v="-40"/>
    <n v="940"/>
  </r>
  <r>
    <x v="46"/>
    <s v="conventional_default_current_cai_759"/>
    <x v="799"/>
    <n v="1.07"/>
    <n v="1"/>
    <n v="-40"/>
    <n v="940"/>
  </r>
  <r>
    <x v="46"/>
    <s v="conventional_default_current_cai_760"/>
    <x v="800"/>
    <n v="1.07"/>
    <n v="1"/>
    <n v="-40"/>
    <n v="940"/>
  </r>
  <r>
    <x v="46"/>
    <s v="conventional_default_current_cai_761"/>
    <x v="801"/>
    <n v="1.07"/>
    <n v="1"/>
    <n v="-40"/>
    <n v="940"/>
  </r>
  <r>
    <x v="46"/>
    <s v="conventional_default_current_cai_762"/>
    <x v="802"/>
    <n v="1.07"/>
    <n v="1"/>
    <n v="-40"/>
    <n v="940"/>
  </r>
  <r>
    <x v="46"/>
    <s v="conventional_default_current_cai_763"/>
    <x v="803"/>
    <n v="1.07"/>
    <n v="1"/>
    <n v="-40"/>
    <n v="940"/>
  </r>
  <r>
    <x v="46"/>
    <s v="conventional_default_current_cai_764"/>
    <x v="804"/>
    <n v="1.07"/>
    <n v="1"/>
    <n v="-40"/>
    <n v="940"/>
  </r>
  <r>
    <x v="46"/>
    <s v="conventional_default_current_cai_765"/>
    <x v="805"/>
    <n v="1.07"/>
    <n v="1"/>
    <n v="-40"/>
    <n v="940"/>
  </r>
  <r>
    <x v="46"/>
    <s v="conventional_default_current_cai_766"/>
    <x v="806"/>
    <n v="1.07"/>
    <n v="1"/>
    <n v="-40"/>
    <n v="940"/>
  </r>
  <r>
    <x v="46"/>
    <s v="conventional_default_current_cai_767"/>
    <x v="807"/>
    <n v="1.07"/>
    <n v="1"/>
    <n v="-40"/>
    <n v="940"/>
  </r>
  <r>
    <x v="46"/>
    <s v="conventional_default_current_cai_768"/>
    <x v="808"/>
    <n v="1.07"/>
    <n v="1"/>
    <n v="-40"/>
    <n v="940"/>
  </r>
  <r>
    <x v="46"/>
    <s v="conventional_default_current_cai_769"/>
    <x v="809"/>
    <n v="1.07"/>
    <n v="1"/>
    <n v="-40"/>
    <n v="940"/>
  </r>
  <r>
    <x v="46"/>
    <s v="conventional_default_current_cai_770"/>
    <x v="810"/>
    <n v="1.07"/>
    <n v="1"/>
    <n v="-40"/>
    <n v="940"/>
  </r>
  <r>
    <x v="46"/>
    <s v="conventional_default_current_cai_771"/>
    <x v="811"/>
    <n v="1.07"/>
    <n v="1"/>
    <n v="-40"/>
    <n v="940"/>
  </r>
  <r>
    <x v="46"/>
    <s v="conventional_default_current_cai_772"/>
    <x v="812"/>
    <n v="1.07"/>
    <n v="1"/>
    <n v="-40"/>
    <n v="940"/>
  </r>
  <r>
    <x v="46"/>
    <s v="conventional_default_current_cai_773"/>
    <x v="813"/>
    <n v="1.07"/>
    <n v="1"/>
    <n v="-40"/>
    <n v="940"/>
  </r>
  <r>
    <x v="46"/>
    <s v="conventional_default_current_cai_774"/>
    <x v="814"/>
    <n v="1.07"/>
    <n v="1"/>
    <n v="-40"/>
    <n v="940"/>
  </r>
  <r>
    <x v="46"/>
    <s v="conventional_default_current_cai_775"/>
    <x v="815"/>
    <n v="1.07"/>
    <n v="1"/>
    <n v="-40"/>
    <n v="940"/>
  </r>
  <r>
    <x v="46"/>
    <s v="conventional_default_current_cai_776"/>
    <x v="816"/>
    <n v="1.07"/>
    <n v="1"/>
    <n v="-40"/>
    <n v="940"/>
  </r>
  <r>
    <x v="46"/>
    <s v="conventional_default_current_cai_777"/>
    <x v="817"/>
    <n v="1.07"/>
    <n v="1"/>
    <n v="-40"/>
    <n v="940"/>
  </r>
  <r>
    <x v="46"/>
    <s v="conventional_default_current_cai_778"/>
    <x v="818"/>
    <n v="1.07"/>
    <n v="1"/>
    <n v="-40"/>
    <n v="940"/>
  </r>
  <r>
    <x v="46"/>
    <s v="conventional_default_current_cai_779"/>
    <x v="819"/>
    <n v="1.07"/>
    <n v="1"/>
    <n v="-40"/>
    <n v="940"/>
  </r>
  <r>
    <x v="46"/>
    <s v="conventional_default_current_cai_780"/>
    <x v="820"/>
    <n v="1.07"/>
    <n v="1"/>
    <n v="-40"/>
    <n v="940"/>
  </r>
  <r>
    <x v="46"/>
    <s v="conventional_default_current_cai_781"/>
    <x v="821"/>
    <n v="1.07"/>
    <n v="1"/>
    <n v="-40"/>
    <n v="940"/>
  </r>
  <r>
    <x v="46"/>
    <s v="conventional_default_current_cai_782"/>
    <x v="822"/>
    <n v="1.07"/>
    <n v="1"/>
    <n v="-40"/>
    <n v="940"/>
  </r>
  <r>
    <x v="46"/>
    <s v="conventional_default_current_cai_783"/>
    <x v="823"/>
    <n v="1.07"/>
    <n v="1"/>
    <n v="-40"/>
    <n v="940"/>
  </r>
  <r>
    <x v="46"/>
    <s v="conventional_default_current_cai_784"/>
    <x v="824"/>
    <n v="1.07"/>
    <n v="1"/>
    <n v="-40"/>
    <n v="940"/>
  </r>
  <r>
    <x v="46"/>
    <s v="conventional_default_current_cai_785"/>
    <x v="825"/>
    <n v="1.07"/>
    <n v="1"/>
    <n v="-40"/>
    <n v="940"/>
  </r>
  <r>
    <x v="46"/>
    <s v="conventional_default_current_cai_786"/>
    <x v="826"/>
    <n v="1.07"/>
    <n v="1"/>
    <n v="-40"/>
    <n v="940"/>
  </r>
  <r>
    <x v="46"/>
    <s v="conventional_default_current_cai_787"/>
    <x v="827"/>
    <n v="1.07"/>
    <n v="1"/>
    <n v="-40"/>
    <n v="940"/>
  </r>
  <r>
    <x v="46"/>
    <s v="conventional_default_current_cai_788"/>
    <x v="828"/>
    <n v="1.07"/>
    <n v="1"/>
    <n v="-40"/>
    <n v="940"/>
  </r>
  <r>
    <x v="46"/>
    <s v="conventional_default_current_cai_789"/>
    <x v="829"/>
    <n v="1.07"/>
    <n v="1"/>
    <n v="-40"/>
    <n v="940"/>
  </r>
  <r>
    <x v="46"/>
    <s v="conventional_default_current_cai_790"/>
    <x v="830"/>
    <n v="1.07"/>
    <n v="1"/>
    <n v="-40"/>
    <n v="940"/>
  </r>
  <r>
    <x v="46"/>
    <s v="conventional_default_current_cai_791"/>
    <x v="831"/>
    <n v="1.07"/>
    <n v="1"/>
    <n v="-40"/>
    <n v="940"/>
  </r>
  <r>
    <x v="46"/>
    <s v="conventional_default_current_cai_792"/>
    <x v="832"/>
    <n v="1.07"/>
    <n v="1"/>
    <n v="-40"/>
    <n v="940"/>
  </r>
  <r>
    <x v="46"/>
    <s v="conventional_default_current_cai_793"/>
    <x v="833"/>
    <n v="1.07"/>
    <n v="1"/>
    <n v="-40"/>
    <n v="940"/>
  </r>
  <r>
    <x v="46"/>
    <s v="conventional_default_current_cai_794"/>
    <x v="834"/>
    <n v="1.07"/>
    <n v="1"/>
    <n v="-40"/>
    <n v="940"/>
  </r>
  <r>
    <x v="46"/>
    <s v="conventional_default_current_cai_795"/>
    <x v="835"/>
    <n v="1.07"/>
    <n v="1"/>
    <n v="-40"/>
    <n v="940"/>
  </r>
  <r>
    <x v="46"/>
    <s v="conventional_default_current_cai_796"/>
    <x v="836"/>
    <n v="1.07"/>
    <n v="1"/>
    <n v="-40"/>
    <n v="940"/>
  </r>
  <r>
    <x v="46"/>
    <s v="conventional_default_current_cai_797"/>
    <x v="837"/>
    <n v="1.07"/>
    <n v="1"/>
    <n v="-40"/>
    <n v="940"/>
  </r>
  <r>
    <x v="46"/>
    <s v="conventional_default_current_cai_798"/>
    <x v="838"/>
    <n v="1.07"/>
    <n v="1"/>
    <n v="-40"/>
    <n v="940"/>
  </r>
  <r>
    <x v="46"/>
    <s v="conventional_default_current_cai_799"/>
    <x v="839"/>
    <n v="1.07"/>
    <n v="1"/>
    <n v="-40"/>
    <n v="940"/>
  </r>
  <r>
    <x v="46"/>
    <s v="conventional_default_current_cai_800"/>
    <x v="840"/>
    <n v="1.07"/>
    <n v="1"/>
    <n v="-40"/>
    <n v="940"/>
  </r>
  <r>
    <x v="46"/>
    <s v="conventional_default_current_cai_801"/>
    <x v="841"/>
    <n v="1.07"/>
    <n v="1"/>
    <n v="-40"/>
    <n v="940"/>
  </r>
  <r>
    <x v="46"/>
    <s v="conventional_default_current_cai_802"/>
    <x v="842"/>
    <n v="1.07"/>
    <n v="1"/>
    <n v="-40"/>
    <n v="940"/>
  </r>
  <r>
    <x v="46"/>
    <s v="conventional_default_current_cai_803"/>
    <x v="843"/>
    <n v="1.07"/>
    <n v="1"/>
    <n v="-40"/>
    <n v="940"/>
  </r>
  <r>
    <x v="46"/>
    <s v="conventional_default_current_cai_804"/>
    <x v="844"/>
    <n v="1.07"/>
    <n v="1"/>
    <n v="-40"/>
    <n v="940"/>
  </r>
  <r>
    <x v="46"/>
    <s v="conventional_default_current_cai_805"/>
    <x v="845"/>
    <n v="1.07"/>
    <n v="1"/>
    <n v="-40"/>
    <n v="940"/>
  </r>
  <r>
    <x v="46"/>
    <s v="conventional_default_current_cai_806"/>
    <x v="846"/>
    <n v="1.07"/>
    <n v="1"/>
    <n v="-40"/>
    <n v="940"/>
  </r>
  <r>
    <x v="46"/>
    <s v="conventional_default_current_cai_807"/>
    <x v="847"/>
    <n v="1.07"/>
    <n v="1"/>
    <n v="-40"/>
    <n v="940"/>
  </r>
  <r>
    <x v="46"/>
    <s v="conventional_default_current_cai_808"/>
    <x v="848"/>
    <n v="1.07"/>
    <n v="1"/>
    <n v="-40"/>
    <n v="940"/>
  </r>
  <r>
    <x v="46"/>
    <s v="conventional_default_current_cai_809"/>
    <x v="849"/>
    <n v="1.07"/>
    <n v="1"/>
    <n v="-40"/>
    <n v="940"/>
  </r>
  <r>
    <x v="46"/>
    <s v="conventional_default_current_cai_810"/>
    <x v="850"/>
    <n v="1.07"/>
    <n v="1"/>
    <n v="-40"/>
    <n v="940"/>
  </r>
  <r>
    <x v="46"/>
    <s v="conventional_default_current_cai_811"/>
    <x v="851"/>
    <n v="1.07"/>
    <n v="1"/>
    <n v="-40"/>
    <n v="940"/>
  </r>
  <r>
    <x v="46"/>
    <s v="conventional_default_current_cai_812"/>
    <x v="852"/>
    <n v="1.07"/>
    <n v="1"/>
    <n v="-40"/>
    <n v="940"/>
  </r>
  <r>
    <x v="46"/>
    <s v="conventional_default_current_cai_813"/>
    <x v="853"/>
    <n v="1.07"/>
    <n v="1"/>
    <n v="-40"/>
    <n v="940"/>
  </r>
  <r>
    <x v="46"/>
    <s v="conventional_default_current_cai_814"/>
    <x v="854"/>
    <n v="1.07"/>
    <n v="1"/>
    <n v="-40"/>
    <n v="940"/>
  </r>
  <r>
    <x v="46"/>
    <s v="conventional_default_current_cai_815"/>
    <x v="855"/>
    <n v="1.07"/>
    <n v="1"/>
    <n v="-40"/>
    <n v="940"/>
  </r>
  <r>
    <x v="46"/>
    <s v="conventional_default_current_cai_816"/>
    <x v="856"/>
    <n v="1.07"/>
    <n v="1"/>
    <n v="-40"/>
    <n v="940"/>
  </r>
  <r>
    <x v="46"/>
    <s v="conventional_default_current_cai_817"/>
    <x v="857"/>
    <n v="1.07"/>
    <n v="1"/>
    <n v="-40"/>
    <n v="940"/>
  </r>
  <r>
    <x v="46"/>
    <s v="conventional_default_current_cai_818"/>
    <x v="858"/>
    <n v="1.07"/>
    <n v="1"/>
    <n v="-40"/>
    <n v="940"/>
  </r>
  <r>
    <x v="46"/>
    <s v="conventional_default_current_cai_819"/>
    <x v="859"/>
    <n v="1.07"/>
    <n v="1"/>
    <n v="-40"/>
    <n v="940"/>
  </r>
  <r>
    <x v="46"/>
    <s v="conventional_default_current_cai_820"/>
    <x v="860"/>
    <n v="1.07"/>
    <n v="1"/>
    <n v="-40"/>
    <n v="940"/>
  </r>
  <r>
    <x v="46"/>
    <s v="conventional_default_current_cai_821"/>
    <x v="861"/>
    <n v="1.07"/>
    <n v="1"/>
    <n v="-40"/>
    <n v="940"/>
  </r>
  <r>
    <x v="46"/>
    <s v="conventional_default_current_cai_822"/>
    <x v="862"/>
    <n v="1.07"/>
    <n v="1"/>
    <n v="-40"/>
    <n v="940"/>
  </r>
  <r>
    <x v="46"/>
    <s v="conventional_default_current_cai_823"/>
    <x v="863"/>
    <n v="1.07"/>
    <n v="1"/>
    <n v="-40"/>
    <n v="940"/>
  </r>
  <r>
    <x v="46"/>
    <s v="conventional_default_current_cai_824"/>
    <x v="864"/>
    <n v="1.07"/>
    <n v="1"/>
    <n v="-40"/>
    <n v="940"/>
  </r>
  <r>
    <x v="46"/>
    <s v="conventional_default_current_cai_825"/>
    <x v="865"/>
    <n v="1.07"/>
    <n v="1"/>
    <n v="-40"/>
    <n v="940"/>
  </r>
  <r>
    <x v="46"/>
    <s v="conventional_default_current_cai_826"/>
    <x v="866"/>
    <n v="1.07"/>
    <n v="1"/>
    <n v="-40"/>
    <n v="940"/>
  </r>
  <r>
    <x v="46"/>
    <s v="conventional_default_current_cai_827"/>
    <x v="867"/>
    <n v="1.07"/>
    <n v="1"/>
    <n v="-40"/>
    <n v="940"/>
  </r>
  <r>
    <x v="46"/>
    <s v="conventional_default_current_cai_828"/>
    <x v="868"/>
    <n v="1.07"/>
    <n v="1"/>
    <n v="-40"/>
    <n v="940"/>
  </r>
  <r>
    <x v="46"/>
    <s v="conventional_default_current_cai_829"/>
    <x v="869"/>
    <n v="1.07"/>
    <n v="1"/>
    <n v="-40"/>
    <n v="940"/>
  </r>
  <r>
    <x v="46"/>
    <s v="conventional_default_current_cai_830"/>
    <x v="870"/>
    <n v="1.07"/>
    <n v="1"/>
    <n v="-40"/>
    <n v="940"/>
  </r>
  <r>
    <x v="46"/>
    <s v="conventional_default_current_cai_831"/>
    <x v="871"/>
    <n v="1.07"/>
    <n v="1"/>
    <n v="-40"/>
    <n v="940"/>
  </r>
  <r>
    <x v="46"/>
    <s v="conventional_default_current_cai_832"/>
    <x v="872"/>
    <n v="1.07"/>
    <n v="1"/>
    <n v="-40"/>
    <n v="940"/>
  </r>
  <r>
    <x v="46"/>
    <s v="conventional_default_current_cai_833"/>
    <x v="873"/>
    <n v="1.07"/>
    <n v="1"/>
    <n v="-40"/>
    <n v="940"/>
  </r>
  <r>
    <x v="46"/>
    <s v="conventional_default_current_cai_834"/>
    <x v="874"/>
    <n v="1.07"/>
    <n v="1"/>
    <n v="-40"/>
    <n v="940"/>
  </r>
  <r>
    <x v="46"/>
    <s v="conventional_default_current_cai_835"/>
    <x v="875"/>
    <n v="1.07"/>
    <n v="1"/>
    <n v="-40"/>
    <n v="940"/>
  </r>
  <r>
    <x v="46"/>
    <s v="conventional_default_current_cai_836"/>
    <x v="876"/>
    <n v="1.07"/>
    <n v="1"/>
    <n v="-40"/>
    <n v="940"/>
  </r>
  <r>
    <x v="46"/>
    <s v="conventional_default_current_cai_837"/>
    <x v="877"/>
    <n v="1.07"/>
    <n v="1"/>
    <n v="-40"/>
    <n v="940"/>
  </r>
  <r>
    <x v="46"/>
    <s v="conventional_default_current_cai_838"/>
    <x v="878"/>
    <n v="1.07"/>
    <n v="1"/>
    <n v="-40"/>
    <n v="940"/>
  </r>
  <r>
    <x v="46"/>
    <s v="conventional_default_current_cai_839"/>
    <x v="879"/>
    <n v="1.07"/>
    <n v="1"/>
    <n v="-40"/>
    <n v="940"/>
  </r>
  <r>
    <x v="46"/>
    <s v="conventional_default_current_cai_840"/>
    <x v="880"/>
    <n v="1.07"/>
    <n v="1"/>
    <n v="-40"/>
    <n v="940"/>
  </r>
  <r>
    <x v="46"/>
    <s v="conventional_default_current_cai_841"/>
    <x v="881"/>
    <n v="1.07"/>
    <n v="1"/>
    <n v="-40"/>
    <n v="940"/>
  </r>
  <r>
    <x v="46"/>
    <s v="conventional_default_current_cai_842"/>
    <x v="882"/>
    <n v="1.07"/>
    <n v="1"/>
    <n v="-40"/>
    <n v="940"/>
  </r>
  <r>
    <x v="46"/>
    <s v="conventional_default_current_cai_843"/>
    <x v="883"/>
    <n v="1.07"/>
    <n v="1"/>
    <n v="-40"/>
    <n v="940"/>
  </r>
  <r>
    <x v="46"/>
    <s v="conventional_default_current_cai_844"/>
    <x v="884"/>
    <n v="1.07"/>
    <n v="1"/>
    <n v="-40"/>
    <n v="940"/>
  </r>
  <r>
    <x v="46"/>
    <s v="conventional_default_current_cai_845"/>
    <x v="885"/>
    <n v="1.07"/>
    <n v="1"/>
    <n v="-40"/>
    <n v="940"/>
  </r>
  <r>
    <x v="46"/>
    <s v="conventional_default_current_cai_846"/>
    <x v="886"/>
    <n v="1.07"/>
    <n v="1"/>
    <n v="-40"/>
    <n v="940"/>
  </r>
  <r>
    <x v="46"/>
    <s v="conventional_default_current_cai_847"/>
    <x v="887"/>
    <n v="1.07"/>
    <n v="1"/>
    <n v="-40"/>
    <n v="940"/>
  </r>
  <r>
    <x v="46"/>
    <s v="conventional_default_current_cai_848"/>
    <x v="888"/>
    <n v="1.07"/>
    <n v="1"/>
    <n v="-40"/>
    <n v="940"/>
  </r>
  <r>
    <x v="46"/>
    <s v="conventional_default_current_cai_849"/>
    <x v="889"/>
    <n v="1.07"/>
    <n v="1"/>
    <n v="-40"/>
    <n v="940"/>
  </r>
  <r>
    <x v="46"/>
    <s v="conventional_default_current_cai_850"/>
    <x v="890"/>
    <n v="1.07"/>
    <n v="1"/>
    <n v="-40"/>
    <n v="940"/>
  </r>
  <r>
    <x v="46"/>
    <s v="conventional_default_current_cai_851"/>
    <x v="891"/>
    <n v="1.07"/>
    <n v="1"/>
    <n v="-40"/>
    <n v="940"/>
  </r>
  <r>
    <x v="46"/>
    <s v="conventional_default_current_cai_852"/>
    <x v="892"/>
    <n v="1.07"/>
    <n v="1"/>
    <n v="-40"/>
    <n v="940"/>
  </r>
  <r>
    <x v="46"/>
    <s v="conventional_default_current_cai_853"/>
    <x v="893"/>
    <n v="1.07"/>
    <n v="1"/>
    <n v="-40"/>
    <n v="940"/>
  </r>
  <r>
    <x v="46"/>
    <s v="conventional_default_current_cai_854"/>
    <x v="894"/>
    <n v="1.07"/>
    <n v="1"/>
    <n v="-40"/>
    <n v="940"/>
  </r>
  <r>
    <x v="46"/>
    <s v="conventional_default_current_cai_855"/>
    <x v="895"/>
    <n v="1.07"/>
    <n v="1"/>
    <n v="-40"/>
    <n v="940"/>
  </r>
  <r>
    <x v="46"/>
    <s v="conventional_default_current_cai_856"/>
    <x v="896"/>
    <n v="1.07"/>
    <n v="1"/>
    <n v="-40"/>
    <n v="940"/>
  </r>
  <r>
    <x v="46"/>
    <s v="conventional_default_current_cai_857"/>
    <x v="897"/>
    <n v="1.07"/>
    <n v="1"/>
    <n v="-40"/>
    <n v="940"/>
  </r>
  <r>
    <x v="46"/>
    <s v="conventional_default_current_cai_858"/>
    <x v="898"/>
    <n v="1.07"/>
    <n v="1"/>
    <n v="-40"/>
    <n v="940"/>
  </r>
  <r>
    <x v="46"/>
    <s v="conventional_default_current_cai_859"/>
    <x v="899"/>
    <n v="1.07"/>
    <n v="1"/>
    <n v="-40"/>
    <n v="940"/>
  </r>
  <r>
    <x v="46"/>
    <s v="conventional_default_current_cai_860"/>
    <x v="900"/>
    <n v="1.07"/>
    <n v="1"/>
    <n v="-40"/>
    <n v="940"/>
  </r>
  <r>
    <x v="46"/>
    <s v="conventional_default_current_cai_861"/>
    <x v="901"/>
    <n v="1.07"/>
    <n v="1"/>
    <n v="-40"/>
    <n v="940"/>
  </r>
  <r>
    <x v="46"/>
    <s v="conventional_default_current_cai_862"/>
    <x v="902"/>
    <n v="1.07"/>
    <n v="1"/>
    <n v="-40"/>
    <n v="940"/>
  </r>
  <r>
    <x v="46"/>
    <s v="conventional_default_current_cai_863"/>
    <x v="903"/>
    <n v="1.07"/>
    <n v="1"/>
    <n v="-40"/>
    <n v="940"/>
  </r>
  <r>
    <x v="46"/>
    <s v="conventional_default_current_cai_864"/>
    <x v="904"/>
    <n v="1.07"/>
    <n v="1"/>
    <n v="-40"/>
    <n v="940"/>
  </r>
  <r>
    <x v="46"/>
    <s v="conventional_default_current_cai_865"/>
    <x v="905"/>
    <n v="1.07"/>
    <n v="1"/>
    <n v="-40"/>
    <n v="940"/>
  </r>
  <r>
    <x v="46"/>
    <s v="conventional_default_current_cai_866"/>
    <x v="906"/>
    <n v="1.07"/>
    <n v="1"/>
    <n v="-40"/>
    <n v="940"/>
  </r>
  <r>
    <x v="46"/>
    <s v="conventional_default_current_cai_867"/>
    <x v="907"/>
    <n v="1.07"/>
    <n v="1"/>
    <n v="-40"/>
    <n v="940"/>
  </r>
  <r>
    <x v="46"/>
    <s v="conventional_default_current_cai_868"/>
    <x v="908"/>
    <n v="1.07"/>
    <n v="1"/>
    <n v="-40"/>
    <n v="940"/>
  </r>
  <r>
    <x v="46"/>
    <s v="conventional_default_current_cai_869"/>
    <x v="909"/>
    <n v="1.07"/>
    <n v="1"/>
    <n v="-40"/>
    <n v="940"/>
  </r>
  <r>
    <x v="46"/>
    <s v="conventional_default_current_cai_870"/>
    <x v="910"/>
    <n v="1.07"/>
    <n v="1"/>
    <n v="-40"/>
    <n v="940"/>
  </r>
  <r>
    <x v="46"/>
    <s v="conventional_default_current_cai_871"/>
    <x v="911"/>
    <n v="1.07"/>
    <n v="1"/>
    <n v="-40"/>
    <n v="940"/>
  </r>
  <r>
    <x v="46"/>
    <s v="conventional_default_current_cai_872"/>
    <x v="912"/>
    <n v="1.07"/>
    <n v="1"/>
    <n v="-40"/>
    <n v="940"/>
  </r>
  <r>
    <x v="46"/>
    <s v="conventional_default_current_cai_873"/>
    <x v="913"/>
    <n v="1.07"/>
    <n v="1"/>
    <n v="-40"/>
    <n v="940"/>
  </r>
  <r>
    <x v="46"/>
    <s v="conventional_default_current_cai_874"/>
    <x v="914"/>
    <n v="1.07"/>
    <n v="1"/>
    <n v="-40"/>
    <n v="940"/>
  </r>
  <r>
    <x v="46"/>
    <s v="conventional_default_current_cai_875"/>
    <x v="915"/>
    <n v="1.07"/>
    <n v="1"/>
    <n v="-40"/>
    <n v="940"/>
  </r>
  <r>
    <x v="46"/>
    <s v="conventional_default_current_cai_876"/>
    <x v="916"/>
    <n v="1.07"/>
    <n v="1"/>
    <n v="-40"/>
    <n v="940"/>
  </r>
  <r>
    <x v="46"/>
    <s v="conventional_default_current_cai_877"/>
    <x v="917"/>
    <n v="1.07"/>
    <n v="1"/>
    <n v="-40"/>
    <n v="940"/>
  </r>
  <r>
    <x v="46"/>
    <s v="conventional_default_current_cai_878"/>
    <x v="918"/>
    <n v="1.07"/>
    <n v="1"/>
    <n v="-40"/>
    <n v="940"/>
  </r>
  <r>
    <x v="46"/>
    <s v="conventional_default_current_cai_879"/>
    <x v="919"/>
    <n v="1.07"/>
    <n v="1"/>
    <n v="-40"/>
    <n v="940"/>
  </r>
  <r>
    <x v="46"/>
    <s v="conventional_default_current_cai_880"/>
    <x v="920"/>
    <n v="1.07"/>
    <n v="1"/>
    <n v="-40"/>
    <n v="940"/>
  </r>
  <r>
    <x v="46"/>
    <s v="conventional_default_current_cai_881"/>
    <x v="921"/>
    <n v="1.07"/>
    <n v="1"/>
    <n v="-40"/>
    <n v="940"/>
  </r>
  <r>
    <x v="46"/>
    <s v="conventional_default_current_cai_882"/>
    <x v="922"/>
    <n v="1.07"/>
    <n v="1"/>
    <n v="-40"/>
    <n v="940"/>
  </r>
  <r>
    <x v="46"/>
    <s v="conventional_default_current_cai_883"/>
    <x v="923"/>
    <n v="1.07"/>
    <n v="1"/>
    <n v="-40"/>
    <n v="940"/>
  </r>
  <r>
    <x v="46"/>
    <s v="conventional_default_current_cai_884"/>
    <x v="924"/>
    <n v="1.07"/>
    <n v="1"/>
    <n v="-40"/>
    <n v="940"/>
  </r>
  <r>
    <x v="46"/>
    <s v="conventional_default_current_cai_885"/>
    <x v="925"/>
    <n v="1.07"/>
    <n v="1"/>
    <n v="-40"/>
    <n v="940"/>
  </r>
  <r>
    <x v="46"/>
    <s v="conventional_default_current_cai_886"/>
    <x v="926"/>
    <n v="1.07"/>
    <n v="1"/>
    <n v="-40"/>
    <n v="940"/>
  </r>
  <r>
    <x v="46"/>
    <s v="conventional_default_current_cai_887"/>
    <x v="927"/>
    <n v="1.07"/>
    <n v="1"/>
    <n v="-40"/>
    <n v="940"/>
  </r>
  <r>
    <x v="46"/>
    <s v="conventional_default_current_cai_888"/>
    <x v="928"/>
    <n v="1.07"/>
    <n v="1"/>
    <n v="-40"/>
    <n v="940"/>
  </r>
  <r>
    <x v="46"/>
    <s v="conventional_default_current_cai_889"/>
    <x v="929"/>
    <n v="1.07"/>
    <n v="1"/>
    <n v="-40"/>
    <n v="940"/>
  </r>
  <r>
    <x v="46"/>
    <s v="conventional_default_current_cai_890"/>
    <x v="930"/>
    <n v="1.07"/>
    <n v="1"/>
    <n v="-40"/>
    <n v="940"/>
  </r>
  <r>
    <x v="46"/>
    <s v="conventional_default_current_cai_891"/>
    <x v="931"/>
    <n v="1.07"/>
    <n v="1"/>
    <n v="-40"/>
    <n v="940"/>
  </r>
  <r>
    <x v="46"/>
    <s v="conventional_default_current_cai_892"/>
    <x v="932"/>
    <n v="1.07"/>
    <n v="1"/>
    <n v="-40"/>
    <n v="940"/>
  </r>
  <r>
    <x v="46"/>
    <s v="conventional_default_current_cai_893"/>
    <x v="933"/>
    <n v="1.07"/>
    <n v="1"/>
    <n v="-40"/>
    <n v="940"/>
  </r>
  <r>
    <x v="46"/>
    <s v="conventional_default_current_cai_894"/>
    <x v="934"/>
    <n v="1.07"/>
    <n v="1"/>
    <n v="-40"/>
    <n v="940"/>
  </r>
  <r>
    <x v="46"/>
    <s v="conventional_default_current_cai_895"/>
    <x v="935"/>
    <n v="1.07"/>
    <n v="1"/>
    <n v="-40"/>
    <n v="940"/>
  </r>
  <r>
    <x v="46"/>
    <s v="conventional_default_current_cai_896"/>
    <x v="936"/>
    <n v="1.07"/>
    <n v="1"/>
    <n v="-40"/>
    <n v="940"/>
  </r>
  <r>
    <x v="46"/>
    <s v="conventional_default_current_cai_897"/>
    <x v="937"/>
    <n v="1.07"/>
    <n v="1"/>
    <n v="-40"/>
    <n v="940"/>
  </r>
  <r>
    <x v="46"/>
    <s v="conventional_default_current_cai_898"/>
    <x v="938"/>
    <n v="1.07"/>
    <n v="1"/>
    <n v="-40"/>
    <n v="940"/>
  </r>
  <r>
    <x v="46"/>
    <s v="conventional_default_current_cai_899"/>
    <x v="939"/>
    <n v="1.07"/>
    <n v="1"/>
    <n v="-40"/>
    <n v="940"/>
  </r>
  <r>
    <x v="46"/>
    <s v="conventional_default_current_cai_900"/>
    <x v="940"/>
    <n v="1.07"/>
    <n v="1"/>
    <n v="-40"/>
    <n v="940"/>
  </r>
  <r>
    <x v="46"/>
    <s v="conventional_default_current_cai_901"/>
    <x v="941"/>
    <n v="1.07"/>
    <n v="1"/>
    <n v="-40"/>
    <n v="940"/>
  </r>
  <r>
    <x v="46"/>
    <s v="conventional_default_current_cai_902"/>
    <x v="942"/>
    <n v="1.07"/>
    <n v="1"/>
    <n v="-40"/>
    <n v="940"/>
  </r>
  <r>
    <x v="46"/>
    <s v="conventional_default_current_cai_903"/>
    <x v="943"/>
    <n v="1.07"/>
    <n v="1"/>
    <n v="-40"/>
    <n v="940"/>
  </r>
  <r>
    <x v="46"/>
    <s v="conventional_default_current_cai_904"/>
    <x v="944"/>
    <n v="1.07"/>
    <n v="1"/>
    <n v="-40"/>
    <n v="940"/>
  </r>
  <r>
    <x v="46"/>
    <s v="conventional_default_current_cai_905"/>
    <x v="945"/>
    <n v="1.07"/>
    <n v="1"/>
    <n v="-40"/>
    <n v="940"/>
  </r>
  <r>
    <x v="46"/>
    <s v="conventional_default_current_cai_906"/>
    <x v="946"/>
    <n v="1.07"/>
    <n v="1"/>
    <n v="-40"/>
    <n v="940"/>
  </r>
  <r>
    <x v="46"/>
    <s v="conventional_default_current_cai_907"/>
    <x v="947"/>
    <n v="1.07"/>
    <n v="1"/>
    <n v="-40"/>
    <n v="940"/>
  </r>
  <r>
    <x v="46"/>
    <s v="conventional_default_current_cai_908"/>
    <x v="948"/>
    <n v="1.07"/>
    <n v="1"/>
    <n v="-40"/>
    <n v="940"/>
  </r>
  <r>
    <x v="46"/>
    <s v="conventional_default_current_cai_909"/>
    <x v="949"/>
    <n v="1.07"/>
    <n v="1"/>
    <n v="-40"/>
    <n v="940"/>
  </r>
  <r>
    <x v="46"/>
    <s v="conventional_default_current_cai_910"/>
    <x v="950"/>
    <n v="1.07"/>
    <n v="1"/>
    <n v="-40"/>
    <n v="940"/>
  </r>
  <r>
    <x v="46"/>
    <s v="conventional_default_current_cai_911"/>
    <x v="951"/>
    <n v="1.07"/>
    <n v="1"/>
    <n v="-40"/>
    <n v="940"/>
  </r>
  <r>
    <x v="46"/>
    <s v="conventional_default_current_cai_912"/>
    <x v="952"/>
    <n v="1.07"/>
    <n v="1"/>
    <n v="-40"/>
    <n v="940"/>
  </r>
  <r>
    <x v="46"/>
    <s v="conventional_default_current_cai_913"/>
    <x v="953"/>
    <n v="1.07"/>
    <n v="1"/>
    <n v="-40"/>
    <n v="940"/>
  </r>
  <r>
    <x v="46"/>
    <s v="conventional_default_current_cai_914"/>
    <x v="954"/>
    <n v="1.07"/>
    <n v="1"/>
    <n v="-40"/>
    <n v="940"/>
  </r>
  <r>
    <x v="46"/>
    <s v="conventional_default_current_cai_915"/>
    <x v="955"/>
    <n v="1.07"/>
    <n v="1"/>
    <n v="-40"/>
    <n v="940"/>
  </r>
  <r>
    <x v="46"/>
    <s v="conventional_default_current_cai_916"/>
    <x v="956"/>
    <n v="1.07"/>
    <n v="1"/>
    <n v="-40"/>
    <n v="940"/>
  </r>
  <r>
    <x v="46"/>
    <s v="conventional_default_current_cai_917"/>
    <x v="957"/>
    <n v="1.07"/>
    <n v="1"/>
    <n v="-40"/>
    <n v="940"/>
  </r>
  <r>
    <x v="46"/>
    <s v="conventional_default_current_cai_918"/>
    <x v="958"/>
    <n v="1.07"/>
    <n v="1"/>
    <n v="-40"/>
    <n v="940"/>
  </r>
  <r>
    <x v="46"/>
    <s v="conventional_default_current_cai_919"/>
    <x v="959"/>
    <n v="1.07"/>
    <n v="1"/>
    <n v="-40"/>
    <n v="940"/>
  </r>
  <r>
    <x v="46"/>
    <s v="conventional_default_current_cai_920"/>
    <x v="960"/>
    <n v="1.07"/>
    <n v="1"/>
    <n v="-40"/>
    <n v="940"/>
  </r>
  <r>
    <x v="46"/>
    <s v="conventional_default_current_cai_921"/>
    <x v="961"/>
    <n v="1.07"/>
    <n v="1"/>
    <n v="-40"/>
    <n v="940"/>
  </r>
  <r>
    <x v="46"/>
    <s v="conventional_default_current_cai_922"/>
    <x v="962"/>
    <n v="1.07"/>
    <n v="1"/>
    <n v="-40"/>
    <n v="940"/>
  </r>
  <r>
    <x v="46"/>
    <s v="conventional_default_current_cai_923"/>
    <x v="963"/>
    <n v="1.07"/>
    <n v="1"/>
    <n v="-40"/>
    <n v="940"/>
  </r>
  <r>
    <x v="46"/>
    <s v="conventional_default_current_cai_924"/>
    <x v="964"/>
    <n v="1.07"/>
    <n v="1"/>
    <n v="-40"/>
    <n v="940"/>
  </r>
  <r>
    <x v="46"/>
    <s v="conventional_default_current_cai_925"/>
    <x v="965"/>
    <n v="1.07"/>
    <n v="1"/>
    <n v="-40"/>
    <n v="940"/>
  </r>
  <r>
    <x v="46"/>
    <s v="conventional_default_current_cai_926"/>
    <x v="966"/>
    <n v="1.07"/>
    <n v="1"/>
    <n v="-40"/>
    <n v="940"/>
  </r>
  <r>
    <x v="46"/>
    <s v="conventional_default_current_cai_927"/>
    <x v="967"/>
    <n v="1.07"/>
    <n v="1"/>
    <n v="-40"/>
    <n v="940"/>
  </r>
  <r>
    <x v="46"/>
    <s v="conventional_default_current_cai_928"/>
    <x v="968"/>
    <n v="1.07"/>
    <n v="1"/>
    <n v="-40"/>
    <n v="940"/>
  </r>
  <r>
    <x v="46"/>
    <s v="conventional_default_current_cai_929"/>
    <x v="969"/>
    <n v="1.07"/>
    <n v="1"/>
    <n v="-40"/>
    <n v="940"/>
  </r>
  <r>
    <x v="46"/>
    <s v="conventional_default_current_cai_930"/>
    <x v="970"/>
    <n v="1.07"/>
    <n v="1"/>
    <n v="-40"/>
    <n v="940"/>
  </r>
  <r>
    <x v="46"/>
    <s v="conventional_default_current_cai_931"/>
    <x v="971"/>
    <n v="1.07"/>
    <n v="1"/>
    <n v="-40"/>
    <n v="940"/>
  </r>
  <r>
    <x v="46"/>
    <s v="conventional_default_current_cai_932"/>
    <x v="972"/>
    <n v="1.07"/>
    <n v="1"/>
    <n v="-40"/>
    <n v="940"/>
  </r>
  <r>
    <x v="46"/>
    <s v="conventional_default_current_cai_933"/>
    <x v="973"/>
    <n v="1.07"/>
    <n v="1"/>
    <n v="-40"/>
    <n v="940"/>
  </r>
  <r>
    <x v="46"/>
    <s v="conventional_default_current_cai_934"/>
    <x v="974"/>
    <n v="1.07"/>
    <n v="1"/>
    <n v="-40"/>
    <n v="940"/>
  </r>
  <r>
    <x v="46"/>
    <s v="conventional_default_current_cai_935"/>
    <x v="975"/>
    <n v="1.07"/>
    <n v="1"/>
    <n v="-40"/>
    <n v="940"/>
  </r>
  <r>
    <x v="46"/>
    <s v="conventional_default_current_cai_936"/>
    <x v="976"/>
    <n v="1.07"/>
    <n v="1"/>
    <n v="-40"/>
    <n v="940"/>
  </r>
  <r>
    <x v="46"/>
    <s v="conventional_default_current_cai_937"/>
    <x v="977"/>
    <n v="1.07"/>
    <n v="1"/>
    <n v="-40"/>
    <n v="940"/>
  </r>
  <r>
    <x v="46"/>
    <s v="conventional_default_current_cai_938"/>
    <x v="978"/>
    <n v="1.07"/>
    <n v="1"/>
    <n v="-40"/>
    <n v="940"/>
  </r>
  <r>
    <x v="46"/>
    <s v="conventional_default_current_cai_939"/>
    <x v="979"/>
    <n v="1.07"/>
    <n v="1"/>
    <n v="-40"/>
    <n v="940"/>
  </r>
  <r>
    <x v="46"/>
    <s v="conventional_default_current_cai_940"/>
    <x v="980"/>
    <n v="1.07"/>
    <n v="1"/>
    <n v="-40"/>
    <n v="940"/>
  </r>
  <r>
    <x v="47"/>
    <s v="conventional_default_current_wala_-66"/>
    <x v="1205"/>
    <n v="-0.7"/>
    <n v="1"/>
    <n v="-66"/>
    <n v="396"/>
  </r>
  <r>
    <x v="47"/>
    <s v="conventional_default_current_wala_-65"/>
    <x v="1206"/>
    <n v="-0.68833333333333302"/>
    <n v="1"/>
    <n v="-66"/>
    <n v="396"/>
  </r>
  <r>
    <x v="47"/>
    <s v="conventional_default_current_wala_-64"/>
    <x v="1207"/>
    <n v="-0.67666666666666697"/>
    <n v="1"/>
    <n v="-66"/>
    <n v="396"/>
  </r>
  <r>
    <x v="47"/>
    <s v="conventional_default_current_wala_-63"/>
    <x v="1208"/>
    <n v="-0.66500000000000004"/>
    <n v="1"/>
    <n v="-66"/>
    <n v="396"/>
  </r>
  <r>
    <x v="47"/>
    <s v="conventional_default_current_wala_-62"/>
    <x v="1209"/>
    <n v="-0.65333333333333299"/>
    <n v="1"/>
    <n v="-66"/>
    <n v="396"/>
  </r>
  <r>
    <x v="47"/>
    <s v="conventional_default_current_wala_-61"/>
    <x v="1210"/>
    <n v="-0.64166666666666705"/>
    <n v="1"/>
    <n v="-66"/>
    <n v="396"/>
  </r>
  <r>
    <x v="47"/>
    <s v="conventional_default_current_wala_-60"/>
    <x v="1211"/>
    <n v="-0.63"/>
    <n v="1"/>
    <n v="-66"/>
    <n v="396"/>
  </r>
  <r>
    <x v="47"/>
    <s v="conventional_default_current_wala_-59"/>
    <x v="1212"/>
    <n v="-0.61833333333333296"/>
    <n v="1"/>
    <n v="-66"/>
    <n v="396"/>
  </r>
  <r>
    <x v="47"/>
    <s v="conventional_default_current_wala_-58"/>
    <x v="1213"/>
    <n v="-0.60666666666666702"/>
    <n v="1"/>
    <n v="-66"/>
    <n v="396"/>
  </r>
  <r>
    <x v="47"/>
    <s v="conventional_default_current_wala_-57"/>
    <x v="1214"/>
    <n v="-0.59499999999999997"/>
    <n v="1"/>
    <n v="-66"/>
    <n v="396"/>
  </r>
  <r>
    <x v="47"/>
    <s v="conventional_default_current_wala_-56"/>
    <x v="1215"/>
    <n v="-0.58333333333333304"/>
    <n v="1"/>
    <n v="-66"/>
    <n v="396"/>
  </r>
  <r>
    <x v="47"/>
    <s v="conventional_default_current_wala_-55"/>
    <x v="1216"/>
    <n v="-0.57166666666666699"/>
    <n v="1"/>
    <n v="-66"/>
    <n v="396"/>
  </r>
  <r>
    <x v="47"/>
    <s v="conventional_default_current_wala_-54"/>
    <x v="1217"/>
    <n v="-0.56000000000000005"/>
    <n v="1"/>
    <n v="-66"/>
    <n v="396"/>
  </r>
  <r>
    <x v="47"/>
    <s v="conventional_default_current_wala_-53"/>
    <x v="1218"/>
    <n v="-0.54833333333333301"/>
    <n v="1"/>
    <n v="-66"/>
    <n v="396"/>
  </r>
  <r>
    <x v="47"/>
    <s v="conventional_default_current_wala_-52"/>
    <x v="1219"/>
    <n v="-0.53666666666666696"/>
    <n v="1"/>
    <n v="-66"/>
    <n v="396"/>
  </r>
  <r>
    <x v="47"/>
    <s v="conventional_default_current_wala_-51"/>
    <x v="1220"/>
    <n v="-0.52500000000000002"/>
    <n v="1"/>
    <n v="-66"/>
    <n v="396"/>
  </r>
  <r>
    <x v="47"/>
    <s v="conventional_default_current_wala_-50"/>
    <x v="1221"/>
    <n v="-0.51333333333333298"/>
    <n v="1"/>
    <n v="-66"/>
    <n v="396"/>
  </r>
  <r>
    <x v="47"/>
    <s v="conventional_default_current_wala_-49"/>
    <x v="1222"/>
    <n v="-0.50166666666666704"/>
    <n v="1"/>
    <n v="-66"/>
    <n v="396"/>
  </r>
  <r>
    <x v="47"/>
    <s v="conventional_default_current_wala_-48"/>
    <x v="1223"/>
    <n v="-0.49"/>
    <n v="1"/>
    <n v="-66"/>
    <n v="396"/>
  </r>
  <r>
    <x v="47"/>
    <s v="conventional_default_current_wala_-47"/>
    <x v="1224"/>
    <n v="-0.478333333333333"/>
    <n v="1"/>
    <n v="-66"/>
    <n v="396"/>
  </r>
  <r>
    <x v="47"/>
    <s v="conventional_default_current_wala_-46"/>
    <x v="1225"/>
    <n v="-0.46666666666666701"/>
    <n v="1"/>
    <n v="-66"/>
    <n v="396"/>
  </r>
  <r>
    <x v="47"/>
    <s v="conventional_default_current_wala_-45"/>
    <x v="1226"/>
    <n v="-0.45500000000000002"/>
    <n v="1"/>
    <n v="-66"/>
    <n v="396"/>
  </r>
  <r>
    <x v="47"/>
    <s v="conventional_default_current_wala_-44"/>
    <x v="1227"/>
    <n v="-0.44333333333333302"/>
    <n v="1"/>
    <n v="-66"/>
    <n v="396"/>
  </r>
  <r>
    <x v="47"/>
    <s v="conventional_default_current_wala_-43"/>
    <x v="1228"/>
    <n v="-0.43166666666666698"/>
    <n v="1"/>
    <n v="-66"/>
    <n v="396"/>
  </r>
  <r>
    <x v="47"/>
    <s v="conventional_default_current_wala_-42"/>
    <x v="1229"/>
    <n v="-0.42"/>
    <n v="1"/>
    <n v="-66"/>
    <n v="396"/>
  </r>
  <r>
    <x v="47"/>
    <s v="conventional_default_current_wala_-41"/>
    <x v="1230"/>
    <n v="-0.40833333333333299"/>
    <n v="1"/>
    <n v="-66"/>
    <n v="396"/>
  </r>
  <r>
    <x v="47"/>
    <s v="conventional_default_current_wala_-40"/>
    <x v="0"/>
    <n v="-0.396666666666667"/>
    <n v="1"/>
    <n v="-66"/>
    <n v="396"/>
  </r>
  <r>
    <x v="47"/>
    <s v="conventional_default_current_wala_-39"/>
    <x v="1"/>
    <n v="-0.38500000000000001"/>
    <n v="1"/>
    <n v="-66"/>
    <n v="396"/>
  </r>
  <r>
    <x v="47"/>
    <s v="conventional_default_current_wala_-38"/>
    <x v="2"/>
    <n v="-0.37333333333333302"/>
    <n v="1"/>
    <n v="-66"/>
    <n v="396"/>
  </r>
  <r>
    <x v="47"/>
    <s v="conventional_default_current_wala_-37"/>
    <x v="3"/>
    <n v="-0.36166666666666702"/>
    <n v="1"/>
    <n v="-66"/>
    <n v="396"/>
  </r>
  <r>
    <x v="47"/>
    <s v="conventional_default_current_wala_-36"/>
    <x v="4"/>
    <n v="-0.35"/>
    <n v="1"/>
    <n v="-66"/>
    <n v="396"/>
  </r>
  <r>
    <x v="47"/>
    <s v="conventional_default_current_wala_-35"/>
    <x v="5"/>
    <n v="-0.33833333333333299"/>
    <n v="1"/>
    <n v="-66"/>
    <n v="396"/>
  </r>
  <r>
    <x v="47"/>
    <s v="conventional_default_current_wala_-34"/>
    <x v="6"/>
    <n v="-0.32666666666666699"/>
    <n v="1"/>
    <n v="-66"/>
    <n v="396"/>
  </r>
  <r>
    <x v="47"/>
    <s v="conventional_default_current_wala_-33"/>
    <x v="7"/>
    <n v="-0.315"/>
    <n v="1"/>
    <n v="-66"/>
    <n v="396"/>
  </r>
  <r>
    <x v="47"/>
    <s v="conventional_default_current_wala_-32"/>
    <x v="8"/>
    <n v="-0.30333333333333301"/>
    <n v="1"/>
    <n v="-66"/>
    <n v="396"/>
  </r>
  <r>
    <x v="47"/>
    <s v="conventional_default_current_wala_-31"/>
    <x v="9"/>
    <n v="-0.29166666666666702"/>
    <n v="1"/>
    <n v="-66"/>
    <n v="396"/>
  </r>
  <r>
    <x v="47"/>
    <s v="conventional_default_current_wala_-30"/>
    <x v="10"/>
    <n v="-0.28000000000000003"/>
    <n v="1"/>
    <n v="-66"/>
    <n v="396"/>
  </r>
  <r>
    <x v="47"/>
    <s v="conventional_default_current_wala_-29"/>
    <x v="11"/>
    <n v="-0.26833333333333298"/>
    <n v="1"/>
    <n v="-66"/>
    <n v="396"/>
  </r>
  <r>
    <x v="47"/>
    <s v="conventional_default_current_wala_-28"/>
    <x v="12"/>
    <n v="-0.25666666666666699"/>
    <n v="1"/>
    <n v="-66"/>
    <n v="396"/>
  </r>
  <r>
    <x v="47"/>
    <s v="conventional_default_current_wala_-27"/>
    <x v="13"/>
    <n v="-0.245"/>
    <n v="1"/>
    <n v="-66"/>
    <n v="396"/>
  </r>
  <r>
    <x v="47"/>
    <s v="conventional_default_current_wala_-26"/>
    <x v="14"/>
    <n v="-0.233333333333333"/>
    <n v="1"/>
    <n v="-66"/>
    <n v="396"/>
  </r>
  <r>
    <x v="47"/>
    <s v="conventional_default_current_wala_-25"/>
    <x v="15"/>
    <n v="-0.22166666666666701"/>
    <n v="1"/>
    <n v="-66"/>
    <n v="396"/>
  </r>
  <r>
    <x v="47"/>
    <s v="conventional_default_current_wala_-24"/>
    <x v="16"/>
    <n v="-0.21"/>
    <n v="1"/>
    <n v="-66"/>
    <n v="396"/>
  </r>
  <r>
    <x v="47"/>
    <s v="conventional_default_current_wala_-23"/>
    <x v="17"/>
    <n v="-0.198333333333333"/>
    <n v="1"/>
    <n v="-66"/>
    <n v="396"/>
  </r>
  <r>
    <x v="47"/>
    <s v="conventional_default_current_wala_-22"/>
    <x v="18"/>
    <n v="-0.18666666666666701"/>
    <n v="1"/>
    <n v="-66"/>
    <n v="396"/>
  </r>
  <r>
    <x v="47"/>
    <s v="conventional_default_current_wala_-21"/>
    <x v="19"/>
    <n v="-0.17499999999999999"/>
    <n v="1"/>
    <n v="-66"/>
    <n v="396"/>
  </r>
  <r>
    <x v="47"/>
    <s v="conventional_default_current_wala_-20"/>
    <x v="20"/>
    <n v="-0.163333333333333"/>
    <n v="1"/>
    <n v="-66"/>
    <n v="396"/>
  </r>
  <r>
    <x v="47"/>
    <s v="conventional_default_current_wala_-19"/>
    <x v="21"/>
    <n v="-0.151666666666667"/>
    <n v="1"/>
    <n v="-66"/>
    <n v="396"/>
  </r>
  <r>
    <x v="47"/>
    <s v="conventional_default_current_wala_-18"/>
    <x v="22"/>
    <n v="-0.14000000000000001"/>
    <n v="1"/>
    <n v="-66"/>
    <n v="396"/>
  </r>
  <r>
    <x v="47"/>
    <s v="conventional_default_current_wala_-17"/>
    <x v="23"/>
    <n v="-0.12833333333333299"/>
    <n v="1"/>
    <n v="-66"/>
    <n v="396"/>
  </r>
  <r>
    <x v="47"/>
    <s v="conventional_default_current_wala_-16"/>
    <x v="24"/>
    <n v="-0.116666666666667"/>
    <n v="1"/>
    <n v="-66"/>
    <n v="396"/>
  </r>
  <r>
    <x v="47"/>
    <s v="conventional_default_current_wala_-15"/>
    <x v="25"/>
    <n v="-0.105"/>
    <n v="1"/>
    <n v="-66"/>
    <n v="396"/>
  </r>
  <r>
    <x v="47"/>
    <s v="conventional_default_current_wala_-14"/>
    <x v="26"/>
    <n v="-9.3333333333333296E-2"/>
    <n v="1"/>
    <n v="-66"/>
    <n v="396"/>
  </r>
  <r>
    <x v="47"/>
    <s v="conventional_default_current_wala_-13"/>
    <x v="27"/>
    <n v="-8.1666666666666707E-2"/>
    <n v="1"/>
    <n v="-66"/>
    <n v="396"/>
  </r>
  <r>
    <x v="47"/>
    <s v="conventional_default_current_wala_-12"/>
    <x v="28"/>
    <n v="-7.0000000000000007E-2"/>
    <n v="1"/>
    <n v="-66"/>
    <n v="396"/>
  </r>
  <r>
    <x v="47"/>
    <s v="conventional_default_current_wala_-11"/>
    <x v="29"/>
    <n v="-5.83333333333333E-2"/>
    <n v="1"/>
    <n v="-66"/>
    <n v="396"/>
  </r>
  <r>
    <x v="47"/>
    <s v="conventional_default_current_wala_-10"/>
    <x v="30"/>
    <n v="-4.6666666666666697E-2"/>
    <n v="1"/>
    <n v="-66"/>
    <n v="396"/>
  </r>
  <r>
    <x v="47"/>
    <s v="conventional_default_current_wala_-9"/>
    <x v="31"/>
    <n v="-3.5000000000000003E-2"/>
    <n v="1"/>
    <n v="-66"/>
    <n v="396"/>
  </r>
  <r>
    <x v="47"/>
    <s v="conventional_default_current_wala_-8"/>
    <x v="32"/>
    <n v="-2.33333333333333E-2"/>
    <n v="1"/>
    <n v="-66"/>
    <n v="396"/>
  </r>
  <r>
    <x v="47"/>
    <s v="conventional_default_current_wala_-7"/>
    <x v="33"/>
    <n v="-1.16666666666667E-2"/>
    <n v="1"/>
    <n v="-66"/>
    <n v="396"/>
  </r>
  <r>
    <x v="47"/>
    <s v="conventional_default_current_wala_-6"/>
    <x v="34"/>
    <n v="0"/>
    <n v="1"/>
    <n v="-66"/>
    <n v="396"/>
  </r>
  <r>
    <x v="47"/>
    <s v="conventional_default_current_wala_-5"/>
    <x v="35"/>
    <n v="1.16666666666667E-2"/>
    <n v="1"/>
    <n v="-66"/>
    <n v="396"/>
  </r>
  <r>
    <x v="47"/>
    <s v="conventional_default_current_wala_-4"/>
    <x v="36"/>
    <n v="2.33333333333333E-2"/>
    <n v="1"/>
    <n v="-66"/>
    <n v="396"/>
  </r>
  <r>
    <x v="47"/>
    <s v="conventional_default_current_wala_-3"/>
    <x v="37"/>
    <n v="3.5000000000000003E-2"/>
    <n v="1"/>
    <n v="-66"/>
    <n v="396"/>
  </r>
  <r>
    <x v="47"/>
    <s v="conventional_default_current_wala_-2"/>
    <x v="38"/>
    <n v="4.6666666666666697E-2"/>
    <n v="1"/>
    <n v="-66"/>
    <n v="396"/>
  </r>
  <r>
    <x v="47"/>
    <s v="conventional_default_current_wala_-1"/>
    <x v="39"/>
    <n v="5.83333333333333E-2"/>
    <n v="1"/>
    <n v="-66"/>
    <n v="396"/>
  </r>
  <r>
    <x v="47"/>
    <s v="conventional_default_current_wala_0"/>
    <x v="40"/>
    <n v="7.0000000000000007E-2"/>
    <n v="1"/>
    <n v="-66"/>
    <n v="396"/>
  </r>
  <r>
    <x v="47"/>
    <s v="conventional_default_current_wala_1"/>
    <x v="41"/>
    <n v="8.1550925925925902E-2"/>
    <n v="1"/>
    <n v="-66"/>
    <n v="396"/>
  </r>
  <r>
    <x v="47"/>
    <s v="conventional_default_current_wala_2"/>
    <x v="42"/>
    <n v="9.2962962962962997E-2"/>
    <n v="1"/>
    <n v="-66"/>
    <n v="396"/>
  </r>
  <r>
    <x v="47"/>
    <s v="conventional_default_current_wala_3"/>
    <x v="43"/>
    <n v="0.104375"/>
    <n v="1"/>
    <n v="-66"/>
    <n v="396"/>
  </r>
  <r>
    <x v="47"/>
    <s v="conventional_default_current_wala_4"/>
    <x v="44"/>
    <n v="0.115925925925926"/>
    <n v="1"/>
    <n v="-66"/>
    <n v="396"/>
  </r>
  <r>
    <x v="47"/>
    <s v="conventional_default_current_wala_5"/>
    <x v="45"/>
    <n v="0.12775462962963"/>
    <n v="1"/>
    <n v="-66"/>
    <n v="396"/>
  </r>
  <r>
    <x v="47"/>
    <s v="conventional_default_current_wala_6"/>
    <x v="46"/>
    <n v="0.14000000000000001"/>
    <n v="1"/>
    <n v="-66"/>
    <n v="396"/>
  </r>
  <r>
    <x v="47"/>
    <s v="conventional_default_current_wala_7"/>
    <x v="47"/>
    <n v="0.15287037037036999"/>
    <n v="1"/>
    <n v="-66"/>
    <n v="396"/>
  </r>
  <r>
    <x v="47"/>
    <s v="conventional_default_current_wala_8"/>
    <x v="48"/>
    <n v="0.166296296296296"/>
    <n v="1"/>
    <n v="-66"/>
    <n v="396"/>
  </r>
  <r>
    <x v="47"/>
    <s v="conventional_default_current_wala_9"/>
    <x v="49"/>
    <n v="0.18"/>
    <n v="1"/>
    <n v="-66"/>
    <n v="396"/>
  </r>
  <r>
    <x v="47"/>
    <s v="conventional_default_current_wala_10"/>
    <x v="50"/>
    <n v="0.19370370370370399"/>
    <n v="1"/>
    <n v="-66"/>
    <n v="396"/>
  </r>
  <r>
    <x v="47"/>
    <s v="conventional_default_current_wala_11"/>
    <x v="51"/>
    <n v="0.20712962962963"/>
    <n v="1"/>
    <n v="-66"/>
    <n v="396"/>
  </r>
  <r>
    <x v="47"/>
    <s v="conventional_default_current_wala_12"/>
    <x v="52"/>
    <n v="0.22"/>
    <n v="1"/>
    <n v="-66"/>
    <n v="396"/>
  </r>
  <r>
    <x v="47"/>
    <s v="conventional_default_current_wala_13"/>
    <x v="53"/>
    <n v="0.23212962962962999"/>
    <n v="1"/>
    <n v="-66"/>
    <n v="396"/>
  </r>
  <r>
    <x v="47"/>
    <s v="conventional_default_current_wala_14"/>
    <x v="54"/>
    <n v="0.24370370370370401"/>
    <n v="1"/>
    <n v="-66"/>
    <n v="396"/>
  </r>
  <r>
    <x v="47"/>
    <s v="conventional_default_current_wala_15"/>
    <x v="55"/>
    <n v="0.255"/>
    <n v="1"/>
    <n v="-66"/>
    <n v="396"/>
  </r>
  <r>
    <x v="47"/>
    <s v="conventional_default_current_wala_16"/>
    <x v="56"/>
    <n v="0.26629629629629598"/>
    <n v="1"/>
    <n v="-66"/>
    <n v="396"/>
  </r>
  <r>
    <x v="47"/>
    <s v="conventional_default_current_wala_17"/>
    <x v="57"/>
    <n v="0.27787037037036999"/>
    <n v="1"/>
    <n v="-66"/>
    <n v="396"/>
  </r>
  <r>
    <x v="47"/>
    <s v="conventional_default_current_wala_18"/>
    <x v="58"/>
    <n v="0.28999999999999998"/>
    <n v="1"/>
    <n v="-66"/>
    <n v="396"/>
  </r>
  <r>
    <x v="47"/>
    <s v="conventional_default_current_wala_19"/>
    <x v="59"/>
    <n v="0.30275462962963001"/>
    <n v="1"/>
    <n v="-66"/>
    <n v="396"/>
  </r>
  <r>
    <x v="47"/>
    <s v="conventional_default_current_wala_20"/>
    <x v="60"/>
    <n v="0.315925925925926"/>
    <n v="1"/>
    <n v="-66"/>
    <n v="396"/>
  </r>
  <r>
    <x v="47"/>
    <s v="conventional_default_current_wala_21"/>
    <x v="61"/>
    <n v="0.32937499999999997"/>
    <n v="1"/>
    <n v="-66"/>
    <n v="396"/>
  </r>
  <r>
    <x v="47"/>
    <s v="conventional_default_current_wala_22"/>
    <x v="62"/>
    <n v="0.34296296296296302"/>
    <n v="1"/>
    <n v="-66"/>
    <n v="396"/>
  </r>
  <r>
    <x v="47"/>
    <s v="conventional_default_current_wala_23"/>
    <x v="63"/>
    <n v="0.35655092592592602"/>
    <n v="1"/>
    <n v="-66"/>
    <n v="396"/>
  </r>
  <r>
    <x v="47"/>
    <s v="conventional_default_current_wala_24"/>
    <x v="64"/>
    <n v="0.37"/>
    <n v="1"/>
    <n v="-66"/>
    <n v="396"/>
  </r>
  <r>
    <x v="47"/>
    <s v="conventional_default_current_wala_25"/>
    <x v="65"/>
    <n v="0.38331741898148097"/>
    <n v="1"/>
    <n v="-66"/>
    <n v="396"/>
  </r>
  <r>
    <x v="47"/>
    <s v="conventional_default_current_wala_26"/>
    <x v="66"/>
    <n v="0.39660879629629597"/>
    <n v="1"/>
    <n v="-66"/>
    <n v="396"/>
  </r>
  <r>
    <x v="47"/>
    <s v="conventional_default_current_wala_27"/>
    <x v="67"/>
    <n v="0.40988281250000003"/>
    <n v="1"/>
    <n v="-66"/>
    <n v="396"/>
  </r>
  <r>
    <x v="47"/>
    <s v="conventional_default_current_wala_28"/>
    <x v="68"/>
    <n v="0.423148148148148"/>
    <n v="1"/>
    <n v="-66"/>
    <n v="396"/>
  </r>
  <r>
    <x v="47"/>
    <s v="conventional_default_current_wala_29"/>
    <x v="69"/>
    <n v="0.43641348379629602"/>
    <n v="1"/>
    <n v="-66"/>
    <n v="396"/>
  </r>
  <r>
    <x v="47"/>
    <s v="conventional_default_current_wala_30"/>
    <x v="70"/>
    <n v="0.44968750000000002"/>
    <n v="1"/>
    <n v="-66"/>
    <n v="396"/>
  </r>
  <r>
    <x v="47"/>
    <s v="conventional_default_current_wala_31"/>
    <x v="71"/>
    <n v="0.46297887731481502"/>
    <n v="1"/>
    <n v="-66"/>
    <n v="396"/>
  </r>
  <r>
    <x v="47"/>
    <s v="conventional_default_current_wala_32"/>
    <x v="72"/>
    <n v="0.476296296296296"/>
    <n v="1"/>
    <n v="-66"/>
    <n v="396"/>
  </r>
  <r>
    <x v="47"/>
    <s v="conventional_default_current_wala_33"/>
    <x v="73"/>
    <n v="0.48964843749999998"/>
    <n v="1"/>
    <n v="-66"/>
    <n v="396"/>
  </r>
  <r>
    <x v="47"/>
    <s v="conventional_default_current_wala_34"/>
    <x v="74"/>
    <n v="0.50304398148148199"/>
    <n v="1"/>
    <n v="-66"/>
    <n v="396"/>
  </r>
  <r>
    <x v="47"/>
    <s v="conventional_default_current_wala_35"/>
    <x v="75"/>
    <n v="0.51649160879629596"/>
    <n v="1"/>
    <n v="-66"/>
    <n v="396"/>
  </r>
  <r>
    <x v="47"/>
    <s v="conventional_default_current_wala_36"/>
    <x v="76"/>
    <n v="0.53"/>
    <n v="1"/>
    <n v="-66"/>
    <n v="396"/>
  </r>
  <r>
    <x v="47"/>
    <s v="conventional_default_current_wala_37"/>
    <x v="77"/>
    <n v="0.54366348379629603"/>
    <n v="1"/>
    <n v="-66"/>
    <n v="396"/>
  </r>
  <r>
    <x v="47"/>
    <s v="conventional_default_current_wala_38"/>
    <x v="78"/>
    <n v="0.55755092592592603"/>
    <n v="1"/>
    <n v="-66"/>
    <n v="396"/>
  </r>
  <r>
    <x v="47"/>
    <s v="conventional_default_current_wala_39"/>
    <x v="79"/>
    <n v="0.57163281249999998"/>
    <n v="1"/>
    <n v="-66"/>
    <n v="396"/>
  </r>
  <r>
    <x v="47"/>
    <s v="conventional_default_current_wala_40"/>
    <x v="80"/>
    <n v="0.58587962962963003"/>
    <n v="1"/>
    <n v="-66"/>
    <n v="396"/>
  </r>
  <r>
    <x v="47"/>
    <s v="conventional_default_current_wala_41"/>
    <x v="81"/>
    <n v="0.60026186342592602"/>
    <n v="1"/>
    <n v="-66"/>
    <n v="396"/>
  </r>
  <r>
    <x v="47"/>
    <s v="conventional_default_current_wala_42"/>
    <x v="82"/>
    <n v="0.61475000000000002"/>
    <n v="1"/>
    <n v="-66"/>
    <n v="396"/>
  </r>
  <r>
    <x v="47"/>
    <s v="conventional_default_current_wala_43"/>
    <x v="83"/>
    <n v="0.62931452546296296"/>
    <n v="1"/>
    <n v="-66"/>
    <n v="396"/>
  </r>
  <r>
    <x v="47"/>
    <s v="conventional_default_current_wala_44"/>
    <x v="84"/>
    <n v="0.64392592592592601"/>
    <n v="1"/>
    <n v="-66"/>
    <n v="396"/>
  </r>
  <r>
    <x v="47"/>
    <s v="conventional_default_current_wala_45"/>
    <x v="85"/>
    <n v="0.65855468750000001"/>
    <n v="1"/>
    <n v="-66"/>
    <n v="396"/>
  </r>
  <r>
    <x v="47"/>
    <s v="conventional_default_current_wala_46"/>
    <x v="86"/>
    <n v="0.67317129629629602"/>
    <n v="1"/>
    <n v="-66"/>
    <n v="396"/>
  </r>
  <r>
    <x v="47"/>
    <s v="conventional_default_current_wala_47"/>
    <x v="87"/>
    <n v="0.68774623842592597"/>
    <n v="1"/>
    <n v="-66"/>
    <n v="396"/>
  </r>
  <r>
    <x v="47"/>
    <s v="conventional_default_current_wala_48"/>
    <x v="88"/>
    <n v="0.70225000000000004"/>
    <n v="1"/>
    <n v="-66"/>
    <n v="396"/>
  </r>
  <r>
    <x v="47"/>
    <s v="conventional_default_current_wala_49"/>
    <x v="89"/>
    <n v="0.71665306712962995"/>
    <n v="1"/>
    <n v="-66"/>
    <n v="396"/>
  </r>
  <r>
    <x v="47"/>
    <s v="conventional_default_current_wala_50"/>
    <x v="90"/>
    <n v="0.73092592592592598"/>
    <n v="1"/>
    <n v="-66"/>
    <n v="396"/>
  </r>
  <r>
    <x v="47"/>
    <s v="conventional_default_current_wala_51"/>
    <x v="91"/>
    <n v="0.74503906249999996"/>
    <n v="1"/>
    <n v="-66"/>
    <n v="396"/>
  </r>
  <r>
    <x v="47"/>
    <s v="conventional_default_current_wala_52"/>
    <x v="92"/>
    <n v="0.75896296296296295"/>
    <n v="1"/>
    <n v="-66"/>
    <n v="396"/>
  </r>
  <r>
    <x v="47"/>
    <s v="conventional_default_current_wala_53"/>
    <x v="93"/>
    <n v="0.77266811342592601"/>
    <n v="1"/>
    <n v="-66"/>
    <n v="396"/>
  </r>
  <r>
    <x v="47"/>
    <s v="conventional_default_current_wala_54"/>
    <x v="94"/>
    <n v="0.78612499999999996"/>
    <n v="1"/>
    <n v="-66"/>
    <n v="396"/>
  </r>
  <r>
    <x v="47"/>
    <s v="conventional_default_current_wala_55"/>
    <x v="95"/>
    <n v="0.79930410879629599"/>
    <n v="1"/>
    <n v="-66"/>
    <n v="396"/>
  </r>
  <r>
    <x v="47"/>
    <s v="conventional_default_current_wala_56"/>
    <x v="96"/>
    <n v="0.81217592592592602"/>
    <n v="1"/>
    <n v="-66"/>
    <n v="396"/>
  </r>
  <r>
    <x v="47"/>
    <s v="conventional_default_current_wala_57"/>
    <x v="97"/>
    <n v="0.82471093750000002"/>
    <n v="1"/>
    <n v="-66"/>
    <n v="396"/>
  </r>
  <r>
    <x v="47"/>
    <s v="conventional_default_current_wala_58"/>
    <x v="98"/>
    <n v="0.83687962962963003"/>
    <n v="1"/>
    <n v="-66"/>
    <n v="396"/>
  </r>
  <r>
    <x v="47"/>
    <s v="conventional_default_current_wala_59"/>
    <x v="99"/>
    <n v="0.848652488425926"/>
    <n v="1"/>
    <n v="-66"/>
    <n v="396"/>
  </r>
  <r>
    <x v="47"/>
    <s v="conventional_default_current_wala_60"/>
    <x v="100"/>
    <n v="0.86"/>
    <n v="1"/>
    <n v="-66"/>
    <n v="396"/>
  </r>
  <r>
    <x v="47"/>
    <s v="conventional_default_current_wala_61"/>
    <x v="101"/>
    <n v="0.87112460793100399"/>
    <n v="1"/>
    <n v="-66"/>
    <n v="396"/>
  </r>
  <r>
    <x v="47"/>
    <s v="conventional_default_current_wala_62"/>
    <x v="102"/>
    <n v="0.88224549220326998"/>
    <n v="1"/>
    <n v="-66"/>
    <n v="396"/>
  </r>
  <r>
    <x v="47"/>
    <s v="conventional_default_current_wala_63"/>
    <x v="103"/>
    <n v="0.89335824353567805"/>
    <n v="1"/>
    <n v="-66"/>
    <n v="396"/>
  </r>
  <r>
    <x v="47"/>
    <s v="conventional_default_current_wala_64"/>
    <x v="104"/>
    <n v="0.90445845264711"/>
    <n v="1"/>
    <n v="-66"/>
    <n v="396"/>
  </r>
  <r>
    <x v="47"/>
    <s v="conventional_default_current_wala_65"/>
    <x v="105"/>
    <n v="0.91554171025644604"/>
    <n v="1"/>
    <n v="-66"/>
    <n v="396"/>
  </r>
  <r>
    <x v="47"/>
    <s v="conventional_default_current_wala_66"/>
    <x v="106"/>
    <n v="0.92660360708256895"/>
    <n v="1"/>
    <n v="-66"/>
    <n v="396"/>
  </r>
  <r>
    <x v="47"/>
    <s v="conventional_default_current_wala_67"/>
    <x v="107"/>
    <n v="0.93763973384435795"/>
    <n v="1"/>
    <n v="-66"/>
    <n v="396"/>
  </r>
  <r>
    <x v="47"/>
    <s v="conventional_default_current_wala_68"/>
    <x v="108"/>
    <n v="0.94864568126069404"/>
    <n v="1"/>
    <n v="-66"/>
    <n v="396"/>
  </r>
  <r>
    <x v="47"/>
    <s v="conventional_default_current_wala_69"/>
    <x v="109"/>
    <n v="0.959617040050459"/>
    <n v="1"/>
    <n v="-66"/>
    <n v="396"/>
  </r>
  <r>
    <x v="47"/>
    <s v="conventional_default_current_wala_70"/>
    <x v="110"/>
    <n v="0.97054940093253295"/>
    <n v="1"/>
    <n v="-66"/>
    <n v="396"/>
  </r>
  <r>
    <x v="47"/>
    <s v="conventional_default_current_wala_71"/>
    <x v="111"/>
    <n v="0.98143835462579798"/>
    <n v="1"/>
    <n v="-66"/>
    <n v="396"/>
  </r>
  <r>
    <x v="47"/>
    <s v="conventional_default_current_wala_72"/>
    <x v="112"/>
    <n v="0.992279491849134"/>
    <n v="1"/>
    <n v="-66"/>
    <n v="396"/>
  </r>
  <r>
    <x v="47"/>
    <s v="conventional_default_current_wala_73"/>
    <x v="113"/>
    <n v="1.0030684033214201"/>
    <n v="1"/>
    <n v="-66"/>
    <n v="396"/>
  </r>
  <r>
    <x v="47"/>
    <s v="conventional_default_current_wala_74"/>
    <x v="114"/>
    <n v="1.01380067976154"/>
    <n v="1"/>
    <n v="-66"/>
    <n v="396"/>
  </r>
  <r>
    <x v="47"/>
    <s v="conventional_default_current_wala_75"/>
    <x v="115"/>
    <n v="1.02447191188838"/>
    <n v="1"/>
    <n v="-66"/>
    <n v="396"/>
  </r>
  <r>
    <x v="47"/>
    <s v="conventional_default_current_wala_76"/>
    <x v="116"/>
    <n v="1.0350776904208101"/>
    <n v="1"/>
    <n v="-66"/>
    <n v="396"/>
  </r>
  <r>
    <x v="47"/>
    <s v="conventional_default_current_wala_77"/>
    <x v="117"/>
    <n v="1.0456136060777199"/>
    <n v="1"/>
    <n v="-66"/>
    <n v="396"/>
  </r>
  <r>
    <x v="47"/>
    <s v="conventional_default_current_wala_78"/>
    <x v="118"/>
    <n v="1.0560752495779799"/>
    <n v="1"/>
    <n v="-66"/>
    <n v="396"/>
  </r>
  <r>
    <x v="47"/>
    <s v="conventional_default_current_wala_79"/>
    <x v="119"/>
    <n v="1.0664582116404899"/>
    <n v="1"/>
    <n v="-66"/>
    <n v="396"/>
  </r>
  <r>
    <x v="47"/>
    <s v="conventional_default_current_wala_80"/>
    <x v="120"/>
    <n v="1.0767580829841099"/>
    <n v="1"/>
    <n v="-66"/>
    <n v="396"/>
  </r>
  <r>
    <x v="47"/>
    <s v="conventional_default_current_wala_81"/>
    <x v="121"/>
    <n v="1.0869704543277301"/>
    <n v="1"/>
    <n v="-66"/>
    <n v="396"/>
  </r>
  <r>
    <x v="47"/>
    <s v="conventional_default_current_wala_82"/>
    <x v="122"/>
    <n v="1.09709091639023"/>
    <n v="1"/>
    <n v="-66"/>
    <n v="396"/>
  </r>
  <r>
    <x v="47"/>
    <s v="conventional_default_current_wala_83"/>
    <x v="123"/>
    <n v="1.1071150598905"/>
    <n v="1"/>
    <n v="-66"/>
    <n v="396"/>
  </r>
  <r>
    <x v="47"/>
    <s v="conventional_default_current_wala_84"/>
    <x v="124"/>
    <n v="1.1170384755474001"/>
    <n v="1"/>
    <n v="-66"/>
    <n v="396"/>
  </r>
  <r>
    <x v="47"/>
    <s v="conventional_default_current_wala_85"/>
    <x v="125"/>
    <n v="1.12685675407983"/>
    <n v="1"/>
    <n v="-66"/>
    <n v="396"/>
  </r>
  <r>
    <x v="47"/>
    <s v="conventional_default_current_wala_86"/>
    <x v="126"/>
    <n v="1.1365654862066701"/>
    <n v="1"/>
    <n v="-66"/>
    <n v="396"/>
  </r>
  <r>
    <x v="47"/>
    <s v="conventional_default_current_wala_87"/>
    <x v="127"/>
    <n v="1.1461602626467899"/>
    <n v="1"/>
    <n v="-66"/>
    <n v="396"/>
  </r>
  <r>
    <x v="47"/>
    <s v="conventional_default_current_wala_88"/>
    <x v="128"/>
    <n v="1.15563667411908"/>
    <n v="1"/>
    <n v="-66"/>
    <n v="396"/>
  </r>
  <r>
    <x v="47"/>
    <s v="conventional_default_current_wala_89"/>
    <x v="129"/>
    <n v="1.16499031134242"/>
    <n v="1"/>
    <n v="-66"/>
    <n v="396"/>
  </r>
  <r>
    <x v="47"/>
    <s v="conventional_default_current_wala_90"/>
    <x v="130"/>
    <n v="1.1742167650356801"/>
    <n v="1"/>
    <n v="-66"/>
    <n v="396"/>
  </r>
  <r>
    <x v="47"/>
    <s v="conventional_default_current_wala_91"/>
    <x v="131"/>
    <n v="1.1833116259177501"/>
    <n v="1"/>
    <n v="-66"/>
    <n v="396"/>
  </r>
  <r>
    <x v="47"/>
    <s v="conventional_default_current_wala_92"/>
    <x v="132"/>
    <n v="1.1922704847075201"/>
    <n v="1"/>
    <n v="-66"/>
    <n v="396"/>
  </r>
  <r>
    <x v="47"/>
    <s v="conventional_default_current_wala_93"/>
    <x v="133"/>
    <n v="1.20108893212386"/>
    <n v="1"/>
    <n v="-66"/>
    <n v="396"/>
  </r>
  <r>
    <x v="47"/>
    <s v="conventional_default_current_wala_94"/>
    <x v="134"/>
    <n v="1.20976255888565"/>
    <n v="1"/>
    <n v="-66"/>
    <n v="396"/>
  </r>
  <r>
    <x v="47"/>
    <s v="conventional_default_current_wala_95"/>
    <x v="135"/>
    <n v="1.2182869557117699"/>
    <n v="1"/>
    <n v="-66"/>
    <n v="396"/>
  </r>
  <r>
    <x v="47"/>
    <s v="conventional_default_current_wala_96"/>
    <x v="136"/>
    <n v="1.2266577133211001"/>
    <n v="1"/>
    <n v="-66"/>
    <n v="396"/>
  </r>
  <r>
    <x v="47"/>
    <s v="conventional_default_current_wala_97"/>
    <x v="137"/>
    <n v="1.23487042243254"/>
    <n v="1"/>
    <n v="-66"/>
    <n v="396"/>
  </r>
  <r>
    <x v="47"/>
    <s v="conventional_default_current_wala_98"/>
    <x v="138"/>
    <n v="1.2429206737649401"/>
    <n v="1"/>
    <n v="-66"/>
    <n v="396"/>
  </r>
  <r>
    <x v="47"/>
    <s v="conventional_default_current_wala_99"/>
    <x v="139"/>
    <n v="1.25080405803721"/>
    <n v="1"/>
    <n v="-66"/>
    <n v="396"/>
  </r>
  <r>
    <x v="47"/>
    <s v="conventional_default_current_wala_100"/>
    <x v="140"/>
    <n v="1.25851616596821"/>
    <n v="1"/>
    <n v="-66"/>
    <n v="396"/>
  </r>
  <r>
    <x v="47"/>
    <s v="conventional_default_current_wala_101"/>
    <x v="141"/>
    <n v="1.2660525882768401"/>
    <n v="1"/>
    <n v="-66"/>
    <n v="396"/>
  </r>
  <r>
    <x v="47"/>
    <s v="conventional_default_current_wala_102"/>
    <x v="142"/>
    <n v="1.2734089156819599"/>
    <n v="1"/>
    <n v="-66"/>
    <n v="396"/>
  </r>
  <r>
    <x v="47"/>
    <s v="conventional_default_current_wala_103"/>
    <x v="143"/>
    <n v="1.2805807389024599"/>
    <n v="1"/>
    <n v="-66"/>
    <n v="396"/>
  </r>
  <r>
    <x v="47"/>
    <s v="conventional_default_current_wala_104"/>
    <x v="144"/>
    <n v="1.2875636486572299"/>
    <n v="1"/>
    <n v="-66"/>
    <n v="396"/>
  </r>
  <r>
    <x v="47"/>
    <s v="conventional_default_current_wala_105"/>
    <x v="145"/>
    <n v="1.2943532356651399"/>
    <n v="1"/>
    <n v="-66"/>
    <n v="396"/>
  </r>
  <r>
    <x v="47"/>
    <s v="conventional_default_current_wala_106"/>
    <x v="146"/>
    <n v="1.3009450906450699"/>
    <n v="1"/>
    <n v="-66"/>
    <n v="396"/>
  </r>
  <r>
    <x v="47"/>
    <s v="conventional_default_current_wala_107"/>
    <x v="147"/>
    <n v="1.3073348043159101"/>
    <n v="1"/>
    <n v="-66"/>
    <n v="396"/>
  </r>
  <r>
    <x v="47"/>
    <s v="conventional_default_current_wala_108"/>
    <x v="148"/>
    <n v="1.31351796739654"/>
    <n v="1"/>
    <n v="-66"/>
    <n v="396"/>
  </r>
  <r>
    <x v="47"/>
    <s v="conventional_default_current_wala_109"/>
    <x v="149"/>
    <n v="1.31949017060583"/>
    <n v="1"/>
    <n v="-66"/>
    <n v="396"/>
  </r>
  <r>
    <x v="47"/>
    <s v="conventional_default_current_wala_110"/>
    <x v="150"/>
    <n v="1.3252470046626701"/>
    <n v="1"/>
    <n v="-66"/>
    <n v="396"/>
  </r>
  <r>
    <x v="47"/>
    <s v="conventional_default_current_wala_111"/>
    <x v="151"/>
    <n v="1.33078406028594"/>
    <n v="1"/>
    <n v="-66"/>
    <n v="396"/>
  </r>
  <r>
    <x v="47"/>
    <s v="conventional_default_current_wala_112"/>
    <x v="152"/>
    <n v="1.3360969281945101"/>
    <n v="1"/>
    <n v="-66"/>
    <n v="396"/>
  </r>
  <r>
    <x v="47"/>
    <s v="conventional_default_current_wala_113"/>
    <x v="153"/>
    <n v="1.34118119910728"/>
    <n v="1"/>
    <n v="-66"/>
    <n v="396"/>
  </r>
  <r>
    <x v="47"/>
    <s v="conventional_default_current_wala_114"/>
    <x v="154"/>
    <n v="1.34603246374312"/>
    <n v="1"/>
    <n v="-66"/>
    <n v="396"/>
  </r>
  <r>
    <x v="47"/>
    <s v="conventional_default_current_wala_115"/>
    <x v="155"/>
    <n v="1.3506463128209101"/>
    <n v="1"/>
    <n v="-66"/>
    <n v="396"/>
  </r>
  <r>
    <x v="47"/>
    <s v="conventional_default_current_wala_116"/>
    <x v="156"/>
    <n v="1.3550183370595399"/>
    <n v="1"/>
    <n v="-66"/>
    <n v="396"/>
  </r>
  <r>
    <x v="47"/>
    <s v="conventional_default_current_wala_117"/>
    <x v="157"/>
    <n v="1.3591441271778799"/>
    <n v="1"/>
    <n v="-66"/>
    <n v="396"/>
  </r>
  <r>
    <x v="47"/>
    <s v="conventional_default_current_wala_118"/>
    <x v="158"/>
    <n v="1.3630192738948199"/>
    <n v="1"/>
    <n v="-66"/>
    <n v="396"/>
  </r>
  <r>
    <x v="47"/>
    <s v="conventional_default_current_wala_119"/>
    <x v="159"/>
    <n v="1.3666393679292299"/>
    <n v="1"/>
    <n v="-66"/>
    <n v="396"/>
  </r>
  <r>
    <x v="47"/>
    <s v="conventional_default_current_wala_120"/>
    <x v="160"/>
    <n v="1.37"/>
    <n v="1"/>
    <n v="-66"/>
    <n v="396"/>
  </r>
  <r>
    <x v="47"/>
    <s v="conventional_default_current_wala_121"/>
    <x v="161"/>
    <n v="1.3732027646095299"/>
    <n v="1"/>
    <n v="-66"/>
    <n v="396"/>
  </r>
  <r>
    <x v="47"/>
    <s v="conventional_default_current_wala_122"/>
    <x v="162"/>
    <n v="1.37635249099339"/>
    <n v="1"/>
    <n v="-66"/>
    <n v="396"/>
  </r>
  <r>
    <x v="47"/>
    <s v="conventional_default_current_wala_123"/>
    <x v="163"/>
    <n v="1.37944962197018"/>
    <n v="1"/>
    <n v="-66"/>
    <n v="396"/>
  </r>
  <r>
    <x v="47"/>
    <s v="conventional_default_current_wala_124"/>
    <x v="164"/>
    <n v="1.3824946003585099"/>
    <n v="1"/>
    <n v="-66"/>
    <n v="396"/>
  </r>
  <r>
    <x v="47"/>
    <s v="conventional_default_current_wala_125"/>
    <x v="165"/>
    <n v="1.385487868977"/>
    <n v="1"/>
    <n v="-66"/>
    <n v="396"/>
  </r>
  <r>
    <x v="47"/>
    <s v="conventional_default_current_wala_126"/>
    <x v="166"/>
    <n v="1.3884298706442399"/>
    <n v="1"/>
    <n v="-66"/>
    <n v="396"/>
  </r>
  <r>
    <x v="47"/>
    <s v="conventional_default_current_wala_127"/>
    <x v="167"/>
    <n v="1.3913210481788501"/>
    <n v="1"/>
    <n v="-66"/>
    <n v="396"/>
  </r>
  <r>
    <x v="47"/>
    <s v="conventional_default_current_wala_128"/>
    <x v="168"/>
    <n v="1.3941618443994399"/>
    <n v="1"/>
    <n v="-66"/>
    <n v="396"/>
  </r>
  <r>
    <x v="47"/>
    <s v="conventional_default_current_wala_129"/>
    <x v="169"/>
    <n v="1.39695270212462"/>
    <n v="1"/>
    <n v="-66"/>
    <n v="396"/>
  </r>
  <r>
    <x v="47"/>
    <s v="conventional_default_current_wala_130"/>
    <x v="170"/>
    <n v="1.39969406417299"/>
    <n v="1"/>
    <n v="-66"/>
    <n v="396"/>
  </r>
  <r>
    <x v="47"/>
    <s v="conventional_default_current_wala_131"/>
    <x v="171"/>
    <n v="1.4023863733631701"/>
    <n v="1"/>
    <n v="-66"/>
    <n v="396"/>
  </r>
  <r>
    <x v="47"/>
    <s v="conventional_default_current_wala_132"/>
    <x v="172"/>
    <n v="1.4050300725137601"/>
    <n v="1"/>
    <n v="-66"/>
    <n v="396"/>
  </r>
  <r>
    <x v="47"/>
    <s v="conventional_default_current_wala_133"/>
    <x v="173"/>
    <n v="1.4076256044433699"/>
    <n v="1"/>
    <n v="-66"/>
    <n v="396"/>
  </r>
  <r>
    <x v="47"/>
    <s v="conventional_default_current_wala_134"/>
    <x v="174"/>
    <n v="1.41017341197062"/>
    <n v="1"/>
    <n v="-66"/>
    <n v="396"/>
  </r>
  <r>
    <x v="47"/>
    <s v="conventional_default_current_wala_135"/>
    <x v="175"/>
    <n v="1.41267393791411"/>
    <n v="1"/>
    <n v="-66"/>
    <n v="396"/>
  </r>
  <r>
    <x v="47"/>
    <s v="conventional_default_current_wala_136"/>
    <x v="176"/>
    <n v="1.41512762509246"/>
    <n v="1"/>
    <n v="-66"/>
    <n v="396"/>
  </r>
  <r>
    <x v="47"/>
    <s v="conventional_default_current_wala_137"/>
    <x v="177"/>
    <n v="1.4175349163242601"/>
    <n v="1"/>
    <n v="-66"/>
    <n v="396"/>
  </r>
  <r>
    <x v="47"/>
    <s v="conventional_default_current_wala_138"/>
    <x v="178"/>
    <n v="1.4198962544281299"/>
    <n v="1"/>
    <n v="-66"/>
    <n v="396"/>
  </r>
  <r>
    <x v="47"/>
    <s v="conventional_default_current_wala_139"/>
    <x v="179"/>
    <n v="1.42221208222268"/>
    <n v="1"/>
    <n v="-66"/>
    <n v="396"/>
  </r>
  <r>
    <x v="47"/>
    <s v="conventional_default_current_wala_140"/>
    <x v="180"/>
    <n v="1.4244828425265199"/>
    <n v="1"/>
    <n v="-66"/>
    <n v="396"/>
  </r>
  <r>
    <x v="47"/>
    <s v="conventional_default_current_wala_141"/>
    <x v="181"/>
    <n v="1.42670897815825"/>
    <n v="1"/>
    <n v="-66"/>
    <n v="396"/>
  </r>
  <r>
    <x v="47"/>
    <s v="conventional_default_current_wala_142"/>
    <x v="182"/>
    <n v="1.42889093193649"/>
    <n v="1"/>
    <n v="-66"/>
    <n v="396"/>
  </r>
  <r>
    <x v="47"/>
    <s v="conventional_default_current_wala_143"/>
    <x v="183"/>
    <n v="1.4310291466798499"/>
    <n v="1"/>
    <n v="-66"/>
    <n v="396"/>
  </r>
  <r>
    <x v="47"/>
    <s v="conventional_default_current_wala_144"/>
    <x v="184"/>
    <n v="1.4331240652069299"/>
    <n v="1"/>
    <n v="-66"/>
    <n v="396"/>
  </r>
  <r>
    <x v="47"/>
    <s v="conventional_default_current_wala_145"/>
    <x v="185"/>
    <n v="1.43517613033634"/>
    <n v="1"/>
    <n v="-66"/>
    <n v="396"/>
  </r>
  <r>
    <x v="47"/>
    <s v="conventional_default_current_wala_146"/>
    <x v="186"/>
    <n v="1.43718578488669"/>
    <n v="1"/>
    <n v="-66"/>
    <n v="396"/>
  </r>
  <r>
    <x v="47"/>
    <s v="conventional_default_current_wala_147"/>
    <x v="187"/>
    <n v="1.4391534716765999"/>
    <n v="1"/>
    <n v="-66"/>
    <n v="396"/>
  </r>
  <r>
    <x v="47"/>
    <s v="conventional_default_current_wala_148"/>
    <x v="188"/>
    <n v="1.4410796335246701"/>
    <n v="1"/>
    <n v="-66"/>
    <n v="396"/>
  </r>
  <r>
    <x v="47"/>
    <s v="conventional_default_current_wala_149"/>
    <x v="189"/>
    <n v="1.4429647132495"/>
    <n v="1"/>
    <n v="-66"/>
    <n v="396"/>
  </r>
  <r>
    <x v="47"/>
    <s v="conventional_default_current_wala_150"/>
    <x v="190"/>
    <n v="1.4448091536697201"/>
    <n v="1"/>
    <n v="-66"/>
    <n v="396"/>
  </r>
  <r>
    <x v="47"/>
    <s v="conventional_default_current_wala_151"/>
    <x v="191"/>
    <n v="1.4466133976039199"/>
    <n v="1"/>
    <n v="-66"/>
    <n v="396"/>
  </r>
  <r>
    <x v="47"/>
    <s v="conventional_default_current_wala_152"/>
    <x v="192"/>
    <n v="1.4483778878707201"/>
    <n v="1"/>
    <n v="-66"/>
    <n v="396"/>
  </r>
  <r>
    <x v="47"/>
    <s v="conventional_default_current_wala_153"/>
    <x v="193"/>
    <n v="1.4501030672887301"/>
    <n v="1"/>
    <n v="-66"/>
    <n v="396"/>
  </r>
  <r>
    <x v="47"/>
    <s v="conventional_default_current_wala_154"/>
    <x v="194"/>
    <n v="1.4517893786765499"/>
    <n v="1"/>
    <n v="-66"/>
    <n v="396"/>
  </r>
  <r>
    <x v="47"/>
    <s v="conventional_default_current_wala_155"/>
    <x v="195"/>
    <n v="1.4534372648528"/>
    <n v="1"/>
    <n v="-66"/>
    <n v="396"/>
  </r>
  <r>
    <x v="47"/>
    <s v="conventional_default_current_wala_156"/>
    <x v="196"/>
    <n v="1.45504716863608"/>
    <n v="1"/>
    <n v="-66"/>
    <n v="396"/>
  </r>
  <r>
    <x v="47"/>
    <s v="conventional_default_current_wala_157"/>
    <x v="197"/>
    <n v="1.456619532845"/>
    <n v="1"/>
    <n v="-66"/>
    <n v="396"/>
  </r>
  <r>
    <x v="47"/>
    <s v="conventional_default_current_wala_158"/>
    <x v="198"/>
    <n v="1.4581548002981799"/>
    <n v="1"/>
    <n v="-66"/>
    <n v="396"/>
  </r>
  <r>
    <x v="47"/>
    <s v="conventional_default_current_wala_159"/>
    <x v="199"/>
    <n v="1.4596534138142101"/>
    <n v="1"/>
    <n v="-66"/>
    <n v="396"/>
  </r>
  <r>
    <x v="47"/>
    <s v="conventional_default_current_wala_160"/>
    <x v="200"/>
    <n v="1.4611158162117199"/>
    <n v="1"/>
    <n v="-66"/>
    <n v="396"/>
  </r>
  <r>
    <x v="47"/>
    <s v="conventional_default_current_wala_161"/>
    <x v="201"/>
    <n v="1.4625424503093101"/>
    <n v="1"/>
    <n v="-66"/>
    <n v="396"/>
  </r>
  <r>
    <x v="47"/>
    <s v="conventional_default_current_wala_162"/>
    <x v="202"/>
    <n v="1.4639337589255801"/>
    <n v="1"/>
    <n v="-66"/>
    <n v="396"/>
  </r>
  <r>
    <x v="47"/>
    <s v="conventional_default_current_wala_163"/>
    <x v="203"/>
    <n v="1.46529018487915"/>
    <n v="1"/>
    <n v="-66"/>
    <n v="396"/>
  </r>
  <r>
    <x v="47"/>
    <s v="conventional_default_current_wala_164"/>
    <x v="204"/>
    <n v="1.4666121709886299"/>
    <n v="1"/>
    <n v="-66"/>
    <n v="396"/>
  </r>
  <r>
    <x v="47"/>
    <s v="conventional_default_current_wala_165"/>
    <x v="205"/>
    <n v="1.46790016007262"/>
    <n v="1"/>
    <n v="-66"/>
    <n v="396"/>
  </r>
  <r>
    <x v="47"/>
    <s v="conventional_default_current_wala_166"/>
    <x v="206"/>
    <n v="1.46915459494974"/>
    <n v="1"/>
    <n v="-66"/>
    <n v="396"/>
  </r>
  <r>
    <x v="47"/>
    <s v="conventional_default_current_wala_167"/>
    <x v="207"/>
    <n v="1.4703759184386"/>
    <n v="1"/>
    <n v="-66"/>
    <n v="396"/>
  </r>
  <r>
    <x v="47"/>
    <s v="conventional_default_current_wala_168"/>
    <x v="208"/>
    <n v="1.47156457335779"/>
    <n v="1"/>
    <n v="-66"/>
    <n v="396"/>
  </r>
  <r>
    <x v="47"/>
    <s v="conventional_default_current_wala_169"/>
    <x v="209"/>
    <n v="1.4727210025259401"/>
    <n v="1"/>
    <n v="-66"/>
    <n v="396"/>
  </r>
  <r>
    <x v="47"/>
    <s v="conventional_default_current_wala_170"/>
    <x v="210"/>
    <n v="1.47384564876165"/>
    <n v="1"/>
    <n v="-66"/>
    <n v="396"/>
  </r>
  <r>
    <x v="47"/>
    <s v="conventional_default_current_wala_171"/>
    <x v="211"/>
    <n v="1.4749389548835301"/>
    <n v="1"/>
    <n v="-66"/>
    <n v="396"/>
  </r>
  <r>
    <x v="47"/>
    <s v="conventional_default_current_wala_172"/>
    <x v="212"/>
    <n v="1.4760013637101901"/>
    <n v="1"/>
    <n v="-66"/>
    <n v="396"/>
  </r>
  <r>
    <x v="47"/>
    <s v="conventional_default_current_wala_173"/>
    <x v="213"/>
    <n v="1.47703331806024"/>
    <n v="1"/>
    <n v="-66"/>
    <n v="396"/>
  </r>
  <r>
    <x v="47"/>
    <s v="conventional_default_current_wala_174"/>
    <x v="214"/>
    <n v="1.47803526075229"/>
    <n v="1"/>
    <n v="-66"/>
    <n v="396"/>
  </r>
  <r>
    <x v="47"/>
    <s v="conventional_default_current_wala_175"/>
    <x v="215"/>
    <n v="1.4790076346049399"/>
    <n v="1"/>
    <n v="-66"/>
    <n v="396"/>
  </r>
  <r>
    <x v="47"/>
    <s v="conventional_default_current_wala_176"/>
    <x v="216"/>
    <n v="1.4799508824368099"/>
    <n v="1"/>
    <n v="-66"/>
    <n v="396"/>
  </r>
  <r>
    <x v="47"/>
    <s v="conventional_default_current_wala_177"/>
    <x v="217"/>
    <n v="1.4808654470665099"/>
    <n v="1"/>
    <n v="-66"/>
    <n v="396"/>
  </r>
  <r>
    <x v="47"/>
    <s v="conventional_default_current_wala_178"/>
    <x v="218"/>
    <n v="1.48175177131264"/>
    <n v="1"/>
    <n v="-66"/>
    <n v="396"/>
  </r>
  <r>
    <x v="47"/>
    <s v="conventional_default_current_wala_179"/>
    <x v="219"/>
    <n v="1.4826102979938101"/>
    <n v="1"/>
    <n v="-66"/>
    <n v="396"/>
  </r>
  <r>
    <x v="47"/>
    <s v="conventional_default_current_wala_180"/>
    <x v="220"/>
    <n v="1.48344146992864"/>
    <n v="1"/>
    <n v="-66"/>
    <n v="396"/>
  </r>
  <r>
    <x v="47"/>
    <s v="conventional_default_current_wala_181"/>
    <x v="221"/>
    <n v="1.4842457299357299"/>
    <n v="1"/>
    <n v="-66"/>
    <n v="396"/>
  </r>
  <r>
    <x v="47"/>
    <s v="conventional_default_current_wala_182"/>
    <x v="222"/>
    <n v="1.4850235208336899"/>
    <n v="1"/>
    <n v="-66"/>
    <n v="396"/>
  </r>
  <r>
    <x v="47"/>
    <s v="conventional_default_current_wala_183"/>
    <x v="223"/>
    <n v="1.4857752854411299"/>
    <n v="1"/>
    <n v="-66"/>
    <n v="396"/>
  </r>
  <r>
    <x v="47"/>
    <s v="conventional_default_current_wala_184"/>
    <x v="224"/>
    <n v="1.48650146657666"/>
    <n v="1"/>
    <n v="-66"/>
    <n v="396"/>
  </r>
  <r>
    <x v="47"/>
    <s v="conventional_default_current_wala_185"/>
    <x v="225"/>
    <n v="1.4872025070588799"/>
    <n v="1"/>
    <n v="-66"/>
    <n v="396"/>
  </r>
  <r>
    <x v="47"/>
    <s v="conventional_default_current_wala_186"/>
    <x v="226"/>
    <n v="1.4878788497064199"/>
    <n v="1"/>
    <n v="-66"/>
    <n v="396"/>
  </r>
  <r>
    <x v="47"/>
    <s v="conventional_default_current_wala_187"/>
    <x v="227"/>
    <n v="1.4885309373378699"/>
    <n v="1"/>
    <n v="-66"/>
    <n v="396"/>
  </r>
  <r>
    <x v="47"/>
    <s v="conventional_default_current_wala_188"/>
    <x v="228"/>
    <n v="1.48915921277185"/>
    <n v="1"/>
    <n v="-66"/>
    <n v="396"/>
  </r>
  <r>
    <x v="47"/>
    <s v="conventional_default_current_wala_189"/>
    <x v="229"/>
    <n v="1.4897641188269599"/>
    <n v="1"/>
    <n v="-66"/>
    <n v="396"/>
  </r>
  <r>
    <x v="47"/>
    <s v="conventional_default_current_wala_190"/>
    <x v="230"/>
    <n v="1.49034609832181"/>
    <n v="1"/>
    <n v="-66"/>
    <n v="396"/>
  </r>
  <r>
    <x v="47"/>
    <s v="conventional_default_current_wala_191"/>
    <x v="231"/>
    <n v="1.49090559407502"/>
    <n v="1"/>
    <n v="-66"/>
    <n v="396"/>
  </r>
  <r>
    <x v="47"/>
    <s v="conventional_default_current_wala_192"/>
    <x v="232"/>
    <n v="1.49144304890519"/>
    <n v="1"/>
    <n v="-66"/>
    <n v="396"/>
  </r>
  <r>
    <x v="47"/>
    <s v="conventional_default_current_wala_193"/>
    <x v="233"/>
    <n v="1.4919589056309399"/>
    <n v="1"/>
    <n v="-66"/>
    <n v="396"/>
  </r>
  <r>
    <x v="47"/>
    <s v="conventional_default_current_wala_194"/>
    <x v="234"/>
    <n v="1.4924536070708601"/>
    <n v="1"/>
    <n v="-66"/>
    <n v="396"/>
  </r>
  <r>
    <x v="47"/>
    <s v="conventional_default_current_wala_195"/>
    <x v="235"/>
    <n v="1.4929275960435699"/>
    <n v="1"/>
    <n v="-66"/>
    <n v="396"/>
  </r>
  <r>
    <x v="47"/>
    <s v="conventional_default_current_wala_196"/>
    <x v="236"/>
    <n v="1.49338131536769"/>
    <n v="1"/>
    <n v="-66"/>
    <n v="396"/>
  </r>
  <r>
    <x v="47"/>
    <s v="conventional_default_current_wala_197"/>
    <x v="237"/>
    <n v="1.4938152078618101"/>
    <n v="1"/>
    <n v="-66"/>
    <n v="396"/>
  </r>
  <r>
    <x v="47"/>
    <s v="conventional_default_current_wala_198"/>
    <x v="238"/>
    <n v="1.4942297163445399"/>
    <n v="1"/>
    <n v="-66"/>
    <n v="396"/>
  </r>
  <r>
    <x v="47"/>
    <s v="conventional_default_current_wala_199"/>
    <x v="239"/>
    <n v="1.49462528363451"/>
    <n v="1"/>
    <n v="-66"/>
    <n v="396"/>
  </r>
  <r>
    <x v="47"/>
    <s v="conventional_default_current_wala_200"/>
    <x v="240"/>
    <n v="1.4950023525503"/>
    <n v="1"/>
    <n v="-66"/>
    <n v="396"/>
  </r>
  <r>
    <x v="47"/>
    <s v="conventional_default_current_wala_201"/>
    <x v="241"/>
    <n v="1.49536136591055"/>
    <n v="1"/>
    <n v="-66"/>
    <n v="396"/>
  </r>
  <r>
    <x v="47"/>
    <s v="conventional_default_current_wala_202"/>
    <x v="242"/>
    <n v="1.49570276653384"/>
    <n v="1"/>
    <n v="-66"/>
    <n v="396"/>
  </r>
  <r>
    <x v="47"/>
    <s v="conventional_default_current_wala_203"/>
    <x v="243"/>
    <n v="1.4960269972388001"/>
    <n v="1"/>
    <n v="-66"/>
    <n v="396"/>
  </r>
  <r>
    <x v="47"/>
    <s v="conventional_default_current_wala_204"/>
    <x v="244"/>
    <n v="1.4963345008440301"/>
    <n v="1"/>
    <n v="-66"/>
    <n v="396"/>
  </r>
  <r>
    <x v="47"/>
    <s v="conventional_default_current_wala_205"/>
    <x v="245"/>
    <n v="1.4966257201681501"/>
    <n v="1"/>
    <n v="-66"/>
    <n v="396"/>
  </r>
  <r>
    <x v="47"/>
    <s v="conventional_default_current_wala_206"/>
    <x v="246"/>
    <n v="1.4969010980297499"/>
    <n v="1"/>
    <n v="-66"/>
    <n v="396"/>
  </r>
  <r>
    <x v="47"/>
    <s v="conventional_default_current_wala_207"/>
    <x v="247"/>
    <n v="1.49716107724745"/>
    <n v="1"/>
    <n v="-66"/>
    <n v="396"/>
  </r>
  <r>
    <x v="47"/>
    <s v="conventional_default_current_wala_208"/>
    <x v="248"/>
    <n v="1.49740610063986"/>
    <n v="1"/>
    <n v="-66"/>
    <n v="396"/>
  </r>
  <r>
    <x v="47"/>
    <s v="conventional_default_current_wala_209"/>
    <x v="249"/>
    <n v="1.4976366110255901"/>
    <n v="1"/>
    <n v="-66"/>
    <n v="396"/>
  </r>
  <r>
    <x v="47"/>
    <s v="conventional_default_current_wala_210"/>
    <x v="250"/>
    <n v="1.49785305122324"/>
    <n v="1"/>
    <n v="-66"/>
    <n v="396"/>
  </r>
  <r>
    <x v="47"/>
    <s v="conventional_default_current_wala_211"/>
    <x v="251"/>
    <n v="1.4980558640514301"/>
    <n v="1"/>
    <n v="-66"/>
    <n v="396"/>
  </r>
  <r>
    <x v="47"/>
    <s v="conventional_default_current_wala_212"/>
    <x v="252"/>
    <n v="1.49824549232876"/>
    <n v="1"/>
    <n v="-66"/>
    <n v="396"/>
  </r>
  <r>
    <x v="47"/>
    <s v="conventional_default_current_wala_213"/>
    <x v="253"/>
    <n v="1.49842237887385"/>
    <n v="1"/>
    <n v="-66"/>
    <n v="396"/>
  </r>
  <r>
    <x v="47"/>
    <s v="conventional_default_current_wala_214"/>
    <x v="254"/>
    <n v="1.4985869665053"/>
    <n v="1"/>
    <n v="-66"/>
    <n v="396"/>
  </r>
  <r>
    <x v="47"/>
    <s v="conventional_default_current_wala_215"/>
    <x v="255"/>
    <n v="1.49873969804173"/>
    <n v="1"/>
    <n v="-66"/>
    <n v="396"/>
  </r>
  <r>
    <x v="47"/>
    <s v="conventional_default_current_wala_216"/>
    <x v="256"/>
    <n v="1.4988810163017301"/>
    <n v="1"/>
    <n v="-66"/>
    <n v="396"/>
  </r>
  <r>
    <x v="47"/>
    <s v="conventional_default_current_wala_217"/>
    <x v="257"/>
    <n v="1.49901136410393"/>
    <n v="1"/>
    <n v="-66"/>
    <n v="396"/>
  </r>
  <r>
    <x v="47"/>
    <s v="conventional_default_current_wala_218"/>
    <x v="258"/>
    <n v="1.4991311842669199"/>
    <n v="1"/>
    <n v="-66"/>
    <n v="396"/>
  </r>
  <r>
    <x v="47"/>
    <s v="conventional_default_current_wala_219"/>
    <x v="259"/>
    <n v="1.4992409196093299"/>
    <n v="1"/>
    <n v="-66"/>
    <n v="396"/>
  </r>
  <r>
    <x v="47"/>
    <s v="conventional_default_current_wala_220"/>
    <x v="260"/>
    <n v="1.49934101294975"/>
    <n v="1"/>
    <n v="-66"/>
    <n v="396"/>
  </r>
  <r>
    <x v="47"/>
    <s v="conventional_default_current_wala_221"/>
    <x v="261"/>
    <n v="1.4994319071068001"/>
    <n v="1"/>
    <n v="-66"/>
    <n v="396"/>
  </r>
  <r>
    <x v="47"/>
    <s v="conventional_default_current_wala_222"/>
    <x v="262"/>
    <n v="1.49951404489908"/>
    <n v="1"/>
    <n v="-66"/>
    <n v="396"/>
  </r>
  <r>
    <x v="47"/>
    <s v="conventional_default_current_wala_223"/>
    <x v="263"/>
    <n v="1.49958786914521"/>
    <n v="1"/>
    <n v="-66"/>
    <n v="396"/>
  </r>
  <r>
    <x v="47"/>
    <s v="conventional_default_current_wala_224"/>
    <x v="264"/>
    <n v="1.4996538226638001"/>
    <n v="1"/>
    <n v="-66"/>
    <n v="396"/>
  </r>
  <r>
    <x v="47"/>
    <s v="conventional_default_current_wala_225"/>
    <x v="265"/>
    <n v="1.49971234827344"/>
    <n v="1"/>
    <n v="-66"/>
    <n v="396"/>
  </r>
  <r>
    <x v="47"/>
    <s v="conventional_default_current_wala_226"/>
    <x v="266"/>
    <n v="1.49976388879277"/>
    <n v="1"/>
    <n v="-66"/>
    <n v="396"/>
  </r>
  <r>
    <x v="47"/>
    <s v="conventional_default_current_wala_227"/>
    <x v="267"/>
    <n v="1.4998088870403701"/>
    <n v="1"/>
    <n v="-66"/>
    <n v="396"/>
  </r>
  <r>
    <x v="47"/>
    <s v="conventional_default_current_wala_228"/>
    <x v="268"/>
    <n v="1.49984778583486"/>
    <n v="1"/>
    <n v="-66"/>
    <n v="396"/>
  </r>
  <r>
    <x v="47"/>
    <s v="conventional_default_current_wala_229"/>
    <x v="269"/>
    <n v="1.49988102799486"/>
    <n v="1"/>
    <n v="-66"/>
    <n v="396"/>
  </r>
  <r>
    <x v="47"/>
    <s v="conventional_default_current_wala_230"/>
    <x v="270"/>
    <n v="1.4999090563389601"/>
    <n v="1"/>
    <n v="-66"/>
    <n v="396"/>
  </r>
  <r>
    <x v="47"/>
    <s v="conventional_default_current_wala_231"/>
    <x v="271"/>
    <n v="1.4999323136857801"/>
    <n v="1"/>
    <n v="-66"/>
    <n v="396"/>
  </r>
  <r>
    <x v="47"/>
    <s v="conventional_default_current_wala_232"/>
    <x v="272"/>
    <n v="1.4999512428539299"/>
    <n v="1"/>
    <n v="-66"/>
    <n v="396"/>
  </r>
  <r>
    <x v="47"/>
    <s v="conventional_default_current_wala_233"/>
    <x v="273"/>
    <n v="1.49996628666201"/>
    <n v="1"/>
    <n v="-66"/>
    <n v="396"/>
  </r>
  <r>
    <x v="47"/>
    <s v="conventional_default_current_wala_234"/>
    <x v="274"/>
    <n v="1.4999778879286401"/>
    <n v="1"/>
    <n v="-66"/>
    <n v="396"/>
  </r>
  <r>
    <x v="47"/>
    <s v="conventional_default_current_wala_235"/>
    <x v="275"/>
    <n v="1.49998648947243"/>
    <n v="1"/>
    <n v="-66"/>
    <n v="396"/>
  </r>
  <r>
    <x v="47"/>
    <s v="conventional_default_current_wala_236"/>
    <x v="276"/>
    <n v="1.49999253411198"/>
    <n v="1"/>
    <n v="-66"/>
    <n v="396"/>
  </r>
  <r>
    <x v="47"/>
    <s v="conventional_default_current_wala_237"/>
    <x v="277"/>
    <n v="1.4999964646659001"/>
    <n v="1"/>
    <n v="-66"/>
    <n v="396"/>
  </r>
  <r>
    <x v="47"/>
    <s v="conventional_default_current_wala_238"/>
    <x v="278"/>
    <n v="1.4999987239528101"/>
    <n v="1"/>
    <n v="-66"/>
    <n v="396"/>
  </r>
  <r>
    <x v="47"/>
    <s v="conventional_default_current_wala_239"/>
    <x v="279"/>
    <n v="1.4999997547913"/>
    <n v="1"/>
    <n v="-66"/>
    <n v="396"/>
  </r>
  <r>
    <x v="47"/>
    <s v="conventional_default_current_wala_240"/>
    <x v="280"/>
    <n v="1.5"/>
    <n v="1"/>
    <n v="-66"/>
    <n v="396"/>
  </r>
  <r>
    <x v="47"/>
    <s v="conventional_default_current_wala_241"/>
    <x v="281"/>
    <n v="1.5"/>
    <n v="1"/>
    <n v="-66"/>
    <n v="396"/>
  </r>
  <r>
    <x v="47"/>
    <s v="conventional_default_current_wala_242"/>
    <x v="282"/>
    <n v="1.5"/>
    <n v="1"/>
    <n v="-66"/>
    <n v="396"/>
  </r>
  <r>
    <x v="47"/>
    <s v="conventional_default_current_wala_243"/>
    <x v="283"/>
    <n v="1.5"/>
    <n v="1"/>
    <n v="-66"/>
    <n v="396"/>
  </r>
  <r>
    <x v="47"/>
    <s v="conventional_default_current_wala_244"/>
    <x v="284"/>
    <n v="1.5"/>
    <n v="1"/>
    <n v="-66"/>
    <n v="396"/>
  </r>
  <r>
    <x v="47"/>
    <s v="conventional_default_current_wala_245"/>
    <x v="285"/>
    <n v="1.5"/>
    <n v="1"/>
    <n v="-66"/>
    <n v="396"/>
  </r>
  <r>
    <x v="47"/>
    <s v="conventional_default_current_wala_246"/>
    <x v="286"/>
    <n v="1.5"/>
    <n v="1"/>
    <n v="-66"/>
    <n v="396"/>
  </r>
  <r>
    <x v="47"/>
    <s v="conventional_default_current_wala_247"/>
    <x v="287"/>
    <n v="1.5"/>
    <n v="1"/>
    <n v="-66"/>
    <n v="396"/>
  </r>
  <r>
    <x v="47"/>
    <s v="conventional_default_current_wala_248"/>
    <x v="288"/>
    <n v="1.5"/>
    <n v="1"/>
    <n v="-66"/>
    <n v="396"/>
  </r>
  <r>
    <x v="47"/>
    <s v="conventional_default_current_wala_249"/>
    <x v="289"/>
    <n v="1.5"/>
    <n v="1"/>
    <n v="-66"/>
    <n v="396"/>
  </r>
  <r>
    <x v="47"/>
    <s v="conventional_default_current_wala_250"/>
    <x v="290"/>
    <n v="1.5"/>
    <n v="1"/>
    <n v="-66"/>
    <n v="396"/>
  </r>
  <r>
    <x v="47"/>
    <s v="conventional_default_current_wala_251"/>
    <x v="291"/>
    <n v="1.5"/>
    <n v="1"/>
    <n v="-66"/>
    <n v="396"/>
  </r>
  <r>
    <x v="47"/>
    <s v="conventional_default_current_wala_252"/>
    <x v="292"/>
    <n v="1.5"/>
    <n v="1"/>
    <n v="-66"/>
    <n v="396"/>
  </r>
  <r>
    <x v="47"/>
    <s v="conventional_default_current_wala_253"/>
    <x v="293"/>
    <n v="1.5"/>
    <n v="1"/>
    <n v="-66"/>
    <n v="396"/>
  </r>
  <r>
    <x v="47"/>
    <s v="conventional_default_current_wala_254"/>
    <x v="294"/>
    <n v="1.5"/>
    <n v="1"/>
    <n v="-66"/>
    <n v="396"/>
  </r>
  <r>
    <x v="47"/>
    <s v="conventional_default_current_wala_255"/>
    <x v="295"/>
    <n v="1.5"/>
    <n v="1"/>
    <n v="-66"/>
    <n v="396"/>
  </r>
  <r>
    <x v="47"/>
    <s v="conventional_default_current_wala_256"/>
    <x v="296"/>
    <n v="1.5"/>
    <n v="1"/>
    <n v="-66"/>
    <n v="396"/>
  </r>
  <r>
    <x v="47"/>
    <s v="conventional_default_current_wala_257"/>
    <x v="297"/>
    <n v="1.5"/>
    <n v="1"/>
    <n v="-66"/>
    <n v="396"/>
  </r>
  <r>
    <x v="47"/>
    <s v="conventional_default_current_wala_258"/>
    <x v="298"/>
    <n v="1.5"/>
    <n v="1"/>
    <n v="-66"/>
    <n v="396"/>
  </r>
  <r>
    <x v="47"/>
    <s v="conventional_default_current_wala_259"/>
    <x v="299"/>
    <n v="1.5"/>
    <n v="1"/>
    <n v="-66"/>
    <n v="396"/>
  </r>
  <r>
    <x v="47"/>
    <s v="conventional_default_current_wala_260"/>
    <x v="300"/>
    <n v="1.5"/>
    <n v="1"/>
    <n v="-66"/>
    <n v="396"/>
  </r>
  <r>
    <x v="47"/>
    <s v="conventional_default_current_wala_261"/>
    <x v="301"/>
    <n v="1.5"/>
    <n v="1"/>
    <n v="-66"/>
    <n v="396"/>
  </r>
  <r>
    <x v="47"/>
    <s v="conventional_default_current_wala_262"/>
    <x v="302"/>
    <n v="1.5"/>
    <n v="1"/>
    <n v="-66"/>
    <n v="396"/>
  </r>
  <r>
    <x v="47"/>
    <s v="conventional_default_current_wala_263"/>
    <x v="303"/>
    <n v="1.5"/>
    <n v="1"/>
    <n v="-66"/>
    <n v="396"/>
  </r>
  <r>
    <x v="47"/>
    <s v="conventional_default_current_wala_264"/>
    <x v="304"/>
    <n v="1.5"/>
    <n v="1"/>
    <n v="-66"/>
    <n v="396"/>
  </r>
  <r>
    <x v="47"/>
    <s v="conventional_default_current_wala_265"/>
    <x v="305"/>
    <n v="1.5"/>
    <n v="1"/>
    <n v="-66"/>
    <n v="396"/>
  </r>
  <r>
    <x v="47"/>
    <s v="conventional_default_current_wala_266"/>
    <x v="306"/>
    <n v="1.5"/>
    <n v="1"/>
    <n v="-66"/>
    <n v="396"/>
  </r>
  <r>
    <x v="47"/>
    <s v="conventional_default_current_wala_267"/>
    <x v="307"/>
    <n v="1.5"/>
    <n v="1"/>
    <n v="-66"/>
    <n v="396"/>
  </r>
  <r>
    <x v="47"/>
    <s v="conventional_default_current_wala_268"/>
    <x v="308"/>
    <n v="1.5"/>
    <n v="1"/>
    <n v="-66"/>
    <n v="396"/>
  </r>
  <r>
    <x v="47"/>
    <s v="conventional_default_current_wala_269"/>
    <x v="309"/>
    <n v="1.5"/>
    <n v="1"/>
    <n v="-66"/>
    <n v="396"/>
  </r>
  <r>
    <x v="47"/>
    <s v="conventional_default_current_wala_270"/>
    <x v="310"/>
    <n v="1.5"/>
    <n v="1"/>
    <n v="-66"/>
    <n v="396"/>
  </r>
  <r>
    <x v="47"/>
    <s v="conventional_default_current_wala_271"/>
    <x v="311"/>
    <n v="1.5"/>
    <n v="1"/>
    <n v="-66"/>
    <n v="396"/>
  </r>
  <r>
    <x v="47"/>
    <s v="conventional_default_current_wala_272"/>
    <x v="312"/>
    <n v="1.5"/>
    <n v="1"/>
    <n v="-66"/>
    <n v="396"/>
  </r>
  <r>
    <x v="47"/>
    <s v="conventional_default_current_wala_273"/>
    <x v="313"/>
    <n v="1.5"/>
    <n v="1"/>
    <n v="-66"/>
    <n v="396"/>
  </r>
  <r>
    <x v="47"/>
    <s v="conventional_default_current_wala_274"/>
    <x v="314"/>
    <n v="1.5"/>
    <n v="1"/>
    <n v="-66"/>
    <n v="396"/>
  </r>
  <r>
    <x v="47"/>
    <s v="conventional_default_current_wala_275"/>
    <x v="315"/>
    <n v="1.5"/>
    <n v="1"/>
    <n v="-66"/>
    <n v="396"/>
  </r>
  <r>
    <x v="47"/>
    <s v="conventional_default_current_wala_276"/>
    <x v="316"/>
    <n v="1.5"/>
    <n v="1"/>
    <n v="-66"/>
    <n v="396"/>
  </r>
  <r>
    <x v="47"/>
    <s v="conventional_default_current_wala_277"/>
    <x v="317"/>
    <n v="1.5"/>
    <n v="1"/>
    <n v="-66"/>
    <n v="396"/>
  </r>
  <r>
    <x v="47"/>
    <s v="conventional_default_current_wala_278"/>
    <x v="318"/>
    <n v="1.5"/>
    <n v="1"/>
    <n v="-66"/>
    <n v="396"/>
  </r>
  <r>
    <x v="47"/>
    <s v="conventional_default_current_wala_279"/>
    <x v="319"/>
    <n v="1.5"/>
    <n v="1"/>
    <n v="-66"/>
    <n v="396"/>
  </r>
  <r>
    <x v="47"/>
    <s v="conventional_default_current_wala_280"/>
    <x v="320"/>
    <n v="1.5"/>
    <n v="1"/>
    <n v="-66"/>
    <n v="396"/>
  </r>
  <r>
    <x v="47"/>
    <s v="conventional_default_current_wala_281"/>
    <x v="321"/>
    <n v="1.5"/>
    <n v="1"/>
    <n v="-66"/>
    <n v="396"/>
  </r>
  <r>
    <x v="47"/>
    <s v="conventional_default_current_wala_282"/>
    <x v="322"/>
    <n v="1.5"/>
    <n v="1"/>
    <n v="-66"/>
    <n v="396"/>
  </r>
  <r>
    <x v="47"/>
    <s v="conventional_default_current_wala_283"/>
    <x v="323"/>
    <n v="1.5"/>
    <n v="1"/>
    <n v="-66"/>
    <n v="396"/>
  </r>
  <r>
    <x v="47"/>
    <s v="conventional_default_current_wala_284"/>
    <x v="324"/>
    <n v="1.5"/>
    <n v="1"/>
    <n v="-66"/>
    <n v="396"/>
  </r>
  <r>
    <x v="47"/>
    <s v="conventional_default_current_wala_285"/>
    <x v="325"/>
    <n v="1.5"/>
    <n v="1"/>
    <n v="-66"/>
    <n v="396"/>
  </r>
  <r>
    <x v="47"/>
    <s v="conventional_default_current_wala_286"/>
    <x v="326"/>
    <n v="1.5"/>
    <n v="1"/>
    <n v="-66"/>
    <n v="396"/>
  </r>
  <r>
    <x v="47"/>
    <s v="conventional_default_current_wala_287"/>
    <x v="327"/>
    <n v="1.5"/>
    <n v="1"/>
    <n v="-66"/>
    <n v="396"/>
  </r>
  <r>
    <x v="47"/>
    <s v="conventional_default_current_wala_288"/>
    <x v="328"/>
    <n v="1.5"/>
    <n v="1"/>
    <n v="-66"/>
    <n v="396"/>
  </r>
  <r>
    <x v="47"/>
    <s v="conventional_default_current_wala_289"/>
    <x v="329"/>
    <n v="1.5"/>
    <n v="1"/>
    <n v="-66"/>
    <n v="396"/>
  </r>
  <r>
    <x v="47"/>
    <s v="conventional_default_current_wala_290"/>
    <x v="330"/>
    <n v="1.5"/>
    <n v="1"/>
    <n v="-66"/>
    <n v="396"/>
  </r>
  <r>
    <x v="47"/>
    <s v="conventional_default_current_wala_291"/>
    <x v="331"/>
    <n v="1.5"/>
    <n v="1"/>
    <n v="-66"/>
    <n v="396"/>
  </r>
  <r>
    <x v="47"/>
    <s v="conventional_default_current_wala_292"/>
    <x v="332"/>
    <n v="1.5"/>
    <n v="1"/>
    <n v="-66"/>
    <n v="396"/>
  </r>
  <r>
    <x v="47"/>
    <s v="conventional_default_current_wala_293"/>
    <x v="333"/>
    <n v="1.5"/>
    <n v="1"/>
    <n v="-66"/>
    <n v="396"/>
  </r>
  <r>
    <x v="47"/>
    <s v="conventional_default_current_wala_294"/>
    <x v="334"/>
    <n v="1.5"/>
    <n v="1"/>
    <n v="-66"/>
    <n v="396"/>
  </r>
  <r>
    <x v="47"/>
    <s v="conventional_default_current_wala_295"/>
    <x v="335"/>
    <n v="1.5"/>
    <n v="1"/>
    <n v="-66"/>
    <n v="396"/>
  </r>
  <r>
    <x v="47"/>
    <s v="conventional_default_current_wala_296"/>
    <x v="336"/>
    <n v="1.5"/>
    <n v="1"/>
    <n v="-66"/>
    <n v="396"/>
  </r>
  <r>
    <x v="47"/>
    <s v="conventional_default_current_wala_297"/>
    <x v="337"/>
    <n v="1.5"/>
    <n v="1"/>
    <n v="-66"/>
    <n v="396"/>
  </r>
  <r>
    <x v="47"/>
    <s v="conventional_default_current_wala_298"/>
    <x v="338"/>
    <n v="1.5"/>
    <n v="1"/>
    <n v="-66"/>
    <n v="396"/>
  </r>
  <r>
    <x v="47"/>
    <s v="conventional_default_current_wala_299"/>
    <x v="339"/>
    <n v="1.5"/>
    <n v="1"/>
    <n v="-66"/>
    <n v="396"/>
  </r>
  <r>
    <x v="47"/>
    <s v="conventional_default_current_wala_300"/>
    <x v="340"/>
    <n v="1.5"/>
    <n v="1"/>
    <n v="-66"/>
    <n v="396"/>
  </r>
  <r>
    <x v="47"/>
    <s v="conventional_default_current_wala_301"/>
    <x v="341"/>
    <n v="1.5"/>
    <n v="1"/>
    <n v="-66"/>
    <n v="396"/>
  </r>
  <r>
    <x v="47"/>
    <s v="conventional_default_current_wala_302"/>
    <x v="342"/>
    <n v="1.5"/>
    <n v="1"/>
    <n v="-66"/>
    <n v="396"/>
  </r>
  <r>
    <x v="47"/>
    <s v="conventional_default_current_wala_303"/>
    <x v="343"/>
    <n v="1.5"/>
    <n v="1"/>
    <n v="-66"/>
    <n v="396"/>
  </r>
  <r>
    <x v="47"/>
    <s v="conventional_default_current_wala_304"/>
    <x v="344"/>
    <n v="1.5"/>
    <n v="1"/>
    <n v="-66"/>
    <n v="396"/>
  </r>
  <r>
    <x v="47"/>
    <s v="conventional_default_current_wala_305"/>
    <x v="345"/>
    <n v="1.5"/>
    <n v="1"/>
    <n v="-66"/>
    <n v="396"/>
  </r>
  <r>
    <x v="47"/>
    <s v="conventional_default_current_wala_306"/>
    <x v="346"/>
    <n v="1.5"/>
    <n v="1"/>
    <n v="-66"/>
    <n v="396"/>
  </r>
  <r>
    <x v="47"/>
    <s v="conventional_default_current_wala_307"/>
    <x v="347"/>
    <n v="1.5"/>
    <n v="1"/>
    <n v="-66"/>
    <n v="396"/>
  </r>
  <r>
    <x v="47"/>
    <s v="conventional_default_current_wala_308"/>
    <x v="348"/>
    <n v="1.5"/>
    <n v="1"/>
    <n v="-66"/>
    <n v="396"/>
  </r>
  <r>
    <x v="47"/>
    <s v="conventional_default_current_wala_309"/>
    <x v="349"/>
    <n v="1.5"/>
    <n v="1"/>
    <n v="-66"/>
    <n v="396"/>
  </r>
  <r>
    <x v="47"/>
    <s v="conventional_default_current_wala_310"/>
    <x v="350"/>
    <n v="1.5"/>
    <n v="1"/>
    <n v="-66"/>
    <n v="396"/>
  </r>
  <r>
    <x v="47"/>
    <s v="conventional_default_current_wala_311"/>
    <x v="351"/>
    <n v="1.5"/>
    <n v="1"/>
    <n v="-66"/>
    <n v="396"/>
  </r>
  <r>
    <x v="47"/>
    <s v="conventional_default_current_wala_312"/>
    <x v="352"/>
    <n v="1.5"/>
    <n v="1"/>
    <n v="-66"/>
    <n v="396"/>
  </r>
  <r>
    <x v="47"/>
    <s v="conventional_default_current_wala_313"/>
    <x v="353"/>
    <n v="1.5"/>
    <n v="1"/>
    <n v="-66"/>
    <n v="396"/>
  </r>
  <r>
    <x v="47"/>
    <s v="conventional_default_current_wala_314"/>
    <x v="354"/>
    <n v="1.5"/>
    <n v="1"/>
    <n v="-66"/>
    <n v="396"/>
  </r>
  <r>
    <x v="47"/>
    <s v="conventional_default_current_wala_315"/>
    <x v="355"/>
    <n v="1.5"/>
    <n v="1"/>
    <n v="-66"/>
    <n v="396"/>
  </r>
  <r>
    <x v="47"/>
    <s v="conventional_default_current_wala_316"/>
    <x v="356"/>
    <n v="1.5"/>
    <n v="1"/>
    <n v="-66"/>
    <n v="396"/>
  </r>
  <r>
    <x v="47"/>
    <s v="conventional_default_current_wala_317"/>
    <x v="357"/>
    <n v="1.5"/>
    <n v="1"/>
    <n v="-66"/>
    <n v="396"/>
  </r>
  <r>
    <x v="47"/>
    <s v="conventional_default_current_wala_318"/>
    <x v="358"/>
    <n v="1.5"/>
    <n v="1"/>
    <n v="-66"/>
    <n v="396"/>
  </r>
  <r>
    <x v="47"/>
    <s v="conventional_default_current_wala_319"/>
    <x v="359"/>
    <n v="1.5"/>
    <n v="1"/>
    <n v="-66"/>
    <n v="396"/>
  </r>
  <r>
    <x v="47"/>
    <s v="conventional_default_current_wala_320"/>
    <x v="360"/>
    <n v="1.5"/>
    <n v="1"/>
    <n v="-66"/>
    <n v="396"/>
  </r>
  <r>
    <x v="47"/>
    <s v="conventional_default_current_wala_321"/>
    <x v="361"/>
    <n v="1.5"/>
    <n v="1"/>
    <n v="-66"/>
    <n v="396"/>
  </r>
  <r>
    <x v="47"/>
    <s v="conventional_default_current_wala_322"/>
    <x v="362"/>
    <n v="1.5"/>
    <n v="1"/>
    <n v="-66"/>
    <n v="396"/>
  </r>
  <r>
    <x v="47"/>
    <s v="conventional_default_current_wala_323"/>
    <x v="363"/>
    <n v="1.5"/>
    <n v="1"/>
    <n v="-66"/>
    <n v="396"/>
  </r>
  <r>
    <x v="47"/>
    <s v="conventional_default_current_wala_324"/>
    <x v="364"/>
    <n v="1.5"/>
    <n v="1"/>
    <n v="-66"/>
    <n v="396"/>
  </r>
  <r>
    <x v="47"/>
    <s v="conventional_default_current_wala_325"/>
    <x v="365"/>
    <n v="1.5"/>
    <n v="1"/>
    <n v="-66"/>
    <n v="396"/>
  </r>
  <r>
    <x v="47"/>
    <s v="conventional_default_current_wala_326"/>
    <x v="366"/>
    <n v="1.5"/>
    <n v="1"/>
    <n v="-66"/>
    <n v="396"/>
  </r>
  <r>
    <x v="47"/>
    <s v="conventional_default_current_wala_327"/>
    <x v="367"/>
    <n v="1.5"/>
    <n v="1"/>
    <n v="-66"/>
    <n v="396"/>
  </r>
  <r>
    <x v="47"/>
    <s v="conventional_default_current_wala_328"/>
    <x v="368"/>
    <n v="1.5"/>
    <n v="1"/>
    <n v="-66"/>
    <n v="396"/>
  </r>
  <r>
    <x v="47"/>
    <s v="conventional_default_current_wala_329"/>
    <x v="369"/>
    <n v="1.5"/>
    <n v="1"/>
    <n v="-66"/>
    <n v="396"/>
  </r>
  <r>
    <x v="47"/>
    <s v="conventional_default_current_wala_330"/>
    <x v="370"/>
    <n v="1.5"/>
    <n v="1"/>
    <n v="-66"/>
    <n v="396"/>
  </r>
  <r>
    <x v="47"/>
    <s v="conventional_default_current_wala_331"/>
    <x v="371"/>
    <n v="1.5"/>
    <n v="1"/>
    <n v="-66"/>
    <n v="396"/>
  </r>
  <r>
    <x v="47"/>
    <s v="conventional_default_current_wala_332"/>
    <x v="372"/>
    <n v="1.5"/>
    <n v="1"/>
    <n v="-66"/>
    <n v="396"/>
  </r>
  <r>
    <x v="47"/>
    <s v="conventional_default_current_wala_333"/>
    <x v="373"/>
    <n v="1.5"/>
    <n v="1"/>
    <n v="-66"/>
    <n v="396"/>
  </r>
  <r>
    <x v="47"/>
    <s v="conventional_default_current_wala_334"/>
    <x v="374"/>
    <n v="1.5"/>
    <n v="1"/>
    <n v="-66"/>
    <n v="396"/>
  </r>
  <r>
    <x v="47"/>
    <s v="conventional_default_current_wala_335"/>
    <x v="375"/>
    <n v="1.5"/>
    <n v="1"/>
    <n v="-66"/>
    <n v="396"/>
  </r>
  <r>
    <x v="47"/>
    <s v="conventional_default_current_wala_336"/>
    <x v="376"/>
    <n v="1.5"/>
    <n v="1"/>
    <n v="-66"/>
    <n v="396"/>
  </r>
  <r>
    <x v="47"/>
    <s v="conventional_default_current_wala_337"/>
    <x v="377"/>
    <n v="1.5"/>
    <n v="1"/>
    <n v="-66"/>
    <n v="396"/>
  </r>
  <r>
    <x v="47"/>
    <s v="conventional_default_current_wala_338"/>
    <x v="378"/>
    <n v="1.5"/>
    <n v="1"/>
    <n v="-66"/>
    <n v="396"/>
  </r>
  <r>
    <x v="47"/>
    <s v="conventional_default_current_wala_339"/>
    <x v="379"/>
    <n v="1.5"/>
    <n v="1"/>
    <n v="-66"/>
    <n v="396"/>
  </r>
  <r>
    <x v="47"/>
    <s v="conventional_default_current_wala_340"/>
    <x v="380"/>
    <n v="1.5"/>
    <n v="1"/>
    <n v="-66"/>
    <n v="396"/>
  </r>
  <r>
    <x v="47"/>
    <s v="conventional_default_current_wala_341"/>
    <x v="381"/>
    <n v="1.5"/>
    <n v="1"/>
    <n v="-66"/>
    <n v="396"/>
  </r>
  <r>
    <x v="47"/>
    <s v="conventional_default_current_wala_342"/>
    <x v="382"/>
    <n v="1.5"/>
    <n v="1"/>
    <n v="-66"/>
    <n v="396"/>
  </r>
  <r>
    <x v="47"/>
    <s v="conventional_default_current_wala_343"/>
    <x v="383"/>
    <n v="1.5"/>
    <n v="1"/>
    <n v="-66"/>
    <n v="396"/>
  </r>
  <r>
    <x v="47"/>
    <s v="conventional_default_current_wala_344"/>
    <x v="384"/>
    <n v="1.5"/>
    <n v="1"/>
    <n v="-66"/>
    <n v="396"/>
  </r>
  <r>
    <x v="47"/>
    <s v="conventional_default_current_wala_345"/>
    <x v="385"/>
    <n v="1.5"/>
    <n v="1"/>
    <n v="-66"/>
    <n v="396"/>
  </r>
  <r>
    <x v="47"/>
    <s v="conventional_default_current_wala_346"/>
    <x v="386"/>
    <n v="1.5"/>
    <n v="1"/>
    <n v="-66"/>
    <n v="396"/>
  </r>
  <r>
    <x v="47"/>
    <s v="conventional_default_current_wala_347"/>
    <x v="387"/>
    <n v="1.5"/>
    <n v="1"/>
    <n v="-66"/>
    <n v="396"/>
  </r>
  <r>
    <x v="47"/>
    <s v="conventional_default_current_wala_348"/>
    <x v="388"/>
    <n v="1.5"/>
    <n v="1"/>
    <n v="-66"/>
    <n v="396"/>
  </r>
  <r>
    <x v="47"/>
    <s v="conventional_default_current_wala_349"/>
    <x v="389"/>
    <n v="1.5"/>
    <n v="1"/>
    <n v="-66"/>
    <n v="396"/>
  </r>
  <r>
    <x v="47"/>
    <s v="conventional_default_current_wala_350"/>
    <x v="390"/>
    <n v="1.5"/>
    <n v="1"/>
    <n v="-66"/>
    <n v="396"/>
  </r>
  <r>
    <x v="47"/>
    <s v="conventional_default_current_wala_351"/>
    <x v="391"/>
    <n v="1.5"/>
    <n v="1"/>
    <n v="-66"/>
    <n v="396"/>
  </r>
  <r>
    <x v="47"/>
    <s v="conventional_default_current_wala_352"/>
    <x v="392"/>
    <n v="1.5"/>
    <n v="1"/>
    <n v="-66"/>
    <n v="396"/>
  </r>
  <r>
    <x v="47"/>
    <s v="conventional_default_current_wala_353"/>
    <x v="393"/>
    <n v="1.5"/>
    <n v="1"/>
    <n v="-66"/>
    <n v="396"/>
  </r>
  <r>
    <x v="47"/>
    <s v="conventional_default_current_wala_354"/>
    <x v="394"/>
    <n v="1.5"/>
    <n v="1"/>
    <n v="-66"/>
    <n v="396"/>
  </r>
  <r>
    <x v="47"/>
    <s v="conventional_default_current_wala_355"/>
    <x v="395"/>
    <n v="1.5"/>
    <n v="1"/>
    <n v="-66"/>
    <n v="396"/>
  </r>
  <r>
    <x v="47"/>
    <s v="conventional_default_current_wala_356"/>
    <x v="396"/>
    <n v="1.5"/>
    <n v="1"/>
    <n v="-66"/>
    <n v="396"/>
  </r>
  <r>
    <x v="47"/>
    <s v="conventional_default_current_wala_357"/>
    <x v="397"/>
    <n v="1.5"/>
    <n v="1"/>
    <n v="-66"/>
    <n v="396"/>
  </r>
  <r>
    <x v="47"/>
    <s v="conventional_default_current_wala_358"/>
    <x v="398"/>
    <n v="1.5"/>
    <n v="1"/>
    <n v="-66"/>
    <n v="396"/>
  </r>
  <r>
    <x v="47"/>
    <s v="conventional_default_current_wala_359"/>
    <x v="399"/>
    <n v="1.5"/>
    <n v="1"/>
    <n v="-66"/>
    <n v="396"/>
  </r>
  <r>
    <x v="47"/>
    <s v="conventional_default_current_wala_360"/>
    <x v="400"/>
    <n v="1.5"/>
    <n v="1"/>
    <n v="-66"/>
    <n v="396"/>
  </r>
  <r>
    <x v="47"/>
    <s v="conventional_default_current_wala_361"/>
    <x v="401"/>
    <n v="1.5"/>
    <n v="1"/>
    <n v="-66"/>
    <n v="396"/>
  </r>
  <r>
    <x v="47"/>
    <s v="conventional_default_current_wala_362"/>
    <x v="402"/>
    <n v="1.5"/>
    <n v="1"/>
    <n v="-66"/>
    <n v="396"/>
  </r>
  <r>
    <x v="47"/>
    <s v="conventional_default_current_wala_363"/>
    <x v="403"/>
    <n v="1.5"/>
    <n v="1"/>
    <n v="-66"/>
    <n v="396"/>
  </r>
  <r>
    <x v="47"/>
    <s v="conventional_default_current_wala_364"/>
    <x v="404"/>
    <n v="1.5"/>
    <n v="1"/>
    <n v="-66"/>
    <n v="396"/>
  </r>
  <r>
    <x v="47"/>
    <s v="conventional_default_current_wala_365"/>
    <x v="405"/>
    <n v="1.5"/>
    <n v="1"/>
    <n v="-66"/>
    <n v="396"/>
  </r>
  <r>
    <x v="47"/>
    <s v="conventional_default_current_wala_366"/>
    <x v="406"/>
    <n v="1.5"/>
    <n v="1"/>
    <n v="-66"/>
    <n v="396"/>
  </r>
  <r>
    <x v="47"/>
    <s v="conventional_default_current_wala_367"/>
    <x v="407"/>
    <n v="1.5"/>
    <n v="1"/>
    <n v="-66"/>
    <n v="396"/>
  </r>
  <r>
    <x v="47"/>
    <s v="conventional_default_current_wala_368"/>
    <x v="408"/>
    <n v="1.5"/>
    <n v="1"/>
    <n v="-66"/>
    <n v="396"/>
  </r>
  <r>
    <x v="47"/>
    <s v="conventional_default_current_wala_369"/>
    <x v="409"/>
    <n v="1.5"/>
    <n v="1"/>
    <n v="-66"/>
    <n v="396"/>
  </r>
  <r>
    <x v="47"/>
    <s v="conventional_default_current_wala_370"/>
    <x v="410"/>
    <n v="1.5"/>
    <n v="1"/>
    <n v="-66"/>
    <n v="396"/>
  </r>
  <r>
    <x v="47"/>
    <s v="conventional_default_current_wala_371"/>
    <x v="411"/>
    <n v="1.5"/>
    <n v="1"/>
    <n v="-66"/>
    <n v="396"/>
  </r>
  <r>
    <x v="47"/>
    <s v="conventional_default_current_wala_372"/>
    <x v="412"/>
    <n v="1.5"/>
    <n v="1"/>
    <n v="-66"/>
    <n v="396"/>
  </r>
  <r>
    <x v="47"/>
    <s v="conventional_default_current_wala_373"/>
    <x v="413"/>
    <n v="1.5"/>
    <n v="1"/>
    <n v="-66"/>
    <n v="396"/>
  </r>
  <r>
    <x v="47"/>
    <s v="conventional_default_current_wala_374"/>
    <x v="414"/>
    <n v="1.5"/>
    <n v="1"/>
    <n v="-66"/>
    <n v="396"/>
  </r>
  <r>
    <x v="47"/>
    <s v="conventional_default_current_wala_375"/>
    <x v="415"/>
    <n v="1.5"/>
    <n v="1"/>
    <n v="-66"/>
    <n v="396"/>
  </r>
  <r>
    <x v="47"/>
    <s v="conventional_default_current_wala_376"/>
    <x v="416"/>
    <n v="1.5"/>
    <n v="1"/>
    <n v="-66"/>
    <n v="396"/>
  </r>
  <r>
    <x v="47"/>
    <s v="conventional_default_current_wala_377"/>
    <x v="417"/>
    <n v="1.5"/>
    <n v="1"/>
    <n v="-66"/>
    <n v="396"/>
  </r>
  <r>
    <x v="47"/>
    <s v="conventional_default_current_wala_378"/>
    <x v="418"/>
    <n v="1.5"/>
    <n v="1"/>
    <n v="-66"/>
    <n v="396"/>
  </r>
  <r>
    <x v="47"/>
    <s v="conventional_default_current_wala_379"/>
    <x v="419"/>
    <n v="1.5"/>
    <n v="1"/>
    <n v="-66"/>
    <n v="396"/>
  </r>
  <r>
    <x v="47"/>
    <s v="conventional_default_current_wala_380"/>
    <x v="420"/>
    <n v="1.5"/>
    <n v="1"/>
    <n v="-66"/>
    <n v="396"/>
  </r>
  <r>
    <x v="47"/>
    <s v="conventional_default_current_wala_381"/>
    <x v="421"/>
    <n v="1.5"/>
    <n v="1"/>
    <n v="-66"/>
    <n v="396"/>
  </r>
  <r>
    <x v="47"/>
    <s v="conventional_default_current_wala_382"/>
    <x v="422"/>
    <n v="1.5"/>
    <n v="1"/>
    <n v="-66"/>
    <n v="396"/>
  </r>
  <r>
    <x v="47"/>
    <s v="conventional_default_current_wala_383"/>
    <x v="423"/>
    <n v="1.5"/>
    <n v="1"/>
    <n v="-66"/>
    <n v="396"/>
  </r>
  <r>
    <x v="47"/>
    <s v="conventional_default_current_wala_384"/>
    <x v="424"/>
    <n v="1.5"/>
    <n v="1"/>
    <n v="-66"/>
    <n v="396"/>
  </r>
  <r>
    <x v="47"/>
    <s v="conventional_default_current_wala_385"/>
    <x v="425"/>
    <n v="1.5"/>
    <n v="1"/>
    <n v="-66"/>
    <n v="396"/>
  </r>
  <r>
    <x v="47"/>
    <s v="conventional_default_current_wala_386"/>
    <x v="426"/>
    <n v="1.5"/>
    <n v="1"/>
    <n v="-66"/>
    <n v="396"/>
  </r>
  <r>
    <x v="47"/>
    <s v="conventional_default_current_wala_387"/>
    <x v="427"/>
    <n v="1.5"/>
    <n v="1"/>
    <n v="-66"/>
    <n v="396"/>
  </r>
  <r>
    <x v="47"/>
    <s v="conventional_default_current_wala_388"/>
    <x v="428"/>
    <n v="1.5"/>
    <n v="1"/>
    <n v="-66"/>
    <n v="396"/>
  </r>
  <r>
    <x v="47"/>
    <s v="conventional_default_current_wala_389"/>
    <x v="429"/>
    <n v="1.5"/>
    <n v="1"/>
    <n v="-66"/>
    <n v="396"/>
  </r>
  <r>
    <x v="47"/>
    <s v="conventional_default_current_wala_390"/>
    <x v="430"/>
    <n v="1.5"/>
    <n v="1"/>
    <n v="-66"/>
    <n v="396"/>
  </r>
  <r>
    <x v="47"/>
    <s v="conventional_default_current_wala_391"/>
    <x v="431"/>
    <n v="1.5"/>
    <n v="1"/>
    <n v="-66"/>
    <n v="396"/>
  </r>
  <r>
    <x v="47"/>
    <s v="conventional_default_current_wala_392"/>
    <x v="432"/>
    <n v="1.5"/>
    <n v="1"/>
    <n v="-66"/>
    <n v="396"/>
  </r>
  <r>
    <x v="47"/>
    <s v="conventional_default_current_wala_393"/>
    <x v="433"/>
    <n v="1.5"/>
    <n v="1"/>
    <n v="-66"/>
    <n v="396"/>
  </r>
  <r>
    <x v="47"/>
    <s v="conventional_default_current_wala_394"/>
    <x v="434"/>
    <n v="1.5"/>
    <n v="1"/>
    <n v="-66"/>
    <n v="396"/>
  </r>
  <r>
    <x v="47"/>
    <s v="conventional_default_current_wala_395"/>
    <x v="435"/>
    <n v="1.5"/>
    <n v="1"/>
    <n v="-66"/>
    <n v="396"/>
  </r>
  <r>
    <x v="47"/>
    <s v="conventional_default_current_wala_396"/>
    <x v="436"/>
    <n v="1.5"/>
    <n v="1"/>
    <n v="-66"/>
    <n v="396"/>
  </r>
  <r>
    <x v="48"/>
    <s v="conventional_default_current_monthsSince_-24"/>
    <x v="16"/>
    <n v="-3.15"/>
    <n v="1"/>
    <n v="-24"/>
    <n v="144"/>
  </r>
  <r>
    <x v="48"/>
    <s v="conventional_default_current_monthsSince_-23"/>
    <x v="17"/>
    <n v="-3.0150000000000001"/>
    <n v="1"/>
    <n v="-24"/>
    <n v="144"/>
  </r>
  <r>
    <x v="48"/>
    <s v="conventional_default_current_monthsSince_-22"/>
    <x v="18"/>
    <n v="-2.88"/>
    <n v="1"/>
    <n v="-24"/>
    <n v="144"/>
  </r>
  <r>
    <x v="48"/>
    <s v="conventional_default_current_monthsSince_-21"/>
    <x v="19"/>
    <n v="-2.7450000000000001"/>
    <n v="1"/>
    <n v="-24"/>
    <n v="144"/>
  </r>
  <r>
    <x v="48"/>
    <s v="conventional_default_current_monthsSince_-20"/>
    <x v="20"/>
    <n v="-2.61"/>
    <n v="1"/>
    <n v="-24"/>
    <n v="144"/>
  </r>
  <r>
    <x v="48"/>
    <s v="conventional_default_current_monthsSince_-19"/>
    <x v="21"/>
    <n v="-2.4750000000000001"/>
    <n v="1"/>
    <n v="-24"/>
    <n v="144"/>
  </r>
  <r>
    <x v="48"/>
    <s v="conventional_default_current_monthsSince_-18"/>
    <x v="22"/>
    <n v="-2.34"/>
    <n v="1"/>
    <n v="-24"/>
    <n v="144"/>
  </r>
  <r>
    <x v="48"/>
    <s v="conventional_default_current_monthsSince_-17"/>
    <x v="23"/>
    <n v="-2.2050000000000001"/>
    <n v="1"/>
    <n v="-24"/>
    <n v="144"/>
  </r>
  <r>
    <x v="48"/>
    <s v="conventional_default_current_monthsSince_-16"/>
    <x v="24"/>
    <n v="-2.0699999999999998"/>
    <n v="1"/>
    <n v="-24"/>
    <n v="144"/>
  </r>
  <r>
    <x v="48"/>
    <s v="conventional_default_current_monthsSince_-15"/>
    <x v="25"/>
    <n v="-1.9350000000000001"/>
    <n v="1"/>
    <n v="-24"/>
    <n v="144"/>
  </r>
  <r>
    <x v="48"/>
    <s v="conventional_default_current_monthsSince_-14"/>
    <x v="26"/>
    <n v="-1.8"/>
    <n v="1"/>
    <n v="-24"/>
    <n v="144"/>
  </r>
  <r>
    <x v="48"/>
    <s v="conventional_default_current_monthsSince_-13"/>
    <x v="27"/>
    <n v="-1.665"/>
    <n v="1"/>
    <n v="-24"/>
    <n v="144"/>
  </r>
  <r>
    <x v="48"/>
    <s v="conventional_default_current_monthsSince_-12"/>
    <x v="28"/>
    <n v="-1.53"/>
    <n v="1"/>
    <n v="-24"/>
    <n v="144"/>
  </r>
  <r>
    <x v="48"/>
    <s v="conventional_default_current_monthsSince_-11"/>
    <x v="29"/>
    <n v="-1.395"/>
    <n v="1"/>
    <n v="-24"/>
    <n v="144"/>
  </r>
  <r>
    <x v="48"/>
    <s v="conventional_default_current_monthsSince_-10"/>
    <x v="30"/>
    <n v="-1.26"/>
    <n v="1"/>
    <n v="-24"/>
    <n v="144"/>
  </r>
  <r>
    <x v="48"/>
    <s v="conventional_default_current_monthsSince_-9"/>
    <x v="31"/>
    <n v="-1.125"/>
    <n v="1"/>
    <n v="-24"/>
    <n v="144"/>
  </r>
  <r>
    <x v="48"/>
    <s v="conventional_default_current_monthsSince_-8"/>
    <x v="32"/>
    <n v="-0.99"/>
    <n v="1"/>
    <n v="-24"/>
    <n v="144"/>
  </r>
  <r>
    <x v="48"/>
    <s v="conventional_default_current_monthsSince_-7"/>
    <x v="33"/>
    <n v="-0.85499999999999998"/>
    <n v="1"/>
    <n v="-24"/>
    <n v="144"/>
  </r>
  <r>
    <x v="48"/>
    <s v="conventional_default_current_monthsSince_-6"/>
    <x v="34"/>
    <n v="-0.72"/>
    <n v="1"/>
    <n v="-24"/>
    <n v="144"/>
  </r>
  <r>
    <x v="48"/>
    <s v="conventional_default_current_monthsSince_-5"/>
    <x v="35"/>
    <n v="-0.58499999999999996"/>
    <n v="1"/>
    <n v="-24"/>
    <n v="144"/>
  </r>
  <r>
    <x v="48"/>
    <s v="conventional_default_current_monthsSince_-4"/>
    <x v="36"/>
    <n v="-0.45"/>
    <n v="1"/>
    <n v="-24"/>
    <n v="144"/>
  </r>
  <r>
    <x v="48"/>
    <s v="conventional_default_current_monthsSince_-3"/>
    <x v="37"/>
    <n v="-0.315"/>
    <n v="1"/>
    <n v="-24"/>
    <n v="144"/>
  </r>
  <r>
    <x v="48"/>
    <s v="conventional_default_current_monthsSince_-2"/>
    <x v="38"/>
    <n v="-0.18"/>
    <n v="1"/>
    <n v="-24"/>
    <n v="144"/>
  </r>
  <r>
    <x v="48"/>
    <s v="conventional_default_current_monthsSince_-1"/>
    <x v="39"/>
    <n v="-4.4999999999999998E-2"/>
    <n v="1"/>
    <n v="-24"/>
    <n v="144"/>
  </r>
  <r>
    <x v="48"/>
    <s v="conventional_default_current_monthsSince_0"/>
    <x v="40"/>
    <n v="0.09"/>
    <n v="1"/>
    <n v="-24"/>
    <n v="144"/>
  </r>
  <r>
    <x v="48"/>
    <s v="conventional_default_current_monthsSince_1"/>
    <x v="41"/>
    <n v="0.23159722222222201"/>
    <n v="1"/>
    <n v="-24"/>
    <n v="144"/>
  </r>
  <r>
    <x v="48"/>
    <s v="conventional_default_current_monthsSince_2"/>
    <x v="42"/>
    <n v="0.38111111111111101"/>
    <n v="1"/>
    <n v="-24"/>
    <n v="144"/>
  </r>
  <r>
    <x v="48"/>
    <s v="conventional_default_current_monthsSince_3"/>
    <x v="43"/>
    <n v="0.53062500000000001"/>
    <n v="1"/>
    <n v="-24"/>
    <n v="144"/>
  </r>
  <r>
    <x v="48"/>
    <s v="conventional_default_current_monthsSince_4"/>
    <x v="44"/>
    <n v="0.67222222222222205"/>
    <n v="1"/>
    <n v="-24"/>
    <n v="144"/>
  </r>
  <r>
    <x v="48"/>
    <s v="conventional_default_current_monthsSince_5"/>
    <x v="45"/>
    <n v="0.79798611111111095"/>
    <n v="1"/>
    <n v="-24"/>
    <n v="144"/>
  </r>
  <r>
    <x v="48"/>
    <s v="conventional_default_current_monthsSince_6"/>
    <x v="46"/>
    <n v="0.9"/>
    <n v="1"/>
    <n v="-24"/>
    <n v="144"/>
  </r>
  <r>
    <x v="48"/>
    <s v="conventional_default_current_monthsSince_7"/>
    <x v="47"/>
    <n v="0.97495370370370404"/>
    <n v="1"/>
    <n v="-24"/>
    <n v="144"/>
  </r>
  <r>
    <x v="48"/>
    <s v="conventional_default_current_monthsSince_8"/>
    <x v="48"/>
    <n v="1.0285185185185199"/>
    <n v="1"/>
    <n v="-24"/>
    <n v="144"/>
  </r>
  <r>
    <x v="48"/>
    <s v="conventional_default_current_monthsSince_9"/>
    <x v="49"/>
    <n v="1.0662499999999999"/>
    <n v="1"/>
    <n v="-24"/>
    <n v="144"/>
  </r>
  <r>
    <x v="48"/>
    <s v="conventional_default_current_monthsSince_10"/>
    <x v="50"/>
    <n v="1.0937037037037001"/>
    <n v="1"/>
    <n v="-24"/>
    <n v="144"/>
  </r>
  <r>
    <x v="48"/>
    <s v="conventional_default_current_monthsSince_11"/>
    <x v="51"/>
    <n v="1.1164351851851899"/>
    <n v="1"/>
    <n v="-24"/>
    <n v="144"/>
  </r>
  <r>
    <x v="48"/>
    <s v="conventional_default_current_monthsSince_12"/>
    <x v="52"/>
    <n v="1.1399999999999999"/>
    <n v="1"/>
    <n v="-24"/>
    <n v="144"/>
  </r>
  <r>
    <x v="48"/>
    <s v="conventional_default_current_monthsSince_13"/>
    <x v="53"/>
    <n v="1.16244244987018"/>
    <n v="1"/>
    <n v="-24"/>
    <n v="144"/>
  </r>
  <r>
    <x v="48"/>
    <s v="conventional_default_current_monthsSince_14"/>
    <x v="54"/>
    <n v="1.1789269506957001"/>
    <n v="1"/>
    <n v="-24"/>
    <n v="144"/>
  </r>
  <r>
    <x v="48"/>
    <s v="conventional_default_current_monthsSince_15"/>
    <x v="55"/>
    <n v="1.1906892292989999"/>
    <n v="1"/>
    <n v="-24"/>
    <n v="144"/>
  </r>
  <r>
    <x v="48"/>
    <s v="conventional_default_current_monthsSince_16"/>
    <x v="56"/>
    <n v="1.19896501250251"/>
    <n v="1"/>
    <n v="-24"/>
    <n v="144"/>
  </r>
  <r>
    <x v="48"/>
    <s v="conventional_default_current_monthsSince_17"/>
    <x v="57"/>
    <n v="1.2049900271287"/>
    <n v="1"/>
    <n v="-24"/>
    <n v="144"/>
  </r>
  <r>
    <x v="48"/>
    <s v="conventional_default_current_monthsSince_18"/>
    <x v="58"/>
    <n v="1.21"/>
    <n v="1"/>
    <n v="-24"/>
    <n v="144"/>
  </r>
  <r>
    <x v="48"/>
    <s v="conventional_default_current_monthsSince_19"/>
    <x v="59"/>
    <n v="1.21402551324048"/>
    <n v="1"/>
    <n v="-24"/>
    <n v="144"/>
  </r>
  <r>
    <x v="48"/>
    <s v="conventional_default_current_monthsSince_20"/>
    <x v="60"/>
    <n v="1.2165513833455199"/>
    <n v="1"/>
    <n v="-24"/>
    <n v="144"/>
  </r>
  <r>
    <x v="48"/>
    <s v="conventional_default_current_monthsSince_21"/>
    <x v="61"/>
    <n v="1.2179946886945701"/>
    <n v="1"/>
    <n v="-24"/>
    <n v="144"/>
  </r>
  <r>
    <x v="48"/>
    <s v="conventional_default_current_monthsSince_22"/>
    <x v="62"/>
    <n v="1.2187725076670399"/>
    <n v="1"/>
    <n v="-24"/>
    <n v="144"/>
  </r>
  <r>
    <x v="48"/>
    <s v="conventional_default_current_monthsSince_23"/>
    <x v="63"/>
    <n v="1.2193019186423699"/>
    <n v="1"/>
    <n v="-24"/>
    <n v="144"/>
  </r>
  <r>
    <x v="48"/>
    <s v="conventional_default_current_monthsSince_24"/>
    <x v="64"/>
    <n v="1.22"/>
    <n v="1"/>
    <n v="-24"/>
    <n v="144"/>
  </r>
  <r>
    <x v="48"/>
    <s v="conventional_default_current_monthsSince_25"/>
    <x v="65"/>
    <n v="1.2209710270627701"/>
    <n v="1"/>
    <n v="-24"/>
    <n v="144"/>
  </r>
  <r>
    <x v="48"/>
    <s v="conventional_default_current_monthsSince_26"/>
    <x v="66"/>
    <n v="1.22202052223414"/>
    <n v="1"/>
    <n v="-24"/>
    <n v="144"/>
  </r>
  <r>
    <x v="48"/>
    <s v="conventional_default_current_monthsSince_27"/>
    <x v="67"/>
    <n v="1.22311743451449"/>
    <n v="1"/>
    <n v="-24"/>
    <n v="144"/>
  </r>
  <r>
    <x v="48"/>
    <s v="conventional_default_current_monthsSince_28"/>
    <x v="68"/>
    <n v="1.2242307129041501"/>
    <n v="1"/>
    <n v="-24"/>
    <n v="144"/>
  </r>
  <r>
    <x v="48"/>
    <s v="conventional_default_current_monthsSince_29"/>
    <x v="69"/>
    <n v="1.22532930640349"/>
    <n v="1"/>
    <n v="-24"/>
    <n v="144"/>
  </r>
  <r>
    <x v="48"/>
    <s v="conventional_default_current_monthsSince_30"/>
    <x v="70"/>
    <n v="1.22638216401288"/>
    <n v="1"/>
    <n v="-24"/>
    <n v="144"/>
  </r>
  <r>
    <x v="48"/>
    <s v="conventional_default_current_monthsSince_31"/>
    <x v="71"/>
    <n v="1.2273582347326499"/>
    <n v="1"/>
    <n v="-24"/>
    <n v="144"/>
  </r>
  <r>
    <x v="48"/>
    <s v="conventional_default_current_monthsSince_32"/>
    <x v="72"/>
    <n v="1.22822646756319"/>
    <n v="1"/>
    <n v="-24"/>
    <n v="144"/>
  </r>
  <r>
    <x v="48"/>
    <s v="conventional_default_current_monthsSince_33"/>
    <x v="73"/>
    <n v="1.22895581150483"/>
    <n v="1"/>
    <n v="-24"/>
    <n v="144"/>
  </r>
  <r>
    <x v="48"/>
    <s v="conventional_default_current_monthsSince_34"/>
    <x v="74"/>
    <n v="1.2295152155579401"/>
    <n v="1"/>
    <n v="-24"/>
    <n v="144"/>
  </r>
  <r>
    <x v="48"/>
    <s v="conventional_default_current_monthsSince_35"/>
    <x v="75"/>
    <n v="1.22987362872288"/>
    <n v="1"/>
    <n v="-24"/>
    <n v="144"/>
  </r>
  <r>
    <x v="48"/>
    <s v="conventional_default_current_monthsSince_36"/>
    <x v="76"/>
    <n v="1.23"/>
    <n v="1"/>
    <n v="-24"/>
    <n v="144"/>
  </r>
  <r>
    <x v="48"/>
    <s v="conventional_default_current_monthsSince_37"/>
    <x v="77"/>
    <n v="1.23"/>
    <n v="1"/>
    <n v="-24"/>
    <n v="144"/>
  </r>
  <r>
    <x v="48"/>
    <s v="conventional_default_current_monthsSince_38"/>
    <x v="78"/>
    <n v="1.23"/>
    <n v="1"/>
    <n v="-24"/>
    <n v="144"/>
  </r>
  <r>
    <x v="48"/>
    <s v="conventional_default_current_monthsSince_39"/>
    <x v="79"/>
    <n v="1.23"/>
    <n v="1"/>
    <n v="-24"/>
    <n v="144"/>
  </r>
  <r>
    <x v="48"/>
    <s v="conventional_default_current_monthsSince_40"/>
    <x v="80"/>
    <n v="1.23"/>
    <n v="1"/>
    <n v="-24"/>
    <n v="144"/>
  </r>
  <r>
    <x v="48"/>
    <s v="conventional_default_current_monthsSince_41"/>
    <x v="81"/>
    <n v="1.23"/>
    <n v="1"/>
    <n v="-24"/>
    <n v="144"/>
  </r>
  <r>
    <x v="48"/>
    <s v="conventional_default_current_monthsSince_42"/>
    <x v="82"/>
    <n v="1.23"/>
    <n v="1"/>
    <n v="-24"/>
    <n v="144"/>
  </r>
  <r>
    <x v="48"/>
    <s v="conventional_default_current_monthsSince_43"/>
    <x v="83"/>
    <n v="1.23"/>
    <n v="1"/>
    <n v="-24"/>
    <n v="144"/>
  </r>
  <r>
    <x v="48"/>
    <s v="conventional_default_current_monthsSince_44"/>
    <x v="84"/>
    <n v="1.23"/>
    <n v="1"/>
    <n v="-24"/>
    <n v="144"/>
  </r>
  <r>
    <x v="48"/>
    <s v="conventional_default_current_monthsSince_45"/>
    <x v="85"/>
    <n v="1.23"/>
    <n v="1"/>
    <n v="-24"/>
    <n v="144"/>
  </r>
  <r>
    <x v="48"/>
    <s v="conventional_default_current_monthsSince_46"/>
    <x v="86"/>
    <n v="1.23"/>
    <n v="1"/>
    <n v="-24"/>
    <n v="144"/>
  </r>
  <r>
    <x v="48"/>
    <s v="conventional_default_current_monthsSince_47"/>
    <x v="87"/>
    <n v="1.23"/>
    <n v="1"/>
    <n v="-24"/>
    <n v="144"/>
  </r>
  <r>
    <x v="48"/>
    <s v="conventional_default_current_monthsSince_48"/>
    <x v="88"/>
    <n v="1.23"/>
    <n v="1"/>
    <n v="-24"/>
    <n v="144"/>
  </r>
  <r>
    <x v="48"/>
    <s v="conventional_default_current_monthsSince_49"/>
    <x v="89"/>
    <n v="1.23"/>
    <n v="1"/>
    <n v="-24"/>
    <n v="144"/>
  </r>
  <r>
    <x v="48"/>
    <s v="conventional_default_current_monthsSince_50"/>
    <x v="90"/>
    <n v="1.23"/>
    <n v="1"/>
    <n v="-24"/>
    <n v="144"/>
  </r>
  <r>
    <x v="48"/>
    <s v="conventional_default_current_monthsSince_51"/>
    <x v="91"/>
    <n v="1.23"/>
    <n v="1"/>
    <n v="-24"/>
    <n v="144"/>
  </r>
  <r>
    <x v="48"/>
    <s v="conventional_default_current_monthsSince_52"/>
    <x v="92"/>
    <n v="1.23"/>
    <n v="1"/>
    <n v="-24"/>
    <n v="144"/>
  </r>
  <r>
    <x v="48"/>
    <s v="conventional_default_current_monthsSince_53"/>
    <x v="93"/>
    <n v="1.23"/>
    <n v="1"/>
    <n v="-24"/>
    <n v="144"/>
  </r>
  <r>
    <x v="48"/>
    <s v="conventional_default_current_monthsSince_54"/>
    <x v="94"/>
    <n v="1.23"/>
    <n v="1"/>
    <n v="-24"/>
    <n v="144"/>
  </r>
  <r>
    <x v="48"/>
    <s v="conventional_default_current_monthsSince_55"/>
    <x v="95"/>
    <n v="1.23"/>
    <n v="1"/>
    <n v="-24"/>
    <n v="144"/>
  </r>
  <r>
    <x v="48"/>
    <s v="conventional_default_current_monthsSince_56"/>
    <x v="96"/>
    <n v="1.23"/>
    <n v="1"/>
    <n v="-24"/>
    <n v="144"/>
  </r>
  <r>
    <x v="48"/>
    <s v="conventional_default_current_monthsSince_57"/>
    <x v="97"/>
    <n v="1.23"/>
    <n v="1"/>
    <n v="-24"/>
    <n v="144"/>
  </r>
  <r>
    <x v="48"/>
    <s v="conventional_default_current_monthsSince_58"/>
    <x v="98"/>
    <n v="1.23"/>
    <n v="1"/>
    <n v="-24"/>
    <n v="144"/>
  </r>
  <r>
    <x v="48"/>
    <s v="conventional_default_current_monthsSince_59"/>
    <x v="99"/>
    <n v="1.23"/>
    <n v="1"/>
    <n v="-24"/>
    <n v="144"/>
  </r>
  <r>
    <x v="48"/>
    <s v="conventional_default_current_monthsSince_60"/>
    <x v="100"/>
    <n v="1.23"/>
    <n v="1"/>
    <n v="-24"/>
    <n v="144"/>
  </r>
  <r>
    <x v="48"/>
    <s v="conventional_default_current_monthsSince_61"/>
    <x v="101"/>
    <n v="1.23"/>
    <n v="1"/>
    <n v="-24"/>
    <n v="144"/>
  </r>
  <r>
    <x v="48"/>
    <s v="conventional_default_current_monthsSince_62"/>
    <x v="102"/>
    <n v="1.23"/>
    <n v="1"/>
    <n v="-24"/>
    <n v="144"/>
  </r>
  <r>
    <x v="48"/>
    <s v="conventional_default_current_monthsSince_63"/>
    <x v="103"/>
    <n v="1.23"/>
    <n v="1"/>
    <n v="-24"/>
    <n v="144"/>
  </r>
  <r>
    <x v="48"/>
    <s v="conventional_default_current_monthsSince_64"/>
    <x v="104"/>
    <n v="1.23"/>
    <n v="1"/>
    <n v="-24"/>
    <n v="144"/>
  </r>
  <r>
    <x v="48"/>
    <s v="conventional_default_current_monthsSince_65"/>
    <x v="105"/>
    <n v="1.23"/>
    <n v="1"/>
    <n v="-24"/>
    <n v="144"/>
  </r>
  <r>
    <x v="48"/>
    <s v="conventional_default_current_monthsSince_66"/>
    <x v="106"/>
    <n v="1.23"/>
    <n v="1"/>
    <n v="-24"/>
    <n v="144"/>
  </r>
  <r>
    <x v="48"/>
    <s v="conventional_default_current_monthsSince_67"/>
    <x v="107"/>
    <n v="1.23"/>
    <n v="1"/>
    <n v="-24"/>
    <n v="144"/>
  </r>
  <r>
    <x v="48"/>
    <s v="conventional_default_current_monthsSince_68"/>
    <x v="108"/>
    <n v="1.23"/>
    <n v="1"/>
    <n v="-24"/>
    <n v="144"/>
  </r>
  <r>
    <x v="48"/>
    <s v="conventional_default_current_monthsSince_69"/>
    <x v="109"/>
    <n v="1.23"/>
    <n v="1"/>
    <n v="-24"/>
    <n v="144"/>
  </r>
  <r>
    <x v="48"/>
    <s v="conventional_default_current_monthsSince_70"/>
    <x v="110"/>
    <n v="1.23"/>
    <n v="1"/>
    <n v="-24"/>
    <n v="144"/>
  </r>
  <r>
    <x v="48"/>
    <s v="conventional_default_current_monthsSince_71"/>
    <x v="111"/>
    <n v="1.23"/>
    <n v="1"/>
    <n v="-24"/>
    <n v="144"/>
  </r>
  <r>
    <x v="48"/>
    <s v="conventional_default_current_monthsSince_72"/>
    <x v="112"/>
    <n v="1.23"/>
    <n v="1"/>
    <n v="-24"/>
    <n v="144"/>
  </r>
  <r>
    <x v="48"/>
    <s v="conventional_default_current_monthsSince_73"/>
    <x v="113"/>
    <n v="1.23"/>
    <n v="1"/>
    <n v="-24"/>
    <n v="144"/>
  </r>
  <r>
    <x v="48"/>
    <s v="conventional_default_current_monthsSince_74"/>
    <x v="114"/>
    <n v="1.23"/>
    <n v="1"/>
    <n v="-24"/>
    <n v="144"/>
  </r>
  <r>
    <x v="48"/>
    <s v="conventional_default_current_monthsSince_75"/>
    <x v="115"/>
    <n v="1.23"/>
    <n v="1"/>
    <n v="-24"/>
    <n v="144"/>
  </r>
  <r>
    <x v="48"/>
    <s v="conventional_default_current_monthsSince_76"/>
    <x v="116"/>
    <n v="1.23"/>
    <n v="1"/>
    <n v="-24"/>
    <n v="144"/>
  </r>
  <r>
    <x v="48"/>
    <s v="conventional_default_current_monthsSince_77"/>
    <x v="117"/>
    <n v="1.23"/>
    <n v="1"/>
    <n v="-24"/>
    <n v="144"/>
  </r>
  <r>
    <x v="48"/>
    <s v="conventional_default_current_monthsSince_78"/>
    <x v="118"/>
    <n v="1.23"/>
    <n v="1"/>
    <n v="-24"/>
    <n v="144"/>
  </r>
  <r>
    <x v="48"/>
    <s v="conventional_default_current_monthsSince_79"/>
    <x v="119"/>
    <n v="1.23"/>
    <n v="1"/>
    <n v="-24"/>
    <n v="144"/>
  </r>
  <r>
    <x v="48"/>
    <s v="conventional_default_current_monthsSince_80"/>
    <x v="120"/>
    <n v="1.23"/>
    <n v="1"/>
    <n v="-24"/>
    <n v="144"/>
  </r>
  <r>
    <x v="48"/>
    <s v="conventional_default_current_monthsSince_81"/>
    <x v="121"/>
    <n v="1.23"/>
    <n v="1"/>
    <n v="-24"/>
    <n v="144"/>
  </r>
  <r>
    <x v="48"/>
    <s v="conventional_default_current_monthsSince_82"/>
    <x v="122"/>
    <n v="1.23"/>
    <n v="1"/>
    <n v="-24"/>
    <n v="144"/>
  </r>
  <r>
    <x v="48"/>
    <s v="conventional_default_current_monthsSince_83"/>
    <x v="123"/>
    <n v="1.23"/>
    <n v="1"/>
    <n v="-24"/>
    <n v="144"/>
  </r>
  <r>
    <x v="48"/>
    <s v="conventional_default_current_monthsSince_84"/>
    <x v="124"/>
    <n v="1.23"/>
    <n v="1"/>
    <n v="-24"/>
    <n v="144"/>
  </r>
  <r>
    <x v="48"/>
    <s v="conventional_default_current_monthsSince_85"/>
    <x v="125"/>
    <n v="1.23"/>
    <n v="1"/>
    <n v="-24"/>
    <n v="144"/>
  </r>
  <r>
    <x v="48"/>
    <s v="conventional_default_current_monthsSince_86"/>
    <x v="126"/>
    <n v="1.23"/>
    <n v="1"/>
    <n v="-24"/>
    <n v="144"/>
  </r>
  <r>
    <x v="48"/>
    <s v="conventional_default_current_monthsSince_87"/>
    <x v="127"/>
    <n v="1.23"/>
    <n v="1"/>
    <n v="-24"/>
    <n v="144"/>
  </r>
  <r>
    <x v="48"/>
    <s v="conventional_default_current_monthsSince_88"/>
    <x v="128"/>
    <n v="1.23"/>
    <n v="1"/>
    <n v="-24"/>
    <n v="144"/>
  </r>
  <r>
    <x v="48"/>
    <s v="conventional_default_current_monthsSince_89"/>
    <x v="129"/>
    <n v="1.23"/>
    <n v="1"/>
    <n v="-24"/>
    <n v="144"/>
  </r>
  <r>
    <x v="48"/>
    <s v="conventional_default_current_monthsSince_90"/>
    <x v="130"/>
    <n v="1.23"/>
    <n v="1"/>
    <n v="-24"/>
    <n v="144"/>
  </r>
  <r>
    <x v="48"/>
    <s v="conventional_default_current_monthsSince_91"/>
    <x v="131"/>
    <n v="1.23"/>
    <n v="1"/>
    <n v="-24"/>
    <n v="144"/>
  </r>
  <r>
    <x v="48"/>
    <s v="conventional_default_current_monthsSince_92"/>
    <x v="132"/>
    <n v="1.23"/>
    <n v="1"/>
    <n v="-24"/>
    <n v="144"/>
  </r>
  <r>
    <x v="48"/>
    <s v="conventional_default_current_monthsSince_93"/>
    <x v="133"/>
    <n v="1.23"/>
    <n v="1"/>
    <n v="-24"/>
    <n v="144"/>
  </r>
  <r>
    <x v="48"/>
    <s v="conventional_default_current_monthsSince_94"/>
    <x v="134"/>
    <n v="1.23"/>
    <n v="1"/>
    <n v="-24"/>
    <n v="144"/>
  </r>
  <r>
    <x v="48"/>
    <s v="conventional_default_current_monthsSince_95"/>
    <x v="135"/>
    <n v="1.23"/>
    <n v="1"/>
    <n v="-24"/>
    <n v="144"/>
  </r>
  <r>
    <x v="48"/>
    <s v="conventional_default_current_monthsSince_96"/>
    <x v="136"/>
    <n v="1.23"/>
    <n v="1"/>
    <n v="-24"/>
    <n v="144"/>
  </r>
  <r>
    <x v="48"/>
    <s v="conventional_default_current_monthsSince_97"/>
    <x v="137"/>
    <n v="1.23"/>
    <n v="1"/>
    <n v="-24"/>
    <n v="144"/>
  </r>
  <r>
    <x v="48"/>
    <s v="conventional_default_current_monthsSince_98"/>
    <x v="138"/>
    <n v="1.23"/>
    <n v="1"/>
    <n v="-24"/>
    <n v="144"/>
  </r>
  <r>
    <x v="48"/>
    <s v="conventional_default_current_monthsSince_99"/>
    <x v="139"/>
    <n v="1.23"/>
    <n v="1"/>
    <n v="-24"/>
    <n v="144"/>
  </r>
  <r>
    <x v="48"/>
    <s v="conventional_default_current_monthsSince_100"/>
    <x v="140"/>
    <n v="1.23"/>
    <n v="1"/>
    <n v="-24"/>
    <n v="144"/>
  </r>
  <r>
    <x v="48"/>
    <s v="conventional_default_current_monthsSince_101"/>
    <x v="141"/>
    <n v="1.23"/>
    <n v="1"/>
    <n v="-24"/>
    <n v="144"/>
  </r>
  <r>
    <x v="48"/>
    <s v="conventional_default_current_monthsSince_102"/>
    <x v="142"/>
    <n v="1.23"/>
    <n v="1"/>
    <n v="-24"/>
    <n v="144"/>
  </r>
  <r>
    <x v="48"/>
    <s v="conventional_default_current_monthsSince_103"/>
    <x v="143"/>
    <n v="1.23"/>
    <n v="1"/>
    <n v="-24"/>
    <n v="144"/>
  </r>
  <r>
    <x v="48"/>
    <s v="conventional_default_current_monthsSince_104"/>
    <x v="144"/>
    <n v="1.23"/>
    <n v="1"/>
    <n v="-24"/>
    <n v="144"/>
  </r>
  <r>
    <x v="48"/>
    <s v="conventional_default_current_monthsSince_105"/>
    <x v="145"/>
    <n v="1.23"/>
    <n v="1"/>
    <n v="-24"/>
    <n v="144"/>
  </r>
  <r>
    <x v="48"/>
    <s v="conventional_default_current_monthsSince_106"/>
    <x v="146"/>
    <n v="1.23"/>
    <n v="1"/>
    <n v="-24"/>
    <n v="144"/>
  </r>
  <r>
    <x v="48"/>
    <s v="conventional_default_current_monthsSince_107"/>
    <x v="147"/>
    <n v="1.23"/>
    <n v="1"/>
    <n v="-24"/>
    <n v="144"/>
  </r>
  <r>
    <x v="48"/>
    <s v="conventional_default_current_monthsSince_108"/>
    <x v="148"/>
    <n v="1.23"/>
    <n v="1"/>
    <n v="-24"/>
    <n v="144"/>
  </r>
  <r>
    <x v="48"/>
    <s v="conventional_default_current_monthsSince_109"/>
    <x v="149"/>
    <n v="1.23"/>
    <n v="1"/>
    <n v="-24"/>
    <n v="144"/>
  </r>
  <r>
    <x v="48"/>
    <s v="conventional_default_current_monthsSince_110"/>
    <x v="150"/>
    <n v="1.23"/>
    <n v="1"/>
    <n v="-24"/>
    <n v="144"/>
  </r>
  <r>
    <x v="48"/>
    <s v="conventional_default_current_monthsSince_111"/>
    <x v="151"/>
    <n v="1.23"/>
    <n v="1"/>
    <n v="-24"/>
    <n v="144"/>
  </r>
  <r>
    <x v="48"/>
    <s v="conventional_default_current_monthsSince_112"/>
    <x v="152"/>
    <n v="1.23"/>
    <n v="1"/>
    <n v="-24"/>
    <n v="144"/>
  </r>
  <r>
    <x v="48"/>
    <s v="conventional_default_current_monthsSince_113"/>
    <x v="153"/>
    <n v="1.23"/>
    <n v="1"/>
    <n v="-24"/>
    <n v="144"/>
  </r>
  <r>
    <x v="48"/>
    <s v="conventional_default_current_monthsSince_114"/>
    <x v="154"/>
    <n v="1.23"/>
    <n v="1"/>
    <n v="-24"/>
    <n v="144"/>
  </r>
  <r>
    <x v="48"/>
    <s v="conventional_default_current_monthsSince_115"/>
    <x v="155"/>
    <n v="1.23"/>
    <n v="1"/>
    <n v="-24"/>
    <n v="144"/>
  </r>
  <r>
    <x v="48"/>
    <s v="conventional_default_current_monthsSince_116"/>
    <x v="156"/>
    <n v="1.23"/>
    <n v="1"/>
    <n v="-24"/>
    <n v="144"/>
  </r>
  <r>
    <x v="48"/>
    <s v="conventional_default_current_monthsSince_117"/>
    <x v="157"/>
    <n v="1.23"/>
    <n v="1"/>
    <n v="-24"/>
    <n v="144"/>
  </r>
  <r>
    <x v="48"/>
    <s v="conventional_default_current_monthsSince_118"/>
    <x v="158"/>
    <n v="1.23"/>
    <n v="1"/>
    <n v="-24"/>
    <n v="144"/>
  </r>
  <r>
    <x v="48"/>
    <s v="conventional_default_current_monthsSince_119"/>
    <x v="159"/>
    <n v="1.23"/>
    <n v="1"/>
    <n v="-24"/>
    <n v="144"/>
  </r>
  <r>
    <x v="48"/>
    <s v="conventional_default_current_monthsSince_120"/>
    <x v="160"/>
    <n v="1.23"/>
    <n v="1"/>
    <n v="-24"/>
    <n v="144"/>
  </r>
  <r>
    <x v="48"/>
    <s v="conventional_default_current_monthsSince_121"/>
    <x v="161"/>
    <n v="1.23"/>
    <n v="1"/>
    <n v="-24"/>
    <n v="144"/>
  </r>
  <r>
    <x v="48"/>
    <s v="conventional_default_current_monthsSince_122"/>
    <x v="162"/>
    <n v="1.23"/>
    <n v="1"/>
    <n v="-24"/>
    <n v="144"/>
  </r>
  <r>
    <x v="48"/>
    <s v="conventional_default_current_monthsSince_123"/>
    <x v="163"/>
    <n v="1.23"/>
    <n v="1"/>
    <n v="-24"/>
    <n v="144"/>
  </r>
  <r>
    <x v="48"/>
    <s v="conventional_default_current_monthsSince_124"/>
    <x v="164"/>
    <n v="1.23"/>
    <n v="1"/>
    <n v="-24"/>
    <n v="144"/>
  </r>
  <r>
    <x v="48"/>
    <s v="conventional_default_current_monthsSince_125"/>
    <x v="165"/>
    <n v="1.23"/>
    <n v="1"/>
    <n v="-24"/>
    <n v="144"/>
  </r>
  <r>
    <x v="48"/>
    <s v="conventional_default_current_monthsSince_126"/>
    <x v="166"/>
    <n v="1.23"/>
    <n v="1"/>
    <n v="-24"/>
    <n v="144"/>
  </r>
  <r>
    <x v="48"/>
    <s v="conventional_default_current_monthsSince_127"/>
    <x v="167"/>
    <n v="1.23"/>
    <n v="1"/>
    <n v="-24"/>
    <n v="144"/>
  </r>
  <r>
    <x v="48"/>
    <s v="conventional_default_current_monthsSince_128"/>
    <x v="168"/>
    <n v="1.23"/>
    <n v="1"/>
    <n v="-24"/>
    <n v="144"/>
  </r>
  <r>
    <x v="48"/>
    <s v="conventional_default_current_monthsSince_129"/>
    <x v="169"/>
    <n v="1.23"/>
    <n v="1"/>
    <n v="-24"/>
    <n v="144"/>
  </r>
  <r>
    <x v="48"/>
    <s v="conventional_default_current_monthsSince_130"/>
    <x v="170"/>
    <n v="1.23"/>
    <n v="1"/>
    <n v="-24"/>
    <n v="144"/>
  </r>
  <r>
    <x v="48"/>
    <s v="conventional_default_current_monthsSince_131"/>
    <x v="171"/>
    <n v="1.23"/>
    <n v="1"/>
    <n v="-24"/>
    <n v="144"/>
  </r>
  <r>
    <x v="48"/>
    <s v="conventional_default_current_monthsSince_132"/>
    <x v="172"/>
    <n v="1.23"/>
    <n v="1"/>
    <n v="-24"/>
    <n v="144"/>
  </r>
  <r>
    <x v="48"/>
    <s v="conventional_default_current_monthsSince_133"/>
    <x v="173"/>
    <n v="1.23"/>
    <n v="1"/>
    <n v="-24"/>
    <n v="144"/>
  </r>
  <r>
    <x v="48"/>
    <s v="conventional_default_current_monthsSince_134"/>
    <x v="174"/>
    <n v="1.23"/>
    <n v="1"/>
    <n v="-24"/>
    <n v="144"/>
  </r>
  <r>
    <x v="48"/>
    <s v="conventional_default_current_monthsSince_135"/>
    <x v="175"/>
    <n v="1.23"/>
    <n v="1"/>
    <n v="-24"/>
    <n v="144"/>
  </r>
  <r>
    <x v="48"/>
    <s v="conventional_default_current_monthsSince_136"/>
    <x v="176"/>
    <n v="1.23"/>
    <n v="1"/>
    <n v="-24"/>
    <n v="144"/>
  </r>
  <r>
    <x v="48"/>
    <s v="conventional_default_current_monthsSince_137"/>
    <x v="177"/>
    <n v="1.23"/>
    <n v="1"/>
    <n v="-24"/>
    <n v="144"/>
  </r>
  <r>
    <x v="48"/>
    <s v="conventional_default_current_monthsSince_138"/>
    <x v="178"/>
    <n v="1.23"/>
    <n v="1"/>
    <n v="-24"/>
    <n v="144"/>
  </r>
  <r>
    <x v="48"/>
    <s v="conventional_default_current_monthsSince_139"/>
    <x v="179"/>
    <n v="1.23"/>
    <n v="1"/>
    <n v="-24"/>
    <n v="144"/>
  </r>
  <r>
    <x v="48"/>
    <s v="conventional_default_current_monthsSince_140"/>
    <x v="180"/>
    <n v="1.23"/>
    <n v="1"/>
    <n v="-24"/>
    <n v="144"/>
  </r>
  <r>
    <x v="48"/>
    <s v="conventional_default_current_monthsSince_141"/>
    <x v="181"/>
    <n v="1.23"/>
    <n v="1"/>
    <n v="-24"/>
    <n v="144"/>
  </r>
  <r>
    <x v="48"/>
    <s v="conventional_default_current_monthsSince_142"/>
    <x v="182"/>
    <n v="1.23"/>
    <n v="1"/>
    <n v="-24"/>
    <n v="144"/>
  </r>
  <r>
    <x v="48"/>
    <s v="conventional_default_current_monthsSince_143"/>
    <x v="183"/>
    <n v="1.23"/>
    <n v="1"/>
    <n v="-24"/>
    <n v="144"/>
  </r>
  <r>
    <x v="48"/>
    <s v="conventional_default_current_monthsSince_144"/>
    <x v="184"/>
    <n v="1.23"/>
    <n v="1"/>
    <n v="-24"/>
    <n v="144"/>
  </r>
  <r>
    <x v="49"/>
    <s v="conventional_default_current_cltv_-36"/>
    <x v="4"/>
    <n v="-3.4000000000000002E-2"/>
    <n v="1"/>
    <n v="-36"/>
    <n v="216"/>
  </r>
  <r>
    <x v="49"/>
    <s v="conventional_default_current_cltv_-35"/>
    <x v="5"/>
    <n v="-0.03"/>
    <n v="1"/>
    <n v="-36"/>
    <n v="216"/>
  </r>
  <r>
    <x v="49"/>
    <s v="conventional_default_current_cltv_-34"/>
    <x v="6"/>
    <n v="-2.5999999999999999E-2"/>
    <n v="1"/>
    <n v="-36"/>
    <n v="216"/>
  </r>
  <r>
    <x v="49"/>
    <s v="conventional_default_current_cltv_-33"/>
    <x v="7"/>
    <n v="-2.1999999999999999E-2"/>
    <n v="1"/>
    <n v="-36"/>
    <n v="216"/>
  </r>
  <r>
    <x v="49"/>
    <s v="conventional_default_current_cltv_-32"/>
    <x v="8"/>
    <n v="-1.7999999999999999E-2"/>
    <n v="1"/>
    <n v="-36"/>
    <n v="216"/>
  </r>
  <r>
    <x v="49"/>
    <s v="conventional_default_current_cltv_-31"/>
    <x v="9"/>
    <n v="-1.4E-2"/>
    <n v="1"/>
    <n v="-36"/>
    <n v="216"/>
  </r>
  <r>
    <x v="49"/>
    <s v="conventional_default_current_cltv_-30"/>
    <x v="10"/>
    <n v="-0.01"/>
    <n v="1"/>
    <n v="-36"/>
    <n v="216"/>
  </r>
  <r>
    <x v="49"/>
    <s v="conventional_default_current_cltv_-29"/>
    <x v="11"/>
    <n v="-6.0000000000000097E-3"/>
    <n v="1"/>
    <n v="-36"/>
    <n v="216"/>
  </r>
  <r>
    <x v="49"/>
    <s v="conventional_default_current_cltv_-28"/>
    <x v="12"/>
    <n v="-2E-3"/>
    <n v="1"/>
    <n v="-36"/>
    <n v="216"/>
  </r>
  <r>
    <x v="49"/>
    <s v="conventional_default_current_cltv_-27"/>
    <x v="13"/>
    <n v="2E-3"/>
    <n v="1"/>
    <n v="-36"/>
    <n v="216"/>
  </r>
  <r>
    <x v="49"/>
    <s v="conventional_default_current_cltv_-26"/>
    <x v="14"/>
    <n v="5.9999999999999897E-3"/>
    <n v="1"/>
    <n v="-36"/>
    <n v="216"/>
  </r>
  <r>
    <x v="49"/>
    <s v="conventional_default_current_cltv_-25"/>
    <x v="15"/>
    <n v="0.01"/>
    <n v="1"/>
    <n v="-36"/>
    <n v="216"/>
  </r>
  <r>
    <x v="49"/>
    <s v="conventional_default_current_cltv_-24"/>
    <x v="16"/>
    <n v="1.4E-2"/>
    <n v="1"/>
    <n v="-36"/>
    <n v="216"/>
  </r>
  <r>
    <x v="49"/>
    <s v="conventional_default_current_cltv_-23"/>
    <x v="17"/>
    <n v="1.7999999999999999E-2"/>
    <n v="1"/>
    <n v="-36"/>
    <n v="216"/>
  </r>
  <r>
    <x v="49"/>
    <s v="conventional_default_current_cltv_-22"/>
    <x v="18"/>
    <n v="2.1999999999999999E-2"/>
    <n v="1"/>
    <n v="-36"/>
    <n v="216"/>
  </r>
  <r>
    <x v="49"/>
    <s v="conventional_default_current_cltv_-21"/>
    <x v="19"/>
    <n v="2.5999999999999999E-2"/>
    <n v="1"/>
    <n v="-36"/>
    <n v="216"/>
  </r>
  <r>
    <x v="49"/>
    <s v="conventional_default_current_cltv_-20"/>
    <x v="20"/>
    <n v="0.03"/>
    <n v="1"/>
    <n v="-36"/>
    <n v="216"/>
  </r>
  <r>
    <x v="49"/>
    <s v="conventional_default_current_cltv_-19"/>
    <x v="21"/>
    <n v="3.4000000000000002E-2"/>
    <n v="1"/>
    <n v="-36"/>
    <n v="216"/>
  </r>
  <r>
    <x v="49"/>
    <s v="conventional_default_current_cltv_-18"/>
    <x v="22"/>
    <n v="3.7999999999999999E-2"/>
    <n v="1"/>
    <n v="-36"/>
    <n v="216"/>
  </r>
  <r>
    <x v="49"/>
    <s v="conventional_default_current_cltv_-17"/>
    <x v="23"/>
    <n v="4.2000000000000003E-2"/>
    <n v="1"/>
    <n v="-36"/>
    <n v="216"/>
  </r>
  <r>
    <x v="49"/>
    <s v="conventional_default_current_cltv_-16"/>
    <x v="24"/>
    <n v="4.5999999999999999E-2"/>
    <n v="1"/>
    <n v="-36"/>
    <n v="216"/>
  </r>
  <r>
    <x v="49"/>
    <s v="conventional_default_current_cltv_-15"/>
    <x v="25"/>
    <n v="0.05"/>
    <n v="1"/>
    <n v="-36"/>
    <n v="216"/>
  </r>
  <r>
    <x v="49"/>
    <s v="conventional_default_current_cltv_-14"/>
    <x v="26"/>
    <n v="5.3999999999999999E-2"/>
    <n v="1"/>
    <n v="-36"/>
    <n v="216"/>
  </r>
  <r>
    <x v="49"/>
    <s v="conventional_default_current_cltv_-13"/>
    <x v="27"/>
    <n v="5.8000000000000003E-2"/>
    <n v="1"/>
    <n v="-36"/>
    <n v="216"/>
  </r>
  <r>
    <x v="49"/>
    <s v="conventional_default_current_cltv_-12"/>
    <x v="28"/>
    <n v="6.2E-2"/>
    <n v="1"/>
    <n v="-36"/>
    <n v="216"/>
  </r>
  <r>
    <x v="49"/>
    <s v="conventional_default_current_cltv_-11"/>
    <x v="29"/>
    <n v="6.6000000000000003E-2"/>
    <n v="1"/>
    <n v="-36"/>
    <n v="216"/>
  </r>
  <r>
    <x v="49"/>
    <s v="conventional_default_current_cltv_-10"/>
    <x v="30"/>
    <n v="7.0000000000000007E-2"/>
    <n v="1"/>
    <n v="-36"/>
    <n v="216"/>
  </r>
  <r>
    <x v="49"/>
    <s v="conventional_default_current_cltv_-9"/>
    <x v="31"/>
    <n v="7.3999999999999996E-2"/>
    <n v="1"/>
    <n v="-36"/>
    <n v="216"/>
  </r>
  <r>
    <x v="49"/>
    <s v="conventional_default_current_cltv_-8"/>
    <x v="32"/>
    <n v="7.8E-2"/>
    <n v="1"/>
    <n v="-36"/>
    <n v="216"/>
  </r>
  <r>
    <x v="49"/>
    <s v="conventional_default_current_cltv_-7"/>
    <x v="33"/>
    <n v="8.2000000000000003E-2"/>
    <n v="1"/>
    <n v="-36"/>
    <n v="216"/>
  </r>
  <r>
    <x v="49"/>
    <s v="conventional_default_current_cltv_-6"/>
    <x v="34"/>
    <n v="8.5999999999999993E-2"/>
    <n v="1"/>
    <n v="-36"/>
    <n v="216"/>
  </r>
  <r>
    <x v="49"/>
    <s v="conventional_default_current_cltv_-5"/>
    <x v="35"/>
    <n v="0.09"/>
    <n v="1"/>
    <n v="-36"/>
    <n v="216"/>
  </r>
  <r>
    <x v="49"/>
    <s v="conventional_default_current_cltv_-4"/>
    <x v="36"/>
    <n v="9.4E-2"/>
    <n v="1"/>
    <n v="-36"/>
    <n v="216"/>
  </r>
  <r>
    <x v="49"/>
    <s v="conventional_default_current_cltv_-3"/>
    <x v="37"/>
    <n v="9.8000000000000004E-2"/>
    <n v="1"/>
    <n v="-36"/>
    <n v="216"/>
  </r>
  <r>
    <x v="49"/>
    <s v="conventional_default_current_cltv_-2"/>
    <x v="38"/>
    <n v="0.10199999999999999"/>
    <n v="1"/>
    <n v="-36"/>
    <n v="216"/>
  </r>
  <r>
    <x v="49"/>
    <s v="conventional_default_current_cltv_-1"/>
    <x v="39"/>
    <n v="0.106"/>
    <n v="1"/>
    <n v="-36"/>
    <n v="216"/>
  </r>
  <r>
    <x v="49"/>
    <s v="conventional_default_current_cltv_0"/>
    <x v="40"/>
    <n v="0.11"/>
    <n v="1"/>
    <n v="-36"/>
    <n v="216"/>
  </r>
  <r>
    <x v="49"/>
    <s v="conventional_default_current_cltv_1"/>
    <x v="41"/>
    <n v="0.113916875"/>
    <n v="1"/>
    <n v="-36"/>
    <n v="216"/>
  </r>
  <r>
    <x v="49"/>
    <s v="conventional_default_current_cltv_2"/>
    <x v="42"/>
    <n v="0.117685"/>
    <n v="1"/>
    <n v="-36"/>
    <n v="216"/>
  </r>
  <r>
    <x v="49"/>
    <s v="conventional_default_current_cltv_3"/>
    <x v="43"/>
    <n v="0.121330625"/>
    <n v="1"/>
    <n v="-36"/>
    <n v="216"/>
  </r>
  <r>
    <x v="49"/>
    <s v="conventional_default_current_cltv_4"/>
    <x v="44"/>
    <n v="0.12488"/>
    <n v="1"/>
    <n v="-36"/>
    <n v="216"/>
  </r>
  <r>
    <x v="49"/>
    <s v="conventional_default_current_cltv_5"/>
    <x v="45"/>
    <n v="0.128359375"/>
    <n v="1"/>
    <n v="-36"/>
    <n v="216"/>
  </r>
  <r>
    <x v="49"/>
    <s v="conventional_default_current_cltv_6"/>
    <x v="46"/>
    <n v="0.131795"/>
    <n v="1"/>
    <n v="-36"/>
    <n v="216"/>
  </r>
  <r>
    <x v="49"/>
    <s v="conventional_default_current_cltv_7"/>
    <x v="47"/>
    <n v="0.13521312499999999"/>
    <n v="1"/>
    <n v="-36"/>
    <n v="216"/>
  </r>
  <r>
    <x v="49"/>
    <s v="conventional_default_current_cltv_8"/>
    <x v="48"/>
    <n v="0.13864000000000001"/>
    <n v="1"/>
    <n v="-36"/>
    <n v="216"/>
  </r>
  <r>
    <x v="49"/>
    <s v="conventional_default_current_cltv_9"/>
    <x v="49"/>
    <n v="0.14210187499999999"/>
    <n v="1"/>
    <n v="-36"/>
    <n v="216"/>
  </r>
  <r>
    <x v="49"/>
    <s v="conventional_default_current_cltv_10"/>
    <x v="50"/>
    <n v="0.145625"/>
    <n v="1"/>
    <n v="-36"/>
    <n v="216"/>
  </r>
  <r>
    <x v="49"/>
    <s v="conventional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entional_default_current_cltv_14"/>
    <x v="54"/>
    <n v="0.160855"/>
    <n v="1"/>
    <n v="-36"/>
    <n v="216"/>
  </r>
  <r>
    <x v="49"/>
    <s v="conventional_default_current_cltv_15"/>
    <x v="55"/>
    <n v="0.16507812499999999"/>
    <n v="1"/>
    <n v="-36"/>
    <n v="216"/>
  </r>
  <r>
    <x v="49"/>
    <s v="conventional_default_current_cltv_16"/>
    <x v="56"/>
    <n v="0.16952"/>
    <n v="1"/>
    <n v="-36"/>
    <n v="216"/>
  </r>
  <r>
    <x v="49"/>
    <s v="conventional_default_current_cltv_17"/>
    <x v="57"/>
    <n v="0.17420687500000001"/>
    <n v="1"/>
    <n v="-36"/>
    <n v="216"/>
  </r>
  <r>
    <x v="49"/>
    <s v="conventional_default_current_cltv_18"/>
    <x v="58"/>
    <n v="0.17916499999999999"/>
    <n v="1"/>
    <n v="-36"/>
    <n v="216"/>
  </r>
  <r>
    <x v="49"/>
    <s v="conventional_default_current_cltv_19"/>
    <x v="59"/>
    <n v="0.184420625"/>
    <n v="1"/>
    <n v="-36"/>
    <n v="216"/>
  </r>
  <r>
    <x v="49"/>
    <s v="conventional_default_current_cltv_20"/>
    <x v="60"/>
    <n v="0.19"/>
    <n v="1"/>
    <n v="-36"/>
    <n v="216"/>
  </r>
  <r>
    <x v="49"/>
    <s v="conventional_default_current_cltv_21"/>
    <x v="61"/>
    <n v="0.19573062499999999"/>
    <n v="1"/>
    <n v="-36"/>
    <n v="216"/>
  </r>
  <r>
    <x v="49"/>
    <s v="conventional_default_current_cltv_22"/>
    <x v="62"/>
    <n v="0.20144500000000001"/>
    <n v="1"/>
    <n v="-36"/>
    <n v="216"/>
  </r>
  <r>
    <x v="49"/>
    <s v="conventional_default_current_cltv_23"/>
    <x v="63"/>
    <n v="0.20717687500000001"/>
    <n v="1"/>
    <n v="-36"/>
    <n v="216"/>
  </r>
  <r>
    <x v="49"/>
    <s v="conventional_default_current_cltv_24"/>
    <x v="64"/>
    <n v="0.21296000000000001"/>
    <n v="1"/>
    <n v="-36"/>
    <n v="216"/>
  </r>
  <r>
    <x v="49"/>
    <s v="conventional_default_current_cltv_25"/>
    <x v="65"/>
    <n v="0.21882812500000001"/>
    <n v="1"/>
    <n v="-36"/>
    <n v="216"/>
  </r>
  <r>
    <x v="49"/>
    <s v="conventional_default_current_cltv_26"/>
    <x v="66"/>
    <n v="0.22481499999999999"/>
    <n v="1"/>
    <n v="-36"/>
    <n v="216"/>
  </r>
  <r>
    <x v="49"/>
    <s v="conventional_default_current_cltv_27"/>
    <x v="67"/>
    <n v="0.23095437499999999"/>
    <n v="1"/>
    <n v="-36"/>
    <n v="216"/>
  </r>
  <r>
    <x v="49"/>
    <s v="conventional_default_current_cltv_28"/>
    <x v="68"/>
    <n v="0.23727999999999999"/>
    <n v="1"/>
    <n v="-36"/>
    <n v="216"/>
  </r>
  <r>
    <x v="49"/>
    <s v="conventional_default_current_cltv_29"/>
    <x v="69"/>
    <n v="0.24382562499999999"/>
    <n v="1"/>
    <n v="-36"/>
    <n v="216"/>
  </r>
  <r>
    <x v="49"/>
    <s v="conventional_default_current_cltv_30"/>
    <x v="70"/>
    <n v="0.25062499999999999"/>
    <n v="1"/>
    <n v="-36"/>
    <n v="216"/>
  </r>
  <r>
    <x v="49"/>
    <s v="conventional_default_current_cltv_31"/>
    <x v="71"/>
    <n v="0.25771187499999998"/>
    <n v="1"/>
    <n v="-36"/>
    <n v="216"/>
  </r>
  <r>
    <x v="49"/>
    <s v="conventional_default_current_cltv_32"/>
    <x v="72"/>
    <n v="0.26512000000000002"/>
    <n v="1"/>
    <n v="-36"/>
    <n v="216"/>
  </r>
  <r>
    <x v="49"/>
    <s v="conventional_default_current_cltv_33"/>
    <x v="73"/>
    <n v="0.272883125"/>
    <n v="1"/>
    <n v="-36"/>
    <n v="216"/>
  </r>
  <r>
    <x v="49"/>
    <s v="conventional_default_current_cltv_34"/>
    <x v="74"/>
    <n v="0.28103499999999998"/>
    <n v="1"/>
    <n v="-36"/>
    <n v="216"/>
  </r>
  <r>
    <x v="49"/>
    <s v="conventional_default_current_cltv_35"/>
    <x v="75"/>
    <n v="0.289609375"/>
    <n v="1"/>
    <n v="-36"/>
    <n v="216"/>
  </r>
  <r>
    <x v="49"/>
    <s v="conventional_default_current_cltv_36"/>
    <x v="76"/>
    <n v="0.29864000000000002"/>
    <n v="1"/>
    <n v="-36"/>
    <n v="216"/>
  </r>
  <r>
    <x v="49"/>
    <s v="conventional_default_current_cltv_37"/>
    <x v="77"/>
    <n v="0.30816062500000002"/>
    <n v="1"/>
    <n v="-36"/>
    <n v="216"/>
  </r>
  <r>
    <x v="49"/>
    <s v="conventional_default_current_cltv_38"/>
    <x v="78"/>
    <n v="0.31820500000000002"/>
    <n v="1"/>
    <n v="-36"/>
    <n v="216"/>
  </r>
  <r>
    <x v="49"/>
    <s v="conventional_default_current_cltv_39"/>
    <x v="79"/>
    <n v="0.328806875"/>
    <n v="1"/>
    <n v="-36"/>
    <n v="216"/>
  </r>
  <r>
    <x v="49"/>
    <s v="conventional_default_current_cltv_40"/>
    <x v="80"/>
    <n v="0.34"/>
    <n v="1"/>
    <n v="-36"/>
    <n v="216"/>
  </r>
  <r>
    <x v="49"/>
    <s v="conventional_default_current_cltv_41"/>
    <x v="81"/>
    <n v="0.35158125000000001"/>
    <n v="1"/>
    <n v="-36"/>
    <n v="216"/>
  </r>
  <r>
    <x v="49"/>
    <s v="conventional_default_current_cltv_42"/>
    <x v="82"/>
    <n v="0.36335000000000001"/>
    <n v="1"/>
    <n v="-36"/>
    <n v="216"/>
  </r>
  <r>
    <x v="49"/>
    <s v="conventional_default_current_cltv_43"/>
    <x v="83"/>
    <n v="0.37534374999999998"/>
    <n v="1"/>
    <n v="-36"/>
    <n v="216"/>
  </r>
  <r>
    <x v="49"/>
    <s v="conventional_default_current_cltv_44"/>
    <x v="84"/>
    <n v="0.3876"/>
    <n v="1"/>
    <n v="-36"/>
    <n v="216"/>
  </r>
  <r>
    <x v="49"/>
    <s v="conventional_default_current_cltv_45"/>
    <x v="85"/>
    <n v="0.40015624999999999"/>
    <n v="1"/>
    <n v="-36"/>
    <n v="216"/>
  </r>
  <r>
    <x v="49"/>
    <s v="conventional_default_current_cltv_46"/>
    <x v="86"/>
    <n v="0.41304999999999997"/>
    <n v="1"/>
    <n v="-36"/>
    <n v="216"/>
  </r>
  <r>
    <x v="49"/>
    <s v="conventional_default_current_cltv_47"/>
    <x v="87"/>
    <n v="0.42631875000000002"/>
    <n v="1"/>
    <n v="-36"/>
    <n v="216"/>
  </r>
  <r>
    <x v="49"/>
    <s v="conventional_default_current_cltv_48"/>
    <x v="88"/>
    <n v="0.44"/>
    <n v="1"/>
    <n v="-36"/>
    <n v="216"/>
  </r>
  <r>
    <x v="49"/>
    <s v="conventional_default_current_cltv_49"/>
    <x v="89"/>
    <n v="0.45413124999999999"/>
    <n v="1"/>
    <n v="-36"/>
    <n v="216"/>
  </r>
  <r>
    <x v="49"/>
    <s v="conventional_default_current_cltv_50"/>
    <x v="90"/>
    <n v="0.46875"/>
    <n v="1"/>
    <n v="-36"/>
    <n v="216"/>
  </r>
  <r>
    <x v="49"/>
    <s v="conventional_default_current_cltv_51"/>
    <x v="91"/>
    <n v="0.48389375000000001"/>
    <n v="1"/>
    <n v="-36"/>
    <n v="216"/>
  </r>
  <r>
    <x v="49"/>
    <s v="conventional_default_current_cltv_52"/>
    <x v="92"/>
    <n v="0.49959999999999999"/>
    <n v="1"/>
    <n v="-36"/>
    <n v="216"/>
  </r>
  <r>
    <x v="49"/>
    <s v="conventional_default_current_cltv_53"/>
    <x v="93"/>
    <n v="0.51590625000000001"/>
    <n v="1"/>
    <n v="-36"/>
    <n v="216"/>
  </r>
  <r>
    <x v="49"/>
    <s v="conventional_default_current_cltv_54"/>
    <x v="94"/>
    <n v="0.53285000000000005"/>
    <n v="1"/>
    <n v="-36"/>
    <n v="216"/>
  </r>
  <r>
    <x v="49"/>
    <s v="conventional_default_current_cltv_55"/>
    <x v="95"/>
    <n v="0.55046874999999995"/>
    <n v="1"/>
    <n v="-36"/>
    <n v="216"/>
  </r>
  <r>
    <x v="49"/>
    <s v="conventional_default_current_cltv_56"/>
    <x v="96"/>
    <n v="0.56879999999999997"/>
    <n v="1"/>
    <n v="-36"/>
    <n v="216"/>
  </r>
  <r>
    <x v="49"/>
    <s v="conventional_default_current_cltv_57"/>
    <x v="97"/>
    <n v="0.58788125000000002"/>
    <n v="1"/>
    <n v="-36"/>
    <n v="216"/>
  </r>
  <r>
    <x v="49"/>
    <s v="conventional_default_current_cltv_58"/>
    <x v="98"/>
    <n v="0.60775000000000001"/>
    <n v="1"/>
    <n v="-36"/>
    <n v="216"/>
  </r>
  <r>
    <x v="49"/>
    <s v="conventional_default_current_cltv_59"/>
    <x v="99"/>
    <n v="0.62844374999999997"/>
    <n v="1"/>
    <n v="-36"/>
    <n v="216"/>
  </r>
  <r>
    <x v="49"/>
    <s v="conventional_default_current_cltv_60"/>
    <x v="100"/>
    <n v="0.65"/>
    <n v="1"/>
    <n v="-36"/>
    <n v="216"/>
  </r>
  <r>
    <x v="49"/>
    <s v="conventional_default_current_cltv_61"/>
    <x v="101"/>
    <n v="0.67209937500000005"/>
    <n v="1"/>
    <n v="-36"/>
    <n v="216"/>
  </r>
  <r>
    <x v="49"/>
    <s v="conventional_default_current_cltv_62"/>
    <x v="102"/>
    <n v="0.69444499999999998"/>
    <n v="1"/>
    <n v="-36"/>
    <n v="216"/>
  </r>
  <r>
    <x v="49"/>
    <s v="conventional_default_current_cltv_63"/>
    <x v="103"/>
    <n v="0.71710812499999999"/>
    <n v="1"/>
    <n v="-36"/>
    <n v="216"/>
  </r>
  <r>
    <x v="49"/>
    <s v="conventional_default_current_cltv_64"/>
    <x v="104"/>
    <n v="0.74016000000000004"/>
    <n v="1"/>
    <n v="-36"/>
    <n v="216"/>
  </r>
  <r>
    <x v="49"/>
    <s v="conventional_default_current_cltv_65"/>
    <x v="105"/>
    <n v="0.763671875"/>
    <n v="1"/>
    <n v="-36"/>
    <n v="216"/>
  </r>
  <r>
    <x v="49"/>
    <s v="conventional_default_current_cltv_66"/>
    <x v="106"/>
    <n v="0.78771500000000005"/>
    <n v="1"/>
    <n v="-36"/>
    <n v="216"/>
  </r>
  <r>
    <x v="49"/>
    <s v="conventional_default_current_cltv_67"/>
    <x v="107"/>
    <n v="0.81236062499999995"/>
    <n v="1"/>
    <n v="-36"/>
    <n v="216"/>
  </r>
  <r>
    <x v="49"/>
    <s v="conventional_default_current_cltv_68"/>
    <x v="108"/>
    <n v="0.83767999999999998"/>
    <n v="1"/>
    <n v="-36"/>
    <n v="216"/>
  </r>
  <r>
    <x v="49"/>
    <s v="conventional_default_current_cltv_69"/>
    <x v="109"/>
    <n v="0.86374437500000001"/>
    <n v="1"/>
    <n v="-36"/>
    <n v="216"/>
  </r>
  <r>
    <x v="49"/>
    <s v="conventional_default_current_cltv_70"/>
    <x v="110"/>
    <n v="0.890625"/>
    <n v="1"/>
    <n v="-36"/>
    <n v="216"/>
  </r>
  <r>
    <x v="49"/>
    <s v="conventional_default_current_cltv_71"/>
    <x v="111"/>
    <n v="0.91839312500000003"/>
    <n v="1"/>
    <n v="-36"/>
    <n v="216"/>
  </r>
  <r>
    <x v="49"/>
    <s v="conventional_default_current_cltv_72"/>
    <x v="112"/>
    <n v="0.94711999999999996"/>
    <n v="1"/>
    <n v="-36"/>
    <n v="216"/>
  </r>
  <r>
    <x v="49"/>
    <s v="conventional_default_current_cltv_73"/>
    <x v="113"/>
    <n v="0.97687687499999998"/>
    <n v="1"/>
    <n v="-36"/>
    <n v="216"/>
  </r>
  <r>
    <x v="49"/>
    <s v="conventional_default_current_cltv_74"/>
    <x v="114"/>
    <n v="1.007735"/>
    <n v="1"/>
    <n v="-36"/>
    <n v="216"/>
  </r>
  <r>
    <x v="49"/>
    <s v="conventional_default_current_cltv_75"/>
    <x v="115"/>
    <n v="1.039765625"/>
    <n v="1"/>
    <n v="-36"/>
    <n v="216"/>
  </r>
  <r>
    <x v="49"/>
    <s v="conventional_default_current_cltv_76"/>
    <x v="116"/>
    <n v="1.07304"/>
    <n v="1"/>
    <n v="-36"/>
    <n v="216"/>
  </r>
  <r>
    <x v="49"/>
    <s v="conventional_default_current_cltv_77"/>
    <x v="117"/>
    <n v="1.1076293749999999"/>
    <n v="1"/>
    <n v="-36"/>
    <n v="216"/>
  </r>
  <r>
    <x v="49"/>
    <s v="conventional_default_current_cltv_78"/>
    <x v="118"/>
    <n v="1.143605"/>
    <n v="1"/>
    <n v="-36"/>
    <n v="216"/>
  </r>
  <r>
    <x v="49"/>
    <s v="conventional_default_current_cltv_79"/>
    <x v="119"/>
    <n v="1.1810381249999999"/>
    <n v="1"/>
    <n v="-36"/>
    <n v="216"/>
  </r>
  <r>
    <x v="49"/>
    <s v="conventional_default_current_cltv_80"/>
    <x v="120"/>
    <n v="1.22"/>
    <n v="1"/>
    <n v="-36"/>
    <n v="216"/>
  </r>
  <r>
    <x v="49"/>
    <s v="conventional_default_current_cltv_81"/>
    <x v="121"/>
    <n v="1.2602175"/>
    <n v="1"/>
    <n v="-36"/>
    <n v="216"/>
  </r>
  <r>
    <x v="49"/>
    <s v="conventional_default_current_cltv_82"/>
    <x v="122"/>
    <n v="1.30139"/>
    <n v="1"/>
    <n v="-36"/>
    <n v="216"/>
  </r>
  <r>
    <x v="49"/>
    <s v="conventional_default_current_cltv_83"/>
    <x v="123"/>
    <n v="1.3435474999999999"/>
    <n v="1"/>
    <n v="-36"/>
    <n v="216"/>
  </r>
  <r>
    <x v="49"/>
    <s v="conventional_default_current_cltv_84"/>
    <x v="124"/>
    <n v="1.38672"/>
    <n v="1"/>
    <n v="-36"/>
    <n v="216"/>
  </r>
  <r>
    <x v="49"/>
    <s v="conventional_default_current_cltv_85"/>
    <x v="125"/>
    <n v="1.4309375"/>
    <n v="1"/>
    <n v="-36"/>
    <n v="216"/>
  </r>
  <r>
    <x v="49"/>
    <s v="conventional_default_current_cltv_86"/>
    <x v="126"/>
    <n v="1.4762299999999999"/>
    <n v="1"/>
    <n v="-36"/>
    <n v="216"/>
  </r>
  <r>
    <x v="49"/>
    <s v="conventional_default_current_cltv_87"/>
    <x v="127"/>
    <n v="1.5226275"/>
    <n v="1"/>
    <n v="-36"/>
    <n v="216"/>
  </r>
  <r>
    <x v="49"/>
    <s v="conventional_default_current_cltv_88"/>
    <x v="128"/>
    <n v="1.57016"/>
    <n v="1"/>
    <n v="-36"/>
    <n v="216"/>
  </r>
  <r>
    <x v="49"/>
    <s v="conventional_default_current_cltv_89"/>
    <x v="129"/>
    <n v="1.6188575000000001"/>
    <n v="1"/>
    <n v="-36"/>
    <n v="216"/>
  </r>
  <r>
    <x v="49"/>
    <s v="conventional_default_current_cltv_90"/>
    <x v="130"/>
    <n v="1.66875"/>
    <n v="1"/>
    <n v="-36"/>
    <n v="216"/>
  </r>
  <r>
    <x v="49"/>
    <s v="conventional_default_current_cltv_91"/>
    <x v="131"/>
    <n v="1.7198675000000001"/>
    <n v="1"/>
    <n v="-36"/>
    <n v="216"/>
  </r>
  <r>
    <x v="49"/>
    <s v="conventional_default_current_cltv_92"/>
    <x v="132"/>
    <n v="1.77224"/>
    <n v="1"/>
    <n v="-36"/>
    <n v="216"/>
  </r>
  <r>
    <x v="49"/>
    <s v="conventional_default_current_cltv_93"/>
    <x v="133"/>
    <n v="1.8258975"/>
    <n v="1"/>
    <n v="-36"/>
    <n v="216"/>
  </r>
  <r>
    <x v="49"/>
    <s v="conventional_default_current_cltv_94"/>
    <x v="134"/>
    <n v="1.88087"/>
    <n v="1"/>
    <n v="-36"/>
    <n v="216"/>
  </r>
  <r>
    <x v="49"/>
    <s v="conventional_default_current_cltv_95"/>
    <x v="135"/>
    <n v="1.9371875000000001"/>
    <n v="1"/>
    <n v="-36"/>
    <n v="216"/>
  </r>
  <r>
    <x v="49"/>
    <s v="conventional_default_current_cltv_96"/>
    <x v="136"/>
    <n v="1.99488"/>
    <n v="1"/>
    <n v="-36"/>
    <n v="216"/>
  </r>
  <r>
    <x v="49"/>
    <s v="conventional_default_current_cltv_97"/>
    <x v="137"/>
    <n v="2.0539774999999998"/>
    <n v="1"/>
    <n v="-36"/>
    <n v="216"/>
  </r>
  <r>
    <x v="49"/>
    <s v="conventional_default_current_cltv_98"/>
    <x v="138"/>
    <n v="2.1145100000000001"/>
    <n v="1"/>
    <n v="-36"/>
    <n v="216"/>
  </r>
  <r>
    <x v="49"/>
    <s v="conventional_default_current_cltv_99"/>
    <x v="139"/>
    <n v="2.1765075"/>
    <n v="1"/>
    <n v="-36"/>
    <n v="216"/>
  </r>
  <r>
    <x v="49"/>
    <s v="conventional_default_current_cltv_100"/>
    <x v="140"/>
    <n v="2.2400000000000002"/>
    <n v="1"/>
    <n v="-36"/>
    <n v="216"/>
  </r>
  <r>
    <x v="49"/>
    <s v="conventional_default_current_cltv_101"/>
    <x v="141"/>
    <n v="2.3051974999999998"/>
    <n v="1"/>
    <n v="-36"/>
    <n v="216"/>
  </r>
  <r>
    <x v="49"/>
    <s v="conventional_default_current_cltv_102"/>
    <x v="142"/>
    <n v="2.3722300000000001"/>
    <n v="1"/>
    <n v="-36"/>
    <n v="216"/>
  </r>
  <r>
    <x v="49"/>
    <s v="conventional_default_current_cltv_103"/>
    <x v="143"/>
    <n v="2.4410075"/>
    <n v="1"/>
    <n v="-36"/>
    <n v="216"/>
  </r>
  <r>
    <x v="49"/>
    <s v="conventional_default_current_cltv_104"/>
    <x v="144"/>
    <n v="2.5114399999999999"/>
    <n v="1"/>
    <n v="-36"/>
    <n v="216"/>
  </r>
  <r>
    <x v="49"/>
    <s v="conventional_default_current_cltv_105"/>
    <x v="145"/>
    <n v="2.5834375000000001"/>
    <n v="1"/>
    <n v="-36"/>
    <n v="216"/>
  </r>
  <r>
    <x v="49"/>
    <s v="conventional_default_current_cltv_106"/>
    <x v="146"/>
    <n v="2.6569099999999999"/>
    <n v="1"/>
    <n v="-36"/>
    <n v="216"/>
  </r>
  <r>
    <x v="49"/>
    <s v="conventional_default_current_cltv_107"/>
    <x v="147"/>
    <n v="2.7317675000000001"/>
    <n v="1"/>
    <n v="-36"/>
    <n v="216"/>
  </r>
  <r>
    <x v="49"/>
    <s v="conventional_default_current_cltv_108"/>
    <x v="148"/>
    <n v="2.8079200000000002"/>
    <n v="1"/>
    <n v="-36"/>
    <n v="216"/>
  </r>
  <r>
    <x v="49"/>
    <s v="conventional_default_current_cltv_109"/>
    <x v="149"/>
    <n v="2.8852774999999999"/>
    <n v="1"/>
    <n v="-36"/>
    <n v="216"/>
  </r>
  <r>
    <x v="49"/>
    <s v="conventional_default_current_cltv_110"/>
    <x v="150"/>
    <n v="2.9637500000000001"/>
    <n v="1"/>
    <n v="-36"/>
    <n v="216"/>
  </r>
  <r>
    <x v="49"/>
    <s v="conventional_default_current_cltv_111"/>
    <x v="151"/>
    <n v="3.0432475000000001"/>
    <n v="1"/>
    <n v="-36"/>
    <n v="216"/>
  </r>
  <r>
    <x v="49"/>
    <s v="conventional_default_current_cltv_112"/>
    <x v="152"/>
    <n v="3.1236799999999998"/>
    <n v="1"/>
    <n v="-36"/>
    <n v="216"/>
  </r>
  <r>
    <x v="49"/>
    <s v="conventional_default_current_cltv_113"/>
    <x v="153"/>
    <n v="3.2049574999999999"/>
    <n v="1"/>
    <n v="-36"/>
    <n v="216"/>
  </r>
  <r>
    <x v="49"/>
    <s v="conventional_default_current_cltv_114"/>
    <x v="154"/>
    <n v="3.2869899999999999"/>
    <n v="1"/>
    <n v="-36"/>
    <n v="216"/>
  </r>
  <r>
    <x v="49"/>
    <s v="conventional_default_current_cltv_115"/>
    <x v="155"/>
    <n v="3.3696874999999999"/>
    <n v="1"/>
    <n v="-36"/>
    <n v="216"/>
  </r>
  <r>
    <x v="49"/>
    <s v="conventional_default_current_cltv_116"/>
    <x v="156"/>
    <n v="3.45296"/>
    <n v="1"/>
    <n v="-36"/>
    <n v="216"/>
  </r>
  <r>
    <x v="49"/>
    <s v="conventional_default_current_cltv_117"/>
    <x v="157"/>
    <n v="3.5367175"/>
    <n v="1"/>
    <n v="-36"/>
    <n v="216"/>
  </r>
  <r>
    <x v="49"/>
    <s v="conventional_default_current_cltv_118"/>
    <x v="158"/>
    <n v="3.62087"/>
    <n v="1"/>
    <n v="-36"/>
    <n v="216"/>
  </r>
  <r>
    <x v="49"/>
    <s v="conventional_default_current_cltv_119"/>
    <x v="159"/>
    <n v="3.7053275000000001"/>
    <n v="1"/>
    <n v="-36"/>
    <n v="216"/>
  </r>
  <r>
    <x v="49"/>
    <s v="conventional_default_current_cltv_120"/>
    <x v="160"/>
    <n v="3.79"/>
    <n v="1"/>
    <n v="-36"/>
    <n v="216"/>
  </r>
  <r>
    <x v="49"/>
    <s v="conventional_default_current_cltv_121"/>
    <x v="161"/>
    <n v="3.8757418750000001"/>
    <n v="1"/>
    <n v="-36"/>
    <n v="216"/>
  </r>
  <r>
    <x v="49"/>
    <s v="conventional_default_current_cltv_122"/>
    <x v="162"/>
    <n v="3.9633349999999998"/>
    <n v="1"/>
    <n v="-36"/>
    <n v="216"/>
  </r>
  <r>
    <x v="49"/>
    <s v="conventional_default_current_cltv_123"/>
    <x v="163"/>
    <n v="4.052580625"/>
    <n v="1"/>
    <n v="-36"/>
    <n v="216"/>
  </r>
  <r>
    <x v="49"/>
    <s v="conventional_default_current_cltv_124"/>
    <x v="164"/>
    <n v="4.1432799999999999"/>
    <n v="1"/>
    <n v="-36"/>
    <n v="216"/>
  </r>
  <r>
    <x v="49"/>
    <s v="conventional_default_current_cltv_125"/>
    <x v="165"/>
    <n v="4.2352343750000001"/>
    <n v="1"/>
    <n v="-36"/>
    <n v="216"/>
  </r>
  <r>
    <x v="49"/>
    <s v="conventional_default_current_cltv_126"/>
    <x v="166"/>
    <n v="4.3282449999999999"/>
    <n v="1"/>
    <n v="-36"/>
    <n v="216"/>
  </r>
  <r>
    <x v="49"/>
    <s v="conventional_default_current_cltv_127"/>
    <x v="167"/>
    <n v="4.4221131250000001"/>
    <n v="1"/>
    <n v="-36"/>
    <n v="216"/>
  </r>
  <r>
    <x v="49"/>
    <s v="conventional_default_current_cltv_128"/>
    <x v="168"/>
    <n v="4.5166399999999998"/>
    <n v="1"/>
    <n v="-36"/>
    <n v="216"/>
  </r>
  <r>
    <x v="49"/>
    <s v="conventional_default_current_cltv_129"/>
    <x v="169"/>
    <n v="4.6116268749999998"/>
    <n v="1"/>
    <n v="-36"/>
    <n v="216"/>
  </r>
  <r>
    <x v="49"/>
    <s v="conventional_default_current_cltv_130"/>
    <x v="170"/>
    <n v="4.7068750000000001"/>
    <n v="1"/>
    <n v="-36"/>
    <n v="216"/>
  </r>
  <r>
    <x v="49"/>
    <s v="conventional_default_current_cltv_131"/>
    <x v="171"/>
    <n v="4.8021856249999999"/>
    <n v="1"/>
    <n v="-36"/>
    <n v="216"/>
  </r>
  <r>
    <x v="49"/>
    <s v="conventional_default_current_cltv_132"/>
    <x v="172"/>
    <n v="4.8973599999999999"/>
    <n v="1"/>
    <n v="-36"/>
    <n v="216"/>
  </r>
  <r>
    <x v="49"/>
    <s v="conventional_default_current_cltv_133"/>
    <x v="173"/>
    <n v="4.9921993750000002"/>
    <n v="1"/>
    <n v="-36"/>
    <n v="216"/>
  </r>
  <r>
    <x v="49"/>
    <s v="conventional_default_current_cltv_134"/>
    <x v="174"/>
    <n v="5.0865049999999998"/>
    <n v="1"/>
    <n v="-36"/>
    <n v="216"/>
  </r>
  <r>
    <x v="49"/>
    <s v="conventional_default_current_cltv_135"/>
    <x v="175"/>
    <n v="5.1800781249999996"/>
    <n v="1"/>
    <n v="-36"/>
    <n v="216"/>
  </r>
  <r>
    <x v="49"/>
    <s v="conventional_default_current_cltv_136"/>
    <x v="176"/>
    <n v="5.2727199999999996"/>
    <n v="1"/>
    <n v="-36"/>
    <n v="216"/>
  </r>
  <r>
    <x v="49"/>
    <s v="conventional_default_current_cltv_137"/>
    <x v="177"/>
    <n v="5.3642318749999998"/>
    <n v="1"/>
    <n v="-36"/>
    <n v="216"/>
  </r>
  <r>
    <x v="49"/>
    <s v="conventional_default_current_cltv_138"/>
    <x v="178"/>
    <n v="5.454415"/>
    <n v="1"/>
    <n v="-36"/>
    <n v="216"/>
  </r>
  <r>
    <x v="49"/>
    <s v="conventional_default_current_cltv_139"/>
    <x v="179"/>
    <n v="5.5430706250000004"/>
    <n v="1"/>
    <n v="-36"/>
    <n v="216"/>
  </r>
  <r>
    <x v="49"/>
    <s v="conventional_default_current_cltv_140"/>
    <x v="180"/>
    <n v="5.63"/>
    <n v="1"/>
    <n v="-36"/>
    <n v="216"/>
  </r>
  <r>
    <x v="49"/>
    <s v="conventional_default_current_cltv_141"/>
    <x v="181"/>
    <n v="5.7161156249999996"/>
    <n v="1"/>
    <n v="-36"/>
    <n v="216"/>
  </r>
  <r>
    <x v="49"/>
    <s v="conventional_default_current_cltv_142"/>
    <x v="182"/>
    <n v="5.8023749999999996"/>
    <n v="1"/>
    <n v="-36"/>
    <n v="216"/>
  </r>
  <r>
    <x v="49"/>
    <s v="conventional_default_current_cltv_143"/>
    <x v="183"/>
    <n v="5.8886468750000001"/>
    <n v="1"/>
    <n v="-36"/>
    <n v="216"/>
  </r>
  <r>
    <x v="49"/>
    <s v="conventional_default_current_cltv_144"/>
    <x v="184"/>
    <n v="5.9748000000000001"/>
    <n v="1"/>
    <n v="-36"/>
    <n v="216"/>
  </r>
  <r>
    <x v="49"/>
    <s v="conventional_default_current_cltv_145"/>
    <x v="185"/>
    <n v="6.0607031249999999"/>
    <n v="1"/>
    <n v="-36"/>
    <n v="216"/>
  </r>
  <r>
    <x v="49"/>
    <s v="conventional_default_current_cltv_146"/>
    <x v="186"/>
    <n v="6.1462250000000003"/>
    <n v="1"/>
    <n v="-36"/>
    <n v="216"/>
  </r>
  <r>
    <x v="49"/>
    <s v="conventional_default_current_cltv_147"/>
    <x v="187"/>
    <n v="6.2312343749999997"/>
    <n v="1"/>
    <n v="-36"/>
    <n v="216"/>
  </r>
  <r>
    <x v="49"/>
    <s v="conventional_default_current_cltv_148"/>
    <x v="188"/>
    <n v="6.3155999999999999"/>
    <n v="1"/>
    <n v="-36"/>
    <n v="216"/>
  </r>
  <r>
    <x v="49"/>
    <s v="conventional_default_current_cltv_149"/>
    <x v="189"/>
    <n v="6.3991906250000001"/>
    <n v="1"/>
    <n v="-36"/>
    <n v="216"/>
  </r>
  <r>
    <x v="49"/>
    <s v="conventional_default_current_cltv_150"/>
    <x v="190"/>
    <n v="6.4818749999999996"/>
    <n v="1"/>
    <n v="-36"/>
    <n v="216"/>
  </r>
  <r>
    <x v="49"/>
    <s v="conventional_default_current_cltv_151"/>
    <x v="191"/>
    <n v="6.5635218750000002"/>
    <n v="1"/>
    <n v="-36"/>
    <n v="216"/>
  </r>
  <r>
    <x v="49"/>
    <s v="conventional_default_current_cltv_152"/>
    <x v="192"/>
    <n v="6.6440000000000001"/>
    <n v="1"/>
    <n v="-36"/>
    <n v="216"/>
  </r>
  <r>
    <x v="49"/>
    <s v="conventional_default_current_cltv_153"/>
    <x v="193"/>
    <n v="6.7231781249999996"/>
    <n v="1"/>
    <n v="-36"/>
    <n v="216"/>
  </r>
  <r>
    <x v="49"/>
    <s v="conventional_default_current_cltv_154"/>
    <x v="194"/>
    <n v="6.8009250000000003"/>
    <n v="1"/>
    <n v="-36"/>
    <n v="216"/>
  </r>
  <r>
    <x v="49"/>
    <s v="conventional_default_current_cltv_155"/>
    <x v="195"/>
    <n v="6.8771093749999999"/>
    <n v="1"/>
    <n v="-36"/>
    <n v="216"/>
  </r>
  <r>
    <x v="49"/>
    <s v="conventional_default_current_cltv_156"/>
    <x v="196"/>
    <n v="6.9516"/>
    <n v="1"/>
    <n v="-36"/>
    <n v="216"/>
  </r>
  <r>
    <x v="49"/>
    <s v="conventional_default_current_cltv_157"/>
    <x v="197"/>
    <n v="7.024265625"/>
    <n v="1"/>
    <n v="-36"/>
    <n v="216"/>
  </r>
  <r>
    <x v="49"/>
    <s v="conventional_default_current_cltv_158"/>
    <x v="198"/>
    <n v="7.0949749999999998"/>
    <n v="1"/>
    <n v="-36"/>
    <n v="216"/>
  </r>
  <r>
    <x v="49"/>
    <s v="conventional_default_current_cltv_159"/>
    <x v="199"/>
    <n v="7.1635968749999996"/>
    <n v="1"/>
    <n v="-36"/>
    <n v="216"/>
  </r>
  <r>
    <x v="49"/>
    <s v="conventional_default_current_cltv_160"/>
    <x v="200"/>
    <n v="7.23"/>
    <n v="1"/>
    <n v="-36"/>
    <n v="216"/>
  </r>
  <r>
    <x v="49"/>
    <s v="conventional_default_current_cltv_161"/>
    <x v="201"/>
    <n v="7.2938118750000003"/>
    <n v="1"/>
    <n v="-36"/>
    <n v="216"/>
  </r>
  <r>
    <x v="49"/>
    <s v="conventional_default_current_cltv_162"/>
    <x v="202"/>
    <n v="7.354895"/>
    <n v="1"/>
    <n v="-36"/>
    <n v="216"/>
  </r>
  <r>
    <x v="49"/>
    <s v="conventional_default_current_cltv_163"/>
    <x v="203"/>
    <n v="7.4134706250000004"/>
    <n v="1"/>
    <n v="-36"/>
    <n v="216"/>
  </r>
  <r>
    <x v="49"/>
    <s v="conventional_default_current_cltv_164"/>
    <x v="204"/>
    <n v="7.46976"/>
    <n v="1"/>
    <n v="-36"/>
    <n v="216"/>
  </r>
  <r>
    <x v="49"/>
    <s v="conventional_default_current_cltv_165"/>
    <x v="205"/>
    <n v="7.5239843750000004"/>
    <n v="1"/>
    <n v="-36"/>
    <n v="216"/>
  </r>
  <r>
    <x v="49"/>
    <s v="conventional_default_current_cltv_166"/>
    <x v="206"/>
    <n v="7.576365"/>
    <n v="1"/>
    <n v="-36"/>
    <n v="216"/>
  </r>
  <r>
    <x v="49"/>
    <s v="conventional_default_current_cltv_167"/>
    <x v="207"/>
    <n v="7.6271231249999998"/>
    <n v="1"/>
    <n v="-36"/>
    <n v="216"/>
  </r>
  <r>
    <x v="49"/>
    <s v="conventional_default_current_cltv_168"/>
    <x v="208"/>
    <n v="7.6764799999999997"/>
    <n v="1"/>
    <n v="-36"/>
    <n v="216"/>
  </r>
  <r>
    <x v="49"/>
    <s v="conventional_default_current_cltv_169"/>
    <x v="209"/>
    <n v="7.724656875"/>
    <n v="1"/>
    <n v="-36"/>
    <n v="216"/>
  </r>
  <r>
    <x v="49"/>
    <s v="conventional_default_current_cltv_170"/>
    <x v="210"/>
    <n v="7.7718749999999996"/>
    <n v="1"/>
    <n v="-36"/>
    <n v="216"/>
  </r>
  <r>
    <x v="49"/>
    <s v="conventional_default_current_cltv_171"/>
    <x v="211"/>
    <n v="7.8183556249999997"/>
    <n v="1"/>
    <n v="-36"/>
    <n v="216"/>
  </r>
  <r>
    <x v="49"/>
    <s v="conventional_default_current_cltv_172"/>
    <x v="212"/>
    <n v="7.8643200000000002"/>
    <n v="1"/>
    <n v="-36"/>
    <n v="216"/>
  </r>
  <r>
    <x v="49"/>
    <s v="conventional_default_current_cltv_173"/>
    <x v="213"/>
    <n v="7.9099893750000003"/>
    <n v="1"/>
    <n v="-36"/>
    <n v="216"/>
  </r>
  <r>
    <x v="49"/>
    <s v="conventional_default_current_cltv_174"/>
    <x v="214"/>
    <n v="7.9555850000000001"/>
    <n v="1"/>
    <n v="-36"/>
    <n v="216"/>
  </r>
  <r>
    <x v="49"/>
    <s v="conventional_default_current_cltv_175"/>
    <x v="215"/>
    <n v="8.0013281250000006"/>
    <n v="1"/>
    <n v="-36"/>
    <n v="216"/>
  </r>
  <r>
    <x v="49"/>
    <s v="conventional_default_current_cltv_176"/>
    <x v="216"/>
    <n v="8.0474399999999999"/>
    <n v="1"/>
    <n v="-36"/>
    <n v="216"/>
  </r>
  <r>
    <x v="49"/>
    <s v="conventional_default_current_cltv_177"/>
    <x v="217"/>
    <n v="8.094141875"/>
    <n v="1"/>
    <n v="-36"/>
    <n v="216"/>
  </r>
  <r>
    <x v="49"/>
    <s v="conventional_default_current_cltv_178"/>
    <x v="218"/>
    <n v="8.1416550000000001"/>
    <n v="1"/>
    <n v="-36"/>
    <n v="216"/>
  </r>
  <r>
    <x v="49"/>
    <s v="conventional_default_current_cltv_179"/>
    <x v="219"/>
    <n v="8.1902006249999992"/>
    <n v="1"/>
    <n v="-36"/>
    <n v="216"/>
  </r>
  <r>
    <x v="49"/>
    <s v="conventional_default_current_cltv_180"/>
    <x v="220"/>
    <n v="8.24"/>
    <n v="1"/>
    <n v="-36"/>
    <n v="216"/>
  </r>
  <r>
    <x v="49"/>
    <s v="conventional_default_current_cltv_181"/>
    <x v="221"/>
    <n v="8.2904999999999998"/>
    <n v="1"/>
    <n v="-36"/>
    <n v="216"/>
  </r>
  <r>
    <x v="49"/>
    <s v="conventional_default_current_cltv_182"/>
    <x v="222"/>
    <n v="8.3409999999999993"/>
    <n v="1"/>
    <n v="-36"/>
    <n v="216"/>
  </r>
  <r>
    <x v="49"/>
    <s v="conventional_default_current_cltv_183"/>
    <x v="223"/>
    <n v="8.3915000000000006"/>
    <n v="1"/>
    <n v="-36"/>
    <n v="216"/>
  </r>
  <r>
    <x v="49"/>
    <s v="conventional_default_current_cltv_184"/>
    <x v="224"/>
    <n v="8.4420000000000002"/>
    <n v="1"/>
    <n v="-36"/>
    <n v="216"/>
  </r>
  <r>
    <x v="49"/>
    <s v="conventional_default_current_cltv_185"/>
    <x v="225"/>
    <n v="8.4924999999999997"/>
    <n v="1"/>
    <n v="-36"/>
    <n v="216"/>
  </r>
  <r>
    <x v="49"/>
    <s v="conventional_default_current_cltv_186"/>
    <x v="226"/>
    <n v="8.5429999999999993"/>
    <n v="1"/>
    <n v="-36"/>
    <n v="216"/>
  </r>
  <r>
    <x v="49"/>
    <s v="conventional_default_current_cltv_187"/>
    <x v="227"/>
    <n v="8.5935000000000006"/>
    <n v="1"/>
    <n v="-36"/>
    <n v="216"/>
  </r>
  <r>
    <x v="49"/>
    <s v="conventional_default_current_cltv_188"/>
    <x v="228"/>
    <n v="8.6440000000000001"/>
    <n v="1"/>
    <n v="-36"/>
    <n v="216"/>
  </r>
  <r>
    <x v="49"/>
    <s v="conventional_default_current_cltv_189"/>
    <x v="229"/>
    <n v="8.6944999999999997"/>
    <n v="1"/>
    <n v="-36"/>
    <n v="216"/>
  </r>
  <r>
    <x v="49"/>
    <s v="conventional_default_current_cltv_190"/>
    <x v="230"/>
    <n v="8.7449999999999992"/>
    <n v="1"/>
    <n v="-36"/>
    <n v="216"/>
  </r>
  <r>
    <x v="49"/>
    <s v="conventional_default_current_cltv_191"/>
    <x v="231"/>
    <n v="8.7955000000000005"/>
    <n v="1"/>
    <n v="-36"/>
    <n v="216"/>
  </r>
  <r>
    <x v="49"/>
    <s v="conventional_default_current_cltv_192"/>
    <x v="232"/>
    <n v="8.8460000000000001"/>
    <n v="1"/>
    <n v="-36"/>
    <n v="216"/>
  </r>
  <r>
    <x v="49"/>
    <s v="conventional_default_current_cltv_193"/>
    <x v="233"/>
    <n v="8.8964999999999996"/>
    <n v="1"/>
    <n v="-36"/>
    <n v="216"/>
  </r>
  <r>
    <x v="49"/>
    <s v="conventional_default_current_cltv_194"/>
    <x v="234"/>
    <n v="8.9469999999999992"/>
    <n v="1"/>
    <n v="-36"/>
    <n v="216"/>
  </r>
  <r>
    <x v="49"/>
    <s v="conventional_default_current_cltv_195"/>
    <x v="235"/>
    <n v="8.9975000000000005"/>
    <n v="1"/>
    <n v="-36"/>
    <n v="216"/>
  </r>
  <r>
    <x v="49"/>
    <s v="conventional_default_current_cltv_196"/>
    <x v="236"/>
    <n v="9.048"/>
    <n v="1"/>
    <n v="-36"/>
    <n v="216"/>
  </r>
  <r>
    <x v="49"/>
    <s v="conventional_default_current_cltv_197"/>
    <x v="237"/>
    <n v="9.0984999999999996"/>
    <n v="1"/>
    <n v="-36"/>
    <n v="216"/>
  </r>
  <r>
    <x v="49"/>
    <s v="conventional_default_current_cltv_198"/>
    <x v="238"/>
    <n v="9.1489999999999991"/>
    <n v="1"/>
    <n v="-36"/>
    <n v="216"/>
  </r>
  <r>
    <x v="49"/>
    <s v="conventional_default_current_cltv_199"/>
    <x v="239"/>
    <n v="9.1995000000000005"/>
    <n v="1"/>
    <n v="-36"/>
    <n v="216"/>
  </r>
  <r>
    <x v="49"/>
    <s v="conventional_default_current_cltv_200"/>
    <x v="240"/>
    <n v="9.25"/>
    <n v="1"/>
    <n v="-36"/>
    <n v="216"/>
  </r>
  <r>
    <x v="49"/>
    <s v="conventional_default_current_cltv_201"/>
    <x v="241"/>
    <n v="9.3004999999999995"/>
    <n v="1"/>
    <n v="-36"/>
    <n v="216"/>
  </r>
  <r>
    <x v="49"/>
    <s v="conventional_default_current_cltv_202"/>
    <x v="242"/>
    <n v="9.3510000000000009"/>
    <n v="1"/>
    <n v="-36"/>
    <n v="216"/>
  </r>
  <r>
    <x v="49"/>
    <s v="conventional_default_current_cltv_203"/>
    <x v="243"/>
    <n v="9.4015000000000004"/>
    <n v="1"/>
    <n v="-36"/>
    <n v="216"/>
  </r>
  <r>
    <x v="49"/>
    <s v="conventional_default_current_cltv_204"/>
    <x v="244"/>
    <n v="9.452"/>
    <n v="1"/>
    <n v="-36"/>
    <n v="216"/>
  </r>
  <r>
    <x v="49"/>
    <s v="conventional_default_current_cltv_205"/>
    <x v="245"/>
    <n v="9.5024999999999995"/>
    <n v="1"/>
    <n v="-36"/>
    <n v="216"/>
  </r>
  <r>
    <x v="49"/>
    <s v="conventional_default_current_cltv_206"/>
    <x v="246"/>
    <n v="9.5530000000000008"/>
    <n v="1"/>
    <n v="-36"/>
    <n v="216"/>
  </r>
  <r>
    <x v="49"/>
    <s v="conventional_default_current_cltv_207"/>
    <x v="247"/>
    <n v="9.6035000000000004"/>
    <n v="1"/>
    <n v="-36"/>
    <n v="216"/>
  </r>
  <r>
    <x v="49"/>
    <s v="conventional_default_current_cltv_208"/>
    <x v="248"/>
    <n v="9.6539999999999999"/>
    <n v="1"/>
    <n v="-36"/>
    <n v="216"/>
  </r>
  <r>
    <x v="49"/>
    <s v="conventional_default_current_cltv_209"/>
    <x v="249"/>
    <n v="9.7044999999999995"/>
    <n v="1"/>
    <n v="-36"/>
    <n v="216"/>
  </r>
  <r>
    <x v="49"/>
    <s v="conventional_default_current_cltv_210"/>
    <x v="250"/>
    <n v="9.7550000000000008"/>
    <n v="1"/>
    <n v="-36"/>
    <n v="216"/>
  </r>
  <r>
    <x v="49"/>
    <s v="conventional_default_current_cltv_211"/>
    <x v="251"/>
    <n v="9.8055000000000003"/>
    <n v="1"/>
    <n v="-36"/>
    <n v="216"/>
  </r>
  <r>
    <x v="49"/>
    <s v="conventional_default_current_cltv_212"/>
    <x v="252"/>
    <n v="9.8559999999999999"/>
    <n v="1"/>
    <n v="-36"/>
    <n v="216"/>
  </r>
  <r>
    <x v="49"/>
    <s v="conventional_default_current_cltv_213"/>
    <x v="253"/>
    <n v="9.9064999999999994"/>
    <n v="1"/>
    <n v="-36"/>
    <n v="216"/>
  </r>
  <r>
    <x v="49"/>
    <s v="conventional_default_current_cltv_214"/>
    <x v="254"/>
    <n v="9.9570000000000007"/>
    <n v="1"/>
    <n v="-36"/>
    <n v="216"/>
  </r>
  <r>
    <x v="49"/>
    <s v="conventional_default_current_cltv_215"/>
    <x v="255"/>
    <n v="10.0075"/>
    <n v="1"/>
    <n v="-36"/>
    <n v="216"/>
  </r>
  <r>
    <x v="49"/>
    <s v="conventional_default_current_cltv_216"/>
    <x v="256"/>
    <n v="10.058"/>
    <n v="1"/>
    <n v="-36"/>
    <n v="216"/>
  </r>
  <r>
    <x v="50"/>
    <s v="conventional_default_current_fico_490"/>
    <x v="530"/>
    <n v="4.2519999999999998"/>
    <n v="1"/>
    <n v="490"/>
    <n v="910"/>
  </r>
  <r>
    <x v="50"/>
    <s v="conventional_default_current_fico_491"/>
    <x v="531"/>
    <n v="4.2468000000000004"/>
    <n v="1"/>
    <n v="490"/>
    <n v="910"/>
  </r>
  <r>
    <x v="50"/>
    <s v="conventional_default_current_fico_492"/>
    <x v="532"/>
    <n v="4.2416"/>
    <n v="1"/>
    <n v="490"/>
    <n v="910"/>
  </r>
  <r>
    <x v="50"/>
    <s v="conventional_default_current_fico_493"/>
    <x v="533"/>
    <n v="4.2363999999999997"/>
    <n v="1"/>
    <n v="490"/>
    <n v="910"/>
  </r>
  <r>
    <x v="50"/>
    <s v="conventional_default_current_fico_494"/>
    <x v="534"/>
    <n v="4.2312000000000003"/>
    <n v="1"/>
    <n v="490"/>
    <n v="910"/>
  </r>
  <r>
    <x v="50"/>
    <s v="conventional_default_current_fico_495"/>
    <x v="535"/>
    <n v="4.226"/>
    <n v="1"/>
    <n v="490"/>
    <n v="910"/>
  </r>
  <r>
    <x v="50"/>
    <s v="conventional_default_current_fico_496"/>
    <x v="536"/>
    <n v="4.2207999999999997"/>
    <n v="1"/>
    <n v="490"/>
    <n v="910"/>
  </r>
  <r>
    <x v="50"/>
    <s v="conventional_default_current_fico_497"/>
    <x v="537"/>
    <n v="4.2156000000000002"/>
    <n v="1"/>
    <n v="490"/>
    <n v="910"/>
  </r>
  <r>
    <x v="50"/>
    <s v="conventional_default_current_fico_498"/>
    <x v="538"/>
    <n v="4.2103999999999999"/>
    <n v="1"/>
    <n v="490"/>
    <n v="910"/>
  </r>
  <r>
    <x v="50"/>
    <s v="conventional_default_current_fico_499"/>
    <x v="539"/>
    <n v="4.2051999999999996"/>
    <n v="1"/>
    <n v="490"/>
    <n v="910"/>
  </r>
  <r>
    <x v="50"/>
    <s v="conventional_default_current_fico_500"/>
    <x v="540"/>
    <n v="4.2"/>
    <n v="1"/>
    <n v="490"/>
    <n v="910"/>
  </r>
  <r>
    <x v="50"/>
    <s v="conventional_default_current_fico_501"/>
    <x v="541"/>
    <n v="4.1947999999999999"/>
    <n v="1"/>
    <n v="490"/>
    <n v="910"/>
  </r>
  <r>
    <x v="50"/>
    <s v="conventional_default_current_fico_502"/>
    <x v="542"/>
    <n v="4.1896000000000004"/>
    <n v="1"/>
    <n v="490"/>
    <n v="910"/>
  </r>
  <r>
    <x v="50"/>
    <s v="conventional_default_current_fico_503"/>
    <x v="543"/>
    <n v="4.1844000000000001"/>
    <n v="1"/>
    <n v="490"/>
    <n v="910"/>
  </r>
  <r>
    <x v="50"/>
    <s v="conventional_default_current_fico_504"/>
    <x v="544"/>
    <n v="4.1791999999999998"/>
    <n v="1"/>
    <n v="490"/>
    <n v="910"/>
  </r>
  <r>
    <x v="50"/>
    <s v="conventional_default_current_fico_505"/>
    <x v="545"/>
    <n v="4.1740000000000004"/>
    <n v="1"/>
    <n v="490"/>
    <n v="910"/>
  </r>
  <r>
    <x v="50"/>
    <s v="conventional_default_current_fico_506"/>
    <x v="546"/>
    <n v="4.1688000000000001"/>
    <n v="1"/>
    <n v="490"/>
    <n v="910"/>
  </r>
  <r>
    <x v="50"/>
    <s v="conventional_default_current_fico_507"/>
    <x v="547"/>
    <n v="4.1635999999999997"/>
    <n v="1"/>
    <n v="490"/>
    <n v="910"/>
  </r>
  <r>
    <x v="50"/>
    <s v="conventional_default_current_fico_508"/>
    <x v="548"/>
    <n v="4.1584000000000003"/>
    <n v="1"/>
    <n v="490"/>
    <n v="910"/>
  </r>
  <r>
    <x v="50"/>
    <s v="conventional_default_current_fico_509"/>
    <x v="549"/>
    <n v="4.1532"/>
    <n v="1"/>
    <n v="490"/>
    <n v="910"/>
  </r>
  <r>
    <x v="50"/>
    <s v="conventional_default_current_fico_510"/>
    <x v="550"/>
    <n v="4.1479999999999997"/>
    <n v="1"/>
    <n v="490"/>
    <n v="910"/>
  </r>
  <r>
    <x v="50"/>
    <s v="conventional_default_current_fico_511"/>
    <x v="551"/>
    <n v="4.1428000000000003"/>
    <n v="1"/>
    <n v="490"/>
    <n v="910"/>
  </r>
  <r>
    <x v="50"/>
    <s v="conventional_default_current_fico_512"/>
    <x v="552"/>
    <n v="4.1375999999999999"/>
    <n v="1"/>
    <n v="490"/>
    <n v="910"/>
  </r>
  <r>
    <x v="50"/>
    <s v="conventional_default_current_fico_513"/>
    <x v="553"/>
    <n v="4.1323999999999996"/>
    <n v="1"/>
    <n v="490"/>
    <n v="910"/>
  </r>
  <r>
    <x v="50"/>
    <s v="conventional_default_current_fico_514"/>
    <x v="554"/>
    <n v="4.1272000000000002"/>
    <n v="1"/>
    <n v="490"/>
    <n v="910"/>
  </r>
  <r>
    <x v="50"/>
    <s v="conventional_default_current_fico_515"/>
    <x v="555"/>
    <n v="4.1219999999999999"/>
    <n v="1"/>
    <n v="490"/>
    <n v="910"/>
  </r>
  <r>
    <x v="50"/>
    <s v="conventional_default_current_fico_516"/>
    <x v="556"/>
    <n v="4.1167999999999996"/>
    <n v="1"/>
    <n v="490"/>
    <n v="910"/>
  </r>
  <r>
    <x v="50"/>
    <s v="conventional_default_current_fico_517"/>
    <x v="557"/>
    <n v="4.1116000000000001"/>
    <n v="1"/>
    <n v="490"/>
    <n v="910"/>
  </r>
  <r>
    <x v="50"/>
    <s v="conventional_default_current_fico_518"/>
    <x v="558"/>
    <n v="4.1063999999999998"/>
    <n v="1"/>
    <n v="490"/>
    <n v="910"/>
  </r>
  <r>
    <x v="50"/>
    <s v="conventional_default_current_fico_519"/>
    <x v="559"/>
    <n v="4.1012000000000004"/>
    <n v="1"/>
    <n v="490"/>
    <n v="910"/>
  </r>
  <r>
    <x v="50"/>
    <s v="conventional_default_current_fico_520"/>
    <x v="560"/>
    <n v="4.0960000000000001"/>
    <n v="1"/>
    <n v="490"/>
    <n v="910"/>
  </r>
  <r>
    <x v="50"/>
    <s v="conventional_default_current_fico_521"/>
    <x v="561"/>
    <n v="4.0907999999999998"/>
    <n v="1"/>
    <n v="490"/>
    <n v="910"/>
  </r>
  <r>
    <x v="50"/>
    <s v="conventional_default_current_fico_522"/>
    <x v="562"/>
    <n v="4.0856000000000003"/>
    <n v="1"/>
    <n v="490"/>
    <n v="910"/>
  </r>
  <r>
    <x v="50"/>
    <s v="conventional_default_current_fico_523"/>
    <x v="563"/>
    <n v="4.0804"/>
    <n v="1"/>
    <n v="490"/>
    <n v="910"/>
  </r>
  <r>
    <x v="50"/>
    <s v="conventional_default_current_fico_524"/>
    <x v="564"/>
    <n v="4.0751999999999997"/>
    <n v="1"/>
    <n v="490"/>
    <n v="910"/>
  </r>
  <r>
    <x v="50"/>
    <s v="conventional_default_current_fico_525"/>
    <x v="565"/>
    <n v="4.07"/>
    <n v="1"/>
    <n v="490"/>
    <n v="910"/>
  </r>
  <r>
    <x v="50"/>
    <s v="conventional_default_current_fico_526"/>
    <x v="566"/>
    <n v="4.0648"/>
    <n v="1"/>
    <n v="490"/>
    <n v="910"/>
  </r>
  <r>
    <x v="50"/>
    <s v="conventional_default_current_fico_527"/>
    <x v="567"/>
    <n v="4.0595999999999997"/>
    <n v="1"/>
    <n v="490"/>
    <n v="910"/>
  </r>
  <r>
    <x v="50"/>
    <s v="conventional_default_current_fico_528"/>
    <x v="568"/>
    <n v="4.0544000000000002"/>
    <n v="1"/>
    <n v="490"/>
    <n v="910"/>
  </r>
  <r>
    <x v="50"/>
    <s v="conventional_default_current_fico_529"/>
    <x v="569"/>
    <n v="4.0491999999999999"/>
    <n v="1"/>
    <n v="490"/>
    <n v="910"/>
  </r>
  <r>
    <x v="50"/>
    <s v="conventional_default_current_fico_530"/>
    <x v="570"/>
    <n v="4.0439999999999996"/>
    <n v="1"/>
    <n v="490"/>
    <n v="910"/>
  </r>
  <r>
    <x v="50"/>
    <s v="conventional_default_current_fico_531"/>
    <x v="571"/>
    <n v="4.0388000000000002"/>
    <n v="1"/>
    <n v="490"/>
    <n v="910"/>
  </r>
  <r>
    <x v="50"/>
    <s v="conventional_default_current_fico_532"/>
    <x v="572"/>
    <n v="4.0335999999999999"/>
    <n v="1"/>
    <n v="490"/>
    <n v="910"/>
  </r>
  <r>
    <x v="50"/>
    <s v="conventional_default_current_fico_533"/>
    <x v="573"/>
    <n v="4.0284000000000004"/>
    <n v="1"/>
    <n v="490"/>
    <n v="910"/>
  </r>
  <r>
    <x v="50"/>
    <s v="conventional_default_current_fico_534"/>
    <x v="574"/>
    <n v="4.0232000000000001"/>
    <n v="1"/>
    <n v="490"/>
    <n v="910"/>
  </r>
  <r>
    <x v="50"/>
    <s v="conventional_default_current_fico_535"/>
    <x v="575"/>
    <n v="4.0179999999999998"/>
    <n v="1"/>
    <n v="490"/>
    <n v="910"/>
  </r>
  <r>
    <x v="50"/>
    <s v="conventional_default_current_fico_536"/>
    <x v="576"/>
    <n v="4.0128000000000004"/>
    <n v="1"/>
    <n v="490"/>
    <n v="910"/>
  </r>
  <r>
    <x v="50"/>
    <s v="conventional_default_current_fico_537"/>
    <x v="577"/>
    <n v="4.0076000000000001"/>
    <n v="1"/>
    <n v="490"/>
    <n v="910"/>
  </r>
  <r>
    <x v="50"/>
    <s v="conventional_default_current_fico_538"/>
    <x v="578"/>
    <n v="4.0023999999999997"/>
    <n v="1"/>
    <n v="490"/>
    <n v="910"/>
  </r>
  <r>
    <x v="50"/>
    <s v="conventional_default_current_fico_539"/>
    <x v="579"/>
    <n v="3.9971999999999999"/>
    <n v="1"/>
    <n v="490"/>
    <n v="910"/>
  </r>
  <r>
    <x v="50"/>
    <s v="conventional_default_current_fico_540"/>
    <x v="580"/>
    <n v="3.992"/>
    <n v="1"/>
    <n v="490"/>
    <n v="910"/>
  </r>
  <r>
    <x v="50"/>
    <s v="conventional_default_current_fico_541"/>
    <x v="581"/>
    <n v="3.9868000000000001"/>
    <n v="1"/>
    <n v="490"/>
    <n v="910"/>
  </r>
  <r>
    <x v="50"/>
    <s v="conventional_default_current_fico_542"/>
    <x v="582"/>
    <n v="3.9815999999999998"/>
    <n v="1"/>
    <n v="490"/>
    <n v="910"/>
  </r>
  <r>
    <x v="50"/>
    <s v="conventional_default_current_fico_543"/>
    <x v="583"/>
    <n v="3.9763999999999999"/>
    <n v="1"/>
    <n v="490"/>
    <n v="910"/>
  </r>
  <r>
    <x v="50"/>
    <s v="conventional_default_current_fico_544"/>
    <x v="584"/>
    <n v="3.9712000000000001"/>
    <n v="1"/>
    <n v="490"/>
    <n v="910"/>
  </r>
  <r>
    <x v="50"/>
    <s v="conventional_default_current_fico_545"/>
    <x v="585"/>
    <n v="3.9660000000000002"/>
    <n v="1"/>
    <n v="490"/>
    <n v="910"/>
  </r>
  <r>
    <x v="50"/>
    <s v="conventional_default_current_fico_546"/>
    <x v="586"/>
    <n v="3.9607999999999999"/>
    <n v="1"/>
    <n v="490"/>
    <n v="910"/>
  </r>
  <r>
    <x v="50"/>
    <s v="conventional_default_current_fico_547"/>
    <x v="587"/>
    <n v="3.9556"/>
    <n v="1"/>
    <n v="490"/>
    <n v="910"/>
  </r>
  <r>
    <x v="50"/>
    <s v="conventional_default_current_fico_548"/>
    <x v="588"/>
    <n v="3.9504000000000001"/>
    <n v="1"/>
    <n v="490"/>
    <n v="910"/>
  </r>
  <r>
    <x v="50"/>
    <s v="conventional_default_current_fico_549"/>
    <x v="589"/>
    <n v="3.9451999999999998"/>
    <n v="1"/>
    <n v="490"/>
    <n v="910"/>
  </r>
  <r>
    <x v="50"/>
    <s v="conventional_default_current_fico_550"/>
    <x v="590"/>
    <n v="3.94"/>
    <n v="1"/>
    <n v="490"/>
    <n v="910"/>
  </r>
  <r>
    <x v="50"/>
    <s v="conventional_default_current_fico_551"/>
    <x v="591"/>
    <n v="3.9348489999999998"/>
    <n v="1"/>
    <n v="490"/>
    <n v="910"/>
  </r>
  <r>
    <x v="50"/>
    <s v="conventional_default_current_fico_552"/>
    <x v="592"/>
    <n v="3.929792"/>
    <n v="1"/>
    <n v="490"/>
    <n v="910"/>
  </r>
  <r>
    <x v="50"/>
    <s v="conventional_default_current_fico_553"/>
    <x v="593"/>
    <n v="3.924823"/>
    <n v="1"/>
    <n v="490"/>
    <n v="910"/>
  </r>
  <r>
    <x v="50"/>
    <s v="conventional_default_current_fico_554"/>
    <x v="594"/>
    <n v="3.9199359999999999"/>
    <n v="1"/>
    <n v="490"/>
    <n v="910"/>
  </r>
  <r>
    <x v="50"/>
    <s v="conventional_default_current_fico_555"/>
    <x v="595"/>
    <n v="3.9151250000000002"/>
    <n v="1"/>
    <n v="490"/>
    <n v="910"/>
  </r>
  <r>
    <x v="50"/>
    <s v="conventional_default_current_fico_556"/>
    <x v="596"/>
    <n v="3.9103840000000001"/>
    <n v="1"/>
    <n v="490"/>
    <n v="910"/>
  </r>
  <r>
    <x v="50"/>
    <s v="conventional_default_current_fico_557"/>
    <x v="597"/>
    <n v="3.905707"/>
    <n v="1"/>
    <n v="490"/>
    <n v="910"/>
  </r>
  <r>
    <x v="50"/>
    <s v="conventional_default_current_fico_558"/>
    <x v="598"/>
    <n v="3.9010880000000001"/>
    <n v="1"/>
    <n v="490"/>
    <n v="910"/>
  </r>
  <r>
    <x v="50"/>
    <s v="conventional_default_current_fico_559"/>
    <x v="599"/>
    <n v="3.8965209999999999"/>
    <n v="1"/>
    <n v="490"/>
    <n v="910"/>
  </r>
  <r>
    <x v="50"/>
    <s v="conventional_default_current_fico_560"/>
    <x v="600"/>
    <n v="3.8919999999999999"/>
    <n v="1"/>
    <n v="490"/>
    <n v="910"/>
  </r>
  <r>
    <x v="50"/>
    <s v="conventional_default_current_fico_561"/>
    <x v="601"/>
    <n v="3.8875190000000002"/>
    <n v="1"/>
    <n v="490"/>
    <n v="910"/>
  </r>
  <r>
    <x v="50"/>
    <s v="conventional_default_current_fico_562"/>
    <x v="602"/>
    <n v="3.8830719999999999"/>
    <n v="1"/>
    <n v="490"/>
    <n v="910"/>
  </r>
  <r>
    <x v="50"/>
    <s v="conventional_default_current_fico_563"/>
    <x v="603"/>
    <n v="3.8786529999999999"/>
    <n v="1"/>
    <n v="490"/>
    <n v="910"/>
  </r>
  <r>
    <x v="50"/>
    <s v="conventional_default_current_fico_564"/>
    <x v="604"/>
    <n v="3.8742559999999999"/>
    <n v="1"/>
    <n v="490"/>
    <n v="910"/>
  </r>
  <r>
    <x v="50"/>
    <s v="conventional_default_current_fico_565"/>
    <x v="605"/>
    <n v="3.869875"/>
    <n v="1"/>
    <n v="490"/>
    <n v="910"/>
  </r>
  <r>
    <x v="50"/>
    <s v="conventional_default_current_fico_566"/>
    <x v="606"/>
    <n v="3.8655040000000001"/>
    <n v="1"/>
    <n v="490"/>
    <n v="910"/>
  </r>
  <r>
    <x v="50"/>
    <s v="conventional_default_current_fico_567"/>
    <x v="607"/>
    <n v="3.8611369999999998"/>
    <n v="1"/>
    <n v="490"/>
    <n v="910"/>
  </r>
  <r>
    <x v="50"/>
    <s v="conventional_default_current_fico_568"/>
    <x v="608"/>
    <n v="3.8567680000000002"/>
    <n v="1"/>
    <n v="490"/>
    <n v="910"/>
  </r>
  <r>
    <x v="50"/>
    <s v="conventional_default_current_fico_569"/>
    <x v="609"/>
    <n v="3.8523909999999999"/>
    <n v="1"/>
    <n v="490"/>
    <n v="910"/>
  </r>
  <r>
    <x v="50"/>
    <s v="conventional_default_current_fico_570"/>
    <x v="610"/>
    <n v="3.8479999999999999"/>
    <n v="1"/>
    <n v="490"/>
    <n v="910"/>
  </r>
  <r>
    <x v="50"/>
    <s v="conventional_default_current_fico_571"/>
    <x v="611"/>
    <n v="3.8435890000000001"/>
    <n v="1"/>
    <n v="490"/>
    <n v="910"/>
  </r>
  <r>
    <x v="50"/>
    <s v="conventional_default_current_fico_572"/>
    <x v="612"/>
    <n v="3.8391519999999999"/>
    <n v="1"/>
    <n v="490"/>
    <n v="910"/>
  </r>
  <r>
    <x v="50"/>
    <s v="conventional_default_current_fico_573"/>
    <x v="613"/>
    <n v="3.8346830000000001"/>
    <n v="1"/>
    <n v="490"/>
    <n v="910"/>
  </r>
  <r>
    <x v="50"/>
    <s v="conventional_default_current_fico_574"/>
    <x v="614"/>
    <n v="3.8301759999999998"/>
    <n v="1"/>
    <n v="490"/>
    <n v="910"/>
  </r>
  <r>
    <x v="50"/>
    <s v="conventional_default_current_fico_575"/>
    <x v="615"/>
    <n v="3.8256250000000001"/>
    <n v="1"/>
    <n v="490"/>
    <n v="910"/>
  </r>
  <r>
    <x v="50"/>
    <s v="conventional_default_current_fico_576"/>
    <x v="616"/>
    <n v="3.821024"/>
    <n v="1"/>
    <n v="490"/>
    <n v="910"/>
  </r>
  <r>
    <x v="50"/>
    <s v="conventional_default_current_fico_577"/>
    <x v="617"/>
    <n v="3.8163670000000001"/>
    <n v="1"/>
    <n v="490"/>
    <n v="910"/>
  </r>
  <r>
    <x v="50"/>
    <s v="conventional_default_current_fico_578"/>
    <x v="618"/>
    <n v="3.8116479999999999"/>
    <n v="1"/>
    <n v="490"/>
    <n v="910"/>
  </r>
  <r>
    <x v="50"/>
    <s v="conventional_default_current_fico_579"/>
    <x v="619"/>
    <n v="3.8068610000000001"/>
    <n v="1"/>
    <n v="490"/>
    <n v="910"/>
  </r>
  <r>
    <x v="50"/>
    <s v="conventional_default_current_fico_580"/>
    <x v="620"/>
    <n v="3.802"/>
    <n v="1"/>
    <n v="490"/>
    <n v="910"/>
  </r>
  <r>
    <x v="50"/>
    <s v="conventional_default_current_fico_581"/>
    <x v="621"/>
    <n v="3.797059"/>
    <n v="1"/>
    <n v="490"/>
    <n v="910"/>
  </r>
  <r>
    <x v="50"/>
    <s v="conventional_default_current_fico_582"/>
    <x v="622"/>
    <n v="3.7920319999999998"/>
    <n v="1"/>
    <n v="490"/>
    <n v="910"/>
  </r>
  <r>
    <x v="50"/>
    <s v="conventional_default_current_fico_583"/>
    <x v="623"/>
    <n v="3.7869130000000002"/>
    <n v="1"/>
    <n v="490"/>
    <n v="910"/>
  </r>
  <r>
    <x v="50"/>
    <s v="conventional_default_current_fico_584"/>
    <x v="624"/>
    <n v="3.7816960000000002"/>
    <n v="1"/>
    <n v="490"/>
    <n v="910"/>
  </r>
  <r>
    <x v="50"/>
    <s v="conventional_default_current_fico_585"/>
    <x v="625"/>
    <n v="3.7763749999999998"/>
    <n v="1"/>
    <n v="490"/>
    <n v="910"/>
  </r>
  <r>
    <x v="50"/>
    <s v="conventional_default_current_fico_586"/>
    <x v="626"/>
    <n v="3.7709440000000001"/>
    <n v="1"/>
    <n v="490"/>
    <n v="910"/>
  </r>
  <r>
    <x v="50"/>
    <s v="conventional_default_current_fico_587"/>
    <x v="627"/>
    <n v="3.7653970000000001"/>
    <n v="1"/>
    <n v="490"/>
    <n v="910"/>
  </r>
  <r>
    <x v="50"/>
    <s v="conventional_default_current_fico_588"/>
    <x v="628"/>
    <n v="3.759728"/>
    <n v="1"/>
    <n v="490"/>
    <n v="910"/>
  </r>
  <r>
    <x v="50"/>
    <s v="conventional_default_current_fico_589"/>
    <x v="629"/>
    <n v="3.7539310000000001"/>
    <n v="1"/>
    <n v="490"/>
    <n v="910"/>
  </r>
  <r>
    <x v="50"/>
    <s v="conventional_default_current_fico_590"/>
    <x v="630"/>
    <n v="3.7480000000000002"/>
    <n v="1"/>
    <n v="490"/>
    <n v="910"/>
  </r>
  <r>
    <x v="50"/>
    <s v="conventional_default_current_fico_591"/>
    <x v="631"/>
    <n v="3.7419289999999998"/>
    <n v="1"/>
    <n v="490"/>
    <n v="910"/>
  </r>
  <r>
    <x v="50"/>
    <s v="conventional_default_current_fico_592"/>
    <x v="632"/>
    <n v="3.7357119999999999"/>
    <n v="1"/>
    <n v="490"/>
    <n v="910"/>
  </r>
  <r>
    <x v="50"/>
    <s v="conventional_default_current_fico_593"/>
    <x v="633"/>
    <n v="3.7293430000000001"/>
    <n v="1"/>
    <n v="490"/>
    <n v="910"/>
  </r>
  <r>
    <x v="50"/>
    <s v="conventional_default_current_fico_594"/>
    <x v="634"/>
    <n v="3.7228159999999999"/>
    <n v="1"/>
    <n v="490"/>
    <n v="910"/>
  </r>
  <r>
    <x v="50"/>
    <s v="conventional_default_current_fico_595"/>
    <x v="635"/>
    <n v="3.7161249999999999"/>
    <n v="1"/>
    <n v="490"/>
    <n v="910"/>
  </r>
  <r>
    <x v="50"/>
    <s v="conventional_default_current_fico_596"/>
    <x v="636"/>
    <n v="3.7092640000000001"/>
    <n v="1"/>
    <n v="490"/>
    <n v="910"/>
  </r>
  <r>
    <x v="50"/>
    <s v="conventional_default_current_fico_597"/>
    <x v="637"/>
    <n v="3.7022270000000002"/>
    <n v="1"/>
    <n v="490"/>
    <n v="910"/>
  </r>
  <r>
    <x v="50"/>
    <s v="conventional_default_current_fico_598"/>
    <x v="638"/>
    <n v="3.6950080000000001"/>
    <n v="1"/>
    <n v="490"/>
    <n v="910"/>
  </r>
  <r>
    <x v="50"/>
    <s v="conventional_default_current_fico_599"/>
    <x v="639"/>
    <n v="3.6876009999999999"/>
    <n v="1"/>
    <n v="490"/>
    <n v="910"/>
  </r>
  <r>
    <x v="50"/>
    <s v="conventional_default_current_fico_600"/>
    <x v="640"/>
    <n v="3.68"/>
    <n v="1"/>
    <n v="490"/>
    <n v="910"/>
  </r>
  <r>
    <x v="50"/>
    <s v="conventional_default_current_fico_601"/>
    <x v="641"/>
    <n v="3.6722793999999999"/>
    <n v="1"/>
    <n v="490"/>
    <n v="910"/>
  </r>
  <r>
    <x v="50"/>
    <s v="conventional_default_current_fico_602"/>
    <x v="642"/>
    <n v="3.6645151999999999"/>
    <n v="1"/>
    <n v="490"/>
    <n v="910"/>
  </r>
  <r>
    <x v="50"/>
    <s v="conventional_default_current_fico_603"/>
    <x v="643"/>
    <n v="3.6567037999999998"/>
    <n v="1"/>
    <n v="490"/>
    <n v="910"/>
  </r>
  <r>
    <x v="50"/>
    <s v="conventional_default_current_fico_604"/>
    <x v="644"/>
    <n v="3.6488415999999999"/>
    <n v="1"/>
    <n v="490"/>
    <n v="910"/>
  </r>
  <r>
    <x v="50"/>
    <s v="conventional_default_current_fico_605"/>
    <x v="645"/>
    <n v="3.6409250000000002"/>
    <n v="1"/>
    <n v="490"/>
    <n v="910"/>
  </r>
  <r>
    <x v="50"/>
    <s v="conventional_default_current_fico_606"/>
    <x v="646"/>
    <n v="3.6329503999999999"/>
    <n v="1"/>
    <n v="490"/>
    <n v="910"/>
  </r>
  <r>
    <x v="50"/>
    <s v="conventional_default_current_fico_607"/>
    <x v="647"/>
    <n v="3.6249142000000001"/>
    <n v="1"/>
    <n v="490"/>
    <n v="910"/>
  </r>
  <r>
    <x v="50"/>
    <s v="conventional_default_current_fico_608"/>
    <x v="648"/>
    <n v="3.6168127999999999"/>
    <n v="1"/>
    <n v="490"/>
    <n v="910"/>
  </r>
  <r>
    <x v="50"/>
    <s v="conventional_default_current_fico_609"/>
    <x v="649"/>
    <n v="3.6086426"/>
    <n v="1"/>
    <n v="490"/>
    <n v="910"/>
  </r>
  <r>
    <x v="50"/>
    <s v="conventional_default_current_fico_610"/>
    <x v="650"/>
    <n v="3.6004"/>
    <n v="1"/>
    <n v="490"/>
    <n v="910"/>
  </r>
  <r>
    <x v="50"/>
    <s v="conventional_default_current_fico_611"/>
    <x v="651"/>
    <n v="3.5920814000000001"/>
    <n v="1"/>
    <n v="490"/>
    <n v="910"/>
  </r>
  <r>
    <x v="50"/>
    <s v="conventional_default_current_fico_612"/>
    <x v="652"/>
    <n v="3.5836831999999998"/>
    <n v="1"/>
    <n v="490"/>
    <n v="910"/>
  </r>
  <r>
    <x v="50"/>
    <s v="conventional_default_current_fico_613"/>
    <x v="653"/>
    <n v="3.5752017999999999"/>
    <n v="1"/>
    <n v="490"/>
    <n v="910"/>
  </r>
  <r>
    <x v="50"/>
    <s v="conventional_default_current_fico_614"/>
    <x v="654"/>
    <n v="3.5666335999999998"/>
    <n v="1"/>
    <n v="490"/>
    <n v="910"/>
  </r>
  <r>
    <x v="50"/>
    <s v="conventional_default_current_fico_615"/>
    <x v="655"/>
    <n v="3.5579749999999999"/>
    <n v="1"/>
    <n v="490"/>
    <n v="910"/>
  </r>
  <r>
    <x v="50"/>
    <s v="conventional_default_current_fico_616"/>
    <x v="656"/>
    <n v="3.5492224000000001"/>
    <n v="1"/>
    <n v="490"/>
    <n v="910"/>
  </r>
  <r>
    <x v="50"/>
    <s v="conventional_default_current_fico_617"/>
    <x v="657"/>
    <n v="3.5403722000000002"/>
    <n v="1"/>
    <n v="490"/>
    <n v="910"/>
  </r>
  <r>
    <x v="50"/>
    <s v="conventional_default_current_fico_618"/>
    <x v="658"/>
    <n v="3.5314207999999998"/>
    <n v="1"/>
    <n v="490"/>
    <n v="910"/>
  </r>
  <r>
    <x v="50"/>
    <s v="conventional_default_current_fico_619"/>
    <x v="659"/>
    <n v="3.5223646"/>
    <n v="1"/>
    <n v="490"/>
    <n v="910"/>
  </r>
  <r>
    <x v="50"/>
    <s v="conventional_default_current_fico_620"/>
    <x v="660"/>
    <n v="3.5131999999999999"/>
    <n v="1"/>
    <n v="490"/>
    <n v="910"/>
  </r>
  <r>
    <x v="50"/>
    <s v="conventional_default_current_fico_621"/>
    <x v="661"/>
    <n v="3.5039234000000001"/>
    <n v="1"/>
    <n v="490"/>
    <n v="910"/>
  </r>
  <r>
    <x v="50"/>
    <s v="conventional_default_current_fico_622"/>
    <x v="662"/>
    <n v="3.4945311999999999"/>
    <n v="1"/>
    <n v="490"/>
    <n v="910"/>
  </r>
  <r>
    <x v="50"/>
    <s v="conventional_default_current_fico_623"/>
    <x v="663"/>
    <n v="3.4850197999999999"/>
    <n v="1"/>
    <n v="490"/>
    <n v="910"/>
  </r>
  <r>
    <x v="50"/>
    <s v="conventional_default_current_fico_624"/>
    <x v="664"/>
    <n v="3.4753856000000001"/>
    <n v="1"/>
    <n v="490"/>
    <n v="910"/>
  </r>
  <r>
    <x v="50"/>
    <s v="conventional_default_current_fico_625"/>
    <x v="665"/>
    <n v="3.4656250000000002"/>
    <n v="1"/>
    <n v="490"/>
    <n v="910"/>
  </r>
  <r>
    <x v="50"/>
    <s v="conventional_default_current_fico_626"/>
    <x v="666"/>
    <n v="3.4557343999999999"/>
    <n v="1"/>
    <n v="490"/>
    <n v="910"/>
  </r>
  <r>
    <x v="50"/>
    <s v="conventional_default_current_fico_627"/>
    <x v="667"/>
    <n v="3.4457102000000002"/>
    <n v="1"/>
    <n v="490"/>
    <n v="910"/>
  </r>
  <r>
    <x v="50"/>
    <s v="conventional_default_current_fico_628"/>
    <x v="668"/>
    <n v="3.4355487999999998"/>
    <n v="1"/>
    <n v="490"/>
    <n v="910"/>
  </r>
  <r>
    <x v="50"/>
    <s v="conventional_default_current_fico_629"/>
    <x v="669"/>
    <n v="3.4252465999999999"/>
    <n v="1"/>
    <n v="490"/>
    <n v="910"/>
  </r>
  <r>
    <x v="50"/>
    <s v="conventional_default_current_fico_630"/>
    <x v="670"/>
    <n v="3.4148000000000001"/>
    <n v="1"/>
    <n v="490"/>
    <n v="910"/>
  </r>
  <r>
    <x v="50"/>
    <s v="conventional_default_current_fico_631"/>
    <x v="671"/>
    <n v="3.4042053999999999"/>
    <n v="1"/>
    <n v="490"/>
    <n v="910"/>
  </r>
  <r>
    <x v="50"/>
    <s v="conventional_default_current_fico_632"/>
    <x v="672"/>
    <n v="3.3934592000000001"/>
    <n v="1"/>
    <n v="490"/>
    <n v="910"/>
  </r>
  <r>
    <x v="50"/>
    <s v="conventional_default_current_fico_633"/>
    <x v="673"/>
    <n v="3.3825577999999998"/>
    <n v="1"/>
    <n v="490"/>
    <n v="910"/>
  </r>
  <r>
    <x v="50"/>
    <s v="conventional_default_current_fico_634"/>
    <x v="674"/>
    <n v="3.3714976000000001"/>
    <n v="1"/>
    <n v="490"/>
    <n v="910"/>
  </r>
  <r>
    <x v="50"/>
    <s v="conventional_default_current_fico_635"/>
    <x v="675"/>
    <n v="3.3602750000000001"/>
    <n v="1"/>
    <n v="490"/>
    <n v="910"/>
  </r>
  <r>
    <x v="50"/>
    <s v="conventional_default_current_fico_636"/>
    <x v="676"/>
    <n v="3.3488864"/>
    <n v="1"/>
    <n v="490"/>
    <n v="910"/>
  </r>
  <r>
    <x v="50"/>
    <s v="conventional_default_current_fico_637"/>
    <x v="677"/>
    <n v="3.3373282"/>
    <n v="1"/>
    <n v="490"/>
    <n v="910"/>
  </r>
  <r>
    <x v="50"/>
    <s v="conventional_default_current_fico_638"/>
    <x v="678"/>
    <n v="3.3255968"/>
    <n v="1"/>
    <n v="490"/>
    <n v="910"/>
  </r>
  <r>
    <x v="50"/>
    <s v="conventional_default_current_fico_639"/>
    <x v="679"/>
    <n v="3.3136885999999999"/>
    <n v="1"/>
    <n v="490"/>
    <n v="910"/>
  </r>
  <r>
    <x v="50"/>
    <s v="conventional_default_current_fico_640"/>
    <x v="680"/>
    <n v="3.3016000000000001"/>
    <n v="1"/>
    <n v="490"/>
    <n v="910"/>
  </r>
  <r>
    <x v="50"/>
    <s v="conventional_default_current_fico_641"/>
    <x v="681"/>
    <n v="3.2893273999999999"/>
    <n v="1"/>
    <n v="490"/>
    <n v="910"/>
  </r>
  <r>
    <x v="50"/>
    <s v="conventional_default_current_fico_642"/>
    <x v="682"/>
    <n v="3.2768671999999999"/>
    <n v="1"/>
    <n v="490"/>
    <n v="910"/>
  </r>
  <r>
    <x v="50"/>
    <s v="conventional_default_current_fico_643"/>
    <x v="683"/>
    <n v="3.2642158000000001"/>
    <n v="1"/>
    <n v="490"/>
    <n v="910"/>
  </r>
  <r>
    <x v="50"/>
    <s v="conventional_default_current_fico_644"/>
    <x v="684"/>
    <n v="3.2513695999999999"/>
    <n v="1"/>
    <n v="490"/>
    <n v="910"/>
  </r>
  <r>
    <x v="50"/>
    <s v="conventional_default_current_fico_645"/>
    <x v="685"/>
    <n v="3.2383250000000001"/>
    <n v="1"/>
    <n v="490"/>
    <n v="910"/>
  </r>
  <r>
    <x v="50"/>
    <s v="conventional_default_current_fico_646"/>
    <x v="686"/>
    <n v="3.2250784000000001"/>
    <n v="1"/>
    <n v="490"/>
    <n v="910"/>
  </r>
  <r>
    <x v="50"/>
    <s v="conventional_default_current_fico_647"/>
    <x v="687"/>
    <n v="3.2116262"/>
    <n v="1"/>
    <n v="490"/>
    <n v="910"/>
  </r>
  <r>
    <x v="50"/>
    <s v="conventional_default_current_fico_648"/>
    <x v="688"/>
    <n v="3.1979647999999998"/>
    <n v="1"/>
    <n v="490"/>
    <n v="910"/>
  </r>
  <r>
    <x v="50"/>
    <s v="conventional_default_current_fico_649"/>
    <x v="689"/>
    <n v="3.1840906000000002"/>
    <n v="1"/>
    <n v="490"/>
    <n v="910"/>
  </r>
  <r>
    <x v="50"/>
    <s v="conventional_default_current_fico_650"/>
    <x v="690"/>
    <n v="3.17"/>
    <n v="1"/>
    <n v="490"/>
    <n v="910"/>
  </r>
  <r>
    <x v="50"/>
    <s v="conventional_default_current_fico_651"/>
    <x v="691"/>
    <n v="3.15568472"/>
    <n v="1"/>
    <n v="490"/>
    <n v="910"/>
  </r>
  <r>
    <x v="50"/>
    <s v="conventional_default_current_fico_652"/>
    <x v="692"/>
    <n v="3.14114176"/>
    <n v="1"/>
    <n v="490"/>
    <n v="910"/>
  </r>
  <r>
    <x v="50"/>
    <s v="conventional_default_current_fico_653"/>
    <x v="693"/>
    <n v="3.1263754399999999"/>
    <n v="1"/>
    <n v="490"/>
    <n v="910"/>
  </r>
  <r>
    <x v="50"/>
    <s v="conventional_default_current_fico_654"/>
    <x v="694"/>
    <n v="3.1113900800000001"/>
    <n v="1"/>
    <n v="490"/>
    <n v="910"/>
  </r>
  <r>
    <x v="50"/>
    <s v="conventional_default_current_fico_655"/>
    <x v="695"/>
    <n v="3.09619"/>
    <n v="1"/>
    <n v="490"/>
    <n v="910"/>
  </r>
  <r>
    <x v="50"/>
    <s v="conventional_default_current_fico_656"/>
    <x v="696"/>
    <n v="3.0807795200000001"/>
    <n v="1"/>
    <n v="490"/>
    <n v="910"/>
  </r>
  <r>
    <x v="50"/>
    <s v="conventional_default_current_fico_657"/>
    <x v="697"/>
    <n v="3.0651629599999999"/>
    <n v="1"/>
    <n v="490"/>
    <n v="910"/>
  </r>
  <r>
    <x v="50"/>
    <s v="conventional_default_current_fico_658"/>
    <x v="698"/>
    <n v="3.0493446400000002"/>
    <n v="1"/>
    <n v="490"/>
    <n v="910"/>
  </r>
  <r>
    <x v="50"/>
    <s v="conventional_default_current_fico_659"/>
    <x v="699"/>
    <n v="3.03332888"/>
    <n v="1"/>
    <n v="490"/>
    <n v="910"/>
  </r>
  <r>
    <x v="50"/>
    <s v="conventional_default_current_fico_660"/>
    <x v="700"/>
    <n v="3.0171199999999998"/>
    <n v="1"/>
    <n v="490"/>
    <n v="910"/>
  </r>
  <r>
    <x v="50"/>
    <s v="conventional_default_current_fico_661"/>
    <x v="701"/>
    <n v="3.0007223199999999"/>
    <n v="1"/>
    <n v="490"/>
    <n v="910"/>
  </r>
  <r>
    <x v="50"/>
    <s v="conventional_default_current_fico_662"/>
    <x v="702"/>
    <n v="2.9841401599999999"/>
    <n v="1"/>
    <n v="490"/>
    <n v="910"/>
  </r>
  <r>
    <x v="50"/>
    <s v="conventional_default_current_fico_663"/>
    <x v="703"/>
    <n v="2.9673778400000002"/>
    <n v="1"/>
    <n v="490"/>
    <n v="910"/>
  </r>
  <r>
    <x v="50"/>
    <s v="conventional_default_current_fico_664"/>
    <x v="704"/>
    <n v="2.9504396800000001"/>
    <n v="1"/>
    <n v="490"/>
    <n v="910"/>
  </r>
  <r>
    <x v="50"/>
    <s v="conventional_default_current_fico_665"/>
    <x v="705"/>
    <n v="2.9333300000000002"/>
    <n v="1"/>
    <n v="490"/>
    <n v="910"/>
  </r>
  <r>
    <x v="50"/>
    <s v="conventional_default_current_fico_666"/>
    <x v="706"/>
    <n v="2.9160531199999999"/>
    <n v="1"/>
    <n v="490"/>
    <n v="910"/>
  </r>
  <r>
    <x v="50"/>
    <s v="conventional_default_current_fico_667"/>
    <x v="707"/>
    <n v="2.8986133600000001"/>
    <n v="1"/>
    <n v="490"/>
    <n v="910"/>
  </r>
  <r>
    <x v="50"/>
    <s v="conventional_default_current_fico_668"/>
    <x v="708"/>
    <n v="2.8810150399999999"/>
    <n v="1"/>
    <n v="490"/>
    <n v="910"/>
  </r>
  <r>
    <x v="50"/>
    <s v="conventional_default_current_fico_669"/>
    <x v="709"/>
    <n v="2.8632624799999999"/>
    <n v="1"/>
    <n v="490"/>
    <n v="910"/>
  </r>
  <r>
    <x v="50"/>
    <s v="conventional_default_current_fico_670"/>
    <x v="710"/>
    <n v="2.8453599999999999"/>
    <n v="1"/>
    <n v="490"/>
    <n v="910"/>
  </r>
  <r>
    <x v="50"/>
    <s v="conventional_default_current_fico_671"/>
    <x v="711"/>
    <n v="2.8273119200000001"/>
    <n v="1"/>
    <n v="490"/>
    <n v="910"/>
  </r>
  <r>
    <x v="50"/>
    <s v="conventional_default_current_fico_672"/>
    <x v="712"/>
    <n v="2.80912256"/>
    <n v="1"/>
    <n v="490"/>
    <n v="910"/>
  </r>
  <r>
    <x v="50"/>
    <s v="conventional_default_current_fico_673"/>
    <x v="713"/>
    <n v="2.7907962400000002"/>
    <n v="1"/>
    <n v="490"/>
    <n v="910"/>
  </r>
  <r>
    <x v="50"/>
    <s v="conventional_default_current_fico_674"/>
    <x v="714"/>
    <n v="2.7723372799999999"/>
    <n v="1"/>
    <n v="490"/>
    <n v="910"/>
  </r>
  <r>
    <x v="50"/>
    <s v="conventional_default_current_fico_675"/>
    <x v="715"/>
    <n v="2.7537500000000001"/>
    <n v="1"/>
    <n v="490"/>
    <n v="910"/>
  </r>
  <r>
    <x v="50"/>
    <s v="conventional_default_current_fico_676"/>
    <x v="716"/>
    <n v="2.7350387199999999"/>
    <n v="1"/>
    <n v="490"/>
    <n v="910"/>
  </r>
  <r>
    <x v="50"/>
    <s v="conventional_default_current_fico_677"/>
    <x v="717"/>
    <n v="2.7162077600000001"/>
    <n v="1"/>
    <n v="490"/>
    <n v="910"/>
  </r>
  <r>
    <x v="50"/>
    <s v="conventional_default_current_fico_678"/>
    <x v="718"/>
    <n v="2.6972614400000001"/>
    <n v="1"/>
    <n v="490"/>
    <n v="910"/>
  </r>
  <r>
    <x v="50"/>
    <s v="conventional_default_current_fico_679"/>
    <x v="719"/>
    <n v="2.67820408"/>
    <n v="1"/>
    <n v="490"/>
    <n v="910"/>
  </r>
  <r>
    <x v="50"/>
    <s v="conventional_default_current_fico_680"/>
    <x v="720"/>
    <n v="2.6590400000000001"/>
    <n v="1"/>
    <n v="490"/>
    <n v="910"/>
  </r>
  <r>
    <x v="50"/>
    <s v="conventional_default_current_fico_681"/>
    <x v="721"/>
    <n v="2.6397735199999999"/>
    <n v="1"/>
    <n v="490"/>
    <n v="910"/>
  </r>
  <r>
    <x v="50"/>
    <s v="conventional_default_current_fico_682"/>
    <x v="722"/>
    <n v="2.6204089599999998"/>
    <n v="1"/>
    <n v="490"/>
    <n v="910"/>
  </r>
  <r>
    <x v="50"/>
    <s v="conventional_default_current_fico_683"/>
    <x v="723"/>
    <n v="2.6009506400000002"/>
    <n v="1"/>
    <n v="490"/>
    <n v="910"/>
  </r>
  <r>
    <x v="50"/>
    <s v="conventional_default_current_fico_684"/>
    <x v="724"/>
    <n v="2.5814028800000002"/>
    <n v="1"/>
    <n v="490"/>
    <n v="910"/>
  </r>
  <r>
    <x v="50"/>
    <s v="conventional_default_current_fico_685"/>
    <x v="725"/>
    <n v="2.5617700000000001"/>
    <n v="1"/>
    <n v="490"/>
    <n v="910"/>
  </r>
  <r>
    <x v="50"/>
    <s v="conventional_default_current_fico_686"/>
    <x v="726"/>
    <n v="2.5420563199999999"/>
    <n v="1"/>
    <n v="490"/>
    <n v="910"/>
  </r>
  <r>
    <x v="50"/>
    <s v="conventional_default_current_fico_687"/>
    <x v="727"/>
    <n v="2.52226616"/>
    <n v="1"/>
    <n v="490"/>
    <n v="910"/>
  </r>
  <r>
    <x v="50"/>
    <s v="conventional_default_current_fico_688"/>
    <x v="728"/>
    <n v="2.5024038399999999"/>
    <n v="1"/>
    <n v="490"/>
    <n v="910"/>
  </r>
  <r>
    <x v="50"/>
    <s v="conventional_default_current_fico_689"/>
    <x v="729"/>
    <n v="2.48247368"/>
    <n v="1"/>
    <n v="490"/>
    <n v="910"/>
  </r>
  <r>
    <x v="50"/>
    <s v="conventional_default_current_fico_690"/>
    <x v="730"/>
    <n v="2.4624799999999998"/>
    <n v="1"/>
    <n v="490"/>
    <n v="910"/>
  </r>
  <r>
    <x v="50"/>
    <s v="conventional_default_current_fico_691"/>
    <x v="731"/>
    <n v="2.4424271200000001"/>
    <n v="1"/>
    <n v="490"/>
    <n v="910"/>
  </r>
  <r>
    <x v="50"/>
    <s v="conventional_default_current_fico_692"/>
    <x v="732"/>
    <n v="2.4223193599999999"/>
    <n v="1"/>
    <n v="490"/>
    <n v="910"/>
  </r>
  <r>
    <x v="50"/>
    <s v="conventional_default_current_fico_693"/>
    <x v="733"/>
    <n v="2.4021610400000002"/>
    <n v="1"/>
    <n v="490"/>
    <n v="910"/>
  </r>
  <r>
    <x v="50"/>
    <s v="conventional_default_current_fico_694"/>
    <x v="734"/>
    <n v="2.3819564799999999"/>
    <n v="1"/>
    <n v="490"/>
    <n v="910"/>
  </r>
  <r>
    <x v="50"/>
    <s v="conventional_default_current_fico_695"/>
    <x v="735"/>
    <n v="2.36171"/>
    <n v="1"/>
    <n v="490"/>
    <n v="910"/>
  </r>
  <r>
    <x v="50"/>
    <s v="conventional_default_current_fico_696"/>
    <x v="736"/>
    <n v="2.3414259199999998"/>
    <n v="1"/>
    <n v="490"/>
    <n v="910"/>
  </r>
  <r>
    <x v="50"/>
    <s v="conventional_default_current_fico_697"/>
    <x v="737"/>
    <n v="2.3211085599999999"/>
    <n v="1"/>
    <n v="490"/>
    <n v="910"/>
  </r>
  <r>
    <x v="50"/>
    <s v="conventional_default_current_fico_698"/>
    <x v="738"/>
    <n v="2.3007622400000001"/>
    <n v="1"/>
    <n v="490"/>
    <n v="910"/>
  </r>
  <r>
    <x v="50"/>
    <s v="conventional_default_current_fico_699"/>
    <x v="739"/>
    <n v="2.2803912799999999"/>
    <n v="1"/>
    <n v="490"/>
    <n v="910"/>
  </r>
  <r>
    <x v="50"/>
    <s v="conventional_default_current_fico_700"/>
    <x v="740"/>
    <n v="2.2599999999999998"/>
    <n v="1"/>
    <n v="490"/>
    <n v="910"/>
  </r>
  <r>
    <x v="50"/>
    <s v="conventional_default_current_fico_701"/>
    <x v="741"/>
    <n v="2.2394325199999998"/>
    <n v="1"/>
    <n v="490"/>
    <n v="910"/>
  </r>
  <r>
    <x v="50"/>
    <s v="conventional_default_current_fico_702"/>
    <x v="742"/>
    <n v="2.2185401599999999"/>
    <n v="1"/>
    <n v="490"/>
    <n v="910"/>
  </r>
  <r>
    <x v="50"/>
    <s v="conventional_default_current_fico_703"/>
    <x v="743"/>
    <n v="2.19733804"/>
    <n v="1"/>
    <n v="490"/>
    <n v="910"/>
  </r>
  <r>
    <x v="50"/>
    <s v="conventional_default_current_fico_704"/>
    <x v="744"/>
    <n v="2.1758412800000002"/>
    <n v="1"/>
    <n v="490"/>
    <n v="910"/>
  </r>
  <r>
    <x v="50"/>
    <s v="conventional_default_current_fico_705"/>
    <x v="745"/>
    <n v="2.1540650000000001"/>
    <n v="1"/>
    <n v="490"/>
    <n v="910"/>
  </r>
  <r>
    <x v="50"/>
    <s v="conventional_default_current_fico_706"/>
    <x v="746"/>
    <n v="2.1320243200000002"/>
    <n v="1"/>
    <n v="490"/>
    <n v="910"/>
  </r>
  <r>
    <x v="50"/>
    <s v="conventional_default_current_fico_707"/>
    <x v="747"/>
    <n v="2.10973436"/>
    <n v="1"/>
    <n v="490"/>
    <n v="910"/>
  </r>
  <r>
    <x v="50"/>
    <s v="conventional_default_current_fico_708"/>
    <x v="748"/>
    <n v="2.0872102400000001"/>
    <n v="1"/>
    <n v="490"/>
    <n v="910"/>
  </r>
  <r>
    <x v="50"/>
    <s v="conventional_default_current_fico_709"/>
    <x v="749"/>
    <n v="2.06446708"/>
    <n v="1"/>
    <n v="490"/>
    <n v="910"/>
  </r>
  <r>
    <x v="50"/>
    <s v="conventional_default_current_fico_710"/>
    <x v="750"/>
    <n v="2.0415199999999998"/>
    <n v="1"/>
    <n v="490"/>
    <n v="910"/>
  </r>
  <r>
    <x v="50"/>
    <s v="conventional_default_current_fico_711"/>
    <x v="751"/>
    <n v="2.0183841199999999"/>
    <n v="1"/>
    <n v="490"/>
    <n v="910"/>
  </r>
  <r>
    <x v="50"/>
    <s v="conventional_default_current_fico_712"/>
    <x v="752"/>
    <n v="1.9950745599999999"/>
    <n v="1"/>
    <n v="490"/>
    <n v="910"/>
  </r>
  <r>
    <x v="50"/>
    <s v="conventional_default_current_fico_713"/>
    <x v="753"/>
    <n v="1.97160644"/>
    <n v="1"/>
    <n v="490"/>
    <n v="910"/>
  </r>
  <r>
    <x v="50"/>
    <s v="conventional_default_current_fico_714"/>
    <x v="754"/>
    <n v="1.94799488"/>
    <n v="1"/>
    <n v="490"/>
    <n v="910"/>
  </r>
  <r>
    <x v="50"/>
    <s v="conventional_default_current_fico_715"/>
    <x v="755"/>
    <n v="1.924255"/>
    <n v="1"/>
    <n v="490"/>
    <n v="910"/>
  </r>
  <r>
    <x v="50"/>
    <s v="conventional_default_current_fico_716"/>
    <x v="756"/>
    <n v="1.90040192"/>
    <n v="1"/>
    <n v="490"/>
    <n v="910"/>
  </r>
  <r>
    <x v="50"/>
    <s v="conventional_default_current_fico_717"/>
    <x v="757"/>
    <n v="1.87645076"/>
    <n v="1"/>
    <n v="490"/>
    <n v="910"/>
  </r>
  <r>
    <x v="50"/>
    <s v="conventional_default_current_fico_718"/>
    <x v="758"/>
    <n v="1.8524166399999999"/>
    <n v="1"/>
    <n v="490"/>
    <n v="910"/>
  </r>
  <r>
    <x v="50"/>
    <s v="conventional_default_current_fico_719"/>
    <x v="759"/>
    <n v="1.8283146800000001"/>
    <n v="1"/>
    <n v="490"/>
    <n v="910"/>
  </r>
  <r>
    <x v="50"/>
    <s v="conventional_default_current_fico_720"/>
    <x v="760"/>
    <n v="1.80416"/>
    <n v="1"/>
    <n v="490"/>
    <n v="910"/>
  </r>
  <r>
    <x v="50"/>
    <s v="conventional_default_current_fico_721"/>
    <x v="761"/>
    <n v="1.7799677199999999"/>
    <n v="1"/>
    <n v="490"/>
    <n v="910"/>
  </r>
  <r>
    <x v="50"/>
    <s v="conventional_default_current_fico_722"/>
    <x v="762"/>
    <n v="1.7557529599999999"/>
    <n v="1"/>
    <n v="490"/>
    <n v="910"/>
  </r>
  <r>
    <x v="50"/>
    <s v="conventional_default_current_fico_723"/>
    <x v="763"/>
    <n v="1.73153084"/>
    <n v="1"/>
    <n v="490"/>
    <n v="910"/>
  </r>
  <r>
    <x v="50"/>
    <s v="conventional_default_current_fico_724"/>
    <x v="764"/>
    <n v="1.70731648"/>
    <n v="1"/>
    <n v="490"/>
    <n v="910"/>
  </r>
  <r>
    <x v="50"/>
    <s v="conventional_default_current_fico_725"/>
    <x v="765"/>
    <n v="1.683125"/>
    <n v="1"/>
    <n v="490"/>
    <n v="910"/>
  </r>
  <r>
    <x v="50"/>
    <s v="conventional_default_current_fico_726"/>
    <x v="766"/>
    <n v="1.6589715199999999"/>
    <n v="1"/>
    <n v="490"/>
    <n v="910"/>
  </r>
  <r>
    <x v="50"/>
    <s v="conventional_default_current_fico_727"/>
    <x v="767"/>
    <n v="1.6348711600000001"/>
    <n v="1"/>
    <n v="490"/>
    <n v="910"/>
  </r>
  <r>
    <x v="50"/>
    <s v="conventional_default_current_fico_728"/>
    <x v="768"/>
    <n v="1.6108390400000001"/>
    <n v="1"/>
    <n v="490"/>
    <n v="910"/>
  </r>
  <r>
    <x v="50"/>
    <s v="conventional_default_current_fico_729"/>
    <x v="769"/>
    <n v="1.58689028"/>
    <n v="1"/>
    <n v="490"/>
    <n v="910"/>
  </r>
  <r>
    <x v="50"/>
    <s v="conventional_default_current_fico_730"/>
    <x v="770"/>
    <n v="1.56304"/>
    <n v="1"/>
    <n v="490"/>
    <n v="910"/>
  </r>
  <r>
    <x v="50"/>
    <s v="conventional_default_current_fico_731"/>
    <x v="771"/>
    <n v="1.5393033199999999"/>
    <n v="1"/>
    <n v="490"/>
    <n v="910"/>
  </r>
  <r>
    <x v="50"/>
    <s v="conventional_default_current_fico_732"/>
    <x v="772"/>
    <n v="1.51569536"/>
    <n v="1"/>
    <n v="490"/>
    <n v="910"/>
  </r>
  <r>
    <x v="50"/>
    <s v="conventional_default_current_fico_733"/>
    <x v="773"/>
    <n v="1.49223124"/>
    <n v="1"/>
    <n v="490"/>
    <n v="910"/>
  </r>
  <r>
    <x v="50"/>
    <s v="conventional_default_current_fico_734"/>
    <x v="774"/>
    <n v="1.4689260799999999"/>
    <n v="1"/>
    <n v="490"/>
    <n v="910"/>
  </r>
  <r>
    <x v="50"/>
    <s v="conventional_default_current_fico_735"/>
    <x v="775"/>
    <n v="1.4457949999999999"/>
    <n v="1"/>
    <n v="490"/>
    <n v="910"/>
  </r>
  <r>
    <x v="50"/>
    <s v="conventional_default_current_fico_736"/>
    <x v="776"/>
    <n v="1.4228531200000001"/>
    <n v="1"/>
    <n v="490"/>
    <n v="910"/>
  </r>
  <r>
    <x v="50"/>
    <s v="conventional_default_current_fico_737"/>
    <x v="777"/>
    <n v="1.4001155599999999"/>
    <n v="1"/>
    <n v="490"/>
    <n v="910"/>
  </r>
  <r>
    <x v="50"/>
    <s v="conventional_default_current_fico_738"/>
    <x v="778"/>
    <n v="1.37759744"/>
    <n v="1"/>
    <n v="490"/>
    <n v="910"/>
  </r>
  <r>
    <x v="50"/>
    <s v="conventional_default_current_fico_739"/>
    <x v="779"/>
    <n v="1.35531388"/>
    <n v="1"/>
    <n v="490"/>
    <n v="910"/>
  </r>
  <r>
    <x v="50"/>
    <s v="conventional_default_current_fico_740"/>
    <x v="780"/>
    <n v="1.33328"/>
    <n v="1"/>
    <n v="490"/>
    <n v="910"/>
  </r>
  <r>
    <x v="50"/>
    <s v="conventional_default_current_fico_741"/>
    <x v="781"/>
    <n v="1.3115109199999999"/>
    <n v="1"/>
    <n v="490"/>
    <n v="910"/>
  </r>
  <r>
    <x v="50"/>
    <s v="conventional_default_current_fico_742"/>
    <x v="782"/>
    <n v="1.2900217599999999"/>
    <n v="1"/>
    <n v="490"/>
    <n v="910"/>
  </r>
  <r>
    <x v="50"/>
    <s v="conventional_default_current_fico_743"/>
    <x v="783"/>
    <n v="1.26882764"/>
    <n v="1"/>
    <n v="490"/>
    <n v="910"/>
  </r>
  <r>
    <x v="50"/>
    <s v="conventional_default_current_fico_744"/>
    <x v="784"/>
    <n v="1.2479436800000001"/>
    <n v="1"/>
    <n v="490"/>
    <n v="910"/>
  </r>
  <r>
    <x v="50"/>
    <s v="conventional_default_current_fico_745"/>
    <x v="785"/>
    <n v="1.2273849999999999"/>
    <n v="1"/>
    <n v="490"/>
    <n v="910"/>
  </r>
  <r>
    <x v="50"/>
    <s v="conventional_default_current_fico_746"/>
    <x v="786"/>
    <n v="1.20716672"/>
    <n v="1"/>
    <n v="490"/>
    <n v="910"/>
  </r>
  <r>
    <x v="50"/>
    <s v="conventional_default_current_fico_747"/>
    <x v="787"/>
    <n v="1.1873039599999999"/>
    <n v="1"/>
    <n v="490"/>
    <n v="910"/>
  </r>
  <r>
    <x v="50"/>
    <s v="conventional_default_current_fico_748"/>
    <x v="788"/>
    <n v="1.1678118399999999"/>
    <n v="1"/>
    <n v="490"/>
    <n v="910"/>
  </r>
  <r>
    <x v="50"/>
    <s v="conventional_default_current_fico_749"/>
    <x v="789"/>
    <n v="1.1487054800000001"/>
    <n v="1"/>
    <n v="490"/>
    <n v="910"/>
  </r>
  <r>
    <x v="50"/>
    <s v="conventional_default_current_fico_750"/>
    <x v="790"/>
    <n v="1.1299999999999999"/>
    <n v="1"/>
    <n v="490"/>
    <n v="910"/>
  </r>
  <r>
    <x v="50"/>
    <s v="conventional_default_current_fico_751"/>
    <x v="791"/>
    <n v="1.11157024"/>
    <n v="1"/>
    <n v="490"/>
    <n v="910"/>
  </r>
  <r>
    <x v="50"/>
    <s v="conventional_default_current_fico_752"/>
    <x v="792"/>
    <n v="1.0932819199999999"/>
    <n v="1"/>
    <n v="490"/>
    <n v="910"/>
  </r>
  <r>
    <x v="50"/>
    <s v="conventional_default_current_fico_753"/>
    <x v="793"/>
    <n v="1.0751364800000001"/>
    <n v="1"/>
    <n v="490"/>
    <n v="910"/>
  </r>
  <r>
    <x v="50"/>
    <s v="conventional_default_current_fico_754"/>
    <x v="794"/>
    <n v="1.05713536"/>
    <n v="1"/>
    <n v="490"/>
    <n v="910"/>
  </r>
  <r>
    <x v="50"/>
    <s v="conventional_default_current_fico_755"/>
    <x v="795"/>
    <n v="1.03928"/>
    <n v="1"/>
    <n v="490"/>
    <n v="910"/>
  </r>
  <r>
    <x v="50"/>
    <s v="conventional_default_current_fico_756"/>
    <x v="796"/>
    <n v="1.02157184"/>
    <n v="1"/>
    <n v="490"/>
    <n v="910"/>
  </r>
  <r>
    <x v="50"/>
    <s v="conventional_default_current_fico_757"/>
    <x v="797"/>
    <n v="1.00401232"/>
    <n v="1"/>
    <n v="490"/>
    <n v="910"/>
  </r>
  <r>
    <x v="50"/>
    <s v="conventional_default_current_fico_758"/>
    <x v="798"/>
    <n v="0.98660287999999996"/>
    <n v="1"/>
    <n v="490"/>
    <n v="910"/>
  </r>
  <r>
    <x v="50"/>
    <s v="conventional_default_current_fico_759"/>
    <x v="799"/>
    <n v="0.96934496000000003"/>
    <n v="1"/>
    <n v="490"/>
    <n v="910"/>
  </r>
  <r>
    <x v="50"/>
    <s v="conventional_default_current_fico_760"/>
    <x v="800"/>
    <n v="0.95223999999999998"/>
    <n v="1"/>
    <n v="490"/>
    <n v="910"/>
  </r>
  <r>
    <x v="50"/>
    <s v="conventional_default_current_fico_761"/>
    <x v="801"/>
    <n v="0.93528944000000003"/>
    <n v="1"/>
    <n v="490"/>
    <n v="910"/>
  </r>
  <r>
    <x v="50"/>
    <s v="conventional_default_current_fico_762"/>
    <x v="802"/>
    <n v="0.91849471999999999"/>
    <n v="1"/>
    <n v="490"/>
    <n v="910"/>
  </r>
  <r>
    <x v="50"/>
    <s v="conventional_default_current_fico_763"/>
    <x v="803"/>
    <n v="0.90185727999999998"/>
    <n v="1"/>
    <n v="490"/>
    <n v="910"/>
  </r>
  <r>
    <x v="50"/>
    <s v="conventional_default_current_fico_764"/>
    <x v="804"/>
    <n v="0.88537856000000004"/>
    <n v="1"/>
    <n v="490"/>
    <n v="910"/>
  </r>
  <r>
    <x v="50"/>
    <s v="conventional_default_current_fico_765"/>
    <x v="805"/>
    <n v="0.86906000000000005"/>
    <n v="1"/>
    <n v="490"/>
    <n v="910"/>
  </r>
  <r>
    <x v="50"/>
    <s v="conventional_default_current_fico_766"/>
    <x v="806"/>
    <n v="0.85290303999999995"/>
    <n v="1"/>
    <n v="490"/>
    <n v="910"/>
  </r>
  <r>
    <x v="50"/>
    <s v="conventional_default_current_fico_767"/>
    <x v="807"/>
    <n v="0.83690911999999995"/>
    <n v="1"/>
    <n v="490"/>
    <n v="910"/>
  </r>
  <r>
    <x v="50"/>
    <s v="conventional_default_current_fico_768"/>
    <x v="808"/>
    <n v="0.82107967999999998"/>
    <n v="1"/>
    <n v="490"/>
    <n v="910"/>
  </r>
  <r>
    <x v="50"/>
    <s v="conventional_default_current_fico_769"/>
    <x v="809"/>
    <n v="0.80541616000000005"/>
    <n v="1"/>
    <n v="490"/>
    <n v="910"/>
  </r>
  <r>
    <x v="50"/>
    <s v="conventional_default_current_fico_770"/>
    <x v="810"/>
    <n v="0.78991999999999996"/>
    <n v="1"/>
    <n v="490"/>
    <n v="910"/>
  </r>
  <r>
    <x v="50"/>
    <s v="conventional_default_current_fico_771"/>
    <x v="811"/>
    <n v="0.77459264000000005"/>
    <n v="1"/>
    <n v="490"/>
    <n v="910"/>
  </r>
  <r>
    <x v="50"/>
    <s v="conventional_default_current_fico_772"/>
    <x v="812"/>
    <n v="0.75943552000000003"/>
    <n v="1"/>
    <n v="490"/>
    <n v="910"/>
  </r>
  <r>
    <x v="50"/>
    <s v="conventional_default_current_fico_773"/>
    <x v="813"/>
    <n v="0.74445008000000001"/>
    <n v="1"/>
    <n v="490"/>
    <n v="910"/>
  </r>
  <r>
    <x v="50"/>
    <s v="conventional_default_current_fico_774"/>
    <x v="814"/>
    <n v="0.72963776000000002"/>
    <n v="1"/>
    <n v="490"/>
    <n v="910"/>
  </r>
  <r>
    <x v="50"/>
    <s v="conventional_default_current_fico_775"/>
    <x v="815"/>
    <n v="0.71499999999999997"/>
    <n v="1"/>
    <n v="490"/>
    <n v="910"/>
  </r>
  <r>
    <x v="50"/>
    <s v="conventional_default_current_fico_776"/>
    <x v="816"/>
    <n v="0.70053823999999998"/>
    <n v="1"/>
    <n v="490"/>
    <n v="910"/>
  </r>
  <r>
    <x v="50"/>
    <s v="conventional_default_current_fico_777"/>
    <x v="817"/>
    <n v="0.68625391999999996"/>
    <n v="1"/>
    <n v="490"/>
    <n v="910"/>
  </r>
  <r>
    <x v="50"/>
    <s v="conventional_default_current_fico_778"/>
    <x v="818"/>
    <n v="0.67214848000000005"/>
    <n v="1"/>
    <n v="490"/>
    <n v="910"/>
  </r>
  <r>
    <x v="50"/>
    <s v="conventional_default_current_fico_779"/>
    <x v="819"/>
    <n v="0.65822336000000004"/>
    <n v="1"/>
    <n v="490"/>
    <n v="910"/>
  </r>
  <r>
    <x v="50"/>
    <s v="conventional_default_current_fico_780"/>
    <x v="820"/>
    <n v="0.64448000000000005"/>
    <n v="1"/>
    <n v="490"/>
    <n v="910"/>
  </r>
  <r>
    <x v="50"/>
    <s v="conventional_default_current_fico_781"/>
    <x v="821"/>
    <n v="0.63091984000000001"/>
    <n v="1"/>
    <n v="490"/>
    <n v="910"/>
  </r>
  <r>
    <x v="50"/>
    <s v="conventional_default_current_fico_782"/>
    <x v="822"/>
    <n v="0.61754432000000004"/>
    <n v="1"/>
    <n v="490"/>
    <n v="910"/>
  </r>
  <r>
    <x v="50"/>
    <s v="conventional_default_current_fico_783"/>
    <x v="823"/>
    <n v="0.60435488000000004"/>
    <n v="1"/>
    <n v="490"/>
    <n v="910"/>
  </r>
  <r>
    <x v="50"/>
    <s v="conventional_default_current_fico_784"/>
    <x v="824"/>
    <n v="0.59135296000000004"/>
    <n v="1"/>
    <n v="490"/>
    <n v="910"/>
  </r>
  <r>
    <x v="50"/>
    <s v="conventional_default_current_fico_785"/>
    <x v="825"/>
    <n v="0.57854000000000005"/>
    <n v="1"/>
    <n v="490"/>
    <n v="910"/>
  </r>
  <r>
    <x v="50"/>
    <s v="conventional_default_current_fico_786"/>
    <x v="826"/>
    <n v="0.56591743999999999"/>
    <n v="1"/>
    <n v="490"/>
    <n v="910"/>
  </r>
  <r>
    <x v="50"/>
    <s v="conventional_default_current_fico_787"/>
    <x v="827"/>
    <n v="0.55348671999999999"/>
    <n v="1"/>
    <n v="490"/>
    <n v="910"/>
  </r>
  <r>
    <x v="50"/>
    <s v="conventional_default_current_fico_788"/>
    <x v="828"/>
    <n v="0.54124928000000005"/>
    <n v="1"/>
    <n v="490"/>
    <n v="910"/>
  </r>
  <r>
    <x v="50"/>
    <s v="conventional_default_current_fico_789"/>
    <x v="829"/>
    <n v="0.52920655999999999"/>
    <n v="1"/>
    <n v="490"/>
    <n v="910"/>
  </r>
  <r>
    <x v="50"/>
    <s v="conventional_default_current_fico_790"/>
    <x v="830"/>
    <n v="0.51736000000000004"/>
    <n v="1"/>
    <n v="490"/>
    <n v="910"/>
  </r>
  <r>
    <x v="50"/>
    <s v="conventional_default_current_fico_791"/>
    <x v="831"/>
    <n v="0.50571104"/>
    <n v="1"/>
    <n v="490"/>
    <n v="910"/>
  </r>
  <r>
    <x v="50"/>
    <s v="conventional_default_current_fico_792"/>
    <x v="832"/>
    <n v="0.49426112"/>
    <n v="1"/>
    <n v="490"/>
    <n v="910"/>
  </r>
  <r>
    <x v="50"/>
    <s v="conventional_default_current_fico_793"/>
    <x v="833"/>
    <n v="0.48301168"/>
    <n v="1"/>
    <n v="490"/>
    <n v="910"/>
  </r>
  <r>
    <x v="50"/>
    <s v="conventional_default_current_fico_794"/>
    <x v="834"/>
    <n v="0.47196416000000002"/>
    <n v="1"/>
    <n v="490"/>
    <n v="910"/>
  </r>
  <r>
    <x v="50"/>
    <s v="conventional_default_current_fico_795"/>
    <x v="835"/>
    <n v="0.46111999999999997"/>
    <n v="1"/>
    <n v="490"/>
    <n v="910"/>
  </r>
  <r>
    <x v="50"/>
    <s v="conventional_default_current_fico_796"/>
    <x v="836"/>
    <n v="0.45048063999999999"/>
    <n v="1"/>
    <n v="490"/>
    <n v="910"/>
  </r>
  <r>
    <x v="50"/>
    <s v="conventional_default_current_fico_797"/>
    <x v="837"/>
    <n v="0.44004752000000003"/>
    <n v="1"/>
    <n v="490"/>
    <n v="910"/>
  </r>
  <r>
    <x v="50"/>
    <s v="conventional_default_current_fico_798"/>
    <x v="838"/>
    <n v="0.42982208"/>
    <n v="1"/>
    <n v="490"/>
    <n v="910"/>
  </r>
  <r>
    <x v="50"/>
    <s v="conventional_default_current_fico_799"/>
    <x v="839"/>
    <n v="0.41980575999999997"/>
    <n v="1"/>
    <n v="490"/>
    <n v="910"/>
  </r>
  <r>
    <x v="50"/>
    <s v="conventional_default_current_fico_800"/>
    <x v="840"/>
    <n v="0.41"/>
    <n v="1"/>
    <n v="490"/>
    <n v="910"/>
  </r>
  <r>
    <x v="50"/>
    <s v="conventional_default_current_fico_801"/>
    <x v="841"/>
    <n v="0.40048612"/>
    <n v="1"/>
    <n v="490"/>
    <n v="910"/>
  </r>
  <r>
    <x v="50"/>
    <s v="conventional_default_current_fico_802"/>
    <x v="842"/>
    <n v="0.39133696000000001"/>
    <n v="1"/>
    <n v="490"/>
    <n v="910"/>
  </r>
  <r>
    <x v="50"/>
    <s v="conventional_default_current_fico_803"/>
    <x v="843"/>
    <n v="0.38254124"/>
    <n v="1"/>
    <n v="490"/>
    <n v="910"/>
  </r>
  <r>
    <x v="50"/>
    <s v="conventional_default_current_fico_804"/>
    <x v="844"/>
    <n v="0.37408767999999998"/>
    <n v="1"/>
    <n v="490"/>
    <n v="910"/>
  </r>
  <r>
    <x v="50"/>
    <s v="conventional_default_current_fico_805"/>
    <x v="845"/>
    <n v="0.36596499999999998"/>
    <n v="1"/>
    <n v="490"/>
    <n v="910"/>
  </r>
  <r>
    <x v="50"/>
    <s v="conventional_default_current_fico_806"/>
    <x v="846"/>
    <n v="0.35816192000000002"/>
    <n v="1"/>
    <n v="490"/>
    <n v="910"/>
  </r>
  <r>
    <x v="50"/>
    <s v="conventional_default_current_fico_807"/>
    <x v="847"/>
    <n v="0.35066715999999998"/>
    <n v="1"/>
    <n v="490"/>
    <n v="910"/>
  </r>
  <r>
    <x v="50"/>
    <s v="conventional_default_current_fico_808"/>
    <x v="848"/>
    <n v="0.34346944000000001"/>
    <n v="1"/>
    <n v="490"/>
    <n v="910"/>
  </r>
  <r>
    <x v="50"/>
    <s v="conventional_default_current_fico_809"/>
    <x v="849"/>
    <n v="0.33655748000000002"/>
    <n v="1"/>
    <n v="490"/>
    <n v="910"/>
  </r>
  <r>
    <x v="50"/>
    <s v="conventional_default_current_fico_810"/>
    <x v="850"/>
    <n v="0.32991999999999999"/>
    <n v="1"/>
    <n v="490"/>
    <n v="910"/>
  </r>
  <r>
    <x v="50"/>
    <s v="conventional_default_current_fico_811"/>
    <x v="851"/>
    <n v="0.32354571999999998"/>
    <n v="1"/>
    <n v="490"/>
    <n v="910"/>
  </r>
  <r>
    <x v="50"/>
    <s v="conventional_default_current_fico_812"/>
    <x v="852"/>
    <n v="0.31742335999999999"/>
    <n v="1"/>
    <n v="490"/>
    <n v="910"/>
  </r>
  <r>
    <x v="50"/>
    <s v="conventional_default_current_fico_813"/>
    <x v="853"/>
    <n v="0.31154164000000001"/>
    <n v="1"/>
    <n v="490"/>
    <n v="910"/>
  </r>
  <r>
    <x v="50"/>
    <s v="conventional_default_current_fico_814"/>
    <x v="854"/>
    <n v="0.30588927999999999"/>
    <n v="1"/>
    <n v="490"/>
    <n v="910"/>
  </r>
  <r>
    <x v="50"/>
    <s v="conventional_default_current_fico_815"/>
    <x v="855"/>
    <n v="0.30045500000000003"/>
    <n v="1"/>
    <n v="490"/>
    <n v="910"/>
  </r>
  <r>
    <x v="50"/>
    <s v="conventional_default_current_fico_816"/>
    <x v="856"/>
    <n v="0.29522752000000002"/>
    <n v="1"/>
    <n v="490"/>
    <n v="910"/>
  </r>
  <r>
    <x v="50"/>
    <s v="conventional_default_current_fico_817"/>
    <x v="857"/>
    <n v="0.29019556000000002"/>
    <n v="1"/>
    <n v="490"/>
    <n v="910"/>
  </r>
  <r>
    <x v="50"/>
    <s v="conventional_default_current_fico_818"/>
    <x v="858"/>
    <n v="0.28534784000000002"/>
    <n v="1"/>
    <n v="490"/>
    <n v="910"/>
  </r>
  <r>
    <x v="50"/>
    <s v="conventional_default_current_fico_819"/>
    <x v="859"/>
    <n v="0.28067308000000002"/>
    <n v="1"/>
    <n v="490"/>
    <n v="910"/>
  </r>
  <r>
    <x v="50"/>
    <s v="conventional_default_current_fico_820"/>
    <x v="860"/>
    <n v="0.27616000000000002"/>
    <n v="1"/>
    <n v="490"/>
    <n v="910"/>
  </r>
  <r>
    <x v="50"/>
    <s v="conventional_default_current_fico_821"/>
    <x v="861"/>
    <n v="0.27179732000000001"/>
    <n v="1"/>
    <n v="490"/>
    <n v="910"/>
  </r>
  <r>
    <x v="50"/>
    <s v="conventional_default_current_fico_822"/>
    <x v="862"/>
    <n v="0.26757375999999999"/>
    <n v="1"/>
    <n v="490"/>
    <n v="910"/>
  </r>
  <r>
    <x v="50"/>
    <s v="conventional_default_current_fico_823"/>
    <x v="863"/>
    <n v="0.26347804000000002"/>
    <n v="1"/>
    <n v="490"/>
    <n v="910"/>
  </r>
  <r>
    <x v="50"/>
    <s v="conventional_default_current_fico_824"/>
    <x v="864"/>
    <n v="0.25949887999999999"/>
    <n v="1"/>
    <n v="490"/>
    <n v="910"/>
  </r>
  <r>
    <x v="50"/>
    <s v="conventional_default_current_fico_825"/>
    <x v="865"/>
    <n v="0.25562499999999999"/>
    <n v="1"/>
    <n v="490"/>
    <n v="910"/>
  </r>
  <r>
    <x v="50"/>
    <s v="conventional_default_current_fico_826"/>
    <x v="866"/>
    <n v="0.25184511999999998"/>
    <n v="1"/>
    <n v="490"/>
    <n v="910"/>
  </r>
  <r>
    <x v="50"/>
    <s v="conventional_default_current_fico_827"/>
    <x v="867"/>
    <n v="0.24814796"/>
    <n v="1"/>
    <n v="490"/>
    <n v="910"/>
  </r>
  <r>
    <x v="50"/>
    <s v="conventional_default_current_fico_828"/>
    <x v="868"/>
    <n v="0.24452224"/>
    <n v="1"/>
    <n v="490"/>
    <n v="910"/>
  </r>
  <r>
    <x v="50"/>
    <s v="conventional_default_current_fico_829"/>
    <x v="869"/>
    <n v="0.24095668000000001"/>
    <n v="1"/>
    <n v="490"/>
    <n v="910"/>
  </r>
  <r>
    <x v="50"/>
    <s v="conventional_default_current_fico_830"/>
    <x v="870"/>
    <n v="0.23744000000000001"/>
    <n v="1"/>
    <n v="490"/>
    <n v="910"/>
  </r>
  <r>
    <x v="50"/>
    <s v="conventional_default_current_fico_831"/>
    <x v="871"/>
    <n v="0.23396091999999999"/>
    <n v="1"/>
    <n v="490"/>
    <n v="910"/>
  </r>
  <r>
    <x v="50"/>
    <s v="conventional_default_current_fico_832"/>
    <x v="872"/>
    <n v="0.23050815999999999"/>
    <n v="1"/>
    <n v="490"/>
    <n v="910"/>
  </r>
  <r>
    <x v="50"/>
    <s v="conventional_default_current_fico_833"/>
    <x v="873"/>
    <n v="0.22707044000000001"/>
    <n v="1"/>
    <n v="490"/>
    <n v="910"/>
  </r>
  <r>
    <x v="50"/>
    <s v="conventional_default_current_fico_834"/>
    <x v="874"/>
    <n v="0.22363648"/>
    <n v="1"/>
    <n v="490"/>
    <n v="910"/>
  </r>
  <r>
    <x v="50"/>
    <s v="conventional_default_current_fico_835"/>
    <x v="875"/>
    <n v="0.220195"/>
    <n v="1"/>
    <n v="490"/>
    <n v="910"/>
  </r>
  <r>
    <x v="50"/>
    <s v="conventional_default_current_fico_836"/>
    <x v="876"/>
    <n v="0.21673471999999999"/>
    <n v="1"/>
    <n v="490"/>
    <n v="910"/>
  </r>
  <r>
    <x v="50"/>
    <s v="conventional_default_current_fico_837"/>
    <x v="877"/>
    <n v="0.21324435999999999"/>
    <n v="1"/>
    <n v="490"/>
    <n v="910"/>
  </r>
  <r>
    <x v="50"/>
    <s v="conventional_default_current_fico_838"/>
    <x v="878"/>
    <n v="0.20971264000000001"/>
    <n v="1"/>
    <n v="490"/>
    <n v="910"/>
  </r>
  <r>
    <x v="50"/>
    <s v="conventional_default_current_fico_839"/>
    <x v="879"/>
    <n v="0.20612828"/>
    <n v="1"/>
    <n v="490"/>
    <n v="910"/>
  </r>
  <r>
    <x v="50"/>
    <s v="conventional_default_current_fico_840"/>
    <x v="880"/>
    <n v="0.20247999999999999"/>
    <n v="1"/>
    <n v="490"/>
    <n v="910"/>
  </r>
  <r>
    <x v="50"/>
    <s v="conventional_default_current_fico_841"/>
    <x v="881"/>
    <n v="0.19875651999999999"/>
    <n v="1"/>
    <n v="490"/>
    <n v="910"/>
  </r>
  <r>
    <x v="50"/>
    <s v="conventional_default_current_fico_842"/>
    <x v="882"/>
    <n v="0.19494655999999999"/>
    <n v="1"/>
    <n v="490"/>
    <n v="910"/>
  </r>
  <r>
    <x v="50"/>
    <s v="conventional_default_current_fico_843"/>
    <x v="883"/>
    <n v="0.19103883999999999"/>
    <n v="1"/>
    <n v="490"/>
    <n v="910"/>
  </r>
  <r>
    <x v="50"/>
    <s v="conventional_default_current_fico_844"/>
    <x v="884"/>
    <n v="0.18702208000000001"/>
    <n v="1"/>
    <n v="490"/>
    <n v="910"/>
  </r>
  <r>
    <x v="50"/>
    <s v="conventional_default_current_fico_845"/>
    <x v="885"/>
    <n v="0.18288499999999999"/>
    <n v="1"/>
    <n v="490"/>
    <n v="910"/>
  </r>
  <r>
    <x v="50"/>
    <s v="conventional_default_current_fico_846"/>
    <x v="886"/>
    <n v="0.17861632"/>
    <n v="1"/>
    <n v="490"/>
    <n v="910"/>
  </r>
  <r>
    <x v="50"/>
    <s v="conventional_default_current_fico_847"/>
    <x v="887"/>
    <n v="0.17420475999999999"/>
    <n v="1"/>
    <n v="490"/>
    <n v="910"/>
  </r>
  <r>
    <x v="50"/>
    <s v="conventional_default_current_fico_848"/>
    <x v="888"/>
    <n v="0.16963903999999999"/>
    <n v="1"/>
    <n v="490"/>
    <n v="910"/>
  </r>
  <r>
    <x v="50"/>
    <s v="conventional_default_current_fico_849"/>
    <x v="889"/>
    <n v="0.16490788000000001"/>
    <n v="1"/>
    <n v="490"/>
    <n v="910"/>
  </r>
  <r>
    <x v="50"/>
    <s v="conventional_default_current_fico_850"/>
    <x v="890"/>
    <n v="0.16"/>
    <n v="1"/>
    <n v="490"/>
    <n v="910"/>
  </r>
  <r>
    <x v="50"/>
    <s v="conventional_default_current_fico_851"/>
    <x v="891"/>
    <n v="0.155"/>
    <n v="1"/>
    <n v="490"/>
    <n v="910"/>
  </r>
  <r>
    <x v="50"/>
    <s v="conventional_default_current_fico_852"/>
    <x v="892"/>
    <n v="0.15"/>
    <n v="1"/>
    <n v="490"/>
    <n v="910"/>
  </r>
  <r>
    <x v="50"/>
    <s v="conventional_default_current_fico_853"/>
    <x v="893"/>
    <n v="0.14499999999999999"/>
    <n v="1"/>
    <n v="490"/>
    <n v="910"/>
  </r>
  <r>
    <x v="50"/>
    <s v="conventional_default_current_fico_854"/>
    <x v="894"/>
    <n v="0.14000000000000001"/>
    <n v="1"/>
    <n v="490"/>
    <n v="910"/>
  </r>
  <r>
    <x v="50"/>
    <s v="conventional_default_current_fico_855"/>
    <x v="895"/>
    <n v="0.13500000000000001"/>
    <n v="1"/>
    <n v="490"/>
    <n v="910"/>
  </r>
  <r>
    <x v="50"/>
    <s v="conventional_default_current_fico_856"/>
    <x v="896"/>
    <n v="0.13"/>
    <n v="1"/>
    <n v="490"/>
    <n v="910"/>
  </r>
  <r>
    <x v="50"/>
    <s v="conventional_default_current_fico_857"/>
    <x v="897"/>
    <n v="0.125"/>
    <n v="1"/>
    <n v="490"/>
    <n v="910"/>
  </r>
  <r>
    <x v="50"/>
    <s v="conventional_default_current_fico_858"/>
    <x v="898"/>
    <n v="0.12"/>
    <n v="1"/>
    <n v="490"/>
    <n v="910"/>
  </r>
  <r>
    <x v="50"/>
    <s v="conventional_default_current_fico_859"/>
    <x v="899"/>
    <n v="0.115"/>
    <n v="1"/>
    <n v="490"/>
    <n v="910"/>
  </r>
  <r>
    <x v="50"/>
    <s v="conventional_default_current_fico_860"/>
    <x v="900"/>
    <n v="0.11"/>
    <n v="1"/>
    <n v="490"/>
    <n v="910"/>
  </r>
  <r>
    <x v="50"/>
    <s v="conventional_default_current_fico_861"/>
    <x v="901"/>
    <n v="0.105"/>
    <n v="1"/>
    <n v="490"/>
    <n v="910"/>
  </r>
  <r>
    <x v="50"/>
    <s v="conventional_default_current_fico_862"/>
    <x v="902"/>
    <n v="0.1"/>
    <n v="1"/>
    <n v="490"/>
    <n v="910"/>
  </r>
  <r>
    <x v="50"/>
    <s v="conventional_default_current_fico_863"/>
    <x v="903"/>
    <n v="9.5000000000000001E-2"/>
    <n v="1"/>
    <n v="490"/>
    <n v="910"/>
  </r>
  <r>
    <x v="50"/>
    <s v="conventional_default_current_fico_864"/>
    <x v="904"/>
    <n v="0.09"/>
    <n v="1"/>
    <n v="490"/>
    <n v="910"/>
  </r>
  <r>
    <x v="50"/>
    <s v="conventional_default_current_fico_865"/>
    <x v="905"/>
    <n v="8.5000000000000006E-2"/>
    <n v="1"/>
    <n v="490"/>
    <n v="910"/>
  </r>
  <r>
    <x v="50"/>
    <s v="conventional_default_current_fico_866"/>
    <x v="906"/>
    <n v="0.08"/>
    <n v="1"/>
    <n v="490"/>
    <n v="910"/>
  </r>
  <r>
    <x v="50"/>
    <s v="conventional_default_current_fico_867"/>
    <x v="907"/>
    <n v="7.4999999999999997E-2"/>
    <n v="1"/>
    <n v="490"/>
    <n v="910"/>
  </r>
  <r>
    <x v="50"/>
    <s v="conventional_default_current_fico_868"/>
    <x v="908"/>
    <n v="7.0000000000000007E-2"/>
    <n v="1"/>
    <n v="490"/>
    <n v="910"/>
  </r>
  <r>
    <x v="50"/>
    <s v="conventional_default_current_fico_869"/>
    <x v="909"/>
    <n v="6.5000000000000002E-2"/>
    <n v="1"/>
    <n v="490"/>
    <n v="910"/>
  </r>
  <r>
    <x v="50"/>
    <s v="conventional_default_current_fico_870"/>
    <x v="910"/>
    <n v="0.06"/>
    <n v="1"/>
    <n v="490"/>
    <n v="910"/>
  </r>
  <r>
    <x v="50"/>
    <s v="conventional_default_current_fico_871"/>
    <x v="911"/>
    <n v="5.5E-2"/>
    <n v="1"/>
    <n v="490"/>
    <n v="910"/>
  </r>
  <r>
    <x v="50"/>
    <s v="conventional_default_current_fico_872"/>
    <x v="912"/>
    <n v="0.05"/>
    <n v="1"/>
    <n v="490"/>
    <n v="910"/>
  </r>
  <r>
    <x v="50"/>
    <s v="conventional_default_current_fico_873"/>
    <x v="913"/>
    <n v="4.4999999999999998E-2"/>
    <n v="1"/>
    <n v="490"/>
    <n v="910"/>
  </r>
  <r>
    <x v="50"/>
    <s v="conventional_default_current_fico_874"/>
    <x v="914"/>
    <n v="0.04"/>
    <n v="1"/>
    <n v="490"/>
    <n v="910"/>
  </r>
  <r>
    <x v="50"/>
    <s v="conventional_default_current_fico_875"/>
    <x v="915"/>
    <n v="3.5000000000000003E-2"/>
    <n v="1"/>
    <n v="490"/>
    <n v="910"/>
  </r>
  <r>
    <x v="50"/>
    <s v="conventional_default_current_fico_876"/>
    <x v="916"/>
    <n v="0.03"/>
    <n v="1"/>
    <n v="490"/>
    <n v="910"/>
  </r>
  <r>
    <x v="50"/>
    <s v="conventional_default_current_fico_877"/>
    <x v="917"/>
    <n v="2.5000000000000001E-2"/>
    <n v="1"/>
    <n v="490"/>
    <n v="910"/>
  </r>
  <r>
    <x v="50"/>
    <s v="conventional_default_current_fico_878"/>
    <x v="918"/>
    <n v="0.02"/>
    <n v="1"/>
    <n v="490"/>
    <n v="910"/>
  </r>
  <r>
    <x v="50"/>
    <s v="conventional_default_current_fico_879"/>
    <x v="919"/>
    <n v="1.4999999999999999E-2"/>
    <n v="1"/>
    <n v="490"/>
    <n v="910"/>
  </r>
  <r>
    <x v="50"/>
    <s v="conventional_default_current_fico_880"/>
    <x v="920"/>
    <n v="0.01"/>
    <n v="1"/>
    <n v="490"/>
    <n v="910"/>
  </r>
  <r>
    <x v="50"/>
    <s v="conventional_default_current_fico_881"/>
    <x v="921"/>
    <n v="5.0000000000000296E-3"/>
    <n v="1"/>
    <n v="490"/>
    <n v="910"/>
  </r>
  <r>
    <x v="50"/>
    <s v="conventional_default_current_fico_882"/>
    <x v="922"/>
    <n v="2.7755575615628901E-17"/>
    <n v="1"/>
    <n v="490"/>
    <n v="910"/>
  </r>
  <r>
    <x v="50"/>
    <s v="conventional_default_current_fico_883"/>
    <x v="923"/>
    <n v="-4.9999999999999802E-3"/>
    <n v="1"/>
    <n v="490"/>
    <n v="910"/>
  </r>
  <r>
    <x v="50"/>
    <s v="conventional_default_current_fico_884"/>
    <x v="924"/>
    <n v="-9.9999999999999794E-3"/>
    <n v="1"/>
    <n v="490"/>
    <n v="910"/>
  </r>
  <r>
    <x v="50"/>
    <s v="conventional_default_current_fico_885"/>
    <x v="925"/>
    <n v="-1.4999999999999999E-2"/>
    <n v="1"/>
    <n v="490"/>
    <n v="910"/>
  </r>
  <r>
    <x v="50"/>
    <s v="conventional_default_current_fico_886"/>
    <x v="926"/>
    <n v="-0.02"/>
    <n v="1"/>
    <n v="490"/>
    <n v="910"/>
  </r>
  <r>
    <x v="50"/>
    <s v="conventional_default_current_fico_887"/>
    <x v="927"/>
    <n v="-2.5000000000000001E-2"/>
    <n v="1"/>
    <n v="490"/>
    <n v="910"/>
  </r>
  <r>
    <x v="50"/>
    <s v="conventional_default_current_fico_888"/>
    <x v="928"/>
    <n v="-0.03"/>
    <n v="1"/>
    <n v="490"/>
    <n v="910"/>
  </r>
  <r>
    <x v="50"/>
    <s v="conventional_default_current_fico_889"/>
    <x v="929"/>
    <n v="-3.5000000000000003E-2"/>
    <n v="1"/>
    <n v="490"/>
    <n v="910"/>
  </r>
  <r>
    <x v="50"/>
    <s v="conventional_default_current_fico_890"/>
    <x v="930"/>
    <n v="-0.04"/>
    <n v="1"/>
    <n v="490"/>
    <n v="910"/>
  </r>
  <r>
    <x v="50"/>
    <s v="conventional_default_current_fico_891"/>
    <x v="931"/>
    <n v="-4.4999999999999998E-2"/>
    <n v="1"/>
    <n v="490"/>
    <n v="910"/>
  </r>
  <r>
    <x v="50"/>
    <s v="conventional_default_current_fico_892"/>
    <x v="932"/>
    <n v="-0.05"/>
    <n v="1"/>
    <n v="490"/>
    <n v="910"/>
  </r>
  <r>
    <x v="50"/>
    <s v="conventional_default_current_fico_893"/>
    <x v="933"/>
    <n v="-5.5E-2"/>
    <n v="1"/>
    <n v="490"/>
    <n v="910"/>
  </r>
  <r>
    <x v="50"/>
    <s v="conventional_default_current_fico_894"/>
    <x v="934"/>
    <n v="-0.06"/>
    <n v="1"/>
    <n v="490"/>
    <n v="910"/>
  </r>
  <r>
    <x v="50"/>
    <s v="conventional_default_current_fico_895"/>
    <x v="935"/>
    <n v="-6.5000000000000002E-2"/>
    <n v="1"/>
    <n v="490"/>
    <n v="910"/>
  </r>
  <r>
    <x v="50"/>
    <s v="conventional_default_current_fico_896"/>
    <x v="936"/>
    <n v="-7.0000000000000007E-2"/>
    <n v="1"/>
    <n v="490"/>
    <n v="910"/>
  </r>
  <r>
    <x v="50"/>
    <s v="conventional_default_current_fico_897"/>
    <x v="937"/>
    <n v="-7.4999999999999997E-2"/>
    <n v="1"/>
    <n v="490"/>
    <n v="910"/>
  </r>
  <r>
    <x v="50"/>
    <s v="conventional_default_current_fico_898"/>
    <x v="938"/>
    <n v="-0.08"/>
    <n v="1"/>
    <n v="490"/>
    <n v="910"/>
  </r>
  <r>
    <x v="50"/>
    <s v="conventional_default_current_fico_899"/>
    <x v="939"/>
    <n v="-8.5000000000000006E-2"/>
    <n v="1"/>
    <n v="490"/>
    <n v="910"/>
  </r>
  <r>
    <x v="50"/>
    <s v="conventional_default_current_fico_900"/>
    <x v="940"/>
    <n v="-0.09"/>
    <n v="1"/>
    <n v="490"/>
    <n v="910"/>
  </r>
  <r>
    <x v="50"/>
    <s v="conventional_default_current_fico_901"/>
    <x v="941"/>
    <n v="-9.4999999999999904E-2"/>
    <n v="1"/>
    <n v="490"/>
    <n v="910"/>
  </r>
  <r>
    <x v="50"/>
    <s v="conventional_default_current_fico_902"/>
    <x v="942"/>
    <n v="-0.1"/>
    <n v="1"/>
    <n v="490"/>
    <n v="910"/>
  </r>
  <r>
    <x v="50"/>
    <s v="conventional_default_current_fico_903"/>
    <x v="943"/>
    <n v="-0.105"/>
    <n v="1"/>
    <n v="490"/>
    <n v="910"/>
  </r>
  <r>
    <x v="50"/>
    <s v="conventional_default_current_fico_904"/>
    <x v="944"/>
    <n v="-0.11"/>
    <n v="1"/>
    <n v="490"/>
    <n v="910"/>
  </r>
  <r>
    <x v="50"/>
    <s v="conventional_default_current_fico_905"/>
    <x v="945"/>
    <n v="-0.115"/>
    <n v="1"/>
    <n v="490"/>
    <n v="910"/>
  </r>
  <r>
    <x v="50"/>
    <s v="conventional_default_current_fico_906"/>
    <x v="946"/>
    <n v="-0.12"/>
    <n v="1"/>
    <n v="490"/>
    <n v="910"/>
  </r>
  <r>
    <x v="50"/>
    <s v="conventional_default_current_fico_907"/>
    <x v="947"/>
    <n v="-0.125"/>
    <n v="1"/>
    <n v="490"/>
    <n v="910"/>
  </r>
  <r>
    <x v="50"/>
    <s v="conventional_default_current_fico_908"/>
    <x v="948"/>
    <n v="-0.13"/>
    <n v="1"/>
    <n v="490"/>
    <n v="910"/>
  </r>
  <r>
    <x v="50"/>
    <s v="conventional_default_current_fico_909"/>
    <x v="949"/>
    <n v="-0.13500000000000001"/>
    <n v="1"/>
    <n v="490"/>
    <n v="910"/>
  </r>
  <r>
    <x v="50"/>
    <s v="conventional_default_current_fico_910"/>
    <x v="950"/>
    <n v="-0.14000000000000001"/>
    <n v="1"/>
    <n v="490"/>
    <n v="910"/>
  </r>
  <r>
    <x v="51"/>
    <s v="conventional_default_dq_cai_-40"/>
    <x v="0"/>
    <n v="5.6319999999999997"/>
    <n v="1"/>
    <n v="-40"/>
    <n v="940"/>
  </r>
  <r>
    <x v="51"/>
    <s v="conventional_default_dq_cai_-39"/>
    <x v="1"/>
    <n v="5.6101999999999999"/>
    <n v="1"/>
    <n v="-40"/>
    <n v="940"/>
  </r>
  <r>
    <x v="51"/>
    <s v="conventional_default_dq_cai_-38"/>
    <x v="2"/>
    <n v="5.5884"/>
    <n v="1"/>
    <n v="-40"/>
    <n v="940"/>
  </r>
  <r>
    <x v="51"/>
    <s v="conventional_default_dq_cai_-37"/>
    <x v="3"/>
    <n v="5.5666000000000002"/>
    <n v="1"/>
    <n v="-40"/>
    <n v="940"/>
  </r>
  <r>
    <x v="51"/>
    <s v="conventional_default_dq_cai_-36"/>
    <x v="4"/>
    <n v="5.5448000000000004"/>
    <n v="1"/>
    <n v="-40"/>
    <n v="940"/>
  </r>
  <r>
    <x v="51"/>
    <s v="conventional_default_dq_cai_-35"/>
    <x v="5"/>
    <n v="5.5229999999999997"/>
    <n v="1"/>
    <n v="-40"/>
    <n v="940"/>
  </r>
  <r>
    <x v="51"/>
    <s v="conventional_default_dq_cai_-34"/>
    <x v="6"/>
    <n v="5.5011999999999999"/>
    <n v="1"/>
    <n v="-40"/>
    <n v="940"/>
  </r>
  <r>
    <x v="51"/>
    <s v="conventional_default_dq_cai_-33"/>
    <x v="7"/>
    <n v="5.4794"/>
    <n v="1"/>
    <n v="-40"/>
    <n v="940"/>
  </r>
  <r>
    <x v="51"/>
    <s v="conventional_default_dq_cai_-32"/>
    <x v="8"/>
    <n v="5.4576000000000002"/>
    <n v="1"/>
    <n v="-40"/>
    <n v="940"/>
  </r>
  <r>
    <x v="51"/>
    <s v="conventional_default_dq_cai_-31"/>
    <x v="9"/>
    <n v="5.4358000000000004"/>
    <n v="1"/>
    <n v="-40"/>
    <n v="940"/>
  </r>
  <r>
    <x v="51"/>
    <s v="conventional_default_dq_cai_-30"/>
    <x v="10"/>
    <n v="5.4139999999999997"/>
    <n v="1"/>
    <n v="-40"/>
    <n v="940"/>
  </r>
  <r>
    <x v="51"/>
    <s v="conventional_default_dq_cai_-29"/>
    <x v="11"/>
    <n v="5.3921999999999999"/>
    <n v="1"/>
    <n v="-40"/>
    <n v="940"/>
  </r>
  <r>
    <x v="51"/>
    <s v="conventional_default_dq_cai_-28"/>
    <x v="12"/>
    <n v="5.3704000000000001"/>
    <n v="1"/>
    <n v="-40"/>
    <n v="940"/>
  </r>
  <r>
    <x v="51"/>
    <s v="conventional_default_dq_cai_-27"/>
    <x v="13"/>
    <n v="5.3486000000000002"/>
    <n v="1"/>
    <n v="-40"/>
    <n v="940"/>
  </r>
  <r>
    <x v="51"/>
    <s v="conventional_default_dq_cai_-26"/>
    <x v="14"/>
    <n v="5.3268000000000004"/>
    <n v="1"/>
    <n v="-40"/>
    <n v="940"/>
  </r>
  <r>
    <x v="51"/>
    <s v="conventional_default_dq_cai_-25"/>
    <x v="15"/>
    <n v="5.3049999999999997"/>
    <n v="1"/>
    <n v="-40"/>
    <n v="940"/>
  </r>
  <r>
    <x v="51"/>
    <s v="conventional_default_dq_cai_-24"/>
    <x v="16"/>
    <n v="5.2831999999999999"/>
    <n v="1"/>
    <n v="-40"/>
    <n v="940"/>
  </r>
  <r>
    <x v="51"/>
    <s v="conventional_default_dq_cai_-23"/>
    <x v="17"/>
    <n v="5.2614000000000001"/>
    <n v="1"/>
    <n v="-40"/>
    <n v="940"/>
  </r>
  <r>
    <x v="51"/>
    <s v="conventional_default_dq_cai_-22"/>
    <x v="18"/>
    <n v="5.2396000000000003"/>
    <n v="1"/>
    <n v="-40"/>
    <n v="940"/>
  </r>
  <r>
    <x v="51"/>
    <s v="conventional_default_dq_cai_-21"/>
    <x v="19"/>
    <n v="5.2178000000000004"/>
    <n v="1"/>
    <n v="-40"/>
    <n v="940"/>
  </r>
  <r>
    <x v="51"/>
    <s v="conventional_default_dq_cai_-20"/>
    <x v="20"/>
    <n v="5.1959999999999997"/>
    <n v="1"/>
    <n v="-40"/>
    <n v="940"/>
  </r>
  <r>
    <x v="51"/>
    <s v="conventional_default_dq_cai_-19"/>
    <x v="21"/>
    <n v="5.1741999999999999"/>
    <n v="1"/>
    <n v="-40"/>
    <n v="940"/>
  </r>
  <r>
    <x v="51"/>
    <s v="conventional_default_dq_cai_-18"/>
    <x v="22"/>
    <n v="5.1524000000000001"/>
    <n v="1"/>
    <n v="-40"/>
    <n v="940"/>
  </r>
  <r>
    <x v="51"/>
    <s v="conventional_default_dq_cai_-17"/>
    <x v="23"/>
    <n v="5.1306000000000003"/>
    <n v="1"/>
    <n v="-40"/>
    <n v="940"/>
  </r>
  <r>
    <x v="51"/>
    <s v="conventional_default_dq_cai_-16"/>
    <x v="24"/>
    <n v="5.1087999999999996"/>
    <n v="1"/>
    <n v="-40"/>
    <n v="940"/>
  </r>
  <r>
    <x v="51"/>
    <s v="conventional_default_dq_cai_-15"/>
    <x v="25"/>
    <n v="5.0869999999999997"/>
    <n v="1"/>
    <n v="-40"/>
    <n v="940"/>
  </r>
  <r>
    <x v="51"/>
    <s v="conventional_default_dq_cai_-14"/>
    <x v="26"/>
    <n v="5.0651999999999999"/>
    <n v="1"/>
    <n v="-40"/>
    <n v="940"/>
  </r>
  <r>
    <x v="51"/>
    <s v="conventional_default_dq_cai_-13"/>
    <x v="27"/>
    <n v="5.0434000000000001"/>
    <n v="1"/>
    <n v="-40"/>
    <n v="940"/>
  </r>
  <r>
    <x v="51"/>
    <s v="conventional_default_dq_cai_-12"/>
    <x v="28"/>
    <n v="5.0216000000000003"/>
    <n v="1"/>
    <n v="-40"/>
    <n v="940"/>
  </r>
  <r>
    <x v="51"/>
    <s v="conventional_default_dq_cai_-11"/>
    <x v="29"/>
    <n v="4.9997999999999996"/>
    <n v="1"/>
    <n v="-40"/>
    <n v="940"/>
  </r>
  <r>
    <x v="51"/>
    <s v="conventional_default_dq_cai_-10"/>
    <x v="30"/>
    <n v="4.9779999999999998"/>
    <n v="1"/>
    <n v="-40"/>
    <n v="940"/>
  </r>
  <r>
    <x v="51"/>
    <s v="conventional_default_dq_cai_-9"/>
    <x v="31"/>
    <n v="4.9561999999999999"/>
    <n v="1"/>
    <n v="-40"/>
    <n v="940"/>
  </r>
  <r>
    <x v="51"/>
    <s v="conventional_default_dq_cai_-8"/>
    <x v="32"/>
    <n v="4.9344000000000001"/>
    <n v="1"/>
    <n v="-40"/>
    <n v="940"/>
  </r>
  <r>
    <x v="51"/>
    <s v="conventional_default_dq_cai_-7"/>
    <x v="33"/>
    <n v="4.9126000000000003"/>
    <n v="1"/>
    <n v="-40"/>
    <n v="940"/>
  </r>
  <r>
    <x v="51"/>
    <s v="conventional_default_dq_cai_-6"/>
    <x v="34"/>
    <n v="4.8907999999999996"/>
    <n v="1"/>
    <n v="-40"/>
    <n v="940"/>
  </r>
  <r>
    <x v="51"/>
    <s v="conventional_default_dq_cai_-5"/>
    <x v="35"/>
    <n v="4.8689999999999998"/>
    <n v="1"/>
    <n v="-40"/>
    <n v="940"/>
  </r>
  <r>
    <x v="51"/>
    <s v="conventional_default_dq_cai_-4"/>
    <x v="36"/>
    <n v="4.8472"/>
    <n v="1"/>
    <n v="-40"/>
    <n v="940"/>
  </r>
  <r>
    <x v="51"/>
    <s v="conventional_default_dq_cai_-3"/>
    <x v="37"/>
    <n v="4.8254000000000001"/>
    <n v="1"/>
    <n v="-40"/>
    <n v="940"/>
  </r>
  <r>
    <x v="51"/>
    <s v="conventional_default_dq_cai_-2"/>
    <x v="38"/>
    <n v="4.8036000000000003"/>
    <n v="1"/>
    <n v="-40"/>
    <n v="940"/>
  </r>
  <r>
    <x v="51"/>
    <s v="conventional_default_dq_cai_-1"/>
    <x v="39"/>
    <n v="4.7817999999999996"/>
    <n v="1"/>
    <n v="-40"/>
    <n v="940"/>
  </r>
  <r>
    <x v="51"/>
    <s v="conventional_default_dq_cai_0"/>
    <x v="40"/>
    <n v="4.76"/>
    <n v="1"/>
    <n v="-40"/>
    <n v="940"/>
  </r>
  <r>
    <x v="51"/>
    <s v="conventional_default_dq_cai_1"/>
    <x v="41"/>
    <n v="4.7382"/>
    <n v="1"/>
    <n v="-40"/>
    <n v="940"/>
  </r>
  <r>
    <x v="51"/>
    <s v="conventional_default_dq_cai_2"/>
    <x v="42"/>
    <n v="4.7164000000000001"/>
    <n v="1"/>
    <n v="-40"/>
    <n v="940"/>
  </r>
  <r>
    <x v="51"/>
    <s v="conventional_default_dq_cai_3"/>
    <x v="43"/>
    <n v="4.6946000000000003"/>
    <n v="1"/>
    <n v="-40"/>
    <n v="940"/>
  </r>
  <r>
    <x v="51"/>
    <s v="conventional_default_dq_cai_4"/>
    <x v="44"/>
    <n v="4.6727999999999996"/>
    <n v="1"/>
    <n v="-40"/>
    <n v="940"/>
  </r>
  <r>
    <x v="51"/>
    <s v="conventional_default_dq_cai_5"/>
    <x v="45"/>
    <n v="4.6509999999999998"/>
    <n v="1"/>
    <n v="-40"/>
    <n v="940"/>
  </r>
  <r>
    <x v="51"/>
    <s v="conventional_default_dq_cai_6"/>
    <x v="46"/>
    <n v="4.6292"/>
    <n v="1"/>
    <n v="-40"/>
    <n v="940"/>
  </r>
  <r>
    <x v="51"/>
    <s v="conventional_default_dq_cai_7"/>
    <x v="47"/>
    <n v="4.6074000000000002"/>
    <n v="1"/>
    <n v="-40"/>
    <n v="940"/>
  </r>
  <r>
    <x v="51"/>
    <s v="conventional_default_dq_cai_8"/>
    <x v="48"/>
    <n v="4.5856000000000003"/>
    <n v="1"/>
    <n v="-40"/>
    <n v="940"/>
  </r>
  <r>
    <x v="51"/>
    <s v="conventional_default_dq_cai_9"/>
    <x v="49"/>
    <n v="4.5637999999999996"/>
    <n v="1"/>
    <n v="-40"/>
    <n v="940"/>
  </r>
  <r>
    <x v="51"/>
    <s v="conventional_default_dq_cai_10"/>
    <x v="50"/>
    <n v="4.5419999999999998"/>
    <n v="1"/>
    <n v="-40"/>
    <n v="940"/>
  </r>
  <r>
    <x v="51"/>
    <s v="conventional_default_dq_cai_11"/>
    <x v="51"/>
    <n v="4.5202"/>
    <n v="1"/>
    <n v="-40"/>
    <n v="940"/>
  </r>
  <r>
    <x v="51"/>
    <s v="conventional_default_dq_cai_12"/>
    <x v="52"/>
    <n v="4.4984000000000002"/>
    <n v="1"/>
    <n v="-40"/>
    <n v="940"/>
  </r>
  <r>
    <x v="51"/>
    <s v="conventional_default_dq_cai_13"/>
    <x v="53"/>
    <n v="4.4766000000000004"/>
    <n v="1"/>
    <n v="-40"/>
    <n v="940"/>
  </r>
  <r>
    <x v="51"/>
    <s v="conventional_default_dq_cai_14"/>
    <x v="54"/>
    <n v="4.4547999999999996"/>
    <n v="1"/>
    <n v="-40"/>
    <n v="940"/>
  </r>
  <r>
    <x v="51"/>
    <s v="conventional_default_dq_cai_15"/>
    <x v="55"/>
    <n v="4.4329999999999998"/>
    <n v="1"/>
    <n v="-40"/>
    <n v="940"/>
  </r>
  <r>
    <x v="51"/>
    <s v="conventional_default_dq_cai_16"/>
    <x v="56"/>
    <n v="4.4112"/>
    <n v="1"/>
    <n v="-40"/>
    <n v="940"/>
  </r>
  <r>
    <x v="51"/>
    <s v="conventional_default_dq_cai_17"/>
    <x v="57"/>
    <n v="4.3894000000000002"/>
    <n v="1"/>
    <n v="-40"/>
    <n v="940"/>
  </r>
  <r>
    <x v="51"/>
    <s v="conventional_default_dq_cai_18"/>
    <x v="58"/>
    <n v="4.3676000000000004"/>
    <n v="1"/>
    <n v="-40"/>
    <n v="940"/>
  </r>
  <r>
    <x v="51"/>
    <s v="conventional_default_dq_cai_19"/>
    <x v="59"/>
    <n v="4.3457999999999997"/>
    <n v="1"/>
    <n v="-40"/>
    <n v="940"/>
  </r>
  <r>
    <x v="51"/>
    <s v="conventional_default_dq_cai_20"/>
    <x v="60"/>
    <n v="4.3239999999999998"/>
    <n v="1"/>
    <n v="-40"/>
    <n v="940"/>
  </r>
  <r>
    <x v="51"/>
    <s v="conventional_default_dq_cai_21"/>
    <x v="61"/>
    <n v="4.3022"/>
    <n v="1"/>
    <n v="-40"/>
    <n v="940"/>
  </r>
  <r>
    <x v="51"/>
    <s v="conventional_default_dq_cai_22"/>
    <x v="62"/>
    <n v="4.2804000000000002"/>
    <n v="1"/>
    <n v="-40"/>
    <n v="940"/>
  </r>
  <r>
    <x v="51"/>
    <s v="conventional_default_dq_cai_23"/>
    <x v="63"/>
    <n v="4.2586000000000004"/>
    <n v="1"/>
    <n v="-40"/>
    <n v="940"/>
  </r>
  <r>
    <x v="51"/>
    <s v="conventional_default_dq_cai_24"/>
    <x v="64"/>
    <n v="4.2367999999999997"/>
    <n v="1"/>
    <n v="-40"/>
    <n v="940"/>
  </r>
  <r>
    <x v="51"/>
    <s v="conventional_default_dq_cai_25"/>
    <x v="65"/>
    <n v="4.2149999999999999"/>
    <n v="1"/>
    <n v="-40"/>
    <n v="940"/>
  </r>
  <r>
    <x v="51"/>
    <s v="conventional_default_dq_cai_26"/>
    <x v="66"/>
    <n v="4.1932"/>
    <n v="1"/>
    <n v="-40"/>
    <n v="940"/>
  </r>
  <r>
    <x v="51"/>
    <s v="conventional_default_dq_cai_27"/>
    <x v="67"/>
    <n v="4.1714000000000002"/>
    <n v="1"/>
    <n v="-40"/>
    <n v="940"/>
  </r>
  <r>
    <x v="51"/>
    <s v="conventional_default_dq_cai_28"/>
    <x v="68"/>
    <n v="4.1496000000000004"/>
    <n v="1"/>
    <n v="-40"/>
    <n v="940"/>
  </r>
  <r>
    <x v="51"/>
    <s v="conventional_default_dq_cai_29"/>
    <x v="69"/>
    <n v="4.1277999999999997"/>
    <n v="1"/>
    <n v="-40"/>
    <n v="940"/>
  </r>
  <r>
    <x v="51"/>
    <s v="conventional_default_dq_cai_30"/>
    <x v="70"/>
    <n v="4.1059999999999999"/>
    <n v="1"/>
    <n v="-40"/>
    <n v="940"/>
  </r>
  <r>
    <x v="51"/>
    <s v="conventional_default_dq_cai_31"/>
    <x v="71"/>
    <n v="4.0842000000000001"/>
    <n v="1"/>
    <n v="-40"/>
    <n v="940"/>
  </r>
  <r>
    <x v="51"/>
    <s v="conventional_default_dq_cai_32"/>
    <x v="72"/>
    <n v="4.0624000000000002"/>
    <n v="1"/>
    <n v="-40"/>
    <n v="940"/>
  </r>
  <r>
    <x v="51"/>
    <s v="conventional_default_dq_cai_33"/>
    <x v="73"/>
    <n v="4.0406000000000004"/>
    <n v="1"/>
    <n v="-40"/>
    <n v="940"/>
  </r>
  <r>
    <x v="51"/>
    <s v="conventional_default_dq_cai_34"/>
    <x v="74"/>
    <n v="4.0187999999999997"/>
    <n v="1"/>
    <n v="-40"/>
    <n v="940"/>
  </r>
  <r>
    <x v="51"/>
    <s v="conventional_default_dq_cai_35"/>
    <x v="75"/>
    <n v="3.9969999999999999"/>
    <n v="1"/>
    <n v="-40"/>
    <n v="940"/>
  </r>
  <r>
    <x v="51"/>
    <s v="conventional_default_dq_cai_36"/>
    <x v="76"/>
    <n v="3.9752000000000001"/>
    <n v="1"/>
    <n v="-40"/>
    <n v="940"/>
  </r>
  <r>
    <x v="51"/>
    <s v="conventional_default_dq_cai_37"/>
    <x v="77"/>
    <n v="3.9533999999999998"/>
    <n v="1"/>
    <n v="-40"/>
    <n v="940"/>
  </r>
  <r>
    <x v="51"/>
    <s v="conventional_default_dq_cai_38"/>
    <x v="78"/>
    <n v="3.9316"/>
    <n v="1"/>
    <n v="-40"/>
    <n v="940"/>
  </r>
  <r>
    <x v="51"/>
    <s v="conventional_default_dq_cai_39"/>
    <x v="79"/>
    <n v="3.9098000000000002"/>
    <n v="1"/>
    <n v="-40"/>
    <n v="940"/>
  </r>
  <r>
    <x v="51"/>
    <s v="conventional_default_dq_cai_40"/>
    <x v="80"/>
    <n v="3.8879999999999999"/>
    <n v="1"/>
    <n v="-40"/>
    <n v="940"/>
  </r>
  <r>
    <x v="51"/>
    <s v="conventional_default_dq_cai_41"/>
    <x v="81"/>
    <n v="3.8662000000000001"/>
    <n v="1"/>
    <n v="-40"/>
    <n v="940"/>
  </r>
  <r>
    <x v="51"/>
    <s v="conventional_default_dq_cai_42"/>
    <x v="82"/>
    <n v="3.8443999999999998"/>
    <n v="1"/>
    <n v="-40"/>
    <n v="940"/>
  </r>
  <r>
    <x v="51"/>
    <s v="conventional_default_dq_cai_43"/>
    <x v="83"/>
    <n v="3.8226"/>
    <n v="1"/>
    <n v="-40"/>
    <n v="940"/>
  </r>
  <r>
    <x v="51"/>
    <s v="conventional_default_dq_cai_44"/>
    <x v="84"/>
    <n v="3.8008000000000002"/>
    <n v="1"/>
    <n v="-40"/>
    <n v="940"/>
  </r>
  <r>
    <x v="51"/>
    <s v="conventional_default_dq_cai_45"/>
    <x v="85"/>
    <n v="3.7789999999999999"/>
    <n v="1"/>
    <n v="-40"/>
    <n v="940"/>
  </r>
  <r>
    <x v="51"/>
    <s v="conventional_default_dq_cai_46"/>
    <x v="86"/>
    <n v="3.7572000000000001"/>
    <n v="1"/>
    <n v="-40"/>
    <n v="940"/>
  </r>
  <r>
    <x v="51"/>
    <s v="conventional_default_dq_cai_47"/>
    <x v="87"/>
    <n v="3.7353999999999998"/>
    <n v="1"/>
    <n v="-40"/>
    <n v="940"/>
  </r>
  <r>
    <x v="51"/>
    <s v="conventional_default_dq_cai_48"/>
    <x v="88"/>
    <n v="3.7136"/>
    <n v="1"/>
    <n v="-40"/>
    <n v="940"/>
  </r>
  <r>
    <x v="51"/>
    <s v="conventional_default_dq_cai_49"/>
    <x v="89"/>
    <n v="3.6918000000000002"/>
    <n v="1"/>
    <n v="-40"/>
    <n v="940"/>
  </r>
  <r>
    <x v="51"/>
    <s v="conventional_default_dq_cai_50"/>
    <x v="90"/>
    <n v="3.67"/>
    <n v="1"/>
    <n v="-40"/>
    <n v="940"/>
  </r>
  <r>
    <x v="51"/>
    <s v="conventional_default_dq_cai_51"/>
    <x v="91"/>
    <n v="3.6482000000000001"/>
    <n v="1"/>
    <n v="-40"/>
    <n v="940"/>
  </r>
  <r>
    <x v="51"/>
    <s v="conventional_default_dq_cai_52"/>
    <x v="92"/>
    <n v="3.6263999999999998"/>
    <n v="1"/>
    <n v="-40"/>
    <n v="940"/>
  </r>
  <r>
    <x v="51"/>
    <s v="conventional_default_dq_cai_53"/>
    <x v="93"/>
    <n v="3.6046"/>
    <n v="1"/>
    <n v="-40"/>
    <n v="940"/>
  </r>
  <r>
    <x v="51"/>
    <s v="conventional_default_dq_cai_54"/>
    <x v="94"/>
    <n v="3.5828000000000002"/>
    <n v="1"/>
    <n v="-40"/>
    <n v="940"/>
  </r>
  <r>
    <x v="51"/>
    <s v="conventional_default_dq_cai_55"/>
    <x v="95"/>
    <n v="3.5609999999999999"/>
    <n v="1"/>
    <n v="-40"/>
    <n v="940"/>
  </r>
  <r>
    <x v="51"/>
    <s v="conventional_default_dq_cai_56"/>
    <x v="96"/>
    <n v="3.5392000000000001"/>
    <n v="1"/>
    <n v="-40"/>
    <n v="940"/>
  </r>
  <r>
    <x v="51"/>
    <s v="conventional_default_dq_cai_57"/>
    <x v="97"/>
    <n v="3.5173999999999999"/>
    <n v="1"/>
    <n v="-40"/>
    <n v="940"/>
  </r>
  <r>
    <x v="51"/>
    <s v="conventional_default_dq_cai_58"/>
    <x v="98"/>
    <n v="3.4956"/>
    <n v="1"/>
    <n v="-40"/>
    <n v="940"/>
  </r>
  <r>
    <x v="51"/>
    <s v="conventional_default_dq_cai_59"/>
    <x v="99"/>
    <n v="3.4738000000000002"/>
    <n v="1"/>
    <n v="-40"/>
    <n v="940"/>
  </r>
  <r>
    <x v="51"/>
    <s v="conventional_default_dq_cai_60"/>
    <x v="100"/>
    <n v="3.452"/>
    <n v="1"/>
    <n v="-40"/>
    <n v="940"/>
  </r>
  <r>
    <x v="51"/>
    <s v="conventional_default_dq_cai_61"/>
    <x v="101"/>
    <n v="3.4302000000000001"/>
    <n v="1"/>
    <n v="-40"/>
    <n v="940"/>
  </r>
  <r>
    <x v="51"/>
    <s v="conventional_default_dq_cai_62"/>
    <x v="102"/>
    <n v="3.4083999999999999"/>
    <n v="1"/>
    <n v="-40"/>
    <n v="940"/>
  </r>
  <r>
    <x v="51"/>
    <s v="conventional_default_dq_cai_63"/>
    <x v="103"/>
    <n v="3.3866000000000001"/>
    <n v="1"/>
    <n v="-40"/>
    <n v="940"/>
  </r>
  <r>
    <x v="51"/>
    <s v="conventional_default_dq_cai_64"/>
    <x v="104"/>
    <n v="3.3647999999999998"/>
    <n v="1"/>
    <n v="-40"/>
    <n v="940"/>
  </r>
  <r>
    <x v="51"/>
    <s v="conventional_default_dq_cai_65"/>
    <x v="105"/>
    <n v="3.343"/>
    <n v="1"/>
    <n v="-40"/>
    <n v="940"/>
  </r>
  <r>
    <x v="51"/>
    <s v="conventional_default_dq_cai_66"/>
    <x v="106"/>
    <n v="3.3212000000000002"/>
    <n v="1"/>
    <n v="-40"/>
    <n v="940"/>
  </r>
  <r>
    <x v="51"/>
    <s v="conventional_default_dq_cai_67"/>
    <x v="107"/>
    <n v="3.2993999999999999"/>
    <n v="1"/>
    <n v="-40"/>
    <n v="940"/>
  </r>
  <r>
    <x v="51"/>
    <s v="conventional_default_dq_cai_68"/>
    <x v="108"/>
    <n v="3.2776000000000001"/>
    <n v="1"/>
    <n v="-40"/>
    <n v="940"/>
  </r>
  <r>
    <x v="51"/>
    <s v="conventional_default_dq_cai_69"/>
    <x v="109"/>
    <n v="3.2557999999999998"/>
    <n v="1"/>
    <n v="-40"/>
    <n v="940"/>
  </r>
  <r>
    <x v="51"/>
    <s v="conventional_default_dq_cai_70"/>
    <x v="110"/>
    <n v="3.234"/>
    <n v="1"/>
    <n v="-40"/>
    <n v="940"/>
  </r>
  <r>
    <x v="51"/>
    <s v="conventional_default_dq_cai_71"/>
    <x v="111"/>
    <n v="3.2122000000000002"/>
    <n v="1"/>
    <n v="-40"/>
    <n v="940"/>
  </r>
  <r>
    <x v="51"/>
    <s v="conventional_default_dq_cai_72"/>
    <x v="112"/>
    <n v="3.1903999999999999"/>
    <n v="1"/>
    <n v="-40"/>
    <n v="940"/>
  </r>
  <r>
    <x v="51"/>
    <s v="conventional_default_dq_cai_73"/>
    <x v="113"/>
    <n v="3.1686000000000001"/>
    <n v="1"/>
    <n v="-40"/>
    <n v="940"/>
  </r>
  <r>
    <x v="51"/>
    <s v="conventional_default_dq_cai_74"/>
    <x v="114"/>
    <n v="3.1467999999999998"/>
    <n v="1"/>
    <n v="-40"/>
    <n v="940"/>
  </r>
  <r>
    <x v="51"/>
    <s v="conventional_default_dq_cai_75"/>
    <x v="115"/>
    <n v="3.125"/>
    <n v="1"/>
    <n v="-40"/>
    <n v="940"/>
  </r>
  <r>
    <x v="51"/>
    <s v="conventional_default_dq_cai_76"/>
    <x v="116"/>
    <n v="3.1032000000000002"/>
    <n v="1"/>
    <n v="-40"/>
    <n v="940"/>
  </r>
  <r>
    <x v="51"/>
    <s v="conventional_default_dq_cai_77"/>
    <x v="117"/>
    <n v="3.0813999999999999"/>
    <n v="1"/>
    <n v="-40"/>
    <n v="940"/>
  </r>
  <r>
    <x v="51"/>
    <s v="conventional_default_dq_cai_78"/>
    <x v="118"/>
    <n v="3.0596000000000001"/>
    <n v="1"/>
    <n v="-40"/>
    <n v="940"/>
  </r>
  <r>
    <x v="51"/>
    <s v="conventional_default_dq_cai_79"/>
    <x v="119"/>
    <n v="3.0377999999999998"/>
    <n v="1"/>
    <n v="-40"/>
    <n v="940"/>
  </r>
  <r>
    <x v="51"/>
    <s v="conventional_default_dq_cai_80"/>
    <x v="120"/>
    <n v="3.016"/>
    <n v="1"/>
    <n v="-40"/>
    <n v="940"/>
  </r>
  <r>
    <x v="51"/>
    <s v="conventional_default_dq_cai_81"/>
    <x v="121"/>
    <n v="2.9942000000000002"/>
    <n v="1"/>
    <n v="-40"/>
    <n v="940"/>
  </r>
  <r>
    <x v="51"/>
    <s v="conventional_default_dq_cai_82"/>
    <x v="122"/>
    <n v="2.9723999999999999"/>
    <n v="1"/>
    <n v="-40"/>
    <n v="940"/>
  </r>
  <r>
    <x v="51"/>
    <s v="conventional_default_dq_cai_83"/>
    <x v="123"/>
    <n v="2.9506000000000001"/>
    <n v="1"/>
    <n v="-40"/>
    <n v="940"/>
  </r>
  <r>
    <x v="51"/>
    <s v="conventional_default_dq_cai_84"/>
    <x v="124"/>
    <n v="2.9287999999999998"/>
    <n v="1"/>
    <n v="-40"/>
    <n v="940"/>
  </r>
  <r>
    <x v="51"/>
    <s v="conventional_default_dq_cai_85"/>
    <x v="125"/>
    <n v="2.907"/>
    <n v="1"/>
    <n v="-40"/>
    <n v="940"/>
  </r>
  <r>
    <x v="51"/>
    <s v="conventional_default_dq_cai_86"/>
    <x v="126"/>
    <n v="2.8852000000000002"/>
    <n v="1"/>
    <n v="-40"/>
    <n v="940"/>
  </r>
  <r>
    <x v="51"/>
    <s v="conventional_default_dq_cai_87"/>
    <x v="127"/>
    <n v="2.8633999999999999"/>
    <n v="1"/>
    <n v="-40"/>
    <n v="940"/>
  </r>
  <r>
    <x v="51"/>
    <s v="conventional_default_dq_cai_88"/>
    <x v="128"/>
    <n v="2.8416000000000001"/>
    <n v="1"/>
    <n v="-40"/>
    <n v="940"/>
  </r>
  <r>
    <x v="51"/>
    <s v="conventional_default_dq_cai_89"/>
    <x v="129"/>
    <n v="2.8197999999999999"/>
    <n v="1"/>
    <n v="-40"/>
    <n v="940"/>
  </r>
  <r>
    <x v="51"/>
    <s v="conventional_default_dq_cai_90"/>
    <x v="130"/>
    <n v="2.798"/>
    <n v="1"/>
    <n v="-40"/>
    <n v="940"/>
  </r>
  <r>
    <x v="51"/>
    <s v="conventional_default_dq_cai_91"/>
    <x v="131"/>
    <n v="2.7761999999999998"/>
    <n v="1"/>
    <n v="-40"/>
    <n v="940"/>
  </r>
  <r>
    <x v="51"/>
    <s v="conventional_default_dq_cai_92"/>
    <x v="132"/>
    <n v="2.7544"/>
    <n v="1"/>
    <n v="-40"/>
    <n v="940"/>
  </r>
  <r>
    <x v="51"/>
    <s v="conventional_default_dq_cai_93"/>
    <x v="133"/>
    <n v="2.7326000000000001"/>
    <n v="1"/>
    <n v="-40"/>
    <n v="940"/>
  </r>
  <r>
    <x v="51"/>
    <s v="conventional_default_dq_cai_94"/>
    <x v="134"/>
    <n v="2.7107999999999999"/>
    <n v="1"/>
    <n v="-40"/>
    <n v="940"/>
  </r>
  <r>
    <x v="51"/>
    <s v="conventional_default_dq_cai_95"/>
    <x v="135"/>
    <n v="2.6890000000000001"/>
    <n v="1"/>
    <n v="-40"/>
    <n v="940"/>
  </r>
  <r>
    <x v="51"/>
    <s v="conventional_default_dq_cai_96"/>
    <x v="136"/>
    <n v="2.6671999999999998"/>
    <n v="1"/>
    <n v="-40"/>
    <n v="940"/>
  </r>
  <r>
    <x v="51"/>
    <s v="conventional_default_dq_cai_97"/>
    <x v="137"/>
    <n v="2.6454"/>
    <n v="1"/>
    <n v="-40"/>
    <n v="940"/>
  </r>
  <r>
    <x v="51"/>
    <s v="conventional_default_dq_cai_98"/>
    <x v="138"/>
    <n v="2.6236000000000002"/>
    <n v="1"/>
    <n v="-40"/>
    <n v="940"/>
  </r>
  <r>
    <x v="51"/>
    <s v="conventional_default_dq_cai_99"/>
    <x v="139"/>
    <n v="2.6017999999999999"/>
    <n v="1"/>
    <n v="-40"/>
    <n v="940"/>
  </r>
  <r>
    <x v="51"/>
    <s v="conventional_default_dq_cai_100"/>
    <x v="140"/>
    <n v="2.58"/>
    <n v="1"/>
    <n v="-40"/>
    <n v="940"/>
  </r>
  <r>
    <x v="51"/>
    <s v="conventional_default_dq_cai_101"/>
    <x v="141"/>
    <n v="2.55777272"/>
    <n v="1"/>
    <n v="-40"/>
    <n v="940"/>
  </r>
  <r>
    <x v="51"/>
    <s v="conventional_default_dq_cai_102"/>
    <x v="142"/>
    <n v="2.5347257600000002"/>
    <n v="1"/>
    <n v="-40"/>
    <n v="940"/>
  </r>
  <r>
    <x v="51"/>
    <s v="conventional_default_dq_cai_103"/>
    <x v="143"/>
    <n v="2.5109114400000001"/>
    <n v="1"/>
    <n v="-40"/>
    <n v="940"/>
  </r>
  <r>
    <x v="51"/>
    <s v="conventional_default_dq_cai_104"/>
    <x v="144"/>
    <n v="2.4863820799999998"/>
    <n v="1"/>
    <n v="-40"/>
    <n v="940"/>
  </r>
  <r>
    <x v="51"/>
    <s v="conventional_default_dq_cai_105"/>
    <x v="145"/>
    <n v="2.4611900000000002"/>
    <n v="1"/>
    <n v="-40"/>
    <n v="940"/>
  </r>
  <r>
    <x v="51"/>
    <s v="conventional_default_dq_cai_106"/>
    <x v="146"/>
    <n v="2.4353875199999999"/>
    <n v="1"/>
    <n v="-40"/>
    <n v="940"/>
  </r>
  <r>
    <x v="51"/>
    <s v="conventional_default_dq_cai_107"/>
    <x v="147"/>
    <n v="2.4090269599999998"/>
    <n v="1"/>
    <n v="-40"/>
    <n v="940"/>
  </r>
  <r>
    <x v="51"/>
    <s v="conventional_default_dq_cai_108"/>
    <x v="148"/>
    <n v="2.3821606399999999"/>
    <n v="1"/>
    <n v="-40"/>
    <n v="940"/>
  </r>
  <r>
    <x v="51"/>
    <s v="conventional_default_dq_cai_109"/>
    <x v="149"/>
    <n v="2.3548408799999998"/>
    <n v="1"/>
    <n v="-40"/>
    <n v="940"/>
  </r>
  <r>
    <x v="51"/>
    <s v="conventional_default_dq_cai_110"/>
    <x v="150"/>
    <n v="2.3271199999999999"/>
    <n v="1"/>
    <n v="-40"/>
    <n v="940"/>
  </r>
  <r>
    <x v="51"/>
    <s v="conventional_default_dq_cai_111"/>
    <x v="151"/>
    <n v="2.2990503200000001"/>
    <n v="1"/>
    <n v="-40"/>
    <n v="940"/>
  </r>
  <r>
    <x v="51"/>
    <s v="conventional_default_dq_cai_112"/>
    <x v="152"/>
    <n v="2.2706841600000001"/>
    <n v="1"/>
    <n v="-40"/>
    <n v="940"/>
  </r>
  <r>
    <x v="51"/>
    <s v="conventional_default_dq_cai_113"/>
    <x v="153"/>
    <n v="2.2420738400000002"/>
    <n v="1"/>
    <n v="-40"/>
    <n v="940"/>
  </r>
  <r>
    <x v="51"/>
    <s v="conventional_default_dq_cai_114"/>
    <x v="154"/>
    <n v="2.2132716800000001"/>
    <n v="1"/>
    <n v="-40"/>
    <n v="940"/>
  </r>
  <r>
    <x v="51"/>
    <s v="conventional_default_dq_cai_115"/>
    <x v="155"/>
    <n v="2.1843300000000001"/>
    <n v="1"/>
    <n v="-40"/>
    <n v="940"/>
  </r>
  <r>
    <x v="51"/>
    <s v="conventional_default_dq_cai_116"/>
    <x v="156"/>
    <n v="2.1553011199999998"/>
    <n v="1"/>
    <n v="-40"/>
    <n v="940"/>
  </r>
  <r>
    <x v="51"/>
    <s v="conventional_default_dq_cai_117"/>
    <x v="157"/>
    <n v="2.1262373600000002"/>
    <n v="1"/>
    <n v="-40"/>
    <n v="940"/>
  </r>
  <r>
    <x v="51"/>
    <s v="conventional_default_dq_cai_118"/>
    <x v="158"/>
    <n v="2.0971910399999998"/>
    <n v="1"/>
    <n v="-40"/>
    <n v="940"/>
  </r>
  <r>
    <x v="51"/>
    <s v="conventional_default_dq_cai_119"/>
    <x v="159"/>
    <n v="2.06821448"/>
    <n v="1"/>
    <n v="-40"/>
    <n v="940"/>
  </r>
  <r>
    <x v="51"/>
    <s v="conventional_default_dq_cai_120"/>
    <x v="160"/>
    <n v="2.0393599999999998"/>
    <n v="1"/>
    <n v="-40"/>
    <n v="940"/>
  </r>
  <r>
    <x v="51"/>
    <s v="conventional_default_dq_cai_121"/>
    <x v="161"/>
    <n v="2.0106799199999998"/>
    <n v="1"/>
    <n v="-40"/>
    <n v="940"/>
  </r>
  <r>
    <x v="51"/>
    <s v="conventional_default_dq_cai_122"/>
    <x v="162"/>
    <n v="1.98222656"/>
    <n v="1"/>
    <n v="-40"/>
    <n v="940"/>
  </r>
  <r>
    <x v="51"/>
    <s v="conventional_default_dq_cai_123"/>
    <x v="163"/>
    <n v="1.95405224"/>
    <n v="1"/>
    <n v="-40"/>
    <n v="940"/>
  </r>
  <r>
    <x v="51"/>
    <s v="conventional_default_dq_cai_124"/>
    <x v="164"/>
    <n v="1.9262092799999999"/>
    <n v="1"/>
    <n v="-40"/>
    <n v="940"/>
  </r>
  <r>
    <x v="51"/>
    <s v="conventional_default_dq_cai_125"/>
    <x v="165"/>
    <n v="1.8987499999999999"/>
    <n v="1"/>
    <n v="-40"/>
    <n v="940"/>
  </r>
  <r>
    <x v="51"/>
    <s v="conventional_default_dq_cai_126"/>
    <x v="166"/>
    <n v="1.8717267200000001"/>
    <n v="1"/>
    <n v="-40"/>
    <n v="940"/>
  </r>
  <r>
    <x v="51"/>
    <s v="conventional_default_dq_cai_127"/>
    <x v="167"/>
    <n v="1.8451917600000001"/>
    <n v="1"/>
    <n v="-40"/>
    <n v="940"/>
  </r>
  <r>
    <x v="51"/>
    <s v="conventional_default_dq_cai_128"/>
    <x v="168"/>
    <n v="1.8191974399999999"/>
    <n v="1"/>
    <n v="-40"/>
    <n v="940"/>
  </r>
  <r>
    <x v="51"/>
    <s v="conventional_default_dq_cai_129"/>
    <x v="169"/>
    <n v="1.7937960799999999"/>
    <n v="1"/>
    <n v="-40"/>
    <n v="940"/>
  </r>
  <r>
    <x v="51"/>
    <s v="conventional_default_dq_cai_130"/>
    <x v="170"/>
    <n v="1.7690399999999999"/>
    <n v="1"/>
    <n v="-40"/>
    <n v="940"/>
  </r>
  <r>
    <x v="51"/>
    <s v="conventional_default_dq_cai_131"/>
    <x v="171"/>
    <n v="1.7449815200000001"/>
    <n v="1"/>
    <n v="-40"/>
    <n v="940"/>
  </r>
  <r>
    <x v="51"/>
    <s v="conventional_default_dq_cai_132"/>
    <x v="172"/>
    <n v="1.72167296"/>
    <n v="1"/>
    <n v="-40"/>
    <n v="940"/>
  </r>
  <r>
    <x v="51"/>
    <s v="conventional_default_dq_cai_133"/>
    <x v="173"/>
    <n v="1.6991666400000001"/>
    <n v="1"/>
    <n v="-40"/>
    <n v="940"/>
  </r>
  <r>
    <x v="51"/>
    <s v="conventional_default_dq_cai_134"/>
    <x v="174"/>
    <n v="1.6775148799999999"/>
    <n v="1"/>
    <n v="-40"/>
    <n v="940"/>
  </r>
  <r>
    <x v="51"/>
    <s v="conventional_default_dq_cai_135"/>
    <x v="175"/>
    <n v="1.6567700000000001"/>
    <n v="1"/>
    <n v="-40"/>
    <n v="940"/>
  </r>
  <r>
    <x v="51"/>
    <s v="conventional_default_dq_cai_136"/>
    <x v="176"/>
    <n v="1.63698432"/>
    <n v="1"/>
    <n v="-40"/>
    <n v="940"/>
  </r>
  <r>
    <x v="51"/>
    <s v="conventional_default_dq_cai_137"/>
    <x v="177"/>
    <n v="1.6182101600000001"/>
    <n v="1"/>
    <n v="-40"/>
    <n v="940"/>
  </r>
  <r>
    <x v="51"/>
    <s v="conventional_default_dq_cai_138"/>
    <x v="178"/>
    <n v="1.6004998399999999"/>
    <n v="1"/>
    <n v="-40"/>
    <n v="940"/>
  </r>
  <r>
    <x v="51"/>
    <s v="conventional_default_dq_cai_139"/>
    <x v="179"/>
    <n v="1.58390568"/>
    <n v="1"/>
    <n v="-40"/>
    <n v="940"/>
  </r>
  <r>
    <x v="51"/>
    <s v="conventional_default_dq_cai_140"/>
    <x v="180"/>
    <n v="1.5684800000000001"/>
    <n v="1"/>
    <n v="-40"/>
    <n v="940"/>
  </r>
  <r>
    <x v="51"/>
    <s v="conventional_default_dq_cai_141"/>
    <x v="181"/>
    <n v="1.55427512"/>
    <n v="1"/>
    <n v="-40"/>
    <n v="940"/>
  </r>
  <r>
    <x v="51"/>
    <s v="conventional_default_dq_cai_142"/>
    <x v="182"/>
    <n v="1.5413433599999999"/>
    <n v="1"/>
    <n v="-40"/>
    <n v="940"/>
  </r>
  <r>
    <x v="51"/>
    <s v="conventional_default_dq_cai_143"/>
    <x v="183"/>
    <n v="1.5297370400000001"/>
    <n v="1"/>
    <n v="-40"/>
    <n v="940"/>
  </r>
  <r>
    <x v="51"/>
    <s v="conventional_default_dq_cai_144"/>
    <x v="184"/>
    <n v="1.5195084800000001"/>
    <n v="1"/>
    <n v="-40"/>
    <n v="940"/>
  </r>
  <r>
    <x v="51"/>
    <s v="conventional_default_dq_cai_145"/>
    <x v="185"/>
    <n v="1.51071"/>
    <n v="1"/>
    <n v="-40"/>
    <n v="940"/>
  </r>
  <r>
    <x v="51"/>
    <s v="conventional_default_dq_cai_146"/>
    <x v="186"/>
    <n v="1.5033939199999999"/>
    <n v="1"/>
    <n v="-40"/>
    <n v="940"/>
  </r>
  <r>
    <x v="51"/>
    <s v="conventional_default_dq_cai_147"/>
    <x v="187"/>
    <n v="1.4976125600000001"/>
    <n v="1"/>
    <n v="-40"/>
    <n v="940"/>
  </r>
  <r>
    <x v="51"/>
    <s v="conventional_default_dq_cai_148"/>
    <x v="188"/>
    <n v="1.49341824"/>
    <n v="1"/>
    <n v="-40"/>
    <n v="940"/>
  </r>
  <r>
    <x v="51"/>
    <s v="conventional_default_dq_cai_149"/>
    <x v="189"/>
    <n v="1.4908632799999999"/>
    <n v="1"/>
    <n v="-40"/>
    <n v="940"/>
  </r>
  <r>
    <x v="51"/>
    <s v="conventional_default_dq_cai_150"/>
    <x v="190"/>
    <n v="1.49"/>
    <n v="1"/>
    <n v="-40"/>
    <n v="940"/>
  </r>
  <r>
    <x v="51"/>
    <s v="conventional_default_dq_cai_151"/>
    <x v="191"/>
    <n v="1.49"/>
    <n v="1"/>
    <n v="-40"/>
    <n v="940"/>
  </r>
  <r>
    <x v="51"/>
    <s v="conventional_default_dq_cai_152"/>
    <x v="192"/>
    <n v="1.49"/>
    <n v="1"/>
    <n v="-40"/>
    <n v="940"/>
  </r>
  <r>
    <x v="51"/>
    <s v="conventional_default_dq_cai_153"/>
    <x v="193"/>
    <n v="1.49"/>
    <n v="1"/>
    <n v="-40"/>
    <n v="940"/>
  </r>
  <r>
    <x v="51"/>
    <s v="conventional_default_dq_cai_154"/>
    <x v="194"/>
    <n v="1.49"/>
    <n v="1"/>
    <n v="-40"/>
    <n v="940"/>
  </r>
  <r>
    <x v="51"/>
    <s v="conventional_default_dq_cai_155"/>
    <x v="195"/>
    <n v="1.49"/>
    <n v="1"/>
    <n v="-40"/>
    <n v="940"/>
  </r>
  <r>
    <x v="51"/>
    <s v="conventional_default_dq_cai_156"/>
    <x v="196"/>
    <n v="1.49"/>
    <n v="1"/>
    <n v="-40"/>
    <n v="940"/>
  </r>
  <r>
    <x v="51"/>
    <s v="conventional_default_dq_cai_157"/>
    <x v="197"/>
    <n v="1.49"/>
    <n v="1"/>
    <n v="-40"/>
    <n v="940"/>
  </r>
  <r>
    <x v="51"/>
    <s v="conventional_default_dq_cai_158"/>
    <x v="198"/>
    <n v="1.49"/>
    <n v="1"/>
    <n v="-40"/>
    <n v="940"/>
  </r>
  <r>
    <x v="51"/>
    <s v="conventional_default_dq_cai_159"/>
    <x v="199"/>
    <n v="1.49"/>
    <n v="1"/>
    <n v="-40"/>
    <n v="940"/>
  </r>
  <r>
    <x v="51"/>
    <s v="conventional_default_dq_cai_160"/>
    <x v="200"/>
    <n v="1.49"/>
    <n v="1"/>
    <n v="-40"/>
    <n v="940"/>
  </r>
  <r>
    <x v="51"/>
    <s v="conventional_default_dq_cai_161"/>
    <x v="201"/>
    <n v="1.49"/>
    <n v="1"/>
    <n v="-40"/>
    <n v="940"/>
  </r>
  <r>
    <x v="51"/>
    <s v="conventional_default_dq_cai_162"/>
    <x v="202"/>
    <n v="1.49"/>
    <n v="1"/>
    <n v="-40"/>
    <n v="940"/>
  </r>
  <r>
    <x v="51"/>
    <s v="conventional_default_dq_cai_163"/>
    <x v="203"/>
    <n v="1.49"/>
    <n v="1"/>
    <n v="-40"/>
    <n v="940"/>
  </r>
  <r>
    <x v="51"/>
    <s v="conventional_default_dq_cai_164"/>
    <x v="204"/>
    <n v="1.49"/>
    <n v="1"/>
    <n v="-40"/>
    <n v="940"/>
  </r>
  <r>
    <x v="51"/>
    <s v="conventional_default_dq_cai_165"/>
    <x v="205"/>
    <n v="1.49"/>
    <n v="1"/>
    <n v="-40"/>
    <n v="940"/>
  </r>
  <r>
    <x v="51"/>
    <s v="conventional_default_dq_cai_166"/>
    <x v="206"/>
    <n v="1.49"/>
    <n v="1"/>
    <n v="-40"/>
    <n v="940"/>
  </r>
  <r>
    <x v="51"/>
    <s v="conventional_default_dq_cai_167"/>
    <x v="207"/>
    <n v="1.49"/>
    <n v="1"/>
    <n v="-40"/>
    <n v="940"/>
  </r>
  <r>
    <x v="51"/>
    <s v="conventional_default_dq_cai_168"/>
    <x v="208"/>
    <n v="1.49"/>
    <n v="1"/>
    <n v="-40"/>
    <n v="940"/>
  </r>
  <r>
    <x v="51"/>
    <s v="conventional_default_dq_cai_169"/>
    <x v="209"/>
    <n v="1.49"/>
    <n v="1"/>
    <n v="-40"/>
    <n v="940"/>
  </r>
  <r>
    <x v="51"/>
    <s v="conventional_default_dq_cai_170"/>
    <x v="210"/>
    <n v="1.49"/>
    <n v="1"/>
    <n v="-40"/>
    <n v="940"/>
  </r>
  <r>
    <x v="51"/>
    <s v="conventional_default_dq_cai_171"/>
    <x v="211"/>
    <n v="1.49"/>
    <n v="1"/>
    <n v="-40"/>
    <n v="940"/>
  </r>
  <r>
    <x v="51"/>
    <s v="conventional_default_dq_cai_172"/>
    <x v="212"/>
    <n v="1.49"/>
    <n v="1"/>
    <n v="-40"/>
    <n v="940"/>
  </r>
  <r>
    <x v="51"/>
    <s v="conventional_default_dq_cai_173"/>
    <x v="213"/>
    <n v="1.49"/>
    <n v="1"/>
    <n v="-40"/>
    <n v="940"/>
  </r>
  <r>
    <x v="51"/>
    <s v="conventional_default_dq_cai_174"/>
    <x v="214"/>
    <n v="1.49"/>
    <n v="1"/>
    <n v="-40"/>
    <n v="940"/>
  </r>
  <r>
    <x v="51"/>
    <s v="conventional_default_dq_cai_175"/>
    <x v="215"/>
    <n v="1.49"/>
    <n v="1"/>
    <n v="-40"/>
    <n v="940"/>
  </r>
  <r>
    <x v="51"/>
    <s v="conventional_default_dq_cai_176"/>
    <x v="216"/>
    <n v="1.49"/>
    <n v="1"/>
    <n v="-40"/>
    <n v="940"/>
  </r>
  <r>
    <x v="51"/>
    <s v="conventional_default_dq_cai_177"/>
    <x v="217"/>
    <n v="1.49"/>
    <n v="1"/>
    <n v="-40"/>
    <n v="940"/>
  </r>
  <r>
    <x v="51"/>
    <s v="conventional_default_dq_cai_178"/>
    <x v="218"/>
    <n v="1.49"/>
    <n v="1"/>
    <n v="-40"/>
    <n v="940"/>
  </r>
  <r>
    <x v="51"/>
    <s v="conventional_default_dq_cai_179"/>
    <x v="219"/>
    <n v="1.49"/>
    <n v="1"/>
    <n v="-40"/>
    <n v="940"/>
  </r>
  <r>
    <x v="51"/>
    <s v="conventional_default_dq_cai_180"/>
    <x v="220"/>
    <n v="1.49"/>
    <n v="1"/>
    <n v="-40"/>
    <n v="940"/>
  </r>
  <r>
    <x v="51"/>
    <s v="conventional_default_dq_cai_181"/>
    <x v="221"/>
    <n v="1.49"/>
    <n v="1"/>
    <n v="-40"/>
    <n v="940"/>
  </r>
  <r>
    <x v="51"/>
    <s v="conventional_default_dq_cai_182"/>
    <x v="222"/>
    <n v="1.49"/>
    <n v="1"/>
    <n v="-40"/>
    <n v="940"/>
  </r>
  <r>
    <x v="51"/>
    <s v="conventional_default_dq_cai_183"/>
    <x v="223"/>
    <n v="1.49"/>
    <n v="1"/>
    <n v="-40"/>
    <n v="940"/>
  </r>
  <r>
    <x v="51"/>
    <s v="conventional_default_dq_cai_184"/>
    <x v="224"/>
    <n v="1.49"/>
    <n v="1"/>
    <n v="-40"/>
    <n v="940"/>
  </r>
  <r>
    <x v="51"/>
    <s v="conventional_default_dq_cai_185"/>
    <x v="225"/>
    <n v="1.49"/>
    <n v="1"/>
    <n v="-40"/>
    <n v="940"/>
  </r>
  <r>
    <x v="51"/>
    <s v="conventional_default_dq_cai_186"/>
    <x v="226"/>
    <n v="1.49"/>
    <n v="1"/>
    <n v="-40"/>
    <n v="940"/>
  </r>
  <r>
    <x v="51"/>
    <s v="conventional_default_dq_cai_187"/>
    <x v="227"/>
    <n v="1.49"/>
    <n v="1"/>
    <n v="-40"/>
    <n v="940"/>
  </r>
  <r>
    <x v="51"/>
    <s v="conventional_default_dq_cai_188"/>
    <x v="228"/>
    <n v="1.49"/>
    <n v="1"/>
    <n v="-40"/>
    <n v="940"/>
  </r>
  <r>
    <x v="51"/>
    <s v="conventional_default_dq_cai_189"/>
    <x v="229"/>
    <n v="1.49"/>
    <n v="1"/>
    <n v="-40"/>
    <n v="940"/>
  </r>
  <r>
    <x v="51"/>
    <s v="conventional_default_dq_cai_190"/>
    <x v="230"/>
    <n v="1.49"/>
    <n v="1"/>
    <n v="-40"/>
    <n v="940"/>
  </r>
  <r>
    <x v="51"/>
    <s v="conventional_default_dq_cai_191"/>
    <x v="231"/>
    <n v="1.49"/>
    <n v="1"/>
    <n v="-40"/>
    <n v="940"/>
  </r>
  <r>
    <x v="51"/>
    <s v="conventional_default_dq_cai_192"/>
    <x v="232"/>
    <n v="1.49"/>
    <n v="1"/>
    <n v="-40"/>
    <n v="940"/>
  </r>
  <r>
    <x v="51"/>
    <s v="conventional_default_dq_cai_193"/>
    <x v="233"/>
    <n v="1.49"/>
    <n v="1"/>
    <n v="-40"/>
    <n v="940"/>
  </r>
  <r>
    <x v="51"/>
    <s v="conventional_default_dq_cai_194"/>
    <x v="234"/>
    <n v="1.49"/>
    <n v="1"/>
    <n v="-40"/>
    <n v="940"/>
  </r>
  <r>
    <x v="51"/>
    <s v="conventional_default_dq_cai_195"/>
    <x v="235"/>
    <n v="1.49"/>
    <n v="1"/>
    <n v="-40"/>
    <n v="940"/>
  </r>
  <r>
    <x v="51"/>
    <s v="conventional_default_dq_cai_196"/>
    <x v="236"/>
    <n v="1.49"/>
    <n v="1"/>
    <n v="-40"/>
    <n v="940"/>
  </r>
  <r>
    <x v="51"/>
    <s v="conventional_default_dq_cai_197"/>
    <x v="237"/>
    <n v="1.49"/>
    <n v="1"/>
    <n v="-40"/>
    <n v="940"/>
  </r>
  <r>
    <x v="51"/>
    <s v="conventional_default_dq_cai_198"/>
    <x v="238"/>
    <n v="1.49"/>
    <n v="1"/>
    <n v="-40"/>
    <n v="940"/>
  </r>
  <r>
    <x v="51"/>
    <s v="conventional_default_dq_cai_199"/>
    <x v="239"/>
    <n v="1.49"/>
    <n v="1"/>
    <n v="-40"/>
    <n v="940"/>
  </r>
  <r>
    <x v="51"/>
    <s v="conventional_default_dq_cai_200"/>
    <x v="240"/>
    <n v="1.49"/>
    <n v="1"/>
    <n v="-40"/>
    <n v="940"/>
  </r>
  <r>
    <x v="51"/>
    <s v="conventional_default_dq_cai_201"/>
    <x v="241"/>
    <n v="1.49"/>
    <n v="1"/>
    <n v="-40"/>
    <n v="940"/>
  </r>
  <r>
    <x v="51"/>
    <s v="conventional_default_dq_cai_202"/>
    <x v="242"/>
    <n v="1.49"/>
    <n v="1"/>
    <n v="-40"/>
    <n v="940"/>
  </r>
  <r>
    <x v="51"/>
    <s v="conventional_default_dq_cai_203"/>
    <x v="243"/>
    <n v="1.49"/>
    <n v="1"/>
    <n v="-40"/>
    <n v="940"/>
  </r>
  <r>
    <x v="51"/>
    <s v="conventional_default_dq_cai_204"/>
    <x v="244"/>
    <n v="1.49"/>
    <n v="1"/>
    <n v="-40"/>
    <n v="940"/>
  </r>
  <r>
    <x v="51"/>
    <s v="conventional_default_dq_cai_205"/>
    <x v="245"/>
    <n v="1.49"/>
    <n v="1"/>
    <n v="-40"/>
    <n v="940"/>
  </r>
  <r>
    <x v="51"/>
    <s v="conventional_default_dq_cai_206"/>
    <x v="246"/>
    <n v="1.49"/>
    <n v="1"/>
    <n v="-40"/>
    <n v="940"/>
  </r>
  <r>
    <x v="51"/>
    <s v="conventional_default_dq_cai_207"/>
    <x v="247"/>
    <n v="1.49"/>
    <n v="1"/>
    <n v="-40"/>
    <n v="940"/>
  </r>
  <r>
    <x v="51"/>
    <s v="conventional_default_dq_cai_208"/>
    <x v="248"/>
    <n v="1.49"/>
    <n v="1"/>
    <n v="-40"/>
    <n v="940"/>
  </r>
  <r>
    <x v="51"/>
    <s v="conventional_default_dq_cai_209"/>
    <x v="249"/>
    <n v="1.49"/>
    <n v="1"/>
    <n v="-40"/>
    <n v="940"/>
  </r>
  <r>
    <x v="51"/>
    <s v="conventional_default_dq_cai_210"/>
    <x v="250"/>
    <n v="1.49"/>
    <n v="1"/>
    <n v="-40"/>
    <n v="940"/>
  </r>
  <r>
    <x v="51"/>
    <s v="conventional_default_dq_cai_211"/>
    <x v="251"/>
    <n v="1.49"/>
    <n v="1"/>
    <n v="-40"/>
    <n v="940"/>
  </r>
  <r>
    <x v="51"/>
    <s v="conventional_default_dq_cai_212"/>
    <x v="252"/>
    <n v="1.49"/>
    <n v="1"/>
    <n v="-40"/>
    <n v="940"/>
  </r>
  <r>
    <x v="51"/>
    <s v="conventional_default_dq_cai_213"/>
    <x v="253"/>
    <n v="1.49"/>
    <n v="1"/>
    <n v="-40"/>
    <n v="940"/>
  </r>
  <r>
    <x v="51"/>
    <s v="conventional_default_dq_cai_214"/>
    <x v="254"/>
    <n v="1.49"/>
    <n v="1"/>
    <n v="-40"/>
    <n v="940"/>
  </r>
  <r>
    <x v="51"/>
    <s v="conventional_default_dq_cai_215"/>
    <x v="255"/>
    <n v="1.49"/>
    <n v="1"/>
    <n v="-40"/>
    <n v="940"/>
  </r>
  <r>
    <x v="51"/>
    <s v="conventional_default_dq_cai_216"/>
    <x v="256"/>
    <n v="1.49"/>
    <n v="1"/>
    <n v="-40"/>
    <n v="940"/>
  </r>
  <r>
    <x v="51"/>
    <s v="conventional_default_dq_cai_217"/>
    <x v="257"/>
    <n v="1.49"/>
    <n v="1"/>
    <n v="-40"/>
    <n v="940"/>
  </r>
  <r>
    <x v="51"/>
    <s v="conventional_default_dq_cai_218"/>
    <x v="258"/>
    <n v="1.49"/>
    <n v="1"/>
    <n v="-40"/>
    <n v="940"/>
  </r>
  <r>
    <x v="51"/>
    <s v="conventional_default_dq_cai_219"/>
    <x v="259"/>
    <n v="1.49"/>
    <n v="1"/>
    <n v="-40"/>
    <n v="940"/>
  </r>
  <r>
    <x v="51"/>
    <s v="conventional_default_dq_cai_220"/>
    <x v="260"/>
    <n v="1.49"/>
    <n v="1"/>
    <n v="-40"/>
    <n v="940"/>
  </r>
  <r>
    <x v="51"/>
    <s v="conventional_default_dq_cai_221"/>
    <x v="261"/>
    <n v="1.49"/>
    <n v="1"/>
    <n v="-40"/>
    <n v="940"/>
  </r>
  <r>
    <x v="51"/>
    <s v="conventional_default_dq_cai_222"/>
    <x v="262"/>
    <n v="1.49"/>
    <n v="1"/>
    <n v="-40"/>
    <n v="940"/>
  </r>
  <r>
    <x v="51"/>
    <s v="conventional_default_dq_cai_223"/>
    <x v="263"/>
    <n v="1.49"/>
    <n v="1"/>
    <n v="-40"/>
    <n v="940"/>
  </r>
  <r>
    <x v="51"/>
    <s v="conventional_default_dq_cai_224"/>
    <x v="264"/>
    <n v="1.49"/>
    <n v="1"/>
    <n v="-40"/>
    <n v="940"/>
  </r>
  <r>
    <x v="51"/>
    <s v="conventional_default_dq_cai_225"/>
    <x v="265"/>
    <n v="1.49"/>
    <n v="1"/>
    <n v="-40"/>
    <n v="940"/>
  </r>
  <r>
    <x v="51"/>
    <s v="conventional_default_dq_cai_226"/>
    <x v="266"/>
    <n v="1.49"/>
    <n v="1"/>
    <n v="-40"/>
    <n v="940"/>
  </r>
  <r>
    <x v="51"/>
    <s v="conventional_default_dq_cai_227"/>
    <x v="267"/>
    <n v="1.49"/>
    <n v="1"/>
    <n v="-40"/>
    <n v="940"/>
  </r>
  <r>
    <x v="51"/>
    <s v="conventional_default_dq_cai_228"/>
    <x v="268"/>
    <n v="1.49"/>
    <n v="1"/>
    <n v="-40"/>
    <n v="940"/>
  </r>
  <r>
    <x v="51"/>
    <s v="conventional_default_dq_cai_229"/>
    <x v="269"/>
    <n v="1.49"/>
    <n v="1"/>
    <n v="-40"/>
    <n v="940"/>
  </r>
  <r>
    <x v="51"/>
    <s v="conventional_default_dq_cai_230"/>
    <x v="270"/>
    <n v="1.49"/>
    <n v="1"/>
    <n v="-40"/>
    <n v="940"/>
  </r>
  <r>
    <x v="51"/>
    <s v="conventional_default_dq_cai_231"/>
    <x v="271"/>
    <n v="1.49"/>
    <n v="1"/>
    <n v="-40"/>
    <n v="940"/>
  </r>
  <r>
    <x v="51"/>
    <s v="conventional_default_dq_cai_232"/>
    <x v="272"/>
    <n v="1.49"/>
    <n v="1"/>
    <n v="-40"/>
    <n v="940"/>
  </r>
  <r>
    <x v="51"/>
    <s v="conventional_default_dq_cai_233"/>
    <x v="273"/>
    <n v="1.49"/>
    <n v="1"/>
    <n v="-40"/>
    <n v="940"/>
  </r>
  <r>
    <x v="51"/>
    <s v="conventional_default_dq_cai_234"/>
    <x v="274"/>
    <n v="1.49"/>
    <n v="1"/>
    <n v="-40"/>
    <n v="940"/>
  </r>
  <r>
    <x v="51"/>
    <s v="conventional_default_dq_cai_235"/>
    <x v="275"/>
    <n v="1.49"/>
    <n v="1"/>
    <n v="-40"/>
    <n v="940"/>
  </r>
  <r>
    <x v="51"/>
    <s v="conventional_default_dq_cai_236"/>
    <x v="276"/>
    <n v="1.49"/>
    <n v="1"/>
    <n v="-40"/>
    <n v="940"/>
  </r>
  <r>
    <x v="51"/>
    <s v="conventional_default_dq_cai_237"/>
    <x v="277"/>
    <n v="1.49"/>
    <n v="1"/>
    <n v="-40"/>
    <n v="940"/>
  </r>
  <r>
    <x v="51"/>
    <s v="conventional_default_dq_cai_238"/>
    <x v="278"/>
    <n v="1.49"/>
    <n v="1"/>
    <n v="-40"/>
    <n v="940"/>
  </r>
  <r>
    <x v="51"/>
    <s v="conventional_default_dq_cai_239"/>
    <x v="279"/>
    <n v="1.49"/>
    <n v="1"/>
    <n v="-40"/>
    <n v="940"/>
  </r>
  <r>
    <x v="51"/>
    <s v="conventional_default_dq_cai_240"/>
    <x v="280"/>
    <n v="1.49"/>
    <n v="1"/>
    <n v="-40"/>
    <n v="940"/>
  </r>
  <r>
    <x v="51"/>
    <s v="conventional_default_dq_cai_241"/>
    <x v="281"/>
    <n v="1.49"/>
    <n v="1"/>
    <n v="-40"/>
    <n v="940"/>
  </r>
  <r>
    <x v="51"/>
    <s v="conventional_default_dq_cai_242"/>
    <x v="282"/>
    <n v="1.49"/>
    <n v="1"/>
    <n v="-40"/>
    <n v="940"/>
  </r>
  <r>
    <x v="51"/>
    <s v="conventional_default_dq_cai_243"/>
    <x v="283"/>
    <n v="1.49"/>
    <n v="1"/>
    <n v="-40"/>
    <n v="940"/>
  </r>
  <r>
    <x v="51"/>
    <s v="conventional_default_dq_cai_244"/>
    <x v="284"/>
    <n v="1.49"/>
    <n v="1"/>
    <n v="-40"/>
    <n v="940"/>
  </r>
  <r>
    <x v="51"/>
    <s v="conventional_default_dq_cai_245"/>
    <x v="285"/>
    <n v="1.49"/>
    <n v="1"/>
    <n v="-40"/>
    <n v="940"/>
  </r>
  <r>
    <x v="51"/>
    <s v="conventional_default_dq_cai_246"/>
    <x v="286"/>
    <n v="1.49"/>
    <n v="1"/>
    <n v="-40"/>
    <n v="940"/>
  </r>
  <r>
    <x v="51"/>
    <s v="conventional_default_dq_cai_247"/>
    <x v="287"/>
    <n v="1.49"/>
    <n v="1"/>
    <n v="-40"/>
    <n v="940"/>
  </r>
  <r>
    <x v="51"/>
    <s v="conventional_default_dq_cai_248"/>
    <x v="288"/>
    <n v="1.49"/>
    <n v="1"/>
    <n v="-40"/>
    <n v="940"/>
  </r>
  <r>
    <x v="51"/>
    <s v="conventional_default_dq_cai_249"/>
    <x v="289"/>
    <n v="1.49"/>
    <n v="1"/>
    <n v="-40"/>
    <n v="940"/>
  </r>
  <r>
    <x v="51"/>
    <s v="conventional_default_dq_cai_250"/>
    <x v="290"/>
    <n v="1.49"/>
    <n v="1"/>
    <n v="-40"/>
    <n v="940"/>
  </r>
  <r>
    <x v="51"/>
    <s v="conventional_default_dq_cai_251"/>
    <x v="291"/>
    <n v="1.49"/>
    <n v="1"/>
    <n v="-40"/>
    <n v="940"/>
  </r>
  <r>
    <x v="51"/>
    <s v="conventional_default_dq_cai_252"/>
    <x v="292"/>
    <n v="1.49"/>
    <n v="1"/>
    <n v="-40"/>
    <n v="940"/>
  </r>
  <r>
    <x v="51"/>
    <s v="conventional_default_dq_cai_253"/>
    <x v="293"/>
    <n v="1.49"/>
    <n v="1"/>
    <n v="-40"/>
    <n v="940"/>
  </r>
  <r>
    <x v="51"/>
    <s v="conventional_default_dq_cai_254"/>
    <x v="294"/>
    <n v="1.49"/>
    <n v="1"/>
    <n v="-40"/>
    <n v="940"/>
  </r>
  <r>
    <x v="51"/>
    <s v="conventional_default_dq_cai_255"/>
    <x v="295"/>
    <n v="1.49"/>
    <n v="1"/>
    <n v="-40"/>
    <n v="940"/>
  </r>
  <r>
    <x v="51"/>
    <s v="conventional_default_dq_cai_256"/>
    <x v="296"/>
    <n v="1.49"/>
    <n v="1"/>
    <n v="-40"/>
    <n v="940"/>
  </r>
  <r>
    <x v="51"/>
    <s v="conventional_default_dq_cai_257"/>
    <x v="297"/>
    <n v="1.49"/>
    <n v="1"/>
    <n v="-40"/>
    <n v="940"/>
  </r>
  <r>
    <x v="51"/>
    <s v="conventional_default_dq_cai_258"/>
    <x v="298"/>
    <n v="1.49"/>
    <n v="1"/>
    <n v="-40"/>
    <n v="940"/>
  </r>
  <r>
    <x v="51"/>
    <s v="conventional_default_dq_cai_259"/>
    <x v="299"/>
    <n v="1.49"/>
    <n v="1"/>
    <n v="-40"/>
    <n v="940"/>
  </r>
  <r>
    <x v="51"/>
    <s v="conventional_default_dq_cai_260"/>
    <x v="300"/>
    <n v="1.49"/>
    <n v="1"/>
    <n v="-40"/>
    <n v="940"/>
  </r>
  <r>
    <x v="51"/>
    <s v="conventional_default_dq_cai_261"/>
    <x v="301"/>
    <n v="1.49"/>
    <n v="1"/>
    <n v="-40"/>
    <n v="940"/>
  </r>
  <r>
    <x v="51"/>
    <s v="conventional_default_dq_cai_262"/>
    <x v="302"/>
    <n v="1.49"/>
    <n v="1"/>
    <n v="-40"/>
    <n v="940"/>
  </r>
  <r>
    <x v="51"/>
    <s v="conventional_default_dq_cai_263"/>
    <x v="303"/>
    <n v="1.49"/>
    <n v="1"/>
    <n v="-40"/>
    <n v="940"/>
  </r>
  <r>
    <x v="51"/>
    <s v="conventional_default_dq_cai_264"/>
    <x v="304"/>
    <n v="1.49"/>
    <n v="1"/>
    <n v="-40"/>
    <n v="940"/>
  </r>
  <r>
    <x v="51"/>
    <s v="conventional_default_dq_cai_265"/>
    <x v="305"/>
    <n v="1.49"/>
    <n v="1"/>
    <n v="-40"/>
    <n v="940"/>
  </r>
  <r>
    <x v="51"/>
    <s v="conventional_default_dq_cai_266"/>
    <x v="306"/>
    <n v="1.49"/>
    <n v="1"/>
    <n v="-40"/>
    <n v="940"/>
  </r>
  <r>
    <x v="51"/>
    <s v="conventional_default_dq_cai_267"/>
    <x v="307"/>
    <n v="1.49"/>
    <n v="1"/>
    <n v="-40"/>
    <n v="940"/>
  </r>
  <r>
    <x v="51"/>
    <s v="conventional_default_dq_cai_268"/>
    <x v="308"/>
    <n v="1.49"/>
    <n v="1"/>
    <n v="-40"/>
    <n v="940"/>
  </r>
  <r>
    <x v="51"/>
    <s v="conventional_default_dq_cai_269"/>
    <x v="309"/>
    <n v="1.49"/>
    <n v="1"/>
    <n v="-40"/>
    <n v="940"/>
  </r>
  <r>
    <x v="51"/>
    <s v="conventional_default_dq_cai_270"/>
    <x v="310"/>
    <n v="1.49"/>
    <n v="1"/>
    <n v="-40"/>
    <n v="940"/>
  </r>
  <r>
    <x v="51"/>
    <s v="conventional_default_dq_cai_271"/>
    <x v="311"/>
    <n v="1.49"/>
    <n v="1"/>
    <n v="-40"/>
    <n v="940"/>
  </r>
  <r>
    <x v="51"/>
    <s v="conventional_default_dq_cai_272"/>
    <x v="312"/>
    <n v="1.49"/>
    <n v="1"/>
    <n v="-40"/>
    <n v="940"/>
  </r>
  <r>
    <x v="51"/>
    <s v="conventional_default_dq_cai_273"/>
    <x v="313"/>
    <n v="1.49"/>
    <n v="1"/>
    <n v="-40"/>
    <n v="940"/>
  </r>
  <r>
    <x v="51"/>
    <s v="conventional_default_dq_cai_274"/>
    <x v="314"/>
    <n v="1.49"/>
    <n v="1"/>
    <n v="-40"/>
    <n v="940"/>
  </r>
  <r>
    <x v="51"/>
    <s v="conventional_default_dq_cai_275"/>
    <x v="315"/>
    <n v="1.49"/>
    <n v="1"/>
    <n v="-40"/>
    <n v="940"/>
  </r>
  <r>
    <x v="51"/>
    <s v="conventional_default_dq_cai_276"/>
    <x v="316"/>
    <n v="1.49"/>
    <n v="1"/>
    <n v="-40"/>
    <n v="940"/>
  </r>
  <r>
    <x v="51"/>
    <s v="conventional_default_dq_cai_277"/>
    <x v="317"/>
    <n v="1.49"/>
    <n v="1"/>
    <n v="-40"/>
    <n v="940"/>
  </r>
  <r>
    <x v="51"/>
    <s v="conventional_default_dq_cai_278"/>
    <x v="318"/>
    <n v="1.49"/>
    <n v="1"/>
    <n v="-40"/>
    <n v="940"/>
  </r>
  <r>
    <x v="51"/>
    <s v="conventional_default_dq_cai_279"/>
    <x v="319"/>
    <n v="1.49"/>
    <n v="1"/>
    <n v="-40"/>
    <n v="940"/>
  </r>
  <r>
    <x v="51"/>
    <s v="conventional_default_dq_cai_280"/>
    <x v="320"/>
    <n v="1.49"/>
    <n v="1"/>
    <n v="-40"/>
    <n v="940"/>
  </r>
  <r>
    <x v="51"/>
    <s v="conventional_default_dq_cai_281"/>
    <x v="321"/>
    <n v="1.49"/>
    <n v="1"/>
    <n v="-40"/>
    <n v="940"/>
  </r>
  <r>
    <x v="51"/>
    <s v="conventional_default_dq_cai_282"/>
    <x v="322"/>
    <n v="1.49"/>
    <n v="1"/>
    <n v="-40"/>
    <n v="940"/>
  </r>
  <r>
    <x v="51"/>
    <s v="conventional_default_dq_cai_283"/>
    <x v="323"/>
    <n v="1.49"/>
    <n v="1"/>
    <n v="-40"/>
    <n v="940"/>
  </r>
  <r>
    <x v="51"/>
    <s v="conventional_default_dq_cai_284"/>
    <x v="324"/>
    <n v="1.49"/>
    <n v="1"/>
    <n v="-40"/>
    <n v="940"/>
  </r>
  <r>
    <x v="51"/>
    <s v="conventional_default_dq_cai_285"/>
    <x v="325"/>
    <n v="1.49"/>
    <n v="1"/>
    <n v="-40"/>
    <n v="940"/>
  </r>
  <r>
    <x v="51"/>
    <s v="conventional_default_dq_cai_286"/>
    <x v="326"/>
    <n v="1.49"/>
    <n v="1"/>
    <n v="-40"/>
    <n v="940"/>
  </r>
  <r>
    <x v="51"/>
    <s v="conventional_default_dq_cai_287"/>
    <x v="327"/>
    <n v="1.49"/>
    <n v="1"/>
    <n v="-40"/>
    <n v="940"/>
  </r>
  <r>
    <x v="51"/>
    <s v="conventional_default_dq_cai_288"/>
    <x v="328"/>
    <n v="1.49"/>
    <n v="1"/>
    <n v="-40"/>
    <n v="940"/>
  </r>
  <r>
    <x v="51"/>
    <s v="conventional_default_dq_cai_289"/>
    <x v="329"/>
    <n v="1.49"/>
    <n v="1"/>
    <n v="-40"/>
    <n v="940"/>
  </r>
  <r>
    <x v="51"/>
    <s v="conventional_default_dq_cai_290"/>
    <x v="330"/>
    <n v="1.49"/>
    <n v="1"/>
    <n v="-40"/>
    <n v="940"/>
  </r>
  <r>
    <x v="51"/>
    <s v="conventional_default_dq_cai_291"/>
    <x v="331"/>
    <n v="1.49"/>
    <n v="1"/>
    <n v="-40"/>
    <n v="940"/>
  </r>
  <r>
    <x v="51"/>
    <s v="conventional_default_dq_cai_292"/>
    <x v="332"/>
    <n v="1.49"/>
    <n v="1"/>
    <n v="-40"/>
    <n v="940"/>
  </r>
  <r>
    <x v="51"/>
    <s v="conventional_default_dq_cai_293"/>
    <x v="333"/>
    <n v="1.49"/>
    <n v="1"/>
    <n v="-40"/>
    <n v="940"/>
  </r>
  <r>
    <x v="51"/>
    <s v="conventional_default_dq_cai_294"/>
    <x v="334"/>
    <n v="1.49"/>
    <n v="1"/>
    <n v="-40"/>
    <n v="940"/>
  </r>
  <r>
    <x v="51"/>
    <s v="conventional_default_dq_cai_295"/>
    <x v="335"/>
    <n v="1.49"/>
    <n v="1"/>
    <n v="-40"/>
    <n v="940"/>
  </r>
  <r>
    <x v="51"/>
    <s v="conventional_default_dq_cai_296"/>
    <x v="336"/>
    <n v="1.49"/>
    <n v="1"/>
    <n v="-40"/>
    <n v="940"/>
  </r>
  <r>
    <x v="51"/>
    <s v="conventional_default_dq_cai_297"/>
    <x v="337"/>
    <n v="1.49"/>
    <n v="1"/>
    <n v="-40"/>
    <n v="940"/>
  </r>
  <r>
    <x v="51"/>
    <s v="conventional_default_dq_cai_298"/>
    <x v="338"/>
    <n v="1.49"/>
    <n v="1"/>
    <n v="-40"/>
    <n v="940"/>
  </r>
  <r>
    <x v="51"/>
    <s v="conventional_default_dq_cai_299"/>
    <x v="339"/>
    <n v="1.49"/>
    <n v="1"/>
    <n v="-40"/>
    <n v="940"/>
  </r>
  <r>
    <x v="51"/>
    <s v="conventional_default_dq_cai_300"/>
    <x v="340"/>
    <n v="1.49"/>
    <n v="1"/>
    <n v="-40"/>
    <n v="940"/>
  </r>
  <r>
    <x v="51"/>
    <s v="conventional_default_dq_cai_301"/>
    <x v="341"/>
    <n v="1.49"/>
    <n v="1"/>
    <n v="-40"/>
    <n v="940"/>
  </r>
  <r>
    <x v="51"/>
    <s v="conventional_default_dq_cai_302"/>
    <x v="342"/>
    <n v="1.49"/>
    <n v="1"/>
    <n v="-40"/>
    <n v="940"/>
  </r>
  <r>
    <x v="51"/>
    <s v="conventional_default_dq_cai_303"/>
    <x v="343"/>
    <n v="1.49"/>
    <n v="1"/>
    <n v="-40"/>
    <n v="940"/>
  </r>
  <r>
    <x v="51"/>
    <s v="conventional_default_dq_cai_304"/>
    <x v="344"/>
    <n v="1.49"/>
    <n v="1"/>
    <n v="-40"/>
    <n v="940"/>
  </r>
  <r>
    <x v="51"/>
    <s v="conventional_default_dq_cai_305"/>
    <x v="345"/>
    <n v="1.49"/>
    <n v="1"/>
    <n v="-40"/>
    <n v="940"/>
  </r>
  <r>
    <x v="51"/>
    <s v="conventional_default_dq_cai_306"/>
    <x v="346"/>
    <n v="1.49"/>
    <n v="1"/>
    <n v="-40"/>
    <n v="940"/>
  </r>
  <r>
    <x v="51"/>
    <s v="conventional_default_dq_cai_307"/>
    <x v="347"/>
    <n v="1.49"/>
    <n v="1"/>
    <n v="-40"/>
    <n v="940"/>
  </r>
  <r>
    <x v="51"/>
    <s v="conventional_default_dq_cai_308"/>
    <x v="348"/>
    <n v="1.49"/>
    <n v="1"/>
    <n v="-40"/>
    <n v="940"/>
  </r>
  <r>
    <x v="51"/>
    <s v="conventional_default_dq_cai_309"/>
    <x v="349"/>
    <n v="1.49"/>
    <n v="1"/>
    <n v="-40"/>
    <n v="940"/>
  </r>
  <r>
    <x v="51"/>
    <s v="conventional_default_dq_cai_310"/>
    <x v="350"/>
    <n v="1.49"/>
    <n v="1"/>
    <n v="-40"/>
    <n v="940"/>
  </r>
  <r>
    <x v="51"/>
    <s v="conventional_default_dq_cai_311"/>
    <x v="351"/>
    <n v="1.49"/>
    <n v="1"/>
    <n v="-40"/>
    <n v="940"/>
  </r>
  <r>
    <x v="51"/>
    <s v="conventional_default_dq_cai_312"/>
    <x v="352"/>
    <n v="1.49"/>
    <n v="1"/>
    <n v="-40"/>
    <n v="940"/>
  </r>
  <r>
    <x v="51"/>
    <s v="conventional_default_dq_cai_313"/>
    <x v="353"/>
    <n v="1.49"/>
    <n v="1"/>
    <n v="-40"/>
    <n v="940"/>
  </r>
  <r>
    <x v="51"/>
    <s v="conventional_default_dq_cai_314"/>
    <x v="354"/>
    <n v="1.49"/>
    <n v="1"/>
    <n v="-40"/>
    <n v="940"/>
  </r>
  <r>
    <x v="51"/>
    <s v="conventional_default_dq_cai_315"/>
    <x v="355"/>
    <n v="1.49"/>
    <n v="1"/>
    <n v="-40"/>
    <n v="940"/>
  </r>
  <r>
    <x v="51"/>
    <s v="conventional_default_dq_cai_316"/>
    <x v="356"/>
    <n v="1.49"/>
    <n v="1"/>
    <n v="-40"/>
    <n v="940"/>
  </r>
  <r>
    <x v="51"/>
    <s v="conventional_default_dq_cai_317"/>
    <x v="357"/>
    <n v="1.49"/>
    <n v="1"/>
    <n v="-40"/>
    <n v="940"/>
  </r>
  <r>
    <x v="51"/>
    <s v="conventional_default_dq_cai_318"/>
    <x v="358"/>
    <n v="1.49"/>
    <n v="1"/>
    <n v="-40"/>
    <n v="940"/>
  </r>
  <r>
    <x v="51"/>
    <s v="conventional_default_dq_cai_319"/>
    <x v="359"/>
    <n v="1.49"/>
    <n v="1"/>
    <n v="-40"/>
    <n v="940"/>
  </r>
  <r>
    <x v="51"/>
    <s v="conventional_default_dq_cai_320"/>
    <x v="360"/>
    <n v="1.49"/>
    <n v="1"/>
    <n v="-40"/>
    <n v="940"/>
  </r>
  <r>
    <x v="51"/>
    <s v="conventional_default_dq_cai_321"/>
    <x v="361"/>
    <n v="1.49"/>
    <n v="1"/>
    <n v="-40"/>
    <n v="940"/>
  </r>
  <r>
    <x v="51"/>
    <s v="conventional_default_dq_cai_322"/>
    <x v="362"/>
    <n v="1.49"/>
    <n v="1"/>
    <n v="-40"/>
    <n v="940"/>
  </r>
  <r>
    <x v="51"/>
    <s v="conventional_default_dq_cai_323"/>
    <x v="363"/>
    <n v="1.49"/>
    <n v="1"/>
    <n v="-40"/>
    <n v="940"/>
  </r>
  <r>
    <x v="51"/>
    <s v="conventional_default_dq_cai_324"/>
    <x v="364"/>
    <n v="1.49"/>
    <n v="1"/>
    <n v="-40"/>
    <n v="940"/>
  </r>
  <r>
    <x v="51"/>
    <s v="conventional_default_dq_cai_325"/>
    <x v="365"/>
    <n v="1.49"/>
    <n v="1"/>
    <n v="-40"/>
    <n v="940"/>
  </r>
  <r>
    <x v="51"/>
    <s v="conventional_default_dq_cai_326"/>
    <x v="366"/>
    <n v="1.49"/>
    <n v="1"/>
    <n v="-40"/>
    <n v="940"/>
  </r>
  <r>
    <x v="51"/>
    <s v="conventional_default_dq_cai_327"/>
    <x v="367"/>
    <n v="1.49"/>
    <n v="1"/>
    <n v="-40"/>
    <n v="940"/>
  </r>
  <r>
    <x v="51"/>
    <s v="conventional_default_dq_cai_328"/>
    <x v="368"/>
    <n v="1.49"/>
    <n v="1"/>
    <n v="-40"/>
    <n v="940"/>
  </r>
  <r>
    <x v="51"/>
    <s v="conventional_default_dq_cai_329"/>
    <x v="369"/>
    <n v="1.49"/>
    <n v="1"/>
    <n v="-40"/>
    <n v="940"/>
  </r>
  <r>
    <x v="51"/>
    <s v="conventional_default_dq_cai_330"/>
    <x v="370"/>
    <n v="1.49"/>
    <n v="1"/>
    <n v="-40"/>
    <n v="940"/>
  </r>
  <r>
    <x v="51"/>
    <s v="conventional_default_dq_cai_331"/>
    <x v="371"/>
    <n v="1.49"/>
    <n v="1"/>
    <n v="-40"/>
    <n v="940"/>
  </r>
  <r>
    <x v="51"/>
    <s v="conventional_default_dq_cai_332"/>
    <x v="372"/>
    <n v="1.49"/>
    <n v="1"/>
    <n v="-40"/>
    <n v="940"/>
  </r>
  <r>
    <x v="51"/>
    <s v="conventional_default_dq_cai_333"/>
    <x v="373"/>
    <n v="1.49"/>
    <n v="1"/>
    <n v="-40"/>
    <n v="940"/>
  </r>
  <r>
    <x v="51"/>
    <s v="conventional_default_dq_cai_334"/>
    <x v="374"/>
    <n v="1.49"/>
    <n v="1"/>
    <n v="-40"/>
    <n v="940"/>
  </r>
  <r>
    <x v="51"/>
    <s v="conventional_default_dq_cai_335"/>
    <x v="375"/>
    <n v="1.49"/>
    <n v="1"/>
    <n v="-40"/>
    <n v="940"/>
  </r>
  <r>
    <x v="51"/>
    <s v="conventional_default_dq_cai_336"/>
    <x v="376"/>
    <n v="1.49"/>
    <n v="1"/>
    <n v="-40"/>
    <n v="940"/>
  </r>
  <r>
    <x v="51"/>
    <s v="conventional_default_dq_cai_337"/>
    <x v="377"/>
    <n v="1.49"/>
    <n v="1"/>
    <n v="-40"/>
    <n v="940"/>
  </r>
  <r>
    <x v="51"/>
    <s v="conventional_default_dq_cai_338"/>
    <x v="378"/>
    <n v="1.49"/>
    <n v="1"/>
    <n v="-40"/>
    <n v="940"/>
  </r>
  <r>
    <x v="51"/>
    <s v="conventional_default_dq_cai_339"/>
    <x v="379"/>
    <n v="1.49"/>
    <n v="1"/>
    <n v="-40"/>
    <n v="940"/>
  </r>
  <r>
    <x v="51"/>
    <s v="conventional_default_dq_cai_340"/>
    <x v="380"/>
    <n v="1.49"/>
    <n v="1"/>
    <n v="-40"/>
    <n v="940"/>
  </r>
  <r>
    <x v="51"/>
    <s v="conventional_default_dq_cai_341"/>
    <x v="381"/>
    <n v="1.49"/>
    <n v="1"/>
    <n v="-40"/>
    <n v="940"/>
  </r>
  <r>
    <x v="51"/>
    <s v="conventional_default_dq_cai_342"/>
    <x v="382"/>
    <n v="1.49"/>
    <n v="1"/>
    <n v="-40"/>
    <n v="940"/>
  </r>
  <r>
    <x v="51"/>
    <s v="conventional_default_dq_cai_343"/>
    <x v="383"/>
    <n v="1.49"/>
    <n v="1"/>
    <n v="-40"/>
    <n v="940"/>
  </r>
  <r>
    <x v="51"/>
    <s v="conventional_default_dq_cai_344"/>
    <x v="384"/>
    <n v="1.49"/>
    <n v="1"/>
    <n v="-40"/>
    <n v="940"/>
  </r>
  <r>
    <x v="51"/>
    <s v="conventional_default_dq_cai_345"/>
    <x v="385"/>
    <n v="1.49"/>
    <n v="1"/>
    <n v="-40"/>
    <n v="940"/>
  </r>
  <r>
    <x v="51"/>
    <s v="conventional_default_dq_cai_346"/>
    <x v="386"/>
    <n v="1.49"/>
    <n v="1"/>
    <n v="-40"/>
    <n v="940"/>
  </r>
  <r>
    <x v="51"/>
    <s v="conventional_default_dq_cai_347"/>
    <x v="387"/>
    <n v="1.49"/>
    <n v="1"/>
    <n v="-40"/>
    <n v="940"/>
  </r>
  <r>
    <x v="51"/>
    <s v="conventional_default_dq_cai_348"/>
    <x v="388"/>
    <n v="1.49"/>
    <n v="1"/>
    <n v="-40"/>
    <n v="940"/>
  </r>
  <r>
    <x v="51"/>
    <s v="conventional_default_dq_cai_349"/>
    <x v="389"/>
    <n v="1.49"/>
    <n v="1"/>
    <n v="-40"/>
    <n v="940"/>
  </r>
  <r>
    <x v="51"/>
    <s v="conventional_default_dq_cai_350"/>
    <x v="390"/>
    <n v="1.49"/>
    <n v="1"/>
    <n v="-40"/>
    <n v="940"/>
  </r>
  <r>
    <x v="51"/>
    <s v="conventional_default_dq_cai_351"/>
    <x v="391"/>
    <n v="1.49"/>
    <n v="1"/>
    <n v="-40"/>
    <n v="940"/>
  </r>
  <r>
    <x v="51"/>
    <s v="conventional_default_dq_cai_352"/>
    <x v="392"/>
    <n v="1.49"/>
    <n v="1"/>
    <n v="-40"/>
    <n v="940"/>
  </r>
  <r>
    <x v="51"/>
    <s v="conventional_default_dq_cai_353"/>
    <x v="393"/>
    <n v="1.49"/>
    <n v="1"/>
    <n v="-40"/>
    <n v="940"/>
  </r>
  <r>
    <x v="51"/>
    <s v="conventional_default_dq_cai_354"/>
    <x v="394"/>
    <n v="1.49"/>
    <n v="1"/>
    <n v="-40"/>
    <n v="940"/>
  </r>
  <r>
    <x v="51"/>
    <s v="conventional_default_dq_cai_355"/>
    <x v="395"/>
    <n v="1.49"/>
    <n v="1"/>
    <n v="-40"/>
    <n v="940"/>
  </r>
  <r>
    <x v="51"/>
    <s v="conventional_default_dq_cai_356"/>
    <x v="396"/>
    <n v="1.49"/>
    <n v="1"/>
    <n v="-40"/>
    <n v="940"/>
  </r>
  <r>
    <x v="51"/>
    <s v="conventional_default_dq_cai_357"/>
    <x v="397"/>
    <n v="1.49"/>
    <n v="1"/>
    <n v="-40"/>
    <n v="940"/>
  </r>
  <r>
    <x v="51"/>
    <s v="conventional_default_dq_cai_358"/>
    <x v="398"/>
    <n v="1.49"/>
    <n v="1"/>
    <n v="-40"/>
    <n v="940"/>
  </r>
  <r>
    <x v="51"/>
    <s v="conventional_default_dq_cai_359"/>
    <x v="399"/>
    <n v="1.49"/>
    <n v="1"/>
    <n v="-40"/>
    <n v="940"/>
  </r>
  <r>
    <x v="51"/>
    <s v="conventional_default_dq_cai_360"/>
    <x v="400"/>
    <n v="1.49"/>
    <n v="1"/>
    <n v="-40"/>
    <n v="940"/>
  </r>
  <r>
    <x v="51"/>
    <s v="conventional_default_dq_cai_361"/>
    <x v="401"/>
    <n v="1.49"/>
    <n v="1"/>
    <n v="-40"/>
    <n v="940"/>
  </r>
  <r>
    <x v="51"/>
    <s v="conventional_default_dq_cai_362"/>
    <x v="402"/>
    <n v="1.49"/>
    <n v="1"/>
    <n v="-40"/>
    <n v="940"/>
  </r>
  <r>
    <x v="51"/>
    <s v="conventional_default_dq_cai_363"/>
    <x v="403"/>
    <n v="1.49"/>
    <n v="1"/>
    <n v="-40"/>
    <n v="940"/>
  </r>
  <r>
    <x v="51"/>
    <s v="conventional_default_dq_cai_364"/>
    <x v="404"/>
    <n v="1.49"/>
    <n v="1"/>
    <n v="-40"/>
    <n v="940"/>
  </r>
  <r>
    <x v="51"/>
    <s v="conventional_default_dq_cai_365"/>
    <x v="405"/>
    <n v="1.49"/>
    <n v="1"/>
    <n v="-40"/>
    <n v="940"/>
  </r>
  <r>
    <x v="51"/>
    <s v="conventional_default_dq_cai_366"/>
    <x v="406"/>
    <n v="1.49"/>
    <n v="1"/>
    <n v="-40"/>
    <n v="940"/>
  </r>
  <r>
    <x v="51"/>
    <s v="conventional_default_dq_cai_367"/>
    <x v="407"/>
    <n v="1.49"/>
    <n v="1"/>
    <n v="-40"/>
    <n v="940"/>
  </r>
  <r>
    <x v="51"/>
    <s v="conventional_default_dq_cai_368"/>
    <x v="408"/>
    <n v="1.49"/>
    <n v="1"/>
    <n v="-40"/>
    <n v="940"/>
  </r>
  <r>
    <x v="51"/>
    <s v="conventional_default_dq_cai_369"/>
    <x v="409"/>
    <n v="1.49"/>
    <n v="1"/>
    <n v="-40"/>
    <n v="940"/>
  </r>
  <r>
    <x v="51"/>
    <s v="conventional_default_dq_cai_370"/>
    <x v="410"/>
    <n v="1.49"/>
    <n v="1"/>
    <n v="-40"/>
    <n v="940"/>
  </r>
  <r>
    <x v="51"/>
    <s v="conventional_default_dq_cai_371"/>
    <x v="411"/>
    <n v="1.49"/>
    <n v="1"/>
    <n v="-40"/>
    <n v="940"/>
  </r>
  <r>
    <x v="51"/>
    <s v="conventional_default_dq_cai_372"/>
    <x v="412"/>
    <n v="1.49"/>
    <n v="1"/>
    <n v="-40"/>
    <n v="940"/>
  </r>
  <r>
    <x v="51"/>
    <s v="conventional_default_dq_cai_373"/>
    <x v="413"/>
    <n v="1.49"/>
    <n v="1"/>
    <n v="-40"/>
    <n v="940"/>
  </r>
  <r>
    <x v="51"/>
    <s v="conventional_default_dq_cai_374"/>
    <x v="414"/>
    <n v="1.49"/>
    <n v="1"/>
    <n v="-40"/>
    <n v="940"/>
  </r>
  <r>
    <x v="51"/>
    <s v="conventional_default_dq_cai_375"/>
    <x v="415"/>
    <n v="1.49"/>
    <n v="1"/>
    <n v="-40"/>
    <n v="940"/>
  </r>
  <r>
    <x v="51"/>
    <s v="conventional_default_dq_cai_376"/>
    <x v="416"/>
    <n v="1.49"/>
    <n v="1"/>
    <n v="-40"/>
    <n v="940"/>
  </r>
  <r>
    <x v="51"/>
    <s v="conventional_default_dq_cai_377"/>
    <x v="417"/>
    <n v="1.49"/>
    <n v="1"/>
    <n v="-40"/>
    <n v="940"/>
  </r>
  <r>
    <x v="51"/>
    <s v="conventional_default_dq_cai_378"/>
    <x v="418"/>
    <n v="1.49"/>
    <n v="1"/>
    <n v="-40"/>
    <n v="940"/>
  </r>
  <r>
    <x v="51"/>
    <s v="conventional_default_dq_cai_379"/>
    <x v="419"/>
    <n v="1.49"/>
    <n v="1"/>
    <n v="-40"/>
    <n v="940"/>
  </r>
  <r>
    <x v="51"/>
    <s v="conventional_default_dq_cai_380"/>
    <x v="420"/>
    <n v="1.49"/>
    <n v="1"/>
    <n v="-40"/>
    <n v="940"/>
  </r>
  <r>
    <x v="51"/>
    <s v="conventional_default_dq_cai_381"/>
    <x v="421"/>
    <n v="1.49"/>
    <n v="1"/>
    <n v="-40"/>
    <n v="940"/>
  </r>
  <r>
    <x v="51"/>
    <s v="conventional_default_dq_cai_382"/>
    <x v="422"/>
    <n v="1.49"/>
    <n v="1"/>
    <n v="-40"/>
    <n v="940"/>
  </r>
  <r>
    <x v="51"/>
    <s v="conventional_default_dq_cai_383"/>
    <x v="423"/>
    <n v="1.49"/>
    <n v="1"/>
    <n v="-40"/>
    <n v="940"/>
  </r>
  <r>
    <x v="51"/>
    <s v="conventional_default_dq_cai_384"/>
    <x v="424"/>
    <n v="1.49"/>
    <n v="1"/>
    <n v="-40"/>
    <n v="940"/>
  </r>
  <r>
    <x v="51"/>
    <s v="conventional_default_dq_cai_385"/>
    <x v="425"/>
    <n v="1.49"/>
    <n v="1"/>
    <n v="-40"/>
    <n v="940"/>
  </r>
  <r>
    <x v="51"/>
    <s v="conventional_default_dq_cai_386"/>
    <x v="426"/>
    <n v="1.49"/>
    <n v="1"/>
    <n v="-40"/>
    <n v="940"/>
  </r>
  <r>
    <x v="51"/>
    <s v="conventional_default_dq_cai_387"/>
    <x v="427"/>
    <n v="1.49"/>
    <n v="1"/>
    <n v="-40"/>
    <n v="940"/>
  </r>
  <r>
    <x v="51"/>
    <s v="conventional_default_dq_cai_388"/>
    <x v="428"/>
    <n v="1.49"/>
    <n v="1"/>
    <n v="-40"/>
    <n v="940"/>
  </r>
  <r>
    <x v="51"/>
    <s v="conventional_default_dq_cai_389"/>
    <x v="429"/>
    <n v="1.49"/>
    <n v="1"/>
    <n v="-40"/>
    <n v="940"/>
  </r>
  <r>
    <x v="51"/>
    <s v="conventional_default_dq_cai_390"/>
    <x v="430"/>
    <n v="1.49"/>
    <n v="1"/>
    <n v="-40"/>
    <n v="940"/>
  </r>
  <r>
    <x v="51"/>
    <s v="conventional_default_dq_cai_391"/>
    <x v="431"/>
    <n v="1.49"/>
    <n v="1"/>
    <n v="-40"/>
    <n v="940"/>
  </r>
  <r>
    <x v="51"/>
    <s v="conventional_default_dq_cai_392"/>
    <x v="432"/>
    <n v="1.49"/>
    <n v="1"/>
    <n v="-40"/>
    <n v="940"/>
  </r>
  <r>
    <x v="51"/>
    <s v="conventional_default_dq_cai_393"/>
    <x v="433"/>
    <n v="1.49"/>
    <n v="1"/>
    <n v="-40"/>
    <n v="940"/>
  </r>
  <r>
    <x v="51"/>
    <s v="conventional_default_dq_cai_394"/>
    <x v="434"/>
    <n v="1.49"/>
    <n v="1"/>
    <n v="-40"/>
    <n v="940"/>
  </r>
  <r>
    <x v="51"/>
    <s v="conventional_default_dq_cai_395"/>
    <x v="435"/>
    <n v="1.49"/>
    <n v="1"/>
    <n v="-40"/>
    <n v="940"/>
  </r>
  <r>
    <x v="51"/>
    <s v="conventional_default_dq_cai_396"/>
    <x v="436"/>
    <n v="1.49"/>
    <n v="1"/>
    <n v="-40"/>
    <n v="940"/>
  </r>
  <r>
    <x v="51"/>
    <s v="conventional_default_dq_cai_397"/>
    <x v="437"/>
    <n v="1.49"/>
    <n v="1"/>
    <n v="-40"/>
    <n v="940"/>
  </r>
  <r>
    <x v="51"/>
    <s v="conventional_default_dq_cai_398"/>
    <x v="438"/>
    <n v="1.49"/>
    <n v="1"/>
    <n v="-40"/>
    <n v="940"/>
  </r>
  <r>
    <x v="51"/>
    <s v="conventional_default_dq_cai_399"/>
    <x v="439"/>
    <n v="1.49"/>
    <n v="1"/>
    <n v="-40"/>
    <n v="940"/>
  </r>
  <r>
    <x v="51"/>
    <s v="conventional_default_dq_cai_400"/>
    <x v="440"/>
    <n v="1.49"/>
    <n v="1"/>
    <n v="-40"/>
    <n v="940"/>
  </r>
  <r>
    <x v="51"/>
    <s v="conventional_default_dq_cai_401"/>
    <x v="441"/>
    <n v="1.49"/>
    <n v="1"/>
    <n v="-40"/>
    <n v="940"/>
  </r>
  <r>
    <x v="51"/>
    <s v="conventional_default_dq_cai_402"/>
    <x v="442"/>
    <n v="1.49"/>
    <n v="1"/>
    <n v="-40"/>
    <n v="940"/>
  </r>
  <r>
    <x v="51"/>
    <s v="conventional_default_dq_cai_403"/>
    <x v="443"/>
    <n v="1.49"/>
    <n v="1"/>
    <n v="-40"/>
    <n v="940"/>
  </r>
  <r>
    <x v="51"/>
    <s v="conventional_default_dq_cai_404"/>
    <x v="444"/>
    <n v="1.49"/>
    <n v="1"/>
    <n v="-40"/>
    <n v="940"/>
  </r>
  <r>
    <x v="51"/>
    <s v="conventional_default_dq_cai_405"/>
    <x v="445"/>
    <n v="1.49"/>
    <n v="1"/>
    <n v="-40"/>
    <n v="940"/>
  </r>
  <r>
    <x v="51"/>
    <s v="conventional_default_dq_cai_406"/>
    <x v="446"/>
    <n v="1.49"/>
    <n v="1"/>
    <n v="-40"/>
    <n v="940"/>
  </r>
  <r>
    <x v="51"/>
    <s v="conventional_default_dq_cai_407"/>
    <x v="447"/>
    <n v="1.49"/>
    <n v="1"/>
    <n v="-40"/>
    <n v="940"/>
  </r>
  <r>
    <x v="51"/>
    <s v="conventional_default_dq_cai_408"/>
    <x v="448"/>
    <n v="1.49"/>
    <n v="1"/>
    <n v="-40"/>
    <n v="940"/>
  </r>
  <r>
    <x v="51"/>
    <s v="conventional_default_dq_cai_409"/>
    <x v="449"/>
    <n v="1.49"/>
    <n v="1"/>
    <n v="-40"/>
    <n v="940"/>
  </r>
  <r>
    <x v="51"/>
    <s v="conventional_default_dq_cai_410"/>
    <x v="450"/>
    <n v="1.49"/>
    <n v="1"/>
    <n v="-40"/>
    <n v="940"/>
  </r>
  <r>
    <x v="51"/>
    <s v="conventional_default_dq_cai_411"/>
    <x v="451"/>
    <n v="1.49"/>
    <n v="1"/>
    <n v="-40"/>
    <n v="940"/>
  </r>
  <r>
    <x v="51"/>
    <s v="conventional_default_dq_cai_412"/>
    <x v="452"/>
    <n v="1.49"/>
    <n v="1"/>
    <n v="-40"/>
    <n v="940"/>
  </r>
  <r>
    <x v="51"/>
    <s v="conventional_default_dq_cai_413"/>
    <x v="453"/>
    <n v="1.49"/>
    <n v="1"/>
    <n v="-40"/>
    <n v="940"/>
  </r>
  <r>
    <x v="51"/>
    <s v="conventional_default_dq_cai_414"/>
    <x v="454"/>
    <n v="1.49"/>
    <n v="1"/>
    <n v="-40"/>
    <n v="940"/>
  </r>
  <r>
    <x v="51"/>
    <s v="conventional_default_dq_cai_415"/>
    <x v="455"/>
    <n v="1.49"/>
    <n v="1"/>
    <n v="-40"/>
    <n v="940"/>
  </r>
  <r>
    <x v="51"/>
    <s v="conventional_default_dq_cai_416"/>
    <x v="456"/>
    <n v="1.49"/>
    <n v="1"/>
    <n v="-40"/>
    <n v="940"/>
  </r>
  <r>
    <x v="51"/>
    <s v="conventional_default_dq_cai_417"/>
    <x v="457"/>
    <n v="1.49"/>
    <n v="1"/>
    <n v="-40"/>
    <n v="940"/>
  </r>
  <r>
    <x v="51"/>
    <s v="conventional_default_dq_cai_418"/>
    <x v="458"/>
    <n v="1.49"/>
    <n v="1"/>
    <n v="-40"/>
    <n v="940"/>
  </r>
  <r>
    <x v="51"/>
    <s v="conventional_default_dq_cai_419"/>
    <x v="459"/>
    <n v="1.49"/>
    <n v="1"/>
    <n v="-40"/>
    <n v="940"/>
  </r>
  <r>
    <x v="51"/>
    <s v="conventional_default_dq_cai_420"/>
    <x v="460"/>
    <n v="1.49"/>
    <n v="1"/>
    <n v="-40"/>
    <n v="940"/>
  </r>
  <r>
    <x v="51"/>
    <s v="conventional_default_dq_cai_421"/>
    <x v="461"/>
    <n v="1.49"/>
    <n v="1"/>
    <n v="-40"/>
    <n v="940"/>
  </r>
  <r>
    <x v="51"/>
    <s v="conventional_default_dq_cai_422"/>
    <x v="462"/>
    <n v="1.49"/>
    <n v="1"/>
    <n v="-40"/>
    <n v="940"/>
  </r>
  <r>
    <x v="51"/>
    <s v="conventional_default_dq_cai_423"/>
    <x v="463"/>
    <n v="1.49"/>
    <n v="1"/>
    <n v="-40"/>
    <n v="940"/>
  </r>
  <r>
    <x v="51"/>
    <s v="conventional_default_dq_cai_424"/>
    <x v="464"/>
    <n v="1.49"/>
    <n v="1"/>
    <n v="-40"/>
    <n v="940"/>
  </r>
  <r>
    <x v="51"/>
    <s v="conventional_default_dq_cai_425"/>
    <x v="465"/>
    <n v="1.49"/>
    <n v="1"/>
    <n v="-40"/>
    <n v="940"/>
  </r>
  <r>
    <x v="51"/>
    <s v="conventional_default_dq_cai_426"/>
    <x v="466"/>
    <n v="1.49"/>
    <n v="1"/>
    <n v="-40"/>
    <n v="940"/>
  </r>
  <r>
    <x v="51"/>
    <s v="conventional_default_dq_cai_427"/>
    <x v="467"/>
    <n v="1.49"/>
    <n v="1"/>
    <n v="-40"/>
    <n v="940"/>
  </r>
  <r>
    <x v="51"/>
    <s v="conventional_default_dq_cai_428"/>
    <x v="468"/>
    <n v="1.49"/>
    <n v="1"/>
    <n v="-40"/>
    <n v="940"/>
  </r>
  <r>
    <x v="51"/>
    <s v="conventional_default_dq_cai_429"/>
    <x v="469"/>
    <n v="1.49"/>
    <n v="1"/>
    <n v="-40"/>
    <n v="940"/>
  </r>
  <r>
    <x v="51"/>
    <s v="conventional_default_dq_cai_430"/>
    <x v="470"/>
    <n v="1.49"/>
    <n v="1"/>
    <n v="-40"/>
    <n v="940"/>
  </r>
  <r>
    <x v="51"/>
    <s v="conventional_default_dq_cai_431"/>
    <x v="471"/>
    <n v="1.49"/>
    <n v="1"/>
    <n v="-40"/>
    <n v="940"/>
  </r>
  <r>
    <x v="51"/>
    <s v="conventional_default_dq_cai_432"/>
    <x v="472"/>
    <n v="1.49"/>
    <n v="1"/>
    <n v="-40"/>
    <n v="940"/>
  </r>
  <r>
    <x v="51"/>
    <s v="conventional_default_dq_cai_433"/>
    <x v="473"/>
    <n v="1.49"/>
    <n v="1"/>
    <n v="-40"/>
    <n v="940"/>
  </r>
  <r>
    <x v="51"/>
    <s v="conventional_default_dq_cai_434"/>
    <x v="474"/>
    <n v="1.49"/>
    <n v="1"/>
    <n v="-40"/>
    <n v="940"/>
  </r>
  <r>
    <x v="51"/>
    <s v="conventional_default_dq_cai_435"/>
    <x v="475"/>
    <n v="1.49"/>
    <n v="1"/>
    <n v="-40"/>
    <n v="940"/>
  </r>
  <r>
    <x v="51"/>
    <s v="conventional_default_dq_cai_436"/>
    <x v="476"/>
    <n v="1.49"/>
    <n v="1"/>
    <n v="-40"/>
    <n v="940"/>
  </r>
  <r>
    <x v="51"/>
    <s v="conventional_default_dq_cai_437"/>
    <x v="477"/>
    <n v="1.49"/>
    <n v="1"/>
    <n v="-40"/>
    <n v="940"/>
  </r>
  <r>
    <x v="51"/>
    <s v="conventional_default_dq_cai_438"/>
    <x v="478"/>
    <n v="1.49"/>
    <n v="1"/>
    <n v="-40"/>
    <n v="940"/>
  </r>
  <r>
    <x v="51"/>
    <s v="conventional_default_dq_cai_439"/>
    <x v="479"/>
    <n v="1.49"/>
    <n v="1"/>
    <n v="-40"/>
    <n v="940"/>
  </r>
  <r>
    <x v="51"/>
    <s v="conventional_default_dq_cai_440"/>
    <x v="480"/>
    <n v="1.49"/>
    <n v="1"/>
    <n v="-40"/>
    <n v="940"/>
  </r>
  <r>
    <x v="51"/>
    <s v="conventional_default_dq_cai_441"/>
    <x v="481"/>
    <n v="1.49"/>
    <n v="1"/>
    <n v="-40"/>
    <n v="940"/>
  </r>
  <r>
    <x v="51"/>
    <s v="conventional_default_dq_cai_442"/>
    <x v="482"/>
    <n v="1.49"/>
    <n v="1"/>
    <n v="-40"/>
    <n v="940"/>
  </r>
  <r>
    <x v="51"/>
    <s v="conventional_default_dq_cai_443"/>
    <x v="483"/>
    <n v="1.49"/>
    <n v="1"/>
    <n v="-40"/>
    <n v="940"/>
  </r>
  <r>
    <x v="51"/>
    <s v="conventional_default_dq_cai_444"/>
    <x v="484"/>
    <n v="1.49"/>
    <n v="1"/>
    <n v="-40"/>
    <n v="940"/>
  </r>
  <r>
    <x v="51"/>
    <s v="conventional_default_dq_cai_445"/>
    <x v="485"/>
    <n v="1.49"/>
    <n v="1"/>
    <n v="-40"/>
    <n v="940"/>
  </r>
  <r>
    <x v="51"/>
    <s v="conventional_default_dq_cai_446"/>
    <x v="486"/>
    <n v="1.49"/>
    <n v="1"/>
    <n v="-40"/>
    <n v="940"/>
  </r>
  <r>
    <x v="51"/>
    <s v="conventional_default_dq_cai_447"/>
    <x v="487"/>
    <n v="1.49"/>
    <n v="1"/>
    <n v="-40"/>
    <n v="940"/>
  </r>
  <r>
    <x v="51"/>
    <s v="conventional_default_dq_cai_448"/>
    <x v="488"/>
    <n v="1.49"/>
    <n v="1"/>
    <n v="-40"/>
    <n v="940"/>
  </r>
  <r>
    <x v="51"/>
    <s v="conventional_default_dq_cai_449"/>
    <x v="489"/>
    <n v="1.49"/>
    <n v="1"/>
    <n v="-40"/>
    <n v="940"/>
  </r>
  <r>
    <x v="51"/>
    <s v="conventional_default_dq_cai_450"/>
    <x v="490"/>
    <n v="1.49"/>
    <n v="1"/>
    <n v="-40"/>
    <n v="940"/>
  </r>
  <r>
    <x v="51"/>
    <s v="conventional_default_dq_cai_451"/>
    <x v="491"/>
    <n v="1.49"/>
    <n v="1"/>
    <n v="-40"/>
    <n v="940"/>
  </r>
  <r>
    <x v="51"/>
    <s v="conventional_default_dq_cai_452"/>
    <x v="492"/>
    <n v="1.49"/>
    <n v="1"/>
    <n v="-40"/>
    <n v="940"/>
  </r>
  <r>
    <x v="51"/>
    <s v="conventional_default_dq_cai_453"/>
    <x v="493"/>
    <n v="1.49"/>
    <n v="1"/>
    <n v="-40"/>
    <n v="940"/>
  </r>
  <r>
    <x v="51"/>
    <s v="conventional_default_dq_cai_454"/>
    <x v="494"/>
    <n v="1.49"/>
    <n v="1"/>
    <n v="-40"/>
    <n v="940"/>
  </r>
  <r>
    <x v="51"/>
    <s v="conventional_default_dq_cai_455"/>
    <x v="495"/>
    <n v="1.49"/>
    <n v="1"/>
    <n v="-40"/>
    <n v="940"/>
  </r>
  <r>
    <x v="51"/>
    <s v="conventional_default_dq_cai_456"/>
    <x v="496"/>
    <n v="1.49"/>
    <n v="1"/>
    <n v="-40"/>
    <n v="940"/>
  </r>
  <r>
    <x v="51"/>
    <s v="conventional_default_dq_cai_457"/>
    <x v="497"/>
    <n v="1.49"/>
    <n v="1"/>
    <n v="-40"/>
    <n v="940"/>
  </r>
  <r>
    <x v="51"/>
    <s v="conventional_default_dq_cai_458"/>
    <x v="498"/>
    <n v="1.49"/>
    <n v="1"/>
    <n v="-40"/>
    <n v="940"/>
  </r>
  <r>
    <x v="51"/>
    <s v="conventional_default_dq_cai_459"/>
    <x v="499"/>
    <n v="1.49"/>
    <n v="1"/>
    <n v="-40"/>
    <n v="940"/>
  </r>
  <r>
    <x v="51"/>
    <s v="conventional_default_dq_cai_460"/>
    <x v="500"/>
    <n v="1.49"/>
    <n v="1"/>
    <n v="-40"/>
    <n v="940"/>
  </r>
  <r>
    <x v="51"/>
    <s v="conventional_default_dq_cai_461"/>
    <x v="501"/>
    <n v="1.49"/>
    <n v="1"/>
    <n v="-40"/>
    <n v="940"/>
  </r>
  <r>
    <x v="51"/>
    <s v="conventional_default_dq_cai_462"/>
    <x v="502"/>
    <n v="1.49"/>
    <n v="1"/>
    <n v="-40"/>
    <n v="940"/>
  </r>
  <r>
    <x v="51"/>
    <s v="conventional_default_dq_cai_463"/>
    <x v="503"/>
    <n v="1.49"/>
    <n v="1"/>
    <n v="-40"/>
    <n v="940"/>
  </r>
  <r>
    <x v="51"/>
    <s v="conventional_default_dq_cai_464"/>
    <x v="504"/>
    <n v="1.49"/>
    <n v="1"/>
    <n v="-40"/>
    <n v="940"/>
  </r>
  <r>
    <x v="51"/>
    <s v="conventional_default_dq_cai_465"/>
    <x v="505"/>
    <n v="1.49"/>
    <n v="1"/>
    <n v="-40"/>
    <n v="940"/>
  </r>
  <r>
    <x v="51"/>
    <s v="conventional_default_dq_cai_466"/>
    <x v="506"/>
    <n v="1.49"/>
    <n v="1"/>
    <n v="-40"/>
    <n v="940"/>
  </r>
  <r>
    <x v="51"/>
    <s v="conventional_default_dq_cai_467"/>
    <x v="507"/>
    <n v="1.49"/>
    <n v="1"/>
    <n v="-40"/>
    <n v="940"/>
  </r>
  <r>
    <x v="51"/>
    <s v="conventional_default_dq_cai_468"/>
    <x v="508"/>
    <n v="1.49"/>
    <n v="1"/>
    <n v="-40"/>
    <n v="940"/>
  </r>
  <r>
    <x v="51"/>
    <s v="conventional_default_dq_cai_469"/>
    <x v="509"/>
    <n v="1.49"/>
    <n v="1"/>
    <n v="-40"/>
    <n v="940"/>
  </r>
  <r>
    <x v="51"/>
    <s v="conventional_default_dq_cai_470"/>
    <x v="510"/>
    <n v="1.49"/>
    <n v="1"/>
    <n v="-40"/>
    <n v="940"/>
  </r>
  <r>
    <x v="51"/>
    <s v="conventional_default_dq_cai_471"/>
    <x v="511"/>
    <n v="1.49"/>
    <n v="1"/>
    <n v="-40"/>
    <n v="940"/>
  </r>
  <r>
    <x v="51"/>
    <s v="conventional_default_dq_cai_472"/>
    <x v="512"/>
    <n v="1.49"/>
    <n v="1"/>
    <n v="-40"/>
    <n v="940"/>
  </r>
  <r>
    <x v="51"/>
    <s v="conventional_default_dq_cai_473"/>
    <x v="513"/>
    <n v="1.49"/>
    <n v="1"/>
    <n v="-40"/>
    <n v="940"/>
  </r>
  <r>
    <x v="51"/>
    <s v="conventional_default_dq_cai_474"/>
    <x v="514"/>
    <n v="1.49"/>
    <n v="1"/>
    <n v="-40"/>
    <n v="940"/>
  </r>
  <r>
    <x v="51"/>
    <s v="conventional_default_dq_cai_475"/>
    <x v="515"/>
    <n v="1.49"/>
    <n v="1"/>
    <n v="-40"/>
    <n v="940"/>
  </r>
  <r>
    <x v="51"/>
    <s v="conventional_default_dq_cai_476"/>
    <x v="516"/>
    <n v="1.49"/>
    <n v="1"/>
    <n v="-40"/>
    <n v="940"/>
  </r>
  <r>
    <x v="51"/>
    <s v="conventional_default_dq_cai_477"/>
    <x v="517"/>
    <n v="1.49"/>
    <n v="1"/>
    <n v="-40"/>
    <n v="940"/>
  </r>
  <r>
    <x v="51"/>
    <s v="conventional_default_dq_cai_478"/>
    <x v="518"/>
    <n v="1.49"/>
    <n v="1"/>
    <n v="-40"/>
    <n v="940"/>
  </r>
  <r>
    <x v="51"/>
    <s v="conventional_default_dq_cai_479"/>
    <x v="519"/>
    <n v="1.49"/>
    <n v="1"/>
    <n v="-40"/>
    <n v="940"/>
  </r>
  <r>
    <x v="51"/>
    <s v="conventional_default_dq_cai_480"/>
    <x v="520"/>
    <n v="1.49"/>
    <n v="1"/>
    <n v="-40"/>
    <n v="940"/>
  </r>
  <r>
    <x v="51"/>
    <s v="conventional_default_dq_cai_481"/>
    <x v="521"/>
    <n v="1.49"/>
    <n v="1"/>
    <n v="-40"/>
    <n v="940"/>
  </r>
  <r>
    <x v="51"/>
    <s v="conventional_default_dq_cai_482"/>
    <x v="522"/>
    <n v="1.49"/>
    <n v="1"/>
    <n v="-40"/>
    <n v="940"/>
  </r>
  <r>
    <x v="51"/>
    <s v="conventional_default_dq_cai_483"/>
    <x v="523"/>
    <n v="1.49"/>
    <n v="1"/>
    <n v="-40"/>
    <n v="940"/>
  </r>
  <r>
    <x v="51"/>
    <s v="conventional_default_dq_cai_484"/>
    <x v="524"/>
    <n v="1.49"/>
    <n v="1"/>
    <n v="-40"/>
    <n v="940"/>
  </r>
  <r>
    <x v="51"/>
    <s v="conventional_default_dq_cai_485"/>
    <x v="525"/>
    <n v="1.49"/>
    <n v="1"/>
    <n v="-40"/>
    <n v="940"/>
  </r>
  <r>
    <x v="51"/>
    <s v="conventional_default_dq_cai_486"/>
    <x v="526"/>
    <n v="1.49"/>
    <n v="1"/>
    <n v="-40"/>
    <n v="940"/>
  </r>
  <r>
    <x v="51"/>
    <s v="conventional_default_dq_cai_487"/>
    <x v="527"/>
    <n v="1.49"/>
    <n v="1"/>
    <n v="-40"/>
    <n v="940"/>
  </r>
  <r>
    <x v="51"/>
    <s v="conventional_default_dq_cai_488"/>
    <x v="528"/>
    <n v="1.49"/>
    <n v="1"/>
    <n v="-40"/>
    <n v="940"/>
  </r>
  <r>
    <x v="51"/>
    <s v="conventional_default_dq_cai_489"/>
    <x v="529"/>
    <n v="1.49"/>
    <n v="1"/>
    <n v="-40"/>
    <n v="940"/>
  </r>
  <r>
    <x v="51"/>
    <s v="conventional_default_dq_cai_490"/>
    <x v="530"/>
    <n v="1.49"/>
    <n v="1"/>
    <n v="-40"/>
    <n v="940"/>
  </r>
  <r>
    <x v="51"/>
    <s v="conventional_default_dq_cai_491"/>
    <x v="531"/>
    <n v="1.49"/>
    <n v="1"/>
    <n v="-40"/>
    <n v="940"/>
  </r>
  <r>
    <x v="51"/>
    <s v="conventional_default_dq_cai_492"/>
    <x v="532"/>
    <n v="1.49"/>
    <n v="1"/>
    <n v="-40"/>
    <n v="940"/>
  </r>
  <r>
    <x v="51"/>
    <s v="conventional_default_dq_cai_493"/>
    <x v="533"/>
    <n v="1.49"/>
    <n v="1"/>
    <n v="-40"/>
    <n v="940"/>
  </r>
  <r>
    <x v="51"/>
    <s v="conventional_default_dq_cai_494"/>
    <x v="534"/>
    <n v="1.49"/>
    <n v="1"/>
    <n v="-40"/>
    <n v="940"/>
  </r>
  <r>
    <x v="51"/>
    <s v="conventional_default_dq_cai_495"/>
    <x v="535"/>
    <n v="1.49"/>
    <n v="1"/>
    <n v="-40"/>
    <n v="940"/>
  </r>
  <r>
    <x v="51"/>
    <s v="conventional_default_dq_cai_496"/>
    <x v="536"/>
    <n v="1.49"/>
    <n v="1"/>
    <n v="-40"/>
    <n v="940"/>
  </r>
  <r>
    <x v="51"/>
    <s v="conventional_default_dq_cai_497"/>
    <x v="537"/>
    <n v="1.49"/>
    <n v="1"/>
    <n v="-40"/>
    <n v="940"/>
  </r>
  <r>
    <x v="51"/>
    <s v="conventional_default_dq_cai_498"/>
    <x v="538"/>
    <n v="1.49"/>
    <n v="1"/>
    <n v="-40"/>
    <n v="940"/>
  </r>
  <r>
    <x v="51"/>
    <s v="conventional_default_dq_cai_499"/>
    <x v="539"/>
    <n v="1.49"/>
    <n v="1"/>
    <n v="-40"/>
    <n v="940"/>
  </r>
  <r>
    <x v="51"/>
    <s v="conventional_default_dq_cai_500"/>
    <x v="540"/>
    <n v="1.49"/>
    <n v="1"/>
    <n v="-40"/>
    <n v="940"/>
  </r>
  <r>
    <x v="51"/>
    <s v="conventional_default_dq_cai_501"/>
    <x v="541"/>
    <n v="1.49"/>
    <n v="1"/>
    <n v="-40"/>
    <n v="940"/>
  </r>
  <r>
    <x v="51"/>
    <s v="conventional_default_dq_cai_502"/>
    <x v="542"/>
    <n v="1.49"/>
    <n v="1"/>
    <n v="-40"/>
    <n v="940"/>
  </r>
  <r>
    <x v="51"/>
    <s v="conventional_default_dq_cai_503"/>
    <x v="543"/>
    <n v="1.49"/>
    <n v="1"/>
    <n v="-40"/>
    <n v="940"/>
  </r>
  <r>
    <x v="51"/>
    <s v="conventional_default_dq_cai_504"/>
    <x v="544"/>
    <n v="1.49"/>
    <n v="1"/>
    <n v="-40"/>
    <n v="940"/>
  </r>
  <r>
    <x v="51"/>
    <s v="conventional_default_dq_cai_505"/>
    <x v="545"/>
    <n v="1.49"/>
    <n v="1"/>
    <n v="-40"/>
    <n v="940"/>
  </r>
  <r>
    <x v="51"/>
    <s v="conventional_default_dq_cai_506"/>
    <x v="546"/>
    <n v="1.49"/>
    <n v="1"/>
    <n v="-40"/>
    <n v="940"/>
  </r>
  <r>
    <x v="51"/>
    <s v="conventional_default_dq_cai_507"/>
    <x v="547"/>
    <n v="1.49"/>
    <n v="1"/>
    <n v="-40"/>
    <n v="940"/>
  </r>
  <r>
    <x v="51"/>
    <s v="conventional_default_dq_cai_508"/>
    <x v="548"/>
    <n v="1.49"/>
    <n v="1"/>
    <n v="-40"/>
    <n v="940"/>
  </r>
  <r>
    <x v="51"/>
    <s v="conventional_default_dq_cai_509"/>
    <x v="549"/>
    <n v="1.49"/>
    <n v="1"/>
    <n v="-40"/>
    <n v="940"/>
  </r>
  <r>
    <x v="51"/>
    <s v="conventional_default_dq_cai_510"/>
    <x v="550"/>
    <n v="1.49"/>
    <n v="1"/>
    <n v="-40"/>
    <n v="940"/>
  </r>
  <r>
    <x v="51"/>
    <s v="conventional_default_dq_cai_511"/>
    <x v="551"/>
    <n v="1.49"/>
    <n v="1"/>
    <n v="-40"/>
    <n v="940"/>
  </r>
  <r>
    <x v="51"/>
    <s v="conventional_default_dq_cai_512"/>
    <x v="552"/>
    <n v="1.49"/>
    <n v="1"/>
    <n v="-40"/>
    <n v="940"/>
  </r>
  <r>
    <x v="51"/>
    <s v="conventional_default_dq_cai_513"/>
    <x v="553"/>
    <n v="1.49"/>
    <n v="1"/>
    <n v="-40"/>
    <n v="940"/>
  </r>
  <r>
    <x v="51"/>
    <s v="conventional_default_dq_cai_514"/>
    <x v="554"/>
    <n v="1.49"/>
    <n v="1"/>
    <n v="-40"/>
    <n v="940"/>
  </r>
  <r>
    <x v="51"/>
    <s v="conventional_default_dq_cai_515"/>
    <x v="555"/>
    <n v="1.49"/>
    <n v="1"/>
    <n v="-40"/>
    <n v="940"/>
  </r>
  <r>
    <x v="51"/>
    <s v="conventional_default_dq_cai_516"/>
    <x v="556"/>
    <n v="1.49"/>
    <n v="1"/>
    <n v="-40"/>
    <n v="940"/>
  </r>
  <r>
    <x v="51"/>
    <s v="conventional_default_dq_cai_517"/>
    <x v="557"/>
    <n v="1.49"/>
    <n v="1"/>
    <n v="-40"/>
    <n v="940"/>
  </r>
  <r>
    <x v="51"/>
    <s v="conventional_default_dq_cai_518"/>
    <x v="558"/>
    <n v="1.49"/>
    <n v="1"/>
    <n v="-40"/>
    <n v="940"/>
  </r>
  <r>
    <x v="51"/>
    <s v="conventional_default_dq_cai_519"/>
    <x v="559"/>
    <n v="1.49"/>
    <n v="1"/>
    <n v="-40"/>
    <n v="940"/>
  </r>
  <r>
    <x v="51"/>
    <s v="conventional_default_dq_cai_520"/>
    <x v="560"/>
    <n v="1.49"/>
    <n v="1"/>
    <n v="-40"/>
    <n v="940"/>
  </r>
  <r>
    <x v="51"/>
    <s v="conventional_default_dq_cai_521"/>
    <x v="561"/>
    <n v="1.49"/>
    <n v="1"/>
    <n v="-40"/>
    <n v="940"/>
  </r>
  <r>
    <x v="51"/>
    <s v="conventional_default_dq_cai_522"/>
    <x v="562"/>
    <n v="1.49"/>
    <n v="1"/>
    <n v="-40"/>
    <n v="940"/>
  </r>
  <r>
    <x v="51"/>
    <s v="conventional_default_dq_cai_523"/>
    <x v="563"/>
    <n v="1.49"/>
    <n v="1"/>
    <n v="-40"/>
    <n v="940"/>
  </r>
  <r>
    <x v="51"/>
    <s v="conventional_default_dq_cai_524"/>
    <x v="564"/>
    <n v="1.49"/>
    <n v="1"/>
    <n v="-40"/>
    <n v="940"/>
  </r>
  <r>
    <x v="51"/>
    <s v="conventional_default_dq_cai_525"/>
    <x v="565"/>
    <n v="1.49"/>
    <n v="1"/>
    <n v="-40"/>
    <n v="940"/>
  </r>
  <r>
    <x v="51"/>
    <s v="conventional_default_dq_cai_526"/>
    <x v="566"/>
    <n v="1.49"/>
    <n v="1"/>
    <n v="-40"/>
    <n v="940"/>
  </r>
  <r>
    <x v="51"/>
    <s v="conventional_default_dq_cai_527"/>
    <x v="567"/>
    <n v="1.49"/>
    <n v="1"/>
    <n v="-40"/>
    <n v="940"/>
  </r>
  <r>
    <x v="51"/>
    <s v="conventional_default_dq_cai_528"/>
    <x v="568"/>
    <n v="1.49"/>
    <n v="1"/>
    <n v="-40"/>
    <n v="940"/>
  </r>
  <r>
    <x v="51"/>
    <s v="conventional_default_dq_cai_529"/>
    <x v="569"/>
    <n v="1.49"/>
    <n v="1"/>
    <n v="-40"/>
    <n v="940"/>
  </r>
  <r>
    <x v="51"/>
    <s v="conventional_default_dq_cai_530"/>
    <x v="570"/>
    <n v="1.49"/>
    <n v="1"/>
    <n v="-40"/>
    <n v="940"/>
  </r>
  <r>
    <x v="51"/>
    <s v="conventional_default_dq_cai_531"/>
    <x v="571"/>
    <n v="1.49"/>
    <n v="1"/>
    <n v="-40"/>
    <n v="940"/>
  </r>
  <r>
    <x v="51"/>
    <s v="conventional_default_dq_cai_532"/>
    <x v="572"/>
    <n v="1.49"/>
    <n v="1"/>
    <n v="-40"/>
    <n v="940"/>
  </r>
  <r>
    <x v="51"/>
    <s v="conventional_default_dq_cai_533"/>
    <x v="573"/>
    <n v="1.49"/>
    <n v="1"/>
    <n v="-40"/>
    <n v="940"/>
  </r>
  <r>
    <x v="51"/>
    <s v="conventional_default_dq_cai_534"/>
    <x v="574"/>
    <n v="1.49"/>
    <n v="1"/>
    <n v="-40"/>
    <n v="940"/>
  </r>
  <r>
    <x v="51"/>
    <s v="conventional_default_dq_cai_535"/>
    <x v="575"/>
    <n v="1.49"/>
    <n v="1"/>
    <n v="-40"/>
    <n v="940"/>
  </r>
  <r>
    <x v="51"/>
    <s v="conventional_default_dq_cai_536"/>
    <x v="576"/>
    <n v="1.49"/>
    <n v="1"/>
    <n v="-40"/>
    <n v="940"/>
  </r>
  <r>
    <x v="51"/>
    <s v="conventional_default_dq_cai_537"/>
    <x v="577"/>
    <n v="1.49"/>
    <n v="1"/>
    <n v="-40"/>
    <n v="940"/>
  </r>
  <r>
    <x v="51"/>
    <s v="conventional_default_dq_cai_538"/>
    <x v="578"/>
    <n v="1.49"/>
    <n v="1"/>
    <n v="-40"/>
    <n v="940"/>
  </r>
  <r>
    <x v="51"/>
    <s v="conventional_default_dq_cai_539"/>
    <x v="579"/>
    <n v="1.49"/>
    <n v="1"/>
    <n v="-40"/>
    <n v="940"/>
  </r>
  <r>
    <x v="51"/>
    <s v="conventional_default_dq_cai_540"/>
    <x v="580"/>
    <n v="1.49"/>
    <n v="1"/>
    <n v="-40"/>
    <n v="940"/>
  </r>
  <r>
    <x v="51"/>
    <s v="conventional_default_dq_cai_541"/>
    <x v="581"/>
    <n v="1.49"/>
    <n v="1"/>
    <n v="-40"/>
    <n v="940"/>
  </r>
  <r>
    <x v="51"/>
    <s v="conventional_default_dq_cai_542"/>
    <x v="582"/>
    <n v="1.49"/>
    <n v="1"/>
    <n v="-40"/>
    <n v="940"/>
  </r>
  <r>
    <x v="51"/>
    <s v="conventional_default_dq_cai_543"/>
    <x v="583"/>
    <n v="1.49"/>
    <n v="1"/>
    <n v="-40"/>
    <n v="940"/>
  </r>
  <r>
    <x v="51"/>
    <s v="conventional_default_dq_cai_544"/>
    <x v="584"/>
    <n v="1.49"/>
    <n v="1"/>
    <n v="-40"/>
    <n v="940"/>
  </r>
  <r>
    <x v="51"/>
    <s v="conventional_default_dq_cai_545"/>
    <x v="585"/>
    <n v="1.49"/>
    <n v="1"/>
    <n v="-40"/>
    <n v="940"/>
  </r>
  <r>
    <x v="51"/>
    <s v="conventional_default_dq_cai_546"/>
    <x v="586"/>
    <n v="1.49"/>
    <n v="1"/>
    <n v="-40"/>
    <n v="940"/>
  </r>
  <r>
    <x v="51"/>
    <s v="conventional_default_dq_cai_547"/>
    <x v="587"/>
    <n v="1.49"/>
    <n v="1"/>
    <n v="-40"/>
    <n v="940"/>
  </r>
  <r>
    <x v="51"/>
    <s v="conventional_default_dq_cai_548"/>
    <x v="588"/>
    <n v="1.49"/>
    <n v="1"/>
    <n v="-40"/>
    <n v="940"/>
  </r>
  <r>
    <x v="51"/>
    <s v="conventional_default_dq_cai_549"/>
    <x v="589"/>
    <n v="1.49"/>
    <n v="1"/>
    <n v="-40"/>
    <n v="940"/>
  </r>
  <r>
    <x v="51"/>
    <s v="conventional_default_dq_cai_550"/>
    <x v="590"/>
    <n v="1.49"/>
    <n v="1"/>
    <n v="-40"/>
    <n v="940"/>
  </r>
  <r>
    <x v="51"/>
    <s v="conventional_default_dq_cai_551"/>
    <x v="591"/>
    <n v="1.49"/>
    <n v="1"/>
    <n v="-40"/>
    <n v="940"/>
  </r>
  <r>
    <x v="51"/>
    <s v="conventional_default_dq_cai_552"/>
    <x v="592"/>
    <n v="1.49"/>
    <n v="1"/>
    <n v="-40"/>
    <n v="940"/>
  </r>
  <r>
    <x v="51"/>
    <s v="conventional_default_dq_cai_553"/>
    <x v="593"/>
    <n v="1.49"/>
    <n v="1"/>
    <n v="-40"/>
    <n v="940"/>
  </r>
  <r>
    <x v="51"/>
    <s v="conventional_default_dq_cai_554"/>
    <x v="594"/>
    <n v="1.49"/>
    <n v="1"/>
    <n v="-40"/>
    <n v="940"/>
  </r>
  <r>
    <x v="51"/>
    <s v="conventional_default_dq_cai_555"/>
    <x v="595"/>
    <n v="1.49"/>
    <n v="1"/>
    <n v="-40"/>
    <n v="940"/>
  </r>
  <r>
    <x v="51"/>
    <s v="conventional_default_dq_cai_556"/>
    <x v="596"/>
    <n v="1.49"/>
    <n v="1"/>
    <n v="-40"/>
    <n v="940"/>
  </r>
  <r>
    <x v="51"/>
    <s v="conventional_default_dq_cai_557"/>
    <x v="597"/>
    <n v="1.49"/>
    <n v="1"/>
    <n v="-40"/>
    <n v="940"/>
  </r>
  <r>
    <x v="51"/>
    <s v="conventional_default_dq_cai_558"/>
    <x v="598"/>
    <n v="1.49"/>
    <n v="1"/>
    <n v="-40"/>
    <n v="940"/>
  </r>
  <r>
    <x v="51"/>
    <s v="conventional_default_dq_cai_559"/>
    <x v="599"/>
    <n v="1.49"/>
    <n v="1"/>
    <n v="-40"/>
    <n v="940"/>
  </r>
  <r>
    <x v="51"/>
    <s v="conventional_default_dq_cai_560"/>
    <x v="600"/>
    <n v="1.49"/>
    <n v="1"/>
    <n v="-40"/>
    <n v="940"/>
  </r>
  <r>
    <x v="51"/>
    <s v="conventional_default_dq_cai_561"/>
    <x v="601"/>
    <n v="1.49"/>
    <n v="1"/>
    <n v="-40"/>
    <n v="940"/>
  </r>
  <r>
    <x v="51"/>
    <s v="conventional_default_dq_cai_562"/>
    <x v="602"/>
    <n v="1.49"/>
    <n v="1"/>
    <n v="-40"/>
    <n v="940"/>
  </r>
  <r>
    <x v="51"/>
    <s v="conventional_default_dq_cai_563"/>
    <x v="603"/>
    <n v="1.49"/>
    <n v="1"/>
    <n v="-40"/>
    <n v="940"/>
  </r>
  <r>
    <x v="51"/>
    <s v="conventional_default_dq_cai_564"/>
    <x v="604"/>
    <n v="1.49"/>
    <n v="1"/>
    <n v="-40"/>
    <n v="940"/>
  </r>
  <r>
    <x v="51"/>
    <s v="conventional_default_dq_cai_565"/>
    <x v="605"/>
    <n v="1.49"/>
    <n v="1"/>
    <n v="-40"/>
    <n v="940"/>
  </r>
  <r>
    <x v="51"/>
    <s v="conventional_default_dq_cai_566"/>
    <x v="606"/>
    <n v="1.49"/>
    <n v="1"/>
    <n v="-40"/>
    <n v="940"/>
  </r>
  <r>
    <x v="51"/>
    <s v="conventional_default_dq_cai_567"/>
    <x v="607"/>
    <n v="1.49"/>
    <n v="1"/>
    <n v="-40"/>
    <n v="940"/>
  </r>
  <r>
    <x v="51"/>
    <s v="conventional_default_dq_cai_568"/>
    <x v="608"/>
    <n v="1.49"/>
    <n v="1"/>
    <n v="-40"/>
    <n v="940"/>
  </r>
  <r>
    <x v="51"/>
    <s v="conventional_default_dq_cai_569"/>
    <x v="609"/>
    <n v="1.49"/>
    <n v="1"/>
    <n v="-40"/>
    <n v="940"/>
  </r>
  <r>
    <x v="51"/>
    <s v="conventional_default_dq_cai_570"/>
    <x v="610"/>
    <n v="1.49"/>
    <n v="1"/>
    <n v="-40"/>
    <n v="940"/>
  </r>
  <r>
    <x v="51"/>
    <s v="conventional_default_dq_cai_571"/>
    <x v="611"/>
    <n v="1.49"/>
    <n v="1"/>
    <n v="-40"/>
    <n v="940"/>
  </r>
  <r>
    <x v="51"/>
    <s v="conventional_default_dq_cai_572"/>
    <x v="612"/>
    <n v="1.49"/>
    <n v="1"/>
    <n v="-40"/>
    <n v="940"/>
  </r>
  <r>
    <x v="51"/>
    <s v="conventional_default_dq_cai_573"/>
    <x v="613"/>
    <n v="1.49"/>
    <n v="1"/>
    <n v="-40"/>
    <n v="940"/>
  </r>
  <r>
    <x v="51"/>
    <s v="conventional_default_dq_cai_574"/>
    <x v="614"/>
    <n v="1.49"/>
    <n v="1"/>
    <n v="-40"/>
    <n v="940"/>
  </r>
  <r>
    <x v="51"/>
    <s v="conventional_default_dq_cai_575"/>
    <x v="615"/>
    <n v="1.49"/>
    <n v="1"/>
    <n v="-40"/>
    <n v="940"/>
  </r>
  <r>
    <x v="51"/>
    <s v="conventional_default_dq_cai_576"/>
    <x v="616"/>
    <n v="1.49"/>
    <n v="1"/>
    <n v="-40"/>
    <n v="940"/>
  </r>
  <r>
    <x v="51"/>
    <s v="conventional_default_dq_cai_577"/>
    <x v="617"/>
    <n v="1.49"/>
    <n v="1"/>
    <n v="-40"/>
    <n v="940"/>
  </r>
  <r>
    <x v="51"/>
    <s v="conventional_default_dq_cai_578"/>
    <x v="618"/>
    <n v="1.49"/>
    <n v="1"/>
    <n v="-40"/>
    <n v="940"/>
  </r>
  <r>
    <x v="51"/>
    <s v="conventional_default_dq_cai_579"/>
    <x v="619"/>
    <n v="1.49"/>
    <n v="1"/>
    <n v="-40"/>
    <n v="940"/>
  </r>
  <r>
    <x v="51"/>
    <s v="conventional_default_dq_cai_580"/>
    <x v="620"/>
    <n v="1.49"/>
    <n v="1"/>
    <n v="-40"/>
    <n v="940"/>
  </r>
  <r>
    <x v="51"/>
    <s v="conventional_default_dq_cai_581"/>
    <x v="621"/>
    <n v="1.49"/>
    <n v="1"/>
    <n v="-40"/>
    <n v="940"/>
  </r>
  <r>
    <x v="51"/>
    <s v="conventional_default_dq_cai_582"/>
    <x v="622"/>
    <n v="1.49"/>
    <n v="1"/>
    <n v="-40"/>
    <n v="940"/>
  </r>
  <r>
    <x v="51"/>
    <s v="conventional_default_dq_cai_583"/>
    <x v="623"/>
    <n v="1.49"/>
    <n v="1"/>
    <n v="-40"/>
    <n v="940"/>
  </r>
  <r>
    <x v="51"/>
    <s v="conventional_default_dq_cai_584"/>
    <x v="624"/>
    <n v="1.49"/>
    <n v="1"/>
    <n v="-40"/>
    <n v="940"/>
  </r>
  <r>
    <x v="51"/>
    <s v="conventional_default_dq_cai_585"/>
    <x v="625"/>
    <n v="1.49"/>
    <n v="1"/>
    <n v="-40"/>
    <n v="940"/>
  </r>
  <r>
    <x v="51"/>
    <s v="conventional_default_dq_cai_586"/>
    <x v="626"/>
    <n v="1.49"/>
    <n v="1"/>
    <n v="-40"/>
    <n v="940"/>
  </r>
  <r>
    <x v="51"/>
    <s v="conventional_default_dq_cai_587"/>
    <x v="627"/>
    <n v="1.49"/>
    <n v="1"/>
    <n v="-40"/>
    <n v="940"/>
  </r>
  <r>
    <x v="51"/>
    <s v="conventional_default_dq_cai_588"/>
    <x v="628"/>
    <n v="1.49"/>
    <n v="1"/>
    <n v="-40"/>
    <n v="940"/>
  </r>
  <r>
    <x v="51"/>
    <s v="conventional_default_dq_cai_589"/>
    <x v="629"/>
    <n v="1.49"/>
    <n v="1"/>
    <n v="-40"/>
    <n v="940"/>
  </r>
  <r>
    <x v="51"/>
    <s v="conventional_default_dq_cai_590"/>
    <x v="630"/>
    <n v="1.49"/>
    <n v="1"/>
    <n v="-40"/>
    <n v="940"/>
  </r>
  <r>
    <x v="51"/>
    <s v="conventional_default_dq_cai_591"/>
    <x v="631"/>
    <n v="1.49"/>
    <n v="1"/>
    <n v="-40"/>
    <n v="940"/>
  </r>
  <r>
    <x v="51"/>
    <s v="conventional_default_dq_cai_592"/>
    <x v="632"/>
    <n v="1.49"/>
    <n v="1"/>
    <n v="-40"/>
    <n v="940"/>
  </r>
  <r>
    <x v="51"/>
    <s v="conventional_default_dq_cai_593"/>
    <x v="633"/>
    <n v="1.49"/>
    <n v="1"/>
    <n v="-40"/>
    <n v="940"/>
  </r>
  <r>
    <x v="51"/>
    <s v="conventional_default_dq_cai_594"/>
    <x v="634"/>
    <n v="1.49"/>
    <n v="1"/>
    <n v="-40"/>
    <n v="940"/>
  </r>
  <r>
    <x v="51"/>
    <s v="conventional_default_dq_cai_595"/>
    <x v="635"/>
    <n v="1.49"/>
    <n v="1"/>
    <n v="-40"/>
    <n v="940"/>
  </r>
  <r>
    <x v="51"/>
    <s v="conventional_default_dq_cai_596"/>
    <x v="636"/>
    <n v="1.49"/>
    <n v="1"/>
    <n v="-40"/>
    <n v="940"/>
  </r>
  <r>
    <x v="51"/>
    <s v="conventional_default_dq_cai_597"/>
    <x v="637"/>
    <n v="1.49"/>
    <n v="1"/>
    <n v="-40"/>
    <n v="940"/>
  </r>
  <r>
    <x v="51"/>
    <s v="conventional_default_dq_cai_598"/>
    <x v="638"/>
    <n v="1.49"/>
    <n v="1"/>
    <n v="-40"/>
    <n v="940"/>
  </r>
  <r>
    <x v="51"/>
    <s v="conventional_default_dq_cai_599"/>
    <x v="639"/>
    <n v="1.49"/>
    <n v="1"/>
    <n v="-40"/>
    <n v="940"/>
  </r>
  <r>
    <x v="51"/>
    <s v="conventional_default_dq_cai_600"/>
    <x v="640"/>
    <n v="1.49"/>
    <n v="1"/>
    <n v="-40"/>
    <n v="940"/>
  </r>
  <r>
    <x v="51"/>
    <s v="conventional_default_dq_cai_601"/>
    <x v="641"/>
    <n v="1.49"/>
    <n v="1"/>
    <n v="-40"/>
    <n v="940"/>
  </r>
  <r>
    <x v="51"/>
    <s v="conventional_default_dq_cai_602"/>
    <x v="642"/>
    <n v="1.49"/>
    <n v="1"/>
    <n v="-40"/>
    <n v="940"/>
  </r>
  <r>
    <x v="51"/>
    <s v="conventional_default_dq_cai_603"/>
    <x v="643"/>
    <n v="1.49"/>
    <n v="1"/>
    <n v="-40"/>
    <n v="940"/>
  </r>
  <r>
    <x v="51"/>
    <s v="conventional_default_dq_cai_604"/>
    <x v="644"/>
    <n v="1.49"/>
    <n v="1"/>
    <n v="-40"/>
    <n v="940"/>
  </r>
  <r>
    <x v="51"/>
    <s v="conventional_default_dq_cai_605"/>
    <x v="645"/>
    <n v="1.49"/>
    <n v="1"/>
    <n v="-40"/>
    <n v="940"/>
  </r>
  <r>
    <x v="51"/>
    <s v="conventional_default_dq_cai_606"/>
    <x v="646"/>
    <n v="1.49"/>
    <n v="1"/>
    <n v="-40"/>
    <n v="940"/>
  </r>
  <r>
    <x v="51"/>
    <s v="conventional_default_dq_cai_607"/>
    <x v="647"/>
    <n v="1.49"/>
    <n v="1"/>
    <n v="-40"/>
    <n v="940"/>
  </r>
  <r>
    <x v="51"/>
    <s v="conventional_default_dq_cai_608"/>
    <x v="648"/>
    <n v="1.49"/>
    <n v="1"/>
    <n v="-40"/>
    <n v="940"/>
  </r>
  <r>
    <x v="51"/>
    <s v="conventional_default_dq_cai_609"/>
    <x v="649"/>
    <n v="1.49"/>
    <n v="1"/>
    <n v="-40"/>
    <n v="940"/>
  </r>
  <r>
    <x v="51"/>
    <s v="conventional_default_dq_cai_610"/>
    <x v="650"/>
    <n v="1.49"/>
    <n v="1"/>
    <n v="-40"/>
    <n v="940"/>
  </r>
  <r>
    <x v="51"/>
    <s v="conventional_default_dq_cai_611"/>
    <x v="651"/>
    <n v="1.49"/>
    <n v="1"/>
    <n v="-40"/>
    <n v="940"/>
  </r>
  <r>
    <x v="51"/>
    <s v="conventional_default_dq_cai_612"/>
    <x v="652"/>
    <n v="1.49"/>
    <n v="1"/>
    <n v="-40"/>
    <n v="940"/>
  </r>
  <r>
    <x v="51"/>
    <s v="conventional_default_dq_cai_613"/>
    <x v="653"/>
    <n v="1.49"/>
    <n v="1"/>
    <n v="-40"/>
    <n v="940"/>
  </r>
  <r>
    <x v="51"/>
    <s v="conventional_default_dq_cai_614"/>
    <x v="654"/>
    <n v="1.49"/>
    <n v="1"/>
    <n v="-40"/>
    <n v="940"/>
  </r>
  <r>
    <x v="51"/>
    <s v="conventional_default_dq_cai_615"/>
    <x v="655"/>
    <n v="1.49"/>
    <n v="1"/>
    <n v="-40"/>
    <n v="940"/>
  </r>
  <r>
    <x v="51"/>
    <s v="conventional_default_dq_cai_616"/>
    <x v="656"/>
    <n v="1.49"/>
    <n v="1"/>
    <n v="-40"/>
    <n v="940"/>
  </r>
  <r>
    <x v="51"/>
    <s v="conventional_default_dq_cai_617"/>
    <x v="657"/>
    <n v="1.49"/>
    <n v="1"/>
    <n v="-40"/>
    <n v="940"/>
  </r>
  <r>
    <x v="51"/>
    <s v="conventional_default_dq_cai_618"/>
    <x v="658"/>
    <n v="1.49"/>
    <n v="1"/>
    <n v="-40"/>
    <n v="940"/>
  </r>
  <r>
    <x v="51"/>
    <s v="conventional_default_dq_cai_619"/>
    <x v="659"/>
    <n v="1.49"/>
    <n v="1"/>
    <n v="-40"/>
    <n v="940"/>
  </r>
  <r>
    <x v="51"/>
    <s v="conventional_default_dq_cai_620"/>
    <x v="660"/>
    <n v="1.49"/>
    <n v="1"/>
    <n v="-40"/>
    <n v="940"/>
  </r>
  <r>
    <x v="51"/>
    <s v="conventional_default_dq_cai_621"/>
    <x v="661"/>
    <n v="1.49"/>
    <n v="1"/>
    <n v="-40"/>
    <n v="940"/>
  </r>
  <r>
    <x v="51"/>
    <s v="conventional_default_dq_cai_622"/>
    <x v="662"/>
    <n v="1.49"/>
    <n v="1"/>
    <n v="-40"/>
    <n v="940"/>
  </r>
  <r>
    <x v="51"/>
    <s v="conventional_default_dq_cai_623"/>
    <x v="663"/>
    <n v="1.49"/>
    <n v="1"/>
    <n v="-40"/>
    <n v="940"/>
  </r>
  <r>
    <x v="51"/>
    <s v="conventional_default_dq_cai_624"/>
    <x v="664"/>
    <n v="1.49"/>
    <n v="1"/>
    <n v="-40"/>
    <n v="940"/>
  </r>
  <r>
    <x v="51"/>
    <s v="conventional_default_dq_cai_625"/>
    <x v="665"/>
    <n v="1.49"/>
    <n v="1"/>
    <n v="-40"/>
    <n v="940"/>
  </r>
  <r>
    <x v="51"/>
    <s v="conventional_default_dq_cai_626"/>
    <x v="666"/>
    <n v="1.49"/>
    <n v="1"/>
    <n v="-40"/>
    <n v="940"/>
  </r>
  <r>
    <x v="51"/>
    <s v="conventional_default_dq_cai_627"/>
    <x v="667"/>
    <n v="1.49"/>
    <n v="1"/>
    <n v="-40"/>
    <n v="940"/>
  </r>
  <r>
    <x v="51"/>
    <s v="conventional_default_dq_cai_628"/>
    <x v="668"/>
    <n v="1.49"/>
    <n v="1"/>
    <n v="-40"/>
    <n v="940"/>
  </r>
  <r>
    <x v="51"/>
    <s v="conventional_default_dq_cai_629"/>
    <x v="669"/>
    <n v="1.49"/>
    <n v="1"/>
    <n v="-40"/>
    <n v="940"/>
  </r>
  <r>
    <x v="51"/>
    <s v="conventional_default_dq_cai_630"/>
    <x v="670"/>
    <n v="1.49"/>
    <n v="1"/>
    <n v="-40"/>
    <n v="940"/>
  </r>
  <r>
    <x v="51"/>
    <s v="conventional_default_dq_cai_631"/>
    <x v="671"/>
    <n v="1.49"/>
    <n v="1"/>
    <n v="-40"/>
    <n v="940"/>
  </r>
  <r>
    <x v="51"/>
    <s v="conventional_default_dq_cai_632"/>
    <x v="672"/>
    <n v="1.49"/>
    <n v="1"/>
    <n v="-40"/>
    <n v="940"/>
  </r>
  <r>
    <x v="51"/>
    <s v="conventional_default_dq_cai_633"/>
    <x v="673"/>
    <n v="1.49"/>
    <n v="1"/>
    <n v="-40"/>
    <n v="940"/>
  </r>
  <r>
    <x v="51"/>
    <s v="conventional_default_dq_cai_634"/>
    <x v="674"/>
    <n v="1.49"/>
    <n v="1"/>
    <n v="-40"/>
    <n v="940"/>
  </r>
  <r>
    <x v="51"/>
    <s v="conventional_default_dq_cai_635"/>
    <x v="675"/>
    <n v="1.49"/>
    <n v="1"/>
    <n v="-40"/>
    <n v="940"/>
  </r>
  <r>
    <x v="51"/>
    <s v="conventional_default_dq_cai_636"/>
    <x v="676"/>
    <n v="1.49"/>
    <n v="1"/>
    <n v="-40"/>
    <n v="940"/>
  </r>
  <r>
    <x v="51"/>
    <s v="conventional_default_dq_cai_637"/>
    <x v="677"/>
    <n v="1.49"/>
    <n v="1"/>
    <n v="-40"/>
    <n v="940"/>
  </r>
  <r>
    <x v="51"/>
    <s v="conventional_default_dq_cai_638"/>
    <x v="678"/>
    <n v="1.49"/>
    <n v="1"/>
    <n v="-40"/>
    <n v="940"/>
  </r>
  <r>
    <x v="51"/>
    <s v="conventional_default_dq_cai_639"/>
    <x v="679"/>
    <n v="1.49"/>
    <n v="1"/>
    <n v="-40"/>
    <n v="940"/>
  </r>
  <r>
    <x v="51"/>
    <s v="conventional_default_dq_cai_640"/>
    <x v="680"/>
    <n v="1.49"/>
    <n v="1"/>
    <n v="-40"/>
    <n v="940"/>
  </r>
  <r>
    <x v="51"/>
    <s v="conventional_default_dq_cai_641"/>
    <x v="681"/>
    <n v="1.49"/>
    <n v="1"/>
    <n v="-40"/>
    <n v="940"/>
  </r>
  <r>
    <x v="51"/>
    <s v="conventional_default_dq_cai_642"/>
    <x v="682"/>
    <n v="1.49"/>
    <n v="1"/>
    <n v="-40"/>
    <n v="940"/>
  </r>
  <r>
    <x v="51"/>
    <s v="conventional_default_dq_cai_643"/>
    <x v="683"/>
    <n v="1.49"/>
    <n v="1"/>
    <n v="-40"/>
    <n v="940"/>
  </r>
  <r>
    <x v="51"/>
    <s v="conventional_default_dq_cai_644"/>
    <x v="684"/>
    <n v="1.49"/>
    <n v="1"/>
    <n v="-40"/>
    <n v="940"/>
  </r>
  <r>
    <x v="51"/>
    <s v="conventional_default_dq_cai_645"/>
    <x v="685"/>
    <n v="1.49"/>
    <n v="1"/>
    <n v="-40"/>
    <n v="940"/>
  </r>
  <r>
    <x v="51"/>
    <s v="conventional_default_dq_cai_646"/>
    <x v="686"/>
    <n v="1.49"/>
    <n v="1"/>
    <n v="-40"/>
    <n v="940"/>
  </r>
  <r>
    <x v="51"/>
    <s v="conventional_default_dq_cai_647"/>
    <x v="687"/>
    <n v="1.49"/>
    <n v="1"/>
    <n v="-40"/>
    <n v="940"/>
  </r>
  <r>
    <x v="51"/>
    <s v="conventional_default_dq_cai_648"/>
    <x v="688"/>
    <n v="1.49"/>
    <n v="1"/>
    <n v="-40"/>
    <n v="940"/>
  </r>
  <r>
    <x v="51"/>
    <s v="conventional_default_dq_cai_649"/>
    <x v="689"/>
    <n v="1.49"/>
    <n v="1"/>
    <n v="-40"/>
    <n v="940"/>
  </r>
  <r>
    <x v="51"/>
    <s v="conventional_default_dq_cai_650"/>
    <x v="690"/>
    <n v="1.49"/>
    <n v="1"/>
    <n v="-40"/>
    <n v="940"/>
  </r>
  <r>
    <x v="51"/>
    <s v="conventional_default_dq_cai_651"/>
    <x v="691"/>
    <n v="1.49"/>
    <n v="1"/>
    <n v="-40"/>
    <n v="940"/>
  </r>
  <r>
    <x v="51"/>
    <s v="conventional_default_dq_cai_652"/>
    <x v="692"/>
    <n v="1.49"/>
    <n v="1"/>
    <n v="-40"/>
    <n v="940"/>
  </r>
  <r>
    <x v="51"/>
    <s v="conventional_default_dq_cai_653"/>
    <x v="693"/>
    <n v="1.49"/>
    <n v="1"/>
    <n v="-40"/>
    <n v="940"/>
  </r>
  <r>
    <x v="51"/>
    <s v="conventional_default_dq_cai_654"/>
    <x v="694"/>
    <n v="1.49"/>
    <n v="1"/>
    <n v="-40"/>
    <n v="940"/>
  </r>
  <r>
    <x v="51"/>
    <s v="conventional_default_dq_cai_655"/>
    <x v="695"/>
    <n v="1.49"/>
    <n v="1"/>
    <n v="-40"/>
    <n v="940"/>
  </r>
  <r>
    <x v="51"/>
    <s v="conventional_default_dq_cai_656"/>
    <x v="696"/>
    <n v="1.49"/>
    <n v="1"/>
    <n v="-40"/>
    <n v="940"/>
  </r>
  <r>
    <x v="51"/>
    <s v="conventional_default_dq_cai_657"/>
    <x v="697"/>
    <n v="1.49"/>
    <n v="1"/>
    <n v="-40"/>
    <n v="940"/>
  </r>
  <r>
    <x v="51"/>
    <s v="conventional_default_dq_cai_658"/>
    <x v="698"/>
    <n v="1.49"/>
    <n v="1"/>
    <n v="-40"/>
    <n v="940"/>
  </r>
  <r>
    <x v="51"/>
    <s v="conventional_default_dq_cai_659"/>
    <x v="699"/>
    <n v="1.49"/>
    <n v="1"/>
    <n v="-40"/>
    <n v="940"/>
  </r>
  <r>
    <x v="51"/>
    <s v="conventional_default_dq_cai_660"/>
    <x v="700"/>
    <n v="1.49"/>
    <n v="1"/>
    <n v="-40"/>
    <n v="940"/>
  </r>
  <r>
    <x v="51"/>
    <s v="conventional_default_dq_cai_661"/>
    <x v="701"/>
    <n v="1.49"/>
    <n v="1"/>
    <n v="-40"/>
    <n v="940"/>
  </r>
  <r>
    <x v="51"/>
    <s v="conventional_default_dq_cai_662"/>
    <x v="702"/>
    <n v="1.49"/>
    <n v="1"/>
    <n v="-40"/>
    <n v="940"/>
  </r>
  <r>
    <x v="51"/>
    <s v="conventional_default_dq_cai_663"/>
    <x v="703"/>
    <n v="1.49"/>
    <n v="1"/>
    <n v="-40"/>
    <n v="940"/>
  </r>
  <r>
    <x v="51"/>
    <s v="conventional_default_dq_cai_664"/>
    <x v="704"/>
    <n v="1.49"/>
    <n v="1"/>
    <n v="-40"/>
    <n v="940"/>
  </r>
  <r>
    <x v="51"/>
    <s v="conventional_default_dq_cai_665"/>
    <x v="705"/>
    <n v="1.49"/>
    <n v="1"/>
    <n v="-40"/>
    <n v="940"/>
  </r>
  <r>
    <x v="51"/>
    <s v="conventional_default_dq_cai_666"/>
    <x v="706"/>
    <n v="1.49"/>
    <n v="1"/>
    <n v="-40"/>
    <n v="940"/>
  </r>
  <r>
    <x v="51"/>
    <s v="conventional_default_dq_cai_667"/>
    <x v="707"/>
    <n v="1.49"/>
    <n v="1"/>
    <n v="-40"/>
    <n v="940"/>
  </r>
  <r>
    <x v="51"/>
    <s v="conventional_default_dq_cai_668"/>
    <x v="708"/>
    <n v="1.49"/>
    <n v="1"/>
    <n v="-40"/>
    <n v="940"/>
  </r>
  <r>
    <x v="51"/>
    <s v="conventional_default_dq_cai_669"/>
    <x v="709"/>
    <n v="1.49"/>
    <n v="1"/>
    <n v="-40"/>
    <n v="940"/>
  </r>
  <r>
    <x v="51"/>
    <s v="conventional_default_dq_cai_670"/>
    <x v="710"/>
    <n v="1.49"/>
    <n v="1"/>
    <n v="-40"/>
    <n v="940"/>
  </r>
  <r>
    <x v="51"/>
    <s v="conventional_default_dq_cai_671"/>
    <x v="711"/>
    <n v="1.49"/>
    <n v="1"/>
    <n v="-40"/>
    <n v="940"/>
  </r>
  <r>
    <x v="51"/>
    <s v="conventional_default_dq_cai_672"/>
    <x v="712"/>
    <n v="1.49"/>
    <n v="1"/>
    <n v="-40"/>
    <n v="940"/>
  </r>
  <r>
    <x v="51"/>
    <s v="conventional_default_dq_cai_673"/>
    <x v="713"/>
    <n v="1.49"/>
    <n v="1"/>
    <n v="-40"/>
    <n v="940"/>
  </r>
  <r>
    <x v="51"/>
    <s v="conventional_default_dq_cai_674"/>
    <x v="714"/>
    <n v="1.49"/>
    <n v="1"/>
    <n v="-40"/>
    <n v="940"/>
  </r>
  <r>
    <x v="51"/>
    <s v="conventional_default_dq_cai_675"/>
    <x v="715"/>
    <n v="1.49"/>
    <n v="1"/>
    <n v="-40"/>
    <n v="940"/>
  </r>
  <r>
    <x v="51"/>
    <s v="conventional_default_dq_cai_676"/>
    <x v="716"/>
    <n v="1.49"/>
    <n v="1"/>
    <n v="-40"/>
    <n v="940"/>
  </r>
  <r>
    <x v="51"/>
    <s v="conventional_default_dq_cai_677"/>
    <x v="717"/>
    <n v="1.49"/>
    <n v="1"/>
    <n v="-40"/>
    <n v="940"/>
  </r>
  <r>
    <x v="51"/>
    <s v="conventional_default_dq_cai_678"/>
    <x v="718"/>
    <n v="1.49"/>
    <n v="1"/>
    <n v="-40"/>
    <n v="940"/>
  </r>
  <r>
    <x v="51"/>
    <s v="conventional_default_dq_cai_679"/>
    <x v="719"/>
    <n v="1.49"/>
    <n v="1"/>
    <n v="-40"/>
    <n v="940"/>
  </r>
  <r>
    <x v="51"/>
    <s v="conventional_default_dq_cai_680"/>
    <x v="720"/>
    <n v="1.49"/>
    <n v="1"/>
    <n v="-40"/>
    <n v="940"/>
  </r>
  <r>
    <x v="51"/>
    <s v="conventional_default_dq_cai_681"/>
    <x v="721"/>
    <n v="1.49"/>
    <n v="1"/>
    <n v="-40"/>
    <n v="940"/>
  </r>
  <r>
    <x v="51"/>
    <s v="conventional_default_dq_cai_682"/>
    <x v="722"/>
    <n v="1.49"/>
    <n v="1"/>
    <n v="-40"/>
    <n v="940"/>
  </r>
  <r>
    <x v="51"/>
    <s v="conventional_default_dq_cai_683"/>
    <x v="723"/>
    <n v="1.49"/>
    <n v="1"/>
    <n v="-40"/>
    <n v="940"/>
  </r>
  <r>
    <x v="51"/>
    <s v="conventional_default_dq_cai_684"/>
    <x v="724"/>
    <n v="1.49"/>
    <n v="1"/>
    <n v="-40"/>
    <n v="940"/>
  </r>
  <r>
    <x v="51"/>
    <s v="conventional_default_dq_cai_685"/>
    <x v="725"/>
    <n v="1.49"/>
    <n v="1"/>
    <n v="-40"/>
    <n v="940"/>
  </r>
  <r>
    <x v="51"/>
    <s v="conventional_default_dq_cai_686"/>
    <x v="726"/>
    <n v="1.49"/>
    <n v="1"/>
    <n v="-40"/>
    <n v="940"/>
  </r>
  <r>
    <x v="51"/>
    <s v="conventional_default_dq_cai_687"/>
    <x v="727"/>
    <n v="1.49"/>
    <n v="1"/>
    <n v="-40"/>
    <n v="940"/>
  </r>
  <r>
    <x v="51"/>
    <s v="conventional_default_dq_cai_688"/>
    <x v="728"/>
    <n v="1.49"/>
    <n v="1"/>
    <n v="-40"/>
    <n v="940"/>
  </r>
  <r>
    <x v="51"/>
    <s v="conventional_default_dq_cai_689"/>
    <x v="729"/>
    <n v="1.49"/>
    <n v="1"/>
    <n v="-40"/>
    <n v="940"/>
  </r>
  <r>
    <x v="51"/>
    <s v="conventional_default_dq_cai_690"/>
    <x v="730"/>
    <n v="1.49"/>
    <n v="1"/>
    <n v="-40"/>
    <n v="940"/>
  </r>
  <r>
    <x v="51"/>
    <s v="conventional_default_dq_cai_691"/>
    <x v="731"/>
    <n v="1.49"/>
    <n v="1"/>
    <n v="-40"/>
    <n v="940"/>
  </r>
  <r>
    <x v="51"/>
    <s v="conventional_default_dq_cai_692"/>
    <x v="732"/>
    <n v="1.49"/>
    <n v="1"/>
    <n v="-40"/>
    <n v="940"/>
  </r>
  <r>
    <x v="51"/>
    <s v="conventional_default_dq_cai_693"/>
    <x v="733"/>
    <n v="1.49"/>
    <n v="1"/>
    <n v="-40"/>
    <n v="940"/>
  </r>
  <r>
    <x v="51"/>
    <s v="conventional_default_dq_cai_694"/>
    <x v="734"/>
    <n v="1.49"/>
    <n v="1"/>
    <n v="-40"/>
    <n v="940"/>
  </r>
  <r>
    <x v="51"/>
    <s v="conventional_default_dq_cai_695"/>
    <x v="735"/>
    <n v="1.49"/>
    <n v="1"/>
    <n v="-40"/>
    <n v="940"/>
  </r>
  <r>
    <x v="51"/>
    <s v="conventional_default_dq_cai_696"/>
    <x v="736"/>
    <n v="1.49"/>
    <n v="1"/>
    <n v="-40"/>
    <n v="940"/>
  </r>
  <r>
    <x v="51"/>
    <s v="conventional_default_dq_cai_697"/>
    <x v="737"/>
    <n v="1.49"/>
    <n v="1"/>
    <n v="-40"/>
    <n v="940"/>
  </r>
  <r>
    <x v="51"/>
    <s v="conventional_default_dq_cai_698"/>
    <x v="738"/>
    <n v="1.49"/>
    <n v="1"/>
    <n v="-40"/>
    <n v="940"/>
  </r>
  <r>
    <x v="51"/>
    <s v="conventional_default_dq_cai_699"/>
    <x v="739"/>
    <n v="1.49"/>
    <n v="1"/>
    <n v="-40"/>
    <n v="940"/>
  </r>
  <r>
    <x v="51"/>
    <s v="conventional_default_dq_cai_700"/>
    <x v="740"/>
    <n v="1.49"/>
    <n v="1"/>
    <n v="-40"/>
    <n v="940"/>
  </r>
  <r>
    <x v="51"/>
    <s v="conventional_default_dq_cai_701"/>
    <x v="741"/>
    <n v="1.49"/>
    <n v="1"/>
    <n v="-40"/>
    <n v="940"/>
  </r>
  <r>
    <x v="51"/>
    <s v="conventional_default_dq_cai_702"/>
    <x v="742"/>
    <n v="1.49"/>
    <n v="1"/>
    <n v="-40"/>
    <n v="940"/>
  </r>
  <r>
    <x v="51"/>
    <s v="conventional_default_dq_cai_703"/>
    <x v="743"/>
    <n v="1.49"/>
    <n v="1"/>
    <n v="-40"/>
    <n v="940"/>
  </r>
  <r>
    <x v="51"/>
    <s v="conventional_default_dq_cai_704"/>
    <x v="744"/>
    <n v="1.49"/>
    <n v="1"/>
    <n v="-40"/>
    <n v="940"/>
  </r>
  <r>
    <x v="51"/>
    <s v="conventional_default_dq_cai_705"/>
    <x v="745"/>
    <n v="1.49"/>
    <n v="1"/>
    <n v="-40"/>
    <n v="940"/>
  </r>
  <r>
    <x v="51"/>
    <s v="conventional_default_dq_cai_706"/>
    <x v="746"/>
    <n v="1.49"/>
    <n v="1"/>
    <n v="-40"/>
    <n v="940"/>
  </r>
  <r>
    <x v="51"/>
    <s v="conventional_default_dq_cai_707"/>
    <x v="747"/>
    <n v="1.49"/>
    <n v="1"/>
    <n v="-40"/>
    <n v="940"/>
  </r>
  <r>
    <x v="51"/>
    <s v="conventional_default_dq_cai_708"/>
    <x v="748"/>
    <n v="1.49"/>
    <n v="1"/>
    <n v="-40"/>
    <n v="940"/>
  </r>
  <r>
    <x v="51"/>
    <s v="conventional_default_dq_cai_709"/>
    <x v="749"/>
    <n v="1.49"/>
    <n v="1"/>
    <n v="-40"/>
    <n v="940"/>
  </r>
  <r>
    <x v="51"/>
    <s v="conventional_default_dq_cai_710"/>
    <x v="750"/>
    <n v="1.49"/>
    <n v="1"/>
    <n v="-40"/>
    <n v="940"/>
  </r>
  <r>
    <x v="51"/>
    <s v="conventional_default_dq_cai_711"/>
    <x v="751"/>
    <n v="1.49"/>
    <n v="1"/>
    <n v="-40"/>
    <n v="940"/>
  </r>
  <r>
    <x v="51"/>
    <s v="conventional_default_dq_cai_712"/>
    <x v="752"/>
    <n v="1.49"/>
    <n v="1"/>
    <n v="-40"/>
    <n v="940"/>
  </r>
  <r>
    <x v="51"/>
    <s v="conventional_default_dq_cai_713"/>
    <x v="753"/>
    <n v="1.49"/>
    <n v="1"/>
    <n v="-40"/>
    <n v="940"/>
  </r>
  <r>
    <x v="51"/>
    <s v="conventional_default_dq_cai_714"/>
    <x v="754"/>
    <n v="1.49"/>
    <n v="1"/>
    <n v="-40"/>
    <n v="940"/>
  </r>
  <r>
    <x v="51"/>
    <s v="conventional_default_dq_cai_715"/>
    <x v="755"/>
    <n v="1.49"/>
    <n v="1"/>
    <n v="-40"/>
    <n v="940"/>
  </r>
  <r>
    <x v="51"/>
    <s v="conventional_default_dq_cai_716"/>
    <x v="756"/>
    <n v="1.49"/>
    <n v="1"/>
    <n v="-40"/>
    <n v="940"/>
  </r>
  <r>
    <x v="51"/>
    <s v="conventional_default_dq_cai_717"/>
    <x v="757"/>
    <n v="1.49"/>
    <n v="1"/>
    <n v="-40"/>
    <n v="940"/>
  </r>
  <r>
    <x v="51"/>
    <s v="conventional_default_dq_cai_718"/>
    <x v="758"/>
    <n v="1.49"/>
    <n v="1"/>
    <n v="-40"/>
    <n v="940"/>
  </r>
  <r>
    <x v="51"/>
    <s v="conventional_default_dq_cai_719"/>
    <x v="759"/>
    <n v="1.49"/>
    <n v="1"/>
    <n v="-40"/>
    <n v="940"/>
  </r>
  <r>
    <x v="51"/>
    <s v="conventional_default_dq_cai_720"/>
    <x v="760"/>
    <n v="1.49"/>
    <n v="1"/>
    <n v="-40"/>
    <n v="940"/>
  </r>
  <r>
    <x v="51"/>
    <s v="conventional_default_dq_cai_721"/>
    <x v="761"/>
    <n v="1.49"/>
    <n v="1"/>
    <n v="-40"/>
    <n v="940"/>
  </r>
  <r>
    <x v="51"/>
    <s v="conventional_default_dq_cai_722"/>
    <x v="762"/>
    <n v="1.49"/>
    <n v="1"/>
    <n v="-40"/>
    <n v="940"/>
  </r>
  <r>
    <x v="51"/>
    <s v="conventional_default_dq_cai_723"/>
    <x v="763"/>
    <n v="1.49"/>
    <n v="1"/>
    <n v="-40"/>
    <n v="940"/>
  </r>
  <r>
    <x v="51"/>
    <s v="conventional_default_dq_cai_724"/>
    <x v="764"/>
    <n v="1.49"/>
    <n v="1"/>
    <n v="-40"/>
    <n v="940"/>
  </r>
  <r>
    <x v="51"/>
    <s v="conventional_default_dq_cai_725"/>
    <x v="765"/>
    <n v="1.49"/>
    <n v="1"/>
    <n v="-40"/>
    <n v="940"/>
  </r>
  <r>
    <x v="51"/>
    <s v="conventional_default_dq_cai_726"/>
    <x v="766"/>
    <n v="1.49"/>
    <n v="1"/>
    <n v="-40"/>
    <n v="940"/>
  </r>
  <r>
    <x v="51"/>
    <s v="conventional_default_dq_cai_727"/>
    <x v="767"/>
    <n v="1.49"/>
    <n v="1"/>
    <n v="-40"/>
    <n v="940"/>
  </r>
  <r>
    <x v="51"/>
    <s v="conventional_default_dq_cai_728"/>
    <x v="768"/>
    <n v="1.49"/>
    <n v="1"/>
    <n v="-40"/>
    <n v="940"/>
  </r>
  <r>
    <x v="51"/>
    <s v="conventional_default_dq_cai_729"/>
    <x v="769"/>
    <n v="1.49"/>
    <n v="1"/>
    <n v="-40"/>
    <n v="940"/>
  </r>
  <r>
    <x v="51"/>
    <s v="conventional_default_dq_cai_730"/>
    <x v="770"/>
    <n v="1.49"/>
    <n v="1"/>
    <n v="-40"/>
    <n v="940"/>
  </r>
  <r>
    <x v="51"/>
    <s v="conventional_default_dq_cai_731"/>
    <x v="771"/>
    <n v="1.49"/>
    <n v="1"/>
    <n v="-40"/>
    <n v="940"/>
  </r>
  <r>
    <x v="51"/>
    <s v="conventional_default_dq_cai_732"/>
    <x v="772"/>
    <n v="1.49"/>
    <n v="1"/>
    <n v="-40"/>
    <n v="940"/>
  </r>
  <r>
    <x v="51"/>
    <s v="conventional_default_dq_cai_733"/>
    <x v="773"/>
    <n v="1.49"/>
    <n v="1"/>
    <n v="-40"/>
    <n v="940"/>
  </r>
  <r>
    <x v="51"/>
    <s v="conventional_default_dq_cai_734"/>
    <x v="774"/>
    <n v="1.49"/>
    <n v="1"/>
    <n v="-40"/>
    <n v="940"/>
  </r>
  <r>
    <x v="51"/>
    <s v="conventional_default_dq_cai_735"/>
    <x v="775"/>
    <n v="1.49"/>
    <n v="1"/>
    <n v="-40"/>
    <n v="940"/>
  </r>
  <r>
    <x v="51"/>
    <s v="conventional_default_dq_cai_736"/>
    <x v="776"/>
    <n v="1.49"/>
    <n v="1"/>
    <n v="-40"/>
    <n v="940"/>
  </r>
  <r>
    <x v="51"/>
    <s v="conventional_default_dq_cai_737"/>
    <x v="777"/>
    <n v="1.49"/>
    <n v="1"/>
    <n v="-40"/>
    <n v="940"/>
  </r>
  <r>
    <x v="51"/>
    <s v="conventional_default_dq_cai_738"/>
    <x v="778"/>
    <n v="1.49"/>
    <n v="1"/>
    <n v="-40"/>
    <n v="940"/>
  </r>
  <r>
    <x v="51"/>
    <s v="conventional_default_dq_cai_739"/>
    <x v="779"/>
    <n v="1.49"/>
    <n v="1"/>
    <n v="-40"/>
    <n v="940"/>
  </r>
  <r>
    <x v="51"/>
    <s v="conventional_default_dq_cai_740"/>
    <x v="780"/>
    <n v="1.49"/>
    <n v="1"/>
    <n v="-40"/>
    <n v="940"/>
  </r>
  <r>
    <x v="51"/>
    <s v="conventional_default_dq_cai_741"/>
    <x v="781"/>
    <n v="1.49"/>
    <n v="1"/>
    <n v="-40"/>
    <n v="940"/>
  </r>
  <r>
    <x v="51"/>
    <s v="conventional_default_dq_cai_742"/>
    <x v="782"/>
    <n v="1.49"/>
    <n v="1"/>
    <n v="-40"/>
    <n v="940"/>
  </r>
  <r>
    <x v="51"/>
    <s v="conventional_default_dq_cai_743"/>
    <x v="783"/>
    <n v="1.49"/>
    <n v="1"/>
    <n v="-40"/>
    <n v="940"/>
  </r>
  <r>
    <x v="51"/>
    <s v="conventional_default_dq_cai_744"/>
    <x v="784"/>
    <n v="1.49"/>
    <n v="1"/>
    <n v="-40"/>
    <n v="940"/>
  </r>
  <r>
    <x v="51"/>
    <s v="conventional_default_dq_cai_745"/>
    <x v="785"/>
    <n v="1.49"/>
    <n v="1"/>
    <n v="-40"/>
    <n v="940"/>
  </r>
  <r>
    <x v="51"/>
    <s v="conventional_default_dq_cai_746"/>
    <x v="786"/>
    <n v="1.49"/>
    <n v="1"/>
    <n v="-40"/>
    <n v="940"/>
  </r>
  <r>
    <x v="51"/>
    <s v="conventional_default_dq_cai_747"/>
    <x v="787"/>
    <n v="1.49"/>
    <n v="1"/>
    <n v="-40"/>
    <n v="940"/>
  </r>
  <r>
    <x v="51"/>
    <s v="conventional_default_dq_cai_748"/>
    <x v="788"/>
    <n v="1.49"/>
    <n v="1"/>
    <n v="-40"/>
    <n v="940"/>
  </r>
  <r>
    <x v="51"/>
    <s v="conventional_default_dq_cai_749"/>
    <x v="789"/>
    <n v="1.49"/>
    <n v="1"/>
    <n v="-40"/>
    <n v="940"/>
  </r>
  <r>
    <x v="51"/>
    <s v="conventional_default_dq_cai_750"/>
    <x v="790"/>
    <n v="1.49"/>
    <n v="1"/>
    <n v="-40"/>
    <n v="940"/>
  </r>
  <r>
    <x v="51"/>
    <s v="conventional_default_dq_cai_751"/>
    <x v="791"/>
    <n v="1.49"/>
    <n v="1"/>
    <n v="-40"/>
    <n v="940"/>
  </r>
  <r>
    <x v="51"/>
    <s v="conventional_default_dq_cai_752"/>
    <x v="792"/>
    <n v="1.49"/>
    <n v="1"/>
    <n v="-40"/>
    <n v="940"/>
  </r>
  <r>
    <x v="51"/>
    <s v="conventional_default_dq_cai_753"/>
    <x v="793"/>
    <n v="1.49"/>
    <n v="1"/>
    <n v="-40"/>
    <n v="940"/>
  </r>
  <r>
    <x v="51"/>
    <s v="conventional_default_dq_cai_754"/>
    <x v="794"/>
    <n v="1.49"/>
    <n v="1"/>
    <n v="-40"/>
    <n v="940"/>
  </r>
  <r>
    <x v="51"/>
    <s v="conventional_default_dq_cai_755"/>
    <x v="795"/>
    <n v="1.49"/>
    <n v="1"/>
    <n v="-40"/>
    <n v="940"/>
  </r>
  <r>
    <x v="51"/>
    <s v="conventional_default_dq_cai_756"/>
    <x v="796"/>
    <n v="1.49"/>
    <n v="1"/>
    <n v="-40"/>
    <n v="940"/>
  </r>
  <r>
    <x v="51"/>
    <s v="conventional_default_dq_cai_757"/>
    <x v="797"/>
    <n v="1.49"/>
    <n v="1"/>
    <n v="-40"/>
    <n v="940"/>
  </r>
  <r>
    <x v="51"/>
    <s v="conventional_default_dq_cai_758"/>
    <x v="798"/>
    <n v="1.49"/>
    <n v="1"/>
    <n v="-40"/>
    <n v="940"/>
  </r>
  <r>
    <x v="51"/>
    <s v="conventional_default_dq_cai_759"/>
    <x v="799"/>
    <n v="1.49"/>
    <n v="1"/>
    <n v="-40"/>
    <n v="940"/>
  </r>
  <r>
    <x v="51"/>
    <s v="conventional_default_dq_cai_760"/>
    <x v="800"/>
    <n v="1.49"/>
    <n v="1"/>
    <n v="-40"/>
    <n v="940"/>
  </r>
  <r>
    <x v="51"/>
    <s v="conventional_default_dq_cai_761"/>
    <x v="801"/>
    <n v="1.49"/>
    <n v="1"/>
    <n v="-40"/>
    <n v="940"/>
  </r>
  <r>
    <x v="51"/>
    <s v="conventional_default_dq_cai_762"/>
    <x v="802"/>
    <n v="1.49"/>
    <n v="1"/>
    <n v="-40"/>
    <n v="940"/>
  </r>
  <r>
    <x v="51"/>
    <s v="conventional_default_dq_cai_763"/>
    <x v="803"/>
    <n v="1.49"/>
    <n v="1"/>
    <n v="-40"/>
    <n v="940"/>
  </r>
  <r>
    <x v="51"/>
    <s v="conventional_default_dq_cai_764"/>
    <x v="804"/>
    <n v="1.49"/>
    <n v="1"/>
    <n v="-40"/>
    <n v="940"/>
  </r>
  <r>
    <x v="51"/>
    <s v="conventional_default_dq_cai_765"/>
    <x v="805"/>
    <n v="1.49"/>
    <n v="1"/>
    <n v="-40"/>
    <n v="940"/>
  </r>
  <r>
    <x v="51"/>
    <s v="conventional_default_dq_cai_766"/>
    <x v="806"/>
    <n v="1.49"/>
    <n v="1"/>
    <n v="-40"/>
    <n v="940"/>
  </r>
  <r>
    <x v="51"/>
    <s v="conventional_default_dq_cai_767"/>
    <x v="807"/>
    <n v="1.49"/>
    <n v="1"/>
    <n v="-40"/>
    <n v="940"/>
  </r>
  <r>
    <x v="51"/>
    <s v="conventional_default_dq_cai_768"/>
    <x v="808"/>
    <n v="1.49"/>
    <n v="1"/>
    <n v="-40"/>
    <n v="940"/>
  </r>
  <r>
    <x v="51"/>
    <s v="conventional_default_dq_cai_769"/>
    <x v="809"/>
    <n v="1.49"/>
    <n v="1"/>
    <n v="-40"/>
    <n v="940"/>
  </r>
  <r>
    <x v="51"/>
    <s v="conventional_default_dq_cai_770"/>
    <x v="810"/>
    <n v="1.49"/>
    <n v="1"/>
    <n v="-40"/>
    <n v="940"/>
  </r>
  <r>
    <x v="51"/>
    <s v="conventional_default_dq_cai_771"/>
    <x v="811"/>
    <n v="1.49"/>
    <n v="1"/>
    <n v="-40"/>
    <n v="940"/>
  </r>
  <r>
    <x v="51"/>
    <s v="conventional_default_dq_cai_772"/>
    <x v="812"/>
    <n v="1.49"/>
    <n v="1"/>
    <n v="-40"/>
    <n v="940"/>
  </r>
  <r>
    <x v="51"/>
    <s v="conventional_default_dq_cai_773"/>
    <x v="813"/>
    <n v="1.49"/>
    <n v="1"/>
    <n v="-40"/>
    <n v="940"/>
  </r>
  <r>
    <x v="51"/>
    <s v="conventional_default_dq_cai_774"/>
    <x v="814"/>
    <n v="1.49"/>
    <n v="1"/>
    <n v="-40"/>
    <n v="940"/>
  </r>
  <r>
    <x v="51"/>
    <s v="conventional_default_dq_cai_775"/>
    <x v="815"/>
    <n v="1.49"/>
    <n v="1"/>
    <n v="-40"/>
    <n v="940"/>
  </r>
  <r>
    <x v="51"/>
    <s v="conventional_default_dq_cai_776"/>
    <x v="816"/>
    <n v="1.49"/>
    <n v="1"/>
    <n v="-40"/>
    <n v="940"/>
  </r>
  <r>
    <x v="51"/>
    <s v="conventional_default_dq_cai_777"/>
    <x v="817"/>
    <n v="1.49"/>
    <n v="1"/>
    <n v="-40"/>
    <n v="940"/>
  </r>
  <r>
    <x v="51"/>
    <s v="conventional_default_dq_cai_778"/>
    <x v="818"/>
    <n v="1.49"/>
    <n v="1"/>
    <n v="-40"/>
    <n v="940"/>
  </r>
  <r>
    <x v="51"/>
    <s v="conventional_default_dq_cai_779"/>
    <x v="819"/>
    <n v="1.49"/>
    <n v="1"/>
    <n v="-40"/>
    <n v="940"/>
  </r>
  <r>
    <x v="51"/>
    <s v="conventional_default_dq_cai_780"/>
    <x v="820"/>
    <n v="1.49"/>
    <n v="1"/>
    <n v="-40"/>
    <n v="940"/>
  </r>
  <r>
    <x v="51"/>
    <s v="conventional_default_dq_cai_781"/>
    <x v="821"/>
    <n v="1.49"/>
    <n v="1"/>
    <n v="-40"/>
    <n v="940"/>
  </r>
  <r>
    <x v="51"/>
    <s v="conventional_default_dq_cai_782"/>
    <x v="822"/>
    <n v="1.49"/>
    <n v="1"/>
    <n v="-40"/>
    <n v="940"/>
  </r>
  <r>
    <x v="51"/>
    <s v="conventional_default_dq_cai_783"/>
    <x v="823"/>
    <n v="1.49"/>
    <n v="1"/>
    <n v="-40"/>
    <n v="940"/>
  </r>
  <r>
    <x v="51"/>
    <s v="conventional_default_dq_cai_784"/>
    <x v="824"/>
    <n v="1.49"/>
    <n v="1"/>
    <n v="-40"/>
    <n v="940"/>
  </r>
  <r>
    <x v="51"/>
    <s v="conventional_default_dq_cai_785"/>
    <x v="825"/>
    <n v="1.49"/>
    <n v="1"/>
    <n v="-40"/>
    <n v="940"/>
  </r>
  <r>
    <x v="51"/>
    <s v="conventional_default_dq_cai_786"/>
    <x v="826"/>
    <n v="1.49"/>
    <n v="1"/>
    <n v="-40"/>
    <n v="940"/>
  </r>
  <r>
    <x v="51"/>
    <s v="conventional_default_dq_cai_787"/>
    <x v="827"/>
    <n v="1.49"/>
    <n v="1"/>
    <n v="-40"/>
    <n v="940"/>
  </r>
  <r>
    <x v="51"/>
    <s v="conventional_default_dq_cai_788"/>
    <x v="828"/>
    <n v="1.49"/>
    <n v="1"/>
    <n v="-40"/>
    <n v="940"/>
  </r>
  <r>
    <x v="51"/>
    <s v="conventional_default_dq_cai_789"/>
    <x v="829"/>
    <n v="1.49"/>
    <n v="1"/>
    <n v="-40"/>
    <n v="940"/>
  </r>
  <r>
    <x v="51"/>
    <s v="conventional_default_dq_cai_790"/>
    <x v="830"/>
    <n v="1.49"/>
    <n v="1"/>
    <n v="-40"/>
    <n v="940"/>
  </r>
  <r>
    <x v="51"/>
    <s v="conventional_default_dq_cai_791"/>
    <x v="831"/>
    <n v="1.49"/>
    <n v="1"/>
    <n v="-40"/>
    <n v="940"/>
  </r>
  <r>
    <x v="51"/>
    <s v="conventional_default_dq_cai_792"/>
    <x v="832"/>
    <n v="1.49"/>
    <n v="1"/>
    <n v="-40"/>
    <n v="940"/>
  </r>
  <r>
    <x v="51"/>
    <s v="conventional_default_dq_cai_793"/>
    <x v="833"/>
    <n v="1.49"/>
    <n v="1"/>
    <n v="-40"/>
    <n v="940"/>
  </r>
  <r>
    <x v="51"/>
    <s v="conventional_default_dq_cai_794"/>
    <x v="834"/>
    <n v="1.49"/>
    <n v="1"/>
    <n v="-40"/>
    <n v="940"/>
  </r>
  <r>
    <x v="51"/>
    <s v="conventional_default_dq_cai_795"/>
    <x v="835"/>
    <n v="1.49"/>
    <n v="1"/>
    <n v="-40"/>
    <n v="940"/>
  </r>
  <r>
    <x v="51"/>
    <s v="conventional_default_dq_cai_796"/>
    <x v="836"/>
    <n v="1.49"/>
    <n v="1"/>
    <n v="-40"/>
    <n v="940"/>
  </r>
  <r>
    <x v="51"/>
    <s v="conventional_default_dq_cai_797"/>
    <x v="837"/>
    <n v="1.49"/>
    <n v="1"/>
    <n v="-40"/>
    <n v="940"/>
  </r>
  <r>
    <x v="51"/>
    <s v="conventional_default_dq_cai_798"/>
    <x v="838"/>
    <n v="1.49"/>
    <n v="1"/>
    <n v="-40"/>
    <n v="940"/>
  </r>
  <r>
    <x v="51"/>
    <s v="conventional_default_dq_cai_799"/>
    <x v="839"/>
    <n v="1.49"/>
    <n v="1"/>
    <n v="-40"/>
    <n v="940"/>
  </r>
  <r>
    <x v="51"/>
    <s v="conventional_default_dq_cai_800"/>
    <x v="840"/>
    <n v="1.49"/>
    <n v="1"/>
    <n v="-40"/>
    <n v="940"/>
  </r>
  <r>
    <x v="51"/>
    <s v="conventional_default_dq_cai_801"/>
    <x v="841"/>
    <n v="1.49"/>
    <n v="1"/>
    <n v="-40"/>
    <n v="940"/>
  </r>
  <r>
    <x v="51"/>
    <s v="conventional_default_dq_cai_802"/>
    <x v="842"/>
    <n v="1.49"/>
    <n v="1"/>
    <n v="-40"/>
    <n v="940"/>
  </r>
  <r>
    <x v="51"/>
    <s v="conventional_default_dq_cai_803"/>
    <x v="843"/>
    <n v="1.49"/>
    <n v="1"/>
    <n v="-40"/>
    <n v="940"/>
  </r>
  <r>
    <x v="51"/>
    <s v="conventional_default_dq_cai_804"/>
    <x v="844"/>
    <n v="1.49"/>
    <n v="1"/>
    <n v="-40"/>
    <n v="940"/>
  </r>
  <r>
    <x v="51"/>
    <s v="conventional_default_dq_cai_805"/>
    <x v="845"/>
    <n v="1.49"/>
    <n v="1"/>
    <n v="-40"/>
    <n v="940"/>
  </r>
  <r>
    <x v="51"/>
    <s v="conventional_default_dq_cai_806"/>
    <x v="846"/>
    <n v="1.49"/>
    <n v="1"/>
    <n v="-40"/>
    <n v="940"/>
  </r>
  <r>
    <x v="51"/>
    <s v="conventional_default_dq_cai_807"/>
    <x v="847"/>
    <n v="1.49"/>
    <n v="1"/>
    <n v="-40"/>
    <n v="940"/>
  </r>
  <r>
    <x v="51"/>
    <s v="conventional_default_dq_cai_808"/>
    <x v="848"/>
    <n v="1.49"/>
    <n v="1"/>
    <n v="-40"/>
    <n v="940"/>
  </r>
  <r>
    <x v="51"/>
    <s v="conventional_default_dq_cai_809"/>
    <x v="849"/>
    <n v="1.49"/>
    <n v="1"/>
    <n v="-40"/>
    <n v="940"/>
  </r>
  <r>
    <x v="51"/>
    <s v="conventional_default_dq_cai_810"/>
    <x v="850"/>
    <n v="1.49"/>
    <n v="1"/>
    <n v="-40"/>
    <n v="940"/>
  </r>
  <r>
    <x v="51"/>
    <s v="conventional_default_dq_cai_811"/>
    <x v="851"/>
    <n v="1.49"/>
    <n v="1"/>
    <n v="-40"/>
    <n v="940"/>
  </r>
  <r>
    <x v="51"/>
    <s v="conventional_default_dq_cai_812"/>
    <x v="852"/>
    <n v="1.49"/>
    <n v="1"/>
    <n v="-40"/>
    <n v="940"/>
  </r>
  <r>
    <x v="51"/>
    <s v="conventional_default_dq_cai_813"/>
    <x v="853"/>
    <n v="1.49"/>
    <n v="1"/>
    <n v="-40"/>
    <n v="940"/>
  </r>
  <r>
    <x v="51"/>
    <s v="conventional_default_dq_cai_814"/>
    <x v="854"/>
    <n v="1.49"/>
    <n v="1"/>
    <n v="-40"/>
    <n v="940"/>
  </r>
  <r>
    <x v="51"/>
    <s v="conventional_default_dq_cai_815"/>
    <x v="855"/>
    <n v="1.49"/>
    <n v="1"/>
    <n v="-40"/>
    <n v="940"/>
  </r>
  <r>
    <x v="51"/>
    <s v="conventional_default_dq_cai_816"/>
    <x v="856"/>
    <n v="1.49"/>
    <n v="1"/>
    <n v="-40"/>
    <n v="940"/>
  </r>
  <r>
    <x v="51"/>
    <s v="conventional_default_dq_cai_817"/>
    <x v="857"/>
    <n v="1.49"/>
    <n v="1"/>
    <n v="-40"/>
    <n v="940"/>
  </r>
  <r>
    <x v="51"/>
    <s v="conventional_default_dq_cai_818"/>
    <x v="858"/>
    <n v="1.49"/>
    <n v="1"/>
    <n v="-40"/>
    <n v="940"/>
  </r>
  <r>
    <x v="51"/>
    <s v="conventional_default_dq_cai_819"/>
    <x v="859"/>
    <n v="1.49"/>
    <n v="1"/>
    <n v="-40"/>
    <n v="940"/>
  </r>
  <r>
    <x v="51"/>
    <s v="conventional_default_dq_cai_820"/>
    <x v="860"/>
    <n v="1.49"/>
    <n v="1"/>
    <n v="-40"/>
    <n v="940"/>
  </r>
  <r>
    <x v="51"/>
    <s v="conventional_default_dq_cai_821"/>
    <x v="861"/>
    <n v="1.49"/>
    <n v="1"/>
    <n v="-40"/>
    <n v="940"/>
  </r>
  <r>
    <x v="51"/>
    <s v="conventional_default_dq_cai_822"/>
    <x v="862"/>
    <n v="1.49"/>
    <n v="1"/>
    <n v="-40"/>
    <n v="940"/>
  </r>
  <r>
    <x v="51"/>
    <s v="conventional_default_dq_cai_823"/>
    <x v="863"/>
    <n v="1.49"/>
    <n v="1"/>
    <n v="-40"/>
    <n v="940"/>
  </r>
  <r>
    <x v="51"/>
    <s v="conventional_default_dq_cai_824"/>
    <x v="864"/>
    <n v="1.49"/>
    <n v="1"/>
    <n v="-40"/>
    <n v="940"/>
  </r>
  <r>
    <x v="51"/>
    <s v="conventional_default_dq_cai_825"/>
    <x v="865"/>
    <n v="1.49"/>
    <n v="1"/>
    <n v="-40"/>
    <n v="940"/>
  </r>
  <r>
    <x v="51"/>
    <s v="conventional_default_dq_cai_826"/>
    <x v="866"/>
    <n v="1.49"/>
    <n v="1"/>
    <n v="-40"/>
    <n v="940"/>
  </r>
  <r>
    <x v="51"/>
    <s v="conventional_default_dq_cai_827"/>
    <x v="867"/>
    <n v="1.49"/>
    <n v="1"/>
    <n v="-40"/>
    <n v="940"/>
  </r>
  <r>
    <x v="51"/>
    <s v="conventional_default_dq_cai_828"/>
    <x v="868"/>
    <n v="1.49"/>
    <n v="1"/>
    <n v="-40"/>
    <n v="940"/>
  </r>
  <r>
    <x v="51"/>
    <s v="conventional_default_dq_cai_829"/>
    <x v="869"/>
    <n v="1.49"/>
    <n v="1"/>
    <n v="-40"/>
    <n v="940"/>
  </r>
  <r>
    <x v="51"/>
    <s v="conventional_default_dq_cai_830"/>
    <x v="870"/>
    <n v="1.49"/>
    <n v="1"/>
    <n v="-40"/>
    <n v="940"/>
  </r>
  <r>
    <x v="51"/>
    <s v="conventional_default_dq_cai_831"/>
    <x v="871"/>
    <n v="1.49"/>
    <n v="1"/>
    <n v="-40"/>
    <n v="940"/>
  </r>
  <r>
    <x v="51"/>
    <s v="conventional_default_dq_cai_832"/>
    <x v="872"/>
    <n v="1.49"/>
    <n v="1"/>
    <n v="-40"/>
    <n v="940"/>
  </r>
  <r>
    <x v="51"/>
    <s v="conventional_default_dq_cai_833"/>
    <x v="873"/>
    <n v="1.49"/>
    <n v="1"/>
    <n v="-40"/>
    <n v="940"/>
  </r>
  <r>
    <x v="51"/>
    <s v="conventional_default_dq_cai_834"/>
    <x v="874"/>
    <n v="1.49"/>
    <n v="1"/>
    <n v="-40"/>
    <n v="940"/>
  </r>
  <r>
    <x v="51"/>
    <s v="conventional_default_dq_cai_835"/>
    <x v="875"/>
    <n v="1.49"/>
    <n v="1"/>
    <n v="-40"/>
    <n v="940"/>
  </r>
  <r>
    <x v="51"/>
    <s v="conventional_default_dq_cai_836"/>
    <x v="876"/>
    <n v="1.49"/>
    <n v="1"/>
    <n v="-40"/>
    <n v="940"/>
  </r>
  <r>
    <x v="51"/>
    <s v="conventional_default_dq_cai_837"/>
    <x v="877"/>
    <n v="1.49"/>
    <n v="1"/>
    <n v="-40"/>
    <n v="940"/>
  </r>
  <r>
    <x v="51"/>
    <s v="conventional_default_dq_cai_838"/>
    <x v="878"/>
    <n v="1.49"/>
    <n v="1"/>
    <n v="-40"/>
    <n v="940"/>
  </r>
  <r>
    <x v="51"/>
    <s v="conventional_default_dq_cai_839"/>
    <x v="879"/>
    <n v="1.49"/>
    <n v="1"/>
    <n v="-40"/>
    <n v="940"/>
  </r>
  <r>
    <x v="51"/>
    <s v="conventional_default_dq_cai_840"/>
    <x v="880"/>
    <n v="1.49"/>
    <n v="1"/>
    <n v="-40"/>
    <n v="940"/>
  </r>
  <r>
    <x v="51"/>
    <s v="conventional_default_dq_cai_841"/>
    <x v="881"/>
    <n v="1.49"/>
    <n v="1"/>
    <n v="-40"/>
    <n v="940"/>
  </r>
  <r>
    <x v="51"/>
    <s v="conventional_default_dq_cai_842"/>
    <x v="882"/>
    <n v="1.49"/>
    <n v="1"/>
    <n v="-40"/>
    <n v="940"/>
  </r>
  <r>
    <x v="51"/>
    <s v="conventional_default_dq_cai_843"/>
    <x v="883"/>
    <n v="1.49"/>
    <n v="1"/>
    <n v="-40"/>
    <n v="940"/>
  </r>
  <r>
    <x v="51"/>
    <s v="conventional_default_dq_cai_844"/>
    <x v="884"/>
    <n v="1.49"/>
    <n v="1"/>
    <n v="-40"/>
    <n v="940"/>
  </r>
  <r>
    <x v="51"/>
    <s v="conventional_default_dq_cai_845"/>
    <x v="885"/>
    <n v="1.49"/>
    <n v="1"/>
    <n v="-40"/>
    <n v="940"/>
  </r>
  <r>
    <x v="51"/>
    <s v="conventional_default_dq_cai_846"/>
    <x v="886"/>
    <n v="1.49"/>
    <n v="1"/>
    <n v="-40"/>
    <n v="940"/>
  </r>
  <r>
    <x v="51"/>
    <s v="conventional_default_dq_cai_847"/>
    <x v="887"/>
    <n v="1.49"/>
    <n v="1"/>
    <n v="-40"/>
    <n v="940"/>
  </r>
  <r>
    <x v="51"/>
    <s v="conventional_default_dq_cai_848"/>
    <x v="888"/>
    <n v="1.49"/>
    <n v="1"/>
    <n v="-40"/>
    <n v="940"/>
  </r>
  <r>
    <x v="51"/>
    <s v="conventional_default_dq_cai_849"/>
    <x v="889"/>
    <n v="1.49"/>
    <n v="1"/>
    <n v="-40"/>
    <n v="940"/>
  </r>
  <r>
    <x v="51"/>
    <s v="conventional_default_dq_cai_850"/>
    <x v="890"/>
    <n v="1.49"/>
    <n v="1"/>
    <n v="-40"/>
    <n v="940"/>
  </r>
  <r>
    <x v="51"/>
    <s v="conventional_default_dq_cai_851"/>
    <x v="891"/>
    <n v="1.49"/>
    <n v="1"/>
    <n v="-40"/>
    <n v="940"/>
  </r>
  <r>
    <x v="51"/>
    <s v="conventional_default_dq_cai_852"/>
    <x v="892"/>
    <n v="1.49"/>
    <n v="1"/>
    <n v="-40"/>
    <n v="940"/>
  </r>
  <r>
    <x v="51"/>
    <s v="conventional_default_dq_cai_853"/>
    <x v="893"/>
    <n v="1.49"/>
    <n v="1"/>
    <n v="-40"/>
    <n v="940"/>
  </r>
  <r>
    <x v="51"/>
    <s v="conventional_default_dq_cai_854"/>
    <x v="894"/>
    <n v="1.49"/>
    <n v="1"/>
    <n v="-40"/>
    <n v="940"/>
  </r>
  <r>
    <x v="51"/>
    <s v="conventional_default_dq_cai_855"/>
    <x v="895"/>
    <n v="1.49"/>
    <n v="1"/>
    <n v="-40"/>
    <n v="940"/>
  </r>
  <r>
    <x v="51"/>
    <s v="conventional_default_dq_cai_856"/>
    <x v="896"/>
    <n v="1.49"/>
    <n v="1"/>
    <n v="-40"/>
    <n v="940"/>
  </r>
  <r>
    <x v="51"/>
    <s v="conventional_default_dq_cai_857"/>
    <x v="897"/>
    <n v="1.49"/>
    <n v="1"/>
    <n v="-40"/>
    <n v="940"/>
  </r>
  <r>
    <x v="51"/>
    <s v="conventional_default_dq_cai_858"/>
    <x v="898"/>
    <n v="1.49"/>
    <n v="1"/>
    <n v="-40"/>
    <n v="940"/>
  </r>
  <r>
    <x v="51"/>
    <s v="conventional_default_dq_cai_859"/>
    <x v="899"/>
    <n v="1.49"/>
    <n v="1"/>
    <n v="-40"/>
    <n v="940"/>
  </r>
  <r>
    <x v="51"/>
    <s v="conventional_default_dq_cai_860"/>
    <x v="900"/>
    <n v="1.49"/>
    <n v="1"/>
    <n v="-40"/>
    <n v="940"/>
  </r>
  <r>
    <x v="51"/>
    <s v="conventional_default_dq_cai_861"/>
    <x v="901"/>
    <n v="1.49"/>
    <n v="1"/>
    <n v="-40"/>
    <n v="940"/>
  </r>
  <r>
    <x v="51"/>
    <s v="conventional_default_dq_cai_862"/>
    <x v="902"/>
    <n v="1.49"/>
    <n v="1"/>
    <n v="-40"/>
    <n v="940"/>
  </r>
  <r>
    <x v="51"/>
    <s v="conventional_default_dq_cai_863"/>
    <x v="903"/>
    <n v="1.49"/>
    <n v="1"/>
    <n v="-40"/>
    <n v="940"/>
  </r>
  <r>
    <x v="51"/>
    <s v="conventional_default_dq_cai_864"/>
    <x v="904"/>
    <n v="1.49"/>
    <n v="1"/>
    <n v="-40"/>
    <n v="940"/>
  </r>
  <r>
    <x v="51"/>
    <s v="conventional_default_dq_cai_865"/>
    <x v="905"/>
    <n v="1.49"/>
    <n v="1"/>
    <n v="-40"/>
    <n v="940"/>
  </r>
  <r>
    <x v="51"/>
    <s v="conventional_default_dq_cai_866"/>
    <x v="906"/>
    <n v="1.49"/>
    <n v="1"/>
    <n v="-40"/>
    <n v="940"/>
  </r>
  <r>
    <x v="51"/>
    <s v="conventional_default_dq_cai_867"/>
    <x v="907"/>
    <n v="1.49"/>
    <n v="1"/>
    <n v="-40"/>
    <n v="940"/>
  </r>
  <r>
    <x v="51"/>
    <s v="conventional_default_dq_cai_868"/>
    <x v="908"/>
    <n v="1.49"/>
    <n v="1"/>
    <n v="-40"/>
    <n v="940"/>
  </r>
  <r>
    <x v="51"/>
    <s v="conventional_default_dq_cai_869"/>
    <x v="909"/>
    <n v="1.49"/>
    <n v="1"/>
    <n v="-40"/>
    <n v="940"/>
  </r>
  <r>
    <x v="51"/>
    <s v="conventional_default_dq_cai_870"/>
    <x v="910"/>
    <n v="1.49"/>
    <n v="1"/>
    <n v="-40"/>
    <n v="940"/>
  </r>
  <r>
    <x v="51"/>
    <s v="conventional_default_dq_cai_871"/>
    <x v="911"/>
    <n v="1.49"/>
    <n v="1"/>
    <n v="-40"/>
    <n v="940"/>
  </r>
  <r>
    <x v="51"/>
    <s v="conventional_default_dq_cai_872"/>
    <x v="912"/>
    <n v="1.49"/>
    <n v="1"/>
    <n v="-40"/>
    <n v="940"/>
  </r>
  <r>
    <x v="51"/>
    <s v="conventional_default_dq_cai_873"/>
    <x v="913"/>
    <n v="1.49"/>
    <n v="1"/>
    <n v="-40"/>
    <n v="940"/>
  </r>
  <r>
    <x v="51"/>
    <s v="conventional_default_dq_cai_874"/>
    <x v="914"/>
    <n v="1.49"/>
    <n v="1"/>
    <n v="-40"/>
    <n v="940"/>
  </r>
  <r>
    <x v="51"/>
    <s v="conventional_default_dq_cai_875"/>
    <x v="915"/>
    <n v="1.49"/>
    <n v="1"/>
    <n v="-40"/>
    <n v="940"/>
  </r>
  <r>
    <x v="51"/>
    <s v="conventional_default_dq_cai_876"/>
    <x v="916"/>
    <n v="1.49"/>
    <n v="1"/>
    <n v="-40"/>
    <n v="940"/>
  </r>
  <r>
    <x v="51"/>
    <s v="conventional_default_dq_cai_877"/>
    <x v="917"/>
    <n v="1.49"/>
    <n v="1"/>
    <n v="-40"/>
    <n v="940"/>
  </r>
  <r>
    <x v="51"/>
    <s v="conventional_default_dq_cai_878"/>
    <x v="918"/>
    <n v="1.49"/>
    <n v="1"/>
    <n v="-40"/>
    <n v="940"/>
  </r>
  <r>
    <x v="51"/>
    <s v="conventional_default_dq_cai_879"/>
    <x v="919"/>
    <n v="1.49"/>
    <n v="1"/>
    <n v="-40"/>
    <n v="940"/>
  </r>
  <r>
    <x v="51"/>
    <s v="conventional_default_dq_cai_880"/>
    <x v="920"/>
    <n v="1.49"/>
    <n v="1"/>
    <n v="-40"/>
    <n v="940"/>
  </r>
  <r>
    <x v="51"/>
    <s v="conventional_default_dq_cai_881"/>
    <x v="921"/>
    <n v="1.49"/>
    <n v="1"/>
    <n v="-40"/>
    <n v="940"/>
  </r>
  <r>
    <x v="51"/>
    <s v="conventional_default_dq_cai_882"/>
    <x v="922"/>
    <n v="1.49"/>
    <n v="1"/>
    <n v="-40"/>
    <n v="940"/>
  </r>
  <r>
    <x v="51"/>
    <s v="conventional_default_dq_cai_883"/>
    <x v="923"/>
    <n v="1.49"/>
    <n v="1"/>
    <n v="-40"/>
    <n v="940"/>
  </r>
  <r>
    <x v="51"/>
    <s v="conventional_default_dq_cai_884"/>
    <x v="924"/>
    <n v="1.49"/>
    <n v="1"/>
    <n v="-40"/>
    <n v="940"/>
  </r>
  <r>
    <x v="51"/>
    <s v="conventional_default_dq_cai_885"/>
    <x v="925"/>
    <n v="1.49"/>
    <n v="1"/>
    <n v="-40"/>
    <n v="940"/>
  </r>
  <r>
    <x v="51"/>
    <s v="conventional_default_dq_cai_886"/>
    <x v="926"/>
    <n v="1.49"/>
    <n v="1"/>
    <n v="-40"/>
    <n v="940"/>
  </r>
  <r>
    <x v="51"/>
    <s v="conventional_default_dq_cai_887"/>
    <x v="927"/>
    <n v="1.49"/>
    <n v="1"/>
    <n v="-40"/>
    <n v="940"/>
  </r>
  <r>
    <x v="51"/>
    <s v="conventional_default_dq_cai_888"/>
    <x v="928"/>
    <n v="1.49"/>
    <n v="1"/>
    <n v="-40"/>
    <n v="940"/>
  </r>
  <r>
    <x v="51"/>
    <s v="conventional_default_dq_cai_889"/>
    <x v="929"/>
    <n v="1.49"/>
    <n v="1"/>
    <n v="-40"/>
    <n v="940"/>
  </r>
  <r>
    <x v="51"/>
    <s v="conventional_default_dq_cai_890"/>
    <x v="930"/>
    <n v="1.49"/>
    <n v="1"/>
    <n v="-40"/>
    <n v="940"/>
  </r>
  <r>
    <x v="51"/>
    <s v="conventional_default_dq_cai_891"/>
    <x v="931"/>
    <n v="1.49"/>
    <n v="1"/>
    <n v="-40"/>
    <n v="940"/>
  </r>
  <r>
    <x v="51"/>
    <s v="conventional_default_dq_cai_892"/>
    <x v="932"/>
    <n v="1.49"/>
    <n v="1"/>
    <n v="-40"/>
    <n v="940"/>
  </r>
  <r>
    <x v="51"/>
    <s v="conventional_default_dq_cai_893"/>
    <x v="933"/>
    <n v="1.49"/>
    <n v="1"/>
    <n v="-40"/>
    <n v="940"/>
  </r>
  <r>
    <x v="51"/>
    <s v="conventional_default_dq_cai_894"/>
    <x v="934"/>
    <n v="1.49"/>
    <n v="1"/>
    <n v="-40"/>
    <n v="940"/>
  </r>
  <r>
    <x v="51"/>
    <s v="conventional_default_dq_cai_895"/>
    <x v="935"/>
    <n v="1.49"/>
    <n v="1"/>
    <n v="-40"/>
    <n v="940"/>
  </r>
  <r>
    <x v="51"/>
    <s v="conventional_default_dq_cai_896"/>
    <x v="936"/>
    <n v="1.49"/>
    <n v="1"/>
    <n v="-40"/>
    <n v="940"/>
  </r>
  <r>
    <x v="51"/>
    <s v="conventional_default_dq_cai_897"/>
    <x v="937"/>
    <n v="1.49"/>
    <n v="1"/>
    <n v="-40"/>
    <n v="940"/>
  </r>
  <r>
    <x v="51"/>
    <s v="conventional_default_dq_cai_898"/>
    <x v="938"/>
    <n v="1.49"/>
    <n v="1"/>
    <n v="-40"/>
    <n v="940"/>
  </r>
  <r>
    <x v="51"/>
    <s v="conventional_default_dq_cai_899"/>
    <x v="939"/>
    <n v="1.49"/>
    <n v="1"/>
    <n v="-40"/>
    <n v="940"/>
  </r>
  <r>
    <x v="51"/>
    <s v="conventional_default_dq_cai_900"/>
    <x v="940"/>
    <n v="1.49"/>
    <n v="1"/>
    <n v="-40"/>
    <n v="940"/>
  </r>
  <r>
    <x v="51"/>
    <s v="conventional_default_dq_cai_901"/>
    <x v="941"/>
    <n v="1.49"/>
    <n v="1"/>
    <n v="-40"/>
    <n v="940"/>
  </r>
  <r>
    <x v="51"/>
    <s v="conventional_default_dq_cai_902"/>
    <x v="942"/>
    <n v="1.49"/>
    <n v="1"/>
    <n v="-40"/>
    <n v="940"/>
  </r>
  <r>
    <x v="51"/>
    <s v="conventional_default_dq_cai_903"/>
    <x v="943"/>
    <n v="1.49"/>
    <n v="1"/>
    <n v="-40"/>
    <n v="940"/>
  </r>
  <r>
    <x v="51"/>
    <s v="conventional_default_dq_cai_904"/>
    <x v="944"/>
    <n v="1.49"/>
    <n v="1"/>
    <n v="-40"/>
    <n v="940"/>
  </r>
  <r>
    <x v="51"/>
    <s v="conventional_default_dq_cai_905"/>
    <x v="945"/>
    <n v="1.49"/>
    <n v="1"/>
    <n v="-40"/>
    <n v="940"/>
  </r>
  <r>
    <x v="51"/>
    <s v="conventional_default_dq_cai_906"/>
    <x v="946"/>
    <n v="1.49"/>
    <n v="1"/>
    <n v="-40"/>
    <n v="940"/>
  </r>
  <r>
    <x v="51"/>
    <s v="conventional_default_dq_cai_907"/>
    <x v="947"/>
    <n v="1.49"/>
    <n v="1"/>
    <n v="-40"/>
    <n v="940"/>
  </r>
  <r>
    <x v="51"/>
    <s v="conventional_default_dq_cai_908"/>
    <x v="948"/>
    <n v="1.49"/>
    <n v="1"/>
    <n v="-40"/>
    <n v="940"/>
  </r>
  <r>
    <x v="51"/>
    <s v="conventional_default_dq_cai_909"/>
    <x v="949"/>
    <n v="1.49"/>
    <n v="1"/>
    <n v="-40"/>
    <n v="940"/>
  </r>
  <r>
    <x v="51"/>
    <s v="conventional_default_dq_cai_910"/>
    <x v="950"/>
    <n v="1.49"/>
    <n v="1"/>
    <n v="-40"/>
    <n v="940"/>
  </r>
  <r>
    <x v="51"/>
    <s v="conventional_default_dq_cai_911"/>
    <x v="951"/>
    <n v="1.49"/>
    <n v="1"/>
    <n v="-40"/>
    <n v="940"/>
  </r>
  <r>
    <x v="51"/>
    <s v="conventional_default_dq_cai_912"/>
    <x v="952"/>
    <n v="1.49"/>
    <n v="1"/>
    <n v="-40"/>
    <n v="940"/>
  </r>
  <r>
    <x v="51"/>
    <s v="conventional_default_dq_cai_913"/>
    <x v="953"/>
    <n v="1.49"/>
    <n v="1"/>
    <n v="-40"/>
    <n v="940"/>
  </r>
  <r>
    <x v="51"/>
    <s v="conventional_default_dq_cai_914"/>
    <x v="954"/>
    <n v="1.49"/>
    <n v="1"/>
    <n v="-40"/>
    <n v="940"/>
  </r>
  <r>
    <x v="51"/>
    <s v="conventional_default_dq_cai_915"/>
    <x v="955"/>
    <n v="1.49"/>
    <n v="1"/>
    <n v="-40"/>
    <n v="940"/>
  </r>
  <r>
    <x v="51"/>
    <s v="conventional_default_dq_cai_916"/>
    <x v="956"/>
    <n v="1.49"/>
    <n v="1"/>
    <n v="-40"/>
    <n v="940"/>
  </r>
  <r>
    <x v="51"/>
    <s v="conventional_default_dq_cai_917"/>
    <x v="957"/>
    <n v="1.49"/>
    <n v="1"/>
    <n v="-40"/>
    <n v="940"/>
  </r>
  <r>
    <x v="51"/>
    <s v="conventional_default_dq_cai_918"/>
    <x v="958"/>
    <n v="1.49"/>
    <n v="1"/>
    <n v="-40"/>
    <n v="940"/>
  </r>
  <r>
    <x v="51"/>
    <s v="conventional_default_dq_cai_919"/>
    <x v="959"/>
    <n v="1.49"/>
    <n v="1"/>
    <n v="-40"/>
    <n v="940"/>
  </r>
  <r>
    <x v="51"/>
    <s v="conventional_default_dq_cai_920"/>
    <x v="960"/>
    <n v="1.49"/>
    <n v="1"/>
    <n v="-40"/>
    <n v="940"/>
  </r>
  <r>
    <x v="51"/>
    <s v="conventional_default_dq_cai_921"/>
    <x v="961"/>
    <n v="1.49"/>
    <n v="1"/>
    <n v="-40"/>
    <n v="940"/>
  </r>
  <r>
    <x v="51"/>
    <s v="conventional_default_dq_cai_922"/>
    <x v="962"/>
    <n v="1.49"/>
    <n v="1"/>
    <n v="-40"/>
    <n v="940"/>
  </r>
  <r>
    <x v="51"/>
    <s v="conventional_default_dq_cai_923"/>
    <x v="963"/>
    <n v="1.49"/>
    <n v="1"/>
    <n v="-40"/>
    <n v="940"/>
  </r>
  <r>
    <x v="51"/>
    <s v="conventional_default_dq_cai_924"/>
    <x v="964"/>
    <n v="1.49"/>
    <n v="1"/>
    <n v="-40"/>
    <n v="940"/>
  </r>
  <r>
    <x v="51"/>
    <s v="conventional_default_dq_cai_925"/>
    <x v="965"/>
    <n v="1.49"/>
    <n v="1"/>
    <n v="-40"/>
    <n v="940"/>
  </r>
  <r>
    <x v="51"/>
    <s v="conventional_default_dq_cai_926"/>
    <x v="966"/>
    <n v="1.49"/>
    <n v="1"/>
    <n v="-40"/>
    <n v="940"/>
  </r>
  <r>
    <x v="51"/>
    <s v="conventional_default_dq_cai_927"/>
    <x v="967"/>
    <n v="1.49"/>
    <n v="1"/>
    <n v="-40"/>
    <n v="940"/>
  </r>
  <r>
    <x v="51"/>
    <s v="conventional_default_dq_cai_928"/>
    <x v="968"/>
    <n v="1.49"/>
    <n v="1"/>
    <n v="-40"/>
    <n v="940"/>
  </r>
  <r>
    <x v="51"/>
    <s v="conventional_default_dq_cai_929"/>
    <x v="969"/>
    <n v="1.49"/>
    <n v="1"/>
    <n v="-40"/>
    <n v="940"/>
  </r>
  <r>
    <x v="51"/>
    <s v="conventional_default_dq_cai_930"/>
    <x v="970"/>
    <n v="1.49"/>
    <n v="1"/>
    <n v="-40"/>
    <n v="940"/>
  </r>
  <r>
    <x v="51"/>
    <s v="conventional_default_dq_cai_931"/>
    <x v="971"/>
    <n v="1.49"/>
    <n v="1"/>
    <n v="-40"/>
    <n v="940"/>
  </r>
  <r>
    <x v="51"/>
    <s v="conventional_default_dq_cai_932"/>
    <x v="972"/>
    <n v="1.49"/>
    <n v="1"/>
    <n v="-40"/>
    <n v="940"/>
  </r>
  <r>
    <x v="51"/>
    <s v="conventional_default_dq_cai_933"/>
    <x v="973"/>
    <n v="1.49"/>
    <n v="1"/>
    <n v="-40"/>
    <n v="940"/>
  </r>
  <r>
    <x v="51"/>
    <s v="conventional_default_dq_cai_934"/>
    <x v="974"/>
    <n v="1.49"/>
    <n v="1"/>
    <n v="-40"/>
    <n v="940"/>
  </r>
  <r>
    <x v="51"/>
    <s v="conventional_default_dq_cai_935"/>
    <x v="975"/>
    <n v="1.49"/>
    <n v="1"/>
    <n v="-40"/>
    <n v="940"/>
  </r>
  <r>
    <x v="51"/>
    <s v="conventional_default_dq_cai_936"/>
    <x v="976"/>
    <n v="1.49"/>
    <n v="1"/>
    <n v="-40"/>
    <n v="940"/>
  </r>
  <r>
    <x v="51"/>
    <s v="conventional_default_dq_cai_937"/>
    <x v="977"/>
    <n v="1.49"/>
    <n v="1"/>
    <n v="-40"/>
    <n v="940"/>
  </r>
  <r>
    <x v="51"/>
    <s v="conventional_default_dq_cai_938"/>
    <x v="978"/>
    <n v="1.49"/>
    <n v="1"/>
    <n v="-40"/>
    <n v="940"/>
  </r>
  <r>
    <x v="51"/>
    <s v="conventional_default_dq_cai_939"/>
    <x v="979"/>
    <n v="1.49"/>
    <n v="1"/>
    <n v="-40"/>
    <n v="940"/>
  </r>
  <r>
    <x v="51"/>
    <s v="conventional_default_dq_cai_940"/>
    <x v="980"/>
    <n v="1.49"/>
    <n v="1"/>
    <n v="-40"/>
    <n v="940"/>
  </r>
  <r>
    <x v="52"/>
    <s v="conventional_default_dq_wala_-66"/>
    <x v="1205"/>
    <n v="-1.65"/>
    <n v="1"/>
    <n v="-66"/>
    <n v="396"/>
  </r>
  <r>
    <x v="52"/>
    <s v="conventional_default_dq_wala_-65"/>
    <x v="1206"/>
    <n v="-1.62333333333333"/>
    <n v="1"/>
    <n v="-66"/>
    <n v="396"/>
  </r>
  <r>
    <x v="52"/>
    <s v="conventional_default_dq_wala_-64"/>
    <x v="1207"/>
    <n v="-1.59666666666667"/>
    <n v="1"/>
    <n v="-66"/>
    <n v="396"/>
  </r>
  <r>
    <x v="52"/>
    <s v="conventional_default_dq_wala_-63"/>
    <x v="1208"/>
    <n v="-1.57"/>
    <n v="1"/>
    <n v="-66"/>
    <n v="396"/>
  </r>
  <r>
    <x v="52"/>
    <s v="conventional_default_dq_wala_-62"/>
    <x v="1209"/>
    <n v="-1.5433333333333299"/>
    <n v="1"/>
    <n v="-66"/>
    <n v="396"/>
  </r>
  <r>
    <x v="52"/>
    <s v="conventional_default_dq_wala_-61"/>
    <x v="1210"/>
    <n v="-1.5166666666666699"/>
    <n v="1"/>
    <n v="-66"/>
    <n v="396"/>
  </r>
  <r>
    <x v="52"/>
    <s v="conventional_default_dq_wala_-60"/>
    <x v="1211"/>
    <n v="-1.49"/>
    <n v="1"/>
    <n v="-66"/>
    <n v="396"/>
  </r>
  <r>
    <x v="52"/>
    <s v="conventional_default_dq_wala_-59"/>
    <x v="1212"/>
    <n v="-1.46333333333333"/>
    <n v="1"/>
    <n v="-66"/>
    <n v="396"/>
  </r>
  <r>
    <x v="52"/>
    <s v="conventional_default_dq_wala_-58"/>
    <x v="1213"/>
    <n v="-1.4366666666666701"/>
    <n v="1"/>
    <n v="-66"/>
    <n v="396"/>
  </r>
  <r>
    <x v="52"/>
    <s v="conventional_default_dq_wala_-57"/>
    <x v="1214"/>
    <n v="-1.41"/>
    <n v="1"/>
    <n v="-66"/>
    <n v="396"/>
  </r>
  <r>
    <x v="52"/>
    <s v="conventional_default_dq_wala_-56"/>
    <x v="1215"/>
    <n v="-1.38333333333333"/>
    <n v="1"/>
    <n v="-66"/>
    <n v="396"/>
  </r>
  <r>
    <x v="52"/>
    <s v="conventional_default_dq_wala_-55"/>
    <x v="1216"/>
    <n v="-1.35666666666667"/>
    <n v="1"/>
    <n v="-66"/>
    <n v="396"/>
  </r>
  <r>
    <x v="52"/>
    <s v="conventional_default_dq_wala_-54"/>
    <x v="1217"/>
    <n v="-1.33"/>
    <n v="1"/>
    <n v="-66"/>
    <n v="396"/>
  </r>
  <r>
    <x v="52"/>
    <s v="conventional_default_dq_wala_-53"/>
    <x v="1218"/>
    <n v="-1.3033333333333299"/>
    <n v="1"/>
    <n v="-66"/>
    <n v="396"/>
  </r>
  <r>
    <x v="52"/>
    <s v="conventional_default_dq_wala_-52"/>
    <x v="1219"/>
    <n v="-1.2766666666666699"/>
    <n v="1"/>
    <n v="-66"/>
    <n v="396"/>
  </r>
  <r>
    <x v="52"/>
    <s v="conventional_default_dq_wala_-51"/>
    <x v="1220"/>
    <n v="-1.25"/>
    <n v="1"/>
    <n v="-66"/>
    <n v="396"/>
  </r>
  <r>
    <x v="52"/>
    <s v="conventional_default_dq_wala_-50"/>
    <x v="1221"/>
    <n v="-1.2233333333333301"/>
    <n v="1"/>
    <n v="-66"/>
    <n v="396"/>
  </r>
  <r>
    <x v="52"/>
    <s v="conventional_default_dq_wala_-49"/>
    <x v="1222"/>
    <n v="-1.1966666666666701"/>
    <n v="1"/>
    <n v="-66"/>
    <n v="396"/>
  </r>
  <r>
    <x v="52"/>
    <s v="conventional_default_dq_wala_-48"/>
    <x v="1223"/>
    <n v="-1.17"/>
    <n v="1"/>
    <n v="-66"/>
    <n v="396"/>
  </r>
  <r>
    <x v="52"/>
    <s v="conventional_default_dq_wala_-47"/>
    <x v="1224"/>
    <n v="-1.14333333333333"/>
    <n v="1"/>
    <n v="-66"/>
    <n v="396"/>
  </r>
  <r>
    <x v="52"/>
    <s v="conventional_default_dq_wala_-46"/>
    <x v="1225"/>
    <n v="-1.11666666666667"/>
    <n v="1"/>
    <n v="-66"/>
    <n v="396"/>
  </r>
  <r>
    <x v="52"/>
    <s v="conventional_default_dq_wala_-45"/>
    <x v="1226"/>
    <n v="-1.0900000000000001"/>
    <n v="1"/>
    <n v="-66"/>
    <n v="396"/>
  </r>
  <r>
    <x v="52"/>
    <s v="conventional_default_dq_wala_-44"/>
    <x v="1227"/>
    <n v="-1.0633333333333299"/>
    <n v="1"/>
    <n v="-66"/>
    <n v="396"/>
  </r>
  <r>
    <x v="52"/>
    <s v="conventional_default_dq_wala_-43"/>
    <x v="1228"/>
    <n v="-1.03666666666667"/>
    <n v="1"/>
    <n v="-66"/>
    <n v="396"/>
  </r>
  <r>
    <x v="52"/>
    <s v="conventional_default_dq_wala_-42"/>
    <x v="1229"/>
    <n v="-1.01"/>
    <n v="1"/>
    <n v="-66"/>
    <n v="396"/>
  </r>
  <r>
    <x v="52"/>
    <s v="conventional_default_dq_wala_-41"/>
    <x v="1230"/>
    <n v="-0.98333333333333395"/>
    <n v="1"/>
    <n v="-66"/>
    <n v="396"/>
  </r>
  <r>
    <x v="52"/>
    <s v="conventional_default_dq_wala_-40"/>
    <x v="0"/>
    <n v="-0.956666666666667"/>
    <n v="1"/>
    <n v="-66"/>
    <n v="396"/>
  </r>
  <r>
    <x v="52"/>
    <s v="conventional_default_dq_wala_-39"/>
    <x v="1"/>
    <n v="-0.93"/>
    <n v="1"/>
    <n v="-66"/>
    <n v="396"/>
  </r>
  <r>
    <x v="52"/>
    <s v="conventional_default_dq_wala_-38"/>
    <x v="2"/>
    <n v="-0.90333333333333399"/>
    <n v="1"/>
    <n v="-66"/>
    <n v="396"/>
  </r>
  <r>
    <x v="52"/>
    <s v="conventional_default_dq_wala_-37"/>
    <x v="3"/>
    <n v="-0.87666666666666704"/>
    <n v="1"/>
    <n v="-66"/>
    <n v="396"/>
  </r>
  <r>
    <x v="52"/>
    <s v="conventional_default_dq_wala_-36"/>
    <x v="4"/>
    <n v="-0.85"/>
    <n v="1"/>
    <n v="-66"/>
    <n v="396"/>
  </r>
  <r>
    <x v="52"/>
    <s v="conventional_default_dq_wala_-35"/>
    <x v="5"/>
    <n v="-0.82333333333333403"/>
    <n v="1"/>
    <n v="-66"/>
    <n v="396"/>
  </r>
  <r>
    <x v="52"/>
    <s v="conventional_default_dq_wala_-34"/>
    <x v="6"/>
    <n v="-0.79666666666666697"/>
    <n v="1"/>
    <n v="-66"/>
    <n v="396"/>
  </r>
  <r>
    <x v="52"/>
    <s v="conventional_default_dq_wala_-33"/>
    <x v="7"/>
    <n v="-0.77"/>
    <n v="1"/>
    <n v="-66"/>
    <n v="396"/>
  </r>
  <r>
    <x v="52"/>
    <s v="conventional_default_dq_wala_-32"/>
    <x v="8"/>
    <n v="-0.74333333333333396"/>
    <n v="1"/>
    <n v="-66"/>
    <n v="396"/>
  </r>
  <r>
    <x v="52"/>
    <s v="conventional_default_dq_wala_-31"/>
    <x v="9"/>
    <n v="-0.71666666666666701"/>
    <n v="1"/>
    <n v="-66"/>
    <n v="396"/>
  </r>
  <r>
    <x v="52"/>
    <s v="conventional_default_dq_wala_-30"/>
    <x v="10"/>
    <n v="-0.69"/>
    <n v="1"/>
    <n v="-66"/>
    <n v="396"/>
  </r>
  <r>
    <x v="52"/>
    <s v="conventional_default_dq_wala_-29"/>
    <x v="11"/>
    <n v="-0.663333333333333"/>
    <n v="1"/>
    <n v="-66"/>
    <n v="396"/>
  </r>
  <r>
    <x v="52"/>
    <s v="conventional_default_dq_wala_-28"/>
    <x v="12"/>
    <n v="-0.63666666666666705"/>
    <n v="1"/>
    <n v="-66"/>
    <n v="396"/>
  </r>
  <r>
    <x v="52"/>
    <s v="conventional_default_dq_wala_-27"/>
    <x v="13"/>
    <n v="-0.61"/>
    <n v="1"/>
    <n v="-66"/>
    <n v="396"/>
  </r>
  <r>
    <x v="52"/>
    <s v="conventional_default_dq_wala_-26"/>
    <x v="14"/>
    <n v="-0.58333333333333304"/>
    <n v="1"/>
    <n v="-66"/>
    <n v="396"/>
  </r>
  <r>
    <x v="52"/>
    <s v="conventional_default_dq_wala_-25"/>
    <x v="15"/>
    <n v="-0.55666666666666698"/>
    <n v="1"/>
    <n v="-66"/>
    <n v="396"/>
  </r>
  <r>
    <x v="52"/>
    <s v="conventional_default_dq_wala_-24"/>
    <x v="16"/>
    <n v="-0.53"/>
    <n v="1"/>
    <n v="-66"/>
    <n v="396"/>
  </r>
  <r>
    <x v="52"/>
    <s v="conventional_default_dq_wala_-23"/>
    <x v="17"/>
    <n v="-0.50333333333333397"/>
    <n v="1"/>
    <n v="-66"/>
    <n v="396"/>
  </r>
  <r>
    <x v="52"/>
    <s v="conventional_default_dq_wala_-22"/>
    <x v="18"/>
    <n v="-0.47666666666666702"/>
    <n v="1"/>
    <n v="-66"/>
    <n v="396"/>
  </r>
  <r>
    <x v="52"/>
    <s v="conventional_default_dq_wala_-21"/>
    <x v="19"/>
    <n v="-0.45"/>
    <n v="1"/>
    <n v="-66"/>
    <n v="396"/>
  </r>
  <r>
    <x v="52"/>
    <s v="conventional_default_dq_wala_-20"/>
    <x v="20"/>
    <n v="-0.42333333333333301"/>
    <n v="1"/>
    <n v="-66"/>
    <n v="396"/>
  </r>
  <r>
    <x v="52"/>
    <s v="conventional_default_dq_wala_-19"/>
    <x v="21"/>
    <n v="-0.396666666666667"/>
    <n v="1"/>
    <n v="-66"/>
    <n v="396"/>
  </r>
  <r>
    <x v="52"/>
    <s v="conventional_default_dq_wala_-18"/>
    <x v="22"/>
    <n v="-0.37"/>
    <n v="1"/>
    <n v="-66"/>
    <n v="396"/>
  </r>
  <r>
    <x v="52"/>
    <s v="conventional_default_dq_wala_-17"/>
    <x v="23"/>
    <n v="-0.34333333333333299"/>
    <n v="1"/>
    <n v="-66"/>
    <n v="396"/>
  </r>
  <r>
    <x v="52"/>
    <s v="conventional_default_dq_wala_-16"/>
    <x v="24"/>
    <n v="-0.31666666666666698"/>
    <n v="1"/>
    <n v="-66"/>
    <n v="396"/>
  </r>
  <r>
    <x v="52"/>
    <s v="conventional_default_dq_wala_-15"/>
    <x v="25"/>
    <n v="-0.28999999999999998"/>
    <n v="1"/>
    <n v="-66"/>
    <n v="396"/>
  </r>
  <r>
    <x v="52"/>
    <s v="conventional_default_dq_wala_-14"/>
    <x v="26"/>
    <n v="-0.26333333333333298"/>
    <n v="1"/>
    <n v="-66"/>
    <n v="396"/>
  </r>
  <r>
    <x v="52"/>
    <s v="conventional_default_dq_wala_-13"/>
    <x v="27"/>
    <n v="-0.236666666666667"/>
    <n v="1"/>
    <n v="-66"/>
    <n v="396"/>
  </r>
  <r>
    <x v="52"/>
    <s v="conventional_default_dq_wala_-12"/>
    <x v="28"/>
    <n v="-0.21"/>
    <n v="1"/>
    <n v="-66"/>
    <n v="396"/>
  </r>
  <r>
    <x v="52"/>
    <s v="conventional_default_dq_wala_-11"/>
    <x v="29"/>
    <n v="-0.18333333333333299"/>
    <n v="1"/>
    <n v="-66"/>
    <n v="396"/>
  </r>
  <r>
    <x v="52"/>
    <s v="conventional_default_dq_wala_-10"/>
    <x v="30"/>
    <n v="-0.15666666666666701"/>
    <n v="1"/>
    <n v="-66"/>
    <n v="396"/>
  </r>
  <r>
    <x v="52"/>
    <s v="conventional_default_dq_wala_-9"/>
    <x v="31"/>
    <n v="-0.13"/>
    <n v="1"/>
    <n v="-66"/>
    <n v="396"/>
  </r>
  <r>
    <x v="52"/>
    <s v="conventional_default_dq_wala_-8"/>
    <x v="32"/>
    <n v="-0.103333333333333"/>
    <n v="1"/>
    <n v="-66"/>
    <n v="396"/>
  </r>
  <r>
    <x v="52"/>
    <s v="conventional_default_dq_wala_-7"/>
    <x v="33"/>
    <n v="-7.6666666666666702E-2"/>
    <n v="1"/>
    <n v="-66"/>
    <n v="396"/>
  </r>
  <r>
    <x v="52"/>
    <s v="conventional_default_dq_wala_-6"/>
    <x v="34"/>
    <n v="-0.05"/>
    <n v="1"/>
    <n v="-66"/>
    <n v="396"/>
  </r>
  <r>
    <x v="52"/>
    <s v="conventional_default_dq_wala_-5"/>
    <x v="35"/>
    <n v="-2.33333333333334E-2"/>
    <n v="1"/>
    <n v="-66"/>
    <n v="396"/>
  </r>
  <r>
    <x v="52"/>
    <s v="conventional_default_dq_wala_-4"/>
    <x v="36"/>
    <n v="3.3333333333333101E-3"/>
    <n v="1"/>
    <n v="-66"/>
    <n v="396"/>
  </r>
  <r>
    <x v="52"/>
    <s v="conventional_default_dq_wala_-3"/>
    <x v="37"/>
    <n v="0.03"/>
    <n v="1"/>
    <n v="-66"/>
    <n v="396"/>
  </r>
  <r>
    <x v="52"/>
    <s v="conventional_default_dq_wala_-2"/>
    <x v="38"/>
    <n v="5.6666666666666698E-2"/>
    <n v="1"/>
    <n v="-66"/>
    <n v="396"/>
  </r>
  <r>
    <x v="52"/>
    <s v="conventional_default_dq_wala_-1"/>
    <x v="39"/>
    <n v="8.3333333333333301E-2"/>
    <n v="1"/>
    <n v="-66"/>
    <n v="396"/>
  </r>
  <r>
    <x v="52"/>
    <s v="conventional_default_dq_wala_0"/>
    <x v="40"/>
    <n v="0.11"/>
    <n v="1"/>
    <n v="-66"/>
    <n v="396"/>
  </r>
  <r>
    <x v="52"/>
    <s v="conventional_default_dq_wala_1"/>
    <x v="41"/>
    <n v="0.13701388888888899"/>
    <n v="1"/>
    <n v="-66"/>
    <n v="396"/>
  </r>
  <r>
    <x v="52"/>
    <s v="conventional_default_dq_wala_2"/>
    <x v="42"/>
    <n v="0.164444444444444"/>
    <n v="1"/>
    <n v="-66"/>
    <n v="396"/>
  </r>
  <r>
    <x v="52"/>
    <s v="conventional_default_dq_wala_3"/>
    <x v="43"/>
    <n v="0.19187499999999999"/>
    <n v="1"/>
    <n v="-66"/>
    <n v="396"/>
  </r>
  <r>
    <x v="52"/>
    <s v="conventional_default_dq_wala_4"/>
    <x v="44"/>
    <n v="0.21888888888888899"/>
    <n v="1"/>
    <n v="-66"/>
    <n v="396"/>
  </r>
  <r>
    <x v="52"/>
    <s v="conventional_default_dq_wala_5"/>
    <x v="45"/>
    <n v="0.24506944444444401"/>
    <n v="1"/>
    <n v="-66"/>
    <n v="396"/>
  </r>
  <r>
    <x v="52"/>
    <s v="conventional_default_dq_wala_6"/>
    <x v="46"/>
    <n v="0.27"/>
    <n v="1"/>
    <n v="-66"/>
    <n v="396"/>
  </r>
  <r>
    <x v="52"/>
    <s v="conventional_default_dq_wala_7"/>
    <x v="47"/>
    <n v="0.29351851851851901"/>
    <n v="1"/>
    <n v="-66"/>
    <n v="396"/>
  </r>
  <r>
    <x v="52"/>
    <s v="conventional_default_dq_wala_8"/>
    <x v="48"/>
    <n v="0.315925925925926"/>
    <n v="1"/>
    <n v="-66"/>
    <n v="396"/>
  </r>
  <r>
    <x v="52"/>
    <s v="conventional_default_dq_wala_9"/>
    <x v="49"/>
    <n v="0.33750000000000002"/>
    <n v="1"/>
    <n v="-66"/>
    <n v="396"/>
  </r>
  <r>
    <x v="52"/>
    <s v="conventional_default_dq_wala_10"/>
    <x v="50"/>
    <n v="0.35851851851851901"/>
    <n v="1"/>
    <n v="-66"/>
    <n v="396"/>
  </r>
  <r>
    <x v="52"/>
    <s v="conventional_default_dq_wala_11"/>
    <x v="51"/>
    <n v="0.37925925925925902"/>
    <n v="1"/>
    <n v="-66"/>
    <n v="396"/>
  </r>
  <r>
    <x v="52"/>
    <s v="conventional_default_dq_wala_12"/>
    <x v="52"/>
    <n v="0.4"/>
    <n v="1"/>
    <n v="-66"/>
    <n v="396"/>
  </r>
  <r>
    <x v="52"/>
    <s v="conventional_default_dq_wala_13"/>
    <x v="53"/>
    <n v="0.42069444444444398"/>
    <n v="1"/>
    <n v="-66"/>
    <n v="396"/>
  </r>
  <r>
    <x v="52"/>
    <s v="conventional_default_dq_wala_14"/>
    <x v="54"/>
    <n v="0.44111111111111101"/>
    <n v="1"/>
    <n v="-66"/>
    <n v="396"/>
  </r>
  <r>
    <x v="52"/>
    <s v="conventional_default_dq_wala_15"/>
    <x v="55"/>
    <n v="0.46124999999999999"/>
    <n v="1"/>
    <n v="-66"/>
    <n v="396"/>
  </r>
  <r>
    <x v="52"/>
    <s v="conventional_default_dq_wala_16"/>
    <x v="56"/>
    <n v="0.48111111111111099"/>
    <n v="1"/>
    <n v="-66"/>
    <n v="396"/>
  </r>
  <r>
    <x v="52"/>
    <s v="conventional_default_dq_wala_17"/>
    <x v="57"/>
    <n v="0.500694444444444"/>
    <n v="1"/>
    <n v="-66"/>
    <n v="396"/>
  </r>
  <r>
    <x v="52"/>
    <s v="conventional_default_dq_wala_18"/>
    <x v="58"/>
    <n v="0.52"/>
    <n v="1"/>
    <n v="-66"/>
    <n v="396"/>
  </r>
  <r>
    <x v="52"/>
    <s v="conventional_default_dq_wala_19"/>
    <x v="59"/>
    <n v="0.53908564814814797"/>
    <n v="1"/>
    <n v="-66"/>
    <n v="396"/>
  </r>
  <r>
    <x v="52"/>
    <s v="conventional_default_dq_wala_20"/>
    <x v="60"/>
    <n v="0.55796296296296299"/>
    <n v="1"/>
    <n v="-66"/>
    <n v="396"/>
  </r>
  <r>
    <x v="52"/>
    <s v="conventional_default_dq_wala_21"/>
    <x v="61"/>
    <n v="0.57656249999999998"/>
    <n v="1"/>
    <n v="-66"/>
    <n v="396"/>
  </r>
  <r>
    <x v="52"/>
    <s v="conventional_default_dq_wala_22"/>
    <x v="62"/>
    <n v="0.59481481481481502"/>
    <n v="1"/>
    <n v="-66"/>
    <n v="396"/>
  </r>
  <r>
    <x v="52"/>
    <s v="conventional_default_dq_wala_23"/>
    <x v="63"/>
    <n v="0.61265046296296299"/>
    <n v="1"/>
    <n v="-66"/>
    <n v="396"/>
  </r>
  <r>
    <x v="52"/>
    <s v="conventional_default_dq_wala_24"/>
    <x v="64"/>
    <n v="0.63"/>
    <n v="1"/>
    <n v="-66"/>
    <n v="396"/>
  </r>
  <r>
    <x v="52"/>
    <s v="conventional_default_dq_wala_25"/>
    <x v="65"/>
    <n v="0.64705873842592598"/>
    <n v="1"/>
    <n v="-66"/>
    <n v="396"/>
  </r>
  <r>
    <x v="52"/>
    <s v="conventional_default_dq_wala_26"/>
    <x v="66"/>
    <n v="0.66403935185185203"/>
    <n v="1"/>
    <n v="-66"/>
    <n v="396"/>
  </r>
  <r>
    <x v="52"/>
    <s v="conventional_default_dq_wala_27"/>
    <x v="67"/>
    <n v="0.68089843750000001"/>
    <n v="1"/>
    <n v="-66"/>
    <n v="396"/>
  </r>
  <r>
    <x v="52"/>
    <s v="conventional_default_dq_wala_28"/>
    <x v="68"/>
    <n v="0.69759259259259299"/>
    <n v="1"/>
    <n v="-66"/>
    <n v="396"/>
  </r>
  <r>
    <x v="52"/>
    <s v="conventional_default_dq_wala_29"/>
    <x v="69"/>
    <n v="0.71407841435185204"/>
    <n v="1"/>
    <n v="-66"/>
    <n v="396"/>
  </r>
  <r>
    <x v="52"/>
    <s v="conventional_default_dq_wala_30"/>
    <x v="70"/>
    <n v="0.73031250000000003"/>
    <n v="1"/>
    <n v="-66"/>
    <n v="396"/>
  </r>
  <r>
    <x v="52"/>
    <s v="conventional_default_dq_wala_31"/>
    <x v="71"/>
    <n v="0.74625144675925903"/>
    <n v="1"/>
    <n v="-66"/>
    <n v="396"/>
  </r>
  <r>
    <x v="52"/>
    <s v="conventional_default_dq_wala_32"/>
    <x v="72"/>
    <n v="0.761851851851852"/>
    <n v="1"/>
    <n v="-66"/>
    <n v="396"/>
  </r>
  <r>
    <x v="52"/>
    <s v="conventional_default_dq_wala_33"/>
    <x v="73"/>
    <n v="0.77707031250000003"/>
    <n v="1"/>
    <n v="-66"/>
    <n v="396"/>
  </r>
  <r>
    <x v="52"/>
    <s v="conventional_default_dq_wala_34"/>
    <x v="74"/>
    <n v="0.79186342592592596"/>
    <n v="1"/>
    <n v="-66"/>
    <n v="396"/>
  </r>
  <r>
    <x v="52"/>
    <s v="conventional_default_dq_wala_35"/>
    <x v="75"/>
    <n v="0.80618778935185198"/>
    <n v="1"/>
    <n v="-66"/>
    <n v="396"/>
  </r>
  <r>
    <x v="52"/>
    <s v="conventional_default_dq_wala_36"/>
    <x v="76"/>
    <n v="0.82"/>
    <n v="1"/>
    <n v="-66"/>
    <n v="396"/>
  </r>
  <r>
    <x v="52"/>
    <s v="conventional_default_dq_wala_37"/>
    <x v="77"/>
    <n v="0.83346947337962995"/>
    <n v="1"/>
    <n v="-66"/>
    <n v="396"/>
  </r>
  <r>
    <x v="52"/>
    <s v="conventional_default_dq_wala_38"/>
    <x v="78"/>
    <n v="0.84679050925925903"/>
    <n v="1"/>
    <n v="-66"/>
    <n v="396"/>
  </r>
  <r>
    <x v="52"/>
    <s v="conventional_default_dq_wala_39"/>
    <x v="79"/>
    <n v="0.85995703125"/>
    <n v="1"/>
    <n v="-66"/>
    <n v="396"/>
  </r>
  <r>
    <x v="52"/>
    <s v="conventional_default_dq_wala_40"/>
    <x v="80"/>
    <n v="0.87296296296296305"/>
    <n v="1"/>
    <n v="-66"/>
    <n v="396"/>
  </r>
  <r>
    <x v="52"/>
    <s v="conventional_default_dq_wala_41"/>
    <x v="81"/>
    <n v="0.88580222800925901"/>
    <n v="1"/>
    <n v="-66"/>
    <n v="396"/>
  </r>
  <r>
    <x v="52"/>
    <s v="conventional_default_dq_wala_42"/>
    <x v="82"/>
    <n v="0.89846875000000004"/>
    <n v="1"/>
    <n v="-66"/>
    <n v="396"/>
  </r>
  <r>
    <x v="52"/>
    <s v="conventional_default_dq_wala_43"/>
    <x v="83"/>
    <n v="0.91095645254629598"/>
    <n v="1"/>
    <n v="-66"/>
    <n v="396"/>
  </r>
  <r>
    <x v="52"/>
    <s v="conventional_default_dq_wala_44"/>
    <x v="84"/>
    <n v="0.923259259259259"/>
    <n v="1"/>
    <n v="-66"/>
    <n v="396"/>
  </r>
  <r>
    <x v="52"/>
    <s v="conventional_default_dq_wala_45"/>
    <x v="85"/>
    <n v="0.93537109375000005"/>
    <n v="1"/>
    <n v="-66"/>
    <n v="396"/>
  </r>
  <r>
    <x v="52"/>
    <s v="conventional_default_dq_wala_46"/>
    <x v="86"/>
    <n v="0.94728587962962996"/>
    <n v="1"/>
    <n v="-66"/>
    <n v="396"/>
  </r>
  <r>
    <x v="52"/>
    <s v="conventional_default_dq_wala_47"/>
    <x v="87"/>
    <n v="0.95899754050925901"/>
    <n v="1"/>
    <n v="-66"/>
    <n v="396"/>
  </r>
  <r>
    <x v="52"/>
    <s v="conventional_default_dq_wala_48"/>
    <x v="88"/>
    <n v="0.97050000000000003"/>
    <n v="1"/>
    <n v="-66"/>
    <n v="396"/>
  </r>
  <r>
    <x v="52"/>
    <s v="conventional_default_dq_wala_49"/>
    <x v="89"/>
    <n v="0.98178718171296298"/>
    <n v="1"/>
    <n v="-66"/>
    <n v="396"/>
  </r>
  <r>
    <x v="52"/>
    <s v="conventional_default_dq_wala_50"/>
    <x v="90"/>
    <n v="0.99285300925925901"/>
    <n v="1"/>
    <n v="-66"/>
    <n v="396"/>
  </r>
  <r>
    <x v="52"/>
    <s v="conventional_default_dq_wala_51"/>
    <x v="91"/>
    <n v="1.00369140625"/>
    <n v="1"/>
    <n v="-66"/>
    <n v="396"/>
  </r>
  <r>
    <x v="52"/>
    <s v="conventional_default_dq_wala_52"/>
    <x v="92"/>
    <n v="1.0142962962963"/>
    <n v="1"/>
    <n v="-66"/>
    <n v="396"/>
  </r>
  <r>
    <x v="52"/>
    <s v="conventional_default_dq_wala_53"/>
    <x v="93"/>
    <n v="1.0246616030092599"/>
    <n v="1"/>
    <n v="-66"/>
    <n v="396"/>
  </r>
  <r>
    <x v="52"/>
    <s v="conventional_default_dq_wala_54"/>
    <x v="94"/>
    <n v="1.03478125"/>
    <n v="1"/>
    <n v="-66"/>
    <n v="396"/>
  </r>
  <r>
    <x v="52"/>
    <s v="conventional_default_dq_wala_55"/>
    <x v="95"/>
    <n v="1.04464916087963"/>
    <n v="1"/>
    <n v="-66"/>
    <n v="396"/>
  </r>
  <r>
    <x v="52"/>
    <s v="conventional_default_dq_wala_56"/>
    <x v="96"/>
    <n v="1.0542592592592599"/>
    <n v="1"/>
    <n v="-66"/>
    <n v="396"/>
  </r>
  <r>
    <x v="52"/>
    <s v="conventional_default_dq_wala_57"/>
    <x v="97"/>
    <n v="1.0636054687500001"/>
    <n v="1"/>
    <n v="-66"/>
    <n v="396"/>
  </r>
  <r>
    <x v="52"/>
    <s v="conventional_default_dq_wala_58"/>
    <x v="98"/>
    <n v="1.07268171296296"/>
    <n v="1"/>
    <n v="-66"/>
    <n v="396"/>
  </r>
  <r>
    <x v="52"/>
    <s v="conventional_default_dq_wala_59"/>
    <x v="99"/>
    <n v="1.0814819155092601"/>
    <n v="1"/>
    <n v="-66"/>
    <n v="396"/>
  </r>
  <r>
    <x v="52"/>
    <s v="conventional_default_dq_wala_60"/>
    <x v="100"/>
    <n v="1.0900000000000001"/>
    <n v="1"/>
    <n v="-66"/>
    <n v="396"/>
  </r>
  <r>
    <x v="52"/>
    <s v="conventional_default_dq_wala_61"/>
    <x v="101"/>
    <n v="1.0983161574074101"/>
    <n v="1"/>
    <n v="-66"/>
    <n v="396"/>
  </r>
  <r>
    <x v="52"/>
    <s v="conventional_default_dq_wala_62"/>
    <x v="102"/>
    <n v="1.1065153703703701"/>
    <n v="1"/>
    <n v="-66"/>
    <n v="396"/>
  </r>
  <r>
    <x v="52"/>
    <s v="conventional_default_dq_wala_63"/>
    <x v="103"/>
    <n v="1.1145987500000001"/>
    <n v="1"/>
    <n v="-66"/>
    <n v="396"/>
  </r>
  <r>
    <x v="52"/>
    <s v="conventional_default_dq_wala_64"/>
    <x v="104"/>
    <n v="1.1225674074074099"/>
    <n v="1"/>
    <n v="-66"/>
    <n v="396"/>
  </r>
  <r>
    <x v="52"/>
    <s v="conventional_default_dq_wala_65"/>
    <x v="105"/>
    <n v="1.1304224537037"/>
    <n v="1"/>
    <n v="-66"/>
    <n v="396"/>
  </r>
  <r>
    <x v="52"/>
    <s v="conventional_default_dq_wala_66"/>
    <x v="106"/>
    <n v="1.1381650000000001"/>
    <n v="1"/>
    <n v="-66"/>
    <n v="396"/>
  </r>
  <r>
    <x v="52"/>
    <s v="conventional_default_dq_wala_67"/>
    <x v="107"/>
    <n v="1.14579615740741"/>
    <n v="1"/>
    <n v="-66"/>
    <n v="396"/>
  </r>
  <r>
    <x v="52"/>
    <s v="conventional_default_dq_wala_68"/>
    <x v="108"/>
    <n v="1.15331703703704"/>
    <n v="1"/>
    <n v="-66"/>
    <n v="396"/>
  </r>
  <r>
    <x v="52"/>
    <s v="conventional_default_dq_wala_69"/>
    <x v="109"/>
    <n v="1.1607287500000001"/>
    <n v="1"/>
    <n v="-66"/>
    <n v="396"/>
  </r>
  <r>
    <x v="52"/>
    <s v="conventional_default_dq_wala_70"/>
    <x v="110"/>
    <n v="1.16803240740741"/>
    <n v="1"/>
    <n v="-66"/>
    <n v="396"/>
  </r>
  <r>
    <x v="52"/>
    <s v="conventional_default_dq_wala_71"/>
    <x v="111"/>
    <n v="1.17522912037037"/>
    <n v="1"/>
    <n v="-66"/>
    <n v="396"/>
  </r>
  <r>
    <x v="52"/>
    <s v="conventional_default_dq_wala_72"/>
    <x v="112"/>
    <n v="1.18232"/>
    <n v="1"/>
    <n v="-66"/>
    <n v="396"/>
  </r>
  <r>
    <x v="52"/>
    <s v="conventional_default_dq_wala_73"/>
    <x v="113"/>
    <n v="1.18930615740741"/>
    <n v="1"/>
    <n v="-66"/>
    <n v="396"/>
  </r>
  <r>
    <x v="52"/>
    <s v="conventional_default_dq_wala_74"/>
    <x v="114"/>
    <n v="1.1961887037037"/>
    <n v="1"/>
    <n v="-66"/>
    <n v="396"/>
  </r>
  <r>
    <x v="52"/>
    <s v="conventional_default_dq_wala_75"/>
    <x v="115"/>
    <n v="1.2029687499999999"/>
    <n v="1"/>
    <n v="-66"/>
    <n v="396"/>
  </r>
  <r>
    <x v="52"/>
    <s v="conventional_default_dq_wala_76"/>
    <x v="116"/>
    <n v="1.2096474074074099"/>
    <n v="1"/>
    <n v="-66"/>
    <n v="396"/>
  </r>
  <r>
    <x v="52"/>
    <s v="conventional_default_dq_wala_77"/>
    <x v="117"/>
    <n v="1.2162257870370401"/>
    <n v="1"/>
    <n v="-66"/>
    <n v="396"/>
  </r>
  <r>
    <x v="52"/>
    <s v="conventional_default_dq_wala_78"/>
    <x v="118"/>
    <n v="1.2227049999999999"/>
    <n v="1"/>
    <n v="-66"/>
    <n v="396"/>
  </r>
  <r>
    <x v="52"/>
    <s v="conventional_default_dq_wala_79"/>
    <x v="119"/>
    <n v="1.2290861574074099"/>
    <n v="1"/>
    <n v="-66"/>
    <n v="396"/>
  </r>
  <r>
    <x v="52"/>
    <s v="conventional_default_dq_wala_80"/>
    <x v="120"/>
    <n v="1.23537037037037"/>
    <n v="1"/>
    <n v="-66"/>
    <n v="396"/>
  </r>
  <r>
    <x v="52"/>
    <s v="conventional_default_dq_wala_81"/>
    <x v="121"/>
    <n v="1.24155875"/>
    <n v="1"/>
    <n v="-66"/>
    <n v="396"/>
  </r>
  <r>
    <x v="52"/>
    <s v="conventional_default_dq_wala_82"/>
    <x v="122"/>
    <n v="1.24765240740741"/>
    <n v="1"/>
    <n v="-66"/>
    <n v="396"/>
  </r>
  <r>
    <x v="52"/>
    <s v="conventional_default_dq_wala_83"/>
    <x v="123"/>
    <n v="1.2536524537036999"/>
    <n v="1"/>
    <n v="-66"/>
    <n v="396"/>
  </r>
  <r>
    <x v="52"/>
    <s v="conventional_default_dq_wala_84"/>
    <x v="124"/>
    <n v="1.25956"/>
    <n v="1"/>
    <n v="-66"/>
    <n v="396"/>
  </r>
  <r>
    <x v="52"/>
    <s v="conventional_default_dq_wala_85"/>
    <x v="125"/>
    <n v="1.2653761574074101"/>
    <n v="1"/>
    <n v="-66"/>
    <n v="396"/>
  </r>
  <r>
    <x v="52"/>
    <s v="conventional_default_dq_wala_86"/>
    <x v="126"/>
    <n v="1.2711020370370401"/>
    <n v="1"/>
    <n v="-66"/>
    <n v="396"/>
  </r>
  <r>
    <x v="52"/>
    <s v="conventional_default_dq_wala_87"/>
    <x v="127"/>
    <n v="1.27673875"/>
    <n v="1"/>
    <n v="-66"/>
    <n v="396"/>
  </r>
  <r>
    <x v="52"/>
    <s v="conventional_default_dq_wala_88"/>
    <x v="128"/>
    <n v="1.28228740740741"/>
    <n v="1"/>
    <n v="-66"/>
    <n v="396"/>
  </r>
  <r>
    <x v="52"/>
    <s v="conventional_default_dq_wala_89"/>
    <x v="129"/>
    <n v="1.2877491203703699"/>
    <n v="1"/>
    <n v="-66"/>
    <n v="396"/>
  </r>
  <r>
    <x v="52"/>
    <s v="conventional_default_dq_wala_90"/>
    <x v="130"/>
    <n v="1.2931250000000001"/>
    <n v="1"/>
    <n v="-66"/>
    <n v="396"/>
  </r>
  <r>
    <x v="52"/>
    <s v="conventional_default_dq_wala_91"/>
    <x v="131"/>
    <n v="1.29841615740741"/>
    <n v="1"/>
    <n v="-66"/>
    <n v="396"/>
  </r>
  <r>
    <x v="52"/>
    <s v="conventional_default_dq_wala_92"/>
    <x v="132"/>
    <n v="1.3036237037037"/>
    <n v="1"/>
    <n v="-66"/>
    <n v="396"/>
  </r>
  <r>
    <x v="52"/>
    <s v="conventional_default_dq_wala_93"/>
    <x v="133"/>
    <n v="1.3087487499999999"/>
    <n v="1"/>
    <n v="-66"/>
    <n v="396"/>
  </r>
  <r>
    <x v="52"/>
    <s v="conventional_default_dq_wala_94"/>
    <x v="134"/>
    <n v="1.3137924074074101"/>
    <n v="1"/>
    <n v="-66"/>
    <n v="396"/>
  </r>
  <r>
    <x v="52"/>
    <s v="conventional_default_dq_wala_95"/>
    <x v="135"/>
    <n v="1.3187557870370401"/>
    <n v="1"/>
    <n v="-66"/>
    <n v="396"/>
  </r>
  <r>
    <x v="52"/>
    <s v="conventional_default_dq_wala_96"/>
    <x v="136"/>
    <n v="1.3236399999999999"/>
    <n v="1"/>
    <n v="-66"/>
    <n v="396"/>
  </r>
  <r>
    <x v="52"/>
    <s v="conventional_default_dq_wala_97"/>
    <x v="137"/>
    <n v="1.32844615740741"/>
    <n v="1"/>
    <n v="-66"/>
    <n v="396"/>
  </r>
  <r>
    <x v="52"/>
    <s v="conventional_default_dq_wala_98"/>
    <x v="138"/>
    <n v="1.3331753703703699"/>
    <n v="1"/>
    <n v="-66"/>
    <n v="396"/>
  </r>
  <r>
    <x v="52"/>
    <s v="conventional_default_dq_wala_99"/>
    <x v="139"/>
    <n v="1.3378287499999999"/>
    <n v="1"/>
    <n v="-66"/>
    <n v="396"/>
  </r>
  <r>
    <x v="52"/>
    <s v="conventional_default_dq_wala_100"/>
    <x v="140"/>
    <n v="1.3424074074074099"/>
    <n v="1"/>
    <n v="-66"/>
    <n v="396"/>
  </r>
  <r>
    <x v="52"/>
    <s v="conventional_default_dq_wala_101"/>
    <x v="141"/>
    <n v="1.3469124537037001"/>
    <n v="1"/>
    <n v="-66"/>
    <n v="396"/>
  </r>
  <r>
    <x v="52"/>
    <s v="conventional_default_dq_wala_102"/>
    <x v="142"/>
    <n v="1.351345"/>
    <n v="1"/>
    <n v="-66"/>
    <n v="396"/>
  </r>
  <r>
    <x v="52"/>
    <s v="conventional_default_dq_wala_103"/>
    <x v="143"/>
    <n v="1.3557061574074101"/>
    <n v="1"/>
    <n v="-66"/>
    <n v="396"/>
  </r>
  <r>
    <x v="52"/>
    <s v="conventional_default_dq_wala_104"/>
    <x v="144"/>
    <n v="1.35999703703704"/>
    <n v="1"/>
    <n v="-66"/>
    <n v="396"/>
  </r>
  <r>
    <x v="52"/>
    <s v="conventional_default_dq_wala_105"/>
    <x v="145"/>
    <n v="1.36421875"/>
    <n v="1"/>
    <n v="-66"/>
    <n v="396"/>
  </r>
  <r>
    <x v="52"/>
    <s v="conventional_default_dq_wala_106"/>
    <x v="146"/>
    <n v="1.36837240740741"/>
    <n v="1"/>
    <n v="-66"/>
    <n v="396"/>
  </r>
  <r>
    <x v="52"/>
    <s v="conventional_default_dq_wala_107"/>
    <x v="147"/>
    <n v="1.37245912037037"/>
    <n v="1"/>
    <n v="-66"/>
    <n v="396"/>
  </r>
  <r>
    <x v="52"/>
    <s v="conventional_default_dq_wala_108"/>
    <x v="148"/>
    <n v="1.3764799999999999"/>
    <n v="1"/>
    <n v="-66"/>
    <n v="396"/>
  </r>
  <r>
    <x v="52"/>
    <s v="conventional_default_dq_wala_109"/>
    <x v="149"/>
    <n v="1.38043615740741"/>
    <n v="1"/>
    <n v="-66"/>
    <n v="396"/>
  </r>
  <r>
    <x v="52"/>
    <s v="conventional_default_dq_wala_110"/>
    <x v="150"/>
    <n v="1.3843287037037"/>
    <n v="1"/>
    <n v="-66"/>
    <n v="396"/>
  </r>
  <r>
    <x v="52"/>
    <s v="conventional_default_dq_wala_111"/>
    <x v="151"/>
    <n v="1.3881587500000001"/>
    <n v="1"/>
    <n v="-66"/>
    <n v="396"/>
  </r>
  <r>
    <x v="52"/>
    <s v="conventional_default_dq_wala_112"/>
    <x v="152"/>
    <n v="1.3919274074074099"/>
    <n v="1"/>
    <n v="-66"/>
    <n v="396"/>
  </r>
  <r>
    <x v="52"/>
    <s v="conventional_default_dq_wala_113"/>
    <x v="153"/>
    <n v="1.3956357870370399"/>
    <n v="1"/>
    <n v="-66"/>
    <n v="396"/>
  </r>
  <r>
    <x v="52"/>
    <s v="conventional_default_dq_wala_114"/>
    <x v="154"/>
    <n v="1.3992849999999999"/>
    <n v="1"/>
    <n v="-66"/>
    <n v="396"/>
  </r>
  <r>
    <x v="52"/>
    <s v="conventional_default_dq_wala_115"/>
    <x v="155"/>
    <n v="1.40287615740741"/>
    <n v="1"/>
    <n v="-66"/>
    <n v="396"/>
  </r>
  <r>
    <x v="52"/>
    <s v="conventional_default_dq_wala_116"/>
    <x v="156"/>
    <n v="1.4064103703703701"/>
    <n v="1"/>
    <n v="-66"/>
    <n v="396"/>
  </r>
  <r>
    <x v="52"/>
    <s v="conventional_default_dq_wala_117"/>
    <x v="157"/>
    <n v="1.4098887499999999"/>
    <n v="1"/>
    <n v="-66"/>
    <n v="396"/>
  </r>
  <r>
    <x v="52"/>
    <s v="conventional_default_dq_wala_118"/>
    <x v="158"/>
    <n v="1.4133124074074099"/>
    <n v="1"/>
    <n v="-66"/>
    <n v="396"/>
  </r>
  <r>
    <x v="52"/>
    <s v="conventional_default_dq_wala_119"/>
    <x v="159"/>
    <n v="1.4166824537036999"/>
    <n v="1"/>
    <n v="-66"/>
    <n v="396"/>
  </r>
  <r>
    <x v="52"/>
    <s v="conventional_default_dq_wala_120"/>
    <x v="160"/>
    <n v="1.42"/>
    <n v="1"/>
    <n v="-66"/>
    <n v="396"/>
  </r>
  <r>
    <x v="52"/>
    <s v="conventional_default_dq_wala_121"/>
    <x v="161"/>
    <n v="1.42326125885472"/>
    <n v="1"/>
    <n v="-66"/>
    <n v="396"/>
  </r>
  <r>
    <x v="52"/>
    <s v="conventional_default_dq_wala_122"/>
    <x v="162"/>
    <n v="1.42646210561613"/>
    <n v="1"/>
    <n v="-66"/>
    <n v="396"/>
  </r>
  <r>
    <x v="52"/>
    <s v="conventional_default_dq_wala_123"/>
    <x v="163"/>
    <n v="1.42960314558004"/>
    <n v="1"/>
    <n v="-66"/>
    <n v="396"/>
  </r>
  <r>
    <x v="52"/>
    <s v="conventional_default_dq_wala_124"/>
    <x v="164"/>
    <n v="1.4326849840423199"/>
    <n v="1"/>
    <n v="-66"/>
    <n v="396"/>
  </r>
  <r>
    <x v="52"/>
    <s v="conventional_default_dq_wala_125"/>
    <x v="165"/>
    <n v="1.4357082262987899"/>
    <n v="1"/>
    <n v="-66"/>
    <n v="396"/>
  </r>
  <r>
    <x v="52"/>
    <s v="conventional_default_dq_wala_126"/>
    <x v="166"/>
    <n v="1.4386734776453001"/>
    <n v="1"/>
    <n v="-66"/>
    <n v="396"/>
  </r>
  <r>
    <x v="52"/>
    <s v="conventional_default_dq_wala_127"/>
    <x v="167"/>
    <n v="1.4415813433776901"/>
    <n v="1"/>
    <n v="-66"/>
    <n v="396"/>
  </r>
  <r>
    <x v="52"/>
    <s v="conventional_default_dq_wala_128"/>
    <x v="168"/>
    <n v="1.44443242879179"/>
    <n v="1"/>
    <n v="-66"/>
    <n v="396"/>
  </r>
  <r>
    <x v="52"/>
    <s v="conventional_default_dq_wala_129"/>
    <x v="169"/>
    <n v="1.44722733918345"/>
    <n v="1"/>
    <n v="-66"/>
    <n v="396"/>
  </r>
  <r>
    <x v="52"/>
    <s v="conventional_default_dq_wala_130"/>
    <x v="170"/>
    <n v="1.44996667984851"/>
    <n v="1"/>
    <n v="-66"/>
    <n v="396"/>
  </r>
  <r>
    <x v="52"/>
    <s v="conventional_default_dq_wala_131"/>
    <x v="171"/>
    <n v="1.4526510560828101"/>
    <n v="1"/>
    <n v="-66"/>
    <n v="396"/>
  </r>
  <r>
    <x v="52"/>
    <s v="conventional_default_dq_wala_132"/>
    <x v="172"/>
    <n v="1.4552810731821899"/>
    <n v="1"/>
    <n v="-66"/>
    <n v="396"/>
  </r>
  <r>
    <x v="52"/>
    <s v="conventional_default_dq_wala_133"/>
    <x v="173"/>
    <n v="1.4578573364424801"/>
    <n v="1"/>
    <n v="-66"/>
    <n v="396"/>
  </r>
  <r>
    <x v="52"/>
    <s v="conventional_default_dq_wala_134"/>
    <x v="174"/>
    <n v="1.46038045115954"/>
    <n v="1"/>
    <n v="-66"/>
    <n v="396"/>
  </r>
  <r>
    <x v="52"/>
    <s v="conventional_default_dq_wala_135"/>
    <x v="175"/>
    <n v="1.46285102262919"/>
    <n v="1"/>
    <n v="-66"/>
    <n v="396"/>
  </r>
  <r>
    <x v="52"/>
    <s v="conventional_default_dq_wala_136"/>
    <x v="176"/>
    <n v="1.46526965614728"/>
    <n v="1"/>
    <n v="-66"/>
    <n v="396"/>
  </r>
  <r>
    <x v="52"/>
    <s v="conventional_default_dq_wala_137"/>
    <x v="177"/>
    <n v="1.4676369570096499"/>
    <n v="1"/>
    <n v="-66"/>
    <n v="396"/>
  </r>
  <r>
    <x v="52"/>
    <s v="conventional_default_dq_wala_138"/>
    <x v="178"/>
    <n v="1.4699535305121401"/>
    <n v="1"/>
    <n v="-66"/>
    <n v="396"/>
  </r>
  <r>
    <x v="52"/>
    <s v="conventional_default_dq_wala_139"/>
    <x v="179"/>
    <n v="1.4722199819506001"/>
    <n v="1"/>
    <n v="-66"/>
    <n v="396"/>
  </r>
  <r>
    <x v="52"/>
    <s v="conventional_default_dq_wala_140"/>
    <x v="180"/>
    <n v="1.47443691662085"/>
    <n v="1"/>
    <n v="-66"/>
    <n v="396"/>
  </r>
  <r>
    <x v="52"/>
    <s v="conventional_default_dq_wala_141"/>
    <x v="181"/>
    <n v="1.47660493981874"/>
    <n v="1"/>
    <n v="-66"/>
    <n v="396"/>
  </r>
  <r>
    <x v="52"/>
    <s v="conventional_default_dq_wala_142"/>
    <x v="182"/>
    <n v="1.47872465684011"/>
    <n v="1"/>
    <n v="-66"/>
    <n v="396"/>
  </r>
  <r>
    <x v="52"/>
    <s v="conventional_default_dq_wala_143"/>
    <x v="183"/>
    <n v="1.48079667298081"/>
    <n v="1"/>
    <n v="-66"/>
    <n v="396"/>
  </r>
  <r>
    <x v="52"/>
    <s v="conventional_default_dq_wala_144"/>
    <x v="184"/>
    <n v="1.48282159353666"/>
    <n v="1"/>
    <n v="-66"/>
    <n v="396"/>
  </r>
  <r>
    <x v="52"/>
    <s v="conventional_default_dq_wala_145"/>
    <x v="185"/>
    <n v="1.4848000238035199"/>
    <n v="1"/>
    <n v="-66"/>
    <n v="396"/>
  </r>
  <r>
    <x v="52"/>
    <s v="conventional_default_dq_wala_146"/>
    <x v="186"/>
    <n v="1.48673256907721"/>
    <n v="1"/>
    <n v="-66"/>
    <n v="396"/>
  </r>
  <r>
    <x v="52"/>
    <s v="conventional_default_dq_wala_147"/>
    <x v="187"/>
    <n v="1.4886198346535899"/>
    <n v="1"/>
    <n v="-66"/>
    <n v="396"/>
  </r>
  <r>
    <x v="52"/>
    <s v="conventional_default_dq_wala_148"/>
    <x v="188"/>
    <n v="1.49046242582849"/>
    <n v="1"/>
    <n v="-66"/>
    <n v="396"/>
  </r>
  <r>
    <x v="52"/>
    <s v="conventional_default_dq_wala_149"/>
    <x v="189"/>
    <n v="1.49226094789775"/>
    <n v="1"/>
    <n v="-66"/>
    <n v="396"/>
  </r>
  <r>
    <x v="52"/>
    <s v="conventional_default_dq_wala_150"/>
    <x v="190"/>
    <n v="1.4940160061572201"/>
    <n v="1"/>
    <n v="-66"/>
    <n v="396"/>
  </r>
  <r>
    <x v="52"/>
    <s v="conventional_default_dq_wala_151"/>
    <x v="191"/>
    <n v="1.4957282059027199"/>
    <n v="1"/>
    <n v="-66"/>
    <n v="396"/>
  </r>
  <r>
    <x v="52"/>
    <s v="conventional_default_dq_wala_152"/>
    <x v="192"/>
    <n v="1.4973981524301101"/>
    <n v="1"/>
    <n v="-66"/>
    <n v="396"/>
  </r>
  <r>
    <x v="52"/>
    <s v="conventional_default_dq_wala_153"/>
    <x v="193"/>
    <n v="1.49902645103523"/>
    <n v="1"/>
    <n v="-66"/>
    <n v="396"/>
  </r>
  <r>
    <x v="52"/>
    <s v="conventional_default_dq_wala_154"/>
    <x v="194"/>
    <n v="1.5006137070139001"/>
    <n v="1"/>
    <n v="-66"/>
    <n v="396"/>
  </r>
  <r>
    <x v="52"/>
    <s v="conventional_default_dq_wala_155"/>
    <x v="195"/>
    <n v="1.5021605256619801"/>
    <n v="1"/>
    <n v="-66"/>
    <n v="396"/>
  </r>
  <r>
    <x v="52"/>
    <s v="conventional_default_dq_wala_156"/>
    <x v="196"/>
    <n v="1.5036675122753"/>
    <n v="1"/>
    <n v="-66"/>
    <n v="396"/>
  </r>
  <r>
    <x v="52"/>
    <s v="conventional_default_dq_wala_157"/>
    <x v="197"/>
    <n v="1.50513527214971"/>
    <n v="1"/>
    <n v="-66"/>
    <n v="396"/>
  </r>
  <r>
    <x v="52"/>
    <s v="conventional_default_dq_wala_158"/>
    <x v="198"/>
    <n v="1.5065644105810401"/>
    <n v="1"/>
    <n v="-66"/>
    <n v="396"/>
  </r>
  <r>
    <x v="52"/>
    <s v="conventional_default_dq_wala_159"/>
    <x v="199"/>
    <n v="1.50795553286513"/>
    <n v="1"/>
    <n v="-66"/>
    <n v="396"/>
  </r>
  <r>
    <x v="52"/>
    <s v="conventional_default_dq_wala_160"/>
    <x v="200"/>
    <n v="1.50930924429783"/>
    <n v="1"/>
    <n v="-66"/>
    <n v="396"/>
  </r>
  <r>
    <x v="52"/>
    <s v="conventional_default_dq_wala_161"/>
    <x v="201"/>
    <n v="1.51062615017497"/>
    <n v="1"/>
    <n v="-66"/>
    <n v="396"/>
  </r>
  <r>
    <x v="52"/>
    <s v="conventional_default_dq_wala_162"/>
    <x v="202"/>
    <n v="1.51190685579239"/>
    <n v="1"/>
    <n v="-66"/>
    <n v="396"/>
  </r>
  <r>
    <x v="52"/>
    <s v="conventional_default_dq_wala_163"/>
    <x v="203"/>
    <n v="1.5131519664459501"/>
    <n v="1"/>
    <n v="-66"/>
    <n v="396"/>
  </r>
  <r>
    <x v="52"/>
    <s v="conventional_default_dq_wala_164"/>
    <x v="204"/>
    <n v="1.5143620874314601"/>
    <n v="1"/>
    <n v="-66"/>
    <n v="396"/>
  </r>
  <r>
    <x v="52"/>
    <s v="conventional_default_dq_wala_165"/>
    <x v="205"/>
    <n v="1.5155378240447801"/>
    <n v="1"/>
    <n v="-66"/>
    <n v="396"/>
  </r>
  <r>
    <x v="52"/>
    <s v="conventional_default_dq_wala_166"/>
    <x v="206"/>
    <n v="1.5166797815817501"/>
    <n v="1"/>
    <n v="-66"/>
    <n v="396"/>
  </r>
  <r>
    <x v="52"/>
    <s v="conventional_default_dq_wala_167"/>
    <x v="207"/>
    <n v="1.5177885653381999"/>
    <n v="1"/>
    <n v="-66"/>
    <n v="396"/>
  </r>
  <r>
    <x v="52"/>
    <s v="conventional_default_dq_wala_168"/>
    <x v="208"/>
    <n v="1.51886478060998"/>
    <n v="1"/>
    <n v="-66"/>
    <n v="396"/>
  </r>
  <r>
    <x v="52"/>
    <s v="conventional_default_dq_wala_169"/>
    <x v="209"/>
    <n v="1.5199090326929301"/>
    <n v="1"/>
    <n v="-66"/>
    <n v="396"/>
  </r>
  <r>
    <x v="52"/>
    <s v="conventional_default_dq_wala_170"/>
    <x v="210"/>
    <n v="1.52092192688288"/>
    <n v="1"/>
    <n v="-66"/>
    <n v="396"/>
  </r>
  <r>
    <x v="52"/>
    <s v="conventional_default_dq_wala_171"/>
    <x v="211"/>
    <n v="1.5219040684756799"/>
    <n v="1"/>
    <n v="-66"/>
    <n v="396"/>
  </r>
  <r>
    <x v="52"/>
    <s v="conventional_default_dq_wala_172"/>
    <x v="212"/>
    <n v="1.5228560627671599"/>
    <n v="1"/>
    <n v="-66"/>
    <n v="396"/>
  </r>
  <r>
    <x v="52"/>
    <s v="conventional_default_dq_wala_173"/>
    <x v="213"/>
    <n v="1.52377851505317"/>
    <n v="1"/>
    <n v="-66"/>
    <n v="396"/>
  </r>
  <r>
    <x v="52"/>
    <s v="conventional_default_dq_wala_174"/>
    <x v="214"/>
    <n v="1.52467203062955"/>
    <n v="1"/>
    <n v="-66"/>
    <n v="396"/>
  </r>
  <r>
    <x v="52"/>
    <s v="conventional_default_dq_wala_175"/>
    <x v="215"/>
    <n v="1.52553721479214"/>
    <n v="1"/>
    <n v="-66"/>
    <n v="396"/>
  </r>
  <r>
    <x v="52"/>
    <s v="conventional_default_dq_wala_176"/>
    <x v="216"/>
    <n v="1.52637467283677"/>
    <n v="1"/>
    <n v="-66"/>
    <n v="396"/>
  </r>
  <r>
    <x v="52"/>
    <s v="conventional_default_dq_wala_177"/>
    <x v="217"/>
    <n v="1.5271850100592901"/>
    <n v="1"/>
    <n v="-66"/>
    <n v="396"/>
  </r>
  <r>
    <x v="52"/>
    <s v="conventional_default_dq_wala_178"/>
    <x v="218"/>
    <n v="1.52796883175554"/>
    <n v="1"/>
    <n v="-66"/>
    <n v="396"/>
  </r>
  <r>
    <x v="52"/>
    <s v="conventional_default_dq_wala_179"/>
    <x v="219"/>
    <n v="1.52872674322136"/>
    <n v="1"/>
    <n v="-66"/>
    <n v="396"/>
  </r>
  <r>
    <x v="52"/>
    <s v="conventional_default_dq_wala_180"/>
    <x v="220"/>
    <n v="1.5294593497525799"/>
    <n v="1"/>
    <n v="-66"/>
    <n v="396"/>
  </r>
  <r>
    <x v="52"/>
    <s v="conventional_default_dq_wala_181"/>
    <x v="221"/>
    <n v="1.5301672566450599"/>
    <n v="1"/>
    <n v="-66"/>
    <n v="396"/>
  </r>
  <r>
    <x v="52"/>
    <s v="conventional_default_dq_wala_182"/>
    <x v="222"/>
    <n v="1.53085106919462"/>
    <n v="1"/>
    <n v="-66"/>
    <n v="396"/>
  </r>
  <r>
    <x v="52"/>
    <s v="conventional_default_dq_wala_183"/>
    <x v="223"/>
    <n v="1.53151139269711"/>
    <n v="1"/>
    <n v="-66"/>
    <n v="396"/>
  </r>
  <r>
    <x v="52"/>
    <s v="conventional_default_dq_wala_184"/>
    <x v="224"/>
    <n v="1.5321488324483701"/>
    <n v="1"/>
    <n v="-66"/>
    <n v="396"/>
  </r>
  <r>
    <x v="52"/>
    <s v="conventional_default_dq_wala_185"/>
    <x v="225"/>
    <n v="1.5327639937442401"/>
    <n v="1"/>
    <n v="-66"/>
    <n v="396"/>
  </r>
  <r>
    <x v="52"/>
    <s v="conventional_default_dq_wala_186"/>
    <x v="226"/>
    <n v="1.53335748188056"/>
    <n v="1"/>
    <n v="-66"/>
    <n v="396"/>
  </r>
  <r>
    <x v="52"/>
    <s v="conventional_default_dq_wala_187"/>
    <x v="227"/>
    <n v="1.53392990215317"/>
    <n v="1"/>
    <n v="-66"/>
    <n v="396"/>
  </r>
  <r>
    <x v="52"/>
    <s v="conventional_default_dq_wala_188"/>
    <x v="228"/>
    <n v="1.53448185985791"/>
    <n v="1"/>
    <n v="-66"/>
    <n v="396"/>
  </r>
  <r>
    <x v="52"/>
    <s v="conventional_default_dq_wala_189"/>
    <x v="229"/>
    <n v="1.5350139602906201"/>
    <n v="1"/>
    <n v="-66"/>
    <n v="396"/>
  </r>
  <r>
    <x v="52"/>
    <s v="conventional_default_dq_wala_190"/>
    <x v="230"/>
    <n v="1.5355268087471401"/>
    <n v="1"/>
    <n v="-66"/>
    <n v="396"/>
  </r>
  <r>
    <x v="52"/>
    <s v="conventional_default_dq_wala_191"/>
    <x v="231"/>
    <n v="1.5360210105233101"/>
    <n v="1"/>
    <n v="-66"/>
    <n v="396"/>
  </r>
  <r>
    <x v="52"/>
    <s v="conventional_default_dq_wala_192"/>
    <x v="232"/>
    <n v="1.53649717091497"/>
    <n v="1"/>
    <n v="-66"/>
    <n v="396"/>
  </r>
  <r>
    <x v="52"/>
    <s v="conventional_default_dq_wala_193"/>
    <x v="233"/>
    <n v="1.53695589521797"/>
    <n v="1"/>
    <n v="-66"/>
    <n v="396"/>
  </r>
  <r>
    <x v="52"/>
    <s v="conventional_default_dq_wala_194"/>
    <x v="234"/>
    <n v="1.53739778872813"/>
    <n v="1"/>
    <n v="-66"/>
    <n v="396"/>
  </r>
  <r>
    <x v="52"/>
    <s v="conventional_default_dq_wala_195"/>
    <x v="235"/>
    <n v="1.53782345674131"/>
    <n v="1"/>
    <n v="-66"/>
    <n v="396"/>
  </r>
  <r>
    <x v="52"/>
    <s v="conventional_default_dq_wala_196"/>
    <x v="236"/>
    <n v="1.53823350455333"/>
    <n v="1"/>
    <n v="-66"/>
    <n v="396"/>
  </r>
  <r>
    <x v="52"/>
    <s v="conventional_default_dq_wala_197"/>
    <x v="237"/>
    <n v="1.5386285374600499"/>
    <n v="1"/>
    <n v="-66"/>
    <n v="396"/>
  </r>
  <r>
    <x v="52"/>
    <s v="conventional_default_dq_wala_198"/>
    <x v="238"/>
    <n v="1.5390091607573"/>
    <n v="1"/>
    <n v="-66"/>
    <n v="396"/>
  </r>
  <r>
    <x v="52"/>
    <s v="conventional_default_dq_wala_199"/>
    <x v="239"/>
    <n v="1.5393759797409301"/>
    <n v="1"/>
    <n v="-66"/>
    <n v="396"/>
  </r>
  <r>
    <x v="52"/>
    <s v="conventional_default_dq_wala_200"/>
    <x v="240"/>
    <n v="1.5397295997067599"/>
    <n v="1"/>
    <n v="-66"/>
    <n v="396"/>
  </r>
  <r>
    <x v="52"/>
    <s v="conventional_default_dq_wala_201"/>
    <x v="241"/>
    <n v="1.54007062595065"/>
    <n v="1"/>
    <n v="-66"/>
    <n v="396"/>
  </r>
  <r>
    <x v="52"/>
    <s v="conventional_default_dq_wala_202"/>
    <x v="242"/>
    <n v="1.5403996637684301"/>
    <n v="1"/>
    <n v="-66"/>
    <n v="396"/>
  </r>
  <r>
    <x v="52"/>
    <s v="conventional_default_dq_wala_203"/>
    <x v="243"/>
    <n v="1.5407173184559499"/>
    <n v="1"/>
    <n v="-66"/>
    <n v="396"/>
  </r>
  <r>
    <x v="52"/>
    <s v="conventional_default_dq_wala_204"/>
    <x v="244"/>
    <n v="1.54102419530904"/>
    <n v="1"/>
    <n v="-66"/>
    <n v="396"/>
  </r>
  <r>
    <x v="52"/>
    <s v="conventional_default_dq_wala_205"/>
    <x v="245"/>
    <n v="1.5413208996235399"/>
    <n v="1"/>
    <n v="-66"/>
    <n v="396"/>
  </r>
  <r>
    <x v="52"/>
    <s v="conventional_default_dq_wala_206"/>
    <x v="246"/>
    <n v="1.54160803669529"/>
    <n v="1"/>
    <n v="-66"/>
    <n v="396"/>
  </r>
  <r>
    <x v="52"/>
    <s v="conventional_default_dq_wala_207"/>
    <x v="247"/>
    <n v="1.54188621182014"/>
    <n v="1"/>
    <n v="-66"/>
    <n v="396"/>
  </r>
  <r>
    <x v="52"/>
    <s v="conventional_default_dq_wala_208"/>
    <x v="248"/>
    <n v="1.5421560302939299"/>
    <n v="1"/>
    <n v="-66"/>
    <n v="396"/>
  </r>
  <r>
    <x v="52"/>
    <s v="conventional_default_dq_wala_209"/>
    <x v="249"/>
    <n v="1.5424180974124799"/>
    <n v="1"/>
    <n v="-66"/>
    <n v="396"/>
  </r>
  <r>
    <x v="52"/>
    <s v="conventional_default_dq_wala_210"/>
    <x v="250"/>
    <n v="1.5426730184716599"/>
    <n v="1"/>
    <n v="-66"/>
    <n v="396"/>
  </r>
  <r>
    <x v="52"/>
    <s v="conventional_default_dq_wala_211"/>
    <x v="251"/>
    <n v="1.5429213987672801"/>
    <n v="1"/>
    <n v="-66"/>
    <n v="396"/>
  </r>
  <r>
    <x v="52"/>
    <s v="conventional_default_dq_wala_212"/>
    <x v="252"/>
    <n v="1.5431638435952"/>
    <n v="1"/>
    <n v="-66"/>
    <n v="396"/>
  </r>
  <r>
    <x v="52"/>
    <s v="conventional_default_dq_wala_213"/>
    <x v="253"/>
    <n v="1.54340095825126"/>
    <n v="1"/>
    <n v="-66"/>
    <n v="396"/>
  </r>
  <r>
    <x v="52"/>
    <s v="conventional_default_dq_wala_214"/>
    <x v="254"/>
    <n v="1.54363334803129"/>
    <n v="1"/>
    <n v="-66"/>
    <n v="396"/>
  </r>
  <r>
    <x v="52"/>
    <s v="conventional_default_dq_wala_215"/>
    <x v="255"/>
    <n v="1.54386161823114"/>
    <n v="1"/>
    <n v="-66"/>
    <n v="396"/>
  </r>
  <r>
    <x v="52"/>
    <s v="conventional_default_dq_wala_216"/>
    <x v="256"/>
    <n v="1.54408637414664"/>
    <n v="1"/>
    <n v="-66"/>
    <n v="396"/>
  </r>
  <r>
    <x v="52"/>
    <s v="conventional_default_dq_wala_217"/>
    <x v="257"/>
    <n v="1.5443082210736401"/>
    <n v="1"/>
    <n v="-66"/>
    <n v="396"/>
  </r>
  <r>
    <x v="52"/>
    <s v="conventional_default_dq_wala_218"/>
    <x v="258"/>
    <n v="1.54452776430798"/>
    <n v="1"/>
    <n v="-66"/>
    <n v="396"/>
  </r>
  <r>
    <x v="52"/>
    <s v="conventional_default_dq_wala_219"/>
    <x v="259"/>
    <n v="1.5447456091454901"/>
    <n v="1"/>
    <n v="-66"/>
    <n v="396"/>
  </r>
  <r>
    <x v="52"/>
    <s v="conventional_default_dq_wala_220"/>
    <x v="260"/>
    <n v="1.54496236088202"/>
    <n v="1"/>
    <n v="-66"/>
    <n v="396"/>
  </r>
  <r>
    <x v="52"/>
    <s v="conventional_default_dq_wala_221"/>
    <x v="261"/>
    <n v="1.5451786248134101"/>
    <n v="1"/>
    <n v="-66"/>
    <n v="396"/>
  </r>
  <r>
    <x v="52"/>
    <s v="conventional_default_dq_wala_222"/>
    <x v="262"/>
    <n v="1.54539500623549"/>
    <n v="1"/>
    <n v="-66"/>
    <n v="396"/>
  </r>
  <r>
    <x v="52"/>
    <s v="conventional_default_dq_wala_223"/>
    <x v="263"/>
    <n v="1.5456121104441101"/>
    <n v="1"/>
    <n v="-66"/>
    <n v="396"/>
  </r>
  <r>
    <x v="52"/>
    <s v="conventional_default_dq_wala_224"/>
    <x v="264"/>
    <n v="1.54583054273511"/>
    <n v="1"/>
    <n v="-66"/>
    <n v="396"/>
  </r>
  <r>
    <x v="52"/>
    <s v="conventional_default_dq_wala_225"/>
    <x v="265"/>
    <n v="1.5460509084043199"/>
    <n v="1"/>
    <n v="-66"/>
    <n v="396"/>
  </r>
  <r>
    <x v="52"/>
    <s v="conventional_default_dq_wala_226"/>
    <x v="266"/>
    <n v="1.5462738127475899"/>
    <n v="1"/>
    <n v="-66"/>
    <n v="396"/>
  </r>
  <r>
    <x v="52"/>
    <s v="conventional_default_dq_wala_227"/>
    <x v="267"/>
    <n v="1.5464998610607601"/>
    <n v="1"/>
    <n v="-66"/>
    <n v="396"/>
  </r>
  <r>
    <x v="52"/>
    <s v="conventional_default_dq_wala_228"/>
    <x v="268"/>
    <n v="1.5467296586396699"/>
    <n v="1"/>
    <n v="-66"/>
    <n v="396"/>
  </r>
  <r>
    <x v="52"/>
    <s v="conventional_default_dq_wala_229"/>
    <x v="269"/>
    <n v="1.54696381078016"/>
    <n v="1"/>
    <n v="-66"/>
    <n v="396"/>
  </r>
  <r>
    <x v="52"/>
    <s v="conventional_default_dq_wala_230"/>
    <x v="270"/>
    <n v="1.5472029227780699"/>
    <n v="1"/>
    <n v="-66"/>
    <n v="396"/>
  </r>
  <r>
    <x v="52"/>
    <s v="conventional_default_dq_wala_231"/>
    <x v="271"/>
    <n v="1.5474475999292301"/>
    <n v="1"/>
    <n v="-66"/>
    <n v="396"/>
  </r>
  <r>
    <x v="52"/>
    <s v="conventional_default_dq_wala_232"/>
    <x v="272"/>
    <n v="1.5476984475294999"/>
    <n v="1"/>
    <n v="-66"/>
    <n v="396"/>
  </r>
  <r>
    <x v="52"/>
    <s v="conventional_default_dq_wala_233"/>
    <x v="273"/>
    <n v="1.5479560708747"/>
    <n v="1"/>
    <n v="-66"/>
    <n v="396"/>
  </r>
  <r>
    <x v="52"/>
    <s v="conventional_default_dq_wala_234"/>
    <x v="274"/>
    <n v="1.54822107526068"/>
    <n v="1"/>
    <n v="-66"/>
    <n v="396"/>
  </r>
  <r>
    <x v="52"/>
    <s v="conventional_default_dq_wala_235"/>
    <x v="275"/>
    <n v="1.54849406598328"/>
    <n v="1"/>
    <n v="-66"/>
    <n v="396"/>
  </r>
  <r>
    <x v="52"/>
    <s v="conventional_default_dq_wala_236"/>
    <x v="276"/>
    <n v="1.5487756483383499"/>
    <n v="1"/>
    <n v="-66"/>
    <n v="396"/>
  </r>
  <r>
    <x v="52"/>
    <s v="conventional_default_dq_wala_237"/>
    <x v="277"/>
    <n v="1.5490664276217101"/>
    <n v="1"/>
    <n v="-66"/>
    <n v="396"/>
  </r>
  <r>
    <x v="52"/>
    <s v="conventional_default_dq_wala_238"/>
    <x v="278"/>
    <n v="1.54936700912921"/>
    <n v="1"/>
    <n v="-66"/>
    <n v="396"/>
  </r>
  <r>
    <x v="52"/>
    <s v="conventional_default_dq_wala_239"/>
    <x v="279"/>
    <n v="1.5496779981566999"/>
    <n v="1"/>
    <n v="-66"/>
    <n v="396"/>
  </r>
  <r>
    <x v="52"/>
    <s v="conventional_default_dq_wala_240"/>
    <x v="280"/>
    <n v="1.55"/>
    <n v="1"/>
    <n v="-66"/>
    <n v="396"/>
  </r>
  <r>
    <x v="52"/>
    <s v="conventional_default_dq_wala_241"/>
    <x v="281"/>
    <n v="1.55032347438892"/>
    <n v="1"/>
    <n v="-66"/>
    <n v="396"/>
  </r>
  <r>
    <x v="52"/>
    <s v="conventional_default_dq_wala_242"/>
    <x v="282"/>
    <n v="1.55063855972373"/>
    <n v="1"/>
    <n v="-66"/>
    <n v="396"/>
  </r>
  <r>
    <x v="52"/>
    <s v="conventional_default_dq_wala_243"/>
    <x v="283"/>
    <n v="1.55094537930598"/>
    <n v="1"/>
    <n v="-66"/>
    <n v="396"/>
  </r>
  <r>
    <x v="52"/>
    <s v="conventional_default_dq_wala_244"/>
    <x v="284"/>
    <n v="1.5512440564372301"/>
    <n v="1"/>
    <n v="-66"/>
    <n v="396"/>
  </r>
  <r>
    <x v="52"/>
    <s v="conventional_default_dq_wala_245"/>
    <x v="285"/>
    <n v="1.5515347144190299"/>
    <n v="1"/>
    <n v="-66"/>
    <n v="396"/>
  </r>
  <r>
    <x v="52"/>
    <s v="conventional_default_dq_wala_246"/>
    <x v="286"/>
    <n v="1.55181747655294"/>
    <n v="1"/>
    <n v="-66"/>
    <n v="396"/>
  </r>
  <r>
    <x v="52"/>
    <s v="conventional_default_dq_wala_247"/>
    <x v="287"/>
    <n v="1.55209246614051"/>
    <n v="1"/>
    <n v="-66"/>
    <n v="396"/>
  </r>
  <r>
    <x v="52"/>
    <s v="conventional_default_dq_wala_248"/>
    <x v="288"/>
    <n v="1.55235980648331"/>
    <n v="1"/>
    <n v="-66"/>
    <n v="396"/>
  </r>
  <r>
    <x v="52"/>
    <s v="conventional_default_dq_wala_249"/>
    <x v="289"/>
    <n v="1.55261962088288"/>
    <n v="1"/>
    <n v="-66"/>
    <n v="396"/>
  </r>
  <r>
    <x v="52"/>
    <s v="conventional_default_dq_wala_250"/>
    <x v="290"/>
    <n v="1.5528720326407699"/>
    <n v="1"/>
    <n v="-66"/>
    <n v="396"/>
  </r>
  <r>
    <x v="52"/>
    <s v="conventional_default_dq_wala_251"/>
    <x v="291"/>
    <n v="1.55311716505856"/>
    <n v="1"/>
    <n v="-66"/>
    <n v="396"/>
  </r>
  <r>
    <x v="52"/>
    <s v="conventional_default_dq_wala_252"/>
    <x v="292"/>
    <n v="1.55335514143778"/>
    <n v="1"/>
    <n v="-66"/>
    <n v="396"/>
  </r>
  <r>
    <x v="52"/>
    <s v="conventional_default_dq_wala_253"/>
    <x v="293"/>
    <n v="1.5535860850800001"/>
    <n v="1"/>
    <n v="-66"/>
    <n v="396"/>
  </r>
  <r>
    <x v="52"/>
    <s v="conventional_default_dq_wala_254"/>
    <x v="294"/>
    <n v="1.5538101192867799"/>
    <n v="1"/>
    <n v="-66"/>
    <n v="396"/>
  </r>
  <r>
    <x v="52"/>
    <s v="conventional_default_dq_wala_255"/>
    <x v="295"/>
    <n v="1.5540273673596501"/>
    <n v="1"/>
    <n v="-66"/>
    <n v="396"/>
  </r>
  <r>
    <x v="52"/>
    <s v="conventional_default_dq_wala_256"/>
    <x v="296"/>
    <n v="1.5542379526001899"/>
    <n v="1"/>
    <n v="-66"/>
    <n v="396"/>
  </r>
  <r>
    <x v="52"/>
    <s v="conventional_default_dq_wala_257"/>
    <x v="297"/>
    <n v="1.55444199830995"/>
    <n v="1"/>
    <n v="-66"/>
    <n v="396"/>
  </r>
  <r>
    <x v="52"/>
    <s v="conventional_default_dq_wala_258"/>
    <x v="298"/>
    <n v="1.5546396277904799"/>
    <n v="1"/>
    <n v="-66"/>
    <n v="396"/>
  </r>
  <r>
    <x v="52"/>
    <s v="conventional_default_dq_wala_259"/>
    <x v="299"/>
    <n v="1.55483096434334"/>
    <n v="1"/>
    <n v="-66"/>
    <n v="396"/>
  </r>
  <r>
    <x v="52"/>
    <s v="conventional_default_dq_wala_260"/>
    <x v="300"/>
    <n v="1.5550161312700801"/>
    <n v="1"/>
    <n v="-66"/>
    <n v="396"/>
  </r>
  <r>
    <x v="52"/>
    <s v="conventional_default_dq_wala_261"/>
    <x v="301"/>
    <n v="1.55519525187226"/>
    <n v="1"/>
    <n v="-66"/>
    <n v="396"/>
  </r>
  <r>
    <x v="52"/>
    <s v="conventional_default_dq_wala_262"/>
    <x v="302"/>
    <n v="1.5553684494514299"/>
    <n v="1"/>
    <n v="-66"/>
    <n v="396"/>
  </r>
  <r>
    <x v="52"/>
    <s v="conventional_default_dq_wala_263"/>
    <x v="303"/>
    <n v="1.5555358473091501"/>
    <n v="1"/>
    <n v="-66"/>
    <n v="396"/>
  </r>
  <r>
    <x v="52"/>
    <s v="conventional_default_dq_wala_264"/>
    <x v="304"/>
    <n v="1.5556975687469801"/>
    <n v="1"/>
    <n v="-66"/>
    <n v="396"/>
  </r>
  <r>
    <x v="52"/>
    <s v="conventional_default_dq_wala_265"/>
    <x v="305"/>
    <n v="1.55585373706647"/>
    <n v="1"/>
    <n v="-66"/>
    <n v="396"/>
  </r>
  <r>
    <x v="52"/>
    <s v="conventional_default_dq_wala_266"/>
    <x v="306"/>
    <n v="1.55600447556917"/>
    <n v="1"/>
    <n v="-66"/>
    <n v="396"/>
  </r>
  <r>
    <x v="52"/>
    <s v="conventional_default_dq_wala_267"/>
    <x v="307"/>
    <n v="1.5561499075566401"/>
    <n v="1"/>
    <n v="-66"/>
    <n v="396"/>
  </r>
  <r>
    <x v="52"/>
    <s v="conventional_default_dq_wala_268"/>
    <x v="308"/>
    <n v="1.5562901563304301"/>
    <n v="1"/>
    <n v="-66"/>
    <n v="396"/>
  </r>
  <r>
    <x v="52"/>
    <s v="conventional_default_dq_wala_269"/>
    <x v="309"/>
    <n v="1.55642534519211"/>
    <n v="1"/>
    <n v="-66"/>
    <n v="396"/>
  </r>
  <r>
    <x v="52"/>
    <s v="conventional_default_dq_wala_270"/>
    <x v="310"/>
    <n v="1.5565555974432199"/>
    <n v="1"/>
    <n v="-66"/>
    <n v="396"/>
  </r>
  <r>
    <x v="52"/>
    <s v="conventional_default_dq_wala_271"/>
    <x v="311"/>
    <n v="1.5566810363853301"/>
    <n v="1"/>
    <n v="-66"/>
    <n v="396"/>
  </r>
  <r>
    <x v="52"/>
    <s v="conventional_default_dq_wala_272"/>
    <x v="312"/>
    <n v="1.55680178531998"/>
    <n v="1"/>
    <n v="-66"/>
    <n v="396"/>
  </r>
  <r>
    <x v="52"/>
    <s v="conventional_default_dq_wala_273"/>
    <x v="313"/>
    <n v="1.5569179675487299"/>
    <n v="1"/>
    <n v="-66"/>
    <n v="396"/>
  </r>
  <r>
    <x v="52"/>
    <s v="conventional_default_dq_wala_274"/>
    <x v="314"/>
    <n v="1.55702970637315"/>
    <n v="1"/>
    <n v="-66"/>
    <n v="396"/>
  </r>
  <r>
    <x v="52"/>
    <s v="conventional_default_dq_wala_275"/>
    <x v="315"/>
    <n v="1.5571371250947701"/>
    <n v="1"/>
    <n v="-66"/>
    <n v="396"/>
  </r>
  <r>
    <x v="52"/>
    <s v="conventional_default_dq_wala_276"/>
    <x v="316"/>
    <n v="1.5572403470151599"/>
    <n v="1"/>
    <n v="-66"/>
    <n v="396"/>
  </r>
  <r>
    <x v="52"/>
    <s v="conventional_default_dq_wala_277"/>
    <x v="317"/>
    <n v="1.5573394954358799"/>
    <n v="1"/>
    <n v="-66"/>
    <n v="396"/>
  </r>
  <r>
    <x v="52"/>
    <s v="conventional_default_dq_wala_278"/>
    <x v="318"/>
    <n v="1.55743469365847"/>
    <n v="1"/>
    <n v="-66"/>
    <n v="396"/>
  </r>
  <r>
    <x v="52"/>
    <s v="conventional_default_dq_wala_279"/>
    <x v="319"/>
    <n v="1.5575260649845"/>
    <n v="1"/>
    <n v="-66"/>
    <n v="396"/>
  </r>
  <r>
    <x v="52"/>
    <s v="conventional_default_dq_wala_280"/>
    <x v="320"/>
    <n v="1.5576137327155199"/>
    <n v="1"/>
    <n v="-66"/>
    <n v="396"/>
  </r>
  <r>
    <x v="52"/>
    <s v="conventional_default_dq_wala_281"/>
    <x v="321"/>
    <n v="1.55769782015308"/>
    <n v="1"/>
    <n v="-66"/>
    <n v="396"/>
  </r>
  <r>
    <x v="52"/>
    <s v="conventional_default_dq_wala_282"/>
    <x v="322"/>
    <n v="1.55777845059874"/>
    <n v="1"/>
    <n v="-66"/>
    <n v="396"/>
  </r>
  <r>
    <x v="52"/>
    <s v="conventional_default_dq_wala_283"/>
    <x v="323"/>
    <n v="1.55785574735406"/>
    <n v="1"/>
    <n v="-66"/>
    <n v="396"/>
  </r>
  <r>
    <x v="52"/>
    <s v="conventional_default_dq_wala_284"/>
    <x v="324"/>
    <n v="1.55792983372058"/>
    <n v="1"/>
    <n v="-66"/>
    <n v="396"/>
  </r>
  <r>
    <x v="52"/>
    <s v="conventional_default_dq_wala_285"/>
    <x v="325"/>
    <n v="1.55800083299988"/>
    <n v="1"/>
    <n v="-66"/>
    <n v="396"/>
  </r>
  <r>
    <x v="52"/>
    <s v="conventional_default_dq_wala_286"/>
    <x v="326"/>
    <n v="1.55806886849349"/>
    <n v="1"/>
    <n v="-66"/>
    <n v="396"/>
  </r>
  <r>
    <x v="52"/>
    <s v="conventional_default_dq_wala_287"/>
    <x v="327"/>
    <n v="1.5581340635029799"/>
    <n v="1"/>
    <n v="-66"/>
    <n v="396"/>
  </r>
  <r>
    <x v="52"/>
    <s v="conventional_default_dq_wala_288"/>
    <x v="328"/>
    <n v="1.5581965413298999"/>
    <n v="1"/>
    <n v="-66"/>
    <n v="396"/>
  </r>
  <r>
    <x v="52"/>
    <s v="conventional_default_dq_wala_289"/>
    <x v="329"/>
    <n v="1.55825642527581"/>
    <n v="1"/>
    <n v="-66"/>
    <n v="396"/>
  </r>
  <r>
    <x v="52"/>
    <s v="conventional_default_dq_wala_290"/>
    <x v="330"/>
    <n v="1.5583138386422699"/>
    <n v="1"/>
    <n v="-66"/>
    <n v="396"/>
  </r>
  <r>
    <x v="52"/>
    <s v="conventional_default_dq_wala_291"/>
    <x v="331"/>
    <n v="1.55836890473082"/>
    <n v="1"/>
    <n v="-66"/>
    <n v="396"/>
  </r>
  <r>
    <x v="52"/>
    <s v="conventional_default_dq_wala_292"/>
    <x v="332"/>
    <n v="1.5584217468430199"/>
    <n v="1"/>
    <n v="-66"/>
    <n v="396"/>
  </r>
  <r>
    <x v="52"/>
    <s v="conventional_default_dq_wala_293"/>
    <x v="333"/>
    <n v="1.5584724882804299"/>
    <n v="1"/>
    <n v="-66"/>
    <n v="396"/>
  </r>
  <r>
    <x v="52"/>
    <s v="conventional_default_dq_wala_294"/>
    <x v="334"/>
    <n v="1.5585212523445999"/>
    <n v="1"/>
    <n v="-66"/>
    <n v="396"/>
  </r>
  <r>
    <x v="52"/>
    <s v="conventional_default_dq_wala_295"/>
    <x v="335"/>
    <n v="1.5585681623370999"/>
    <n v="1"/>
    <n v="-66"/>
    <n v="396"/>
  </r>
  <r>
    <x v="52"/>
    <s v="conventional_default_dq_wala_296"/>
    <x v="336"/>
    <n v="1.5586133415594601"/>
    <n v="1"/>
    <n v="-66"/>
    <n v="396"/>
  </r>
  <r>
    <x v="52"/>
    <s v="conventional_default_dq_wala_297"/>
    <x v="337"/>
    <n v="1.55865691331326"/>
    <n v="1"/>
    <n v="-66"/>
    <n v="396"/>
  </r>
  <r>
    <x v="52"/>
    <s v="conventional_default_dq_wala_298"/>
    <x v="338"/>
    <n v="1.5586990009000401"/>
    <n v="1"/>
    <n v="-66"/>
    <n v="396"/>
  </r>
  <r>
    <x v="52"/>
    <s v="conventional_default_dq_wala_299"/>
    <x v="339"/>
    <n v="1.5587397276213599"/>
    <n v="1"/>
    <n v="-66"/>
    <n v="396"/>
  </r>
  <r>
    <x v="52"/>
    <s v="conventional_default_dq_wala_300"/>
    <x v="340"/>
    <n v="1.55877921677878"/>
    <n v="1"/>
    <n v="-66"/>
    <n v="396"/>
  </r>
  <r>
    <x v="52"/>
    <s v="conventional_default_dq_wala_301"/>
    <x v="341"/>
    <n v="1.55881759167385"/>
    <n v="1"/>
    <n v="-66"/>
    <n v="396"/>
  </r>
  <r>
    <x v="52"/>
    <s v="conventional_default_dq_wala_302"/>
    <x v="342"/>
    <n v="1.55885497560812"/>
    <n v="1"/>
    <n v="-66"/>
    <n v="396"/>
  </r>
  <r>
    <x v="52"/>
    <s v="conventional_default_dq_wala_303"/>
    <x v="343"/>
    <n v="1.55889149188316"/>
    <n v="1"/>
    <n v="-66"/>
    <n v="396"/>
  </r>
  <r>
    <x v="52"/>
    <s v="conventional_default_dq_wala_304"/>
    <x v="344"/>
    <n v="1.5589272638005101"/>
    <n v="1"/>
    <n v="-66"/>
    <n v="396"/>
  </r>
  <r>
    <x v="52"/>
    <s v="conventional_default_dq_wala_305"/>
    <x v="345"/>
    <n v="1.55896241466173"/>
    <n v="1"/>
    <n v="-66"/>
    <n v="396"/>
  </r>
  <r>
    <x v="52"/>
    <s v="conventional_default_dq_wala_306"/>
    <x v="346"/>
    <n v="1.55899706776838"/>
    <n v="1"/>
    <n v="-66"/>
    <n v="396"/>
  </r>
  <r>
    <x v="52"/>
    <s v="conventional_default_dq_wala_307"/>
    <x v="347"/>
    <n v="1.55903134642202"/>
    <n v="1"/>
    <n v="-66"/>
    <n v="396"/>
  </r>
  <r>
    <x v="52"/>
    <s v="conventional_default_dq_wala_308"/>
    <x v="348"/>
    <n v="1.55906537392419"/>
    <n v="1"/>
    <n v="-66"/>
    <n v="396"/>
  </r>
  <r>
    <x v="52"/>
    <s v="conventional_default_dq_wala_309"/>
    <x v="349"/>
    <n v="1.55909927357645"/>
    <n v="1"/>
    <n v="-66"/>
    <n v="396"/>
  </r>
  <r>
    <x v="52"/>
    <s v="conventional_default_dq_wala_310"/>
    <x v="350"/>
    <n v="1.55913316868037"/>
    <n v="1"/>
    <n v="-66"/>
    <n v="396"/>
  </r>
  <r>
    <x v="52"/>
    <s v="conventional_default_dq_wala_311"/>
    <x v="351"/>
    <n v="1.55916718253749"/>
    <n v="1"/>
    <n v="-66"/>
    <n v="396"/>
  </r>
  <r>
    <x v="52"/>
    <s v="conventional_default_dq_wala_312"/>
    <x v="352"/>
    <n v="1.55920143844936"/>
    <n v="1"/>
    <n v="-66"/>
    <n v="396"/>
  </r>
  <r>
    <x v="52"/>
    <s v="conventional_default_dq_wala_313"/>
    <x v="353"/>
    <n v="1.5592360597175501"/>
    <n v="1"/>
    <n v="-66"/>
    <n v="396"/>
  </r>
  <r>
    <x v="52"/>
    <s v="conventional_default_dq_wala_314"/>
    <x v="354"/>
    <n v="1.5592711696436099"/>
    <n v="1"/>
    <n v="-66"/>
    <n v="396"/>
  </r>
  <r>
    <x v="52"/>
    <s v="conventional_default_dq_wala_315"/>
    <x v="355"/>
    <n v="1.5593068915291"/>
    <n v="1"/>
    <n v="-66"/>
    <n v="396"/>
  </r>
  <r>
    <x v="52"/>
    <s v="conventional_default_dq_wala_316"/>
    <x v="356"/>
    <n v="1.5593433486755599"/>
    <n v="1"/>
    <n v="-66"/>
    <n v="396"/>
  </r>
  <r>
    <x v="52"/>
    <s v="conventional_default_dq_wala_317"/>
    <x v="357"/>
    <n v="1.55938066438457"/>
    <n v="1"/>
    <n v="-66"/>
    <n v="396"/>
  </r>
  <r>
    <x v="52"/>
    <s v="conventional_default_dq_wala_318"/>
    <x v="358"/>
    <n v="1.5594189619576599"/>
    <n v="1"/>
    <n v="-66"/>
    <n v="396"/>
  </r>
  <r>
    <x v="52"/>
    <s v="conventional_default_dq_wala_319"/>
    <x v="359"/>
    <n v="1.5594583646964"/>
    <n v="1"/>
    <n v="-66"/>
    <n v="396"/>
  </r>
  <r>
    <x v="52"/>
    <s v="conventional_default_dq_wala_320"/>
    <x v="360"/>
    <n v="1.55949899590234"/>
    <n v="1"/>
    <n v="-66"/>
    <n v="396"/>
  </r>
  <r>
    <x v="52"/>
    <s v="conventional_default_dq_wala_321"/>
    <x v="361"/>
    <n v="1.55954097887704"/>
    <n v="1"/>
    <n v="-66"/>
    <n v="396"/>
  </r>
  <r>
    <x v="52"/>
    <s v="conventional_default_dq_wala_322"/>
    <x v="362"/>
    <n v="1.55958443692205"/>
    <n v="1"/>
    <n v="-66"/>
    <n v="396"/>
  </r>
  <r>
    <x v="52"/>
    <s v="conventional_default_dq_wala_323"/>
    <x v="363"/>
    <n v="1.5596294933389201"/>
    <n v="1"/>
    <n v="-66"/>
    <n v="396"/>
  </r>
  <r>
    <x v="52"/>
    <s v="conventional_default_dq_wala_324"/>
    <x v="364"/>
    <n v="1.5596762714292201"/>
    <n v="1"/>
    <n v="-66"/>
    <n v="396"/>
  </r>
  <r>
    <x v="52"/>
    <s v="conventional_default_dq_wala_325"/>
    <x v="365"/>
    <n v="1.5597248944944999"/>
    <n v="1"/>
    <n v="-66"/>
    <n v="396"/>
  </r>
  <r>
    <x v="52"/>
    <s v="conventional_default_dq_wala_326"/>
    <x v="366"/>
    <n v="1.55977548583631"/>
    <n v="1"/>
    <n v="-66"/>
    <n v="396"/>
  </r>
  <r>
    <x v="52"/>
    <s v="conventional_default_dq_wala_327"/>
    <x v="367"/>
    <n v="1.5598281687562101"/>
    <n v="1"/>
    <n v="-66"/>
    <n v="396"/>
  </r>
  <r>
    <x v="52"/>
    <s v="conventional_default_dq_wala_328"/>
    <x v="368"/>
    <n v="1.5598830665557599"/>
    <n v="1"/>
    <n v="-66"/>
    <n v="396"/>
  </r>
  <r>
    <x v="52"/>
    <s v="conventional_default_dq_wala_329"/>
    <x v="369"/>
    <n v="1.5599403025365"/>
    <n v="1"/>
    <n v="-66"/>
    <n v="396"/>
  </r>
  <r>
    <x v="52"/>
    <s v="conventional_default_dq_wala_330"/>
    <x v="370"/>
    <n v="1.56"/>
    <n v="1"/>
    <n v="-66"/>
    <n v="396"/>
  </r>
  <r>
    <x v="52"/>
    <s v="conventional_default_dq_wala_331"/>
    <x v="371"/>
    <n v="1.56006096930539"/>
    <n v="1"/>
    <n v="-66"/>
    <n v="396"/>
  </r>
  <r>
    <x v="52"/>
    <s v="conventional_default_dq_wala_332"/>
    <x v="372"/>
    <n v="1.5601219386107901"/>
    <n v="1"/>
    <n v="-66"/>
    <n v="396"/>
  </r>
  <r>
    <x v="52"/>
    <s v="conventional_default_dq_wala_333"/>
    <x v="373"/>
    <n v="1.56018290791618"/>
    <n v="1"/>
    <n v="-66"/>
    <n v="396"/>
  </r>
  <r>
    <x v="52"/>
    <s v="conventional_default_dq_wala_334"/>
    <x v="374"/>
    <n v="1.5602438772215801"/>
    <n v="1"/>
    <n v="-66"/>
    <n v="396"/>
  </r>
  <r>
    <x v="52"/>
    <s v="conventional_default_dq_wala_335"/>
    <x v="375"/>
    <n v="1.56030484652697"/>
    <n v="1"/>
    <n v="-66"/>
    <n v="396"/>
  </r>
  <r>
    <x v="52"/>
    <s v="conventional_default_dq_wala_336"/>
    <x v="376"/>
    <n v="1.5603658158323701"/>
    <n v="1"/>
    <n v="-66"/>
    <n v="396"/>
  </r>
  <r>
    <x v="52"/>
    <s v="conventional_default_dq_wala_337"/>
    <x v="377"/>
    <n v="1.56042678513776"/>
    <n v="1"/>
    <n v="-66"/>
    <n v="396"/>
  </r>
  <r>
    <x v="52"/>
    <s v="conventional_default_dq_wala_338"/>
    <x v="378"/>
    <n v="1.5604877544431499"/>
    <n v="1"/>
    <n v="-66"/>
    <n v="396"/>
  </r>
  <r>
    <x v="52"/>
    <s v="conventional_default_dq_wala_339"/>
    <x v="379"/>
    <n v="1.56054872374855"/>
    <n v="1"/>
    <n v="-66"/>
    <n v="396"/>
  </r>
  <r>
    <x v="52"/>
    <s v="conventional_default_dq_wala_340"/>
    <x v="380"/>
    <n v="1.5606096930539399"/>
    <n v="1"/>
    <n v="-66"/>
    <n v="396"/>
  </r>
  <r>
    <x v="52"/>
    <s v="conventional_default_dq_wala_341"/>
    <x v="381"/>
    <n v="1.56067066235934"/>
    <n v="1"/>
    <n v="-66"/>
    <n v="396"/>
  </r>
  <r>
    <x v="52"/>
    <s v="conventional_default_dq_wala_342"/>
    <x v="382"/>
    <n v="1.5607316316647299"/>
    <n v="1"/>
    <n v="-66"/>
    <n v="396"/>
  </r>
  <r>
    <x v="52"/>
    <s v="conventional_default_dq_wala_343"/>
    <x v="383"/>
    <n v="1.5607926009701301"/>
    <n v="1"/>
    <n v="-66"/>
    <n v="396"/>
  </r>
  <r>
    <x v="52"/>
    <s v="conventional_default_dq_wala_344"/>
    <x v="384"/>
    <n v="1.56085357027552"/>
    <n v="1"/>
    <n v="-66"/>
    <n v="396"/>
  </r>
  <r>
    <x v="52"/>
    <s v="conventional_default_dq_wala_345"/>
    <x v="385"/>
    <n v="1.5609145395809101"/>
    <n v="1"/>
    <n v="-66"/>
    <n v="396"/>
  </r>
  <r>
    <x v="52"/>
    <s v="conventional_default_dq_wala_346"/>
    <x v="386"/>
    <n v="1.56097550888631"/>
    <n v="1"/>
    <n v="-66"/>
    <n v="396"/>
  </r>
  <r>
    <x v="52"/>
    <s v="conventional_default_dq_wala_347"/>
    <x v="387"/>
    <n v="1.5610364781917001"/>
    <n v="1"/>
    <n v="-66"/>
    <n v="396"/>
  </r>
  <r>
    <x v="52"/>
    <s v="conventional_default_dq_wala_348"/>
    <x v="388"/>
    <n v="1.5610974474971"/>
    <n v="1"/>
    <n v="-66"/>
    <n v="396"/>
  </r>
  <r>
    <x v="52"/>
    <s v="conventional_default_dq_wala_349"/>
    <x v="389"/>
    <n v="1.5611584168024899"/>
    <n v="1"/>
    <n v="-66"/>
    <n v="396"/>
  </r>
  <r>
    <x v="52"/>
    <s v="conventional_default_dq_wala_350"/>
    <x v="390"/>
    <n v="1.56121938610789"/>
    <n v="1"/>
    <n v="-66"/>
    <n v="396"/>
  </r>
  <r>
    <x v="52"/>
    <s v="conventional_default_dq_wala_351"/>
    <x v="391"/>
    <n v="1.5612803554132799"/>
    <n v="1"/>
    <n v="-66"/>
    <n v="396"/>
  </r>
  <r>
    <x v="52"/>
    <s v="conventional_default_dq_wala_352"/>
    <x v="392"/>
    <n v="1.56134132471868"/>
    <n v="1"/>
    <n v="-66"/>
    <n v="396"/>
  </r>
  <r>
    <x v="52"/>
    <s v="conventional_default_dq_wala_353"/>
    <x v="393"/>
    <n v="1.5614022940240699"/>
    <n v="1"/>
    <n v="-66"/>
    <n v="396"/>
  </r>
  <r>
    <x v="52"/>
    <s v="conventional_default_dq_wala_354"/>
    <x v="394"/>
    <n v="1.5614632633294601"/>
    <n v="1"/>
    <n v="-66"/>
    <n v="396"/>
  </r>
  <r>
    <x v="52"/>
    <s v="conventional_default_dq_wala_355"/>
    <x v="395"/>
    <n v="1.56152423263486"/>
    <n v="1"/>
    <n v="-66"/>
    <n v="396"/>
  </r>
  <r>
    <x v="52"/>
    <s v="conventional_default_dq_wala_356"/>
    <x v="396"/>
    <n v="1.5615852019402501"/>
    <n v="1"/>
    <n v="-66"/>
    <n v="396"/>
  </r>
  <r>
    <x v="52"/>
    <s v="conventional_default_dq_wala_357"/>
    <x v="397"/>
    <n v="1.56164617124565"/>
    <n v="1"/>
    <n v="-66"/>
    <n v="396"/>
  </r>
  <r>
    <x v="52"/>
    <s v="conventional_default_dq_wala_358"/>
    <x v="398"/>
    <n v="1.5617071405510401"/>
    <n v="1"/>
    <n v="-66"/>
    <n v="396"/>
  </r>
  <r>
    <x v="52"/>
    <s v="conventional_default_dq_wala_359"/>
    <x v="399"/>
    <n v="1.56176810985644"/>
    <n v="1"/>
    <n v="-66"/>
    <n v="396"/>
  </r>
  <r>
    <x v="52"/>
    <s v="conventional_default_dq_wala_360"/>
    <x v="400"/>
    <n v="1.5618290791618299"/>
    <n v="1"/>
    <n v="-66"/>
    <n v="396"/>
  </r>
  <r>
    <x v="52"/>
    <s v="conventional_default_dq_wala_361"/>
    <x v="401"/>
    <n v="1.56189004846722"/>
    <n v="1"/>
    <n v="-66"/>
    <n v="396"/>
  </r>
  <r>
    <x v="52"/>
    <s v="conventional_default_dq_wala_362"/>
    <x v="402"/>
    <n v="1.5619510177726199"/>
    <n v="1"/>
    <n v="-66"/>
    <n v="396"/>
  </r>
  <r>
    <x v="52"/>
    <s v="conventional_default_dq_wala_363"/>
    <x v="403"/>
    <n v="1.56201198707801"/>
    <n v="1"/>
    <n v="-66"/>
    <n v="396"/>
  </r>
  <r>
    <x v="52"/>
    <s v="conventional_default_dq_wala_364"/>
    <x v="404"/>
    <n v="1.5620729563834099"/>
    <n v="1"/>
    <n v="-66"/>
    <n v="396"/>
  </r>
  <r>
    <x v="52"/>
    <s v="conventional_default_dq_wala_365"/>
    <x v="405"/>
    <n v="1.5621339256888001"/>
    <n v="1"/>
    <n v="-66"/>
    <n v="396"/>
  </r>
  <r>
    <x v="52"/>
    <s v="conventional_default_dq_wala_366"/>
    <x v="406"/>
    <n v="1.5621948949941999"/>
    <n v="1"/>
    <n v="-66"/>
    <n v="396"/>
  </r>
  <r>
    <x v="52"/>
    <s v="conventional_default_dq_wala_367"/>
    <x v="407"/>
    <n v="1.5622558642995901"/>
    <n v="1"/>
    <n v="-66"/>
    <n v="396"/>
  </r>
  <r>
    <x v="52"/>
    <s v="conventional_default_dq_wala_368"/>
    <x v="408"/>
    <n v="1.56231683360498"/>
    <n v="1"/>
    <n v="-66"/>
    <n v="396"/>
  </r>
  <r>
    <x v="52"/>
    <s v="conventional_default_dq_wala_369"/>
    <x v="409"/>
    <n v="1.5623778029103801"/>
    <n v="1"/>
    <n v="-66"/>
    <n v="396"/>
  </r>
  <r>
    <x v="52"/>
    <s v="conventional_default_dq_wala_370"/>
    <x v="410"/>
    <n v="1.56243877221577"/>
    <n v="1"/>
    <n v="-66"/>
    <n v="396"/>
  </r>
  <r>
    <x v="52"/>
    <s v="conventional_default_dq_wala_371"/>
    <x v="411"/>
    <n v="1.5624997415211701"/>
    <n v="1"/>
    <n v="-66"/>
    <n v="396"/>
  </r>
  <r>
    <x v="52"/>
    <s v="conventional_default_dq_wala_372"/>
    <x v="412"/>
    <n v="1.56256071082656"/>
    <n v="1"/>
    <n v="-66"/>
    <n v="396"/>
  </r>
  <r>
    <x v="52"/>
    <s v="conventional_default_dq_wala_373"/>
    <x v="413"/>
    <n v="1.5626216801319599"/>
    <n v="1"/>
    <n v="-66"/>
    <n v="396"/>
  </r>
  <r>
    <x v="52"/>
    <s v="conventional_default_dq_wala_374"/>
    <x v="414"/>
    <n v="1.56268264943735"/>
    <n v="1"/>
    <n v="-66"/>
    <n v="396"/>
  </r>
  <r>
    <x v="52"/>
    <s v="conventional_default_dq_wala_375"/>
    <x v="415"/>
    <n v="1.5627436187427499"/>
    <n v="1"/>
    <n v="-66"/>
    <n v="396"/>
  </r>
  <r>
    <x v="52"/>
    <s v="conventional_default_dq_wala_376"/>
    <x v="416"/>
    <n v="1.56280458804814"/>
    <n v="1"/>
    <n v="-66"/>
    <n v="396"/>
  </r>
  <r>
    <x v="52"/>
    <s v="conventional_default_dq_wala_377"/>
    <x v="417"/>
    <n v="1.5628655573535299"/>
    <n v="1"/>
    <n v="-66"/>
    <n v="396"/>
  </r>
  <r>
    <x v="52"/>
    <s v="conventional_default_dq_wala_378"/>
    <x v="418"/>
    <n v="1.5629265266589301"/>
    <n v="1"/>
    <n v="-66"/>
    <n v="396"/>
  </r>
  <r>
    <x v="52"/>
    <s v="conventional_default_dq_wala_379"/>
    <x v="419"/>
    <n v="1.56298749596432"/>
    <n v="1"/>
    <n v="-66"/>
    <n v="396"/>
  </r>
  <r>
    <x v="52"/>
    <s v="conventional_default_dq_wala_380"/>
    <x v="420"/>
    <n v="1.5630484652697201"/>
    <n v="1"/>
    <n v="-66"/>
    <n v="396"/>
  </r>
  <r>
    <x v="52"/>
    <s v="conventional_default_dq_wala_381"/>
    <x v="421"/>
    <n v="1.56310943457511"/>
    <n v="1"/>
    <n v="-66"/>
    <n v="396"/>
  </r>
  <r>
    <x v="52"/>
    <s v="conventional_default_dq_wala_382"/>
    <x v="422"/>
    <n v="1.5631704038805101"/>
    <n v="1"/>
    <n v="-66"/>
    <n v="396"/>
  </r>
  <r>
    <x v="52"/>
    <s v="conventional_default_dq_wala_383"/>
    <x v="423"/>
    <n v="1.5632313731859"/>
    <n v="1"/>
    <n v="-66"/>
    <n v="396"/>
  </r>
  <r>
    <x v="52"/>
    <s v="conventional_default_dq_wala_384"/>
    <x v="424"/>
    <n v="1.5632923424912899"/>
    <n v="1"/>
    <n v="-66"/>
    <n v="396"/>
  </r>
  <r>
    <x v="52"/>
    <s v="conventional_default_dq_wala_385"/>
    <x v="425"/>
    <n v="1.56335331179669"/>
    <n v="1"/>
    <n v="-66"/>
    <n v="396"/>
  </r>
  <r>
    <x v="52"/>
    <s v="conventional_default_dq_wala_386"/>
    <x v="426"/>
    <n v="1.5634142811020799"/>
    <n v="1"/>
    <n v="-66"/>
    <n v="396"/>
  </r>
  <r>
    <x v="52"/>
    <s v="conventional_default_dq_wala_387"/>
    <x v="427"/>
    <n v="1.56347525040748"/>
    <n v="1"/>
    <n v="-66"/>
    <n v="396"/>
  </r>
  <r>
    <x v="52"/>
    <s v="conventional_default_dq_wala_388"/>
    <x v="428"/>
    <n v="1.5635362197128699"/>
    <n v="1"/>
    <n v="-66"/>
    <n v="396"/>
  </r>
  <r>
    <x v="52"/>
    <s v="conventional_default_dq_wala_389"/>
    <x v="429"/>
    <n v="1.5635971890182701"/>
    <n v="1"/>
    <n v="-66"/>
    <n v="396"/>
  </r>
  <r>
    <x v="52"/>
    <s v="conventional_default_dq_wala_390"/>
    <x v="430"/>
    <n v="1.56365815832366"/>
    <n v="1"/>
    <n v="-66"/>
    <n v="396"/>
  </r>
  <r>
    <x v="52"/>
    <s v="conventional_default_dq_wala_391"/>
    <x v="431"/>
    <n v="1.5637191276290501"/>
    <n v="1"/>
    <n v="-66"/>
    <n v="396"/>
  </r>
  <r>
    <x v="52"/>
    <s v="conventional_default_dq_wala_392"/>
    <x v="432"/>
    <n v="1.56378009693445"/>
    <n v="1"/>
    <n v="-66"/>
    <n v="396"/>
  </r>
  <r>
    <x v="52"/>
    <s v="conventional_default_dq_wala_393"/>
    <x v="433"/>
    <n v="1.5638410662398401"/>
    <n v="1"/>
    <n v="-66"/>
    <n v="396"/>
  </r>
  <r>
    <x v="52"/>
    <s v="conventional_default_dq_wala_394"/>
    <x v="434"/>
    <n v="1.56390203554524"/>
    <n v="1"/>
    <n v="-66"/>
    <n v="396"/>
  </r>
  <r>
    <x v="52"/>
    <s v="conventional_default_dq_wala_395"/>
    <x v="435"/>
    <n v="1.5639630048506299"/>
    <n v="1"/>
    <n v="-66"/>
    <n v="396"/>
  </r>
  <r>
    <x v="52"/>
    <s v="conventional_default_dq_wala_396"/>
    <x v="436"/>
    <n v="1.56402397415603"/>
    <n v="1"/>
    <n v="-66"/>
    <n v="396"/>
  </r>
  <r>
    <x v="53"/>
    <s v="conventional_default_dq_monthsSince_-24"/>
    <x v="16"/>
    <n v="4.45"/>
    <n v="1"/>
    <n v="-24"/>
    <n v="144"/>
  </r>
  <r>
    <x v="53"/>
    <s v="conventional_default_dq_monthsSince_-23"/>
    <x v="17"/>
    <n v="4.32"/>
    <n v="1"/>
    <n v="-24"/>
    <n v="144"/>
  </r>
  <r>
    <x v="53"/>
    <s v="conventional_default_dq_monthsSince_-22"/>
    <x v="18"/>
    <n v="4.1900000000000004"/>
    <n v="1"/>
    <n v="-24"/>
    <n v="144"/>
  </r>
  <r>
    <x v="53"/>
    <s v="conventional_default_dq_monthsSince_-21"/>
    <x v="19"/>
    <n v="4.0599999999999996"/>
    <n v="1"/>
    <n v="-24"/>
    <n v="144"/>
  </r>
  <r>
    <x v="53"/>
    <s v="conventional_default_dq_monthsSince_-20"/>
    <x v="20"/>
    <n v="3.93"/>
    <n v="1"/>
    <n v="-24"/>
    <n v="144"/>
  </r>
  <r>
    <x v="53"/>
    <s v="conventional_default_dq_monthsSince_-19"/>
    <x v="21"/>
    <n v="3.8"/>
    <n v="1"/>
    <n v="-24"/>
    <n v="144"/>
  </r>
  <r>
    <x v="53"/>
    <s v="conventional_default_dq_monthsSince_-18"/>
    <x v="22"/>
    <n v="3.67"/>
    <n v="1"/>
    <n v="-24"/>
    <n v="144"/>
  </r>
  <r>
    <x v="53"/>
    <s v="conventional_default_dq_monthsSince_-17"/>
    <x v="23"/>
    <n v="3.54"/>
    <n v="1"/>
    <n v="-24"/>
    <n v="144"/>
  </r>
  <r>
    <x v="53"/>
    <s v="conventional_default_dq_monthsSince_-16"/>
    <x v="24"/>
    <n v="3.41"/>
    <n v="1"/>
    <n v="-24"/>
    <n v="144"/>
  </r>
  <r>
    <x v="53"/>
    <s v="conventional_default_dq_monthsSince_-15"/>
    <x v="25"/>
    <n v="3.28"/>
    <n v="1"/>
    <n v="-24"/>
    <n v="144"/>
  </r>
  <r>
    <x v="53"/>
    <s v="conventional_default_dq_monthsSince_-14"/>
    <x v="26"/>
    <n v="3.15"/>
    <n v="1"/>
    <n v="-24"/>
    <n v="144"/>
  </r>
  <r>
    <x v="53"/>
    <s v="conventional_default_dq_monthsSince_-13"/>
    <x v="27"/>
    <n v="3.02"/>
    <n v="1"/>
    <n v="-24"/>
    <n v="144"/>
  </r>
  <r>
    <x v="53"/>
    <s v="conventional_default_dq_monthsSince_-12"/>
    <x v="28"/>
    <n v="2.89"/>
    <n v="1"/>
    <n v="-24"/>
    <n v="144"/>
  </r>
  <r>
    <x v="53"/>
    <s v="conventional_default_dq_monthsSince_-11"/>
    <x v="29"/>
    <n v="2.76"/>
    <n v="1"/>
    <n v="-24"/>
    <n v="144"/>
  </r>
  <r>
    <x v="53"/>
    <s v="conventional_default_dq_monthsSince_-10"/>
    <x v="30"/>
    <n v="2.63"/>
    <n v="1"/>
    <n v="-24"/>
    <n v="144"/>
  </r>
  <r>
    <x v="53"/>
    <s v="conventional_default_dq_monthsSince_-9"/>
    <x v="31"/>
    <n v="2.5"/>
    <n v="1"/>
    <n v="-24"/>
    <n v="144"/>
  </r>
  <r>
    <x v="53"/>
    <s v="conventional_default_dq_monthsSince_-8"/>
    <x v="32"/>
    <n v="2.37"/>
    <n v="1"/>
    <n v="-24"/>
    <n v="144"/>
  </r>
  <r>
    <x v="53"/>
    <s v="conventional_default_dq_monthsSince_-7"/>
    <x v="33"/>
    <n v="2.2400000000000002"/>
    <n v="1"/>
    <n v="-24"/>
    <n v="144"/>
  </r>
  <r>
    <x v="53"/>
    <s v="conventional_default_dq_monthsSince_-6"/>
    <x v="34"/>
    <n v="2.11"/>
    <n v="1"/>
    <n v="-24"/>
    <n v="144"/>
  </r>
  <r>
    <x v="53"/>
    <s v="conventional_default_dq_monthsSince_-5"/>
    <x v="35"/>
    <n v="1.98"/>
    <n v="1"/>
    <n v="-24"/>
    <n v="144"/>
  </r>
  <r>
    <x v="53"/>
    <s v="conventional_default_dq_monthsSince_-4"/>
    <x v="36"/>
    <n v="1.85"/>
    <n v="1"/>
    <n v="-24"/>
    <n v="144"/>
  </r>
  <r>
    <x v="53"/>
    <s v="conventional_default_dq_monthsSince_-3"/>
    <x v="37"/>
    <n v="1.72"/>
    <n v="1"/>
    <n v="-24"/>
    <n v="144"/>
  </r>
  <r>
    <x v="53"/>
    <s v="conventional_default_dq_monthsSince_-2"/>
    <x v="38"/>
    <n v="1.59"/>
    <n v="1"/>
    <n v="-24"/>
    <n v="144"/>
  </r>
  <r>
    <x v="53"/>
    <s v="conventional_default_dq_monthsSince_-1"/>
    <x v="39"/>
    <n v="1.46"/>
    <n v="1"/>
    <n v="-24"/>
    <n v="144"/>
  </r>
  <r>
    <x v="53"/>
    <s v="conventional_default_dq_monthsSince_0"/>
    <x v="40"/>
    <n v="1.33"/>
    <n v="1"/>
    <n v="-24"/>
    <n v="144"/>
  </r>
  <r>
    <x v="53"/>
    <s v="conventional_default_dq_monthsSince_1"/>
    <x v="41"/>
    <n v="1.18194444444444"/>
    <n v="1"/>
    <n v="-24"/>
    <n v="144"/>
  </r>
  <r>
    <x v="53"/>
    <s v="conventional_default_dq_monthsSince_2"/>
    <x v="42"/>
    <n v="1.0122222222222199"/>
    <n v="1"/>
    <n v="-24"/>
    <n v="144"/>
  </r>
  <r>
    <x v="53"/>
    <s v="conventional_default_dq_monthsSince_3"/>
    <x v="43"/>
    <n v="0.84250000000000003"/>
    <n v="1"/>
    <n v="-24"/>
    <n v="144"/>
  </r>
  <r>
    <x v="53"/>
    <s v="conventional_default_dq_monthsSince_4"/>
    <x v="44"/>
    <n v="0.69444444444444497"/>
    <n v="1"/>
    <n v="-24"/>
    <n v="144"/>
  </r>
  <r>
    <x v="53"/>
    <s v="conventional_default_dq_monthsSince_5"/>
    <x v="45"/>
    <n v="0.58972222222222204"/>
    <n v="1"/>
    <n v="-24"/>
    <n v="144"/>
  </r>
  <r>
    <x v="53"/>
    <s v="conventional_default_dq_monthsSince_6"/>
    <x v="46"/>
    <n v="0.55000000000000004"/>
    <n v="1"/>
    <n v="-24"/>
    <n v="144"/>
  </r>
  <r>
    <x v="53"/>
    <s v="conventional_default_dq_monthsSince_7"/>
    <x v="47"/>
    <n v="0.55000000000000004"/>
    <n v="1"/>
    <n v="-24"/>
    <n v="144"/>
  </r>
  <r>
    <x v="53"/>
    <s v="conventional_default_dq_monthsSince_8"/>
    <x v="48"/>
    <n v="0.55000000000000004"/>
    <n v="1"/>
    <n v="-24"/>
    <n v="144"/>
  </r>
  <r>
    <x v="53"/>
    <s v="conventional_default_dq_monthsSince_9"/>
    <x v="49"/>
    <n v="0.55000000000000004"/>
    <n v="1"/>
    <n v="-24"/>
    <n v="144"/>
  </r>
  <r>
    <x v="53"/>
    <s v="conventional_default_dq_monthsSince_10"/>
    <x v="50"/>
    <n v="0.55000000000000004"/>
    <n v="1"/>
    <n v="-24"/>
    <n v="144"/>
  </r>
  <r>
    <x v="53"/>
    <s v="conventional_default_dq_monthsSince_11"/>
    <x v="51"/>
    <n v="0.55000000000000004"/>
    <n v="1"/>
    <n v="-24"/>
    <n v="144"/>
  </r>
  <r>
    <x v="53"/>
    <s v="conventional_default_dq_monthsSince_12"/>
    <x v="52"/>
    <n v="0.55000000000000004"/>
    <n v="1"/>
    <n v="-24"/>
    <n v="144"/>
  </r>
  <r>
    <x v="53"/>
    <s v="conventional_default_dq_monthsSince_13"/>
    <x v="53"/>
    <n v="0.55000000000000004"/>
    <n v="1"/>
    <n v="-24"/>
    <n v="144"/>
  </r>
  <r>
    <x v="53"/>
    <s v="conventional_default_dq_monthsSince_14"/>
    <x v="54"/>
    <n v="0.55000000000000004"/>
    <n v="1"/>
    <n v="-24"/>
    <n v="144"/>
  </r>
  <r>
    <x v="53"/>
    <s v="conventional_default_dq_monthsSince_15"/>
    <x v="55"/>
    <n v="0.55000000000000004"/>
    <n v="1"/>
    <n v="-24"/>
    <n v="144"/>
  </r>
  <r>
    <x v="53"/>
    <s v="conventional_default_dq_monthsSince_16"/>
    <x v="56"/>
    <n v="0.55000000000000004"/>
    <n v="1"/>
    <n v="-24"/>
    <n v="144"/>
  </r>
  <r>
    <x v="53"/>
    <s v="conventional_default_dq_monthsSince_17"/>
    <x v="57"/>
    <n v="0.55000000000000004"/>
    <n v="1"/>
    <n v="-24"/>
    <n v="144"/>
  </r>
  <r>
    <x v="53"/>
    <s v="conventional_default_dq_monthsSince_18"/>
    <x v="58"/>
    <n v="0.55000000000000004"/>
    <n v="1"/>
    <n v="-24"/>
    <n v="144"/>
  </r>
  <r>
    <x v="53"/>
    <s v="conventional_default_dq_monthsSince_19"/>
    <x v="59"/>
    <n v="0.55000000000000004"/>
    <n v="1"/>
    <n v="-24"/>
    <n v="144"/>
  </r>
  <r>
    <x v="53"/>
    <s v="conventional_default_dq_monthsSince_20"/>
    <x v="60"/>
    <n v="0.55000000000000004"/>
    <n v="1"/>
    <n v="-24"/>
    <n v="144"/>
  </r>
  <r>
    <x v="53"/>
    <s v="conventional_default_dq_monthsSince_21"/>
    <x v="61"/>
    <n v="0.55000000000000004"/>
    <n v="1"/>
    <n v="-24"/>
    <n v="144"/>
  </r>
  <r>
    <x v="53"/>
    <s v="conventional_default_dq_monthsSince_22"/>
    <x v="62"/>
    <n v="0.55000000000000004"/>
    <n v="1"/>
    <n v="-24"/>
    <n v="144"/>
  </r>
  <r>
    <x v="53"/>
    <s v="conventional_default_dq_monthsSince_23"/>
    <x v="63"/>
    <n v="0.55000000000000004"/>
    <n v="1"/>
    <n v="-24"/>
    <n v="144"/>
  </r>
  <r>
    <x v="53"/>
    <s v="conventional_default_dq_monthsSince_24"/>
    <x v="64"/>
    <n v="0.55000000000000004"/>
    <n v="1"/>
    <n v="-24"/>
    <n v="144"/>
  </r>
  <r>
    <x v="53"/>
    <s v="conventional_default_dq_monthsSince_25"/>
    <x v="65"/>
    <n v="0.55000000000000004"/>
    <n v="1"/>
    <n v="-24"/>
    <n v="144"/>
  </r>
  <r>
    <x v="53"/>
    <s v="conventional_default_dq_monthsSince_26"/>
    <x v="66"/>
    <n v="0.55000000000000004"/>
    <n v="1"/>
    <n v="-24"/>
    <n v="144"/>
  </r>
  <r>
    <x v="53"/>
    <s v="conventional_default_dq_monthsSince_27"/>
    <x v="67"/>
    <n v="0.55000000000000004"/>
    <n v="1"/>
    <n v="-24"/>
    <n v="144"/>
  </r>
  <r>
    <x v="53"/>
    <s v="conventional_default_dq_monthsSince_28"/>
    <x v="68"/>
    <n v="0.55000000000000004"/>
    <n v="1"/>
    <n v="-24"/>
    <n v="144"/>
  </r>
  <r>
    <x v="53"/>
    <s v="conventional_default_dq_monthsSince_29"/>
    <x v="69"/>
    <n v="0.55000000000000004"/>
    <n v="1"/>
    <n v="-24"/>
    <n v="144"/>
  </r>
  <r>
    <x v="53"/>
    <s v="conventional_default_dq_monthsSince_30"/>
    <x v="70"/>
    <n v="0.55000000000000004"/>
    <n v="1"/>
    <n v="-24"/>
    <n v="144"/>
  </r>
  <r>
    <x v="53"/>
    <s v="conventional_default_dq_monthsSince_31"/>
    <x v="71"/>
    <n v="0.55000000000000004"/>
    <n v="1"/>
    <n v="-24"/>
    <n v="144"/>
  </r>
  <r>
    <x v="53"/>
    <s v="conventional_default_dq_monthsSince_32"/>
    <x v="72"/>
    <n v="0.55000000000000004"/>
    <n v="1"/>
    <n v="-24"/>
    <n v="144"/>
  </r>
  <r>
    <x v="53"/>
    <s v="conventional_default_dq_monthsSince_33"/>
    <x v="73"/>
    <n v="0.55000000000000004"/>
    <n v="1"/>
    <n v="-24"/>
    <n v="144"/>
  </r>
  <r>
    <x v="53"/>
    <s v="conventional_default_dq_monthsSince_34"/>
    <x v="74"/>
    <n v="0.55000000000000004"/>
    <n v="1"/>
    <n v="-24"/>
    <n v="144"/>
  </r>
  <r>
    <x v="53"/>
    <s v="conventional_default_dq_monthsSince_35"/>
    <x v="75"/>
    <n v="0.55000000000000004"/>
    <n v="1"/>
    <n v="-24"/>
    <n v="144"/>
  </r>
  <r>
    <x v="53"/>
    <s v="conventional_default_dq_monthsSince_36"/>
    <x v="76"/>
    <n v="0.55000000000000004"/>
    <n v="1"/>
    <n v="-24"/>
    <n v="144"/>
  </r>
  <r>
    <x v="53"/>
    <s v="conventional_default_dq_monthsSince_37"/>
    <x v="77"/>
    <n v="0.55000000000000004"/>
    <n v="1"/>
    <n v="-24"/>
    <n v="144"/>
  </r>
  <r>
    <x v="53"/>
    <s v="conventional_default_dq_monthsSince_38"/>
    <x v="78"/>
    <n v="0.55000000000000004"/>
    <n v="1"/>
    <n v="-24"/>
    <n v="144"/>
  </r>
  <r>
    <x v="53"/>
    <s v="conventional_default_dq_monthsSince_39"/>
    <x v="79"/>
    <n v="0.55000000000000004"/>
    <n v="1"/>
    <n v="-24"/>
    <n v="144"/>
  </r>
  <r>
    <x v="53"/>
    <s v="conventional_default_dq_monthsSince_40"/>
    <x v="80"/>
    <n v="0.55000000000000004"/>
    <n v="1"/>
    <n v="-24"/>
    <n v="144"/>
  </r>
  <r>
    <x v="53"/>
    <s v="conventional_default_dq_monthsSince_41"/>
    <x v="81"/>
    <n v="0.55000000000000004"/>
    <n v="1"/>
    <n v="-24"/>
    <n v="144"/>
  </r>
  <r>
    <x v="53"/>
    <s v="conventional_default_dq_monthsSince_42"/>
    <x v="82"/>
    <n v="0.55000000000000004"/>
    <n v="1"/>
    <n v="-24"/>
    <n v="144"/>
  </r>
  <r>
    <x v="53"/>
    <s v="conventional_default_dq_monthsSince_43"/>
    <x v="83"/>
    <n v="0.55000000000000004"/>
    <n v="1"/>
    <n v="-24"/>
    <n v="144"/>
  </r>
  <r>
    <x v="53"/>
    <s v="conventional_default_dq_monthsSince_44"/>
    <x v="84"/>
    <n v="0.55000000000000004"/>
    <n v="1"/>
    <n v="-24"/>
    <n v="144"/>
  </r>
  <r>
    <x v="53"/>
    <s v="conventional_default_dq_monthsSince_45"/>
    <x v="85"/>
    <n v="0.55000000000000004"/>
    <n v="1"/>
    <n v="-24"/>
    <n v="144"/>
  </r>
  <r>
    <x v="53"/>
    <s v="conventional_default_dq_monthsSince_46"/>
    <x v="86"/>
    <n v="0.55000000000000004"/>
    <n v="1"/>
    <n v="-24"/>
    <n v="144"/>
  </r>
  <r>
    <x v="53"/>
    <s v="conventional_default_dq_monthsSince_47"/>
    <x v="87"/>
    <n v="0.55000000000000004"/>
    <n v="1"/>
    <n v="-24"/>
    <n v="144"/>
  </r>
  <r>
    <x v="53"/>
    <s v="conventional_default_dq_monthsSince_48"/>
    <x v="88"/>
    <n v="0.55000000000000004"/>
    <n v="1"/>
    <n v="-24"/>
    <n v="144"/>
  </r>
  <r>
    <x v="53"/>
    <s v="conventional_default_dq_monthsSince_49"/>
    <x v="89"/>
    <n v="0.55000000000000004"/>
    <n v="1"/>
    <n v="-24"/>
    <n v="144"/>
  </r>
  <r>
    <x v="53"/>
    <s v="conventional_default_dq_monthsSince_50"/>
    <x v="90"/>
    <n v="0.55000000000000004"/>
    <n v="1"/>
    <n v="-24"/>
    <n v="144"/>
  </r>
  <r>
    <x v="53"/>
    <s v="conventional_default_dq_monthsSince_51"/>
    <x v="91"/>
    <n v="0.55000000000000004"/>
    <n v="1"/>
    <n v="-24"/>
    <n v="144"/>
  </r>
  <r>
    <x v="53"/>
    <s v="conventional_default_dq_monthsSince_52"/>
    <x v="92"/>
    <n v="0.55000000000000004"/>
    <n v="1"/>
    <n v="-24"/>
    <n v="144"/>
  </r>
  <r>
    <x v="53"/>
    <s v="conventional_default_dq_monthsSince_53"/>
    <x v="93"/>
    <n v="0.55000000000000004"/>
    <n v="1"/>
    <n v="-24"/>
    <n v="144"/>
  </r>
  <r>
    <x v="53"/>
    <s v="conventional_default_dq_monthsSince_54"/>
    <x v="94"/>
    <n v="0.55000000000000004"/>
    <n v="1"/>
    <n v="-24"/>
    <n v="144"/>
  </r>
  <r>
    <x v="53"/>
    <s v="conventional_default_dq_monthsSince_55"/>
    <x v="95"/>
    <n v="0.55000000000000004"/>
    <n v="1"/>
    <n v="-24"/>
    <n v="144"/>
  </r>
  <r>
    <x v="53"/>
    <s v="conventional_default_dq_monthsSince_56"/>
    <x v="96"/>
    <n v="0.55000000000000004"/>
    <n v="1"/>
    <n v="-24"/>
    <n v="144"/>
  </r>
  <r>
    <x v="53"/>
    <s v="conventional_default_dq_monthsSince_57"/>
    <x v="97"/>
    <n v="0.55000000000000004"/>
    <n v="1"/>
    <n v="-24"/>
    <n v="144"/>
  </r>
  <r>
    <x v="53"/>
    <s v="conventional_default_dq_monthsSince_58"/>
    <x v="98"/>
    <n v="0.55000000000000004"/>
    <n v="1"/>
    <n v="-24"/>
    <n v="144"/>
  </r>
  <r>
    <x v="53"/>
    <s v="conventional_default_dq_monthsSince_59"/>
    <x v="99"/>
    <n v="0.55000000000000004"/>
    <n v="1"/>
    <n v="-24"/>
    <n v="144"/>
  </r>
  <r>
    <x v="53"/>
    <s v="conventional_default_dq_monthsSince_60"/>
    <x v="100"/>
    <n v="0.55000000000000004"/>
    <n v="1"/>
    <n v="-24"/>
    <n v="144"/>
  </r>
  <r>
    <x v="53"/>
    <s v="conventional_default_dq_monthsSince_61"/>
    <x v="101"/>
    <n v="0.55000000000000004"/>
    <n v="1"/>
    <n v="-24"/>
    <n v="144"/>
  </r>
  <r>
    <x v="53"/>
    <s v="conventional_default_dq_monthsSince_62"/>
    <x v="102"/>
    <n v="0.55000000000000004"/>
    <n v="1"/>
    <n v="-24"/>
    <n v="144"/>
  </r>
  <r>
    <x v="53"/>
    <s v="conventional_default_dq_monthsSince_63"/>
    <x v="103"/>
    <n v="0.55000000000000004"/>
    <n v="1"/>
    <n v="-24"/>
    <n v="144"/>
  </r>
  <r>
    <x v="53"/>
    <s v="conventional_default_dq_monthsSince_64"/>
    <x v="104"/>
    <n v="0.55000000000000004"/>
    <n v="1"/>
    <n v="-24"/>
    <n v="144"/>
  </r>
  <r>
    <x v="53"/>
    <s v="conventional_default_dq_monthsSince_65"/>
    <x v="105"/>
    <n v="0.55000000000000004"/>
    <n v="1"/>
    <n v="-24"/>
    <n v="144"/>
  </r>
  <r>
    <x v="53"/>
    <s v="conventional_default_dq_monthsSince_66"/>
    <x v="106"/>
    <n v="0.55000000000000004"/>
    <n v="1"/>
    <n v="-24"/>
    <n v="144"/>
  </r>
  <r>
    <x v="53"/>
    <s v="conventional_default_dq_monthsSince_67"/>
    <x v="107"/>
    <n v="0.55000000000000004"/>
    <n v="1"/>
    <n v="-24"/>
    <n v="144"/>
  </r>
  <r>
    <x v="53"/>
    <s v="conventional_default_dq_monthsSince_68"/>
    <x v="108"/>
    <n v="0.55000000000000004"/>
    <n v="1"/>
    <n v="-24"/>
    <n v="144"/>
  </r>
  <r>
    <x v="53"/>
    <s v="conventional_default_dq_monthsSince_69"/>
    <x v="109"/>
    <n v="0.55000000000000004"/>
    <n v="1"/>
    <n v="-24"/>
    <n v="144"/>
  </r>
  <r>
    <x v="53"/>
    <s v="conventional_default_dq_monthsSince_70"/>
    <x v="110"/>
    <n v="0.55000000000000004"/>
    <n v="1"/>
    <n v="-24"/>
    <n v="144"/>
  </r>
  <r>
    <x v="53"/>
    <s v="conventional_default_dq_monthsSince_71"/>
    <x v="111"/>
    <n v="0.55000000000000004"/>
    <n v="1"/>
    <n v="-24"/>
    <n v="144"/>
  </r>
  <r>
    <x v="53"/>
    <s v="conventional_default_dq_monthsSince_72"/>
    <x v="112"/>
    <n v="0.55000000000000004"/>
    <n v="1"/>
    <n v="-24"/>
    <n v="144"/>
  </r>
  <r>
    <x v="53"/>
    <s v="conventional_default_dq_monthsSince_73"/>
    <x v="113"/>
    <n v="0.55000000000000004"/>
    <n v="1"/>
    <n v="-24"/>
    <n v="144"/>
  </r>
  <r>
    <x v="53"/>
    <s v="conventional_default_dq_monthsSince_74"/>
    <x v="114"/>
    <n v="0.55000000000000004"/>
    <n v="1"/>
    <n v="-24"/>
    <n v="144"/>
  </r>
  <r>
    <x v="53"/>
    <s v="conventional_default_dq_monthsSince_75"/>
    <x v="115"/>
    <n v="0.55000000000000004"/>
    <n v="1"/>
    <n v="-24"/>
    <n v="144"/>
  </r>
  <r>
    <x v="53"/>
    <s v="conventional_default_dq_monthsSince_76"/>
    <x v="116"/>
    <n v="0.55000000000000004"/>
    <n v="1"/>
    <n v="-24"/>
    <n v="144"/>
  </r>
  <r>
    <x v="53"/>
    <s v="conventional_default_dq_monthsSince_77"/>
    <x v="117"/>
    <n v="0.55000000000000004"/>
    <n v="1"/>
    <n v="-24"/>
    <n v="144"/>
  </r>
  <r>
    <x v="53"/>
    <s v="conventional_default_dq_monthsSince_78"/>
    <x v="118"/>
    <n v="0.55000000000000004"/>
    <n v="1"/>
    <n v="-24"/>
    <n v="144"/>
  </r>
  <r>
    <x v="53"/>
    <s v="conventional_default_dq_monthsSince_79"/>
    <x v="119"/>
    <n v="0.55000000000000004"/>
    <n v="1"/>
    <n v="-24"/>
    <n v="144"/>
  </r>
  <r>
    <x v="53"/>
    <s v="conventional_default_dq_monthsSince_80"/>
    <x v="120"/>
    <n v="0.55000000000000004"/>
    <n v="1"/>
    <n v="-24"/>
    <n v="144"/>
  </r>
  <r>
    <x v="53"/>
    <s v="conventional_default_dq_monthsSince_81"/>
    <x v="121"/>
    <n v="0.55000000000000004"/>
    <n v="1"/>
    <n v="-24"/>
    <n v="144"/>
  </r>
  <r>
    <x v="53"/>
    <s v="conventional_default_dq_monthsSince_82"/>
    <x v="122"/>
    <n v="0.55000000000000004"/>
    <n v="1"/>
    <n v="-24"/>
    <n v="144"/>
  </r>
  <r>
    <x v="53"/>
    <s v="conventional_default_dq_monthsSince_83"/>
    <x v="123"/>
    <n v="0.55000000000000004"/>
    <n v="1"/>
    <n v="-24"/>
    <n v="144"/>
  </r>
  <r>
    <x v="53"/>
    <s v="conventional_default_dq_monthsSince_84"/>
    <x v="124"/>
    <n v="0.55000000000000004"/>
    <n v="1"/>
    <n v="-24"/>
    <n v="144"/>
  </r>
  <r>
    <x v="53"/>
    <s v="conventional_default_dq_monthsSince_85"/>
    <x v="125"/>
    <n v="0.55000000000000004"/>
    <n v="1"/>
    <n v="-24"/>
    <n v="144"/>
  </r>
  <r>
    <x v="53"/>
    <s v="conventional_default_dq_monthsSince_86"/>
    <x v="126"/>
    <n v="0.55000000000000004"/>
    <n v="1"/>
    <n v="-24"/>
    <n v="144"/>
  </r>
  <r>
    <x v="53"/>
    <s v="conventional_default_dq_monthsSince_87"/>
    <x v="127"/>
    <n v="0.55000000000000004"/>
    <n v="1"/>
    <n v="-24"/>
    <n v="144"/>
  </r>
  <r>
    <x v="53"/>
    <s v="conventional_default_dq_monthsSince_88"/>
    <x v="128"/>
    <n v="0.55000000000000004"/>
    <n v="1"/>
    <n v="-24"/>
    <n v="144"/>
  </r>
  <r>
    <x v="53"/>
    <s v="conventional_default_dq_monthsSince_89"/>
    <x v="129"/>
    <n v="0.55000000000000004"/>
    <n v="1"/>
    <n v="-24"/>
    <n v="144"/>
  </r>
  <r>
    <x v="53"/>
    <s v="conventional_default_dq_monthsSince_90"/>
    <x v="130"/>
    <n v="0.55000000000000004"/>
    <n v="1"/>
    <n v="-24"/>
    <n v="144"/>
  </r>
  <r>
    <x v="53"/>
    <s v="conventional_default_dq_monthsSince_91"/>
    <x v="131"/>
    <n v="0.55000000000000004"/>
    <n v="1"/>
    <n v="-24"/>
    <n v="144"/>
  </r>
  <r>
    <x v="53"/>
    <s v="conventional_default_dq_monthsSince_92"/>
    <x v="132"/>
    <n v="0.55000000000000004"/>
    <n v="1"/>
    <n v="-24"/>
    <n v="144"/>
  </r>
  <r>
    <x v="53"/>
    <s v="conventional_default_dq_monthsSince_93"/>
    <x v="133"/>
    <n v="0.55000000000000004"/>
    <n v="1"/>
    <n v="-24"/>
    <n v="144"/>
  </r>
  <r>
    <x v="53"/>
    <s v="conventional_default_dq_monthsSince_94"/>
    <x v="134"/>
    <n v="0.55000000000000004"/>
    <n v="1"/>
    <n v="-24"/>
    <n v="144"/>
  </r>
  <r>
    <x v="53"/>
    <s v="conventional_default_dq_monthsSince_95"/>
    <x v="135"/>
    <n v="0.55000000000000004"/>
    <n v="1"/>
    <n v="-24"/>
    <n v="144"/>
  </r>
  <r>
    <x v="53"/>
    <s v="conventional_default_dq_monthsSince_96"/>
    <x v="136"/>
    <n v="0.55000000000000004"/>
    <n v="1"/>
    <n v="-24"/>
    <n v="144"/>
  </r>
  <r>
    <x v="53"/>
    <s v="conventional_default_dq_monthsSince_97"/>
    <x v="137"/>
    <n v="0.55000000000000004"/>
    <n v="1"/>
    <n v="-24"/>
    <n v="144"/>
  </r>
  <r>
    <x v="53"/>
    <s v="conventional_default_dq_monthsSince_98"/>
    <x v="138"/>
    <n v="0.55000000000000004"/>
    <n v="1"/>
    <n v="-24"/>
    <n v="144"/>
  </r>
  <r>
    <x v="53"/>
    <s v="conventional_default_dq_monthsSince_99"/>
    <x v="139"/>
    <n v="0.55000000000000004"/>
    <n v="1"/>
    <n v="-24"/>
    <n v="144"/>
  </r>
  <r>
    <x v="53"/>
    <s v="conventional_default_dq_monthsSince_100"/>
    <x v="140"/>
    <n v="0.55000000000000004"/>
    <n v="1"/>
    <n v="-24"/>
    <n v="144"/>
  </r>
  <r>
    <x v="53"/>
    <s v="conventional_default_dq_monthsSince_101"/>
    <x v="141"/>
    <n v="0.55000000000000004"/>
    <n v="1"/>
    <n v="-24"/>
    <n v="144"/>
  </r>
  <r>
    <x v="53"/>
    <s v="conventional_default_dq_monthsSince_102"/>
    <x v="142"/>
    <n v="0.55000000000000004"/>
    <n v="1"/>
    <n v="-24"/>
    <n v="144"/>
  </r>
  <r>
    <x v="53"/>
    <s v="conventional_default_dq_monthsSince_103"/>
    <x v="143"/>
    <n v="0.55000000000000004"/>
    <n v="1"/>
    <n v="-24"/>
    <n v="144"/>
  </r>
  <r>
    <x v="53"/>
    <s v="conventional_default_dq_monthsSince_104"/>
    <x v="144"/>
    <n v="0.55000000000000004"/>
    <n v="1"/>
    <n v="-24"/>
    <n v="144"/>
  </r>
  <r>
    <x v="53"/>
    <s v="conventional_default_dq_monthsSince_105"/>
    <x v="145"/>
    <n v="0.55000000000000004"/>
    <n v="1"/>
    <n v="-24"/>
    <n v="144"/>
  </r>
  <r>
    <x v="53"/>
    <s v="conventional_default_dq_monthsSince_106"/>
    <x v="146"/>
    <n v="0.55000000000000004"/>
    <n v="1"/>
    <n v="-24"/>
    <n v="144"/>
  </r>
  <r>
    <x v="53"/>
    <s v="conventional_default_dq_monthsSince_107"/>
    <x v="147"/>
    <n v="0.55000000000000004"/>
    <n v="1"/>
    <n v="-24"/>
    <n v="144"/>
  </r>
  <r>
    <x v="53"/>
    <s v="conventional_default_dq_monthsSince_108"/>
    <x v="148"/>
    <n v="0.55000000000000004"/>
    <n v="1"/>
    <n v="-24"/>
    <n v="144"/>
  </r>
  <r>
    <x v="53"/>
    <s v="conventional_default_dq_monthsSince_109"/>
    <x v="149"/>
    <n v="0.55000000000000004"/>
    <n v="1"/>
    <n v="-24"/>
    <n v="144"/>
  </r>
  <r>
    <x v="53"/>
    <s v="conventional_default_dq_monthsSince_110"/>
    <x v="150"/>
    <n v="0.55000000000000004"/>
    <n v="1"/>
    <n v="-24"/>
    <n v="144"/>
  </r>
  <r>
    <x v="53"/>
    <s v="conventional_default_dq_monthsSince_111"/>
    <x v="151"/>
    <n v="0.55000000000000004"/>
    <n v="1"/>
    <n v="-24"/>
    <n v="144"/>
  </r>
  <r>
    <x v="53"/>
    <s v="conventional_default_dq_monthsSince_112"/>
    <x v="152"/>
    <n v="0.55000000000000004"/>
    <n v="1"/>
    <n v="-24"/>
    <n v="144"/>
  </r>
  <r>
    <x v="53"/>
    <s v="conventional_default_dq_monthsSince_113"/>
    <x v="153"/>
    <n v="0.55000000000000004"/>
    <n v="1"/>
    <n v="-24"/>
    <n v="144"/>
  </r>
  <r>
    <x v="53"/>
    <s v="conventional_default_dq_monthsSince_114"/>
    <x v="154"/>
    <n v="0.55000000000000004"/>
    <n v="1"/>
    <n v="-24"/>
    <n v="144"/>
  </r>
  <r>
    <x v="53"/>
    <s v="conventional_default_dq_monthsSince_115"/>
    <x v="155"/>
    <n v="0.55000000000000004"/>
    <n v="1"/>
    <n v="-24"/>
    <n v="144"/>
  </r>
  <r>
    <x v="53"/>
    <s v="conventional_default_dq_monthsSince_116"/>
    <x v="156"/>
    <n v="0.55000000000000004"/>
    <n v="1"/>
    <n v="-24"/>
    <n v="144"/>
  </r>
  <r>
    <x v="53"/>
    <s v="conventional_default_dq_monthsSince_117"/>
    <x v="157"/>
    <n v="0.55000000000000004"/>
    <n v="1"/>
    <n v="-24"/>
    <n v="144"/>
  </r>
  <r>
    <x v="53"/>
    <s v="conventional_default_dq_monthsSince_118"/>
    <x v="158"/>
    <n v="0.55000000000000004"/>
    <n v="1"/>
    <n v="-24"/>
    <n v="144"/>
  </r>
  <r>
    <x v="53"/>
    <s v="conventional_default_dq_monthsSince_119"/>
    <x v="159"/>
    <n v="0.55000000000000004"/>
    <n v="1"/>
    <n v="-24"/>
    <n v="144"/>
  </r>
  <r>
    <x v="53"/>
    <s v="conventional_default_dq_monthsSince_120"/>
    <x v="160"/>
    <n v="0.55000000000000004"/>
    <n v="1"/>
    <n v="-24"/>
    <n v="144"/>
  </r>
  <r>
    <x v="53"/>
    <s v="conventional_default_dq_monthsSince_121"/>
    <x v="161"/>
    <n v="0.55000000000000004"/>
    <n v="1"/>
    <n v="-24"/>
    <n v="144"/>
  </r>
  <r>
    <x v="53"/>
    <s v="conventional_default_dq_monthsSince_122"/>
    <x v="162"/>
    <n v="0.55000000000000004"/>
    <n v="1"/>
    <n v="-24"/>
    <n v="144"/>
  </r>
  <r>
    <x v="53"/>
    <s v="conventional_default_dq_monthsSince_123"/>
    <x v="163"/>
    <n v="0.55000000000000004"/>
    <n v="1"/>
    <n v="-24"/>
    <n v="144"/>
  </r>
  <r>
    <x v="53"/>
    <s v="conventional_default_dq_monthsSince_124"/>
    <x v="164"/>
    <n v="0.55000000000000004"/>
    <n v="1"/>
    <n v="-24"/>
    <n v="144"/>
  </r>
  <r>
    <x v="53"/>
    <s v="conventional_default_dq_monthsSince_125"/>
    <x v="165"/>
    <n v="0.55000000000000004"/>
    <n v="1"/>
    <n v="-24"/>
    <n v="144"/>
  </r>
  <r>
    <x v="53"/>
    <s v="conventional_default_dq_monthsSince_126"/>
    <x v="166"/>
    <n v="0.55000000000000004"/>
    <n v="1"/>
    <n v="-24"/>
    <n v="144"/>
  </r>
  <r>
    <x v="53"/>
    <s v="conventional_default_dq_monthsSince_127"/>
    <x v="167"/>
    <n v="0.55000000000000004"/>
    <n v="1"/>
    <n v="-24"/>
    <n v="144"/>
  </r>
  <r>
    <x v="53"/>
    <s v="conventional_default_dq_monthsSince_128"/>
    <x v="168"/>
    <n v="0.55000000000000004"/>
    <n v="1"/>
    <n v="-24"/>
    <n v="144"/>
  </r>
  <r>
    <x v="53"/>
    <s v="conventional_default_dq_monthsSince_129"/>
    <x v="169"/>
    <n v="0.55000000000000004"/>
    <n v="1"/>
    <n v="-24"/>
    <n v="144"/>
  </r>
  <r>
    <x v="53"/>
    <s v="conventional_default_dq_monthsSince_130"/>
    <x v="170"/>
    <n v="0.55000000000000004"/>
    <n v="1"/>
    <n v="-24"/>
    <n v="144"/>
  </r>
  <r>
    <x v="53"/>
    <s v="conventional_default_dq_monthsSince_131"/>
    <x v="171"/>
    <n v="0.55000000000000004"/>
    <n v="1"/>
    <n v="-24"/>
    <n v="144"/>
  </r>
  <r>
    <x v="53"/>
    <s v="conventional_default_dq_monthsSince_132"/>
    <x v="172"/>
    <n v="0.55000000000000004"/>
    <n v="1"/>
    <n v="-24"/>
    <n v="144"/>
  </r>
  <r>
    <x v="53"/>
    <s v="conventional_default_dq_monthsSince_133"/>
    <x v="173"/>
    <n v="0.55000000000000004"/>
    <n v="1"/>
    <n v="-24"/>
    <n v="144"/>
  </r>
  <r>
    <x v="53"/>
    <s v="conventional_default_dq_monthsSince_134"/>
    <x v="174"/>
    <n v="0.55000000000000004"/>
    <n v="1"/>
    <n v="-24"/>
    <n v="144"/>
  </r>
  <r>
    <x v="53"/>
    <s v="conventional_default_dq_monthsSince_135"/>
    <x v="175"/>
    <n v="0.55000000000000004"/>
    <n v="1"/>
    <n v="-24"/>
    <n v="144"/>
  </r>
  <r>
    <x v="53"/>
    <s v="conventional_default_dq_monthsSince_136"/>
    <x v="176"/>
    <n v="0.55000000000000004"/>
    <n v="1"/>
    <n v="-24"/>
    <n v="144"/>
  </r>
  <r>
    <x v="53"/>
    <s v="conventional_default_dq_monthsSince_137"/>
    <x v="177"/>
    <n v="0.55000000000000004"/>
    <n v="1"/>
    <n v="-24"/>
    <n v="144"/>
  </r>
  <r>
    <x v="53"/>
    <s v="conventional_default_dq_monthsSince_138"/>
    <x v="178"/>
    <n v="0.55000000000000004"/>
    <n v="1"/>
    <n v="-24"/>
    <n v="144"/>
  </r>
  <r>
    <x v="53"/>
    <s v="conventional_default_dq_monthsSince_139"/>
    <x v="179"/>
    <n v="0.55000000000000004"/>
    <n v="1"/>
    <n v="-24"/>
    <n v="144"/>
  </r>
  <r>
    <x v="53"/>
    <s v="conventional_default_dq_monthsSince_140"/>
    <x v="180"/>
    <n v="0.55000000000000004"/>
    <n v="1"/>
    <n v="-24"/>
    <n v="144"/>
  </r>
  <r>
    <x v="53"/>
    <s v="conventional_default_dq_monthsSince_141"/>
    <x v="181"/>
    <n v="0.55000000000000004"/>
    <n v="1"/>
    <n v="-24"/>
    <n v="144"/>
  </r>
  <r>
    <x v="53"/>
    <s v="conventional_default_dq_monthsSince_142"/>
    <x v="182"/>
    <n v="0.55000000000000004"/>
    <n v="1"/>
    <n v="-24"/>
    <n v="144"/>
  </r>
  <r>
    <x v="53"/>
    <s v="conventional_default_dq_monthsSince_143"/>
    <x v="183"/>
    <n v="0.55000000000000004"/>
    <n v="1"/>
    <n v="-24"/>
    <n v="144"/>
  </r>
  <r>
    <x v="53"/>
    <s v="conventional_default_dq_monthsSince_144"/>
    <x v="184"/>
    <n v="0.55000000000000004"/>
    <n v="1"/>
    <n v="-24"/>
    <n v="144"/>
  </r>
  <r>
    <x v="54"/>
    <s v="conventional_default_dq_cltv_-36"/>
    <x v="4"/>
    <n v="0.42"/>
    <n v="1"/>
    <n v="-36"/>
    <n v="216"/>
  </r>
  <r>
    <x v="54"/>
    <s v="conventional_default_dq_cltv_-35"/>
    <x v="5"/>
    <n v="0.42"/>
    <n v="1"/>
    <n v="-36"/>
    <n v="216"/>
  </r>
  <r>
    <x v="54"/>
    <s v="conventional_default_dq_cltv_-34"/>
    <x v="6"/>
    <n v="0.42"/>
    <n v="1"/>
    <n v="-36"/>
    <n v="216"/>
  </r>
  <r>
    <x v="54"/>
    <s v="conventional_default_dq_cltv_-33"/>
    <x v="7"/>
    <n v="0.42"/>
    <n v="1"/>
    <n v="-36"/>
    <n v="216"/>
  </r>
  <r>
    <x v="54"/>
    <s v="conventional_default_dq_cltv_-32"/>
    <x v="8"/>
    <n v="0.42"/>
    <n v="1"/>
    <n v="-36"/>
    <n v="216"/>
  </r>
  <r>
    <x v="54"/>
    <s v="conventional_default_dq_cltv_-31"/>
    <x v="9"/>
    <n v="0.42"/>
    <n v="1"/>
    <n v="-36"/>
    <n v="216"/>
  </r>
  <r>
    <x v="54"/>
    <s v="conventional_default_dq_cltv_-30"/>
    <x v="10"/>
    <n v="0.42"/>
    <n v="1"/>
    <n v="-36"/>
    <n v="216"/>
  </r>
  <r>
    <x v="54"/>
    <s v="conventional_default_dq_cltv_-29"/>
    <x v="11"/>
    <n v="0.42"/>
    <n v="1"/>
    <n v="-36"/>
    <n v="216"/>
  </r>
  <r>
    <x v="54"/>
    <s v="conventional_default_dq_cltv_-28"/>
    <x v="12"/>
    <n v="0.42"/>
    <n v="1"/>
    <n v="-36"/>
    <n v="216"/>
  </r>
  <r>
    <x v="54"/>
    <s v="conventional_default_dq_cltv_-27"/>
    <x v="13"/>
    <n v="0.42"/>
    <n v="1"/>
    <n v="-36"/>
    <n v="216"/>
  </r>
  <r>
    <x v="54"/>
    <s v="conventional_default_dq_cltv_-26"/>
    <x v="14"/>
    <n v="0.42"/>
    <n v="1"/>
    <n v="-36"/>
    <n v="216"/>
  </r>
  <r>
    <x v="54"/>
    <s v="conventional_default_dq_cltv_-25"/>
    <x v="15"/>
    <n v="0.42"/>
    <n v="1"/>
    <n v="-36"/>
    <n v="216"/>
  </r>
  <r>
    <x v="54"/>
    <s v="conventional_default_dq_cltv_-24"/>
    <x v="16"/>
    <n v="0.42"/>
    <n v="1"/>
    <n v="-36"/>
    <n v="216"/>
  </r>
  <r>
    <x v="54"/>
    <s v="conventional_default_dq_cltv_-23"/>
    <x v="17"/>
    <n v="0.42"/>
    <n v="1"/>
    <n v="-36"/>
    <n v="216"/>
  </r>
  <r>
    <x v="54"/>
    <s v="conventional_default_dq_cltv_-22"/>
    <x v="18"/>
    <n v="0.42"/>
    <n v="1"/>
    <n v="-36"/>
    <n v="216"/>
  </r>
  <r>
    <x v="54"/>
    <s v="conventional_default_dq_cltv_-21"/>
    <x v="19"/>
    <n v="0.42"/>
    <n v="1"/>
    <n v="-36"/>
    <n v="216"/>
  </r>
  <r>
    <x v="54"/>
    <s v="conventional_default_dq_cltv_-20"/>
    <x v="20"/>
    <n v="0.42"/>
    <n v="1"/>
    <n v="-36"/>
    <n v="216"/>
  </r>
  <r>
    <x v="54"/>
    <s v="conventional_default_dq_cltv_-19"/>
    <x v="21"/>
    <n v="0.42"/>
    <n v="1"/>
    <n v="-36"/>
    <n v="216"/>
  </r>
  <r>
    <x v="54"/>
    <s v="conventional_default_dq_cltv_-18"/>
    <x v="22"/>
    <n v="0.42"/>
    <n v="1"/>
    <n v="-36"/>
    <n v="216"/>
  </r>
  <r>
    <x v="54"/>
    <s v="conventional_default_dq_cltv_-17"/>
    <x v="23"/>
    <n v="0.42"/>
    <n v="1"/>
    <n v="-36"/>
    <n v="216"/>
  </r>
  <r>
    <x v="54"/>
    <s v="conventional_default_dq_cltv_-16"/>
    <x v="24"/>
    <n v="0.42"/>
    <n v="1"/>
    <n v="-36"/>
    <n v="216"/>
  </r>
  <r>
    <x v="54"/>
    <s v="conventional_default_dq_cltv_-15"/>
    <x v="25"/>
    <n v="0.42"/>
    <n v="1"/>
    <n v="-36"/>
    <n v="216"/>
  </r>
  <r>
    <x v="54"/>
    <s v="conventional_default_dq_cltv_-14"/>
    <x v="26"/>
    <n v="0.42"/>
    <n v="1"/>
    <n v="-36"/>
    <n v="216"/>
  </r>
  <r>
    <x v="54"/>
    <s v="conventional_default_dq_cltv_-13"/>
    <x v="27"/>
    <n v="0.42"/>
    <n v="1"/>
    <n v="-36"/>
    <n v="216"/>
  </r>
  <r>
    <x v="54"/>
    <s v="conventional_default_dq_cltv_-12"/>
    <x v="28"/>
    <n v="0.42"/>
    <n v="1"/>
    <n v="-36"/>
    <n v="216"/>
  </r>
  <r>
    <x v="54"/>
    <s v="conventional_default_dq_cltv_-11"/>
    <x v="29"/>
    <n v="0.42"/>
    <n v="1"/>
    <n v="-36"/>
    <n v="216"/>
  </r>
  <r>
    <x v="54"/>
    <s v="conventional_default_dq_cltv_-10"/>
    <x v="30"/>
    <n v="0.42"/>
    <n v="1"/>
    <n v="-36"/>
    <n v="216"/>
  </r>
  <r>
    <x v="54"/>
    <s v="conventional_default_dq_cltv_-9"/>
    <x v="31"/>
    <n v="0.42"/>
    <n v="1"/>
    <n v="-36"/>
    <n v="216"/>
  </r>
  <r>
    <x v="54"/>
    <s v="conventional_default_dq_cltv_-8"/>
    <x v="32"/>
    <n v="0.42"/>
    <n v="1"/>
    <n v="-36"/>
    <n v="216"/>
  </r>
  <r>
    <x v="54"/>
    <s v="conventional_default_dq_cltv_-7"/>
    <x v="33"/>
    <n v="0.42"/>
    <n v="1"/>
    <n v="-36"/>
    <n v="216"/>
  </r>
  <r>
    <x v="54"/>
    <s v="conventional_default_dq_cltv_-6"/>
    <x v="34"/>
    <n v="0.42"/>
    <n v="1"/>
    <n v="-36"/>
    <n v="216"/>
  </r>
  <r>
    <x v="54"/>
    <s v="conventional_default_dq_cltv_-5"/>
    <x v="35"/>
    <n v="0.42"/>
    <n v="1"/>
    <n v="-36"/>
    <n v="216"/>
  </r>
  <r>
    <x v="54"/>
    <s v="conventional_default_dq_cltv_-4"/>
    <x v="36"/>
    <n v="0.42"/>
    <n v="1"/>
    <n v="-36"/>
    <n v="216"/>
  </r>
  <r>
    <x v="54"/>
    <s v="conventional_default_dq_cltv_-3"/>
    <x v="37"/>
    <n v="0.42"/>
    <n v="1"/>
    <n v="-36"/>
    <n v="216"/>
  </r>
  <r>
    <x v="54"/>
    <s v="conventional_default_dq_cltv_-2"/>
    <x v="38"/>
    <n v="0.42"/>
    <n v="1"/>
    <n v="-36"/>
    <n v="216"/>
  </r>
  <r>
    <x v="54"/>
    <s v="conventional_default_dq_cltv_-1"/>
    <x v="39"/>
    <n v="0.42"/>
    <n v="1"/>
    <n v="-36"/>
    <n v="216"/>
  </r>
  <r>
    <x v="54"/>
    <s v="conventional_default_dq_cltv_0"/>
    <x v="40"/>
    <n v="0.42"/>
    <n v="1"/>
    <n v="-36"/>
    <n v="216"/>
  </r>
  <r>
    <x v="54"/>
    <s v="conventional_default_dq_cltv_1"/>
    <x v="41"/>
    <n v="0.42"/>
    <n v="1"/>
    <n v="-36"/>
    <n v="216"/>
  </r>
  <r>
    <x v="54"/>
    <s v="conventional_default_dq_cltv_2"/>
    <x v="42"/>
    <n v="0.42"/>
    <n v="1"/>
    <n v="-36"/>
    <n v="216"/>
  </r>
  <r>
    <x v="54"/>
    <s v="conventional_default_dq_cltv_3"/>
    <x v="43"/>
    <n v="0.42"/>
    <n v="1"/>
    <n v="-36"/>
    <n v="216"/>
  </r>
  <r>
    <x v="54"/>
    <s v="conventional_default_dq_cltv_4"/>
    <x v="44"/>
    <n v="0.42"/>
    <n v="1"/>
    <n v="-36"/>
    <n v="216"/>
  </r>
  <r>
    <x v="54"/>
    <s v="conventional_default_dq_cltv_5"/>
    <x v="45"/>
    <n v="0.42"/>
    <n v="1"/>
    <n v="-36"/>
    <n v="216"/>
  </r>
  <r>
    <x v="54"/>
    <s v="conventional_default_dq_cltv_6"/>
    <x v="46"/>
    <n v="0.42"/>
    <n v="1"/>
    <n v="-36"/>
    <n v="216"/>
  </r>
  <r>
    <x v="54"/>
    <s v="conventional_default_dq_cltv_7"/>
    <x v="47"/>
    <n v="0.42"/>
    <n v="1"/>
    <n v="-36"/>
    <n v="216"/>
  </r>
  <r>
    <x v="54"/>
    <s v="conventional_default_dq_cltv_8"/>
    <x v="48"/>
    <n v="0.42"/>
    <n v="1"/>
    <n v="-36"/>
    <n v="216"/>
  </r>
  <r>
    <x v="54"/>
    <s v="conventional_default_dq_cltv_9"/>
    <x v="49"/>
    <n v="0.42"/>
    <n v="1"/>
    <n v="-36"/>
    <n v="216"/>
  </r>
  <r>
    <x v="54"/>
    <s v="conventional_default_dq_cltv_10"/>
    <x v="50"/>
    <n v="0.42"/>
    <n v="1"/>
    <n v="-36"/>
    <n v="216"/>
  </r>
  <r>
    <x v="54"/>
    <s v="conventional_default_dq_cltv_11"/>
    <x v="51"/>
    <n v="0.42"/>
    <n v="1"/>
    <n v="-36"/>
    <n v="216"/>
  </r>
  <r>
    <x v="54"/>
    <s v="conventional_default_dq_cltv_12"/>
    <x v="52"/>
    <n v="0.42"/>
    <n v="1"/>
    <n v="-36"/>
    <n v="216"/>
  </r>
  <r>
    <x v="54"/>
    <s v="conventional_default_dq_cltv_13"/>
    <x v="53"/>
    <n v="0.42"/>
    <n v="1"/>
    <n v="-36"/>
    <n v="216"/>
  </r>
  <r>
    <x v="54"/>
    <s v="conventional_default_dq_cltv_14"/>
    <x v="54"/>
    <n v="0.42"/>
    <n v="1"/>
    <n v="-36"/>
    <n v="216"/>
  </r>
  <r>
    <x v="54"/>
    <s v="conventional_default_dq_cltv_15"/>
    <x v="55"/>
    <n v="0.42"/>
    <n v="1"/>
    <n v="-36"/>
    <n v="216"/>
  </r>
  <r>
    <x v="54"/>
    <s v="conventional_default_dq_cltv_16"/>
    <x v="56"/>
    <n v="0.42"/>
    <n v="1"/>
    <n v="-36"/>
    <n v="216"/>
  </r>
  <r>
    <x v="54"/>
    <s v="conventional_default_dq_cltv_17"/>
    <x v="57"/>
    <n v="0.42"/>
    <n v="1"/>
    <n v="-36"/>
    <n v="216"/>
  </r>
  <r>
    <x v="54"/>
    <s v="conventional_default_dq_cltv_18"/>
    <x v="58"/>
    <n v="0.42"/>
    <n v="1"/>
    <n v="-36"/>
    <n v="216"/>
  </r>
  <r>
    <x v="54"/>
    <s v="conventional_default_dq_cltv_19"/>
    <x v="59"/>
    <n v="0.42"/>
    <n v="1"/>
    <n v="-36"/>
    <n v="216"/>
  </r>
  <r>
    <x v="54"/>
    <s v="conventional_default_dq_cltv_20"/>
    <x v="60"/>
    <n v="0.42"/>
    <n v="1"/>
    <n v="-36"/>
    <n v="216"/>
  </r>
  <r>
    <x v="54"/>
    <s v="conventional_default_dq_cltv_21"/>
    <x v="61"/>
    <n v="0.42002499999999998"/>
    <n v="1"/>
    <n v="-36"/>
    <n v="216"/>
  </r>
  <r>
    <x v="54"/>
    <s v="conventional_default_dq_cltv_22"/>
    <x v="62"/>
    <n v="0.42009999999999997"/>
    <n v="1"/>
    <n v="-36"/>
    <n v="216"/>
  </r>
  <r>
    <x v="54"/>
    <s v="conventional_default_dq_cltv_23"/>
    <x v="63"/>
    <n v="0.42022500000000002"/>
    <n v="1"/>
    <n v="-36"/>
    <n v="216"/>
  </r>
  <r>
    <x v="54"/>
    <s v="conventional_default_dq_cltv_24"/>
    <x v="64"/>
    <n v="0.4204"/>
    <n v="1"/>
    <n v="-36"/>
    <n v="216"/>
  </r>
  <r>
    <x v="54"/>
    <s v="conventional_default_dq_cltv_25"/>
    <x v="65"/>
    <n v="0.42062500000000003"/>
    <n v="1"/>
    <n v="-36"/>
    <n v="216"/>
  </r>
  <r>
    <x v="54"/>
    <s v="conventional_default_dq_cltv_26"/>
    <x v="66"/>
    <n v="0.4209"/>
    <n v="1"/>
    <n v="-36"/>
    <n v="216"/>
  </r>
  <r>
    <x v="54"/>
    <s v="conventional_default_dq_cltv_27"/>
    <x v="67"/>
    <n v="0.42122500000000002"/>
    <n v="1"/>
    <n v="-36"/>
    <n v="216"/>
  </r>
  <r>
    <x v="54"/>
    <s v="conventional_default_dq_cltv_28"/>
    <x v="68"/>
    <n v="0.42159999999999997"/>
    <n v="1"/>
    <n v="-36"/>
    <n v="216"/>
  </r>
  <r>
    <x v="54"/>
    <s v="conventional_default_dq_cltv_29"/>
    <x v="69"/>
    <n v="0.42202499999999998"/>
    <n v="1"/>
    <n v="-36"/>
    <n v="216"/>
  </r>
  <r>
    <x v="54"/>
    <s v="conventional_default_dq_cltv_30"/>
    <x v="70"/>
    <n v="0.42249999999999999"/>
    <n v="1"/>
    <n v="-36"/>
    <n v="216"/>
  </r>
  <r>
    <x v="54"/>
    <s v="conventional_default_dq_cltv_31"/>
    <x v="71"/>
    <n v="0.42302499999999998"/>
    <n v="1"/>
    <n v="-36"/>
    <n v="216"/>
  </r>
  <r>
    <x v="54"/>
    <s v="conventional_default_dq_cltv_32"/>
    <x v="72"/>
    <n v="0.42359999999999998"/>
    <n v="1"/>
    <n v="-36"/>
    <n v="216"/>
  </r>
  <r>
    <x v="54"/>
    <s v="conventional_default_dq_cltv_33"/>
    <x v="73"/>
    <n v="0.42422500000000002"/>
    <n v="1"/>
    <n v="-36"/>
    <n v="216"/>
  </r>
  <r>
    <x v="54"/>
    <s v="conventional_default_dq_cltv_34"/>
    <x v="74"/>
    <n v="0.4249"/>
    <n v="1"/>
    <n v="-36"/>
    <n v="216"/>
  </r>
  <r>
    <x v="54"/>
    <s v="conventional_default_dq_cltv_35"/>
    <x v="75"/>
    <n v="0.42562499999999998"/>
    <n v="1"/>
    <n v="-36"/>
    <n v="216"/>
  </r>
  <r>
    <x v="54"/>
    <s v="conventional_default_dq_cltv_36"/>
    <x v="76"/>
    <n v="0.4264"/>
    <n v="1"/>
    <n v="-36"/>
    <n v="216"/>
  </r>
  <r>
    <x v="54"/>
    <s v="conventional_default_dq_cltv_37"/>
    <x v="77"/>
    <n v="0.42722500000000002"/>
    <n v="1"/>
    <n v="-36"/>
    <n v="216"/>
  </r>
  <r>
    <x v="54"/>
    <s v="conventional_default_dq_cltv_38"/>
    <x v="78"/>
    <n v="0.42809999999999998"/>
    <n v="1"/>
    <n v="-36"/>
    <n v="216"/>
  </r>
  <r>
    <x v="54"/>
    <s v="conventional_default_dq_cltv_39"/>
    <x v="79"/>
    <n v="0.42902499999999999"/>
    <n v="1"/>
    <n v="-36"/>
    <n v="216"/>
  </r>
  <r>
    <x v="54"/>
    <s v="conventional_default_dq_cltv_40"/>
    <x v="80"/>
    <n v="0.43"/>
    <n v="1"/>
    <n v="-36"/>
    <n v="216"/>
  </r>
  <r>
    <x v="54"/>
    <s v="conventional_default_dq_cltv_41"/>
    <x v="81"/>
    <n v="0.43097750000000001"/>
    <n v="1"/>
    <n v="-36"/>
    <n v="216"/>
  </r>
  <r>
    <x v="54"/>
    <s v="conventional_default_dq_cltv_42"/>
    <x v="82"/>
    <n v="0.43192000000000003"/>
    <n v="1"/>
    <n v="-36"/>
    <n v="216"/>
  </r>
  <r>
    <x v="54"/>
    <s v="conventional_default_dq_cltv_43"/>
    <x v="83"/>
    <n v="0.43284250000000002"/>
    <n v="1"/>
    <n v="-36"/>
    <n v="216"/>
  </r>
  <r>
    <x v="54"/>
    <s v="conventional_default_dq_cltv_44"/>
    <x v="84"/>
    <n v="0.43375999999999998"/>
    <n v="1"/>
    <n v="-36"/>
    <n v="216"/>
  </r>
  <r>
    <x v="54"/>
    <s v="conventional_default_dq_cltv_45"/>
    <x v="85"/>
    <n v="0.4346875"/>
    <n v="1"/>
    <n v="-36"/>
    <n v="216"/>
  </r>
  <r>
    <x v="54"/>
    <s v="conventional_default_dq_cltv_46"/>
    <x v="86"/>
    <n v="0.43564000000000003"/>
    <n v="1"/>
    <n v="-36"/>
    <n v="216"/>
  </r>
  <r>
    <x v="54"/>
    <s v="conventional_default_dq_cltv_47"/>
    <x v="87"/>
    <n v="0.43663249999999998"/>
    <n v="1"/>
    <n v="-36"/>
    <n v="216"/>
  </r>
  <r>
    <x v="54"/>
    <s v="conventional_default_dq_cltv_48"/>
    <x v="88"/>
    <n v="0.43768000000000001"/>
    <n v="1"/>
    <n v="-36"/>
    <n v="216"/>
  </r>
  <r>
    <x v="54"/>
    <s v="conventional_default_dq_cltv_49"/>
    <x v="89"/>
    <n v="0.43879750000000001"/>
    <n v="1"/>
    <n v="-36"/>
    <n v="216"/>
  </r>
  <r>
    <x v="54"/>
    <s v="conventional_default_dq_cltv_50"/>
    <x v="90"/>
    <n v="0.44"/>
    <n v="1"/>
    <n v="-36"/>
    <n v="216"/>
  </r>
  <r>
    <x v="54"/>
    <s v="conventional_default_dq_cltv_51"/>
    <x v="91"/>
    <n v="0.44130249999999999"/>
    <n v="1"/>
    <n v="-36"/>
    <n v="216"/>
  </r>
  <r>
    <x v="54"/>
    <s v="conventional_default_dq_cltv_52"/>
    <x v="92"/>
    <n v="0.44272"/>
    <n v="1"/>
    <n v="-36"/>
    <n v="216"/>
  </r>
  <r>
    <x v="54"/>
    <s v="conventional_default_dq_cltv_53"/>
    <x v="93"/>
    <n v="0.44426749999999998"/>
    <n v="1"/>
    <n v="-36"/>
    <n v="216"/>
  </r>
  <r>
    <x v="54"/>
    <s v="conventional_default_dq_cltv_54"/>
    <x v="94"/>
    <n v="0.44596000000000002"/>
    <n v="1"/>
    <n v="-36"/>
    <n v="216"/>
  </r>
  <r>
    <x v="54"/>
    <s v="conventional_default_dq_cltv_55"/>
    <x v="95"/>
    <n v="0.4478125"/>
    <n v="1"/>
    <n v="-36"/>
    <n v="216"/>
  </r>
  <r>
    <x v="54"/>
    <s v="conventional_default_dq_cltv_56"/>
    <x v="96"/>
    <n v="0.44984000000000002"/>
    <n v="1"/>
    <n v="-36"/>
    <n v="216"/>
  </r>
  <r>
    <x v="54"/>
    <s v="conventional_default_dq_cltv_57"/>
    <x v="97"/>
    <n v="0.4520575"/>
    <n v="1"/>
    <n v="-36"/>
    <n v="216"/>
  </r>
  <r>
    <x v="54"/>
    <s v="conventional_default_dq_cltv_58"/>
    <x v="98"/>
    <n v="0.45448"/>
    <n v="1"/>
    <n v="-36"/>
    <n v="216"/>
  </r>
  <r>
    <x v="54"/>
    <s v="conventional_default_dq_cltv_59"/>
    <x v="99"/>
    <n v="0.45712249999999999"/>
    <n v="1"/>
    <n v="-36"/>
    <n v="216"/>
  </r>
  <r>
    <x v="54"/>
    <s v="conventional_default_dq_cltv_60"/>
    <x v="100"/>
    <n v="0.46"/>
    <n v="1"/>
    <n v="-36"/>
    <n v="216"/>
  </r>
  <r>
    <x v="54"/>
    <s v="conventional_default_dq_cltv_61"/>
    <x v="101"/>
    <n v="0.46296812500000001"/>
    <n v="1"/>
    <n v="-36"/>
    <n v="216"/>
  </r>
  <r>
    <x v="54"/>
    <s v="conventional_default_dq_cltv_62"/>
    <x v="102"/>
    <n v="0.465895"/>
    <n v="1"/>
    <n v="-36"/>
    <n v="216"/>
  </r>
  <r>
    <x v="54"/>
    <s v="conventional_default_dq_cltv_63"/>
    <x v="103"/>
    <n v="0.46881437500000001"/>
    <n v="1"/>
    <n v="-36"/>
    <n v="216"/>
  </r>
  <r>
    <x v="54"/>
    <s v="conventional_default_dq_cltv_64"/>
    <x v="104"/>
    <n v="0.47176000000000001"/>
    <n v="1"/>
    <n v="-36"/>
    <n v="216"/>
  </r>
  <r>
    <x v="54"/>
    <s v="conventional_default_dq_cltv_65"/>
    <x v="105"/>
    <n v="0.47476562500000002"/>
    <n v="1"/>
    <n v="-36"/>
    <n v="216"/>
  </r>
  <r>
    <x v="54"/>
    <s v="conventional_default_dq_cltv_66"/>
    <x v="106"/>
    <n v="0.47786499999999998"/>
    <n v="1"/>
    <n v="-36"/>
    <n v="216"/>
  </r>
  <r>
    <x v="54"/>
    <s v="conventional_default_dq_cltv_67"/>
    <x v="107"/>
    <n v="0.481091875"/>
    <n v="1"/>
    <n v="-36"/>
    <n v="216"/>
  </r>
  <r>
    <x v="54"/>
    <s v="conventional_default_dq_cltv_68"/>
    <x v="108"/>
    <n v="0.48448000000000002"/>
    <n v="1"/>
    <n v="-36"/>
    <n v="216"/>
  </r>
  <r>
    <x v="54"/>
    <s v="conventional_default_dq_cltv_69"/>
    <x v="109"/>
    <n v="0.48806312499999999"/>
    <n v="1"/>
    <n v="-36"/>
    <n v="216"/>
  </r>
  <r>
    <x v="54"/>
    <s v="conventional_default_dq_cltv_70"/>
    <x v="110"/>
    <n v="0.49187500000000001"/>
    <n v="1"/>
    <n v="-36"/>
    <n v="216"/>
  </r>
  <r>
    <x v="54"/>
    <s v="conventional_default_dq_cltv_71"/>
    <x v="111"/>
    <n v="0.49594937500000003"/>
    <n v="1"/>
    <n v="-36"/>
    <n v="216"/>
  </r>
  <r>
    <x v="54"/>
    <s v="conventional_default_dq_cltv_72"/>
    <x v="112"/>
    <n v="0.50031999999999999"/>
    <n v="1"/>
    <n v="-36"/>
    <n v="216"/>
  </r>
  <r>
    <x v="54"/>
    <s v="conventional_default_dq_cltv_73"/>
    <x v="113"/>
    <n v="0.505020625"/>
    <n v="1"/>
    <n v="-36"/>
    <n v="216"/>
  </r>
  <r>
    <x v="54"/>
    <s v="conventional_default_dq_cltv_74"/>
    <x v="114"/>
    <n v="0.51008500000000001"/>
    <n v="1"/>
    <n v="-36"/>
    <n v="216"/>
  </r>
  <r>
    <x v="54"/>
    <s v="conventional_default_dq_cltv_75"/>
    <x v="115"/>
    <n v="0.51554687499999996"/>
    <n v="1"/>
    <n v="-36"/>
    <n v="216"/>
  </r>
  <r>
    <x v="54"/>
    <s v="conventional_default_dq_cltv_76"/>
    <x v="116"/>
    <n v="0.52144000000000001"/>
    <n v="1"/>
    <n v="-36"/>
    <n v="216"/>
  </r>
  <r>
    <x v="54"/>
    <s v="conventional_default_dq_cltv_77"/>
    <x v="117"/>
    <n v="0.52779812500000001"/>
    <n v="1"/>
    <n v="-36"/>
    <n v="216"/>
  </r>
  <r>
    <x v="54"/>
    <s v="conventional_default_dq_cltv_78"/>
    <x v="118"/>
    <n v="0.53465499999999999"/>
    <n v="1"/>
    <n v="-36"/>
    <n v="216"/>
  </r>
  <r>
    <x v="54"/>
    <s v="conventional_default_dq_cltv_79"/>
    <x v="119"/>
    <n v="0.54204437500000002"/>
    <n v="1"/>
    <n v="-36"/>
    <n v="216"/>
  </r>
  <r>
    <x v="54"/>
    <s v="conventional_default_dq_cltv_80"/>
    <x v="120"/>
    <n v="0.55000000000000004"/>
    <n v="1"/>
    <n v="-36"/>
    <n v="216"/>
  </r>
  <r>
    <x v="54"/>
    <s v="conventional_default_dq_cltv_81"/>
    <x v="121"/>
    <n v="0.55874625"/>
    <n v="1"/>
    <n v="-36"/>
    <n v="216"/>
  </r>
  <r>
    <x v="54"/>
    <s v="conventional_default_dq_cltv_82"/>
    <x v="122"/>
    <n v="0.56842000000000004"/>
    <n v="1"/>
    <n v="-36"/>
    <n v="216"/>
  </r>
  <r>
    <x v="54"/>
    <s v="conventional_default_dq_cltv_83"/>
    <x v="123"/>
    <n v="0.57892374999999996"/>
    <n v="1"/>
    <n v="-36"/>
    <n v="216"/>
  </r>
  <r>
    <x v="54"/>
    <s v="conventional_default_dq_cltv_84"/>
    <x v="124"/>
    <n v="0.59016000000000002"/>
    <n v="1"/>
    <n v="-36"/>
    <n v="216"/>
  </r>
  <r>
    <x v="54"/>
    <s v="conventional_default_dq_cltv_85"/>
    <x v="125"/>
    <n v="0.60203125000000002"/>
    <n v="1"/>
    <n v="-36"/>
    <n v="216"/>
  </r>
  <r>
    <x v="54"/>
    <s v="conventional_default_dq_cltv_86"/>
    <x v="126"/>
    <n v="0.61443999999999999"/>
    <n v="1"/>
    <n v="-36"/>
    <n v="216"/>
  </r>
  <r>
    <x v="54"/>
    <s v="conventional_default_dq_cltv_87"/>
    <x v="127"/>
    <n v="0.62728874999999995"/>
    <n v="1"/>
    <n v="-36"/>
    <n v="216"/>
  </r>
  <r>
    <x v="54"/>
    <s v="conventional_default_dq_cltv_88"/>
    <x v="128"/>
    <n v="0.64048000000000005"/>
    <n v="1"/>
    <n v="-36"/>
    <n v="216"/>
  </r>
  <r>
    <x v="54"/>
    <s v="conventional_default_dq_cltv_89"/>
    <x v="129"/>
    <n v="0.65391624999999998"/>
    <n v="1"/>
    <n v="-36"/>
    <n v="216"/>
  </r>
  <r>
    <x v="54"/>
    <s v="conventional_default_dq_cltv_90"/>
    <x v="130"/>
    <n v="0.66749999999999998"/>
    <n v="1"/>
    <n v="-36"/>
    <n v="216"/>
  </r>
  <r>
    <x v="54"/>
    <s v="conventional_default_dq_cltv_91"/>
    <x v="131"/>
    <n v="0.68113374999999998"/>
    <n v="1"/>
    <n v="-36"/>
    <n v="216"/>
  </r>
  <r>
    <x v="54"/>
    <s v="conventional_default_dq_cltv_92"/>
    <x v="132"/>
    <n v="0.69472"/>
    <n v="1"/>
    <n v="-36"/>
    <n v="216"/>
  </r>
  <r>
    <x v="54"/>
    <s v="conventional_default_dq_cltv_93"/>
    <x v="133"/>
    <n v="0.70816124999999996"/>
    <n v="1"/>
    <n v="-36"/>
    <n v="216"/>
  </r>
  <r>
    <x v="54"/>
    <s v="conventional_default_dq_cltv_94"/>
    <x v="134"/>
    <n v="0.72136"/>
    <n v="1"/>
    <n v="-36"/>
    <n v="216"/>
  </r>
  <r>
    <x v="54"/>
    <s v="conventional_default_dq_cltv_95"/>
    <x v="135"/>
    <n v="0.73421875000000003"/>
    <n v="1"/>
    <n v="-36"/>
    <n v="216"/>
  </r>
  <r>
    <x v="54"/>
    <s v="conventional_default_dq_cltv_96"/>
    <x v="136"/>
    <n v="0.74663999999999997"/>
    <n v="1"/>
    <n v="-36"/>
    <n v="216"/>
  </r>
  <r>
    <x v="54"/>
    <s v="conventional_default_dq_cltv_97"/>
    <x v="137"/>
    <n v="0.75852624999999996"/>
    <n v="1"/>
    <n v="-36"/>
    <n v="216"/>
  </r>
  <r>
    <x v="54"/>
    <s v="conventional_default_dq_cltv_98"/>
    <x v="138"/>
    <n v="0.76978000000000002"/>
    <n v="1"/>
    <n v="-36"/>
    <n v="216"/>
  </r>
  <r>
    <x v="54"/>
    <s v="conventional_default_dq_cltv_99"/>
    <x v="139"/>
    <n v="0.78030374999999996"/>
    <n v="1"/>
    <n v="-36"/>
    <n v="216"/>
  </r>
  <r>
    <x v="54"/>
    <s v="conventional_default_dq_cltv_100"/>
    <x v="140"/>
    <n v="0.79"/>
    <n v="1"/>
    <n v="-36"/>
    <n v="216"/>
  </r>
  <r>
    <x v="54"/>
    <s v="conventional_default_dq_cltv_101"/>
    <x v="141"/>
    <n v="0.79899374999999995"/>
    <n v="1"/>
    <n v="-36"/>
    <n v="216"/>
  </r>
  <r>
    <x v="54"/>
    <s v="conventional_default_dq_cltv_102"/>
    <x v="142"/>
    <n v="0.8075"/>
    <n v="1"/>
    <n v="-36"/>
    <n v="216"/>
  </r>
  <r>
    <x v="54"/>
    <s v="conventional_default_dq_cltv_103"/>
    <x v="143"/>
    <n v="0.81555624999999998"/>
    <n v="1"/>
    <n v="-36"/>
    <n v="216"/>
  </r>
  <r>
    <x v="54"/>
    <s v="conventional_default_dq_cltv_104"/>
    <x v="144"/>
    <n v="0.82320000000000004"/>
    <n v="1"/>
    <n v="-36"/>
    <n v="216"/>
  </r>
  <r>
    <x v="54"/>
    <s v="conventional_default_dq_cltv_105"/>
    <x v="145"/>
    <n v="0.83046874999999998"/>
    <n v="1"/>
    <n v="-36"/>
    <n v="216"/>
  </r>
  <r>
    <x v="54"/>
    <s v="conventional_default_dq_cltv_106"/>
    <x v="146"/>
    <n v="0.83740000000000003"/>
    <n v="1"/>
    <n v="-36"/>
    <n v="216"/>
  </r>
  <r>
    <x v="54"/>
    <s v="conventional_default_dq_cltv_107"/>
    <x v="147"/>
    <n v="0.84403125000000001"/>
    <n v="1"/>
    <n v="-36"/>
    <n v="216"/>
  </r>
  <r>
    <x v="54"/>
    <s v="conventional_default_dq_cltv_108"/>
    <x v="148"/>
    <n v="0.85040000000000004"/>
    <n v="1"/>
    <n v="-36"/>
    <n v="216"/>
  </r>
  <r>
    <x v="54"/>
    <s v="conventional_default_dq_cltv_109"/>
    <x v="149"/>
    <n v="0.85654375000000005"/>
    <n v="1"/>
    <n v="-36"/>
    <n v="216"/>
  </r>
  <r>
    <x v="54"/>
    <s v="conventional_default_dq_cltv_110"/>
    <x v="150"/>
    <n v="0.86250000000000004"/>
    <n v="1"/>
    <n v="-36"/>
    <n v="216"/>
  </r>
  <r>
    <x v="54"/>
    <s v="conventional_default_dq_cltv_111"/>
    <x v="151"/>
    <n v="0.86830624999999995"/>
    <n v="1"/>
    <n v="-36"/>
    <n v="216"/>
  </r>
  <r>
    <x v="54"/>
    <s v="conventional_default_dq_cltv_112"/>
    <x v="152"/>
    <n v="0.874"/>
    <n v="1"/>
    <n v="-36"/>
    <n v="216"/>
  </r>
  <r>
    <x v="54"/>
    <s v="conventional_default_dq_cltv_113"/>
    <x v="153"/>
    <n v="0.87961875"/>
    <n v="1"/>
    <n v="-36"/>
    <n v="216"/>
  </r>
  <r>
    <x v="54"/>
    <s v="conventional_default_dq_cltv_114"/>
    <x v="154"/>
    <n v="0.88519999999999999"/>
    <n v="1"/>
    <n v="-36"/>
    <n v="216"/>
  </r>
  <r>
    <x v="54"/>
    <s v="conventional_default_dq_cltv_115"/>
    <x v="155"/>
    <n v="0.89078124999999997"/>
    <n v="1"/>
    <n v="-36"/>
    <n v="216"/>
  </r>
  <r>
    <x v="54"/>
    <s v="conventional_default_dq_cltv_116"/>
    <x v="156"/>
    <n v="0.89639999999999997"/>
    <n v="1"/>
    <n v="-36"/>
    <n v="216"/>
  </r>
  <r>
    <x v="54"/>
    <s v="conventional_default_dq_cltv_117"/>
    <x v="157"/>
    <n v="0.90209375000000003"/>
    <n v="1"/>
    <n v="-36"/>
    <n v="216"/>
  </r>
  <r>
    <x v="54"/>
    <s v="conventional_default_dq_cltv_118"/>
    <x v="158"/>
    <n v="0.90790000000000004"/>
    <n v="1"/>
    <n v="-36"/>
    <n v="216"/>
  </r>
  <r>
    <x v="54"/>
    <s v="conventional_default_dq_cltv_119"/>
    <x v="159"/>
    <n v="0.91385625000000004"/>
    <n v="1"/>
    <n v="-36"/>
    <n v="216"/>
  </r>
  <r>
    <x v="54"/>
    <s v="conventional_default_dq_cltv_120"/>
    <x v="160"/>
    <n v="0.92"/>
    <n v="1"/>
    <n v="-36"/>
    <n v="216"/>
  </r>
  <r>
    <x v="54"/>
    <s v="conventional_default_dq_cltv_121"/>
    <x v="161"/>
    <n v="0.92623750000000005"/>
    <n v="1"/>
    <n v="-36"/>
    <n v="216"/>
  </r>
  <r>
    <x v="54"/>
    <s v="conventional_default_dq_cltv_122"/>
    <x v="162"/>
    <n v="0.93245"/>
    <n v="1"/>
    <n v="-36"/>
    <n v="216"/>
  </r>
  <r>
    <x v="54"/>
    <s v="conventional_default_dq_cltv_123"/>
    <x v="163"/>
    <n v="0.93863750000000001"/>
    <n v="1"/>
    <n v="-36"/>
    <n v="216"/>
  </r>
  <r>
    <x v="54"/>
    <s v="conventional_default_dq_cltv_124"/>
    <x v="164"/>
    <n v="0.94479999999999997"/>
    <n v="1"/>
    <n v="-36"/>
    <n v="216"/>
  </r>
  <r>
    <x v="54"/>
    <s v="conventional_default_dq_cltv_125"/>
    <x v="165"/>
    <n v="0.95093749999999999"/>
    <n v="1"/>
    <n v="-36"/>
    <n v="216"/>
  </r>
  <r>
    <x v="54"/>
    <s v="conventional_default_dq_cltv_126"/>
    <x v="166"/>
    <n v="0.95704999999999996"/>
    <n v="1"/>
    <n v="-36"/>
    <n v="216"/>
  </r>
  <r>
    <x v="54"/>
    <s v="conventional_default_dq_cltv_127"/>
    <x v="167"/>
    <n v="0.96313749999999998"/>
    <n v="1"/>
    <n v="-36"/>
    <n v="216"/>
  </r>
  <r>
    <x v="54"/>
    <s v="conventional_default_dq_cltv_128"/>
    <x v="168"/>
    <n v="0.96919999999999995"/>
    <n v="1"/>
    <n v="-36"/>
    <n v="216"/>
  </r>
  <r>
    <x v="54"/>
    <s v="conventional_default_dq_cltv_129"/>
    <x v="169"/>
    <n v="0.97523749999999998"/>
    <n v="1"/>
    <n v="-36"/>
    <n v="216"/>
  </r>
  <r>
    <x v="54"/>
    <s v="conventional_default_dq_cltv_130"/>
    <x v="170"/>
    <n v="0.98124999999999996"/>
    <n v="1"/>
    <n v="-36"/>
    <n v="216"/>
  </r>
  <r>
    <x v="54"/>
    <s v="conventional_default_dq_cltv_131"/>
    <x v="171"/>
    <n v="0.98723749999999999"/>
    <n v="1"/>
    <n v="-36"/>
    <n v="216"/>
  </r>
  <r>
    <x v="54"/>
    <s v="conventional_default_dq_cltv_132"/>
    <x v="172"/>
    <n v="0.99319999999999997"/>
    <n v="1"/>
    <n v="-36"/>
    <n v="216"/>
  </r>
  <r>
    <x v="54"/>
    <s v="conventional_default_dq_cltv_133"/>
    <x v="173"/>
    <n v="0.99913750000000001"/>
    <n v="1"/>
    <n v="-36"/>
    <n v="216"/>
  </r>
  <r>
    <x v="54"/>
    <s v="conventional_default_dq_cltv_134"/>
    <x v="174"/>
    <n v="1.00505"/>
    <n v="1"/>
    <n v="-36"/>
    <n v="216"/>
  </r>
  <r>
    <x v="54"/>
    <s v="conventional_default_dq_cltv_135"/>
    <x v="175"/>
    <n v="1.0109375"/>
    <n v="1"/>
    <n v="-36"/>
    <n v="216"/>
  </r>
  <r>
    <x v="54"/>
    <s v="conventional_default_dq_cltv_136"/>
    <x v="176"/>
    <n v="1.0167999999999999"/>
    <n v="1"/>
    <n v="-36"/>
    <n v="216"/>
  </r>
  <r>
    <x v="54"/>
    <s v="conventional_default_dq_cltv_137"/>
    <x v="177"/>
    <n v="1.0226375000000001"/>
    <n v="1"/>
    <n v="-36"/>
    <n v="216"/>
  </r>
  <r>
    <x v="54"/>
    <s v="conventional_default_dq_cltv_138"/>
    <x v="178"/>
    <n v="1.0284500000000001"/>
    <n v="1"/>
    <n v="-36"/>
    <n v="216"/>
  </r>
  <r>
    <x v="54"/>
    <s v="conventional_default_dq_cltv_139"/>
    <x v="179"/>
    <n v="1.0342374999999999"/>
    <n v="1"/>
    <n v="-36"/>
    <n v="216"/>
  </r>
  <r>
    <x v="54"/>
    <s v="conventional_default_dq_cltv_140"/>
    <x v="180"/>
    <n v="1.04"/>
    <n v="1"/>
    <n v="-36"/>
    <n v="216"/>
  </r>
  <r>
    <x v="54"/>
    <s v="conventional_default_dq_cltv_141"/>
    <x v="181"/>
    <n v="1.045796875"/>
    <n v="1"/>
    <n v="-36"/>
    <n v="216"/>
  </r>
  <r>
    <x v="54"/>
    <s v="conventional_default_dq_cltv_142"/>
    <x v="182"/>
    <n v="1.0516749999999999"/>
    <n v="1"/>
    <n v="-36"/>
    <n v="216"/>
  </r>
  <r>
    <x v="54"/>
    <s v="conventional_default_dq_cltv_143"/>
    <x v="183"/>
    <n v="1.0576156249999999"/>
    <n v="1"/>
    <n v="-36"/>
    <n v="216"/>
  </r>
  <r>
    <x v="54"/>
    <s v="conventional_default_dq_cltv_144"/>
    <x v="184"/>
    <n v="1.0636000000000001"/>
    <n v="1"/>
    <n v="-36"/>
    <n v="216"/>
  </r>
  <r>
    <x v="54"/>
    <s v="conventional_default_dq_cltv_145"/>
    <x v="185"/>
    <n v="1.069609375"/>
    <n v="1"/>
    <n v="-36"/>
    <n v="216"/>
  </r>
  <r>
    <x v="54"/>
    <s v="conventional_default_dq_cltv_146"/>
    <x v="186"/>
    <n v="1.0756250000000001"/>
    <n v="1"/>
    <n v="-36"/>
    <n v="216"/>
  </r>
  <r>
    <x v="54"/>
    <s v="conventional_default_dq_cltv_147"/>
    <x v="187"/>
    <n v="1.0816281249999999"/>
    <n v="1"/>
    <n v="-36"/>
    <n v="216"/>
  </r>
  <r>
    <x v="54"/>
    <s v="conventional_default_dq_cltv_148"/>
    <x v="188"/>
    <n v="1.0875999999999999"/>
    <n v="1"/>
    <n v="-36"/>
    <n v="216"/>
  </r>
  <r>
    <x v="54"/>
    <s v="conventional_default_dq_cltv_149"/>
    <x v="189"/>
    <n v="1.093521875"/>
    <n v="1"/>
    <n v="-36"/>
    <n v="216"/>
  </r>
  <r>
    <x v="54"/>
    <s v="conventional_default_dq_cltv_150"/>
    <x v="190"/>
    <n v="1.099375"/>
    <n v="1"/>
    <n v="-36"/>
    <n v="216"/>
  </r>
  <r>
    <x v="54"/>
    <s v="conventional_default_dq_cltv_151"/>
    <x v="191"/>
    <n v="1.105140625"/>
    <n v="1"/>
    <n v="-36"/>
    <n v="216"/>
  </r>
  <r>
    <x v="54"/>
    <s v="conventional_default_dq_cltv_152"/>
    <x v="192"/>
    <n v="1.1108"/>
    <n v="1"/>
    <n v="-36"/>
    <n v="216"/>
  </r>
  <r>
    <x v="54"/>
    <s v="conventional_default_dq_cltv_153"/>
    <x v="193"/>
    <n v="1.1163343750000001"/>
    <n v="1"/>
    <n v="-36"/>
    <n v="216"/>
  </r>
  <r>
    <x v="54"/>
    <s v="conventional_default_dq_cltv_154"/>
    <x v="194"/>
    <n v="1.1217250000000001"/>
    <n v="1"/>
    <n v="-36"/>
    <n v="216"/>
  </r>
  <r>
    <x v="54"/>
    <s v="conventional_default_dq_cltv_155"/>
    <x v="195"/>
    <n v="1.126953125"/>
    <n v="1"/>
    <n v="-36"/>
    <n v="216"/>
  </r>
  <r>
    <x v="54"/>
    <s v="conventional_default_dq_cltv_156"/>
    <x v="196"/>
    <n v="1.1319999999999999"/>
    <n v="1"/>
    <n v="-36"/>
    <n v="216"/>
  </r>
  <r>
    <x v="54"/>
    <s v="conventional_default_dq_cltv_157"/>
    <x v="197"/>
    <n v="1.136846875"/>
    <n v="1"/>
    <n v="-36"/>
    <n v="216"/>
  </r>
  <r>
    <x v="54"/>
    <s v="conventional_default_dq_cltv_158"/>
    <x v="198"/>
    <n v="1.141475"/>
    <n v="1"/>
    <n v="-36"/>
    <n v="216"/>
  </r>
  <r>
    <x v="54"/>
    <s v="conventional_default_dq_cltv_159"/>
    <x v="199"/>
    <n v="1.1458656250000001"/>
    <n v="1"/>
    <n v="-36"/>
    <n v="216"/>
  </r>
  <r>
    <x v="54"/>
    <s v="conventional_default_dq_cltv_160"/>
    <x v="200"/>
    <n v="1.1499999999999999"/>
    <n v="1"/>
    <n v="-36"/>
    <n v="216"/>
  </r>
  <r>
    <x v="54"/>
    <s v="conventional_default_dq_cltv_161"/>
    <x v="201"/>
    <n v="1.1538537499999999"/>
    <n v="1"/>
    <n v="-36"/>
    <n v="216"/>
  </r>
  <r>
    <x v="54"/>
    <s v="conventional_default_dq_cltv_162"/>
    <x v="202"/>
    <n v="1.15743"/>
    <n v="1"/>
    <n v="-36"/>
    <n v="216"/>
  </r>
  <r>
    <x v="54"/>
    <s v="conventional_default_dq_cltv_163"/>
    <x v="203"/>
    <n v="1.1607512499999999"/>
    <n v="1"/>
    <n v="-36"/>
    <n v="216"/>
  </r>
  <r>
    <x v="54"/>
    <s v="conventional_default_dq_cltv_164"/>
    <x v="204"/>
    <n v="1.16384"/>
    <n v="1"/>
    <n v="-36"/>
    <n v="216"/>
  </r>
  <r>
    <x v="54"/>
    <s v="conventional_default_dq_cltv_165"/>
    <x v="205"/>
    <n v="1.16671875"/>
    <n v="1"/>
    <n v="-36"/>
    <n v="216"/>
  </r>
  <r>
    <x v="54"/>
    <s v="conventional_default_dq_cltv_166"/>
    <x v="206"/>
    <n v="1.1694100000000001"/>
    <n v="1"/>
    <n v="-36"/>
    <n v="216"/>
  </r>
  <r>
    <x v="54"/>
    <s v="conventional_default_dq_cltv_167"/>
    <x v="207"/>
    <n v="1.1719362499999999"/>
    <n v="1"/>
    <n v="-36"/>
    <n v="216"/>
  </r>
  <r>
    <x v="54"/>
    <s v="conventional_default_dq_cltv_168"/>
    <x v="208"/>
    <n v="1.17432"/>
    <n v="1"/>
    <n v="-36"/>
    <n v="216"/>
  </r>
  <r>
    <x v="54"/>
    <s v="conventional_default_dq_cltv_169"/>
    <x v="209"/>
    <n v="1.17658375"/>
    <n v="1"/>
    <n v="-36"/>
    <n v="216"/>
  </r>
  <r>
    <x v="54"/>
    <s v="conventional_default_dq_cltv_170"/>
    <x v="210"/>
    <n v="1.17875"/>
    <n v="1"/>
    <n v="-36"/>
    <n v="216"/>
  </r>
  <r>
    <x v="54"/>
    <s v="conventional_default_dq_cltv_171"/>
    <x v="211"/>
    <n v="1.1808412500000001"/>
    <n v="1"/>
    <n v="-36"/>
    <n v="216"/>
  </r>
  <r>
    <x v="54"/>
    <s v="conventional_default_dq_cltv_172"/>
    <x v="212"/>
    <n v="1.1828799999999999"/>
    <n v="1"/>
    <n v="-36"/>
    <n v="216"/>
  </r>
  <r>
    <x v="54"/>
    <s v="conventional_default_dq_cltv_173"/>
    <x v="213"/>
    <n v="1.18488875"/>
    <n v="1"/>
    <n v="-36"/>
    <n v="216"/>
  </r>
  <r>
    <x v="54"/>
    <s v="conventional_default_dq_cltv_174"/>
    <x v="214"/>
    <n v="1.18689"/>
    <n v="1"/>
    <n v="-36"/>
    <n v="216"/>
  </r>
  <r>
    <x v="54"/>
    <s v="conventional_default_dq_cltv_175"/>
    <x v="215"/>
    <n v="1.1889062500000001"/>
    <n v="1"/>
    <n v="-36"/>
    <n v="216"/>
  </r>
  <r>
    <x v="54"/>
    <s v="conventional_default_dq_cltv_176"/>
    <x v="216"/>
    <n v="1.19096"/>
    <n v="1"/>
    <n v="-36"/>
    <n v="216"/>
  </r>
  <r>
    <x v="54"/>
    <s v="conventional_default_dq_cltv_177"/>
    <x v="217"/>
    <n v="1.1930737499999999"/>
    <n v="1"/>
    <n v="-36"/>
    <n v="216"/>
  </r>
  <r>
    <x v="54"/>
    <s v="conventional_default_dq_cltv_178"/>
    <x v="218"/>
    <n v="1.1952700000000001"/>
    <n v="1"/>
    <n v="-36"/>
    <n v="216"/>
  </r>
  <r>
    <x v="54"/>
    <s v="conventional_default_dq_cltv_179"/>
    <x v="219"/>
    <n v="1.19757125"/>
    <n v="1"/>
    <n v="-36"/>
    <n v="216"/>
  </r>
  <r>
    <x v="54"/>
    <s v="conventional_default_dq_cltv_180"/>
    <x v="220"/>
    <n v="1.2"/>
    <n v="1"/>
    <n v="-36"/>
    <n v="216"/>
  </r>
  <r>
    <x v="54"/>
    <s v="conventional_default_dq_cltv_181"/>
    <x v="221"/>
    <n v="1.2024999999999999"/>
    <n v="1"/>
    <n v="-36"/>
    <n v="216"/>
  </r>
  <r>
    <x v="54"/>
    <s v="conventional_default_dq_cltv_182"/>
    <x v="222"/>
    <n v="1.2050000000000001"/>
    <n v="1"/>
    <n v="-36"/>
    <n v="216"/>
  </r>
  <r>
    <x v="54"/>
    <s v="conventional_default_dq_cltv_183"/>
    <x v="223"/>
    <n v="1.2075"/>
    <n v="1"/>
    <n v="-36"/>
    <n v="216"/>
  </r>
  <r>
    <x v="54"/>
    <s v="conventional_default_dq_cltv_184"/>
    <x v="224"/>
    <n v="1.21"/>
    <n v="1"/>
    <n v="-36"/>
    <n v="216"/>
  </r>
  <r>
    <x v="54"/>
    <s v="conventional_default_dq_cltv_185"/>
    <x v="225"/>
    <n v="1.2124999999999999"/>
    <n v="1"/>
    <n v="-36"/>
    <n v="216"/>
  </r>
  <r>
    <x v="54"/>
    <s v="conventional_default_dq_cltv_186"/>
    <x v="226"/>
    <n v="1.2150000000000001"/>
    <n v="1"/>
    <n v="-36"/>
    <n v="216"/>
  </r>
  <r>
    <x v="54"/>
    <s v="conventional_default_dq_cltv_187"/>
    <x v="227"/>
    <n v="1.2175"/>
    <n v="1"/>
    <n v="-36"/>
    <n v="216"/>
  </r>
  <r>
    <x v="54"/>
    <s v="conventional_default_dq_cltv_188"/>
    <x v="228"/>
    <n v="1.22"/>
    <n v="1"/>
    <n v="-36"/>
    <n v="216"/>
  </r>
  <r>
    <x v="54"/>
    <s v="conventional_default_dq_cltv_189"/>
    <x v="229"/>
    <n v="1.2224999999999999"/>
    <n v="1"/>
    <n v="-36"/>
    <n v="216"/>
  </r>
  <r>
    <x v="54"/>
    <s v="conventional_default_dq_cltv_190"/>
    <x v="230"/>
    <n v="1.2250000000000001"/>
    <n v="1"/>
    <n v="-36"/>
    <n v="216"/>
  </r>
  <r>
    <x v="54"/>
    <s v="conventional_default_dq_cltv_191"/>
    <x v="231"/>
    <n v="1.2275"/>
    <n v="1"/>
    <n v="-36"/>
    <n v="216"/>
  </r>
  <r>
    <x v="54"/>
    <s v="conventional_default_dq_cltv_192"/>
    <x v="232"/>
    <n v="1.23"/>
    <n v="1"/>
    <n v="-36"/>
    <n v="216"/>
  </r>
  <r>
    <x v="54"/>
    <s v="conventional_default_dq_cltv_193"/>
    <x v="233"/>
    <n v="1.2324999999999999"/>
    <n v="1"/>
    <n v="-36"/>
    <n v="216"/>
  </r>
  <r>
    <x v="54"/>
    <s v="conventional_default_dq_cltv_194"/>
    <x v="234"/>
    <n v="1.2350000000000001"/>
    <n v="1"/>
    <n v="-36"/>
    <n v="216"/>
  </r>
  <r>
    <x v="54"/>
    <s v="conventional_default_dq_cltv_195"/>
    <x v="235"/>
    <n v="1.2375"/>
    <n v="1"/>
    <n v="-36"/>
    <n v="216"/>
  </r>
  <r>
    <x v="54"/>
    <s v="conventional_default_dq_cltv_196"/>
    <x v="236"/>
    <n v="1.24"/>
    <n v="1"/>
    <n v="-36"/>
    <n v="216"/>
  </r>
  <r>
    <x v="54"/>
    <s v="conventional_default_dq_cltv_197"/>
    <x v="237"/>
    <n v="1.2424999999999999"/>
    <n v="1"/>
    <n v="-36"/>
    <n v="216"/>
  </r>
  <r>
    <x v="54"/>
    <s v="conventional_default_dq_cltv_198"/>
    <x v="238"/>
    <n v="1.2450000000000001"/>
    <n v="1"/>
    <n v="-36"/>
    <n v="216"/>
  </r>
  <r>
    <x v="54"/>
    <s v="conventional_default_dq_cltv_199"/>
    <x v="239"/>
    <n v="1.2475000000000001"/>
    <n v="1"/>
    <n v="-36"/>
    <n v="216"/>
  </r>
  <r>
    <x v="54"/>
    <s v="conventional_default_dq_cltv_200"/>
    <x v="240"/>
    <n v="1.25"/>
    <n v="1"/>
    <n v="-36"/>
    <n v="216"/>
  </r>
  <r>
    <x v="54"/>
    <s v="conventional_default_dq_cltv_201"/>
    <x v="241"/>
    <n v="1.2524999999999999"/>
    <n v="1"/>
    <n v="-36"/>
    <n v="216"/>
  </r>
  <r>
    <x v="54"/>
    <s v="conventional_default_dq_cltv_202"/>
    <x v="242"/>
    <n v="1.2549999999999999"/>
    <n v="1"/>
    <n v="-36"/>
    <n v="216"/>
  </r>
  <r>
    <x v="54"/>
    <s v="conventional_default_dq_cltv_203"/>
    <x v="243"/>
    <n v="1.2575000000000001"/>
    <n v="1"/>
    <n v="-36"/>
    <n v="216"/>
  </r>
  <r>
    <x v="54"/>
    <s v="conventional_default_dq_cltv_204"/>
    <x v="244"/>
    <n v="1.26"/>
    <n v="1"/>
    <n v="-36"/>
    <n v="216"/>
  </r>
  <r>
    <x v="54"/>
    <s v="conventional_default_dq_cltv_205"/>
    <x v="245"/>
    <n v="1.2625"/>
    <n v="1"/>
    <n v="-36"/>
    <n v="216"/>
  </r>
  <r>
    <x v="54"/>
    <s v="conventional_default_dq_cltv_206"/>
    <x v="246"/>
    <n v="1.2649999999999999"/>
    <n v="1"/>
    <n v="-36"/>
    <n v="216"/>
  </r>
  <r>
    <x v="54"/>
    <s v="conventional_default_dq_cltv_207"/>
    <x v="247"/>
    <n v="1.2675000000000001"/>
    <n v="1"/>
    <n v="-36"/>
    <n v="216"/>
  </r>
  <r>
    <x v="54"/>
    <s v="conventional_default_dq_cltv_208"/>
    <x v="248"/>
    <n v="1.27"/>
    <n v="1"/>
    <n v="-36"/>
    <n v="216"/>
  </r>
  <r>
    <x v="54"/>
    <s v="conventional_default_dq_cltv_209"/>
    <x v="249"/>
    <n v="1.2725"/>
    <n v="1"/>
    <n v="-36"/>
    <n v="216"/>
  </r>
  <r>
    <x v="54"/>
    <s v="conventional_default_dq_cltv_210"/>
    <x v="250"/>
    <n v="1.2749999999999999"/>
    <n v="1"/>
    <n v="-36"/>
    <n v="216"/>
  </r>
  <r>
    <x v="54"/>
    <s v="conventional_default_dq_cltv_211"/>
    <x v="251"/>
    <n v="1.2775000000000001"/>
    <n v="1"/>
    <n v="-36"/>
    <n v="216"/>
  </r>
  <r>
    <x v="54"/>
    <s v="conventional_default_dq_cltv_212"/>
    <x v="252"/>
    <n v="1.28"/>
    <n v="1"/>
    <n v="-36"/>
    <n v="216"/>
  </r>
  <r>
    <x v="54"/>
    <s v="conventional_default_dq_cltv_213"/>
    <x v="253"/>
    <n v="1.2825"/>
    <n v="1"/>
    <n v="-36"/>
    <n v="216"/>
  </r>
  <r>
    <x v="54"/>
    <s v="conventional_default_dq_cltv_214"/>
    <x v="254"/>
    <n v="1.2849999999999999"/>
    <n v="1"/>
    <n v="-36"/>
    <n v="216"/>
  </r>
  <r>
    <x v="54"/>
    <s v="conventional_default_dq_cltv_215"/>
    <x v="255"/>
    <n v="1.2875000000000001"/>
    <n v="1"/>
    <n v="-36"/>
    <n v="216"/>
  </r>
  <r>
    <x v="54"/>
    <s v="conventional_default_dq_cltv_216"/>
    <x v="256"/>
    <n v="1.29"/>
    <n v="1"/>
    <n v="-36"/>
    <n v="216"/>
  </r>
  <r>
    <x v="55"/>
    <s v="conventional_default_dq_fico_490"/>
    <x v="530"/>
    <n v="1"/>
    <n v="1"/>
    <n v="490"/>
    <n v="910"/>
  </r>
  <r>
    <x v="55"/>
    <s v="conventional_default_dq_fico_491"/>
    <x v="531"/>
    <n v="1"/>
    <n v="1"/>
    <n v="490"/>
    <n v="910"/>
  </r>
  <r>
    <x v="55"/>
    <s v="conventional_default_dq_fico_492"/>
    <x v="532"/>
    <n v="1"/>
    <n v="1"/>
    <n v="490"/>
    <n v="910"/>
  </r>
  <r>
    <x v="55"/>
    <s v="conventional_default_dq_fico_493"/>
    <x v="533"/>
    <n v="1"/>
    <n v="1"/>
    <n v="490"/>
    <n v="910"/>
  </r>
  <r>
    <x v="55"/>
    <s v="conventional_default_dq_fico_494"/>
    <x v="534"/>
    <n v="1"/>
    <n v="1"/>
    <n v="490"/>
    <n v="910"/>
  </r>
  <r>
    <x v="55"/>
    <s v="conventional_default_dq_fico_495"/>
    <x v="535"/>
    <n v="1"/>
    <n v="1"/>
    <n v="490"/>
    <n v="910"/>
  </r>
  <r>
    <x v="55"/>
    <s v="conventional_default_dq_fico_496"/>
    <x v="536"/>
    <n v="1"/>
    <n v="1"/>
    <n v="490"/>
    <n v="910"/>
  </r>
  <r>
    <x v="55"/>
    <s v="conventional_default_dq_fico_497"/>
    <x v="537"/>
    <n v="1"/>
    <n v="1"/>
    <n v="490"/>
    <n v="910"/>
  </r>
  <r>
    <x v="55"/>
    <s v="conventional_default_dq_fico_498"/>
    <x v="538"/>
    <n v="1"/>
    <n v="1"/>
    <n v="490"/>
    <n v="910"/>
  </r>
  <r>
    <x v="55"/>
    <s v="conventional_default_dq_fico_499"/>
    <x v="539"/>
    <n v="1"/>
    <n v="1"/>
    <n v="490"/>
    <n v="910"/>
  </r>
  <r>
    <x v="55"/>
    <s v="conventional_default_dq_fico_500"/>
    <x v="540"/>
    <n v="1"/>
    <n v="1"/>
    <n v="490"/>
    <n v="910"/>
  </r>
  <r>
    <x v="55"/>
    <s v="conventional_default_dq_fico_501"/>
    <x v="541"/>
    <n v="1"/>
    <n v="1"/>
    <n v="490"/>
    <n v="910"/>
  </r>
  <r>
    <x v="55"/>
    <s v="conventional_default_dq_fico_502"/>
    <x v="542"/>
    <n v="1"/>
    <n v="1"/>
    <n v="490"/>
    <n v="910"/>
  </r>
  <r>
    <x v="55"/>
    <s v="conventional_default_dq_fico_503"/>
    <x v="543"/>
    <n v="1"/>
    <n v="1"/>
    <n v="490"/>
    <n v="910"/>
  </r>
  <r>
    <x v="55"/>
    <s v="conventional_default_dq_fico_504"/>
    <x v="544"/>
    <n v="1"/>
    <n v="1"/>
    <n v="490"/>
    <n v="910"/>
  </r>
  <r>
    <x v="55"/>
    <s v="conventional_default_dq_fico_505"/>
    <x v="545"/>
    <n v="1"/>
    <n v="1"/>
    <n v="490"/>
    <n v="910"/>
  </r>
  <r>
    <x v="55"/>
    <s v="conventional_default_dq_fico_506"/>
    <x v="546"/>
    <n v="1"/>
    <n v="1"/>
    <n v="490"/>
    <n v="910"/>
  </r>
  <r>
    <x v="55"/>
    <s v="conventional_default_dq_fico_507"/>
    <x v="547"/>
    <n v="1"/>
    <n v="1"/>
    <n v="490"/>
    <n v="910"/>
  </r>
  <r>
    <x v="55"/>
    <s v="conventional_default_dq_fico_508"/>
    <x v="548"/>
    <n v="1"/>
    <n v="1"/>
    <n v="490"/>
    <n v="910"/>
  </r>
  <r>
    <x v="55"/>
    <s v="conventional_default_dq_fico_509"/>
    <x v="549"/>
    <n v="1"/>
    <n v="1"/>
    <n v="490"/>
    <n v="910"/>
  </r>
  <r>
    <x v="55"/>
    <s v="conventional_default_dq_fico_510"/>
    <x v="550"/>
    <n v="1"/>
    <n v="1"/>
    <n v="490"/>
    <n v="910"/>
  </r>
  <r>
    <x v="55"/>
    <s v="conventional_default_dq_fico_511"/>
    <x v="551"/>
    <n v="1"/>
    <n v="1"/>
    <n v="490"/>
    <n v="910"/>
  </r>
  <r>
    <x v="55"/>
    <s v="conventional_default_dq_fico_512"/>
    <x v="552"/>
    <n v="1"/>
    <n v="1"/>
    <n v="490"/>
    <n v="910"/>
  </r>
  <r>
    <x v="55"/>
    <s v="conventional_default_dq_fico_513"/>
    <x v="553"/>
    <n v="1"/>
    <n v="1"/>
    <n v="490"/>
    <n v="910"/>
  </r>
  <r>
    <x v="55"/>
    <s v="conventional_default_dq_fico_514"/>
    <x v="554"/>
    <n v="1"/>
    <n v="1"/>
    <n v="490"/>
    <n v="910"/>
  </r>
  <r>
    <x v="55"/>
    <s v="conventional_default_dq_fico_515"/>
    <x v="555"/>
    <n v="1"/>
    <n v="1"/>
    <n v="490"/>
    <n v="910"/>
  </r>
  <r>
    <x v="55"/>
    <s v="conventional_default_dq_fico_516"/>
    <x v="556"/>
    <n v="1"/>
    <n v="1"/>
    <n v="490"/>
    <n v="910"/>
  </r>
  <r>
    <x v="55"/>
    <s v="conventional_default_dq_fico_517"/>
    <x v="557"/>
    <n v="1"/>
    <n v="1"/>
    <n v="490"/>
    <n v="910"/>
  </r>
  <r>
    <x v="55"/>
    <s v="conventional_default_dq_fico_518"/>
    <x v="558"/>
    <n v="1"/>
    <n v="1"/>
    <n v="490"/>
    <n v="910"/>
  </r>
  <r>
    <x v="55"/>
    <s v="conventional_default_dq_fico_519"/>
    <x v="559"/>
    <n v="1"/>
    <n v="1"/>
    <n v="490"/>
    <n v="910"/>
  </r>
  <r>
    <x v="55"/>
    <s v="conventional_default_dq_fico_520"/>
    <x v="560"/>
    <n v="1"/>
    <n v="1"/>
    <n v="490"/>
    <n v="910"/>
  </r>
  <r>
    <x v="55"/>
    <s v="conventional_default_dq_fico_521"/>
    <x v="561"/>
    <n v="1"/>
    <n v="1"/>
    <n v="490"/>
    <n v="910"/>
  </r>
  <r>
    <x v="55"/>
    <s v="conventional_default_dq_fico_522"/>
    <x v="562"/>
    <n v="1"/>
    <n v="1"/>
    <n v="490"/>
    <n v="910"/>
  </r>
  <r>
    <x v="55"/>
    <s v="conventional_default_dq_fico_523"/>
    <x v="563"/>
    <n v="1"/>
    <n v="1"/>
    <n v="490"/>
    <n v="910"/>
  </r>
  <r>
    <x v="55"/>
    <s v="conventional_default_dq_fico_524"/>
    <x v="564"/>
    <n v="1"/>
    <n v="1"/>
    <n v="490"/>
    <n v="910"/>
  </r>
  <r>
    <x v="55"/>
    <s v="conventional_default_dq_fico_525"/>
    <x v="565"/>
    <n v="1"/>
    <n v="1"/>
    <n v="490"/>
    <n v="910"/>
  </r>
  <r>
    <x v="55"/>
    <s v="conventional_default_dq_fico_526"/>
    <x v="566"/>
    <n v="1"/>
    <n v="1"/>
    <n v="490"/>
    <n v="910"/>
  </r>
  <r>
    <x v="55"/>
    <s v="conventional_default_dq_fico_527"/>
    <x v="567"/>
    <n v="1"/>
    <n v="1"/>
    <n v="490"/>
    <n v="910"/>
  </r>
  <r>
    <x v="55"/>
    <s v="conventional_default_dq_fico_528"/>
    <x v="568"/>
    <n v="1"/>
    <n v="1"/>
    <n v="490"/>
    <n v="910"/>
  </r>
  <r>
    <x v="55"/>
    <s v="conventional_default_dq_fico_529"/>
    <x v="569"/>
    <n v="1"/>
    <n v="1"/>
    <n v="490"/>
    <n v="910"/>
  </r>
  <r>
    <x v="55"/>
    <s v="conventional_default_dq_fico_530"/>
    <x v="570"/>
    <n v="1"/>
    <n v="1"/>
    <n v="490"/>
    <n v="910"/>
  </r>
  <r>
    <x v="55"/>
    <s v="conventional_default_dq_fico_531"/>
    <x v="571"/>
    <n v="1"/>
    <n v="1"/>
    <n v="490"/>
    <n v="910"/>
  </r>
  <r>
    <x v="55"/>
    <s v="conventional_default_dq_fico_532"/>
    <x v="572"/>
    <n v="1"/>
    <n v="1"/>
    <n v="490"/>
    <n v="910"/>
  </r>
  <r>
    <x v="55"/>
    <s v="conventional_default_dq_fico_533"/>
    <x v="573"/>
    <n v="1"/>
    <n v="1"/>
    <n v="490"/>
    <n v="910"/>
  </r>
  <r>
    <x v="55"/>
    <s v="conventional_default_dq_fico_534"/>
    <x v="574"/>
    <n v="1"/>
    <n v="1"/>
    <n v="490"/>
    <n v="910"/>
  </r>
  <r>
    <x v="55"/>
    <s v="conventional_default_dq_fico_535"/>
    <x v="575"/>
    <n v="1"/>
    <n v="1"/>
    <n v="490"/>
    <n v="910"/>
  </r>
  <r>
    <x v="55"/>
    <s v="conventional_default_dq_fico_536"/>
    <x v="576"/>
    <n v="1"/>
    <n v="1"/>
    <n v="490"/>
    <n v="910"/>
  </r>
  <r>
    <x v="55"/>
    <s v="conventional_default_dq_fico_537"/>
    <x v="577"/>
    <n v="1"/>
    <n v="1"/>
    <n v="490"/>
    <n v="910"/>
  </r>
  <r>
    <x v="55"/>
    <s v="conventional_default_dq_fico_538"/>
    <x v="578"/>
    <n v="1"/>
    <n v="1"/>
    <n v="490"/>
    <n v="910"/>
  </r>
  <r>
    <x v="55"/>
    <s v="conventional_default_dq_fico_539"/>
    <x v="579"/>
    <n v="1"/>
    <n v="1"/>
    <n v="490"/>
    <n v="910"/>
  </r>
  <r>
    <x v="55"/>
    <s v="conventional_default_dq_fico_540"/>
    <x v="580"/>
    <n v="1"/>
    <n v="1"/>
    <n v="490"/>
    <n v="910"/>
  </r>
  <r>
    <x v="55"/>
    <s v="conventional_default_dq_fico_541"/>
    <x v="581"/>
    <n v="1"/>
    <n v="1"/>
    <n v="490"/>
    <n v="910"/>
  </r>
  <r>
    <x v="55"/>
    <s v="conventional_default_dq_fico_542"/>
    <x v="582"/>
    <n v="1"/>
    <n v="1"/>
    <n v="490"/>
    <n v="910"/>
  </r>
  <r>
    <x v="55"/>
    <s v="conventional_default_dq_fico_543"/>
    <x v="583"/>
    <n v="1"/>
    <n v="1"/>
    <n v="490"/>
    <n v="910"/>
  </r>
  <r>
    <x v="55"/>
    <s v="conventional_default_dq_fico_544"/>
    <x v="584"/>
    <n v="1"/>
    <n v="1"/>
    <n v="490"/>
    <n v="910"/>
  </r>
  <r>
    <x v="55"/>
    <s v="conventional_default_dq_fico_545"/>
    <x v="585"/>
    <n v="1"/>
    <n v="1"/>
    <n v="490"/>
    <n v="910"/>
  </r>
  <r>
    <x v="55"/>
    <s v="conventional_default_dq_fico_546"/>
    <x v="586"/>
    <n v="1"/>
    <n v="1"/>
    <n v="490"/>
    <n v="910"/>
  </r>
  <r>
    <x v="55"/>
    <s v="conventional_default_dq_fico_547"/>
    <x v="587"/>
    <n v="1"/>
    <n v="1"/>
    <n v="490"/>
    <n v="910"/>
  </r>
  <r>
    <x v="55"/>
    <s v="conventional_default_dq_fico_548"/>
    <x v="588"/>
    <n v="1"/>
    <n v="1"/>
    <n v="490"/>
    <n v="910"/>
  </r>
  <r>
    <x v="55"/>
    <s v="conventional_default_dq_fico_549"/>
    <x v="589"/>
    <n v="1"/>
    <n v="1"/>
    <n v="490"/>
    <n v="910"/>
  </r>
  <r>
    <x v="55"/>
    <s v="conventional_default_dq_fico_550"/>
    <x v="590"/>
    <n v="1"/>
    <n v="1"/>
    <n v="490"/>
    <n v="910"/>
  </r>
  <r>
    <x v="55"/>
    <s v="conventional_default_dq_fico_551"/>
    <x v="591"/>
    <n v="1"/>
    <n v="1"/>
    <n v="490"/>
    <n v="910"/>
  </r>
  <r>
    <x v="55"/>
    <s v="conventional_default_dq_fico_552"/>
    <x v="592"/>
    <n v="1"/>
    <n v="1"/>
    <n v="490"/>
    <n v="910"/>
  </r>
  <r>
    <x v="55"/>
    <s v="conventional_default_dq_fico_553"/>
    <x v="593"/>
    <n v="1"/>
    <n v="1"/>
    <n v="490"/>
    <n v="910"/>
  </r>
  <r>
    <x v="55"/>
    <s v="conventional_default_dq_fico_554"/>
    <x v="594"/>
    <n v="1"/>
    <n v="1"/>
    <n v="490"/>
    <n v="910"/>
  </r>
  <r>
    <x v="55"/>
    <s v="conventional_default_dq_fico_555"/>
    <x v="595"/>
    <n v="1"/>
    <n v="1"/>
    <n v="490"/>
    <n v="910"/>
  </r>
  <r>
    <x v="55"/>
    <s v="conventional_default_dq_fico_556"/>
    <x v="596"/>
    <n v="1"/>
    <n v="1"/>
    <n v="490"/>
    <n v="910"/>
  </r>
  <r>
    <x v="55"/>
    <s v="conventional_default_dq_fico_557"/>
    <x v="597"/>
    <n v="1"/>
    <n v="1"/>
    <n v="490"/>
    <n v="910"/>
  </r>
  <r>
    <x v="55"/>
    <s v="conventional_default_dq_fico_558"/>
    <x v="598"/>
    <n v="1"/>
    <n v="1"/>
    <n v="490"/>
    <n v="910"/>
  </r>
  <r>
    <x v="55"/>
    <s v="conventional_default_dq_fico_559"/>
    <x v="599"/>
    <n v="1"/>
    <n v="1"/>
    <n v="490"/>
    <n v="910"/>
  </r>
  <r>
    <x v="55"/>
    <s v="conventional_default_dq_fico_560"/>
    <x v="600"/>
    <n v="1"/>
    <n v="1"/>
    <n v="490"/>
    <n v="910"/>
  </r>
  <r>
    <x v="55"/>
    <s v="conventional_default_dq_fico_561"/>
    <x v="601"/>
    <n v="1"/>
    <n v="1"/>
    <n v="490"/>
    <n v="910"/>
  </r>
  <r>
    <x v="55"/>
    <s v="conventional_default_dq_fico_562"/>
    <x v="602"/>
    <n v="1"/>
    <n v="1"/>
    <n v="490"/>
    <n v="910"/>
  </r>
  <r>
    <x v="55"/>
    <s v="conventional_default_dq_fico_563"/>
    <x v="603"/>
    <n v="1"/>
    <n v="1"/>
    <n v="490"/>
    <n v="910"/>
  </r>
  <r>
    <x v="55"/>
    <s v="conventional_default_dq_fico_564"/>
    <x v="604"/>
    <n v="1"/>
    <n v="1"/>
    <n v="490"/>
    <n v="910"/>
  </r>
  <r>
    <x v="55"/>
    <s v="conventional_default_dq_fico_565"/>
    <x v="605"/>
    <n v="1"/>
    <n v="1"/>
    <n v="490"/>
    <n v="910"/>
  </r>
  <r>
    <x v="55"/>
    <s v="conventional_default_dq_fico_566"/>
    <x v="606"/>
    <n v="1"/>
    <n v="1"/>
    <n v="490"/>
    <n v="910"/>
  </r>
  <r>
    <x v="55"/>
    <s v="conventional_default_dq_fico_567"/>
    <x v="607"/>
    <n v="1"/>
    <n v="1"/>
    <n v="490"/>
    <n v="910"/>
  </r>
  <r>
    <x v="55"/>
    <s v="conventional_default_dq_fico_568"/>
    <x v="608"/>
    <n v="1"/>
    <n v="1"/>
    <n v="490"/>
    <n v="910"/>
  </r>
  <r>
    <x v="55"/>
    <s v="conventional_default_dq_fico_569"/>
    <x v="609"/>
    <n v="1"/>
    <n v="1"/>
    <n v="490"/>
    <n v="910"/>
  </r>
  <r>
    <x v="55"/>
    <s v="conventional_default_dq_fico_570"/>
    <x v="610"/>
    <n v="1"/>
    <n v="1"/>
    <n v="490"/>
    <n v="910"/>
  </r>
  <r>
    <x v="55"/>
    <s v="conventional_default_dq_fico_571"/>
    <x v="611"/>
    <n v="1"/>
    <n v="1"/>
    <n v="490"/>
    <n v="910"/>
  </r>
  <r>
    <x v="55"/>
    <s v="conventional_default_dq_fico_572"/>
    <x v="612"/>
    <n v="1"/>
    <n v="1"/>
    <n v="490"/>
    <n v="910"/>
  </r>
  <r>
    <x v="55"/>
    <s v="conventional_default_dq_fico_573"/>
    <x v="613"/>
    <n v="1"/>
    <n v="1"/>
    <n v="490"/>
    <n v="910"/>
  </r>
  <r>
    <x v="55"/>
    <s v="conventional_default_dq_fico_574"/>
    <x v="614"/>
    <n v="1"/>
    <n v="1"/>
    <n v="490"/>
    <n v="910"/>
  </r>
  <r>
    <x v="55"/>
    <s v="conventional_default_dq_fico_575"/>
    <x v="615"/>
    <n v="1"/>
    <n v="1"/>
    <n v="490"/>
    <n v="910"/>
  </r>
  <r>
    <x v="55"/>
    <s v="conventional_default_dq_fico_576"/>
    <x v="616"/>
    <n v="1"/>
    <n v="1"/>
    <n v="490"/>
    <n v="910"/>
  </r>
  <r>
    <x v="55"/>
    <s v="conventional_default_dq_fico_577"/>
    <x v="617"/>
    <n v="1"/>
    <n v="1"/>
    <n v="490"/>
    <n v="910"/>
  </r>
  <r>
    <x v="55"/>
    <s v="conventional_default_dq_fico_578"/>
    <x v="618"/>
    <n v="1"/>
    <n v="1"/>
    <n v="490"/>
    <n v="910"/>
  </r>
  <r>
    <x v="55"/>
    <s v="conventional_default_dq_fico_579"/>
    <x v="619"/>
    <n v="1"/>
    <n v="1"/>
    <n v="490"/>
    <n v="910"/>
  </r>
  <r>
    <x v="55"/>
    <s v="conventional_default_dq_fico_580"/>
    <x v="620"/>
    <n v="1"/>
    <n v="1"/>
    <n v="490"/>
    <n v="910"/>
  </r>
  <r>
    <x v="55"/>
    <s v="conventional_default_dq_fico_581"/>
    <x v="621"/>
    <n v="1"/>
    <n v="1"/>
    <n v="490"/>
    <n v="910"/>
  </r>
  <r>
    <x v="55"/>
    <s v="conventional_default_dq_fico_582"/>
    <x v="622"/>
    <n v="1"/>
    <n v="1"/>
    <n v="490"/>
    <n v="910"/>
  </r>
  <r>
    <x v="55"/>
    <s v="conventional_default_dq_fico_583"/>
    <x v="623"/>
    <n v="1"/>
    <n v="1"/>
    <n v="490"/>
    <n v="910"/>
  </r>
  <r>
    <x v="55"/>
    <s v="conventional_default_dq_fico_584"/>
    <x v="624"/>
    <n v="1"/>
    <n v="1"/>
    <n v="490"/>
    <n v="910"/>
  </r>
  <r>
    <x v="55"/>
    <s v="conventional_default_dq_fico_585"/>
    <x v="625"/>
    <n v="1"/>
    <n v="1"/>
    <n v="490"/>
    <n v="910"/>
  </r>
  <r>
    <x v="55"/>
    <s v="conventional_default_dq_fico_586"/>
    <x v="626"/>
    <n v="1"/>
    <n v="1"/>
    <n v="490"/>
    <n v="910"/>
  </r>
  <r>
    <x v="55"/>
    <s v="conventional_default_dq_fico_587"/>
    <x v="627"/>
    <n v="1"/>
    <n v="1"/>
    <n v="490"/>
    <n v="910"/>
  </r>
  <r>
    <x v="55"/>
    <s v="conventional_default_dq_fico_588"/>
    <x v="628"/>
    <n v="1"/>
    <n v="1"/>
    <n v="490"/>
    <n v="910"/>
  </r>
  <r>
    <x v="55"/>
    <s v="conventional_default_dq_fico_589"/>
    <x v="629"/>
    <n v="1"/>
    <n v="1"/>
    <n v="490"/>
    <n v="910"/>
  </r>
  <r>
    <x v="55"/>
    <s v="conventional_default_dq_fico_590"/>
    <x v="630"/>
    <n v="1"/>
    <n v="1"/>
    <n v="490"/>
    <n v="910"/>
  </r>
  <r>
    <x v="55"/>
    <s v="conventional_default_dq_fico_591"/>
    <x v="631"/>
    <n v="1"/>
    <n v="1"/>
    <n v="490"/>
    <n v="910"/>
  </r>
  <r>
    <x v="55"/>
    <s v="conventional_default_dq_fico_592"/>
    <x v="632"/>
    <n v="1"/>
    <n v="1"/>
    <n v="490"/>
    <n v="910"/>
  </r>
  <r>
    <x v="55"/>
    <s v="conventional_default_dq_fico_593"/>
    <x v="633"/>
    <n v="1"/>
    <n v="1"/>
    <n v="490"/>
    <n v="910"/>
  </r>
  <r>
    <x v="55"/>
    <s v="conventional_default_dq_fico_594"/>
    <x v="634"/>
    <n v="1"/>
    <n v="1"/>
    <n v="490"/>
    <n v="910"/>
  </r>
  <r>
    <x v="55"/>
    <s v="conventional_default_dq_fico_595"/>
    <x v="635"/>
    <n v="1"/>
    <n v="1"/>
    <n v="490"/>
    <n v="910"/>
  </r>
  <r>
    <x v="55"/>
    <s v="conventional_default_dq_fico_596"/>
    <x v="636"/>
    <n v="1"/>
    <n v="1"/>
    <n v="490"/>
    <n v="910"/>
  </r>
  <r>
    <x v="55"/>
    <s v="conventional_default_dq_fico_597"/>
    <x v="637"/>
    <n v="1"/>
    <n v="1"/>
    <n v="490"/>
    <n v="910"/>
  </r>
  <r>
    <x v="55"/>
    <s v="conventional_default_dq_fico_598"/>
    <x v="638"/>
    <n v="1"/>
    <n v="1"/>
    <n v="490"/>
    <n v="910"/>
  </r>
  <r>
    <x v="55"/>
    <s v="conventional_default_dq_fico_599"/>
    <x v="639"/>
    <n v="1"/>
    <n v="1"/>
    <n v="490"/>
    <n v="910"/>
  </r>
  <r>
    <x v="55"/>
    <s v="conventional_default_dq_fico_600"/>
    <x v="640"/>
    <n v="1"/>
    <n v="1"/>
    <n v="490"/>
    <n v="910"/>
  </r>
  <r>
    <x v="55"/>
    <s v="conventional_default_dq_fico_601"/>
    <x v="641"/>
    <n v="1"/>
    <n v="1"/>
    <n v="490"/>
    <n v="910"/>
  </r>
  <r>
    <x v="55"/>
    <s v="conventional_default_dq_fico_602"/>
    <x v="642"/>
    <n v="1"/>
    <n v="1"/>
    <n v="490"/>
    <n v="910"/>
  </r>
  <r>
    <x v="55"/>
    <s v="conventional_default_dq_fico_603"/>
    <x v="643"/>
    <n v="1"/>
    <n v="1"/>
    <n v="490"/>
    <n v="910"/>
  </r>
  <r>
    <x v="55"/>
    <s v="conventional_default_dq_fico_604"/>
    <x v="644"/>
    <n v="1"/>
    <n v="1"/>
    <n v="490"/>
    <n v="910"/>
  </r>
  <r>
    <x v="55"/>
    <s v="conventional_default_dq_fico_605"/>
    <x v="645"/>
    <n v="1"/>
    <n v="1"/>
    <n v="490"/>
    <n v="910"/>
  </r>
  <r>
    <x v="55"/>
    <s v="conventional_default_dq_fico_606"/>
    <x v="646"/>
    <n v="1"/>
    <n v="1"/>
    <n v="490"/>
    <n v="910"/>
  </r>
  <r>
    <x v="55"/>
    <s v="conventional_default_dq_fico_607"/>
    <x v="647"/>
    <n v="1"/>
    <n v="1"/>
    <n v="490"/>
    <n v="910"/>
  </r>
  <r>
    <x v="55"/>
    <s v="conventional_default_dq_fico_608"/>
    <x v="648"/>
    <n v="1"/>
    <n v="1"/>
    <n v="490"/>
    <n v="910"/>
  </r>
  <r>
    <x v="55"/>
    <s v="conventional_default_dq_fico_609"/>
    <x v="649"/>
    <n v="1"/>
    <n v="1"/>
    <n v="490"/>
    <n v="910"/>
  </r>
  <r>
    <x v="55"/>
    <s v="conventional_default_dq_fico_610"/>
    <x v="650"/>
    <n v="1"/>
    <n v="1"/>
    <n v="490"/>
    <n v="910"/>
  </r>
  <r>
    <x v="55"/>
    <s v="conventional_default_dq_fico_611"/>
    <x v="651"/>
    <n v="1"/>
    <n v="1"/>
    <n v="490"/>
    <n v="910"/>
  </r>
  <r>
    <x v="55"/>
    <s v="conventional_default_dq_fico_612"/>
    <x v="652"/>
    <n v="1"/>
    <n v="1"/>
    <n v="490"/>
    <n v="910"/>
  </r>
  <r>
    <x v="55"/>
    <s v="conventional_default_dq_fico_613"/>
    <x v="653"/>
    <n v="1"/>
    <n v="1"/>
    <n v="490"/>
    <n v="910"/>
  </r>
  <r>
    <x v="55"/>
    <s v="conventional_default_dq_fico_614"/>
    <x v="654"/>
    <n v="1"/>
    <n v="1"/>
    <n v="490"/>
    <n v="910"/>
  </r>
  <r>
    <x v="55"/>
    <s v="conventional_default_dq_fico_615"/>
    <x v="655"/>
    <n v="1"/>
    <n v="1"/>
    <n v="490"/>
    <n v="910"/>
  </r>
  <r>
    <x v="55"/>
    <s v="conventional_default_dq_fico_616"/>
    <x v="656"/>
    <n v="1"/>
    <n v="1"/>
    <n v="490"/>
    <n v="910"/>
  </r>
  <r>
    <x v="55"/>
    <s v="conventional_default_dq_fico_617"/>
    <x v="657"/>
    <n v="1"/>
    <n v="1"/>
    <n v="490"/>
    <n v="910"/>
  </r>
  <r>
    <x v="55"/>
    <s v="conventional_default_dq_fico_618"/>
    <x v="658"/>
    <n v="1"/>
    <n v="1"/>
    <n v="490"/>
    <n v="910"/>
  </r>
  <r>
    <x v="55"/>
    <s v="conventional_default_dq_fico_619"/>
    <x v="659"/>
    <n v="1"/>
    <n v="1"/>
    <n v="490"/>
    <n v="910"/>
  </r>
  <r>
    <x v="55"/>
    <s v="conventional_default_dq_fico_620"/>
    <x v="660"/>
    <n v="1"/>
    <n v="1"/>
    <n v="490"/>
    <n v="910"/>
  </r>
  <r>
    <x v="55"/>
    <s v="conventional_default_dq_fico_621"/>
    <x v="661"/>
    <n v="1"/>
    <n v="1"/>
    <n v="490"/>
    <n v="910"/>
  </r>
  <r>
    <x v="55"/>
    <s v="conventional_default_dq_fico_622"/>
    <x v="662"/>
    <n v="1"/>
    <n v="1"/>
    <n v="490"/>
    <n v="910"/>
  </r>
  <r>
    <x v="55"/>
    <s v="conventional_default_dq_fico_623"/>
    <x v="663"/>
    <n v="1"/>
    <n v="1"/>
    <n v="490"/>
    <n v="910"/>
  </r>
  <r>
    <x v="55"/>
    <s v="conventional_default_dq_fico_624"/>
    <x v="664"/>
    <n v="1"/>
    <n v="1"/>
    <n v="490"/>
    <n v="910"/>
  </r>
  <r>
    <x v="55"/>
    <s v="conventional_default_dq_fico_625"/>
    <x v="665"/>
    <n v="1"/>
    <n v="1"/>
    <n v="490"/>
    <n v="910"/>
  </r>
  <r>
    <x v="55"/>
    <s v="conventional_default_dq_fico_626"/>
    <x v="666"/>
    <n v="1"/>
    <n v="1"/>
    <n v="490"/>
    <n v="910"/>
  </r>
  <r>
    <x v="55"/>
    <s v="conventional_default_dq_fico_627"/>
    <x v="667"/>
    <n v="1"/>
    <n v="1"/>
    <n v="490"/>
    <n v="910"/>
  </r>
  <r>
    <x v="55"/>
    <s v="conventional_default_dq_fico_628"/>
    <x v="668"/>
    <n v="1"/>
    <n v="1"/>
    <n v="490"/>
    <n v="910"/>
  </r>
  <r>
    <x v="55"/>
    <s v="conventional_default_dq_fico_629"/>
    <x v="669"/>
    <n v="1"/>
    <n v="1"/>
    <n v="490"/>
    <n v="910"/>
  </r>
  <r>
    <x v="55"/>
    <s v="conventional_default_dq_fico_630"/>
    <x v="670"/>
    <n v="1"/>
    <n v="1"/>
    <n v="490"/>
    <n v="910"/>
  </r>
  <r>
    <x v="55"/>
    <s v="conventional_default_dq_fico_631"/>
    <x v="671"/>
    <n v="1"/>
    <n v="1"/>
    <n v="490"/>
    <n v="910"/>
  </r>
  <r>
    <x v="55"/>
    <s v="conventional_default_dq_fico_632"/>
    <x v="672"/>
    <n v="1"/>
    <n v="1"/>
    <n v="490"/>
    <n v="910"/>
  </r>
  <r>
    <x v="55"/>
    <s v="conventional_default_dq_fico_633"/>
    <x v="673"/>
    <n v="1"/>
    <n v="1"/>
    <n v="490"/>
    <n v="910"/>
  </r>
  <r>
    <x v="55"/>
    <s v="conventional_default_dq_fico_634"/>
    <x v="674"/>
    <n v="1"/>
    <n v="1"/>
    <n v="490"/>
    <n v="910"/>
  </r>
  <r>
    <x v="55"/>
    <s v="conventional_default_dq_fico_635"/>
    <x v="675"/>
    <n v="1"/>
    <n v="1"/>
    <n v="490"/>
    <n v="910"/>
  </r>
  <r>
    <x v="55"/>
    <s v="conventional_default_dq_fico_636"/>
    <x v="676"/>
    <n v="1"/>
    <n v="1"/>
    <n v="490"/>
    <n v="910"/>
  </r>
  <r>
    <x v="55"/>
    <s v="conventional_default_dq_fico_637"/>
    <x v="677"/>
    <n v="1"/>
    <n v="1"/>
    <n v="490"/>
    <n v="910"/>
  </r>
  <r>
    <x v="55"/>
    <s v="conventional_default_dq_fico_638"/>
    <x v="678"/>
    <n v="1"/>
    <n v="1"/>
    <n v="490"/>
    <n v="910"/>
  </r>
  <r>
    <x v="55"/>
    <s v="conventional_default_dq_fico_639"/>
    <x v="679"/>
    <n v="1"/>
    <n v="1"/>
    <n v="490"/>
    <n v="910"/>
  </r>
  <r>
    <x v="55"/>
    <s v="conventional_default_dq_fico_640"/>
    <x v="680"/>
    <n v="1"/>
    <n v="1"/>
    <n v="490"/>
    <n v="910"/>
  </r>
  <r>
    <x v="55"/>
    <s v="conventional_default_dq_fico_641"/>
    <x v="681"/>
    <n v="1"/>
    <n v="1"/>
    <n v="490"/>
    <n v="910"/>
  </r>
  <r>
    <x v="55"/>
    <s v="conventional_default_dq_fico_642"/>
    <x v="682"/>
    <n v="1"/>
    <n v="1"/>
    <n v="490"/>
    <n v="910"/>
  </r>
  <r>
    <x v="55"/>
    <s v="conventional_default_dq_fico_643"/>
    <x v="683"/>
    <n v="1"/>
    <n v="1"/>
    <n v="490"/>
    <n v="910"/>
  </r>
  <r>
    <x v="55"/>
    <s v="conventional_default_dq_fico_644"/>
    <x v="684"/>
    <n v="1"/>
    <n v="1"/>
    <n v="490"/>
    <n v="910"/>
  </r>
  <r>
    <x v="55"/>
    <s v="conventional_default_dq_fico_645"/>
    <x v="685"/>
    <n v="1"/>
    <n v="1"/>
    <n v="490"/>
    <n v="910"/>
  </r>
  <r>
    <x v="55"/>
    <s v="conventional_default_dq_fico_646"/>
    <x v="686"/>
    <n v="1"/>
    <n v="1"/>
    <n v="490"/>
    <n v="910"/>
  </r>
  <r>
    <x v="55"/>
    <s v="conventional_default_dq_fico_647"/>
    <x v="687"/>
    <n v="1"/>
    <n v="1"/>
    <n v="490"/>
    <n v="910"/>
  </r>
  <r>
    <x v="55"/>
    <s v="conventional_default_dq_fico_648"/>
    <x v="688"/>
    <n v="1"/>
    <n v="1"/>
    <n v="490"/>
    <n v="910"/>
  </r>
  <r>
    <x v="55"/>
    <s v="conventional_default_dq_fico_649"/>
    <x v="689"/>
    <n v="1"/>
    <n v="1"/>
    <n v="490"/>
    <n v="910"/>
  </r>
  <r>
    <x v="55"/>
    <s v="conventional_default_dq_fico_650"/>
    <x v="690"/>
    <n v="1"/>
    <n v="1"/>
    <n v="490"/>
    <n v="910"/>
  </r>
  <r>
    <x v="55"/>
    <s v="conventional_default_dq_fico_651"/>
    <x v="691"/>
    <n v="1"/>
    <n v="1"/>
    <n v="490"/>
    <n v="910"/>
  </r>
  <r>
    <x v="55"/>
    <s v="conventional_default_dq_fico_652"/>
    <x v="692"/>
    <n v="1"/>
    <n v="1"/>
    <n v="490"/>
    <n v="910"/>
  </r>
  <r>
    <x v="55"/>
    <s v="conventional_default_dq_fico_653"/>
    <x v="693"/>
    <n v="1"/>
    <n v="1"/>
    <n v="490"/>
    <n v="910"/>
  </r>
  <r>
    <x v="55"/>
    <s v="conventional_default_dq_fico_654"/>
    <x v="694"/>
    <n v="1"/>
    <n v="1"/>
    <n v="490"/>
    <n v="910"/>
  </r>
  <r>
    <x v="55"/>
    <s v="conventional_default_dq_fico_655"/>
    <x v="695"/>
    <n v="1"/>
    <n v="1"/>
    <n v="490"/>
    <n v="910"/>
  </r>
  <r>
    <x v="55"/>
    <s v="conventional_default_dq_fico_656"/>
    <x v="696"/>
    <n v="1"/>
    <n v="1"/>
    <n v="490"/>
    <n v="910"/>
  </r>
  <r>
    <x v="55"/>
    <s v="conventional_default_dq_fico_657"/>
    <x v="697"/>
    <n v="1"/>
    <n v="1"/>
    <n v="490"/>
    <n v="910"/>
  </r>
  <r>
    <x v="55"/>
    <s v="conventional_default_dq_fico_658"/>
    <x v="698"/>
    <n v="1"/>
    <n v="1"/>
    <n v="490"/>
    <n v="910"/>
  </r>
  <r>
    <x v="55"/>
    <s v="conventional_default_dq_fico_659"/>
    <x v="699"/>
    <n v="1"/>
    <n v="1"/>
    <n v="490"/>
    <n v="910"/>
  </r>
  <r>
    <x v="55"/>
    <s v="conventional_default_dq_fico_660"/>
    <x v="700"/>
    <n v="1"/>
    <n v="1"/>
    <n v="490"/>
    <n v="910"/>
  </r>
  <r>
    <x v="55"/>
    <s v="conventional_default_dq_fico_661"/>
    <x v="701"/>
    <n v="1"/>
    <n v="1"/>
    <n v="490"/>
    <n v="910"/>
  </r>
  <r>
    <x v="55"/>
    <s v="conventional_default_dq_fico_662"/>
    <x v="702"/>
    <n v="1"/>
    <n v="1"/>
    <n v="490"/>
    <n v="910"/>
  </r>
  <r>
    <x v="55"/>
    <s v="conventional_default_dq_fico_663"/>
    <x v="703"/>
    <n v="1"/>
    <n v="1"/>
    <n v="490"/>
    <n v="910"/>
  </r>
  <r>
    <x v="55"/>
    <s v="conventional_default_dq_fico_664"/>
    <x v="704"/>
    <n v="1"/>
    <n v="1"/>
    <n v="490"/>
    <n v="910"/>
  </r>
  <r>
    <x v="55"/>
    <s v="conventional_default_dq_fico_665"/>
    <x v="705"/>
    <n v="1"/>
    <n v="1"/>
    <n v="490"/>
    <n v="910"/>
  </r>
  <r>
    <x v="55"/>
    <s v="conventional_default_dq_fico_666"/>
    <x v="706"/>
    <n v="1"/>
    <n v="1"/>
    <n v="490"/>
    <n v="910"/>
  </r>
  <r>
    <x v="55"/>
    <s v="conventional_default_dq_fico_667"/>
    <x v="707"/>
    <n v="1"/>
    <n v="1"/>
    <n v="490"/>
    <n v="910"/>
  </r>
  <r>
    <x v="55"/>
    <s v="conventional_default_dq_fico_668"/>
    <x v="708"/>
    <n v="1"/>
    <n v="1"/>
    <n v="490"/>
    <n v="910"/>
  </r>
  <r>
    <x v="55"/>
    <s v="conventional_default_dq_fico_669"/>
    <x v="709"/>
    <n v="1"/>
    <n v="1"/>
    <n v="490"/>
    <n v="910"/>
  </r>
  <r>
    <x v="55"/>
    <s v="conventional_default_dq_fico_670"/>
    <x v="710"/>
    <n v="1"/>
    <n v="1"/>
    <n v="490"/>
    <n v="910"/>
  </r>
  <r>
    <x v="55"/>
    <s v="conventional_default_dq_fico_671"/>
    <x v="711"/>
    <n v="1"/>
    <n v="1"/>
    <n v="490"/>
    <n v="910"/>
  </r>
  <r>
    <x v="55"/>
    <s v="conventional_default_dq_fico_672"/>
    <x v="712"/>
    <n v="1"/>
    <n v="1"/>
    <n v="490"/>
    <n v="910"/>
  </r>
  <r>
    <x v="55"/>
    <s v="conventional_default_dq_fico_673"/>
    <x v="713"/>
    <n v="1"/>
    <n v="1"/>
    <n v="490"/>
    <n v="910"/>
  </r>
  <r>
    <x v="55"/>
    <s v="conventional_default_dq_fico_674"/>
    <x v="714"/>
    <n v="1"/>
    <n v="1"/>
    <n v="490"/>
    <n v="910"/>
  </r>
  <r>
    <x v="55"/>
    <s v="conventional_default_dq_fico_675"/>
    <x v="715"/>
    <n v="1"/>
    <n v="1"/>
    <n v="490"/>
    <n v="910"/>
  </r>
  <r>
    <x v="55"/>
    <s v="conventional_default_dq_fico_676"/>
    <x v="716"/>
    <n v="1"/>
    <n v="1"/>
    <n v="490"/>
    <n v="910"/>
  </r>
  <r>
    <x v="55"/>
    <s v="conventional_default_dq_fico_677"/>
    <x v="717"/>
    <n v="1"/>
    <n v="1"/>
    <n v="490"/>
    <n v="910"/>
  </r>
  <r>
    <x v="55"/>
    <s v="conventional_default_dq_fico_678"/>
    <x v="718"/>
    <n v="1"/>
    <n v="1"/>
    <n v="490"/>
    <n v="910"/>
  </r>
  <r>
    <x v="55"/>
    <s v="conventional_default_dq_fico_679"/>
    <x v="719"/>
    <n v="1"/>
    <n v="1"/>
    <n v="490"/>
    <n v="910"/>
  </r>
  <r>
    <x v="55"/>
    <s v="conventional_default_dq_fico_680"/>
    <x v="720"/>
    <n v="1"/>
    <n v="1"/>
    <n v="490"/>
    <n v="910"/>
  </r>
  <r>
    <x v="55"/>
    <s v="conventional_default_dq_fico_681"/>
    <x v="721"/>
    <n v="1"/>
    <n v="1"/>
    <n v="490"/>
    <n v="910"/>
  </r>
  <r>
    <x v="55"/>
    <s v="conventional_default_dq_fico_682"/>
    <x v="722"/>
    <n v="1"/>
    <n v="1"/>
    <n v="490"/>
    <n v="910"/>
  </r>
  <r>
    <x v="55"/>
    <s v="conventional_default_dq_fico_683"/>
    <x v="723"/>
    <n v="1"/>
    <n v="1"/>
    <n v="490"/>
    <n v="910"/>
  </r>
  <r>
    <x v="55"/>
    <s v="conventional_default_dq_fico_684"/>
    <x v="724"/>
    <n v="1"/>
    <n v="1"/>
    <n v="490"/>
    <n v="910"/>
  </r>
  <r>
    <x v="55"/>
    <s v="conventional_default_dq_fico_685"/>
    <x v="725"/>
    <n v="1"/>
    <n v="1"/>
    <n v="490"/>
    <n v="910"/>
  </r>
  <r>
    <x v="55"/>
    <s v="conventional_default_dq_fico_686"/>
    <x v="726"/>
    <n v="1"/>
    <n v="1"/>
    <n v="490"/>
    <n v="910"/>
  </r>
  <r>
    <x v="55"/>
    <s v="conventional_default_dq_fico_687"/>
    <x v="727"/>
    <n v="1"/>
    <n v="1"/>
    <n v="490"/>
    <n v="910"/>
  </r>
  <r>
    <x v="55"/>
    <s v="conventional_default_dq_fico_688"/>
    <x v="728"/>
    <n v="1"/>
    <n v="1"/>
    <n v="490"/>
    <n v="910"/>
  </r>
  <r>
    <x v="55"/>
    <s v="conventional_default_dq_fico_689"/>
    <x v="729"/>
    <n v="1"/>
    <n v="1"/>
    <n v="490"/>
    <n v="910"/>
  </r>
  <r>
    <x v="55"/>
    <s v="conventional_default_dq_fico_690"/>
    <x v="730"/>
    <n v="1"/>
    <n v="1"/>
    <n v="490"/>
    <n v="910"/>
  </r>
  <r>
    <x v="55"/>
    <s v="conventional_default_dq_fico_691"/>
    <x v="731"/>
    <n v="1"/>
    <n v="1"/>
    <n v="490"/>
    <n v="910"/>
  </r>
  <r>
    <x v="55"/>
    <s v="conventional_default_dq_fico_692"/>
    <x v="732"/>
    <n v="1"/>
    <n v="1"/>
    <n v="490"/>
    <n v="910"/>
  </r>
  <r>
    <x v="55"/>
    <s v="conventional_default_dq_fico_693"/>
    <x v="733"/>
    <n v="1"/>
    <n v="1"/>
    <n v="490"/>
    <n v="910"/>
  </r>
  <r>
    <x v="55"/>
    <s v="conventional_default_dq_fico_694"/>
    <x v="734"/>
    <n v="1"/>
    <n v="1"/>
    <n v="490"/>
    <n v="910"/>
  </r>
  <r>
    <x v="55"/>
    <s v="conventional_default_dq_fico_695"/>
    <x v="735"/>
    <n v="1"/>
    <n v="1"/>
    <n v="490"/>
    <n v="910"/>
  </r>
  <r>
    <x v="55"/>
    <s v="conventional_default_dq_fico_696"/>
    <x v="736"/>
    <n v="1"/>
    <n v="1"/>
    <n v="490"/>
    <n v="910"/>
  </r>
  <r>
    <x v="55"/>
    <s v="conventional_default_dq_fico_697"/>
    <x v="737"/>
    <n v="1"/>
    <n v="1"/>
    <n v="490"/>
    <n v="910"/>
  </r>
  <r>
    <x v="55"/>
    <s v="conventional_default_dq_fico_698"/>
    <x v="738"/>
    <n v="1"/>
    <n v="1"/>
    <n v="490"/>
    <n v="910"/>
  </r>
  <r>
    <x v="55"/>
    <s v="conventional_default_dq_fico_699"/>
    <x v="739"/>
    <n v="1"/>
    <n v="1"/>
    <n v="490"/>
    <n v="910"/>
  </r>
  <r>
    <x v="55"/>
    <s v="conventional_default_dq_fico_700"/>
    <x v="740"/>
    <n v="1"/>
    <n v="1"/>
    <n v="490"/>
    <n v="910"/>
  </r>
  <r>
    <x v="55"/>
    <s v="conventional_default_dq_fico_701"/>
    <x v="741"/>
    <n v="1"/>
    <n v="1"/>
    <n v="490"/>
    <n v="910"/>
  </r>
  <r>
    <x v="55"/>
    <s v="conventional_default_dq_fico_702"/>
    <x v="742"/>
    <n v="1"/>
    <n v="1"/>
    <n v="490"/>
    <n v="910"/>
  </r>
  <r>
    <x v="55"/>
    <s v="conventional_default_dq_fico_703"/>
    <x v="743"/>
    <n v="1"/>
    <n v="1"/>
    <n v="490"/>
    <n v="910"/>
  </r>
  <r>
    <x v="55"/>
    <s v="conventional_default_dq_fico_704"/>
    <x v="744"/>
    <n v="1"/>
    <n v="1"/>
    <n v="490"/>
    <n v="910"/>
  </r>
  <r>
    <x v="55"/>
    <s v="conventional_default_dq_fico_705"/>
    <x v="745"/>
    <n v="1"/>
    <n v="1"/>
    <n v="490"/>
    <n v="910"/>
  </r>
  <r>
    <x v="55"/>
    <s v="conventional_default_dq_fico_706"/>
    <x v="746"/>
    <n v="1"/>
    <n v="1"/>
    <n v="490"/>
    <n v="910"/>
  </r>
  <r>
    <x v="55"/>
    <s v="conventional_default_dq_fico_707"/>
    <x v="747"/>
    <n v="1"/>
    <n v="1"/>
    <n v="490"/>
    <n v="910"/>
  </r>
  <r>
    <x v="55"/>
    <s v="conventional_default_dq_fico_708"/>
    <x v="748"/>
    <n v="1"/>
    <n v="1"/>
    <n v="490"/>
    <n v="910"/>
  </r>
  <r>
    <x v="55"/>
    <s v="conventional_default_dq_fico_709"/>
    <x v="749"/>
    <n v="1"/>
    <n v="1"/>
    <n v="490"/>
    <n v="910"/>
  </r>
  <r>
    <x v="55"/>
    <s v="conventional_default_dq_fico_710"/>
    <x v="750"/>
    <n v="1"/>
    <n v="1"/>
    <n v="490"/>
    <n v="910"/>
  </r>
  <r>
    <x v="55"/>
    <s v="conventional_default_dq_fico_711"/>
    <x v="751"/>
    <n v="1"/>
    <n v="1"/>
    <n v="490"/>
    <n v="910"/>
  </r>
  <r>
    <x v="55"/>
    <s v="conventional_default_dq_fico_712"/>
    <x v="752"/>
    <n v="1"/>
    <n v="1"/>
    <n v="490"/>
    <n v="910"/>
  </r>
  <r>
    <x v="55"/>
    <s v="conventional_default_dq_fico_713"/>
    <x v="753"/>
    <n v="1"/>
    <n v="1"/>
    <n v="490"/>
    <n v="910"/>
  </r>
  <r>
    <x v="55"/>
    <s v="conventional_default_dq_fico_714"/>
    <x v="754"/>
    <n v="1"/>
    <n v="1"/>
    <n v="490"/>
    <n v="910"/>
  </r>
  <r>
    <x v="55"/>
    <s v="conventional_default_dq_fico_715"/>
    <x v="755"/>
    <n v="1"/>
    <n v="1"/>
    <n v="490"/>
    <n v="910"/>
  </r>
  <r>
    <x v="55"/>
    <s v="conventional_default_dq_fico_716"/>
    <x v="756"/>
    <n v="1"/>
    <n v="1"/>
    <n v="490"/>
    <n v="910"/>
  </r>
  <r>
    <x v="55"/>
    <s v="conventional_default_dq_fico_717"/>
    <x v="757"/>
    <n v="1"/>
    <n v="1"/>
    <n v="490"/>
    <n v="910"/>
  </r>
  <r>
    <x v="55"/>
    <s v="conventional_default_dq_fico_718"/>
    <x v="758"/>
    <n v="1"/>
    <n v="1"/>
    <n v="490"/>
    <n v="910"/>
  </r>
  <r>
    <x v="55"/>
    <s v="conventional_default_dq_fico_719"/>
    <x v="759"/>
    <n v="1"/>
    <n v="1"/>
    <n v="490"/>
    <n v="910"/>
  </r>
  <r>
    <x v="55"/>
    <s v="conventional_default_dq_fico_720"/>
    <x v="760"/>
    <n v="1"/>
    <n v="1"/>
    <n v="490"/>
    <n v="910"/>
  </r>
  <r>
    <x v="55"/>
    <s v="conventional_default_dq_fico_721"/>
    <x v="761"/>
    <n v="1"/>
    <n v="1"/>
    <n v="490"/>
    <n v="910"/>
  </r>
  <r>
    <x v="55"/>
    <s v="conventional_default_dq_fico_722"/>
    <x v="762"/>
    <n v="1"/>
    <n v="1"/>
    <n v="490"/>
    <n v="910"/>
  </r>
  <r>
    <x v="55"/>
    <s v="conventional_default_dq_fico_723"/>
    <x v="763"/>
    <n v="1"/>
    <n v="1"/>
    <n v="490"/>
    <n v="910"/>
  </r>
  <r>
    <x v="55"/>
    <s v="conventional_default_dq_fico_724"/>
    <x v="764"/>
    <n v="1"/>
    <n v="1"/>
    <n v="490"/>
    <n v="910"/>
  </r>
  <r>
    <x v="55"/>
    <s v="conventional_default_dq_fico_725"/>
    <x v="765"/>
    <n v="1"/>
    <n v="1"/>
    <n v="490"/>
    <n v="910"/>
  </r>
  <r>
    <x v="55"/>
    <s v="conventional_default_dq_fico_726"/>
    <x v="766"/>
    <n v="1"/>
    <n v="1"/>
    <n v="490"/>
    <n v="910"/>
  </r>
  <r>
    <x v="55"/>
    <s v="conventional_default_dq_fico_727"/>
    <x v="767"/>
    <n v="1"/>
    <n v="1"/>
    <n v="490"/>
    <n v="910"/>
  </r>
  <r>
    <x v="55"/>
    <s v="conventional_default_dq_fico_728"/>
    <x v="768"/>
    <n v="1"/>
    <n v="1"/>
    <n v="490"/>
    <n v="910"/>
  </r>
  <r>
    <x v="55"/>
    <s v="conventional_default_dq_fico_729"/>
    <x v="769"/>
    <n v="1"/>
    <n v="1"/>
    <n v="490"/>
    <n v="910"/>
  </r>
  <r>
    <x v="55"/>
    <s v="conventional_default_dq_fico_730"/>
    <x v="770"/>
    <n v="1"/>
    <n v="1"/>
    <n v="490"/>
    <n v="910"/>
  </r>
  <r>
    <x v="55"/>
    <s v="conventional_default_dq_fico_731"/>
    <x v="771"/>
    <n v="1"/>
    <n v="1"/>
    <n v="490"/>
    <n v="910"/>
  </r>
  <r>
    <x v="55"/>
    <s v="conventional_default_dq_fico_732"/>
    <x v="772"/>
    <n v="1"/>
    <n v="1"/>
    <n v="490"/>
    <n v="910"/>
  </r>
  <r>
    <x v="55"/>
    <s v="conventional_default_dq_fico_733"/>
    <x v="773"/>
    <n v="1"/>
    <n v="1"/>
    <n v="490"/>
    <n v="910"/>
  </r>
  <r>
    <x v="55"/>
    <s v="conventional_default_dq_fico_734"/>
    <x v="774"/>
    <n v="1"/>
    <n v="1"/>
    <n v="490"/>
    <n v="910"/>
  </r>
  <r>
    <x v="55"/>
    <s v="conventional_default_dq_fico_735"/>
    <x v="775"/>
    <n v="1"/>
    <n v="1"/>
    <n v="490"/>
    <n v="910"/>
  </r>
  <r>
    <x v="55"/>
    <s v="conventional_default_dq_fico_736"/>
    <x v="776"/>
    <n v="1"/>
    <n v="1"/>
    <n v="490"/>
    <n v="910"/>
  </r>
  <r>
    <x v="55"/>
    <s v="conventional_default_dq_fico_737"/>
    <x v="777"/>
    <n v="1"/>
    <n v="1"/>
    <n v="490"/>
    <n v="910"/>
  </r>
  <r>
    <x v="55"/>
    <s v="conventional_default_dq_fico_738"/>
    <x v="778"/>
    <n v="1"/>
    <n v="1"/>
    <n v="490"/>
    <n v="910"/>
  </r>
  <r>
    <x v="55"/>
    <s v="conventional_default_dq_fico_739"/>
    <x v="779"/>
    <n v="1"/>
    <n v="1"/>
    <n v="490"/>
    <n v="910"/>
  </r>
  <r>
    <x v="55"/>
    <s v="conventional_default_dq_fico_740"/>
    <x v="780"/>
    <n v="1"/>
    <n v="1"/>
    <n v="490"/>
    <n v="910"/>
  </r>
  <r>
    <x v="55"/>
    <s v="conventional_default_dq_fico_741"/>
    <x v="781"/>
    <n v="1"/>
    <n v="1"/>
    <n v="490"/>
    <n v="910"/>
  </r>
  <r>
    <x v="55"/>
    <s v="conventional_default_dq_fico_742"/>
    <x v="782"/>
    <n v="1"/>
    <n v="1"/>
    <n v="490"/>
    <n v="910"/>
  </r>
  <r>
    <x v="55"/>
    <s v="conventional_default_dq_fico_743"/>
    <x v="783"/>
    <n v="1"/>
    <n v="1"/>
    <n v="490"/>
    <n v="910"/>
  </r>
  <r>
    <x v="55"/>
    <s v="conventional_default_dq_fico_744"/>
    <x v="784"/>
    <n v="1"/>
    <n v="1"/>
    <n v="490"/>
    <n v="910"/>
  </r>
  <r>
    <x v="55"/>
    <s v="conventional_default_dq_fico_745"/>
    <x v="785"/>
    <n v="1"/>
    <n v="1"/>
    <n v="490"/>
    <n v="910"/>
  </r>
  <r>
    <x v="55"/>
    <s v="conventional_default_dq_fico_746"/>
    <x v="786"/>
    <n v="1"/>
    <n v="1"/>
    <n v="490"/>
    <n v="910"/>
  </r>
  <r>
    <x v="55"/>
    <s v="conventional_default_dq_fico_747"/>
    <x v="787"/>
    <n v="1"/>
    <n v="1"/>
    <n v="490"/>
    <n v="910"/>
  </r>
  <r>
    <x v="55"/>
    <s v="conventional_default_dq_fico_748"/>
    <x v="788"/>
    <n v="1"/>
    <n v="1"/>
    <n v="490"/>
    <n v="910"/>
  </r>
  <r>
    <x v="55"/>
    <s v="conventional_default_dq_fico_749"/>
    <x v="789"/>
    <n v="1"/>
    <n v="1"/>
    <n v="490"/>
    <n v="910"/>
  </r>
  <r>
    <x v="55"/>
    <s v="conventional_default_dq_fico_750"/>
    <x v="790"/>
    <n v="1"/>
    <n v="1"/>
    <n v="490"/>
    <n v="910"/>
  </r>
  <r>
    <x v="55"/>
    <s v="conventional_default_dq_fico_751"/>
    <x v="791"/>
    <n v="1"/>
    <n v="1"/>
    <n v="490"/>
    <n v="910"/>
  </r>
  <r>
    <x v="55"/>
    <s v="conventional_default_dq_fico_752"/>
    <x v="792"/>
    <n v="1"/>
    <n v="1"/>
    <n v="490"/>
    <n v="910"/>
  </r>
  <r>
    <x v="55"/>
    <s v="conventional_default_dq_fico_753"/>
    <x v="793"/>
    <n v="1"/>
    <n v="1"/>
    <n v="490"/>
    <n v="910"/>
  </r>
  <r>
    <x v="55"/>
    <s v="conventional_default_dq_fico_754"/>
    <x v="794"/>
    <n v="1"/>
    <n v="1"/>
    <n v="490"/>
    <n v="910"/>
  </r>
  <r>
    <x v="55"/>
    <s v="conventional_default_dq_fico_755"/>
    <x v="795"/>
    <n v="1"/>
    <n v="1"/>
    <n v="490"/>
    <n v="910"/>
  </r>
  <r>
    <x v="55"/>
    <s v="conventional_default_dq_fico_756"/>
    <x v="796"/>
    <n v="1"/>
    <n v="1"/>
    <n v="490"/>
    <n v="910"/>
  </r>
  <r>
    <x v="55"/>
    <s v="conventional_default_dq_fico_757"/>
    <x v="797"/>
    <n v="1"/>
    <n v="1"/>
    <n v="490"/>
    <n v="910"/>
  </r>
  <r>
    <x v="55"/>
    <s v="conventional_default_dq_fico_758"/>
    <x v="798"/>
    <n v="1"/>
    <n v="1"/>
    <n v="490"/>
    <n v="910"/>
  </r>
  <r>
    <x v="55"/>
    <s v="conventional_default_dq_fico_759"/>
    <x v="799"/>
    <n v="1"/>
    <n v="1"/>
    <n v="490"/>
    <n v="910"/>
  </r>
  <r>
    <x v="55"/>
    <s v="conventional_default_dq_fico_760"/>
    <x v="800"/>
    <n v="1"/>
    <n v="1"/>
    <n v="490"/>
    <n v="910"/>
  </r>
  <r>
    <x v="55"/>
    <s v="conventional_default_dq_fico_761"/>
    <x v="801"/>
    <n v="1"/>
    <n v="1"/>
    <n v="490"/>
    <n v="910"/>
  </r>
  <r>
    <x v="55"/>
    <s v="conventional_default_dq_fico_762"/>
    <x v="802"/>
    <n v="1"/>
    <n v="1"/>
    <n v="490"/>
    <n v="910"/>
  </r>
  <r>
    <x v="55"/>
    <s v="conventional_default_dq_fico_763"/>
    <x v="803"/>
    <n v="1"/>
    <n v="1"/>
    <n v="490"/>
    <n v="910"/>
  </r>
  <r>
    <x v="55"/>
    <s v="conventional_default_dq_fico_764"/>
    <x v="804"/>
    <n v="1"/>
    <n v="1"/>
    <n v="490"/>
    <n v="910"/>
  </r>
  <r>
    <x v="55"/>
    <s v="conventional_default_dq_fico_765"/>
    <x v="805"/>
    <n v="1"/>
    <n v="1"/>
    <n v="490"/>
    <n v="910"/>
  </r>
  <r>
    <x v="55"/>
    <s v="conventional_default_dq_fico_766"/>
    <x v="806"/>
    <n v="1"/>
    <n v="1"/>
    <n v="490"/>
    <n v="910"/>
  </r>
  <r>
    <x v="55"/>
    <s v="conventional_default_dq_fico_767"/>
    <x v="807"/>
    <n v="1"/>
    <n v="1"/>
    <n v="490"/>
    <n v="910"/>
  </r>
  <r>
    <x v="55"/>
    <s v="conventional_default_dq_fico_768"/>
    <x v="808"/>
    <n v="1"/>
    <n v="1"/>
    <n v="490"/>
    <n v="910"/>
  </r>
  <r>
    <x v="55"/>
    <s v="conventional_default_dq_fico_769"/>
    <x v="809"/>
    <n v="1"/>
    <n v="1"/>
    <n v="490"/>
    <n v="910"/>
  </r>
  <r>
    <x v="55"/>
    <s v="conventional_default_dq_fico_770"/>
    <x v="810"/>
    <n v="1"/>
    <n v="1"/>
    <n v="490"/>
    <n v="910"/>
  </r>
  <r>
    <x v="55"/>
    <s v="conventional_default_dq_fico_771"/>
    <x v="811"/>
    <n v="1"/>
    <n v="1"/>
    <n v="490"/>
    <n v="910"/>
  </r>
  <r>
    <x v="55"/>
    <s v="conventional_default_dq_fico_772"/>
    <x v="812"/>
    <n v="1"/>
    <n v="1"/>
    <n v="490"/>
    <n v="910"/>
  </r>
  <r>
    <x v="55"/>
    <s v="conventional_default_dq_fico_773"/>
    <x v="813"/>
    <n v="1"/>
    <n v="1"/>
    <n v="490"/>
    <n v="910"/>
  </r>
  <r>
    <x v="55"/>
    <s v="conventional_default_dq_fico_774"/>
    <x v="814"/>
    <n v="1"/>
    <n v="1"/>
    <n v="490"/>
    <n v="910"/>
  </r>
  <r>
    <x v="55"/>
    <s v="conventional_default_dq_fico_775"/>
    <x v="815"/>
    <n v="1"/>
    <n v="1"/>
    <n v="490"/>
    <n v="910"/>
  </r>
  <r>
    <x v="55"/>
    <s v="conventional_default_dq_fico_776"/>
    <x v="816"/>
    <n v="1"/>
    <n v="1"/>
    <n v="490"/>
    <n v="910"/>
  </r>
  <r>
    <x v="55"/>
    <s v="conventional_default_dq_fico_777"/>
    <x v="817"/>
    <n v="1"/>
    <n v="1"/>
    <n v="490"/>
    <n v="910"/>
  </r>
  <r>
    <x v="55"/>
    <s v="conventional_default_dq_fico_778"/>
    <x v="818"/>
    <n v="1"/>
    <n v="1"/>
    <n v="490"/>
    <n v="910"/>
  </r>
  <r>
    <x v="55"/>
    <s v="conventional_default_dq_fico_779"/>
    <x v="819"/>
    <n v="1"/>
    <n v="1"/>
    <n v="490"/>
    <n v="910"/>
  </r>
  <r>
    <x v="55"/>
    <s v="conventional_default_dq_fico_780"/>
    <x v="820"/>
    <n v="1"/>
    <n v="1"/>
    <n v="490"/>
    <n v="910"/>
  </r>
  <r>
    <x v="55"/>
    <s v="conventional_default_dq_fico_781"/>
    <x v="821"/>
    <n v="1"/>
    <n v="1"/>
    <n v="490"/>
    <n v="910"/>
  </r>
  <r>
    <x v="55"/>
    <s v="conventional_default_dq_fico_782"/>
    <x v="822"/>
    <n v="1"/>
    <n v="1"/>
    <n v="490"/>
    <n v="910"/>
  </r>
  <r>
    <x v="55"/>
    <s v="conventional_default_dq_fico_783"/>
    <x v="823"/>
    <n v="1"/>
    <n v="1"/>
    <n v="490"/>
    <n v="910"/>
  </r>
  <r>
    <x v="55"/>
    <s v="conventional_default_dq_fico_784"/>
    <x v="824"/>
    <n v="1"/>
    <n v="1"/>
    <n v="490"/>
    <n v="910"/>
  </r>
  <r>
    <x v="55"/>
    <s v="conventional_default_dq_fico_785"/>
    <x v="825"/>
    <n v="1"/>
    <n v="1"/>
    <n v="490"/>
    <n v="910"/>
  </r>
  <r>
    <x v="55"/>
    <s v="conventional_default_dq_fico_786"/>
    <x v="826"/>
    <n v="1"/>
    <n v="1"/>
    <n v="490"/>
    <n v="910"/>
  </r>
  <r>
    <x v="55"/>
    <s v="conventional_default_dq_fico_787"/>
    <x v="827"/>
    <n v="1"/>
    <n v="1"/>
    <n v="490"/>
    <n v="910"/>
  </r>
  <r>
    <x v="55"/>
    <s v="conventional_default_dq_fico_788"/>
    <x v="828"/>
    <n v="1"/>
    <n v="1"/>
    <n v="490"/>
    <n v="910"/>
  </r>
  <r>
    <x v="55"/>
    <s v="conventional_default_dq_fico_789"/>
    <x v="829"/>
    <n v="1"/>
    <n v="1"/>
    <n v="490"/>
    <n v="910"/>
  </r>
  <r>
    <x v="55"/>
    <s v="conventional_default_dq_fico_790"/>
    <x v="830"/>
    <n v="1"/>
    <n v="1"/>
    <n v="490"/>
    <n v="910"/>
  </r>
  <r>
    <x v="55"/>
    <s v="conventional_default_dq_fico_791"/>
    <x v="831"/>
    <n v="1"/>
    <n v="1"/>
    <n v="490"/>
    <n v="910"/>
  </r>
  <r>
    <x v="55"/>
    <s v="conventional_default_dq_fico_792"/>
    <x v="832"/>
    <n v="1"/>
    <n v="1"/>
    <n v="490"/>
    <n v="910"/>
  </r>
  <r>
    <x v="55"/>
    <s v="conventional_default_dq_fico_793"/>
    <x v="833"/>
    <n v="1"/>
    <n v="1"/>
    <n v="490"/>
    <n v="910"/>
  </r>
  <r>
    <x v="55"/>
    <s v="conventional_default_dq_fico_794"/>
    <x v="834"/>
    <n v="1"/>
    <n v="1"/>
    <n v="490"/>
    <n v="910"/>
  </r>
  <r>
    <x v="55"/>
    <s v="conventional_default_dq_fico_795"/>
    <x v="835"/>
    <n v="1"/>
    <n v="1"/>
    <n v="490"/>
    <n v="910"/>
  </r>
  <r>
    <x v="55"/>
    <s v="conventional_default_dq_fico_796"/>
    <x v="836"/>
    <n v="1"/>
    <n v="1"/>
    <n v="490"/>
    <n v="910"/>
  </r>
  <r>
    <x v="55"/>
    <s v="conventional_default_dq_fico_797"/>
    <x v="837"/>
    <n v="1"/>
    <n v="1"/>
    <n v="490"/>
    <n v="910"/>
  </r>
  <r>
    <x v="55"/>
    <s v="conventional_default_dq_fico_798"/>
    <x v="838"/>
    <n v="1"/>
    <n v="1"/>
    <n v="490"/>
    <n v="910"/>
  </r>
  <r>
    <x v="55"/>
    <s v="conventional_default_dq_fico_799"/>
    <x v="839"/>
    <n v="1"/>
    <n v="1"/>
    <n v="490"/>
    <n v="910"/>
  </r>
  <r>
    <x v="55"/>
    <s v="conventional_default_dq_fico_800"/>
    <x v="840"/>
    <n v="1"/>
    <n v="1"/>
    <n v="490"/>
    <n v="910"/>
  </r>
  <r>
    <x v="55"/>
    <s v="conventional_default_dq_fico_801"/>
    <x v="841"/>
    <n v="1"/>
    <n v="1"/>
    <n v="490"/>
    <n v="910"/>
  </r>
  <r>
    <x v="55"/>
    <s v="conventional_default_dq_fico_802"/>
    <x v="842"/>
    <n v="1"/>
    <n v="1"/>
    <n v="490"/>
    <n v="910"/>
  </r>
  <r>
    <x v="55"/>
    <s v="conventional_default_dq_fico_803"/>
    <x v="843"/>
    <n v="1"/>
    <n v="1"/>
    <n v="490"/>
    <n v="910"/>
  </r>
  <r>
    <x v="55"/>
    <s v="conventional_default_dq_fico_804"/>
    <x v="844"/>
    <n v="1"/>
    <n v="1"/>
    <n v="490"/>
    <n v="910"/>
  </r>
  <r>
    <x v="55"/>
    <s v="conventional_default_dq_fico_805"/>
    <x v="845"/>
    <n v="1"/>
    <n v="1"/>
    <n v="490"/>
    <n v="910"/>
  </r>
  <r>
    <x v="55"/>
    <s v="conventional_default_dq_fico_806"/>
    <x v="846"/>
    <n v="1"/>
    <n v="1"/>
    <n v="490"/>
    <n v="910"/>
  </r>
  <r>
    <x v="55"/>
    <s v="conventional_default_dq_fico_807"/>
    <x v="847"/>
    <n v="1"/>
    <n v="1"/>
    <n v="490"/>
    <n v="910"/>
  </r>
  <r>
    <x v="55"/>
    <s v="conventional_default_dq_fico_808"/>
    <x v="848"/>
    <n v="1"/>
    <n v="1"/>
    <n v="490"/>
    <n v="910"/>
  </r>
  <r>
    <x v="55"/>
    <s v="conventional_default_dq_fico_809"/>
    <x v="849"/>
    <n v="1"/>
    <n v="1"/>
    <n v="490"/>
    <n v="910"/>
  </r>
  <r>
    <x v="55"/>
    <s v="conventional_default_dq_fico_810"/>
    <x v="850"/>
    <n v="1"/>
    <n v="1"/>
    <n v="490"/>
    <n v="910"/>
  </r>
  <r>
    <x v="55"/>
    <s v="conventional_default_dq_fico_811"/>
    <x v="851"/>
    <n v="1"/>
    <n v="1"/>
    <n v="490"/>
    <n v="910"/>
  </r>
  <r>
    <x v="55"/>
    <s v="conventional_default_dq_fico_812"/>
    <x v="852"/>
    <n v="1"/>
    <n v="1"/>
    <n v="490"/>
    <n v="910"/>
  </r>
  <r>
    <x v="55"/>
    <s v="conventional_default_dq_fico_813"/>
    <x v="853"/>
    <n v="1"/>
    <n v="1"/>
    <n v="490"/>
    <n v="910"/>
  </r>
  <r>
    <x v="55"/>
    <s v="conventional_default_dq_fico_814"/>
    <x v="854"/>
    <n v="1"/>
    <n v="1"/>
    <n v="490"/>
    <n v="910"/>
  </r>
  <r>
    <x v="55"/>
    <s v="conventional_default_dq_fico_815"/>
    <x v="855"/>
    <n v="1"/>
    <n v="1"/>
    <n v="490"/>
    <n v="910"/>
  </r>
  <r>
    <x v="55"/>
    <s v="conventional_default_dq_fico_816"/>
    <x v="856"/>
    <n v="1"/>
    <n v="1"/>
    <n v="490"/>
    <n v="910"/>
  </r>
  <r>
    <x v="55"/>
    <s v="conventional_default_dq_fico_817"/>
    <x v="857"/>
    <n v="1"/>
    <n v="1"/>
    <n v="490"/>
    <n v="910"/>
  </r>
  <r>
    <x v="55"/>
    <s v="conventional_default_dq_fico_818"/>
    <x v="858"/>
    <n v="1"/>
    <n v="1"/>
    <n v="490"/>
    <n v="910"/>
  </r>
  <r>
    <x v="55"/>
    <s v="conventional_default_dq_fico_819"/>
    <x v="859"/>
    <n v="1"/>
    <n v="1"/>
    <n v="490"/>
    <n v="910"/>
  </r>
  <r>
    <x v="55"/>
    <s v="conventional_default_dq_fico_820"/>
    <x v="860"/>
    <n v="1"/>
    <n v="1"/>
    <n v="490"/>
    <n v="910"/>
  </r>
  <r>
    <x v="55"/>
    <s v="conventional_default_dq_fico_821"/>
    <x v="861"/>
    <n v="1"/>
    <n v="1"/>
    <n v="490"/>
    <n v="910"/>
  </r>
  <r>
    <x v="55"/>
    <s v="conventional_default_dq_fico_822"/>
    <x v="862"/>
    <n v="1"/>
    <n v="1"/>
    <n v="490"/>
    <n v="910"/>
  </r>
  <r>
    <x v="55"/>
    <s v="conventional_default_dq_fico_823"/>
    <x v="863"/>
    <n v="1"/>
    <n v="1"/>
    <n v="490"/>
    <n v="910"/>
  </r>
  <r>
    <x v="55"/>
    <s v="conventional_default_dq_fico_824"/>
    <x v="864"/>
    <n v="1"/>
    <n v="1"/>
    <n v="490"/>
    <n v="910"/>
  </r>
  <r>
    <x v="55"/>
    <s v="conventional_default_dq_fico_825"/>
    <x v="865"/>
    <n v="1"/>
    <n v="1"/>
    <n v="490"/>
    <n v="910"/>
  </r>
  <r>
    <x v="55"/>
    <s v="conventional_default_dq_fico_826"/>
    <x v="866"/>
    <n v="1"/>
    <n v="1"/>
    <n v="490"/>
    <n v="910"/>
  </r>
  <r>
    <x v="55"/>
    <s v="conventional_default_dq_fico_827"/>
    <x v="867"/>
    <n v="1"/>
    <n v="1"/>
    <n v="490"/>
    <n v="910"/>
  </r>
  <r>
    <x v="55"/>
    <s v="conventional_default_dq_fico_828"/>
    <x v="868"/>
    <n v="1"/>
    <n v="1"/>
    <n v="490"/>
    <n v="910"/>
  </r>
  <r>
    <x v="55"/>
    <s v="conventional_default_dq_fico_829"/>
    <x v="869"/>
    <n v="1"/>
    <n v="1"/>
    <n v="490"/>
    <n v="910"/>
  </r>
  <r>
    <x v="55"/>
    <s v="conventional_default_dq_fico_830"/>
    <x v="870"/>
    <n v="1"/>
    <n v="1"/>
    <n v="490"/>
    <n v="910"/>
  </r>
  <r>
    <x v="55"/>
    <s v="conventional_default_dq_fico_831"/>
    <x v="871"/>
    <n v="1"/>
    <n v="1"/>
    <n v="490"/>
    <n v="910"/>
  </r>
  <r>
    <x v="55"/>
    <s v="conventional_default_dq_fico_832"/>
    <x v="872"/>
    <n v="1"/>
    <n v="1"/>
    <n v="490"/>
    <n v="910"/>
  </r>
  <r>
    <x v="55"/>
    <s v="conventional_default_dq_fico_833"/>
    <x v="873"/>
    <n v="1"/>
    <n v="1"/>
    <n v="490"/>
    <n v="910"/>
  </r>
  <r>
    <x v="55"/>
    <s v="conventional_default_dq_fico_834"/>
    <x v="874"/>
    <n v="1"/>
    <n v="1"/>
    <n v="490"/>
    <n v="910"/>
  </r>
  <r>
    <x v="55"/>
    <s v="conventional_default_dq_fico_835"/>
    <x v="875"/>
    <n v="1"/>
    <n v="1"/>
    <n v="490"/>
    <n v="910"/>
  </r>
  <r>
    <x v="55"/>
    <s v="conventional_default_dq_fico_836"/>
    <x v="876"/>
    <n v="1"/>
    <n v="1"/>
    <n v="490"/>
    <n v="910"/>
  </r>
  <r>
    <x v="55"/>
    <s v="conventional_default_dq_fico_837"/>
    <x v="877"/>
    <n v="1"/>
    <n v="1"/>
    <n v="490"/>
    <n v="910"/>
  </r>
  <r>
    <x v="55"/>
    <s v="conventional_default_dq_fico_838"/>
    <x v="878"/>
    <n v="1"/>
    <n v="1"/>
    <n v="490"/>
    <n v="910"/>
  </r>
  <r>
    <x v="55"/>
    <s v="conventional_default_dq_fico_839"/>
    <x v="879"/>
    <n v="1"/>
    <n v="1"/>
    <n v="490"/>
    <n v="910"/>
  </r>
  <r>
    <x v="55"/>
    <s v="conventional_default_dq_fico_840"/>
    <x v="880"/>
    <n v="1"/>
    <n v="1"/>
    <n v="490"/>
    <n v="910"/>
  </r>
  <r>
    <x v="55"/>
    <s v="conventional_default_dq_fico_841"/>
    <x v="881"/>
    <n v="1"/>
    <n v="1"/>
    <n v="490"/>
    <n v="910"/>
  </r>
  <r>
    <x v="55"/>
    <s v="conventional_default_dq_fico_842"/>
    <x v="882"/>
    <n v="1"/>
    <n v="1"/>
    <n v="490"/>
    <n v="910"/>
  </r>
  <r>
    <x v="55"/>
    <s v="conventional_default_dq_fico_843"/>
    <x v="883"/>
    <n v="1"/>
    <n v="1"/>
    <n v="490"/>
    <n v="910"/>
  </r>
  <r>
    <x v="55"/>
    <s v="conventional_default_dq_fico_844"/>
    <x v="884"/>
    <n v="1"/>
    <n v="1"/>
    <n v="490"/>
    <n v="910"/>
  </r>
  <r>
    <x v="55"/>
    <s v="conventional_default_dq_fico_845"/>
    <x v="885"/>
    <n v="1"/>
    <n v="1"/>
    <n v="490"/>
    <n v="910"/>
  </r>
  <r>
    <x v="55"/>
    <s v="conventional_default_dq_fico_846"/>
    <x v="886"/>
    <n v="1"/>
    <n v="1"/>
    <n v="490"/>
    <n v="910"/>
  </r>
  <r>
    <x v="55"/>
    <s v="conventional_default_dq_fico_847"/>
    <x v="887"/>
    <n v="1"/>
    <n v="1"/>
    <n v="490"/>
    <n v="910"/>
  </r>
  <r>
    <x v="55"/>
    <s v="conventional_default_dq_fico_848"/>
    <x v="888"/>
    <n v="1"/>
    <n v="1"/>
    <n v="490"/>
    <n v="910"/>
  </r>
  <r>
    <x v="55"/>
    <s v="conventional_default_dq_fico_849"/>
    <x v="889"/>
    <n v="1"/>
    <n v="1"/>
    <n v="490"/>
    <n v="910"/>
  </r>
  <r>
    <x v="55"/>
    <s v="conventional_default_dq_fico_850"/>
    <x v="890"/>
    <n v="1"/>
    <n v="1"/>
    <n v="490"/>
    <n v="910"/>
  </r>
  <r>
    <x v="55"/>
    <s v="conventional_default_dq_fico_851"/>
    <x v="891"/>
    <n v="1"/>
    <n v="1"/>
    <n v="490"/>
    <n v="910"/>
  </r>
  <r>
    <x v="55"/>
    <s v="conventional_default_dq_fico_852"/>
    <x v="892"/>
    <n v="1"/>
    <n v="1"/>
    <n v="490"/>
    <n v="910"/>
  </r>
  <r>
    <x v="55"/>
    <s v="conventional_default_dq_fico_853"/>
    <x v="893"/>
    <n v="1"/>
    <n v="1"/>
    <n v="490"/>
    <n v="910"/>
  </r>
  <r>
    <x v="55"/>
    <s v="conventional_default_dq_fico_854"/>
    <x v="894"/>
    <n v="1"/>
    <n v="1"/>
    <n v="490"/>
    <n v="910"/>
  </r>
  <r>
    <x v="55"/>
    <s v="conventional_default_dq_fico_855"/>
    <x v="895"/>
    <n v="1"/>
    <n v="1"/>
    <n v="490"/>
    <n v="910"/>
  </r>
  <r>
    <x v="55"/>
    <s v="conventional_default_dq_fico_856"/>
    <x v="896"/>
    <n v="1"/>
    <n v="1"/>
    <n v="490"/>
    <n v="910"/>
  </r>
  <r>
    <x v="55"/>
    <s v="conventional_default_dq_fico_857"/>
    <x v="897"/>
    <n v="1"/>
    <n v="1"/>
    <n v="490"/>
    <n v="910"/>
  </r>
  <r>
    <x v="55"/>
    <s v="conventional_default_dq_fico_858"/>
    <x v="898"/>
    <n v="1"/>
    <n v="1"/>
    <n v="490"/>
    <n v="910"/>
  </r>
  <r>
    <x v="55"/>
    <s v="conventional_default_dq_fico_859"/>
    <x v="899"/>
    <n v="1"/>
    <n v="1"/>
    <n v="490"/>
    <n v="910"/>
  </r>
  <r>
    <x v="55"/>
    <s v="conventional_default_dq_fico_860"/>
    <x v="900"/>
    <n v="1"/>
    <n v="1"/>
    <n v="490"/>
    <n v="910"/>
  </r>
  <r>
    <x v="55"/>
    <s v="conventional_default_dq_fico_861"/>
    <x v="901"/>
    <n v="1"/>
    <n v="1"/>
    <n v="490"/>
    <n v="910"/>
  </r>
  <r>
    <x v="55"/>
    <s v="conventional_default_dq_fico_862"/>
    <x v="902"/>
    <n v="1"/>
    <n v="1"/>
    <n v="490"/>
    <n v="910"/>
  </r>
  <r>
    <x v="55"/>
    <s v="conventional_default_dq_fico_863"/>
    <x v="903"/>
    <n v="1"/>
    <n v="1"/>
    <n v="490"/>
    <n v="910"/>
  </r>
  <r>
    <x v="55"/>
    <s v="conventional_default_dq_fico_864"/>
    <x v="904"/>
    <n v="1"/>
    <n v="1"/>
    <n v="490"/>
    <n v="910"/>
  </r>
  <r>
    <x v="55"/>
    <s v="conventional_default_dq_fico_865"/>
    <x v="905"/>
    <n v="1"/>
    <n v="1"/>
    <n v="490"/>
    <n v="910"/>
  </r>
  <r>
    <x v="55"/>
    <s v="conventional_default_dq_fico_866"/>
    <x v="906"/>
    <n v="1"/>
    <n v="1"/>
    <n v="490"/>
    <n v="910"/>
  </r>
  <r>
    <x v="55"/>
    <s v="conventional_default_dq_fico_867"/>
    <x v="907"/>
    <n v="1"/>
    <n v="1"/>
    <n v="490"/>
    <n v="910"/>
  </r>
  <r>
    <x v="55"/>
    <s v="conventional_default_dq_fico_868"/>
    <x v="908"/>
    <n v="1"/>
    <n v="1"/>
    <n v="490"/>
    <n v="910"/>
  </r>
  <r>
    <x v="55"/>
    <s v="conventional_default_dq_fico_869"/>
    <x v="909"/>
    <n v="1"/>
    <n v="1"/>
    <n v="490"/>
    <n v="910"/>
  </r>
  <r>
    <x v="55"/>
    <s v="conventional_default_dq_fico_870"/>
    <x v="910"/>
    <n v="1"/>
    <n v="1"/>
    <n v="490"/>
    <n v="910"/>
  </r>
  <r>
    <x v="55"/>
    <s v="conventional_default_dq_fico_871"/>
    <x v="911"/>
    <n v="1"/>
    <n v="1"/>
    <n v="490"/>
    <n v="910"/>
  </r>
  <r>
    <x v="55"/>
    <s v="conventional_default_dq_fico_872"/>
    <x v="912"/>
    <n v="1"/>
    <n v="1"/>
    <n v="490"/>
    <n v="910"/>
  </r>
  <r>
    <x v="55"/>
    <s v="conventional_default_dq_fico_873"/>
    <x v="913"/>
    <n v="1"/>
    <n v="1"/>
    <n v="490"/>
    <n v="910"/>
  </r>
  <r>
    <x v="55"/>
    <s v="conventional_default_dq_fico_874"/>
    <x v="914"/>
    <n v="1"/>
    <n v="1"/>
    <n v="490"/>
    <n v="910"/>
  </r>
  <r>
    <x v="55"/>
    <s v="conventional_default_dq_fico_875"/>
    <x v="915"/>
    <n v="1"/>
    <n v="1"/>
    <n v="490"/>
    <n v="910"/>
  </r>
  <r>
    <x v="55"/>
    <s v="conventional_default_dq_fico_876"/>
    <x v="916"/>
    <n v="1"/>
    <n v="1"/>
    <n v="490"/>
    <n v="910"/>
  </r>
  <r>
    <x v="55"/>
    <s v="conventional_default_dq_fico_877"/>
    <x v="917"/>
    <n v="1"/>
    <n v="1"/>
    <n v="490"/>
    <n v="910"/>
  </r>
  <r>
    <x v="55"/>
    <s v="conventional_default_dq_fico_878"/>
    <x v="918"/>
    <n v="1"/>
    <n v="1"/>
    <n v="490"/>
    <n v="910"/>
  </r>
  <r>
    <x v="55"/>
    <s v="conventional_default_dq_fico_879"/>
    <x v="919"/>
    <n v="1"/>
    <n v="1"/>
    <n v="490"/>
    <n v="910"/>
  </r>
  <r>
    <x v="55"/>
    <s v="conventional_default_dq_fico_880"/>
    <x v="920"/>
    <n v="1"/>
    <n v="1"/>
    <n v="490"/>
    <n v="910"/>
  </r>
  <r>
    <x v="55"/>
    <s v="conventional_default_dq_fico_881"/>
    <x v="921"/>
    <n v="1"/>
    <n v="1"/>
    <n v="490"/>
    <n v="910"/>
  </r>
  <r>
    <x v="55"/>
    <s v="conventional_default_dq_fico_882"/>
    <x v="922"/>
    <n v="1"/>
    <n v="1"/>
    <n v="490"/>
    <n v="910"/>
  </r>
  <r>
    <x v="55"/>
    <s v="conventional_default_dq_fico_883"/>
    <x v="923"/>
    <n v="1"/>
    <n v="1"/>
    <n v="490"/>
    <n v="910"/>
  </r>
  <r>
    <x v="55"/>
    <s v="conventional_default_dq_fico_884"/>
    <x v="924"/>
    <n v="1"/>
    <n v="1"/>
    <n v="490"/>
    <n v="910"/>
  </r>
  <r>
    <x v="55"/>
    <s v="conventional_default_dq_fico_885"/>
    <x v="925"/>
    <n v="1"/>
    <n v="1"/>
    <n v="490"/>
    <n v="910"/>
  </r>
  <r>
    <x v="55"/>
    <s v="conventional_default_dq_fico_886"/>
    <x v="926"/>
    <n v="1"/>
    <n v="1"/>
    <n v="490"/>
    <n v="910"/>
  </r>
  <r>
    <x v="55"/>
    <s v="conventional_default_dq_fico_887"/>
    <x v="927"/>
    <n v="1"/>
    <n v="1"/>
    <n v="490"/>
    <n v="910"/>
  </r>
  <r>
    <x v="55"/>
    <s v="conventional_default_dq_fico_888"/>
    <x v="928"/>
    <n v="1"/>
    <n v="1"/>
    <n v="490"/>
    <n v="910"/>
  </r>
  <r>
    <x v="55"/>
    <s v="conventional_default_dq_fico_889"/>
    <x v="929"/>
    <n v="1"/>
    <n v="1"/>
    <n v="490"/>
    <n v="910"/>
  </r>
  <r>
    <x v="55"/>
    <s v="conventional_default_dq_fico_890"/>
    <x v="930"/>
    <n v="1"/>
    <n v="1"/>
    <n v="490"/>
    <n v="910"/>
  </r>
  <r>
    <x v="55"/>
    <s v="conventional_default_dq_fico_891"/>
    <x v="931"/>
    <n v="1"/>
    <n v="1"/>
    <n v="490"/>
    <n v="910"/>
  </r>
  <r>
    <x v="55"/>
    <s v="conventional_default_dq_fico_892"/>
    <x v="932"/>
    <n v="1"/>
    <n v="1"/>
    <n v="490"/>
    <n v="910"/>
  </r>
  <r>
    <x v="55"/>
    <s v="conventional_default_dq_fico_893"/>
    <x v="933"/>
    <n v="1"/>
    <n v="1"/>
    <n v="490"/>
    <n v="910"/>
  </r>
  <r>
    <x v="55"/>
    <s v="conventional_default_dq_fico_894"/>
    <x v="934"/>
    <n v="1"/>
    <n v="1"/>
    <n v="490"/>
    <n v="910"/>
  </r>
  <r>
    <x v="55"/>
    <s v="conventional_default_dq_fico_895"/>
    <x v="935"/>
    <n v="1"/>
    <n v="1"/>
    <n v="490"/>
    <n v="910"/>
  </r>
  <r>
    <x v="55"/>
    <s v="conventional_default_dq_fico_896"/>
    <x v="936"/>
    <n v="1"/>
    <n v="1"/>
    <n v="490"/>
    <n v="910"/>
  </r>
  <r>
    <x v="55"/>
    <s v="conventional_default_dq_fico_897"/>
    <x v="937"/>
    <n v="1"/>
    <n v="1"/>
    <n v="490"/>
    <n v="910"/>
  </r>
  <r>
    <x v="55"/>
    <s v="conventional_default_dq_fico_898"/>
    <x v="938"/>
    <n v="1"/>
    <n v="1"/>
    <n v="490"/>
    <n v="910"/>
  </r>
  <r>
    <x v="55"/>
    <s v="conventional_default_dq_fico_899"/>
    <x v="939"/>
    <n v="1"/>
    <n v="1"/>
    <n v="490"/>
    <n v="910"/>
  </r>
  <r>
    <x v="55"/>
    <s v="conventional_default_dq_fico_900"/>
    <x v="940"/>
    <n v="1"/>
    <n v="1"/>
    <n v="490"/>
    <n v="910"/>
  </r>
  <r>
    <x v="55"/>
    <s v="conventional_default_dq_fico_901"/>
    <x v="941"/>
    <n v="1"/>
    <n v="1"/>
    <n v="490"/>
    <n v="910"/>
  </r>
  <r>
    <x v="55"/>
    <s v="conventional_default_dq_fico_902"/>
    <x v="942"/>
    <n v="1"/>
    <n v="1"/>
    <n v="490"/>
    <n v="910"/>
  </r>
  <r>
    <x v="55"/>
    <s v="conventional_default_dq_fico_903"/>
    <x v="943"/>
    <n v="1"/>
    <n v="1"/>
    <n v="490"/>
    <n v="910"/>
  </r>
  <r>
    <x v="55"/>
    <s v="conventional_default_dq_fico_904"/>
    <x v="944"/>
    <n v="1"/>
    <n v="1"/>
    <n v="490"/>
    <n v="910"/>
  </r>
  <r>
    <x v="55"/>
    <s v="conventional_default_dq_fico_905"/>
    <x v="945"/>
    <n v="1"/>
    <n v="1"/>
    <n v="490"/>
    <n v="910"/>
  </r>
  <r>
    <x v="55"/>
    <s v="conventional_default_dq_fico_906"/>
    <x v="946"/>
    <n v="1"/>
    <n v="1"/>
    <n v="490"/>
    <n v="910"/>
  </r>
  <r>
    <x v="55"/>
    <s v="conventional_default_dq_fico_907"/>
    <x v="947"/>
    <n v="1"/>
    <n v="1"/>
    <n v="490"/>
    <n v="910"/>
  </r>
  <r>
    <x v="55"/>
    <s v="conventional_default_dq_fico_908"/>
    <x v="948"/>
    <n v="1"/>
    <n v="1"/>
    <n v="490"/>
    <n v="910"/>
  </r>
  <r>
    <x v="55"/>
    <s v="conventional_default_dq_fico_909"/>
    <x v="949"/>
    <n v="1"/>
    <n v="1"/>
    <n v="490"/>
    <n v="910"/>
  </r>
  <r>
    <x v="55"/>
    <s v="conventional_default_dq_fico_910"/>
    <x v="950"/>
    <n v="1"/>
    <n v="1"/>
    <n v="490"/>
    <n v="910"/>
  </r>
  <r>
    <x v="56"/>
    <s v="conventional_curtailment_wala_-13"/>
    <x v="27"/>
    <n v="1"/>
    <n v="1"/>
    <n v="-13"/>
    <n v="76"/>
  </r>
  <r>
    <x v="56"/>
    <s v="conventional_curtailment_wala_-12"/>
    <x v="28"/>
    <n v="1"/>
    <n v="1"/>
    <n v="-13"/>
    <n v="76"/>
  </r>
  <r>
    <x v="56"/>
    <s v="conventional_curtailment_wala_-11"/>
    <x v="29"/>
    <n v="1"/>
    <n v="1"/>
    <n v="-13"/>
    <n v="76"/>
  </r>
  <r>
    <x v="56"/>
    <s v="conventional_curtailment_wala_-10"/>
    <x v="30"/>
    <n v="1"/>
    <n v="1"/>
    <n v="-13"/>
    <n v="76"/>
  </r>
  <r>
    <x v="56"/>
    <s v="conventional_curtailment_wala_-9"/>
    <x v="31"/>
    <n v="1"/>
    <n v="1"/>
    <n v="-13"/>
    <n v="76"/>
  </r>
  <r>
    <x v="56"/>
    <s v="conventional_curtailment_wala_-8"/>
    <x v="32"/>
    <n v="1"/>
    <n v="1"/>
    <n v="-13"/>
    <n v="76"/>
  </r>
  <r>
    <x v="56"/>
    <s v="conventional_curtailment_wala_-7"/>
    <x v="33"/>
    <n v="1"/>
    <n v="1"/>
    <n v="-13"/>
    <n v="76"/>
  </r>
  <r>
    <x v="56"/>
    <s v="conventional_curtailment_wala_-6"/>
    <x v="34"/>
    <n v="1"/>
    <n v="1"/>
    <n v="-13"/>
    <n v="76"/>
  </r>
  <r>
    <x v="56"/>
    <s v="conventional_curtailment_wala_-5"/>
    <x v="35"/>
    <n v="1"/>
    <n v="1"/>
    <n v="-13"/>
    <n v="76"/>
  </r>
  <r>
    <x v="56"/>
    <s v="conventional_curtailment_wala_-4"/>
    <x v="36"/>
    <n v="1"/>
    <n v="1"/>
    <n v="-13"/>
    <n v="76"/>
  </r>
  <r>
    <x v="56"/>
    <s v="conventional_curtailment_wala_-3"/>
    <x v="37"/>
    <n v="1"/>
    <n v="1"/>
    <n v="-13"/>
    <n v="76"/>
  </r>
  <r>
    <x v="56"/>
    <s v="conventional_curtailment_wala_-2"/>
    <x v="38"/>
    <n v="1"/>
    <n v="1"/>
    <n v="-13"/>
    <n v="76"/>
  </r>
  <r>
    <x v="56"/>
    <s v="conventional_curtailment_wala_-1"/>
    <x v="39"/>
    <n v="1"/>
    <n v="1"/>
    <n v="-13"/>
    <n v="76"/>
  </r>
  <r>
    <x v="56"/>
    <s v="conventional_curtailment_wala_0"/>
    <x v="40"/>
    <n v="1"/>
    <n v="1"/>
    <n v="-13"/>
    <n v="76"/>
  </r>
  <r>
    <x v="56"/>
    <s v="conventional_curtailment_wala_1"/>
    <x v="41"/>
    <n v="1"/>
    <n v="1"/>
    <n v="-13"/>
    <n v="76"/>
  </r>
  <r>
    <x v="56"/>
    <s v="conventional_curtailment_wala_2"/>
    <x v="42"/>
    <n v="1"/>
    <n v="1"/>
    <n v="-13"/>
    <n v="76"/>
  </r>
  <r>
    <x v="56"/>
    <s v="conventional_curtailment_wala_3"/>
    <x v="43"/>
    <n v="1"/>
    <n v="1"/>
    <n v="-13"/>
    <n v="76"/>
  </r>
  <r>
    <x v="56"/>
    <s v="conventional_curtailment_wala_4"/>
    <x v="44"/>
    <n v="1"/>
    <n v="1"/>
    <n v="-13"/>
    <n v="76"/>
  </r>
  <r>
    <x v="56"/>
    <s v="conventional_curtailment_wala_5"/>
    <x v="45"/>
    <n v="1"/>
    <n v="1"/>
    <n v="-13"/>
    <n v="76"/>
  </r>
  <r>
    <x v="56"/>
    <s v="conventional_curtailment_wala_6"/>
    <x v="46"/>
    <n v="1"/>
    <n v="1"/>
    <n v="-13"/>
    <n v="76"/>
  </r>
  <r>
    <x v="56"/>
    <s v="conventional_curtailment_wala_7"/>
    <x v="47"/>
    <n v="1"/>
    <n v="1"/>
    <n v="-13"/>
    <n v="76"/>
  </r>
  <r>
    <x v="56"/>
    <s v="conventional_curtailment_wala_8"/>
    <x v="48"/>
    <n v="1"/>
    <n v="1"/>
    <n v="-13"/>
    <n v="76"/>
  </r>
  <r>
    <x v="56"/>
    <s v="conventional_curtailment_wala_9"/>
    <x v="49"/>
    <n v="1"/>
    <n v="1"/>
    <n v="-13"/>
    <n v="76"/>
  </r>
  <r>
    <x v="56"/>
    <s v="conventional_curtailment_wala_10"/>
    <x v="50"/>
    <n v="1"/>
    <n v="1"/>
    <n v="-13"/>
    <n v="76"/>
  </r>
  <r>
    <x v="56"/>
    <s v="conventional_curtailment_wala_11"/>
    <x v="51"/>
    <n v="1"/>
    <n v="1"/>
    <n v="-13"/>
    <n v="76"/>
  </r>
  <r>
    <x v="56"/>
    <s v="conventional_curtailment_wala_12"/>
    <x v="52"/>
    <n v="1"/>
    <n v="1"/>
    <n v="-13"/>
    <n v="76"/>
  </r>
  <r>
    <x v="56"/>
    <s v="conventional_curtailment_wala_13"/>
    <x v="53"/>
    <n v="1"/>
    <n v="1"/>
    <n v="-13"/>
    <n v="76"/>
  </r>
  <r>
    <x v="56"/>
    <s v="conventional_curtailment_wala_14"/>
    <x v="54"/>
    <n v="1"/>
    <n v="1"/>
    <n v="-13"/>
    <n v="76"/>
  </r>
  <r>
    <x v="56"/>
    <s v="conventional_curtailment_wala_15"/>
    <x v="55"/>
    <n v="1"/>
    <n v="1"/>
    <n v="-13"/>
    <n v="76"/>
  </r>
  <r>
    <x v="56"/>
    <s v="conventional_curtailment_wala_16"/>
    <x v="56"/>
    <n v="1"/>
    <n v="1"/>
    <n v="-13"/>
    <n v="76"/>
  </r>
  <r>
    <x v="56"/>
    <s v="conventional_curtailment_wala_17"/>
    <x v="57"/>
    <n v="1"/>
    <n v="1"/>
    <n v="-13"/>
    <n v="76"/>
  </r>
  <r>
    <x v="56"/>
    <s v="conventional_curtailment_wala_18"/>
    <x v="58"/>
    <n v="1"/>
    <n v="1"/>
    <n v="-13"/>
    <n v="76"/>
  </r>
  <r>
    <x v="56"/>
    <s v="conventional_curtailment_wala_19"/>
    <x v="59"/>
    <n v="1"/>
    <n v="1"/>
    <n v="-13"/>
    <n v="76"/>
  </r>
  <r>
    <x v="56"/>
    <s v="conventional_curtailment_wala_20"/>
    <x v="60"/>
    <n v="1"/>
    <n v="1"/>
    <n v="-13"/>
    <n v="76"/>
  </r>
  <r>
    <x v="56"/>
    <s v="conventional_curtailment_wala_21"/>
    <x v="61"/>
    <n v="1"/>
    <n v="1"/>
    <n v="-13"/>
    <n v="76"/>
  </r>
  <r>
    <x v="56"/>
    <s v="conventional_curtailment_wala_22"/>
    <x v="62"/>
    <n v="1"/>
    <n v="1"/>
    <n v="-13"/>
    <n v="76"/>
  </r>
  <r>
    <x v="56"/>
    <s v="conventional_curtailment_wala_23"/>
    <x v="63"/>
    <n v="1"/>
    <n v="1"/>
    <n v="-13"/>
    <n v="76"/>
  </r>
  <r>
    <x v="56"/>
    <s v="conventional_curtailment_wala_24"/>
    <x v="64"/>
    <n v="1"/>
    <n v="1"/>
    <n v="-13"/>
    <n v="76"/>
  </r>
  <r>
    <x v="56"/>
    <s v="conventional_curtailment_wala_25"/>
    <x v="65"/>
    <n v="1"/>
    <n v="1"/>
    <n v="-13"/>
    <n v="76"/>
  </r>
  <r>
    <x v="56"/>
    <s v="conventional_curtailment_wala_26"/>
    <x v="66"/>
    <n v="1"/>
    <n v="1"/>
    <n v="-13"/>
    <n v="76"/>
  </r>
  <r>
    <x v="56"/>
    <s v="conventional_curtailment_wala_27"/>
    <x v="67"/>
    <n v="1"/>
    <n v="1"/>
    <n v="-13"/>
    <n v="76"/>
  </r>
  <r>
    <x v="56"/>
    <s v="conventional_curtailment_wala_28"/>
    <x v="68"/>
    <n v="1"/>
    <n v="1"/>
    <n v="-13"/>
    <n v="76"/>
  </r>
  <r>
    <x v="56"/>
    <s v="conventional_curtailment_wala_29"/>
    <x v="69"/>
    <n v="1"/>
    <n v="1"/>
    <n v="-13"/>
    <n v="76"/>
  </r>
  <r>
    <x v="56"/>
    <s v="conventional_curtailment_wala_30"/>
    <x v="70"/>
    <n v="1"/>
    <n v="1"/>
    <n v="-13"/>
    <n v="76"/>
  </r>
  <r>
    <x v="56"/>
    <s v="conventional_curtailment_wala_31"/>
    <x v="71"/>
    <n v="1"/>
    <n v="1"/>
    <n v="-13"/>
    <n v="76"/>
  </r>
  <r>
    <x v="56"/>
    <s v="conventional_curtailment_wala_32"/>
    <x v="72"/>
    <n v="1"/>
    <n v="1"/>
    <n v="-13"/>
    <n v="76"/>
  </r>
  <r>
    <x v="56"/>
    <s v="conventional_curtailment_wala_33"/>
    <x v="73"/>
    <n v="1"/>
    <n v="1"/>
    <n v="-13"/>
    <n v="76"/>
  </r>
  <r>
    <x v="56"/>
    <s v="conventional_curtailment_wala_34"/>
    <x v="74"/>
    <n v="1"/>
    <n v="1"/>
    <n v="-13"/>
    <n v="76"/>
  </r>
  <r>
    <x v="56"/>
    <s v="conventional_curtailment_wala_35"/>
    <x v="75"/>
    <n v="1"/>
    <n v="1"/>
    <n v="-13"/>
    <n v="76"/>
  </r>
  <r>
    <x v="56"/>
    <s v="conventional_curtailment_wala_36"/>
    <x v="76"/>
    <n v="1"/>
    <n v="1"/>
    <n v="-13"/>
    <n v="76"/>
  </r>
  <r>
    <x v="56"/>
    <s v="conventional_curtailment_wala_37"/>
    <x v="77"/>
    <n v="1"/>
    <n v="1"/>
    <n v="-13"/>
    <n v="76"/>
  </r>
  <r>
    <x v="56"/>
    <s v="conventional_curtailment_wala_38"/>
    <x v="78"/>
    <n v="1"/>
    <n v="1"/>
    <n v="-13"/>
    <n v="76"/>
  </r>
  <r>
    <x v="56"/>
    <s v="conventional_curtailment_wala_39"/>
    <x v="79"/>
    <n v="1"/>
    <n v="1"/>
    <n v="-13"/>
    <n v="76"/>
  </r>
  <r>
    <x v="56"/>
    <s v="conventional_curtailment_wala_40"/>
    <x v="80"/>
    <n v="1"/>
    <n v="1"/>
    <n v="-13"/>
    <n v="76"/>
  </r>
  <r>
    <x v="56"/>
    <s v="conventional_curtailment_wala_41"/>
    <x v="81"/>
    <n v="1"/>
    <n v="1"/>
    <n v="-13"/>
    <n v="76"/>
  </r>
  <r>
    <x v="56"/>
    <s v="conventional_curtailment_wala_42"/>
    <x v="82"/>
    <n v="1"/>
    <n v="1"/>
    <n v="-13"/>
    <n v="76"/>
  </r>
  <r>
    <x v="56"/>
    <s v="conventional_curtailment_wala_43"/>
    <x v="83"/>
    <n v="1"/>
    <n v="1"/>
    <n v="-13"/>
    <n v="76"/>
  </r>
  <r>
    <x v="56"/>
    <s v="conventional_curtailment_wala_44"/>
    <x v="84"/>
    <n v="1"/>
    <n v="1"/>
    <n v="-13"/>
    <n v="76"/>
  </r>
  <r>
    <x v="56"/>
    <s v="conventional_curtailment_wala_45"/>
    <x v="85"/>
    <n v="1"/>
    <n v="1"/>
    <n v="-13"/>
    <n v="76"/>
  </r>
  <r>
    <x v="56"/>
    <s v="conventional_curtailment_wala_46"/>
    <x v="86"/>
    <n v="1"/>
    <n v="1"/>
    <n v="-13"/>
    <n v="76"/>
  </r>
  <r>
    <x v="56"/>
    <s v="conventional_curtailment_wala_47"/>
    <x v="87"/>
    <n v="1"/>
    <n v="1"/>
    <n v="-13"/>
    <n v="76"/>
  </r>
  <r>
    <x v="56"/>
    <s v="conventional_curtailment_wala_48"/>
    <x v="88"/>
    <n v="1"/>
    <n v="1"/>
    <n v="-13"/>
    <n v="76"/>
  </r>
  <r>
    <x v="56"/>
    <s v="conventional_curtailment_wala_49"/>
    <x v="89"/>
    <n v="1"/>
    <n v="1"/>
    <n v="-13"/>
    <n v="76"/>
  </r>
  <r>
    <x v="56"/>
    <s v="conventional_curtailment_wala_50"/>
    <x v="90"/>
    <n v="1"/>
    <n v="1"/>
    <n v="-13"/>
    <n v="76"/>
  </r>
  <r>
    <x v="56"/>
    <s v="conventional_curtailment_wala_51"/>
    <x v="91"/>
    <n v="1"/>
    <n v="1"/>
    <n v="-13"/>
    <n v="76"/>
  </r>
  <r>
    <x v="56"/>
    <s v="conventional_curtailment_wala_52"/>
    <x v="92"/>
    <n v="1"/>
    <n v="1"/>
    <n v="-13"/>
    <n v="76"/>
  </r>
  <r>
    <x v="56"/>
    <s v="conventional_curtailment_wala_53"/>
    <x v="93"/>
    <n v="1"/>
    <n v="1"/>
    <n v="-13"/>
    <n v="76"/>
  </r>
  <r>
    <x v="56"/>
    <s v="conventional_curtailment_wala_54"/>
    <x v="94"/>
    <n v="1"/>
    <n v="1"/>
    <n v="-13"/>
    <n v="76"/>
  </r>
  <r>
    <x v="56"/>
    <s v="conventional_curtailment_wala_55"/>
    <x v="95"/>
    <n v="1"/>
    <n v="1"/>
    <n v="-13"/>
    <n v="76"/>
  </r>
  <r>
    <x v="56"/>
    <s v="conventional_curtailment_wala_56"/>
    <x v="96"/>
    <n v="1"/>
    <n v="1"/>
    <n v="-13"/>
    <n v="76"/>
  </r>
  <r>
    <x v="56"/>
    <s v="conventional_curtailment_wala_57"/>
    <x v="97"/>
    <n v="1"/>
    <n v="1"/>
    <n v="-13"/>
    <n v="76"/>
  </r>
  <r>
    <x v="56"/>
    <s v="conventional_curtailment_wala_58"/>
    <x v="98"/>
    <n v="1"/>
    <n v="1"/>
    <n v="-13"/>
    <n v="76"/>
  </r>
  <r>
    <x v="56"/>
    <s v="conventional_curtailment_wala_59"/>
    <x v="99"/>
    <n v="1"/>
    <n v="1"/>
    <n v="-13"/>
    <n v="76"/>
  </r>
  <r>
    <x v="56"/>
    <s v="conventional_curtailment_wala_60"/>
    <x v="100"/>
    <n v="1"/>
    <n v="1"/>
    <n v="-13"/>
    <n v="76"/>
  </r>
  <r>
    <x v="56"/>
    <s v="conventional_curtailment_wala_61"/>
    <x v="101"/>
    <n v="1"/>
    <n v="1"/>
    <n v="-13"/>
    <n v="76"/>
  </r>
  <r>
    <x v="56"/>
    <s v="conventional_curtailment_wala_62"/>
    <x v="102"/>
    <n v="1"/>
    <n v="1"/>
    <n v="-13"/>
    <n v="76"/>
  </r>
  <r>
    <x v="56"/>
    <s v="conventional_curtailment_wala_63"/>
    <x v="103"/>
    <n v="1"/>
    <n v="1"/>
    <n v="-13"/>
    <n v="76"/>
  </r>
  <r>
    <x v="56"/>
    <s v="conventional_curtailment_wala_64"/>
    <x v="104"/>
    <n v="1"/>
    <n v="1"/>
    <n v="-13"/>
    <n v="76"/>
  </r>
  <r>
    <x v="56"/>
    <s v="conventional_curtailment_wala_65"/>
    <x v="105"/>
    <n v="1"/>
    <n v="1"/>
    <n v="-13"/>
    <n v="76"/>
  </r>
  <r>
    <x v="56"/>
    <s v="conventional_curtailment_wala_66"/>
    <x v="106"/>
    <n v="1"/>
    <n v="1"/>
    <n v="-13"/>
    <n v="76"/>
  </r>
  <r>
    <x v="56"/>
    <s v="conventional_curtailment_wala_67"/>
    <x v="107"/>
    <n v="1"/>
    <n v="1"/>
    <n v="-13"/>
    <n v="76"/>
  </r>
  <r>
    <x v="56"/>
    <s v="conventional_curtailment_wala_68"/>
    <x v="108"/>
    <n v="1"/>
    <n v="1"/>
    <n v="-13"/>
    <n v="76"/>
  </r>
  <r>
    <x v="56"/>
    <s v="conventional_curtailment_wala_69"/>
    <x v="109"/>
    <n v="1"/>
    <n v="1"/>
    <n v="-13"/>
    <n v="76"/>
  </r>
  <r>
    <x v="56"/>
    <s v="conventional_curtailment_wala_70"/>
    <x v="110"/>
    <n v="1"/>
    <n v="1"/>
    <n v="-13"/>
    <n v="76"/>
  </r>
  <r>
    <x v="56"/>
    <s v="conventional_curtailment_wala_71"/>
    <x v="111"/>
    <n v="1"/>
    <n v="1"/>
    <n v="-13"/>
    <n v="76"/>
  </r>
  <r>
    <x v="56"/>
    <s v="conventional_curtailment_wala_72"/>
    <x v="112"/>
    <n v="1"/>
    <n v="1"/>
    <n v="-13"/>
    <n v="76"/>
  </r>
  <r>
    <x v="56"/>
    <s v="conventional_curtailment_wala_73"/>
    <x v="113"/>
    <n v="1"/>
    <n v="1"/>
    <n v="-13"/>
    <n v="76"/>
  </r>
  <r>
    <x v="56"/>
    <s v="conventional_curtailment_wala_74"/>
    <x v="114"/>
    <n v="1"/>
    <n v="1"/>
    <n v="-13"/>
    <n v="76"/>
  </r>
  <r>
    <x v="56"/>
    <s v="conventional_curtailment_wala_75"/>
    <x v="115"/>
    <n v="1"/>
    <n v="1"/>
    <n v="-13"/>
    <n v="76"/>
  </r>
  <r>
    <x v="56"/>
    <s v="conventional_curtailment_wala_76"/>
    <x v="116"/>
    <n v="1"/>
    <n v="1"/>
    <n v="-13"/>
    <n v="76"/>
  </r>
  <r>
    <x v="57"/>
    <s v="conventional_curtailment_wam_-72"/>
    <x v="1199"/>
    <n v="3.6505000000000003E-2"/>
    <n v="1"/>
    <n v="-72"/>
    <n v="432"/>
  </r>
  <r>
    <x v="57"/>
    <s v="conventional_curtailment_wam_-71"/>
    <x v="1200"/>
    <n v="3.6225791666666701E-2"/>
    <n v="1"/>
    <n v="-72"/>
    <n v="432"/>
  </r>
  <r>
    <x v="57"/>
    <s v="conventional_curtailment_wam_-70"/>
    <x v="1201"/>
    <n v="3.5946583333333303E-2"/>
    <n v="1"/>
    <n v="-72"/>
    <n v="432"/>
  </r>
  <r>
    <x v="57"/>
    <s v="conventional_curtailment_wam_-69"/>
    <x v="1202"/>
    <n v="3.5667375000000001E-2"/>
    <n v="1"/>
    <n v="-72"/>
    <n v="432"/>
  </r>
  <r>
    <x v="57"/>
    <s v="conventional_curtailment_wam_-68"/>
    <x v="1203"/>
    <n v="3.53881666666667E-2"/>
    <n v="1"/>
    <n v="-72"/>
    <n v="432"/>
  </r>
  <r>
    <x v="57"/>
    <s v="conventional_curtailment_wam_-67"/>
    <x v="1204"/>
    <n v="3.5108958333333301E-2"/>
    <n v="1"/>
    <n v="-72"/>
    <n v="432"/>
  </r>
  <r>
    <x v="57"/>
    <s v="conventional_curtailment_wam_-66"/>
    <x v="1205"/>
    <n v="3.482975E-2"/>
    <n v="1"/>
    <n v="-72"/>
    <n v="432"/>
  </r>
  <r>
    <x v="57"/>
    <s v="conventional_curtailment_wam_-65"/>
    <x v="1206"/>
    <n v="3.4550541666666698E-2"/>
    <n v="1"/>
    <n v="-72"/>
    <n v="432"/>
  </r>
  <r>
    <x v="57"/>
    <s v="conventional_curtailment_wam_-64"/>
    <x v="1207"/>
    <n v="3.42713333333333E-2"/>
    <n v="1"/>
    <n v="-72"/>
    <n v="432"/>
  </r>
  <r>
    <x v="57"/>
    <s v="conventional_curtailment_wam_-63"/>
    <x v="1208"/>
    <n v="3.3992124999999998E-2"/>
    <n v="1"/>
    <n v="-72"/>
    <n v="432"/>
  </r>
  <r>
    <x v="57"/>
    <s v="conventional_curtailment_wam_-62"/>
    <x v="1209"/>
    <n v="3.3712916666666697E-2"/>
    <n v="1"/>
    <n v="-72"/>
    <n v="432"/>
  </r>
  <r>
    <x v="57"/>
    <s v="conventional_curtailment_wam_-61"/>
    <x v="1210"/>
    <n v="3.3433708333333298E-2"/>
    <n v="1"/>
    <n v="-72"/>
    <n v="432"/>
  </r>
  <r>
    <x v="57"/>
    <s v="conventional_curtailment_wam_-60"/>
    <x v="1211"/>
    <n v="3.3154500000000003E-2"/>
    <n v="1"/>
    <n v="-72"/>
    <n v="432"/>
  </r>
  <r>
    <x v="57"/>
    <s v="conventional_curtailment_wam_-59"/>
    <x v="1212"/>
    <n v="3.2875291666666702E-2"/>
    <n v="1"/>
    <n v="-72"/>
    <n v="432"/>
  </r>
  <r>
    <x v="57"/>
    <s v="conventional_curtailment_wam_-58"/>
    <x v="1213"/>
    <n v="3.2596083333333303E-2"/>
    <n v="1"/>
    <n v="-72"/>
    <n v="432"/>
  </r>
  <r>
    <x v="57"/>
    <s v="conventional_curtailment_wam_-57"/>
    <x v="1214"/>
    <n v="3.2316875000000002E-2"/>
    <n v="1"/>
    <n v="-72"/>
    <n v="432"/>
  </r>
  <r>
    <x v="57"/>
    <s v="conventional_curtailment_wam_-56"/>
    <x v="1215"/>
    <n v="3.20376666666667E-2"/>
    <n v="1"/>
    <n v="-72"/>
    <n v="432"/>
  </r>
  <r>
    <x v="57"/>
    <s v="conventional_curtailment_wam_-55"/>
    <x v="1216"/>
    <n v="3.1758458333333302E-2"/>
    <n v="1"/>
    <n v="-72"/>
    <n v="432"/>
  </r>
  <r>
    <x v="57"/>
    <s v="conventional_curtailment_wam_-54"/>
    <x v="1217"/>
    <n v="3.147925E-2"/>
    <n v="1"/>
    <n v="-72"/>
    <n v="432"/>
  </r>
  <r>
    <x v="57"/>
    <s v="conventional_curtailment_wam_-53"/>
    <x v="1218"/>
    <n v="3.1200041666666699E-2"/>
    <n v="1"/>
    <n v="-72"/>
    <n v="432"/>
  </r>
  <r>
    <x v="57"/>
    <s v="conventional_curtailment_wam_-52"/>
    <x v="1219"/>
    <n v="3.09208333333333E-2"/>
    <n v="1"/>
    <n v="-72"/>
    <n v="432"/>
  </r>
  <r>
    <x v="57"/>
    <s v="conventional_curtailment_wam_-51"/>
    <x v="1220"/>
    <n v="3.0641624999999999E-2"/>
    <n v="1"/>
    <n v="-72"/>
    <n v="432"/>
  </r>
  <r>
    <x v="57"/>
    <s v="conventional_curtailment_wam_-50"/>
    <x v="1221"/>
    <n v="3.0362416666666701E-2"/>
    <n v="1"/>
    <n v="-72"/>
    <n v="432"/>
  </r>
  <r>
    <x v="57"/>
    <s v="conventional_curtailment_wam_-49"/>
    <x v="1222"/>
    <n v="3.0083208333333299E-2"/>
    <n v="1"/>
    <n v="-72"/>
    <n v="432"/>
  </r>
  <r>
    <x v="57"/>
    <s v="conventional_curtailment_wam_-48"/>
    <x v="1223"/>
    <n v="2.9804000000000001E-2"/>
    <n v="1"/>
    <n v="-72"/>
    <n v="432"/>
  </r>
  <r>
    <x v="57"/>
    <s v="conventional_curtailment_wam_-47"/>
    <x v="1224"/>
    <n v="2.9524791666666699E-2"/>
    <n v="1"/>
    <n v="-72"/>
    <n v="432"/>
  </r>
  <r>
    <x v="57"/>
    <s v="conventional_curtailment_wam_-46"/>
    <x v="1225"/>
    <n v="2.9245583333333301E-2"/>
    <n v="1"/>
    <n v="-72"/>
    <n v="432"/>
  </r>
  <r>
    <x v="57"/>
    <s v="conventional_curtailment_wam_-45"/>
    <x v="1226"/>
    <n v="2.8966374999999999E-2"/>
    <n v="1"/>
    <n v="-72"/>
    <n v="432"/>
  </r>
  <r>
    <x v="57"/>
    <s v="conventional_curtailment_wam_-44"/>
    <x v="1227"/>
    <n v="2.8687166666666701E-2"/>
    <n v="1"/>
    <n v="-72"/>
    <n v="432"/>
  </r>
  <r>
    <x v="57"/>
    <s v="conventional_curtailment_wam_-43"/>
    <x v="1228"/>
    <n v="2.8407958333333299E-2"/>
    <n v="1"/>
    <n v="-72"/>
    <n v="432"/>
  </r>
  <r>
    <x v="57"/>
    <s v="conventional_curtailment_wam_-42"/>
    <x v="1229"/>
    <n v="2.8128750000000001E-2"/>
    <n v="1"/>
    <n v="-72"/>
    <n v="432"/>
  </r>
  <r>
    <x v="57"/>
    <s v="conventional_curtailment_wam_-41"/>
    <x v="1230"/>
    <n v="2.78495416666667E-2"/>
    <n v="1"/>
    <n v="-72"/>
    <n v="432"/>
  </r>
  <r>
    <x v="57"/>
    <s v="conventional_curtailment_wam_-40"/>
    <x v="0"/>
    <n v="2.7570333333333301E-2"/>
    <n v="1"/>
    <n v="-72"/>
    <n v="432"/>
  </r>
  <r>
    <x v="57"/>
    <s v="conventional_curtailment_wam_-39"/>
    <x v="1"/>
    <n v="2.7291124999999999E-2"/>
    <n v="1"/>
    <n v="-72"/>
    <n v="432"/>
  </r>
  <r>
    <x v="57"/>
    <s v="conventional_curtailment_wam_-38"/>
    <x v="2"/>
    <n v="2.7011916666666701E-2"/>
    <n v="1"/>
    <n v="-72"/>
    <n v="432"/>
  </r>
  <r>
    <x v="57"/>
    <s v="conventional_curtailment_wam_-37"/>
    <x v="3"/>
    <n v="2.6732708333333299E-2"/>
    <n v="1"/>
    <n v="-72"/>
    <n v="432"/>
  </r>
  <r>
    <x v="57"/>
    <s v="conventional_curtailment_wam_-36"/>
    <x v="4"/>
    <n v="2.6453500000000001E-2"/>
    <n v="1"/>
    <n v="-72"/>
    <n v="432"/>
  </r>
  <r>
    <x v="57"/>
    <s v="conventional_curtailment_wam_-35"/>
    <x v="5"/>
    <n v="2.61742916666667E-2"/>
    <n v="1"/>
    <n v="-72"/>
    <n v="432"/>
  </r>
  <r>
    <x v="57"/>
    <s v="conventional_curtailment_wam_-34"/>
    <x v="6"/>
    <n v="2.5895083333333301E-2"/>
    <n v="1"/>
    <n v="-72"/>
    <n v="432"/>
  </r>
  <r>
    <x v="57"/>
    <s v="conventional_curtailment_wam_-33"/>
    <x v="7"/>
    <n v="2.5615875E-2"/>
    <n v="1"/>
    <n v="-72"/>
    <n v="432"/>
  </r>
  <r>
    <x v="57"/>
    <s v="conventional_curtailment_wam_-32"/>
    <x v="8"/>
    <n v="2.5336666666666698E-2"/>
    <n v="1"/>
    <n v="-72"/>
    <n v="432"/>
  </r>
  <r>
    <x v="57"/>
    <s v="conventional_curtailment_wam_-31"/>
    <x v="9"/>
    <n v="2.50574583333333E-2"/>
    <n v="1"/>
    <n v="-72"/>
    <n v="432"/>
  </r>
  <r>
    <x v="57"/>
    <s v="conventional_curtailment_wam_-30"/>
    <x v="10"/>
    <n v="2.4778250000000002E-2"/>
    <n v="1"/>
    <n v="-72"/>
    <n v="432"/>
  </r>
  <r>
    <x v="57"/>
    <s v="conventional_curtailment_wam_-29"/>
    <x v="11"/>
    <n v="2.44990416666667E-2"/>
    <n v="1"/>
    <n v="-72"/>
    <n v="432"/>
  </r>
  <r>
    <x v="57"/>
    <s v="conventional_curtailment_wam_-28"/>
    <x v="12"/>
    <n v="2.4219833333333302E-2"/>
    <n v="1"/>
    <n v="-72"/>
    <n v="432"/>
  </r>
  <r>
    <x v="57"/>
    <s v="conventional_curtailment_wam_-27"/>
    <x v="13"/>
    <n v="2.3940625E-2"/>
    <n v="1"/>
    <n v="-72"/>
    <n v="432"/>
  </r>
  <r>
    <x v="57"/>
    <s v="conventional_curtailment_wam_-26"/>
    <x v="14"/>
    <n v="2.3661416666666699E-2"/>
    <n v="1"/>
    <n v="-72"/>
    <n v="432"/>
  </r>
  <r>
    <x v="57"/>
    <s v="conventional_curtailment_wam_-25"/>
    <x v="15"/>
    <n v="2.33822083333333E-2"/>
    <n v="1"/>
    <n v="-72"/>
    <n v="432"/>
  </r>
  <r>
    <x v="57"/>
    <s v="conventional_curtailment_wam_-24"/>
    <x v="16"/>
    <n v="2.3102999999999999E-2"/>
    <n v="1"/>
    <n v="-72"/>
    <n v="432"/>
  </r>
  <r>
    <x v="57"/>
    <s v="conventional_curtailment_wam_-23"/>
    <x v="17"/>
    <n v="2.2823791666666701E-2"/>
    <n v="1"/>
    <n v="-72"/>
    <n v="432"/>
  </r>
  <r>
    <x v="57"/>
    <s v="conventional_curtailment_wam_-22"/>
    <x v="18"/>
    <n v="2.2544583333333298E-2"/>
    <n v="1"/>
    <n v="-72"/>
    <n v="432"/>
  </r>
  <r>
    <x v="57"/>
    <s v="conventional_curtailment_wam_-21"/>
    <x v="19"/>
    <n v="2.2265375E-2"/>
    <n v="1"/>
    <n v="-72"/>
    <n v="432"/>
  </r>
  <r>
    <x v="57"/>
    <s v="conventional_curtailment_wam_-20"/>
    <x v="20"/>
    <n v="2.1986166666666699E-2"/>
    <n v="1"/>
    <n v="-72"/>
    <n v="432"/>
  </r>
  <r>
    <x v="57"/>
    <s v="conventional_curtailment_wam_-19"/>
    <x v="21"/>
    <n v="2.17069583333333E-2"/>
    <n v="1"/>
    <n v="-72"/>
    <n v="432"/>
  </r>
  <r>
    <x v="57"/>
    <s v="conventional_curtailment_wam_-18"/>
    <x v="22"/>
    <n v="2.1427749999999999E-2"/>
    <n v="1"/>
    <n v="-72"/>
    <n v="432"/>
  </r>
  <r>
    <x v="57"/>
    <s v="conventional_curtailment_wam_-17"/>
    <x v="23"/>
    <n v="2.1148541666666701E-2"/>
    <n v="1"/>
    <n v="-72"/>
    <n v="432"/>
  </r>
  <r>
    <x v="57"/>
    <s v="conventional_curtailment_wam_-16"/>
    <x v="24"/>
    <n v="2.0869333333333299E-2"/>
    <n v="1"/>
    <n v="-72"/>
    <n v="432"/>
  </r>
  <r>
    <x v="57"/>
    <s v="conventional_curtailment_wam_-15"/>
    <x v="25"/>
    <n v="2.0590125000000001E-2"/>
    <n v="1"/>
    <n v="-72"/>
    <n v="432"/>
  </r>
  <r>
    <x v="57"/>
    <s v="conventional_curtailment_wam_-14"/>
    <x v="26"/>
    <n v="2.0310916666666699E-2"/>
    <n v="1"/>
    <n v="-72"/>
    <n v="432"/>
  </r>
  <r>
    <x v="57"/>
    <s v="conventional_curtailment_wam_-13"/>
    <x v="27"/>
    <n v="2.0031708333333301E-2"/>
    <n v="1"/>
    <n v="-72"/>
    <n v="432"/>
  </r>
  <r>
    <x v="57"/>
    <s v="conventional_curtailment_wam_-12"/>
    <x v="28"/>
    <n v="1.9752499999999999E-2"/>
    <n v="1"/>
    <n v="-72"/>
    <n v="432"/>
  </r>
  <r>
    <x v="57"/>
    <s v="conventional_curtailment_wam_-11"/>
    <x v="29"/>
    <n v="1.9473291666666701E-2"/>
    <n v="1"/>
    <n v="-72"/>
    <n v="432"/>
  </r>
  <r>
    <x v="57"/>
    <s v="conventional_curtailment_wam_-10"/>
    <x v="30"/>
    <n v="1.9194083333333299E-2"/>
    <n v="1"/>
    <n v="-72"/>
    <n v="432"/>
  </r>
  <r>
    <x v="57"/>
    <s v="conventional_curtailment_wam_-9"/>
    <x v="31"/>
    <n v="1.8914875000000001E-2"/>
    <n v="1"/>
    <n v="-72"/>
    <n v="432"/>
  </r>
  <r>
    <x v="57"/>
    <s v="conventional_curtailment_wam_-8"/>
    <x v="32"/>
    <n v="1.86356666666667E-2"/>
    <n v="1"/>
    <n v="-72"/>
    <n v="432"/>
  </r>
  <r>
    <x v="57"/>
    <s v="conventional_curtailment_wam_-7"/>
    <x v="33"/>
    <n v="1.8356458333333301E-2"/>
    <n v="1"/>
    <n v="-72"/>
    <n v="432"/>
  </r>
  <r>
    <x v="57"/>
    <s v="conventional_curtailment_wam_-6"/>
    <x v="34"/>
    <n v="1.807725E-2"/>
    <n v="1"/>
    <n v="-72"/>
    <n v="432"/>
  </r>
  <r>
    <x v="57"/>
    <s v="conventional_curtailment_wam_-5"/>
    <x v="35"/>
    <n v="1.7798041666666702E-2"/>
    <n v="1"/>
    <n v="-72"/>
    <n v="432"/>
  </r>
  <r>
    <x v="57"/>
    <s v="conventional_curtailment_wam_-4"/>
    <x v="36"/>
    <n v="1.7518833333333299E-2"/>
    <n v="1"/>
    <n v="-72"/>
    <n v="432"/>
  </r>
  <r>
    <x v="57"/>
    <s v="conventional_curtailment_wam_-3"/>
    <x v="37"/>
    <n v="1.7239625000000001E-2"/>
    <n v="1"/>
    <n v="-72"/>
    <n v="432"/>
  </r>
  <r>
    <x v="57"/>
    <s v="conventional_curtailment_wam_-2"/>
    <x v="38"/>
    <n v="1.69604166666667E-2"/>
    <n v="1"/>
    <n v="-72"/>
    <n v="432"/>
  </r>
  <r>
    <x v="57"/>
    <s v="conventional_curtailment_wam_-1"/>
    <x v="39"/>
    <n v="1.6681208333333301E-2"/>
    <n v="1"/>
    <n v="-72"/>
    <n v="432"/>
  </r>
  <r>
    <x v="57"/>
    <s v="conventional_curtailment_wam_0"/>
    <x v="40"/>
    <n v="1.6402E-2"/>
    <n v="1"/>
    <n v="-72"/>
    <n v="432"/>
  </r>
  <r>
    <x v="57"/>
    <s v="conventional_curtailment_wam_1"/>
    <x v="41"/>
    <n v="1.61210560739776E-2"/>
    <n v="1"/>
    <n v="-72"/>
    <n v="432"/>
  </r>
  <r>
    <x v="57"/>
    <s v="conventional_curtailment_wam_2"/>
    <x v="42"/>
    <n v="1.5836942804784E-2"/>
    <n v="1"/>
    <n v="-72"/>
    <n v="432"/>
  </r>
  <r>
    <x v="57"/>
    <s v="conventional_curtailment_wam_3"/>
    <x v="43"/>
    <n v="1.55501129557292E-2"/>
    <n v="1"/>
    <n v="-72"/>
    <n v="432"/>
  </r>
  <r>
    <x v="57"/>
    <s v="conventional_curtailment_wam_4"/>
    <x v="44"/>
    <n v="1.5261019290123501E-2"/>
    <n v="1"/>
    <n v="-72"/>
    <n v="432"/>
  </r>
  <r>
    <x v="57"/>
    <s v="conventional_curtailment_wam_5"/>
    <x v="45"/>
    <n v="1.4970114571276999E-2"/>
    <n v="1"/>
    <n v="-72"/>
    <n v="432"/>
  </r>
  <r>
    <x v="57"/>
    <s v="conventional_curtailment_wam_6"/>
    <x v="46"/>
    <n v="1.46778515625E-2"/>
    <n v="1"/>
    <n v="-72"/>
    <n v="432"/>
  </r>
  <r>
    <x v="57"/>
    <s v="conventional_curtailment_wam_7"/>
    <x v="47"/>
    <n v="1.43846830271026E-2"/>
    <n v="1"/>
    <n v="-72"/>
    <n v="432"/>
  </r>
  <r>
    <x v="57"/>
    <s v="conventional_curtailment_wam_8"/>
    <x v="48"/>
    <n v="1.40910617283951E-2"/>
    <n v="1"/>
    <n v="-72"/>
    <n v="432"/>
  </r>
  <r>
    <x v="57"/>
    <s v="conventional_curtailment_wam_9"/>
    <x v="49"/>
    <n v="1.37974404296875E-2"/>
    <n v="1"/>
    <n v="-72"/>
    <n v="432"/>
  </r>
  <r>
    <x v="57"/>
    <s v="conventional_curtailment_wam_10"/>
    <x v="50"/>
    <n v="1.35042718942901E-2"/>
    <n v="1"/>
    <n v="-72"/>
    <n v="432"/>
  </r>
  <r>
    <x v="57"/>
    <s v="conventional_curtailment_wam_11"/>
    <x v="51"/>
    <n v="1.3212008885513099E-2"/>
    <n v="1"/>
    <n v="-72"/>
    <n v="432"/>
  </r>
  <r>
    <x v="57"/>
    <s v="conventional_curtailment_wam_12"/>
    <x v="52"/>
    <n v="1.2921104166666701E-2"/>
    <n v="1"/>
    <n v="-72"/>
    <n v="432"/>
  </r>
  <r>
    <x v="57"/>
    <s v="conventional_curtailment_wam_13"/>
    <x v="53"/>
    <n v="1.2632010501061001E-2"/>
    <n v="1"/>
    <n v="-72"/>
    <n v="432"/>
  </r>
  <r>
    <x v="57"/>
    <s v="conventional_curtailment_wam_14"/>
    <x v="54"/>
    <n v="1.23451806520062E-2"/>
    <n v="1"/>
    <n v="-72"/>
    <n v="432"/>
  </r>
  <r>
    <x v="57"/>
    <s v="conventional_curtailment_wam_15"/>
    <x v="55"/>
    <n v="1.20610673828125E-2"/>
    <n v="1"/>
    <n v="-72"/>
    <n v="432"/>
  </r>
  <r>
    <x v="57"/>
    <s v="conventional_curtailment_wam_16"/>
    <x v="56"/>
    <n v="1.1780123456790101E-2"/>
    <n v="1"/>
    <n v="-72"/>
    <n v="432"/>
  </r>
  <r>
    <x v="57"/>
    <s v="conventional_curtailment_wam_17"/>
    <x v="57"/>
    <n v="1.15028016372492E-2"/>
    <n v="1"/>
    <n v="-72"/>
    <n v="432"/>
  </r>
  <r>
    <x v="57"/>
    <s v="conventional_curtailment_wam_18"/>
    <x v="58"/>
    <n v="1.1229554687500001E-2"/>
    <n v="1"/>
    <n v="-72"/>
    <n v="432"/>
  </r>
  <r>
    <x v="57"/>
    <s v="conventional_curtailment_wam_19"/>
    <x v="59"/>
    <n v="1.0960835370852601E-2"/>
    <n v="1"/>
    <n v="-72"/>
    <n v="432"/>
  </r>
  <r>
    <x v="57"/>
    <s v="conventional_curtailment_wam_20"/>
    <x v="60"/>
    <n v="1.06970964506173E-2"/>
    <n v="1"/>
    <n v="-72"/>
    <n v="432"/>
  </r>
  <r>
    <x v="57"/>
    <s v="conventional_curtailment_wam_21"/>
    <x v="61"/>
    <n v="1.0438790690104199E-2"/>
    <n v="1"/>
    <n v="-72"/>
    <n v="432"/>
  </r>
  <r>
    <x v="57"/>
    <s v="conventional_curtailment_wam_22"/>
    <x v="62"/>
    <n v="1.01863708526235E-2"/>
    <n v="1"/>
    <n v="-72"/>
    <n v="432"/>
  </r>
  <r>
    <x v="57"/>
    <s v="conventional_curtailment_wam_23"/>
    <x v="63"/>
    <n v="9.94028970148534E-3"/>
    <n v="1"/>
    <n v="-72"/>
    <n v="432"/>
  </r>
  <r>
    <x v="57"/>
    <s v="conventional_curtailment_wam_24"/>
    <x v="64"/>
    <n v="9.7009999999999996E-3"/>
    <n v="1"/>
    <n v="-72"/>
    <n v="432"/>
  </r>
  <r>
    <x v="57"/>
    <s v="conventional_curtailment_wam_25"/>
    <x v="65"/>
    <n v="9.4637710057736309E-3"/>
    <n v="1"/>
    <n v="-72"/>
    <n v="432"/>
  </r>
  <r>
    <x v="57"/>
    <s v="conventional_curtailment_wam_26"/>
    <x v="66"/>
    <n v="9.2238779407768402E-3"/>
    <n v="1"/>
    <n v="-72"/>
    <n v="432"/>
  </r>
  <r>
    <x v="57"/>
    <s v="conventional_curtailment_wam_27"/>
    <x v="67"/>
    <n v="8.9817825148664193E-3"/>
    <n v="1"/>
    <n v="-72"/>
    <n v="432"/>
  </r>
  <r>
    <x v="57"/>
    <s v="conventional_curtailment_wam_28"/>
    <x v="68"/>
    <n v="8.73794643789917E-3"/>
    <n v="1"/>
    <n v="-72"/>
    <n v="432"/>
  </r>
  <r>
    <x v="57"/>
    <s v="conventional_curtailment_wam_29"/>
    <x v="69"/>
    <n v="8.4928314197318805E-3"/>
    <n v="1"/>
    <n v="-72"/>
    <n v="432"/>
  </r>
  <r>
    <x v="57"/>
    <s v="conventional_curtailment_wam_30"/>
    <x v="70"/>
    <n v="8.2468991702213407E-3"/>
    <n v="1"/>
    <n v="-72"/>
    <n v="432"/>
  </r>
  <r>
    <x v="57"/>
    <s v="conventional_curtailment_wam_31"/>
    <x v="71"/>
    <n v="8.0006113992243597E-3"/>
    <n v="1"/>
    <n v="-72"/>
    <n v="432"/>
  </r>
  <r>
    <x v="57"/>
    <s v="conventional_curtailment_wam_32"/>
    <x v="72"/>
    <n v="7.7544298165977202E-3"/>
    <n v="1"/>
    <n v="-72"/>
    <n v="432"/>
  </r>
  <r>
    <x v="57"/>
    <s v="conventional_curtailment_wam_33"/>
    <x v="73"/>
    <n v="7.50881613219822E-3"/>
    <n v="1"/>
    <n v="-72"/>
    <n v="432"/>
  </r>
  <r>
    <x v="57"/>
    <s v="conventional_curtailment_wam_34"/>
    <x v="74"/>
    <n v="7.2642320558826603E-3"/>
    <n v="1"/>
    <n v="-72"/>
    <n v="432"/>
  </r>
  <r>
    <x v="57"/>
    <s v="conventional_curtailment_wam_35"/>
    <x v="75"/>
    <n v="7.0211392975078196E-3"/>
    <n v="1"/>
    <n v="-72"/>
    <n v="432"/>
  </r>
  <r>
    <x v="57"/>
    <s v="conventional_curtailment_wam_36"/>
    <x v="76"/>
    <n v="6.77999956693052E-3"/>
    <n v="1"/>
    <n v="-72"/>
    <n v="432"/>
  </r>
  <r>
    <x v="57"/>
    <s v="conventional_curtailment_wam_37"/>
    <x v="77"/>
    <n v="6.5412745740075296E-3"/>
    <n v="1"/>
    <n v="-72"/>
    <n v="432"/>
  </r>
  <r>
    <x v="57"/>
    <s v="conventional_curtailment_wam_38"/>
    <x v="78"/>
    <n v="6.3054260285956704E-3"/>
    <n v="1"/>
    <n v="-72"/>
    <n v="432"/>
  </r>
  <r>
    <x v="57"/>
    <s v="conventional_curtailment_wam_39"/>
    <x v="79"/>
    <n v="6.0729156405517097E-3"/>
    <n v="1"/>
    <n v="-72"/>
    <n v="432"/>
  </r>
  <r>
    <x v="57"/>
    <s v="conventional_curtailment_wam_40"/>
    <x v="80"/>
    <n v="5.8442051197324599E-3"/>
    <n v="1"/>
    <n v="-72"/>
    <n v="432"/>
  </r>
  <r>
    <x v="57"/>
    <s v="conventional_curtailment_wam_41"/>
    <x v="81"/>
    <n v="5.6197561759947102E-3"/>
    <n v="1"/>
    <n v="-72"/>
    <n v="432"/>
  </r>
  <r>
    <x v="57"/>
    <s v="conventional_curtailment_wam_42"/>
    <x v="82"/>
    <n v="5.4000305191952503E-3"/>
    <n v="1"/>
    <n v="-72"/>
    <n v="432"/>
  </r>
  <r>
    <x v="57"/>
    <s v="conventional_curtailment_wam_43"/>
    <x v="83"/>
    <n v="5.18548985919089E-3"/>
    <n v="1"/>
    <n v="-72"/>
    <n v="432"/>
  </r>
  <r>
    <x v="57"/>
    <s v="conventional_curtailment_wam_44"/>
    <x v="84"/>
    <n v="4.9765959058384098E-3"/>
    <n v="1"/>
    <n v="-72"/>
    <n v="432"/>
  </r>
  <r>
    <x v="57"/>
    <s v="conventional_curtailment_wam_45"/>
    <x v="85"/>
    <n v="4.7738103689946099E-3"/>
    <n v="1"/>
    <n v="-72"/>
    <n v="432"/>
  </r>
  <r>
    <x v="57"/>
    <s v="conventional_curtailment_wam_46"/>
    <x v="86"/>
    <n v="4.5775949585162897E-3"/>
    <n v="1"/>
    <n v="-72"/>
    <n v="432"/>
  </r>
  <r>
    <x v="57"/>
    <s v="conventional_curtailment_wam_47"/>
    <x v="87"/>
    <n v="4.38841138426024E-3"/>
    <n v="1"/>
    <n v="-72"/>
    <n v="432"/>
  </r>
  <r>
    <x v="57"/>
    <s v="conventional_curtailment_wam_48"/>
    <x v="88"/>
    <n v="4.2067213560832602E-3"/>
    <n v="1"/>
    <n v="-72"/>
    <n v="432"/>
  </r>
  <r>
    <x v="57"/>
    <s v="conventional_curtailment_wam_49"/>
    <x v="89"/>
    <n v="4.0329865838421401E-3"/>
    <n v="1"/>
    <n v="-72"/>
    <n v="432"/>
  </r>
  <r>
    <x v="57"/>
    <s v="conventional_curtailment_wam_50"/>
    <x v="90"/>
    <n v="3.8676687773936702E-3"/>
    <n v="1"/>
    <n v="-72"/>
    <n v="432"/>
  </r>
  <r>
    <x v="57"/>
    <s v="conventional_curtailment_wam_51"/>
    <x v="91"/>
    <n v="3.7112296465946601E-3"/>
    <n v="1"/>
    <n v="-72"/>
    <n v="432"/>
  </r>
  <r>
    <x v="57"/>
    <s v="conventional_curtailment_wam_52"/>
    <x v="92"/>
    <n v="3.5641309013018899E-3"/>
    <n v="1"/>
    <n v="-72"/>
    <n v="432"/>
  </r>
  <r>
    <x v="57"/>
    <s v="conventional_curtailment_wam_53"/>
    <x v="93"/>
    <n v="3.4268342513721602E-3"/>
    <n v="1"/>
    <n v="-72"/>
    <n v="432"/>
  </r>
  <r>
    <x v="57"/>
    <s v="conventional_curtailment_wam_54"/>
    <x v="94"/>
    <n v="3.29980140666227E-3"/>
    <n v="1"/>
    <n v="-72"/>
    <n v="432"/>
  </r>
  <r>
    <x v="57"/>
    <s v="conventional_curtailment_wam_55"/>
    <x v="95"/>
    <n v="3.1834940770290102E-3"/>
    <n v="1"/>
    <n v="-72"/>
    <n v="432"/>
  </r>
  <r>
    <x v="57"/>
    <s v="conventional_curtailment_wam_56"/>
    <x v="96"/>
    <n v="3.07837397232917E-3"/>
    <n v="1"/>
    <n v="-72"/>
    <n v="432"/>
  </r>
  <r>
    <x v="57"/>
    <s v="conventional_curtailment_wam_57"/>
    <x v="97"/>
    <n v="2.9849028024195598E-3"/>
    <n v="1"/>
    <n v="-72"/>
    <n v="432"/>
  </r>
  <r>
    <x v="57"/>
    <s v="conventional_curtailment_wam_58"/>
    <x v="98"/>
    <n v="2.90354227715696E-3"/>
    <n v="1"/>
    <n v="-72"/>
    <n v="432"/>
  </r>
  <r>
    <x v="57"/>
    <s v="conventional_curtailment_wam_59"/>
    <x v="99"/>
    <n v="2.8347541063981799E-3"/>
    <n v="1"/>
    <n v="-72"/>
    <n v="432"/>
  </r>
  <r>
    <x v="57"/>
    <s v="conventional_curtailment_wam_60"/>
    <x v="100"/>
    <n v="2.7789999999999998E-3"/>
    <n v="1"/>
    <n v="-72"/>
    <n v="432"/>
  </r>
  <r>
    <x v="57"/>
    <s v="conventional_curtailment_wam_61"/>
    <x v="101"/>
    <n v="2.7308285254047599E-3"/>
    <n v="1"/>
    <n v="-72"/>
    <n v="432"/>
  </r>
  <r>
    <x v="57"/>
    <s v="conventional_curtailment_wam_62"/>
    <x v="102"/>
    <n v="2.6844554507047501E-3"/>
    <n v="1"/>
    <n v="-72"/>
    <n v="432"/>
  </r>
  <r>
    <x v="57"/>
    <s v="conventional_curtailment_wam_63"/>
    <x v="103"/>
    <n v="2.6398432867316799E-3"/>
    <n v="1"/>
    <n v="-72"/>
    <n v="432"/>
  </r>
  <r>
    <x v="57"/>
    <s v="conventional_curtailment_wam_64"/>
    <x v="104"/>
    <n v="2.59695454431725E-3"/>
    <n v="1"/>
    <n v="-72"/>
    <n v="432"/>
  </r>
  <r>
    <x v="57"/>
    <s v="conventional_curtailment_wam_65"/>
    <x v="105"/>
    <n v="2.5557517342931898E-3"/>
    <n v="1"/>
    <n v="-72"/>
    <n v="432"/>
  </r>
  <r>
    <x v="57"/>
    <s v="conventional_curtailment_wam_66"/>
    <x v="106"/>
    <n v="2.5161973674911898E-3"/>
    <n v="1"/>
    <n v="-72"/>
    <n v="432"/>
  </r>
  <r>
    <x v="57"/>
    <s v="conventional_curtailment_wam_67"/>
    <x v="107"/>
    <n v="2.4782539547429801E-3"/>
    <n v="1"/>
    <n v="-72"/>
    <n v="432"/>
  </r>
  <r>
    <x v="57"/>
    <s v="conventional_curtailment_wam_68"/>
    <x v="108"/>
    <n v="2.4418840068802599E-3"/>
    <n v="1"/>
    <n v="-72"/>
    <n v="432"/>
  </r>
  <r>
    <x v="57"/>
    <s v="conventional_curtailment_wam_69"/>
    <x v="109"/>
    <n v="2.4070500347347498E-3"/>
    <n v="1"/>
    <n v="-72"/>
    <n v="432"/>
  </r>
  <r>
    <x v="57"/>
    <s v="conventional_curtailment_wam_70"/>
    <x v="110"/>
    <n v="2.3737145491381602E-3"/>
    <n v="1"/>
    <n v="-72"/>
    <n v="432"/>
  </r>
  <r>
    <x v="57"/>
    <s v="conventional_curtailment_wam_71"/>
    <x v="111"/>
    <n v="2.34184006092219E-3"/>
    <n v="1"/>
    <n v="-72"/>
    <n v="432"/>
  </r>
  <r>
    <x v="57"/>
    <s v="conventional_curtailment_wam_72"/>
    <x v="112"/>
    <n v="2.3113890809185601E-3"/>
    <n v="1"/>
    <n v="-72"/>
    <n v="432"/>
  </r>
  <r>
    <x v="57"/>
    <s v="conventional_curtailment_wam_73"/>
    <x v="113"/>
    <n v="2.2823241199589899E-3"/>
    <n v="1"/>
    <n v="-72"/>
    <n v="432"/>
  </r>
  <r>
    <x v="57"/>
    <s v="conventional_curtailment_wam_74"/>
    <x v="114"/>
    <n v="2.2546076888751701E-3"/>
    <n v="1"/>
    <n v="-72"/>
    <n v="432"/>
  </r>
  <r>
    <x v="57"/>
    <s v="conventional_curtailment_wam_75"/>
    <x v="115"/>
    <n v="2.2282022984988301E-3"/>
    <n v="1"/>
    <n v="-72"/>
    <n v="432"/>
  </r>
  <r>
    <x v="57"/>
    <s v="conventional_curtailment_wam_76"/>
    <x v="116"/>
    <n v="2.2030704596616799E-3"/>
    <n v="1"/>
    <n v="-72"/>
    <n v="432"/>
  </r>
  <r>
    <x v="57"/>
    <s v="conventional_curtailment_wam_77"/>
    <x v="117"/>
    <n v="2.1791746831954198E-3"/>
    <n v="1"/>
    <n v="-72"/>
    <n v="432"/>
  </r>
  <r>
    <x v="57"/>
    <s v="conventional_curtailment_wam_78"/>
    <x v="118"/>
    <n v="2.1564774799317701E-3"/>
    <n v="1"/>
    <n v="-72"/>
    <n v="432"/>
  </r>
  <r>
    <x v="57"/>
    <s v="conventional_curtailment_wam_79"/>
    <x v="119"/>
    <n v="2.1349413607024401E-3"/>
    <n v="1"/>
    <n v="-72"/>
    <n v="432"/>
  </r>
  <r>
    <x v="57"/>
    <s v="conventional_curtailment_wam_80"/>
    <x v="120"/>
    <n v="2.1145288363391399E-3"/>
    <n v="1"/>
    <n v="-72"/>
    <n v="432"/>
  </r>
  <r>
    <x v="57"/>
    <s v="conventional_curtailment_wam_81"/>
    <x v="121"/>
    <n v="2.0952024176735902E-3"/>
    <n v="1"/>
    <n v="-72"/>
    <n v="432"/>
  </r>
  <r>
    <x v="57"/>
    <s v="conventional_curtailment_wam_82"/>
    <x v="122"/>
    <n v="2.0769246155374799E-3"/>
    <n v="1"/>
    <n v="-72"/>
    <n v="432"/>
  </r>
  <r>
    <x v="57"/>
    <s v="conventional_curtailment_wam_83"/>
    <x v="123"/>
    <n v="2.0596579407625498E-3"/>
    <n v="1"/>
    <n v="-72"/>
    <n v="432"/>
  </r>
  <r>
    <x v="57"/>
    <s v="conventional_curtailment_wam_84"/>
    <x v="124"/>
    <n v="2.0433649041804898E-3"/>
    <n v="1"/>
    <n v="-72"/>
    <n v="432"/>
  </r>
  <r>
    <x v="57"/>
    <s v="conventional_curtailment_wam_85"/>
    <x v="125"/>
    <n v="2.0280080166230202E-3"/>
    <n v="1"/>
    <n v="-72"/>
    <n v="432"/>
  </r>
  <r>
    <x v="57"/>
    <s v="conventional_curtailment_wam_86"/>
    <x v="126"/>
    <n v="2.0135497889218501E-3"/>
    <n v="1"/>
    <n v="-72"/>
    <n v="432"/>
  </r>
  <r>
    <x v="57"/>
    <s v="conventional_curtailment_wam_87"/>
    <x v="127"/>
    <n v="1.9999527319086801E-3"/>
    <n v="1"/>
    <n v="-72"/>
    <n v="432"/>
  </r>
  <r>
    <x v="57"/>
    <s v="conventional_curtailment_wam_88"/>
    <x v="128"/>
    <n v="1.9871793564152501E-3"/>
    <n v="1"/>
    <n v="-72"/>
    <n v="432"/>
  </r>
  <r>
    <x v="57"/>
    <s v="conventional_curtailment_wam_89"/>
    <x v="129"/>
    <n v="1.9751921732732401E-3"/>
    <n v="1"/>
    <n v="-72"/>
    <n v="432"/>
  </r>
  <r>
    <x v="57"/>
    <s v="conventional_curtailment_wam_90"/>
    <x v="130"/>
    <n v="1.9639536933143899E-3"/>
    <n v="1"/>
    <n v="-72"/>
    <n v="432"/>
  </r>
  <r>
    <x v="57"/>
    <s v="conventional_curtailment_wam_91"/>
    <x v="131"/>
    <n v="1.9534264273703798E-3"/>
    <n v="1"/>
    <n v="-72"/>
    <n v="432"/>
  </r>
  <r>
    <x v="57"/>
    <s v="conventional_curtailment_wam_92"/>
    <x v="132"/>
    <n v="1.94357288627295E-3"/>
    <n v="1"/>
    <n v="-72"/>
    <n v="432"/>
  </r>
  <r>
    <x v="57"/>
    <s v="conventional_curtailment_wam_93"/>
    <x v="133"/>
    <n v="1.9343555808538E-3"/>
    <n v="1"/>
    <n v="-72"/>
    <n v="432"/>
  </r>
  <r>
    <x v="57"/>
    <s v="conventional_curtailment_wam_94"/>
    <x v="134"/>
    <n v="1.92573702194464E-3"/>
    <n v="1"/>
    <n v="-72"/>
    <n v="432"/>
  </r>
  <r>
    <x v="57"/>
    <s v="conventional_curtailment_wam_95"/>
    <x v="135"/>
    <n v="1.91767972037718E-3"/>
    <n v="1"/>
    <n v="-72"/>
    <n v="432"/>
  </r>
  <r>
    <x v="57"/>
    <s v="conventional_curtailment_wam_96"/>
    <x v="136"/>
    <n v="1.9101461869831301E-3"/>
    <n v="1"/>
    <n v="-72"/>
    <n v="432"/>
  </r>
  <r>
    <x v="57"/>
    <s v="conventional_curtailment_wam_97"/>
    <x v="137"/>
    <n v="1.90309893259421E-3"/>
    <n v="1"/>
    <n v="-72"/>
    <n v="432"/>
  </r>
  <r>
    <x v="57"/>
    <s v="conventional_curtailment_wam_98"/>
    <x v="138"/>
    <n v="1.89650046804213E-3"/>
    <n v="1"/>
    <n v="-72"/>
    <n v="432"/>
  </r>
  <r>
    <x v="57"/>
    <s v="conventional_curtailment_wam_99"/>
    <x v="139"/>
    <n v="1.8903133041586E-3"/>
    <n v="1"/>
    <n v="-72"/>
    <n v="432"/>
  </r>
  <r>
    <x v="57"/>
    <s v="conventional_curtailment_wam_100"/>
    <x v="140"/>
    <n v="1.88449995177532E-3"/>
    <n v="1"/>
    <n v="-72"/>
    <n v="432"/>
  </r>
  <r>
    <x v="57"/>
    <s v="conventional_curtailment_wam_101"/>
    <x v="141"/>
    <n v="1.87902292172402E-3"/>
    <n v="1"/>
    <n v="-72"/>
    <n v="432"/>
  </r>
  <r>
    <x v="57"/>
    <s v="conventional_curtailment_wam_102"/>
    <x v="142"/>
    <n v="1.8738447248364E-3"/>
    <n v="1"/>
    <n v="-72"/>
    <n v="432"/>
  </r>
  <r>
    <x v="57"/>
    <s v="conventional_curtailment_wam_103"/>
    <x v="143"/>
    <n v="1.8689278719441699E-3"/>
    <n v="1"/>
    <n v="-72"/>
    <n v="432"/>
  </r>
  <r>
    <x v="57"/>
    <s v="conventional_curtailment_wam_104"/>
    <x v="144"/>
    <n v="1.8642348738790501E-3"/>
    <n v="1"/>
    <n v="-72"/>
    <n v="432"/>
  </r>
  <r>
    <x v="57"/>
    <s v="conventional_curtailment_wam_105"/>
    <x v="145"/>
    <n v="1.8597282414727499E-3"/>
    <n v="1"/>
    <n v="-72"/>
    <n v="432"/>
  </r>
  <r>
    <x v="57"/>
    <s v="conventional_curtailment_wam_106"/>
    <x v="146"/>
    <n v="1.8553704855569699E-3"/>
    <n v="1"/>
    <n v="-72"/>
    <n v="432"/>
  </r>
  <r>
    <x v="57"/>
    <s v="conventional_curtailment_wam_107"/>
    <x v="147"/>
    <n v="1.85112411696344E-3"/>
    <n v="1"/>
    <n v="-72"/>
    <n v="432"/>
  </r>
  <r>
    <x v="57"/>
    <s v="conventional_curtailment_wam_108"/>
    <x v="148"/>
    <n v="1.84695164652385E-3"/>
    <n v="1"/>
    <n v="-72"/>
    <n v="432"/>
  </r>
  <r>
    <x v="57"/>
    <s v="conventional_curtailment_wam_109"/>
    <x v="149"/>
    <n v="1.84281558506993E-3"/>
    <n v="1"/>
    <n v="-72"/>
    <n v="432"/>
  </r>
  <r>
    <x v="57"/>
    <s v="conventional_curtailment_wam_110"/>
    <x v="150"/>
    <n v="1.8386784434333799E-3"/>
    <n v="1"/>
    <n v="-72"/>
    <n v="432"/>
  </r>
  <r>
    <x v="57"/>
    <s v="conventional_curtailment_wam_111"/>
    <x v="151"/>
    <n v="1.8345027324459199E-3"/>
    <n v="1"/>
    <n v="-72"/>
    <n v="432"/>
  </r>
  <r>
    <x v="57"/>
    <s v="conventional_curtailment_wam_112"/>
    <x v="152"/>
    <n v="1.8302509629392601E-3"/>
    <n v="1"/>
    <n v="-72"/>
    <n v="432"/>
  </r>
  <r>
    <x v="57"/>
    <s v="conventional_curtailment_wam_113"/>
    <x v="153"/>
    <n v="1.8258856457450999E-3"/>
    <n v="1"/>
    <n v="-72"/>
    <n v="432"/>
  </r>
  <r>
    <x v="57"/>
    <s v="conventional_curtailment_wam_114"/>
    <x v="154"/>
    <n v="1.82136929169516E-3"/>
    <n v="1"/>
    <n v="-72"/>
    <n v="432"/>
  </r>
  <r>
    <x v="57"/>
    <s v="conventional_curtailment_wam_115"/>
    <x v="155"/>
    <n v="1.8166644116211601E-3"/>
    <n v="1"/>
    <n v="-72"/>
    <n v="432"/>
  </r>
  <r>
    <x v="57"/>
    <s v="conventional_curtailment_wam_116"/>
    <x v="156"/>
    <n v="1.8117335163547899E-3"/>
    <n v="1"/>
    <n v="-72"/>
    <n v="432"/>
  </r>
  <r>
    <x v="57"/>
    <s v="conventional_curtailment_wam_117"/>
    <x v="157"/>
    <n v="1.80653911672779E-3"/>
    <n v="1"/>
    <n v="-72"/>
    <n v="432"/>
  </r>
  <r>
    <x v="57"/>
    <s v="conventional_curtailment_wam_118"/>
    <x v="158"/>
    <n v="1.80104372357184E-3"/>
    <n v="1"/>
    <n v="-72"/>
    <n v="432"/>
  </r>
  <r>
    <x v="57"/>
    <s v="conventional_curtailment_wam_119"/>
    <x v="159"/>
    <n v="1.7952098477186801E-3"/>
    <n v="1"/>
    <n v="-72"/>
    <n v="432"/>
  </r>
  <r>
    <x v="57"/>
    <s v="conventional_curtailment_wam_120"/>
    <x v="160"/>
    <n v="1.789E-3"/>
    <n v="1"/>
    <n v="-72"/>
    <n v="432"/>
  </r>
  <r>
    <x v="57"/>
    <s v="conventional_curtailment_wam_121"/>
    <x v="161"/>
    <n v="1.7824038771651199E-3"/>
    <n v="1"/>
    <n v="-72"/>
    <n v="432"/>
  </r>
  <r>
    <x v="57"/>
    <s v="conventional_curtailment_wam_122"/>
    <x v="162"/>
    <n v="1.77544384244956E-3"/>
    <n v="1"/>
    <n v="-72"/>
    <n v="432"/>
  </r>
  <r>
    <x v="57"/>
    <s v="conventional_curtailment_wam_123"/>
    <x v="163"/>
    <n v="1.7681314064143601E-3"/>
    <n v="1"/>
    <n v="-72"/>
    <n v="432"/>
  </r>
  <r>
    <x v="57"/>
    <s v="conventional_curtailment_wam_124"/>
    <x v="164"/>
    <n v="1.7604780796205801E-3"/>
    <n v="1"/>
    <n v="-72"/>
    <n v="432"/>
  </r>
  <r>
    <x v="57"/>
    <s v="conventional_curtailment_wam_125"/>
    <x v="165"/>
    <n v="1.7524953726292499E-3"/>
    <n v="1"/>
    <n v="-72"/>
    <n v="432"/>
  </r>
  <r>
    <x v="57"/>
    <s v="conventional_curtailment_wam_126"/>
    <x v="166"/>
    <n v="1.7441947960014101E-3"/>
    <n v="1"/>
    <n v="-72"/>
    <n v="432"/>
  </r>
  <r>
    <x v="57"/>
    <s v="conventional_curtailment_wam_127"/>
    <x v="167"/>
    <n v="1.7355878602981099E-3"/>
    <n v="1"/>
    <n v="-72"/>
    <n v="432"/>
  </r>
  <r>
    <x v="57"/>
    <s v="conventional_curtailment_wam_128"/>
    <x v="168"/>
    <n v="1.7266860760803901E-3"/>
    <n v="1"/>
    <n v="-72"/>
    <n v="432"/>
  </r>
  <r>
    <x v="57"/>
    <s v="conventional_curtailment_wam_129"/>
    <x v="169"/>
    <n v="1.7175009539092899E-3"/>
    <n v="1"/>
    <n v="-72"/>
    <n v="432"/>
  </r>
  <r>
    <x v="57"/>
    <s v="conventional_curtailment_wam_130"/>
    <x v="170"/>
    <n v="1.70804400434586E-3"/>
    <n v="1"/>
    <n v="-72"/>
    <n v="432"/>
  </r>
  <r>
    <x v="57"/>
    <s v="conventional_curtailment_wam_131"/>
    <x v="171"/>
    <n v="1.6983267379511401E-3"/>
    <n v="1"/>
    <n v="-72"/>
    <n v="432"/>
  </r>
  <r>
    <x v="57"/>
    <s v="conventional_curtailment_wam_132"/>
    <x v="172"/>
    <n v="1.68836066528617E-3"/>
    <n v="1"/>
    <n v="-72"/>
    <n v="432"/>
  </r>
  <r>
    <x v="57"/>
    <s v="conventional_curtailment_wam_133"/>
    <x v="173"/>
    <n v="1.678157296912E-3"/>
    <n v="1"/>
    <n v="-72"/>
    <n v="432"/>
  </r>
  <r>
    <x v="57"/>
    <s v="conventional_curtailment_wam_134"/>
    <x v="174"/>
    <n v="1.66772814338967E-3"/>
    <n v="1"/>
    <n v="-72"/>
    <n v="432"/>
  </r>
  <r>
    <x v="57"/>
    <s v="conventional_curtailment_wam_135"/>
    <x v="175"/>
    <n v="1.6570847152802199E-3"/>
    <n v="1"/>
    <n v="-72"/>
    <n v="432"/>
  </r>
  <r>
    <x v="57"/>
    <s v="conventional_curtailment_wam_136"/>
    <x v="176"/>
    <n v="1.6462385231447E-3"/>
    <n v="1"/>
    <n v="-72"/>
    <n v="432"/>
  </r>
  <r>
    <x v="57"/>
    <s v="conventional_curtailment_wam_137"/>
    <x v="177"/>
    <n v="1.6352010775441399E-3"/>
    <n v="1"/>
    <n v="-72"/>
    <n v="432"/>
  </r>
  <r>
    <x v="57"/>
    <s v="conventional_curtailment_wam_138"/>
    <x v="178"/>
    <n v="1.6239838890395901E-3"/>
    <n v="1"/>
    <n v="-72"/>
    <n v="432"/>
  </r>
  <r>
    <x v="57"/>
    <s v="conventional_curtailment_wam_139"/>
    <x v="179"/>
    <n v="1.6125984681920999E-3"/>
    <n v="1"/>
    <n v="-72"/>
    <n v="432"/>
  </r>
  <r>
    <x v="57"/>
    <s v="conventional_curtailment_wam_140"/>
    <x v="180"/>
    <n v="1.6010563255627001E-3"/>
    <n v="1"/>
    <n v="-72"/>
    <n v="432"/>
  </r>
  <r>
    <x v="57"/>
    <s v="conventional_curtailment_wam_141"/>
    <x v="181"/>
    <n v="1.5893689717124499E-3"/>
    <n v="1"/>
    <n v="-72"/>
    <n v="432"/>
  </r>
  <r>
    <x v="57"/>
    <s v="conventional_curtailment_wam_142"/>
    <x v="182"/>
    <n v="1.5775479172023699E-3"/>
    <n v="1"/>
    <n v="-72"/>
    <n v="432"/>
  </r>
  <r>
    <x v="57"/>
    <s v="conventional_curtailment_wam_143"/>
    <x v="183"/>
    <n v="1.5656046725935199E-3"/>
    <n v="1"/>
    <n v="-72"/>
    <n v="432"/>
  </r>
  <r>
    <x v="57"/>
    <s v="conventional_curtailment_wam_144"/>
    <x v="184"/>
    <n v="1.5535507484469499E-3"/>
    <n v="1"/>
    <n v="-72"/>
    <n v="432"/>
  </r>
  <r>
    <x v="57"/>
    <s v="conventional_curtailment_wam_145"/>
    <x v="185"/>
    <n v="1.54139765532368E-3"/>
    <n v="1"/>
    <n v="-72"/>
    <n v="432"/>
  </r>
  <r>
    <x v="57"/>
    <s v="conventional_curtailment_wam_146"/>
    <x v="186"/>
    <n v="1.5291569037847699E-3"/>
    <n v="1"/>
    <n v="-72"/>
    <n v="432"/>
  </r>
  <r>
    <x v="57"/>
    <s v="conventional_curtailment_wam_147"/>
    <x v="187"/>
    <n v="1.5168400043912499E-3"/>
    <n v="1"/>
    <n v="-72"/>
    <n v="432"/>
  </r>
  <r>
    <x v="57"/>
    <s v="conventional_curtailment_wam_148"/>
    <x v="188"/>
    <n v="1.50445846770418E-3"/>
    <n v="1"/>
    <n v="-72"/>
    <n v="432"/>
  </r>
  <r>
    <x v="57"/>
    <s v="conventional_curtailment_wam_149"/>
    <x v="189"/>
    <n v="1.49202380428459E-3"/>
    <n v="1"/>
    <n v="-72"/>
    <n v="432"/>
  </r>
  <r>
    <x v="57"/>
    <s v="conventional_curtailment_wam_150"/>
    <x v="190"/>
    <n v="1.4795475246935301E-3"/>
    <n v="1"/>
    <n v="-72"/>
    <n v="432"/>
  </r>
  <r>
    <x v="57"/>
    <s v="conventional_curtailment_wam_151"/>
    <x v="191"/>
    <n v="1.46704113949204E-3"/>
    <n v="1"/>
    <n v="-72"/>
    <n v="432"/>
  </r>
  <r>
    <x v="57"/>
    <s v="conventional_curtailment_wam_152"/>
    <x v="192"/>
    <n v="1.4545161592411601E-3"/>
    <n v="1"/>
    <n v="-72"/>
    <n v="432"/>
  </r>
  <r>
    <x v="57"/>
    <s v="conventional_curtailment_wam_153"/>
    <x v="193"/>
    <n v="1.44198409450193E-3"/>
    <n v="1"/>
    <n v="-72"/>
    <n v="432"/>
  </r>
  <r>
    <x v="57"/>
    <s v="conventional_curtailment_wam_154"/>
    <x v="194"/>
    <n v="1.42945645583541E-3"/>
    <n v="1"/>
    <n v="-72"/>
    <n v="432"/>
  </r>
  <r>
    <x v="57"/>
    <s v="conventional_curtailment_wam_155"/>
    <x v="195"/>
    <n v="1.41694475380263E-3"/>
    <n v="1"/>
    <n v="-72"/>
    <n v="432"/>
  </r>
  <r>
    <x v="57"/>
    <s v="conventional_curtailment_wam_156"/>
    <x v="196"/>
    <n v="1.40446049896463E-3"/>
    <n v="1"/>
    <n v="-72"/>
    <n v="432"/>
  </r>
  <r>
    <x v="57"/>
    <s v="conventional_curtailment_wam_157"/>
    <x v="197"/>
    <n v="1.3920152018824601E-3"/>
    <n v="1"/>
    <n v="-72"/>
    <n v="432"/>
  </r>
  <r>
    <x v="57"/>
    <s v="conventional_curtailment_wam_158"/>
    <x v="198"/>
    <n v="1.37962037311716E-3"/>
    <n v="1"/>
    <n v="-72"/>
    <n v="432"/>
  </r>
  <r>
    <x v="57"/>
    <s v="conventional_curtailment_wam_159"/>
    <x v="199"/>
    <n v="1.36728752322978E-3"/>
    <n v="1"/>
    <n v="-72"/>
    <n v="432"/>
  </r>
  <r>
    <x v="57"/>
    <s v="conventional_curtailment_wam_160"/>
    <x v="200"/>
    <n v="1.3550281627813499E-3"/>
    <n v="1"/>
    <n v="-72"/>
    <n v="432"/>
  </r>
  <r>
    <x v="57"/>
    <s v="conventional_curtailment_wam_161"/>
    <x v="201"/>
    <n v="1.3428538023329199E-3"/>
    <n v="1"/>
    <n v="-72"/>
    <n v="432"/>
  </r>
  <r>
    <x v="57"/>
    <s v="conventional_curtailment_wam_162"/>
    <x v="202"/>
    <n v="1.3307759524455399E-3"/>
    <n v="1"/>
    <n v="-72"/>
    <n v="432"/>
  </r>
  <r>
    <x v="57"/>
    <s v="conventional_curtailment_wam_163"/>
    <x v="203"/>
    <n v="1.3188061236802399E-3"/>
    <n v="1"/>
    <n v="-72"/>
    <n v="432"/>
  </r>
  <r>
    <x v="57"/>
    <s v="conventional_curtailment_wam_164"/>
    <x v="204"/>
    <n v="1.30695582659807E-3"/>
    <n v="1"/>
    <n v="-72"/>
    <n v="432"/>
  </r>
  <r>
    <x v="57"/>
    <s v="conventional_curtailment_wam_165"/>
    <x v="205"/>
    <n v="1.29523657176007E-3"/>
    <n v="1"/>
    <n v="-72"/>
    <n v="432"/>
  </r>
  <r>
    <x v="57"/>
    <s v="conventional_curtailment_wam_166"/>
    <x v="206"/>
    <n v="1.2836598697272899E-3"/>
    <n v="1"/>
    <n v="-72"/>
    <n v="432"/>
  </r>
  <r>
    <x v="57"/>
    <s v="conventional_curtailment_wam_167"/>
    <x v="207"/>
    <n v="1.27223723106077E-3"/>
    <n v="1"/>
    <n v="-72"/>
    <n v="432"/>
  </r>
  <r>
    <x v="57"/>
    <s v="conventional_curtailment_wam_168"/>
    <x v="208"/>
    <n v="1.26098016632154E-3"/>
    <n v="1"/>
    <n v="-72"/>
    <n v="432"/>
  </r>
  <r>
    <x v="57"/>
    <s v="conventional_curtailment_wam_169"/>
    <x v="209"/>
    <n v="1.2499001860706599E-3"/>
    <n v="1"/>
    <n v="-72"/>
    <n v="432"/>
  </r>
  <r>
    <x v="57"/>
    <s v="conventional_curtailment_wam_170"/>
    <x v="210"/>
    <n v="1.23900880086917E-3"/>
    <n v="1"/>
    <n v="-72"/>
    <n v="432"/>
  </r>
  <r>
    <x v="57"/>
    <s v="conventional_curtailment_wam_171"/>
    <x v="211"/>
    <n v="1.2283175212781099E-3"/>
    <n v="1"/>
    <n v="-72"/>
    <n v="432"/>
  </r>
  <r>
    <x v="57"/>
    <s v="conventional_curtailment_wam_172"/>
    <x v="212"/>
    <n v="1.2178378578585199E-3"/>
    <n v="1"/>
    <n v="-72"/>
    <n v="432"/>
  </r>
  <r>
    <x v="57"/>
    <s v="conventional_curtailment_wam_173"/>
    <x v="213"/>
    <n v="1.20758132117145E-3"/>
    <n v="1"/>
    <n v="-72"/>
    <n v="432"/>
  </r>
  <r>
    <x v="57"/>
    <s v="conventional_curtailment_wam_174"/>
    <x v="214"/>
    <n v="1.19755942177793E-3"/>
    <n v="1"/>
    <n v="-72"/>
    <n v="432"/>
  </r>
  <r>
    <x v="57"/>
    <s v="conventional_curtailment_wam_175"/>
    <x v="215"/>
    <n v="1.1877836702390201E-3"/>
    <n v="1"/>
    <n v="-72"/>
    <n v="432"/>
  </r>
  <r>
    <x v="57"/>
    <s v="conventional_curtailment_wam_176"/>
    <x v="216"/>
    <n v="1.1782655771157601E-3"/>
    <n v="1"/>
    <n v="-72"/>
    <n v="432"/>
  </r>
  <r>
    <x v="57"/>
    <s v="conventional_curtailment_wam_177"/>
    <x v="217"/>
    <n v="1.16901665296918E-3"/>
    <n v="1"/>
    <n v="-72"/>
    <n v="432"/>
  </r>
  <r>
    <x v="57"/>
    <s v="conventional_curtailment_wam_178"/>
    <x v="218"/>
    <n v="1.16004840836033E-3"/>
    <n v="1"/>
    <n v="-72"/>
    <n v="432"/>
  </r>
  <r>
    <x v="57"/>
    <s v="conventional_curtailment_wam_179"/>
    <x v="219"/>
    <n v="1.15137235385026E-3"/>
    <n v="1"/>
    <n v="-72"/>
    <n v="432"/>
  </r>
  <r>
    <x v="57"/>
    <s v="conventional_curtailment_wam_180"/>
    <x v="220"/>
    <n v="1.1429999999999999E-3"/>
    <n v="1"/>
    <n v="-72"/>
    <n v="432"/>
  </r>
  <r>
    <x v="57"/>
    <s v="conventional_curtailment_wam_181"/>
    <x v="221"/>
    <n v="1.1348616157407399E-3"/>
    <n v="1"/>
    <n v="-72"/>
    <n v="432"/>
  </r>
  <r>
    <x v="57"/>
    <s v="conventional_curtailment_wam_182"/>
    <x v="222"/>
    <n v="1.1268773703703701E-3"/>
    <n v="1"/>
    <n v="-72"/>
    <n v="432"/>
  </r>
  <r>
    <x v="57"/>
    <s v="conventional_curtailment_wam_183"/>
    <x v="223"/>
    <n v="1.119043625E-3"/>
    <n v="1"/>
    <n v="-72"/>
    <n v="432"/>
  </r>
  <r>
    <x v="57"/>
    <s v="conventional_curtailment_wam_184"/>
    <x v="224"/>
    <n v="1.11135674074074E-3"/>
    <n v="1"/>
    <n v="-72"/>
    <n v="432"/>
  </r>
  <r>
    <x v="57"/>
    <s v="conventional_curtailment_wam_185"/>
    <x v="225"/>
    <n v="1.1038130787037E-3"/>
    <n v="1"/>
    <n v="-72"/>
    <n v="432"/>
  </r>
  <r>
    <x v="57"/>
    <s v="conventional_curtailment_wam_186"/>
    <x v="226"/>
    <n v="1.096409E-3"/>
    <n v="1"/>
    <n v="-72"/>
    <n v="432"/>
  </r>
  <r>
    <x v="57"/>
    <s v="conventional_curtailment_wam_187"/>
    <x v="227"/>
    <n v="1.0891408657407401E-3"/>
    <n v="1"/>
    <n v="-72"/>
    <n v="432"/>
  </r>
  <r>
    <x v="57"/>
    <s v="conventional_curtailment_wam_188"/>
    <x v="228"/>
    <n v="1.0820050370370399E-3"/>
    <n v="1"/>
    <n v="-72"/>
    <n v="432"/>
  </r>
  <r>
    <x v="57"/>
    <s v="conventional_curtailment_wam_189"/>
    <x v="229"/>
    <n v="1.074997875E-3"/>
    <n v="1"/>
    <n v="-72"/>
    <n v="432"/>
  </r>
  <r>
    <x v="57"/>
    <s v="conventional_curtailment_wam_190"/>
    <x v="230"/>
    <n v="1.0681157407407399E-3"/>
    <n v="1"/>
    <n v="-72"/>
    <n v="432"/>
  </r>
  <r>
    <x v="57"/>
    <s v="conventional_curtailment_wam_191"/>
    <x v="231"/>
    <n v="1.0613549953703699E-3"/>
    <n v="1"/>
    <n v="-72"/>
    <n v="432"/>
  </r>
  <r>
    <x v="57"/>
    <s v="conventional_curtailment_wam_192"/>
    <x v="232"/>
    <n v="1.054712E-3"/>
    <n v="1"/>
    <n v="-72"/>
    <n v="432"/>
  </r>
  <r>
    <x v="57"/>
    <s v="conventional_curtailment_wam_193"/>
    <x v="233"/>
    <n v="1.04818311574074E-3"/>
    <n v="1"/>
    <n v="-72"/>
    <n v="432"/>
  </r>
  <r>
    <x v="57"/>
    <s v="conventional_curtailment_wam_194"/>
    <x v="234"/>
    <n v="1.0417647037037001E-3"/>
    <n v="1"/>
    <n v="-72"/>
    <n v="432"/>
  </r>
  <r>
    <x v="57"/>
    <s v="conventional_curtailment_wam_195"/>
    <x v="235"/>
    <n v="1.0354531249999999E-3"/>
    <n v="1"/>
    <n v="-72"/>
    <n v="432"/>
  </r>
  <r>
    <x v="57"/>
    <s v="conventional_curtailment_wam_196"/>
    <x v="236"/>
    <n v="1.0292447407407399E-3"/>
    <n v="1"/>
    <n v="-72"/>
    <n v="432"/>
  </r>
  <r>
    <x v="57"/>
    <s v="conventional_curtailment_wam_197"/>
    <x v="237"/>
    <n v="1.02313591203704E-3"/>
    <n v="1"/>
    <n v="-72"/>
    <n v="432"/>
  </r>
  <r>
    <x v="57"/>
    <s v="conventional_curtailment_wam_198"/>
    <x v="238"/>
    <n v="1.017123E-3"/>
    <n v="1"/>
    <n v="-72"/>
    <n v="432"/>
  </r>
  <r>
    <x v="57"/>
    <s v="conventional_curtailment_wam_199"/>
    <x v="239"/>
    <n v="1.0112023657407401E-3"/>
    <n v="1"/>
    <n v="-72"/>
    <n v="432"/>
  </r>
  <r>
    <x v="57"/>
    <s v="conventional_curtailment_wam_200"/>
    <x v="240"/>
    <n v="1.00537037037037E-3"/>
    <n v="1"/>
    <n v="-72"/>
    <n v="432"/>
  </r>
  <r>
    <x v="57"/>
    <s v="conventional_curtailment_wam_201"/>
    <x v="241"/>
    <n v="9.9962337500000007E-4"/>
    <n v="1"/>
    <n v="-72"/>
    <n v="432"/>
  </r>
  <r>
    <x v="57"/>
    <s v="conventional_curtailment_wam_202"/>
    <x v="242"/>
    <n v="9.9395774074074105E-4"/>
    <n v="1"/>
    <n v="-72"/>
    <n v="432"/>
  </r>
  <r>
    <x v="57"/>
    <s v="conventional_curtailment_wam_203"/>
    <x v="243"/>
    <n v="9.8836982870370398E-4"/>
    <n v="1"/>
    <n v="-72"/>
    <n v="432"/>
  </r>
  <r>
    <x v="57"/>
    <s v="conventional_curtailment_wam_204"/>
    <x v="244"/>
    <n v="9.8285600000000005E-4"/>
    <n v="1"/>
    <n v="-72"/>
    <n v="432"/>
  </r>
  <r>
    <x v="57"/>
    <s v="conventional_curtailment_wam_205"/>
    <x v="245"/>
    <n v="9.7741261574074093E-4"/>
    <n v="1"/>
    <n v="-72"/>
    <n v="432"/>
  </r>
  <r>
    <x v="57"/>
    <s v="conventional_curtailment_wam_206"/>
    <x v="246"/>
    <n v="9.7203603703703697E-4"/>
    <n v="1"/>
    <n v="-72"/>
    <n v="432"/>
  </r>
  <r>
    <x v="57"/>
    <s v="conventional_curtailment_wam_207"/>
    <x v="247"/>
    <n v="9.6672262500000004E-4"/>
    <n v="1"/>
    <n v="-72"/>
    <n v="432"/>
  </r>
  <r>
    <x v="57"/>
    <s v="conventional_curtailment_wam_208"/>
    <x v="248"/>
    <n v="9.6146874074074103E-4"/>
    <n v="1"/>
    <n v="-72"/>
    <n v="432"/>
  </r>
  <r>
    <x v="57"/>
    <s v="conventional_curtailment_wam_209"/>
    <x v="249"/>
    <n v="9.5627074537037095E-4"/>
    <n v="1"/>
    <n v="-72"/>
    <n v="432"/>
  </r>
  <r>
    <x v="57"/>
    <s v="conventional_curtailment_wam_210"/>
    <x v="250"/>
    <n v="9.5112500000000004E-4"/>
    <n v="1"/>
    <n v="-72"/>
    <n v="432"/>
  </r>
  <r>
    <x v="57"/>
    <s v="conventional_curtailment_wam_211"/>
    <x v="251"/>
    <n v="9.4602786574074103E-4"/>
    <n v="1"/>
    <n v="-72"/>
    <n v="432"/>
  </r>
  <r>
    <x v="57"/>
    <s v="conventional_curtailment_wam_212"/>
    <x v="252"/>
    <n v="9.4097570370370396E-4"/>
    <n v="1"/>
    <n v="-72"/>
    <n v="432"/>
  </r>
  <r>
    <x v="57"/>
    <s v="conventional_curtailment_wam_213"/>
    <x v="253"/>
    <n v="9.3596487500000004E-4"/>
    <n v="1"/>
    <n v="-72"/>
    <n v="432"/>
  </r>
  <r>
    <x v="57"/>
    <s v="conventional_curtailment_wam_214"/>
    <x v="254"/>
    <n v="9.3099174074074103E-4"/>
    <n v="1"/>
    <n v="-72"/>
    <n v="432"/>
  </r>
  <r>
    <x v="57"/>
    <s v="conventional_curtailment_wam_215"/>
    <x v="255"/>
    <n v="9.2605266203703697E-4"/>
    <n v="1"/>
    <n v="-72"/>
    <n v="432"/>
  </r>
  <r>
    <x v="57"/>
    <s v="conventional_curtailment_wam_216"/>
    <x v="256"/>
    <n v="9.2114400000000004E-4"/>
    <n v="1"/>
    <n v="-72"/>
    <n v="432"/>
  </r>
  <r>
    <x v="57"/>
    <s v="conventional_curtailment_wam_217"/>
    <x v="257"/>
    <n v="9.1626211574074104E-4"/>
    <n v="1"/>
    <n v="-72"/>
    <n v="432"/>
  </r>
  <r>
    <x v="57"/>
    <s v="conventional_curtailment_wam_218"/>
    <x v="258"/>
    <n v="9.1140337037036998E-4"/>
    <n v="1"/>
    <n v="-72"/>
    <n v="432"/>
  </r>
  <r>
    <x v="57"/>
    <s v="conventional_curtailment_wam_219"/>
    <x v="259"/>
    <n v="9.0656412500000005E-4"/>
    <n v="1"/>
    <n v="-72"/>
    <n v="432"/>
  </r>
  <r>
    <x v="57"/>
    <s v="conventional_curtailment_wam_220"/>
    <x v="260"/>
    <n v="9.0174074074074104E-4"/>
    <n v="1"/>
    <n v="-72"/>
    <n v="432"/>
  </r>
  <r>
    <x v="57"/>
    <s v="conventional_curtailment_wam_221"/>
    <x v="261"/>
    <n v="8.9692957870370397E-4"/>
    <n v="1"/>
    <n v="-72"/>
    <n v="432"/>
  </r>
  <r>
    <x v="57"/>
    <s v="conventional_curtailment_wam_222"/>
    <x v="262"/>
    <n v="8.9212700000000005E-4"/>
    <n v="1"/>
    <n v="-72"/>
    <n v="432"/>
  </r>
  <r>
    <x v="57"/>
    <s v="conventional_curtailment_wam_223"/>
    <x v="263"/>
    <n v="8.8732936574074104E-4"/>
    <n v="1"/>
    <n v="-72"/>
    <n v="432"/>
  </r>
  <r>
    <x v="57"/>
    <s v="conventional_curtailment_wam_224"/>
    <x v="264"/>
    <n v="8.8253303703703697E-4"/>
    <n v="1"/>
    <n v="-72"/>
    <n v="432"/>
  </r>
  <r>
    <x v="57"/>
    <s v="conventional_curtailment_wam_225"/>
    <x v="265"/>
    <n v="8.7773437500000004E-4"/>
    <n v="1"/>
    <n v="-72"/>
    <n v="432"/>
  </r>
  <r>
    <x v="57"/>
    <s v="conventional_curtailment_wam_226"/>
    <x v="266"/>
    <n v="8.7292974074074103E-4"/>
    <n v="1"/>
    <n v="-72"/>
    <n v="432"/>
  </r>
  <r>
    <x v="57"/>
    <s v="conventional_curtailment_wam_227"/>
    <x v="267"/>
    <n v="8.6811549537036997E-4"/>
    <n v="1"/>
    <n v="-72"/>
    <n v="432"/>
  </r>
  <r>
    <x v="57"/>
    <s v="conventional_curtailment_wam_228"/>
    <x v="268"/>
    <n v="8.6328800000000003E-4"/>
    <n v="1"/>
    <n v="-72"/>
    <n v="432"/>
  </r>
  <r>
    <x v="57"/>
    <s v="conventional_curtailment_wam_229"/>
    <x v="269"/>
    <n v="8.5844361574074102E-4"/>
    <n v="1"/>
    <n v="-72"/>
    <n v="432"/>
  </r>
  <r>
    <x v="57"/>
    <s v="conventional_curtailment_wam_230"/>
    <x v="270"/>
    <n v="8.5357870370370405E-4"/>
    <n v="1"/>
    <n v="-72"/>
    <n v="432"/>
  </r>
  <r>
    <x v="57"/>
    <s v="conventional_curtailment_wam_231"/>
    <x v="271"/>
    <n v="8.4868962500000002E-4"/>
    <n v="1"/>
    <n v="-72"/>
    <n v="432"/>
  </r>
  <r>
    <x v="57"/>
    <s v="conventional_curtailment_wam_232"/>
    <x v="272"/>
    <n v="8.43772740740741E-4"/>
    <n v="1"/>
    <n v="-72"/>
    <n v="432"/>
  </r>
  <r>
    <x v="57"/>
    <s v="conventional_curtailment_wam_233"/>
    <x v="273"/>
    <n v="8.3882441203703704E-4"/>
    <n v="1"/>
    <n v="-72"/>
    <n v="432"/>
  </r>
  <r>
    <x v="57"/>
    <s v="conventional_curtailment_wam_234"/>
    <x v="274"/>
    <n v="8.3384099999999999E-4"/>
    <n v="1"/>
    <n v="-72"/>
    <n v="432"/>
  </r>
  <r>
    <x v="57"/>
    <s v="conventional_curtailment_wam_235"/>
    <x v="275"/>
    <n v="8.2881886574074097E-4"/>
    <n v="1"/>
    <n v="-72"/>
    <n v="432"/>
  </r>
  <r>
    <x v="57"/>
    <s v="conventional_curtailment_wam_236"/>
    <x v="276"/>
    <n v="8.2375437037037001E-4"/>
    <n v="1"/>
    <n v="-72"/>
    <n v="432"/>
  </r>
  <r>
    <x v="57"/>
    <s v="conventional_curtailment_wam_237"/>
    <x v="277"/>
    <n v="8.1864387499999995E-4"/>
    <n v="1"/>
    <n v="-72"/>
    <n v="432"/>
  </r>
  <r>
    <x v="57"/>
    <s v="conventional_curtailment_wam_238"/>
    <x v="278"/>
    <n v="8.1348374074074103E-4"/>
    <n v="1"/>
    <n v="-72"/>
    <n v="432"/>
  </r>
  <r>
    <x v="57"/>
    <s v="conventional_curtailment_wam_239"/>
    <x v="279"/>
    <n v="8.0827032870370405E-4"/>
    <n v="1"/>
    <n v="-72"/>
    <n v="432"/>
  </r>
  <r>
    <x v="57"/>
    <s v="conventional_curtailment_wam_240"/>
    <x v="280"/>
    <n v="8.03E-4"/>
    <n v="1"/>
    <n v="-72"/>
    <n v="432"/>
  </r>
  <r>
    <x v="57"/>
    <s v="conventional_curtailment_wam_241"/>
    <x v="281"/>
    <n v="7.9769849710648196E-4"/>
    <n v="1"/>
    <n v="-72"/>
    <n v="432"/>
  </r>
  <r>
    <x v="57"/>
    <s v="conventional_curtailment_wam_242"/>
    <x v="282"/>
    <n v="7.9239450462963005E-4"/>
    <n v="1"/>
    <n v="-72"/>
    <n v="432"/>
  </r>
  <r>
    <x v="57"/>
    <s v="conventional_curtailment_wam_243"/>
    <x v="283"/>
    <n v="7.8708879687500004E-4"/>
    <n v="1"/>
    <n v="-72"/>
    <n v="432"/>
  </r>
  <r>
    <x v="57"/>
    <s v="conventional_curtailment_wam_244"/>
    <x v="284"/>
    <n v="7.8178214814814801E-4"/>
    <n v="1"/>
    <n v="-72"/>
    <n v="432"/>
  </r>
  <r>
    <x v="57"/>
    <s v="conventional_curtailment_wam_245"/>
    <x v="285"/>
    <n v="7.7647533275463005E-4"/>
    <n v="1"/>
    <n v="-72"/>
    <n v="432"/>
  </r>
  <r>
    <x v="57"/>
    <s v="conventional_curtailment_wam_246"/>
    <x v="286"/>
    <n v="7.7116912499999998E-4"/>
    <n v="1"/>
    <n v="-72"/>
    <n v="432"/>
  </r>
  <r>
    <x v="57"/>
    <s v="conventional_curtailment_wam_247"/>
    <x v="287"/>
    <n v="7.6586429918981496E-4"/>
    <n v="1"/>
    <n v="-72"/>
    <n v="432"/>
  </r>
  <r>
    <x v="57"/>
    <s v="conventional_curtailment_wam_248"/>
    <x v="288"/>
    <n v="7.6056162962962999E-4"/>
    <n v="1"/>
    <n v="-72"/>
    <n v="432"/>
  </r>
  <r>
    <x v="57"/>
    <s v="conventional_curtailment_wam_249"/>
    <x v="289"/>
    <n v="7.5526189062499998E-4"/>
    <n v="1"/>
    <n v="-72"/>
    <n v="432"/>
  </r>
  <r>
    <x v="57"/>
    <s v="conventional_curtailment_wam_250"/>
    <x v="290"/>
    <n v="7.4996585648148199E-4"/>
    <n v="1"/>
    <n v="-72"/>
    <n v="432"/>
  </r>
  <r>
    <x v="57"/>
    <s v="conventional_curtailment_wam_251"/>
    <x v="291"/>
    <n v="7.4467430150463004E-4"/>
    <n v="1"/>
    <n v="-72"/>
    <n v="432"/>
  </r>
  <r>
    <x v="57"/>
    <s v="conventional_curtailment_wam_252"/>
    <x v="292"/>
    <n v="7.39388E-4"/>
    <n v="1"/>
    <n v="-72"/>
    <n v="432"/>
  </r>
  <r>
    <x v="57"/>
    <s v="conventional_curtailment_wam_253"/>
    <x v="293"/>
    <n v="7.3410772627314797E-4"/>
    <n v="1"/>
    <n v="-72"/>
    <n v="432"/>
  </r>
  <r>
    <x v="57"/>
    <s v="conventional_curtailment_wam_254"/>
    <x v="294"/>
    <n v="7.2883425462963003E-4"/>
    <n v="1"/>
    <n v="-72"/>
    <n v="432"/>
  </r>
  <r>
    <x v="57"/>
    <s v="conventional_curtailment_wam_255"/>
    <x v="295"/>
    <n v="7.2356835937499998E-4"/>
    <n v="1"/>
    <n v="-72"/>
    <n v="432"/>
  </r>
  <r>
    <x v="57"/>
    <s v="conventional_curtailment_wam_256"/>
    <x v="296"/>
    <n v="7.1831081481481501E-4"/>
    <n v="1"/>
    <n v="-72"/>
    <n v="432"/>
  </r>
  <r>
    <x v="57"/>
    <s v="conventional_curtailment_wam_257"/>
    <x v="297"/>
    <n v="7.1306239525463001E-4"/>
    <n v="1"/>
    <n v="-72"/>
    <n v="432"/>
  </r>
  <r>
    <x v="57"/>
    <s v="conventional_curtailment_wam_258"/>
    <x v="298"/>
    <n v="7.0782387499999998E-4"/>
    <n v="1"/>
    <n v="-72"/>
    <n v="432"/>
  </r>
  <r>
    <x v="57"/>
    <s v="conventional_curtailment_wam_259"/>
    <x v="299"/>
    <n v="7.02596028356481E-4"/>
    <n v="1"/>
    <n v="-72"/>
    <n v="432"/>
  </r>
  <r>
    <x v="57"/>
    <s v="conventional_curtailment_wam_260"/>
    <x v="300"/>
    <n v="6.9737962962963004E-4"/>
    <n v="1"/>
    <n v="-72"/>
    <n v="432"/>
  </r>
  <r>
    <x v="57"/>
    <s v="conventional_curtailment_wam_261"/>
    <x v="301"/>
    <n v="6.9217545312500004E-4"/>
    <n v="1"/>
    <n v="-72"/>
    <n v="432"/>
  </r>
  <r>
    <x v="57"/>
    <s v="conventional_curtailment_wam_262"/>
    <x v="302"/>
    <n v="6.8698427314814795E-4"/>
    <n v="1"/>
    <n v="-72"/>
    <n v="432"/>
  </r>
  <r>
    <x v="57"/>
    <s v="conventional_curtailment_wam_263"/>
    <x v="303"/>
    <n v="6.8180686400462996E-4"/>
    <n v="1"/>
    <n v="-72"/>
    <n v="432"/>
  </r>
  <r>
    <x v="57"/>
    <s v="conventional_curtailment_wam_264"/>
    <x v="304"/>
    <n v="6.7664400000000001E-4"/>
    <n v="1"/>
    <n v="-72"/>
    <n v="432"/>
  </r>
  <r>
    <x v="57"/>
    <s v="conventional_curtailment_wam_265"/>
    <x v="305"/>
    <n v="6.7149645543981503E-4"/>
    <n v="1"/>
    <n v="-72"/>
    <n v="432"/>
  </r>
  <r>
    <x v="57"/>
    <s v="conventional_curtailment_wam_266"/>
    <x v="306"/>
    <n v="6.6636500462963005E-4"/>
    <n v="1"/>
    <n v="-72"/>
    <n v="432"/>
  </r>
  <r>
    <x v="57"/>
    <s v="conventional_curtailment_wam_267"/>
    <x v="307"/>
    <n v="6.6125042187500005E-4"/>
    <n v="1"/>
    <n v="-72"/>
    <n v="432"/>
  </r>
  <r>
    <x v="57"/>
    <s v="conventional_curtailment_wam_268"/>
    <x v="308"/>
    <n v="6.5615348148148102E-4"/>
    <n v="1"/>
    <n v="-72"/>
    <n v="432"/>
  </r>
  <r>
    <x v="57"/>
    <s v="conventional_curtailment_wam_269"/>
    <x v="309"/>
    <n v="6.5107495775463002E-4"/>
    <n v="1"/>
    <n v="-72"/>
    <n v="432"/>
  </r>
  <r>
    <x v="57"/>
    <s v="conventional_curtailment_wam_270"/>
    <x v="310"/>
    <n v="6.46015625E-4"/>
    <n v="1"/>
    <n v="-72"/>
    <n v="432"/>
  </r>
  <r>
    <x v="57"/>
    <s v="conventional_curtailment_wam_271"/>
    <x v="311"/>
    <n v="6.4097625752314801E-4"/>
    <n v="1"/>
    <n v="-72"/>
    <n v="432"/>
  </r>
  <r>
    <x v="57"/>
    <s v="conventional_curtailment_wam_272"/>
    <x v="312"/>
    <n v="6.3595762962963005E-4"/>
    <n v="1"/>
    <n v="-72"/>
    <n v="432"/>
  </r>
  <r>
    <x v="57"/>
    <s v="conventional_curtailment_wam_273"/>
    <x v="313"/>
    <n v="6.3096051562500002E-4"/>
    <n v="1"/>
    <n v="-72"/>
    <n v="432"/>
  </r>
  <r>
    <x v="57"/>
    <s v="conventional_curtailment_wam_274"/>
    <x v="314"/>
    <n v="6.2598568981481499E-4"/>
    <n v="1"/>
    <n v="-72"/>
    <n v="432"/>
  </r>
  <r>
    <x v="57"/>
    <s v="conventional_curtailment_wam_275"/>
    <x v="315"/>
    <n v="6.2103392650462996E-4"/>
    <n v="1"/>
    <n v="-72"/>
    <n v="432"/>
  </r>
  <r>
    <x v="57"/>
    <s v="conventional_curtailment_wam_276"/>
    <x v="316"/>
    <n v="6.1610600000000005E-4"/>
    <n v="1"/>
    <n v="-72"/>
    <n v="432"/>
  </r>
  <r>
    <x v="57"/>
    <s v="conventional_curtailment_wam_277"/>
    <x v="317"/>
    <n v="6.1120268460648102E-4"/>
    <n v="1"/>
    <n v="-72"/>
    <n v="432"/>
  </r>
  <r>
    <x v="57"/>
    <s v="conventional_curtailment_wam_278"/>
    <x v="318"/>
    <n v="6.0632475462963004E-4"/>
    <n v="1"/>
    <n v="-72"/>
    <n v="432"/>
  </r>
  <r>
    <x v="57"/>
    <s v="conventional_curtailment_wam_279"/>
    <x v="319"/>
    <n v="6.0147298437499995E-4"/>
    <n v="1"/>
    <n v="-72"/>
    <n v="432"/>
  </r>
  <r>
    <x v="57"/>
    <s v="conventional_curtailment_wam_280"/>
    <x v="320"/>
    <n v="5.9664814814814802E-4"/>
    <n v="1"/>
    <n v="-72"/>
    <n v="432"/>
  </r>
  <r>
    <x v="57"/>
    <s v="conventional_curtailment_wam_281"/>
    <x v="321"/>
    <n v="5.9185102025463001E-4"/>
    <n v="1"/>
    <n v="-72"/>
    <n v="432"/>
  </r>
  <r>
    <x v="57"/>
    <s v="conventional_curtailment_wam_282"/>
    <x v="322"/>
    <n v="5.8708237499999997E-4"/>
    <n v="1"/>
    <n v="-72"/>
    <n v="432"/>
  </r>
  <r>
    <x v="57"/>
    <s v="conventional_curtailment_wam_283"/>
    <x v="323"/>
    <n v="5.8234298668981505E-4"/>
    <n v="1"/>
    <n v="-72"/>
    <n v="432"/>
  </r>
  <r>
    <x v="57"/>
    <s v="conventional_curtailment_wam_284"/>
    <x v="324"/>
    <n v="5.7763362962963004E-4"/>
    <n v="1"/>
    <n v="-72"/>
    <n v="432"/>
  </r>
  <r>
    <x v="57"/>
    <s v="conventional_curtailment_wam_285"/>
    <x v="325"/>
    <n v="5.7295507812499995E-4"/>
    <n v="1"/>
    <n v="-72"/>
    <n v="432"/>
  </r>
  <r>
    <x v="57"/>
    <s v="conventional_curtailment_wam_286"/>
    <x v="326"/>
    <n v="5.6830810648148098E-4"/>
    <n v="1"/>
    <n v="-72"/>
    <n v="432"/>
  </r>
  <r>
    <x v="57"/>
    <s v="conventional_curtailment_wam_287"/>
    <x v="327"/>
    <n v="5.6369348900462996E-4"/>
    <n v="1"/>
    <n v="-72"/>
    <n v="432"/>
  </r>
  <r>
    <x v="57"/>
    <s v="conventional_curtailment_wam_288"/>
    <x v="328"/>
    <n v="5.5911199999999996E-4"/>
    <n v="1"/>
    <n v="-72"/>
    <n v="432"/>
  </r>
  <r>
    <x v="57"/>
    <s v="conventional_curtailment_wam_289"/>
    <x v="329"/>
    <n v="5.5456441377314803E-4"/>
    <n v="1"/>
    <n v="-72"/>
    <n v="432"/>
  </r>
  <r>
    <x v="57"/>
    <s v="conventional_curtailment_wam_290"/>
    <x v="330"/>
    <n v="5.5005150462963004E-4"/>
    <n v="1"/>
    <n v="-72"/>
    <n v="432"/>
  </r>
  <r>
    <x v="57"/>
    <s v="conventional_curtailment_wam_291"/>
    <x v="331"/>
    <n v="5.4557404687500003E-4"/>
    <n v="1"/>
    <n v="-72"/>
    <n v="432"/>
  </r>
  <r>
    <x v="57"/>
    <s v="conventional_curtailment_wam_292"/>
    <x v="332"/>
    <n v="5.4113281481481495E-4"/>
    <n v="1"/>
    <n v="-72"/>
    <n v="432"/>
  </r>
  <r>
    <x v="57"/>
    <s v="conventional_curtailment_wam_293"/>
    <x v="333"/>
    <n v="5.3672858275463002E-4"/>
    <n v="1"/>
    <n v="-72"/>
    <n v="432"/>
  </r>
  <r>
    <x v="57"/>
    <s v="conventional_curtailment_wam_294"/>
    <x v="334"/>
    <n v="5.3236212500000003E-4"/>
    <n v="1"/>
    <n v="-72"/>
    <n v="432"/>
  </r>
  <r>
    <x v="57"/>
    <s v="conventional_curtailment_wam_295"/>
    <x v="335"/>
    <n v="5.2803421585648105E-4"/>
    <n v="1"/>
    <n v="-72"/>
    <n v="432"/>
  </r>
  <r>
    <x v="57"/>
    <s v="conventional_curtailment_wam_296"/>
    <x v="336"/>
    <n v="5.2374562962962995E-4"/>
    <n v="1"/>
    <n v="-72"/>
    <n v="432"/>
  </r>
  <r>
    <x v="57"/>
    <s v="conventional_curtailment_wam_297"/>
    <x v="337"/>
    <n v="5.1949714062499998E-4"/>
    <n v="1"/>
    <n v="-72"/>
    <n v="432"/>
  </r>
  <r>
    <x v="57"/>
    <s v="conventional_curtailment_wam_298"/>
    <x v="338"/>
    <n v="5.15289523148148E-4"/>
    <n v="1"/>
    <n v="-72"/>
    <n v="432"/>
  </r>
  <r>
    <x v="57"/>
    <s v="conventional_curtailment_wam_299"/>
    <x v="339"/>
    <n v="5.1112355150462999E-4"/>
    <n v="1"/>
    <n v="-72"/>
    <n v="432"/>
  </r>
  <r>
    <x v="57"/>
    <s v="conventional_curtailment_wam_300"/>
    <x v="340"/>
    <n v="5.0699999999999996E-4"/>
    <n v="1"/>
    <n v="-72"/>
    <n v="432"/>
  </r>
  <r>
    <x v="57"/>
    <s v="conventional_curtailment_wam_301"/>
    <x v="341"/>
    <n v="5.0286546856915496E-4"/>
    <n v="1"/>
    <n v="-72"/>
    <n v="432"/>
  </r>
  <r>
    <x v="57"/>
    <s v="conventional_curtailment_wam_302"/>
    <x v="342"/>
    <n v="4.9867027633101796E-4"/>
    <n v="1"/>
    <n v="-72"/>
    <n v="432"/>
  </r>
  <r>
    <x v="57"/>
    <s v="conventional_curtailment_wam_303"/>
    <x v="343"/>
    <n v="4.9442077636718698E-4"/>
    <n v="1"/>
    <n v="-72"/>
    <n v="432"/>
  </r>
  <r>
    <x v="57"/>
    <s v="conventional_curtailment_wam_304"/>
    <x v="344"/>
    <n v="4.9012332175925896E-4"/>
    <n v="1"/>
    <n v="-72"/>
    <n v="432"/>
  </r>
  <r>
    <x v="57"/>
    <s v="conventional_curtailment_wam_305"/>
    <x v="345"/>
    <n v="4.8578426558883099E-4"/>
    <n v="1"/>
    <n v="-72"/>
    <n v="432"/>
  </r>
  <r>
    <x v="57"/>
    <s v="conventional_curtailment_wam_306"/>
    <x v="346"/>
    <n v="4.8140996093750001E-4"/>
    <n v="1"/>
    <n v="-72"/>
    <n v="432"/>
  </r>
  <r>
    <x v="57"/>
    <s v="conventional_curtailment_wam_307"/>
    <x v="347"/>
    <n v="4.7700676088686299E-4"/>
    <n v="1"/>
    <n v="-72"/>
    <n v="432"/>
  </r>
  <r>
    <x v="57"/>
    <s v="conventional_curtailment_wam_308"/>
    <x v="348"/>
    <n v="4.7258101851851801E-4"/>
    <n v="1"/>
    <n v="-72"/>
    <n v="432"/>
  </r>
  <r>
    <x v="57"/>
    <s v="conventional_curtailment_wam_309"/>
    <x v="349"/>
    <n v="4.6813908691406201E-4"/>
    <n v="1"/>
    <n v="-72"/>
    <n v="432"/>
  </r>
  <r>
    <x v="57"/>
    <s v="conventional_curtailment_wam_310"/>
    <x v="350"/>
    <n v="4.6368731915509299E-4"/>
    <n v="1"/>
    <n v="-72"/>
    <n v="432"/>
  </r>
  <r>
    <x v="57"/>
    <s v="conventional_curtailment_wam_311"/>
    <x v="351"/>
    <n v="4.5923206832320599E-4"/>
    <n v="1"/>
    <n v="-72"/>
    <n v="432"/>
  </r>
  <r>
    <x v="57"/>
    <s v="conventional_curtailment_wam_312"/>
    <x v="352"/>
    <n v="4.5477968750000001E-4"/>
    <n v="1"/>
    <n v="-72"/>
    <n v="432"/>
  </r>
  <r>
    <x v="57"/>
    <s v="conventional_curtailment_wam_313"/>
    <x v="353"/>
    <n v="4.5033652976707197E-4"/>
    <n v="1"/>
    <n v="-72"/>
    <n v="432"/>
  </r>
  <r>
    <x v="57"/>
    <s v="conventional_curtailment_wam_314"/>
    <x v="354"/>
    <n v="4.45908948206018E-4"/>
    <n v="1"/>
    <n v="-72"/>
    <n v="432"/>
  </r>
  <r>
    <x v="57"/>
    <s v="conventional_curtailment_wam_315"/>
    <x v="355"/>
    <n v="4.4150329589843698E-4"/>
    <n v="1"/>
    <n v="-72"/>
    <n v="432"/>
  </r>
  <r>
    <x v="57"/>
    <s v="conventional_curtailment_wam_316"/>
    <x v="356"/>
    <n v="4.3712592592592601E-4"/>
    <n v="1"/>
    <n v="-72"/>
    <n v="432"/>
  </r>
  <r>
    <x v="57"/>
    <s v="conventional_curtailment_wam_317"/>
    <x v="357"/>
    <n v="4.3278319137008098E-4"/>
    <n v="1"/>
    <n v="-72"/>
    <n v="432"/>
  </r>
  <r>
    <x v="57"/>
    <s v="conventional_curtailment_wam_318"/>
    <x v="358"/>
    <n v="4.2848144531250002E-4"/>
    <n v="1"/>
    <n v="-72"/>
    <n v="432"/>
  </r>
  <r>
    <x v="57"/>
    <s v="conventional_curtailment_wam_319"/>
    <x v="359"/>
    <n v="4.2422704083478E-4"/>
    <n v="1"/>
    <n v="-72"/>
    <n v="432"/>
  </r>
  <r>
    <x v="57"/>
    <s v="conventional_curtailment_wam_320"/>
    <x v="360"/>
    <n v="4.2002633101851798E-4"/>
    <n v="1"/>
    <n v="-72"/>
    <n v="432"/>
  </r>
  <r>
    <x v="57"/>
    <s v="conventional_curtailment_wam_321"/>
    <x v="361"/>
    <n v="4.1588566894531202E-4"/>
    <n v="1"/>
    <n v="-72"/>
    <n v="432"/>
  </r>
  <r>
    <x v="57"/>
    <s v="conventional_curtailment_wam_322"/>
    <x v="362"/>
    <n v="4.1181140769675899E-4"/>
    <n v="1"/>
    <n v="-72"/>
    <n v="432"/>
  </r>
  <r>
    <x v="57"/>
    <s v="conventional_curtailment_wam_323"/>
    <x v="363"/>
    <n v="4.07809900354456E-4"/>
    <n v="1"/>
    <n v="-72"/>
    <n v="432"/>
  </r>
  <r>
    <x v="57"/>
    <s v="conventional_curtailment_wam_324"/>
    <x v="364"/>
    <n v="4.0388750000000003E-4"/>
    <n v="1"/>
    <n v="-72"/>
    <n v="432"/>
  </r>
  <r>
    <x v="57"/>
    <s v="conventional_curtailment_wam_325"/>
    <x v="365"/>
    <n v="4.00050559714988E-4"/>
    <n v="1"/>
    <n v="-72"/>
    <n v="432"/>
  </r>
  <r>
    <x v="57"/>
    <s v="conventional_curtailment_wam_326"/>
    <x v="366"/>
    <n v="3.9630543258101897E-4"/>
    <n v="1"/>
    <n v="-72"/>
    <n v="432"/>
  </r>
  <r>
    <x v="57"/>
    <s v="conventional_curtailment_wam_327"/>
    <x v="367"/>
    <n v="3.92658471679687E-4"/>
    <n v="1"/>
    <n v="-72"/>
    <n v="432"/>
  </r>
  <r>
    <x v="57"/>
    <s v="conventional_curtailment_wam_328"/>
    <x v="368"/>
    <n v="3.8911603009259297E-4"/>
    <n v="1"/>
    <n v="-72"/>
    <n v="432"/>
  </r>
  <r>
    <x v="57"/>
    <s v="conventional_curtailment_wam_329"/>
    <x v="369"/>
    <n v="3.8568446090133101E-4"/>
    <n v="1"/>
    <n v="-72"/>
    <n v="432"/>
  </r>
  <r>
    <x v="57"/>
    <s v="conventional_curtailment_wam_330"/>
    <x v="370"/>
    <n v="3.8237011718749998E-4"/>
    <n v="1"/>
    <n v="-72"/>
    <n v="432"/>
  </r>
  <r>
    <x v="57"/>
    <s v="conventional_curtailment_wam_331"/>
    <x v="371"/>
    <n v="3.7917935203269699E-4"/>
    <n v="1"/>
    <n v="-72"/>
    <n v="432"/>
  </r>
  <r>
    <x v="57"/>
    <s v="conventional_curtailment_wam_332"/>
    <x v="372"/>
    <n v="3.7611851851851902E-4"/>
    <n v="1"/>
    <n v="-72"/>
    <n v="432"/>
  </r>
  <r>
    <x v="57"/>
    <s v="conventional_curtailment_wam_333"/>
    <x v="373"/>
    <n v="3.7319396972656198E-4"/>
    <n v="1"/>
    <n v="-72"/>
    <n v="432"/>
  </r>
  <r>
    <x v="57"/>
    <s v="conventional_curtailment_wam_334"/>
    <x v="374"/>
    <n v="3.7041205873842599E-4"/>
    <n v="1"/>
    <n v="-72"/>
    <n v="432"/>
  </r>
  <r>
    <x v="57"/>
    <s v="conventional_curtailment_wam_335"/>
    <x v="375"/>
    <n v="3.6777913863570599E-4"/>
    <n v="1"/>
    <n v="-72"/>
    <n v="432"/>
  </r>
  <r>
    <x v="57"/>
    <s v="conventional_curtailment_wam_336"/>
    <x v="376"/>
    <n v="3.6530156249999998E-4"/>
    <n v="1"/>
    <n v="-72"/>
    <n v="432"/>
  </r>
  <r>
    <x v="57"/>
    <s v="conventional_curtailment_wam_337"/>
    <x v="377"/>
    <n v="3.6298568341290501E-4"/>
    <n v="1"/>
    <n v="-72"/>
    <n v="432"/>
  </r>
  <r>
    <x v="57"/>
    <s v="conventional_curtailment_wam_338"/>
    <x v="378"/>
    <n v="3.6083785445601899E-4"/>
    <n v="1"/>
    <n v="-72"/>
    <n v="432"/>
  </r>
  <r>
    <x v="57"/>
    <s v="conventional_curtailment_wam_339"/>
    <x v="379"/>
    <n v="3.58864428710937E-4"/>
    <n v="1"/>
    <n v="-72"/>
    <n v="432"/>
  </r>
  <r>
    <x v="57"/>
    <s v="conventional_curtailment_wam_340"/>
    <x v="380"/>
    <n v="3.5707175925925902E-4"/>
    <n v="1"/>
    <n v="-72"/>
    <n v="432"/>
  </r>
  <r>
    <x v="57"/>
    <s v="conventional_curtailment_wam_341"/>
    <x v="381"/>
    <n v="3.5546619918258099E-4"/>
    <n v="1"/>
    <n v="-72"/>
    <n v="432"/>
  </r>
  <r>
    <x v="57"/>
    <s v="conventional_curtailment_wam_342"/>
    <x v="382"/>
    <n v="3.5405410156250002E-4"/>
    <n v="1"/>
    <n v="-72"/>
    <n v="432"/>
  </r>
  <r>
    <x v="57"/>
    <s v="conventional_curtailment_wam_343"/>
    <x v="383"/>
    <n v="3.5284181948061298E-4"/>
    <n v="1"/>
    <n v="-72"/>
    <n v="432"/>
  </r>
  <r>
    <x v="57"/>
    <s v="conventional_curtailment_wam_344"/>
    <x v="384"/>
    <n v="3.51835706018518E-4"/>
    <n v="1"/>
    <n v="-72"/>
    <n v="432"/>
  </r>
  <r>
    <x v="57"/>
    <s v="conventional_curtailment_wam_345"/>
    <x v="385"/>
    <n v="3.5104211425781201E-4"/>
    <n v="1"/>
    <n v="-72"/>
    <n v="432"/>
  </r>
  <r>
    <x v="57"/>
    <s v="conventional_curtailment_wam_346"/>
    <x v="386"/>
    <n v="3.5046739728009302E-4"/>
    <n v="1"/>
    <n v="-72"/>
    <n v="432"/>
  </r>
  <r>
    <x v="57"/>
    <s v="conventional_curtailment_wam_347"/>
    <x v="387"/>
    <n v="3.5011790816695602E-4"/>
    <n v="1"/>
    <n v="-72"/>
    <n v="432"/>
  </r>
  <r>
    <x v="57"/>
    <s v="conventional_curtailment_wam_348"/>
    <x v="388"/>
    <n v="3.5E-4"/>
    <n v="1"/>
    <n v="-72"/>
    <n v="432"/>
  </r>
  <r>
    <x v="57"/>
    <s v="conventional_curtailment_wam_349"/>
    <x v="389"/>
    <n v="3.5E-4"/>
    <n v="1"/>
    <n v="-72"/>
    <n v="432"/>
  </r>
  <r>
    <x v="57"/>
    <s v="conventional_curtailment_wam_350"/>
    <x v="390"/>
    <n v="3.5E-4"/>
    <n v="1"/>
    <n v="-72"/>
    <n v="432"/>
  </r>
  <r>
    <x v="57"/>
    <s v="conventional_curtailment_wam_351"/>
    <x v="391"/>
    <n v="3.5E-4"/>
    <n v="1"/>
    <n v="-72"/>
    <n v="432"/>
  </r>
  <r>
    <x v="57"/>
    <s v="conventional_curtailment_wam_352"/>
    <x v="392"/>
    <n v="3.5E-4"/>
    <n v="1"/>
    <n v="-72"/>
    <n v="432"/>
  </r>
  <r>
    <x v="57"/>
    <s v="conventional_curtailment_wam_353"/>
    <x v="393"/>
    <n v="3.5E-4"/>
    <n v="1"/>
    <n v="-72"/>
    <n v="432"/>
  </r>
  <r>
    <x v="57"/>
    <s v="conventional_curtailment_wam_354"/>
    <x v="394"/>
    <n v="3.5E-4"/>
    <n v="1"/>
    <n v="-72"/>
    <n v="432"/>
  </r>
  <r>
    <x v="57"/>
    <s v="conventional_curtailment_wam_355"/>
    <x v="395"/>
    <n v="3.3217643518518498E-4"/>
    <n v="1"/>
    <n v="-72"/>
    <n v="432"/>
  </r>
  <r>
    <x v="57"/>
    <s v="conventional_curtailment_wam_356"/>
    <x v="396"/>
    <n v="2.8518703703703702E-4"/>
    <n v="1"/>
    <n v="-72"/>
    <n v="432"/>
  </r>
  <r>
    <x v="57"/>
    <s v="conventional_curtailment_wam_357"/>
    <x v="397"/>
    <n v="2.1875375000000001E-4"/>
    <n v="1"/>
    <n v="-72"/>
    <n v="432"/>
  </r>
  <r>
    <x v="57"/>
    <s v="conventional_curtailment_wam_358"/>
    <x v="398"/>
    <n v="1.4259851851851899E-4"/>
    <n v="1"/>
    <n v="-72"/>
    <n v="432"/>
  </r>
  <r>
    <x v="57"/>
    <s v="conventional_curtailment_wam_359"/>
    <x v="399"/>
    <n v="6.6443287037037003E-5"/>
    <n v="1"/>
    <n v="-72"/>
    <n v="432"/>
  </r>
  <r>
    <x v="57"/>
    <s v="conventional_curtailment_wam_360"/>
    <x v="400"/>
    <n v="1E-8"/>
    <n v="1"/>
    <n v="-72"/>
    <n v="432"/>
  </r>
  <r>
    <x v="57"/>
    <s v="conventional_curtailment_wam_361"/>
    <x v="401"/>
    <n v="-5.8321666666666701E-5"/>
    <n v="1"/>
    <n v="-72"/>
    <n v="432"/>
  </r>
  <r>
    <x v="57"/>
    <s v="conventional_curtailment_wam_362"/>
    <x v="402"/>
    <n v="-1.16653333333333E-4"/>
    <n v="1"/>
    <n v="-72"/>
    <n v="432"/>
  </r>
  <r>
    <x v="57"/>
    <s v="conventional_curtailment_wam_363"/>
    <x v="403"/>
    <n v="-1.7498500000000001E-4"/>
    <n v="1"/>
    <n v="-72"/>
    <n v="432"/>
  </r>
  <r>
    <x v="57"/>
    <s v="conventional_curtailment_wam_364"/>
    <x v="404"/>
    <n v="-2.3331666666666701E-4"/>
    <n v="1"/>
    <n v="-72"/>
    <n v="432"/>
  </r>
  <r>
    <x v="57"/>
    <s v="conventional_curtailment_wam_365"/>
    <x v="405"/>
    <n v="-2.9164833333333298E-4"/>
    <n v="1"/>
    <n v="-72"/>
    <n v="432"/>
  </r>
  <r>
    <x v="57"/>
    <s v="conventional_curtailment_wam_366"/>
    <x v="406"/>
    <n v="-3.4998000000000001E-4"/>
    <n v="1"/>
    <n v="-72"/>
    <n v="432"/>
  </r>
  <r>
    <x v="57"/>
    <s v="conventional_curtailment_wam_367"/>
    <x v="407"/>
    <n v="-4.0831166666666698E-4"/>
    <n v="1"/>
    <n v="-72"/>
    <n v="432"/>
  </r>
  <r>
    <x v="57"/>
    <s v="conventional_curtailment_wam_368"/>
    <x v="408"/>
    <n v="-4.6664333333333298E-4"/>
    <n v="1"/>
    <n v="-72"/>
    <n v="432"/>
  </r>
  <r>
    <x v="57"/>
    <s v="conventional_curtailment_wam_369"/>
    <x v="409"/>
    <n v="-5.2497500000000001E-4"/>
    <n v="1"/>
    <n v="-72"/>
    <n v="432"/>
  </r>
  <r>
    <x v="57"/>
    <s v="conventional_curtailment_wam_370"/>
    <x v="410"/>
    <n v="-5.8330666666666698E-4"/>
    <n v="1"/>
    <n v="-72"/>
    <n v="432"/>
  </r>
  <r>
    <x v="57"/>
    <s v="conventional_curtailment_wam_371"/>
    <x v="411"/>
    <n v="-6.4163833333333298E-4"/>
    <n v="1"/>
    <n v="-72"/>
    <n v="432"/>
  </r>
  <r>
    <x v="57"/>
    <s v="conventional_curtailment_wam_372"/>
    <x v="412"/>
    <n v="-6.9996999999999995E-4"/>
    <n v="1"/>
    <n v="-72"/>
    <n v="432"/>
  </r>
  <r>
    <x v="57"/>
    <s v="conventional_curtailment_wam_373"/>
    <x v="413"/>
    <n v="-7.5830166666666704E-4"/>
    <n v="1"/>
    <n v="-72"/>
    <n v="432"/>
  </r>
  <r>
    <x v="57"/>
    <s v="conventional_curtailment_wam_374"/>
    <x v="414"/>
    <n v="-8.1663333333333304E-4"/>
    <n v="1"/>
    <n v="-72"/>
    <n v="432"/>
  </r>
  <r>
    <x v="57"/>
    <s v="conventional_curtailment_wam_375"/>
    <x v="415"/>
    <n v="-8.7496500000000001E-4"/>
    <n v="1"/>
    <n v="-72"/>
    <n v="432"/>
  </r>
  <r>
    <x v="57"/>
    <s v="conventional_curtailment_wam_376"/>
    <x v="416"/>
    <n v="-9.3329666666666698E-4"/>
    <n v="1"/>
    <n v="-72"/>
    <n v="432"/>
  </r>
  <r>
    <x v="57"/>
    <s v="conventional_curtailment_wam_377"/>
    <x v="417"/>
    <n v="-9.9162833333333298E-4"/>
    <n v="1"/>
    <n v="-72"/>
    <n v="432"/>
  </r>
  <r>
    <x v="57"/>
    <s v="conventional_curtailment_wam_378"/>
    <x v="418"/>
    <n v="-1.04996E-3"/>
    <n v="1"/>
    <n v="-72"/>
    <n v="432"/>
  </r>
  <r>
    <x v="57"/>
    <s v="conventional_curtailment_wam_379"/>
    <x v="419"/>
    <n v="-1.10829166666667E-3"/>
    <n v="1"/>
    <n v="-72"/>
    <n v="432"/>
  </r>
  <r>
    <x v="57"/>
    <s v="conventional_curtailment_wam_380"/>
    <x v="420"/>
    <n v="-1.16662333333333E-3"/>
    <n v="1"/>
    <n v="-72"/>
    <n v="432"/>
  </r>
  <r>
    <x v="57"/>
    <s v="conventional_curtailment_wam_381"/>
    <x v="421"/>
    <n v="-1.224955E-3"/>
    <n v="1"/>
    <n v="-72"/>
    <n v="432"/>
  </r>
  <r>
    <x v="57"/>
    <s v="conventional_curtailment_wam_382"/>
    <x v="422"/>
    <n v="-1.28328666666667E-3"/>
    <n v="1"/>
    <n v="-72"/>
    <n v="432"/>
  </r>
  <r>
    <x v="57"/>
    <s v="conventional_curtailment_wam_383"/>
    <x v="423"/>
    <n v="-1.3416183333333301E-3"/>
    <n v="1"/>
    <n v="-72"/>
    <n v="432"/>
  </r>
  <r>
    <x v="57"/>
    <s v="conventional_curtailment_wam_384"/>
    <x v="424"/>
    <n v="-1.3999500000000001E-3"/>
    <n v="1"/>
    <n v="-72"/>
    <n v="432"/>
  </r>
  <r>
    <x v="57"/>
    <s v="conventional_curtailment_wam_385"/>
    <x v="425"/>
    <n v="-1.4582816666666701E-3"/>
    <n v="1"/>
    <n v="-72"/>
    <n v="432"/>
  </r>
  <r>
    <x v="57"/>
    <s v="conventional_curtailment_wam_386"/>
    <x v="426"/>
    <n v="-1.5166133333333299E-3"/>
    <n v="1"/>
    <n v="-72"/>
    <n v="432"/>
  </r>
  <r>
    <x v="57"/>
    <s v="conventional_curtailment_wam_387"/>
    <x v="427"/>
    <n v="-1.5749449999999999E-3"/>
    <n v="1"/>
    <n v="-72"/>
    <n v="432"/>
  </r>
  <r>
    <x v="57"/>
    <s v="conventional_curtailment_wam_388"/>
    <x v="428"/>
    <n v="-1.6332766666666699E-3"/>
    <n v="1"/>
    <n v="-72"/>
    <n v="432"/>
  </r>
  <r>
    <x v="57"/>
    <s v="conventional_curtailment_wam_389"/>
    <x v="429"/>
    <n v="-1.6916083333333299E-3"/>
    <n v="1"/>
    <n v="-72"/>
    <n v="432"/>
  </r>
  <r>
    <x v="57"/>
    <s v="conventional_curtailment_wam_390"/>
    <x v="430"/>
    <n v="-1.74994E-3"/>
    <n v="1"/>
    <n v="-72"/>
    <n v="432"/>
  </r>
  <r>
    <x v="57"/>
    <s v="conventional_curtailment_wam_391"/>
    <x v="431"/>
    <n v="-1.80827166666667E-3"/>
    <n v="1"/>
    <n v="-72"/>
    <n v="432"/>
  </r>
  <r>
    <x v="57"/>
    <s v="conventional_curtailment_wam_392"/>
    <x v="432"/>
    <n v="-1.86660333333333E-3"/>
    <n v="1"/>
    <n v="-72"/>
    <n v="432"/>
  </r>
  <r>
    <x v="57"/>
    <s v="conventional_curtailment_wam_393"/>
    <x v="433"/>
    <n v="-1.924935E-3"/>
    <n v="1"/>
    <n v="-72"/>
    <n v="432"/>
  </r>
  <r>
    <x v="57"/>
    <s v="conventional_curtailment_wam_394"/>
    <x v="434"/>
    <n v="-1.9832666666666698E-3"/>
    <n v="1"/>
    <n v="-72"/>
    <n v="432"/>
  </r>
  <r>
    <x v="57"/>
    <s v="conventional_curtailment_wam_395"/>
    <x v="435"/>
    <n v="-2.0415983333333301E-3"/>
    <n v="1"/>
    <n v="-72"/>
    <n v="432"/>
  </r>
  <r>
    <x v="57"/>
    <s v="conventional_curtailment_wam_396"/>
    <x v="436"/>
    <n v="-2.0999299999999999E-3"/>
    <n v="1"/>
    <n v="-72"/>
    <n v="432"/>
  </r>
  <r>
    <x v="57"/>
    <s v="conventional_curtailment_wam_397"/>
    <x v="437"/>
    <n v="-2.1582616666666701E-3"/>
    <n v="1"/>
    <n v="-72"/>
    <n v="432"/>
  </r>
  <r>
    <x v="57"/>
    <s v="conventional_curtailment_wam_398"/>
    <x v="438"/>
    <n v="-2.2165933333333299E-3"/>
    <n v="1"/>
    <n v="-72"/>
    <n v="432"/>
  </r>
  <r>
    <x v="57"/>
    <s v="conventional_curtailment_wam_399"/>
    <x v="439"/>
    <n v="-2.2749250000000001E-3"/>
    <n v="1"/>
    <n v="-72"/>
    <n v="432"/>
  </r>
  <r>
    <x v="57"/>
    <s v="conventional_curtailment_wam_400"/>
    <x v="440"/>
    <n v="-2.3332566666666699E-3"/>
    <n v="1"/>
    <n v="-72"/>
    <n v="432"/>
  </r>
  <r>
    <x v="57"/>
    <s v="conventional_curtailment_wam_401"/>
    <x v="441"/>
    <n v="-2.3915883333333302E-3"/>
    <n v="1"/>
    <n v="-72"/>
    <n v="432"/>
  </r>
  <r>
    <x v="57"/>
    <s v="conventional_curtailment_wam_402"/>
    <x v="442"/>
    <n v="-2.44992E-3"/>
    <n v="1"/>
    <n v="-72"/>
    <n v="432"/>
  </r>
  <r>
    <x v="57"/>
    <s v="conventional_curtailment_wam_403"/>
    <x v="443"/>
    <n v="-2.5082516666666702E-3"/>
    <n v="1"/>
    <n v="-72"/>
    <n v="432"/>
  </r>
  <r>
    <x v="57"/>
    <s v="conventional_curtailment_wam_404"/>
    <x v="444"/>
    <n v="-2.56658333333333E-3"/>
    <n v="1"/>
    <n v="-72"/>
    <n v="432"/>
  </r>
  <r>
    <x v="57"/>
    <s v="conventional_curtailment_wam_405"/>
    <x v="445"/>
    <n v="-2.6249149999999998E-3"/>
    <n v="1"/>
    <n v="-72"/>
    <n v="432"/>
  </r>
  <r>
    <x v="57"/>
    <s v="conventional_curtailment_wam_406"/>
    <x v="446"/>
    <n v="-2.68324666666667E-3"/>
    <n v="1"/>
    <n v="-72"/>
    <n v="432"/>
  </r>
  <r>
    <x v="57"/>
    <s v="conventional_curtailment_wam_407"/>
    <x v="447"/>
    <n v="-2.7415783333333298E-3"/>
    <n v="1"/>
    <n v="-72"/>
    <n v="432"/>
  </r>
  <r>
    <x v="57"/>
    <s v="conventional_curtailment_wam_408"/>
    <x v="448"/>
    <n v="-2.7999100000000001E-3"/>
    <n v="1"/>
    <n v="-72"/>
    <n v="432"/>
  </r>
  <r>
    <x v="57"/>
    <s v="conventional_curtailment_wam_409"/>
    <x v="449"/>
    <n v="-2.8582416666666699E-3"/>
    <n v="1"/>
    <n v="-72"/>
    <n v="432"/>
  </r>
  <r>
    <x v="57"/>
    <s v="conventional_curtailment_wam_410"/>
    <x v="450"/>
    <n v="-2.9165733333333301E-3"/>
    <n v="1"/>
    <n v="-72"/>
    <n v="432"/>
  </r>
  <r>
    <x v="57"/>
    <s v="conventional_curtailment_wam_411"/>
    <x v="451"/>
    <n v="-2.9749049999999999E-3"/>
    <n v="1"/>
    <n v="-72"/>
    <n v="432"/>
  </r>
  <r>
    <x v="57"/>
    <s v="conventional_curtailment_wam_412"/>
    <x v="452"/>
    <n v="-3.0332366666666701E-3"/>
    <n v="1"/>
    <n v="-72"/>
    <n v="432"/>
  </r>
  <r>
    <x v="57"/>
    <s v="conventional_curtailment_wam_413"/>
    <x v="453"/>
    <n v="-3.09156833333333E-3"/>
    <n v="1"/>
    <n v="-72"/>
    <n v="432"/>
  </r>
  <r>
    <x v="57"/>
    <s v="conventional_curtailment_wam_414"/>
    <x v="454"/>
    <n v="-3.1499000000000002E-3"/>
    <n v="1"/>
    <n v="-72"/>
    <n v="432"/>
  </r>
  <r>
    <x v="57"/>
    <s v="conventional_curtailment_wam_415"/>
    <x v="455"/>
    <n v="-3.20823166666667E-3"/>
    <n v="1"/>
    <n v="-72"/>
    <n v="432"/>
  </r>
  <r>
    <x v="57"/>
    <s v="conventional_curtailment_wam_416"/>
    <x v="456"/>
    <n v="-3.2665633333333298E-3"/>
    <n v="1"/>
    <n v="-72"/>
    <n v="432"/>
  </r>
  <r>
    <x v="57"/>
    <s v="conventional_curtailment_wam_417"/>
    <x v="457"/>
    <n v="-3.324895E-3"/>
    <n v="1"/>
    <n v="-72"/>
    <n v="432"/>
  </r>
  <r>
    <x v="57"/>
    <s v="conventional_curtailment_wam_418"/>
    <x v="458"/>
    <n v="-3.3832266666666698E-3"/>
    <n v="1"/>
    <n v="-72"/>
    <n v="432"/>
  </r>
  <r>
    <x v="57"/>
    <s v="conventional_curtailment_wam_419"/>
    <x v="459"/>
    <n v="-3.4415583333333301E-3"/>
    <n v="1"/>
    <n v="-72"/>
    <n v="432"/>
  </r>
  <r>
    <x v="57"/>
    <s v="conventional_curtailment_wam_420"/>
    <x v="460"/>
    <n v="-3.4998899999999999E-3"/>
    <n v="1"/>
    <n v="-72"/>
    <n v="432"/>
  </r>
  <r>
    <x v="57"/>
    <s v="conventional_curtailment_wam_421"/>
    <x v="461"/>
    <n v="-3.5582216666666701E-3"/>
    <n v="1"/>
    <n v="-72"/>
    <n v="432"/>
  </r>
  <r>
    <x v="57"/>
    <s v="conventional_curtailment_wam_422"/>
    <x v="462"/>
    <n v="-3.6165533333333299E-3"/>
    <n v="1"/>
    <n v="-72"/>
    <n v="432"/>
  </r>
  <r>
    <x v="57"/>
    <s v="conventional_curtailment_wam_423"/>
    <x v="463"/>
    <n v="-3.6748850000000001E-3"/>
    <n v="1"/>
    <n v="-72"/>
    <n v="432"/>
  </r>
  <r>
    <x v="57"/>
    <s v="conventional_curtailment_wam_424"/>
    <x v="464"/>
    <n v="-3.7332166666666699E-3"/>
    <n v="1"/>
    <n v="-72"/>
    <n v="432"/>
  </r>
  <r>
    <x v="57"/>
    <s v="conventional_curtailment_wam_425"/>
    <x v="465"/>
    <n v="-3.7915483333333302E-3"/>
    <n v="1"/>
    <n v="-72"/>
    <n v="432"/>
  </r>
  <r>
    <x v="57"/>
    <s v="conventional_curtailment_wam_426"/>
    <x v="466"/>
    <n v="-3.84988E-3"/>
    <n v="1"/>
    <n v="-72"/>
    <n v="432"/>
  </r>
  <r>
    <x v="57"/>
    <s v="conventional_curtailment_wam_427"/>
    <x v="467"/>
    <n v="-3.9082116666666698E-3"/>
    <n v="1"/>
    <n v="-72"/>
    <n v="432"/>
  </r>
  <r>
    <x v="57"/>
    <s v="conventional_curtailment_wam_428"/>
    <x v="468"/>
    <n v="-3.96654333333333E-3"/>
    <n v="1"/>
    <n v="-72"/>
    <n v="432"/>
  </r>
  <r>
    <x v="57"/>
    <s v="conventional_curtailment_wam_429"/>
    <x v="469"/>
    <n v="-4.0248749999999998E-3"/>
    <n v="1"/>
    <n v="-72"/>
    <n v="432"/>
  </r>
  <r>
    <x v="57"/>
    <s v="conventional_curtailment_wam_430"/>
    <x v="470"/>
    <n v="-4.0832066666666696E-3"/>
    <n v="1"/>
    <n v="-72"/>
    <n v="432"/>
  </r>
  <r>
    <x v="57"/>
    <s v="conventional_curtailment_wam_431"/>
    <x v="471"/>
    <n v="-4.1415383333333299E-3"/>
    <n v="1"/>
    <n v="-72"/>
    <n v="432"/>
  </r>
  <r>
    <x v="57"/>
    <s v="conventional_curtailment_wam_432"/>
    <x v="472"/>
    <n v="-4.1998699999999996E-3"/>
    <n v="1"/>
    <n v="-72"/>
    <n v="432"/>
  </r>
  <r>
    <x v="58"/>
    <s v="conventional_curtailment_cltv_-36"/>
    <x v="4"/>
    <n v="1"/>
    <n v="1"/>
    <n v="-36"/>
    <n v="216"/>
  </r>
  <r>
    <x v="58"/>
    <s v="conventional_curtailment_cltv_-35"/>
    <x v="5"/>
    <n v="1"/>
    <n v="1"/>
    <n v="-36"/>
    <n v="216"/>
  </r>
  <r>
    <x v="58"/>
    <s v="conventional_curtailment_cltv_-34"/>
    <x v="6"/>
    <n v="1"/>
    <n v="1"/>
    <n v="-36"/>
    <n v="216"/>
  </r>
  <r>
    <x v="58"/>
    <s v="conventional_curtailment_cltv_-33"/>
    <x v="7"/>
    <n v="1"/>
    <n v="1"/>
    <n v="-36"/>
    <n v="216"/>
  </r>
  <r>
    <x v="58"/>
    <s v="conventional_curtailment_cltv_-32"/>
    <x v="8"/>
    <n v="1"/>
    <n v="1"/>
    <n v="-36"/>
    <n v="216"/>
  </r>
  <r>
    <x v="58"/>
    <s v="conventional_curtailment_cltv_-31"/>
    <x v="9"/>
    <n v="1"/>
    <n v="1"/>
    <n v="-36"/>
    <n v="216"/>
  </r>
  <r>
    <x v="58"/>
    <s v="conventional_curtailment_cltv_-30"/>
    <x v="10"/>
    <n v="1"/>
    <n v="1"/>
    <n v="-36"/>
    <n v="216"/>
  </r>
  <r>
    <x v="58"/>
    <s v="conventional_curtailment_cltv_-29"/>
    <x v="11"/>
    <n v="1"/>
    <n v="1"/>
    <n v="-36"/>
    <n v="216"/>
  </r>
  <r>
    <x v="58"/>
    <s v="conventional_curtailment_cltv_-28"/>
    <x v="12"/>
    <n v="1"/>
    <n v="1"/>
    <n v="-36"/>
    <n v="216"/>
  </r>
  <r>
    <x v="58"/>
    <s v="conventional_curtailment_cltv_-27"/>
    <x v="13"/>
    <n v="1"/>
    <n v="1"/>
    <n v="-36"/>
    <n v="216"/>
  </r>
  <r>
    <x v="58"/>
    <s v="conventional_curtailment_cltv_-26"/>
    <x v="14"/>
    <n v="1"/>
    <n v="1"/>
    <n v="-36"/>
    <n v="216"/>
  </r>
  <r>
    <x v="58"/>
    <s v="conventional_curtailment_cltv_-25"/>
    <x v="15"/>
    <n v="1"/>
    <n v="1"/>
    <n v="-36"/>
    <n v="216"/>
  </r>
  <r>
    <x v="58"/>
    <s v="conventional_curtailment_cltv_-24"/>
    <x v="16"/>
    <n v="1"/>
    <n v="1"/>
    <n v="-36"/>
    <n v="216"/>
  </r>
  <r>
    <x v="58"/>
    <s v="conventional_curtailment_cltv_-23"/>
    <x v="17"/>
    <n v="1"/>
    <n v="1"/>
    <n v="-36"/>
    <n v="216"/>
  </r>
  <r>
    <x v="58"/>
    <s v="conventional_curtailment_cltv_-22"/>
    <x v="18"/>
    <n v="1"/>
    <n v="1"/>
    <n v="-36"/>
    <n v="216"/>
  </r>
  <r>
    <x v="58"/>
    <s v="conventional_curtailment_cltv_-21"/>
    <x v="19"/>
    <n v="1"/>
    <n v="1"/>
    <n v="-36"/>
    <n v="216"/>
  </r>
  <r>
    <x v="58"/>
    <s v="conventional_curtailment_cltv_-20"/>
    <x v="20"/>
    <n v="1"/>
    <n v="1"/>
    <n v="-36"/>
    <n v="216"/>
  </r>
  <r>
    <x v="58"/>
    <s v="conventional_curtailment_cltv_-19"/>
    <x v="21"/>
    <n v="1"/>
    <n v="1"/>
    <n v="-36"/>
    <n v="216"/>
  </r>
  <r>
    <x v="58"/>
    <s v="conventional_curtailment_cltv_-18"/>
    <x v="22"/>
    <n v="1"/>
    <n v="1"/>
    <n v="-36"/>
    <n v="216"/>
  </r>
  <r>
    <x v="58"/>
    <s v="conventional_curtailment_cltv_-17"/>
    <x v="23"/>
    <n v="1"/>
    <n v="1"/>
    <n v="-36"/>
    <n v="216"/>
  </r>
  <r>
    <x v="58"/>
    <s v="conventional_curtailment_cltv_-16"/>
    <x v="24"/>
    <n v="1"/>
    <n v="1"/>
    <n v="-36"/>
    <n v="216"/>
  </r>
  <r>
    <x v="58"/>
    <s v="conventional_curtailment_cltv_-15"/>
    <x v="25"/>
    <n v="1"/>
    <n v="1"/>
    <n v="-36"/>
    <n v="216"/>
  </r>
  <r>
    <x v="58"/>
    <s v="conventional_curtailment_cltv_-14"/>
    <x v="26"/>
    <n v="1"/>
    <n v="1"/>
    <n v="-36"/>
    <n v="216"/>
  </r>
  <r>
    <x v="58"/>
    <s v="conventional_curtailment_cltv_-13"/>
    <x v="27"/>
    <n v="1"/>
    <n v="1"/>
    <n v="-36"/>
    <n v="216"/>
  </r>
  <r>
    <x v="58"/>
    <s v="conventional_curtailment_cltv_-12"/>
    <x v="28"/>
    <n v="1"/>
    <n v="1"/>
    <n v="-36"/>
    <n v="216"/>
  </r>
  <r>
    <x v="58"/>
    <s v="conventional_curtailment_cltv_-11"/>
    <x v="29"/>
    <n v="1"/>
    <n v="1"/>
    <n v="-36"/>
    <n v="216"/>
  </r>
  <r>
    <x v="58"/>
    <s v="conventional_curtailment_cltv_-10"/>
    <x v="30"/>
    <n v="1"/>
    <n v="1"/>
    <n v="-36"/>
    <n v="216"/>
  </r>
  <r>
    <x v="58"/>
    <s v="conventional_curtailment_cltv_-9"/>
    <x v="31"/>
    <n v="1"/>
    <n v="1"/>
    <n v="-36"/>
    <n v="216"/>
  </r>
  <r>
    <x v="58"/>
    <s v="conventional_curtailment_cltv_-8"/>
    <x v="32"/>
    <n v="1"/>
    <n v="1"/>
    <n v="-36"/>
    <n v="216"/>
  </r>
  <r>
    <x v="58"/>
    <s v="conventional_curtailment_cltv_-7"/>
    <x v="33"/>
    <n v="1"/>
    <n v="1"/>
    <n v="-36"/>
    <n v="216"/>
  </r>
  <r>
    <x v="58"/>
    <s v="conventional_curtailment_cltv_-6"/>
    <x v="34"/>
    <n v="1"/>
    <n v="1"/>
    <n v="-36"/>
    <n v="216"/>
  </r>
  <r>
    <x v="58"/>
    <s v="conventional_curtailment_cltv_-5"/>
    <x v="35"/>
    <n v="1"/>
    <n v="1"/>
    <n v="-36"/>
    <n v="216"/>
  </r>
  <r>
    <x v="58"/>
    <s v="conventional_curtailment_cltv_-4"/>
    <x v="36"/>
    <n v="1"/>
    <n v="1"/>
    <n v="-36"/>
    <n v="216"/>
  </r>
  <r>
    <x v="58"/>
    <s v="conventional_curtailment_cltv_-3"/>
    <x v="37"/>
    <n v="1"/>
    <n v="1"/>
    <n v="-36"/>
    <n v="216"/>
  </r>
  <r>
    <x v="58"/>
    <s v="conventional_curtailment_cltv_-2"/>
    <x v="38"/>
    <n v="1"/>
    <n v="1"/>
    <n v="-36"/>
    <n v="216"/>
  </r>
  <r>
    <x v="58"/>
    <s v="conventional_curtailment_cltv_-1"/>
    <x v="39"/>
    <n v="1"/>
    <n v="1"/>
    <n v="-36"/>
    <n v="216"/>
  </r>
  <r>
    <x v="58"/>
    <s v="conventional_curtailment_cltv_0"/>
    <x v="40"/>
    <n v="1"/>
    <n v="1"/>
    <n v="-36"/>
    <n v="216"/>
  </r>
  <r>
    <x v="58"/>
    <s v="conventional_curtailment_cltv_1"/>
    <x v="41"/>
    <n v="1"/>
    <n v="1"/>
    <n v="-36"/>
    <n v="216"/>
  </r>
  <r>
    <x v="58"/>
    <s v="conventional_curtailment_cltv_2"/>
    <x v="42"/>
    <n v="1"/>
    <n v="1"/>
    <n v="-36"/>
    <n v="216"/>
  </r>
  <r>
    <x v="58"/>
    <s v="conventional_curtailment_cltv_3"/>
    <x v="43"/>
    <n v="1"/>
    <n v="1"/>
    <n v="-36"/>
    <n v="216"/>
  </r>
  <r>
    <x v="58"/>
    <s v="conventional_curtailment_cltv_4"/>
    <x v="44"/>
    <n v="1"/>
    <n v="1"/>
    <n v="-36"/>
    <n v="216"/>
  </r>
  <r>
    <x v="58"/>
    <s v="conventional_curtailment_cltv_5"/>
    <x v="45"/>
    <n v="1"/>
    <n v="1"/>
    <n v="-36"/>
    <n v="216"/>
  </r>
  <r>
    <x v="58"/>
    <s v="conventional_curtailment_cltv_6"/>
    <x v="46"/>
    <n v="1"/>
    <n v="1"/>
    <n v="-36"/>
    <n v="216"/>
  </r>
  <r>
    <x v="58"/>
    <s v="conventional_curtailment_cltv_7"/>
    <x v="47"/>
    <n v="1"/>
    <n v="1"/>
    <n v="-36"/>
    <n v="216"/>
  </r>
  <r>
    <x v="58"/>
    <s v="conventional_curtailment_cltv_8"/>
    <x v="48"/>
    <n v="1"/>
    <n v="1"/>
    <n v="-36"/>
    <n v="216"/>
  </r>
  <r>
    <x v="58"/>
    <s v="conventional_curtailment_cltv_9"/>
    <x v="49"/>
    <n v="1"/>
    <n v="1"/>
    <n v="-36"/>
    <n v="216"/>
  </r>
  <r>
    <x v="58"/>
    <s v="conventional_curtailment_cltv_10"/>
    <x v="50"/>
    <n v="1"/>
    <n v="1"/>
    <n v="-36"/>
    <n v="216"/>
  </r>
  <r>
    <x v="58"/>
    <s v="conventional_curtailment_cltv_11"/>
    <x v="51"/>
    <n v="1"/>
    <n v="1"/>
    <n v="-36"/>
    <n v="216"/>
  </r>
  <r>
    <x v="58"/>
    <s v="conventional_curtailment_cltv_12"/>
    <x v="52"/>
    <n v="1"/>
    <n v="1"/>
    <n v="-36"/>
    <n v="216"/>
  </r>
  <r>
    <x v="58"/>
    <s v="conventional_curtailment_cltv_13"/>
    <x v="53"/>
    <n v="1"/>
    <n v="1"/>
    <n v="-36"/>
    <n v="216"/>
  </r>
  <r>
    <x v="58"/>
    <s v="conventional_curtailment_cltv_14"/>
    <x v="54"/>
    <n v="1"/>
    <n v="1"/>
    <n v="-36"/>
    <n v="216"/>
  </r>
  <r>
    <x v="58"/>
    <s v="conventional_curtailment_cltv_15"/>
    <x v="55"/>
    <n v="1"/>
    <n v="1"/>
    <n v="-36"/>
    <n v="216"/>
  </r>
  <r>
    <x v="58"/>
    <s v="conventional_curtailment_cltv_16"/>
    <x v="56"/>
    <n v="1"/>
    <n v="1"/>
    <n v="-36"/>
    <n v="216"/>
  </r>
  <r>
    <x v="58"/>
    <s v="conventional_curtailment_cltv_17"/>
    <x v="57"/>
    <n v="1"/>
    <n v="1"/>
    <n v="-36"/>
    <n v="216"/>
  </r>
  <r>
    <x v="58"/>
    <s v="conventional_curtailment_cltv_18"/>
    <x v="58"/>
    <n v="1"/>
    <n v="1"/>
    <n v="-36"/>
    <n v="216"/>
  </r>
  <r>
    <x v="58"/>
    <s v="conventional_curtailment_cltv_19"/>
    <x v="59"/>
    <n v="1"/>
    <n v="1"/>
    <n v="-36"/>
    <n v="216"/>
  </r>
  <r>
    <x v="58"/>
    <s v="conventional_curtailment_cltv_20"/>
    <x v="60"/>
    <n v="1"/>
    <n v="1"/>
    <n v="-36"/>
    <n v="216"/>
  </r>
  <r>
    <x v="58"/>
    <s v="conventional_curtailment_cltv_21"/>
    <x v="61"/>
    <n v="1"/>
    <n v="1"/>
    <n v="-36"/>
    <n v="216"/>
  </r>
  <r>
    <x v="58"/>
    <s v="conventional_curtailment_cltv_22"/>
    <x v="62"/>
    <n v="1"/>
    <n v="1"/>
    <n v="-36"/>
    <n v="216"/>
  </r>
  <r>
    <x v="58"/>
    <s v="conventional_curtailment_cltv_23"/>
    <x v="63"/>
    <n v="1"/>
    <n v="1"/>
    <n v="-36"/>
    <n v="216"/>
  </r>
  <r>
    <x v="58"/>
    <s v="conventional_curtailment_cltv_24"/>
    <x v="64"/>
    <n v="1"/>
    <n v="1"/>
    <n v="-36"/>
    <n v="216"/>
  </r>
  <r>
    <x v="58"/>
    <s v="conventional_curtailment_cltv_25"/>
    <x v="65"/>
    <n v="1"/>
    <n v="1"/>
    <n v="-36"/>
    <n v="216"/>
  </r>
  <r>
    <x v="58"/>
    <s v="conventional_curtailment_cltv_26"/>
    <x v="66"/>
    <n v="1"/>
    <n v="1"/>
    <n v="-36"/>
    <n v="216"/>
  </r>
  <r>
    <x v="58"/>
    <s v="conventional_curtailment_cltv_27"/>
    <x v="67"/>
    <n v="1"/>
    <n v="1"/>
    <n v="-36"/>
    <n v="216"/>
  </r>
  <r>
    <x v="58"/>
    <s v="conventional_curtailment_cltv_28"/>
    <x v="68"/>
    <n v="1"/>
    <n v="1"/>
    <n v="-36"/>
    <n v="216"/>
  </r>
  <r>
    <x v="58"/>
    <s v="conventional_curtailment_cltv_29"/>
    <x v="69"/>
    <n v="1"/>
    <n v="1"/>
    <n v="-36"/>
    <n v="216"/>
  </r>
  <r>
    <x v="58"/>
    <s v="conventional_curtailment_cltv_30"/>
    <x v="70"/>
    <n v="1"/>
    <n v="1"/>
    <n v="-36"/>
    <n v="216"/>
  </r>
  <r>
    <x v="58"/>
    <s v="conventional_curtailment_cltv_31"/>
    <x v="71"/>
    <n v="1"/>
    <n v="1"/>
    <n v="-36"/>
    <n v="216"/>
  </r>
  <r>
    <x v="58"/>
    <s v="conventional_curtailment_cltv_32"/>
    <x v="72"/>
    <n v="1"/>
    <n v="1"/>
    <n v="-36"/>
    <n v="216"/>
  </r>
  <r>
    <x v="58"/>
    <s v="conventional_curtailment_cltv_33"/>
    <x v="73"/>
    <n v="1"/>
    <n v="1"/>
    <n v="-36"/>
    <n v="216"/>
  </r>
  <r>
    <x v="58"/>
    <s v="conventional_curtailment_cltv_34"/>
    <x v="74"/>
    <n v="1"/>
    <n v="1"/>
    <n v="-36"/>
    <n v="216"/>
  </r>
  <r>
    <x v="58"/>
    <s v="conventional_curtailment_cltv_35"/>
    <x v="75"/>
    <n v="1"/>
    <n v="1"/>
    <n v="-36"/>
    <n v="216"/>
  </r>
  <r>
    <x v="58"/>
    <s v="conventional_curtailment_cltv_36"/>
    <x v="76"/>
    <n v="1"/>
    <n v="1"/>
    <n v="-36"/>
    <n v="216"/>
  </r>
  <r>
    <x v="58"/>
    <s v="conventional_curtailment_cltv_37"/>
    <x v="77"/>
    <n v="1"/>
    <n v="1"/>
    <n v="-36"/>
    <n v="216"/>
  </r>
  <r>
    <x v="58"/>
    <s v="conventional_curtailment_cltv_38"/>
    <x v="78"/>
    <n v="1"/>
    <n v="1"/>
    <n v="-36"/>
    <n v="216"/>
  </r>
  <r>
    <x v="58"/>
    <s v="conventional_curtailment_cltv_39"/>
    <x v="79"/>
    <n v="1"/>
    <n v="1"/>
    <n v="-36"/>
    <n v="216"/>
  </r>
  <r>
    <x v="58"/>
    <s v="conventional_curtailment_cltv_40"/>
    <x v="80"/>
    <n v="1"/>
    <n v="1"/>
    <n v="-36"/>
    <n v="216"/>
  </r>
  <r>
    <x v="58"/>
    <s v="conventional_curtailment_cltv_41"/>
    <x v="81"/>
    <n v="1"/>
    <n v="1"/>
    <n v="-36"/>
    <n v="216"/>
  </r>
  <r>
    <x v="58"/>
    <s v="conventional_curtailment_cltv_42"/>
    <x v="82"/>
    <n v="1"/>
    <n v="1"/>
    <n v="-36"/>
    <n v="216"/>
  </r>
  <r>
    <x v="58"/>
    <s v="conventional_curtailment_cltv_43"/>
    <x v="83"/>
    <n v="1"/>
    <n v="1"/>
    <n v="-36"/>
    <n v="216"/>
  </r>
  <r>
    <x v="58"/>
    <s v="conventional_curtailment_cltv_44"/>
    <x v="84"/>
    <n v="1"/>
    <n v="1"/>
    <n v="-36"/>
    <n v="216"/>
  </r>
  <r>
    <x v="58"/>
    <s v="conventional_curtailment_cltv_45"/>
    <x v="85"/>
    <n v="1"/>
    <n v="1"/>
    <n v="-36"/>
    <n v="216"/>
  </r>
  <r>
    <x v="58"/>
    <s v="conventional_curtailment_cltv_46"/>
    <x v="86"/>
    <n v="1"/>
    <n v="1"/>
    <n v="-36"/>
    <n v="216"/>
  </r>
  <r>
    <x v="58"/>
    <s v="conventional_curtailment_cltv_47"/>
    <x v="87"/>
    <n v="1"/>
    <n v="1"/>
    <n v="-36"/>
    <n v="216"/>
  </r>
  <r>
    <x v="58"/>
    <s v="conventional_curtailment_cltv_48"/>
    <x v="88"/>
    <n v="1"/>
    <n v="1"/>
    <n v="-36"/>
    <n v="216"/>
  </r>
  <r>
    <x v="58"/>
    <s v="conventional_curtailment_cltv_49"/>
    <x v="89"/>
    <n v="1"/>
    <n v="1"/>
    <n v="-36"/>
    <n v="216"/>
  </r>
  <r>
    <x v="58"/>
    <s v="conventional_curtailment_cltv_50"/>
    <x v="90"/>
    <n v="1"/>
    <n v="1"/>
    <n v="-36"/>
    <n v="216"/>
  </r>
  <r>
    <x v="58"/>
    <s v="conventional_curtailment_cltv_51"/>
    <x v="91"/>
    <n v="1"/>
    <n v="1"/>
    <n v="-36"/>
    <n v="216"/>
  </r>
  <r>
    <x v="58"/>
    <s v="conventional_curtailment_cltv_52"/>
    <x v="92"/>
    <n v="1"/>
    <n v="1"/>
    <n v="-36"/>
    <n v="216"/>
  </r>
  <r>
    <x v="58"/>
    <s v="conventional_curtailment_cltv_53"/>
    <x v="93"/>
    <n v="1"/>
    <n v="1"/>
    <n v="-36"/>
    <n v="216"/>
  </r>
  <r>
    <x v="58"/>
    <s v="conventional_curtailment_cltv_54"/>
    <x v="94"/>
    <n v="1"/>
    <n v="1"/>
    <n v="-36"/>
    <n v="216"/>
  </r>
  <r>
    <x v="58"/>
    <s v="conventional_curtailment_cltv_55"/>
    <x v="95"/>
    <n v="1"/>
    <n v="1"/>
    <n v="-36"/>
    <n v="216"/>
  </r>
  <r>
    <x v="58"/>
    <s v="conventional_curtailment_cltv_56"/>
    <x v="96"/>
    <n v="1"/>
    <n v="1"/>
    <n v="-36"/>
    <n v="216"/>
  </r>
  <r>
    <x v="58"/>
    <s v="conventional_curtailment_cltv_57"/>
    <x v="97"/>
    <n v="1"/>
    <n v="1"/>
    <n v="-36"/>
    <n v="216"/>
  </r>
  <r>
    <x v="58"/>
    <s v="conventional_curtailment_cltv_58"/>
    <x v="98"/>
    <n v="1"/>
    <n v="1"/>
    <n v="-36"/>
    <n v="216"/>
  </r>
  <r>
    <x v="58"/>
    <s v="conventional_curtailment_cltv_59"/>
    <x v="99"/>
    <n v="1"/>
    <n v="1"/>
    <n v="-36"/>
    <n v="216"/>
  </r>
  <r>
    <x v="58"/>
    <s v="conventional_curtailment_cltv_60"/>
    <x v="100"/>
    <n v="1"/>
    <n v="1"/>
    <n v="-36"/>
    <n v="216"/>
  </r>
  <r>
    <x v="58"/>
    <s v="conventional_curtailment_cltv_61"/>
    <x v="101"/>
    <n v="1"/>
    <n v="1"/>
    <n v="-36"/>
    <n v="216"/>
  </r>
  <r>
    <x v="58"/>
    <s v="conventional_curtailment_cltv_62"/>
    <x v="102"/>
    <n v="1"/>
    <n v="1"/>
    <n v="-36"/>
    <n v="216"/>
  </r>
  <r>
    <x v="58"/>
    <s v="conventional_curtailment_cltv_63"/>
    <x v="103"/>
    <n v="1"/>
    <n v="1"/>
    <n v="-36"/>
    <n v="216"/>
  </r>
  <r>
    <x v="58"/>
    <s v="conventional_curtailment_cltv_64"/>
    <x v="104"/>
    <n v="1"/>
    <n v="1"/>
    <n v="-36"/>
    <n v="216"/>
  </r>
  <r>
    <x v="58"/>
    <s v="conventional_curtailment_cltv_65"/>
    <x v="105"/>
    <n v="1"/>
    <n v="1"/>
    <n v="-36"/>
    <n v="216"/>
  </r>
  <r>
    <x v="58"/>
    <s v="conventional_curtailment_cltv_66"/>
    <x v="106"/>
    <n v="1"/>
    <n v="1"/>
    <n v="-36"/>
    <n v="216"/>
  </r>
  <r>
    <x v="58"/>
    <s v="conventional_curtailment_cltv_67"/>
    <x v="107"/>
    <n v="1"/>
    <n v="1"/>
    <n v="-36"/>
    <n v="216"/>
  </r>
  <r>
    <x v="58"/>
    <s v="conventional_curtailment_cltv_68"/>
    <x v="108"/>
    <n v="1"/>
    <n v="1"/>
    <n v="-36"/>
    <n v="216"/>
  </r>
  <r>
    <x v="58"/>
    <s v="conventional_curtailment_cltv_69"/>
    <x v="109"/>
    <n v="1"/>
    <n v="1"/>
    <n v="-36"/>
    <n v="216"/>
  </r>
  <r>
    <x v="58"/>
    <s v="conventional_curtailment_cltv_70"/>
    <x v="110"/>
    <n v="1"/>
    <n v="1"/>
    <n v="-36"/>
    <n v="216"/>
  </r>
  <r>
    <x v="58"/>
    <s v="conventional_curtailment_cltv_71"/>
    <x v="111"/>
    <n v="1"/>
    <n v="1"/>
    <n v="-36"/>
    <n v="216"/>
  </r>
  <r>
    <x v="58"/>
    <s v="conventional_curtailment_cltv_72"/>
    <x v="112"/>
    <n v="1"/>
    <n v="1"/>
    <n v="-36"/>
    <n v="216"/>
  </r>
  <r>
    <x v="58"/>
    <s v="conventional_curtailment_cltv_73"/>
    <x v="113"/>
    <n v="1"/>
    <n v="1"/>
    <n v="-36"/>
    <n v="216"/>
  </r>
  <r>
    <x v="58"/>
    <s v="conventional_curtailment_cltv_74"/>
    <x v="114"/>
    <n v="1"/>
    <n v="1"/>
    <n v="-36"/>
    <n v="216"/>
  </r>
  <r>
    <x v="58"/>
    <s v="conventional_curtailment_cltv_75"/>
    <x v="115"/>
    <n v="1"/>
    <n v="1"/>
    <n v="-36"/>
    <n v="216"/>
  </r>
  <r>
    <x v="58"/>
    <s v="conventional_curtailment_cltv_76"/>
    <x v="116"/>
    <n v="1"/>
    <n v="1"/>
    <n v="-36"/>
    <n v="216"/>
  </r>
  <r>
    <x v="58"/>
    <s v="conventional_curtailment_cltv_77"/>
    <x v="117"/>
    <n v="1"/>
    <n v="1"/>
    <n v="-36"/>
    <n v="216"/>
  </r>
  <r>
    <x v="58"/>
    <s v="conventional_curtailment_cltv_78"/>
    <x v="118"/>
    <n v="1"/>
    <n v="1"/>
    <n v="-36"/>
    <n v="216"/>
  </r>
  <r>
    <x v="58"/>
    <s v="conventional_curtailment_cltv_79"/>
    <x v="119"/>
    <n v="1"/>
    <n v="1"/>
    <n v="-36"/>
    <n v="216"/>
  </r>
  <r>
    <x v="58"/>
    <s v="conventional_curtailment_cltv_80"/>
    <x v="120"/>
    <n v="1"/>
    <n v="1"/>
    <n v="-36"/>
    <n v="216"/>
  </r>
  <r>
    <x v="58"/>
    <s v="conventional_curtailment_cltv_81"/>
    <x v="121"/>
    <n v="1"/>
    <n v="1"/>
    <n v="-36"/>
    <n v="216"/>
  </r>
  <r>
    <x v="58"/>
    <s v="conventional_curtailment_cltv_82"/>
    <x v="122"/>
    <n v="1"/>
    <n v="1"/>
    <n v="-36"/>
    <n v="216"/>
  </r>
  <r>
    <x v="58"/>
    <s v="conventional_curtailment_cltv_83"/>
    <x v="123"/>
    <n v="1"/>
    <n v="1"/>
    <n v="-36"/>
    <n v="216"/>
  </r>
  <r>
    <x v="58"/>
    <s v="conventional_curtailment_cltv_84"/>
    <x v="124"/>
    <n v="1"/>
    <n v="1"/>
    <n v="-36"/>
    <n v="216"/>
  </r>
  <r>
    <x v="58"/>
    <s v="conventional_curtailment_cltv_85"/>
    <x v="125"/>
    <n v="1"/>
    <n v="1"/>
    <n v="-36"/>
    <n v="216"/>
  </r>
  <r>
    <x v="58"/>
    <s v="conventional_curtailment_cltv_86"/>
    <x v="126"/>
    <n v="1"/>
    <n v="1"/>
    <n v="-36"/>
    <n v="216"/>
  </r>
  <r>
    <x v="58"/>
    <s v="conventional_curtailment_cltv_87"/>
    <x v="127"/>
    <n v="1"/>
    <n v="1"/>
    <n v="-36"/>
    <n v="216"/>
  </r>
  <r>
    <x v="58"/>
    <s v="conventional_curtailment_cltv_88"/>
    <x v="128"/>
    <n v="1"/>
    <n v="1"/>
    <n v="-36"/>
    <n v="216"/>
  </r>
  <r>
    <x v="58"/>
    <s v="conventional_curtailment_cltv_89"/>
    <x v="129"/>
    <n v="1"/>
    <n v="1"/>
    <n v="-36"/>
    <n v="216"/>
  </r>
  <r>
    <x v="58"/>
    <s v="conventional_curtailment_cltv_90"/>
    <x v="130"/>
    <n v="1"/>
    <n v="1"/>
    <n v="-36"/>
    <n v="216"/>
  </r>
  <r>
    <x v="58"/>
    <s v="conventional_curtailment_cltv_91"/>
    <x v="131"/>
    <n v="1"/>
    <n v="1"/>
    <n v="-36"/>
    <n v="216"/>
  </r>
  <r>
    <x v="58"/>
    <s v="conventional_curtailment_cltv_92"/>
    <x v="132"/>
    <n v="1"/>
    <n v="1"/>
    <n v="-36"/>
    <n v="216"/>
  </r>
  <r>
    <x v="58"/>
    <s v="conventional_curtailment_cltv_93"/>
    <x v="133"/>
    <n v="1"/>
    <n v="1"/>
    <n v="-36"/>
    <n v="216"/>
  </r>
  <r>
    <x v="58"/>
    <s v="conventional_curtailment_cltv_94"/>
    <x v="134"/>
    <n v="1"/>
    <n v="1"/>
    <n v="-36"/>
    <n v="216"/>
  </r>
  <r>
    <x v="58"/>
    <s v="conventional_curtailment_cltv_95"/>
    <x v="135"/>
    <n v="1"/>
    <n v="1"/>
    <n v="-36"/>
    <n v="216"/>
  </r>
  <r>
    <x v="58"/>
    <s v="conventional_curtailment_cltv_96"/>
    <x v="136"/>
    <n v="1"/>
    <n v="1"/>
    <n v="-36"/>
    <n v="216"/>
  </r>
  <r>
    <x v="58"/>
    <s v="conventional_curtailment_cltv_97"/>
    <x v="137"/>
    <n v="1"/>
    <n v="1"/>
    <n v="-36"/>
    <n v="216"/>
  </r>
  <r>
    <x v="58"/>
    <s v="conventional_curtailment_cltv_98"/>
    <x v="138"/>
    <n v="1"/>
    <n v="1"/>
    <n v="-36"/>
    <n v="216"/>
  </r>
  <r>
    <x v="58"/>
    <s v="conventional_curtailment_cltv_99"/>
    <x v="139"/>
    <n v="1"/>
    <n v="1"/>
    <n v="-36"/>
    <n v="216"/>
  </r>
  <r>
    <x v="58"/>
    <s v="conventional_curtailment_cltv_100"/>
    <x v="140"/>
    <n v="1"/>
    <n v="1"/>
    <n v="-36"/>
    <n v="216"/>
  </r>
  <r>
    <x v="58"/>
    <s v="conventional_curtailment_cltv_101"/>
    <x v="141"/>
    <n v="1"/>
    <n v="1"/>
    <n v="-36"/>
    <n v="216"/>
  </r>
  <r>
    <x v="58"/>
    <s v="conventional_curtailment_cltv_102"/>
    <x v="142"/>
    <n v="1"/>
    <n v="1"/>
    <n v="-36"/>
    <n v="216"/>
  </r>
  <r>
    <x v="58"/>
    <s v="conventional_curtailment_cltv_103"/>
    <x v="143"/>
    <n v="1"/>
    <n v="1"/>
    <n v="-36"/>
    <n v="216"/>
  </r>
  <r>
    <x v="58"/>
    <s v="conventional_curtailment_cltv_104"/>
    <x v="144"/>
    <n v="1"/>
    <n v="1"/>
    <n v="-36"/>
    <n v="216"/>
  </r>
  <r>
    <x v="58"/>
    <s v="conventional_curtailment_cltv_105"/>
    <x v="145"/>
    <n v="1"/>
    <n v="1"/>
    <n v="-36"/>
    <n v="216"/>
  </r>
  <r>
    <x v="58"/>
    <s v="conventional_curtailment_cltv_106"/>
    <x v="146"/>
    <n v="1"/>
    <n v="1"/>
    <n v="-36"/>
    <n v="216"/>
  </r>
  <r>
    <x v="58"/>
    <s v="conventional_curtailment_cltv_107"/>
    <x v="147"/>
    <n v="1"/>
    <n v="1"/>
    <n v="-36"/>
    <n v="216"/>
  </r>
  <r>
    <x v="58"/>
    <s v="conventional_curtailment_cltv_108"/>
    <x v="148"/>
    <n v="1"/>
    <n v="1"/>
    <n v="-36"/>
    <n v="216"/>
  </r>
  <r>
    <x v="58"/>
    <s v="conventional_curtailment_cltv_109"/>
    <x v="149"/>
    <n v="1"/>
    <n v="1"/>
    <n v="-36"/>
    <n v="216"/>
  </r>
  <r>
    <x v="58"/>
    <s v="conventional_curtailment_cltv_110"/>
    <x v="150"/>
    <n v="1"/>
    <n v="1"/>
    <n v="-36"/>
    <n v="216"/>
  </r>
  <r>
    <x v="58"/>
    <s v="conventional_curtailment_cltv_111"/>
    <x v="151"/>
    <n v="1"/>
    <n v="1"/>
    <n v="-36"/>
    <n v="216"/>
  </r>
  <r>
    <x v="58"/>
    <s v="conventional_curtailment_cltv_112"/>
    <x v="152"/>
    <n v="1"/>
    <n v="1"/>
    <n v="-36"/>
    <n v="216"/>
  </r>
  <r>
    <x v="58"/>
    <s v="conventional_curtailment_cltv_113"/>
    <x v="153"/>
    <n v="1"/>
    <n v="1"/>
    <n v="-36"/>
    <n v="216"/>
  </r>
  <r>
    <x v="58"/>
    <s v="conventional_curtailment_cltv_114"/>
    <x v="154"/>
    <n v="1"/>
    <n v="1"/>
    <n v="-36"/>
    <n v="216"/>
  </r>
  <r>
    <x v="58"/>
    <s v="conventional_curtailment_cltv_115"/>
    <x v="155"/>
    <n v="1"/>
    <n v="1"/>
    <n v="-36"/>
    <n v="216"/>
  </r>
  <r>
    <x v="58"/>
    <s v="conventional_curtailment_cltv_116"/>
    <x v="156"/>
    <n v="1"/>
    <n v="1"/>
    <n v="-36"/>
    <n v="216"/>
  </r>
  <r>
    <x v="58"/>
    <s v="conventional_curtailment_cltv_117"/>
    <x v="157"/>
    <n v="1"/>
    <n v="1"/>
    <n v="-36"/>
    <n v="216"/>
  </r>
  <r>
    <x v="58"/>
    <s v="conventional_curtailment_cltv_118"/>
    <x v="158"/>
    <n v="1"/>
    <n v="1"/>
    <n v="-36"/>
    <n v="216"/>
  </r>
  <r>
    <x v="58"/>
    <s v="conventional_curtailment_cltv_119"/>
    <x v="159"/>
    <n v="1"/>
    <n v="1"/>
    <n v="-36"/>
    <n v="216"/>
  </r>
  <r>
    <x v="58"/>
    <s v="conventional_curtailment_cltv_120"/>
    <x v="160"/>
    <n v="1"/>
    <n v="1"/>
    <n v="-36"/>
    <n v="216"/>
  </r>
  <r>
    <x v="58"/>
    <s v="conventional_curtailment_cltv_121"/>
    <x v="161"/>
    <n v="1"/>
    <n v="1"/>
    <n v="-36"/>
    <n v="216"/>
  </r>
  <r>
    <x v="58"/>
    <s v="conventional_curtailment_cltv_122"/>
    <x v="162"/>
    <n v="1"/>
    <n v="1"/>
    <n v="-36"/>
    <n v="216"/>
  </r>
  <r>
    <x v="58"/>
    <s v="conventional_curtailment_cltv_123"/>
    <x v="163"/>
    <n v="1"/>
    <n v="1"/>
    <n v="-36"/>
    <n v="216"/>
  </r>
  <r>
    <x v="58"/>
    <s v="conventional_curtailment_cltv_124"/>
    <x v="164"/>
    <n v="1"/>
    <n v="1"/>
    <n v="-36"/>
    <n v="216"/>
  </r>
  <r>
    <x v="58"/>
    <s v="conventional_curtailment_cltv_125"/>
    <x v="165"/>
    <n v="1"/>
    <n v="1"/>
    <n v="-36"/>
    <n v="216"/>
  </r>
  <r>
    <x v="58"/>
    <s v="conventional_curtailment_cltv_126"/>
    <x v="166"/>
    <n v="1"/>
    <n v="1"/>
    <n v="-36"/>
    <n v="216"/>
  </r>
  <r>
    <x v="58"/>
    <s v="conventional_curtailment_cltv_127"/>
    <x v="167"/>
    <n v="1"/>
    <n v="1"/>
    <n v="-36"/>
    <n v="216"/>
  </r>
  <r>
    <x v="58"/>
    <s v="conventional_curtailment_cltv_128"/>
    <x v="168"/>
    <n v="1"/>
    <n v="1"/>
    <n v="-36"/>
    <n v="216"/>
  </r>
  <r>
    <x v="58"/>
    <s v="conventional_curtailment_cltv_129"/>
    <x v="169"/>
    <n v="1"/>
    <n v="1"/>
    <n v="-36"/>
    <n v="216"/>
  </r>
  <r>
    <x v="58"/>
    <s v="conventional_curtailment_cltv_130"/>
    <x v="170"/>
    <n v="1"/>
    <n v="1"/>
    <n v="-36"/>
    <n v="216"/>
  </r>
  <r>
    <x v="58"/>
    <s v="conventional_curtailment_cltv_131"/>
    <x v="171"/>
    <n v="1"/>
    <n v="1"/>
    <n v="-36"/>
    <n v="216"/>
  </r>
  <r>
    <x v="58"/>
    <s v="conventional_curtailment_cltv_132"/>
    <x v="172"/>
    <n v="1"/>
    <n v="1"/>
    <n v="-36"/>
    <n v="216"/>
  </r>
  <r>
    <x v="58"/>
    <s v="conventional_curtailment_cltv_133"/>
    <x v="173"/>
    <n v="1"/>
    <n v="1"/>
    <n v="-36"/>
    <n v="216"/>
  </r>
  <r>
    <x v="58"/>
    <s v="conventional_curtailment_cltv_134"/>
    <x v="174"/>
    <n v="1"/>
    <n v="1"/>
    <n v="-36"/>
    <n v="216"/>
  </r>
  <r>
    <x v="58"/>
    <s v="conventional_curtailment_cltv_135"/>
    <x v="175"/>
    <n v="1"/>
    <n v="1"/>
    <n v="-36"/>
    <n v="216"/>
  </r>
  <r>
    <x v="58"/>
    <s v="conventional_curtailment_cltv_136"/>
    <x v="176"/>
    <n v="1"/>
    <n v="1"/>
    <n v="-36"/>
    <n v="216"/>
  </r>
  <r>
    <x v="58"/>
    <s v="conventional_curtailment_cltv_137"/>
    <x v="177"/>
    <n v="1"/>
    <n v="1"/>
    <n v="-36"/>
    <n v="216"/>
  </r>
  <r>
    <x v="58"/>
    <s v="conventional_curtailment_cltv_138"/>
    <x v="178"/>
    <n v="1"/>
    <n v="1"/>
    <n v="-36"/>
    <n v="216"/>
  </r>
  <r>
    <x v="58"/>
    <s v="conventional_curtailment_cltv_139"/>
    <x v="179"/>
    <n v="1"/>
    <n v="1"/>
    <n v="-36"/>
    <n v="216"/>
  </r>
  <r>
    <x v="58"/>
    <s v="conventional_curtailment_cltv_140"/>
    <x v="180"/>
    <n v="1"/>
    <n v="1"/>
    <n v="-36"/>
    <n v="216"/>
  </r>
  <r>
    <x v="58"/>
    <s v="conventional_curtailment_cltv_141"/>
    <x v="181"/>
    <n v="1"/>
    <n v="1"/>
    <n v="-36"/>
    <n v="216"/>
  </r>
  <r>
    <x v="58"/>
    <s v="conventional_curtailment_cltv_142"/>
    <x v="182"/>
    <n v="1"/>
    <n v="1"/>
    <n v="-36"/>
    <n v="216"/>
  </r>
  <r>
    <x v="58"/>
    <s v="conventional_curtailment_cltv_143"/>
    <x v="183"/>
    <n v="1"/>
    <n v="1"/>
    <n v="-36"/>
    <n v="216"/>
  </r>
  <r>
    <x v="58"/>
    <s v="conventional_curtailment_cltv_144"/>
    <x v="184"/>
    <n v="1"/>
    <n v="1"/>
    <n v="-36"/>
    <n v="216"/>
  </r>
  <r>
    <x v="58"/>
    <s v="conventional_curtailment_cltv_145"/>
    <x v="185"/>
    <n v="1"/>
    <n v="1"/>
    <n v="-36"/>
    <n v="216"/>
  </r>
  <r>
    <x v="58"/>
    <s v="conventional_curtailment_cltv_146"/>
    <x v="186"/>
    <n v="1"/>
    <n v="1"/>
    <n v="-36"/>
    <n v="216"/>
  </r>
  <r>
    <x v="58"/>
    <s v="conventional_curtailment_cltv_147"/>
    <x v="187"/>
    <n v="1"/>
    <n v="1"/>
    <n v="-36"/>
    <n v="216"/>
  </r>
  <r>
    <x v="58"/>
    <s v="conventional_curtailment_cltv_148"/>
    <x v="188"/>
    <n v="1"/>
    <n v="1"/>
    <n v="-36"/>
    <n v="216"/>
  </r>
  <r>
    <x v="58"/>
    <s v="conventional_curtailment_cltv_149"/>
    <x v="189"/>
    <n v="1"/>
    <n v="1"/>
    <n v="-36"/>
    <n v="216"/>
  </r>
  <r>
    <x v="58"/>
    <s v="conventional_curtailment_cltv_150"/>
    <x v="190"/>
    <n v="1"/>
    <n v="1"/>
    <n v="-36"/>
    <n v="216"/>
  </r>
  <r>
    <x v="58"/>
    <s v="conventional_curtailment_cltv_151"/>
    <x v="191"/>
    <n v="1"/>
    <n v="1"/>
    <n v="-36"/>
    <n v="216"/>
  </r>
  <r>
    <x v="58"/>
    <s v="conventional_curtailment_cltv_152"/>
    <x v="192"/>
    <n v="1"/>
    <n v="1"/>
    <n v="-36"/>
    <n v="216"/>
  </r>
  <r>
    <x v="58"/>
    <s v="conventional_curtailment_cltv_153"/>
    <x v="193"/>
    <n v="1"/>
    <n v="1"/>
    <n v="-36"/>
    <n v="216"/>
  </r>
  <r>
    <x v="58"/>
    <s v="conventional_curtailment_cltv_154"/>
    <x v="194"/>
    <n v="1"/>
    <n v="1"/>
    <n v="-36"/>
    <n v="216"/>
  </r>
  <r>
    <x v="58"/>
    <s v="conventional_curtailment_cltv_155"/>
    <x v="195"/>
    <n v="1"/>
    <n v="1"/>
    <n v="-36"/>
    <n v="216"/>
  </r>
  <r>
    <x v="58"/>
    <s v="conventional_curtailment_cltv_156"/>
    <x v="196"/>
    <n v="1"/>
    <n v="1"/>
    <n v="-36"/>
    <n v="216"/>
  </r>
  <r>
    <x v="58"/>
    <s v="conventional_curtailment_cltv_157"/>
    <x v="197"/>
    <n v="1"/>
    <n v="1"/>
    <n v="-36"/>
    <n v="216"/>
  </r>
  <r>
    <x v="58"/>
    <s v="conventional_curtailment_cltv_158"/>
    <x v="198"/>
    <n v="1"/>
    <n v="1"/>
    <n v="-36"/>
    <n v="216"/>
  </r>
  <r>
    <x v="58"/>
    <s v="conventional_curtailment_cltv_159"/>
    <x v="199"/>
    <n v="1"/>
    <n v="1"/>
    <n v="-36"/>
    <n v="216"/>
  </r>
  <r>
    <x v="58"/>
    <s v="conventional_curtailment_cltv_160"/>
    <x v="200"/>
    <n v="1"/>
    <n v="1"/>
    <n v="-36"/>
    <n v="216"/>
  </r>
  <r>
    <x v="58"/>
    <s v="conventional_curtailment_cltv_161"/>
    <x v="201"/>
    <n v="1"/>
    <n v="1"/>
    <n v="-36"/>
    <n v="216"/>
  </r>
  <r>
    <x v="58"/>
    <s v="conventional_curtailment_cltv_162"/>
    <x v="202"/>
    <n v="1"/>
    <n v="1"/>
    <n v="-36"/>
    <n v="216"/>
  </r>
  <r>
    <x v="58"/>
    <s v="conventional_curtailment_cltv_163"/>
    <x v="203"/>
    <n v="1"/>
    <n v="1"/>
    <n v="-36"/>
    <n v="216"/>
  </r>
  <r>
    <x v="58"/>
    <s v="conventional_curtailment_cltv_164"/>
    <x v="204"/>
    <n v="1"/>
    <n v="1"/>
    <n v="-36"/>
    <n v="216"/>
  </r>
  <r>
    <x v="58"/>
    <s v="conventional_curtailment_cltv_165"/>
    <x v="205"/>
    <n v="1"/>
    <n v="1"/>
    <n v="-36"/>
    <n v="216"/>
  </r>
  <r>
    <x v="58"/>
    <s v="conventional_curtailment_cltv_166"/>
    <x v="206"/>
    <n v="1"/>
    <n v="1"/>
    <n v="-36"/>
    <n v="216"/>
  </r>
  <r>
    <x v="58"/>
    <s v="conventional_curtailment_cltv_167"/>
    <x v="207"/>
    <n v="1"/>
    <n v="1"/>
    <n v="-36"/>
    <n v="216"/>
  </r>
  <r>
    <x v="58"/>
    <s v="conventional_curtailment_cltv_168"/>
    <x v="208"/>
    <n v="1"/>
    <n v="1"/>
    <n v="-36"/>
    <n v="216"/>
  </r>
  <r>
    <x v="58"/>
    <s v="conventional_curtailment_cltv_169"/>
    <x v="209"/>
    <n v="1"/>
    <n v="1"/>
    <n v="-36"/>
    <n v="216"/>
  </r>
  <r>
    <x v="58"/>
    <s v="conventional_curtailment_cltv_170"/>
    <x v="210"/>
    <n v="1"/>
    <n v="1"/>
    <n v="-36"/>
    <n v="216"/>
  </r>
  <r>
    <x v="58"/>
    <s v="conventional_curtailment_cltv_171"/>
    <x v="211"/>
    <n v="1"/>
    <n v="1"/>
    <n v="-36"/>
    <n v="216"/>
  </r>
  <r>
    <x v="58"/>
    <s v="conventional_curtailment_cltv_172"/>
    <x v="212"/>
    <n v="1"/>
    <n v="1"/>
    <n v="-36"/>
    <n v="216"/>
  </r>
  <r>
    <x v="58"/>
    <s v="conventional_curtailment_cltv_173"/>
    <x v="213"/>
    <n v="1"/>
    <n v="1"/>
    <n v="-36"/>
    <n v="216"/>
  </r>
  <r>
    <x v="58"/>
    <s v="conventional_curtailment_cltv_174"/>
    <x v="214"/>
    <n v="1"/>
    <n v="1"/>
    <n v="-36"/>
    <n v="216"/>
  </r>
  <r>
    <x v="58"/>
    <s v="conventional_curtailment_cltv_175"/>
    <x v="215"/>
    <n v="1"/>
    <n v="1"/>
    <n v="-36"/>
    <n v="216"/>
  </r>
  <r>
    <x v="58"/>
    <s v="conventional_curtailment_cltv_176"/>
    <x v="216"/>
    <n v="1"/>
    <n v="1"/>
    <n v="-36"/>
    <n v="216"/>
  </r>
  <r>
    <x v="58"/>
    <s v="conventional_curtailment_cltv_177"/>
    <x v="217"/>
    <n v="1"/>
    <n v="1"/>
    <n v="-36"/>
    <n v="216"/>
  </r>
  <r>
    <x v="58"/>
    <s v="conventional_curtailment_cltv_178"/>
    <x v="218"/>
    <n v="1"/>
    <n v="1"/>
    <n v="-36"/>
    <n v="216"/>
  </r>
  <r>
    <x v="58"/>
    <s v="conventional_curtailment_cltv_179"/>
    <x v="219"/>
    <n v="1"/>
    <n v="1"/>
    <n v="-36"/>
    <n v="216"/>
  </r>
  <r>
    <x v="58"/>
    <s v="conventional_curtailment_cltv_180"/>
    <x v="220"/>
    <n v="1"/>
    <n v="1"/>
    <n v="-36"/>
    <n v="216"/>
  </r>
  <r>
    <x v="58"/>
    <s v="conventional_curtailment_cltv_181"/>
    <x v="221"/>
    <n v="1"/>
    <n v="1"/>
    <n v="-36"/>
    <n v="216"/>
  </r>
  <r>
    <x v="58"/>
    <s v="conventional_curtailment_cltv_182"/>
    <x v="222"/>
    <n v="1"/>
    <n v="1"/>
    <n v="-36"/>
    <n v="216"/>
  </r>
  <r>
    <x v="58"/>
    <s v="conventional_curtailment_cltv_183"/>
    <x v="223"/>
    <n v="1"/>
    <n v="1"/>
    <n v="-36"/>
    <n v="216"/>
  </r>
  <r>
    <x v="58"/>
    <s v="conventional_curtailment_cltv_184"/>
    <x v="224"/>
    <n v="1"/>
    <n v="1"/>
    <n v="-36"/>
    <n v="216"/>
  </r>
  <r>
    <x v="58"/>
    <s v="conventional_curtailment_cltv_185"/>
    <x v="225"/>
    <n v="1"/>
    <n v="1"/>
    <n v="-36"/>
    <n v="216"/>
  </r>
  <r>
    <x v="58"/>
    <s v="conventional_curtailment_cltv_186"/>
    <x v="226"/>
    <n v="1"/>
    <n v="1"/>
    <n v="-36"/>
    <n v="216"/>
  </r>
  <r>
    <x v="58"/>
    <s v="conventional_curtailment_cltv_187"/>
    <x v="227"/>
    <n v="1"/>
    <n v="1"/>
    <n v="-36"/>
    <n v="216"/>
  </r>
  <r>
    <x v="58"/>
    <s v="conventional_curtailment_cltv_188"/>
    <x v="228"/>
    <n v="1"/>
    <n v="1"/>
    <n v="-36"/>
    <n v="216"/>
  </r>
  <r>
    <x v="58"/>
    <s v="conventional_curtailment_cltv_189"/>
    <x v="229"/>
    <n v="1"/>
    <n v="1"/>
    <n v="-36"/>
    <n v="216"/>
  </r>
  <r>
    <x v="58"/>
    <s v="conventional_curtailment_cltv_190"/>
    <x v="230"/>
    <n v="1"/>
    <n v="1"/>
    <n v="-36"/>
    <n v="216"/>
  </r>
  <r>
    <x v="58"/>
    <s v="conventional_curtailment_cltv_191"/>
    <x v="231"/>
    <n v="1"/>
    <n v="1"/>
    <n v="-36"/>
    <n v="216"/>
  </r>
  <r>
    <x v="58"/>
    <s v="conventional_curtailment_cltv_192"/>
    <x v="232"/>
    <n v="1"/>
    <n v="1"/>
    <n v="-36"/>
    <n v="216"/>
  </r>
  <r>
    <x v="58"/>
    <s v="conventional_curtailment_cltv_193"/>
    <x v="233"/>
    <n v="1"/>
    <n v="1"/>
    <n v="-36"/>
    <n v="216"/>
  </r>
  <r>
    <x v="58"/>
    <s v="conventional_curtailment_cltv_194"/>
    <x v="234"/>
    <n v="1"/>
    <n v="1"/>
    <n v="-36"/>
    <n v="216"/>
  </r>
  <r>
    <x v="58"/>
    <s v="conventional_curtailment_cltv_195"/>
    <x v="235"/>
    <n v="1"/>
    <n v="1"/>
    <n v="-36"/>
    <n v="216"/>
  </r>
  <r>
    <x v="58"/>
    <s v="conventional_curtailment_cltv_196"/>
    <x v="236"/>
    <n v="1"/>
    <n v="1"/>
    <n v="-36"/>
    <n v="216"/>
  </r>
  <r>
    <x v="58"/>
    <s v="conventional_curtailment_cltv_197"/>
    <x v="237"/>
    <n v="1"/>
    <n v="1"/>
    <n v="-36"/>
    <n v="216"/>
  </r>
  <r>
    <x v="58"/>
    <s v="conventional_curtailment_cltv_198"/>
    <x v="238"/>
    <n v="1"/>
    <n v="1"/>
    <n v="-36"/>
    <n v="216"/>
  </r>
  <r>
    <x v="58"/>
    <s v="conventional_curtailment_cltv_199"/>
    <x v="239"/>
    <n v="1"/>
    <n v="1"/>
    <n v="-36"/>
    <n v="216"/>
  </r>
  <r>
    <x v="58"/>
    <s v="conventional_curtailment_cltv_200"/>
    <x v="240"/>
    <n v="1"/>
    <n v="1"/>
    <n v="-36"/>
    <n v="216"/>
  </r>
  <r>
    <x v="58"/>
    <s v="conventional_curtailment_cltv_201"/>
    <x v="241"/>
    <n v="1"/>
    <n v="1"/>
    <n v="-36"/>
    <n v="216"/>
  </r>
  <r>
    <x v="58"/>
    <s v="conventional_curtailment_cltv_202"/>
    <x v="242"/>
    <n v="1"/>
    <n v="1"/>
    <n v="-36"/>
    <n v="216"/>
  </r>
  <r>
    <x v="58"/>
    <s v="conventional_curtailment_cltv_203"/>
    <x v="243"/>
    <n v="1"/>
    <n v="1"/>
    <n v="-36"/>
    <n v="216"/>
  </r>
  <r>
    <x v="58"/>
    <s v="conventional_curtailment_cltv_204"/>
    <x v="244"/>
    <n v="1"/>
    <n v="1"/>
    <n v="-36"/>
    <n v="216"/>
  </r>
  <r>
    <x v="58"/>
    <s v="conventional_curtailment_cltv_205"/>
    <x v="245"/>
    <n v="1"/>
    <n v="1"/>
    <n v="-36"/>
    <n v="216"/>
  </r>
  <r>
    <x v="58"/>
    <s v="conventional_curtailment_cltv_206"/>
    <x v="246"/>
    <n v="1"/>
    <n v="1"/>
    <n v="-36"/>
    <n v="216"/>
  </r>
  <r>
    <x v="58"/>
    <s v="conventional_curtailment_cltv_207"/>
    <x v="247"/>
    <n v="1"/>
    <n v="1"/>
    <n v="-36"/>
    <n v="216"/>
  </r>
  <r>
    <x v="58"/>
    <s v="conventional_curtailment_cltv_208"/>
    <x v="248"/>
    <n v="1"/>
    <n v="1"/>
    <n v="-36"/>
    <n v="216"/>
  </r>
  <r>
    <x v="58"/>
    <s v="conventional_curtailment_cltv_209"/>
    <x v="249"/>
    <n v="1"/>
    <n v="1"/>
    <n v="-36"/>
    <n v="216"/>
  </r>
  <r>
    <x v="58"/>
    <s v="conventional_curtailment_cltv_210"/>
    <x v="250"/>
    <n v="1"/>
    <n v="1"/>
    <n v="-36"/>
    <n v="216"/>
  </r>
  <r>
    <x v="58"/>
    <s v="conventional_curtailment_cltv_211"/>
    <x v="251"/>
    <n v="1"/>
    <n v="1"/>
    <n v="-36"/>
    <n v="216"/>
  </r>
  <r>
    <x v="58"/>
    <s v="conventional_curtailment_cltv_212"/>
    <x v="252"/>
    <n v="1"/>
    <n v="1"/>
    <n v="-36"/>
    <n v="216"/>
  </r>
  <r>
    <x v="58"/>
    <s v="conventional_curtailment_cltv_213"/>
    <x v="253"/>
    <n v="1"/>
    <n v="1"/>
    <n v="-36"/>
    <n v="216"/>
  </r>
  <r>
    <x v="58"/>
    <s v="conventional_curtailment_cltv_214"/>
    <x v="254"/>
    <n v="1"/>
    <n v="1"/>
    <n v="-36"/>
    <n v="216"/>
  </r>
  <r>
    <x v="58"/>
    <s v="conventional_curtailment_cltv_215"/>
    <x v="255"/>
    <n v="1"/>
    <n v="1"/>
    <n v="-36"/>
    <n v="216"/>
  </r>
  <r>
    <x v="58"/>
    <s v="conventional_curtailment_cltv_216"/>
    <x v="256"/>
    <n v="1"/>
    <n v="1"/>
    <n v="-36"/>
    <n v="216"/>
  </r>
  <r>
    <x v="59"/>
    <s v="conventional_curtailment_fico_560"/>
    <x v="600"/>
    <n v="1"/>
    <n v="1"/>
    <n v="560"/>
    <n v="840"/>
  </r>
  <r>
    <x v="59"/>
    <s v="conventional_curtailment_fico_561"/>
    <x v="601"/>
    <n v="1"/>
    <n v="1"/>
    <n v="560"/>
    <n v="840"/>
  </r>
  <r>
    <x v="59"/>
    <s v="conventional_curtailment_fico_562"/>
    <x v="602"/>
    <n v="1"/>
    <n v="1"/>
    <n v="560"/>
    <n v="840"/>
  </r>
  <r>
    <x v="59"/>
    <s v="conventional_curtailment_fico_563"/>
    <x v="603"/>
    <n v="1"/>
    <n v="1"/>
    <n v="560"/>
    <n v="840"/>
  </r>
  <r>
    <x v="59"/>
    <s v="conventional_curtailment_fico_564"/>
    <x v="604"/>
    <n v="1"/>
    <n v="1"/>
    <n v="560"/>
    <n v="840"/>
  </r>
  <r>
    <x v="59"/>
    <s v="conventional_curtailment_fico_565"/>
    <x v="605"/>
    <n v="1"/>
    <n v="1"/>
    <n v="560"/>
    <n v="840"/>
  </r>
  <r>
    <x v="59"/>
    <s v="conventional_curtailment_fico_566"/>
    <x v="606"/>
    <n v="1"/>
    <n v="1"/>
    <n v="560"/>
    <n v="840"/>
  </r>
  <r>
    <x v="59"/>
    <s v="conventional_curtailment_fico_567"/>
    <x v="607"/>
    <n v="1"/>
    <n v="1"/>
    <n v="560"/>
    <n v="840"/>
  </r>
  <r>
    <x v="59"/>
    <s v="conventional_curtailment_fico_568"/>
    <x v="608"/>
    <n v="1"/>
    <n v="1"/>
    <n v="560"/>
    <n v="840"/>
  </r>
  <r>
    <x v="59"/>
    <s v="conventional_curtailment_fico_569"/>
    <x v="609"/>
    <n v="1"/>
    <n v="1"/>
    <n v="560"/>
    <n v="840"/>
  </r>
  <r>
    <x v="59"/>
    <s v="conventional_curtailment_fico_570"/>
    <x v="610"/>
    <n v="1"/>
    <n v="1"/>
    <n v="560"/>
    <n v="840"/>
  </r>
  <r>
    <x v="59"/>
    <s v="conventional_curtailment_fico_571"/>
    <x v="611"/>
    <n v="1"/>
    <n v="1"/>
    <n v="560"/>
    <n v="840"/>
  </r>
  <r>
    <x v="59"/>
    <s v="conventional_curtailment_fico_572"/>
    <x v="612"/>
    <n v="1"/>
    <n v="1"/>
    <n v="560"/>
    <n v="840"/>
  </r>
  <r>
    <x v="59"/>
    <s v="conventional_curtailment_fico_573"/>
    <x v="613"/>
    <n v="1"/>
    <n v="1"/>
    <n v="560"/>
    <n v="840"/>
  </r>
  <r>
    <x v="59"/>
    <s v="conventional_curtailment_fico_574"/>
    <x v="614"/>
    <n v="1"/>
    <n v="1"/>
    <n v="560"/>
    <n v="840"/>
  </r>
  <r>
    <x v="59"/>
    <s v="conventional_curtailment_fico_575"/>
    <x v="615"/>
    <n v="1"/>
    <n v="1"/>
    <n v="560"/>
    <n v="840"/>
  </r>
  <r>
    <x v="59"/>
    <s v="conventional_curtailment_fico_576"/>
    <x v="616"/>
    <n v="1"/>
    <n v="1"/>
    <n v="560"/>
    <n v="840"/>
  </r>
  <r>
    <x v="59"/>
    <s v="conventional_curtailment_fico_577"/>
    <x v="617"/>
    <n v="1"/>
    <n v="1"/>
    <n v="560"/>
    <n v="840"/>
  </r>
  <r>
    <x v="59"/>
    <s v="conventional_curtailment_fico_578"/>
    <x v="618"/>
    <n v="1"/>
    <n v="1"/>
    <n v="560"/>
    <n v="840"/>
  </r>
  <r>
    <x v="59"/>
    <s v="conventional_curtailment_fico_579"/>
    <x v="619"/>
    <n v="1"/>
    <n v="1"/>
    <n v="560"/>
    <n v="840"/>
  </r>
  <r>
    <x v="59"/>
    <s v="conventional_curtailment_fico_580"/>
    <x v="620"/>
    <n v="1"/>
    <n v="1"/>
    <n v="560"/>
    <n v="840"/>
  </r>
  <r>
    <x v="59"/>
    <s v="conventional_curtailment_fico_581"/>
    <x v="621"/>
    <n v="1"/>
    <n v="1"/>
    <n v="560"/>
    <n v="840"/>
  </r>
  <r>
    <x v="59"/>
    <s v="conventional_curtailment_fico_582"/>
    <x v="622"/>
    <n v="1"/>
    <n v="1"/>
    <n v="560"/>
    <n v="840"/>
  </r>
  <r>
    <x v="59"/>
    <s v="conventional_curtailment_fico_583"/>
    <x v="623"/>
    <n v="1"/>
    <n v="1"/>
    <n v="560"/>
    <n v="840"/>
  </r>
  <r>
    <x v="59"/>
    <s v="conventional_curtailment_fico_584"/>
    <x v="624"/>
    <n v="1"/>
    <n v="1"/>
    <n v="560"/>
    <n v="840"/>
  </r>
  <r>
    <x v="59"/>
    <s v="conventional_curtailment_fico_585"/>
    <x v="625"/>
    <n v="1"/>
    <n v="1"/>
    <n v="560"/>
    <n v="840"/>
  </r>
  <r>
    <x v="59"/>
    <s v="conventional_curtailment_fico_586"/>
    <x v="626"/>
    <n v="1"/>
    <n v="1"/>
    <n v="560"/>
    <n v="840"/>
  </r>
  <r>
    <x v="59"/>
    <s v="conventional_curtailment_fico_587"/>
    <x v="627"/>
    <n v="1"/>
    <n v="1"/>
    <n v="560"/>
    <n v="840"/>
  </r>
  <r>
    <x v="59"/>
    <s v="conventional_curtailment_fico_588"/>
    <x v="628"/>
    <n v="1"/>
    <n v="1"/>
    <n v="560"/>
    <n v="840"/>
  </r>
  <r>
    <x v="59"/>
    <s v="conventional_curtailment_fico_589"/>
    <x v="629"/>
    <n v="1"/>
    <n v="1"/>
    <n v="560"/>
    <n v="840"/>
  </r>
  <r>
    <x v="59"/>
    <s v="conventional_curtailment_fico_590"/>
    <x v="630"/>
    <n v="1"/>
    <n v="1"/>
    <n v="560"/>
    <n v="840"/>
  </r>
  <r>
    <x v="59"/>
    <s v="conventional_curtailment_fico_591"/>
    <x v="631"/>
    <n v="1"/>
    <n v="1"/>
    <n v="560"/>
    <n v="840"/>
  </r>
  <r>
    <x v="59"/>
    <s v="conventional_curtailment_fico_592"/>
    <x v="632"/>
    <n v="1"/>
    <n v="1"/>
    <n v="560"/>
    <n v="840"/>
  </r>
  <r>
    <x v="59"/>
    <s v="conventional_curtailment_fico_593"/>
    <x v="633"/>
    <n v="1"/>
    <n v="1"/>
    <n v="560"/>
    <n v="840"/>
  </r>
  <r>
    <x v="59"/>
    <s v="conventional_curtailment_fico_594"/>
    <x v="634"/>
    <n v="1"/>
    <n v="1"/>
    <n v="560"/>
    <n v="840"/>
  </r>
  <r>
    <x v="59"/>
    <s v="conventional_curtailment_fico_595"/>
    <x v="635"/>
    <n v="1"/>
    <n v="1"/>
    <n v="560"/>
    <n v="840"/>
  </r>
  <r>
    <x v="59"/>
    <s v="conventional_curtailment_fico_596"/>
    <x v="636"/>
    <n v="1"/>
    <n v="1"/>
    <n v="560"/>
    <n v="840"/>
  </r>
  <r>
    <x v="59"/>
    <s v="conventional_curtailment_fico_597"/>
    <x v="637"/>
    <n v="1"/>
    <n v="1"/>
    <n v="560"/>
    <n v="840"/>
  </r>
  <r>
    <x v="59"/>
    <s v="conventional_curtailment_fico_598"/>
    <x v="638"/>
    <n v="1"/>
    <n v="1"/>
    <n v="560"/>
    <n v="840"/>
  </r>
  <r>
    <x v="59"/>
    <s v="conventional_curtailment_fico_599"/>
    <x v="639"/>
    <n v="1"/>
    <n v="1"/>
    <n v="560"/>
    <n v="840"/>
  </r>
  <r>
    <x v="59"/>
    <s v="conventional_curtailment_fico_600"/>
    <x v="640"/>
    <n v="1"/>
    <n v="1"/>
    <n v="560"/>
    <n v="840"/>
  </r>
  <r>
    <x v="59"/>
    <s v="conventional_curtailment_fico_601"/>
    <x v="641"/>
    <n v="1"/>
    <n v="1"/>
    <n v="560"/>
    <n v="840"/>
  </r>
  <r>
    <x v="59"/>
    <s v="conventional_curtailment_fico_602"/>
    <x v="642"/>
    <n v="1"/>
    <n v="1"/>
    <n v="560"/>
    <n v="840"/>
  </r>
  <r>
    <x v="59"/>
    <s v="conventional_curtailment_fico_603"/>
    <x v="643"/>
    <n v="1"/>
    <n v="1"/>
    <n v="560"/>
    <n v="840"/>
  </r>
  <r>
    <x v="59"/>
    <s v="conventional_curtailment_fico_604"/>
    <x v="644"/>
    <n v="1"/>
    <n v="1"/>
    <n v="560"/>
    <n v="840"/>
  </r>
  <r>
    <x v="59"/>
    <s v="conventional_curtailment_fico_605"/>
    <x v="645"/>
    <n v="1"/>
    <n v="1"/>
    <n v="560"/>
    <n v="840"/>
  </r>
  <r>
    <x v="59"/>
    <s v="conventional_curtailment_fico_606"/>
    <x v="646"/>
    <n v="1"/>
    <n v="1"/>
    <n v="560"/>
    <n v="840"/>
  </r>
  <r>
    <x v="59"/>
    <s v="conventional_curtailment_fico_607"/>
    <x v="647"/>
    <n v="1"/>
    <n v="1"/>
    <n v="560"/>
    <n v="840"/>
  </r>
  <r>
    <x v="59"/>
    <s v="conventional_curtailment_fico_608"/>
    <x v="648"/>
    <n v="1"/>
    <n v="1"/>
    <n v="560"/>
    <n v="840"/>
  </r>
  <r>
    <x v="59"/>
    <s v="conventional_curtailment_fico_609"/>
    <x v="649"/>
    <n v="1"/>
    <n v="1"/>
    <n v="560"/>
    <n v="840"/>
  </r>
  <r>
    <x v="59"/>
    <s v="conventional_curtailment_fico_610"/>
    <x v="650"/>
    <n v="1"/>
    <n v="1"/>
    <n v="560"/>
    <n v="840"/>
  </r>
  <r>
    <x v="59"/>
    <s v="conventional_curtailment_fico_611"/>
    <x v="651"/>
    <n v="1"/>
    <n v="1"/>
    <n v="560"/>
    <n v="840"/>
  </r>
  <r>
    <x v="59"/>
    <s v="conventional_curtailment_fico_612"/>
    <x v="652"/>
    <n v="1"/>
    <n v="1"/>
    <n v="560"/>
    <n v="840"/>
  </r>
  <r>
    <x v="59"/>
    <s v="conventional_curtailment_fico_613"/>
    <x v="653"/>
    <n v="1"/>
    <n v="1"/>
    <n v="560"/>
    <n v="840"/>
  </r>
  <r>
    <x v="59"/>
    <s v="conventional_curtailment_fico_614"/>
    <x v="654"/>
    <n v="1"/>
    <n v="1"/>
    <n v="560"/>
    <n v="840"/>
  </r>
  <r>
    <x v="59"/>
    <s v="conventional_curtailment_fico_615"/>
    <x v="655"/>
    <n v="1"/>
    <n v="1"/>
    <n v="560"/>
    <n v="840"/>
  </r>
  <r>
    <x v="59"/>
    <s v="conventional_curtailment_fico_616"/>
    <x v="656"/>
    <n v="1"/>
    <n v="1"/>
    <n v="560"/>
    <n v="840"/>
  </r>
  <r>
    <x v="59"/>
    <s v="conventional_curtailment_fico_617"/>
    <x v="657"/>
    <n v="1"/>
    <n v="1"/>
    <n v="560"/>
    <n v="840"/>
  </r>
  <r>
    <x v="59"/>
    <s v="conventional_curtailment_fico_618"/>
    <x v="658"/>
    <n v="1"/>
    <n v="1"/>
    <n v="560"/>
    <n v="840"/>
  </r>
  <r>
    <x v="59"/>
    <s v="conventional_curtailment_fico_619"/>
    <x v="659"/>
    <n v="1"/>
    <n v="1"/>
    <n v="560"/>
    <n v="840"/>
  </r>
  <r>
    <x v="59"/>
    <s v="conventional_curtailment_fico_620"/>
    <x v="660"/>
    <n v="1"/>
    <n v="1"/>
    <n v="560"/>
    <n v="840"/>
  </r>
  <r>
    <x v="59"/>
    <s v="conventional_curtailment_fico_621"/>
    <x v="661"/>
    <n v="1"/>
    <n v="1"/>
    <n v="560"/>
    <n v="840"/>
  </r>
  <r>
    <x v="59"/>
    <s v="conventional_curtailment_fico_622"/>
    <x v="662"/>
    <n v="1"/>
    <n v="1"/>
    <n v="560"/>
    <n v="840"/>
  </r>
  <r>
    <x v="59"/>
    <s v="conventional_curtailment_fico_623"/>
    <x v="663"/>
    <n v="1"/>
    <n v="1"/>
    <n v="560"/>
    <n v="840"/>
  </r>
  <r>
    <x v="59"/>
    <s v="conventional_curtailment_fico_624"/>
    <x v="664"/>
    <n v="1"/>
    <n v="1"/>
    <n v="560"/>
    <n v="840"/>
  </r>
  <r>
    <x v="59"/>
    <s v="conventional_curtailment_fico_625"/>
    <x v="665"/>
    <n v="1"/>
    <n v="1"/>
    <n v="560"/>
    <n v="840"/>
  </r>
  <r>
    <x v="59"/>
    <s v="conventional_curtailment_fico_626"/>
    <x v="666"/>
    <n v="1"/>
    <n v="1"/>
    <n v="560"/>
    <n v="840"/>
  </r>
  <r>
    <x v="59"/>
    <s v="conventional_curtailment_fico_627"/>
    <x v="667"/>
    <n v="1"/>
    <n v="1"/>
    <n v="560"/>
    <n v="840"/>
  </r>
  <r>
    <x v="59"/>
    <s v="conventional_curtailment_fico_628"/>
    <x v="668"/>
    <n v="1"/>
    <n v="1"/>
    <n v="560"/>
    <n v="840"/>
  </r>
  <r>
    <x v="59"/>
    <s v="conventional_curtailment_fico_629"/>
    <x v="669"/>
    <n v="1"/>
    <n v="1"/>
    <n v="560"/>
    <n v="840"/>
  </r>
  <r>
    <x v="59"/>
    <s v="conventional_curtailment_fico_630"/>
    <x v="670"/>
    <n v="1"/>
    <n v="1"/>
    <n v="560"/>
    <n v="840"/>
  </r>
  <r>
    <x v="59"/>
    <s v="conventional_curtailment_fico_631"/>
    <x v="671"/>
    <n v="1"/>
    <n v="1"/>
    <n v="560"/>
    <n v="840"/>
  </r>
  <r>
    <x v="59"/>
    <s v="conventional_curtailment_fico_632"/>
    <x v="672"/>
    <n v="1"/>
    <n v="1"/>
    <n v="560"/>
    <n v="840"/>
  </r>
  <r>
    <x v="59"/>
    <s v="conventional_curtailment_fico_633"/>
    <x v="673"/>
    <n v="1"/>
    <n v="1"/>
    <n v="560"/>
    <n v="840"/>
  </r>
  <r>
    <x v="59"/>
    <s v="conventional_curtailment_fico_634"/>
    <x v="674"/>
    <n v="1"/>
    <n v="1"/>
    <n v="560"/>
    <n v="840"/>
  </r>
  <r>
    <x v="59"/>
    <s v="conventional_curtailment_fico_635"/>
    <x v="675"/>
    <n v="1"/>
    <n v="1"/>
    <n v="560"/>
    <n v="840"/>
  </r>
  <r>
    <x v="59"/>
    <s v="conventional_curtailment_fico_636"/>
    <x v="676"/>
    <n v="1"/>
    <n v="1"/>
    <n v="560"/>
    <n v="840"/>
  </r>
  <r>
    <x v="59"/>
    <s v="conventional_curtailment_fico_637"/>
    <x v="677"/>
    <n v="1"/>
    <n v="1"/>
    <n v="560"/>
    <n v="840"/>
  </r>
  <r>
    <x v="59"/>
    <s v="conventional_curtailment_fico_638"/>
    <x v="678"/>
    <n v="1"/>
    <n v="1"/>
    <n v="560"/>
    <n v="840"/>
  </r>
  <r>
    <x v="59"/>
    <s v="conventional_curtailment_fico_639"/>
    <x v="679"/>
    <n v="1"/>
    <n v="1"/>
    <n v="560"/>
    <n v="840"/>
  </r>
  <r>
    <x v="59"/>
    <s v="conventional_curtailment_fico_640"/>
    <x v="680"/>
    <n v="1"/>
    <n v="1"/>
    <n v="560"/>
    <n v="840"/>
  </r>
  <r>
    <x v="59"/>
    <s v="conventional_curtailment_fico_641"/>
    <x v="681"/>
    <n v="1"/>
    <n v="1"/>
    <n v="560"/>
    <n v="840"/>
  </r>
  <r>
    <x v="59"/>
    <s v="conventional_curtailment_fico_642"/>
    <x v="682"/>
    <n v="1"/>
    <n v="1"/>
    <n v="560"/>
    <n v="840"/>
  </r>
  <r>
    <x v="59"/>
    <s v="conventional_curtailment_fico_643"/>
    <x v="683"/>
    <n v="1"/>
    <n v="1"/>
    <n v="560"/>
    <n v="840"/>
  </r>
  <r>
    <x v="59"/>
    <s v="conventional_curtailment_fico_644"/>
    <x v="684"/>
    <n v="1"/>
    <n v="1"/>
    <n v="560"/>
    <n v="840"/>
  </r>
  <r>
    <x v="59"/>
    <s v="conventional_curtailment_fico_645"/>
    <x v="685"/>
    <n v="1"/>
    <n v="1"/>
    <n v="560"/>
    <n v="840"/>
  </r>
  <r>
    <x v="59"/>
    <s v="conventional_curtailment_fico_646"/>
    <x v="686"/>
    <n v="1"/>
    <n v="1"/>
    <n v="560"/>
    <n v="840"/>
  </r>
  <r>
    <x v="59"/>
    <s v="conventional_curtailment_fico_647"/>
    <x v="687"/>
    <n v="1"/>
    <n v="1"/>
    <n v="560"/>
    <n v="840"/>
  </r>
  <r>
    <x v="59"/>
    <s v="conventional_curtailment_fico_648"/>
    <x v="688"/>
    <n v="1"/>
    <n v="1"/>
    <n v="560"/>
    <n v="840"/>
  </r>
  <r>
    <x v="59"/>
    <s v="conventional_curtailment_fico_649"/>
    <x v="689"/>
    <n v="1"/>
    <n v="1"/>
    <n v="560"/>
    <n v="840"/>
  </r>
  <r>
    <x v="59"/>
    <s v="conventional_curtailment_fico_650"/>
    <x v="690"/>
    <n v="1"/>
    <n v="1"/>
    <n v="560"/>
    <n v="840"/>
  </r>
  <r>
    <x v="59"/>
    <s v="conventional_curtailment_fico_651"/>
    <x v="691"/>
    <n v="1"/>
    <n v="1"/>
    <n v="560"/>
    <n v="840"/>
  </r>
  <r>
    <x v="59"/>
    <s v="conventional_curtailment_fico_652"/>
    <x v="692"/>
    <n v="1"/>
    <n v="1"/>
    <n v="560"/>
    <n v="840"/>
  </r>
  <r>
    <x v="59"/>
    <s v="conventional_curtailment_fico_653"/>
    <x v="693"/>
    <n v="1"/>
    <n v="1"/>
    <n v="560"/>
    <n v="840"/>
  </r>
  <r>
    <x v="59"/>
    <s v="conventional_curtailment_fico_654"/>
    <x v="694"/>
    <n v="1"/>
    <n v="1"/>
    <n v="560"/>
    <n v="840"/>
  </r>
  <r>
    <x v="59"/>
    <s v="conventional_curtailment_fico_655"/>
    <x v="695"/>
    <n v="1"/>
    <n v="1"/>
    <n v="560"/>
    <n v="840"/>
  </r>
  <r>
    <x v="59"/>
    <s v="conventional_curtailment_fico_656"/>
    <x v="696"/>
    <n v="1"/>
    <n v="1"/>
    <n v="560"/>
    <n v="840"/>
  </r>
  <r>
    <x v="59"/>
    <s v="conventional_curtailment_fico_657"/>
    <x v="697"/>
    <n v="1"/>
    <n v="1"/>
    <n v="560"/>
    <n v="840"/>
  </r>
  <r>
    <x v="59"/>
    <s v="conventional_curtailment_fico_658"/>
    <x v="698"/>
    <n v="1"/>
    <n v="1"/>
    <n v="560"/>
    <n v="840"/>
  </r>
  <r>
    <x v="59"/>
    <s v="conventional_curtailment_fico_659"/>
    <x v="699"/>
    <n v="1"/>
    <n v="1"/>
    <n v="560"/>
    <n v="840"/>
  </r>
  <r>
    <x v="59"/>
    <s v="conventional_curtailment_fico_660"/>
    <x v="700"/>
    <n v="1"/>
    <n v="1"/>
    <n v="560"/>
    <n v="840"/>
  </r>
  <r>
    <x v="59"/>
    <s v="conventional_curtailment_fico_661"/>
    <x v="701"/>
    <n v="1"/>
    <n v="1"/>
    <n v="560"/>
    <n v="840"/>
  </r>
  <r>
    <x v="59"/>
    <s v="conventional_curtailment_fico_662"/>
    <x v="702"/>
    <n v="1"/>
    <n v="1"/>
    <n v="560"/>
    <n v="840"/>
  </r>
  <r>
    <x v="59"/>
    <s v="conventional_curtailment_fico_663"/>
    <x v="703"/>
    <n v="1"/>
    <n v="1"/>
    <n v="560"/>
    <n v="840"/>
  </r>
  <r>
    <x v="59"/>
    <s v="conventional_curtailment_fico_664"/>
    <x v="704"/>
    <n v="1"/>
    <n v="1"/>
    <n v="560"/>
    <n v="840"/>
  </r>
  <r>
    <x v="59"/>
    <s v="conventional_curtailment_fico_665"/>
    <x v="705"/>
    <n v="1"/>
    <n v="1"/>
    <n v="560"/>
    <n v="840"/>
  </r>
  <r>
    <x v="59"/>
    <s v="conventional_curtailment_fico_666"/>
    <x v="706"/>
    <n v="1"/>
    <n v="1"/>
    <n v="560"/>
    <n v="840"/>
  </r>
  <r>
    <x v="59"/>
    <s v="conventional_curtailment_fico_667"/>
    <x v="707"/>
    <n v="1"/>
    <n v="1"/>
    <n v="560"/>
    <n v="840"/>
  </r>
  <r>
    <x v="59"/>
    <s v="conventional_curtailment_fico_668"/>
    <x v="708"/>
    <n v="1"/>
    <n v="1"/>
    <n v="560"/>
    <n v="840"/>
  </r>
  <r>
    <x v="59"/>
    <s v="conventional_curtailment_fico_669"/>
    <x v="709"/>
    <n v="1"/>
    <n v="1"/>
    <n v="560"/>
    <n v="840"/>
  </r>
  <r>
    <x v="59"/>
    <s v="conventional_curtailment_fico_670"/>
    <x v="710"/>
    <n v="1"/>
    <n v="1"/>
    <n v="560"/>
    <n v="840"/>
  </r>
  <r>
    <x v="59"/>
    <s v="conventional_curtailment_fico_671"/>
    <x v="711"/>
    <n v="1"/>
    <n v="1"/>
    <n v="560"/>
    <n v="840"/>
  </r>
  <r>
    <x v="59"/>
    <s v="conventional_curtailment_fico_672"/>
    <x v="712"/>
    <n v="1"/>
    <n v="1"/>
    <n v="560"/>
    <n v="840"/>
  </r>
  <r>
    <x v="59"/>
    <s v="conventional_curtailment_fico_673"/>
    <x v="713"/>
    <n v="1"/>
    <n v="1"/>
    <n v="560"/>
    <n v="840"/>
  </r>
  <r>
    <x v="59"/>
    <s v="conventional_curtailment_fico_674"/>
    <x v="714"/>
    <n v="1"/>
    <n v="1"/>
    <n v="560"/>
    <n v="840"/>
  </r>
  <r>
    <x v="59"/>
    <s v="conventional_curtailment_fico_675"/>
    <x v="715"/>
    <n v="1"/>
    <n v="1"/>
    <n v="560"/>
    <n v="840"/>
  </r>
  <r>
    <x v="59"/>
    <s v="conventional_curtailment_fico_676"/>
    <x v="716"/>
    <n v="1"/>
    <n v="1"/>
    <n v="560"/>
    <n v="840"/>
  </r>
  <r>
    <x v="59"/>
    <s v="conventional_curtailment_fico_677"/>
    <x v="717"/>
    <n v="1"/>
    <n v="1"/>
    <n v="560"/>
    <n v="840"/>
  </r>
  <r>
    <x v="59"/>
    <s v="conventional_curtailment_fico_678"/>
    <x v="718"/>
    <n v="1"/>
    <n v="1"/>
    <n v="560"/>
    <n v="840"/>
  </r>
  <r>
    <x v="59"/>
    <s v="conventional_curtailment_fico_679"/>
    <x v="719"/>
    <n v="1"/>
    <n v="1"/>
    <n v="560"/>
    <n v="840"/>
  </r>
  <r>
    <x v="59"/>
    <s v="conventional_curtailment_fico_680"/>
    <x v="720"/>
    <n v="1"/>
    <n v="1"/>
    <n v="560"/>
    <n v="840"/>
  </r>
  <r>
    <x v="59"/>
    <s v="conventional_curtailment_fico_681"/>
    <x v="721"/>
    <n v="1"/>
    <n v="1"/>
    <n v="560"/>
    <n v="840"/>
  </r>
  <r>
    <x v="59"/>
    <s v="conventional_curtailment_fico_682"/>
    <x v="722"/>
    <n v="1"/>
    <n v="1"/>
    <n v="560"/>
    <n v="840"/>
  </r>
  <r>
    <x v="59"/>
    <s v="conventional_curtailment_fico_683"/>
    <x v="723"/>
    <n v="1"/>
    <n v="1"/>
    <n v="560"/>
    <n v="840"/>
  </r>
  <r>
    <x v="59"/>
    <s v="conventional_curtailment_fico_684"/>
    <x v="724"/>
    <n v="1"/>
    <n v="1"/>
    <n v="560"/>
    <n v="840"/>
  </r>
  <r>
    <x v="59"/>
    <s v="conventional_curtailment_fico_685"/>
    <x v="725"/>
    <n v="1"/>
    <n v="1"/>
    <n v="560"/>
    <n v="840"/>
  </r>
  <r>
    <x v="59"/>
    <s v="conventional_curtailment_fico_686"/>
    <x v="726"/>
    <n v="1"/>
    <n v="1"/>
    <n v="560"/>
    <n v="840"/>
  </r>
  <r>
    <x v="59"/>
    <s v="conventional_curtailment_fico_687"/>
    <x v="727"/>
    <n v="1"/>
    <n v="1"/>
    <n v="560"/>
    <n v="840"/>
  </r>
  <r>
    <x v="59"/>
    <s v="conventional_curtailment_fico_688"/>
    <x v="728"/>
    <n v="1"/>
    <n v="1"/>
    <n v="560"/>
    <n v="840"/>
  </r>
  <r>
    <x v="59"/>
    <s v="conventional_curtailment_fico_689"/>
    <x v="729"/>
    <n v="1"/>
    <n v="1"/>
    <n v="560"/>
    <n v="840"/>
  </r>
  <r>
    <x v="59"/>
    <s v="conventional_curtailment_fico_690"/>
    <x v="730"/>
    <n v="1"/>
    <n v="1"/>
    <n v="560"/>
    <n v="840"/>
  </r>
  <r>
    <x v="59"/>
    <s v="conventional_curtailment_fico_691"/>
    <x v="731"/>
    <n v="1"/>
    <n v="1"/>
    <n v="560"/>
    <n v="840"/>
  </r>
  <r>
    <x v="59"/>
    <s v="conventional_curtailment_fico_692"/>
    <x v="732"/>
    <n v="1"/>
    <n v="1"/>
    <n v="560"/>
    <n v="840"/>
  </r>
  <r>
    <x v="59"/>
    <s v="conventional_curtailment_fico_693"/>
    <x v="733"/>
    <n v="1"/>
    <n v="1"/>
    <n v="560"/>
    <n v="840"/>
  </r>
  <r>
    <x v="59"/>
    <s v="conventional_curtailment_fico_694"/>
    <x v="734"/>
    <n v="1"/>
    <n v="1"/>
    <n v="560"/>
    <n v="840"/>
  </r>
  <r>
    <x v="59"/>
    <s v="conventional_curtailment_fico_695"/>
    <x v="735"/>
    <n v="1"/>
    <n v="1"/>
    <n v="560"/>
    <n v="840"/>
  </r>
  <r>
    <x v="59"/>
    <s v="conventional_curtailment_fico_696"/>
    <x v="736"/>
    <n v="1"/>
    <n v="1"/>
    <n v="560"/>
    <n v="840"/>
  </r>
  <r>
    <x v="59"/>
    <s v="conventional_curtailment_fico_697"/>
    <x v="737"/>
    <n v="1"/>
    <n v="1"/>
    <n v="560"/>
    <n v="840"/>
  </r>
  <r>
    <x v="59"/>
    <s v="conventional_curtailment_fico_698"/>
    <x v="738"/>
    <n v="1"/>
    <n v="1"/>
    <n v="560"/>
    <n v="840"/>
  </r>
  <r>
    <x v="59"/>
    <s v="conventional_curtailment_fico_699"/>
    <x v="739"/>
    <n v="1"/>
    <n v="1"/>
    <n v="560"/>
    <n v="840"/>
  </r>
  <r>
    <x v="59"/>
    <s v="conventional_curtailment_fico_700"/>
    <x v="740"/>
    <n v="1"/>
    <n v="1"/>
    <n v="560"/>
    <n v="840"/>
  </r>
  <r>
    <x v="59"/>
    <s v="conventional_curtailment_fico_701"/>
    <x v="741"/>
    <n v="1"/>
    <n v="1"/>
    <n v="560"/>
    <n v="840"/>
  </r>
  <r>
    <x v="59"/>
    <s v="conventional_curtailment_fico_702"/>
    <x v="742"/>
    <n v="1"/>
    <n v="1"/>
    <n v="560"/>
    <n v="840"/>
  </r>
  <r>
    <x v="59"/>
    <s v="conventional_curtailment_fico_703"/>
    <x v="743"/>
    <n v="1"/>
    <n v="1"/>
    <n v="560"/>
    <n v="840"/>
  </r>
  <r>
    <x v="59"/>
    <s v="conventional_curtailment_fico_704"/>
    <x v="744"/>
    <n v="1"/>
    <n v="1"/>
    <n v="560"/>
    <n v="840"/>
  </r>
  <r>
    <x v="59"/>
    <s v="conventional_curtailment_fico_705"/>
    <x v="745"/>
    <n v="1"/>
    <n v="1"/>
    <n v="560"/>
    <n v="840"/>
  </r>
  <r>
    <x v="59"/>
    <s v="conventional_curtailment_fico_706"/>
    <x v="746"/>
    <n v="1"/>
    <n v="1"/>
    <n v="560"/>
    <n v="840"/>
  </r>
  <r>
    <x v="59"/>
    <s v="conventional_curtailment_fico_707"/>
    <x v="747"/>
    <n v="1"/>
    <n v="1"/>
    <n v="560"/>
    <n v="840"/>
  </r>
  <r>
    <x v="59"/>
    <s v="conventional_curtailment_fico_708"/>
    <x v="748"/>
    <n v="1"/>
    <n v="1"/>
    <n v="560"/>
    <n v="840"/>
  </r>
  <r>
    <x v="59"/>
    <s v="conventional_curtailment_fico_709"/>
    <x v="749"/>
    <n v="1"/>
    <n v="1"/>
    <n v="560"/>
    <n v="840"/>
  </r>
  <r>
    <x v="59"/>
    <s v="conventional_curtailment_fico_710"/>
    <x v="750"/>
    <n v="1"/>
    <n v="1"/>
    <n v="560"/>
    <n v="840"/>
  </r>
  <r>
    <x v="59"/>
    <s v="conventional_curtailment_fico_711"/>
    <x v="751"/>
    <n v="1"/>
    <n v="1"/>
    <n v="560"/>
    <n v="840"/>
  </r>
  <r>
    <x v="59"/>
    <s v="conventional_curtailment_fico_712"/>
    <x v="752"/>
    <n v="1"/>
    <n v="1"/>
    <n v="560"/>
    <n v="840"/>
  </r>
  <r>
    <x v="59"/>
    <s v="conventional_curtailment_fico_713"/>
    <x v="753"/>
    <n v="1"/>
    <n v="1"/>
    <n v="560"/>
    <n v="840"/>
  </r>
  <r>
    <x v="59"/>
    <s v="conventional_curtailment_fico_714"/>
    <x v="754"/>
    <n v="1"/>
    <n v="1"/>
    <n v="560"/>
    <n v="840"/>
  </r>
  <r>
    <x v="59"/>
    <s v="conventional_curtailment_fico_715"/>
    <x v="755"/>
    <n v="1"/>
    <n v="1"/>
    <n v="560"/>
    <n v="840"/>
  </r>
  <r>
    <x v="59"/>
    <s v="conventional_curtailment_fico_716"/>
    <x v="756"/>
    <n v="1"/>
    <n v="1"/>
    <n v="560"/>
    <n v="840"/>
  </r>
  <r>
    <x v="59"/>
    <s v="conventional_curtailment_fico_717"/>
    <x v="757"/>
    <n v="1"/>
    <n v="1"/>
    <n v="560"/>
    <n v="840"/>
  </r>
  <r>
    <x v="59"/>
    <s v="conventional_curtailment_fico_718"/>
    <x v="758"/>
    <n v="1"/>
    <n v="1"/>
    <n v="560"/>
    <n v="840"/>
  </r>
  <r>
    <x v="59"/>
    <s v="conventional_curtailment_fico_719"/>
    <x v="759"/>
    <n v="1"/>
    <n v="1"/>
    <n v="560"/>
    <n v="840"/>
  </r>
  <r>
    <x v="59"/>
    <s v="conventional_curtailment_fico_720"/>
    <x v="760"/>
    <n v="1"/>
    <n v="1"/>
    <n v="560"/>
    <n v="840"/>
  </r>
  <r>
    <x v="59"/>
    <s v="conventional_curtailment_fico_721"/>
    <x v="761"/>
    <n v="1"/>
    <n v="1"/>
    <n v="560"/>
    <n v="840"/>
  </r>
  <r>
    <x v="59"/>
    <s v="conventional_curtailment_fico_722"/>
    <x v="762"/>
    <n v="1"/>
    <n v="1"/>
    <n v="560"/>
    <n v="840"/>
  </r>
  <r>
    <x v="59"/>
    <s v="conventional_curtailment_fico_723"/>
    <x v="763"/>
    <n v="1"/>
    <n v="1"/>
    <n v="560"/>
    <n v="840"/>
  </r>
  <r>
    <x v="59"/>
    <s v="conventional_curtailment_fico_724"/>
    <x v="764"/>
    <n v="1"/>
    <n v="1"/>
    <n v="560"/>
    <n v="840"/>
  </r>
  <r>
    <x v="59"/>
    <s v="conventional_curtailment_fico_725"/>
    <x v="765"/>
    <n v="1"/>
    <n v="1"/>
    <n v="560"/>
    <n v="840"/>
  </r>
  <r>
    <x v="59"/>
    <s v="conventional_curtailment_fico_726"/>
    <x v="766"/>
    <n v="1"/>
    <n v="1"/>
    <n v="560"/>
    <n v="840"/>
  </r>
  <r>
    <x v="59"/>
    <s v="conventional_curtailment_fico_727"/>
    <x v="767"/>
    <n v="1"/>
    <n v="1"/>
    <n v="560"/>
    <n v="840"/>
  </r>
  <r>
    <x v="59"/>
    <s v="conventional_curtailment_fico_728"/>
    <x v="768"/>
    <n v="1"/>
    <n v="1"/>
    <n v="560"/>
    <n v="840"/>
  </r>
  <r>
    <x v="59"/>
    <s v="conventional_curtailment_fico_729"/>
    <x v="769"/>
    <n v="1"/>
    <n v="1"/>
    <n v="560"/>
    <n v="840"/>
  </r>
  <r>
    <x v="59"/>
    <s v="conventional_curtailment_fico_730"/>
    <x v="770"/>
    <n v="1"/>
    <n v="1"/>
    <n v="560"/>
    <n v="840"/>
  </r>
  <r>
    <x v="59"/>
    <s v="conventional_curtailment_fico_731"/>
    <x v="771"/>
    <n v="1"/>
    <n v="1"/>
    <n v="560"/>
    <n v="840"/>
  </r>
  <r>
    <x v="59"/>
    <s v="conventional_curtailment_fico_732"/>
    <x v="772"/>
    <n v="1"/>
    <n v="1"/>
    <n v="560"/>
    <n v="840"/>
  </r>
  <r>
    <x v="59"/>
    <s v="conventional_curtailment_fico_733"/>
    <x v="773"/>
    <n v="1"/>
    <n v="1"/>
    <n v="560"/>
    <n v="840"/>
  </r>
  <r>
    <x v="59"/>
    <s v="conventional_curtailment_fico_734"/>
    <x v="774"/>
    <n v="1"/>
    <n v="1"/>
    <n v="560"/>
    <n v="840"/>
  </r>
  <r>
    <x v="59"/>
    <s v="conventional_curtailment_fico_735"/>
    <x v="775"/>
    <n v="1"/>
    <n v="1"/>
    <n v="560"/>
    <n v="840"/>
  </r>
  <r>
    <x v="59"/>
    <s v="conventional_curtailment_fico_736"/>
    <x v="776"/>
    <n v="1"/>
    <n v="1"/>
    <n v="560"/>
    <n v="840"/>
  </r>
  <r>
    <x v="59"/>
    <s v="conventional_curtailment_fico_737"/>
    <x v="777"/>
    <n v="1"/>
    <n v="1"/>
    <n v="560"/>
    <n v="840"/>
  </r>
  <r>
    <x v="59"/>
    <s v="conventional_curtailment_fico_738"/>
    <x v="778"/>
    <n v="1"/>
    <n v="1"/>
    <n v="560"/>
    <n v="840"/>
  </r>
  <r>
    <x v="59"/>
    <s v="conventional_curtailment_fico_739"/>
    <x v="779"/>
    <n v="1"/>
    <n v="1"/>
    <n v="560"/>
    <n v="840"/>
  </r>
  <r>
    <x v="59"/>
    <s v="conventional_curtailment_fico_740"/>
    <x v="780"/>
    <n v="1"/>
    <n v="1"/>
    <n v="560"/>
    <n v="840"/>
  </r>
  <r>
    <x v="59"/>
    <s v="conventional_curtailment_fico_741"/>
    <x v="781"/>
    <n v="1"/>
    <n v="1"/>
    <n v="560"/>
    <n v="840"/>
  </r>
  <r>
    <x v="59"/>
    <s v="conventional_curtailment_fico_742"/>
    <x v="782"/>
    <n v="1"/>
    <n v="1"/>
    <n v="560"/>
    <n v="840"/>
  </r>
  <r>
    <x v="59"/>
    <s v="conventional_curtailment_fico_743"/>
    <x v="783"/>
    <n v="1"/>
    <n v="1"/>
    <n v="560"/>
    <n v="840"/>
  </r>
  <r>
    <x v="59"/>
    <s v="conventional_curtailment_fico_744"/>
    <x v="784"/>
    <n v="1"/>
    <n v="1"/>
    <n v="560"/>
    <n v="840"/>
  </r>
  <r>
    <x v="59"/>
    <s v="conventional_curtailment_fico_745"/>
    <x v="785"/>
    <n v="1"/>
    <n v="1"/>
    <n v="560"/>
    <n v="840"/>
  </r>
  <r>
    <x v="59"/>
    <s v="conventional_curtailment_fico_746"/>
    <x v="786"/>
    <n v="1"/>
    <n v="1"/>
    <n v="560"/>
    <n v="840"/>
  </r>
  <r>
    <x v="59"/>
    <s v="conventional_curtailment_fico_747"/>
    <x v="787"/>
    <n v="1"/>
    <n v="1"/>
    <n v="560"/>
    <n v="840"/>
  </r>
  <r>
    <x v="59"/>
    <s v="conventional_curtailment_fico_748"/>
    <x v="788"/>
    <n v="1"/>
    <n v="1"/>
    <n v="560"/>
    <n v="840"/>
  </r>
  <r>
    <x v="59"/>
    <s v="conventional_curtailment_fico_749"/>
    <x v="789"/>
    <n v="1"/>
    <n v="1"/>
    <n v="560"/>
    <n v="840"/>
  </r>
  <r>
    <x v="59"/>
    <s v="conventional_curtailment_fico_750"/>
    <x v="790"/>
    <n v="1"/>
    <n v="1"/>
    <n v="560"/>
    <n v="840"/>
  </r>
  <r>
    <x v="59"/>
    <s v="conventional_curtailment_fico_751"/>
    <x v="791"/>
    <n v="1"/>
    <n v="1"/>
    <n v="560"/>
    <n v="840"/>
  </r>
  <r>
    <x v="59"/>
    <s v="conventional_curtailment_fico_752"/>
    <x v="792"/>
    <n v="1"/>
    <n v="1"/>
    <n v="560"/>
    <n v="840"/>
  </r>
  <r>
    <x v="59"/>
    <s v="conventional_curtailment_fico_753"/>
    <x v="793"/>
    <n v="1"/>
    <n v="1"/>
    <n v="560"/>
    <n v="840"/>
  </r>
  <r>
    <x v="59"/>
    <s v="conventional_curtailment_fico_754"/>
    <x v="794"/>
    <n v="1"/>
    <n v="1"/>
    <n v="560"/>
    <n v="840"/>
  </r>
  <r>
    <x v="59"/>
    <s v="conventional_curtailment_fico_755"/>
    <x v="795"/>
    <n v="1"/>
    <n v="1"/>
    <n v="560"/>
    <n v="840"/>
  </r>
  <r>
    <x v="59"/>
    <s v="conventional_curtailment_fico_756"/>
    <x v="796"/>
    <n v="1"/>
    <n v="1"/>
    <n v="560"/>
    <n v="840"/>
  </r>
  <r>
    <x v="59"/>
    <s v="conventional_curtailment_fico_757"/>
    <x v="797"/>
    <n v="1"/>
    <n v="1"/>
    <n v="560"/>
    <n v="840"/>
  </r>
  <r>
    <x v="59"/>
    <s v="conventional_curtailment_fico_758"/>
    <x v="798"/>
    <n v="1"/>
    <n v="1"/>
    <n v="560"/>
    <n v="840"/>
  </r>
  <r>
    <x v="59"/>
    <s v="conventional_curtailment_fico_759"/>
    <x v="799"/>
    <n v="1"/>
    <n v="1"/>
    <n v="560"/>
    <n v="840"/>
  </r>
  <r>
    <x v="59"/>
    <s v="conventional_curtailment_fico_760"/>
    <x v="800"/>
    <n v="1"/>
    <n v="1"/>
    <n v="560"/>
    <n v="840"/>
  </r>
  <r>
    <x v="59"/>
    <s v="conventional_curtailment_fico_761"/>
    <x v="801"/>
    <n v="1"/>
    <n v="1"/>
    <n v="560"/>
    <n v="840"/>
  </r>
  <r>
    <x v="59"/>
    <s v="conventional_curtailment_fico_762"/>
    <x v="802"/>
    <n v="1"/>
    <n v="1"/>
    <n v="560"/>
    <n v="840"/>
  </r>
  <r>
    <x v="59"/>
    <s v="conventional_curtailment_fico_763"/>
    <x v="803"/>
    <n v="1"/>
    <n v="1"/>
    <n v="560"/>
    <n v="840"/>
  </r>
  <r>
    <x v="59"/>
    <s v="conventional_curtailment_fico_764"/>
    <x v="804"/>
    <n v="1"/>
    <n v="1"/>
    <n v="560"/>
    <n v="840"/>
  </r>
  <r>
    <x v="59"/>
    <s v="conventional_curtailment_fico_765"/>
    <x v="805"/>
    <n v="1"/>
    <n v="1"/>
    <n v="560"/>
    <n v="840"/>
  </r>
  <r>
    <x v="59"/>
    <s v="conventional_curtailment_fico_766"/>
    <x v="806"/>
    <n v="1"/>
    <n v="1"/>
    <n v="560"/>
    <n v="840"/>
  </r>
  <r>
    <x v="59"/>
    <s v="conventional_curtailment_fico_767"/>
    <x v="807"/>
    <n v="1"/>
    <n v="1"/>
    <n v="560"/>
    <n v="840"/>
  </r>
  <r>
    <x v="59"/>
    <s v="conventional_curtailment_fico_768"/>
    <x v="808"/>
    <n v="1"/>
    <n v="1"/>
    <n v="560"/>
    <n v="840"/>
  </r>
  <r>
    <x v="59"/>
    <s v="conventional_curtailment_fico_769"/>
    <x v="809"/>
    <n v="1"/>
    <n v="1"/>
    <n v="560"/>
    <n v="840"/>
  </r>
  <r>
    <x v="59"/>
    <s v="conventional_curtailment_fico_770"/>
    <x v="810"/>
    <n v="1"/>
    <n v="1"/>
    <n v="560"/>
    <n v="840"/>
  </r>
  <r>
    <x v="59"/>
    <s v="conventional_curtailment_fico_771"/>
    <x v="811"/>
    <n v="1"/>
    <n v="1"/>
    <n v="560"/>
    <n v="840"/>
  </r>
  <r>
    <x v="59"/>
    <s v="conventional_curtailment_fico_772"/>
    <x v="812"/>
    <n v="1"/>
    <n v="1"/>
    <n v="560"/>
    <n v="840"/>
  </r>
  <r>
    <x v="59"/>
    <s v="conventional_curtailment_fico_773"/>
    <x v="813"/>
    <n v="1"/>
    <n v="1"/>
    <n v="560"/>
    <n v="840"/>
  </r>
  <r>
    <x v="59"/>
    <s v="conventional_curtailment_fico_774"/>
    <x v="814"/>
    <n v="1"/>
    <n v="1"/>
    <n v="560"/>
    <n v="840"/>
  </r>
  <r>
    <x v="59"/>
    <s v="conventional_curtailment_fico_775"/>
    <x v="815"/>
    <n v="1"/>
    <n v="1"/>
    <n v="560"/>
    <n v="840"/>
  </r>
  <r>
    <x v="59"/>
    <s v="conventional_curtailment_fico_776"/>
    <x v="816"/>
    <n v="1"/>
    <n v="1"/>
    <n v="560"/>
    <n v="840"/>
  </r>
  <r>
    <x v="59"/>
    <s v="conventional_curtailment_fico_777"/>
    <x v="817"/>
    <n v="1"/>
    <n v="1"/>
    <n v="560"/>
    <n v="840"/>
  </r>
  <r>
    <x v="59"/>
    <s v="conventional_curtailment_fico_778"/>
    <x v="818"/>
    <n v="1"/>
    <n v="1"/>
    <n v="560"/>
    <n v="840"/>
  </r>
  <r>
    <x v="59"/>
    <s v="conventional_curtailment_fico_779"/>
    <x v="819"/>
    <n v="1"/>
    <n v="1"/>
    <n v="560"/>
    <n v="840"/>
  </r>
  <r>
    <x v="59"/>
    <s v="conventional_curtailment_fico_780"/>
    <x v="820"/>
    <n v="1"/>
    <n v="1"/>
    <n v="560"/>
    <n v="840"/>
  </r>
  <r>
    <x v="59"/>
    <s v="conventional_curtailment_fico_781"/>
    <x v="821"/>
    <n v="1"/>
    <n v="1"/>
    <n v="560"/>
    <n v="840"/>
  </r>
  <r>
    <x v="59"/>
    <s v="conventional_curtailment_fico_782"/>
    <x v="822"/>
    <n v="1"/>
    <n v="1"/>
    <n v="560"/>
    <n v="840"/>
  </r>
  <r>
    <x v="59"/>
    <s v="conventional_curtailment_fico_783"/>
    <x v="823"/>
    <n v="1"/>
    <n v="1"/>
    <n v="560"/>
    <n v="840"/>
  </r>
  <r>
    <x v="59"/>
    <s v="conventional_curtailment_fico_784"/>
    <x v="824"/>
    <n v="1"/>
    <n v="1"/>
    <n v="560"/>
    <n v="840"/>
  </r>
  <r>
    <x v="59"/>
    <s v="conventional_curtailment_fico_785"/>
    <x v="825"/>
    <n v="1"/>
    <n v="1"/>
    <n v="560"/>
    <n v="840"/>
  </r>
  <r>
    <x v="59"/>
    <s v="conventional_curtailment_fico_786"/>
    <x v="826"/>
    <n v="1"/>
    <n v="1"/>
    <n v="560"/>
    <n v="840"/>
  </r>
  <r>
    <x v="59"/>
    <s v="conventional_curtailment_fico_787"/>
    <x v="827"/>
    <n v="1"/>
    <n v="1"/>
    <n v="560"/>
    <n v="840"/>
  </r>
  <r>
    <x v="59"/>
    <s v="conventional_curtailment_fico_788"/>
    <x v="828"/>
    <n v="1"/>
    <n v="1"/>
    <n v="560"/>
    <n v="840"/>
  </r>
  <r>
    <x v="59"/>
    <s v="conventional_curtailment_fico_789"/>
    <x v="829"/>
    <n v="1"/>
    <n v="1"/>
    <n v="560"/>
    <n v="840"/>
  </r>
  <r>
    <x v="59"/>
    <s v="conventional_curtailment_fico_790"/>
    <x v="830"/>
    <n v="1"/>
    <n v="1"/>
    <n v="560"/>
    <n v="840"/>
  </r>
  <r>
    <x v="59"/>
    <s v="conventional_curtailment_fico_791"/>
    <x v="831"/>
    <n v="1"/>
    <n v="1"/>
    <n v="560"/>
    <n v="840"/>
  </r>
  <r>
    <x v="59"/>
    <s v="conventional_curtailment_fico_792"/>
    <x v="832"/>
    <n v="1"/>
    <n v="1"/>
    <n v="560"/>
    <n v="840"/>
  </r>
  <r>
    <x v="59"/>
    <s v="conventional_curtailment_fico_793"/>
    <x v="833"/>
    <n v="1"/>
    <n v="1"/>
    <n v="560"/>
    <n v="840"/>
  </r>
  <r>
    <x v="59"/>
    <s v="conventional_curtailment_fico_794"/>
    <x v="834"/>
    <n v="1"/>
    <n v="1"/>
    <n v="560"/>
    <n v="840"/>
  </r>
  <r>
    <x v="59"/>
    <s v="conventional_curtailment_fico_795"/>
    <x v="835"/>
    <n v="1"/>
    <n v="1"/>
    <n v="560"/>
    <n v="840"/>
  </r>
  <r>
    <x v="59"/>
    <s v="conventional_curtailment_fico_796"/>
    <x v="836"/>
    <n v="1"/>
    <n v="1"/>
    <n v="560"/>
    <n v="840"/>
  </r>
  <r>
    <x v="59"/>
    <s v="conventional_curtailment_fico_797"/>
    <x v="837"/>
    <n v="1"/>
    <n v="1"/>
    <n v="560"/>
    <n v="840"/>
  </r>
  <r>
    <x v="59"/>
    <s v="conventional_curtailment_fico_798"/>
    <x v="838"/>
    <n v="1"/>
    <n v="1"/>
    <n v="560"/>
    <n v="840"/>
  </r>
  <r>
    <x v="59"/>
    <s v="conventional_curtailment_fico_799"/>
    <x v="839"/>
    <n v="1"/>
    <n v="1"/>
    <n v="560"/>
    <n v="840"/>
  </r>
  <r>
    <x v="59"/>
    <s v="conventional_curtailment_fico_800"/>
    <x v="840"/>
    <n v="1"/>
    <n v="1"/>
    <n v="560"/>
    <n v="840"/>
  </r>
  <r>
    <x v="59"/>
    <s v="conventional_curtailment_fico_801"/>
    <x v="841"/>
    <n v="1"/>
    <n v="1"/>
    <n v="560"/>
    <n v="840"/>
  </r>
  <r>
    <x v="59"/>
    <s v="conventional_curtailment_fico_802"/>
    <x v="842"/>
    <n v="1"/>
    <n v="1"/>
    <n v="560"/>
    <n v="840"/>
  </r>
  <r>
    <x v="59"/>
    <s v="conventional_curtailment_fico_803"/>
    <x v="843"/>
    <n v="1"/>
    <n v="1"/>
    <n v="560"/>
    <n v="840"/>
  </r>
  <r>
    <x v="59"/>
    <s v="conventional_curtailment_fico_804"/>
    <x v="844"/>
    <n v="1"/>
    <n v="1"/>
    <n v="560"/>
    <n v="840"/>
  </r>
  <r>
    <x v="59"/>
    <s v="conventional_curtailment_fico_805"/>
    <x v="845"/>
    <n v="1"/>
    <n v="1"/>
    <n v="560"/>
    <n v="840"/>
  </r>
  <r>
    <x v="59"/>
    <s v="conventional_curtailment_fico_806"/>
    <x v="846"/>
    <n v="1"/>
    <n v="1"/>
    <n v="560"/>
    <n v="840"/>
  </r>
  <r>
    <x v="59"/>
    <s v="conventional_curtailment_fico_807"/>
    <x v="847"/>
    <n v="1"/>
    <n v="1"/>
    <n v="560"/>
    <n v="840"/>
  </r>
  <r>
    <x v="59"/>
    <s v="conventional_curtailment_fico_808"/>
    <x v="848"/>
    <n v="1"/>
    <n v="1"/>
    <n v="560"/>
    <n v="840"/>
  </r>
  <r>
    <x v="59"/>
    <s v="conventional_curtailment_fico_809"/>
    <x v="849"/>
    <n v="1"/>
    <n v="1"/>
    <n v="560"/>
    <n v="840"/>
  </r>
  <r>
    <x v="59"/>
    <s v="conventional_curtailment_fico_810"/>
    <x v="850"/>
    <n v="1"/>
    <n v="1"/>
    <n v="560"/>
    <n v="840"/>
  </r>
  <r>
    <x v="59"/>
    <s v="conventional_curtailment_fico_811"/>
    <x v="851"/>
    <n v="1"/>
    <n v="1"/>
    <n v="560"/>
    <n v="840"/>
  </r>
  <r>
    <x v="59"/>
    <s v="conventional_curtailment_fico_812"/>
    <x v="852"/>
    <n v="1"/>
    <n v="1"/>
    <n v="560"/>
    <n v="840"/>
  </r>
  <r>
    <x v="59"/>
    <s v="conventional_curtailment_fico_813"/>
    <x v="853"/>
    <n v="1"/>
    <n v="1"/>
    <n v="560"/>
    <n v="840"/>
  </r>
  <r>
    <x v="59"/>
    <s v="conventional_curtailment_fico_814"/>
    <x v="854"/>
    <n v="1"/>
    <n v="1"/>
    <n v="560"/>
    <n v="840"/>
  </r>
  <r>
    <x v="59"/>
    <s v="conventional_curtailment_fico_815"/>
    <x v="855"/>
    <n v="1"/>
    <n v="1"/>
    <n v="560"/>
    <n v="840"/>
  </r>
  <r>
    <x v="59"/>
    <s v="conventional_curtailment_fico_816"/>
    <x v="856"/>
    <n v="1"/>
    <n v="1"/>
    <n v="560"/>
    <n v="840"/>
  </r>
  <r>
    <x v="59"/>
    <s v="conventional_curtailment_fico_817"/>
    <x v="857"/>
    <n v="1"/>
    <n v="1"/>
    <n v="560"/>
    <n v="840"/>
  </r>
  <r>
    <x v="59"/>
    <s v="conventional_curtailment_fico_818"/>
    <x v="858"/>
    <n v="1"/>
    <n v="1"/>
    <n v="560"/>
    <n v="840"/>
  </r>
  <r>
    <x v="59"/>
    <s v="conventional_curtailment_fico_819"/>
    <x v="859"/>
    <n v="1"/>
    <n v="1"/>
    <n v="560"/>
    <n v="840"/>
  </r>
  <r>
    <x v="59"/>
    <s v="conventional_curtailment_fico_820"/>
    <x v="860"/>
    <n v="1"/>
    <n v="1"/>
    <n v="560"/>
    <n v="840"/>
  </r>
  <r>
    <x v="59"/>
    <s v="conventional_curtailment_fico_821"/>
    <x v="861"/>
    <n v="1"/>
    <n v="1"/>
    <n v="560"/>
    <n v="840"/>
  </r>
  <r>
    <x v="59"/>
    <s v="conventional_curtailment_fico_822"/>
    <x v="862"/>
    <n v="1"/>
    <n v="1"/>
    <n v="560"/>
    <n v="840"/>
  </r>
  <r>
    <x v="59"/>
    <s v="conventional_curtailment_fico_823"/>
    <x v="863"/>
    <n v="1"/>
    <n v="1"/>
    <n v="560"/>
    <n v="840"/>
  </r>
  <r>
    <x v="59"/>
    <s v="conventional_curtailment_fico_824"/>
    <x v="864"/>
    <n v="1"/>
    <n v="1"/>
    <n v="560"/>
    <n v="840"/>
  </r>
  <r>
    <x v="59"/>
    <s v="conventional_curtailment_fico_825"/>
    <x v="865"/>
    <n v="1"/>
    <n v="1"/>
    <n v="560"/>
    <n v="840"/>
  </r>
  <r>
    <x v="59"/>
    <s v="conventional_curtailment_fico_826"/>
    <x v="866"/>
    <n v="1"/>
    <n v="1"/>
    <n v="560"/>
    <n v="840"/>
  </r>
  <r>
    <x v="59"/>
    <s v="conventional_curtailment_fico_827"/>
    <x v="867"/>
    <n v="1"/>
    <n v="1"/>
    <n v="560"/>
    <n v="840"/>
  </r>
  <r>
    <x v="59"/>
    <s v="conventional_curtailment_fico_828"/>
    <x v="868"/>
    <n v="1"/>
    <n v="1"/>
    <n v="560"/>
    <n v="840"/>
  </r>
  <r>
    <x v="59"/>
    <s v="conventional_curtailment_fico_829"/>
    <x v="869"/>
    <n v="1"/>
    <n v="1"/>
    <n v="560"/>
    <n v="840"/>
  </r>
  <r>
    <x v="59"/>
    <s v="conventional_curtailment_fico_830"/>
    <x v="870"/>
    <n v="1"/>
    <n v="1"/>
    <n v="560"/>
    <n v="840"/>
  </r>
  <r>
    <x v="59"/>
    <s v="conventional_curtailment_fico_831"/>
    <x v="871"/>
    <n v="1"/>
    <n v="1"/>
    <n v="560"/>
    <n v="840"/>
  </r>
  <r>
    <x v="59"/>
    <s v="conventional_curtailment_fico_832"/>
    <x v="872"/>
    <n v="1"/>
    <n v="1"/>
    <n v="560"/>
    <n v="840"/>
  </r>
  <r>
    <x v="59"/>
    <s v="conventional_curtailment_fico_833"/>
    <x v="873"/>
    <n v="1"/>
    <n v="1"/>
    <n v="560"/>
    <n v="840"/>
  </r>
  <r>
    <x v="59"/>
    <s v="conventional_curtailment_fico_834"/>
    <x v="874"/>
    <n v="1"/>
    <n v="1"/>
    <n v="560"/>
    <n v="840"/>
  </r>
  <r>
    <x v="59"/>
    <s v="conventional_curtailment_fico_835"/>
    <x v="875"/>
    <n v="1"/>
    <n v="1"/>
    <n v="560"/>
    <n v="840"/>
  </r>
  <r>
    <x v="59"/>
    <s v="conventional_curtailment_fico_836"/>
    <x v="876"/>
    <n v="1"/>
    <n v="1"/>
    <n v="560"/>
    <n v="840"/>
  </r>
  <r>
    <x v="59"/>
    <s v="conventional_curtailment_fico_837"/>
    <x v="877"/>
    <n v="1"/>
    <n v="1"/>
    <n v="560"/>
    <n v="840"/>
  </r>
  <r>
    <x v="59"/>
    <s v="conventional_curtailment_fico_838"/>
    <x v="878"/>
    <n v="1"/>
    <n v="1"/>
    <n v="560"/>
    <n v="840"/>
  </r>
  <r>
    <x v="59"/>
    <s v="conventional_curtailment_fico_839"/>
    <x v="879"/>
    <n v="1"/>
    <n v="1"/>
    <n v="560"/>
    <n v="840"/>
  </r>
  <r>
    <x v="59"/>
    <s v="conventional_curtailment_fico_840"/>
    <x v="880"/>
    <n v="1"/>
    <n v="1"/>
    <n v="560"/>
    <n v="840"/>
  </r>
  <r>
    <x v="60"/>
    <s v="conventional_cashout_cai_-40"/>
    <x v="0"/>
    <n v="1"/>
    <n v="1"/>
    <n v="-40"/>
    <n v="940"/>
  </r>
  <r>
    <x v="60"/>
    <s v="conventional_cashout_cai_-39"/>
    <x v="1"/>
    <n v="1"/>
    <n v="1"/>
    <n v="-40"/>
    <n v="940"/>
  </r>
  <r>
    <x v="60"/>
    <s v="conventional_cashout_cai_-38"/>
    <x v="2"/>
    <n v="1"/>
    <n v="1"/>
    <n v="-40"/>
    <n v="940"/>
  </r>
  <r>
    <x v="60"/>
    <s v="conventional_cashout_cai_-37"/>
    <x v="3"/>
    <n v="1"/>
    <n v="1"/>
    <n v="-40"/>
    <n v="940"/>
  </r>
  <r>
    <x v="60"/>
    <s v="conventional_cashout_cai_-36"/>
    <x v="4"/>
    <n v="1"/>
    <n v="1"/>
    <n v="-40"/>
    <n v="940"/>
  </r>
  <r>
    <x v="60"/>
    <s v="conventional_cashout_cai_-35"/>
    <x v="5"/>
    <n v="1"/>
    <n v="1"/>
    <n v="-40"/>
    <n v="940"/>
  </r>
  <r>
    <x v="60"/>
    <s v="conventional_cashout_cai_-34"/>
    <x v="6"/>
    <n v="1"/>
    <n v="1"/>
    <n v="-40"/>
    <n v="940"/>
  </r>
  <r>
    <x v="60"/>
    <s v="conventional_cashout_cai_-33"/>
    <x v="7"/>
    <n v="1"/>
    <n v="1"/>
    <n v="-40"/>
    <n v="940"/>
  </r>
  <r>
    <x v="60"/>
    <s v="conventional_cashout_cai_-32"/>
    <x v="8"/>
    <n v="1"/>
    <n v="1"/>
    <n v="-40"/>
    <n v="940"/>
  </r>
  <r>
    <x v="60"/>
    <s v="conventional_cashout_cai_-31"/>
    <x v="9"/>
    <n v="1"/>
    <n v="1"/>
    <n v="-40"/>
    <n v="940"/>
  </r>
  <r>
    <x v="60"/>
    <s v="conventional_cashout_cai_-30"/>
    <x v="10"/>
    <n v="1"/>
    <n v="1"/>
    <n v="-40"/>
    <n v="940"/>
  </r>
  <r>
    <x v="60"/>
    <s v="conventional_cashout_cai_-29"/>
    <x v="11"/>
    <n v="1"/>
    <n v="1"/>
    <n v="-40"/>
    <n v="940"/>
  </r>
  <r>
    <x v="60"/>
    <s v="conventional_cashout_cai_-28"/>
    <x v="12"/>
    <n v="1"/>
    <n v="1"/>
    <n v="-40"/>
    <n v="940"/>
  </r>
  <r>
    <x v="60"/>
    <s v="conventional_cashout_cai_-27"/>
    <x v="13"/>
    <n v="1"/>
    <n v="1"/>
    <n v="-40"/>
    <n v="940"/>
  </r>
  <r>
    <x v="60"/>
    <s v="conventional_cashout_cai_-26"/>
    <x v="14"/>
    <n v="1"/>
    <n v="1"/>
    <n v="-40"/>
    <n v="940"/>
  </r>
  <r>
    <x v="60"/>
    <s v="conventional_cashout_cai_-25"/>
    <x v="15"/>
    <n v="1"/>
    <n v="1"/>
    <n v="-40"/>
    <n v="940"/>
  </r>
  <r>
    <x v="60"/>
    <s v="conventional_cashout_cai_-24"/>
    <x v="16"/>
    <n v="1"/>
    <n v="1"/>
    <n v="-40"/>
    <n v="940"/>
  </r>
  <r>
    <x v="60"/>
    <s v="conventional_cashout_cai_-23"/>
    <x v="17"/>
    <n v="1"/>
    <n v="1"/>
    <n v="-40"/>
    <n v="940"/>
  </r>
  <r>
    <x v="60"/>
    <s v="conventional_cashout_cai_-22"/>
    <x v="18"/>
    <n v="1"/>
    <n v="1"/>
    <n v="-40"/>
    <n v="940"/>
  </r>
  <r>
    <x v="60"/>
    <s v="conventional_cashout_cai_-21"/>
    <x v="19"/>
    <n v="1"/>
    <n v="1"/>
    <n v="-40"/>
    <n v="940"/>
  </r>
  <r>
    <x v="60"/>
    <s v="conventional_cashout_cai_-20"/>
    <x v="20"/>
    <n v="1"/>
    <n v="1"/>
    <n v="-40"/>
    <n v="940"/>
  </r>
  <r>
    <x v="60"/>
    <s v="conventional_cashout_cai_-19"/>
    <x v="21"/>
    <n v="1"/>
    <n v="1"/>
    <n v="-40"/>
    <n v="940"/>
  </r>
  <r>
    <x v="60"/>
    <s v="conventional_cashout_cai_-18"/>
    <x v="22"/>
    <n v="1"/>
    <n v="1"/>
    <n v="-40"/>
    <n v="940"/>
  </r>
  <r>
    <x v="60"/>
    <s v="conventional_cashout_cai_-17"/>
    <x v="23"/>
    <n v="1"/>
    <n v="1"/>
    <n v="-40"/>
    <n v="940"/>
  </r>
  <r>
    <x v="60"/>
    <s v="conventional_cashout_cai_-16"/>
    <x v="24"/>
    <n v="1"/>
    <n v="1"/>
    <n v="-40"/>
    <n v="940"/>
  </r>
  <r>
    <x v="60"/>
    <s v="conventional_cashout_cai_-15"/>
    <x v="25"/>
    <n v="1"/>
    <n v="1"/>
    <n v="-40"/>
    <n v="940"/>
  </r>
  <r>
    <x v="60"/>
    <s v="conventional_cashout_cai_-14"/>
    <x v="26"/>
    <n v="1"/>
    <n v="1"/>
    <n v="-40"/>
    <n v="940"/>
  </r>
  <r>
    <x v="60"/>
    <s v="conventional_cashout_cai_-13"/>
    <x v="27"/>
    <n v="1"/>
    <n v="1"/>
    <n v="-40"/>
    <n v="940"/>
  </r>
  <r>
    <x v="60"/>
    <s v="conventional_cashout_cai_-12"/>
    <x v="28"/>
    <n v="1"/>
    <n v="1"/>
    <n v="-40"/>
    <n v="940"/>
  </r>
  <r>
    <x v="60"/>
    <s v="conventional_cashout_cai_-11"/>
    <x v="29"/>
    <n v="1"/>
    <n v="1"/>
    <n v="-40"/>
    <n v="940"/>
  </r>
  <r>
    <x v="60"/>
    <s v="conventional_cashout_cai_-10"/>
    <x v="30"/>
    <n v="1"/>
    <n v="1"/>
    <n v="-40"/>
    <n v="940"/>
  </r>
  <r>
    <x v="60"/>
    <s v="conventional_cashout_cai_-9"/>
    <x v="31"/>
    <n v="1"/>
    <n v="1"/>
    <n v="-40"/>
    <n v="940"/>
  </r>
  <r>
    <x v="60"/>
    <s v="conventional_cashout_cai_-8"/>
    <x v="32"/>
    <n v="1"/>
    <n v="1"/>
    <n v="-40"/>
    <n v="940"/>
  </r>
  <r>
    <x v="60"/>
    <s v="conventional_cashout_cai_-7"/>
    <x v="33"/>
    <n v="1"/>
    <n v="1"/>
    <n v="-40"/>
    <n v="940"/>
  </r>
  <r>
    <x v="60"/>
    <s v="conventional_cashout_cai_-6"/>
    <x v="34"/>
    <n v="1"/>
    <n v="1"/>
    <n v="-40"/>
    <n v="940"/>
  </r>
  <r>
    <x v="60"/>
    <s v="conventional_cashout_cai_-5"/>
    <x v="35"/>
    <n v="1"/>
    <n v="1"/>
    <n v="-40"/>
    <n v="940"/>
  </r>
  <r>
    <x v="60"/>
    <s v="conventional_cashout_cai_-4"/>
    <x v="36"/>
    <n v="1"/>
    <n v="1"/>
    <n v="-40"/>
    <n v="940"/>
  </r>
  <r>
    <x v="60"/>
    <s v="conventional_cashout_cai_-3"/>
    <x v="37"/>
    <n v="1"/>
    <n v="1"/>
    <n v="-40"/>
    <n v="940"/>
  </r>
  <r>
    <x v="60"/>
    <s v="conventional_cashout_cai_-2"/>
    <x v="38"/>
    <n v="1"/>
    <n v="1"/>
    <n v="-40"/>
    <n v="940"/>
  </r>
  <r>
    <x v="60"/>
    <s v="conventional_cashout_cai_-1"/>
    <x v="39"/>
    <n v="1"/>
    <n v="1"/>
    <n v="-40"/>
    <n v="940"/>
  </r>
  <r>
    <x v="60"/>
    <s v="conventional_cashout_cai_0"/>
    <x v="40"/>
    <n v="1"/>
    <n v="1"/>
    <n v="-40"/>
    <n v="940"/>
  </r>
  <r>
    <x v="60"/>
    <s v="conventional_cashout_cai_1"/>
    <x v="41"/>
    <n v="1"/>
    <n v="1"/>
    <n v="-40"/>
    <n v="940"/>
  </r>
  <r>
    <x v="60"/>
    <s v="conventional_cashout_cai_2"/>
    <x v="42"/>
    <n v="1"/>
    <n v="1"/>
    <n v="-40"/>
    <n v="940"/>
  </r>
  <r>
    <x v="60"/>
    <s v="conventional_cashout_cai_3"/>
    <x v="43"/>
    <n v="1"/>
    <n v="1"/>
    <n v="-40"/>
    <n v="940"/>
  </r>
  <r>
    <x v="60"/>
    <s v="conventional_cashout_cai_4"/>
    <x v="44"/>
    <n v="1"/>
    <n v="1"/>
    <n v="-40"/>
    <n v="940"/>
  </r>
  <r>
    <x v="60"/>
    <s v="conventional_cashout_cai_5"/>
    <x v="45"/>
    <n v="1"/>
    <n v="1"/>
    <n v="-40"/>
    <n v="940"/>
  </r>
  <r>
    <x v="60"/>
    <s v="conventional_cashout_cai_6"/>
    <x v="46"/>
    <n v="1"/>
    <n v="1"/>
    <n v="-40"/>
    <n v="940"/>
  </r>
  <r>
    <x v="60"/>
    <s v="conventional_cashout_cai_7"/>
    <x v="47"/>
    <n v="1"/>
    <n v="1"/>
    <n v="-40"/>
    <n v="940"/>
  </r>
  <r>
    <x v="60"/>
    <s v="conventional_cashout_cai_8"/>
    <x v="48"/>
    <n v="1"/>
    <n v="1"/>
    <n v="-40"/>
    <n v="940"/>
  </r>
  <r>
    <x v="60"/>
    <s v="conventional_cashout_cai_9"/>
    <x v="49"/>
    <n v="1"/>
    <n v="1"/>
    <n v="-40"/>
    <n v="940"/>
  </r>
  <r>
    <x v="60"/>
    <s v="conventional_cashout_cai_10"/>
    <x v="50"/>
    <n v="1"/>
    <n v="1"/>
    <n v="-40"/>
    <n v="940"/>
  </r>
  <r>
    <x v="60"/>
    <s v="conventional_cashout_cai_11"/>
    <x v="51"/>
    <n v="1"/>
    <n v="1"/>
    <n v="-40"/>
    <n v="940"/>
  </r>
  <r>
    <x v="60"/>
    <s v="conventional_cashout_cai_12"/>
    <x v="52"/>
    <n v="1"/>
    <n v="1"/>
    <n v="-40"/>
    <n v="940"/>
  </r>
  <r>
    <x v="60"/>
    <s v="conventional_cashout_cai_13"/>
    <x v="53"/>
    <n v="1"/>
    <n v="1"/>
    <n v="-40"/>
    <n v="940"/>
  </r>
  <r>
    <x v="60"/>
    <s v="conventional_cashout_cai_14"/>
    <x v="54"/>
    <n v="1"/>
    <n v="1"/>
    <n v="-40"/>
    <n v="940"/>
  </r>
  <r>
    <x v="60"/>
    <s v="conventional_cashout_cai_15"/>
    <x v="55"/>
    <n v="1"/>
    <n v="1"/>
    <n v="-40"/>
    <n v="940"/>
  </r>
  <r>
    <x v="60"/>
    <s v="conventional_cashout_cai_16"/>
    <x v="56"/>
    <n v="1"/>
    <n v="1"/>
    <n v="-40"/>
    <n v="940"/>
  </r>
  <r>
    <x v="60"/>
    <s v="conventional_cashout_cai_17"/>
    <x v="57"/>
    <n v="1"/>
    <n v="1"/>
    <n v="-40"/>
    <n v="940"/>
  </r>
  <r>
    <x v="60"/>
    <s v="conventional_cashout_cai_18"/>
    <x v="58"/>
    <n v="1"/>
    <n v="1"/>
    <n v="-40"/>
    <n v="940"/>
  </r>
  <r>
    <x v="60"/>
    <s v="conventional_cashout_cai_19"/>
    <x v="59"/>
    <n v="1"/>
    <n v="1"/>
    <n v="-40"/>
    <n v="940"/>
  </r>
  <r>
    <x v="60"/>
    <s v="conventional_cashout_cai_20"/>
    <x v="60"/>
    <n v="1"/>
    <n v="1"/>
    <n v="-40"/>
    <n v="940"/>
  </r>
  <r>
    <x v="60"/>
    <s v="conventional_cashout_cai_21"/>
    <x v="61"/>
    <n v="1"/>
    <n v="1"/>
    <n v="-40"/>
    <n v="940"/>
  </r>
  <r>
    <x v="60"/>
    <s v="conventional_cashout_cai_22"/>
    <x v="62"/>
    <n v="1"/>
    <n v="1"/>
    <n v="-40"/>
    <n v="940"/>
  </r>
  <r>
    <x v="60"/>
    <s v="conventional_cashout_cai_23"/>
    <x v="63"/>
    <n v="1"/>
    <n v="1"/>
    <n v="-40"/>
    <n v="940"/>
  </r>
  <r>
    <x v="60"/>
    <s v="conventional_cashout_cai_24"/>
    <x v="64"/>
    <n v="1"/>
    <n v="1"/>
    <n v="-40"/>
    <n v="940"/>
  </r>
  <r>
    <x v="60"/>
    <s v="conventional_cashout_cai_25"/>
    <x v="65"/>
    <n v="1"/>
    <n v="1"/>
    <n v="-40"/>
    <n v="940"/>
  </r>
  <r>
    <x v="60"/>
    <s v="conventional_cashout_cai_26"/>
    <x v="66"/>
    <n v="1"/>
    <n v="1"/>
    <n v="-40"/>
    <n v="940"/>
  </r>
  <r>
    <x v="60"/>
    <s v="conventional_cashout_cai_27"/>
    <x v="67"/>
    <n v="1"/>
    <n v="1"/>
    <n v="-40"/>
    <n v="940"/>
  </r>
  <r>
    <x v="60"/>
    <s v="conventional_cashout_cai_28"/>
    <x v="68"/>
    <n v="1"/>
    <n v="1"/>
    <n v="-40"/>
    <n v="940"/>
  </r>
  <r>
    <x v="60"/>
    <s v="conventional_cashout_cai_29"/>
    <x v="69"/>
    <n v="1"/>
    <n v="1"/>
    <n v="-40"/>
    <n v="940"/>
  </r>
  <r>
    <x v="60"/>
    <s v="conventional_cashout_cai_30"/>
    <x v="70"/>
    <n v="1"/>
    <n v="1"/>
    <n v="-40"/>
    <n v="940"/>
  </r>
  <r>
    <x v="60"/>
    <s v="conventional_cashout_cai_31"/>
    <x v="71"/>
    <n v="1"/>
    <n v="1"/>
    <n v="-40"/>
    <n v="940"/>
  </r>
  <r>
    <x v="60"/>
    <s v="conventional_cashout_cai_32"/>
    <x v="72"/>
    <n v="1"/>
    <n v="1"/>
    <n v="-40"/>
    <n v="940"/>
  </r>
  <r>
    <x v="60"/>
    <s v="conventional_cashout_cai_33"/>
    <x v="73"/>
    <n v="1"/>
    <n v="1"/>
    <n v="-40"/>
    <n v="940"/>
  </r>
  <r>
    <x v="60"/>
    <s v="conventional_cashout_cai_34"/>
    <x v="74"/>
    <n v="1"/>
    <n v="1"/>
    <n v="-40"/>
    <n v="940"/>
  </r>
  <r>
    <x v="60"/>
    <s v="conventional_cashout_cai_35"/>
    <x v="75"/>
    <n v="1"/>
    <n v="1"/>
    <n v="-40"/>
    <n v="940"/>
  </r>
  <r>
    <x v="60"/>
    <s v="conventional_cashout_cai_36"/>
    <x v="76"/>
    <n v="1"/>
    <n v="1"/>
    <n v="-40"/>
    <n v="940"/>
  </r>
  <r>
    <x v="60"/>
    <s v="conventional_cashout_cai_37"/>
    <x v="77"/>
    <n v="1"/>
    <n v="1"/>
    <n v="-40"/>
    <n v="940"/>
  </r>
  <r>
    <x v="60"/>
    <s v="conventional_cashout_cai_38"/>
    <x v="78"/>
    <n v="1"/>
    <n v="1"/>
    <n v="-40"/>
    <n v="940"/>
  </r>
  <r>
    <x v="60"/>
    <s v="conventional_cashout_cai_39"/>
    <x v="79"/>
    <n v="1"/>
    <n v="1"/>
    <n v="-40"/>
    <n v="940"/>
  </r>
  <r>
    <x v="60"/>
    <s v="conventional_cashout_cai_40"/>
    <x v="80"/>
    <n v="1"/>
    <n v="1"/>
    <n v="-40"/>
    <n v="940"/>
  </r>
  <r>
    <x v="60"/>
    <s v="conventional_cashout_cai_41"/>
    <x v="81"/>
    <n v="1"/>
    <n v="1"/>
    <n v="-40"/>
    <n v="940"/>
  </r>
  <r>
    <x v="60"/>
    <s v="conventional_cashout_cai_42"/>
    <x v="82"/>
    <n v="1"/>
    <n v="1"/>
    <n v="-40"/>
    <n v="940"/>
  </r>
  <r>
    <x v="60"/>
    <s v="conventional_cashout_cai_43"/>
    <x v="83"/>
    <n v="1"/>
    <n v="1"/>
    <n v="-40"/>
    <n v="940"/>
  </r>
  <r>
    <x v="60"/>
    <s v="conventional_cashout_cai_44"/>
    <x v="84"/>
    <n v="1"/>
    <n v="1"/>
    <n v="-40"/>
    <n v="940"/>
  </r>
  <r>
    <x v="60"/>
    <s v="conventional_cashout_cai_45"/>
    <x v="85"/>
    <n v="1"/>
    <n v="1"/>
    <n v="-40"/>
    <n v="940"/>
  </r>
  <r>
    <x v="60"/>
    <s v="conventional_cashout_cai_46"/>
    <x v="86"/>
    <n v="1"/>
    <n v="1"/>
    <n v="-40"/>
    <n v="940"/>
  </r>
  <r>
    <x v="60"/>
    <s v="conventional_cashout_cai_47"/>
    <x v="87"/>
    <n v="1"/>
    <n v="1"/>
    <n v="-40"/>
    <n v="940"/>
  </r>
  <r>
    <x v="60"/>
    <s v="conventional_cashout_cai_48"/>
    <x v="88"/>
    <n v="1"/>
    <n v="1"/>
    <n v="-40"/>
    <n v="940"/>
  </r>
  <r>
    <x v="60"/>
    <s v="conventional_cashout_cai_49"/>
    <x v="89"/>
    <n v="1"/>
    <n v="1"/>
    <n v="-40"/>
    <n v="940"/>
  </r>
  <r>
    <x v="60"/>
    <s v="conventional_cashout_cai_50"/>
    <x v="90"/>
    <n v="1"/>
    <n v="1"/>
    <n v="-40"/>
    <n v="940"/>
  </r>
  <r>
    <x v="60"/>
    <s v="conventional_cashout_cai_51"/>
    <x v="91"/>
    <n v="1"/>
    <n v="1"/>
    <n v="-40"/>
    <n v="940"/>
  </r>
  <r>
    <x v="60"/>
    <s v="conventional_cashout_cai_52"/>
    <x v="92"/>
    <n v="1"/>
    <n v="1"/>
    <n v="-40"/>
    <n v="940"/>
  </r>
  <r>
    <x v="60"/>
    <s v="conventional_cashout_cai_53"/>
    <x v="93"/>
    <n v="1"/>
    <n v="1"/>
    <n v="-40"/>
    <n v="940"/>
  </r>
  <r>
    <x v="60"/>
    <s v="conventional_cashout_cai_54"/>
    <x v="94"/>
    <n v="1"/>
    <n v="1"/>
    <n v="-40"/>
    <n v="940"/>
  </r>
  <r>
    <x v="60"/>
    <s v="conventional_cashout_cai_55"/>
    <x v="95"/>
    <n v="1"/>
    <n v="1"/>
    <n v="-40"/>
    <n v="940"/>
  </r>
  <r>
    <x v="60"/>
    <s v="conventional_cashout_cai_56"/>
    <x v="96"/>
    <n v="1"/>
    <n v="1"/>
    <n v="-40"/>
    <n v="940"/>
  </r>
  <r>
    <x v="60"/>
    <s v="conventional_cashout_cai_57"/>
    <x v="97"/>
    <n v="1"/>
    <n v="1"/>
    <n v="-40"/>
    <n v="940"/>
  </r>
  <r>
    <x v="60"/>
    <s v="conventional_cashout_cai_58"/>
    <x v="98"/>
    <n v="1"/>
    <n v="1"/>
    <n v="-40"/>
    <n v="940"/>
  </r>
  <r>
    <x v="60"/>
    <s v="conventional_cashout_cai_59"/>
    <x v="99"/>
    <n v="1"/>
    <n v="1"/>
    <n v="-40"/>
    <n v="940"/>
  </r>
  <r>
    <x v="60"/>
    <s v="conventional_cashout_cai_60"/>
    <x v="100"/>
    <n v="1"/>
    <n v="1"/>
    <n v="-40"/>
    <n v="940"/>
  </r>
  <r>
    <x v="60"/>
    <s v="conventional_cashout_cai_61"/>
    <x v="101"/>
    <n v="1"/>
    <n v="1"/>
    <n v="-40"/>
    <n v="940"/>
  </r>
  <r>
    <x v="60"/>
    <s v="conventional_cashout_cai_62"/>
    <x v="102"/>
    <n v="1"/>
    <n v="1"/>
    <n v="-40"/>
    <n v="940"/>
  </r>
  <r>
    <x v="60"/>
    <s v="conventional_cashout_cai_63"/>
    <x v="103"/>
    <n v="1"/>
    <n v="1"/>
    <n v="-40"/>
    <n v="940"/>
  </r>
  <r>
    <x v="60"/>
    <s v="conventional_cashout_cai_64"/>
    <x v="104"/>
    <n v="1"/>
    <n v="1"/>
    <n v="-40"/>
    <n v="940"/>
  </r>
  <r>
    <x v="60"/>
    <s v="conventional_cashout_cai_65"/>
    <x v="105"/>
    <n v="1"/>
    <n v="1"/>
    <n v="-40"/>
    <n v="940"/>
  </r>
  <r>
    <x v="60"/>
    <s v="conventional_cashout_cai_66"/>
    <x v="106"/>
    <n v="1"/>
    <n v="1"/>
    <n v="-40"/>
    <n v="940"/>
  </r>
  <r>
    <x v="60"/>
    <s v="conventional_cashout_cai_67"/>
    <x v="107"/>
    <n v="1"/>
    <n v="1"/>
    <n v="-40"/>
    <n v="940"/>
  </r>
  <r>
    <x v="60"/>
    <s v="conventional_cashout_cai_68"/>
    <x v="108"/>
    <n v="1"/>
    <n v="1"/>
    <n v="-40"/>
    <n v="940"/>
  </r>
  <r>
    <x v="60"/>
    <s v="conventional_cashout_cai_69"/>
    <x v="109"/>
    <n v="1"/>
    <n v="1"/>
    <n v="-40"/>
    <n v="940"/>
  </r>
  <r>
    <x v="60"/>
    <s v="conventional_cashout_cai_70"/>
    <x v="110"/>
    <n v="1"/>
    <n v="1"/>
    <n v="-40"/>
    <n v="940"/>
  </r>
  <r>
    <x v="60"/>
    <s v="conventional_cashout_cai_71"/>
    <x v="111"/>
    <n v="1"/>
    <n v="1"/>
    <n v="-40"/>
    <n v="940"/>
  </r>
  <r>
    <x v="60"/>
    <s v="conventional_cashout_cai_72"/>
    <x v="112"/>
    <n v="1"/>
    <n v="1"/>
    <n v="-40"/>
    <n v="940"/>
  </r>
  <r>
    <x v="60"/>
    <s v="conventional_cashout_cai_73"/>
    <x v="113"/>
    <n v="1"/>
    <n v="1"/>
    <n v="-40"/>
    <n v="940"/>
  </r>
  <r>
    <x v="60"/>
    <s v="conventional_cashout_cai_74"/>
    <x v="114"/>
    <n v="1"/>
    <n v="1"/>
    <n v="-40"/>
    <n v="940"/>
  </r>
  <r>
    <x v="60"/>
    <s v="conventional_cashout_cai_75"/>
    <x v="115"/>
    <n v="1"/>
    <n v="1"/>
    <n v="-40"/>
    <n v="940"/>
  </r>
  <r>
    <x v="60"/>
    <s v="conventional_cashout_cai_76"/>
    <x v="116"/>
    <n v="1"/>
    <n v="1"/>
    <n v="-40"/>
    <n v="940"/>
  </r>
  <r>
    <x v="60"/>
    <s v="conventional_cashout_cai_77"/>
    <x v="117"/>
    <n v="1"/>
    <n v="1"/>
    <n v="-40"/>
    <n v="940"/>
  </r>
  <r>
    <x v="60"/>
    <s v="conventional_cashout_cai_78"/>
    <x v="118"/>
    <n v="1"/>
    <n v="1"/>
    <n v="-40"/>
    <n v="940"/>
  </r>
  <r>
    <x v="60"/>
    <s v="conventional_cashout_cai_79"/>
    <x v="119"/>
    <n v="1"/>
    <n v="1"/>
    <n v="-40"/>
    <n v="940"/>
  </r>
  <r>
    <x v="60"/>
    <s v="conventional_cashout_cai_80"/>
    <x v="120"/>
    <n v="1"/>
    <n v="1"/>
    <n v="-40"/>
    <n v="940"/>
  </r>
  <r>
    <x v="60"/>
    <s v="conventional_cashout_cai_81"/>
    <x v="121"/>
    <n v="1"/>
    <n v="1"/>
    <n v="-40"/>
    <n v="940"/>
  </r>
  <r>
    <x v="60"/>
    <s v="conventional_cashout_cai_82"/>
    <x v="122"/>
    <n v="1"/>
    <n v="1"/>
    <n v="-40"/>
    <n v="940"/>
  </r>
  <r>
    <x v="60"/>
    <s v="conventional_cashout_cai_83"/>
    <x v="123"/>
    <n v="1"/>
    <n v="1"/>
    <n v="-40"/>
    <n v="940"/>
  </r>
  <r>
    <x v="60"/>
    <s v="conventional_cashout_cai_84"/>
    <x v="124"/>
    <n v="1"/>
    <n v="1"/>
    <n v="-40"/>
    <n v="940"/>
  </r>
  <r>
    <x v="60"/>
    <s v="conventional_cashout_cai_85"/>
    <x v="125"/>
    <n v="1"/>
    <n v="1"/>
    <n v="-40"/>
    <n v="940"/>
  </r>
  <r>
    <x v="60"/>
    <s v="conventional_cashout_cai_86"/>
    <x v="126"/>
    <n v="1"/>
    <n v="1"/>
    <n v="-40"/>
    <n v="940"/>
  </r>
  <r>
    <x v="60"/>
    <s v="conventional_cashout_cai_87"/>
    <x v="127"/>
    <n v="1"/>
    <n v="1"/>
    <n v="-40"/>
    <n v="940"/>
  </r>
  <r>
    <x v="60"/>
    <s v="conventional_cashout_cai_88"/>
    <x v="128"/>
    <n v="1"/>
    <n v="1"/>
    <n v="-40"/>
    <n v="940"/>
  </r>
  <r>
    <x v="60"/>
    <s v="conventional_cashout_cai_89"/>
    <x v="129"/>
    <n v="1"/>
    <n v="1"/>
    <n v="-40"/>
    <n v="940"/>
  </r>
  <r>
    <x v="60"/>
    <s v="conventional_cashout_cai_90"/>
    <x v="130"/>
    <n v="1"/>
    <n v="1"/>
    <n v="-40"/>
    <n v="940"/>
  </r>
  <r>
    <x v="60"/>
    <s v="conventional_cashout_cai_91"/>
    <x v="131"/>
    <n v="1"/>
    <n v="1"/>
    <n v="-40"/>
    <n v="940"/>
  </r>
  <r>
    <x v="60"/>
    <s v="conventional_cashout_cai_92"/>
    <x v="132"/>
    <n v="1"/>
    <n v="1"/>
    <n v="-40"/>
    <n v="940"/>
  </r>
  <r>
    <x v="60"/>
    <s v="conventional_cashout_cai_93"/>
    <x v="133"/>
    <n v="1"/>
    <n v="1"/>
    <n v="-40"/>
    <n v="940"/>
  </r>
  <r>
    <x v="60"/>
    <s v="conventional_cashout_cai_94"/>
    <x v="134"/>
    <n v="1"/>
    <n v="1"/>
    <n v="-40"/>
    <n v="940"/>
  </r>
  <r>
    <x v="60"/>
    <s v="conventional_cashout_cai_95"/>
    <x v="135"/>
    <n v="1"/>
    <n v="1"/>
    <n v="-40"/>
    <n v="940"/>
  </r>
  <r>
    <x v="60"/>
    <s v="conventional_cashout_cai_96"/>
    <x v="136"/>
    <n v="1"/>
    <n v="1"/>
    <n v="-40"/>
    <n v="940"/>
  </r>
  <r>
    <x v="60"/>
    <s v="conventional_cashout_cai_97"/>
    <x v="137"/>
    <n v="1"/>
    <n v="1"/>
    <n v="-40"/>
    <n v="940"/>
  </r>
  <r>
    <x v="60"/>
    <s v="conventional_cashout_cai_98"/>
    <x v="138"/>
    <n v="1"/>
    <n v="1"/>
    <n v="-40"/>
    <n v="940"/>
  </r>
  <r>
    <x v="60"/>
    <s v="conventional_cashout_cai_99"/>
    <x v="139"/>
    <n v="1"/>
    <n v="1"/>
    <n v="-40"/>
    <n v="940"/>
  </r>
  <r>
    <x v="60"/>
    <s v="conventional_cashout_cai_100"/>
    <x v="140"/>
    <n v="1"/>
    <n v="1"/>
    <n v="-40"/>
    <n v="940"/>
  </r>
  <r>
    <x v="60"/>
    <s v="conventional_cashout_cai_101"/>
    <x v="141"/>
    <n v="1"/>
    <n v="1"/>
    <n v="-40"/>
    <n v="940"/>
  </r>
  <r>
    <x v="60"/>
    <s v="conventional_cashout_cai_102"/>
    <x v="142"/>
    <n v="1"/>
    <n v="1"/>
    <n v="-40"/>
    <n v="940"/>
  </r>
  <r>
    <x v="60"/>
    <s v="conventional_cashout_cai_103"/>
    <x v="143"/>
    <n v="1"/>
    <n v="1"/>
    <n v="-40"/>
    <n v="940"/>
  </r>
  <r>
    <x v="60"/>
    <s v="conventional_cashout_cai_104"/>
    <x v="144"/>
    <n v="1"/>
    <n v="1"/>
    <n v="-40"/>
    <n v="940"/>
  </r>
  <r>
    <x v="60"/>
    <s v="conventional_cashout_cai_105"/>
    <x v="145"/>
    <n v="1"/>
    <n v="1"/>
    <n v="-40"/>
    <n v="940"/>
  </r>
  <r>
    <x v="60"/>
    <s v="conventional_cashout_cai_106"/>
    <x v="146"/>
    <n v="1"/>
    <n v="1"/>
    <n v="-40"/>
    <n v="940"/>
  </r>
  <r>
    <x v="60"/>
    <s v="conventional_cashout_cai_107"/>
    <x v="147"/>
    <n v="1"/>
    <n v="1"/>
    <n v="-40"/>
    <n v="940"/>
  </r>
  <r>
    <x v="60"/>
    <s v="conventional_cashout_cai_108"/>
    <x v="148"/>
    <n v="1"/>
    <n v="1"/>
    <n v="-40"/>
    <n v="940"/>
  </r>
  <r>
    <x v="60"/>
    <s v="conventional_cashout_cai_109"/>
    <x v="149"/>
    <n v="1"/>
    <n v="1"/>
    <n v="-40"/>
    <n v="940"/>
  </r>
  <r>
    <x v="60"/>
    <s v="conventional_cashout_cai_110"/>
    <x v="150"/>
    <n v="1"/>
    <n v="1"/>
    <n v="-40"/>
    <n v="940"/>
  </r>
  <r>
    <x v="60"/>
    <s v="conventional_cashout_cai_111"/>
    <x v="151"/>
    <n v="1"/>
    <n v="1"/>
    <n v="-40"/>
    <n v="940"/>
  </r>
  <r>
    <x v="60"/>
    <s v="conventional_cashout_cai_112"/>
    <x v="152"/>
    <n v="1"/>
    <n v="1"/>
    <n v="-40"/>
    <n v="940"/>
  </r>
  <r>
    <x v="60"/>
    <s v="conventional_cashout_cai_113"/>
    <x v="153"/>
    <n v="1"/>
    <n v="1"/>
    <n v="-40"/>
    <n v="940"/>
  </r>
  <r>
    <x v="60"/>
    <s v="conventional_cashout_cai_114"/>
    <x v="154"/>
    <n v="1"/>
    <n v="1"/>
    <n v="-40"/>
    <n v="940"/>
  </r>
  <r>
    <x v="60"/>
    <s v="conventional_cashout_cai_115"/>
    <x v="155"/>
    <n v="1"/>
    <n v="1"/>
    <n v="-40"/>
    <n v="940"/>
  </r>
  <r>
    <x v="60"/>
    <s v="conventional_cashout_cai_116"/>
    <x v="156"/>
    <n v="1"/>
    <n v="1"/>
    <n v="-40"/>
    <n v="940"/>
  </r>
  <r>
    <x v="60"/>
    <s v="conventional_cashout_cai_117"/>
    <x v="157"/>
    <n v="1"/>
    <n v="1"/>
    <n v="-40"/>
    <n v="940"/>
  </r>
  <r>
    <x v="60"/>
    <s v="conventional_cashout_cai_118"/>
    <x v="158"/>
    <n v="1"/>
    <n v="1"/>
    <n v="-40"/>
    <n v="940"/>
  </r>
  <r>
    <x v="60"/>
    <s v="conventional_cashout_cai_119"/>
    <x v="159"/>
    <n v="1"/>
    <n v="1"/>
    <n v="-40"/>
    <n v="940"/>
  </r>
  <r>
    <x v="60"/>
    <s v="conventional_cashout_cai_120"/>
    <x v="160"/>
    <n v="1"/>
    <n v="1"/>
    <n v="-40"/>
    <n v="940"/>
  </r>
  <r>
    <x v="60"/>
    <s v="conventional_cashout_cai_121"/>
    <x v="161"/>
    <n v="1"/>
    <n v="1"/>
    <n v="-40"/>
    <n v="940"/>
  </r>
  <r>
    <x v="60"/>
    <s v="conventional_cashout_cai_122"/>
    <x v="162"/>
    <n v="1"/>
    <n v="1"/>
    <n v="-40"/>
    <n v="940"/>
  </r>
  <r>
    <x v="60"/>
    <s v="conventional_cashout_cai_123"/>
    <x v="163"/>
    <n v="1"/>
    <n v="1"/>
    <n v="-40"/>
    <n v="940"/>
  </r>
  <r>
    <x v="60"/>
    <s v="conventional_cashout_cai_124"/>
    <x v="164"/>
    <n v="1"/>
    <n v="1"/>
    <n v="-40"/>
    <n v="940"/>
  </r>
  <r>
    <x v="60"/>
    <s v="conventional_cashout_cai_125"/>
    <x v="165"/>
    <n v="1"/>
    <n v="1"/>
    <n v="-40"/>
    <n v="940"/>
  </r>
  <r>
    <x v="60"/>
    <s v="conventional_cashout_cai_126"/>
    <x v="166"/>
    <n v="1"/>
    <n v="1"/>
    <n v="-40"/>
    <n v="940"/>
  </r>
  <r>
    <x v="60"/>
    <s v="conventional_cashout_cai_127"/>
    <x v="167"/>
    <n v="1"/>
    <n v="1"/>
    <n v="-40"/>
    <n v="940"/>
  </r>
  <r>
    <x v="60"/>
    <s v="conventional_cashout_cai_128"/>
    <x v="168"/>
    <n v="1"/>
    <n v="1"/>
    <n v="-40"/>
    <n v="940"/>
  </r>
  <r>
    <x v="60"/>
    <s v="conventional_cashout_cai_129"/>
    <x v="169"/>
    <n v="1"/>
    <n v="1"/>
    <n v="-40"/>
    <n v="940"/>
  </r>
  <r>
    <x v="60"/>
    <s v="conventional_cashout_cai_130"/>
    <x v="170"/>
    <n v="1"/>
    <n v="1"/>
    <n v="-40"/>
    <n v="940"/>
  </r>
  <r>
    <x v="60"/>
    <s v="conventional_cashout_cai_131"/>
    <x v="171"/>
    <n v="1"/>
    <n v="1"/>
    <n v="-40"/>
    <n v="940"/>
  </r>
  <r>
    <x v="60"/>
    <s v="conventional_cashout_cai_132"/>
    <x v="172"/>
    <n v="1"/>
    <n v="1"/>
    <n v="-40"/>
    <n v="940"/>
  </r>
  <r>
    <x v="60"/>
    <s v="conventional_cashout_cai_133"/>
    <x v="173"/>
    <n v="1"/>
    <n v="1"/>
    <n v="-40"/>
    <n v="940"/>
  </r>
  <r>
    <x v="60"/>
    <s v="conventional_cashout_cai_134"/>
    <x v="174"/>
    <n v="1"/>
    <n v="1"/>
    <n v="-40"/>
    <n v="940"/>
  </r>
  <r>
    <x v="60"/>
    <s v="conventional_cashout_cai_135"/>
    <x v="175"/>
    <n v="1"/>
    <n v="1"/>
    <n v="-40"/>
    <n v="940"/>
  </r>
  <r>
    <x v="60"/>
    <s v="conventional_cashout_cai_136"/>
    <x v="176"/>
    <n v="1"/>
    <n v="1"/>
    <n v="-40"/>
    <n v="940"/>
  </r>
  <r>
    <x v="60"/>
    <s v="conventional_cashout_cai_137"/>
    <x v="177"/>
    <n v="1"/>
    <n v="1"/>
    <n v="-40"/>
    <n v="940"/>
  </r>
  <r>
    <x v="60"/>
    <s v="conventional_cashout_cai_138"/>
    <x v="178"/>
    <n v="1"/>
    <n v="1"/>
    <n v="-40"/>
    <n v="940"/>
  </r>
  <r>
    <x v="60"/>
    <s v="conventional_cashout_cai_139"/>
    <x v="179"/>
    <n v="1"/>
    <n v="1"/>
    <n v="-40"/>
    <n v="940"/>
  </r>
  <r>
    <x v="60"/>
    <s v="conventional_cashout_cai_140"/>
    <x v="180"/>
    <n v="1"/>
    <n v="1"/>
    <n v="-40"/>
    <n v="940"/>
  </r>
  <r>
    <x v="60"/>
    <s v="conventional_cashout_cai_141"/>
    <x v="181"/>
    <n v="1"/>
    <n v="1"/>
    <n v="-40"/>
    <n v="940"/>
  </r>
  <r>
    <x v="60"/>
    <s v="conventional_cashout_cai_142"/>
    <x v="182"/>
    <n v="1"/>
    <n v="1"/>
    <n v="-40"/>
    <n v="940"/>
  </r>
  <r>
    <x v="60"/>
    <s v="conventional_cashout_cai_143"/>
    <x v="183"/>
    <n v="1"/>
    <n v="1"/>
    <n v="-40"/>
    <n v="940"/>
  </r>
  <r>
    <x v="60"/>
    <s v="conventional_cashout_cai_144"/>
    <x v="184"/>
    <n v="1"/>
    <n v="1"/>
    <n v="-40"/>
    <n v="940"/>
  </r>
  <r>
    <x v="60"/>
    <s v="conventional_cashout_cai_145"/>
    <x v="185"/>
    <n v="1"/>
    <n v="1"/>
    <n v="-40"/>
    <n v="940"/>
  </r>
  <r>
    <x v="60"/>
    <s v="conventional_cashout_cai_146"/>
    <x v="186"/>
    <n v="1"/>
    <n v="1"/>
    <n v="-40"/>
    <n v="940"/>
  </r>
  <r>
    <x v="60"/>
    <s v="conventional_cashout_cai_147"/>
    <x v="187"/>
    <n v="1"/>
    <n v="1"/>
    <n v="-40"/>
    <n v="940"/>
  </r>
  <r>
    <x v="60"/>
    <s v="conventional_cashout_cai_148"/>
    <x v="188"/>
    <n v="1"/>
    <n v="1"/>
    <n v="-40"/>
    <n v="940"/>
  </r>
  <r>
    <x v="60"/>
    <s v="conventional_cashout_cai_149"/>
    <x v="189"/>
    <n v="1"/>
    <n v="1"/>
    <n v="-40"/>
    <n v="940"/>
  </r>
  <r>
    <x v="60"/>
    <s v="conventional_cashout_cai_150"/>
    <x v="190"/>
    <n v="1"/>
    <n v="1"/>
    <n v="-40"/>
    <n v="940"/>
  </r>
  <r>
    <x v="60"/>
    <s v="conventional_cashout_cai_151"/>
    <x v="191"/>
    <n v="1"/>
    <n v="1"/>
    <n v="-40"/>
    <n v="940"/>
  </r>
  <r>
    <x v="60"/>
    <s v="conventional_cashout_cai_152"/>
    <x v="192"/>
    <n v="1"/>
    <n v="1"/>
    <n v="-40"/>
    <n v="940"/>
  </r>
  <r>
    <x v="60"/>
    <s v="conventional_cashout_cai_153"/>
    <x v="193"/>
    <n v="1"/>
    <n v="1"/>
    <n v="-40"/>
    <n v="940"/>
  </r>
  <r>
    <x v="60"/>
    <s v="conventional_cashout_cai_154"/>
    <x v="194"/>
    <n v="1"/>
    <n v="1"/>
    <n v="-40"/>
    <n v="940"/>
  </r>
  <r>
    <x v="60"/>
    <s v="conventional_cashout_cai_155"/>
    <x v="195"/>
    <n v="1"/>
    <n v="1"/>
    <n v="-40"/>
    <n v="940"/>
  </r>
  <r>
    <x v="60"/>
    <s v="conventional_cashout_cai_156"/>
    <x v="196"/>
    <n v="1"/>
    <n v="1"/>
    <n v="-40"/>
    <n v="940"/>
  </r>
  <r>
    <x v="60"/>
    <s v="conventional_cashout_cai_157"/>
    <x v="197"/>
    <n v="1"/>
    <n v="1"/>
    <n v="-40"/>
    <n v="940"/>
  </r>
  <r>
    <x v="60"/>
    <s v="conventional_cashout_cai_158"/>
    <x v="198"/>
    <n v="1"/>
    <n v="1"/>
    <n v="-40"/>
    <n v="940"/>
  </r>
  <r>
    <x v="60"/>
    <s v="conventional_cashout_cai_159"/>
    <x v="199"/>
    <n v="1"/>
    <n v="1"/>
    <n v="-40"/>
    <n v="940"/>
  </r>
  <r>
    <x v="60"/>
    <s v="conventional_cashout_cai_160"/>
    <x v="200"/>
    <n v="1"/>
    <n v="1"/>
    <n v="-40"/>
    <n v="940"/>
  </r>
  <r>
    <x v="60"/>
    <s v="conventional_cashout_cai_161"/>
    <x v="201"/>
    <n v="1"/>
    <n v="1"/>
    <n v="-40"/>
    <n v="940"/>
  </r>
  <r>
    <x v="60"/>
    <s v="conventional_cashout_cai_162"/>
    <x v="202"/>
    <n v="1"/>
    <n v="1"/>
    <n v="-40"/>
    <n v="940"/>
  </r>
  <r>
    <x v="60"/>
    <s v="conventional_cashout_cai_163"/>
    <x v="203"/>
    <n v="1"/>
    <n v="1"/>
    <n v="-40"/>
    <n v="940"/>
  </r>
  <r>
    <x v="60"/>
    <s v="conventional_cashout_cai_164"/>
    <x v="204"/>
    <n v="1"/>
    <n v="1"/>
    <n v="-40"/>
    <n v="940"/>
  </r>
  <r>
    <x v="60"/>
    <s v="conventional_cashout_cai_165"/>
    <x v="205"/>
    <n v="1"/>
    <n v="1"/>
    <n v="-40"/>
    <n v="940"/>
  </r>
  <r>
    <x v="60"/>
    <s v="conventional_cashout_cai_166"/>
    <x v="206"/>
    <n v="1"/>
    <n v="1"/>
    <n v="-40"/>
    <n v="940"/>
  </r>
  <r>
    <x v="60"/>
    <s v="conventional_cashout_cai_167"/>
    <x v="207"/>
    <n v="1"/>
    <n v="1"/>
    <n v="-40"/>
    <n v="940"/>
  </r>
  <r>
    <x v="60"/>
    <s v="conventional_cashout_cai_168"/>
    <x v="208"/>
    <n v="1"/>
    <n v="1"/>
    <n v="-40"/>
    <n v="940"/>
  </r>
  <r>
    <x v="60"/>
    <s v="conventional_cashout_cai_169"/>
    <x v="209"/>
    <n v="1"/>
    <n v="1"/>
    <n v="-40"/>
    <n v="940"/>
  </r>
  <r>
    <x v="60"/>
    <s v="conventional_cashout_cai_170"/>
    <x v="210"/>
    <n v="1"/>
    <n v="1"/>
    <n v="-40"/>
    <n v="940"/>
  </r>
  <r>
    <x v="60"/>
    <s v="conventional_cashout_cai_171"/>
    <x v="211"/>
    <n v="1"/>
    <n v="1"/>
    <n v="-40"/>
    <n v="940"/>
  </r>
  <r>
    <x v="60"/>
    <s v="conventional_cashout_cai_172"/>
    <x v="212"/>
    <n v="1"/>
    <n v="1"/>
    <n v="-40"/>
    <n v="940"/>
  </r>
  <r>
    <x v="60"/>
    <s v="conventional_cashout_cai_173"/>
    <x v="213"/>
    <n v="1"/>
    <n v="1"/>
    <n v="-40"/>
    <n v="940"/>
  </r>
  <r>
    <x v="60"/>
    <s v="conventional_cashout_cai_174"/>
    <x v="214"/>
    <n v="1"/>
    <n v="1"/>
    <n v="-40"/>
    <n v="940"/>
  </r>
  <r>
    <x v="60"/>
    <s v="conventional_cashout_cai_175"/>
    <x v="215"/>
    <n v="1"/>
    <n v="1"/>
    <n v="-40"/>
    <n v="940"/>
  </r>
  <r>
    <x v="60"/>
    <s v="conventional_cashout_cai_176"/>
    <x v="216"/>
    <n v="1"/>
    <n v="1"/>
    <n v="-40"/>
    <n v="940"/>
  </r>
  <r>
    <x v="60"/>
    <s v="conventional_cashout_cai_177"/>
    <x v="217"/>
    <n v="1"/>
    <n v="1"/>
    <n v="-40"/>
    <n v="940"/>
  </r>
  <r>
    <x v="60"/>
    <s v="conventional_cashout_cai_178"/>
    <x v="218"/>
    <n v="1"/>
    <n v="1"/>
    <n v="-40"/>
    <n v="940"/>
  </r>
  <r>
    <x v="60"/>
    <s v="conventional_cashout_cai_179"/>
    <x v="219"/>
    <n v="1"/>
    <n v="1"/>
    <n v="-40"/>
    <n v="940"/>
  </r>
  <r>
    <x v="60"/>
    <s v="conventional_cashout_cai_180"/>
    <x v="220"/>
    <n v="1"/>
    <n v="1"/>
    <n v="-40"/>
    <n v="940"/>
  </r>
  <r>
    <x v="60"/>
    <s v="conventional_cashout_cai_181"/>
    <x v="221"/>
    <n v="1"/>
    <n v="1"/>
    <n v="-40"/>
    <n v="940"/>
  </r>
  <r>
    <x v="60"/>
    <s v="conventional_cashout_cai_182"/>
    <x v="222"/>
    <n v="1"/>
    <n v="1"/>
    <n v="-40"/>
    <n v="940"/>
  </r>
  <r>
    <x v="60"/>
    <s v="conventional_cashout_cai_183"/>
    <x v="223"/>
    <n v="1"/>
    <n v="1"/>
    <n v="-40"/>
    <n v="940"/>
  </r>
  <r>
    <x v="60"/>
    <s v="conventional_cashout_cai_184"/>
    <x v="224"/>
    <n v="1"/>
    <n v="1"/>
    <n v="-40"/>
    <n v="940"/>
  </r>
  <r>
    <x v="60"/>
    <s v="conventional_cashout_cai_185"/>
    <x v="225"/>
    <n v="1"/>
    <n v="1"/>
    <n v="-40"/>
    <n v="940"/>
  </r>
  <r>
    <x v="60"/>
    <s v="conventional_cashout_cai_186"/>
    <x v="226"/>
    <n v="1"/>
    <n v="1"/>
    <n v="-40"/>
    <n v="940"/>
  </r>
  <r>
    <x v="60"/>
    <s v="conventional_cashout_cai_187"/>
    <x v="227"/>
    <n v="1"/>
    <n v="1"/>
    <n v="-40"/>
    <n v="940"/>
  </r>
  <r>
    <x v="60"/>
    <s v="conventional_cashout_cai_188"/>
    <x v="228"/>
    <n v="1"/>
    <n v="1"/>
    <n v="-40"/>
    <n v="940"/>
  </r>
  <r>
    <x v="60"/>
    <s v="conventional_cashout_cai_189"/>
    <x v="229"/>
    <n v="1"/>
    <n v="1"/>
    <n v="-40"/>
    <n v="940"/>
  </r>
  <r>
    <x v="60"/>
    <s v="conventional_cashout_cai_190"/>
    <x v="230"/>
    <n v="1"/>
    <n v="1"/>
    <n v="-40"/>
    <n v="940"/>
  </r>
  <r>
    <x v="60"/>
    <s v="conventional_cashout_cai_191"/>
    <x v="231"/>
    <n v="1"/>
    <n v="1"/>
    <n v="-40"/>
    <n v="940"/>
  </r>
  <r>
    <x v="60"/>
    <s v="conventional_cashout_cai_192"/>
    <x v="232"/>
    <n v="1"/>
    <n v="1"/>
    <n v="-40"/>
    <n v="940"/>
  </r>
  <r>
    <x v="60"/>
    <s v="conventional_cashout_cai_193"/>
    <x v="233"/>
    <n v="1"/>
    <n v="1"/>
    <n v="-40"/>
    <n v="940"/>
  </r>
  <r>
    <x v="60"/>
    <s v="conventional_cashout_cai_194"/>
    <x v="234"/>
    <n v="1"/>
    <n v="1"/>
    <n v="-40"/>
    <n v="940"/>
  </r>
  <r>
    <x v="60"/>
    <s v="conventional_cashout_cai_195"/>
    <x v="235"/>
    <n v="1"/>
    <n v="1"/>
    <n v="-40"/>
    <n v="940"/>
  </r>
  <r>
    <x v="60"/>
    <s v="conventional_cashout_cai_196"/>
    <x v="236"/>
    <n v="1"/>
    <n v="1"/>
    <n v="-40"/>
    <n v="940"/>
  </r>
  <r>
    <x v="60"/>
    <s v="conventional_cashout_cai_197"/>
    <x v="237"/>
    <n v="1"/>
    <n v="1"/>
    <n v="-40"/>
    <n v="940"/>
  </r>
  <r>
    <x v="60"/>
    <s v="conventional_cashout_cai_198"/>
    <x v="238"/>
    <n v="1"/>
    <n v="1"/>
    <n v="-40"/>
    <n v="940"/>
  </r>
  <r>
    <x v="60"/>
    <s v="conventional_cashout_cai_199"/>
    <x v="239"/>
    <n v="1"/>
    <n v="1"/>
    <n v="-40"/>
    <n v="940"/>
  </r>
  <r>
    <x v="60"/>
    <s v="conventional_cashout_cai_200"/>
    <x v="240"/>
    <n v="1"/>
    <n v="1"/>
    <n v="-40"/>
    <n v="940"/>
  </r>
  <r>
    <x v="60"/>
    <s v="conventional_cashout_cai_201"/>
    <x v="241"/>
    <n v="1"/>
    <n v="1"/>
    <n v="-40"/>
    <n v="940"/>
  </r>
  <r>
    <x v="60"/>
    <s v="conventional_cashout_cai_202"/>
    <x v="242"/>
    <n v="1"/>
    <n v="1"/>
    <n v="-40"/>
    <n v="940"/>
  </r>
  <r>
    <x v="60"/>
    <s v="conventional_cashout_cai_203"/>
    <x v="243"/>
    <n v="1"/>
    <n v="1"/>
    <n v="-40"/>
    <n v="940"/>
  </r>
  <r>
    <x v="60"/>
    <s v="conventional_cashout_cai_204"/>
    <x v="244"/>
    <n v="1"/>
    <n v="1"/>
    <n v="-40"/>
    <n v="940"/>
  </r>
  <r>
    <x v="60"/>
    <s v="conventional_cashout_cai_205"/>
    <x v="245"/>
    <n v="1"/>
    <n v="1"/>
    <n v="-40"/>
    <n v="940"/>
  </r>
  <r>
    <x v="60"/>
    <s v="conventional_cashout_cai_206"/>
    <x v="246"/>
    <n v="1"/>
    <n v="1"/>
    <n v="-40"/>
    <n v="940"/>
  </r>
  <r>
    <x v="60"/>
    <s v="conventional_cashout_cai_207"/>
    <x v="247"/>
    <n v="1"/>
    <n v="1"/>
    <n v="-40"/>
    <n v="940"/>
  </r>
  <r>
    <x v="60"/>
    <s v="conventional_cashout_cai_208"/>
    <x v="248"/>
    <n v="1"/>
    <n v="1"/>
    <n v="-40"/>
    <n v="940"/>
  </r>
  <r>
    <x v="60"/>
    <s v="conventional_cashout_cai_209"/>
    <x v="249"/>
    <n v="1"/>
    <n v="1"/>
    <n v="-40"/>
    <n v="940"/>
  </r>
  <r>
    <x v="60"/>
    <s v="conventional_cashout_cai_210"/>
    <x v="250"/>
    <n v="1"/>
    <n v="1"/>
    <n v="-40"/>
    <n v="940"/>
  </r>
  <r>
    <x v="60"/>
    <s v="conventional_cashout_cai_211"/>
    <x v="251"/>
    <n v="1"/>
    <n v="1"/>
    <n v="-40"/>
    <n v="940"/>
  </r>
  <r>
    <x v="60"/>
    <s v="conventional_cashout_cai_212"/>
    <x v="252"/>
    <n v="1"/>
    <n v="1"/>
    <n v="-40"/>
    <n v="940"/>
  </r>
  <r>
    <x v="60"/>
    <s v="conventional_cashout_cai_213"/>
    <x v="253"/>
    <n v="1"/>
    <n v="1"/>
    <n v="-40"/>
    <n v="940"/>
  </r>
  <r>
    <x v="60"/>
    <s v="conventional_cashout_cai_214"/>
    <x v="254"/>
    <n v="1"/>
    <n v="1"/>
    <n v="-40"/>
    <n v="940"/>
  </r>
  <r>
    <x v="60"/>
    <s v="conventional_cashout_cai_215"/>
    <x v="255"/>
    <n v="1"/>
    <n v="1"/>
    <n v="-40"/>
    <n v="940"/>
  </r>
  <r>
    <x v="60"/>
    <s v="conventional_cashout_cai_216"/>
    <x v="256"/>
    <n v="1"/>
    <n v="1"/>
    <n v="-40"/>
    <n v="940"/>
  </r>
  <r>
    <x v="60"/>
    <s v="conventional_cashout_cai_217"/>
    <x v="257"/>
    <n v="1"/>
    <n v="1"/>
    <n v="-40"/>
    <n v="940"/>
  </r>
  <r>
    <x v="60"/>
    <s v="conventional_cashout_cai_218"/>
    <x v="258"/>
    <n v="1"/>
    <n v="1"/>
    <n v="-40"/>
    <n v="940"/>
  </r>
  <r>
    <x v="60"/>
    <s v="conventional_cashout_cai_219"/>
    <x v="259"/>
    <n v="1"/>
    <n v="1"/>
    <n v="-40"/>
    <n v="940"/>
  </r>
  <r>
    <x v="60"/>
    <s v="conventional_cashout_cai_220"/>
    <x v="260"/>
    <n v="1"/>
    <n v="1"/>
    <n v="-40"/>
    <n v="940"/>
  </r>
  <r>
    <x v="60"/>
    <s v="conventional_cashout_cai_221"/>
    <x v="261"/>
    <n v="1"/>
    <n v="1"/>
    <n v="-40"/>
    <n v="940"/>
  </r>
  <r>
    <x v="60"/>
    <s v="conventional_cashout_cai_222"/>
    <x v="262"/>
    <n v="1"/>
    <n v="1"/>
    <n v="-40"/>
    <n v="940"/>
  </r>
  <r>
    <x v="60"/>
    <s v="conventional_cashout_cai_223"/>
    <x v="263"/>
    <n v="1"/>
    <n v="1"/>
    <n v="-40"/>
    <n v="940"/>
  </r>
  <r>
    <x v="60"/>
    <s v="conventional_cashout_cai_224"/>
    <x v="264"/>
    <n v="1"/>
    <n v="1"/>
    <n v="-40"/>
    <n v="940"/>
  </r>
  <r>
    <x v="60"/>
    <s v="conventional_cashout_cai_225"/>
    <x v="265"/>
    <n v="1"/>
    <n v="1"/>
    <n v="-40"/>
    <n v="940"/>
  </r>
  <r>
    <x v="60"/>
    <s v="conventional_cashout_cai_226"/>
    <x v="266"/>
    <n v="1"/>
    <n v="1"/>
    <n v="-40"/>
    <n v="940"/>
  </r>
  <r>
    <x v="60"/>
    <s v="conventional_cashout_cai_227"/>
    <x v="267"/>
    <n v="1"/>
    <n v="1"/>
    <n v="-40"/>
    <n v="940"/>
  </r>
  <r>
    <x v="60"/>
    <s v="conventional_cashout_cai_228"/>
    <x v="268"/>
    <n v="1"/>
    <n v="1"/>
    <n v="-40"/>
    <n v="940"/>
  </r>
  <r>
    <x v="60"/>
    <s v="conventional_cashout_cai_229"/>
    <x v="269"/>
    <n v="1"/>
    <n v="1"/>
    <n v="-40"/>
    <n v="940"/>
  </r>
  <r>
    <x v="60"/>
    <s v="conventional_cashout_cai_230"/>
    <x v="270"/>
    <n v="1"/>
    <n v="1"/>
    <n v="-40"/>
    <n v="940"/>
  </r>
  <r>
    <x v="60"/>
    <s v="conventional_cashout_cai_231"/>
    <x v="271"/>
    <n v="1"/>
    <n v="1"/>
    <n v="-40"/>
    <n v="940"/>
  </r>
  <r>
    <x v="60"/>
    <s v="conventional_cashout_cai_232"/>
    <x v="272"/>
    <n v="1"/>
    <n v="1"/>
    <n v="-40"/>
    <n v="940"/>
  </r>
  <r>
    <x v="60"/>
    <s v="conventional_cashout_cai_233"/>
    <x v="273"/>
    <n v="1"/>
    <n v="1"/>
    <n v="-40"/>
    <n v="940"/>
  </r>
  <r>
    <x v="60"/>
    <s v="conventional_cashout_cai_234"/>
    <x v="274"/>
    <n v="1"/>
    <n v="1"/>
    <n v="-40"/>
    <n v="940"/>
  </r>
  <r>
    <x v="60"/>
    <s v="conventional_cashout_cai_235"/>
    <x v="275"/>
    <n v="1"/>
    <n v="1"/>
    <n v="-40"/>
    <n v="940"/>
  </r>
  <r>
    <x v="60"/>
    <s v="conventional_cashout_cai_236"/>
    <x v="276"/>
    <n v="1"/>
    <n v="1"/>
    <n v="-40"/>
    <n v="940"/>
  </r>
  <r>
    <x v="60"/>
    <s v="conventional_cashout_cai_237"/>
    <x v="277"/>
    <n v="1"/>
    <n v="1"/>
    <n v="-40"/>
    <n v="940"/>
  </r>
  <r>
    <x v="60"/>
    <s v="conventional_cashout_cai_238"/>
    <x v="278"/>
    <n v="1"/>
    <n v="1"/>
    <n v="-40"/>
    <n v="940"/>
  </r>
  <r>
    <x v="60"/>
    <s v="conventional_cashout_cai_239"/>
    <x v="279"/>
    <n v="1"/>
    <n v="1"/>
    <n v="-40"/>
    <n v="940"/>
  </r>
  <r>
    <x v="60"/>
    <s v="conventional_cashout_cai_240"/>
    <x v="280"/>
    <n v="1"/>
    <n v="1"/>
    <n v="-40"/>
    <n v="940"/>
  </r>
  <r>
    <x v="60"/>
    <s v="conventional_cashout_cai_241"/>
    <x v="281"/>
    <n v="1"/>
    <n v="1"/>
    <n v="-40"/>
    <n v="940"/>
  </r>
  <r>
    <x v="60"/>
    <s v="conventional_cashout_cai_242"/>
    <x v="282"/>
    <n v="1"/>
    <n v="1"/>
    <n v="-40"/>
    <n v="940"/>
  </r>
  <r>
    <x v="60"/>
    <s v="conventional_cashout_cai_243"/>
    <x v="283"/>
    <n v="1"/>
    <n v="1"/>
    <n v="-40"/>
    <n v="940"/>
  </r>
  <r>
    <x v="60"/>
    <s v="conventional_cashout_cai_244"/>
    <x v="284"/>
    <n v="1"/>
    <n v="1"/>
    <n v="-40"/>
    <n v="940"/>
  </r>
  <r>
    <x v="60"/>
    <s v="conventional_cashout_cai_245"/>
    <x v="285"/>
    <n v="1"/>
    <n v="1"/>
    <n v="-40"/>
    <n v="940"/>
  </r>
  <r>
    <x v="60"/>
    <s v="conventional_cashout_cai_246"/>
    <x v="286"/>
    <n v="1"/>
    <n v="1"/>
    <n v="-40"/>
    <n v="940"/>
  </r>
  <r>
    <x v="60"/>
    <s v="conventional_cashout_cai_247"/>
    <x v="287"/>
    <n v="1"/>
    <n v="1"/>
    <n v="-40"/>
    <n v="940"/>
  </r>
  <r>
    <x v="60"/>
    <s v="conventional_cashout_cai_248"/>
    <x v="288"/>
    <n v="1"/>
    <n v="1"/>
    <n v="-40"/>
    <n v="940"/>
  </r>
  <r>
    <x v="60"/>
    <s v="conventional_cashout_cai_249"/>
    <x v="289"/>
    <n v="1"/>
    <n v="1"/>
    <n v="-40"/>
    <n v="940"/>
  </r>
  <r>
    <x v="60"/>
    <s v="conventional_cashout_cai_250"/>
    <x v="290"/>
    <n v="1"/>
    <n v="1"/>
    <n v="-40"/>
    <n v="940"/>
  </r>
  <r>
    <x v="60"/>
    <s v="conventional_cashout_cai_251"/>
    <x v="291"/>
    <n v="1"/>
    <n v="1"/>
    <n v="-40"/>
    <n v="940"/>
  </r>
  <r>
    <x v="60"/>
    <s v="conventional_cashout_cai_252"/>
    <x v="292"/>
    <n v="1"/>
    <n v="1"/>
    <n v="-40"/>
    <n v="940"/>
  </r>
  <r>
    <x v="60"/>
    <s v="conventional_cashout_cai_253"/>
    <x v="293"/>
    <n v="1"/>
    <n v="1"/>
    <n v="-40"/>
    <n v="940"/>
  </r>
  <r>
    <x v="60"/>
    <s v="conventional_cashout_cai_254"/>
    <x v="294"/>
    <n v="1"/>
    <n v="1"/>
    <n v="-40"/>
    <n v="940"/>
  </r>
  <r>
    <x v="60"/>
    <s v="conventional_cashout_cai_255"/>
    <x v="295"/>
    <n v="1"/>
    <n v="1"/>
    <n v="-40"/>
    <n v="940"/>
  </r>
  <r>
    <x v="60"/>
    <s v="conventional_cashout_cai_256"/>
    <x v="296"/>
    <n v="1"/>
    <n v="1"/>
    <n v="-40"/>
    <n v="940"/>
  </r>
  <r>
    <x v="60"/>
    <s v="conventional_cashout_cai_257"/>
    <x v="297"/>
    <n v="1"/>
    <n v="1"/>
    <n v="-40"/>
    <n v="940"/>
  </r>
  <r>
    <x v="60"/>
    <s v="conventional_cashout_cai_258"/>
    <x v="298"/>
    <n v="1"/>
    <n v="1"/>
    <n v="-40"/>
    <n v="940"/>
  </r>
  <r>
    <x v="60"/>
    <s v="conventional_cashout_cai_259"/>
    <x v="299"/>
    <n v="1"/>
    <n v="1"/>
    <n v="-40"/>
    <n v="940"/>
  </r>
  <r>
    <x v="60"/>
    <s v="conventional_cashout_cai_260"/>
    <x v="300"/>
    <n v="1"/>
    <n v="1"/>
    <n v="-40"/>
    <n v="940"/>
  </r>
  <r>
    <x v="60"/>
    <s v="conventional_cashout_cai_261"/>
    <x v="301"/>
    <n v="1"/>
    <n v="1"/>
    <n v="-40"/>
    <n v="940"/>
  </r>
  <r>
    <x v="60"/>
    <s v="conventional_cashout_cai_262"/>
    <x v="302"/>
    <n v="1"/>
    <n v="1"/>
    <n v="-40"/>
    <n v="940"/>
  </r>
  <r>
    <x v="60"/>
    <s v="conventional_cashout_cai_263"/>
    <x v="303"/>
    <n v="1"/>
    <n v="1"/>
    <n v="-40"/>
    <n v="940"/>
  </r>
  <r>
    <x v="60"/>
    <s v="conventional_cashout_cai_264"/>
    <x v="304"/>
    <n v="1"/>
    <n v="1"/>
    <n v="-40"/>
    <n v="940"/>
  </r>
  <r>
    <x v="60"/>
    <s v="conventional_cashout_cai_265"/>
    <x v="305"/>
    <n v="1"/>
    <n v="1"/>
    <n v="-40"/>
    <n v="940"/>
  </r>
  <r>
    <x v="60"/>
    <s v="conventional_cashout_cai_266"/>
    <x v="306"/>
    <n v="1"/>
    <n v="1"/>
    <n v="-40"/>
    <n v="940"/>
  </r>
  <r>
    <x v="60"/>
    <s v="conventional_cashout_cai_267"/>
    <x v="307"/>
    <n v="1"/>
    <n v="1"/>
    <n v="-40"/>
    <n v="940"/>
  </r>
  <r>
    <x v="60"/>
    <s v="conventional_cashout_cai_268"/>
    <x v="308"/>
    <n v="1"/>
    <n v="1"/>
    <n v="-40"/>
    <n v="940"/>
  </r>
  <r>
    <x v="60"/>
    <s v="conventional_cashout_cai_269"/>
    <x v="309"/>
    <n v="1"/>
    <n v="1"/>
    <n v="-40"/>
    <n v="940"/>
  </r>
  <r>
    <x v="60"/>
    <s v="conventional_cashout_cai_270"/>
    <x v="310"/>
    <n v="1"/>
    <n v="1"/>
    <n v="-40"/>
    <n v="940"/>
  </r>
  <r>
    <x v="60"/>
    <s v="conventional_cashout_cai_271"/>
    <x v="311"/>
    <n v="1"/>
    <n v="1"/>
    <n v="-40"/>
    <n v="940"/>
  </r>
  <r>
    <x v="60"/>
    <s v="conventional_cashout_cai_272"/>
    <x v="312"/>
    <n v="1"/>
    <n v="1"/>
    <n v="-40"/>
    <n v="940"/>
  </r>
  <r>
    <x v="60"/>
    <s v="conventional_cashout_cai_273"/>
    <x v="313"/>
    <n v="1"/>
    <n v="1"/>
    <n v="-40"/>
    <n v="940"/>
  </r>
  <r>
    <x v="60"/>
    <s v="conventional_cashout_cai_274"/>
    <x v="314"/>
    <n v="1"/>
    <n v="1"/>
    <n v="-40"/>
    <n v="940"/>
  </r>
  <r>
    <x v="60"/>
    <s v="conventional_cashout_cai_275"/>
    <x v="315"/>
    <n v="1"/>
    <n v="1"/>
    <n v="-40"/>
    <n v="940"/>
  </r>
  <r>
    <x v="60"/>
    <s v="conventional_cashout_cai_276"/>
    <x v="316"/>
    <n v="1"/>
    <n v="1"/>
    <n v="-40"/>
    <n v="940"/>
  </r>
  <r>
    <x v="60"/>
    <s v="conventional_cashout_cai_277"/>
    <x v="317"/>
    <n v="1"/>
    <n v="1"/>
    <n v="-40"/>
    <n v="940"/>
  </r>
  <r>
    <x v="60"/>
    <s v="conventional_cashout_cai_278"/>
    <x v="318"/>
    <n v="1"/>
    <n v="1"/>
    <n v="-40"/>
    <n v="940"/>
  </r>
  <r>
    <x v="60"/>
    <s v="conventional_cashout_cai_279"/>
    <x v="319"/>
    <n v="1"/>
    <n v="1"/>
    <n v="-40"/>
    <n v="940"/>
  </r>
  <r>
    <x v="60"/>
    <s v="conventional_cashout_cai_280"/>
    <x v="320"/>
    <n v="1"/>
    <n v="1"/>
    <n v="-40"/>
    <n v="940"/>
  </r>
  <r>
    <x v="60"/>
    <s v="conventional_cashout_cai_281"/>
    <x v="321"/>
    <n v="1"/>
    <n v="1"/>
    <n v="-40"/>
    <n v="940"/>
  </r>
  <r>
    <x v="60"/>
    <s v="conventional_cashout_cai_282"/>
    <x v="322"/>
    <n v="1"/>
    <n v="1"/>
    <n v="-40"/>
    <n v="940"/>
  </r>
  <r>
    <x v="60"/>
    <s v="conventional_cashout_cai_283"/>
    <x v="323"/>
    <n v="1"/>
    <n v="1"/>
    <n v="-40"/>
    <n v="940"/>
  </r>
  <r>
    <x v="60"/>
    <s v="conventional_cashout_cai_284"/>
    <x v="324"/>
    <n v="1"/>
    <n v="1"/>
    <n v="-40"/>
    <n v="940"/>
  </r>
  <r>
    <x v="60"/>
    <s v="conventional_cashout_cai_285"/>
    <x v="325"/>
    <n v="1"/>
    <n v="1"/>
    <n v="-40"/>
    <n v="940"/>
  </r>
  <r>
    <x v="60"/>
    <s v="conventional_cashout_cai_286"/>
    <x v="326"/>
    <n v="1"/>
    <n v="1"/>
    <n v="-40"/>
    <n v="940"/>
  </r>
  <r>
    <x v="60"/>
    <s v="conventional_cashout_cai_287"/>
    <x v="327"/>
    <n v="1"/>
    <n v="1"/>
    <n v="-40"/>
    <n v="940"/>
  </r>
  <r>
    <x v="60"/>
    <s v="conventional_cashout_cai_288"/>
    <x v="328"/>
    <n v="1"/>
    <n v="1"/>
    <n v="-40"/>
    <n v="940"/>
  </r>
  <r>
    <x v="60"/>
    <s v="conventional_cashout_cai_289"/>
    <x v="329"/>
    <n v="1"/>
    <n v="1"/>
    <n v="-40"/>
    <n v="940"/>
  </r>
  <r>
    <x v="60"/>
    <s v="conventional_cashout_cai_290"/>
    <x v="330"/>
    <n v="1"/>
    <n v="1"/>
    <n v="-40"/>
    <n v="940"/>
  </r>
  <r>
    <x v="60"/>
    <s v="conventional_cashout_cai_291"/>
    <x v="331"/>
    <n v="1"/>
    <n v="1"/>
    <n v="-40"/>
    <n v="940"/>
  </r>
  <r>
    <x v="60"/>
    <s v="conventional_cashout_cai_292"/>
    <x v="332"/>
    <n v="1"/>
    <n v="1"/>
    <n v="-40"/>
    <n v="940"/>
  </r>
  <r>
    <x v="60"/>
    <s v="conventional_cashout_cai_293"/>
    <x v="333"/>
    <n v="1"/>
    <n v="1"/>
    <n v="-40"/>
    <n v="940"/>
  </r>
  <r>
    <x v="60"/>
    <s v="conventional_cashout_cai_294"/>
    <x v="334"/>
    <n v="1"/>
    <n v="1"/>
    <n v="-40"/>
    <n v="940"/>
  </r>
  <r>
    <x v="60"/>
    <s v="conventional_cashout_cai_295"/>
    <x v="335"/>
    <n v="1"/>
    <n v="1"/>
    <n v="-40"/>
    <n v="940"/>
  </r>
  <r>
    <x v="60"/>
    <s v="conventional_cashout_cai_296"/>
    <x v="336"/>
    <n v="1"/>
    <n v="1"/>
    <n v="-40"/>
    <n v="940"/>
  </r>
  <r>
    <x v="60"/>
    <s v="conventional_cashout_cai_297"/>
    <x v="337"/>
    <n v="1"/>
    <n v="1"/>
    <n v="-40"/>
    <n v="940"/>
  </r>
  <r>
    <x v="60"/>
    <s v="conventional_cashout_cai_298"/>
    <x v="338"/>
    <n v="1"/>
    <n v="1"/>
    <n v="-40"/>
    <n v="940"/>
  </r>
  <r>
    <x v="60"/>
    <s v="conventional_cashout_cai_299"/>
    <x v="339"/>
    <n v="1"/>
    <n v="1"/>
    <n v="-40"/>
    <n v="940"/>
  </r>
  <r>
    <x v="60"/>
    <s v="conventional_cashout_cai_300"/>
    <x v="340"/>
    <n v="1"/>
    <n v="1"/>
    <n v="-40"/>
    <n v="940"/>
  </r>
  <r>
    <x v="60"/>
    <s v="conventional_cashout_cai_301"/>
    <x v="341"/>
    <n v="1"/>
    <n v="1"/>
    <n v="-40"/>
    <n v="940"/>
  </r>
  <r>
    <x v="60"/>
    <s v="conventional_cashout_cai_302"/>
    <x v="342"/>
    <n v="1"/>
    <n v="1"/>
    <n v="-40"/>
    <n v="940"/>
  </r>
  <r>
    <x v="60"/>
    <s v="conventional_cashout_cai_303"/>
    <x v="343"/>
    <n v="1"/>
    <n v="1"/>
    <n v="-40"/>
    <n v="940"/>
  </r>
  <r>
    <x v="60"/>
    <s v="conventional_cashout_cai_304"/>
    <x v="344"/>
    <n v="1"/>
    <n v="1"/>
    <n v="-40"/>
    <n v="940"/>
  </r>
  <r>
    <x v="60"/>
    <s v="conventional_cashout_cai_305"/>
    <x v="345"/>
    <n v="1"/>
    <n v="1"/>
    <n v="-40"/>
    <n v="940"/>
  </r>
  <r>
    <x v="60"/>
    <s v="conventional_cashout_cai_306"/>
    <x v="346"/>
    <n v="1"/>
    <n v="1"/>
    <n v="-40"/>
    <n v="940"/>
  </r>
  <r>
    <x v="60"/>
    <s v="conventional_cashout_cai_307"/>
    <x v="347"/>
    <n v="1"/>
    <n v="1"/>
    <n v="-40"/>
    <n v="940"/>
  </r>
  <r>
    <x v="60"/>
    <s v="conventional_cashout_cai_308"/>
    <x v="348"/>
    <n v="1"/>
    <n v="1"/>
    <n v="-40"/>
    <n v="940"/>
  </r>
  <r>
    <x v="60"/>
    <s v="conventional_cashout_cai_309"/>
    <x v="349"/>
    <n v="1"/>
    <n v="1"/>
    <n v="-40"/>
    <n v="940"/>
  </r>
  <r>
    <x v="60"/>
    <s v="conventional_cashout_cai_310"/>
    <x v="350"/>
    <n v="1"/>
    <n v="1"/>
    <n v="-40"/>
    <n v="940"/>
  </r>
  <r>
    <x v="60"/>
    <s v="conventional_cashout_cai_311"/>
    <x v="351"/>
    <n v="1"/>
    <n v="1"/>
    <n v="-40"/>
    <n v="940"/>
  </r>
  <r>
    <x v="60"/>
    <s v="conventional_cashout_cai_312"/>
    <x v="352"/>
    <n v="1"/>
    <n v="1"/>
    <n v="-40"/>
    <n v="940"/>
  </r>
  <r>
    <x v="60"/>
    <s v="conventional_cashout_cai_313"/>
    <x v="353"/>
    <n v="1"/>
    <n v="1"/>
    <n v="-40"/>
    <n v="940"/>
  </r>
  <r>
    <x v="60"/>
    <s v="conventional_cashout_cai_314"/>
    <x v="354"/>
    <n v="1"/>
    <n v="1"/>
    <n v="-40"/>
    <n v="940"/>
  </r>
  <r>
    <x v="60"/>
    <s v="conventional_cashout_cai_315"/>
    <x v="355"/>
    <n v="1"/>
    <n v="1"/>
    <n v="-40"/>
    <n v="940"/>
  </r>
  <r>
    <x v="60"/>
    <s v="conventional_cashout_cai_316"/>
    <x v="356"/>
    <n v="1"/>
    <n v="1"/>
    <n v="-40"/>
    <n v="940"/>
  </r>
  <r>
    <x v="60"/>
    <s v="conventional_cashout_cai_317"/>
    <x v="357"/>
    <n v="1"/>
    <n v="1"/>
    <n v="-40"/>
    <n v="940"/>
  </r>
  <r>
    <x v="60"/>
    <s v="conventional_cashout_cai_318"/>
    <x v="358"/>
    <n v="1"/>
    <n v="1"/>
    <n v="-40"/>
    <n v="940"/>
  </r>
  <r>
    <x v="60"/>
    <s v="conventional_cashout_cai_319"/>
    <x v="359"/>
    <n v="1"/>
    <n v="1"/>
    <n v="-40"/>
    <n v="940"/>
  </r>
  <r>
    <x v="60"/>
    <s v="conventional_cashout_cai_320"/>
    <x v="360"/>
    <n v="1"/>
    <n v="1"/>
    <n v="-40"/>
    <n v="940"/>
  </r>
  <r>
    <x v="60"/>
    <s v="conventional_cashout_cai_321"/>
    <x v="361"/>
    <n v="1"/>
    <n v="1"/>
    <n v="-40"/>
    <n v="940"/>
  </r>
  <r>
    <x v="60"/>
    <s v="conventional_cashout_cai_322"/>
    <x v="362"/>
    <n v="1"/>
    <n v="1"/>
    <n v="-40"/>
    <n v="940"/>
  </r>
  <r>
    <x v="60"/>
    <s v="conventional_cashout_cai_323"/>
    <x v="363"/>
    <n v="1"/>
    <n v="1"/>
    <n v="-40"/>
    <n v="940"/>
  </r>
  <r>
    <x v="60"/>
    <s v="conventional_cashout_cai_324"/>
    <x v="364"/>
    <n v="1"/>
    <n v="1"/>
    <n v="-40"/>
    <n v="940"/>
  </r>
  <r>
    <x v="60"/>
    <s v="conventional_cashout_cai_325"/>
    <x v="365"/>
    <n v="1"/>
    <n v="1"/>
    <n v="-40"/>
    <n v="940"/>
  </r>
  <r>
    <x v="60"/>
    <s v="conventional_cashout_cai_326"/>
    <x v="366"/>
    <n v="1"/>
    <n v="1"/>
    <n v="-40"/>
    <n v="940"/>
  </r>
  <r>
    <x v="60"/>
    <s v="conventional_cashout_cai_327"/>
    <x v="367"/>
    <n v="1"/>
    <n v="1"/>
    <n v="-40"/>
    <n v="940"/>
  </r>
  <r>
    <x v="60"/>
    <s v="conventional_cashout_cai_328"/>
    <x v="368"/>
    <n v="1"/>
    <n v="1"/>
    <n v="-40"/>
    <n v="940"/>
  </r>
  <r>
    <x v="60"/>
    <s v="conventional_cashout_cai_329"/>
    <x v="369"/>
    <n v="1"/>
    <n v="1"/>
    <n v="-40"/>
    <n v="940"/>
  </r>
  <r>
    <x v="60"/>
    <s v="conventional_cashout_cai_330"/>
    <x v="370"/>
    <n v="1"/>
    <n v="1"/>
    <n v="-40"/>
    <n v="940"/>
  </r>
  <r>
    <x v="60"/>
    <s v="conventional_cashout_cai_331"/>
    <x v="371"/>
    <n v="1"/>
    <n v="1"/>
    <n v="-40"/>
    <n v="940"/>
  </r>
  <r>
    <x v="60"/>
    <s v="conventional_cashout_cai_332"/>
    <x v="372"/>
    <n v="1"/>
    <n v="1"/>
    <n v="-40"/>
    <n v="940"/>
  </r>
  <r>
    <x v="60"/>
    <s v="conventional_cashout_cai_333"/>
    <x v="373"/>
    <n v="1"/>
    <n v="1"/>
    <n v="-40"/>
    <n v="940"/>
  </r>
  <r>
    <x v="60"/>
    <s v="conventional_cashout_cai_334"/>
    <x v="374"/>
    <n v="1"/>
    <n v="1"/>
    <n v="-40"/>
    <n v="940"/>
  </r>
  <r>
    <x v="60"/>
    <s v="conventional_cashout_cai_335"/>
    <x v="375"/>
    <n v="1"/>
    <n v="1"/>
    <n v="-40"/>
    <n v="940"/>
  </r>
  <r>
    <x v="60"/>
    <s v="conventional_cashout_cai_336"/>
    <x v="376"/>
    <n v="1"/>
    <n v="1"/>
    <n v="-40"/>
    <n v="940"/>
  </r>
  <r>
    <x v="60"/>
    <s v="conventional_cashout_cai_337"/>
    <x v="377"/>
    <n v="1"/>
    <n v="1"/>
    <n v="-40"/>
    <n v="940"/>
  </r>
  <r>
    <x v="60"/>
    <s v="conventional_cashout_cai_338"/>
    <x v="378"/>
    <n v="1"/>
    <n v="1"/>
    <n v="-40"/>
    <n v="940"/>
  </r>
  <r>
    <x v="60"/>
    <s v="conventional_cashout_cai_339"/>
    <x v="379"/>
    <n v="1"/>
    <n v="1"/>
    <n v="-40"/>
    <n v="940"/>
  </r>
  <r>
    <x v="60"/>
    <s v="conventional_cashout_cai_340"/>
    <x v="380"/>
    <n v="1"/>
    <n v="1"/>
    <n v="-40"/>
    <n v="940"/>
  </r>
  <r>
    <x v="60"/>
    <s v="conventional_cashout_cai_341"/>
    <x v="381"/>
    <n v="1"/>
    <n v="1"/>
    <n v="-40"/>
    <n v="940"/>
  </r>
  <r>
    <x v="60"/>
    <s v="conventional_cashout_cai_342"/>
    <x v="382"/>
    <n v="1"/>
    <n v="1"/>
    <n v="-40"/>
    <n v="940"/>
  </r>
  <r>
    <x v="60"/>
    <s v="conventional_cashout_cai_343"/>
    <x v="383"/>
    <n v="1"/>
    <n v="1"/>
    <n v="-40"/>
    <n v="940"/>
  </r>
  <r>
    <x v="60"/>
    <s v="conventional_cashout_cai_344"/>
    <x v="384"/>
    <n v="1"/>
    <n v="1"/>
    <n v="-40"/>
    <n v="940"/>
  </r>
  <r>
    <x v="60"/>
    <s v="conventional_cashout_cai_345"/>
    <x v="385"/>
    <n v="1"/>
    <n v="1"/>
    <n v="-40"/>
    <n v="940"/>
  </r>
  <r>
    <x v="60"/>
    <s v="conventional_cashout_cai_346"/>
    <x v="386"/>
    <n v="1"/>
    <n v="1"/>
    <n v="-40"/>
    <n v="940"/>
  </r>
  <r>
    <x v="60"/>
    <s v="conventional_cashout_cai_347"/>
    <x v="387"/>
    <n v="1"/>
    <n v="1"/>
    <n v="-40"/>
    <n v="940"/>
  </r>
  <r>
    <x v="60"/>
    <s v="conventional_cashout_cai_348"/>
    <x v="388"/>
    <n v="1"/>
    <n v="1"/>
    <n v="-40"/>
    <n v="940"/>
  </r>
  <r>
    <x v="60"/>
    <s v="conventional_cashout_cai_349"/>
    <x v="389"/>
    <n v="1"/>
    <n v="1"/>
    <n v="-40"/>
    <n v="940"/>
  </r>
  <r>
    <x v="60"/>
    <s v="conventional_cashout_cai_350"/>
    <x v="390"/>
    <n v="1"/>
    <n v="1"/>
    <n v="-40"/>
    <n v="940"/>
  </r>
  <r>
    <x v="60"/>
    <s v="conventional_cashout_cai_351"/>
    <x v="391"/>
    <n v="1"/>
    <n v="1"/>
    <n v="-40"/>
    <n v="940"/>
  </r>
  <r>
    <x v="60"/>
    <s v="conventional_cashout_cai_352"/>
    <x v="392"/>
    <n v="1"/>
    <n v="1"/>
    <n v="-40"/>
    <n v="940"/>
  </r>
  <r>
    <x v="60"/>
    <s v="conventional_cashout_cai_353"/>
    <x v="393"/>
    <n v="1"/>
    <n v="1"/>
    <n v="-40"/>
    <n v="940"/>
  </r>
  <r>
    <x v="60"/>
    <s v="conventional_cashout_cai_354"/>
    <x v="394"/>
    <n v="1"/>
    <n v="1"/>
    <n v="-40"/>
    <n v="940"/>
  </r>
  <r>
    <x v="60"/>
    <s v="conventional_cashout_cai_355"/>
    <x v="395"/>
    <n v="1"/>
    <n v="1"/>
    <n v="-40"/>
    <n v="940"/>
  </r>
  <r>
    <x v="60"/>
    <s v="conventional_cashout_cai_356"/>
    <x v="396"/>
    <n v="1"/>
    <n v="1"/>
    <n v="-40"/>
    <n v="940"/>
  </r>
  <r>
    <x v="60"/>
    <s v="conventional_cashout_cai_357"/>
    <x v="397"/>
    <n v="1"/>
    <n v="1"/>
    <n v="-40"/>
    <n v="940"/>
  </r>
  <r>
    <x v="60"/>
    <s v="conventional_cashout_cai_358"/>
    <x v="398"/>
    <n v="1"/>
    <n v="1"/>
    <n v="-40"/>
    <n v="940"/>
  </r>
  <r>
    <x v="60"/>
    <s v="conventional_cashout_cai_359"/>
    <x v="399"/>
    <n v="1"/>
    <n v="1"/>
    <n v="-40"/>
    <n v="940"/>
  </r>
  <r>
    <x v="60"/>
    <s v="conventional_cashout_cai_360"/>
    <x v="400"/>
    <n v="1"/>
    <n v="1"/>
    <n v="-40"/>
    <n v="940"/>
  </r>
  <r>
    <x v="60"/>
    <s v="conventional_cashout_cai_361"/>
    <x v="401"/>
    <n v="1"/>
    <n v="1"/>
    <n v="-40"/>
    <n v="940"/>
  </r>
  <r>
    <x v="60"/>
    <s v="conventional_cashout_cai_362"/>
    <x v="402"/>
    <n v="1"/>
    <n v="1"/>
    <n v="-40"/>
    <n v="940"/>
  </r>
  <r>
    <x v="60"/>
    <s v="conventional_cashout_cai_363"/>
    <x v="403"/>
    <n v="1"/>
    <n v="1"/>
    <n v="-40"/>
    <n v="940"/>
  </r>
  <r>
    <x v="60"/>
    <s v="conventional_cashout_cai_364"/>
    <x v="404"/>
    <n v="1"/>
    <n v="1"/>
    <n v="-40"/>
    <n v="940"/>
  </r>
  <r>
    <x v="60"/>
    <s v="conventional_cashout_cai_365"/>
    <x v="405"/>
    <n v="1"/>
    <n v="1"/>
    <n v="-40"/>
    <n v="940"/>
  </r>
  <r>
    <x v="60"/>
    <s v="conventional_cashout_cai_366"/>
    <x v="406"/>
    <n v="1"/>
    <n v="1"/>
    <n v="-40"/>
    <n v="940"/>
  </r>
  <r>
    <x v="60"/>
    <s v="conventional_cashout_cai_367"/>
    <x v="407"/>
    <n v="1"/>
    <n v="1"/>
    <n v="-40"/>
    <n v="940"/>
  </r>
  <r>
    <x v="60"/>
    <s v="conventional_cashout_cai_368"/>
    <x v="408"/>
    <n v="1"/>
    <n v="1"/>
    <n v="-40"/>
    <n v="940"/>
  </r>
  <r>
    <x v="60"/>
    <s v="conventional_cashout_cai_369"/>
    <x v="409"/>
    <n v="1"/>
    <n v="1"/>
    <n v="-40"/>
    <n v="940"/>
  </r>
  <r>
    <x v="60"/>
    <s v="conventional_cashout_cai_370"/>
    <x v="410"/>
    <n v="1"/>
    <n v="1"/>
    <n v="-40"/>
    <n v="940"/>
  </r>
  <r>
    <x v="60"/>
    <s v="conventional_cashout_cai_371"/>
    <x v="411"/>
    <n v="1"/>
    <n v="1"/>
    <n v="-40"/>
    <n v="940"/>
  </r>
  <r>
    <x v="60"/>
    <s v="conventional_cashout_cai_372"/>
    <x v="412"/>
    <n v="1"/>
    <n v="1"/>
    <n v="-40"/>
    <n v="940"/>
  </r>
  <r>
    <x v="60"/>
    <s v="conventional_cashout_cai_373"/>
    <x v="413"/>
    <n v="1"/>
    <n v="1"/>
    <n v="-40"/>
    <n v="940"/>
  </r>
  <r>
    <x v="60"/>
    <s v="conventional_cashout_cai_374"/>
    <x v="414"/>
    <n v="1"/>
    <n v="1"/>
    <n v="-40"/>
    <n v="940"/>
  </r>
  <r>
    <x v="60"/>
    <s v="conventional_cashout_cai_375"/>
    <x v="415"/>
    <n v="1"/>
    <n v="1"/>
    <n v="-40"/>
    <n v="940"/>
  </r>
  <r>
    <x v="60"/>
    <s v="conventional_cashout_cai_376"/>
    <x v="416"/>
    <n v="1"/>
    <n v="1"/>
    <n v="-40"/>
    <n v="940"/>
  </r>
  <r>
    <x v="60"/>
    <s v="conventional_cashout_cai_377"/>
    <x v="417"/>
    <n v="1"/>
    <n v="1"/>
    <n v="-40"/>
    <n v="940"/>
  </r>
  <r>
    <x v="60"/>
    <s v="conventional_cashout_cai_378"/>
    <x v="418"/>
    <n v="1"/>
    <n v="1"/>
    <n v="-40"/>
    <n v="940"/>
  </r>
  <r>
    <x v="60"/>
    <s v="conventional_cashout_cai_379"/>
    <x v="419"/>
    <n v="1"/>
    <n v="1"/>
    <n v="-40"/>
    <n v="940"/>
  </r>
  <r>
    <x v="60"/>
    <s v="conventional_cashout_cai_380"/>
    <x v="420"/>
    <n v="1"/>
    <n v="1"/>
    <n v="-40"/>
    <n v="940"/>
  </r>
  <r>
    <x v="60"/>
    <s v="conventional_cashout_cai_381"/>
    <x v="421"/>
    <n v="1"/>
    <n v="1"/>
    <n v="-40"/>
    <n v="940"/>
  </r>
  <r>
    <x v="60"/>
    <s v="conventional_cashout_cai_382"/>
    <x v="422"/>
    <n v="1"/>
    <n v="1"/>
    <n v="-40"/>
    <n v="940"/>
  </r>
  <r>
    <x v="60"/>
    <s v="conventional_cashout_cai_383"/>
    <x v="423"/>
    <n v="1"/>
    <n v="1"/>
    <n v="-40"/>
    <n v="940"/>
  </r>
  <r>
    <x v="60"/>
    <s v="conventional_cashout_cai_384"/>
    <x v="424"/>
    <n v="1"/>
    <n v="1"/>
    <n v="-40"/>
    <n v="940"/>
  </r>
  <r>
    <x v="60"/>
    <s v="conventional_cashout_cai_385"/>
    <x v="425"/>
    <n v="1"/>
    <n v="1"/>
    <n v="-40"/>
    <n v="940"/>
  </r>
  <r>
    <x v="60"/>
    <s v="conventional_cashout_cai_386"/>
    <x v="426"/>
    <n v="1"/>
    <n v="1"/>
    <n v="-40"/>
    <n v="940"/>
  </r>
  <r>
    <x v="60"/>
    <s v="conventional_cashout_cai_387"/>
    <x v="427"/>
    <n v="1"/>
    <n v="1"/>
    <n v="-40"/>
    <n v="940"/>
  </r>
  <r>
    <x v="60"/>
    <s v="conventional_cashout_cai_388"/>
    <x v="428"/>
    <n v="1"/>
    <n v="1"/>
    <n v="-40"/>
    <n v="940"/>
  </r>
  <r>
    <x v="60"/>
    <s v="conventional_cashout_cai_389"/>
    <x v="429"/>
    <n v="1"/>
    <n v="1"/>
    <n v="-40"/>
    <n v="940"/>
  </r>
  <r>
    <x v="60"/>
    <s v="conventional_cashout_cai_390"/>
    <x v="430"/>
    <n v="1"/>
    <n v="1"/>
    <n v="-40"/>
    <n v="940"/>
  </r>
  <r>
    <x v="60"/>
    <s v="conventional_cashout_cai_391"/>
    <x v="431"/>
    <n v="1"/>
    <n v="1"/>
    <n v="-40"/>
    <n v="940"/>
  </r>
  <r>
    <x v="60"/>
    <s v="conventional_cashout_cai_392"/>
    <x v="432"/>
    <n v="1"/>
    <n v="1"/>
    <n v="-40"/>
    <n v="940"/>
  </r>
  <r>
    <x v="60"/>
    <s v="conventional_cashout_cai_393"/>
    <x v="433"/>
    <n v="1"/>
    <n v="1"/>
    <n v="-40"/>
    <n v="940"/>
  </r>
  <r>
    <x v="60"/>
    <s v="conventional_cashout_cai_394"/>
    <x v="434"/>
    <n v="1"/>
    <n v="1"/>
    <n v="-40"/>
    <n v="940"/>
  </r>
  <r>
    <x v="60"/>
    <s v="conventional_cashout_cai_395"/>
    <x v="435"/>
    <n v="1"/>
    <n v="1"/>
    <n v="-40"/>
    <n v="940"/>
  </r>
  <r>
    <x v="60"/>
    <s v="conventional_cashout_cai_396"/>
    <x v="436"/>
    <n v="1"/>
    <n v="1"/>
    <n v="-40"/>
    <n v="940"/>
  </r>
  <r>
    <x v="60"/>
    <s v="conventional_cashout_cai_397"/>
    <x v="437"/>
    <n v="1"/>
    <n v="1"/>
    <n v="-40"/>
    <n v="940"/>
  </r>
  <r>
    <x v="60"/>
    <s v="conventional_cashout_cai_398"/>
    <x v="438"/>
    <n v="1"/>
    <n v="1"/>
    <n v="-40"/>
    <n v="940"/>
  </r>
  <r>
    <x v="60"/>
    <s v="conventional_cashout_cai_399"/>
    <x v="439"/>
    <n v="1"/>
    <n v="1"/>
    <n v="-40"/>
    <n v="940"/>
  </r>
  <r>
    <x v="60"/>
    <s v="conventional_cashout_cai_400"/>
    <x v="440"/>
    <n v="1"/>
    <n v="1"/>
    <n v="-40"/>
    <n v="940"/>
  </r>
  <r>
    <x v="60"/>
    <s v="conventional_cashout_cai_401"/>
    <x v="441"/>
    <n v="1"/>
    <n v="1"/>
    <n v="-40"/>
    <n v="940"/>
  </r>
  <r>
    <x v="60"/>
    <s v="conventional_cashout_cai_402"/>
    <x v="442"/>
    <n v="1"/>
    <n v="1"/>
    <n v="-40"/>
    <n v="940"/>
  </r>
  <r>
    <x v="60"/>
    <s v="conventional_cashout_cai_403"/>
    <x v="443"/>
    <n v="1"/>
    <n v="1"/>
    <n v="-40"/>
    <n v="940"/>
  </r>
  <r>
    <x v="60"/>
    <s v="conventional_cashout_cai_404"/>
    <x v="444"/>
    <n v="1"/>
    <n v="1"/>
    <n v="-40"/>
    <n v="940"/>
  </r>
  <r>
    <x v="60"/>
    <s v="conventional_cashout_cai_405"/>
    <x v="445"/>
    <n v="1"/>
    <n v="1"/>
    <n v="-40"/>
    <n v="940"/>
  </r>
  <r>
    <x v="60"/>
    <s v="conventional_cashout_cai_406"/>
    <x v="446"/>
    <n v="1"/>
    <n v="1"/>
    <n v="-40"/>
    <n v="940"/>
  </r>
  <r>
    <x v="60"/>
    <s v="conventional_cashout_cai_407"/>
    <x v="447"/>
    <n v="1"/>
    <n v="1"/>
    <n v="-40"/>
    <n v="940"/>
  </r>
  <r>
    <x v="60"/>
    <s v="conventional_cashout_cai_408"/>
    <x v="448"/>
    <n v="1"/>
    <n v="1"/>
    <n v="-40"/>
    <n v="940"/>
  </r>
  <r>
    <x v="60"/>
    <s v="conventional_cashout_cai_409"/>
    <x v="449"/>
    <n v="1"/>
    <n v="1"/>
    <n v="-40"/>
    <n v="940"/>
  </r>
  <r>
    <x v="60"/>
    <s v="conventional_cashout_cai_410"/>
    <x v="450"/>
    <n v="1"/>
    <n v="1"/>
    <n v="-40"/>
    <n v="940"/>
  </r>
  <r>
    <x v="60"/>
    <s v="conventional_cashout_cai_411"/>
    <x v="451"/>
    <n v="1"/>
    <n v="1"/>
    <n v="-40"/>
    <n v="940"/>
  </r>
  <r>
    <x v="60"/>
    <s v="conventional_cashout_cai_412"/>
    <x v="452"/>
    <n v="1"/>
    <n v="1"/>
    <n v="-40"/>
    <n v="940"/>
  </r>
  <r>
    <x v="60"/>
    <s v="conventional_cashout_cai_413"/>
    <x v="453"/>
    <n v="1"/>
    <n v="1"/>
    <n v="-40"/>
    <n v="940"/>
  </r>
  <r>
    <x v="60"/>
    <s v="conventional_cashout_cai_414"/>
    <x v="454"/>
    <n v="1"/>
    <n v="1"/>
    <n v="-40"/>
    <n v="940"/>
  </r>
  <r>
    <x v="60"/>
    <s v="conventional_cashout_cai_415"/>
    <x v="455"/>
    <n v="1"/>
    <n v="1"/>
    <n v="-40"/>
    <n v="940"/>
  </r>
  <r>
    <x v="60"/>
    <s v="conventional_cashout_cai_416"/>
    <x v="456"/>
    <n v="1"/>
    <n v="1"/>
    <n v="-40"/>
    <n v="940"/>
  </r>
  <r>
    <x v="60"/>
    <s v="conventional_cashout_cai_417"/>
    <x v="457"/>
    <n v="1"/>
    <n v="1"/>
    <n v="-40"/>
    <n v="940"/>
  </r>
  <r>
    <x v="60"/>
    <s v="conventional_cashout_cai_418"/>
    <x v="458"/>
    <n v="1"/>
    <n v="1"/>
    <n v="-40"/>
    <n v="940"/>
  </r>
  <r>
    <x v="60"/>
    <s v="conventional_cashout_cai_419"/>
    <x v="459"/>
    <n v="1"/>
    <n v="1"/>
    <n v="-40"/>
    <n v="940"/>
  </r>
  <r>
    <x v="60"/>
    <s v="conventional_cashout_cai_420"/>
    <x v="460"/>
    <n v="1"/>
    <n v="1"/>
    <n v="-40"/>
    <n v="940"/>
  </r>
  <r>
    <x v="60"/>
    <s v="conventional_cashout_cai_421"/>
    <x v="461"/>
    <n v="1"/>
    <n v="1"/>
    <n v="-40"/>
    <n v="940"/>
  </r>
  <r>
    <x v="60"/>
    <s v="conventional_cashout_cai_422"/>
    <x v="462"/>
    <n v="1"/>
    <n v="1"/>
    <n v="-40"/>
    <n v="940"/>
  </r>
  <r>
    <x v="60"/>
    <s v="conventional_cashout_cai_423"/>
    <x v="463"/>
    <n v="1"/>
    <n v="1"/>
    <n v="-40"/>
    <n v="940"/>
  </r>
  <r>
    <x v="60"/>
    <s v="conventional_cashout_cai_424"/>
    <x v="464"/>
    <n v="1"/>
    <n v="1"/>
    <n v="-40"/>
    <n v="940"/>
  </r>
  <r>
    <x v="60"/>
    <s v="conventional_cashout_cai_425"/>
    <x v="465"/>
    <n v="1"/>
    <n v="1"/>
    <n v="-40"/>
    <n v="940"/>
  </r>
  <r>
    <x v="60"/>
    <s v="conventional_cashout_cai_426"/>
    <x v="466"/>
    <n v="1"/>
    <n v="1"/>
    <n v="-40"/>
    <n v="940"/>
  </r>
  <r>
    <x v="60"/>
    <s v="conventional_cashout_cai_427"/>
    <x v="467"/>
    <n v="1"/>
    <n v="1"/>
    <n v="-40"/>
    <n v="940"/>
  </r>
  <r>
    <x v="60"/>
    <s v="conventional_cashout_cai_428"/>
    <x v="468"/>
    <n v="1"/>
    <n v="1"/>
    <n v="-40"/>
    <n v="940"/>
  </r>
  <r>
    <x v="60"/>
    <s v="conventional_cashout_cai_429"/>
    <x v="469"/>
    <n v="1"/>
    <n v="1"/>
    <n v="-40"/>
    <n v="940"/>
  </r>
  <r>
    <x v="60"/>
    <s v="conventional_cashout_cai_430"/>
    <x v="470"/>
    <n v="1"/>
    <n v="1"/>
    <n v="-40"/>
    <n v="940"/>
  </r>
  <r>
    <x v="60"/>
    <s v="conventional_cashout_cai_431"/>
    <x v="471"/>
    <n v="1"/>
    <n v="1"/>
    <n v="-40"/>
    <n v="940"/>
  </r>
  <r>
    <x v="60"/>
    <s v="conventional_cashout_cai_432"/>
    <x v="472"/>
    <n v="1"/>
    <n v="1"/>
    <n v="-40"/>
    <n v="940"/>
  </r>
  <r>
    <x v="60"/>
    <s v="conventional_cashout_cai_433"/>
    <x v="473"/>
    <n v="1"/>
    <n v="1"/>
    <n v="-40"/>
    <n v="940"/>
  </r>
  <r>
    <x v="60"/>
    <s v="conventional_cashout_cai_434"/>
    <x v="474"/>
    <n v="1"/>
    <n v="1"/>
    <n v="-40"/>
    <n v="940"/>
  </r>
  <r>
    <x v="60"/>
    <s v="conventional_cashout_cai_435"/>
    <x v="475"/>
    <n v="1"/>
    <n v="1"/>
    <n v="-40"/>
    <n v="940"/>
  </r>
  <r>
    <x v="60"/>
    <s v="conventional_cashout_cai_436"/>
    <x v="476"/>
    <n v="1"/>
    <n v="1"/>
    <n v="-40"/>
    <n v="940"/>
  </r>
  <r>
    <x v="60"/>
    <s v="conventional_cashout_cai_437"/>
    <x v="477"/>
    <n v="1"/>
    <n v="1"/>
    <n v="-40"/>
    <n v="940"/>
  </r>
  <r>
    <x v="60"/>
    <s v="conventional_cashout_cai_438"/>
    <x v="478"/>
    <n v="1"/>
    <n v="1"/>
    <n v="-40"/>
    <n v="940"/>
  </r>
  <r>
    <x v="60"/>
    <s v="conventional_cashout_cai_439"/>
    <x v="479"/>
    <n v="1"/>
    <n v="1"/>
    <n v="-40"/>
    <n v="940"/>
  </r>
  <r>
    <x v="60"/>
    <s v="conventional_cashout_cai_440"/>
    <x v="480"/>
    <n v="1"/>
    <n v="1"/>
    <n v="-40"/>
    <n v="940"/>
  </r>
  <r>
    <x v="60"/>
    <s v="conventional_cashout_cai_441"/>
    <x v="481"/>
    <n v="1"/>
    <n v="1"/>
    <n v="-40"/>
    <n v="940"/>
  </r>
  <r>
    <x v="60"/>
    <s v="conventional_cashout_cai_442"/>
    <x v="482"/>
    <n v="1"/>
    <n v="1"/>
    <n v="-40"/>
    <n v="940"/>
  </r>
  <r>
    <x v="60"/>
    <s v="conventional_cashout_cai_443"/>
    <x v="483"/>
    <n v="1"/>
    <n v="1"/>
    <n v="-40"/>
    <n v="940"/>
  </r>
  <r>
    <x v="60"/>
    <s v="conventional_cashout_cai_444"/>
    <x v="484"/>
    <n v="1"/>
    <n v="1"/>
    <n v="-40"/>
    <n v="940"/>
  </r>
  <r>
    <x v="60"/>
    <s v="conventional_cashout_cai_445"/>
    <x v="485"/>
    <n v="1"/>
    <n v="1"/>
    <n v="-40"/>
    <n v="940"/>
  </r>
  <r>
    <x v="60"/>
    <s v="conventional_cashout_cai_446"/>
    <x v="486"/>
    <n v="1"/>
    <n v="1"/>
    <n v="-40"/>
    <n v="940"/>
  </r>
  <r>
    <x v="60"/>
    <s v="conventional_cashout_cai_447"/>
    <x v="487"/>
    <n v="1"/>
    <n v="1"/>
    <n v="-40"/>
    <n v="940"/>
  </r>
  <r>
    <x v="60"/>
    <s v="conventional_cashout_cai_448"/>
    <x v="488"/>
    <n v="1"/>
    <n v="1"/>
    <n v="-40"/>
    <n v="940"/>
  </r>
  <r>
    <x v="60"/>
    <s v="conventional_cashout_cai_449"/>
    <x v="489"/>
    <n v="1"/>
    <n v="1"/>
    <n v="-40"/>
    <n v="940"/>
  </r>
  <r>
    <x v="60"/>
    <s v="conventional_cashout_cai_450"/>
    <x v="490"/>
    <n v="1"/>
    <n v="1"/>
    <n v="-40"/>
    <n v="940"/>
  </r>
  <r>
    <x v="60"/>
    <s v="conventional_cashout_cai_451"/>
    <x v="491"/>
    <n v="1"/>
    <n v="1"/>
    <n v="-40"/>
    <n v="940"/>
  </r>
  <r>
    <x v="60"/>
    <s v="conventional_cashout_cai_452"/>
    <x v="492"/>
    <n v="1"/>
    <n v="1"/>
    <n v="-40"/>
    <n v="940"/>
  </r>
  <r>
    <x v="60"/>
    <s v="conventional_cashout_cai_453"/>
    <x v="493"/>
    <n v="1"/>
    <n v="1"/>
    <n v="-40"/>
    <n v="940"/>
  </r>
  <r>
    <x v="60"/>
    <s v="conventional_cashout_cai_454"/>
    <x v="494"/>
    <n v="1"/>
    <n v="1"/>
    <n v="-40"/>
    <n v="940"/>
  </r>
  <r>
    <x v="60"/>
    <s v="conventional_cashout_cai_455"/>
    <x v="495"/>
    <n v="1"/>
    <n v="1"/>
    <n v="-40"/>
    <n v="940"/>
  </r>
  <r>
    <x v="60"/>
    <s v="conventional_cashout_cai_456"/>
    <x v="496"/>
    <n v="1"/>
    <n v="1"/>
    <n v="-40"/>
    <n v="940"/>
  </r>
  <r>
    <x v="60"/>
    <s v="conventional_cashout_cai_457"/>
    <x v="497"/>
    <n v="1"/>
    <n v="1"/>
    <n v="-40"/>
    <n v="940"/>
  </r>
  <r>
    <x v="60"/>
    <s v="conventional_cashout_cai_458"/>
    <x v="498"/>
    <n v="1"/>
    <n v="1"/>
    <n v="-40"/>
    <n v="940"/>
  </r>
  <r>
    <x v="60"/>
    <s v="conventional_cashout_cai_459"/>
    <x v="499"/>
    <n v="1"/>
    <n v="1"/>
    <n v="-40"/>
    <n v="940"/>
  </r>
  <r>
    <x v="60"/>
    <s v="conventional_cashout_cai_460"/>
    <x v="500"/>
    <n v="1"/>
    <n v="1"/>
    <n v="-40"/>
    <n v="940"/>
  </r>
  <r>
    <x v="60"/>
    <s v="conventional_cashout_cai_461"/>
    <x v="501"/>
    <n v="1"/>
    <n v="1"/>
    <n v="-40"/>
    <n v="940"/>
  </r>
  <r>
    <x v="60"/>
    <s v="conventional_cashout_cai_462"/>
    <x v="502"/>
    <n v="1"/>
    <n v="1"/>
    <n v="-40"/>
    <n v="940"/>
  </r>
  <r>
    <x v="60"/>
    <s v="conventional_cashout_cai_463"/>
    <x v="503"/>
    <n v="1"/>
    <n v="1"/>
    <n v="-40"/>
    <n v="940"/>
  </r>
  <r>
    <x v="60"/>
    <s v="conventional_cashout_cai_464"/>
    <x v="504"/>
    <n v="1"/>
    <n v="1"/>
    <n v="-40"/>
    <n v="940"/>
  </r>
  <r>
    <x v="60"/>
    <s v="conventional_cashout_cai_465"/>
    <x v="505"/>
    <n v="1"/>
    <n v="1"/>
    <n v="-40"/>
    <n v="940"/>
  </r>
  <r>
    <x v="60"/>
    <s v="conventional_cashout_cai_466"/>
    <x v="506"/>
    <n v="1"/>
    <n v="1"/>
    <n v="-40"/>
    <n v="940"/>
  </r>
  <r>
    <x v="60"/>
    <s v="conventional_cashout_cai_467"/>
    <x v="507"/>
    <n v="1"/>
    <n v="1"/>
    <n v="-40"/>
    <n v="940"/>
  </r>
  <r>
    <x v="60"/>
    <s v="conventional_cashout_cai_468"/>
    <x v="508"/>
    <n v="1"/>
    <n v="1"/>
    <n v="-40"/>
    <n v="940"/>
  </r>
  <r>
    <x v="60"/>
    <s v="conventional_cashout_cai_469"/>
    <x v="509"/>
    <n v="1"/>
    <n v="1"/>
    <n v="-40"/>
    <n v="940"/>
  </r>
  <r>
    <x v="60"/>
    <s v="conventional_cashout_cai_470"/>
    <x v="510"/>
    <n v="1"/>
    <n v="1"/>
    <n v="-40"/>
    <n v="940"/>
  </r>
  <r>
    <x v="60"/>
    <s v="conventional_cashout_cai_471"/>
    <x v="511"/>
    <n v="1"/>
    <n v="1"/>
    <n v="-40"/>
    <n v="940"/>
  </r>
  <r>
    <x v="60"/>
    <s v="conventional_cashout_cai_472"/>
    <x v="512"/>
    <n v="1"/>
    <n v="1"/>
    <n v="-40"/>
    <n v="940"/>
  </r>
  <r>
    <x v="60"/>
    <s v="conventional_cashout_cai_473"/>
    <x v="513"/>
    <n v="1"/>
    <n v="1"/>
    <n v="-40"/>
    <n v="940"/>
  </r>
  <r>
    <x v="60"/>
    <s v="conventional_cashout_cai_474"/>
    <x v="514"/>
    <n v="1"/>
    <n v="1"/>
    <n v="-40"/>
    <n v="940"/>
  </r>
  <r>
    <x v="60"/>
    <s v="conventional_cashout_cai_475"/>
    <x v="515"/>
    <n v="1"/>
    <n v="1"/>
    <n v="-40"/>
    <n v="940"/>
  </r>
  <r>
    <x v="60"/>
    <s v="conventional_cashout_cai_476"/>
    <x v="516"/>
    <n v="1"/>
    <n v="1"/>
    <n v="-40"/>
    <n v="940"/>
  </r>
  <r>
    <x v="60"/>
    <s v="conventional_cashout_cai_477"/>
    <x v="517"/>
    <n v="1"/>
    <n v="1"/>
    <n v="-40"/>
    <n v="940"/>
  </r>
  <r>
    <x v="60"/>
    <s v="conventional_cashout_cai_478"/>
    <x v="518"/>
    <n v="1"/>
    <n v="1"/>
    <n v="-40"/>
    <n v="940"/>
  </r>
  <r>
    <x v="60"/>
    <s v="conventional_cashout_cai_479"/>
    <x v="519"/>
    <n v="1"/>
    <n v="1"/>
    <n v="-40"/>
    <n v="940"/>
  </r>
  <r>
    <x v="60"/>
    <s v="conventional_cashout_cai_480"/>
    <x v="520"/>
    <n v="1"/>
    <n v="1"/>
    <n v="-40"/>
    <n v="940"/>
  </r>
  <r>
    <x v="60"/>
    <s v="conventional_cashout_cai_481"/>
    <x v="521"/>
    <n v="1"/>
    <n v="1"/>
    <n v="-40"/>
    <n v="940"/>
  </r>
  <r>
    <x v="60"/>
    <s v="conventional_cashout_cai_482"/>
    <x v="522"/>
    <n v="1"/>
    <n v="1"/>
    <n v="-40"/>
    <n v="940"/>
  </r>
  <r>
    <x v="60"/>
    <s v="conventional_cashout_cai_483"/>
    <x v="523"/>
    <n v="1"/>
    <n v="1"/>
    <n v="-40"/>
    <n v="940"/>
  </r>
  <r>
    <x v="60"/>
    <s v="conventional_cashout_cai_484"/>
    <x v="524"/>
    <n v="1"/>
    <n v="1"/>
    <n v="-40"/>
    <n v="940"/>
  </r>
  <r>
    <x v="60"/>
    <s v="conventional_cashout_cai_485"/>
    <x v="525"/>
    <n v="1"/>
    <n v="1"/>
    <n v="-40"/>
    <n v="940"/>
  </r>
  <r>
    <x v="60"/>
    <s v="conventional_cashout_cai_486"/>
    <x v="526"/>
    <n v="1"/>
    <n v="1"/>
    <n v="-40"/>
    <n v="940"/>
  </r>
  <r>
    <x v="60"/>
    <s v="conventional_cashout_cai_487"/>
    <x v="527"/>
    <n v="1"/>
    <n v="1"/>
    <n v="-40"/>
    <n v="940"/>
  </r>
  <r>
    <x v="60"/>
    <s v="conventional_cashout_cai_488"/>
    <x v="528"/>
    <n v="1"/>
    <n v="1"/>
    <n v="-40"/>
    <n v="940"/>
  </r>
  <r>
    <x v="60"/>
    <s v="conventional_cashout_cai_489"/>
    <x v="529"/>
    <n v="1"/>
    <n v="1"/>
    <n v="-40"/>
    <n v="940"/>
  </r>
  <r>
    <x v="60"/>
    <s v="conventional_cashout_cai_490"/>
    <x v="530"/>
    <n v="1"/>
    <n v="1"/>
    <n v="-40"/>
    <n v="940"/>
  </r>
  <r>
    <x v="60"/>
    <s v="conventional_cashout_cai_491"/>
    <x v="531"/>
    <n v="1"/>
    <n v="1"/>
    <n v="-40"/>
    <n v="940"/>
  </r>
  <r>
    <x v="60"/>
    <s v="conventional_cashout_cai_492"/>
    <x v="532"/>
    <n v="1"/>
    <n v="1"/>
    <n v="-40"/>
    <n v="940"/>
  </r>
  <r>
    <x v="60"/>
    <s v="conventional_cashout_cai_493"/>
    <x v="533"/>
    <n v="1"/>
    <n v="1"/>
    <n v="-40"/>
    <n v="940"/>
  </r>
  <r>
    <x v="60"/>
    <s v="conventional_cashout_cai_494"/>
    <x v="534"/>
    <n v="1"/>
    <n v="1"/>
    <n v="-40"/>
    <n v="940"/>
  </r>
  <r>
    <x v="60"/>
    <s v="conventional_cashout_cai_495"/>
    <x v="535"/>
    <n v="1"/>
    <n v="1"/>
    <n v="-40"/>
    <n v="940"/>
  </r>
  <r>
    <x v="60"/>
    <s v="conventional_cashout_cai_496"/>
    <x v="536"/>
    <n v="1"/>
    <n v="1"/>
    <n v="-40"/>
    <n v="940"/>
  </r>
  <r>
    <x v="60"/>
    <s v="conventional_cashout_cai_497"/>
    <x v="537"/>
    <n v="1"/>
    <n v="1"/>
    <n v="-40"/>
    <n v="940"/>
  </r>
  <r>
    <x v="60"/>
    <s v="conventional_cashout_cai_498"/>
    <x v="538"/>
    <n v="1"/>
    <n v="1"/>
    <n v="-40"/>
    <n v="940"/>
  </r>
  <r>
    <x v="60"/>
    <s v="conventional_cashout_cai_499"/>
    <x v="539"/>
    <n v="1"/>
    <n v="1"/>
    <n v="-40"/>
    <n v="940"/>
  </r>
  <r>
    <x v="60"/>
    <s v="conventional_cashout_cai_500"/>
    <x v="540"/>
    <n v="1"/>
    <n v="1"/>
    <n v="-40"/>
    <n v="940"/>
  </r>
  <r>
    <x v="60"/>
    <s v="conventional_cashout_cai_501"/>
    <x v="541"/>
    <n v="1"/>
    <n v="1"/>
    <n v="-40"/>
    <n v="940"/>
  </r>
  <r>
    <x v="60"/>
    <s v="conventional_cashout_cai_502"/>
    <x v="542"/>
    <n v="1"/>
    <n v="1"/>
    <n v="-40"/>
    <n v="940"/>
  </r>
  <r>
    <x v="60"/>
    <s v="conventional_cashout_cai_503"/>
    <x v="543"/>
    <n v="1"/>
    <n v="1"/>
    <n v="-40"/>
    <n v="940"/>
  </r>
  <r>
    <x v="60"/>
    <s v="conventional_cashout_cai_504"/>
    <x v="544"/>
    <n v="1"/>
    <n v="1"/>
    <n v="-40"/>
    <n v="940"/>
  </r>
  <r>
    <x v="60"/>
    <s v="conventional_cashout_cai_505"/>
    <x v="545"/>
    <n v="1"/>
    <n v="1"/>
    <n v="-40"/>
    <n v="940"/>
  </r>
  <r>
    <x v="60"/>
    <s v="conventional_cashout_cai_506"/>
    <x v="546"/>
    <n v="1"/>
    <n v="1"/>
    <n v="-40"/>
    <n v="940"/>
  </r>
  <r>
    <x v="60"/>
    <s v="conventional_cashout_cai_507"/>
    <x v="547"/>
    <n v="1"/>
    <n v="1"/>
    <n v="-40"/>
    <n v="940"/>
  </r>
  <r>
    <x v="60"/>
    <s v="conventional_cashout_cai_508"/>
    <x v="548"/>
    <n v="1"/>
    <n v="1"/>
    <n v="-40"/>
    <n v="940"/>
  </r>
  <r>
    <x v="60"/>
    <s v="conventional_cashout_cai_509"/>
    <x v="549"/>
    <n v="1"/>
    <n v="1"/>
    <n v="-40"/>
    <n v="940"/>
  </r>
  <r>
    <x v="60"/>
    <s v="conventional_cashout_cai_510"/>
    <x v="550"/>
    <n v="1"/>
    <n v="1"/>
    <n v="-40"/>
    <n v="940"/>
  </r>
  <r>
    <x v="60"/>
    <s v="conventional_cashout_cai_511"/>
    <x v="551"/>
    <n v="1"/>
    <n v="1"/>
    <n v="-40"/>
    <n v="940"/>
  </r>
  <r>
    <x v="60"/>
    <s v="conventional_cashout_cai_512"/>
    <x v="552"/>
    <n v="1"/>
    <n v="1"/>
    <n v="-40"/>
    <n v="940"/>
  </r>
  <r>
    <x v="60"/>
    <s v="conventional_cashout_cai_513"/>
    <x v="553"/>
    <n v="1"/>
    <n v="1"/>
    <n v="-40"/>
    <n v="940"/>
  </r>
  <r>
    <x v="60"/>
    <s v="conventional_cashout_cai_514"/>
    <x v="554"/>
    <n v="1"/>
    <n v="1"/>
    <n v="-40"/>
    <n v="940"/>
  </r>
  <r>
    <x v="60"/>
    <s v="conventional_cashout_cai_515"/>
    <x v="555"/>
    <n v="1"/>
    <n v="1"/>
    <n v="-40"/>
    <n v="940"/>
  </r>
  <r>
    <x v="60"/>
    <s v="conventional_cashout_cai_516"/>
    <x v="556"/>
    <n v="1"/>
    <n v="1"/>
    <n v="-40"/>
    <n v="940"/>
  </r>
  <r>
    <x v="60"/>
    <s v="conventional_cashout_cai_517"/>
    <x v="557"/>
    <n v="1"/>
    <n v="1"/>
    <n v="-40"/>
    <n v="940"/>
  </r>
  <r>
    <x v="60"/>
    <s v="conventional_cashout_cai_518"/>
    <x v="558"/>
    <n v="1"/>
    <n v="1"/>
    <n v="-40"/>
    <n v="940"/>
  </r>
  <r>
    <x v="60"/>
    <s v="conventional_cashout_cai_519"/>
    <x v="559"/>
    <n v="1"/>
    <n v="1"/>
    <n v="-40"/>
    <n v="940"/>
  </r>
  <r>
    <x v="60"/>
    <s v="conventional_cashout_cai_520"/>
    <x v="560"/>
    <n v="1"/>
    <n v="1"/>
    <n v="-40"/>
    <n v="940"/>
  </r>
  <r>
    <x v="60"/>
    <s v="conventional_cashout_cai_521"/>
    <x v="561"/>
    <n v="1"/>
    <n v="1"/>
    <n v="-40"/>
    <n v="940"/>
  </r>
  <r>
    <x v="60"/>
    <s v="conventional_cashout_cai_522"/>
    <x v="562"/>
    <n v="1"/>
    <n v="1"/>
    <n v="-40"/>
    <n v="940"/>
  </r>
  <r>
    <x v="60"/>
    <s v="conventional_cashout_cai_523"/>
    <x v="563"/>
    <n v="1"/>
    <n v="1"/>
    <n v="-40"/>
    <n v="940"/>
  </r>
  <r>
    <x v="60"/>
    <s v="conventional_cashout_cai_524"/>
    <x v="564"/>
    <n v="1"/>
    <n v="1"/>
    <n v="-40"/>
    <n v="940"/>
  </r>
  <r>
    <x v="60"/>
    <s v="conventional_cashout_cai_525"/>
    <x v="565"/>
    <n v="1"/>
    <n v="1"/>
    <n v="-40"/>
    <n v="940"/>
  </r>
  <r>
    <x v="60"/>
    <s v="conventional_cashout_cai_526"/>
    <x v="566"/>
    <n v="1"/>
    <n v="1"/>
    <n v="-40"/>
    <n v="940"/>
  </r>
  <r>
    <x v="60"/>
    <s v="conventional_cashout_cai_527"/>
    <x v="567"/>
    <n v="1"/>
    <n v="1"/>
    <n v="-40"/>
    <n v="940"/>
  </r>
  <r>
    <x v="60"/>
    <s v="conventional_cashout_cai_528"/>
    <x v="568"/>
    <n v="1"/>
    <n v="1"/>
    <n v="-40"/>
    <n v="940"/>
  </r>
  <r>
    <x v="60"/>
    <s v="conventional_cashout_cai_529"/>
    <x v="569"/>
    <n v="1"/>
    <n v="1"/>
    <n v="-40"/>
    <n v="940"/>
  </r>
  <r>
    <x v="60"/>
    <s v="conventional_cashout_cai_530"/>
    <x v="570"/>
    <n v="1"/>
    <n v="1"/>
    <n v="-40"/>
    <n v="940"/>
  </r>
  <r>
    <x v="60"/>
    <s v="conventional_cashout_cai_531"/>
    <x v="571"/>
    <n v="1"/>
    <n v="1"/>
    <n v="-40"/>
    <n v="940"/>
  </r>
  <r>
    <x v="60"/>
    <s v="conventional_cashout_cai_532"/>
    <x v="572"/>
    <n v="1"/>
    <n v="1"/>
    <n v="-40"/>
    <n v="940"/>
  </r>
  <r>
    <x v="60"/>
    <s v="conventional_cashout_cai_533"/>
    <x v="573"/>
    <n v="1"/>
    <n v="1"/>
    <n v="-40"/>
    <n v="940"/>
  </r>
  <r>
    <x v="60"/>
    <s v="conventional_cashout_cai_534"/>
    <x v="574"/>
    <n v="1"/>
    <n v="1"/>
    <n v="-40"/>
    <n v="940"/>
  </r>
  <r>
    <x v="60"/>
    <s v="conventional_cashout_cai_535"/>
    <x v="575"/>
    <n v="1"/>
    <n v="1"/>
    <n v="-40"/>
    <n v="940"/>
  </r>
  <r>
    <x v="60"/>
    <s v="conventional_cashout_cai_536"/>
    <x v="576"/>
    <n v="1"/>
    <n v="1"/>
    <n v="-40"/>
    <n v="940"/>
  </r>
  <r>
    <x v="60"/>
    <s v="conventional_cashout_cai_537"/>
    <x v="577"/>
    <n v="1"/>
    <n v="1"/>
    <n v="-40"/>
    <n v="940"/>
  </r>
  <r>
    <x v="60"/>
    <s v="conventional_cashout_cai_538"/>
    <x v="578"/>
    <n v="1"/>
    <n v="1"/>
    <n v="-40"/>
    <n v="940"/>
  </r>
  <r>
    <x v="60"/>
    <s v="conventional_cashout_cai_539"/>
    <x v="579"/>
    <n v="1"/>
    <n v="1"/>
    <n v="-40"/>
    <n v="940"/>
  </r>
  <r>
    <x v="60"/>
    <s v="conventional_cashout_cai_540"/>
    <x v="580"/>
    <n v="1"/>
    <n v="1"/>
    <n v="-40"/>
    <n v="940"/>
  </r>
  <r>
    <x v="60"/>
    <s v="conventional_cashout_cai_541"/>
    <x v="581"/>
    <n v="1"/>
    <n v="1"/>
    <n v="-40"/>
    <n v="940"/>
  </r>
  <r>
    <x v="60"/>
    <s v="conventional_cashout_cai_542"/>
    <x v="582"/>
    <n v="1"/>
    <n v="1"/>
    <n v="-40"/>
    <n v="940"/>
  </r>
  <r>
    <x v="60"/>
    <s v="conventional_cashout_cai_543"/>
    <x v="583"/>
    <n v="1"/>
    <n v="1"/>
    <n v="-40"/>
    <n v="940"/>
  </r>
  <r>
    <x v="60"/>
    <s v="conventional_cashout_cai_544"/>
    <x v="584"/>
    <n v="1"/>
    <n v="1"/>
    <n v="-40"/>
    <n v="940"/>
  </r>
  <r>
    <x v="60"/>
    <s v="conventional_cashout_cai_545"/>
    <x v="585"/>
    <n v="1"/>
    <n v="1"/>
    <n v="-40"/>
    <n v="940"/>
  </r>
  <r>
    <x v="60"/>
    <s v="conventional_cashout_cai_546"/>
    <x v="586"/>
    <n v="1"/>
    <n v="1"/>
    <n v="-40"/>
    <n v="940"/>
  </r>
  <r>
    <x v="60"/>
    <s v="conventional_cashout_cai_547"/>
    <x v="587"/>
    <n v="1"/>
    <n v="1"/>
    <n v="-40"/>
    <n v="940"/>
  </r>
  <r>
    <x v="60"/>
    <s v="conventional_cashout_cai_548"/>
    <x v="588"/>
    <n v="1"/>
    <n v="1"/>
    <n v="-40"/>
    <n v="940"/>
  </r>
  <r>
    <x v="60"/>
    <s v="conventional_cashout_cai_549"/>
    <x v="589"/>
    <n v="1"/>
    <n v="1"/>
    <n v="-40"/>
    <n v="940"/>
  </r>
  <r>
    <x v="60"/>
    <s v="conventional_cashout_cai_550"/>
    <x v="590"/>
    <n v="1"/>
    <n v="1"/>
    <n v="-40"/>
    <n v="940"/>
  </r>
  <r>
    <x v="60"/>
    <s v="conventional_cashout_cai_551"/>
    <x v="591"/>
    <n v="1"/>
    <n v="1"/>
    <n v="-40"/>
    <n v="940"/>
  </r>
  <r>
    <x v="60"/>
    <s v="conventional_cashout_cai_552"/>
    <x v="592"/>
    <n v="1"/>
    <n v="1"/>
    <n v="-40"/>
    <n v="940"/>
  </r>
  <r>
    <x v="60"/>
    <s v="conventional_cashout_cai_553"/>
    <x v="593"/>
    <n v="1"/>
    <n v="1"/>
    <n v="-40"/>
    <n v="940"/>
  </r>
  <r>
    <x v="60"/>
    <s v="conventional_cashout_cai_554"/>
    <x v="594"/>
    <n v="1"/>
    <n v="1"/>
    <n v="-40"/>
    <n v="940"/>
  </r>
  <r>
    <x v="60"/>
    <s v="conventional_cashout_cai_555"/>
    <x v="595"/>
    <n v="1"/>
    <n v="1"/>
    <n v="-40"/>
    <n v="940"/>
  </r>
  <r>
    <x v="60"/>
    <s v="conventional_cashout_cai_556"/>
    <x v="596"/>
    <n v="1"/>
    <n v="1"/>
    <n v="-40"/>
    <n v="940"/>
  </r>
  <r>
    <x v="60"/>
    <s v="conventional_cashout_cai_557"/>
    <x v="597"/>
    <n v="1"/>
    <n v="1"/>
    <n v="-40"/>
    <n v="940"/>
  </r>
  <r>
    <x v="60"/>
    <s v="conventional_cashout_cai_558"/>
    <x v="598"/>
    <n v="1"/>
    <n v="1"/>
    <n v="-40"/>
    <n v="940"/>
  </r>
  <r>
    <x v="60"/>
    <s v="conventional_cashout_cai_559"/>
    <x v="599"/>
    <n v="1"/>
    <n v="1"/>
    <n v="-40"/>
    <n v="940"/>
  </r>
  <r>
    <x v="60"/>
    <s v="conventional_cashout_cai_560"/>
    <x v="600"/>
    <n v="1"/>
    <n v="1"/>
    <n v="-40"/>
    <n v="940"/>
  </r>
  <r>
    <x v="60"/>
    <s v="conventional_cashout_cai_561"/>
    <x v="601"/>
    <n v="1"/>
    <n v="1"/>
    <n v="-40"/>
    <n v="940"/>
  </r>
  <r>
    <x v="60"/>
    <s v="conventional_cashout_cai_562"/>
    <x v="602"/>
    <n v="1"/>
    <n v="1"/>
    <n v="-40"/>
    <n v="940"/>
  </r>
  <r>
    <x v="60"/>
    <s v="conventional_cashout_cai_563"/>
    <x v="603"/>
    <n v="1"/>
    <n v="1"/>
    <n v="-40"/>
    <n v="940"/>
  </r>
  <r>
    <x v="60"/>
    <s v="conventional_cashout_cai_564"/>
    <x v="604"/>
    <n v="1"/>
    <n v="1"/>
    <n v="-40"/>
    <n v="940"/>
  </r>
  <r>
    <x v="60"/>
    <s v="conventional_cashout_cai_565"/>
    <x v="605"/>
    <n v="1"/>
    <n v="1"/>
    <n v="-40"/>
    <n v="940"/>
  </r>
  <r>
    <x v="60"/>
    <s v="conventional_cashout_cai_566"/>
    <x v="606"/>
    <n v="1"/>
    <n v="1"/>
    <n v="-40"/>
    <n v="940"/>
  </r>
  <r>
    <x v="60"/>
    <s v="conventional_cashout_cai_567"/>
    <x v="607"/>
    <n v="1"/>
    <n v="1"/>
    <n v="-40"/>
    <n v="940"/>
  </r>
  <r>
    <x v="60"/>
    <s v="conventional_cashout_cai_568"/>
    <x v="608"/>
    <n v="1"/>
    <n v="1"/>
    <n v="-40"/>
    <n v="940"/>
  </r>
  <r>
    <x v="60"/>
    <s v="conventional_cashout_cai_569"/>
    <x v="609"/>
    <n v="1"/>
    <n v="1"/>
    <n v="-40"/>
    <n v="940"/>
  </r>
  <r>
    <x v="60"/>
    <s v="conventional_cashout_cai_570"/>
    <x v="610"/>
    <n v="1"/>
    <n v="1"/>
    <n v="-40"/>
    <n v="940"/>
  </r>
  <r>
    <x v="60"/>
    <s v="conventional_cashout_cai_571"/>
    <x v="611"/>
    <n v="1"/>
    <n v="1"/>
    <n v="-40"/>
    <n v="940"/>
  </r>
  <r>
    <x v="60"/>
    <s v="conventional_cashout_cai_572"/>
    <x v="612"/>
    <n v="1"/>
    <n v="1"/>
    <n v="-40"/>
    <n v="940"/>
  </r>
  <r>
    <x v="60"/>
    <s v="conventional_cashout_cai_573"/>
    <x v="613"/>
    <n v="1"/>
    <n v="1"/>
    <n v="-40"/>
    <n v="940"/>
  </r>
  <r>
    <x v="60"/>
    <s v="conventional_cashout_cai_574"/>
    <x v="614"/>
    <n v="1"/>
    <n v="1"/>
    <n v="-40"/>
    <n v="940"/>
  </r>
  <r>
    <x v="60"/>
    <s v="conventional_cashout_cai_575"/>
    <x v="615"/>
    <n v="1"/>
    <n v="1"/>
    <n v="-40"/>
    <n v="940"/>
  </r>
  <r>
    <x v="60"/>
    <s v="conventional_cashout_cai_576"/>
    <x v="616"/>
    <n v="1"/>
    <n v="1"/>
    <n v="-40"/>
    <n v="940"/>
  </r>
  <r>
    <x v="60"/>
    <s v="conventional_cashout_cai_577"/>
    <x v="617"/>
    <n v="1"/>
    <n v="1"/>
    <n v="-40"/>
    <n v="940"/>
  </r>
  <r>
    <x v="60"/>
    <s v="conventional_cashout_cai_578"/>
    <x v="618"/>
    <n v="1"/>
    <n v="1"/>
    <n v="-40"/>
    <n v="940"/>
  </r>
  <r>
    <x v="60"/>
    <s v="conventional_cashout_cai_579"/>
    <x v="619"/>
    <n v="1"/>
    <n v="1"/>
    <n v="-40"/>
    <n v="940"/>
  </r>
  <r>
    <x v="60"/>
    <s v="conventional_cashout_cai_580"/>
    <x v="620"/>
    <n v="1"/>
    <n v="1"/>
    <n v="-40"/>
    <n v="940"/>
  </r>
  <r>
    <x v="60"/>
    <s v="conventional_cashout_cai_581"/>
    <x v="621"/>
    <n v="1"/>
    <n v="1"/>
    <n v="-40"/>
    <n v="940"/>
  </r>
  <r>
    <x v="60"/>
    <s v="conventional_cashout_cai_582"/>
    <x v="622"/>
    <n v="1"/>
    <n v="1"/>
    <n v="-40"/>
    <n v="940"/>
  </r>
  <r>
    <x v="60"/>
    <s v="conventional_cashout_cai_583"/>
    <x v="623"/>
    <n v="1"/>
    <n v="1"/>
    <n v="-40"/>
    <n v="940"/>
  </r>
  <r>
    <x v="60"/>
    <s v="conventional_cashout_cai_584"/>
    <x v="624"/>
    <n v="1"/>
    <n v="1"/>
    <n v="-40"/>
    <n v="940"/>
  </r>
  <r>
    <x v="60"/>
    <s v="conventional_cashout_cai_585"/>
    <x v="625"/>
    <n v="1"/>
    <n v="1"/>
    <n v="-40"/>
    <n v="940"/>
  </r>
  <r>
    <x v="60"/>
    <s v="conventional_cashout_cai_586"/>
    <x v="626"/>
    <n v="1"/>
    <n v="1"/>
    <n v="-40"/>
    <n v="940"/>
  </r>
  <r>
    <x v="60"/>
    <s v="conventional_cashout_cai_587"/>
    <x v="627"/>
    <n v="1"/>
    <n v="1"/>
    <n v="-40"/>
    <n v="940"/>
  </r>
  <r>
    <x v="60"/>
    <s v="conventional_cashout_cai_588"/>
    <x v="628"/>
    <n v="1"/>
    <n v="1"/>
    <n v="-40"/>
    <n v="940"/>
  </r>
  <r>
    <x v="60"/>
    <s v="conventional_cashout_cai_589"/>
    <x v="629"/>
    <n v="1"/>
    <n v="1"/>
    <n v="-40"/>
    <n v="940"/>
  </r>
  <r>
    <x v="60"/>
    <s v="conventional_cashout_cai_590"/>
    <x v="630"/>
    <n v="1"/>
    <n v="1"/>
    <n v="-40"/>
    <n v="940"/>
  </r>
  <r>
    <x v="60"/>
    <s v="conventional_cashout_cai_591"/>
    <x v="631"/>
    <n v="1"/>
    <n v="1"/>
    <n v="-40"/>
    <n v="940"/>
  </r>
  <r>
    <x v="60"/>
    <s v="conventional_cashout_cai_592"/>
    <x v="632"/>
    <n v="1"/>
    <n v="1"/>
    <n v="-40"/>
    <n v="940"/>
  </r>
  <r>
    <x v="60"/>
    <s v="conventional_cashout_cai_593"/>
    <x v="633"/>
    <n v="1"/>
    <n v="1"/>
    <n v="-40"/>
    <n v="940"/>
  </r>
  <r>
    <x v="60"/>
    <s v="conventional_cashout_cai_594"/>
    <x v="634"/>
    <n v="1"/>
    <n v="1"/>
    <n v="-40"/>
    <n v="940"/>
  </r>
  <r>
    <x v="60"/>
    <s v="conventional_cashout_cai_595"/>
    <x v="635"/>
    <n v="1"/>
    <n v="1"/>
    <n v="-40"/>
    <n v="940"/>
  </r>
  <r>
    <x v="60"/>
    <s v="conventional_cashout_cai_596"/>
    <x v="636"/>
    <n v="1"/>
    <n v="1"/>
    <n v="-40"/>
    <n v="940"/>
  </r>
  <r>
    <x v="60"/>
    <s v="conventional_cashout_cai_597"/>
    <x v="637"/>
    <n v="1"/>
    <n v="1"/>
    <n v="-40"/>
    <n v="940"/>
  </r>
  <r>
    <x v="60"/>
    <s v="conventional_cashout_cai_598"/>
    <x v="638"/>
    <n v="1"/>
    <n v="1"/>
    <n v="-40"/>
    <n v="940"/>
  </r>
  <r>
    <x v="60"/>
    <s v="conventional_cashout_cai_599"/>
    <x v="639"/>
    <n v="1"/>
    <n v="1"/>
    <n v="-40"/>
    <n v="940"/>
  </r>
  <r>
    <x v="60"/>
    <s v="conventional_cashout_cai_600"/>
    <x v="640"/>
    <n v="1"/>
    <n v="1"/>
    <n v="-40"/>
    <n v="940"/>
  </r>
  <r>
    <x v="60"/>
    <s v="conventional_cashout_cai_601"/>
    <x v="641"/>
    <n v="1"/>
    <n v="1"/>
    <n v="-40"/>
    <n v="940"/>
  </r>
  <r>
    <x v="60"/>
    <s v="conventional_cashout_cai_602"/>
    <x v="642"/>
    <n v="1"/>
    <n v="1"/>
    <n v="-40"/>
    <n v="940"/>
  </r>
  <r>
    <x v="60"/>
    <s v="conventional_cashout_cai_603"/>
    <x v="643"/>
    <n v="1"/>
    <n v="1"/>
    <n v="-40"/>
    <n v="940"/>
  </r>
  <r>
    <x v="60"/>
    <s v="conventional_cashout_cai_604"/>
    <x v="644"/>
    <n v="1"/>
    <n v="1"/>
    <n v="-40"/>
    <n v="940"/>
  </r>
  <r>
    <x v="60"/>
    <s v="conventional_cashout_cai_605"/>
    <x v="645"/>
    <n v="1"/>
    <n v="1"/>
    <n v="-40"/>
    <n v="940"/>
  </r>
  <r>
    <x v="60"/>
    <s v="conventional_cashout_cai_606"/>
    <x v="646"/>
    <n v="1"/>
    <n v="1"/>
    <n v="-40"/>
    <n v="940"/>
  </r>
  <r>
    <x v="60"/>
    <s v="conventional_cashout_cai_607"/>
    <x v="647"/>
    <n v="1"/>
    <n v="1"/>
    <n v="-40"/>
    <n v="940"/>
  </r>
  <r>
    <x v="60"/>
    <s v="conventional_cashout_cai_608"/>
    <x v="648"/>
    <n v="1"/>
    <n v="1"/>
    <n v="-40"/>
    <n v="940"/>
  </r>
  <r>
    <x v="60"/>
    <s v="conventional_cashout_cai_609"/>
    <x v="649"/>
    <n v="1"/>
    <n v="1"/>
    <n v="-40"/>
    <n v="940"/>
  </r>
  <r>
    <x v="60"/>
    <s v="conventional_cashout_cai_610"/>
    <x v="650"/>
    <n v="1"/>
    <n v="1"/>
    <n v="-40"/>
    <n v="940"/>
  </r>
  <r>
    <x v="60"/>
    <s v="conventional_cashout_cai_611"/>
    <x v="651"/>
    <n v="1"/>
    <n v="1"/>
    <n v="-40"/>
    <n v="940"/>
  </r>
  <r>
    <x v="60"/>
    <s v="conventional_cashout_cai_612"/>
    <x v="652"/>
    <n v="1"/>
    <n v="1"/>
    <n v="-40"/>
    <n v="940"/>
  </r>
  <r>
    <x v="60"/>
    <s v="conventional_cashout_cai_613"/>
    <x v="653"/>
    <n v="1"/>
    <n v="1"/>
    <n v="-40"/>
    <n v="940"/>
  </r>
  <r>
    <x v="60"/>
    <s v="conventional_cashout_cai_614"/>
    <x v="654"/>
    <n v="1"/>
    <n v="1"/>
    <n v="-40"/>
    <n v="940"/>
  </r>
  <r>
    <x v="60"/>
    <s v="conventional_cashout_cai_615"/>
    <x v="655"/>
    <n v="1"/>
    <n v="1"/>
    <n v="-40"/>
    <n v="940"/>
  </r>
  <r>
    <x v="60"/>
    <s v="conventional_cashout_cai_616"/>
    <x v="656"/>
    <n v="1"/>
    <n v="1"/>
    <n v="-40"/>
    <n v="940"/>
  </r>
  <r>
    <x v="60"/>
    <s v="conventional_cashout_cai_617"/>
    <x v="657"/>
    <n v="1"/>
    <n v="1"/>
    <n v="-40"/>
    <n v="940"/>
  </r>
  <r>
    <x v="60"/>
    <s v="conventional_cashout_cai_618"/>
    <x v="658"/>
    <n v="1"/>
    <n v="1"/>
    <n v="-40"/>
    <n v="940"/>
  </r>
  <r>
    <x v="60"/>
    <s v="conventional_cashout_cai_619"/>
    <x v="659"/>
    <n v="1"/>
    <n v="1"/>
    <n v="-40"/>
    <n v="940"/>
  </r>
  <r>
    <x v="60"/>
    <s v="conventional_cashout_cai_620"/>
    <x v="660"/>
    <n v="1"/>
    <n v="1"/>
    <n v="-40"/>
    <n v="940"/>
  </r>
  <r>
    <x v="60"/>
    <s v="conventional_cashout_cai_621"/>
    <x v="661"/>
    <n v="1"/>
    <n v="1"/>
    <n v="-40"/>
    <n v="940"/>
  </r>
  <r>
    <x v="60"/>
    <s v="conventional_cashout_cai_622"/>
    <x v="662"/>
    <n v="1"/>
    <n v="1"/>
    <n v="-40"/>
    <n v="940"/>
  </r>
  <r>
    <x v="60"/>
    <s v="conventional_cashout_cai_623"/>
    <x v="663"/>
    <n v="1"/>
    <n v="1"/>
    <n v="-40"/>
    <n v="940"/>
  </r>
  <r>
    <x v="60"/>
    <s v="conventional_cashout_cai_624"/>
    <x v="664"/>
    <n v="1"/>
    <n v="1"/>
    <n v="-40"/>
    <n v="940"/>
  </r>
  <r>
    <x v="60"/>
    <s v="conventional_cashout_cai_625"/>
    <x v="665"/>
    <n v="1"/>
    <n v="1"/>
    <n v="-40"/>
    <n v="940"/>
  </r>
  <r>
    <x v="60"/>
    <s v="conventional_cashout_cai_626"/>
    <x v="666"/>
    <n v="1"/>
    <n v="1"/>
    <n v="-40"/>
    <n v="940"/>
  </r>
  <r>
    <x v="60"/>
    <s v="conventional_cashout_cai_627"/>
    <x v="667"/>
    <n v="1"/>
    <n v="1"/>
    <n v="-40"/>
    <n v="940"/>
  </r>
  <r>
    <x v="60"/>
    <s v="conventional_cashout_cai_628"/>
    <x v="668"/>
    <n v="1"/>
    <n v="1"/>
    <n v="-40"/>
    <n v="940"/>
  </r>
  <r>
    <x v="60"/>
    <s v="conventional_cashout_cai_629"/>
    <x v="669"/>
    <n v="1"/>
    <n v="1"/>
    <n v="-40"/>
    <n v="940"/>
  </r>
  <r>
    <x v="60"/>
    <s v="conventional_cashout_cai_630"/>
    <x v="670"/>
    <n v="1"/>
    <n v="1"/>
    <n v="-40"/>
    <n v="940"/>
  </r>
  <r>
    <x v="60"/>
    <s v="conventional_cashout_cai_631"/>
    <x v="671"/>
    <n v="1"/>
    <n v="1"/>
    <n v="-40"/>
    <n v="940"/>
  </r>
  <r>
    <x v="60"/>
    <s v="conventional_cashout_cai_632"/>
    <x v="672"/>
    <n v="1"/>
    <n v="1"/>
    <n v="-40"/>
    <n v="940"/>
  </r>
  <r>
    <x v="60"/>
    <s v="conventional_cashout_cai_633"/>
    <x v="673"/>
    <n v="1"/>
    <n v="1"/>
    <n v="-40"/>
    <n v="940"/>
  </r>
  <r>
    <x v="60"/>
    <s v="conventional_cashout_cai_634"/>
    <x v="674"/>
    <n v="1"/>
    <n v="1"/>
    <n v="-40"/>
    <n v="940"/>
  </r>
  <r>
    <x v="60"/>
    <s v="conventional_cashout_cai_635"/>
    <x v="675"/>
    <n v="1"/>
    <n v="1"/>
    <n v="-40"/>
    <n v="940"/>
  </r>
  <r>
    <x v="60"/>
    <s v="conventional_cashout_cai_636"/>
    <x v="676"/>
    <n v="1"/>
    <n v="1"/>
    <n v="-40"/>
    <n v="940"/>
  </r>
  <r>
    <x v="60"/>
    <s v="conventional_cashout_cai_637"/>
    <x v="677"/>
    <n v="1"/>
    <n v="1"/>
    <n v="-40"/>
    <n v="940"/>
  </r>
  <r>
    <x v="60"/>
    <s v="conventional_cashout_cai_638"/>
    <x v="678"/>
    <n v="1"/>
    <n v="1"/>
    <n v="-40"/>
    <n v="940"/>
  </r>
  <r>
    <x v="60"/>
    <s v="conventional_cashout_cai_639"/>
    <x v="679"/>
    <n v="1"/>
    <n v="1"/>
    <n v="-40"/>
    <n v="940"/>
  </r>
  <r>
    <x v="60"/>
    <s v="conventional_cashout_cai_640"/>
    <x v="680"/>
    <n v="1"/>
    <n v="1"/>
    <n v="-40"/>
    <n v="940"/>
  </r>
  <r>
    <x v="60"/>
    <s v="conventional_cashout_cai_641"/>
    <x v="681"/>
    <n v="1"/>
    <n v="1"/>
    <n v="-40"/>
    <n v="940"/>
  </r>
  <r>
    <x v="60"/>
    <s v="conventional_cashout_cai_642"/>
    <x v="682"/>
    <n v="1"/>
    <n v="1"/>
    <n v="-40"/>
    <n v="940"/>
  </r>
  <r>
    <x v="60"/>
    <s v="conventional_cashout_cai_643"/>
    <x v="683"/>
    <n v="1"/>
    <n v="1"/>
    <n v="-40"/>
    <n v="940"/>
  </r>
  <r>
    <x v="60"/>
    <s v="conventional_cashout_cai_644"/>
    <x v="684"/>
    <n v="1"/>
    <n v="1"/>
    <n v="-40"/>
    <n v="940"/>
  </r>
  <r>
    <x v="60"/>
    <s v="conventional_cashout_cai_645"/>
    <x v="685"/>
    <n v="1"/>
    <n v="1"/>
    <n v="-40"/>
    <n v="940"/>
  </r>
  <r>
    <x v="60"/>
    <s v="conventional_cashout_cai_646"/>
    <x v="686"/>
    <n v="1"/>
    <n v="1"/>
    <n v="-40"/>
    <n v="940"/>
  </r>
  <r>
    <x v="60"/>
    <s v="conventional_cashout_cai_647"/>
    <x v="687"/>
    <n v="1"/>
    <n v="1"/>
    <n v="-40"/>
    <n v="940"/>
  </r>
  <r>
    <x v="60"/>
    <s v="conventional_cashout_cai_648"/>
    <x v="688"/>
    <n v="1"/>
    <n v="1"/>
    <n v="-40"/>
    <n v="940"/>
  </r>
  <r>
    <x v="60"/>
    <s v="conventional_cashout_cai_649"/>
    <x v="689"/>
    <n v="1"/>
    <n v="1"/>
    <n v="-40"/>
    <n v="940"/>
  </r>
  <r>
    <x v="60"/>
    <s v="conventional_cashout_cai_650"/>
    <x v="690"/>
    <n v="1"/>
    <n v="1"/>
    <n v="-40"/>
    <n v="940"/>
  </r>
  <r>
    <x v="60"/>
    <s v="conventional_cashout_cai_651"/>
    <x v="691"/>
    <n v="1"/>
    <n v="1"/>
    <n v="-40"/>
    <n v="940"/>
  </r>
  <r>
    <x v="60"/>
    <s v="conventional_cashout_cai_652"/>
    <x v="692"/>
    <n v="1"/>
    <n v="1"/>
    <n v="-40"/>
    <n v="940"/>
  </r>
  <r>
    <x v="60"/>
    <s v="conventional_cashout_cai_653"/>
    <x v="693"/>
    <n v="1"/>
    <n v="1"/>
    <n v="-40"/>
    <n v="940"/>
  </r>
  <r>
    <x v="60"/>
    <s v="conventional_cashout_cai_654"/>
    <x v="694"/>
    <n v="1"/>
    <n v="1"/>
    <n v="-40"/>
    <n v="940"/>
  </r>
  <r>
    <x v="60"/>
    <s v="conventional_cashout_cai_655"/>
    <x v="695"/>
    <n v="1"/>
    <n v="1"/>
    <n v="-40"/>
    <n v="940"/>
  </r>
  <r>
    <x v="60"/>
    <s v="conventional_cashout_cai_656"/>
    <x v="696"/>
    <n v="1"/>
    <n v="1"/>
    <n v="-40"/>
    <n v="940"/>
  </r>
  <r>
    <x v="60"/>
    <s v="conventional_cashout_cai_657"/>
    <x v="697"/>
    <n v="1"/>
    <n v="1"/>
    <n v="-40"/>
    <n v="940"/>
  </r>
  <r>
    <x v="60"/>
    <s v="conventional_cashout_cai_658"/>
    <x v="698"/>
    <n v="1"/>
    <n v="1"/>
    <n v="-40"/>
    <n v="940"/>
  </r>
  <r>
    <x v="60"/>
    <s v="conventional_cashout_cai_659"/>
    <x v="699"/>
    <n v="1"/>
    <n v="1"/>
    <n v="-40"/>
    <n v="940"/>
  </r>
  <r>
    <x v="60"/>
    <s v="conventional_cashout_cai_660"/>
    <x v="700"/>
    <n v="1"/>
    <n v="1"/>
    <n v="-40"/>
    <n v="940"/>
  </r>
  <r>
    <x v="60"/>
    <s v="conventional_cashout_cai_661"/>
    <x v="701"/>
    <n v="1"/>
    <n v="1"/>
    <n v="-40"/>
    <n v="940"/>
  </r>
  <r>
    <x v="60"/>
    <s v="conventional_cashout_cai_662"/>
    <x v="702"/>
    <n v="1"/>
    <n v="1"/>
    <n v="-40"/>
    <n v="940"/>
  </r>
  <r>
    <x v="60"/>
    <s v="conventional_cashout_cai_663"/>
    <x v="703"/>
    <n v="1"/>
    <n v="1"/>
    <n v="-40"/>
    <n v="940"/>
  </r>
  <r>
    <x v="60"/>
    <s v="conventional_cashout_cai_664"/>
    <x v="704"/>
    <n v="1"/>
    <n v="1"/>
    <n v="-40"/>
    <n v="940"/>
  </r>
  <r>
    <x v="60"/>
    <s v="conventional_cashout_cai_665"/>
    <x v="705"/>
    <n v="1"/>
    <n v="1"/>
    <n v="-40"/>
    <n v="940"/>
  </r>
  <r>
    <x v="60"/>
    <s v="conventional_cashout_cai_666"/>
    <x v="706"/>
    <n v="1"/>
    <n v="1"/>
    <n v="-40"/>
    <n v="940"/>
  </r>
  <r>
    <x v="60"/>
    <s v="conventional_cashout_cai_667"/>
    <x v="707"/>
    <n v="1"/>
    <n v="1"/>
    <n v="-40"/>
    <n v="940"/>
  </r>
  <r>
    <x v="60"/>
    <s v="conventional_cashout_cai_668"/>
    <x v="708"/>
    <n v="1"/>
    <n v="1"/>
    <n v="-40"/>
    <n v="940"/>
  </r>
  <r>
    <x v="60"/>
    <s v="conventional_cashout_cai_669"/>
    <x v="709"/>
    <n v="1"/>
    <n v="1"/>
    <n v="-40"/>
    <n v="940"/>
  </r>
  <r>
    <x v="60"/>
    <s v="conventional_cashout_cai_670"/>
    <x v="710"/>
    <n v="1"/>
    <n v="1"/>
    <n v="-40"/>
    <n v="940"/>
  </r>
  <r>
    <x v="60"/>
    <s v="conventional_cashout_cai_671"/>
    <x v="711"/>
    <n v="1"/>
    <n v="1"/>
    <n v="-40"/>
    <n v="940"/>
  </r>
  <r>
    <x v="60"/>
    <s v="conventional_cashout_cai_672"/>
    <x v="712"/>
    <n v="1"/>
    <n v="1"/>
    <n v="-40"/>
    <n v="940"/>
  </r>
  <r>
    <x v="60"/>
    <s v="conventional_cashout_cai_673"/>
    <x v="713"/>
    <n v="1"/>
    <n v="1"/>
    <n v="-40"/>
    <n v="940"/>
  </r>
  <r>
    <x v="60"/>
    <s v="conventional_cashout_cai_674"/>
    <x v="714"/>
    <n v="1"/>
    <n v="1"/>
    <n v="-40"/>
    <n v="940"/>
  </r>
  <r>
    <x v="60"/>
    <s v="conventional_cashout_cai_675"/>
    <x v="715"/>
    <n v="1"/>
    <n v="1"/>
    <n v="-40"/>
    <n v="940"/>
  </r>
  <r>
    <x v="60"/>
    <s v="conventional_cashout_cai_676"/>
    <x v="716"/>
    <n v="1"/>
    <n v="1"/>
    <n v="-40"/>
    <n v="940"/>
  </r>
  <r>
    <x v="60"/>
    <s v="conventional_cashout_cai_677"/>
    <x v="717"/>
    <n v="1"/>
    <n v="1"/>
    <n v="-40"/>
    <n v="940"/>
  </r>
  <r>
    <x v="60"/>
    <s v="conventional_cashout_cai_678"/>
    <x v="718"/>
    <n v="1"/>
    <n v="1"/>
    <n v="-40"/>
    <n v="940"/>
  </r>
  <r>
    <x v="60"/>
    <s v="conventional_cashout_cai_679"/>
    <x v="719"/>
    <n v="1"/>
    <n v="1"/>
    <n v="-40"/>
    <n v="940"/>
  </r>
  <r>
    <x v="60"/>
    <s v="conventional_cashout_cai_680"/>
    <x v="720"/>
    <n v="1"/>
    <n v="1"/>
    <n v="-40"/>
    <n v="940"/>
  </r>
  <r>
    <x v="60"/>
    <s v="conventional_cashout_cai_681"/>
    <x v="721"/>
    <n v="1"/>
    <n v="1"/>
    <n v="-40"/>
    <n v="940"/>
  </r>
  <r>
    <x v="60"/>
    <s v="conventional_cashout_cai_682"/>
    <x v="722"/>
    <n v="1"/>
    <n v="1"/>
    <n v="-40"/>
    <n v="940"/>
  </r>
  <r>
    <x v="60"/>
    <s v="conventional_cashout_cai_683"/>
    <x v="723"/>
    <n v="1"/>
    <n v="1"/>
    <n v="-40"/>
    <n v="940"/>
  </r>
  <r>
    <x v="60"/>
    <s v="conventional_cashout_cai_684"/>
    <x v="724"/>
    <n v="1"/>
    <n v="1"/>
    <n v="-40"/>
    <n v="940"/>
  </r>
  <r>
    <x v="60"/>
    <s v="conventional_cashout_cai_685"/>
    <x v="725"/>
    <n v="1"/>
    <n v="1"/>
    <n v="-40"/>
    <n v="940"/>
  </r>
  <r>
    <x v="60"/>
    <s v="conventional_cashout_cai_686"/>
    <x v="726"/>
    <n v="1"/>
    <n v="1"/>
    <n v="-40"/>
    <n v="940"/>
  </r>
  <r>
    <x v="60"/>
    <s v="conventional_cashout_cai_687"/>
    <x v="727"/>
    <n v="1"/>
    <n v="1"/>
    <n v="-40"/>
    <n v="940"/>
  </r>
  <r>
    <x v="60"/>
    <s v="conventional_cashout_cai_688"/>
    <x v="728"/>
    <n v="1"/>
    <n v="1"/>
    <n v="-40"/>
    <n v="940"/>
  </r>
  <r>
    <x v="60"/>
    <s v="conventional_cashout_cai_689"/>
    <x v="729"/>
    <n v="1"/>
    <n v="1"/>
    <n v="-40"/>
    <n v="940"/>
  </r>
  <r>
    <x v="60"/>
    <s v="conventional_cashout_cai_690"/>
    <x v="730"/>
    <n v="1"/>
    <n v="1"/>
    <n v="-40"/>
    <n v="940"/>
  </r>
  <r>
    <x v="60"/>
    <s v="conventional_cashout_cai_691"/>
    <x v="731"/>
    <n v="1"/>
    <n v="1"/>
    <n v="-40"/>
    <n v="940"/>
  </r>
  <r>
    <x v="60"/>
    <s v="conventional_cashout_cai_692"/>
    <x v="732"/>
    <n v="1"/>
    <n v="1"/>
    <n v="-40"/>
    <n v="940"/>
  </r>
  <r>
    <x v="60"/>
    <s v="conventional_cashout_cai_693"/>
    <x v="733"/>
    <n v="1"/>
    <n v="1"/>
    <n v="-40"/>
    <n v="940"/>
  </r>
  <r>
    <x v="60"/>
    <s v="conventional_cashout_cai_694"/>
    <x v="734"/>
    <n v="1"/>
    <n v="1"/>
    <n v="-40"/>
    <n v="940"/>
  </r>
  <r>
    <x v="60"/>
    <s v="conventional_cashout_cai_695"/>
    <x v="735"/>
    <n v="1"/>
    <n v="1"/>
    <n v="-40"/>
    <n v="940"/>
  </r>
  <r>
    <x v="60"/>
    <s v="conventional_cashout_cai_696"/>
    <x v="736"/>
    <n v="1"/>
    <n v="1"/>
    <n v="-40"/>
    <n v="940"/>
  </r>
  <r>
    <x v="60"/>
    <s v="conventional_cashout_cai_697"/>
    <x v="737"/>
    <n v="1"/>
    <n v="1"/>
    <n v="-40"/>
    <n v="940"/>
  </r>
  <r>
    <x v="60"/>
    <s v="conventional_cashout_cai_698"/>
    <x v="738"/>
    <n v="1"/>
    <n v="1"/>
    <n v="-40"/>
    <n v="940"/>
  </r>
  <r>
    <x v="60"/>
    <s v="conventional_cashout_cai_699"/>
    <x v="739"/>
    <n v="1"/>
    <n v="1"/>
    <n v="-40"/>
    <n v="940"/>
  </r>
  <r>
    <x v="60"/>
    <s v="conventional_cashout_cai_700"/>
    <x v="740"/>
    <n v="1"/>
    <n v="1"/>
    <n v="-40"/>
    <n v="940"/>
  </r>
  <r>
    <x v="60"/>
    <s v="conventional_cashout_cai_701"/>
    <x v="741"/>
    <n v="1"/>
    <n v="1"/>
    <n v="-40"/>
    <n v="940"/>
  </r>
  <r>
    <x v="60"/>
    <s v="conventional_cashout_cai_702"/>
    <x v="742"/>
    <n v="1"/>
    <n v="1"/>
    <n v="-40"/>
    <n v="940"/>
  </r>
  <r>
    <x v="60"/>
    <s v="conventional_cashout_cai_703"/>
    <x v="743"/>
    <n v="1"/>
    <n v="1"/>
    <n v="-40"/>
    <n v="940"/>
  </r>
  <r>
    <x v="60"/>
    <s v="conventional_cashout_cai_704"/>
    <x v="744"/>
    <n v="1"/>
    <n v="1"/>
    <n v="-40"/>
    <n v="940"/>
  </r>
  <r>
    <x v="60"/>
    <s v="conventional_cashout_cai_705"/>
    <x v="745"/>
    <n v="1"/>
    <n v="1"/>
    <n v="-40"/>
    <n v="940"/>
  </r>
  <r>
    <x v="60"/>
    <s v="conventional_cashout_cai_706"/>
    <x v="746"/>
    <n v="1"/>
    <n v="1"/>
    <n v="-40"/>
    <n v="940"/>
  </r>
  <r>
    <x v="60"/>
    <s v="conventional_cashout_cai_707"/>
    <x v="747"/>
    <n v="1"/>
    <n v="1"/>
    <n v="-40"/>
    <n v="940"/>
  </r>
  <r>
    <x v="60"/>
    <s v="conventional_cashout_cai_708"/>
    <x v="748"/>
    <n v="1"/>
    <n v="1"/>
    <n v="-40"/>
    <n v="940"/>
  </r>
  <r>
    <x v="60"/>
    <s v="conventional_cashout_cai_709"/>
    <x v="749"/>
    <n v="1"/>
    <n v="1"/>
    <n v="-40"/>
    <n v="940"/>
  </r>
  <r>
    <x v="60"/>
    <s v="conventional_cashout_cai_710"/>
    <x v="750"/>
    <n v="1"/>
    <n v="1"/>
    <n v="-40"/>
    <n v="940"/>
  </r>
  <r>
    <x v="60"/>
    <s v="conventional_cashout_cai_711"/>
    <x v="751"/>
    <n v="1"/>
    <n v="1"/>
    <n v="-40"/>
    <n v="940"/>
  </r>
  <r>
    <x v="60"/>
    <s v="conventional_cashout_cai_712"/>
    <x v="752"/>
    <n v="1"/>
    <n v="1"/>
    <n v="-40"/>
    <n v="940"/>
  </r>
  <r>
    <x v="60"/>
    <s v="conventional_cashout_cai_713"/>
    <x v="753"/>
    <n v="1"/>
    <n v="1"/>
    <n v="-40"/>
    <n v="940"/>
  </r>
  <r>
    <x v="60"/>
    <s v="conventional_cashout_cai_714"/>
    <x v="754"/>
    <n v="1"/>
    <n v="1"/>
    <n v="-40"/>
    <n v="940"/>
  </r>
  <r>
    <x v="60"/>
    <s v="conventional_cashout_cai_715"/>
    <x v="755"/>
    <n v="1"/>
    <n v="1"/>
    <n v="-40"/>
    <n v="940"/>
  </r>
  <r>
    <x v="60"/>
    <s v="conventional_cashout_cai_716"/>
    <x v="756"/>
    <n v="1"/>
    <n v="1"/>
    <n v="-40"/>
    <n v="940"/>
  </r>
  <r>
    <x v="60"/>
    <s v="conventional_cashout_cai_717"/>
    <x v="757"/>
    <n v="1"/>
    <n v="1"/>
    <n v="-40"/>
    <n v="940"/>
  </r>
  <r>
    <x v="60"/>
    <s v="conventional_cashout_cai_718"/>
    <x v="758"/>
    <n v="1"/>
    <n v="1"/>
    <n v="-40"/>
    <n v="940"/>
  </r>
  <r>
    <x v="60"/>
    <s v="conventional_cashout_cai_719"/>
    <x v="759"/>
    <n v="1"/>
    <n v="1"/>
    <n v="-40"/>
    <n v="940"/>
  </r>
  <r>
    <x v="60"/>
    <s v="conventional_cashout_cai_720"/>
    <x v="760"/>
    <n v="1"/>
    <n v="1"/>
    <n v="-40"/>
    <n v="940"/>
  </r>
  <r>
    <x v="60"/>
    <s v="conventional_cashout_cai_721"/>
    <x v="761"/>
    <n v="1"/>
    <n v="1"/>
    <n v="-40"/>
    <n v="940"/>
  </r>
  <r>
    <x v="60"/>
    <s v="conventional_cashout_cai_722"/>
    <x v="762"/>
    <n v="1"/>
    <n v="1"/>
    <n v="-40"/>
    <n v="940"/>
  </r>
  <r>
    <x v="60"/>
    <s v="conventional_cashout_cai_723"/>
    <x v="763"/>
    <n v="1"/>
    <n v="1"/>
    <n v="-40"/>
    <n v="940"/>
  </r>
  <r>
    <x v="60"/>
    <s v="conventional_cashout_cai_724"/>
    <x v="764"/>
    <n v="1"/>
    <n v="1"/>
    <n v="-40"/>
    <n v="940"/>
  </r>
  <r>
    <x v="60"/>
    <s v="conventional_cashout_cai_725"/>
    <x v="765"/>
    <n v="1"/>
    <n v="1"/>
    <n v="-40"/>
    <n v="940"/>
  </r>
  <r>
    <x v="60"/>
    <s v="conventional_cashout_cai_726"/>
    <x v="766"/>
    <n v="1"/>
    <n v="1"/>
    <n v="-40"/>
    <n v="940"/>
  </r>
  <r>
    <x v="60"/>
    <s v="conventional_cashout_cai_727"/>
    <x v="767"/>
    <n v="1"/>
    <n v="1"/>
    <n v="-40"/>
    <n v="940"/>
  </r>
  <r>
    <x v="60"/>
    <s v="conventional_cashout_cai_728"/>
    <x v="768"/>
    <n v="1"/>
    <n v="1"/>
    <n v="-40"/>
    <n v="940"/>
  </r>
  <r>
    <x v="60"/>
    <s v="conventional_cashout_cai_729"/>
    <x v="769"/>
    <n v="1"/>
    <n v="1"/>
    <n v="-40"/>
    <n v="940"/>
  </r>
  <r>
    <x v="60"/>
    <s v="conventional_cashout_cai_730"/>
    <x v="770"/>
    <n v="1"/>
    <n v="1"/>
    <n v="-40"/>
    <n v="940"/>
  </r>
  <r>
    <x v="60"/>
    <s v="conventional_cashout_cai_731"/>
    <x v="771"/>
    <n v="1"/>
    <n v="1"/>
    <n v="-40"/>
    <n v="940"/>
  </r>
  <r>
    <x v="60"/>
    <s v="conventional_cashout_cai_732"/>
    <x v="772"/>
    <n v="1"/>
    <n v="1"/>
    <n v="-40"/>
    <n v="940"/>
  </r>
  <r>
    <x v="60"/>
    <s v="conventional_cashout_cai_733"/>
    <x v="773"/>
    <n v="1"/>
    <n v="1"/>
    <n v="-40"/>
    <n v="940"/>
  </r>
  <r>
    <x v="60"/>
    <s v="conventional_cashout_cai_734"/>
    <x v="774"/>
    <n v="1"/>
    <n v="1"/>
    <n v="-40"/>
    <n v="940"/>
  </r>
  <r>
    <x v="60"/>
    <s v="conventional_cashout_cai_735"/>
    <x v="775"/>
    <n v="1"/>
    <n v="1"/>
    <n v="-40"/>
    <n v="940"/>
  </r>
  <r>
    <x v="60"/>
    <s v="conventional_cashout_cai_736"/>
    <x v="776"/>
    <n v="1"/>
    <n v="1"/>
    <n v="-40"/>
    <n v="940"/>
  </r>
  <r>
    <x v="60"/>
    <s v="conventional_cashout_cai_737"/>
    <x v="777"/>
    <n v="1"/>
    <n v="1"/>
    <n v="-40"/>
    <n v="940"/>
  </r>
  <r>
    <x v="60"/>
    <s v="conventional_cashout_cai_738"/>
    <x v="778"/>
    <n v="1"/>
    <n v="1"/>
    <n v="-40"/>
    <n v="940"/>
  </r>
  <r>
    <x v="60"/>
    <s v="conventional_cashout_cai_739"/>
    <x v="779"/>
    <n v="1"/>
    <n v="1"/>
    <n v="-40"/>
    <n v="940"/>
  </r>
  <r>
    <x v="60"/>
    <s v="conventional_cashout_cai_740"/>
    <x v="780"/>
    <n v="1"/>
    <n v="1"/>
    <n v="-40"/>
    <n v="940"/>
  </r>
  <r>
    <x v="60"/>
    <s v="conventional_cashout_cai_741"/>
    <x v="781"/>
    <n v="1"/>
    <n v="1"/>
    <n v="-40"/>
    <n v="940"/>
  </r>
  <r>
    <x v="60"/>
    <s v="conventional_cashout_cai_742"/>
    <x v="782"/>
    <n v="1"/>
    <n v="1"/>
    <n v="-40"/>
    <n v="940"/>
  </r>
  <r>
    <x v="60"/>
    <s v="conventional_cashout_cai_743"/>
    <x v="783"/>
    <n v="1"/>
    <n v="1"/>
    <n v="-40"/>
    <n v="940"/>
  </r>
  <r>
    <x v="60"/>
    <s v="conventional_cashout_cai_744"/>
    <x v="784"/>
    <n v="1"/>
    <n v="1"/>
    <n v="-40"/>
    <n v="940"/>
  </r>
  <r>
    <x v="60"/>
    <s v="conventional_cashout_cai_745"/>
    <x v="785"/>
    <n v="1"/>
    <n v="1"/>
    <n v="-40"/>
    <n v="940"/>
  </r>
  <r>
    <x v="60"/>
    <s v="conventional_cashout_cai_746"/>
    <x v="786"/>
    <n v="1"/>
    <n v="1"/>
    <n v="-40"/>
    <n v="940"/>
  </r>
  <r>
    <x v="60"/>
    <s v="conventional_cashout_cai_747"/>
    <x v="787"/>
    <n v="1"/>
    <n v="1"/>
    <n v="-40"/>
    <n v="940"/>
  </r>
  <r>
    <x v="60"/>
    <s v="conventional_cashout_cai_748"/>
    <x v="788"/>
    <n v="1"/>
    <n v="1"/>
    <n v="-40"/>
    <n v="940"/>
  </r>
  <r>
    <x v="60"/>
    <s v="conventional_cashout_cai_749"/>
    <x v="789"/>
    <n v="1"/>
    <n v="1"/>
    <n v="-40"/>
    <n v="940"/>
  </r>
  <r>
    <x v="60"/>
    <s v="conventional_cashout_cai_750"/>
    <x v="790"/>
    <n v="1"/>
    <n v="1"/>
    <n v="-40"/>
    <n v="940"/>
  </r>
  <r>
    <x v="60"/>
    <s v="conventional_cashout_cai_751"/>
    <x v="791"/>
    <n v="1"/>
    <n v="1"/>
    <n v="-40"/>
    <n v="940"/>
  </r>
  <r>
    <x v="60"/>
    <s v="conventional_cashout_cai_752"/>
    <x v="792"/>
    <n v="1"/>
    <n v="1"/>
    <n v="-40"/>
    <n v="940"/>
  </r>
  <r>
    <x v="60"/>
    <s v="conventional_cashout_cai_753"/>
    <x v="793"/>
    <n v="1"/>
    <n v="1"/>
    <n v="-40"/>
    <n v="940"/>
  </r>
  <r>
    <x v="60"/>
    <s v="conventional_cashout_cai_754"/>
    <x v="794"/>
    <n v="1"/>
    <n v="1"/>
    <n v="-40"/>
    <n v="940"/>
  </r>
  <r>
    <x v="60"/>
    <s v="conventional_cashout_cai_755"/>
    <x v="795"/>
    <n v="1"/>
    <n v="1"/>
    <n v="-40"/>
    <n v="940"/>
  </r>
  <r>
    <x v="60"/>
    <s v="conventional_cashout_cai_756"/>
    <x v="796"/>
    <n v="1"/>
    <n v="1"/>
    <n v="-40"/>
    <n v="940"/>
  </r>
  <r>
    <x v="60"/>
    <s v="conventional_cashout_cai_757"/>
    <x v="797"/>
    <n v="1"/>
    <n v="1"/>
    <n v="-40"/>
    <n v="940"/>
  </r>
  <r>
    <x v="60"/>
    <s v="conventional_cashout_cai_758"/>
    <x v="798"/>
    <n v="1"/>
    <n v="1"/>
    <n v="-40"/>
    <n v="940"/>
  </r>
  <r>
    <x v="60"/>
    <s v="conventional_cashout_cai_759"/>
    <x v="799"/>
    <n v="1"/>
    <n v="1"/>
    <n v="-40"/>
    <n v="940"/>
  </r>
  <r>
    <x v="60"/>
    <s v="conventional_cashout_cai_760"/>
    <x v="800"/>
    <n v="1"/>
    <n v="1"/>
    <n v="-40"/>
    <n v="940"/>
  </r>
  <r>
    <x v="60"/>
    <s v="conventional_cashout_cai_761"/>
    <x v="801"/>
    <n v="1"/>
    <n v="1"/>
    <n v="-40"/>
    <n v="940"/>
  </r>
  <r>
    <x v="60"/>
    <s v="conventional_cashout_cai_762"/>
    <x v="802"/>
    <n v="1"/>
    <n v="1"/>
    <n v="-40"/>
    <n v="940"/>
  </r>
  <r>
    <x v="60"/>
    <s v="conventional_cashout_cai_763"/>
    <x v="803"/>
    <n v="1"/>
    <n v="1"/>
    <n v="-40"/>
    <n v="940"/>
  </r>
  <r>
    <x v="60"/>
    <s v="conventional_cashout_cai_764"/>
    <x v="804"/>
    <n v="1"/>
    <n v="1"/>
    <n v="-40"/>
    <n v="940"/>
  </r>
  <r>
    <x v="60"/>
    <s v="conventional_cashout_cai_765"/>
    <x v="805"/>
    <n v="1"/>
    <n v="1"/>
    <n v="-40"/>
    <n v="940"/>
  </r>
  <r>
    <x v="60"/>
    <s v="conventional_cashout_cai_766"/>
    <x v="806"/>
    <n v="1"/>
    <n v="1"/>
    <n v="-40"/>
    <n v="940"/>
  </r>
  <r>
    <x v="60"/>
    <s v="conventional_cashout_cai_767"/>
    <x v="807"/>
    <n v="1"/>
    <n v="1"/>
    <n v="-40"/>
    <n v="940"/>
  </r>
  <r>
    <x v="60"/>
    <s v="conventional_cashout_cai_768"/>
    <x v="808"/>
    <n v="1"/>
    <n v="1"/>
    <n v="-40"/>
    <n v="940"/>
  </r>
  <r>
    <x v="60"/>
    <s v="conventional_cashout_cai_769"/>
    <x v="809"/>
    <n v="1"/>
    <n v="1"/>
    <n v="-40"/>
    <n v="940"/>
  </r>
  <r>
    <x v="60"/>
    <s v="conventional_cashout_cai_770"/>
    <x v="810"/>
    <n v="1"/>
    <n v="1"/>
    <n v="-40"/>
    <n v="940"/>
  </r>
  <r>
    <x v="60"/>
    <s v="conventional_cashout_cai_771"/>
    <x v="811"/>
    <n v="1"/>
    <n v="1"/>
    <n v="-40"/>
    <n v="940"/>
  </r>
  <r>
    <x v="60"/>
    <s v="conventional_cashout_cai_772"/>
    <x v="812"/>
    <n v="1"/>
    <n v="1"/>
    <n v="-40"/>
    <n v="940"/>
  </r>
  <r>
    <x v="60"/>
    <s v="conventional_cashout_cai_773"/>
    <x v="813"/>
    <n v="1"/>
    <n v="1"/>
    <n v="-40"/>
    <n v="940"/>
  </r>
  <r>
    <x v="60"/>
    <s v="conventional_cashout_cai_774"/>
    <x v="814"/>
    <n v="1"/>
    <n v="1"/>
    <n v="-40"/>
    <n v="940"/>
  </r>
  <r>
    <x v="60"/>
    <s v="conventional_cashout_cai_775"/>
    <x v="815"/>
    <n v="1"/>
    <n v="1"/>
    <n v="-40"/>
    <n v="940"/>
  </r>
  <r>
    <x v="60"/>
    <s v="conventional_cashout_cai_776"/>
    <x v="816"/>
    <n v="1"/>
    <n v="1"/>
    <n v="-40"/>
    <n v="940"/>
  </r>
  <r>
    <x v="60"/>
    <s v="conventional_cashout_cai_777"/>
    <x v="817"/>
    <n v="1"/>
    <n v="1"/>
    <n v="-40"/>
    <n v="940"/>
  </r>
  <r>
    <x v="60"/>
    <s v="conventional_cashout_cai_778"/>
    <x v="818"/>
    <n v="1"/>
    <n v="1"/>
    <n v="-40"/>
    <n v="940"/>
  </r>
  <r>
    <x v="60"/>
    <s v="conventional_cashout_cai_779"/>
    <x v="819"/>
    <n v="1"/>
    <n v="1"/>
    <n v="-40"/>
    <n v="940"/>
  </r>
  <r>
    <x v="60"/>
    <s v="conventional_cashout_cai_780"/>
    <x v="820"/>
    <n v="1"/>
    <n v="1"/>
    <n v="-40"/>
    <n v="940"/>
  </r>
  <r>
    <x v="60"/>
    <s v="conventional_cashout_cai_781"/>
    <x v="821"/>
    <n v="1"/>
    <n v="1"/>
    <n v="-40"/>
    <n v="940"/>
  </r>
  <r>
    <x v="60"/>
    <s v="conventional_cashout_cai_782"/>
    <x v="822"/>
    <n v="1"/>
    <n v="1"/>
    <n v="-40"/>
    <n v="940"/>
  </r>
  <r>
    <x v="60"/>
    <s v="conventional_cashout_cai_783"/>
    <x v="823"/>
    <n v="1"/>
    <n v="1"/>
    <n v="-40"/>
    <n v="940"/>
  </r>
  <r>
    <x v="60"/>
    <s v="conventional_cashout_cai_784"/>
    <x v="824"/>
    <n v="1"/>
    <n v="1"/>
    <n v="-40"/>
    <n v="940"/>
  </r>
  <r>
    <x v="60"/>
    <s v="conventional_cashout_cai_785"/>
    <x v="825"/>
    <n v="1"/>
    <n v="1"/>
    <n v="-40"/>
    <n v="940"/>
  </r>
  <r>
    <x v="60"/>
    <s v="conventional_cashout_cai_786"/>
    <x v="826"/>
    <n v="1"/>
    <n v="1"/>
    <n v="-40"/>
    <n v="940"/>
  </r>
  <r>
    <x v="60"/>
    <s v="conventional_cashout_cai_787"/>
    <x v="827"/>
    <n v="1"/>
    <n v="1"/>
    <n v="-40"/>
    <n v="940"/>
  </r>
  <r>
    <x v="60"/>
    <s v="conventional_cashout_cai_788"/>
    <x v="828"/>
    <n v="1"/>
    <n v="1"/>
    <n v="-40"/>
    <n v="940"/>
  </r>
  <r>
    <x v="60"/>
    <s v="conventional_cashout_cai_789"/>
    <x v="829"/>
    <n v="1"/>
    <n v="1"/>
    <n v="-40"/>
    <n v="940"/>
  </r>
  <r>
    <x v="60"/>
    <s v="conventional_cashout_cai_790"/>
    <x v="830"/>
    <n v="1"/>
    <n v="1"/>
    <n v="-40"/>
    <n v="940"/>
  </r>
  <r>
    <x v="60"/>
    <s v="conventional_cashout_cai_791"/>
    <x v="831"/>
    <n v="1"/>
    <n v="1"/>
    <n v="-40"/>
    <n v="940"/>
  </r>
  <r>
    <x v="60"/>
    <s v="conventional_cashout_cai_792"/>
    <x v="832"/>
    <n v="1"/>
    <n v="1"/>
    <n v="-40"/>
    <n v="940"/>
  </r>
  <r>
    <x v="60"/>
    <s v="conventional_cashout_cai_793"/>
    <x v="833"/>
    <n v="1"/>
    <n v="1"/>
    <n v="-40"/>
    <n v="940"/>
  </r>
  <r>
    <x v="60"/>
    <s v="conventional_cashout_cai_794"/>
    <x v="834"/>
    <n v="1"/>
    <n v="1"/>
    <n v="-40"/>
    <n v="940"/>
  </r>
  <r>
    <x v="60"/>
    <s v="conventional_cashout_cai_795"/>
    <x v="835"/>
    <n v="1"/>
    <n v="1"/>
    <n v="-40"/>
    <n v="940"/>
  </r>
  <r>
    <x v="60"/>
    <s v="conventional_cashout_cai_796"/>
    <x v="836"/>
    <n v="1"/>
    <n v="1"/>
    <n v="-40"/>
    <n v="940"/>
  </r>
  <r>
    <x v="60"/>
    <s v="conventional_cashout_cai_797"/>
    <x v="837"/>
    <n v="1"/>
    <n v="1"/>
    <n v="-40"/>
    <n v="940"/>
  </r>
  <r>
    <x v="60"/>
    <s v="conventional_cashout_cai_798"/>
    <x v="838"/>
    <n v="1"/>
    <n v="1"/>
    <n v="-40"/>
    <n v="940"/>
  </r>
  <r>
    <x v="60"/>
    <s v="conventional_cashout_cai_799"/>
    <x v="839"/>
    <n v="1"/>
    <n v="1"/>
    <n v="-40"/>
    <n v="940"/>
  </r>
  <r>
    <x v="60"/>
    <s v="conventional_cashout_cai_800"/>
    <x v="840"/>
    <n v="1"/>
    <n v="1"/>
    <n v="-40"/>
    <n v="940"/>
  </r>
  <r>
    <x v="60"/>
    <s v="conventional_cashout_cai_801"/>
    <x v="841"/>
    <n v="1"/>
    <n v="1"/>
    <n v="-40"/>
    <n v="940"/>
  </r>
  <r>
    <x v="60"/>
    <s v="conventional_cashout_cai_802"/>
    <x v="842"/>
    <n v="1"/>
    <n v="1"/>
    <n v="-40"/>
    <n v="940"/>
  </r>
  <r>
    <x v="60"/>
    <s v="conventional_cashout_cai_803"/>
    <x v="843"/>
    <n v="1"/>
    <n v="1"/>
    <n v="-40"/>
    <n v="940"/>
  </r>
  <r>
    <x v="60"/>
    <s v="conventional_cashout_cai_804"/>
    <x v="844"/>
    <n v="1"/>
    <n v="1"/>
    <n v="-40"/>
    <n v="940"/>
  </r>
  <r>
    <x v="60"/>
    <s v="conventional_cashout_cai_805"/>
    <x v="845"/>
    <n v="1"/>
    <n v="1"/>
    <n v="-40"/>
    <n v="940"/>
  </r>
  <r>
    <x v="60"/>
    <s v="conventional_cashout_cai_806"/>
    <x v="846"/>
    <n v="1"/>
    <n v="1"/>
    <n v="-40"/>
    <n v="940"/>
  </r>
  <r>
    <x v="60"/>
    <s v="conventional_cashout_cai_807"/>
    <x v="847"/>
    <n v="1"/>
    <n v="1"/>
    <n v="-40"/>
    <n v="940"/>
  </r>
  <r>
    <x v="60"/>
    <s v="conventional_cashout_cai_808"/>
    <x v="848"/>
    <n v="1"/>
    <n v="1"/>
    <n v="-40"/>
    <n v="940"/>
  </r>
  <r>
    <x v="60"/>
    <s v="conventional_cashout_cai_809"/>
    <x v="849"/>
    <n v="1"/>
    <n v="1"/>
    <n v="-40"/>
    <n v="940"/>
  </r>
  <r>
    <x v="60"/>
    <s v="conventional_cashout_cai_810"/>
    <x v="850"/>
    <n v="1"/>
    <n v="1"/>
    <n v="-40"/>
    <n v="940"/>
  </r>
  <r>
    <x v="60"/>
    <s v="conventional_cashout_cai_811"/>
    <x v="851"/>
    <n v="1"/>
    <n v="1"/>
    <n v="-40"/>
    <n v="940"/>
  </r>
  <r>
    <x v="60"/>
    <s v="conventional_cashout_cai_812"/>
    <x v="852"/>
    <n v="1"/>
    <n v="1"/>
    <n v="-40"/>
    <n v="940"/>
  </r>
  <r>
    <x v="60"/>
    <s v="conventional_cashout_cai_813"/>
    <x v="853"/>
    <n v="1"/>
    <n v="1"/>
    <n v="-40"/>
    <n v="940"/>
  </r>
  <r>
    <x v="60"/>
    <s v="conventional_cashout_cai_814"/>
    <x v="854"/>
    <n v="1"/>
    <n v="1"/>
    <n v="-40"/>
    <n v="940"/>
  </r>
  <r>
    <x v="60"/>
    <s v="conventional_cashout_cai_815"/>
    <x v="855"/>
    <n v="1"/>
    <n v="1"/>
    <n v="-40"/>
    <n v="940"/>
  </r>
  <r>
    <x v="60"/>
    <s v="conventional_cashout_cai_816"/>
    <x v="856"/>
    <n v="1"/>
    <n v="1"/>
    <n v="-40"/>
    <n v="940"/>
  </r>
  <r>
    <x v="60"/>
    <s v="conventional_cashout_cai_817"/>
    <x v="857"/>
    <n v="1"/>
    <n v="1"/>
    <n v="-40"/>
    <n v="940"/>
  </r>
  <r>
    <x v="60"/>
    <s v="conventional_cashout_cai_818"/>
    <x v="858"/>
    <n v="1"/>
    <n v="1"/>
    <n v="-40"/>
    <n v="940"/>
  </r>
  <r>
    <x v="60"/>
    <s v="conventional_cashout_cai_819"/>
    <x v="859"/>
    <n v="1"/>
    <n v="1"/>
    <n v="-40"/>
    <n v="940"/>
  </r>
  <r>
    <x v="60"/>
    <s v="conventional_cashout_cai_820"/>
    <x v="860"/>
    <n v="1"/>
    <n v="1"/>
    <n v="-40"/>
    <n v="940"/>
  </r>
  <r>
    <x v="60"/>
    <s v="conventional_cashout_cai_821"/>
    <x v="861"/>
    <n v="1"/>
    <n v="1"/>
    <n v="-40"/>
    <n v="940"/>
  </r>
  <r>
    <x v="60"/>
    <s v="conventional_cashout_cai_822"/>
    <x v="862"/>
    <n v="1"/>
    <n v="1"/>
    <n v="-40"/>
    <n v="940"/>
  </r>
  <r>
    <x v="60"/>
    <s v="conventional_cashout_cai_823"/>
    <x v="863"/>
    <n v="1"/>
    <n v="1"/>
    <n v="-40"/>
    <n v="940"/>
  </r>
  <r>
    <x v="60"/>
    <s v="conventional_cashout_cai_824"/>
    <x v="864"/>
    <n v="1"/>
    <n v="1"/>
    <n v="-40"/>
    <n v="940"/>
  </r>
  <r>
    <x v="60"/>
    <s v="conventional_cashout_cai_825"/>
    <x v="865"/>
    <n v="1"/>
    <n v="1"/>
    <n v="-40"/>
    <n v="940"/>
  </r>
  <r>
    <x v="60"/>
    <s v="conventional_cashout_cai_826"/>
    <x v="866"/>
    <n v="1"/>
    <n v="1"/>
    <n v="-40"/>
    <n v="940"/>
  </r>
  <r>
    <x v="60"/>
    <s v="conventional_cashout_cai_827"/>
    <x v="867"/>
    <n v="1"/>
    <n v="1"/>
    <n v="-40"/>
    <n v="940"/>
  </r>
  <r>
    <x v="60"/>
    <s v="conventional_cashout_cai_828"/>
    <x v="868"/>
    <n v="1"/>
    <n v="1"/>
    <n v="-40"/>
    <n v="940"/>
  </r>
  <r>
    <x v="60"/>
    <s v="conventional_cashout_cai_829"/>
    <x v="869"/>
    <n v="1"/>
    <n v="1"/>
    <n v="-40"/>
    <n v="940"/>
  </r>
  <r>
    <x v="60"/>
    <s v="conventional_cashout_cai_830"/>
    <x v="870"/>
    <n v="1"/>
    <n v="1"/>
    <n v="-40"/>
    <n v="940"/>
  </r>
  <r>
    <x v="60"/>
    <s v="conventional_cashout_cai_831"/>
    <x v="871"/>
    <n v="1"/>
    <n v="1"/>
    <n v="-40"/>
    <n v="940"/>
  </r>
  <r>
    <x v="60"/>
    <s v="conventional_cashout_cai_832"/>
    <x v="872"/>
    <n v="1"/>
    <n v="1"/>
    <n v="-40"/>
    <n v="940"/>
  </r>
  <r>
    <x v="60"/>
    <s v="conventional_cashout_cai_833"/>
    <x v="873"/>
    <n v="1"/>
    <n v="1"/>
    <n v="-40"/>
    <n v="940"/>
  </r>
  <r>
    <x v="60"/>
    <s v="conventional_cashout_cai_834"/>
    <x v="874"/>
    <n v="1"/>
    <n v="1"/>
    <n v="-40"/>
    <n v="940"/>
  </r>
  <r>
    <x v="60"/>
    <s v="conventional_cashout_cai_835"/>
    <x v="875"/>
    <n v="1"/>
    <n v="1"/>
    <n v="-40"/>
    <n v="940"/>
  </r>
  <r>
    <x v="60"/>
    <s v="conventional_cashout_cai_836"/>
    <x v="876"/>
    <n v="1"/>
    <n v="1"/>
    <n v="-40"/>
    <n v="940"/>
  </r>
  <r>
    <x v="60"/>
    <s v="conventional_cashout_cai_837"/>
    <x v="877"/>
    <n v="1"/>
    <n v="1"/>
    <n v="-40"/>
    <n v="940"/>
  </r>
  <r>
    <x v="60"/>
    <s v="conventional_cashout_cai_838"/>
    <x v="878"/>
    <n v="1"/>
    <n v="1"/>
    <n v="-40"/>
    <n v="940"/>
  </r>
  <r>
    <x v="60"/>
    <s v="conventional_cashout_cai_839"/>
    <x v="879"/>
    <n v="1"/>
    <n v="1"/>
    <n v="-40"/>
    <n v="940"/>
  </r>
  <r>
    <x v="60"/>
    <s v="conventional_cashout_cai_840"/>
    <x v="880"/>
    <n v="1"/>
    <n v="1"/>
    <n v="-40"/>
    <n v="940"/>
  </r>
  <r>
    <x v="60"/>
    <s v="conventional_cashout_cai_841"/>
    <x v="881"/>
    <n v="1"/>
    <n v="1"/>
    <n v="-40"/>
    <n v="940"/>
  </r>
  <r>
    <x v="60"/>
    <s v="conventional_cashout_cai_842"/>
    <x v="882"/>
    <n v="1"/>
    <n v="1"/>
    <n v="-40"/>
    <n v="940"/>
  </r>
  <r>
    <x v="60"/>
    <s v="conventional_cashout_cai_843"/>
    <x v="883"/>
    <n v="1"/>
    <n v="1"/>
    <n v="-40"/>
    <n v="940"/>
  </r>
  <r>
    <x v="60"/>
    <s v="conventional_cashout_cai_844"/>
    <x v="884"/>
    <n v="1"/>
    <n v="1"/>
    <n v="-40"/>
    <n v="940"/>
  </r>
  <r>
    <x v="60"/>
    <s v="conventional_cashout_cai_845"/>
    <x v="885"/>
    <n v="1"/>
    <n v="1"/>
    <n v="-40"/>
    <n v="940"/>
  </r>
  <r>
    <x v="60"/>
    <s v="conventional_cashout_cai_846"/>
    <x v="886"/>
    <n v="1"/>
    <n v="1"/>
    <n v="-40"/>
    <n v="940"/>
  </r>
  <r>
    <x v="60"/>
    <s v="conventional_cashout_cai_847"/>
    <x v="887"/>
    <n v="1"/>
    <n v="1"/>
    <n v="-40"/>
    <n v="940"/>
  </r>
  <r>
    <x v="60"/>
    <s v="conventional_cashout_cai_848"/>
    <x v="888"/>
    <n v="1"/>
    <n v="1"/>
    <n v="-40"/>
    <n v="940"/>
  </r>
  <r>
    <x v="60"/>
    <s v="conventional_cashout_cai_849"/>
    <x v="889"/>
    <n v="1"/>
    <n v="1"/>
    <n v="-40"/>
    <n v="940"/>
  </r>
  <r>
    <x v="60"/>
    <s v="conventional_cashout_cai_850"/>
    <x v="890"/>
    <n v="1"/>
    <n v="1"/>
    <n v="-40"/>
    <n v="940"/>
  </r>
  <r>
    <x v="60"/>
    <s v="conventional_cashout_cai_851"/>
    <x v="891"/>
    <n v="1"/>
    <n v="1"/>
    <n v="-40"/>
    <n v="940"/>
  </r>
  <r>
    <x v="60"/>
    <s v="conventional_cashout_cai_852"/>
    <x v="892"/>
    <n v="1"/>
    <n v="1"/>
    <n v="-40"/>
    <n v="940"/>
  </r>
  <r>
    <x v="60"/>
    <s v="conventional_cashout_cai_853"/>
    <x v="893"/>
    <n v="1"/>
    <n v="1"/>
    <n v="-40"/>
    <n v="940"/>
  </r>
  <r>
    <x v="60"/>
    <s v="conventional_cashout_cai_854"/>
    <x v="894"/>
    <n v="1"/>
    <n v="1"/>
    <n v="-40"/>
    <n v="940"/>
  </r>
  <r>
    <x v="60"/>
    <s v="conventional_cashout_cai_855"/>
    <x v="895"/>
    <n v="1"/>
    <n v="1"/>
    <n v="-40"/>
    <n v="940"/>
  </r>
  <r>
    <x v="60"/>
    <s v="conventional_cashout_cai_856"/>
    <x v="896"/>
    <n v="1"/>
    <n v="1"/>
    <n v="-40"/>
    <n v="940"/>
  </r>
  <r>
    <x v="60"/>
    <s v="conventional_cashout_cai_857"/>
    <x v="897"/>
    <n v="1"/>
    <n v="1"/>
    <n v="-40"/>
    <n v="940"/>
  </r>
  <r>
    <x v="60"/>
    <s v="conventional_cashout_cai_858"/>
    <x v="898"/>
    <n v="1"/>
    <n v="1"/>
    <n v="-40"/>
    <n v="940"/>
  </r>
  <r>
    <x v="60"/>
    <s v="conventional_cashout_cai_859"/>
    <x v="899"/>
    <n v="1"/>
    <n v="1"/>
    <n v="-40"/>
    <n v="940"/>
  </r>
  <r>
    <x v="60"/>
    <s v="conventional_cashout_cai_860"/>
    <x v="900"/>
    <n v="1"/>
    <n v="1"/>
    <n v="-40"/>
    <n v="940"/>
  </r>
  <r>
    <x v="60"/>
    <s v="conventional_cashout_cai_861"/>
    <x v="901"/>
    <n v="1"/>
    <n v="1"/>
    <n v="-40"/>
    <n v="940"/>
  </r>
  <r>
    <x v="60"/>
    <s v="conventional_cashout_cai_862"/>
    <x v="902"/>
    <n v="1"/>
    <n v="1"/>
    <n v="-40"/>
    <n v="940"/>
  </r>
  <r>
    <x v="60"/>
    <s v="conventional_cashout_cai_863"/>
    <x v="903"/>
    <n v="1"/>
    <n v="1"/>
    <n v="-40"/>
    <n v="940"/>
  </r>
  <r>
    <x v="60"/>
    <s v="conventional_cashout_cai_864"/>
    <x v="904"/>
    <n v="1"/>
    <n v="1"/>
    <n v="-40"/>
    <n v="940"/>
  </r>
  <r>
    <x v="60"/>
    <s v="conventional_cashout_cai_865"/>
    <x v="905"/>
    <n v="1"/>
    <n v="1"/>
    <n v="-40"/>
    <n v="940"/>
  </r>
  <r>
    <x v="60"/>
    <s v="conventional_cashout_cai_866"/>
    <x v="906"/>
    <n v="1"/>
    <n v="1"/>
    <n v="-40"/>
    <n v="940"/>
  </r>
  <r>
    <x v="60"/>
    <s v="conventional_cashout_cai_867"/>
    <x v="907"/>
    <n v="1"/>
    <n v="1"/>
    <n v="-40"/>
    <n v="940"/>
  </r>
  <r>
    <x v="60"/>
    <s v="conventional_cashout_cai_868"/>
    <x v="908"/>
    <n v="1"/>
    <n v="1"/>
    <n v="-40"/>
    <n v="940"/>
  </r>
  <r>
    <x v="60"/>
    <s v="conventional_cashout_cai_869"/>
    <x v="909"/>
    <n v="1"/>
    <n v="1"/>
    <n v="-40"/>
    <n v="940"/>
  </r>
  <r>
    <x v="60"/>
    <s v="conventional_cashout_cai_870"/>
    <x v="910"/>
    <n v="1"/>
    <n v="1"/>
    <n v="-40"/>
    <n v="940"/>
  </r>
  <r>
    <x v="60"/>
    <s v="conventional_cashout_cai_871"/>
    <x v="911"/>
    <n v="1"/>
    <n v="1"/>
    <n v="-40"/>
    <n v="940"/>
  </r>
  <r>
    <x v="60"/>
    <s v="conventional_cashout_cai_872"/>
    <x v="912"/>
    <n v="1"/>
    <n v="1"/>
    <n v="-40"/>
    <n v="940"/>
  </r>
  <r>
    <x v="60"/>
    <s v="conventional_cashout_cai_873"/>
    <x v="913"/>
    <n v="1"/>
    <n v="1"/>
    <n v="-40"/>
    <n v="940"/>
  </r>
  <r>
    <x v="60"/>
    <s v="conventional_cashout_cai_874"/>
    <x v="914"/>
    <n v="1"/>
    <n v="1"/>
    <n v="-40"/>
    <n v="940"/>
  </r>
  <r>
    <x v="60"/>
    <s v="conventional_cashout_cai_875"/>
    <x v="915"/>
    <n v="1"/>
    <n v="1"/>
    <n v="-40"/>
    <n v="940"/>
  </r>
  <r>
    <x v="60"/>
    <s v="conventional_cashout_cai_876"/>
    <x v="916"/>
    <n v="1"/>
    <n v="1"/>
    <n v="-40"/>
    <n v="940"/>
  </r>
  <r>
    <x v="60"/>
    <s v="conventional_cashout_cai_877"/>
    <x v="917"/>
    <n v="1"/>
    <n v="1"/>
    <n v="-40"/>
    <n v="940"/>
  </r>
  <r>
    <x v="60"/>
    <s v="conventional_cashout_cai_878"/>
    <x v="918"/>
    <n v="1"/>
    <n v="1"/>
    <n v="-40"/>
    <n v="940"/>
  </r>
  <r>
    <x v="60"/>
    <s v="conventional_cashout_cai_879"/>
    <x v="919"/>
    <n v="1"/>
    <n v="1"/>
    <n v="-40"/>
    <n v="940"/>
  </r>
  <r>
    <x v="60"/>
    <s v="conventional_cashout_cai_880"/>
    <x v="920"/>
    <n v="1"/>
    <n v="1"/>
    <n v="-40"/>
    <n v="940"/>
  </r>
  <r>
    <x v="60"/>
    <s v="conventional_cashout_cai_881"/>
    <x v="921"/>
    <n v="1"/>
    <n v="1"/>
    <n v="-40"/>
    <n v="940"/>
  </r>
  <r>
    <x v="60"/>
    <s v="conventional_cashout_cai_882"/>
    <x v="922"/>
    <n v="1"/>
    <n v="1"/>
    <n v="-40"/>
    <n v="940"/>
  </r>
  <r>
    <x v="60"/>
    <s v="conventional_cashout_cai_883"/>
    <x v="923"/>
    <n v="1"/>
    <n v="1"/>
    <n v="-40"/>
    <n v="940"/>
  </r>
  <r>
    <x v="60"/>
    <s v="conventional_cashout_cai_884"/>
    <x v="924"/>
    <n v="1"/>
    <n v="1"/>
    <n v="-40"/>
    <n v="940"/>
  </r>
  <r>
    <x v="60"/>
    <s v="conventional_cashout_cai_885"/>
    <x v="925"/>
    <n v="1"/>
    <n v="1"/>
    <n v="-40"/>
    <n v="940"/>
  </r>
  <r>
    <x v="60"/>
    <s v="conventional_cashout_cai_886"/>
    <x v="926"/>
    <n v="1"/>
    <n v="1"/>
    <n v="-40"/>
    <n v="940"/>
  </r>
  <r>
    <x v="60"/>
    <s v="conventional_cashout_cai_887"/>
    <x v="927"/>
    <n v="1"/>
    <n v="1"/>
    <n v="-40"/>
    <n v="940"/>
  </r>
  <r>
    <x v="60"/>
    <s v="conventional_cashout_cai_888"/>
    <x v="928"/>
    <n v="1"/>
    <n v="1"/>
    <n v="-40"/>
    <n v="940"/>
  </r>
  <r>
    <x v="60"/>
    <s v="conventional_cashout_cai_889"/>
    <x v="929"/>
    <n v="1"/>
    <n v="1"/>
    <n v="-40"/>
    <n v="940"/>
  </r>
  <r>
    <x v="60"/>
    <s v="conventional_cashout_cai_890"/>
    <x v="930"/>
    <n v="1"/>
    <n v="1"/>
    <n v="-40"/>
    <n v="940"/>
  </r>
  <r>
    <x v="60"/>
    <s v="conventional_cashout_cai_891"/>
    <x v="931"/>
    <n v="1"/>
    <n v="1"/>
    <n v="-40"/>
    <n v="940"/>
  </r>
  <r>
    <x v="60"/>
    <s v="conventional_cashout_cai_892"/>
    <x v="932"/>
    <n v="1"/>
    <n v="1"/>
    <n v="-40"/>
    <n v="940"/>
  </r>
  <r>
    <x v="60"/>
    <s v="conventional_cashout_cai_893"/>
    <x v="933"/>
    <n v="1"/>
    <n v="1"/>
    <n v="-40"/>
    <n v="940"/>
  </r>
  <r>
    <x v="60"/>
    <s v="conventional_cashout_cai_894"/>
    <x v="934"/>
    <n v="1"/>
    <n v="1"/>
    <n v="-40"/>
    <n v="940"/>
  </r>
  <r>
    <x v="60"/>
    <s v="conventional_cashout_cai_895"/>
    <x v="935"/>
    <n v="1"/>
    <n v="1"/>
    <n v="-40"/>
    <n v="940"/>
  </r>
  <r>
    <x v="60"/>
    <s v="conventional_cashout_cai_896"/>
    <x v="936"/>
    <n v="1"/>
    <n v="1"/>
    <n v="-40"/>
    <n v="940"/>
  </r>
  <r>
    <x v="60"/>
    <s v="conventional_cashout_cai_897"/>
    <x v="937"/>
    <n v="1"/>
    <n v="1"/>
    <n v="-40"/>
    <n v="940"/>
  </r>
  <r>
    <x v="60"/>
    <s v="conventional_cashout_cai_898"/>
    <x v="938"/>
    <n v="1"/>
    <n v="1"/>
    <n v="-40"/>
    <n v="940"/>
  </r>
  <r>
    <x v="60"/>
    <s v="conventional_cashout_cai_899"/>
    <x v="939"/>
    <n v="1"/>
    <n v="1"/>
    <n v="-40"/>
    <n v="940"/>
  </r>
  <r>
    <x v="60"/>
    <s v="conventional_cashout_cai_900"/>
    <x v="940"/>
    <n v="1"/>
    <n v="1"/>
    <n v="-40"/>
    <n v="940"/>
  </r>
  <r>
    <x v="60"/>
    <s v="conventional_cashout_cai_901"/>
    <x v="941"/>
    <n v="1"/>
    <n v="1"/>
    <n v="-40"/>
    <n v="940"/>
  </r>
  <r>
    <x v="60"/>
    <s v="conventional_cashout_cai_902"/>
    <x v="942"/>
    <n v="1"/>
    <n v="1"/>
    <n v="-40"/>
    <n v="940"/>
  </r>
  <r>
    <x v="60"/>
    <s v="conventional_cashout_cai_903"/>
    <x v="943"/>
    <n v="1"/>
    <n v="1"/>
    <n v="-40"/>
    <n v="940"/>
  </r>
  <r>
    <x v="60"/>
    <s v="conventional_cashout_cai_904"/>
    <x v="944"/>
    <n v="1"/>
    <n v="1"/>
    <n v="-40"/>
    <n v="940"/>
  </r>
  <r>
    <x v="60"/>
    <s v="conventional_cashout_cai_905"/>
    <x v="945"/>
    <n v="1"/>
    <n v="1"/>
    <n v="-40"/>
    <n v="940"/>
  </r>
  <r>
    <x v="60"/>
    <s v="conventional_cashout_cai_906"/>
    <x v="946"/>
    <n v="1"/>
    <n v="1"/>
    <n v="-40"/>
    <n v="940"/>
  </r>
  <r>
    <x v="60"/>
    <s v="conventional_cashout_cai_907"/>
    <x v="947"/>
    <n v="1"/>
    <n v="1"/>
    <n v="-40"/>
    <n v="940"/>
  </r>
  <r>
    <x v="60"/>
    <s v="conventional_cashout_cai_908"/>
    <x v="948"/>
    <n v="1"/>
    <n v="1"/>
    <n v="-40"/>
    <n v="940"/>
  </r>
  <r>
    <x v="60"/>
    <s v="conventional_cashout_cai_909"/>
    <x v="949"/>
    <n v="1"/>
    <n v="1"/>
    <n v="-40"/>
    <n v="940"/>
  </r>
  <r>
    <x v="60"/>
    <s v="conventional_cashout_cai_910"/>
    <x v="950"/>
    <n v="1"/>
    <n v="1"/>
    <n v="-40"/>
    <n v="940"/>
  </r>
  <r>
    <x v="60"/>
    <s v="conventional_cashout_cai_911"/>
    <x v="951"/>
    <n v="1"/>
    <n v="1"/>
    <n v="-40"/>
    <n v="940"/>
  </r>
  <r>
    <x v="60"/>
    <s v="conventional_cashout_cai_912"/>
    <x v="952"/>
    <n v="1"/>
    <n v="1"/>
    <n v="-40"/>
    <n v="940"/>
  </r>
  <r>
    <x v="60"/>
    <s v="conventional_cashout_cai_913"/>
    <x v="953"/>
    <n v="1"/>
    <n v="1"/>
    <n v="-40"/>
    <n v="940"/>
  </r>
  <r>
    <x v="60"/>
    <s v="conventional_cashout_cai_914"/>
    <x v="954"/>
    <n v="1"/>
    <n v="1"/>
    <n v="-40"/>
    <n v="940"/>
  </r>
  <r>
    <x v="60"/>
    <s v="conventional_cashout_cai_915"/>
    <x v="955"/>
    <n v="1"/>
    <n v="1"/>
    <n v="-40"/>
    <n v="940"/>
  </r>
  <r>
    <x v="60"/>
    <s v="conventional_cashout_cai_916"/>
    <x v="956"/>
    <n v="1"/>
    <n v="1"/>
    <n v="-40"/>
    <n v="940"/>
  </r>
  <r>
    <x v="60"/>
    <s v="conventional_cashout_cai_917"/>
    <x v="957"/>
    <n v="1"/>
    <n v="1"/>
    <n v="-40"/>
    <n v="940"/>
  </r>
  <r>
    <x v="60"/>
    <s v="conventional_cashout_cai_918"/>
    <x v="958"/>
    <n v="1"/>
    <n v="1"/>
    <n v="-40"/>
    <n v="940"/>
  </r>
  <r>
    <x v="60"/>
    <s v="conventional_cashout_cai_919"/>
    <x v="959"/>
    <n v="1"/>
    <n v="1"/>
    <n v="-40"/>
    <n v="940"/>
  </r>
  <r>
    <x v="60"/>
    <s v="conventional_cashout_cai_920"/>
    <x v="960"/>
    <n v="1"/>
    <n v="1"/>
    <n v="-40"/>
    <n v="940"/>
  </r>
  <r>
    <x v="60"/>
    <s v="conventional_cashout_cai_921"/>
    <x v="961"/>
    <n v="1"/>
    <n v="1"/>
    <n v="-40"/>
    <n v="940"/>
  </r>
  <r>
    <x v="60"/>
    <s v="conventional_cashout_cai_922"/>
    <x v="962"/>
    <n v="1"/>
    <n v="1"/>
    <n v="-40"/>
    <n v="940"/>
  </r>
  <r>
    <x v="60"/>
    <s v="conventional_cashout_cai_923"/>
    <x v="963"/>
    <n v="1"/>
    <n v="1"/>
    <n v="-40"/>
    <n v="940"/>
  </r>
  <r>
    <x v="60"/>
    <s v="conventional_cashout_cai_924"/>
    <x v="964"/>
    <n v="1"/>
    <n v="1"/>
    <n v="-40"/>
    <n v="940"/>
  </r>
  <r>
    <x v="60"/>
    <s v="conventional_cashout_cai_925"/>
    <x v="965"/>
    <n v="1"/>
    <n v="1"/>
    <n v="-40"/>
    <n v="940"/>
  </r>
  <r>
    <x v="60"/>
    <s v="conventional_cashout_cai_926"/>
    <x v="966"/>
    <n v="1"/>
    <n v="1"/>
    <n v="-40"/>
    <n v="940"/>
  </r>
  <r>
    <x v="60"/>
    <s v="conventional_cashout_cai_927"/>
    <x v="967"/>
    <n v="1"/>
    <n v="1"/>
    <n v="-40"/>
    <n v="940"/>
  </r>
  <r>
    <x v="60"/>
    <s v="conventional_cashout_cai_928"/>
    <x v="968"/>
    <n v="1"/>
    <n v="1"/>
    <n v="-40"/>
    <n v="940"/>
  </r>
  <r>
    <x v="60"/>
    <s v="conventional_cashout_cai_929"/>
    <x v="969"/>
    <n v="1"/>
    <n v="1"/>
    <n v="-40"/>
    <n v="940"/>
  </r>
  <r>
    <x v="60"/>
    <s v="conventional_cashout_cai_930"/>
    <x v="970"/>
    <n v="1"/>
    <n v="1"/>
    <n v="-40"/>
    <n v="940"/>
  </r>
  <r>
    <x v="60"/>
    <s v="conventional_cashout_cai_931"/>
    <x v="971"/>
    <n v="1"/>
    <n v="1"/>
    <n v="-40"/>
    <n v="940"/>
  </r>
  <r>
    <x v="60"/>
    <s v="conventional_cashout_cai_932"/>
    <x v="972"/>
    <n v="1"/>
    <n v="1"/>
    <n v="-40"/>
    <n v="940"/>
  </r>
  <r>
    <x v="60"/>
    <s v="conventional_cashout_cai_933"/>
    <x v="973"/>
    <n v="1"/>
    <n v="1"/>
    <n v="-40"/>
    <n v="940"/>
  </r>
  <r>
    <x v="60"/>
    <s v="conventional_cashout_cai_934"/>
    <x v="974"/>
    <n v="1"/>
    <n v="1"/>
    <n v="-40"/>
    <n v="940"/>
  </r>
  <r>
    <x v="60"/>
    <s v="conventional_cashout_cai_935"/>
    <x v="975"/>
    <n v="1"/>
    <n v="1"/>
    <n v="-40"/>
    <n v="940"/>
  </r>
  <r>
    <x v="60"/>
    <s v="conventional_cashout_cai_936"/>
    <x v="976"/>
    <n v="1"/>
    <n v="1"/>
    <n v="-40"/>
    <n v="940"/>
  </r>
  <r>
    <x v="60"/>
    <s v="conventional_cashout_cai_937"/>
    <x v="977"/>
    <n v="1"/>
    <n v="1"/>
    <n v="-40"/>
    <n v="940"/>
  </r>
  <r>
    <x v="60"/>
    <s v="conventional_cashout_cai_938"/>
    <x v="978"/>
    <n v="1"/>
    <n v="1"/>
    <n v="-40"/>
    <n v="940"/>
  </r>
  <r>
    <x v="60"/>
    <s v="conventional_cashout_cai_939"/>
    <x v="979"/>
    <n v="1"/>
    <n v="1"/>
    <n v="-40"/>
    <n v="940"/>
  </r>
  <r>
    <x v="60"/>
    <s v="conventional_cashout_cai_940"/>
    <x v="980"/>
    <n v="1"/>
    <n v="1"/>
    <n v="-40"/>
    <n v="940"/>
  </r>
  <r>
    <x v="61"/>
    <s v="conventional_cashout_wala_-24"/>
    <x v="16"/>
    <n v="1.2609999999999999"/>
    <n v="1"/>
    <n v="-24"/>
    <n v="144"/>
  </r>
  <r>
    <x v="61"/>
    <s v="conventional_cashout_wala_-23"/>
    <x v="17"/>
    <n v="1.2609999999999999"/>
    <n v="1"/>
    <n v="-24"/>
    <n v="144"/>
  </r>
  <r>
    <x v="61"/>
    <s v="conventional_cashout_wala_-22"/>
    <x v="18"/>
    <n v="1.2609999999999999"/>
    <n v="1"/>
    <n v="-24"/>
    <n v="144"/>
  </r>
  <r>
    <x v="61"/>
    <s v="conventional_cashout_wala_-21"/>
    <x v="19"/>
    <n v="1.2609999999999999"/>
    <n v="1"/>
    <n v="-24"/>
    <n v="144"/>
  </r>
  <r>
    <x v="61"/>
    <s v="conventional_cashout_wala_-20"/>
    <x v="20"/>
    <n v="1.2609999999999999"/>
    <n v="1"/>
    <n v="-24"/>
    <n v="144"/>
  </r>
  <r>
    <x v="61"/>
    <s v="conventional_cashout_wala_-19"/>
    <x v="21"/>
    <n v="1.2609999999999999"/>
    <n v="1"/>
    <n v="-24"/>
    <n v="144"/>
  </r>
  <r>
    <x v="61"/>
    <s v="conventional_cashout_wala_-18"/>
    <x v="22"/>
    <n v="1.2609999999999999"/>
    <n v="1"/>
    <n v="-24"/>
    <n v="144"/>
  </r>
  <r>
    <x v="61"/>
    <s v="conventional_cashout_wala_-17"/>
    <x v="23"/>
    <n v="1.2609999999999999"/>
    <n v="1"/>
    <n v="-24"/>
    <n v="144"/>
  </r>
  <r>
    <x v="61"/>
    <s v="conventional_cashout_wala_-16"/>
    <x v="24"/>
    <n v="1.2609999999999999"/>
    <n v="1"/>
    <n v="-24"/>
    <n v="144"/>
  </r>
  <r>
    <x v="61"/>
    <s v="conventional_cashout_wala_-15"/>
    <x v="25"/>
    <n v="1.2609999999999999"/>
    <n v="1"/>
    <n v="-24"/>
    <n v="144"/>
  </r>
  <r>
    <x v="61"/>
    <s v="conventional_cashout_wala_-14"/>
    <x v="26"/>
    <n v="1.2609999999999999"/>
    <n v="1"/>
    <n v="-24"/>
    <n v="144"/>
  </r>
  <r>
    <x v="61"/>
    <s v="conventional_cashout_wala_-13"/>
    <x v="27"/>
    <n v="1.2609999999999999"/>
    <n v="1"/>
    <n v="-24"/>
    <n v="144"/>
  </r>
  <r>
    <x v="61"/>
    <s v="conventional_cashout_wala_-12"/>
    <x v="28"/>
    <n v="1.2609999999999999"/>
    <n v="1"/>
    <n v="-24"/>
    <n v="144"/>
  </r>
  <r>
    <x v="61"/>
    <s v="conventional_cashout_wala_-11"/>
    <x v="29"/>
    <n v="1.2609999999999999"/>
    <n v="1"/>
    <n v="-24"/>
    <n v="144"/>
  </r>
  <r>
    <x v="61"/>
    <s v="conventional_cashout_wala_-10"/>
    <x v="30"/>
    <n v="1.2609999999999999"/>
    <n v="1"/>
    <n v="-24"/>
    <n v="144"/>
  </r>
  <r>
    <x v="61"/>
    <s v="conventional_cashout_wala_-9"/>
    <x v="31"/>
    <n v="1.2609999999999999"/>
    <n v="1"/>
    <n v="-24"/>
    <n v="144"/>
  </r>
  <r>
    <x v="61"/>
    <s v="conventional_cashout_wala_-8"/>
    <x v="32"/>
    <n v="1.2609999999999999"/>
    <n v="1"/>
    <n v="-24"/>
    <n v="144"/>
  </r>
  <r>
    <x v="61"/>
    <s v="conventional_cashout_wala_-7"/>
    <x v="33"/>
    <n v="1.2609999999999999"/>
    <n v="1"/>
    <n v="-24"/>
    <n v="144"/>
  </r>
  <r>
    <x v="61"/>
    <s v="conventional_cashout_wala_-6"/>
    <x v="34"/>
    <n v="1.2609999999999999"/>
    <n v="1"/>
    <n v="-24"/>
    <n v="144"/>
  </r>
  <r>
    <x v="61"/>
    <s v="conventional_cashout_wala_-5"/>
    <x v="35"/>
    <n v="1.2609999999999999"/>
    <n v="1"/>
    <n v="-24"/>
    <n v="144"/>
  </r>
  <r>
    <x v="61"/>
    <s v="conventional_cashout_wala_-4"/>
    <x v="36"/>
    <n v="1.2609999999999999"/>
    <n v="1"/>
    <n v="-24"/>
    <n v="144"/>
  </r>
  <r>
    <x v="61"/>
    <s v="conventional_cashout_wala_-3"/>
    <x v="37"/>
    <n v="1.2609999999999999"/>
    <n v="1"/>
    <n v="-24"/>
    <n v="144"/>
  </r>
  <r>
    <x v="61"/>
    <s v="conventional_cashout_wala_-2"/>
    <x v="38"/>
    <n v="1.2609999999999999"/>
    <n v="1"/>
    <n v="-24"/>
    <n v="144"/>
  </r>
  <r>
    <x v="61"/>
    <s v="conventional_cashout_wala_-1"/>
    <x v="39"/>
    <n v="1.2609999999999999"/>
    <n v="1"/>
    <n v="-24"/>
    <n v="144"/>
  </r>
  <r>
    <x v="61"/>
    <s v="conventional_cashout_wala_0"/>
    <x v="40"/>
    <n v="1.2609999999999999"/>
    <n v="1"/>
    <n v="-24"/>
    <n v="144"/>
  </r>
  <r>
    <x v="61"/>
    <s v="conventional_cashout_wala_1"/>
    <x v="41"/>
    <n v="1.2609999999999999"/>
    <n v="1"/>
    <n v="-24"/>
    <n v="144"/>
  </r>
  <r>
    <x v="61"/>
    <s v="conventional_cashout_wala_2"/>
    <x v="42"/>
    <n v="1.2609999999999999"/>
    <n v="1"/>
    <n v="-24"/>
    <n v="144"/>
  </r>
  <r>
    <x v="61"/>
    <s v="conventional_cashout_wala_3"/>
    <x v="43"/>
    <n v="1.2609999999999999"/>
    <n v="1"/>
    <n v="-24"/>
    <n v="144"/>
  </r>
  <r>
    <x v="61"/>
    <s v="conventional_cashout_wala_4"/>
    <x v="44"/>
    <n v="1.2609999999999999"/>
    <n v="1"/>
    <n v="-24"/>
    <n v="144"/>
  </r>
  <r>
    <x v="61"/>
    <s v="conventional_cashout_wala_5"/>
    <x v="45"/>
    <n v="1.2609999999999999"/>
    <n v="1"/>
    <n v="-24"/>
    <n v="144"/>
  </r>
  <r>
    <x v="61"/>
    <s v="conventional_cashout_wala_6"/>
    <x v="46"/>
    <n v="1.2609999999999999"/>
    <n v="1"/>
    <n v="-24"/>
    <n v="144"/>
  </r>
  <r>
    <x v="61"/>
    <s v="conventional_cashout_wala_7"/>
    <x v="47"/>
    <n v="1.2609999999999999"/>
    <n v="1"/>
    <n v="-24"/>
    <n v="144"/>
  </r>
  <r>
    <x v="61"/>
    <s v="conventional_cashout_wala_8"/>
    <x v="48"/>
    <n v="1.2609999999999999"/>
    <n v="1"/>
    <n v="-24"/>
    <n v="144"/>
  </r>
  <r>
    <x v="61"/>
    <s v="conventional_cashout_wala_9"/>
    <x v="49"/>
    <n v="1.2609999999999999"/>
    <n v="1"/>
    <n v="-24"/>
    <n v="144"/>
  </r>
  <r>
    <x v="61"/>
    <s v="conventional_cashout_wala_10"/>
    <x v="50"/>
    <n v="1.2609999999999999"/>
    <n v="1"/>
    <n v="-24"/>
    <n v="144"/>
  </r>
  <r>
    <x v="61"/>
    <s v="conventional_cashout_wala_11"/>
    <x v="51"/>
    <n v="1.2609999999999999"/>
    <n v="1"/>
    <n v="-24"/>
    <n v="144"/>
  </r>
  <r>
    <x v="61"/>
    <s v="conventional_cashout_wala_12"/>
    <x v="52"/>
    <n v="1.2609999999999999"/>
    <n v="1"/>
    <n v="-24"/>
    <n v="144"/>
  </r>
  <r>
    <x v="61"/>
    <s v="conventional_cashout_wala_13"/>
    <x v="53"/>
    <n v="1.2609999999999999"/>
    <n v="1"/>
    <n v="-24"/>
    <n v="144"/>
  </r>
  <r>
    <x v="61"/>
    <s v="conventional_cashout_wala_14"/>
    <x v="54"/>
    <n v="1.2609999999999999"/>
    <n v="1"/>
    <n v="-24"/>
    <n v="144"/>
  </r>
  <r>
    <x v="61"/>
    <s v="conventional_cashout_wala_15"/>
    <x v="55"/>
    <n v="1.2609999999999999"/>
    <n v="1"/>
    <n v="-24"/>
    <n v="144"/>
  </r>
  <r>
    <x v="61"/>
    <s v="conventional_cashout_wala_16"/>
    <x v="56"/>
    <n v="1.2609999999999999"/>
    <n v="1"/>
    <n v="-24"/>
    <n v="144"/>
  </r>
  <r>
    <x v="61"/>
    <s v="conventional_cashout_wala_17"/>
    <x v="57"/>
    <n v="1.2609999999999999"/>
    <n v="1"/>
    <n v="-24"/>
    <n v="144"/>
  </r>
  <r>
    <x v="61"/>
    <s v="conventional_cashout_wala_18"/>
    <x v="58"/>
    <n v="1.2609999999999999"/>
    <n v="1"/>
    <n v="-24"/>
    <n v="144"/>
  </r>
  <r>
    <x v="61"/>
    <s v="conventional_cashout_wala_19"/>
    <x v="59"/>
    <n v="1.2609999999999999"/>
    <n v="1"/>
    <n v="-24"/>
    <n v="144"/>
  </r>
  <r>
    <x v="61"/>
    <s v="conventional_cashout_wala_20"/>
    <x v="60"/>
    <n v="1.2609999999999999"/>
    <n v="1"/>
    <n v="-24"/>
    <n v="144"/>
  </r>
  <r>
    <x v="61"/>
    <s v="conventional_cashout_wala_21"/>
    <x v="61"/>
    <n v="1.2609999999999999"/>
    <n v="1"/>
    <n v="-24"/>
    <n v="144"/>
  </r>
  <r>
    <x v="61"/>
    <s v="conventional_cashout_wala_22"/>
    <x v="62"/>
    <n v="1.2609999999999999"/>
    <n v="1"/>
    <n v="-24"/>
    <n v="144"/>
  </r>
  <r>
    <x v="61"/>
    <s v="conventional_cashout_wala_23"/>
    <x v="63"/>
    <n v="1.2609999999999999"/>
    <n v="1"/>
    <n v="-24"/>
    <n v="144"/>
  </r>
  <r>
    <x v="61"/>
    <s v="conventional_cashout_wala_24"/>
    <x v="64"/>
    <n v="1.2609999999999999"/>
    <n v="1"/>
    <n v="-24"/>
    <n v="144"/>
  </r>
  <r>
    <x v="61"/>
    <s v="conventional_cashout_wala_25"/>
    <x v="65"/>
    <n v="1.2609999999999999"/>
    <n v="1"/>
    <n v="-24"/>
    <n v="144"/>
  </r>
  <r>
    <x v="61"/>
    <s v="conventional_cashout_wala_26"/>
    <x v="66"/>
    <n v="1.2609999999999999"/>
    <n v="1"/>
    <n v="-24"/>
    <n v="144"/>
  </r>
  <r>
    <x v="61"/>
    <s v="conventional_cashout_wala_27"/>
    <x v="67"/>
    <n v="1.2609999999999999"/>
    <n v="1"/>
    <n v="-24"/>
    <n v="144"/>
  </r>
  <r>
    <x v="61"/>
    <s v="conventional_cashout_wala_28"/>
    <x v="68"/>
    <n v="1.2609999999999999"/>
    <n v="1"/>
    <n v="-24"/>
    <n v="144"/>
  </r>
  <r>
    <x v="61"/>
    <s v="conventional_cashout_wala_29"/>
    <x v="69"/>
    <n v="1.2609999999999999"/>
    <n v="1"/>
    <n v="-24"/>
    <n v="144"/>
  </r>
  <r>
    <x v="61"/>
    <s v="conventional_cashout_wala_30"/>
    <x v="70"/>
    <n v="1.2609999999999999"/>
    <n v="1"/>
    <n v="-24"/>
    <n v="144"/>
  </r>
  <r>
    <x v="61"/>
    <s v="conventional_cashout_wala_31"/>
    <x v="71"/>
    <n v="1.2609999999999999"/>
    <n v="1"/>
    <n v="-24"/>
    <n v="144"/>
  </r>
  <r>
    <x v="61"/>
    <s v="conventional_cashout_wala_32"/>
    <x v="72"/>
    <n v="1.2609999999999999"/>
    <n v="1"/>
    <n v="-24"/>
    <n v="144"/>
  </r>
  <r>
    <x v="61"/>
    <s v="conventional_cashout_wala_33"/>
    <x v="73"/>
    <n v="1.2609999999999999"/>
    <n v="1"/>
    <n v="-24"/>
    <n v="144"/>
  </r>
  <r>
    <x v="61"/>
    <s v="conventional_cashout_wala_34"/>
    <x v="74"/>
    <n v="1.2609999999999999"/>
    <n v="1"/>
    <n v="-24"/>
    <n v="144"/>
  </r>
  <r>
    <x v="61"/>
    <s v="conventional_cashout_wala_35"/>
    <x v="75"/>
    <n v="1.2609999999999999"/>
    <n v="1"/>
    <n v="-24"/>
    <n v="144"/>
  </r>
  <r>
    <x v="61"/>
    <s v="conventional_cashout_wala_36"/>
    <x v="76"/>
    <n v="1.2609999999999999"/>
    <n v="1"/>
    <n v="-24"/>
    <n v="144"/>
  </r>
  <r>
    <x v="61"/>
    <s v="conventional_cashout_wala_37"/>
    <x v="77"/>
    <n v="1.2609999999999999"/>
    <n v="1"/>
    <n v="-24"/>
    <n v="144"/>
  </r>
  <r>
    <x v="61"/>
    <s v="conventional_cashout_wala_38"/>
    <x v="78"/>
    <n v="1.2609999999999999"/>
    <n v="1"/>
    <n v="-24"/>
    <n v="144"/>
  </r>
  <r>
    <x v="61"/>
    <s v="conventional_cashout_wala_39"/>
    <x v="79"/>
    <n v="1.2609999999999999"/>
    <n v="1"/>
    <n v="-24"/>
    <n v="144"/>
  </r>
  <r>
    <x v="61"/>
    <s v="conventional_cashout_wala_40"/>
    <x v="80"/>
    <n v="1.2609999999999999"/>
    <n v="1"/>
    <n v="-24"/>
    <n v="144"/>
  </r>
  <r>
    <x v="61"/>
    <s v="conventional_cashout_wala_41"/>
    <x v="81"/>
    <n v="1.2609999999999999"/>
    <n v="1"/>
    <n v="-24"/>
    <n v="144"/>
  </r>
  <r>
    <x v="61"/>
    <s v="conventional_cashout_wala_42"/>
    <x v="82"/>
    <n v="1.2609999999999999"/>
    <n v="1"/>
    <n v="-24"/>
    <n v="144"/>
  </r>
  <r>
    <x v="61"/>
    <s v="conventional_cashout_wala_43"/>
    <x v="83"/>
    <n v="1.2609999999999999"/>
    <n v="1"/>
    <n v="-24"/>
    <n v="144"/>
  </r>
  <r>
    <x v="61"/>
    <s v="conventional_cashout_wala_44"/>
    <x v="84"/>
    <n v="1.2609999999999999"/>
    <n v="1"/>
    <n v="-24"/>
    <n v="144"/>
  </r>
  <r>
    <x v="61"/>
    <s v="conventional_cashout_wala_45"/>
    <x v="85"/>
    <n v="1.2609999999999999"/>
    <n v="1"/>
    <n v="-24"/>
    <n v="144"/>
  </r>
  <r>
    <x v="61"/>
    <s v="conventional_cashout_wala_46"/>
    <x v="86"/>
    <n v="1.2609999999999999"/>
    <n v="1"/>
    <n v="-24"/>
    <n v="144"/>
  </r>
  <r>
    <x v="61"/>
    <s v="conventional_cashout_wala_47"/>
    <x v="87"/>
    <n v="1.2609999999999999"/>
    <n v="1"/>
    <n v="-24"/>
    <n v="144"/>
  </r>
  <r>
    <x v="61"/>
    <s v="conventional_cashout_wala_48"/>
    <x v="88"/>
    <n v="1.2609999999999999"/>
    <n v="1"/>
    <n v="-24"/>
    <n v="144"/>
  </r>
  <r>
    <x v="61"/>
    <s v="conventional_cashout_wala_49"/>
    <x v="89"/>
    <n v="1.2609999999999999"/>
    <n v="1"/>
    <n v="-24"/>
    <n v="144"/>
  </r>
  <r>
    <x v="61"/>
    <s v="conventional_cashout_wala_50"/>
    <x v="90"/>
    <n v="1.2609999999999999"/>
    <n v="1"/>
    <n v="-24"/>
    <n v="144"/>
  </r>
  <r>
    <x v="61"/>
    <s v="conventional_cashout_wala_51"/>
    <x v="91"/>
    <n v="1.2609999999999999"/>
    <n v="1"/>
    <n v="-24"/>
    <n v="144"/>
  </r>
  <r>
    <x v="61"/>
    <s v="conventional_cashout_wala_52"/>
    <x v="92"/>
    <n v="1.2609999999999999"/>
    <n v="1"/>
    <n v="-24"/>
    <n v="144"/>
  </r>
  <r>
    <x v="61"/>
    <s v="conventional_cashout_wala_53"/>
    <x v="93"/>
    <n v="1.2609999999999999"/>
    <n v="1"/>
    <n v="-24"/>
    <n v="144"/>
  </r>
  <r>
    <x v="61"/>
    <s v="conventional_cashout_wala_54"/>
    <x v="94"/>
    <n v="1.2609999999999999"/>
    <n v="1"/>
    <n v="-24"/>
    <n v="144"/>
  </r>
  <r>
    <x v="61"/>
    <s v="conventional_cashout_wala_55"/>
    <x v="95"/>
    <n v="1.2609999999999999"/>
    <n v="1"/>
    <n v="-24"/>
    <n v="144"/>
  </r>
  <r>
    <x v="61"/>
    <s v="conventional_cashout_wala_56"/>
    <x v="96"/>
    <n v="1.2609999999999999"/>
    <n v="1"/>
    <n v="-24"/>
    <n v="144"/>
  </r>
  <r>
    <x v="61"/>
    <s v="conventional_cashout_wala_57"/>
    <x v="97"/>
    <n v="1.2609999999999999"/>
    <n v="1"/>
    <n v="-24"/>
    <n v="144"/>
  </r>
  <r>
    <x v="61"/>
    <s v="conventional_cashout_wala_58"/>
    <x v="98"/>
    <n v="1.2609999999999999"/>
    <n v="1"/>
    <n v="-24"/>
    <n v="144"/>
  </r>
  <r>
    <x v="61"/>
    <s v="conventional_cashout_wala_59"/>
    <x v="99"/>
    <n v="1.2609999999999999"/>
    <n v="1"/>
    <n v="-24"/>
    <n v="144"/>
  </r>
  <r>
    <x v="61"/>
    <s v="conventional_cashout_wala_60"/>
    <x v="100"/>
    <n v="1.2609999999999999"/>
    <n v="1"/>
    <n v="-24"/>
    <n v="144"/>
  </r>
  <r>
    <x v="61"/>
    <s v="conventional_cashout_wala_61"/>
    <x v="101"/>
    <n v="1.2609999999999999"/>
    <n v="1"/>
    <n v="-24"/>
    <n v="144"/>
  </r>
  <r>
    <x v="61"/>
    <s v="conventional_cashout_wala_62"/>
    <x v="102"/>
    <n v="1.2609999999999999"/>
    <n v="1"/>
    <n v="-24"/>
    <n v="144"/>
  </r>
  <r>
    <x v="61"/>
    <s v="conventional_cashout_wala_63"/>
    <x v="103"/>
    <n v="1.2609999999999999"/>
    <n v="1"/>
    <n v="-24"/>
    <n v="144"/>
  </r>
  <r>
    <x v="61"/>
    <s v="conventional_cashout_wala_64"/>
    <x v="104"/>
    <n v="1.2609999999999999"/>
    <n v="1"/>
    <n v="-24"/>
    <n v="144"/>
  </r>
  <r>
    <x v="61"/>
    <s v="conventional_cashout_wala_65"/>
    <x v="105"/>
    <n v="1.2609999999999999"/>
    <n v="1"/>
    <n v="-24"/>
    <n v="144"/>
  </r>
  <r>
    <x v="61"/>
    <s v="conventional_cashout_wala_66"/>
    <x v="106"/>
    <n v="1.2609999999999999"/>
    <n v="1"/>
    <n v="-24"/>
    <n v="144"/>
  </r>
  <r>
    <x v="61"/>
    <s v="conventional_cashout_wala_67"/>
    <x v="107"/>
    <n v="1.2609999999999999"/>
    <n v="1"/>
    <n v="-24"/>
    <n v="144"/>
  </r>
  <r>
    <x v="61"/>
    <s v="conventional_cashout_wala_68"/>
    <x v="108"/>
    <n v="1.2609999999999999"/>
    <n v="1"/>
    <n v="-24"/>
    <n v="144"/>
  </r>
  <r>
    <x v="61"/>
    <s v="conventional_cashout_wala_69"/>
    <x v="109"/>
    <n v="1.2609999999999999"/>
    <n v="1"/>
    <n v="-24"/>
    <n v="144"/>
  </r>
  <r>
    <x v="61"/>
    <s v="conventional_cashout_wala_70"/>
    <x v="110"/>
    <n v="1.2609999999999999"/>
    <n v="1"/>
    <n v="-24"/>
    <n v="144"/>
  </r>
  <r>
    <x v="61"/>
    <s v="conventional_cashout_wala_71"/>
    <x v="111"/>
    <n v="1.2609999999999999"/>
    <n v="1"/>
    <n v="-24"/>
    <n v="144"/>
  </r>
  <r>
    <x v="61"/>
    <s v="conventional_cashout_wala_72"/>
    <x v="112"/>
    <n v="1.2609999999999999"/>
    <n v="1"/>
    <n v="-24"/>
    <n v="144"/>
  </r>
  <r>
    <x v="61"/>
    <s v="conventional_cashout_wala_73"/>
    <x v="113"/>
    <n v="1.2609999999999999"/>
    <n v="1"/>
    <n v="-24"/>
    <n v="144"/>
  </r>
  <r>
    <x v="61"/>
    <s v="conventional_cashout_wala_74"/>
    <x v="114"/>
    <n v="1.2609999999999999"/>
    <n v="1"/>
    <n v="-24"/>
    <n v="144"/>
  </r>
  <r>
    <x v="61"/>
    <s v="conventional_cashout_wala_75"/>
    <x v="115"/>
    <n v="1.2609999999999999"/>
    <n v="1"/>
    <n v="-24"/>
    <n v="144"/>
  </r>
  <r>
    <x v="61"/>
    <s v="conventional_cashout_wala_76"/>
    <x v="116"/>
    <n v="1.2609999999999999"/>
    <n v="1"/>
    <n v="-24"/>
    <n v="144"/>
  </r>
  <r>
    <x v="61"/>
    <s v="conventional_cashout_wala_77"/>
    <x v="117"/>
    <n v="1.2609999999999999"/>
    <n v="1"/>
    <n v="-24"/>
    <n v="144"/>
  </r>
  <r>
    <x v="61"/>
    <s v="conventional_cashout_wala_78"/>
    <x v="118"/>
    <n v="1.2609999999999999"/>
    <n v="1"/>
    <n v="-24"/>
    <n v="144"/>
  </r>
  <r>
    <x v="61"/>
    <s v="conventional_cashout_wala_79"/>
    <x v="119"/>
    <n v="1.2609999999999999"/>
    <n v="1"/>
    <n v="-24"/>
    <n v="144"/>
  </r>
  <r>
    <x v="61"/>
    <s v="conventional_cashout_wala_80"/>
    <x v="120"/>
    <n v="1.2609999999999999"/>
    <n v="1"/>
    <n v="-24"/>
    <n v="144"/>
  </r>
  <r>
    <x v="61"/>
    <s v="conventional_cashout_wala_81"/>
    <x v="121"/>
    <n v="1.2609999999999999"/>
    <n v="1"/>
    <n v="-24"/>
    <n v="144"/>
  </r>
  <r>
    <x v="61"/>
    <s v="conventional_cashout_wala_82"/>
    <x v="122"/>
    <n v="1.2609999999999999"/>
    <n v="1"/>
    <n v="-24"/>
    <n v="144"/>
  </r>
  <r>
    <x v="61"/>
    <s v="conventional_cashout_wala_83"/>
    <x v="123"/>
    <n v="1.2609999999999999"/>
    <n v="1"/>
    <n v="-24"/>
    <n v="144"/>
  </r>
  <r>
    <x v="61"/>
    <s v="conventional_cashout_wala_84"/>
    <x v="124"/>
    <n v="1.2609999999999999"/>
    <n v="1"/>
    <n v="-24"/>
    <n v="144"/>
  </r>
  <r>
    <x v="61"/>
    <s v="conventional_cashout_wala_85"/>
    <x v="125"/>
    <n v="1.2609999999999999"/>
    <n v="1"/>
    <n v="-24"/>
    <n v="144"/>
  </r>
  <r>
    <x v="61"/>
    <s v="conventional_cashout_wala_86"/>
    <x v="126"/>
    <n v="1.2609999999999999"/>
    <n v="1"/>
    <n v="-24"/>
    <n v="144"/>
  </r>
  <r>
    <x v="61"/>
    <s v="conventional_cashout_wala_87"/>
    <x v="127"/>
    <n v="1.2609999999999999"/>
    <n v="1"/>
    <n v="-24"/>
    <n v="144"/>
  </r>
  <r>
    <x v="61"/>
    <s v="conventional_cashout_wala_88"/>
    <x v="128"/>
    <n v="1.2609999999999999"/>
    <n v="1"/>
    <n v="-24"/>
    <n v="144"/>
  </r>
  <r>
    <x v="61"/>
    <s v="conventional_cashout_wala_89"/>
    <x v="129"/>
    <n v="1.2609999999999999"/>
    <n v="1"/>
    <n v="-24"/>
    <n v="144"/>
  </r>
  <r>
    <x v="61"/>
    <s v="conventional_cashout_wala_90"/>
    <x v="130"/>
    <n v="1.2609999999999999"/>
    <n v="1"/>
    <n v="-24"/>
    <n v="144"/>
  </r>
  <r>
    <x v="61"/>
    <s v="conventional_cashout_wala_91"/>
    <x v="131"/>
    <n v="1.2609999999999999"/>
    <n v="1"/>
    <n v="-24"/>
    <n v="144"/>
  </r>
  <r>
    <x v="61"/>
    <s v="conventional_cashout_wala_92"/>
    <x v="132"/>
    <n v="1.2609999999999999"/>
    <n v="1"/>
    <n v="-24"/>
    <n v="144"/>
  </r>
  <r>
    <x v="61"/>
    <s v="conventional_cashout_wala_93"/>
    <x v="133"/>
    <n v="1.2609999999999999"/>
    <n v="1"/>
    <n v="-24"/>
    <n v="144"/>
  </r>
  <r>
    <x v="61"/>
    <s v="conventional_cashout_wala_94"/>
    <x v="134"/>
    <n v="1.2609999999999999"/>
    <n v="1"/>
    <n v="-24"/>
    <n v="144"/>
  </r>
  <r>
    <x v="61"/>
    <s v="conventional_cashout_wala_95"/>
    <x v="135"/>
    <n v="1.2609999999999999"/>
    <n v="1"/>
    <n v="-24"/>
    <n v="144"/>
  </r>
  <r>
    <x v="61"/>
    <s v="conventional_cashout_wala_96"/>
    <x v="136"/>
    <n v="1.2609999999999999"/>
    <n v="1"/>
    <n v="-24"/>
    <n v="144"/>
  </r>
  <r>
    <x v="61"/>
    <s v="conventional_cashout_wala_97"/>
    <x v="137"/>
    <n v="1.2609999999999999"/>
    <n v="1"/>
    <n v="-24"/>
    <n v="144"/>
  </r>
  <r>
    <x v="61"/>
    <s v="conventional_cashout_wala_98"/>
    <x v="138"/>
    <n v="1.2609999999999999"/>
    <n v="1"/>
    <n v="-24"/>
    <n v="144"/>
  </r>
  <r>
    <x v="61"/>
    <s v="conventional_cashout_wala_99"/>
    <x v="139"/>
    <n v="1.2609999999999999"/>
    <n v="1"/>
    <n v="-24"/>
    <n v="144"/>
  </r>
  <r>
    <x v="61"/>
    <s v="conventional_cashout_wala_100"/>
    <x v="140"/>
    <n v="1.2609999999999999"/>
    <n v="1"/>
    <n v="-24"/>
    <n v="144"/>
  </r>
  <r>
    <x v="61"/>
    <s v="conventional_cashout_wala_101"/>
    <x v="141"/>
    <n v="1.2609999999999999"/>
    <n v="1"/>
    <n v="-24"/>
    <n v="144"/>
  </r>
  <r>
    <x v="61"/>
    <s v="conventional_cashout_wala_102"/>
    <x v="142"/>
    <n v="1.2609999999999999"/>
    <n v="1"/>
    <n v="-24"/>
    <n v="144"/>
  </r>
  <r>
    <x v="61"/>
    <s v="conventional_cashout_wala_103"/>
    <x v="143"/>
    <n v="1.2609999999999999"/>
    <n v="1"/>
    <n v="-24"/>
    <n v="144"/>
  </r>
  <r>
    <x v="61"/>
    <s v="conventional_cashout_wala_104"/>
    <x v="144"/>
    <n v="1.2609999999999999"/>
    <n v="1"/>
    <n v="-24"/>
    <n v="144"/>
  </r>
  <r>
    <x v="61"/>
    <s v="conventional_cashout_wala_105"/>
    <x v="145"/>
    <n v="1.2609999999999999"/>
    <n v="1"/>
    <n v="-24"/>
    <n v="144"/>
  </r>
  <r>
    <x v="61"/>
    <s v="conventional_cashout_wala_106"/>
    <x v="146"/>
    <n v="1.2609999999999999"/>
    <n v="1"/>
    <n v="-24"/>
    <n v="144"/>
  </r>
  <r>
    <x v="61"/>
    <s v="conventional_cashout_wala_107"/>
    <x v="147"/>
    <n v="1.2609999999999999"/>
    <n v="1"/>
    <n v="-24"/>
    <n v="144"/>
  </r>
  <r>
    <x v="61"/>
    <s v="conventional_cashout_wala_108"/>
    <x v="148"/>
    <n v="1.2609999999999999"/>
    <n v="1"/>
    <n v="-24"/>
    <n v="144"/>
  </r>
  <r>
    <x v="61"/>
    <s v="conventional_cashout_wala_109"/>
    <x v="149"/>
    <n v="1.2609999999999999"/>
    <n v="1"/>
    <n v="-24"/>
    <n v="144"/>
  </r>
  <r>
    <x v="61"/>
    <s v="conventional_cashout_wala_110"/>
    <x v="150"/>
    <n v="1.2609999999999999"/>
    <n v="1"/>
    <n v="-24"/>
    <n v="144"/>
  </r>
  <r>
    <x v="61"/>
    <s v="conventional_cashout_wala_111"/>
    <x v="151"/>
    <n v="1.2609999999999999"/>
    <n v="1"/>
    <n v="-24"/>
    <n v="144"/>
  </r>
  <r>
    <x v="61"/>
    <s v="conventional_cashout_wala_112"/>
    <x v="152"/>
    <n v="1.2609999999999999"/>
    <n v="1"/>
    <n v="-24"/>
    <n v="144"/>
  </r>
  <r>
    <x v="61"/>
    <s v="conventional_cashout_wala_113"/>
    <x v="153"/>
    <n v="1.2609999999999999"/>
    <n v="1"/>
    <n v="-24"/>
    <n v="144"/>
  </r>
  <r>
    <x v="61"/>
    <s v="conventional_cashout_wala_114"/>
    <x v="154"/>
    <n v="1.2609999999999999"/>
    <n v="1"/>
    <n v="-24"/>
    <n v="144"/>
  </r>
  <r>
    <x v="61"/>
    <s v="conventional_cashout_wala_115"/>
    <x v="155"/>
    <n v="1.2609999999999999"/>
    <n v="1"/>
    <n v="-24"/>
    <n v="144"/>
  </r>
  <r>
    <x v="61"/>
    <s v="conventional_cashout_wala_116"/>
    <x v="156"/>
    <n v="1.2609999999999999"/>
    <n v="1"/>
    <n v="-24"/>
    <n v="144"/>
  </r>
  <r>
    <x v="61"/>
    <s v="conventional_cashout_wala_117"/>
    <x v="157"/>
    <n v="1.2609999999999999"/>
    <n v="1"/>
    <n v="-24"/>
    <n v="144"/>
  </r>
  <r>
    <x v="61"/>
    <s v="conventional_cashout_wala_118"/>
    <x v="158"/>
    <n v="1.2609999999999999"/>
    <n v="1"/>
    <n v="-24"/>
    <n v="144"/>
  </r>
  <r>
    <x v="61"/>
    <s v="conventional_cashout_wala_119"/>
    <x v="159"/>
    <n v="1.2609999999999999"/>
    <n v="1"/>
    <n v="-24"/>
    <n v="144"/>
  </r>
  <r>
    <x v="61"/>
    <s v="conventional_cashout_wala_120"/>
    <x v="160"/>
    <n v="1.2609999999999999"/>
    <n v="1"/>
    <n v="-24"/>
    <n v="144"/>
  </r>
  <r>
    <x v="61"/>
    <s v="conventional_cashout_wala_121"/>
    <x v="161"/>
    <n v="1.2609999999999999"/>
    <n v="1"/>
    <n v="-24"/>
    <n v="144"/>
  </r>
  <r>
    <x v="61"/>
    <s v="conventional_cashout_wala_122"/>
    <x v="162"/>
    <n v="1.2609999999999999"/>
    <n v="1"/>
    <n v="-24"/>
    <n v="144"/>
  </r>
  <r>
    <x v="61"/>
    <s v="conventional_cashout_wala_123"/>
    <x v="163"/>
    <n v="1.2609999999999999"/>
    <n v="1"/>
    <n v="-24"/>
    <n v="144"/>
  </r>
  <r>
    <x v="61"/>
    <s v="conventional_cashout_wala_124"/>
    <x v="164"/>
    <n v="1.2609999999999999"/>
    <n v="1"/>
    <n v="-24"/>
    <n v="144"/>
  </r>
  <r>
    <x v="61"/>
    <s v="conventional_cashout_wala_125"/>
    <x v="165"/>
    <n v="1.2609999999999999"/>
    <n v="1"/>
    <n v="-24"/>
    <n v="144"/>
  </r>
  <r>
    <x v="61"/>
    <s v="conventional_cashout_wala_126"/>
    <x v="166"/>
    <n v="1.2609999999999999"/>
    <n v="1"/>
    <n v="-24"/>
    <n v="144"/>
  </r>
  <r>
    <x v="61"/>
    <s v="conventional_cashout_wala_127"/>
    <x v="167"/>
    <n v="1.2609999999999999"/>
    <n v="1"/>
    <n v="-24"/>
    <n v="144"/>
  </r>
  <r>
    <x v="61"/>
    <s v="conventional_cashout_wala_128"/>
    <x v="168"/>
    <n v="1.2609999999999999"/>
    <n v="1"/>
    <n v="-24"/>
    <n v="144"/>
  </r>
  <r>
    <x v="61"/>
    <s v="conventional_cashout_wala_129"/>
    <x v="169"/>
    <n v="1.2609999999999999"/>
    <n v="1"/>
    <n v="-24"/>
    <n v="144"/>
  </r>
  <r>
    <x v="61"/>
    <s v="conventional_cashout_wala_130"/>
    <x v="170"/>
    <n v="1.2609999999999999"/>
    <n v="1"/>
    <n v="-24"/>
    <n v="144"/>
  </r>
  <r>
    <x v="61"/>
    <s v="conventional_cashout_wala_131"/>
    <x v="171"/>
    <n v="1.2609999999999999"/>
    <n v="1"/>
    <n v="-24"/>
    <n v="144"/>
  </r>
  <r>
    <x v="61"/>
    <s v="conventional_cashout_wala_132"/>
    <x v="172"/>
    <n v="1.2609999999999999"/>
    <n v="1"/>
    <n v="-24"/>
    <n v="144"/>
  </r>
  <r>
    <x v="61"/>
    <s v="conventional_cashout_wala_133"/>
    <x v="173"/>
    <n v="1.2609999999999999"/>
    <n v="1"/>
    <n v="-24"/>
    <n v="144"/>
  </r>
  <r>
    <x v="61"/>
    <s v="conventional_cashout_wala_134"/>
    <x v="174"/>
    <n v="1.2609999999999999"/>
    <n v="1"/>
    <n v="-24"/>
    <n v="144"/>
  </r>
  <r>
    <x v="61"/>
    <s v="conventional_cashout_wala_135"/>
    <x v="175"/>
    <n v="1.2609999999999999"/>
    <n v="1"/>
    <n v="-24"/>
    <n v="144"/>
  </r>
  <r>
    <x v="61"/>
    <s v="conventional_cashout_wala_136"/>
    <x v="176"/>
    <n v="1.2609999999999999"/>
    <n v="1"/>
    <n v="-24"/>
    <n v="144"/>
  </r>
  <r>
    <x v="61"/>
    <s v="conventional_cashout_wala_137"/>
    <x v="177"/>
    <n v="1.2609999999999999"/>
    <n v="1"/>
    <n v="-24"/>
    <n v="144"/>
  </r>
  <r>
    <x v="61"/>
    <s v="conventional_cashout_wala_138"/>
    <x v="178"/>
    <n v="1.2609999999999999"/>
    <n v="1"/>
    <n v="-24"/>
    <n v="144"/>
  </r>
  <r>
    <x v="61"/>
    <s v="conventional_cashout_wala_139"/>
    <x v="179"/>
    <n v="1.2609999999999999"/>
    <n v="1"/>
    <n v="-24"/>
    <n v="144"/>
  </r>
  <r>
    <x v="61"/>
    <s v="conventional_cashout_wala_140"/>
    <x v="180"/>
    <n v="1.2609999999999999"/>
    <n v="1"/>
    <n v="-24"/>
    <n v="144"/>
  </r>
  <r>
    <x v="61"/>
    <s v="conventional_cashout_wala_141"/>
    <x v="181"/>
    <n v="1.2609999999999999"/>
    <n v="1"/>
    <n v="-24"/>
    <n v="144"/>
  </r>
  <r>
    <x v="61"/>
    <s v="conventional_cashout_wala_142"/>
    <x v="182"/>
    <n v="1.2609999999999999"/>
    <n v="1"/>
    <n v="-24"/>
    <n v="144"/>
  </r>
  <r>
    <x v="61"/>
    <s v="conventional_cashout_wala_143"/>
    <x v="183"/>
    <n v="1.2609999999999999"/>
    <n v="1"/>
    <n v="-24"/>
    <n v="144"/>
  </r>
  <r>
    <x v="61"/>
    <s v="conventional_cashout_wala_144"/>
    <x v="184"/>
    <n v="1.2609999999999999"/>
    <n v="1"/>
    <n v="-24"/>
    <n v="144"/>
  </r>
  <r>
    <x v="62"/>
    <s v="conventional_cashout_incentive_-404"/>
    <x v="1767"/>
    <n v="0"/>
    <n v="1"/>
    <n v="-404"/>
    <n v="320"/>
  </r>
  <r>
    <x v="62"/>
    <s v="conventional_cashout_incentive_-403"/>
    <x v="1768"/>
    <n v="0"/>
    <n v="1"/>
    <n v="-404"/>
    <n v="320"/>
  </r>
  <r>
    <x v="62"/>
    <s v="conventional_cashout_incentive_-402"/>
    <x v="1769"/>
    <n v="0"/>
    <n v="1"/>
    <n v="-404"/>
    <n v="320"/>
  </r>
  <r>
    <x v="62"/>
    <s v="conventional_cashout_incentive_-401"/>
    <x v="1770"/>
    <n v="0"/>
    <n v="1"/>
    <n v="-404"/>
    <n v="320"/>
  </r>
  <r>
    <x v="62"/>
    <s v="conventional_cashout_incentive_-400"/>
    <x v="1259"/>
    <n v="0"/>
    <n v="1"/>
    <n v="-404"/>
    <n v="320"/>
  </r>
  <r>
    <x v="62"/>
    <s v="conventional_cashout_incentive_-399"/>
    <x v="1771"/>
    <n v="0"/>
    <n v="1"/>
    <n v="-404"/>
    <n v="320"/>
  </r>
  <r>
    <x v="62"/>
    <s v="conventional_cashout_incentive_-398"/>
    <x v="1772"/>
    <n v="0"/>
    <n v="1"/>
    <n v="-404"/>
    <n v="320"/>
  </r>
  <r>
    <x v="62"/>
    <s v="conventional_cashout_incentive_-397"/>
    <x v="1773"/>
    <n v="0"/>
    <n v="1"/>
    <n v="-404"/>
    <n v="320"/>
  </r>
  <r>
    <x v="62"/>
    <s v="conventional_cashout_incentive_-396"/>
    <x v="1774"/>
    <n v="0"/>
    <n v="1"/>
    <n v="-404"/>
    <n v="320"/>
  </r>
  <r>
    <x v="62"/>
    <s v="conventional_cashout_incentive_-395"/>
    <x v="1775"/>
    <n v="0"/>
    <n v="1"/>
    <n v="-404"/>
    <n v="320"/>
  </r>
  <r>
    <x v="62"/>
    <s v="conventional_cashout_incentive_-394"/>
    <x v="1776"/>
    <n v="0"/>
    <n v="1"/>
    <n v="-404"/>
    <n v="320"/>
  </r>
  <r>
    <x v="62"/>
    <s v="conventional_cashout_incentive_-393"/>
    <x v="1777"/>
    <n v="0"/>
    <n v="1"/>
    <n v="-404"/>
    <n v="320"/>
  </r>
  <r>
    <x v="62"/>
    <s v="conventional_cashout_incentive_-392"/>
    <x v="1778"/>
    <n v="0"/>
    <n v="1"/>
    <n v="-404"/>
    <n v="320"/>
  </r>
  <r>
    <x v="62"/>
    <s v="conventional_cashout_incentive_-391"/>
    <x v="1779"/>
    <n v="0"/>
    <n v="1"/>
    <n v="-404"/>
    <n v="320"/>
  </r>
  <r>
    <x v="62"/>
    <s v="conventional_cashout_incentive_-390"/>
    <x v="1780"/>
    <n v="0"/>
    <n v="1"/>
    <n v="-404"/>
    <n v="320"/>
  </r>
  <r>
    <x v="62"/>
    <s v="conventional_cashout_incentive_-389"/>
    <x v="1781"/>
    <n v="0"/>
    <n v="1"/>
    <n v="-404"/>
    <n v="320"/>
  </r>
  <r>
    <x v="62"/>
    <s v="conventional_cashout_incentive_-388"/>
    <x v="1782"/>
    <n v="0"/>
    <n v="1"/>
    <n v="-404"/>
    <n v="320"/>
  </r>
  <r>
    <x v="62"/>
    <s v="conventional_cashout_incentive_-387"/>
    <x v="1783"/>
    <n v="0"/>
    <n v="1"/>
    <n v="-404"/>
    <n v="320"/>
  </r>
  <r>
    <x v="62"/>
    <s v="conventional_cashout_incentive_-386"/>
    <x v="1784"/>
    <n v="0"/>
    <n v="1"/>
    <n v="-404"/>
    <n v="320"/>
  </r>
  <r>
    <x v="62"/>
    <s v="conventional_cashout_incentive_-385"/>
    <x v="1785"/>
    <n v="0"/>
    <n v="1"/>
    <n v="-404"/>
    <n v="320"/>
  </r>
  <r>
    <x v="62"/>
    <s v="conventional_cashout_incentive_-384"/>
    <x v="1786"/>
    <n v="0"/>
    <n v="1"/>
    <n v="-404"/>
    <n v="320"/>
  </r>
  <r>
    <x v="62"/>
    <s v="conventional_cashout_incentive_-383"/>
    <x v="1787"/>
    <n v="0"/>
    <n v="1"/>
    <n v="-404"/>
    <n v="320"/>
  </r>
  <r>
    <x v="62"/>
    <s v="conventional_cashout_incentive_-382"/>
    <x v="1788"/>
    <n v="0"/>
    <n v="1"/>
    <n v="-404"/>
    <n v="320"/>
  </r>
  <r>
    <x v="62"/>
    <s v="conventional_cashout_incentive_-381"/>
    <x v="1789"/>
    <n v="0"/>
    <n v="1"/>
    <n v="-404"/>
    <n v="320"/>
  </r>
  <r>
    <x v="62"/>
    <s v="conventional_cashout_incentive_-380"/>
    <x v="1790"/>
    <n v="0"/>
    <n v="1"/>
    <n v="-404"/>
    <n v="320"/>
  </r>
  <r>
    <x v="62"/>
    <s v="conventional_cashout_incentive_-379"/>
    <x v="1791"/>
    <n v="0"/>
    <n v="1"/>
    <n v="-404"/>
    <n v="320"/>
  </r>
  <r>
    <x v="62"/>
    <s v="conventional_cashout_incentive_-378"/>
    <x v="1792"/>
    <n v="0"/>
    <n v="1"/>
    <n v="-404"/>
    <n v="320"/>
  </r>
  <r>
    <x v="62"/>
    <s v="conventional_cashout_incentive_-377"/>
    <x v="1793"/>
    <n v="0"/>
    <n v="1"/>
    <n v="-404"/>
    <n v="320"/>
  </r>
  <r>
    <x v="62"/>
    <s v="conventional_cashout_incentive_-376"/>
    <x v="1794"/>
    <n v="0"/>
    <n v="1"/>
    <n v="-404"/>
    <n v="320"/>
  </r>
  <r>
    <x v="62"/>
    <s v="conventional_cashout_incentive_-375"/>
    <x v="1795"/>
    <n v="0"/>
    <n v="1"/>
    <n v="-404"/>
    <n v="320"/>
  </r>
  <r>
    <x v="62"/>
    <s v="conventional_cashout_incentive_-374"/>
    <x v="1796"/>
    <n v="0"/>
    <n v="1"/>
    <n v="-404"/>
    <n v="320"/>
  </r>
  <r>
    <x v="62"/>
    <s v="conventional_cashout_incentive_-373"/>
    <x v="1797"/>
    <n v="0"/>
    <n v="1"/>
    <n v="-404"/>
    <n v="320"/>
  </r>
  <r>
    <x v="62"/>
    <s v="conventional_cashout_incentive_-372"/>
    <x v="1798"/>
    <n v="0"/>
    <n v="1"/>
    <n v="-404"/>
    <n v="320"/>
  </r>
  <r>
    <x v="62"/>
    <s v="conventional_cashout_incentive_-371"/>
    <x v="1799"/>
    <n v="0"/>
    <n v="1"/>
    <n v="-404"/>
    <n v="320"/>
  </r>
  <r>
    <x v="62"/>
    <s v="conventional_cashout_incentive_-370"/>
    <x v="1800"/>
    <n v="0"/>
    <n v="1"/>
    <n v="-404"/>
    <n v="320"/>
  </r>
  <r>
    <x v="62"/>
    <s v="conventional_cashout_incentive_-369"/>
    <x v="1801"/>
    <n v="0"/>
    <n v="1"/>
    <n v="-404"/>
    <n v="320"/>
  </r>
  <r>
    <x v="62"/>
    <s v="conventional_cashout_incentive_-368"/>
    <x v="1802"/>
    <n v="0"/>
    <n v="1"/>
    <n v="-404"/>
    <n v="320"/>
  </r>
  <r>
    <x v="62"/>
    <s v="conventional_cashout_incentive_-367"/>
    <x v="1803"/>
    <n v="0"/>
    <n v="1"/>
    <n v="-404"/>
    <n v="320"/>
  </r>
  <r>
    <x v="62"/>
    <s v="conventional_cashout_incentive_-366"/>
    <x v="1804"/>
    <n v="0"/>
    <n v="1"/>
    <n v="-404"/>
    <n v="320"/>
  </r>
  <r>
    <x v="62"/>
    <s v="conventional_cashout_incentive_-365"/>
    <x v="1805"/>
    <n v="0"/>
    <n v="1"/>
    <n v="-404"/>
    <n v="320"/>
  </r>
  <r>
    <x v="62"/>
    <s v="conventional_cashout_incentive_-364"/>
    <x v="1806"/>
    <n v="0"/>
    <n v="1"/>
    <n v="-404"/>
    <n v="320"/>
  </r>
  <r>
    <x v="62"/>
    <s v="conventional_cashout_incentive_-363"/>
    <x v="1807"/>
    <n v="0"/>
    <n v="1"/>
    <n v="-404"/>
    <n v="320"/>
  </r>
  <r>
    <x v="62"/>
    <s v="conventional_cashout_incentive_-362"/>
    <x v="1808"/>
    <n v="0"/>
    <n v="1"/>
    <n v="-404"/>
    <n v="320"/>
  </r>
  <r>
    <x v="62"/>
    <s v="conventional_cashout_incentive_-361"/>
    <x v="1809"/>
    <n v="0"/>
    <n v="1"/>
    <n v="-404"/>
    <n v="320"/>
  </r>
  <r>
    <x v="62"/>
    <s v="conventional_cashout_incentive_-360"/>
    <x v="1810"/>
    <n v="0"/>
    <n v="1"/>
    <n v="-404"/>
    <n v="320"/>
  </r>
  <r>
    <x v="62"/>
    <s v="conventional_cashout_incentive_-359"/>
    <x v="1811"/>
    <n v="0"/>
    <n v="1"/>
    <n v="-404"/>
    <n v="320"/>
  </r>
  <r>
    <x v="62"/>
    <s v="conventional_cashout_incentive_-358"/>
    <x v="1812"/>
    <n v="0"/>
    <n v="1"/>
    <n v="-404"/>
    <n v="320"/>
  </r>
  <r>
    <x v="62"/>
    <s v="conventional_cashout_incentive_-357"/>
    <x v="1813"/>
    <n v="0"/>
    <n v="1"/>
    <n v="-404"/>
    <n v="320"/>
  </r>
  <r>
    <x v="62"/>
    <s v="conventional_cashout_incentive_-356"/>
    <x v="1814"/>
    <n v="0"/>
    <n v="1"/>
    <n v="-404"/>
    <n v="320"/>
  </r>
  <r>
    <x v="62"/>
    <s v="conventional_cashout_incentive_-355"/>
    <x v="1815"/>
    <n v="0"/>
    <n v="1"/>
    <n v="-404"/>
    <n v="320"/>
  </r>
  <r>
    <x v="62"/>
    <s v="conventional_cashout_incentive_-354"/>
    <x v="1816"/>
    <n v="0"/>
    <n v="1"/>
    <n v="-404"/>
    <n v="320"/>
  </r>
  <r>
    <x v="62"/>
    <s v="conventional_cashout_incentive_-353"/>
    <x v="1817"/>
    <n v="0"/>
    <n v="1"/>
    <n v="-404"/>
    <n v="320"/>
  </r>
  <r>
    <x v="62"/>
    <s v="conventional_cashout_incentive_-352"/>
    <x v="1818"/>
    <n v="0"/>
    <n v="1"/>
    <n v="-404"/>
    <n v="320"/>
  </r>
  <r>
    <x v="62"/>
    <s v="conventional_cashout_incentive_-351"/>
    <x v="1819"/>
    <n v="0"/>
    <n v="1"/>
    <n v="-404"/>
    <n v="320"/>
  </r>
  <r>
    <x v="62"/>
    <s v="conventional_cashout_incentive_-350"/>
    <x v="1820"/>
    <n v="0"/>
    <n v="1"/>
    <n v="-404"/>
    <n v="320"/>
  </r>
  <r>
    <x v="62"/>
    <s v="conventional_cashout_incentive_-349"/>
    <x v="1821"/>
    <n v="0"/>
    <n v="1"/>
    <n v="-404"/>
    <n v="320"/>
  </r>
  <r>
    <x v="62"/>
    <s v="conventional_cashout_incentive_-348"/>
    <x v="1822"/>
    <n v="0"/>
    <n v="1"/>
    <n v="-404"/>
    <n v="320"/>
  </r>
  <r>
    <x v="62"/>
    <s v="conventional_cashout_incentive_-347"/>
    <x v="1823"/>
    <n v="0"/>
    <n v="1"/>
    <n v="-404"/>
    <n v="320"/>
  </r>
  <r>
    <x v="62"/>
    <s v="conventional_cashout_incentive_-346"/>
    <x v="1824"/>
    <n v="0"/>
    <n v="1"/>
    <n v="-404"/>
    <n v="320"/>
  </r>
  <r>
    <x v="62"/>
    <s v="conventional_cashout_incentive_-345"/>
    <x v="1825"/>
    <n v="0"/>
    <n v="1"/>
    <n v="-404"/>
    <n v="320"/>
  </r>
  <r>
    <x v="62"/>
    <s v="conventional_cashout_incentive_-344"/>
    <x v="1826"/>
    <n v="0"/>
    <n v="1"/>
    <n v="-404"/>
    <n v="320"/>
  </r>
  <r>
    <x v="62"/>
    <s v="conventional_cashout_incentive_-343"/>
    <x v="1827"/>
    <n v="0"/>
    <n v="1"/>
    <n v="-404"/>
    <n v="320"/>
  </r>
  <r>
    <x v="62"/>
    <s v="conventional_cashout_incentive_-342"/>
    <x v="1828"/>
    <n v="0"/>
    <n v="1"/>
    <n v="-404"/>
    <n v="320"/>
  </r>
  <r>
    <x v="62"/>
    <s v="conventional_cashout_incentive_-341"/>
    <x v="1829"/>
    <n v="0"/>
    <n v="1"/>
    <n v="-404"/>
    <n v="320"/>
  </r>
  <r>
    <x v="62"/>
    <s v="conventional_cashout_incentive_-340"/>
    <x v="1830"/>
    <n v="0"/>
    <n v="1"/>
    <n v="-404"/>
    <n v="320"/>
  </r>
  <r>
    <x v="62"/>
    <s v="conventional_cashout_incentive_-339"/>
    <x v="1831"/>
    <n v="0"/>
    <n v="1"/>
    <n v="-404"/>
    <n v="320"/>
  </r>
  <r>
    <x v="62"/>
    <s v="conventional_cashout_incentive_-338"/>
    <x v="1832"/>
    <n v="0"/>
    <n v="1"/>
    <n v="-404"/>
    <n v="320"/>
  </r>
  <r>
    <x v="62"/>
    <s v="conventional_cashout_incentive_-337"/>
    <x v="1833"/>
    <n v="0"/>
    <n v="1"/>
    <n v="-404"/>
    <n v="320"/>
  </r>
  <r>
    <x v="62"/>
    <s v="conventional_cashout_incentive_-336"/>
    <x v="1834"/>
    <n v="0"/>
    <n v="1"/>
    <n v="-404"/>
    <n v="320"/>
  </r>
  <r>
    <x v="62"/>
    <s v="conventional_cashout_incentive_-335"/>
    <x v="1835"/>
    <n v="0"/>
    <n v="1"/>
    <n v="-404"/>
    <n v="320"/>
  </r>
  <r>
    <x v="62"/>
    <s v="conventional_cashout_incentive_-334"/>
    <x v="1836"/>
    <n v="0"/>
    <n v="1"/>
    <n v="-404"/>
    <n v="320"/>
  </r>
  <r>
    <x v="62"/>
    <s v="conventional_cashout_incentive_-333"/>
    <x v="1837"/>
    <n v="0"/>
    <n v="1"/>
    <n v="-404"/>
    <n v="320"/>
  </r>
  <r>
    <x v="62"/>
    <s v="conventional_cashout_incentive_-332"/>
    <x v="1838"/>
    <n v="0"/>
    <n v="1"/>
    <n v="-404"/>
    <n v="320"/>
  </r>
  <r>
    <x v="62"/>
    <s v="conventional_cashout_incentive_-331"/>
    <x v="1839"/>
    <n v="0"/>
    <n v="1"/>
    <n v="-404"/>
    <n v="320"/>
  </r>
  <r>
    <x v="62"/>
    <s v="conventional_cashout_incentive_-330"/>
    <x v="1840"/>
    <n v="0"/>
    <n v="1"/>
    <n v="-404"/>
    <n v="320"/>
  </r>
  <r>
    <x v="62"/>
    <s v="conventional_cashout_incentive_-329"/>
    <x v="1841"/>
    <n v="0"/>
    <n v="1"/>
    <n v="-404"/>
    <n v="320"/>
  </r>
  <r>
    <x v="62"/>
    <s v="conventional_cashout_incentive_-328"/>
    <x v="1842"/>
    <n v="0"/>
    <n v="1"/>
    <n v="-404"/>
    <n v="320"/>
  </r>
  <r>
    <x v="62"/>
    <s v="conventional_cashout_incentive_-327"/>
    <x v="1843"/>
    <n v="0"/>
    <n v="1"/>
    <n v="-404"/>
    <n v="320"/>
  </r>
  <r>
    <x v="62"/>
    <s v="conventional_cashout_incentive_-326"/>
    <x v="1844"/>
    <n v="0"/>
    <n v="1"/>
    <n v="-404"/>
    <n v="320"/>
  </r>
  <r>
    <x v="62"/>
    <s v="conventional_cashout_incentive_-325"/>
    <x v="1845"/>
    <n v="0"/>
    <n v="1"/>
    <n v="-404"/>
    <n v="320"/>
  </r>
  <r>
    <x v="62"/>
    <s v="conventional_cashout_incentive_-324"/>
    <x v="1846"/>
    <n v="0"/>
    <n v="1"/>
    <n v="-404"/>
    <n v="320"/>
  </r>
  <r>
    <x v="62"/>
    <s v="conventional_cashout_incentive_-323"/>
    <x v="1847"/>
    <n v="0"/>
    <n v="1"/>
    <n v="-404"/>
    <n v="320"/>
  </r>
  <r>
    <x v="62"/>
    <s v="conventional_cashout_incentive_-322"/>
    <x v="1848"/>
    <n v="0"/>
    <n v="1"/>
    <n v="-404"/>
    <n v="320"/>
  </r>
  <r>
    <x v="62"/>
    <s v="conventional_cashout_incentive_-321"/>
    <x v="1849"/>
    <n v="0"/>
    <n v="1"/>
    <n v="-404"/>
    <n v="320"/>
  </r>
  <r>
    <x v="62"/>
    <s v="conventional_cashout_incentive_-320"/>
    <x v="1850"/>
    <n v="0"/>
    <n v="1"/>
    <n v="-404"/>
    <n v="320"/>
  </r>
  <r>
    <x v="62"/>
    <s v="conventional_cashout_incentive_-319"/>
    <x v="1851"/>
    <n v="0"/>
    <n v="1"/>
    <n v="-404"/>
    <n v="320"/>
  </r>
  <r>
    <x v="62"/>
    <s v="conventional_cashout_incentive_-318"/>
    <x v="1852"/>
    <n v="0"/>
    <n v="1"/>
    <n v="-404"/>
    <n v="320"/>
  </r>
  <r>
    <x v="62"/>
    <s v="conventional_cashout_incentive_-317"/>
    <x v="1853"/>
    <n v="0"/>
    <n v="1"/>
    <n v="-404"/>
    <n v="320"/>
  </r>
  <r>
    <x v="62"/>
    <s v="conventional_cashout_incentive_-316"/>
    <x v="1854"/>
    <n v="0"/>
    <n v="1"/>
    <n v="-404"/>
    <n v="320"/>
  </r>
  <r>
    <x v="62"/>
    <s v="conventional_cashout_incentive_-315"/>
    <x v="1855"/>
    <n v="0"/>
    <n v="1"/>
    <n v="-404"/>
    <n v="320"/>
  </r>
  <r>
    <x v="62"/>
    <s v="conventional_cashout_incentive_-314"/>
    <x v="1856"/>
    <n v="0"/>
    <n v="1"/>
    <n v="-404"/>
    <n v="320"/>
  </r>
  <r>
    <x v="62"/>
    <s v="conventional_cashout_incentive_-313"/>
    <x v="1857"/>
    <n v="0"/>
    <n v="1"/>
    <n v="-404"/>
    <n v="320"/>
  </r>
  <r>
    <x v="62"/>
    <s v="conventional_cashout_incentive_-312"/>
    <x v="1858"/>
    <n v="0"/>
    <n v="1"/>
    <n v="-404"/>
    <n v="320"/>
  </r>
  <r>
    <x v="62"/>
    <s v="conventional_cashout_incentive_-311"/>
    <x v="1859"/>
    <n v="0"/>
    <n v="1"/>
    <n v="-404"/>
    <n v="320"/>
  </r>
  <r>
    <x v="62"/>
    <s v="conventional_cashout_incentive_-310"/>
    <x v="1860"/>
    <n v="0"/>
    <n v="1"/>
    <n v="-404"/>
    <n v="320"/>
  </r>
  <r>
    <x v="62"/>
    <s v="conventional_cashout_incentive_-309"/>
    <x v="1861"/>
    <n v="0"/>
    <n v="1"/>
    <n v="-404"/>
    <n v="320"/>
  </r>
  <r>
    <x v="62"/>
    <s v="conventional_cashout_incentive_-308"/>
    <x v="1862"/>
    <n v="0"/>
    <n v="1"/>
    <n v="-404"/>
    <n v="320"/>
  </r>
  <r>
    <x v="62"/>
    <s v="conventional_cashout_incentive_-307"/>
    <x v="1863"/>
    <n v="0"/>
    <n v="1"/>
    <n v="-404"/>
    <n v="320"/>
  </r>
  <r>
    <x v="62"/>
    <s v="conventional_cashout_incentive_-306"/>
    <x v="1864"/>
    <n v="0"/>
    <n v="1"/>
    <n v="-404"/>
    <n v="320"/>
  </r>
  <r>
    <x v="62"/>
    <s v="conventional_cashout_incentive_-305"/>
    <x v="1865"/>
    <n v="0"/>
    <n v="1"/>
    <n v="-404"/>
    <n v="320"/>
  </r>
  <r>
    <x v="62"/>
    <s v="conventional_cashout_incentive_-304"/>
    <x v="1866"/>
    <n v="0"/>
    <n v="1"/>
    <n v="-404"/>
    <n v="320"/>
  </r>
  <r>
    <x v="62"/>
    <s v="conventional_cashout_incentive_-303"/>
    <x v="1867"/>
    <n v="0"/>
    <n v="1"/>
    <n v="-404"/>
    <n v="320"/>
  </r>
  <r>
    <x v="62"/>
    <s v="conventional_cashout_incentive_-302"/>
    <x v="1868"/>
    <n v="0"/>
    <n v="1"/>
    <n v="-404"/>
    <n v="320"/>
  </r>
  <r>
    <x v="62"/>
    <s v="conventional_cashout_incentive_-301"/>
    <x v="1869"/>
    <n v="0"/>
    <n v="1"/>
    <n v="-404"/>
    <n v="320"/>
  </r>
  <r>
    <x v="62"/>
    <s v="conventional_cashout_incentive_-300"/>
    <x v="1260"/>
    <n v="0"/>
    <n v="1"/>
    <n v="-404"/>
    <n v="320"/>
  </r>
  <r>
    <x v="62"/>
    <s v="conventional_cashout_incentive_-299"/>
    <x v="1870"/>
    <n v="0"/>
    <n v="1"/>
    <n v="-404"/>
    <n v="320"/>
  </r>
  <r>
    <x v="62"/>
    <s v="conventional_cashout_incentive_-298"/>
    <x v="1871"/>
    <n v="0"/>
    <n v="1"/>
    <n v="-404"/>
    <n v="320"/>
  </r>
  <r>
    <x v="62"/>
    <s v="conventional_cashout_incentive_-297"/>
    <x v="1872"/>
    <n v="0"/>
    <n v="1"/>
    <n v="-404"/>
    <n v="320"/>
  </r>
  <r>
    <x v="62"/>
    <s v="conventional_cashout_incentive_-296"/>
    <x v="1873"/>
    <n v="0"/>
    <n v="1"/>
    <n v="-404"/>
    <n v="320"/>
  </r>
  <r>
    <x v="62"/>
    <s v="conventional_cashout_incentive_-295"/>
    <x v="1874"/>
    <n v="0"/>
    <n v="1"/>
    <n v="-404"/>
    <n v="320"/>
  </r>
  <r>
    <x v="62"/>
    <s v="conventional_cashout_incentive_-294"/>
    <x v="1875"/>
    <n v="0"/>
    <n v="1"/>
    <n v="-404"/>
    <n v="320"/>
  </r>
  <r>
    <x v="62"/>
    <s v="conventional_cashout_incentive_-293"/>
    <x v="1876"/>
    <n v="0"/>
    <n v="1"/>
    <n v="-404"/>
    <n v="320"/>
  </r>
  <r>
    <x v="62"/>
    <s v="conventional_cashout_incentive_-292"/>
    <x v="1877"/>
    <n v="0"/>
    <n v="1"/>
    <n v="-404"/>
    <n v="320"/>
  </r>
  <r>
    <x v="62"/>
    <s v="conventional_cashout_incentive_-291"/>
    <x v="1878"/>
    <n v="0"/>
    <n v="1"/>
    <n v="-404"/>
    <n v="320"/>
  </r>
  <r>
    <x v="62"/>
    <s v="conventional_cashout_incentive_-290"/>
    <x v="981"/>
    <n v="0"/>
    <n v="1"/>
    <n v="-404"/>
    <n v="320"/>
  </r>
  <r>
    <x v="62"/>
    <s v="conventional_cashout_incentive_-289"/>
    <x v="982"/>
    <n v="0"/>
    <n v="1"/>
    <n v="-404"/>
    <n v="320"/>
  </r>
  <r>
    <x v="62"/>
    <s v="conventional_cashout_incentive_-288"/>
    <x v="983"/>
    <n v="0"/>
    <n v="1"/>
    <n v="-404"/>
    <n v="320"/>
  </r>
  <r>
    <x v="62"/>
    <s v="conventional_cashout_incentive_-287"/>
    <x v="984"/>
    <n v="0"/>
    <n v="1"/>
    <n v="-404"/>
    <n v="320"/>
  </r>
  <r>
    <x v="62"/>
    <s v="conventional_cashout_incentive_-286"/>
    <x v="985"/>
    <n v="0"/>
    <n v="1"/>
    <n v="-404"/>
    <n v="320"/>
  </r>
  <r>
    <x v="62"/>
    <s v="conventional_cashout_incentive_-285"/>
    <x v="986"/>
    <n v="0"/>
    <n v="1"/>
    <n v="-404"/>
    <n v="320"/>
  </r>
  <r>
    <x v="62"/>
    <s v="conventional_cashout_incentive_-284"/>
    <x v="987"/>
    <n v="0"/>
    <n v="1"/>
    <n v="-404"/>
    <n v="320"/>
  </r>
  <r>
    <x v="62"/>
    <s v="conventional_cashout_incentive_-283"/>
    <x v="988"/>
    <n v="0"/>
    <n v="1"/>
    <n v="-404"/>
    <n v="320"/>
  </r>
  <r>
    <x v="62"/>
    <s v="conventional_cashout_incentive_-282"/>
    <x v="989"/>
    <n v="0"/>
    <n v="1"/>
    <n v="-404"/>
    <n v="320"/>
  </r>
  <r>
    <x v="62"/>
    <s v="conventional_cashout_incentive_-281"/>
    <x v="990"/>
    <n v="0"/>
    <n v="1"/>
    <n v="-404"/>
    <n v="320"/>
  </r>
  <r>
    <x v="62"/>
    <s v="conventional_cashout_incentive_-280"/>
    <x v="991"/>
    <n v="0"/>
    <n v="1"/>
    <n v="-404"/>
    <n v="320"/>
  </r>
  <r>
    <x v="62"/>
    <s v="conventional_cashout_incentive_-279"/>
    <x v="992"/>
    <n v="0"/>
    <n v="1"/>
    <n v="-404"/>
    <n v="320"/>
  </r>
  <r>
    <x v="62"/>
    <s v="conventional_cashout_incentive_-278"/>
    <x v="993"/>
    <n v="0"/>
    <n v="1"/>
    <n v="-404"/>
    <n v="320"/>
  </r>
  <r>
    <x v="62"/>
    <s v="conventional_cashout_incentive_-277"/>
    <x v="994"/>
    <n v="0"/>
    <n v="1"/>
    <n v="-404"/>
    <n v="320"/>
  </r>
  <r>
    <x v="62"/>
    <s v="conventional_cashout_incentive_-276"/>
    <x v="995"/>
    <n v="0"/>
    <n v="1"/>
    <n v="-404"/>
    <n v="320"/>
  </r>
  <r>
    <x v="62"/>
    <s v="conventional_cashout_incentive_-275"/>
    <x v="996"/>
    <n v="0"/>
    <n v="1"/>
    <n v="-404"/>
    <n v="320"/>
  </r>
  <r>
    <x v="62"/>
    <s v="conventional_cashout_incentive_-274"/>
    <x v="997"/>
    <n v="0"/>
    <n v="1"/>
    <n v="-404"/>
    <n v="320"/>
  </r>
  <r>
    <x v="62"/>
    <s v="conventional_cashout_incentive_-273"/>
    <x v="998"/>
    <n v="0"/>
    <n v="1"/>
    <n v="-404"/>
    <n v="320"/>
  </r>
  <r>
    <x v="62"/>
    <s v="conventional_cashout_incentive_-272"/>
    <x v="999"/>
    <n v="0"/>
    <n v="1"/>
    <n v="-404"/>
    <n v="320"/>
  </r>
  <r>
    <x v="62"/>
    <s v="conventional_cashout_incentive_-271"/>
    <x v="1000"/>
    <n v="0"/>
    <n v="1"/>
    <n v="-404"/>
    <n v="320"/>
  </r>
  <r>
    <x v="62"/>
    <s v="conventional_cashout_incentive_-270"/>
    <x v="1001"/>
    <n v="0"/>
    <n v="1"/>
    <n v="-404"/>
    <n v="320"/>
  </r>
  <r>
    <x v="62"/>
    <s v="conventional_cashout_incentive_-269"/>
    <x v="1002"/>
    <n v="0"/>
    <n v="1"/>
    <n v="-404"/>
    <n v="320"/>
  </r>
  <r>
    <x v="62"/>
    <s v="conventional_cashout_incentive_-268"/>
    <x v="1003"/>
    <n v="0"/>
    <n v="1"/>
    <n v="-404"/>
    <n v="320"/>
  </r>
  <r>
    <x v="62"/>
    <s v="conventional_cashout_incentive_-267"/>
    <x v="1004"/>
    <n v="0"/>
    <n v="1"/>
    <n v="-404"/>
    <n v="320"/>
  </r>
  <r>
    <x v="62"/>
    <s v="conventional_cashout_incentive_-266"/>
    <x v="1005"/>
    <n v="0"/>
    <n v="1"/>
    <n v="-404"/>
    <n v="320"/>
  </r>
  <r>
    <x v="62"/>
    <s v="conventional_cashout_incentive_-265"/>
    <x v="1006"/>
    <n v="0"/>
    <n v="1"/>
    <n v="-404"/>
    <n v="320"/>
  </r>
  <r>
    <x v="62"/>
    <s v="conventional_cashout_incentive_-264"/>
    <x v="1007"/>
    <n v="0"/>
    <n v="1"/>
    <n v="-404"/>
    <n v="320"/>
  </r>
  <r>
    <x v="62"/>
    <s v="conventional_cashout_incentive_-263"/>
    <x v="1008"/>
    <n v="0"/>
    <n v="1"/>
    <n v="-404"/>
    <n v="320"/>
  </r>
  <r>
    <x v="62"/>
    <s v="conventional_cashout_incentive_-262"/>
    <x v="1009"/>
    <n v="0"/>
    <n v="1"/>
    <n v="-404"/>
    <n v="320"/>
  </r>
  <r>
    <x v="62"/>
    <s v="conventional_cashout_incentive_-261"/>
    <x v="1010"/>
    <n v="0"/>
    <n v="1"/>
    <n v="-404"/>
    <n v="320"/>
  </r>
  <r>
    <x v="62"/>
    <s v="conventional_cashout_incentive_-260"/>
    <x v="1011"/>
    <n v="0"/>
    <n v="1"/>
    <n v="-404"/>
    <n v="320"/>
  </r>
  <r>
    <x v="62"/>
    <s v="conventional_cashout_incentive_-259"/>
    <x v="1012"/>
    <n v="0"/>
    <n v="1"/>
    <n v="-404"/>
    <n v="320"/>
  </r>
  <r>
    <x v="62"/>
    <s v="conventional_cashout_incentive_-258"/>
    <x v="1013"/>
    <n v="0"/>
    <n v="1"/>
    <n v="-404"/>
    <n v="320"/>
  </r>
  <r>
    <x v="62"/>
    <s v="conventional_cashout_incentive_-257"/>
    <x v="1014"/>
    <n v="0"/>
    <n v="1"/>
    <n v="-404"/>
    <n v="320"/>
  </r>
  <r>
    <x v="62"/>
    <s v="conventional_cashout_incentive_-256"/>
    <x v="1015"/>
    <n v="0"/>
    <n v="1"/>
    <n v="-404"/>
    <n v="320"/>
  </r>
  <r>
    <x v="62"/>
    <s v="conventional_cashout_incentive_-255"/>
    <x v="1016"/>
    <n v="0"/>
    <n v="1"/>
    <n v="-404"/>
    <n v="320"/>
  </r>
  <r>
    <x v="62"/>
    <s v="conventional_cashout_incentive_-254"/>
    <x v="1017"/>
    <n v="0"/>
    <n v="1"/>
    <n v="-404"/>
    <n v="320"/>
  </r>
  <r>
    <x v="62"/>
    <s v="conventional_cashout_incentive_-253"/>
    <x v="1018"/>
    <n v="0"/>
    <n v="1"/>
    <n v="-404"/>
    <n v="320"/>
  </r>
  <r>
    <x v="62"/>
    <s v="conventional_cashout_incentive_-252"/>
    <x v="1019"/>
    <n v="0"/>
    <n v="1"/>
    <n v="-404"/>
    <n v="320"/>
  </r>
  <r>
    <x v="62"/>
    <s v="conventional_cashout_incentive_-251"/>
    <x v="1020"/>
    <n v="0"/>
    <n v="1"/>
    <n v="-404"/>
    <n v="320"/>
  </r>
  <r>
    <x v="62"/>
    <s v="conventional_cashout_incentive_-250"/>
    <x v="1021"/>
    <n v="0"/>
    <n v="1"/>
    <n v="-404"/>
    <n v="320"/>
  </r>
  <r>
    <x v="62"/>
    <s v="conventional_cashout_incentive_-249"/>
    <x v="1022"/>
    <n v="0"/>
    <n v="1"/>
    <n v="-404"/>
    <n v="320"/>
  </r>
  <r>
    <x v="62"/>
    <s v="conventional_cashout_incentive_-248"/>
    <x v="1023"/>
    <n v="0"/>
    <n v="1"/>
    <n v="-404"/>
    <n v="320"/>
  </r>
  <r>
    <x v="62"/>
    <s v="conventional_cashout_incentive_-247"/>
    <x v="1024"/>
    <n v="0"/>
    <n v="1"/>
    <n v="-404"/>
    <n v="320"/>
  </r>
  <r>
    <x v="62"/>
    <s v="conventional_cashout_incentive_-246"/>
    <x v="1025"/>
    <n v="0"/>
    <n v="1"/>
    <n v="-404"/>
    <n v="320"/>
  </r>
  <r>
    <x v="62"/>
    <s v="conventional_cashout_incentive_-245"/>
    <x v="1026"/>
    <n v="0"/>
    <n v="1"/>
    <n v="-404"/>
    <n v="320"/>
  </r>
  <r>
    <x v="62"/>
    <s v="conventional_cashout_incentive_-244"/>
    <x v="1027"/>
    <n v="0"/>
    <n v="1"/>
    <n v="-404"/>
    <n v="320"/>
  </r>
  <r>
    <x v="62"/>
    <s v="conventional_cashout_incentive_-243"/>
    <x v="1028"/>
    <n v="0"/>
    <n v="1"/>
    <n v="-404"/>
    <n v="320"/>
  </r>
  <r>
    <x v="62"/>
    <s v="conventional_cashout_incentive_-242"/>
    <x v="1029"/>
    <n v="0"/>
    <n v="1"/>
    <n v="-404"/>
    <n v="320"/>
  </r>
  <r>
    <x v="62"/>
    <s v="conventional_cashout_incentive_-241"/>
    <x v="1030"/>
    <n v="0"/>
    <n v="1"/>
    <n v="-404"/>
    <n v="320"/>
  </r>
  <r>
    <x v="62"/>
    <s v="conventional_cashout_incentive_-240"/>
    <x v="1031"/>
    <n v="0"/>
    <n v="1"/>
    <n v="-404"/>
    <n v="320"/>
  </r>
  <r>
    <x v="62"/>
    <s v="conventional_cashout_incentive_-239"/>
    <x v="1032"/>
    <n v="0"/>
    <n v="1"/>
    <n v="-404"/>
    <n v="320"/>
  </r>
  <r>
    <x v="62"/>
    <s v="conventional_cashout_incentive_-238"/>
    <x v="1033"/>
    <n v="0"/>
    <n v="1"/>
    <n v="-404"/>
    <n v="320"/>
  </r>
  <r>
    <x v="62"/>
    <s v="conventional_cashout_incentive_-237"/>
    <x v="1034"/>
    <n v="0"/>
    <n v="1"/>
    <n v="-404"/>
    <n v="320"/>
  </r>
  <r>
    <x v="62"/>
    <s v="conventional_cashout_incentive_-236"/>
    <x v="1035"/>
    <n v="0"/>
    <n v="1"/>
    <n v="-404"/>
    <n v="320"/>
  </r>
  <r>
    <x v="62"/>
    <s v="conventional_cashout_incentive_-235"/>
    <x v="1036"/>
    <n v="0"/>
    <n v="1"/>
    <n v="-404"/>
    <n v="320"/>
  </r>
  <r>
    <x v="62"/>
    <s v="conventional_cashout_incentive_-234"/>
    <x v="1037"/>
    <n v="0"/>
    <n v="1"/>
    <n v="-404"/>
    <n v="320"/>
  </r>
  <r>
    <x v="62"/>
    <s v="conventional_cashout_incentive_-233"/>
    <x v="1038"/>
    <n v="0"/>
    <n v="1"/>
    <n v="-404"/>
    <n v="320"/>
  </r>
  <r>
    <x v="62"/>
    <s v="conventional_cashout_incentive_-232"/>
    <x v="1039"/>
    <n v="0"/>
    <n v="1"/>
    <n v="-404"/>
    <n v="320"/>
  </r>
  <r>
    <x v="62"/>
    <s v="conventional_cashout_incentive_-231"/>
    <x v="1040"/>
    <n v="0"/>
    <n v="1"/>
    <n v="-404"/>
    <n v="320"/>
  </r>
  <r>
    <x v="62"/>
    <s v="conventional_cashout_incentive_-230"/>
    <x v="1041"/>
    <n v="0"/>
    <n v="1"/>
    <n v="-404"/>
    <n v="320"/>
  </r>
  <r>
    <x v="62"/>
    <s v="conventional_cashout_incentive_-229"/>
    <x v="1042"/>
    <n v="0"/>
    <n v="1"/>
    <n v="-404"/>
    <n v="320"/>
  </r>
  <r>
    <x v="62"/>
    <s v="conventional_cashout_incentive_-228"/>
    <x v="1043"/>
    <n v="0"/>
    <n v="1"/>
    <n v="-404"/>
    <n v="320"/>
  </r>
  <r>
    <x v="62"/>
    <s v="conventional_cashout_incentive_-227"/>
    <x v="1044"/>
    <n v="0"/>
    <n v="1"/>
    <n v="-404"/>
    <n v="320"/>
  </r>
  <r>
    <x v="62"/>
    <s v="conventional_cashout_incentive_-226"/>
    <x v="1045"/>
    <n v="0"/>
    <n v="1"/>
    <n v="-404"/>
    <n v="320"/>
  </r>
  <r>
    <x v="62"/>
    <s v="conventional_cashout_incentive_-225"/>
    <x v="1046"/>
    <n v="0"/>
    <n v="1"/>
    <n v="-404"/>
    <n v="320"/>
  </r>
  <r>
    <x v="62"/>
    <s v="conventional_cashout_incentive_-224"/>
    <x v="1047"/>
    <n v="0"/>
    <n v="1"/>
    <n v="-404"/>
    <n v="320"/>
  </r>
  <r>
    <x v="62"/>
    <s v="conventional_cashout_incentive_-223"/>
    <x v="1048"/>
    <n v="0"/>
    <n v="1"/>
    <n v="-404"/>
    <n v="320"/>
  </r>
  <r>
    <x v="62"/>
    <s v="conventional_cashout_incentive_-222"/>
    <x v="1049"/>
    <n v="0"/>
    <n v="1"/>
    <n v="-404"/>
    <n v="320"/>
  </r>
  <r>
    <x v="62"/>
    <s v="conventional_cashout_incentive_-221"/>
    <x v="1050"/>
    <n v="0"/>
    <n v="1"/>
    <n v="-404"/>
    <n v="320"/>
  </r>
  <r>
    <x v="62"/>
    <s v="conventional_cashout_incentive_-220"/>
    <x v="1051"/>
    <n v="0"/>
    <n v="1"/>
    <n v="-404"/>
    <n v="320"/>
  </r>
  <r>
    <x v="62"/>
    <s v="conventional_cashout_incentive_-219"/>
    <x v="1052"/>
    <n v="0"/>
    <n v="1"/>
    <n v="-404"/>
    <n v="320"/>
  </r>
  <r>
    <x v="62"/>
    <s v="conventional_cashout_incentive_-218"/>
    <x v="1053"/>
    <n v="0"/>
    <n v="1"/>
    <n v="-404"/>
    <n v="320"/>
  </r>
  <r>
    <x v="62"/>
    <s v="conventional_cashout_incentive_-217"/>
    <x v="1054"/>
    <n v="0"/>
    <n v="1"/>
    <n v="-404"/>
    <n v="320"/>
  </r>
  <r>
    <x v="62"/>
    <s v="conventional_cashout_incentive_-216"/>
    <x v="1055"/>
    <n v="0"/>
    <n v="1"/>
    <n v="-404"/>
    <n v="320"/>
  </r>
  <r>
    <x v="62"/>
    <s v="conventional_cashout_incentive_-215"/>
    <x v="1056"/>
    <n v="0"/>
    <n v="1"/>
    <n v="-404"/>
    <n v="320"/>
  </r>
  <r>
    <x v="62"/>
    <s v="conventional_cashout_incentive_-214"/>
    <x v="1057"/>
    <n v="0"/>
    <n v="1"/>
    <n v="-404"/>
    <n v="320"/>
  </r>
  <r>
    <x v="62"/>
    <s v="conventional_cashout_incentive_-213"/>
    <x v="1058"/>
    <n v="0"/>
    <n v="1"/>
    <n v="-404"/>
    <n v="320"/>
  </r>
  <r>
    <x v="62"/>
    <s v="conventional_cashout_incentive_-212"/>
    <x v="1059"/>
    <n v="0"/>
    <n v="1"/>
    <n v="-404"/>
    <n v="320"/>
  </r>
  <r>
    <x v="62"/>
    <s v="conventional_cashout_incentive_-211"/>
    <x v="1060"/>
    <n v="0"/>
    <n v="1"/>
    <n v="-404"/>
    <n v="320"/>
  </r>
  <r>
    <x v="62"/>
    <s v="conventional_cashout_incentive_-210"/>
    <x v="1061"/>
    <n v="0"/>
    <n v="1"/>
    <n v="-404"/>
    <n v="320"/>
  </r>
  <r>
    <x v="62"/>
    <s v="conventional_cashout_incentive_-209"/>
    <x v="1062"/>
    <n v="0"/>
    <n v="1"/>
    <n v="-404"/>
    <n v="320"/>
  </r>
  <r>
    <x v="62"/>
    <s v="conventional_cashout_incentive_-208"/>
    <x v="1063"/>
    <n v="0"/>
    <n v="1"/>
    <n v="-404"/>
    <n v="320"/>
  </r>
  <r>
    <x v="62"/>
    <s v="conventional_cashout_incentive_-207"/>
    <x v="1064"/>
    <n v="0"/>
    <n v="1"/>
    <n v="-404"/>
    <n v="320"/>
  </r>
  <r>
    <x v="62"/>
    <s v="conventional_cashout_incentive_-206"/>
    <x v="1065"/>
    <n v="0"/>
    <n v="1"/>
    <n v="-404"/>
    <n v="320"/>
  </r>
  <r>
    <x v="62"/>
    <s v="conventional_cashout_incentive_-205"/>
    <x v="1066"/>
    <n v="0"/>
    <n v="1"/>
    <n v="-404"/>
    <n v="320"/>
  </r>
  <r>
    <x v="62"/>
    <s v="conventional_cashout_incentive_-204"/>
    <x v="1067"/>
    <n v="0"/>
    <n v="1"/>
    <n v="-404"/>
    <n v="320"/>
  </r>
  <r>
    <x v="62"/>
    <s v="conventional_cashout_incentive_-203"/>
    <x v="1068"/>
    <n v="0"/>
    <n v="1"/>
    <n v="-404"/>
    <n v="320"/>
  </r>
  <r>
    <x v="62"/>
    <s v="conventional_cashout_incentive_-202"/>
    <x v="1069"/>
    <n v="0"/>
    <n v="1"/>
    <n v="-404"/>
    <n v="320"/>
  </r>
  <r>
    <x v="62"/>
    <s v="conventional_cashout_incentive_-201"/>
    <x v="1070"/>
    <n v="0"/>
    <n v="1"/>
    <n v="-404"/>
    <n v="320"/>
  </r>
  <r>
    <x v="62"/>
    <s v="conventional_cashout_incentive_-200"/>
    <x v="1071"/>
    <n v="0"/>
    <n v="1"/>
    <n v="-404"/>
    <n v="320"/>
  </r>
  <r>
    <x v="62"/>
    <s v="conventional_cashout_incentive_-199"/>
    <x v="1072"/>
    <n v="0"/>
    <n v="1"/>
    <n v="-404"/>
    <n v="320"/>
  </r>
  <r>
    <x v="62"/>
    <s v="conventional_cashout_incentive_-198"/>
    <x v="1073"/>
    <n v="0"/>
    <n v="1"/>
    <n v="-404"/>
    <n v="320"/>
  </r>
  <r>
    <x v="62"/>
    <s v="conventional_cashout_incentive_-197"/>
    <x v="1074"/>
    <n v="0"/>
    <n v="1"/>
    <n v="-404"/>
    <n v="320"/>
  </r>
  <r>
    <x v="62"/>
    <s v="conventional_cashout_incentive_-196"/>
    <x v="1075"/>
    <n v="0"/>
    <n v="1"/>
    <n v="-404"/>
    <n v="320"/>
  </r>
  <r>
    <x v="62"/>
    <s v="conventional_cashout_incentive_-195"/>
    <x v="1076"/>
    <n v="0"/>
    <n v="1"/>
    <n v="-404"/>
    <n v="320"/>
  </r>
  <r>
    <x v="62"/>
    <s v="conventional_cashout_incentive_-194"/>
    <x v="1077"/>
    <n v="0"/>
    <n v="1"/>
    <n v="-404"/>
    <n v="320"/>
  </r>
  <r>
    <x v="62"/>
    <s v="conventional_cashout_incentive_-193"/>
    <x v="1078"/>
    <n v="0"/>
    <n v="1"/>
    <n v="-404"/>
    <n v="320"/>
  </r>
  <r>
    <x v="62"/>
    <s v="conventional_cashout_incentive_-192"/>
    <x v="1079"/>
    <n v="0"/>
    <n v="1"/>
    <n v="-404"/>
    <n v="320"/>
  </r>
  <r>
    <x v="62"/>
    <s v="conventional_cashout_incentive_-191"/>
    <x v="1080"/>
    <n v="0"/>
    <n v="1"/>
    <n v="-404"/>
    <n v="320"/>
  </r>
  <r>
    <x v="62"/>
    <s v="conventional_cashout_incentive_-190"/>
    <x v="1081"/>
    <n v="0"/>
    <n v="1"/>
    <n v="-404"/>
    <n v="320"/>
  </r>
  <r>
    <x v="62"/>
    <s v="conventional_cashout_incentive_-189"/>
    <x v="1082"/>
    <n v="0"/>
    <n v="1"/>
    <n v="-404"/>
    <n v="320"/>
  </r>
  <r>
    <x v="62"/>
    <s v="conventional_cashout_incentive_-188"/>
    <x v="1083"/>
    <n v="0"/>
    <n v="1"/>
    <n v="-404"/>
    <n v="320"/>
  </r>
  <r>
    <x v="62"/>
    <s v="conventional_cashout_incentive_-187"/>
    <x v="1084"/>
    <n v="0"/>
    <n v="1"/>
    <n v="-404"/>
    <n v="320"/>
  </r>
  <r>
    <x v="62"/>
    <s v="conventional_cashout_incentive_-186"/>
    <x v="1085"/>
    <n v="0"/>
    <n v="1"/>
    <n v="-404"/>
    <n v="320"/>
  </r>
  <r>
    <x v="62"/>
    <s v="conventional_cashout_incentive_-185"/>
    <x v="1086"/>
    <n v="0"/>
    <n v="1"/>
    <n v="-404"/>
    <n v="320"/>
  </r>
  <r>
    <x v="62"/>
    <s v="conventional_cashout_incentive_-184"/>
    <x v="1087"/>
    <n v="0"/>
    <n v="1"/>
    <n v="-404"/>
    <n v="320"/>
  </r>
  <r>
    <x v="62"/>
    <s v="conventional_cashout_incentive_-183"/>
    <x v="1088"/>
    <n v="0"/>
    <n v="1"/>
    <n v="-404"/>
    <n v="320"/>
  </r>
  <r>
    <x v="62"/>
    <s v="conventional_cashout_incentive_-182"/>
    <x v="1089"/>
    <n v="0"/>
    <n v="1"/>
    <n v="-404"/>
    <n v="320"/>
  </r>
  <r>
    <x v="62"/>
    <s v="conventional_cashout_incentive_-181"/>
    <x v="1090"/>
    <n v="0"/>
    <n v="1"/>
    <n v="-404"/>
    <n v="320"/>
  </r>
  <r>
    <x v="62"/>
    <s v="conventional_cashout_incentive_-180"/>
    <x v="1091"/>
    <n v="0"/>
    <n v="1"/>
    <n v="-404"/>
    <n v="320"/>
  </r>
  <r>
    <x v="62"/>
    <s v="conventional_cashout_incentive_-179"/>
    <x v="1092"/>
    <n v="0"/>
    <n v="1"/>
    <n v="-404"/>
    <n v="320"/>
  </r>
  <r>
    <x v="62"/>
    <s v="conventional_cashout_incentive_-178"/>
    <x v="1093"/>
    <n v="0"/>
    <n v="1"/>
    <n v="-404"/>
    <n v="320"/>
  </r>
  <r>
    <x v="62"/>
    <s v="conventional_cashout_incentive_-177"/>
    <x v="1094"/>
    <n v="0"/>
    <n v="1"/>
    <n v="-404"/>
    <n v="320"/>
  </r>
  <r>
    <x v="62"/>
    <s v="conventional_cashout_incentive_-176"/>
    <x v="1095"/>
    <n v="0"/>
    <n v="1"/>
    <n v="-404"/>
    <n v="320"/>
  </r>
  <r>
    <x v="62"/>
    <s v="conventional_cashout_incentive_-175"/>
    <x v="1096"/>
    <n v="0"/>
    <n v="1"/>
    <n v="-404"/>
    <n v="320"/>
  </r>
  <r>
    <x v="62"/>
    <s v="conventional_cashout_incentive_-174"/>
    <x v="1097"/>
    <n v="0"/>
    <n v="1"/>
    <n v="-404"/>
    <n v="320"/>
  </r>
  <r>
    <x v="62"/>
    <s v="conventional_cashout_incentive_-173"/>
    <x v="1098"/>
    <n v="0"/>
    <n v="1"/>
    <n v="-404"/>
    <n v="320"/>
  </r>
  <r>
    <x v="62"/>
    <s v="conventional_cashout_incentive_-172"/>
    <x v="1099"/>
    <n v="0"/>
    <n v="1"/>
    <n v="-404"/>
    <n v="320"/>
  </r>
  <r>
    <x v="62"/>
    <s v="conventional_cashout_incentive_-171"/>
    <x v="1100"/>
    <n v="0"/>
    <n v="1"/>
    <n v="-404"/>
    <n v="320"/>
  </r>
  <r>
    <x v="62"/>
    <s v="conventional_cashout_incentive_-170"/>
    <x v="1101"/>
    <n v="0"/>
    <n v="1"/>
    <n v="-404"/>
    <n v="320"/>
  </r>
  <r>
    <x v="62"/>
    <s v="conventional_cashout_incentive_-169"/>
    <x v="1102"/>
    <n v="0"/>
    <n v="1"/>
    <n v="-404"/>
    <n v="320"/>
  </r>
  <r>
    <x v="62"/>
    <s v="conventional_cashout_incentive_-168"/>
    <x v="1103"/>
    <n v="0"/>
    <n v="1"/>
    <n v="-404"/>
    <n v="320"/>
  </r>
  <r>
    <x v="62"/>
    <s v="conventional_cashout_incentive_-167"/>
    <x v="1104"/>
    <n v="0"/>
    <n v="1"/>
    <n v="-404"/>
    <n v="320"/>
  </r>
  <r>
    <x v="62"/>
    <s v="conventional_cashout_incentive_-166"/>
    <x v="1105"/>
    <n v="0"/>
    <n v="1"/>
    <n v="-404"/>
    <n v="320"/>
  </r>
  <r>
    <x v="62"/>
    <s v="conventional_cashout_incentive_-165"/>
    <x v="1106"/>
    <n v="0"/>
    <n v="1"/>
    <n v="-404"/>
    <n v="320"/>
  </r>
  <r>
    <x v="62"/>
    <s v="conventional_cashout_incentive_-164"/>
    <x v="1107"/>
    <n v="0"/>
    <n v="1"/>
    <n v="-404"/>
    <n v="320"/>
  </r>
  <r>
    <x v="62"/>
    <s v="conventional_cashout_incentive_-163"/>
    <x v="1108"/>
    <n v="0"/>
    <n v="1"/>
    <n v="-404"/>
    <n v="320"/>
  </r>
  <r>
    <x v="62"/>
    <s v="conventional_cashout_incentive_-162"/>
    <x v="1109"/>
    <n v="0"/>
    <n v="1"/>
    <n v="-404"/>
    <n v="320"/>
  </r>
  <r>
    <x v="62"/>
    <s v="conventional_cashout_incentive_-161"/>
    <x v="1110"/>
    <n v="0"/>
    <n v="1"/>
    <n v="-404"/>
    <n v="320"/>
  </r>
  <r>
    <x v="62"/>
    <s v="conventional_cashout_incentive_-160"/>
    <x v="1111"/>
    <n v="0"/>
    <n v="1"/>
    <n v="-404"/>
    <n v="320"/>
  </r>
  <r>
    <x v="62"/>
    <s v="conventional_cashout_incentive_-159"/>
    <x v="1112"/>
    <n v="0"/>
    <n v="1"/>
    <n v="-404"/>
    <n v="320"/>
  </r>
  <r>
    <x v="62"/>
    <s v="conventional_cashout_incentive_-158"/>
    <x v="1113"/>
    <n v="0"/>
    <n v="1"/>
    <n v="-404"/>
    <n v="320"/>
  </r>
  <r>
    <x v="62"/>
    <s v="conventional_cashout_incentive_-157"/>
    <x v="1114"/>
    <n v="0"/>
    <n v="1"/>
    <n v="-404"/>
    <n v="320"/>
  </r>
  <r>
    <x v="62"/>
    <s v="conventional_cashout_incentive_-156"/>
    <x v="1115"/>
    <n v="0"/>
    <n v="1"/>
    <n v="-404"/>
    <n v="320"/>
  </r>
  <r>
    <x v="62"/>
    <s v="conventional_cashout_incentive_-155"/>
    <x v="1116"/>
    <n v="0"/>
    <n v="1"/>
    <n v="-404"/>
    <n v="320"/>
  </r>
  <r>
    <x v="62"/>
    <s v="conventional_cashout_incentive_-154"/>
    <x v="1117"/>
    <n v="0"/>
    <n v="1"/>
    <n v="-404"/>
    <n v="320"/>
  </r>
  <r>
    <x v="62"/>
    <s v="conventional_cashout_incentive_-153"/>
    <x v="1118"/>
    <n v="0"/>
    <n v="1"/>
    <n v="-404"/>
    <n v="320"/>
  </r>
  <r>
    <x v="62"/>
    <s v="conventional_cashout_incentive_-152"/>
    <x v="1119"/>
    <n v="0"/>
    <n v="1"/>
    <n v="-404"/>
    <n v="320"/>
  </r>
  <r>
    <x v="62"/>
    <s v="conventional_cashout_incentive_-151"/>
    <x v="1120"/>
    <n v="0"/>
    <n v="1"/>
    <n v="-404"/>
    <n v="320"/>
  </r>
  <r>
    <x v="62"/>
    <s v="conventional_cashout_incentive_-150"/>
    <x v="1121"/>
    <n v="0"/>
    <n v="1"/>
    <n v="-404"/>
    <n v="320"/>
  </r>
  <r>
    <x v="62"/>
    <s v="conventional_cashout_incentive_-149"/>
    <x v="1122"/>
    <n v="0"/>
    <n v="1"/>
    <n v="-404"/>
    <n v="320"/>
  </r>
  <r>
    <x v="62"/>
    <s v="conventional_cashout_incentive_-148"/>
    <x v="1123"/>
    <n v="0"/>
    <n v="1"/>
    <n v="-404"/>
    <n v="320"/>
  </r>
  <r>
    <x v="62"/>
    <s v="conventional_cashout_incentive_-147"/>
    <x v="1124"/>
    <n v="0"/>
    <n v="1"/>
    <n v="-404"/>
    <n v="320"/>
  </r>
  <r>
    <x v="62"/>
    <s v="conventional_cashout_incentive_-146"/>
    <x v="1125"/>
    <n v="0"/>
    <n v="1"/>
    <n v="-404"/>
    <n v="320"/>
  </r>
  <r>
    <x v="62"/>
    <s v="conventional_cashout_incentive_-145"/>
    <x v="1126"/>
    <n v="0"/>
    <n v="1"/>
    <n v="-404"/>
    <n v="320"/>
  </r>
  <r>
    <x v="62"/>
    <s v="conventional_cashout_incentive_-144"/>
    <x v="1127"/>
    <n v="0"/>
    <n v="1"/>
    <n v="-404"/>
    <n v="320"/>
  </r>
  <r>
    <x v="62"/>
    <s v="conventional_cashout_incentive_-143"/>
    <x v="1128"/>
    <n v="0"/>
    <n v="1"/>
    <n v="-404"/>
    <n v="320"/>
  </r>
  <r>
    <x v="62"/>
    <s v="conventional_cashout_incentive_-142"/>
    <x v="1129"/>
    <n v="0"/>
    <n v="1"/>
    <n v="-404"/>
    <n v="320"/>
  </r>
  <r>
    <x v="62"/>
    <s v="conventional_cashout_incentive_-141"/>
    <x v="1130"/>
    <n v="0"/>
    <n v="1"/>
    <n v="-404"/>
    <n v="320"/>
  </r>
  <r>
    <x v="62"/>
    <s v="conventional_cashout_incentive_-140"/>
    <x v="1131"/>
    <n v="0"/>
    <n v="1"/>
    <n v="-404"/>
    <n v="320"/>
  </r>
  <r>
    <x v="62"/>
    <s v="conventional_cashout_incentive_-139"/>
    <x v="1132"/>
    <n v="0"/>
    <n v="1"/>
    <n v="-404"/>
    <n v="320"/>
  </r>
  <r>
    <x v="62"/>
    <s v="conventional_cashout_incentive_-138"/>
    <x v="1133"/>
    <n v="0"/>
    <n v="1"/>
    <n v="-404"/>
    <n v="320"/>
  </r>
  <r>
    <x v="62"/>
    <s v="conventional_cashout_incentive_-137"/>
    <x v="1134"/>
    <n v="0"/>
    <n v="1"/>
    <n v="-404"/>
    <n v="320"/>
  </r>
  <r>
    <x v="62"/>
    <s v="conventional_cashout_incentive_-136"/>
    <x v="1135"/>
    <n v="0"/>
    <n v="1"/>
    <n v="-404"/>
    <n v="320"/>
  </r>
  <r>
    <x v="62"/>
    <s v="conventional_cashout_incentive_-135"/>
    <x v="1136"/>
    <n v="0"/>
    <n v="1"/>
    <n v="-404"/>
    <n v="320"/>
  </r>
  <r>
    <x v="62"/>
    <s v="conventional_cashout_incentive_-134"/>
    <x v="1137"/>
    <n v="0"/>
    <n v="1"/>
    <n v="-404"/>
    <n v="320"/>
  </r>
  <r>
    <x v="62"/>
    <s v="conventional_cashout_incentive_-133"/>
    <x v="1138"/>
    <n v="0"/>
    <n v="1"/>
    <n v="-404"/>
    <n v="320"/>
  </r>
  <r>
    <x v="62"/>
    <s v="conventional_cashout_incentive_-132"/>
    <x v="1139"/>
    <n v="0"/>
    <n v="1"/>
    <n v="-404"/>
    <n v="320"/>
  </r>
  <r>
    <x v="62"/>
    <s v="conventional_cashout_incentive_-131"/>
    <x v="1140"/>
    <n v="0"/>
    <n v="1"/>
    <n v="-404"/>
    <n v="320"/>
  </r>
  <r>
    <x v="62"/>
    <s v="conventional_cashout_incentive_-130"/>
    <x v="1141"/>
    <n v="0"/>
    <n v="1"/>
    <n v="-404"/>
    <n v="320"/>
  </r>
  <r>
    <x v="62"/>
    <s v="conventional_cashout_incentive_-129"/>
    <x v="1142"/>
    <n v="0"/>
    <n v="1"/>
    <n v="-404"/>
    <n v="320"/>
  </r>
  <r>
    <x v="62"/>
    <s v="conventional_cashout_incentive_-128"/>
    <x v="1143"/>
    <n v="0"/>
    <n v="1"/>
    <n v="-404"/>
    <n v="320"/>
  </r>
  <r>
    <x v="62"/>
    <s v="conventional_cashout_incentive_-127"/>
    <x v="1144"/>
    <n v="0"/>
    <n v="1"/>
    <n v="-404"/>
    <n v="320"/>
  </r>
  <r>
    <x v="62"/>
    <s v="conventional_cashout_incentive_-126"/>
    <x v="1145"/>
    <n v="0"/>
    <n v="1"/>
    <n v="-404"/>
    <n v="320"/>
  </r>
  <r>
    <x v="62"/>
    <s v="conventional_cashout_incentive_-125"/>
    <x v="1146"/>
    <n v="0"/>
    <n v="1"/>
    <n v="-404"/>
    <n v="320"/>
  </r>
  <r>
    <x v="62"/>
    <s v="conventional_cashout_incentive_-124"/>
    <x v="1147"/>
    <n v="0"/>
    <n v="1"/>
    <n v="-404"/>
    <n v="320"/>
  </r>
  <r>
    <x v="62"/>
    <s v="conventional_cashout_incentive_-123"/>
    <x v="1148"/>
    <n v="0"/>
    <n v="1"/>
    <n v="-404"/>
    <n v="320"/>
  </r>
  <r>
    <x v="62"/>
    <s v="conventional_cashout_incentive_-122"/>
    <x v="1149"/>
    <n v="0"/>
    <n v="1"/>
    <n v="-404"/>
    <n v="320"/>
  </r>
  <r>
    <x v="62"/>
    <s v="conventional_cashout_incentive_-121"/>
    <x v="1150"/>
    <n v="0"/>
    <n v="1"/>
    <n v="-404"/>
    <n v="320"/>
  </r>
  <r>
    <x v="62"/>
    <s v="conventional_cashout_incentive_-120"/>
    <x v="1151"/>
    <n v="0"/>
    <n v="1"/>
    <n v="-404"/>
    <n v="320"/>
  </r>
  <r>
    <x v="62"/>
    <s v="conventional_cashout_incentive_-119"/>
    <x v="1152"/>
    <n v="0"/>
    <n v="1"/>
    <n v="-404"/>
    <n v="320"/>
  </r>
  <r>
    <x v="62"/>
    <s v="conventional_cashout_incentive_-118"/>
    <x v="1153"/>
    <n v="0"/>
    <n v="1"/>
    <n v="-404"/>
    <n v="320"/>
  </r>
  <r>
    <x v="62"/>
    <s v="conventional_cashout_incentive_-117"/>
    <x v="1154"/>
    <n v="0"/>
    <n v="1"/>
    <n v="-404"/>
    <n v="320"/>
  </r>
  <r>
    <x v="62"/>
    <s v="conventional_cashout_incentive_-116"/>
    <x v="1155"/>
    <n v="0"/>
    <n v="1"/>
    <n v="-404"/>
    <n v="320"/>
  </r>
  <r>
    <x v="62"/>
    <s v="conventional_cashout_incentive_-115"/>
    <x v="1156"/>
    <n v="0"/>
    <n v="1"/>
    <n v="-404"/>
    <n v="320"/>
  </r>
  <r>
    <x v="62"/>
    <s v="conventional_cashout_incentive_-114"/>
    <x v="1157"/>
    <n v="0"/>
    <n v="1"/>
    <n v="-404"/>
    <n v="320"/>
  </r>
  <r>
    <x v="62"/>
    <s v="conventional_cashout_incentive_-113"/>
    <x v="1158"/>
    <n v="0"/>
    <n v="1"/>
    <n v="-404"/>
    <n v="320"/>
  </r>
  <r>
    <x v="62"/>
    <s v="conventional_cashout_incentive_-112"/>
    <x v="1159"/>
    <n v="0"/>
    <n v="1"/>
    <n v="-404"/>
    <n v="320"/>
  </r>
  <r>
    <x v="62"/>
    <s v="conventional_cashout_incentive_-111"/>
    <x v="1160"/>
    <n v="0"/>
    <n v="1"/>
    <n v="-404"/>
    <n v="320"/>
  </r>
  <r>
    <x v="62"/>
    <s v="conventional_cashout_incentive_-110"/>
    <x v="1161"/>
    <n v="0"/>
    <n v="1"/>
    <n v="-404"/>
    <n v="320"/>
  </r>
  <r>
    <x v="62"/>
    <s v="conventional_cashout_incentive_-109"/>
    <x v="1162"/>
    <n v="0"/>
    <n v="1"/>
    <n v="-404"/>
    <n v="320"/>
  </r>
  <r>
    <x v="62"/>
    <s v="conventional_cashout_incentive_-108"/>
    <x v="1163"/>
    <n v="0"/>
    <n v="1"/>
    <n v="-404"/>
    <n v="320"/>
  </r>
  <r>
    <x v="62"/>
    <s v="conventional_cashout_incentive_-107"/>
    <x v="1164"/>
    <n v="0"/>
    <n v="1"/>
    <n v="-404"/>
    <n v="320"/>
  </r>
  <r>
    <x v="62"/>
    <s v="conventional_cashout_incentive_-106"/>
    <x v="1165"/>
    <n v="0"/>
    <n v="1"/>
    <n v="-404"/>
    <n v="320"/>
  </r>
  <r>
    <x v="62"/>
    <s v="conventional_cashout_incentive_-105"/>
    <x v="1166"/>
    <n v="0"/>
    <n v="1"/>
    <n v="-404"/>
    <n v="320"/>
  </r>
  <r>
    <x v="62"/>
    <s v="conventional_cashout_incentive_-104"/>
    <x v="1167"/>
    <n v="0"/>
    <n v="1"/>
    <n v="-404"/>
    <n v="320"/>
  </r>
  <r>
    <x v="62"/>
    <s v="conventional_cashout_incentive_-103"/>
    <x v="1168"/>
    <n v="0"/>
    <n v="1"/>
    <n v="-404"/>
    <n v="320"/>
  </r>
  <r>
    <x v="62"/>
    <s v="conventional_cashout_incentive_-102"/>
    <x v="1169"/>
    <n v="0"/>
    <n v="1"/>
    <n v="-404"/>
    <n v="320"/>
  </r>
  <r>
    <x v="62"/>
    <s v="conventional_cashout_incentive_-101"/>
    <x v="1170"/>
    <n v="0"/>
    <n v="1"/>
    <n v="-404"/>
    <n v="320"/>
  </r>
  <r>
    <x v="62"/>
    <s v="conventional_cashout_incentive_-100"/>
    <x v="1171"/>
    <n v="0"/>
    <n v="1"/>
    <n v="-404"/>
    <n v="320"/>
  </r>
  <r>
    <x v="62"/>
    <s v="conventional_cashout_incentive_-99"/>
    <x v="1172"/>
    <n v="0"/>
    <n v="1"/>
    <n v="-404"/>
    <n v="320"/>
  </r>
  <r>
    <x v="62"/>
    <s v="conventional_cashout_incentive_-98"/>
    <x v="1173"/>
    <n v="0"/>
    <n v="1"/>
    <n v="-404"/>
    <n v="320"/>
  </r>
  <r>
    <x v="62"/>
    <s v="conventional_cashout_incentive_-97"/>
    <x v="1174"/>
    <n v="0"/>
    <n v="1"/>
    <n v="-404"/>
    <n v="320"/>
  </r>
  <r>
    <x v="62"/>
    <s v="conventional_cashout_incentive_-96"/>
    <x v="1175"/>
    <n v="0"/>
    <n v="1"/>
    <n v="-404"/>
    <n v="320"/>
  </r>
  <r>
    <x v="62"/>
    <s v="conventional_cashout_incentive_-95"/>
    <x v="1176"/>
    <n v="0"/>
    <n v="1"/>
    <n v="-404"/>
    <n v="320"/>
  </r>
  <r>
    <x v="62"/>
    <s v="conventional_cashout_incentive_-94"/>
    <x v="1177"/>
    <n v="0"/>
    <n v="1"/>
    <n v="-404"/>
    <n v="320"/>
  </r>
  <r>
    <x v="62"/>
    <s v="conventional_cashout_incentive_-93"/>
    <x v="1178"/>
    <n v="0"/>
    <n v="1"/>
    <n v="-404"/>
    <n v="320"/>
  </r>
  <r>
    <x v="62"/>
    <s v="conventional_cashout_incentive_-92"/>
    <x v="1179"/>
    <n v="0"/>
    <n v="1"/>
    <n v="-404"/>
    <n v="320"/>
  </r>
  <r>
    <x v="62"/>
    <s v="conventional_cashout_incentive_-91"/>
    <x v="1180"/>
    <n v="4.7135694912468101E-4"/>
    <n v="1"/>
    <n v="-404"/>
    <n v="320"/>
  </r>
  <r>
    <x v="62"/>
    <s v="conventional_cashout_incentive_-90"/>
    <x v="1181"/>
    <n v="1.8426892413906501E-3"/>
    <n v="1"/>
    <n v="-404"/>
    <n v="320"/>
  </r>
  <r>
    <x v="62"/>
    <s v="conventional_cashout_incentive_-89"/>
    <x v="1182"/>
    <n v="4.0498890441357802E-3"/>
    <n v="1"/>
    <n v="-404"/>
    <n v="320"/>
  </r>
  <r>
    <x v="62"/>
    <s v="conventional_cashout_incentive_-88"/>
    <x v="1183"/>
    <n v="7.0288485246979499E-3"/>
    <n v="1"/>
    <n v="-404"/>
    <n v="320"/>
  </r>
  <r>
    <x v="62"/>
    <s v="conventional_cashout_incentive_-87"/>
    <x v="1184"/>
    <n v="1.07154598504151E-2"/>
    <n v="1"/>
    <n v="-404"/>
    <n v="320"/>
  </r>
  <r>
    <x v="62"/>
    <s v="conventional_cashout_incentive_-86"/>
    <x v="1185"/>
    <n v="1.5045615188624999E-2"/>
    <n v="1"/>
    <n v="-404"/>
    <n v="320"/>
  </r>
  <r>
    <x v="62"/>
    <s v="conventional_cashout_incentive_-85"/>
    <x v="1186"/>
    <n v="1.9955206706665601E-2"/>
    <n v="1"/>
    <n v="-404"/>
    <n v="320"/>
  </r>
  <r>
    <x v="62"/>
    <s v="conventional_cashout_incentive_-84"/>
    <x v="1187"/>
    <n v="2.53801265718747E-2"/>
    <n v="1"/>
    <n v="-404"/>
    <n v="320"/>
  </r>
  <r>
    <x v="62"/>
    <s v="conventional_cashout_incentive_-83"/>
    <x v="1188"/>
    <n v="3.1256266951590402E-2"/>
    <n v="1"/>
    <n v="-404"/>
    <n v="320"/>
  </r>
  <r>
    <x v="62"/>
    <s v="conventional_cashout_incentive_-82"/>
    <x v="1189"/>
    <n v="3.7519520013150301E-2"/>
    <n v="1"/>
    <n v="-404"/>
    <n v="320"/>
  </r>
  <r>
    <x v="62"/>
    <s v="conventional_cashout_incentive_-81"/>
    <x v="1190"/>
    <n v="4.4105777923892503E-2"/>
    <n v="1"/>
    <n v="-404"/>
    <n v="320"/>
  </r>
  <r>
    <x v="62"/>
    <s v="conventional_cashout_incentive_-80"/>
    <x v="1191"/>
    <n v="5.0950932851154797E-2"/>
    <n v="1"/>
    <n v="-404"/>
    <n v="320"/>
  </r>
  <r>
    <x v="62"/>
    <s v="conventional_cashout_incentive_-79"/>
    <x v="1192"/>
    <n v="5.7990876962274999E-2"/>
    <n v="1"/>
    <n v="-404"/>
    <n v="320"/>
  </r>
  <r>
    <x v="62"/>
    <s v="conventional_cashout_incentive_-78"/>
    <x v="1193"/>
    <n v="6.5161502424591095E-2"/>
    <n v="1"/>
    <n v="-404"/>
    <n v="320"/>
  </r>
  <r>
    <x v="62"/>
    <s v="conventional_cashout_incentive_-77"/>
    <x v="1194"/>
    <n v="7.2398701405440899E-2"/>
    <n v="1"/>
    <n v="-404"/>
    <n v="320"/>
  </r>
  <r>
    <x v="62"/>
    <s v="conventional_cashout_incentive_-76"/>
    <x v="1195"/>
    <n v="7.9638366072162403E-2"/>
    <n v="1"/>
    <n v="-404"/>
    <n v="320"/>
  </r>
  <r>
    <x v="62"/>
    <s v="conventional_cashout_incentive_-75"/>
    <x v="1196"/>
    <n v="8.6816388592093299E-2"/>
    <n v="1"/>
    <n v="-404"/>
    <n v="320"/>
  </r>
  <r>
    <x v="62"/>
    <s v="conventional_cashout_incentive_-74"/>
    <x v="1197"/>
    <n v="9.3868661132571696E-2"/>
    <n v="1"/>
    <n v="-404"/>
    <n v="320"/>
  </r>
  <r>
    <x v="62"/>
    <s v="conventional_cashout_incentive_-73"/>
    <x v="1198"/>
    <n v="0.10073107586093499"/>
    <n v="1"/>
    <n v="-404"/>
    <n v="320"/>
  </r>
  <r>
    <x v="62"/>
    <s v="conventional_cashout_incentive_-72"/>
    <x v="1199"/>
    <n v="0.10733952494452199"/>
    <n v="1"/>
    <n v="-404"/>
    <n v="320"/>
  </r>
  <r>
    <x v="62"/>
    <s v="conventional_cashout_incentive_-71"/>
    <x v="1200"/>
    <n v="0.11362990055067"/>
    <n v="1"/>
    <n v="-404"/>
    <n v="320"/>
  </r>
  <r>
    <x v="62"/>
    <s v="conventional_cashout_incentive_-70"/>
    <x v="1201"/>
    <n v="0.119538094846717"/>
    <n v="1"/>
    <n v="-404"/>
    <n v="320"/>
  </r>
  <r>
    <x v="62"/>
    <s v="conventional_cashout_incentive_-69"/>
    <x v="1202"/>
    <n v="0.125"/>
    <n v="1"/>
    <n v="-404"/>
    <n v="320"/>
  </r>
  <r>
    <x v="62"/>
    <s v="conventional_cashout_incentive_-68"/>
    <x v="1203"/>
    <n v="0.130176347826087"/>
    <n v="1"/>
    <n v="-404"/>
    <n v="320"/>
  </r>
  <r>
    <x v="62"/>
    <s v="conventional_cashout_incentive_-67"/>
    <x v="1204"/>
    <n v="0.13527600000000001"/>
    <n v="1"/>
    <n v="-404"/>
    <n v="320"/>
  </r>
  <r>
    <x v="62"/>
    <s v="conventional_cashout_incentive_-66"/>
    <x v="1205"/>
    <n v="0.14030704347826101"/>
    <n v="1"/>
    <n v="-404"/>
    <n v="320"/>
  </r>
  <r>
    <x v="62"/>
    <s v="conventional_cashout_incentive_-65"/>
    <x v="1206"/>
    <n v="0.14527756521739099"/>
    <n v="1"/>
    <n v="-404"/>
    <n v="320"/>
  </r>
  <r>
    <x v="62"/>
    <s v="conventional_cashout_incentive_-64"/>
    <x v="1207"/>
    <n v="0.15019565217391301"/>
    <n v="1"/>
    <n v="-404"/>
    <n v="320"/>
  </r>
  <r>
    <x v="62"/>
    <s v="conventional_cashout_incentive_-63"/>
    <x v="1208"/>
    <n v="0.15506939130434799"/>
    <n v="1"/>
    <n v="-404"/>
    <n v="320"/>
  </r>
  <r>
    <x v="62"/>
    <s v="conventional_cashout_incentive_-62"/>
    <x v="1209"/>
    <n v="0.15990686956521699"/>
    <n v="1"/>
    <n v="-404"/>
    <n v="320"/>
  </r>
  <r>
    <x v="62"/>
    <s v="conventional_cashout_incentive_-61"/>
    <x v="1210"/>
    <n v="0.164716173913043"/>
    <n v="1"/>
    <n v="-404"/>
    <n v="320"/>
  </r>
  <r>
    <x v="62"/>
    <s v="conventional_cashout_incentive_-60"/>
    <x v="1211"/>
    <n v="0.169505391304348"/>
    <n v="1"/>
    <n v="-404"/>
    <n v="320"/>
  </r>
  <r>
    <x v="62"/>
    <s v="conventional_cashout_incentive_-59"/>
    <x v="1212"/>
    <n v="0.17428260869565201"/>
    <n v="1"/>
    <n v="-404"/>
    <n v="320"/>
  </r>
  <r>
    <x v="62"/>
    <s v="conventional_cashout_incentive_-58"/>
    <x v="1213"/>
    <n v="0.17905591304347801"/>
    <n v="1"/>
    <n v="-404"/>
    <n v="320"/>
  </r>
  <r>
    <x v="62"/>
    <s v="conventional_cashout_incentive_-57"/>
    <x v="1214"/>
    <n v="0.183833391304348"/>
    <n v="1"/>
    <n v="-404"/>
    <n v="320"/>
  </r>
  <r>
    <x v="62"/>
    <s v="conventional_cashout_incentive_-56"/>
    <x v="1215"/>
    <n v="0.18862313043478299"/>
    <n v="1"/>
    <n v="-404"/>
    <n v="320"/>
  </r>
  <r>
    <x v="62"/>
    <s v="conventional_cashout_incentive_-55"/>
    <x v="1216"/>
    <n v="0.19343321739130401"/>
    <n v="1"/>
    <n v="-404"/>
    <n v="320"/>
  </r>
  <r>
    <x v="62"/>
    <s v="conventional_cashout_incentive_-54"/>
    <x v="1217"/>
    <n v="0.198271739130435"/>
    <n v="1"/>
    <n v="-404"/>
    <n v="320"/>
  </r>
  <r>
    <x v="62"/>
    <s v="conventional_cashout_incentive_-53"/>
    <x v="1218"/>
    <n v="0.20314678260869601"/>
    <n v="1"/>
    <n v="-404"/>
    <n v="320"/>
  </r>
  <r>
    <x v="62"/>
    <s v="conventional_cashout_incentive_-52"/>
    <x v="1219"/>
    <n v="0.208066434782609"/>
    <n v="1"/>
    <n v="-404"/>
    <n v="320"/>
  </r>
  <r>
    <x v="62"/>
    <s v="conventional_cashout_incentive_-51"/>
    <x v="1220"/>
    <n v="0.21303878260869599"/>
    <n v="1"/>
    <n v="-404"/>
    <n v="320"/>
  </r>
  <r>
    <x v="62"/>
    <s v="conventional_cashout_incentive_-50"/>
    <x v="1221"/>
    <n v="0.21807191304347801"/>
    <n v="1"/>
    <n v="-404"/>
    <n v="320"/>
  </r>
  <r>
    <x v="62"/>
    <s v="conventional_cashout_incentive_-49"/>
    <x v="1222"/>
    <n v="0.223173913043478"/>
    <n v="1"/>
    <n v="-404"/>
    <n v="320"/>
  </r>
  <r>
    <x v="62"/>
    <s v="conventional_cashout_incentive_-48"/>
    <x v="1223"/>
    <n v="0.228352869565217"/>
    <n v="1"/>
    <n v="-404"/>
    <n v="320"/>
  </r>
  <r>
    <x v="62"/>
    <s v="conventional_cashout_incentive_-47"/>
    <x v="1224"/>
    <n v="0.23361686956521699"/>
    <n v="1"/>
    <n v="-404"/>
    <n v="320"/>
  </r>
  <r>
    <x v="62"/>
    <s v="conventional_cashout_incentive_-46"/>
    <x v="1225"/>
    <n v="0.23897399999999999"/>
    <n v="1"/>
    <n v="-404"/>
    <n v="320"/>
  </r>
  <r>
    <x v="62"/>
    <s v="conventional_cashout_incentive_-45"/>
    <x v="1226"/>
    <n v="0.244432347826087"/>
    <n v="1"/>
    <n v="-404"/>
    <n v="320"/>
  </r>
  <r>
    <x v="62"/>
    <s v="conventional_cashout_incentive_-44"/>
    <x v="1227"/>
    <n v="0.25"/>
    <n v="1"/>
    <n v="-404"/>
    <n v="320"/>
  </r>
  <r>
    <x v="62"/>
    <s v="conventional_cashout_incentive_-43"/>
    <x v="1228"/>
    <n v="0.25552126736111103"/>
    <n v="1"/>
    <n v="-404"/>
    <n v="320"/>
  </r>
  <r>
    <x v="62"/>
    <s v="conventional_cashout_incentive_-42"/>
    <x v="1229"/>
    <n v="0.26085763888888902"/>
    <n v="1"/>
    <n v="-404"/>
    <n v="320"/>
  </r>
  <r>
    <x v="62"/>
    <s v="conventional_cashout_incentive_-41"/>
    <x v="1230"/>
    <n v="0.26604296875"/>
    <n v="1"/>
    <n v="-404"/>
    <n v="320"/>
  </r>
  <r>
    <x v="62"/>
    <s v="conventional_cashout_incentive_-40"/>
    <x v="0"/>
    <n v="0.27111111111111103"/>
    <n v="1"/>
    <n v="-404"/>
    <n v="320"/>
  </r>
  <r>
    <x v="62"/>
    <s v="conventional_cashout_incentive_-39"/>
    <x v="1"/>
    <n v="0.27609592013888901"/>
    <n v="1"/>
    <n v="-404"/>
    <n v="320"/>
  </r>
  <r>
    <x v="62"/>
    <s v="conventional_cashout_incentive_-38"/>
    <x v="2"/>
    <n v="0.28103125000000001"/>
    <n v="1"/>
    <n v="-404"/>
    <n v="320"/>
  </r>
  <r>
    <x v="62"/>
    <s v="conventional_cashout_incentive_-37"/>
    <x v="3"/>
    <n v="0.285950954861111"/>
    <n v="1"/>
    <n v="-404"/>
    <n v="320"/>
  </r>
  <r>
    <x v="62"/>
    <s v="conventional_cashout_incentive_-36"/>
    <x v="4"/>
    <n v="0.29088888888888897"/>
    <n v="1"/>
    <n v="-404"/>
    <n v="320"/>
  </r>
  <r>
    <x v="62"/>
    <s v="conventional_cashout_incentive_-35"/>
    <x v="5"/>
    <n v="0.29587890625000002"/>
    <n v="1"/>
    <n v="-404"/>
    <n v="320"/>
  </r>
  <r>
    <x v="62"/>
    <s v="conventional_cashout_incentive_-34"/>
    <x v="6"/>
    <n v="0.30095486111111103"/>
    <n v="1"/>
    <n v="-404"/>
    <n v="320"/>
  </r>
  <r>
    <x v="62"/>
    <s v="conventional_cashout_incentive_-33"/>
    <x v="7"/>
    <n v="0.30615060763888902"/>
    <n v="1"/>
    <n v="-404"/>
    <n v="320"/>
  </r>
  <r>
    <x v="62"/>
    <s v="conventional_cashout_incentive_-32"/>
    <x v="8"/>
    <n v="0.3115"/>
    <n v="1"/>
    <n v="-404"/>
    <n v="320"/>
  </r>
  <r>
    <x v="62"/>
    <s v="conventional_cashout_incentive_-31"/>
    <x v="9"/>
    <n v="0.31703689236111099"/>
    <n v="1"/>
    <n v="-404"/>
    <n v="320"/>
  </r>
  <r>
    <x v="62"/>
    <s v="conventional_cashout_incentive_-30"/>
    <x v="10"/>
    <n v="0.322795138888889"/>
    <n v="1"/>
    <n v="-404"/>
    <n v="320"/>
  </r>
  <r>
    <x v="62"/>
    <s v="conventional_cashout_incentive_-29"/>
    <x v="11"/>
    <n v="0.32880859374999999"/>
    <n v="1"/>
    <n v="-404"/>
    <n v="320"/>
  </r>
  <r>
    <x v="62"/>
    <s v="conventional_cashout_incentive_-28"/>
    <x v="12"/>
    <n v="0.33511111111111103"/>
    <n v="1"/>
    <n v="-404"/>
    <n v="320"/>
  </r>
  <r>
    <x v="62"/>
    <s v="conventional_cashout_incentive_-27"/>
    <x v="13"/>
    <n v="0.34173654513888901"/>
    <n v="1"/>
    <n v="-404"/>
    <n v="320"/>
  </r>
  <r>
    <x v="62"/>
    <s v="conventional_cashout_incentive_-26"/>
    <x v="14"/>
    <n v="0.34871875000000002"/>
    <n v="1"/>
    <n v="-404"/>
    <n v="320"/>
  </r>
  <r>
    <x v="62"/>
    <s v="conventional_cashout_incentive_-25"/>
    <x v="15"/>
    <n v="0.35609157986111101"/>
    <n v="1"/>
    <n v="-404"/>
    <n v="320"/>
  </r>
  <r>
    <x v="62"/>
    <s v="conventional_cashout_incentive_-24"/>
    <x v="16"/>
    <n v="0.36388888888888898"/>
    <n v="1"/>
    <n v="-404"/>
    <n v="320"/>
  </r>
  <r>
    <x v="62"/>
    <s v="conventional_cashout_incentive_-23"/>
    <x v="17"/>
    <n v="0.37214453125000002"/>
    <n v="1"/>
    <n v="-404"/>
    <n v="320"/>
  </r>
  <r>
    <x v="62"/>
    <s v="conventional_cashout_incentive_-22"/>
    <x v="18"/>
    <n v="0.38089236111111102"/>
    <n v="1"/>
    <n v="-404"/>
    <n v="320"/>
  </r>
  <r>
    <x v="62"/>
    <s v="conventional_cashout_incentive_-21"/>
    <x v="19"/>
    <n v="0.390166232638889"/>
    <n v="1"/>
    <n v="-404"/>
    <n v="320"/>
  </r>
  <r>
    <x v="62"/>
    <s v="conventional_cashout_incentive_-20"/>
    <x v="20"/>
    <n v="0.4"/>
    <n v="1"/>
    <n v="-404"/>
    <n v="320"/>
  </r>
  <r>
    <x v="62"/>
    <s v="conventional_cashout_incentive_-19"/>
    <x v="21"/>
    <n v="0.41012657530434798"/>
    <n v="1"/>
    <n v="-404"/>
    <n v="320"/>
  </r>
  <r>
    <x v="62"/>
    <s v="conventional_cashout_incentive_-18"/>
    <x v="22"/>
    <n v="0.420281872"/>
    <n v="1"/>
    <n v="-404"/>
    <n v="320"/>
  </r>
  <r>
    <x v="62"/>
    <s v="conventional_cashout_incentive_-17"/>
    <x v="23"/>
    <n v="0.43050424626087003"/>
    <n v="1"/>
    <n v="-404"/>
    <n v="320"/>
  </r>
  <r>
    <x v="62"/>
    <s v="conventional_cashout_incentive_-16"/>
    <x v="24"/>
    <n v="0.44083205426087002"/>
    <n v="1"/>
    <n v="-404"/>
    <n v="320"/>
  </r>
  <r>
    <x v="62"/>
    <s v="conventional_cashout_incentive_-15"/>
    <x v="25"/>
    <n v="0.45130365217391299"/>
    <n v="1"/>
    <n v="-404"/>
    <n v="320"/>
  </r>
  <r>
    <x v="62"/>
    <s v="conventional_cashout_incentive_-14"/>
    <x v="26"/>
    <n v="0.46195739617391302"/>
    <n v="1"/>
    <n v="-404"/>
    <n v="320"/>
  </r>
  <r>
    <x v="62"/>
    <s v="conventional_cashout_incentive_-13"/>
    <x v="27"/>
    <n v="0.47283164243478298"/>
    <n v="1"/>
    <n v="-404"/>
    <n v="320"/>
  </r>
  <r>
    <x v="62"/>
    <s v="conventional_cashout_incentive_-12"/>
    <x v="28"/>
    <n v="0.48396474713043502"/>
    <n v="1"/>
    <n v="-404"/>
    <n v="320"/>
  </r>
  <r>
    <x v="62"/>
    <s v="conventional_cashout_incentive_-11"/>
    <x v="29"/>
    <n v="0.49539506643478298"/>
    <n v="1"/>
    <n v="-404"/>
    <n v="320"/>
  </r>
  <r>
    <x v="62"/>
    <s v="conventional_cashout_incentive_-10"/>
    <x v="30"/>
    <n v="0.50716095652173898"/>
    <n v="1"/>
    <n v="-404"/>
    <n v="320"/>
  </r>
  <r>
    <x v="62"/>
    <s v="conventional_cashout_incentive_-9"/>
    <x v="31"/>
    <n v="0.51930077356521698"/>
    <n v="1"/>
    <n v="-404"/>
    <n v="320"/>
  </r>
  <r>
    <x v="62"/>
    <s v="conventional_cashout_incentive_-8"/>
    <x v="32"/>
    <n v="0.53185287373913004"/>
    <n v="1"/>
    <n v="-404"/>
    <n v="320"/>
  </r>
  <r>
    <x v="62"/>
    <s v="conventional_cashout_incentive_-7"/>
    <x v="33"/>
    <n v="0.54485561321739095"/>
    <n v="1"/>
    <n v="-404"/>
    <n v="320"/>
  </r>
  <r>
    <x v="62"/>
    <s v="conventional_cashout_incentive_-6"/>
    <x v="34"/>
    <n v="0.55834734817391296"/>
    <n v="1"/>
    <n v="-404"/>
    <n v="320"/>
  </r>
  <r>
    <x v="62"/>
    <s v="conventional_cashout_incentive_-5"/>
    <x v="35"/>
    <n v="0.57236643478260896"/>
    <n v="1"/>
    <n v="-404"/>
    <n v="320"/>
  </r>
  <r>
    <x v="62"/>
    <s v="conventional_cashout_incentive_-4"/>
    <x v="36"/>
    <n v="0.58695122921739096"/>
    <n v="1"/>
    <n v="-404"/>
    <n v="320"/>
  </r>
  <r>
    <x v="62"/>
    <s v="conventional_cashout_incentive_-3"/>
    <x v="37"/>
    <n v="0.60214008765217397"/>
    <n v="1"/>
    <n v="-404"/>
    <n v="320"/>
  </r>
  <r>
    <x v="62"/>
    <s v="conventional_cashout_incentive_-2"/>
    <x v="38"/>
    <n v="0.61797136626086902"/>
    <n v="1"/>
    <n v="-404"/>
    <n v="320"/>
  </r>
  <r>
    <x v="62"/>
    <s v="conventional_cashout_incentive_-1"/>
    <x v="39"/>
    <n v="0.63448342121739099"/>
    <n v="1"/>
    <n v="-404"/>
    <n v="320"/>
  </r>
  <r>
    <x v="62"/>
    <s v="conventional_cashout_incentive_0"/>
    <x v="40"/>
    <n v="0.65171460869565201"/>
    <n v="1"/>
    <n v="-404"/>
    <n v="320"/>
  </r>
  <r>
    <x v="62"/>
    <s v="conventional_cashout_incentive_1"/>
    <x v="41"/>
    <n v="0.66970328486956499"/>
    <n v="1"/>
    <n v="-404"/>
    <n v="320"/>
  </r>
  <r>
    <x v="62"/>
    <s v="conventional_cashout_incentive_2"/>
    <x v="42"/>
    <n v="0.68848780591304304"/>
    <n v="1"/>
    <n v="-404"/>
    <n v="320"/>
  </r>
  <r>
    <x v="62"/>
    <s v="conventional_cashout_incentive_3"/>
    <x v="43"/>
    <n v="0.70810652799999996"/>
    <n v="1"/>
    <n v="-404"/>
    <n v="320"/>
  </r>
  <r>
    <x v="62"/>
    <s v="conventional_cashout_incentive_4"/>
    <x v="44"/>
    <n v="0.72859780730434798"/>
    <n v="1"/>
    <n v="-404"/>
    <n v="320"/>
  </r>
  <r>
    <x v="62"/>
    <s v="conventional_cashout_incentive_5"/>
    <x v="45"/>
    <n v="0.75"/>
    <n v="1"/>
    <n v="-404"/>
    <n v="320"/>
  </r>
  <r>
    <x v="62"/>
    <s v="conventional_cashout_incentive_6"/>
    <x v="46"/>
    <n v="0.77196961446788603"/>
    <n v="1"/>
    <n v="-404"/>
    <n v="320"/>
  </r>
  <r>
    <x v="62"/>
    <s v="conventional_cashout_incentive_7"/>
    <x v="47"/>
    <n v="0.79418177251202804"/>
    <n v="1"/>
    <n v="-404"/>
    <n v="320"/>
  </r>
  <r>
    <x v="62"/>
    <s v="conventional_cashout_incentive_8"/>
    <x v="48"/>
    <n v="0.81670275044097795"/>
    <n v="1"/>
    <n v="-404"/>
    <n v="320"/>
  </r>
  <r>
    <x v="62"/>
    <s v="conventional_cashout_incentive_9"/>
    <x v="49"/>
    <n v="0.83959882456328905"/>
    <n v="1"/>
    <n v="-404"/>
    <n v="320"/>
  </r>
  <r>
    <x v="62"/>
    <s v="conventional_cashout_incentive_10"/>
    <x v="50"/>
    <n v="0.86293627118751204"/>
    <n v="1"/>
    <n v="-404"/>
    <n v="320"/>
  </r>
  <r>
    <x v="62"/>
    <s v="conventional_cashout_incentive_11"/>
    <x v="51"/>
    <n v="0.88678136662219997"/>
    <n v="1"/>
    <n v="-404"/>
    <n v="320"/>
  </r>
  <r>
    <x v="62"/>
    <s v="conventional_cashout_incentive_12"/>
    <x v="52"/>
    <n v="0.91120038717590501"/>
    <n v="1"/>
    <n v="-404"/>
    <n v="320"/>
  </r>
  <r>
    <x v="62"/>
    <s v="conventional_cashout_incentive_13"/>
    <x v="53"/>
    <n v="0.93625960915717799"/>
    <n v="1"/>
    <n v="-404"/>
    <n v="320"/>
  </r>
  <r>
    <x v="62"/>
    <s v="conventional_cashout_incentive_14"/>
    <x v="54"/>
    <n v="0.96202530887457205"/>
    <n v="1"/>
    <n v="-404"/>
    <n v="320"/>
  </r>
  <r>
    <x v="62"/>
    <s v="conventional_cashout_incentive_15"/>
    <x v="55"/>
    <n v="0.98856376263664003"/>
    <n v="1"/>
    <n v="-404"/>
    <n v="320"/>
  </r>
  <r>
    <x v="62"/>
    <s v="conventional_cashout_incentive_16"/>
    <x v="56"/>
    <n v="1.01594124675193"/>
    <n v="1"/>
    <n v="-404"/>
    <n v="320"/>
  </r>
  <r>
    <x v="62"/>
    <s v="conventional_cashout_incentive_17"/>
    <x v="57"/>
    <n v="1.0442240375289999"/>
    <n v="1"/>
    <n v="-404"/>
    <n v="320"/>
  </r>
  <r>
    <x v="62"/>
    <s v="conventional_cashout_incentive_18"/>
    <x v="58"/>
    <n v="1.0734784112764"/>
    <n v="1"/>
    <n v="-404"/>
    <n v="320"/>
  </r>
  <r>
    <x v="62"/>
    <s v="conventional_cashout_incentive_19"/>
    <x v="59"/>
    <n v="1.10377064430269"/>
    <n v="1"/>
    <n v="-404"/>
    <n v="320"/>
  </r>
  <r>
    <x v="62"/>
    <s v="conventional_cashout_incentive_20"/>
    <x v="60"/>
    <n v="1.1351670129164"/>
    <n v="1"/>
    <n v="-404"/>
    <n v="320"/>
  </r>
  <r>
    <x v="62"/>
    <s v="conventional_cashout_incentive_21"/>
    <x v="61"/>
    <n v="1.1677337934261001"/>
    <n v="1"/>
    <n v="-404"/>
    <n v="320"/>
  </r>
  <r>
    <x v="62"/>
    <s v="conventional_cashout_incentive_22"/>
    <x v="62"/>
    <n v="1.20153726214034"/>
    <n v="1"/>
    <n v="-404"/>
    <n v="320"/>
  </r>
  <r>
    <x v="62"/>
    <s v="conventional_cashout_incentive_23"/>
    <x v="63"/>
    <n v="1.23664369536767"/>
    <n v="1"/>
    <n v="-404"/>
    <n v="320"/>
  </r>
  <r>
    <x v="62"/>
    <s v="conventional_cashout_incentive_24"/>
    <x v="64"/>
    <n v="1.2731193694166401"/>
    <n v="1"/>
    <n v="-404"/>
    <n v="320"/>
  </r>
  <r>
    <x v="62"/>
    <s v="conventional_cashout_incentive_25"/>
    <x v="65"/>
    <n v="1.3110305605958099"/>
    <n v="1"/>
    <n v="-404"/>
    <n v="320"/>
  </r>
  <r>
    <x v="62"/>
    <s v="conventional_cashout_incentive_26"/>
    <x v="66"/>
    <n v="1.35044354521372"/>
    <n v="1"/>
    <n v="-404"/>
    <n v="320"/>
  </r>
  <r>
    <x v="62"/>
    <s v="conventional_cashout_incentive_27"/>
    <x v="67"/>
    <n v="1.39142459957894"/>
    <n v="1"/>
    <n v="-404"/>
    <n v="320"/>
  </r>
  <r>
    <x v="62"/>
    <s v="conventional_cashout_incentive_28"/>
    <x v="68"/>
    <n v="1.43404"/>
    <n v="1"/>
    <n v="-404"/>
    <n v="320"/>
  </r>
  <r>
    <x v="62"/>
    <s v="conventional_cashout_incentive_29"/>
    <x v="69"/>
    <n v="1.47852172082484"/>
    <n v="1"/>
    <n v="-404"/>
    <n v="320"/>
  </r>
  <r>
    <x v="62"/>
    <s v="conventional_cashout_incentive_30"/>
    <x v="70"/>
    <n v="1.52497761594269"/>
    <n v="1"/>
    <n v="-404"/>
    <n v="320"/>
  </r>
  <r>
    <x v="62"/>
    <s v="conventional_cashout_incentive_31"/>
    <x v="71"/>
    <n v="1.57328778097406"/>
    <n v="1"/>
    <n v="-404"/>
    <n v="320"/>
  </r>
  <r>
    <x v="62"/>
    <s v="conventional_cashout_incentive_32"/>
    <x v="72"/>
    <n v="1.62333231153945"/>
    <n v="1"/>
    <n v="-404"/>
    <n v="320"/>
  </r>
  <r>
    <x v="62"/>
    <s v="conventional_cashout_incentive_33"/>
    <x v="73"/>
    <n v="1.6749913032593899"/>
    <n v="1"/>
    <n v="-404"/>
    <n v="320"/>
  </r>
  <r>
    <x v="62"/>
    <s v="conventional_cashout_incentive_34"/>
    <x v="74"/>
    <n v="1.72814485175437"/>
    <n v="1"/>
    <n v="-404"/>
    <n v="320"/>
  </r>
  <r>
    <x v="62"/>
    <s v="conventional_cashout_incentive_35"/>
    <x v="75"/>
    <n v="1.7826730526449099"/>
    <n v="1"/>
    <n v="-404"/>
    <n v="320"/>
  </r>
  <r>
    <x v="62"/>
    <s v="conventional_cashout_incentive_36"/>
    <x v="76"/>
    <n v="1.8384560015515199"/>
    <n v="1"/>
    <n v="-404"/>
    <n v="320"/>
  </r>
  <r>
    <x v="62"/>
    <s v="conventional_cashout_incentive_37"/>
    <x v="77"/>
    <n v="1.89537379409471"/>
    <n v="1"/>
    <n v="-404"/>
    <n v="320"/>
  </r>
  <r>
    <x v="62"/>
    <s v="conventional_cashout_incentive_38"/>
    <x v="78"/>
    <n v="1.953306525895"/>
    <n v="1"/>
    <n v="-404"/>
    <n v="320"/>
  </r>
  <r>
    <x v="62"/>
    <s v="conventional_cashout_incentive_39"/>
    <x v="79"/>
    <n v="2.0121342925728798"/>
    <n v="1"/>
    <n v="-404"/>
    <n v="320"/>
  </r>
  <r>
    <x v="62"/>
    <s v="conventional_cashout_incentive_40"/>
    <x v="80"/>
    <n v="2.0717371897488701"/>
    <n v="1"/>
    <n v="-404"/>
    <n v="320"/>
  </r>
  <r>
    <x v="62"/>
    <s v="conventional_cashout_incentive_41"/>
    <x v="81"/>
    <n v="2.1319953130434799"/>
    <n v="1"/>
    <n v="-404"/>
    <n v="320"/>
  </r>
  <r>
    <x v="62"/>
    <s v="conventional_cashout_incentive_42"/>
    <x v="82"/>
    <n v="2.1927887580772198"/>
    <n v="1"/>
    <n v="-404"/>
    <n v="320"/>
  </r>
  <r>
    <x v="62"/>
    <s v="conventional_cashout_incentive_43"/>
    <x v="83"/>
    <n v="2.2539976204705998"/>
    <n v="1"/>
    <n v="-404"/>
    <n v="320"/>
  </r>
  <r>
    <x v="62"/>
    <s v="conventional_cashout_incentive_44"/>
    <x v="84"/>
    <n v="2.3155019958441398"/>
    <n v="1"/>
    <n v="-404"/>
    <n v="320"/>
  </r>
  <r>
    <x v="62"/>
    <s v="conventional_cashout_incentive_45"/>
    <x v="85"/>
    <n v="2.3771819798183298"/>
    <n v="1"/>
    <n v="-404"/>
    <n v="320"/>
  </r>
  <r>
    <x v="62"/>
    <s v="conventional_cashout_incentive_46"/>
    <x v="86"/>
    <n v="2.4389176680136901"/>
    <n v="1"/>
    <n v="-404"/>
    <n v="320"/>
  </r>
  <r>
    <x v="62"/>
    <s v="conventional_cashout_incentive_47"/>
    <x v="87"/>
    <n v="2.5005891560507401"/>
    <n v="1"/>
    <n v="-404"/>
    <n v="320"/>
  </r>
  <r>
    <x v="62"/>
    <s v="conventional_cashout_incentive_48"/>
    <x v="88"/>
    <n v="2.56207653954998"/>
    <n v="1"/>
    <n v="-404"/>
    <n v="320"/>
  </r>
  <r>
    <x v="62"/>
    <s v="conventional_cashout_incentive_49"/>
    <x v="89"/>
    <n v="2.6232599141319199"/>
    <n v="1"/>
    <n v="-404"/>
    <n v="320"/>
  </r>
  <r>
    <x v="62"/>
    <s v="conventional_cashout_incentive_50"/>
    <x v="90"/>
    <n v="2.68401937541707"/>
    <n v="1"/>
    <n v="-404"/>
    <n v="320"/>
  </r>
  <r>
    <x v="62"/>
    <s v="conventional_cashout_incentive_51"/>
    <x v="91"/>
    <n v="2.7442350190259401"/>
    <n v="1"/>
    <n v="-404"/>
    <n v="320"/>
  </r>
  <r>
    <x v="62"/>
    <s v="conventional_cashout_incentive_52"/>
    <x v="92"/>
    <n v="2.8037869405790499"/>
    <n v="1"/>
    <n v="-404"/>
    <n v="320"/>
  </r>
  <r>
    <x v="62"/>
    <s v="conventional_cashout_incentive_53"/>
    <x v="93"/>
    <n v="2.8625552356969002"/>
    <n v="1"/>
    <n v="-404"/>
    <n v="320"/>
  </r>
  <r>
    <x v="62"/>
    <s v="conventional_cashout_incentive_54"/>
    <x v="94"/>
    <n v="2.92042"/>
    <n v="1"/>
    <n v="-404"/>
    <n v="320"/>
  </r>
  <r>
    <x v="62"/>
    <s v="conventional_cashout_incentive_55"/>
    <x v="95"/>
    <n v="2.9778016069169202"/>
    <n v="1"/>
    <n v="-404"/>
    <n v="320"/>
  </r>
  <r>
    <x v="62"/>
    <s v="conventional_cashout_incentive_56"/>
    <x v="96"/>
    <n v="3.0352003005661499"/>
    <n v="1"/>
    <n v="-404"/>
    <n v="320"/>
  </r>
  <r>
    <x v="62"/>
    <s v="conventional_cashout_incentive_57"/>
    <x v="97"/>
    <n v="3.0926159826030801"/>
    <n v="1"/>
    <n v="-404"/>
    <n v="320"/>
  </r>
  <r>
    <x v="62"/>
    <s v="conventional_cashout_incentive_58"/>
    <x v="98"/>
    <n v="3.1500485546830799"/>
    <n v="1"/>
    <n v="-404"/>
    <n v="320"/>
  </r>
  <r>
    <x v="62"/>
    <s v="conventional_cashout_incentive_59"/>
    <x v="99"/>
    <n v="3.2074979184615402"/>
    <n v="1"/>
    <n v="-404"/>
    <n v="320"/>
  </r>
  <r>
    <x v="62"/>
    <s v="conventional_cashout_incentive_60"/>
    <x v="100"/>
    <n v="3.26496397559385"/>
    <n v="1"/>
    <n v="-404"/>
    <n v="320"/>
  </r>
  <r>
    <x v="62"/>
    <s v="conventional_cashout_incentive_61"/>
    <x v="101"/>
    <n v="3.3224466277353799"/>
    <n v="1"/>
    <n v="-404"/>
    <n v="320"/>
  </r>
  <r>
    <x v="62"/>
    <s v="conventional_cashout_incentive_62"/>
    <x v="102"/>
    <n v="3.3799457765415402"/>
    <n v="1"/>
    <n v="-404"/>
    <n v="320"/>
  </r>
  <r>
    <x v="62"/>
    <s v="conventional_cashout_incentive_63"/>
    <x v="103"/>
    <n v="3.4374613236676899"/>
    <n v="1"/>
    <n v="-404"/>
    <n v="320"/>
  </r>
  <r>
    <x v="62"/>
    <s v="conventional_cashout_incentive_64"/>
    <x v="104"/>
    <n v="3.4949931707692299"/>
    <n v="1"/>
    <n v="-404"/>
    <n v="320"/>
  </r>
  <r>
    <x v="62"/>
    <s v="conventional_cashout_incentive_65"/>
    <x v="105"/>
    <n v="3.5525412195015398"/>
    <n v="1"/>
    <n v="-404"/>
    <n v="320"/>
  </r>
  <r>
    <x v="62"/>
    <s v="conventional_cashout_incentive_66"/>
    <x v="106"/>
    <n v="3.61010537152"/>
    <n v="1"/>
    <n v="-404"/>
    <n v="320"/>
  </r>
  <r>
    <x v="62"/>
    <s v="conventional_cashout_incentive_67"/>
    <x v="107"/>
    <n v="3.6676855284799998"/>
    <n v="1"/>
    <n v="-404"/>
    <n v="320"/>
  </r>
  <r>
    <x v="62"/>
    <s v="conventional_cashout_incentive_68"/>
    <x v="108"/>
    <n v="3.7252815920369202"/>
    <n v="1"/>
    <n v="-404"/>
    <n v="320"/>
  </r>
  <r>
    <x v="62"/>
    <s v="conventional_cashout_incentive_69"/>
    <x v="109"/>
    <n v="3.78289346384615"/>
    <n v="1"/>
    <n v="-404"/>
    <n v="320"/>
  </r>
  <r>
    <x v="62"/>
    <s v="conventional_cashout_incentive_70"/>
    <x v="110"/>
    <n v="3.8405210455630798"/>
    <n v="1"/>
    <n v="-404"/>
    <n v="320"/>
  </r>
  <r>
    <x v="62"/>
    <s v="conventional_cashout_incentive_71"/>
    <x v="111"/>
    <n v="3.8981642388430799"/>
    <n v="1"/>
    <n v="-404"/>
    <n v="320"/>
  </r>
  <r>
    <x v="62"/>
    <s v="conventional_cashout_incentive_72"/>
    <x v="112"/>
    <n v="3.9558229453415401"/>
    <n v="1"/>
    <n v="-404"/>
    <n v="320"/>
  </r>
  <r>
    <x v="62"/>
    <s v="conventional_cashout_incentive_73"/>
    <x v="113"/>
    <n v="4.0134970667138496"/>
    <n v="1"/>
    <n v="-404"/>
    <n v="320"/>
  </r>
  <r>
    <x v="62"/>
    <s v="conventional_cashout_incentive_74"/>
    <x v="114"/>
    <n v="4.0711865046153903"/>
    <n v="1"/>
    <n v="-404"/>
    <n v="320"/>
  </r>
  <r>
    <x v="62"/>
    <s v="conventional_cashout_incentive_75"/>
    <x v="115"/>
    <n v="4.1288911607015404"/>
    <n v="1"/>
    <n v="-404"/>
    <n v="320"/>
  </r>
  <r>
    <x v="62"/>
    <s v="conventional_cashout_incentive_76"/>
    <x v="116"/>
    <n v="4.18661093662769"/>
    <n v="1"/>
    <n v="-404"/>
    <n v="320"/>
  </r>
  <r>
    <x v="62"/>
    <s v="conventional_cashout_incentive_77"/>
    <x v="117"/>
    <n v="4.2443457340492303"/>
    <n v="1"/>
    <n v="-404"/>
    <n v="320"/>
  </r>
  <r>
    <x v="62"/>
    <s v="conventional_cashout_incentive_78"/>
    <x v="118"/>
    <n v="4.30209545462154"/>
    <n v="1"/>
    <n v="-404"/>
    <n v="320"/>
  </r>
  <r>
    <x v="62"/>
    <s v="conventional_cashout_incentive_79"/>
    <x v="119"/>
    <n v="4.3598600000000003"/>
    <n v="1"/>
    <n v="-404"/>
    <n v="320"/>
  </r>
  <r>
    <x v="62"/>
    <s v="conventional_cashout_incentive_80"/>
    <x v="120"/>
    <n v="4.4176401276909703"/>
    <n v="1"/>
    <n v="-404"/>
    <n v="320"/>
  </r>
  <r>
    <x v="62"/>
    <s v="conventional_cashout_incentive_81"/>
    <x v="121"/>
    <n v="4.4754366423611103"/>
    <n v="1"/>
    <n v="-404"/>
    <n v="320"/>
  </r>
  <r>
    <x v="62"/>
    <s v="conventional_cashout_incentive_82"/>
    <x v="122"/>
    <n v="4.5332495164062498"/>
    <n v="1"/>
    <n v="-404"/>
    <n v="320"/>
  </r>
  <r>
    <x v="62"/>
    <s v="conventional_cashout_incentive_83"/>
    <x v="123"/>
    <n v="4.5910787222222202"/>
    <n v="1"/>
    <n v="-404"/>
    <n v="320"/>
  </r>
  <r>
    <x v="62"/>
    <s v="conventional_cashout_incentive_84"/>
    <x v="124"/>
    <n v="4.6489242322048598"/>
    <n v="1"/>
    <n v="-404"/>
    <n v="320"/>
  </r>
  <r>
    <x v="62"/>
    <s v="conventional_cashout_incentive_85"/>
    <x v="125"/>
    <n v="4.7067860187499999"/>
    <n v="1"/>
    <n v="-404"/>
    <n v="320"/>
  </r>
  <r>
    <x v="62"/>
    <s v="conventional_cashout_incentive_86"/>
    <x v="126"/>
    <n v="4.7646640542534699"/>
    <n v="1"/>
    <n v="-404"/>
    <n v="320"/>
  </r>
  <r>
    <x v="62"/>
    <s v="conventional_cashout_incentive_87"/>
    <x v="127"/>
    <n v="4.8225583111111101"/>
    <n v="1"/>
    <n v="-404"/>
    <n v="320"/>
  </r>
  <r>
    <x v="62"/>
    <s v="conventional_cashout_incentive_88"/>
    <x v="128"/>
    <n v="4.8804687617187499"/>
    <n v="1"/>
    <n v="-404"/>
    <n v="320"/>
  </r>
  <r>
    <x v="62"/>
    <s v="conventional_cashout_incentive_89"/>
    <x v="129"/>
    <n v="4.9383953784722197"/>
    <n v="1"/>
    <n v="-404"/>
    <n v="320"/>
  </r>
  <r>
    <x v="62"/>
    <s v="conventional_cashout_incentive_90"/>
    <x v="130"/>
    <n v="4.9963381337673596"/>
    <n v="1"/>
    <n v="-404"/>
    <n v="320"/>
  </r>
  <r>
    <x v="62"/>
    <s v="conventional_cashout_incentive_91"/>
    <x v="131"/>
    <n v="5.054297"/>
    <n v="1"/>
    <n v="-404"/>
    <n v="320"/>
  </r>
  <r>
    <x v="62"/>
    <s v="conventional_cashout_incentive_92"/>
    <x v="132"/>
    <n v="5.1122719495659696"/>
    <n v="1"/>
    <n v="-404"/>
    <n v="320"/>
  </r>
  <r>
    <x v="62"/>
    <s v="conventional_cashout_incentive_93"/>
    <x v="133"/>
    <n v="5.1702629548611103"/>
    <n v="1"/>
    <n v="-404"/>
    <n v="320"/>
  </r>
  <r>
    <x v="62"/>
    <s v="conventional_cashout_incentive_94"/>
    <x v="134"/>
    <n v="5.2282699882812498"/>
    <n v="1"/>
    <n v="-404"/>
    <n v="320"/>
  </r>
  <r>
    <x v="62"/>
    <s v="conventional_cashout_incentive_95"/>
    <x v="135"/>
    <n v="5.2862930222222202"/>
    <n v="1"/>
    <n v="-404"/>
    <n v="320"/>
  </r>
  <r>
    <x v="62"/>
    <s v="conventional_cashout_incentive_96"/>
    <x v="136"/>
    <n v="5.3443320290798599"/>
    <n v="1"/>
    <n v="-404"/>
    <n v="320"/>
  </r>
  <r>
    <x v="62"/>
    <s v="conventional_cashout_incentive_97"/>
    <x v="137"/>
    <n v="5.4023869812500003"/>
    <n v="1"/>
    <n v="-404"/>
    <n v="320"/>
  </r>
  <r>
    <x v="62"/>
    <s v="conventional_cashout_incentive_98"/>
    <x v="138"/>
    <n v="5.4604578511284698"/>
    <n v="1"/>
    <n v="-404"/>
    <n v="320"/>
  </r>
  <r>
    <x v="62"/>
    <s v="conventional_cashout_incentive_99"/>
    <x v="139"/>
    <n v="5.5185446111111096"/>
    <n v="1"/>
    <n v="-404"/>
    <n v="320"/>
  </r>
  <r>
    <x v="62"/>
    <s v="conventional_cashout_incentive_100"/>
    <x v="140"/>
    <n v="5.57664723359375"/>
    <n v="1"/>
    <n v="-404"/>
    <n v="320"/>
  </r>
  <r>
    <x v="62"/>
    <s v="conventional_cashout_incentive_101"/>
    <x v="141"/>
    <n v="5.6347656909722197"/>
    <n v="1"/>
    <n v="-404"/>
    <n v="320"/>
  </r>
  <r>
    <x v="62"/>
    <s v="conventional_cashout_incentive_102"/>
    <x v="142"/>
    <n v="5.6928999556423596"/>
    <n v="1"/>
    <n v="-404"/>
    <n v="320"/>
  </r>
  <r>
    <x v="62"/>
    <s v="conventional_cashout_incentive_103"/>
    <x v="143"/>
    <n v="5.7510500000000002"/>
    <n v="1"/>
    <n v="-404"/>
    <n v="320"/>
  </r>
  <r>
    <x v="62"/>
    <s v="conventional_cashout_incentive_104"/>
    <x v="144"/>
    <n v="5.8092156886400002"/>
    <n v="1"/>
    <n v="-404"/>
    <n v="320"/>
  </r>
  <r>
    <x v="62"/>
    <s v="conventional_cashout_incentive_105"/>
    <x v="145"/>
    <n v="5.8673968884533299"/>
    <n v="1"/>
    <n v="-404"/>
    <n v="320"/>
  </r>
  <r>
    <x v="62"/>
    <s v="conventional_cashout_incentive_106"/>
    <x v="146"/>
    <n v="5.9255935752799997"/>
    <n v="1"/>
    <n v="-404"/>
    <n v="320"/>
  </r>
  <r>
    <x v="62"/>
    <s v="conventional_cashout_incentive_107"/>
    <x v="147"/>
    <n v="5.9838057249599998"/>
    <n v="1"/>
    <n v="-404"/>
    <n v="320"/>
  </r>
  <r>
    <x v="62"/>
    <s v="conventional_cashout_incentive_108"/>
    <x v="148"/>
    <n v="6.0420333133333299"/>
    <n v="1"/>
    <n v="-404"/>
    <n v="320"/>
  </r>
  <r>
    <x v="62"/>
    <s v="conventional_cashout_incentive_109"/>
    <x v="149"/>
    <n v="6.1002763162400004"/>
    <n v="1"/>
    <n v="-404"/>
    <n v="320"/>
  </r>
  <r>
    <x v="62"/>
    <s v="conventional_cashout_incentive_110"/>
    <x v="150"/>
    <n v="6.1585347095199996"/>
    <n v="1"/>
    <n v="-404"/>
    <n v="320"/>
  </r>
  <r>
    <x v="62"/>
    <s v="conventional_cashout_incentive_111"/>
    <x v="151"/>
    <n v="6.2168084690133298"/>
    <n v="1"/>
    <n v="-404"/>
    <n v="320"/>
  </r>
  <r>
    <x v="62"/>
    <s v="conventional_cashout_incentive_112"/>
    <x v="152"/>
    <n v="6.2750975705599998"/>
    <n v="1"/>
    <n v="-404"/>
    <n v="320"/>
  </r>
  <r>
    <x v="62"/>
    <s v="conventional_cashout_incentive_113"/>
    <x v="153"/>
    <n v="6.3334019899999996"/>
    <n v="1"/>
    <n v="-404"/>
    <n v="320"/>
  </r>
  <r>
    <x v="62"/>
    <s v="conventional_cashout_incentive_114"/>
    <x v="154"/>
    <n v="6.3917217031733298"/>
    <n v="1"/>
    <n v="-404"/>
    <n v="320"/>
  </r>
  <r>
    <x v="62"/>
    <s v="conventional_cashout_incentive_115"/>
    <x v="155"/>
    <n v="6.4500566859199999"/>
    <n v="1"/>
    <n v="-404"/>
    <n v="320"/>
  </r>
  <r>
    <x v="62"/>
    <s v="conventional_cashout_incentive_116"/>
    <x v="156"/>
    <n v="6.50840691408"/>
    <n v="1"/>
    <n v="-404"/>
    <n v="320"/>
  </r>
  <r>
    <x v="62"/>
    <s v="conventional_cashout_incentive_117"/>
    <x v="157"/>
    <n v="6.5667723634933299"/>
    <n v="1"/>
    <n v="-404"/>
    <n v="320"/>
  </r>
  <r>
    <x v="62"/>
    <s v="conventional_cashout_incentive_118"/>
    <x v="158"/>
    <n v="6.62515301"/>
    <n v="1"/>
    <n v="-404"/>
    <n v="320"/>
  </r>
  <r>
    <x v="62"/>
    <s v="conventional_cashout_incentive_119"/>
    <x v="159"/>
    <n v="6.6835488294400003"/>
    <n v="1"/>
    <n v="-404"/>
    <n v="320"/>
  </r>
  <r>
    <x v="62"/>
    <s v="conventional_cashout_incentive_120"/>
    <x v="160"/>
    <n v="6.7419597976533296"/>
    <n v="1"/>
    <n v="-404"/>
    <n v="320"/>
  </r>
  <r>
    <x v="62"/>
    <s v="conventional_cashout_incentive_121"/>
    <x v="161"/>
    <n v="6.8003858904800003"/>
    <n v="1"/>
    <n v="-404"/>
    <n v="320"/>
  </r>
  <r>
    <x v="62"/>
    <s v="conventional_cashout_incentive_122"/>
    <x v="162"/>
    <n v="6.8588270837599996"/>
    <n v="1"/>
    <n v="-404"/>
    <n v="320"/>
  </r>
  <r>
    <x v="62"/>
    <s v="conventional_cashout_incentive_123"/>
    <x v="163"/>
    <n v="6.91728335333333"/>
    <n v="1"/>
    <n v="-404"/>
    <n v="320"/>
  </r>
  <r>
    <x v="62"/>
    <s v="conventional_cashout_incentive_124"/>
    <x v="164"/>
    <n v="6.9757546750400001"/>
    <n v="1"/>
    <n v="-404"/>
    <n v="320"/>
  </r>
  <r>
    <x v="62"/>
    <s v="conventional_cashout_incentive_125"/>
    <x v="165"/>
    <n v="7.03424102472"/>
    <n v="1"/>
    <n v="-404"/>
    <n v="320"/>
  </r>
  <r>
    <x v="62"/>
    <s v="conventional_cashout_incentive_126"/>
    <x v="166"/>
    <n v="7.0927423782133303"/>
    <n v="1"/>
    <n v="-404"/>
    <n v="320"/>
  </r>
  <r>
    <x v="62"/>
    <s v="conventional_cashout_incentive_127"/>
    <x v="167"/>
    <n v="7.1512587113599997"/>
    <n v="1"/>
    <n v="-404"/>
    <n v="320"/>
  </r>
  <r>
    <x v="62"/>
    <s v="conventional_cashout_incentive_128"/>
    <x v="168"/>
    <n v="7.2097899999999999"/>
    <n v="1"/>
    <n v="-404"/>
    <n v="320"/>
  </r>
  <r>
    <x v="62"/>
    <s v="conventional_cashout_incentive_129"/>
    <x v="169"/>
    <n v="7.2699453133536798"/>
    <n v="1"/>
    <n v="-404"/>
    <n v="320"/>
  </r>
  <r>
    <x v="62"/>
    <s v="conventional_cashout_incentive_130"/>
    <x v="170"/>
    <n v="7.33305396745709"/>
    <n v="1"/>
    <n v="-404"/>
    <n v="320"/>
  </r>
  <r>
    <x v="62"/>
    <s v="conventional_cashout_incentive_131"/>
    <x v="171"/>
    <n v="7.3986963083737498"/>
    <n v="1"/>
    <n v="-404"/>
    <n v="320"/>
  </r>
  <r>
    <x v="62"/>
    <s v="conventional_cashout_incentive_132"/>
    <x v="172"/>
    <n v="7.4664526821671897"/>
    <n v="1"/>
    <n v="-404"/>
    <n v="320"/>
  </r>
  <r>
    <x v="62"/>
    <s v="conventional_cashout_incentive_133"/>
    <x v="173"/>
    <n v="7.5359034349009502"/>
    <n v="1"/>
    <n v="-404"/>
    <n v="320"/>
  </r>
  <r>
    <x v="62"/>
    <s v="conventional_cashout_incentive_134"/>
    <x v="174"/>
    <n v="7.60662891263856"/>
    <n v="1"/>
    <n v="-404"/>
    <n v="320"/>
  </r>
  <r>
    <x v="62"/>
    <s v="conventional_cashout_incentive_135"/>
    <x v="175"/>
    <n v="7.6782094614435499"/>
    <n v="1"/>
    <n v="-404"/>
    <n v="320"/>
  </r>
  <r>
    <x v="62"/>
    <s v="conventional_cashout_incentive_136"/>
    <x v="176"/>
    <n v="7.7502254273794504"/>
    <n v="1"/>
    <n v="-404"/>
    <n v="320"/>
  </r>
  <r>
    <x v="62"/>
    <s v="conventional_cashout_incentive_137"/>
    <x v="177"/>
    <n v="7.8222571565098002"/>
    <n v="1"/>
    <n v="-404"/>
    <n v="320"/>
  </r>
  <r>
    <x v="62"/>
    <s v="conventional_cashout_incentive_138"/>
    <x v="178"/>
    <n v="7.8938849948981202"/>
    <n v="1"/>
    <n v="-404"/>
    <n v="320"/>
  </r>
  <r>
    <x v="62"/>
    <s v="conventional_cashout_incentive_139"/>
    <x v="179"/>
    <n v="7.9646892886079499"/>
    <n v="1"/>
    <n v="-404"/>
    <n v="320"/>
  </r>
  <r>
    <x v="62"/>
    <s v="conventional_cashout_incentive_140"/>
    <x v="180"/>
    <n v="8.0342503837028207"/>
    <n v="1"/>
    <n v="-404"/>
    <n v="320"/>
  </r>
  <r>
    <x v="62"/>
    <s v="conventional_cashout_incentive_141"/>
    <x v="181"/>
    <n v="8.1021486262462599"/>
    <n v="1"/>
    <n v="-404"/>
    <n v="320"/>
  </r>
  <r>
    <x v="62"/>
    <s v="conventional_cashout_incentive_142"/>
    <x v="182"/>
    <n v="8.1679643623018094"/>
    <n v="1"/>
    <n v="-404"/>
    <n v="320"/>
  </r>
  <r>
    <x v="62"/>
    <s v="conventional_cashout_incentive_143"/>
    <x v="183"/>
    <n v="8.2312779379329903"/>
    <n v="1"/>
    <n v="-404"/>
    <n v="320"/>
  </r>
  <r>
    <x v="62"/>
    <s v="conventional_cashout_incentive_144"/>
    <x v="184"/>
    <n v="8.2916696992033394"/>
    <n v="1"/>
    <n v="-404"/>
    <n v="320"/>
  </r>
  <r>
    <x v="62"/>
    <s v="conventional_cashout_incentive_145"/>
    <x v="185"/>
    <n v="8.3487199921763899"/>
    <n v="1"/>
    <n v="-404"/>
    <n v="320"/>
  </r>
  <r>
    <x v="62"/>
    <s v="conventional_cashout_incentive_146"/>
    <x v="186"/>
    <n v="8.4020091629156699"/>
    <n v="1"/>
    <n v="-404"/>
    <n v="320"/>
  </r>
  <r>
    <x v="62"/>
    <s v="conventional_cashout_incentive_147"/>
    <x v="187"/>
    <n v="8.4511175574847197"/>
    <n v="1"/>
    <n v="-404"/>
    <n v="320"/>
  </r>
  <r>
    <x v="62"/>
    <s v="conventional_cashout_incentive_148"/>
    <x v="188"/>
    <n v="8.4956255219470496"/>
    <n v="1"/>
    <n v="-404"/>
    <n v="320"/>
  </r>
  <r>
    <x v="62"/>
    <s v="conventional_cashout_incentive_149"/>
    <x v="189"/>
    <n v="8.5351134023662194"/>
    <n v="1"/>
    <n v="-404"/>
    <n v="320"/>
  </r>
  <r>
    <x v="62"/>
    <s v="conventional_cashout_incentive_150"/>
    <x v="190"/>
    <n v="8.5691615448057501"/>
    <n v="1"/>
    <n v="-404"/>
    <n v="320"/>
  </r>
  <r>
    <x v="62"/>
    <s v="conventional_cashout_incentive_151"/>
    <x v="191"/>
    <n v="8.5973502953291607"/>
    <n v="1"/>
    <n v="-404"/>
    <n v="320"/>
  </r>
  <r>
    <x v="62"/>
    <s v="conventional_cashout_incentive_152"/>
    <x v="192"/>
    <n v="8.6192600000000006"/>
    <n v="1"/>
    <n v="-404"/>
    <n v="320"/>
  </r>
  <r>
    <x v="62"/>
    <s v="conventional_cashout_incentive_153"/>
    <x v="193"/>
    <n v="8.6374812335063904"/>
    <n v="1"/>
    <n v="-404"/>
    <n v="320"/>
  </r>
  <r>
    <x v="62"/>
    <s v="conventional_cashout_incentive_154"/>
    <x v="194"/>
    <n v="8.6548964938299502"/>
    <n v="1"/>
    <n v="-404"/>
    <n v="320"/>
  </r>
  <r>
    <x v="62"/>
    <s v="conventional_cashout_incentive_155"/>
    <x v="195"/>
    <n v="8.6715240119744301"/>
    <n v="1"/>
    <n v="-404"/>
    <n v="320"/>
  </r>
  <r>
    <x v="62"/>
    <s v="conventional_cashout_incentive_156"/>
    <x v="196"/>
    <n v="8.6873820189435804"/>
    <n v="1"/>
    <n v="-404"/>
    <n v="320"/>
  </r>
  <r>
    <x v="62"/>
    <s v="conventional_cashout_incentive_157"/>
    <x v="197"/>
    <n v="8.7024887457411406"/>
    <n v="1"/>
    <n v="-404"/>
    <n v="320"/>
  </r>
  <r>
    <x v="62"/>
    <s v="conventional_cashout_incentive_158"/>
    <x v="198"/>
    <n v="8.7168624233708805"/>
    <n v="1"/>
    <n v="-404"/>
    <n v="320"/>
  </r>
  <r>
    <x v="62"/>
    <s v="conventional_cashout_incentive_159"/>
    <x v="199"/>
    <n v="8.7305212828365306"/>
    <n v="1"/>
    <n v="-404"/>
    <n v="320"/>
  </r>
  <r>
    <x v="62"/>
    <s v="conventional_cashout_incentive_160"/>
    <x v="200"/>
    <n v="8.7434835551418502"/>
    <n v="1"/>
    <n v="-404"/>
    <n v="320"/>
  </r>
  <r>
    <x v="62"/>
    <s v="conventional_cashout_incentive_161"/>
    <x v="201"/>
    <n v="8.7557674712905893"/>
    <n v="1"/>
    <n v="-404"/>
    <n v="320"/>
  </r>
  <r>
    <x v="62"/>
    <s v="conventional_cashout_incentive_162"/>
    <x v="202"/>
    <n v="8.7673912622864894"/>
    <n v="1"/>
    <n v="-404"/>
    <n v="320"/>
  </r>
  <r>
    <x v="62"/>
    <s v="conventional_cashout_incentive_163"/>
    <x v="203"/>
    <n v="8.7783731591333307"/>
    <n v="1"/>
    <n v="-404"/>
    <n v="320"/>
  </r>
  <r>
    <x v="62"/>
    <s v="conventional_cashout_incentive_164"/>
    <x v="204"/>
    <n v="8.7887313928348192"/>
    <n v="1"/>
    <n v="-404"/>
    <n v="320"/>
  </r>
  <r>
    <x v="62"/>
    <s v="conventional_cashout_incentive_165"/>
    <x v="205"/>
    <n v="8.7984841943947405"/>
    <n v="1"/>
    <n v="-404"/>
    <n v="320"/>
  </r>
  <r>
    <x v="62"/>
    <s v="conventional_cashout_incentive_166"/>
    <x v="206"/>
    <n v="8.8076497948168306"/>
    <n v="1"/>
    <n v="-404"/>
    <n v="320"/>
  </r>
  <r>
    <x v="62"/>
    <s v="conventional_cashout_incentive_167"/>
    <x v="207"/>
    <n v="8.8162464251048505"/>
    <n v="1"/>
    <n v="-404"/>
    <n v="320"/>
  </r>
  <r>
    <x v="62"/>
    <s v="conventional_cashout_incentive_168"/>
    <x v="208"/>
    <n v="8.8242923162625306"/>
    <n v="1"/>
    <n v="-404"/>
    <n v="320"/>
  </r>
  <r>
    <x v="62"/>
    <s v="conventional_cashout_incentive_169"/>
    <x v="209"/>
    <n v="8.8318056992936302"/>
    <n v="1"/>
    <n v="-404"/>
    <n v="320"/>
  </r>
  <r>
    <x v="62"/>
    <s v="conventional_cashout_incentive_170"/>
    <x v="210"/>
    <n v="8.8388048052019101"/>
    <n v="1"/>
    <n v="-404"/>
    <n v="320"/>
  </r>
  <r>
    <x v="62"/>
    <s v="conventional_cashout_incentive_171"/>
    <x v="211"/>
    <n v="8.8453078649911099"/>
    <n v="1"/>
    <n v="-404"/>
    <n v="320"/>
  </r>
  <r>
    <x v="62"/>
    <s v="conventional_cashout_incentive_172"/>
    <x v="212"/>
    <n v="8.8513331096649797"/>
    <n v="1"/>
    <n v="-404"/>
    <n v="320"/>
  </r>
  <r>
    <x v="62"/>
    <s v="conventional_cashout_incentive_173"/>
    <x v="213"/>
    <n v="8.8568987702272803"/>
    <n v="1"/>
    <n v="-404"/>
    <n v="320"/>
  </r>
  <r>
    <x v="62"/>
    <s v="conventional_cashout_incentive_174"/>
    <x v="214"/>
    <n v="8.8620230776817408"/>
    <n v="1"/>
    <n v="-404"/>
    <n v="320"/>
  </r>
  <r>
    <x v="62"/>
    <s v="conventional_cashout_incentive_175"/>
    <x v="215"/>
    <n v="8.8667242630321308"/>
    <n v="1"/>
    <n v="-404"/>
    <n v="320"/>
  </r>
  <r>
    <x v="62"/>
    <s v="conventional_cashout_incentive_176"/>
    <x v="216"/>
    <n v="8.8710205572822005"/>
    <n v="1"/>
    <n v="-404"/>
    <n v="320"/>
  </r>
  <r>
    <x v="62"/>
    <s v="conventional_cashout_incentive_177"/>
    <x v="217"/>
    <n v="8.8749301914356895"/>
    <n v="1"/>
    <n v="-404"/>
    <n v="320"/>
  </r>
  <r>
    <x v="62"/>
    <s v="conventional_cashout_incentive_178"/>
    <x v="218"/>
    <n v="8.8784713964963498"/>
    <n v="1"/>
    <n v="-404"/>
    <n v="320"/>
  </r>
  <r>
    <x v="62"/>
    <s v="conventional_cashout_incentive_179"/>
    <x v="219"/>
    <n v="8.8816624034679403"/>
    <n v="1"/>
    <n v="-404"/>
    <n v="320"/>
  </r>
  <r>
    <x v="62"/>
    <s v="conventional_cashout_incentive_180"/>
    <x v="220"/>
    <n v="8.8845214433542008"/>
    <n v="1"/>
    <n v="-404"/>
    <n v="320"/>
  </r>
  <r>
    <x v="62"/>
    <s v="conventional_cashout_incentive_181"/>
    <x v="221"/>
    <n v="8.8870667471588902"/>
    <n v="1"/>
    <n v="-404"/>
    <n v="320"/>
  </r>
  <r>
    <x v="62"/>
    <s v="conventional_cashout_incentive_182"/>
    <x v="222"/>
    <n v="8.8893165458857606"/>
    <n v="1"/>
    <n v="-404"/>
    <n v="320"/>
  </r>
  <r>
    <x v="62"/>
    <s v="conventional_cashout_incentive_183"/>
    <x v="223"/>
    <n v="8.8912890705385497"/>
    <n v="1"/>
    <n v="-404"/>
    <n v="320"/>
  </r>
  <r>
    <x v="62"/>
    <s v="conventional_cashout_incentive_184"/>
    <x v="224"/>
    <n v="8.8930025521210094"/>
    <n v="1"/>
    <n v="-404"/>
    <n v="320"/>
  </r>
  <r>
    <x v="62"/>
    <s v="conventional_cashout_incentive_185"/>
    <x v="225"/>
    <n v="8.8944752216369096"/>
    <n v="1"/>
    <n v="-404"/>
    <n v="320"/>
  </r>
  <r>
    <x v="62"/>
    <s v="conventional_cashout_incentive_186"/>
    <x v="226"/>
    <n v="8.8957253100899791"/>
    <n v="1"/>
    <n v="-404"/>
    <n v="320"/>
  </r>
  <r>
    <x v="62"/>
    <s v="conventional_cashout_incentive_187"/>
    <x v="227"/>
    <n v="8.8967710484839699"/>
    <n v="1"/>
    <n v="-404"/>
    <n v="320"/>
  </r>
  <r>
    <x v="62"/>
    <s v="conventional_cashout_incentive_188"/>
    <x v="228"/>
    <n v="8.89763066782265"/>
    <n v="1"/>
    <n v="-404"/>
    <n v="320"/>
  </r>
  <r>
    <x v="62"/>
    <s v="conventional_cashout_incentive_189"/>
    <x v="229"/>
    <n v="8.89832239910975"/>
    <n v="1"/>
    <n v="-404"/>
    <n v="320"/>
  </r>
  <r>
    <x v="62"/>
    <s v="conventional_cashout_incentive_190"/>
    <x v="230"/>
    <n v="8.8988644733490307"/>
    <n v="1"/>
    <n v="-404"/>
    <n v="320"/>
  </r>
  <r>
    <x v="62"/>
    <s v="conventional_cashout_incentive_191"/>
    <x v="231"/>
    <n v="8.8992751215442407"/>
    <n v="1"/>
    <n v="-404"/>
    <n v="320"/>
  </r>
  <r>
    <x v="62"/>
    <s v="conventional_cashout_incentive_192"/>
    <x v="232"/>
    <n v="8.8995725746991194"/>
    <n v="1"/>
    <n v="-404"/>
    <n v="320"/>
  </r>
  <r>
    <x v="62"/>
    <s v="conventional_cashout_incentive_193"/>
    <x v="233"/>
    <n v="8.8997750638174402"/>
    <n v="1"/>
    <n v="-404"/>
    <n v="320"/>
  </r>
  <r>
    <x v="62"/>
    <s v="conventional_cashout_incentive_194"/>
    <x v="234"/>
    <n v="8.8999008199029408"/>
    <n v="1"/>
    <n v="-404"/>
    <n v="320"/>
  </r>
  <r>
    <x v="62"/>
    <s v="conventional_cashout_incentive_195"/>
    <x v="235"/>
    <n v="8.8999680739593607"/>
    <n v="1"/>
    <n v="-404"/>
    <n v="320"/>
  </r>
  <r>
    <x v="62"/>
    <s v="conventional_cashout_incentive_196"/>
    <x v="236"/>
    <n v="8.8999950569904698"/>
    <n v="1"/>
    <n v="-404"/>
    <n v="320"/>
  </r>
  <r>
    <x v="62"/>
    <s v="conventional_cashout_incentive_197"/>
    <x v="237"/>
    <n v="8.9"/>
    <n v="1"/>
    <n v="-404"/>
    <n v="320"/>
  </r>
  <r>
    <x v="62"/>
    <s v="conventional_cashout_incentive_198"/>
    <x v="238"/>
    <n v="8.9"/>
    <n v="1"/>
    <n v="-404"/>
    <n v="320"/>
  </r>
  <r>
    <x v="62"/>
    <s v="conventional_cashout_incentive_199"/>
    <x v="239"/>
    <n v="8.9"/>
    <n v="1"/>
    <n v="-404"/>
    <n v="320"/>
  </r>
  <r>
    <x v="62"/>
    <s v="conventional_cashout_incentive_200"/>
    <x v="240"/>
    <n v="8.9"/>
    <n v="1"/>
    <n v="-404"/>
    <n v="320"/>
  </r>
  <r>
    <x v="62"/>
    <s v="conventional_cashout_incentive_201"/>
    <x v="241"/>
    <n v="8.9"/>
    <n v="1"/>
    <n v="-404"/>
    <n v="320"/>
  </r>
  <r>
    <x v="62"/>
    <s v="conventional_cashout_incentive_202"/>
    <x v="242"/>
    <n v="8.9"/>
    <n v="1"/>
    <n v="-404"/>
    <n v="320"/>
  </r>
  <r>
    <x v="62"/>
    <s v="conventional_cashout_incentive_203"/>
    <x v="243"/>
    <n v="8.9"/>
    <n v="1"/>
    <n v="-404"/>
    <n v="320"/>
  </r>
  <r>
    <x v="62"/>
    <s v="conventional_cashout_incentive_204"/>
    <x v="244"/>
    <n v="8.9"/>
    <n v="1"/>
    <n v="-404"/>
    <n v="320"/>
  </r>
  <r>
    <x v="62"/>
    <s v="conventional_cashout_incentive_205"/>
    <x v="245"/>
    <n v="8.9"/>
    <n v="1"/>
    <n v="-404"/>
    <n v="320"/>
  </r>
  <r>
    <x v="62"/>
    <s v="conventional_cashout_incentive_206"/>
    <x v="246"/>
    <n v="8.9"/>
    <n v="1"/>
    <n v="-404"/>
    <n v="320"/>
  </r>
  <r>
    <x v="62"/>
    <s v="conventional_cashout_incentive_207"/>
    <x v="247"/>
    <n v="8.9"/>
    <n v="1"/>
    <n v="-404"/>
    <n v="320"/>
  </r>
  <r>
    <x v="62"/>
    <s v="conventional_cashout_incentive_208"/>
    <x v="248"/>
    <n v="8.9"/>
    <n v="1"/>
    <n v="-404"/>
    <n v="320"/>
  </r>
  <r>
    <x v="62"/>
    <s v="conventional_cashout_incentive_209"/>
    <x v="249"/>
    <n v="8.9"/>
    <n v="1"/>
    <n v="-404"/>
    <n v="320"/>
  </r>
  <r>
    <x v="62"/>
    <s v="conventional_cashout_incentive_210"/>
    <x v="250"/>
    <n v="8.9"/>
    <n v="1"/>
    <n v="-404"/>
    <n v="320"/>
  </r>
  <r>
    <x v="62"/>
    <s v="conventional_cashout_incentive_211"/>
    <x v="251"/>
    <n v="8.9"/>
    <n v="1"/>
    <n v="-404"/>
    <n v="320"/>
  </r>
  <r>
    <x v="62"/>
    <s v="conventional_cashout_incentive_212"/>
    <x v="252"/>
    <n v="8.9"/>
    <n v="1"/>
    <n v="-404"/>
    <n v="320"/>
  </r>
  <r>
    <x v="62"/>
    <s v="conventional_cashout_incentive_213"/>
    <x v="253"/>
    <n v="8.9"/>
    <n v="1"/>
    <n v="-404"/>
    <n v="320"/>
  </r>
  <r>
    <x v="62"/>
    <s v="conventional_cashout_incentive_214"/>
    <x v="254"/>
    <n v="8.9"/>
    <n v="1"/>
    <n v="-404"/>
    <n v="320"/>
  </r>
  <r>
    <x v="62"/>
    <s v="conventional_cashout_incentive_215"/>
    <x v="255"/>
    <n v="8.9"/>
    <n v="1"/>
    <n v="-404"/>
    <n v="320"/>
  </r>
  <r>
    <x v="62"/>
    <s v="conventional_cashout_incentive_216"/>
    <x v="256"/>
    <n v="8.9"/>
    <n v="1"/>
    <n v="-404"/>
    <n v="320"/>
  </r>
  <r>
    <x v="62"/>
    <s v="conventional_cashout_incentive_217"/>
    <x v="257"/>
    <n v="8.9"/>
    <n v="1"/>
    <n v="-404"/>
    <n v="320"/>
  </r>
  <r>
    <x v="62"/>
    <s v="conventional_cashout_incentive_218"/>
    <x v="258"/>
    <n v="8.9"/>
    <n v="1"/>
    <n v="-404"/>
    <n v="320"/>
  </r>
  <r>
    <x v="62"/>
    <s v="conventional_cashout_incentive_219"/>
    <x v="259"/>
    <n v="8.9"/>
    <n v="1"/>
    <n v="-404"/>
    <n v="320"/>
  </r>
  <r>
    <x v="62"/>
    <s v="conventional_cashout_incentive_220"/>
    <x v="260"/>
    <n v="8.9"/>
    <n v="1"/>
    <n v="-404"/>
    <n v="320"/>
  </r>
  <r>
    <x v="62"/>
    <s v="conventional_cashout_incentive_221"/>
    <x v="261"/>
    <n v="8.9"/>
    <n v="1"/>
    <n v="-404"/>
    <n v="320"/>
  </r>
  <r>
    <x v="62"/>
    <s v="conventional_cashout_incentive_222"/>
    <x v="262"/>
    <n v="8.9"/>
    <n v="1"/>
    <n v="-404"/>
    <n v="320"/>
  </r>
  <r>
    <x v="62"/>
    <s v="conventional_cashout_incentive_223"/>
    <x v="263"/>
    <n v="8.9"/>
    <n v="1"/>
    <n v="-404"/>
    <n v="320"/>
  </r>
  <r>
    <x v="62"/>
    <s v="conventional_cashout_incentive_224"/>
    <x v="264"/>
    <n v="8.9"/>
    <n v="1"/>
    <n v="-404"/>
    <n v="320"/>
  </r>
  <r>
    <x v="62"/>
    <s v="conventional_cashout_incentive_225"/>
    <x v="265"/>
    <n v="8.9"/>
    <n v="1"/>
    <n v="-404"/>
    <n v="320"/>
  </r>
  <r>
    <x v="62"/>
    <s v="conventional_cashout_incentive_226"/>
    <x v="266"/>
    <n v="8.9"/>
    <n v="1"/>
    <n v="-404"/>
    <n v="320"/>
  </r>
  <r>
    <x v="62"/>
    <s v="conventional_cashout_incentive_227"/>
    <x v="267"/>
    <n v="8.9"/>
    <n v="1"/>
    <n v="-404"/>
    <n v="320"/>
  </r>
  <r>
    <x v="62"/>
    <s v="conventional_cashout_incentive_228"/>
    <x v="268"/>
    <n v="8.9"/>
    <n v="1"/>
    <n v="-404"/>
    <n v="320"/>
  </r>
  <r>
    <x v="62"/>
    <s v="conventional_cashout_incentive_229"/>
    <x v="269"/>
    <n v="8.9"/>
    <n v="1"/>
    <n v="-404"/>
    <n v="320"/>
  </r>
  <r>
    <x v="62"/>
    <s v="conventional_cashout_incentive_230"/>
    <x v="270"/>
    <n v="8.9"/>
    <n v="1"/>
    <n v="-404"/>
    <n v="320"/>
  </r>
  <r>
    <x v="62"/>
    <s v="conventional_cashout_incentive_231"/>
    <x v="271"/>
    <n v="8.9"/>
    <n v="1"/>
    <n v="-404"/>
    <n v="320"/>
  </r>
  <r>
    <x v="62"/>
    <s v="conventional_cashout_incentive_232"/>
    <x v="272"/>
    <n v="8.9"/>
    <n v="1"/>
    <n v="-404"/>
    <n v="320"/>
  </r>
  <r>
    <x v="62"/>
    <s v="conventional_cashout_incentive_233"/>
    <x v="273"/>
    <n v="8.9"/>
    <n v="1"/>
    <n v="-404"/>
    <n v="320"/>
  </r>
  <r>
    <x v="62"/>
    <s v="conventional_cashout_incentive_234"/>
    <x v="274"/>
    <n v="8.9"/>
    <n v="1"/>
    <n v="-404"/>
    <n v="320"/>
  </r>
  <r>
    <x v="62"/>
    <s v="conventional_cashout_incentive_235"/>
    <x v="275"/>
    <n v="8.9"/>
    <n v="1"/>
    <n v="-404"/>
    <n v="320"/>
  </r>
  <r>
    <x v="62"/>
    <s v="conventional_cashout_incentive_236"/>
    <x v="276"/>
    <n v="8.9"/>
    <n v="1"/>
    <n v="-404"/>
    <n v="320"/>
  </r>
  <r>
    <x v="62"/>
    <s v="conventional_cashout_incentive_237"/>
    <x v="277"/>
    <n v="8.9"/>
    <n v="1"/>
    <n v="-404"/>
    <n v="320"/>
  </r>
  <r>
    <x v="62"/>
    <s v="conventional_cashout_incentive_238"/>
    <x v="278"/>
    <n v="8.9"/>
    <n v="1"/>
    <n v="-404"/>
    <n v="320"/>
  </r>
  <r>
    <x v="62"/>
    <s v="conventional_cashout_incentive_239"/>
    <x v="279"/>
    <n v="8.9"/>
    <n v="1"/>
    <n v="-404"/>
    <n v="320"/>
  </r>
  <r>
    <x v="62"/>
    <s v="conventional_cashout_incentive_240"/>
    <x v="280"/>
    <n v="8.9"/>
    <n v="1"/>
    <n v="-404"/>
    <n v="320"/>
  </r>
  <r>
    <x v="62"/>
    <s v="conventional_cashout_incentive_241"/>
    <x v="281"/>
    <n v="8.9"/>
    <n v="1"/>
    <n v="-404"/>
    <n v="320"/>
  </r>
  <r>
    <x v="62"/>
    <s v="conventional_cashout_incentive_242"/>
    <x v="282"/>
    <n v="8.9"/>
    <n v="1"/>
    <n v="-404"/>
    <n v="320"/>
  </r>
  <r>
    <x v="62"/>
    <s v="conventional_cashout_incentive_243"/>
    <x v="283"/>
    <n v="8.9"/>
    <n v="1"/>
    <n v="-404"/>
    <n v="320"/>
  </r>
  <r>
    <x v="62"/>
    <s v="conventional_cashout_incentive_244"/>
    <x v="284"/>
    <n v="8.9"/>
    <n v="1"/>
    <n v="-404"/>
    <n v="320"/>
  </r>
  <r>
    <x v="62"/>
    <s v="conventional_cashout_incentive_245"/>
    <x v="285"/>
    <n v="8.9"/>
    <n v="1"/>
    <n v="-404"/>
    <n v="320"/>
  </r>
  <r>
    <x v="62"/>
    <s v="conventional_cashout_incentive_246"/>
    <x v="286"/>
    <n v="8.9"/>
    <n v="1"/>
    <n v="-404"/>
    <n v="320"/>
  </r>
  <r>
    <x v="62"/>
    <s v="conventional_cashout_incentive_247"/>
    <x v="287"/>
    <n v="8.9"/>
    <n v="1"/>
    <n v="-404"/>
    <n v="320"/>
  </r>
  <r>
    <x v="62"/>
    <s v="conventional_cashout_incentive_248"/>
    <x v="288"/>
    <n v="8.9"/>
    <n v="1"/>
    <n v="-404"/>
    <n v="320"/>
  </r>
  <r>
    <x v="62"/>
    <s v="conventional_cashout_incentive_249"/>
    <x v="289"/>
    <n v="8.9"/>
    <n v="1"/>
    <n v="-404"/>
    <n v="320"/>
  </r>
  <r>
    <x v="62"/>
    <s v="conventional_cashout_incentive_250"/>
    <x v="290"/>
    <n v="8.9"/>
    <n v="1"/>
    <n v="-404"/>
    <n v="320"/>
  </r>
  <r>
    <x v="62"/>
    <s v="conventional_cashout_incentive_251"/>
    <x v="291"/>
    <n v="8.9"/>
    <n v="1"/>
    <n v="-404"/>
    <n v="320"/>
  </r>
  <r>
    <x v="62"/>
    <s v="conventional_cashout_incentive_252"/>
    <x v="292"/>
    <n v="8.9"/>
    <n v="1"/>
    <n v="-404"/>
    <n v="320"/>
  </r>
  <r>
    <x v="62"/>
    <s v="conventional_cashout_incentive_253"/>
    <x v="293"/>
    <n v="8.9"/>
    <n v="1"/>
    <n v="-404"/>
    <n v="320"/>
  </r>
  <r>
    <x v="62"/>
    <s v="conventional_cashout_incentive_254"/>
    <x v="294"/>
    <n v="8.9"/>
    <n v="1"/>
    <n v="-404"/>
    <n v="320"/>
  </r>
  <r>
    <x v="62"/>
    <s v="conventional_cashout_incentive_255"/>
    <x v="295"/>
    <n v="8.9"/>
    <n v="1"/>
    <n v="-404"/>
    <n v="320"/>
  </r>
  <r>
    <x v="62"/>
    <s v="conventional_cashout_incentive_256"/>
    <x v="296"/>
    <n v="8.9"/>
    <n v="1"/>
    <n v="-404"/>
    <n v="320"/>
  </r>
  <r>
    <x v="62"/>
    <s v="conventional_cashout_incentive_257"/>
    <x v="297"/>
    <n v="8.9"/>
    <n v="1"/>
    <n v="-404"/>
    <n v="320"/>
  </r>
  <r>
    <x v="62"/>
    <s v="conventional_cashout_incentive_258"/>
    <x v="298"/>
    <n v="8.9"/>
    <n v="1"/>
    <n v="-404"/>
    <n v="320"/>
  </r>
  <r>
    <x v="62"/>
    <s v="conventional_cashout_incentive_259"/>
    <x v="299"/>
    <n v="8.9"/>
    <n v="1"/>
    <n v="-404"/>
    <n v="320"/>
  </r>
  <r>
    <x v="62"/>
    <s v="conventional_cashout_incentive_260"/>
    <x v="300"/>
    <n v="8.9"/>
    <n v="1"/>
    <n v="-404"/>
    <n v="320"/>
  </r>
  <r>
    <x v="62"/>
    <s v="conventional_cashout_incentive_261"/>
    <x v="301"/>
    <n v="8.9"/>
    <n v="1"/>
    <n v="-404"/>
    <n v="320"/>
  </r>
  <r>
    <x v="62"/>
    <s v="conventional_cashout_incentive_262"/>
    <x v="302"/>
    <n v="8.9"/>
    <n v="1"/>
    <n v="-404"/>
    <n v="320"/>
  </r>
  <r>
    <x v="62"/>
    <s v="conventional_cashout_incentive_263"/>
    <x v="303"/>
    <n v="8.9"/>
    <n v="1"/>
    <n v="-404"/>
    <n v="320"/>
  </r>
  <r>
    <x v="62"/>
    <s v="conventional_cashout_incentive_264"/>
    <x v="304"/>
    <n v="8.9"/>
    <n v="1"/>
    <n v="-404"/>
    <n v="320"/>
  </r>
  <r>
    <x v="62"/>
    <s v="conventional_cashout_incentive_265"/>
    <x v="305"/>
    <n v="8.9"/>
    <n v="1"/>
    <n v="-404"/>
    <n v="320"/>
  </r>
  <r>
    <x v="62"/>
    <s v="conventional_cashout_incentive_266"/>
    <x v="306"/>
    <n v="8.9"/>
    <n v="1"/>
    <n v="-404"/>
    <n v="320"/>
  </r>
  <r>
    <x v="62"/>
    <s v="conventional_cashout_incentive_267"/>
    <x v="307"/>
    <n v="8.9"/>
    <n v="1"/>
    <n v="-404"/>
    <n v="320"/>
  </r>
  <r>
    <x v="62"/>
    <s v="conventional_cashout_incentive_268"/>
    <x v="308"/>
    <n v="8.9"/>
    <n v="1"/>
    <n v="-404"/>
    <n v="320"/>
  </r>
  <r>
    <x v="62"/>
    <s v="conventional_cashout_incentive_269"/>
    <x v="309"/>
    <n v="8.9"/>
    <n v="1"/>
    <n v="-404"/>
    <n v="320"/>
  </r>
  <r>
    <x v="62"/>
    <s v="conventional_cashout_incentive_270"/>
    <x v="310"/>
    <n v="8.9"/>
    <n v="1"/>
    <n v="-404"/>
    <n v="320"/>
  </r>
  <r>
    <x v="62"/>
    <s v="conventional_cashout_incentive_271"/>
    <x v="311"/>
    <n v="8.9"/>
    <n v="1"/>
    <n v="-404"/>
    <n v="320"/>
  </r>
  <r>
    <x v="62"/>
    <s v="conventional_cashout_incentive_272"/>
    <x v="312"/>
    <n v="8.9"/>
    <n v="1"/>
    <n v="-404"/>
    <n v="320"/>
  </r>
  <r>
    <x v="62"/>
    <s v="conventional_cashout_incentive_273"/>
    <x v="313"/>
    <n v="8.9"/>
    <n v="1"/>
    <n v="-404"/>
    <n v="320"/>
  </r>
  <r>
    <x v="62"/>
    <s v="conventional_cashout_incentive_274"/>
    <x v="314"/>
    <n v="8.9"/>
    <n v="1"/>
    <n v="-404"/>
    <n v="320"/>
  </r>
  <r>
    <x v="62"/>
    <s v="conventional_cashout_incentive_275"/>
    <x v="315"/>
    <n v="8.9"/>
    <n v="1"/>
    <n v="-404"/>
    <n v="320"/>
  </r>
  <r>
    <x v="62"/>
    <s v="conventional_cashout_incentive_276"/>
    <x v="316"/>
    <n v="8.9"/>
    <n v="1"/>
    <n v="-404"/>
    <n v="320"/>
  </r>
  <r>
    <x v="62"/>
    <s v="conventional_cashout_incentive_277"/>
    <x v="317"/>
    <n v="8.9"/>
    <n v="1"/>
    <n v="-404"/>
    <n v="320"/>
  </r>
  <r>
    <x v="62"/>
    <s v="conventional_cashout_incentive_278"/>
    <x v="318"/>
    <n v="8.9"/>
    <n v="1"/>
    <n v="-404"/>
    <n v="320"/>
  </r>
  <r>
    <x v="62"/>
    <s v="conventional_cashout_incentive_279"/>
    <x v="319"/>
    <n v="8.9"/>
    <n v="1"/>
    <n v="-404"/>
    <n v="320"/>
  </r>
  <r>
    <x v="62"/>
    <s v="conventional_cashout_incentive_280"/>
    <x v="320"/>
    <n v="8.9"/>
    <n v="1"/>
    <n v="-404"/>
    <n v="320"/>
  </r>
  <r>
    <x v="62"/>
    <s v="conventional_cashout_incentive_281"/>
    <x v="321"/>
    <n v="8.9"/>
    <n v="1"/>
    <n v="-404"/>
    <n v="320"/>
  </r>
  <r>
    <x v="62"/>
    <s v="conventional_cashout_incentive_282"/>
    <x v="322"/>
    <n v="8.9"/>
    <n v="1"/>
    <n v="-404"/>
    <n v="320"/>
  </r>
  <r>
    <x v="62"/>
    <s v="conventional_cashout_incentive_283"/>
    <x v="323"/>
    <n v="8.9"/>
    <n v="1"/>
    <n v="-404"/>
    <n v="320"/>
  </r>
  <r>
    <x v="62"/>
    <s v="conventional_cashout_incentive_284"/>
    <x v="324"/>
    <n v="8.9"/>
    <n v="1"/>
    <n v="-404"/>
    <n v="320"/>
  </r>
  <r>
    <x v="62"/>
    <s v="conventional_cashout_incentive_285"/>
    <x v="325"/>
    <n v="8.9"/>
    <n v="1"/>
    <n v="-404"/>
    <n v="320"/>
  </r>
  <r>
    <x v="62"/>
    <s v="conventional_cashout_incentive_286"/>
    <x v="326"/>
    <n v="8.9"/>
    <n v="1"/>
    <n v="-404"/>
    <n v="320"/>
  </r>
  <r>
    <x v="62"/>
    <s v="conventional_cashout_incentive_287"/>
    <x v="327"/>
    <n v="8.9"/>
    <n v="1"/>
    <n v="-404"/>
    <n v="320"/>
  </r>
  <r>
    <x v="62"/>
    <s v="conventional_cashout_incentive_288"/>
    <x v="328"/>
    <n v="8.9"/>
    <n v="1"/>
    <n v="-404"/>
    <n v="320"/>
  </r>
  <r>
    <x v="62"/>
    <s v="conventional_cashout_incentive_289"/>
    <x v="329"/>
    <n v="8.9"/>
    <n v="1"/>
    <n v="-404"/>
    <n v="320"/>
  </r>
  <r>
    <x v="62"/>
    <s v="conventional_cashout_incentive_290"/>
    <x v="330"/>
    <n v="8.9"/>
    <n v="1"/>
    <n v="-404"/>
    <n v="320"/>
  </r>
  <r>
    <x v="62"/>
    <s v="conventional_cashout_incentive_291"/>
    <x v="331"/>
    <n v="8.9"/>
    <n v="1"/>
    <n v="-404"/>
    <n v="320"/>
  </r>
  <r>
    <x v="62"/>
    <s v="conventional_cashout_incentive_292"/>
    <x v="332"/>
    <n v="8.9"/>
    <n v="1"/>
    <n v="-404"/>
    <n v="320"/>
  </r>
  <r>
    <x v="62"/>
    <s v="conventional_cashout_incentive_293"/>
    <x v="333"/>
    <n v="8.9"/>
    <n v="1"/>
    <n v="-404"/>
    <n v="320"/>
  </r>
  <r>
    <x v="62"/>
    <s v="conventional_cashout_incentive_294"/>
    <x v="334"/>
    <n v="8.9"/>
    <n v="1"/>
    <n v="-404"/>
    <n v="320"/>
  </r>
  <r>
    <x v="62"/>
    <s v="conventional_cashout_incentive_295"/>
    <x v="335"/>
    <n v="8.9"/>
    <n v="1"/>
    <n v="-404"/>
    <n v="320"/>
  </r>
  <r>
    <x v="62"/>
    <s v="conventional_cashout_incentive_296"/>
    <x v="336"/>
    <n v="8.9"/>
    <n v="1"/>
    <n v="-404"/>
    <n v="320"/>
  </r>
  <r>
    <x v="62"/>
    <s v="conventional_cashout_incentive_297"/>
    <x v="337"/>
    <n v="8.9"/>
    <n v="1"/>
    <n v="-404"/>
    <n v="320"/>
  </r>
  <r>
    <x v="62"/>
    <s v="conventional_cashout_incentive_298"/>
    <x v="338"/>
    <n v="8.9"/>
    <n v="1"/>
    <n v="-404"/>
    <n v="320"/>
  </r>
  <r>
    <x v="62"/>
    <s v="conventional_cashout_incentive_299"/>
    <x v="339"/>
    <n v="8.9"/>
    <n v="1"/>
    <n v="-404"/>
    <n v="320"/>
  </r>
  <r>
    <x v="62"/>
    <s v="conventional_cashout_incentive_300"/>
    <x v="340"/>
    <n v="8.9"/>
    <n v="1"/>
    <n v="-404"/>
    <n v="320"/>
  </r>
  <r>
    <x v="62"/>
    <s v="conventional_cashout_incentive_301"/>
    <x v="341"/>
    <n v="8.9"/>
    <n v="1"/>
    <n v="-404"/>
    <n v="320"/>
  </r>
  <r>
    <x v="62"/>
    <s v="conventional_cashout_incentive_302"/>
    <x v="342"/>
    <n v="8.9"/>
    <n v="1"/>
    <n v="-404"/>
    <n v="320"/>
  </r>
  <r>
    <x v="62"/>
    <s v="conventional_cashout_incentive_303"/>
    <x v="343"/>
    <n v="8.9"/>
    <n v="1"/>
    <n v="-404"/>
    <n v="320"/>
  </r>
  <r>
    <x v="62"/>
    <s v="conventional_cashout_incentive_304"/>
    <x v="344"/>
    <n v="8.9"/>
    <n v="1"/>
    <n v="-404"/>
    <n v="320"/>
  </r>
  <r>
    <x v="62"/>
    <s v="conventional_cashout_incentive_305"/>
    <x v="345"/>
    <n v="8.9"/>
    <n v="1"/>
    <n v="-404"/>
    <n v="320"/>
  </r>
  <r>
    <x v="62"/>
    <s v="conventional_cashout_incentive_306"/>
    <x v="346"/>
    <n v="8.9"/>
    <n v="1"/>
    <n v="-404"/>
    <n v="320"/>
  </r>
  <r>
    <x v="62"/>
    <s v="conventional_cashout_incentive_307"/>
    <x v="347"/>
    <n v="8.9"/>
    <n v="1"/>
    <n v="-404"/>
    <n v="320"/>
  </r>
  <r>
    <x v="62"/>
    <s v="conventional_cashout_incentive_308"/>
    <x v="348"/>
    <n v="8.9"/>
    <n v="1"/>
    <n v="-404"/>
    <n v="320"/>
  </r>
  <r>
    <x v="62"/>
    <s v="conventional_cashout_incentive_309"/>
    <x v="349"/>
    <n v="8.9"/>
    <n v="1"/>
    <n v="-404"/>
    <n v="320"/>
  </r>
  <r>
    <x v="62"/>
    <s v="conventional_cashout_incentive_310"/>
    <x v="350"/>
    <n v="8.9"/>
    <n v="1"/>
    <n v="-404"/>
    <n v="320"/>
  </r>
  <r>
    <x v="62"/>
    <s v="conventional_cashout_incentive_311"/>
    <x v="351"/>
    <n v="8.9"/>
    <n v="1"/>
    <n v="-404"/>
    <n v="320"/>
  </r>
  <r>
    <x v="62"/>
    <s v="conventional_cashout_incentive_312"/>
    <x v="352"/>
    <n v="8.9"/>
    <n v="1"/>
    <n v="-404"/>
    <n v="320"/>
  </r>
  <r>
    <x v="62"/>
    <s v="conventional_cashout_incentive_313"/>
    <x v="353"/>
    <n v="8.9"/>
    <n v="1"/>
    <n v="-404"/>
    <n v="320"/>
  </r>
  <r>
    <x v="62"/>
    <s v="conventional_cashout_incentive_314"/>
    <x v="354"/>
    <n v="8.9"/>
    <n v="1"/>
    <n v="-404"/>
    <n v="320"/>
  </r>
  <r>
    <x v="62"/>
    <s v="conventional_cashout_incentive_315"/>
    <x v="355"/>
    <n v="8.9"/>
    <n v="1"/>
    <n v="-404"/>
    <n v="320"/>
  </r>
  <r>
    <x v="62"/>
    <s v="conventional_cashout_incentive_316"/>
    <x v="356"/>
    <n v="8.9"/>
    <n v="1"/>
    <n v="-404"/>
    <n v="320"/>
  </r>
  <r>
    <x v="62"/>
    <s v="conventional_cashout_incentive_317"/>
    <x v="357"/>
    <n v="8.9"/>
    <n v="1"/>
    <n v="-404"/>
    <n v="320"/>
  </r>
  <r>
    <x v="62"/>
    <s v="conventional_cashout_incentive_318"/>
    <x v="358"/>
    <n v="8.9"/>
    <n v="1"/>
    <n v="-404"/>
    <n v="320"/>
  </r>
  <r>
    <x v="62"/>
    <s v="conventional_cashout_incentive_319"/>
    <x v="359"/>
    <n v="8.9"/>
    <n v="1"/>
    <n v="-404"/>
    <n v="320"/>
  </r>
  <r>
    <x v="62"/>
    <s v="conventional_cashout_incentive_320"/>
    <x v="360"/>
    <n v="8.9"/>
    <n v="1"/>
    <n v="-404"/>
    <n v="320"/>
  </r>
  <r>
    <x v="63"/>
    <s v="conventional_cashout_cltv_-36"/>
    <x v="4"/>
    <n v="1"/>
    <n v="1"/>
    <n v="-36"/>
    <n v="216"/>
  </r>
  <r>
    <x v="63"/>
    <s v="conventional_cashout_cltv_-35"/>
    <x v="5"/>
    <n v="1"/>
    <n v="1"/>
    <n v="-36"/>
    <n v="216"/>
  </r>
  <r>
    <x v="63"/>
    <s v="conventional_cashout_cltv_-34"/>
    <x v="6"/>
    <n v="1"/>
    <n v="1"/>
    <n v="-36"/>
    <n v="216"/>
  </r>
  <r>
    <x v="63"/>
    <s v="conventional_cashout_cltv_-33"/>
    <x v="7"/>
    <n v="1"/>
    <n v="1"/>
    <n v="-36"/>
    <n v="216"/>
  </r>
  <r>
    <x v="63"/>
    <s v="conventional_cashout_cltv_-32"/>
    <x v="8"/>
    <n v="1"/>
    <n v="1"/>
    <n v="-36"/>
    <n v="216"/>
  </r>
  <r>
    <x v="63"/>
    <s v="conventional_cashout_cltv_-31"/>
    <x v="9"/>
    <n v="1"/>
    <n v="1"/>
    <n v="-36"/>
    <n v="216"/>
  </r>
  <r>
    <x v="63"/>
    <s v="conventional_cashout_cltv_-30"/>
    <x v="10"/>
    <n v="1"/>
    <n v="1"/>
    <n v="-36"/>
    <n v="216"/>
  </r>
  <r>
    <x v="63"/>
    <s v="conventional_cashout_cltv_-29"/>
    <x v="11"/>
    <n v="1"/>
    <n v="1"/>
    <n v="-36"/>
    <n v="216"/>
  </r>
  <r>
    <x v="63"/>
    <s v="conventional_cashout_cltv_-28"/>
    <x v="12"/>
    <n v="1"/>
    <n v="1"/>
    <n v="-36"/>
    <n v="216"/>
  </r>
  <r>
    <x v="63"/>
    <s v="conventional_cashout_cltv_-27"/>
    <x v="13"/>
    <n v="1"/>
    <n v="1"/>
    <n v="-36"/>
    <n v="216"/>
  </r>
  <r>
    <x v="63"/>
    <s v="conventional_cashout_cltv_-26"/>
    <x v="14"/>
    <n v="1"/>
    <n v="1"/>
    <n v="-36"/>
    <n v="216"/>
  </r>
  <r>
    <x v="63"/>
    <s v="conventional_cashout_cltv_-25"/>
    <x v="15"/>
    <n v="1"/>
    <n v="1"/>
    <n v="-36"/>
    <n v="216"/>
  </r>
  <r>
    <x v="63"/>
    <s v="conventional_cashout_cltv_-24"/>
    <x v="16"/>
    <n v="1"/>
    <n v="1"/>
    <n v="-36"/>
    <n v="216"/>
  </r>
  <r>
    <x v="63"/>
    <s v="conventional_cashout_cltv_-23"/>
    <x v="17"/>
    <n v="1"/>
    <n v="1"/>
    <n v="-36"/>
    <n v="216"/>
  </r>
  <r>
    <x v="63"/>
    <s v="conventional_cashout_cltv_-22"/>
    <x v="18"/>
    <n v="1"/>
    <n v="1"/>
    <n v="-36"/>
    <n v="216"/>
  </r>
  <r>
    <x v="63"/>
    <s v="conventional_cashout_cltv_-21"/>
    <x v="19"/>
    <n v="1"/>
    <n v="1"/>
    <n v="-36"/>
    <n v="216"/>
  </r>
  <r>
    <x v="63"/>
    <s v="conventional_cashout_cltv_-20"/>
    <x v="20"/>
    <n v="1"/>
    <n v="1"/>
    <n v="-36"/>
    <n v="216"/>
  </r>
  <r>
    <x v="63"/>
    <s v="conventional_cashout_cltv_-19"/>
    <x v="21"/>
    <n v="1"/>
    <n v="1"/>
    <n v="-36"/>
    <n v="216"/>
  </r>
  <r>
    <x v="63"/>
    <s v="conventional_cashout_cltv_-18"/>
    <x v="22"/>
    <n v="1"/>
    <n v="1"/>
    <n v="-36"/>
    <n v="216"/>
  </r>
  <r>
    <x v="63"/>
    <s v="conventional_cashout_cltv_-17"/>
    <x v="23"/>
    <n v="1"/>
    <n v="1"/>
    <n v="-36"/>
    <n v="216"/>
  </r>
  <r>
    <x v="63"/>
    <s v="conventional_cashout_cltv_-16"/>
    <x v="24"/>
    <n v="1"/>
    <n v="1"/>
    <n v="-36"/>
    <n v="216"/>
  </r>
  <r>
    <x v="63"/>
    <s v="conventional_cashout_cltv_-15"/>
    <x v="25"/>
    <n v="1"/>
    <n v="1"/>
    <n v="-36"/>
    <n v="216"/>
  </r>
  <r>
    <x v="63"/>
    <s v="conventional_cashout_cltv_-14"/>
    <x v="26"/>
    <n v="1"/>
    <n v="1"/>
    <n v="-36"/>
    <n v="216"/>
  </r>
  <r>
    <x v="63"/>
    <s v="conventional_cashout_cltv_-13"/>
    <x v="27"/>
    <n v="1"/>
    <n v="1"/>
    <n v="-36"/>
    <n v="216"/>
  </r>
  <r>
    <x v="63"/>
    <s v="conventional_cashout_cltv_-12"/>
    <x v="28"/>
    <n v="1"/>
    <n v="1"/>
    <n v="-36"/>
    <n v="216"/>
  </r>
  <r>
    <x v="63"/>
    <s v="conventional_cashout_cltv_-11"/>
    <x v="29"/>
    <n v="1"/>
    <n v="1"/>
    <n v="-36"/>
    <n v="216"/>
  </r>
  <r>
    <x v="63"/>
    <s v="conventional_cashout_cltv_-10"/>
    <x v="30"/>
    <n v="1"/>
    <n v="1"/>
    <n v="-36"/>
    <n v="216"/>
  </r>
  <r>
    <x v="63"/>
    <s v="conventional_cashout_cltv_-9"/>
    <x v="31"/>
    <n v="1"/>
    <n v="1"/>
    <n v="-36"/>
    <n v="216"/>
  </r>
  <r>
    <x v="63"/>
    <s v="conventional_cashout_cltv_-8"/>
    <x v="32"/>
    <n v="1"/>
    <n v="1"/>
    <n v="-36"/>
    <n v="216"/>
  </r>
  <r>
    <x v="63"/>
    <s v="conventional_cashout_cltv_-7"/>
    <x v="33"/>
    <n v="1"/>
    <n v="1"/>
    <n v="-36"/>
    <n v="216"/>
  </r>
  <r>
    <x v="63"/>
    <s v="conventional_cashout_cltv_-6"/>
    <x v="34"/>
    <n v="1"/>
    <n v="1"/>
    <n v="-36"/>
    <n v="216"/>
  </r>
  <r>
    <x v="63"/>
    <s v="conventional_cashout_cltv_-5"/>
    <x v="35"/>
    <n v="1"/>
    <n v="1"/>
    <n v="-36"/>
    <n v="216"/>
  </r>
  <r>
    <x v="63"/>
    <s v="conventional_cashout_cltv_-4"/>
    <x v="36"/>
    <n v="1"/>
    <n v="1"/>
    <n v="-36"/>
    <n v="216"/>
  </r>
  <r>
    <x v="63"/>
    <s v="conventional_cashout_cltv_-3"/>
    <x v="37"/>
    <n v="1"/>
    <n v="1"/>
    <n v="-36"/>
    <n v="216"/>
  </r>
  <r>
    <x v="63"/>
    <s v="conventional_cashout_cltv_-2"/>
    <x v="38"/>
    <n v="1"/>
    <n v="1"/>
    <n v="-36"/>
    <n v="216"/>
  </r>
  <r>
    <x v="63"/>
    <s v="conventional_cashout_cltv_-1"/>
    <x v="39"/>
    <n v="1"/>
    <n v="1"/>
    <n v="-36"/>
    <n v="216"/>
  </r>
  <r>
    <x v="63"/>
    <s v="conventional_cashout_cltv_0"/>
    <x v="40"/>
    <n v="1"/>
    <n v="1"/>
    <n v="-36"/>
    <n v="216"/>
  </r>
  <r>
    <x v="63"/>
    <s v="conventional_cashout_cltv_1"/>
    <x v="41"/>
    <n v="1"/>
    <n v="1"/>
    <n v="-36"/>
    <n v="216"/>
  </r>
  <r>
    <x v="63"/>
    <s v="conventional_cashout_cltv_2"/>
    <x v="42"/>
    <n v="1"/>
    <n v="1"/>
    <n v="-36"/>
    <n v="216"/>
  </r>
  <r>
    <x v="63"/>
    <s v="conventional_cashout_cltv_3"/>
    <x v="43"/>
    <n v="1"/>
    <n v="1"/>
    <n v="-36"/>
    <n v="216"/>
  </r>
  <r>
    <x v="63"/>
    <s v="conventional_cashout_cltv_4"/>
    <x v="44"/>
    <n v="1"/>
    <n v="1"/>
    <n v="-36"/>
    <n v="216"/>
  </r>
  <r>
    <x v="63"/>
    <s v="conventional_cashout_cltv_5"/>
    <x v="45"/>
    <n v="1"/>
    <n v="1"/>
    <n v="-36"/>
    <n v="216"/>
  </r>
  <r>
    <x v="63"/>
    <s v="conventional_cashout_cltv_6"/>
    <x v="46"/>
    <n v="1"/>
    <n v="1"/>
    <n v="-36"/>
    <n v="216"/>
  </r>
  <r>
    <x v="63"/>
    <s v="conventional_cashout_cltv_7"/>
    <x v="47"/>
    <n v="1"/>
    <n v="1"/>
    <n v="-36"/>
    <n v="216"/>
  </r>
  <r>
    <x v="63"/>
    <s v="conventional_cashout_cltv_8"/>
    <x v="48"/>
    <n v="1"/>
    <n v="1"/>
    <n v="-36"/>
    <n v="216"/>
  </r>
  <r>
    <x v="63"/>
    <s v="conventional_cashout_cltv_9"/>
    <x v="49"/>
    <n v="1"/>
    <n v="1"/>
    <n v="-36"/>
    <n v="216"/>
  </r>
  <r>
    <x v="63"/>
    <s v="conventional_cashout_cltv_10"/>
    <x v="50"/>
    <n v="1"/>
    <n v="1"/>
    <n v="-36"/>
    <n v="216"/>
  </r>
  <r>
    <x v="63"/>
    <s v="conventional_cashout_cltv_11"/>
    <x v="51"/>
    <n v="1"/>
    <n v="1"/>
    <n v="-36"/>
    <n v="216"/>
  </r>
  <r>
    <x v="63"/>
    <s v="conventional_cashout_cltv_12"/>
    <x v="52"/>
    <n v="1"/>
    <n v="1"/>
    <n v="-36"/>
    <n v="216"/>
  </r>
  <r>
    <x v="63"/>
    <s v="conventional_cashout_cltv_13"/>
    <x v="53"/>
    <n v="1"/>
    <n v="1"/>
    <n v="-36"/>
    <n v="216"/>
  </r>
  <r>
    <x v="63"/>
    <s v="conventional_cashout_cltv_14"/>
    <x v="54"/>
    <n v="1"/>
    <n v="1"/>
    <n v="-36"/>
    <n v="216"/>
  </r>
  <r>
    <x v="63"/>
    <s v="conventional_cashout_cltv_15"/>
    <x v="55"/>
    <n v="1"/>
    <n v="1"/>
    <n v="-36"/>
    <n v="216"/>
  </r>
  <r>
    <x v="63"/>
    <s v="conventional_cashout_cltv_16"/>
    <x v="56"/>
    <n v="1"/>
    <n v="1"/>
    <n v="-36"/>
    <n v="216"/>
  </r>
  <r>
    <x v="63"/>
    <s v="conventional_cashout_cltv_17"/>
    <x v="57"/>
    <n v="1"/>
    <n v="1"/>
    <n v="-36"/>
    <n v="216"/>
  </r>
  <r>
    <x v="63"/>
    <s v="conventional_cashout_cltv_18"/>
    <x v="58"/>
    <n v="1"/>
    <n v="1"/>
    <n v="-36"/>
    <n v="216"/>
  </r>
  <r>
    <x v="63"/>
    <s v="conventional_cashout_cltv_19"/>
    <x v="59"/>
    <n v="1"/>
    <n v="1"/>
    <n v="-36"/>
    <n v="216"/>
  </r>
  <r>
    <x v="63"/>
    <s v="conventional_cashout_cltv_20"/>
    <x v="60"/>
    <n v="1"/>
    <n v="1"/>
    <n v="-36"/>
    <n v="216"/>
  </r>
  <r>
    <x v="63"/>
    <s v="conventional_cashout_cltv_21"/>
    <x v="61"/>
    <n v="1"/>
    <n v="1"/>
    <n v="-36"/>
    <n v="216"/>
  </r>
  <r>
    <x v="63"/>
    <s v="conventional_cashout_cltv_22"/>
    <x v="62"/>
    <n v="1"/>
    <n v="1"/>
    <n v="-36"/>
    <n v="216"/>
  </r>
  <r>
    <x v="63"/>
    <s v="conventional_cashout_cltv_23"/>
    <x v="63"/>
    <n v="1"/>
    <n v="1"/>
    <n v="-36"/>
    <n v="216"/>
  </r>
  <r>
    <x v="63"/>
    <s v="conventional_cashout_cltv_24"/>
    <x v="64"/>
    <n v="1"/>
    <n v="1"/>
    <n v="-36"/>
    <n v="216"/>
  </r>
  <r>
    <x v="63"/>
    <s v="conventional_cashout_cltv_25"/>
    <x v="65"/>
    <n v="1"/>
    <n v="1"/>
    <n v="-36"/>
    <n v="216"/>
  </r>
  <r>
    <x v="63"/>
    <s v="conventional_cashout_cltv_26"/>
    <x v="66"/>
    <n v="1"/>
    <n v="1"/>
    <n v="-36"/>
    <n v="216"/>
  </r>
  <r>
    <x v="63"/>
    <s v="conventional_cashout_cltv_27"/>
    <x v="67"/>
    <n v="1"/>
    <n v="1"/>
    <n v="-36"/>
    <n v="216"/>
  </r>
  <r>
    <x v="63"/>
    <s v="conventional_cashout_cltv_28"/>
    <x v="68"/>
    <n v="1"/>
    <n v="1"/>
    <n v="-36"/>
    <n v="216"/>
  </r>
  <r>
    <x v="63"/>
    <s v="conventional_cashout_cltv_29"/>
    <x v="69"/>
    <n v="1"/>
    <n v="1"/>
    <n v="-36"/>
    <n v="216"/>
  </r>
  <r>
    <x v="63"/>
    <s v="conventional_cashout_cltv_30"/>
    <x v="70"/>
    <n v="1"/>
    <n v="1"/>
    <n v="-36"/>
    <n v="216"/>
  </r>
  <r>
    <x v="63"/>
    <s v="conventional_cashout_cltv_31"/>
    <x v="71"/>
    <n v="1"/>
    <n v="1"/>
    <n v="-36"/>
    <n v="216"/>
  </r>
  <r>
    <x v="63"/>
    <s v="conventional_cashout_cltv_32"/>
    <x v="72"/>
    <n v="1"/>
    <n v="1"/>
    <n v="-36"/>
    <n v="216"/>
  </r>
  <r>
    <x v="63"/>
    <s v="conventional_cashout_cltv_33"/>
    <x v="73"/>
    <n v="1"/>
    <n v="1"/>
    <n v="-36"/>
    <n v="216"/>
  </r>
  <r>
    <x v="63"/>
    <s v="conventional_cashout_cltv_34"/>
    <x v="74"/>
    <n v="1"/>
    <n v="1"/>
    <n v="-36"/>
    <n v="216"/>
  </r>
  <r>
    <x v="63"/>
    <s v="conventional_cashout_cltv_35"/>
    <x v="75"/>
    <n v="1"/>
    <n v="1"/>
    <n v="-36"/>
    <n v="216"/>
  </r>
  <r>
    <x v="63"/>
    <s v="conventional_cashout_cltv_36"/>
    <x v="76"/>
    <n v="1"/>
    <n v="1"/>
    <n v="-36"/>
    <n v="216"/>
  </r>
  <r>
    <x v="63"/>
    <s v="conventional_cashout_cltv_37"/>
    <x v="77"/>
    <n v="1"/>
    <n v="1"/>
    <n v="-36"/>
    <n v="216"/>
  </r>
  <r>
    <x v="63"/>
    <s v="conventional_cashout_cltv_38"/>
    <x v="78"/>
    <n v="1"/>
    <n v="1"/>
    <n v="-36"/>
    <n v="216"/>
  </r>
  <r>
    <x v="63"/>
    <s v="conventional_cashout_cltv_39"/>
    <x v="79"/>
    <n v="1"/>
    <n v="1"/>
    <n v="-36"/>
    <n v="216"/>
  </r>
  <r>
    <x v="63"/>
    <s v="conventional_cashout_cltv_40"/>
    <x v="80"/>
    <n v="1"/>
    <n v="1"/>
    <n v="-36"/>
    <n v="216"/>
  </r>
  <r>
    <x v="63"/>
    <s v="conventional_cashout_cltv_41"/>
    <x v="81"/>
    <n v="1"/>
    <n v="1"/>
    <n v="-36"/>
    <n v="216"/>
  </r>
  <r>
    <x v="63"/>
    <s v="conventional_cashout_cltv_42"/>
    <x v="82"/>
    <n v="1"/>
    <n v="1"/>
    <n v="-36"/>
    <n v="216"/>
  </r>
  <r>
    <x v="63"/>
    <s v="conventional_cashout_cltv_43"/>
    <x v="83"/>
    <n v="1"/>
    <n v="1"/>
    <n v="-36"/>
    <n v="216"/>
  </r>
  <r>
    <x v="63"/>
    <s v="conventional_cashout_cltv_44"/>
    <x v="84"/>
    <n v="1"/>
    <n v="1"/>
    <n v="-36"/>
    <n v="216"/>
  </r>
  <r>
    <x v="63"/>
    <s v="conventional_cashout_cltv_45"/>
    <x v="85"/>
    <n v="1"/>
    <n v="1"/>
    <n v="-36"/>
    <n v="216"/>
  </r>
  <r>
    <x v="63"/>
    <s v="conventional_cashout_cltv_46"/>
    <x v="86"/>
    <n v="1"/>
    <n v="1"/>
    <n v="-36"/>
    <n v="216"/>
  </r>
  <r>
    <x v="63"/>
    <s v="conventional_cashout_cltv_47"/>
    <x v="87"/>
    <n v="1"/>
    <n v="1"/>
    <n v="-36"/>
    <n v="216"/>
  </r>
  <r>
    <x v="63"/>
    <s v="conventional_cashout_cltv_48"/>
    <x v="88"/>
    <n v="1"/>
    <n v="1"/>
    <n v="-36"/>
    <n v="216"/>
  </r>
  <r>
    <x v="63"/>
    <s v="conventional_cashout_cltv_49"/>
    <x v="89"/>
    <n v="1"/>
    <n v="1"/>
    <n v="-36"/>
    <n v="216"/>
  </r>
  <r>
    <x v="63"/>
    <s v="conventional_cashout_cltv_50"/>
    <x v="90"/>
    <n v="1"/>
    <n v="1"/>
    <n v="-36"/>
    <n v="216"/>
  </r>
  <r>
    <x v="63"/>
    <s v="conventional_cashout_cltv_51"/>
    <x v="91"/>
    <n v="1"/>
    <n v="1"/>
    <n v="-36"/>
    <n v="216"/>
  </r>
  <r>
    <x v="63"/>
    <s v="conventional_cashout_cltv_52"/>
    <x v="92"/>
    <n v="1"/>
    <n v="1"/>
    <n v="-36"/>
    <n v="216"/>
  </r>
  <r>
    <x v="63"/>
    <s v="conventional_cashout_cltv_53"/>
    <x v="93"/>
    <n v="1"/>
    <n v="1"/>
    <n v="-36"/>
    <n v="216"/>
  </r>
  <r>
    <x v="63"/>
    <s v="conventional_cashout_cltv_54"/>
    <x v="94"/>
    <n v="1"/>
    <n v="1"/>
    <n v="-36"/>
    <n v="216"/>
  </r>
  <r>
    <x v="63"/>
    <s v="conventional_cashout_cltv_55"/>
    <x v="95"/>
    <n v="1"/>
    <n v="1"/>
    <n v="-36"/>
    <n v="216"/>
  </r>
  <r>
    <x v="63"/>
    <s v="conventional_cashout_cltv_56"/>
    <x v="96"/>
    <n v="1"/>
    <n v="1"/>
    <n v="-36"/>
    <n v="216"/>
  </r>
  <r>
    <x v="63"/>
    <s v="conventional_cashout_cltv_57"/>
    <x v="97"/>
    <n v="1"/>
    <n v="1"/>
    <n v="-36"/>
    <n v="216"/>
  </r>
  <r>
    <x v="63"/>
    <s v="conventional_cashout_cltv_58"/>
    <x v="98"/>
    <n v="1"/>
    <n v="1"/>
    <n v="-36"/>
    <n v="216"/>
  </r>
  <r>
    <x v="63"/>
    <s v="conventional_cashout_cltv_59"/>
    <x v="99"/>
    <n v="1"/>
    <n v="1"/>
    <n v="-36"/>
    <n v="216"/>
  </r>
  <r>
    <x v="63"/>
    <s v="conventional_cashout_cltv_60"/>
    <x v="100"/>
    <n v="1"/>
    <n v="1"/>
    <n v="-36"/>
    <n v="216"/>
  </r>
  <r>
    <x v="63"/>
    <s v="conventional_cashout_cltv_61"/>
    <x v="101"/>
    <n v="1"/>
    <n v="1"/>
    <n v="-36"/>
    <n v="216"/>
  </r>
  <r>
    <x v="63"/>
    <s v="conventional_cashout_cltv_62"/>
    <x v="102"/>
    <n v="1"/>
    <n v="1"/>
    <n v="-36"/>
    <n v="216"/>
  </r>
  <r>
    <x v="63"/>
    <s v="conventional_cashout_cltv_63"/>
    <x v="103"/>
    <n v="1"/>
    <n v="1"/>
    <n v="-36"/>
    <n v="216"/>
  </r>
  <r>
    <x v="63"/>
    <s v="conventional_cashout_cltv_64"/>
    <x v="104"/>
    <n v="1"/>
    <n v="1"/>
    <n v="-36"/>
    <n v="216"/>
  </r>
  <r>
    <x v="63"/>
    <s v="conventional_cashout_cltv_65"/>
    <x v="105"/>
    <n v="1"/>
    <n v="1"/>
    <n v="-36"/>
    <n v="216"/>
  </r>
  <r>
    <x v="63"/>
    <s v="conventional_cashout_cltv_66"/>
    <x v="106"/>
    <n v="1"/>
    <n v="1"/>
    <n v="-36"/>
    <n v="216"/>
  </r>
  <r>
    <x v="63"/>
    <s v="conventional_cashout_cltv_67"/>
    <x v="107"/>
    <n v="1"/>
    <n v="1"/>
    <n v="-36"/>
    <n v="216"/>
  </r>
  <r>
    <x v="63"/>
    <s v="conventional_cashout_cltv_68"/>
    <x v="108"/>
    <n v="1"/>
    <n v="1"/>
    <n v="-36"/>
    <n v="216"/>
  </r>
  <r>
    <x v="63"/>
    <s v="conventional_cashout_cltv_69"/>
    <x v="109"/>
    <n v="1"/>
    <n v="1"/>
    <n v="-36"/>
    <n v="216"/>
  </r>
  <r>
    <x v="63"/>
    <s v="conventional_cashout_cltv_70"/>
    <x v="110"/>
    <n v="1"/>
    <n v="1"/>
    <n v="-36"/>
    <n v="216"/>
  </r>
  <r>
    <x v="63"/>
    <s v="conventional_cashout_cltv_71"/>
    <x v="111"/>
    <n v="0.98914999999999997"/>
    <n v="1"/>
    <n v="-36"/>
    <n v="216"/>
  </r>
  <r>
    <x v="63"/>
    <s v="conventional_cashout_cltv_72"/>
    <x v="112"/>
    <n v="0.95920000000000005"/>
    <n v="1"/>
    <n v="-36"/>
    <n v="216"/>
  </r>
  <r>
    <x v="63"/>
    <s v="conventional_cashout_cltv_73"/>
    <x v="113"/>
    <n v="0.91405000000000003"/>
    <n v="1"/>
    <n v="-36"/>
    <n v="216"/>
  </r>
  <r>
    <x v="63"/>
    <s v="conventional_cashout_cltv_74"/>
    <x v="114"/>
    <n v="0.85760000000000003"/>
    <n v="1"/>
    <n v="-36"/>
    <n v="216"/>
  </r>
  <r>
    <x v="63"/>
    <s v="conventional_cashout_cltv_75"/>
    <x v="115"/>
    <n v="0.79374999999999996"/>
    <n v="1"/>
    <n v="-36"/>
    <n v="216"/>
  </r>
  <r>
    <x v="63"/>
    <s v="conventional_cashout_cltv_76"/>
    <x v="116"/>
    <n v="0.72640000000000005"/>
    <n v="1"/>
    <n v="-36"/>
    <n v="216"/>
  </r>
  <r>
    <x v="63"/>
    <s v="conventional_cashout_cltv_77"/>
    <x v="117"/>
    <n v="0.65944999999999998"/>
    <n v="1"/>
    <n v="-36"/>
    <n v="216"/>
  </r>
  <r>
    <x v="63"/>
    <s v="conventional_cashout_cltv_78"/>
    <x v="118"/>
    <n v="0.5968"/>
    <n v="1"/>
    <n v="-36"/>
    <n v="216"/>
  </r>
  <r>
    <x v="63"/>
    <s v="conventional_cashout_cltv_79"/>
    <x v="119"/>
    <n v="0.54235"/>
    <n v="1"/>
    <n v="-36"/>
    <n v="216"/>
  </r>
  <r>
    <x v="63"/>
    <s v="conventional_cashout_cltv_80"/>
    <x v="120"/>
    <n v="0.5"/>
    <n v="1"/>
    <n v="-36"/>
    <n v="216"/>
  </r>
  <r>
    <x v="63"/>
    <s v="conventional_cashout_cltv_81"/>
    <x v="121"/>
    <n v="0.46610623812500002"/>
    <n v="1"/>
    <n v="-36"/>
    <n v="216"/>
  </r>
  <r>
    <x v="63"/>
    <s v="conventional_cashout_cltv_82"/>
    <x v="122"/>
    <n v="0.43434995500000001"/>
    <n v="1"/>
    <n v="-36"/>
    <n v="216"/>
  </r>
  <r>
    <x v="63"/>
    <s v="conventional_cashout_cltv_83"/>
    <x v="123"/>
    <n v="0.404618654375"/>
    <n v="1"/>
    <n v="-36"/>
    <n v="216"/>
  </r>
  <r>
    <x v="63"/>
    <s v="conventional_cashout_cltv_84"/>
    <x v="124"/>
    <n v="0.37679984"/>
    <n v="1"/>
    <n v="-36"/>
    <n v="216"/>
  </r>
  <r>
    <x v="63"/>
    <s v="conventional_cashout_cltv_85"/>
    <x v="125"/>
    <n v="0.35078101562500003"/>
    <n v="1"/>
    <n v="-36"/>
    <n v="216"/>
  </r>
  <r>
    <x v="63"/>
    <s v="conventional_cashout_cltv_86"/>
    <x v="126"/>
    <n v="0.32644968499999999"/>
    <n v="1"/>
    <n v="-36"/>
    <n v="216"/>
  </r>
  <r>
    <x v="63"/>
    <s v="conventional_cashout_cltv_87"/>
    <x v="127"/>
    <n v="0.30369335187500002"/>
    <n v="1"/>
    <n v="-36"/>
    <n v="216"/>
  </r>
  <r>
    <x v="63"/>
    <s v="conventional_cashout_cltv_88"/>
    <x v="128"/>
    <n v="0.28239952000000001"/>
    <n v="1"/>
    <n v="-36"/>
    <n v="216"/>
  </r>
  <r>
    <x v="63"/>
    <s v="conventional_cashout_cltv_89"/>
    <x v="129"/>
    <n v="0.262455693125"/>
    <n v="1"/>
    <n v="-36"/>
    <n v="216"/>
  </r>
  <r>
    <x v="63"/>
    <s v="conventional_cashout_cltv_90"/>
    <x v="130"/>
    <n v="0.24374937499999999"/>
    <n v="1"/>
    <n v="-36"/>
    <n v="216"/>
  </r>
  <r>
    <x v="63"/>
    <s v="conventional_cashout_cltv_91"/>
    <x v="131"/>
    <n v="0.226168069375"/>
    <n v="1"/>
    <n v="-36"/>
    <n v="216"/>
  </r>
  <r>
    <x v="63"/>
    <s v="conventional_cashout_cltv_92"/>
    <x v="132"/>
    <n v="0.20959928"/>
    <n v="1"/>
    <n v="-36"/>
    <n v="216"/>
  </r>
  <r>
    <x v="63"/>
    <s v="conventional_cashout_cltv_93"/>
    <x v="133"/>
    <n v="0.193930510625"/>
    <n v="1"/>
    <n v="-36"/>
    <n v="216"/>
  </r>
  <r>
    <x v="63"/>
    <s v="conventional_cashout_cltv_94"/>
    <x v="134"/>
    <n v="0.17904926500000001"/>
    <n v="1"/>
    <n v="-36"/>
    <n v="216"/>
  </r>
  <r>
    <x v="63"/>
    <s v="conventional_cashout_cltv_95"/>
    <x v="135"/>
    <n v="0.16484304687500001"/>
    <n v="1"/>
    <n v="-36"/>
    <n v="216"/>
  </r>
  <r>
    <x v="63"/>
    <s v="conventional_cashout_cltv_96"/>
    <x v="136"/>
    <n v="0.15119936"/>
    <n v="1"/>
    <n v="-36"/>
    <n v="216"/>
  </r>
  <r>
    <x v="63"/>
    <s v="conventional_cashout_cltv_97"/>
    <x v="137"/>
    <n v="0.13800570812499999"/>
    <n v="1"/>
    <n v="-36"/>
    <n v="216"/>
  </r>
  <r>
    <x v="63"/>
    <s v="conventional_cashout_cltv_98"/>
    <x v="138"/>
    <n v="0.125149595"/>
    <n v="1"/>
    <n v="-36"/>
    <n v="216"/>
  </r>
  <r>
    <x v="63"/>
    <s v="conventional_cashout_cltv_99"/>
    <x v="139"/>
    <n v="0.112518524375"/>
    <n v="1"/>
    <n v="-36"/>
    <n v="216"/>
  </r>
  <r>
    <x v="63"/>
    <s v="conventional_cashout_cltv_100"/>
    <x v="140"/>
    <n v="0.1"/>
    <n v="1"/>
    <n v="-36"/>
    <n v="216"/>
  </r>
  <r>
    <x v="63"/>
    <s v="conventional_cashout_cltv_101"/>
    <x v="141"/>
    <n v="8.7994048125000002E-2"/>
    <n v="1"/>
    <n v="-36"/>
    <n v="216"/>
  </r>
  <r>
    <x v="63"/>
    <s v="conventional_cashout_cltv_102"/>
    <x v="142"/>
    <n v="7.6950685000000005E-2"/>
    <n v="1"/>
    <n v="-36"/>
    <n v="216"/>
  </r>
  <r>
    <x v="63"/>
    <s v="conventional_cashout_cltv_103"/>
    <x v="143"/>
    <n v="6.6832399375000004E-2"/>
    <n v="1"/>
    <n v="-36"/>
    <n v="216"/>
  </r>
  <r>
    <x v="63"/>
    <s v="conventional_cashout_cltv_104"/>
    <x v="144"/>
    <n v="5.7601680000000002E-2"/>
    <n v="1"/>
    <n v="-36"/>
    <n v="216"/>
  </r>
  <r>
    <x v="63"/>
    <s v="conventional_cashout_cltv_105"/>
    <x v="145"/>
    <n v="4.9221015625000003E-2"/>
    <n v="1"/>
    <n v="-36"/>
    <n v="216"/>
  </r>
  <r>
    <x v="63"/>
    <s v="conventional_cashout_cltv_106"/>
    <x v="146"/>
    <n v="4.1652895000000002E-2"/>
    <n v="1"/>
    <n v="-36"/>
    <n v="216"/>
  </r>
  <r>
    <x v="63"/>
    <s v="conventional_cashout_cltv_107"/>
    <x v="147"/>
    <n v="3.4859806875000003E-2"/>
    <n v="1"/>
    <n v="-36"/>
    <n v="216"/>
  </r>
  <r>
    <x v="63"/>
    <s v="conventional_cashout_cltv_108"/>
    <x v="148"/>
    <n v="2.8804239999999998E-2"/>
    <n v="1"/>
    <n v="-36"/>
    <n v="216"/>
  </r>
  <r>
    <x v="63"/>
    <s v="conventional_cashout_cltv_109"/>
    <x v="149"/>
    <n v="2.3448683125000001E-2"/>
    <n v="1"/>
    <n v="-36"/>
    <n v="216"/>
  </r>
  <r>
    <x v="63"/>
    <s v="conventional_cashout_cltv_110"/>
    <x v="150"/>
    <n v="1.8755625000000001E-2"/>
    <n v="1"/>
    <n v="-36"/>
    <n v="216"/>
  </r>
  <r>
    <x v="63"/>
    <s v="conventional_cashout_cltv_111"/>
    <x v="151"/>
    <n v="1.4687554375E-2"/>
    <n v="1"/>
    <n v="-36"/>
    <n v="216"/>
  </r>
  <r>
    <x v="63"/>
    <s v="conventional_cashout_cltv_112"/>
    <x v="152"/>
    <n v="1.120696E-2"/>
    <n v="1"/>
    <n v="-36"/>
    <n v="216"/>
  </r>
  <r>
    <x v="63"/>
    <s v="conventional_cashout_cltv_113"/>
    <x v="153"/>
    <n v="8.2763306249999998E-3"/>
    <n v="1"/>
    <n v="-36"/>
    <n v="216"/>
  </r>
  <r>
    <x v="63"/>
    <s v="conventional_cashout_cltv_114"/>
    <x v="154"/>
    <n v="5.8581550000000003E-3"/>
    <n v="1"/>
    <n v="-36"/>
    <n v="216"/>
  </r>
  <r>
    <x v="63"/>
    <s v="conventional_cashout_cltv_115"/>
    <x v="155"/>
    <n v="3.9149218750000004E-3"/>
    <n v="1"/>
    <n v="-36"/>
    <n v="216"/>
  </r>
  <r>
    <x v="63"/>
    <s v="conventional_cashout_cltv_116"/>
    <x v="156"/>
    <n v="2.4091199999999899E-3"/>
    <n v="1"/>
    <n v="-36"/>
    <n v="216"/>
  </r>
  <r>
    <x v="63"/>
    <s v="conventional_cashout_cltv_117"/>
    <x v="157"/>
    <n v="1.3032381250000101E-3"/>
    <n v="1"/>
    <n v="-36"/>
    <n v="216"/>
  </r>
  <r>
    <x v="63"/>
    <s v="conventional_cashout_cltv_118"/>
    <x v="158"/>
    <n v="5.5976500000000297E-4"/>
    <n v="1"/>
    <n v="-36"/>
    <n v="216"/>
  </r>
  <r>
    <x v="63"/>
    <s v="conventional_cashout_cltv_119"/>
    <x v="159"/>
    <n v="1.4118937499999699E-4"/>
    <n v="1"/>
    <n v="-36"/>
    <n v="216"/>
  </r>
  <r>
    <x v="63"/>
    <s v="conventional_cashout_cltv_120"/>
    <x v="160"/>
    <n v="1.0000000000000001E-5"/>
    <n v="1"/>
    <n v="-36"/>
    <n v="216"/>
  </r>
  <r>
    <x v="63"/>
    <s v="conventional_cashout_cltv_121"/>
    <x v="161"/>
    <n v="1.0000000000000001E-5"/>
    <n v="1"/>
    <n v="-36"/>
    <n v="216"/>
  </r>
  <r>
    <x v="63"/>
    <s v="conventional_cashout_cltv_122"/>
    <x v="162"/>
    <n v="1.0000000000000001E-5"/>
    <n v="1"/>
    <n v="-36"/>
    <n v="216"/>
  </r>
  <r>
    <x v="63"/>
    <s v="conventional_cashout_cltv_123"/>
    <x v="163"/>
    <n v="1.0000000000000001E-5"/>
    <n v="1"/>
    <n v="-36"/>
    <n v="216"/>
  </r>
  <r>
    <x v="63"/>
    <s v="conventional_cashout_cltv_124"/>
    <x v="164"/>
    <n v="1.0000000000000001E-5"/>
    <n v="1"/>
    <n v="-36"/>
    <n v="216"/>
  </r>
  <r>
    <x v="63"/>
    <s v="conventional_cashout_cltv_125"/>
    <x v="165"/>
    <n v="1.0000000000000001E-5"/>
    <n v="1"/>
    <n v="-36"/>
    <n v="216"/>
  </r>
  <r>
    <x v="63"/>
    <s v="conventional_cashout_cltv_126"/>
    <x v="166"/>
    <n v="1.0000000000000001E-5"/>
    <n v="1"/>
    <n v="-36"/>
    <n v="216"/>
  </r>
  <r>
    <x v="63"/>
    <s v="conventional_cashout_cltv_127"/>
    <x v="167"/>
    <n v="1.0000000000000001E-5"/>
    <n v="1"/>
    <n v="-36"/>
    <n v="216"/>
  </r>
  <r>
    <x v="63"/>
    <s v="conventional_cashout_cltv_128"/>
    <x v="168"/>
    <n v="1.0000000000000001E-5"/>
    <n v="1"/>
    <n v="-36"/>
    <n v="216"/>
  </r>
  <r>
    <x v="63"/>
    <s v="conventional_cashout_cltv_129"/>
    <x v="169"/>
    <n v="1.0000000000000001E-5"/>
    <n v="1"/>
    <n v="-36"/>
    <n v="216"/>
  </r>
  <r>
    <x v="63"/>
    <s v="conventional_cashout_cltv_130"/>
    <x v="170"/>
    <n v="1.0000000000000001E-5"/>
    <n v="1"/>
    <n v="-36"/>
    <n v="216"/>
  </r>
  <r>
    <x v="63"/>
    <s v="conventional_cashout_cltv_131"/>
    <x v="171"/>
    <n v="1.0000000000000001E-5"/>
    <n v="1"/>
    <n v="-36"/>
    <n v="216"/>
  </r>
  <r>
    <x v="63"/>
    <s v="conventional_cashout_cltv_132"/>
    <x v="172"/>
    <n v="1.0000000000000001E-5"/>
    <n v="1"/>
    <n v="-36"/>
    <n v="216"/>
  </r>
  <r>
    <x v="63"/>
    <s v="conventional_cashout_cltv_133"/>
    <x v="173"/>
    <n v="1.0000000000000001E-5"/>
    <n v="1"/>
    <n v="-36"/>
    <n v="216"/>
  </r>
  <r>
    <x v="63"/>
    <s v="conventional_cashout_cltv_134"/>
    <x v="174"/>
    <n v="1.0000000000000001E-5"/>
    <n v="1"/>
    <n v="-36"/>
    <n v="216"/>
  </r>
  <r>
    <x v="63"/>
    <s v="conventional_cashout_cltv_135"/>
    <x v="175"/>
    <n v="1.0000000000000001E-5"/>
    <n v="1"/>
    <n v="-36"/>
    <n v="216"/>
  </r>
  <r>
    <x v="63"/>
    <s v="conventional_cashout_cltv_136"/>
    <x v="176"/>
    <n v="1.0000000000000001E-5"/>
    <n v="1"/>
    <n v="-36"/>
    <n v="216"/>
  </r>
  <r>
    <x v="63"/>
    <s v="conventional_cashout_cltv_137"/>
    <x v="177"/>
    <n v="1.0000000000000001E-5"/>
    <n v="1"/>
    <n v="-36"/>
    <n v="216"/>
  </r>
  <r>
    <x v="63"/>
    <s v="conventional_cashout_cltv_138"/>
    <x v="178"/>
    <n v="1.0000000000000001E-5"/>
    <n v="1"/>
    <n v="-36"/>
    <n v="216"/>
  </r>
  <r>
    <x v="63"/>
    <s v="conventional_cashout_cltv_139"/>
    <x v="179"/>
    <n v="1.0000000000000001E-5"/>
    <n v="1"/>
    <n v="-36"/>
    <n v="216"/>
  </r>
  <r>
    <x v="63"/>
    <s v="conventional_cashout_cltv_140"/>
    <x v="180"/>
    <n v="1.0000000000000001E-5"/>
    <n v="1"/>
    <n v="-36"/>
    <n v="216"/>
  </r>
  <r>
    <x v="63"/>
    <s v="conventional_cashout_cltv_141"/>
    <x v="181"/>
    <n v="1.0000000000000001E-5"/>
    <n v="1"/>
    <n v="-36"/>
    <n v="216"/>
  </r>
  <r>
    <x v="63"/>
    <s v="conventional_cashout_cltv_142"/>
    <x v="182"/>
    <n v="1.0000000000000001E-5"/>
    <n v="1"/>
    <n v="-36"/>
    <n v="216"/>
  </r>
  <r>
    <x v="63"/>
    <s v="conventional_cashout_cltv_143"/>
    <x v="183"/>
    <n v="1.0000000000000001E-5"/>
    <n v="1"/>
    <n v="-36"/>
    <n v="216"/>
  </r>
  <r>
    <x v="63"/>
    <s v="conventional_cashout_cltv_144"/>
    <x v="184"/>
    <n v="1.0000000000000001E-5"/>
    <n v="1"/>
    <n v="-36"/>
    <n v="216"/>
  </r>
  <r>
    <x v="63"/>
    <s v="conventional_cashout_cltv_145"/>
    <x v="185"/>
    <n v="1.0000000000000001E-5"/>
    <n v="1"/>
    <n v="-36"/>
    <n v="216"/>
  </r>
  <r>
    <x v="63"/>
    <s v="conventional_cashout_cltv_146"/>
    <x v="186"/>
    <n v="1.0000000000000001E-5"/>
    <n v="1"/>
    <n v="-36"/>
    <n v="216"/>
  </r>
  <r>
    <x v="63"/>
    <s v="conventional_cashout_cltv_147"/>
    <x v="187"/>
    <n v="1.0000000000000001E-5"/>
    <n v="1"/>
    <n v="-36"/>
    <n v="216"/>
  </r>
  <r>
    <x v="63"/>
    <s v="conventional_cashout_cltv_148"/>
    <x v="188"/>
    <n v="1.0000000000000001E-5"/>
    <n v="1"/>
    <n v="-36"/>
    <n v="216"/>
  </r>
  <r>
    <x v="63"/>
    <s v="conventional_cashout_cltv_149"/>
    <x v="189"/>
    <n v="1.0000000000000001E-5"/>
    <n v="1"/>
    <n v="-36"/>
    <n v="216"/>
  </r>
  <r>
    <x v="63"/>
    <s v="conventional_cashout_cltv_150"/>
    <x v="190"/>
    <n v="1.0000000000000001E-5"/>
    <n v="1"/>
    <n v="-36"/>
    <n v="216"/>
  </r>
  <r>
    <x v="63"/>
    <s v="conventional_cashout_cltv_151"/>
    <x v="191"/>
    <n v="1.0000000000000001E-5"/>
    <n v="1"/>
    <n v="-36"/>
    <n v="216"/>
  </r>
  <r>
    <x v="63"/>
    <s v="conventional_cashout_cltv_152"/>
    <x v="192"/>
    <n v="1.0000000000000001E-5"/>
    <n v="1"/>
    <n v="-36"/>
    <n v="216"/>
  </r>
  <r>
    <x v="63"/>
    <s v="conventional_cashout_cltv_153"/>
    <x v="193"/>
    <n v="1.0000000000000001E-5"/>
    <n v="1"/>
    <n v="-36"/>
    <n v="216"/>
  </r>
  <r>
    <x v="63"/>
    <s v="conventional_cashout_cltv_154"/>
    <x v="194"/>
    <n v="1.0000000000000001E-5"/>
    <n v="1"/>
    <n v="-36"/>
    <n v="216"/>
  </r>
  <r>
    <x v="63"/>
    <s v="conventional_cashout_cltv_155"/>
    <x v="195"/>
    <n v="1.0000000000000001E-5"/>
    <n v="1"/>
    <n v="-36"/>
    <n v="216"/>
  </r>
  <r>
    <x v="63"/>
    <s v="conventional_cashout_cltv_156"/>
    <x v="196"/>
    <n v="1.0000000000000001E-5"/>
    <n v="1"/>
    <n v="-36"/>
    <n v="216"/>
  </r>
  <r>
    <x v="63"/>
    <s v="conventional_cashout_cltv_157"/>
    <x v="197"/>
    <n v="1.0000000000000001E-5"/>
    <n v="1"/>
    <n v="-36"/>
    <n v="216"/>
  </r>
  <r>
    <x v="63"/>
    <s v="conventional_cashout_cltv_158"/>
    <x v="198"/>
    <n v="1.0000000000000001E-5"/>
    <n v="1"/>
    <n v="-36"/>
    <n v="216"/>
  </r>
  <r>
    <x v="63"/>
    <s v="conventional_cashout_cltv_159"/>
    <x v="199"/>
    <n v="1.0000000000000001E-5"/>
    <n v="1"/>
    <n v="-36"/>
    <n v="216"/>
  </r>
  <r>
    <x v="63"/>
    <s v="conventional_cashout_cltv_160"/>
    <x v="200"/>
    <n v="1.0000000000000001E-5"/>
    <n v="1"/>
    <n v="-36"/>
    <n v="216"/>
  </r>
  <r>
    <x v="63"/>
    <s v="conventional_cashout_cltv_161"/>
    <x v="201"/>
    <n v="1.0000000000000001E-5"/>
    <n v="1"/>
    <n v="-36"/>
    <n v="216"/>
  </r>
  <r>
    <x v="63"/>
    <s v="conventional_cashout_cltv_162"/>
    <x v="202"/>
    <n v="1.0000000000000001E-5"/>
    <n v="1"/>
    <n v="-36"/>
    <n v="216"/>
  </r>
  <r>
    <x v="63"/>
    <s v="conventional_cashout_cltv_163"/>
    <x v="203"/>
    <n v="1.0000000000000001E-5"/>
    <n v="1"/>
    <n v="-36"/>
    <n v="216"/>
  </r>
  <r>
    <x v="63"/>
    <s v="conventional_cashout_cltv_164"/>
    <x v="204"/>
    <n v="1.0000000000000001E-5"/>
    <n v="1"/>
    <n v="-36"/>
    <n v="216"/>
  </r>
  <r>
    <x v="63"/>
    <s v="conventional_cashout_cltv_165"/>
    <x v="205"/>
    <n v="1.0000000000000001E-5"/>
    <n v="1"/>
    <n v="-36"/>
    <n v="216"/>
  </r>
  <r>
    <x v="63"/>
    <s v="conventional_cashout_cltv_166"/>
    <x v="206"/>
    <n v="1.0000000000000001E-5"/>
    <n v="1"/>
    <n v="-36"/>
    <n v="216"/>
  </r>
  <r>
    <x v="63"/>
    <s v="conventional_cashout_cltv_167"/>
    <x v="207"/>
    <n v="1.0000000000000001E-5"/>
    <n v="1"/>
    <n v="-36"/>
    <n v="216"/>
  </r>
  <r>
    <x v="63"/>
    <s v="conventional_cashout_cltv_168"/>
    <x v="208"/>
    <n v="1.0000000000000001E-5"/>
    <n v="1"/>
    <n v="-36"/>
    <n v="216"/>
  </r>
  <r>
    <x v="63"/>
    <s v="conventional_cashout_cltv_169"/>
    <x v="209"/>
    <n v="1.0000000000000001E-5"/>
    <n v="1"/>
    <n v="-36"/>
    <n v="216"/>
  </r>
  <r>
    <x v="63"/>
    <s v="conventional_cashout_cltv_170"/>
    <x v="210"/>
    <n v="1.0000000000000001E-5"/>
    <n v="1"/>
    <n v="-36"/>
    <n v="216"/>
  </r>
  <r>
    <x v="63"/>
    <s v="conventional_cashout_cltv_171"/>
    <x v="211"/>
    <n v="1.0000000000000001E-5"/>
    <n v="1"/>
    <n v="-36"/>
    <n v="216"/>
  </r>
  <r>
    <x v="63"/>
    <s v="conventional_cashout_cltv_172"/>
    <x v="212"/>
    <n v="1.0000000000000001E-5"/>
    <n v="1"/>
    <n v="-36"/>
    <n v="216"/>
  </r>
  <r>
    <x v="63"/>
    <s v="conventional_cashout_cltv_173"/>
    <x v="213"/>
    <n v="1.0000000000000001E-5"/>
    <n v="1"/>
    <n v="-36"/>
    <n v="216"/>
  </r>
  <r>
    <x v="63"/>
    <s v="conventional_cashout_cltv_174"/>
    <x v="214"/>
    <n v="1.0000000000000001E-5"/>
    <n v="1"/>
    <n v="-36"/>
    <n v="216"/>
  </r>
  <r>
    <x v="63"/>
    <s v="conventional_cashout_cltv_175"/>
    <x v="215"/>
    <n v="1.0000000000000001E-5"/>
    <n v="1"/>
    <n v="-36"/>
    <n v="216"/>
  </r>
  <r>
    <x v="63"/>
    <s v="conventional_cashout_cltv_176"/>
    <x v="216"/>
    <n v="1.0000000000000001E-5"/>
    <n v="1"/>
    <n v="-36"/>
    <n v="216"/>
  </r>
  <r>
    <x v="63"/>
    <s v="conventional_cashout_cltv_177"/>
    <x v="217"/>
    <n v="1.0000000000000001E-5"/>
    <n v="1"/>
    <n v="-36"/>
    <n v="216"/>
  </r>
  <r>
    <x v="63"/>
    <s v="conventional_cashout_cltv_178"/>
    <x v="218"/>
    <n v="1.0000000000000001E-5"/>
    <n v="1"/>
    <n v="-36"/>
    <n v="216"/>
  </r>
  <r>
    <x v="63"/>
    <s v="conventional_cashout_cltv_179"/>
    <x v="219"/>
    <n v="1.0000000000000001E-5"/>
    <n v="1"/>
    <n v="-36"/>
    <n v="216"/>
  </r>
  <r>
    <x v="63"/>
    <s v="conventional_cashout_cltv_180"/>
    <x v="220"/>
    <n v="1.0000000000000001E-5"/>
    <n v="1"/>
    <n v="-36"/>
    <n v="216"/>
  </r>
  <r>
    <x v="63"/>
    <s v="conventional_cashout_cltv_181"/>
    <x v="221"/>
    <n v="1.0000000000000001E-5"/>
    <n v="1"/>
    <n v="-36"/>
    <n v="216"/>
  </r>
  <r>
    <x v="63"/>
    <s v="conventional_cashout_cltv_182"/>
    <x v="222"/>
    <n v="1.0000000000000001E-5"/>
    <n v="1"/>
    <n v="-36"/>
    <n v="216"/>
  </r>
  <r>
    <x v="63"/>
    <s v="conventional_cashout_cltv_183"/>
    <x v="223"/>
    <n v="1.0000000000000001E-5"/>
    <n v="1"/>
    <n v="-36"/>
    <n v="216"/>
  </r>
  <r>
    <x v="63"/>
    <s v="conventional_cashout_cltv_184"/>
    <x v="224"/>
    <n v="1.0000000000000001E-5"/>
    <n v="1"/>
    <n v="-36"/>
    <n v="216"/>
  </r>
  <r>
    <x v="63"/>
    <s v="conventional_cashout_cltv_185"/>
    <x v="225"/>
    <n v="1.0000000000000001E-5"/>
    <n v="1"/>
    <n v="-36"/>
    <n v="216"/>
  </r>
  <r>
    <x v="63"/>
    <s v="conventional_cashout_cltv_186"/>
    <x v="226"/>
    <n v="1.0000000000000001E-5"/>
    <n v="1"/>
    <n v="-36"/>
    <n v="216"/>
  </r>
  <r>
    <x v="63"/>
    <s v="conventional_cashout_cltv_187"/>
    <x v="227"/>
    <n v="1.0000000000000001E-5"/>
    <n v="1"/>
    <n v="-36"/>
    <n v="216"/>
  </r>
  <r>
    <x v="63"/>
    <s v="conventional_cashout_cltv_188"/>
    <x v="228"/>
    <n v="1.0000000000000001E-5"/>
    <n v="1"/>
    <n v="-36"/>
    <n v="216"/>
  </r>
  <r>
    <x v="63"/>
    <s v="conventional_cashout_cltv_189"/>
    <x v="229"/>
    <n v="1.0000000000000001E-5"/>
    <n v="1"/>
    <n v="-36"/>
    <n v="216"/>
  </r>
  <r>
    <x v="63"/>
    <s v="conventional_cashout_cltv_190"/>
    <x v="230"/>
    <n v="1.0000000000000001E-5"/>
    <n v="1"/>
    <n v="-36"/>
    <n v="216"/>
  </r>
  <r>
    <x v="63"/>
    <s v="conventional_cashout_cltv_191"/>
    <x v="231"/>
    <n v="1.0000000000000001E-5"/>
    <n v="1"/>
    <n v="-36"/>
    <n v="216"/>
  </r>
  <r>
    <x v="63"/>
    <s v="conventional_cashout_cltv_192"/>
    <x v="232"/>
    <n v="1.0000000000000001E-5"/>
    <n v="1"/>
    <n v="-36"/>
    <n v="216"/>
  </r>
  <r>
    <x v="63"/>
    <s v="conventional_cashout_cltv_193"/>
    <x v="233"/>
    <n v="1.0000000000000001E-5"/>
    <n v="1"/>
    <n v="-36"/>
    <n v="216"/>
  </r>
  <r>
    <x v="63"/>
    <s v="conventional_cashout_cltv_194"/>
    <x v="234"/>
    <n v="1.0000000000000001E-5"/>
    <n v="1"/>
    <n v="-36"/>
    <n v="216"/>
  </r>
  <r>
    <x v="63"/>
    <s v="conventional_cashout_cltv_195"/>
    <x v="235"/>
    <n v="1.0000000000000001E-5"/>
    <n v="1"/>
    <n v="-36"/>
    <n v="216"/>
  </r>
  <r>
    <x v="63"/>
    <s v="conventional_cashout_cltv_196"/>
    <x v="236"/>
    <n v="1.0000000000000001E-5"/>
    <n v="1"/>
    <n v="-36"/>
    <n v="216"/>
  </r>
  <r>
    <x v="63"/>
    <s v="conventional_cashout_cltv_197"/>
    <x v="237"/>
    <n v="1.0000000000000001E-5"/>
    <n v="1"/>
    <n v="-36"/>
    <n v="216"/>
  </r>
  <r>
    <x v="63"/>
    <s v="conventional_cashout_cltv_198"/>
    <x v="238"/>
    <n v="1.0000000000000001E-5"/>
    <n v="1"/>
    <n v="-36"/>
    <n v="216"/>
  </r>
  <r>
    <x v="63"/>
    <s v="conventional_cashout_cltv_199"/>
    <x v="239"/>
    <n v="1.0000000000000001E-5"/>
    <n v="1"/>
    <n v="-36"/>
    <n v="216"/>
  </r>
  <r>
    <x v="63"/>
    <s v="conventional_cashout_cltv_200"/>
    <x v="240"/>
    <n v="1.0000000000000001E-5"/>
    <n v="1"/>
    <n v="-36"/>
    <n v="216"/>
  </r>
  <r>
    <x v="63"/>
    <s v="conventional_cashout_cltv_201"/>
    <x v="241"/>
    <n v="1.0000000000000001E-5"/>
    <n v="1"/>
    <n v="-36"/>
    <n v="216"/>
  </r>
  <r>
    <x v="63"/>
    <s v="conventional_cashout_cltv_202"/>
    <x v="242"/>
    <n v="1.0000000000000001E-5"/>
    <n v="1"/>
    <n v="-36"/>
    <n v="216"/>
  </r>
  <r>
    <x v="63"/>
    <s v="conventional_cashout_cltv_203"/>
    <x v="243"/>
    <n v="1.0000000000000001E-5"/>
    <n v="1"/>
    <n v="-36"/>
    <n v="216"/>
  </r>
  <r>
    <x v="63"/>
    <s v="conventional_cashout_cltv_204"/>
    <x v="244"/>
    <n v="1.0000000000000001E-5"/>
    <n v="1"/>
    <n v="-36"/>
    <n v="216"/>
  </r>
  <r>
    <x v="63"/>
    <s v="conventional_cashout_cltv_205"/>
    <x v="245"/>
    <n v="1.0000000000000001E-5"/>
    <n v="1"/>
    <n v="-36"/>
    <n v="216"/>
  </r>
  <r>
    <x v="63"/>
    <s v="conventional_cashout_cltv_206"/>
    <x v="246"/>
    <n v="1.0000000000000001E-5"/>
    <n v="1"/>
    <n v="-36"/>
    <n v="216"/>
  </r>
  <r>
    <x v="63"/>
    <s v="conventional_cashout_cltv_207"/>
    <x v="247"/>
    <n v="1.0000000000000001E-5"/>
    <n v="1"/>
    <n v="-36"/>
    <n v="216"/>
  </r>
  <r>
    <x v="63"/>
    <s v="conventional_cashout_cltv_208"/>
    <x v="248"/>
    <n v="1.0000000000000001E-5"/>
    <n v="1"/>
    <n v="-36"/>
    <n v="216"/>
  </r>
  <r>
    <x v="63"/>
    <s v="conventional_cashout_cltv_209"/>
    <x v="249"/>
    <n v="1.0000000000000001E-5"/>
    <n v="1"/>
    <n v="-36"/>
    <n v="216"/>
  </r>
  <r>
    <x v="63"/>
    <s v="conventional_cashout_cltv_210"/>
    <x v="250"/>
    <n v="1.0000000000000001E-5"/>
    <n v="1"/>
    <n v="-36"/>
    <n v="216"/>
  </r>
  <r>
    <x v="63"/>
    <s v="conventional_cashout_cltv_211"/>
    <x v="251"/>
    <n v="1.0000000000000001E-5"/>
    <n v="1"/>
    <n v="-36"/>
    <n v="216"/>
  </r>
  <r>
    <x v="63"/>
    <s v="conventional_cashout_cltv_212"/>
    <x v="252"/>
    <n v="1.0000000000000001E-5"/>
    <n v="1"/>
    <n v="-36"/>
    <n v="216"/>
  </r>
  <r>
    <x v="63"/>
    <s v="conventional_cashout_cltv_213"/>
    <x v="253"/>
    <n v="1.0000000000000001E-5"/>
    <n v="1"/>
    <n v="-36"/>
    <n v="216"/>
  </r>
  <r>
    <x v="63"/>
    <s v="conventional_cashout_cltv_214"/>
    <x v="254"/>
    <n v="1.0000000000000001E-5"/>
    <n v="1"/>
    <n v="-36"/>
    <n v="216"/>
  </r>
  <r>
    <x v="63"/>
    <s v="conventional_cashout_cltv_215"/>
    <x v="255"/>
    <n v="1.0000000000000001E-5"/>
    <n v="1"/>
    <n v="-36"/>
    <n v="216"/>
  </r>
  <r>
    <x v="63"/>
    <s v="conventional_cashout_cltv_216"/>
    <x v="256"/>
    <n v="1.0000000000000001E-5"/>
    <n v="1"/>
    <n v="-36"/>
    <n v="216"/>
  </r>
  <r>
    <x v="64"/>
    <s v="conventional_cashout_pct_HARPed_-20"/>
    <x v="20"/>
    <n v="1"/>
    <n v="1"/>
    <n v="-20"/>
    <n v="120"/>
  </r>
  <r>
    <x v="64"/>
    <s v="conventional_cashout_pct_HARPed_-19"/>
    <x v="21"/>
    <n v="1"/>
    <n v="1"/>
    <n v="-20"/>
    <n v="120"/>
  </r>
  <r>
    <x v="64"/>
    <s v="conventional_cashout_pct_HARPed_-18"/>
    <x v="22"/>
    <n v="1"/>
    <n v="1"/>
    <n v="-20"/>
    <n v="120"/>
  </r>
  <r>
    <x v="64"/>
    <s v="conventional_cashout_pct_HARPed_-17"/>
    <x v="23"/>
    <n v="1"/>
    <n v="1"/>
    <n v="-20"/>
    <n v="120"/>
  </r>
  <r>
    <x v="64"/>
    <s v="conventional_cashout_pct_HARPed_-16"/>
    <x v="24"/>
    <n v="1"/>
    <n v="1"/>
    <n v="-20"/>
    <n v="120"/>
  </r>
  <r>
    <x v="64"/>
    <s v="conventional_cashout_pct_HARPed_-15"/>
    <x v="25"/>
    <n v="1"/>
    <n v="1"/>
    <n v="-20"/>
    <n v="120"/>
  </r>
  <r>
    <x v="64"/>
    <s v="conventional_cashout_pct_HARPed_-14"/>
    <x v="26"/>
    <n v="1"/>
    <n v="1"/>
    <n v="-20"/>
    <n v="120"/>
  </r>
  <r>
    <x v="64"/>
    <s v="conventional_cashout_pct_HARPed_-13"/>
    <x v="27"/>
    <n v="1"/>
    <n v="1"/>
    <n v="-20"/>
    <n v="120"/>
  </r>
  <r>
    <x v="64"/>
    <s v="conventional_cashout_pct_HARPed_-12"/>
    <x v="28"/>
    <n v="1"/>
    <n v="1"/>
    <n v="-20"/>
    <n v="120"/>
  </r>
  <r>
    <x v="64"/>
    <s v="conventional_cashout_pct_HARPed_-11"/>
    <x v="29"/>
    <n v="1"/>
    <n v="1"/>
    <n v="-20"/>
    <n v="120"/>
  </r>
  <r>
    <x v="64"/>
    <s v="conventional_cashout_pct_HARPed_-10"/>
    <x v="30"/>
    <n v="1"/>
    <n v="1"/>
    <n v="-20"/>
    <n v="120"/>
  </r>
  <r>
    <x v="64"/>
    <s v="conventional_cashout_pct_HARPed_-9"/>
    <x v="31"/>
    <n v="1"/>
    <n v="1"/>
    <n v="-20"/>
    <n v="120"/>
  </r>
  <r>
    <x v="64"/>
    <s v="conventional_cashout_pct_HARPed_-8"/>
    <x v="32"/>
    <n v="1"/>
    <n v="1"/>
    <n v="-20"/>
    <n v="120"/>
  </r>
  <r>
    <x v="64"/>
    <s v="conventional_cashout_pct_HARPed_-7"/>
    <x v="33"/>
    <n v="1"/>
    <n v="1"/>
    <n v="-20"/>
    <n v="120"/>
  </r>
  <r>
    <x v="64"/>
    <s v="conventional_cashout_pct_HARPed_-6"/>
    <x v="34"/>
    <n v="1"/>
    <n v="1"/>
    <n v="-20"/>
    <n v="120"/>
  </r>
  <r>
    <x v="64"/>
    <s v="conventional_cashout_pct_HARPed_-5"/>
    <x v="35"/>
    <n v="1"/>
    <n v="1"/>
    <n v="-20"/>
    <n v="120"/>
  </r>
  <r>
    <x v="64"/>
    <s v="conventional_cashout_pct_HARPed_-4"/>
    <x v="36"/>
    <n v="1"/>
    <n v="1"/>
    <n v="-20"/>
    <n v="120"/>
  </r>
  <r>
    <x v="64"/>
    <s v="conventional_cashout_pct_HARPed_-3"/>
    <x v="37"/>
    <n v="1"/>
    <n v="1"/>
    <n v="-20"/>
    <n v="120"/>
  </r>
  <r>
    <x v="64"/>
    <s v="conventional_cashout_pct_HARPed_-2"/>
    <x v="38"/>
    <n v="1"/>
    <n v="1"/>
    <n v="-20"/>
    <n v="120"/>
  </r>
  <r>
    <x v="64"/>
    <s v="conventional_cashout_pct_HARPed_-1"/>
    <x v="39"/>
    <n v="1"/>
    <n v="1"/>
    <n v="-20"/>
    <n v="120"/>
  </r>
  <r>
    <x v="64"/>
    <s v="conventional_cashout_pct_HARPed_0"/>
    <x v="40"/>
    <n v="1"/>
    <n v="1"/>
    <n v="-20"/>
    <n v="120"/>
  </r>
  <r>
    <x v="64"/>
    <s v="conventional_cashout_pct_HARPed_1"/>
    <x v="41"/>
    <n v="1"/>
    <n v="1"/>
    <n v="-20"/>
    <n v="120"/>
  </r>
  <r>
    <x v="64"/>
    <s v="conventional_cashout_pct_HARPed_2"/>
    <x v="42"/>
    <n v="1"/>
    <n v="1"/>
    <n v="-20"/>
    <n v="120"/>
  </r>
  <r>
    <x v="64"/>
    <s v="conventional_cashout_pct_HARPed_3"/>
    <x v="43"/>
    <n v="1"/>
    <n v="1"/>
    <n v="-20"/>
    <n v="120"/>
  </r>
  <r>
    <x v="64"/>
    <s v="conventional_cashout_pct_HARPed_4"/>
    <x v="44"/>
    <n v="1"/>
    <n v="1"/>
    <n v="-20"/>
    <n v="120"/>
  </r>
  <r>
    <x v="64"/>
    <s v="conventional_cashout_pct_HARPed_5"/>
    <x v="45"/>
    <n v="1"/>
    <n v="1"/>
    <n v="-20"/>
    <n v="120"/>
  </r>
  <r>
    <x v="64"/>
    <s v="conventional_cashout_pct_HARPed_6"/>
    <x v="46"/>
    <n v="1"/>
    <n v="1"/>
    <n v="-20"/>
    <n v="120"/>
  </r>
  <r>
    <x v="64"/>
    <s v="conventional_cashout_pct_HARPed_7"/>
    <x v="47"/>
    <n v="1"/>
    <n v="1"/>
    <n v="-20"/>
    <n v="120"/>
  </r>
  <r>
    <x v="64"/>
    <s v="conventional_cashout_pct_HARPed_8"/>
    <x v="48"/>
    <n v="1"/>
    <n v="1"/>
    <n v="-20"/>
    <n v="120"/>
  </r>
  <r>
    <x v="64"/>
    <s v="conventional_cashout_pct_HARPed_9"/>
    <x v="49"/>
    <n v="1"/>
    <n v="1"/>
    <n v="-20"/>
    <n v="120"/>
  </r>
  <r>
    <x v="64"/>
    <s v="conventional_cashout_pct_HARPed_10"/>
    <x v="50"/>
    <n v="1"/>
    <n v="1"/>
    <n v="-20"/>
    <n v="120"/>
  </r>
  <r>
    <x v="64"/>
    <s v="conventional_cashout_pct_HARPed_11"/>
    <x v="51"/>
    <n v="1"/>
    <n v="1"/>
    <n v="-20"/>
    <n v="120"/>
  </r>
  <r>
    <x v="64"/>
    <s v="conventional_cashout_pct_HARPed_12"/>
    <x v="52"/>
    <n v="1"/>
    <n v="1"/>
    <n v="-20"/>
    <n v="120"/>
  </r>
  <r>
    <x v="64"/>
    <s v="conventional_cashout_pct_HARPed_13"/>
    <x v="53"/>
    <n v="1"/>
    <n v="1"/>
    <n v="-20"/>
    <n v="120"/>
  </r>
  <r>
    <x v="64"/>
    <s v="conventional_cashout_pct_HARPed_14"/>
    <x v="54"/>
    <n v="1"/>
    <n v="1"/>
    <n v="-20"/>
    <n v="120"/>
  </r>
  <r>
    <x v="64"/>
    <s v="conventional_cashout_pct_HARPed_15"/>
    <x v="55"/>
    <n v="1"/>
    <n v="1"/>
    <n v="-20"/>
    <n v="120"/>
  </r>
  <r>
    <x v="64"/>
    <s v="conventional_cashout_pct_HARPed_16"/>
    <x v="56"/>
    <n v="1"/>
    <n v="1"/>
    <n v="-20"/>
    <n v="120"/>
  </r>
  <r>
    <x v="64"/>
    <s v="conventional_cashout_pct_HARPed_17"/>
    <x v="57"/>
    <n v="1"/>
    <n v="1"/>
    <n v="-20"/>
    <n v="120"/>
  </r>
  <r>
    <x v="64"/>
    <s v="conventional_cashout_pct_HARPed_18"/>
    <x v="58"/>
    <n v="1"/>
    <n v="1"/>
    <n v="-20"/>
    <n v="120"/>
  </r>
  <r>
    <x v="64"/>
    <s v="conventional_cashout_pct_HARPed_19"/>
    <x v="59"/>
    <n v="1"/>
    <n v="1"/>
    <n v="-20"/>
    <n v="120"/>
  </r>
  <r>
    <x v="64"/>
    <s v="conventional_cashout_pct_HARPed_20"/>
    <x v="60"/>
    <n v="1"/>
    <n v="1"/>
    <n v="-20"/>
    <n v="120"/>
  </r>
  <r>
    <x v="64"/>
    <s v="conventional_cashout_pct_HARPed_21"/>
    <x v="61"/>
    <n v="1"/>
    <n v="1"/>
    <n v="-20"/>
    <n v="120"/>
  </r>
  <r>
    <x v="64"/>
    <s v="conventional_cashout_pct_HARPed_22"/>
    <x v="62"/>
    <n v="1"/>
    <n v="1"/>
    <n v="-20"/>
    <n v="120"/>
  </r>
  <r>
    <x v="64"/>
    <s v="conventional_cashout_pct_HARPed_23"/>
    <x v="63"/>
    <n v="1"/>
    <n v="1"/>
    <n v="-20"/>
    <n v="120"/>
  </r>
  <r>
    <x v="64"/>
    <s v="conventional_cashout_pct_HARPed_24"/>
    <x v="64"/>
    <n v="1"/>
    <n v="1"/>
    <n v="-20"/>
    <n v="120"/>
  </r>
  <r>
    <x v="64"/>
    <s v="conventional_cashout_pct_HARPed_25"/>
    <x v="65"/>
    <n v="1"/>
    <n v="1"/>
    <n v="-20"/>
    <n v="120"/>
  </r>
  <r>
    <x v="64"/>
    <s v="conventional_cashout_pct_HARPed_26"/>
    <x v="66"/>
    <n v="1"/>
    <n v="1"/>
    <n v="-20"/>
    <n v="120"/>
  </r>
  <r>
    <x v="64"/>
    <s v="conventional_cashout_pct_HARPed_27"/>
    <x v="67"/>
    <n v="1"/>
    <n v="1"/>
    <n v="-20"/>
    <n v="120"/>
  </r>
  <r>
    <x v="64"/>
    <s v="conventional_cashout_pct_HARPed_28"/>
    <x v="68"/>
    <n v="1"/>
    <n v="1"/>
    <n v="-20"/>
    <n v="120"/>
  </r>
  <r>
    <x v="64"/>
    <s v="conventional_cashout_pct_HARPed_29"/>
    <x v="69"/>
    <n v="1"/>
    <n v="1"/>
    <n v="-20"/>
    <n v="120"/>
  </r>
  <r>
    <x v="64"/>
    <s v="conventional_cashout_pct_HARPed_30"/>
    <x v="70"/>
    <n v="1"/>
    <n v="1"/>
    <n v="-20"/>
    <n v="120"/>
  </r>
  <r>
    <x v="64"/>
    <s v="conventional_cashout_pct_HARPed_31"/>
    <x v="71"/>
    <n v="1"/>
    <n v="1"/>
    <n v="-20"/>
    <n v="120"/>
  </r>
  <r>
    <x v="64"/>
    <s v="conventional_cashout_pct_HARPed_32"/>
    <x v="72"/>
    <n v="1"/>
    <n v="1"/>
    <n v="-20"/>
    <n v="120"/>
  </r>
  <r>
    <x v="64"/>
    <s v="conventional_cashout_pct_HARPed_33"/>
    <x v="73"/>
    <n v="1"/>
    <n v="1"/>
    <n v="-20"/>
    <n v="120"/>
  </r>
  <r>
    <x v="64"/>
    <s v="conventional_cashout_pct_HARPed_34"/>
    <x v="74"/>
    <n v="1"/>
    <n v="1"/>
    <n v="-20"/>
    <n v="120"/>
  </r>
  <r>
    <x v="64"/>
    <s v="conventional_cashout_pct_HARPed_35"/>
    <x v="75"/>
    <n v="1"/>
    <n v="1"/>
    <n v="-20"/>
    <n v="120"/>
  </r>
  <r>
    <x v="64"/>
    <s v="conventional_cashout_pct_HARPed_36"/>
    <x v="76"/>
    <n v="1"/>
    <n v="1"/>
    <n v="-20"/>
    <n v="120"/>
  </r>
  <r>
    <x v="64"/>
    <s v="conventional_cashout_pct_HARPed_37"/>
    <x v="77"/>
    <n v="1"/>
    <n v="1"/>
    <n v="-20"/>
    <n v="120"/>
  </r>
  <r>
    <x v="64"/>
    <s v="conventional_cashout_pct_HARPed_38"/>
    <x v="78"/>
    <n v="1"/>
    <n v="1"/>
    <n v="-20"/>
    <n v="120"/>
  </r>
  <r>
    <x v="64"/>
    <s v="conventional_cashout_pct_HARPed_39"/>
    <x v="79"/>
    <n v="1"/>
    <n v="1"/>
    <n v="-20"/>
    <n v="120"/>
  </r>
  <r>
    <x v="64"/>
    <s v="conventional_cashout_pct_HARPed_40"/>
    <x v="80"/>
    <n v="1"/>
    <n v="1"/>
    <n v="-20"/>
    <n v="120"/>
  </r>
  <r>
    <x v="64"/>
    <s v="conventional_cashout_pct_HARPed_41"/>
    <x v="81"/>
    <n v="1"/>
    <n v="1"/>
    <n v="-20"/>
    <n v="120"/>
  </r>
  <r>
    <x v="64"/>
    <s v="conventional_cashout_pct_HARPed_42"/>
    <x v="82"/>
    <n v="1"/>
    <n v="1"/>
    <n v="-20"/>
    <n v="120"/>
  </r>
  <r>
    <x v="64"/>
    <s v="conventional_cashout_pct_HARPed_43"/>
    <x v="83"/>
    <n v="1"/>
    <n v="1"/>
    <n v="-20"/>
    <n v="120"/>
  </r>
  <r>
    <x v="64"/>
    <s v="conventional_cashout_pct_HARPed_44"/>
    <x v="84"/>
    <n v="1"/>
    <n v="1"/>
    <n v="-20"/>
    <n v="120"/>
  </r>
  <r>
    <x v="64"/>
    <s v="conventional_cashout_pct_HARPed_45"/>
    <x v="85"/>
    <n v="1"/>
    <n v="1"/>
    <n v="-20"/>
    <n v="120"/>
  </r>
  <r>
    <x v="64"/>
    <s v="conventional_cashout_pct_HARPed_46"/>
    <x v="86"/>
    <n v="1"/>
    <n v="1"/>
    <n v="-20"/>
    <n v="120"/>
  </r>
  <r>
    <x v="64"/>
    <s v="conventional_cashout_pct_HARPed_47"/>
    <x v="87"/>
    <n v="1"/>
    <n v="1"/>
    <n v="-20"/>
    <n v="120"/>
  </r>
  <r>
    <x v="64"/>
    <s v="conventional_cashout_pct_HARPed_48"/>
    <x v="88"/>
    <n v="1"/>
    <n v="1"/>
    <n v="-20"/>
    <n v="120"/>
  </r>
  <r>
    <x v="64"/>
    <s v="conventional_cashout_pct_HARPed_49"/>
    <x v="89"/>
    <n v="1"/>
    <n v="1"/>
    <n v="-20"/>
    <n v="120"/>
  </r>
  <r>
    <x v="64"/>
    <s v="conventional_cashout_pct_HARPed_50"/>
    <x v="90"/>
    <n v="1"/>
    <n v="1"/>
    <n v="-20"/>
    <n v="120"/>
  </r>
  <r>
    <x v="64"/>
    <s v="conventional_cashout_pct_HARPed_51"/>
    <x v="91"/>
    <n v="1"/>
    <n v="1"/>
    <n v="-20"/>
    <n v="120"/>
  </r>
  <r>
    <x v="64"/>
    <s v="conventional_cashout_pct_HARPed_52"/>
    <x v="92"/>
    <n v="1"/>
    <n v="1"/>
    <n v="-20"/>
    <n v="120"/>
  </r>
  <r>
    <x v="64"/>
    <s v="conventional_cashout_pct_HARPed_53"/>
    <x v="93"/>
    <n v="1"/>
    <n v="1"/>
    <n v="-20"/>
    <n v="120"/>
  </r>
  <r>
    <x v="64"/>
    <s v="conventional_cashout_pct_HARPed_54"/>
    <x v="94"/>
    <n v="1"/>
    <n v="1"/>
    <n v="-20"/>
    <n v="120"/>
  </r>
  <r>
    <x v="64"/>
    <s v="conventional_cashout_pct_HARPed_55"/>
    <x v="95"/>
    <n v="1"/>
    <n v="1"/>
    <n v="-20"/>
    <n v="120"/>
  </r>
  <r>
    <x v="64"/>
    <s v="conventional_cashout_pct_HARPed_56"/>
    <x v="96"/>
    <n v="1"/>
    <n v="1"/>
    <n v="-20"/>
    <n v="120"/>
  </r>
  <r>
    <x v="64"/>
    <s v="conventional_cashout_pct_HARPed_57"/>
    <x v="97"/>
    <n v="1"/>
    <n v="1"/>
    <n v="-20"/>
    <n v="120"/>
  </r>
  <r>
    <x v="64"/>
    <s v="conventional_cashout_pct_HARPed_58"/>
    <x v="98"/>
    <n v="1"/>
    <n v="1"/>
    <n v="-20"/>
    <n v="120"/>
  </r>
  <r>
    <x v="64"/>
    <s v="conventional_cashout_pct_HARPed_59"/>
    <x v="99"/>
    <n v="1"/>
    <n v="1"/>
    <n v="-20"/>
    <n v="120"/>
  </r>
  <r>
    <x v="64"/>
    <s v="conventional_cashout_pct_HARPed_60"/>
    <x v="100"/>
    <n v="1"/>
    <n v="1"/>
    <n v="-20"/>
    <n v="120"/>
  </r>
  <r>
    <x v="64"/>
    <s v="conventional_cashout_pct_HARPed_61"/>
    <x v="101"/>
    <n v="1"/>
    <n v="1"/>
    <n v="-20"/>
    <n v="120"/>
  </r>
  <r>
    <x v="64"/>
    <s v="conventional_cashout_pct_HARPed_62"/>
    <x v="102"/>
    <n v="1"/>
    <n v="1"/>
    <n v="-20"/>
    <n v="120"/>
  </r>
  <r>
    <x v="64"/>
    <s v="conventional_cashout_pct_HARPed_63"/>
    <x v="103"/>
    <n v="1"/>
    <n v="1"/>
    <n v="-20"/>
    <n v="120"/>
  </r>
  <r>
    <x v="64"/>
    <s v="conventional_cashout_pct_HARPed_64"/>
    <x v="104"/>
    <n v="1"/>
    <n v="1"/>
    <n v="-20"/>
    <n v="120"/>
  </r>
  <r>
    <x v="64"/>
    <s v="conventional_cashout_pct_HARPed_65"/>
    <x v="105"/>
    <n v="1"/>
    <n v="1"/>
    <n v="-20"/>
    <n v="120"/>
  </r>
  <r>
    <x v="64"/>
    <s v="conventional_cashout_pct_HARPed_66"/>
    <x v="106"/>
    <n v="1"/>
    <n v="1"/>
    <n v="-20"/>
    <n v="120"/>
  </r>
  <r>
    <x v="64"/>
    <s v="conventional_cashout_pct_HARPed_67"/>
    <x v="107"/>
    <n v="1"/>
    <n v="1"/>
    <n v="-20"/>
    <n v="120"/>
  </r>
  <r>
    <x v="64"/>
    <s v="conventional_cashout_pct_HARPed_68"/>
    <x v="108"/>
    <n v="1"/>
    <n v="1"/>
    <n v="-20"/>
    <n v="120"/>
  </r>
  <r>
    <x v="64"/>
    <s v="conventional_cashout_pct_HARPed_69"/>
    <x v="109"/>
    <n v="1"/>
    <n v="1"/>
    <n v="-20"/>
    <n v="120"/>
  </r>
  <r>
    <x v="64"/>
    <s v="conventional_cashout_pct_HARPed_70"/>
    <x v="110"/>
    <n v="1"/>
    <n v="1"/>
    <n v="-20"/>
    <n v="120"/>
  </r>
  <r>
    <x v="64"/>
    <s v="conventional_cashout_pct_HARPed_71"/>
    <x v="111"/>
    <n v="1"/>
    <n v="1"/>
    <n v="-20"/>
    <n v="120"/>
  </r>
  <r>
    <x v="64"/>
    <s v="conventional_cashout_pct_HARPed_72"/>
    <x v="112"/>
    <n v="1"/>
    <n v="1"/>
    <n v="-20"/>
    <n v="120"/>
  </r>
  <r>
    <x v="64"/>
    <s v="conventional_cashout_pct_HARPed_73"/>
    <x v="113"/>
    <n v="1"/>
    <n v="1"/>
    <n v="-20"/>
    <n v="120"/>
  </r>
  <r>
    <x v="64"/>
    <s v="conventional_cashout_pct_HARPed_74"/>
    <x v="114"/>
    <n v="1"/>
    <n v="1"/>
    <n v="-20"/>
    <n v="120"/>
  </r>
  <r>
    <x v="64"/>
    <s v="conventional_cashout_pct_HARPed_75"/>
    <x v="115"/>
    <n v="1"/>
    <n v="1"/>
    <n v="-20"/>
    <n v="120"/>
  </r>
  <r>
    <x v="64"/>
    <s v="conventional_cashout_pct_HARPed_76"/>
    <x v="116"/>
    <n v="1"/>
    <n v="1"/>
    <n v="-20"/>
    <n v="120"/>
  </r>
  <r>
    <x v="64"/>
    <s v="conventional_cashout_pct_HARPed_77"/>
    <x v="117"/>
    <n v="1"/>
    <n v="1"/>
    <n v="-20"/>
    <n v="120"/>
  </r>
  <r>
    <x v="64"/>
    <s v="conventional_cashout_pct_HARPed_78"/>
    <x v="118"/>
    <n v="1"/>
    <n v="1"/>
    <n v="-20"/>
    <n v="120"/>
  </r>
  <r>
    <x v="64"/>
    <s v="conventional_cashout_pct_HARPed_79"/>
    <x v="119"/>
    <n v="1"/>
    <n v="1"/>
    <n v="-20"/>
    <n v="120"/>
  </r>
  <r>
    <x v="64"/>
    <s v="conventional_cashout_pct_HARPed_80"/>
    <x v="120"/>
    <n v="1"/>
    <n v="1"/>
    <n v="-20"/>
    <n v="120"/>
  </r>
  <r>
    <x v="64"/>
    <s v="conventional_cashout_pct_HARPed_81"/>
    <x v="121"/>
    <n v="1"/>
    <n v="1"/>
    <n v="-20"/>
    <n v="120"/>
  </r>
  <r>
    <x v="64"/>
    <s v="conventional_cashout_pct_HARPed_82"/>
    <x v="122"/>
    <n v="1"/>
    <n v="1"/>
    <n v="-20"/>
    <n v="120"/>
  </r>
  <r>
    <x v="64"/>
    <s v="conventional_cashout_pct_HARPed_83"/>
    <x v="123"/>
    <n v="1"/>
    <n v="1"/>
    <n v="-20"/>
    <n v="120"/>
  </r>
  <r>
    <x v="64"/>
    <s v="conventional_cashout_pct_HARPed_84"/>
    <x v="124"/>
    <n v="1"/>
    <n v="1"/>
    <n v="-20"/>
    <n v="120"/>
  </r>
  <r>
    <x v="64"/>
    <s v="conventional_cashout_pct_HARPed_85"/>
    <x v="125"/>
    <n v="1"/>
    <n v="1"/>
    <n v="-20"/>
    <n v="120"/>
  </r>
  <r>
    <x v="64"/>
    <s v="conventional_cashout_pct_HARPed_86"/>
    <x v="126"/>
    <n v="1"/>
    <n v="1"/>
    <n v="-20"/>
    <n v="120"/>
  </r>
  <r>
    <x v="64"/>
    <s v="conventional_cashout_pct_HARPed_87"/>
    <x v="127"/>
    <n v="1"/>
    <n v="1"/>
    <n v="-20"/>
    <n v="120"/>
  </r>
  <r>
    <x v="64"/>
    <s v="conventional_cashout_pct_HARPed_88"/>
    <x v="128"/>
    <n v="1"/>
    <n v="1"/>
    <n v="-20"/>
    <n v="120"/>
  </r>
  <r>
    <x v="64"/>
    <s v="conventional_cashout_pct_HARPed_89"/>
    <x v="129"/>
    <n v="1"/>
    <n v="1"/>
    <n v="-20"/>
    <n v="120"/>
  </r>
  <r>
    <x v="64"/>
    <s v="conventional_cashout_pct_HARPed_90"/>
    <x v="130"/>
    <n v="1"/>
    <n v="1"/>
    <n v="-20"/>
    <n v="120"/>
  </r>
  <r>
    <x v="64"/>
    <s v="conventional_cashout_pct_HARPed_91"/>
    <x v="131"/>
    <n v="1"/>
    <n v="1"/>
    <n v="-20"/>
    <n v="120"/>
  </r>
  <r>
    <x v="64"/>
    <s v="conventional_cashout_pct_HARPed_92"/>
    <x v="132"/>
    <n v="1"/>
    <n v="1"/>
    <n v="-20"/>
    <n v="120"/>
  </r>
  <r>
    <x v="64"/>
    <s v="conventional_cashout_pct_HARPed_93"/>
    <x v="133"/>
    <n v="1"/>
    <n v="1"/>
    <n v="-20"/>
    <n v="120"/>
  </r>
  <r>
    <x v="64"/>
    <s v="conventional_cashout_pct_HARPed_94"/>
    <x v="134"/>
    <n v="1"/>
    <n v="1"/>
    <n v="-20"/>
    <n v="120"/>
  </r>
  <r>
    <x v="64"/>
    <s v="conventional_cashout_pct_HARPed_95"/>
    <x v="135"/>
    <n v="1"/>
    <n v="1"/>
    <n v="-20"/>
    <n v="120"/>
  </r>
  <r>
    <x v="64"/>
    <s v="conventional_cashout_pct_HARPed_96"/>
    <x v="136"/>
    <n v="1"/>
    <n v="1"/>
    <n v="-20"/>
    <n v="120"/>
  </r>
  <r>
    <x v="64"/>
    <s v="conventional_cashout_pct_HARPed_97"/>
    <x v="137"/>
    <n v="1"/>
    <n v="1"/>
    <n v="-20"/>
    <n v="120"/>
  </r>
  <r>
    <x v="64"/>
    <s v="conventional_cashout_pct_HARPed_98"/>
    <x v="138"/>
    <n v="1"/>
    <n v="1"/>
    <n v="-20"/>
    <n v="120"/>
  </r>
  <r>
    <x v="64"/>
    <s v="conventional_cashout_pct_HARPed_99"/>
    <x v="139"/>
    <n v="1"/>
    <n v="1"/>
    <n v="-20"/>
    <n v="120"/>
  </r>
  <r>
    <x v="64"/>
    <s v="conventional_cashout_pct_HARPed_100"/>
    <x v="140"/>
    <n v="1"/>
    <n v="1"/>
    <n v="-20"/>
    <n v="120"/>
  </r>
  <r>
    <x v="64"/>
    <s v="conventional_cashout_pct_HARPed_101"/>
    <x v="141"/>
    <n v="1"/>
    <n v="1"/>
    <n v="-20"/>
    <n v="120"/>
  </r>
  <r>
    <x v="64"/>
    <s v="conventional_cashout_pct_HARPed_102"/>
    <x v="142"/>
    <n v="1"/>
    <n v="1"/>
    <n v="-20"/>
    <n v="120"/>
  </r>
  <r>
    <x v="64"/>
    <s v="conventional_cashout_pct_HARPed_103"/>
    <x v="143"/>
    <n v="1"/>
    <n v="1"/>
    <n v="-20"/>
    <n v="120"/>
  </r>
  <r>
    <x v="64"/>
    <s v="conventional_cashout_pct_HARPed_104"/>
    <x v="144"/>
    <n v="1"/>
    <n v="1"/>
    <n v="-20"/>
    <n v="120"/>
  </r>
  <r>
    <x v="64"/>
    <s v="conventional_cashout_pct_HARPed_105"/>
    <x v="145"/>
    <n v="1"/>
    <n v="1"/>
    <n v="-20"/>
    <n v="120"/>
  </r>
  <r>
    <x v="64"/>
    <s v="conventional_cashout_pct_HARPed_106"/>
    <x v="146"/>
    <n v="1"/>
    <n v="1"/>
    <n v="-20"/>
    <n v="120"/>
  </r>
  <r>
    <x v="64"/>
    <s v="conventional_cashout_pct_HARPed_107"/>
    <x v="147"/>
    <n v="1"/>
    <n v="1"/>
    <n v="-20"/>
    <n v="120"/>
  </r>
  <r>
    <x v="64"/>
    <s v="conventional_cashout_pct_HARPed_108"/>
    <x v="148"/>
    <n v="1"/>
    <n v="1"/>
    <n v="-20"/>
    <n v="120"/>
  </r>
  <r>
    <x v="64"/>
    <s v="conventional_cashout_pct_HARPed_109"/>
    <x v="149"/>
    <n v="1"/>
    <n v="1"/>
    <n v="-20"/>
    <n v="120"/>
  </r>
  <r>
    <x v="64"/>
    <s v="conventional_cashout_pct_HARPed_110"/>
    <x v="150"/>
    <n v="1"/>
    <n v="1"/>
    <n v="-20"/>
    <n v="120"/>
  </r>
  <r>
    <x v="64"/>
    <s v="conventional_cashout_pct_HARPed_111"/>
    <x v="151"/>
    <n v="1"/>
    <n v="1"/>
    <n v="-20"/>
    <n v="120"/>
  </r>
  <r>
    <x v="64"/>
    <s v="conventional_cashout_pct_HARPed_112"/>
    <x v="152"/>
    <n v="1"/>
    <n v="1"/>
    <n v="-20"/>
    <n v="120"/>
  </r>
  <r>
    <x v="64"/>
    <s v="conventional_cashout_pct_HARPed_113"/>
    <x v="153"/>
    <n v="1"/>
    <n v="1"/>
    <n v="-20"/>
    <n v="120"/>
  </r>
  <r>
    <x v="64"/>
    <s v="conventional_cashout_pct_HARPed_114"/>
    <x v="154"/>
    <n v="1"/>
    <n v="1"/>
    <n v="-20"/>
    <n v="120"/>
  </r>
  <r>
    <x v="64"/>
    <s v="conventional_cashout_pct_HARPed_115"/>
    <x v="155"/>
    <n v="1"/>
    <n v="1"/>
    <n v="-20"/>
    <n v="120"/>
  </r>
  <r>
    <x v="64"/>
    <s v="conventional_cashout_pct_HARPed_116"/>
    <x v="156"/>
    <n v="1"/>
    <n v="1"/>
    <n v="-20"/>
    <n v="120"/>
  </r>
  <r>
    <x v="64"/>
    <s v="conventional_cashout_pct_HARPed_117"/>
    <x v="157"/>
    <n v="1"/>
    <n v="1"/>
    <n v="-20"/>
    <n v="120"/>
  </r>
  <r>
    <x v="64"/>
    <s v="conventional_cashout_pct_HARPed_118"/>
    <x v="158"/>
    <n v="1"/>
    <n v="1"/>
    <n v="-20"/>
    <n v="120"/>
  </r>
  <r>
    <x v="64"/>
    <s v="conventional_cashout_pct_HARPed_119"/>
    <x v="159"/>
    <n v="1"/>
    <n v="1"/>
    <n v="-20"/>
    <n v="120"/>
  </r>
  <r>
    <x v="64"/>
    <s v="conventional_cashout_pct_HARPed_120"/>
    <x v="160"/>
    <n v="1"/>
    <n v="1"/>
    <n v="-20"/>
    <n v="120"/>
  </r>
  <r>
    <x v="65"/>
    <s v="conventional_cashout_wacls_-160"/>
    <x v="1111"/>
    <n v="0.64"/>
    <n v="1"/>
    <n v="-160"/>
    <n v="960"/>
  </r>
  <r>
    <x v="65"/>
    <s v="conventional_cashout_wacls_-159"/>
    <x v="1112"/>
    <n v="0.64"/>
    <n v="1"/>
    <n v="-160"/>
    <n v="960"/>
  </r>
  <r>
    <x v="65"/>
    <s v="conventional_cashout_wacls_-158"/>
    <x v="1113"/>
    <n v="0.64"/>
    <n v="1"/>
    <n v="-160"/>
    <n v="960"/>
  </r>
  <r>
    <x v="65"/>
    <s v="conventional_cashout_wacls_-157"/>
    <x v="1114"/>
    <n v="0.64"/>
    <n v="1"/>
    <n v="-160"/>
    <n v="960"/>
  </r>
  <r>
    <x v="65"/>
    <s v="conventional_cashout_wacls_-156"/>
    <x v="1115"/>
    <n v="0.64"/>
    <n v="1"/>
    <n v="-160"/>
    <n v="960"/>
  </r>
  <r>
    <x v="65"/>
    <s v="conventional_cashout_wacls_-155"/>
    <x v="1116"/>
    <n v="0.64"/>
    <n v="1"/>
    <n v="-160"/>
    <n v="960"/>
  </r>
  <r>
    <x v="65"/>
    <s v="conventional_cashout_wacls_-154"/>
    <x v="1117"/>
    <n v="0.64"/>
    <n v="1"/>
    <n v="-160"/>
    <n v="960"/>
  </r>
  <r>
    <x v="65"/>
    <s v="conventional_cashout_wacls_-153"/>
    <x v="1118"/>
    <n v="0.64"/>
    <n v="1"/>
    <n v="-160"/>
    <n v="960"/>
  </r>
  <r>
    <x v="65"/>
    <s v="conventional_cashout_wacls_-152"/>
    <x v="1119"/>
    <n v="0.64"/>
    <n v="1"/>
    <n v="-160"/>
    <n v="960"/>
  </r>
  <r>
    <x v="65"/>
    <s v="conventional_cashout_wacls_-151"/>
    <x v="1120"/>
    <n v="0.64"/>
    <n v="1"/>
    <n v="-160"/>
    <n v="960"/>
  </r>
  <r>
    <x v="65"/>
    <s v="conventional_cashout_wacls_-150"/>
    <x v="1121"/>
    <n v="0.64"/>
    <n v="1"/>
    <n v="-160"/>
    <n v="960"/>
  </r>
  <r>
    <x v="65"/>
    <s v="conventional_cashout_wacls_-149"/>
    <x v="1122"/>
    <n v="0.64"/>
    <n v="1"/>
    <n v="-160"/>
    <n v="960"/>
  </r>
  <r>
    <x v="65"/>
    <s v="conventional_cashout_wacls_-148"/>
    <x v="1123"/>
    <n v="0.64"/>
    <n v="1"/>
    <n v="-160"/>
    <n v="960"/>
  </r>
  <r>
    <x v="65"/>
    <s v="conventional_cashout_wacls_-147"/>
    <x v="1124"/>
    <n v="0.64"/>
    <n v="1"/>
    <n v="-160"/>
    <n v="960"/>
  </r>
  <r>
    <x v="65"/>
    <s v="conventional_cashout_wacls_-146"/>
    <x v="1125"/>
    <n v="0.64"/>
    <n v="1"/>
    <n v="-160"/>
    <n v="960"/>
  </r>
  <r>
    <x v="65"/>
    <s v="conventional_cashout_wacls_-145"/>
    <x v="1126"/>
    <n v="0.64"/>
    <n v="1"/>
    <n v="-160"/>
    <n v="960"/>
  </r>
  <r>
    <x v="65"/>
    <s v="conventional_cashout_wacls_-144"/>
    <x v="1127"/>
    <n v="0.64"/>
    <n v="1"/>
    <n v="-160"/>
    <n v="960"/>
  </r>
  <r>
    <x v="65"/>
    <s v="conventional_cashout_wacls_-143"/>
    <x v="1128"/>
    <n v="0.64"/>
    <n v="1"/>
    <n v="-160"/>
    <n v="960"/>
  </r>
  <r>
    <x v="65"/>
    <s v="conventional_cashout_wacls_-142"/>
    <x v="1129"/>
    <n v="0.64"/>
    <n v="1"/>
    <n v="-160"/>
    <n v="960"/>
  </r>
  <r>
    <x v="65"/>
    <s v="conventional_cashout_wacls_-141"/>
    <x v="1130"/>
    <n v="0.64"/>
    <n v="1"/>
    <n v="-160"/>
    <n v="960"/>
  </r>
  <r>
    <x v="65"/>
    <s v="conventional_cashout_wacls_-140"/>
    <x v="1131"/>
    <n v="0.64"/>
    <n v="1"/>
    <n v="-160"/>
    <n v="960"/>
  </r>
  <r>
    <x v="65"/>
    <s v="conventional_cashout_wacls_-139"/>
    <x v="1132"/>
    <n v="0.64"/>
    <n v="1"/>
    <n v="-160"/>
    <n v="960"/>
  </r>
  <r>
    <x v="65"/>
    <s v="conventional_cashout_wacls_-138"/>
    <x v="1133"/>
    <n v="0.64"/>
    <n v="1"/>
    <n v="-160"/>
    <n v="960"/>
  </r>
  <r>
    <x v="65"/>
    <s v="conventional_cashout_wacls_-137"/>
    <x v="1134"/>
    <n v="0.64"/>
    <n v="1"/>
    <n v="-160"/>
    <n v="960"/>
  </r>
  <r>
    <x v="65"/>
    <s v="conventional_cashout_wacls_-136"/>
    <x v="1135"/>
    <n v="0.64"/>
    <n v="1"/>
    <n v="-160"/>
    <n v="960"/>
  </r>
  <r>
    <x v="65"/>
    <s v="conventional_cashout_wacls_-135"/>
    <x v="1136"/>
    <n v="0.64"/>
    <n v="1"/>
    <n v="-160"/>
    <n v="960"/>
  </r>
  <r>
    <x v="65"/>
    <s v="conventional_cashout_wacls_-134"/>
    <x v="1137"/>
    <n v="0.64"/>
    <n v="1"/>
    <n v="-160"/>
    <n v="960"/>
  </r>
  <r>
    <x v="65"/>
    <s v="conventional_cashout_wacls_-133"/>
    <x v="1138"/>
    <n v="0.64"/>
    <n v="1"/>
    <n v="-160"/>
    <n v="960"/>
  </r>
  <r>
    <x v="65"/>
    <s v="conventional_cashout_wacls_-132"/>
    <x v="1139"/>
    <n v="0.64"/>
    <n v="1"/>
    <n v="-160"/>
    <n v="960"/>
  </r>
  <r>
    <x v="65"/>
    <s v="conventional_cashout_wacls_-131"/>
    <x v="1140"/>
    <n v="0.64"/>
    <n v="1"/>
    <n v="-160"/>
    <n v="960"/>
  </r>
  <r>
    <x v="65"/>
    <s v="conventional_cashout_wacls_-130"/>
    <x v="1141"/>
    <n v="0.64"/>
    <n v="1"/>
    <n v="-160"/>
    <n v="960"/>
  </r>
  <r>
    <x v="65"/>
    <s v="conventional_cashout_wacls_-129"/>
    <x v="1142"/>
    <n v="0.64"/>
    <n v="1"/>
    <n v="-160"/>
    <n v="960"/>
  </r>
  <r>
    <x v="65"/>
    <s v="conventional_cashout_wacls_-128"/>
    <x v="1143"/>
    <n v="0.64"/>
    <n v="1"/>
    <n v="-160"/>
    <n v="960"/>
  </r>
  <r>
    <x v="65"/>
    <s v="conventional_cashout_wacls_-127"/>
    <x v="1144"/>
    <n v="0.64"/>
    <n v="1"/>
    <n v="-160"/>
    <n v="960"/>
  </r>
  <r>
    <x v="65"/>
    <s v="conventional_cashout_wacls_-126"/>
    <x v="1145"/>
    <n v="0.64"/>
    <n v="1"/>
    <n v="-160"/>
    <n v="960"/>
  </r>
  <r>
    <x v="65"/>
    <s v="conventional_cashout_wacls_-125"/>
    <x v="1146"/>
    <n v="0.64"/>
    <n v="1"/>
    <n v="-160"/>
    <n v="960"/>
  </r>
  <r>
    <x v="65"/>
    <s v="conventional_cashout_wacls_-124"/>
    <x v="1147"/>
    <n v="0.64"/>
    <n v="1"/>
    <n v="-160"/>
    <n v="960"/>
  </r>
  <r>
    <x v="65"/>
    <s v="conventional_cashout_wacls_-123"/>
    <x v="1148"/>
    <n v="0.64"/>
    <n v="1"/>
    <n v="-160"/>
    <n v="960"/>
  </r>
  <r>
    <x v="65"/>
    <s v="conventional_cashout_wacls_-122"/>
    <x v="1149"/>
    <n v="0.64"/>
    <n v="1"/>
    <n v="-160"/>
    <n v="960"/>
  </r>
  <r>
    <x v="65"/>
    <s v="conventional_cashout_wacls_-121"/>
    <x v="1150"/>
    <n v="0.64"/>
    <n v="1"/>
    <n v="-160"/>
    <n v="960"/>
  </r>
  <r>
    <x v="65"/>
    <s v="conventional_cashout_wacls_-120"/>
    <x v="1151"/>
    <n v="0.64"/>
    <n v="1"/>
    <n v="-160"/>
    <n v="960"/>
  </r>
  <r>
    <x v="65"/>
    <s v="conventional_cashout_wacls_-119"/>
    <x v="1152"/>
    <n v="0.64"/>
    <n v="1"/>
    <n v="-160"/>
    <n v="960"/>
  </r>
  <r>
    <x v="65"/>
    <s v="conventional_cashout_wacls_-118"/>
    <x v="1153"/>
    <n v="0.64"/>
    <n v="1"/>
    <n v="-160"/>
    <n v="960"/>
  </r>
  <r>
    <x v="65"/>
    <s v="conventional_cashout_wacls_-117"/>
    <x v="1154"/>
    <n v="0.64"/>
    <n v="1"/>
    <n v="-160"/>
    <n v="960"/>
  </r>
  <r>
    <x v="65"/>
    <s v="conventional_cashout_wacls_-116"/>
    <x v="1155"/>
    <n v="0.64"/>
    <n v="1"/>
    <n v="-160"/>
    <n v="960"/>
  </r>
  <r>
    <x v="65"/>
    <s v="conventional_cashout_wacls_-115"/>
    <x v="1156"/>
    <n v="0.64"/>
    <n v="1"/>
    <n v="-160"/>
    <n v="960"/>
  </r>
  <r>
    <x v="65"/>
    <s v="conventional_cashout_wacls_-114"/>
    <x v="1157"/>
    <n v="0.64"/>
    <n v="1"/>
    <n v="-160"/>
    <n v="960"/>
  </r>
  <r>
    <x v="65"/>
    <s v="conventional_cashout_wacls_-113"/>
    <x v="1158"/>
    <n v="0.64"/>
    <n v="1"/>
    <n v="-160"/>
    <n v="960"/>
  </r>
  <r>
    <x v="65"/>
    <s v="conventional_cashout_wacls_-112"/>
    <x v="1159"/>
    <n v="0.64"/>
    <n v="1"/>
    <n v="-160"/>
    <n v="960"/>
  </r>
  <r>
    <x v="65"/>
    <s v="conventional_cashout_wacls_-111"/>
    <x v="1160"/>
    <n v="0.64"/>
    <n v="1"/>
    <n v="-160"/>
    <n v="960"/>
  </r>
  <r>
    <x v="65"/>
    <s v="conventional_cashout_wacls_-110"/>
    <x v="1161"/>
    <n v="0.64"/>
    <n v="1"/>
    <n v="-160"/>
    <n v="960"/>
  </r>
  <r>
    <x v="65"/>
    <s v="conventional_cashout_wacls_-109"/>
    <x v="1162"/>
    <n v="0.64"/>
    <n v="1"/>
    <n v="-160"/>
    <n v="960"/>
  </r>
  <r>
    <x v="65"/>
    <s v="conventional_cashout_wacls_-108"/>
    <x v="1163"/>
    <n v="0.64"/>
    <n v="1"/>
    <n v="-160"/>
    <n v="960"/>
  </r>
  <r>
    <x v="65"/>
    <s v="conventional_cashout_wacls_-107"/>
    <x v="1164"/>
    <n v="0.64"/>
    <n v="1"/>
    <n v="-160"/>
    <n v="960"/>
  </r>
  <r>
    <x v="65"/>
    <s v="conventional_cashout_wacls_-106"/>
    <x v="1165"/>
    <n v="0.64"/>
    <n v="1"/>
    <n v="-160"/>
    <n v="960"/>
  </r>
  <r>
    <x v="65"/>
    <s v="conventional_cashout_wacls_-105"/>
    <x v="1166"/>
    <n v="0.64"/>
    <n v="1"/>
    <n v="-160"/>
    <n v="960"/>
  </r>
  <r>
    <x v="65"/>
    <s v="conventional_cashout_wacls_-104"/>
    <x v="1167"/>
    <n v="0.64"/>
    <n v="1"/>
    <n v="-160"/>
    <n v="960"/>
  </r>
  <r>
    <x v="65"/>
    <s v="conventional_cashout_wacls_-103"/>
    <x v="1168"/>
    <n v="0.64"/>
    <n v="1"/>
    <n v="-160"/>
    <n v="960"/>
  </r>
  <r>
    <x v="65"/>
    <s v="conventional_cashout_wacls_-102"/>
    <x v="1169"/>
    <n v="0.64"/>
    <n v="1"/>
    <n v="-160"/>
    <n v="960"/>
  </r>
  <r>
    <x v="65"/>
    <s v="conventional_cashout_wacls_-101"/>
    <x v="1170"/>
    <n v="0.64"/>
    <n v="1"/>
    <n v="-160"/>
    <n v="960"/>
  </r>
  <r>
    <x v="65"/>
    <s v="conventional_cashout_wacls_-100"/>
    <x v="1171"/>
    <n v="0.64"/>
    <n v="1"/>
    <n v="-160"/>
    <n v="960"/>
  </r>
  <r>
    <x v="65"/>
    <s v="conventional_cashout_wacls_-99"/>
    <x v="1172"/>
    <n v="0.64"/>
    <n v="1"/>
    <n v="-160"/>
    <n v="960"/>
  </r>
  <r>
    <x v="65"/>
    <s v="conventional_cashout_wacls_-98"/>
    <x v="1173"/>
    <n v="0.64"/>
    <n v="1"/>
    <n v="-160"/>
    <n v="960"/>
  </r>
  <r>
    <x v="65"/>
    <s v="conventional_cashout_wacls_-97"/>
    <x v="1174"/>
    <n v="0.64"/>
    <n v="1"/>
    <n v="-160"/>
    <n v="960"/>
  </r>
  <r>
    <x v="65"/>
    <s v="conventional_cashout_wacls_-96"/>
    <x v="1175"/>
    <n v="0.64"/>
    <n v="1"/>
    <n v="-160"/>
    <n v="960"/>
  </r>
  <r>
    <x v="65"/>
    <s v="conventional_cashout_wacls_-95"/>
    <x v="1176"/>
    <n v="0.64"/>
    <n v="1"/>
    <n v="-160"/>
    <n v="960"/>
  </r>
  <r>
    <x v="65"/>
    <s v="conventional_cashout_wacls_-94"/>
    <x v="1177"/>
    <n v="0.64"/>
    <n v="1"/>
    <n v="-160"/>
    <n v="960"/>
  </r>
  <r>
    <x v="65"/>
    <s v="conventional_cashout_wacls_-93"/>
    <x v="1178"/>
    <n v="0.64"/>
    <n v="1"/>
    <n v="-160"/>
    <n v="960"/>
  </r>
  <r>
    <x v="65"/>
    <s v="conventional_cashout_wacls_-92"/>
    <x v="1179"/>
    <n v="0.64"/>
    <n v="1"/>
    <n v="-160"/>
    <n v="960"/>
  </r>
  <r>
    <x v="65"/>
    <s v="conventional_cashout_wacls_-91"/>
    <x v="1180"/>
    <n v="0.64"/>
    <n v="1"/>
    <n v="-160"/>
    <n v="960"/>
  </r>
  <r>
    <x v="65"/>
    <s v="conventional_cashout_wacls_-90"/>
    <x v="1181"/>
    <n v="0.64"/>
    <n v="1"/>
    <n v="-160"/>
    <n v="960"/>
  </r>
  <r>
    <x v="65"/>
    <s v="conventional_cashout_wacls_-89"/>
    <x v="1182"/>
    <n v="0.64"/>
    <n v="1"/>
    <n v="-160"/>
    <n v="960"/>
  </r>
  <r>
    <x v="65"/>
    <s v="conventional_cashout_wacls_-88"/>
    <x v="1183"/>
    <n v="0.64"/>
    <n v="1"/>
    <n v="-160"/>
    <n v="960"/>
  </r>
  <r>
    <x v="65"/>
    <s v="conventional_cashout_wacls_-87"/>
    <x v="1184"/>
    <n v="0.64"/>
    <n v="1"/>
    <n v="-160"/>
    <n v="960"/>
  </r>
  <r>
    <x v="65"/>
    <s v="conventional_cashout_wacls_-86"/>
    <x v="1185"/>
    <n v="0.64"/>
    <n v="1"/>
    <n v="-160"/>
    <n v="960"/>
  </r>
  <r>
    <x v="65"/>
    <s v="conventional_cashout_wacls_-85"/>
    <x v="1186"/>
    <n v="0.64"/>
    <n v="1"/>
    <n v="-160"/>
    <n v="960"/>
  </r>
  <r>
    <x v="65"/>
    <s v="conventional_cashout_wacls_-84"/>
    <x v="1187"/>
    <n v="0.64"/>
    <n v="1"/>
    <n v="-160"/>
    <n v="960"/>
  </r>
  <r>
    <x v="65"/>
    <s v="conventional_cashout_wacls_-83"/>
    <x v="1188"/>
    <n v="0.64"/>
    <n v="1"/>
    <n v="-160"/>
    <n v="960"/>
  </r>
  <r>
    <x v="65"/>
    <s v="conventional_cashout_wacls_-82"/>
    <x v="1189"/>
    <n v="0.64"/>
    <n v="1"/>
    <n v="-160"/>
    <n v="960"/>
  </r>
  <r>
    <x v="65"/>
    <s v="conventional_cashout_wacls_-81"/>
    <x v="1190"/>
    <n v="0.64"/>
    <n v="1"/>
    <n v="-160"/>
    <n v="960"/>
  </r>
  <r>
    <x v="65"/>
    <s v="conventional_cashout_wacls_-80"/>
    <x v="1191"/>
    <n v="0.64"/>
    <n v="1"/>
    <n v="-160"/>
    <n v="960"/>
  </r>
  <r>
    <x v="65"/>
    <s v="conventional_cashout_wacls_-79"/>
    <x v="1192"/>
    <n v="0.64"/>
    <n v="1"/>
    <n v="-160"/>
    <n v="960"/>
  </r>
  <r>
    <x v="65"/>
    <s v="conventional_cashout_wacls_-78"/>
    <x v="1193"/>
    <n v="0.64"/>
    <n v="1"/>
    <n v="-160"/>
    <n v="960"/>
  </r>
  <r>
    <x v="65"/>
    <s v="conventional_cashout_wacls_-77"/>
    <x v="1194"/>
    <n v="0.64"/>
    <n v="1"/>
    <n v="-160"/>
    <n v="960"/>
  </r>
  <r>
    <x v="65"/>
    <s v="conventional_cashout_wacls_-76"/>
    <x v="1195"/>
    <n v="0.64"/>
    <n v="1"/>
    <n v="-160"/>
    <n v="960"/>
  </r>
  <r>
    <x v="65"/>
    <s v="conventional_cashout_wacls_-75"/>
    <x v="1196"/>
    <n v="0.64"/>
    <n v="1"/>
    <n v="-160"/>
    <n v="960"/>
  </r>
  <r>
    <x v="65"/>
    <s v="conventional_cashout_wacls_-74"/>
    <x v="1197"/>
    <n v="0.64"/>
    <n v="1"/>
    <n v="-160"/>
    <n v="960"/>
  </r>
  <r>
    <x v="65"/>
    <s v="conventional_cashout_wacls_-73"/>
    <x v="1198"/>
    <n v="0.64"/>
    <n v="1"/>
    <n v="-160"/>
    <n v="960"/>
  </r>
  <r>
    <x v="65"/>
    <s v="conventional_cashout_wacls_-72"/>
    <x v="1199"/>
    <n v="0.64"/>
    <n v="1"/>
    <n v="-160"/>
    <n v="960"/>
  </r>
  <r>
    <x v="65"/>
    <s v="conventional_cashout_wacls_-71"/>
    <x v="1200"/>
    <n v="0.64"/>
    <n v="1"/>
    <n v="-160"/>
    <n v="960"/>
  </r>
  <r>
    <x v="65"/>
    <s v="conventional_cashout_wacls_-70"/>
    <x v="1201"/>
    <n v="0.64"/>
    <n v="1"/>
    <n v="-160"/>
    <n v="960"/>
  </r>
  <r>
    <x v="65"/>
    <s v="conventional_cashout_wacls_-69"/>
    <x v="1202"/>
    <n v="0.64"/>
    <n v="1"/>
    <n v="-160"/>
    <n v="960"/>
  </r>
  <r>
    <x v="65"/>
    <s v="conventional_cashout_wacls_-68"/>
    <x v="1203"/>
    <n v="0.64"/>
    <n v="1"/>
    <n v="-160"/>
    <n v="960"/>
  </r>
  <r>
    <x v="65"/>
    <s v="conventional_cashout_wacls_-67"/>
    <x v="1204"/>
    <n v="0.64"/>
    <n v="1"/>
    <n v="-160"/>
    <n v="960"/>
  </r>
  <r>
    <x v="65"/>
    <s v="conventional_cashout_wacls_-66"/>
    <x v="1205"/>
    <n v="0.64"/>
    <n v="1"/>
    <n v="-160"/>
    <n v="960"/>
  </r>
  <r>
    <x v="65"/>
    <s v="conventional_cashout_wacls_-65"/>
    <x v="1206"/>
    <n v="0.64"/>
    <n v="1"/>
    <n v="-160"/>
    <n v="960"/>
  </r>
  <r>
    <x v="65"/>
    <s v="conventional_cashout_wacls_-64"/>
    <x v="1207"/>
    <n v="0.64"/>
    <n v="1"/>
    <n v="-160"/>
    <n v="960"/>
  </r>
  <r>
    <x v="65"/>
    <s v="conventional_cashout_wacls_-63"/>
    <x v="1208"/>
    <n v="0.64"/>
    <n v="1"/>
    <n v="-160"/>
    <n v="960"/>
  </r>
  <r>
    <x v="65"/>
    <s v="conventional_cashout_wacls_-62"/>
    <x v="1209"/>
    <n v="0.64"/>
    <n v="1"/>
    <n v="-160"/>
    <n v="960"/>
  </r>
  <r>
    <x v="65"/>
    <s v="conventional_cashout_wacls_-61"/>
    <x v="1210"/>
    <n v="0.64"/>
    <n v="1"/>
    <n v="-160"/>
    <n v="960"/>
  </r>
  <r>
    <x v="65"/>
    <s v="conventional_cashout_wacls_-60"/>
    <x v="1211"/>
    <n v="0.64"/>
    <n v="1"/>
    <n v="-160"/>
    <n v="960"/>
  </r>
  <r>
    <x v="65"/>
    <s v="conventional_cashout_wacls_-59"/>
    <x v="1212"/>
    <n v="0.64"/>
    <n v="1"/>
    <n v="-160"/>
    <n v="960"/>
  </r>
  <r>
    <x v="65"/>
    <s v="conventional_cashout_wacls_-58"/>
    <x v="1213"/>
    <n v="0.64"/>
    <n v="1"/>
    <n v="-160"/>
    <n v="960"/>
  </r>
  <r>
    <x v="65"/>
    <s v="conventional_cashout_wacls_-57"/>
    <x v="1214"/>
    <n v="0.64"/>
    <n v="1"/>
    <n v="-160"/>
    <n v="960"/>
  </r>
  <r>
    <x v="65"/>
    <s v="conventional_cashout_wacls_-56"/>
    <x v="1215"/>
    <n v="0.64"/>
    <n v="1"/>
    <n v="-160"/>
    <n v="960"/>
  </r>
  <r>
    <x v="65"/>
    <s v="conventional_cashout_wacls_-55"/>
    <x v="1216"/>
    <n v="0.64"/>
    <n v="1"/>
    <n v="-160"/>
    <n v="960"/>
  </r>
  <r>
    <x v="65"/>
    <s v="conventional_cashout_wacls_-54"/>
    <x v="1217"/>
    <n v="0.64"/>
    <n v="1"/>
    <n v="-160"/>
    <n v="960"/>
  </r>
  <r>
    <x v="65"/>
    <s v="conventional_cashout_wacls_-53"/>
    <x v="1218"/>
    <n v="0.64"/>
    <n v="1"/>
    <n v="-160"/>
    <n v="960"/>
  </r>
  <r>
    <x v="65"/>
    <s v="conventional_cashout_wacls_-52"/>
    <x v="1219"/>
    <n v="0.64"/>
    <n v="1"/>
    <n v="-160"/>
    <n v="960"/>
  </r>
  <r>
    <x v="65"/>
    <s v="conventional_cashout_wacls_-51"/>
    <x v="1220"/>
    <n v="0.64"/>
    <n v="1"/>
    <n v="-160"/>
    <n v="960"/>
  </r>
  <r>
    <x v="65"/>
    <s v="conventional_cashout_wacls_-50"/>
    <x v="1221"/>
    <n v="0.64"/>
    <n v="1"/>
    <n v="-160"/>
    <n v="960"/>
  </r>
  <r>
    <x v="65"/>
    <s v="conventional_cashout_wacls_-49"/>
    <x v="1222"/>
    <n v="0.64"/>
    <n v="1"/>
    <n v="-160"/>
    <n v="960"/>
  </r>
  <r>
    <x v="65"/>
    <s v="conventional_cashout_wacls_-48"/>
    <x v="1223"/>
    <n v="0.64"/>
    <n v="1"/>
    <n v="-160"/>
    <n v="960"/>
  </r>
  <r>
    <x v="65"/>
    <s v="conventional_cashout_wacls_-47"/>
    <x v="1224"/>
    <n v="0.64"/>
    <n v="1"/>
    <n v="-160"/>
    <n v="960"/>
  </r>
  <r>
    <x v="65"/>
    <s v="conventional_cashout_wacls_-46"/>
    <x v="1225"/>
    <n v="0.64"/>
    <n v="1"/>
    <n v="-160"/>
    <n v="960"/>
  </r>
  <r>
    <x v="65"/>
    <s v="conventional_cashout_wacls_-45"/>
    <x v="1226"/>
    <n v="0.64"/>
    <n v="1"/>
    <n v="-160"/>
    <n v="960"/>
  </r>
  <r>
    <x v="65"/>
    <s v="conventional_cashout_wacls_-44"/>
    <x v="1227"/>
    <n v="0.64"/>
    <n v="1"/>
    <n v="-160"/>
    <n v="960"/>
  </r>
  <r>
    <x v="65"/>
    <s v="conventional_cashout_wacls_-43"/>
    <x v="1228"/>
    <n v="0.64"/>
    <n v="1"/>
    <n v="-160"/>
    <n v="960"/>
  </r>
  <r>
    <x v="65"/>
    <s v="conventional_cashout_wacls_-42"/>
    <x v="1229"/>
    <n v="0.64"/>
    <n v="1"/>
    <n v="-160"/>
    <n v="960"/>
  </r>
  <r>
    <x v="65"/>
    <s v="conventional_cashout_wacls_-41"/>
    <x v="1230"/>
    <n v="0.64"/>
    <n v="1"/>
    <n v="-160"/>
    <n v="960"/>
  </r>
  <r>
    <x v="65"/>
    <s v="conventional_cashout_wacls_-40"/>
    <x v="0"/>
    <n v="0.64"/>
    <n v="1"/>
    <n v="-160"/>
    <n v="960"/>
  </r>
  <r>
    <x v="65"/>
    <s v="conventional_cashout_wacls_-39"/>
    <x v="1"/>
    <n v="0.64"/>
    <n v="1"/>
    <n v="-160"/>
    <n v="960"/>
  </r>
  <r>
    <x v="65"/>
    <s v="conventional_cashout_wacls_-38"/>
    <x v="2"/>
    <n v="0.64"/>
    <n v="1"/>
    <n v="-160"/>
    <n v="960"/>
  </r>
  <r>
    <x v="65"/>
    <s v="conventional_cashout_wacls_-37"/>
    <x v="3"/>
    <n v="0.64"/>
    <n v="1"/>
    <n v="-160"/>
    <n v="960"/>
  </r>
  <r>
    <x v="65"/>
    <s v="conventional_cashout_wacls_-36"/>
    <x v="4"/>
    <n v="0.64"/>
    <n v="1"/>
    <n v="-160"/>
    <n v="960"/>
  </r>
  <r>
    <x v="65"/>
    <s v="conventional_cashout_wacls_-35"/>
    <x v="5"/>
    <n v="0.64"/>
    <n v="1"/>
    <n v="-160"/>
    <n v="960"/>
  </r>
  <r>
    <x v="65"/>
    <s v="conventional_cashout_wacls_-34"/>
    <x v="6"/>
    <n v="0.64"/>
    <n v="1"/>
    <n v="-160"/>
    <n v="960"/>
  </r>
  <r>
    <x v="65"/>
    <s v="conventional_cashout_wacls_-33"/>
    <x v="7"/>
    <n v="0.64"/>
    <n v="1"/>
    <n v="-160"/>
    <n v="960"/>
  </r>
  <r>
    <x v="65"/>
    <s v="conventional_cashout_wacls_-32"/>
    <x v="8"/>
    <n v="0.64"/>
    <n v="1"/>
    <n v="-160"/>
    <n v="960"/>
  </r>
  <r>
    <x v="65"/>
    <s v="conventional_cashout_wacls_-31"/>
    <x v="9"/>
    <n v="0.64"/>
    <n v="1"/>
    <n v="-160"/>
    <n v="960"/>
  </r>
  <r>
    <x v="65"/>
    <s v="conventional_cashout_wacls_-30"/>
    <x v="10"/>
    <n v="0.64"/>
    <n v="1"/>
    <n v="-160"/>
    <n v="960"/>
  </r>
  <r>
    <x v="65"/>
    <s v="conventional_cashout_wacls_-29"/>
    <x v="11"/>
    <n v="0.64"/>
    <n v="1"/>
    <n v="-160"/>
    <n v="960"/>
  </r>
  <r>
    <x v="65"/>
    <s v="conventional_cashout_wacls_-28"/>
    <x v="12"/>
    <n v="0.64"/>
    <n v="1"/>
    <n v="-160"/>
    <n v="960"/>
  </r>
  <r>
    <x v="65"/>
    <s v="conventional_cashout_wacls_-27"/>
    <x v="13"/>
    <n v="0.64"/>
    <n v="1"/>
    <n v="-160"/>
    <n v="960"/>
  </r>
  <r>
    <x v="65"/>
    <s v="conventional_cashout_wacls_-26"/>
    <x v="14"/>
    <n v="0.64"/>
    <n v="1"/>
    <n v="-160"/>
    <n v="960"/>
  </r>
  <r>
    <x v="65"/>
    <s v="conventional_cashout_wacls_-25"/>
    <x v="15"/>
    <n v="0.64"/>
    <n v="1"/>
    <n v="-160"/>
    <n v="960"/>
  </r>
  <r>
    <x v="65"/>
    <s v="conventional_cashout_wacls_-24"/>
    <x v="16"/>
    <n v="0.64"/>
    <n v="1"/>
    <n v="-160"/>
    <n v="960"/>
  </r>
  <r>
    <x v="65"/>
    <s v="conventional_cashout_wacls_-23"/>
    <x v="17"/>
    <n v="0.64"/>
    <n v="1"/>
    <n v="-160"/>
    <n v="960"/>
  </r>
  <r>
    <x v="65"/>
    <s v="conventional_cashout_wacls_-22"/>
    <x v="18"/>
    <n v="0.64"/>
    <n v="1"/>
    <n v="-160"/>
    <n v="960"/>
  </r>
  <r>
    <x v="65"/>
    <s v="conventional_cashout_wacls_-21"/>
    <x v="19"/>
    <n v="0.64"/>
    <n v="1"/>
    <n v="-160"/>
    <n v="960"/>
  </r>
  <r>
    <x v="65"/>
    <s v="conventional_cashout_wacls_-20"/>
    <x v="20"/>
    <n v="0.64"/>
    <n v="1"/>
    <n v="-160"/>
    <n v="960"/>
  </r>
  <r>
    <x v="65"/>
    <s v="conventional_cashout_wacls_-19"/>
    <x v="21"/>
    <n v="0.64"/>
    <n v="1"/>
    <n v="-160"/>
    <n v="960"/>
  </r>
  <r>
    <x v="65"/>
    <s v="conventional_cashout_wacls_-18"/>
    <x v="22"/>
    <n v="0.64"/>
    <n v="1"/>
    <n v="-160"/>
    <n v="960"/>
  </r>
  <r>
    <x v="65"/>
    <s v="conventional_cashout_wacls_-17"/>
    <x v="23"/>
    <n v="0.64"/>
    <n v="1"/>
    <n v="-160"/>
    <n v="960"/>
  </r>
  <r>
    <x v="65"/>
    <s v="conventional_cashout_wacls_-16"/>
    <x v="24"/>
    <n v="0.64"/>
    <n v="1"/>
    <n v="-160"/>
    <n v="960"/>
  </r>
  <r>
    <x v="65"/>
    <s v="conventional_cashout_wacls_-15"/>
    <x v="25"/>
    <n v="0.64"/>
    <n v="1"/>
    <n v="-160"/>
    <n v="960"/>
  </r>
  <r>
    <x v="65"/>
    <s v="conventional_cashout_wacls_-14"/>
    <x v="26"/>
    <n v="0.64"/>
    <n v="1"/>
    <n v="-160"/>
    <n v="960"/>
  </r>
  <r>
    <x v="65"/>
    <s v="conventional_cashout_wacls_-13"/>
    <x v="27"/>
    <n v="0.64"/>
    <n v="1"/>
    <n v="-160"/>
    <n v="960"/>
  </r>
  <r>
    <x v="65"/>
    <s v="conventional_cashout_wacls_-12"/>
    <x v="28"/>
    <n v="0.64"/>
    <n v="1"/>
    <n v="-160"/>
    <n v="960"/>
  </r>
  <r>
    <x v="65"/>
    <s v="conventional_cashout_wacls_-11"/>
    <x v="29"/>
    <n v="0.64"/>
    <n v="1"/>
    <n v="-160"/>
    <n v="960"/>
  </r>
  <r>
    <x v="65"/>
    <s v="conventional_cashout_wacls_-10"/>
    <x v="30"/>
    <n v="0.64"/>
    <n v="1"/>
    <n v="-160"/>
    <n v="960"/>
  </r>
  <r>
    <x v="65"/>
    <s v="conventional_cashout_wacls_-9"/>
    <x v="31"/>
    <n v="0.64"/>
    <n v="1"/>
    <n v="-160"/>
    <n v="960"/>
  </r>
  <r>
    <x v="65"/>
    <s v="conventional_cashout_wacls_-8"/>
    <x v="32"/>
    <n v="0.64"/>
    <n v="1"/>
    <n v="-160"/>
    <n v="960"/>
  </r>
  <r>
    <x v="65"/>
    <s v="conventional_cashout_wacls_-7"/>
    <x v="33"/>
    <n v="0.64"/>
    <n v="1"/>
    <n v="-160"/>
    <n v="960"/>
  </r>
  <r>
    <x v="65"/>
    <s v="conventional_cashout_wacls_-6"/>
    <x v="34"/>
    <n v="0.64"/>
    <n v="1"/>
    <n v="-160"/>
    <n v="960"/>
  </r>
  <r>
    <x v="65"/>
    <s v="conventional_cashout_wacls_-5"/>
    <x v="35"/>
    <n v="0.64"/>
    <n v="1"/>
    <n v="-160"/>
    <n v="960"/>
  </r>
  <r>
    <x v="65"/>
    <s v="conventional_cashout_wacls_-4"/>
    <x v="36"/>
    <n v="0.64"/>
    <n v="1"/>
    <n v="-160"/>
    <n v="960"/>
  </r>
  <r>
    <x v="65"/>
    <s v="conventional_cashout_wacls_-3"/>
    <x v="37"/>
    <n v="0.64"/>
    <n v="1"/>
    <n v="-160"/>
    <n v="960"/>
  </r>
  <r>
    <x v="65"/>
    <s v="conventional_cashout_wacls_-2"/>
    <x v="38"/>
    <n v="0.64"/>
    <n v="1"/>
    <n v="-160"/>
    <n v="960"/>
  </r>
  <r>
    <x v="65"/>
    <s v="conventional_cashout_wacls_-1"/>
    <x v="39"/>
    <n v="0.64"/>
    <n v="1"/>
    <n v="-160"/>
    <n v="960"/>
  </r>
  <r>
    <x v="65"/>
    <s v="conventional_cashout_wacls_0"/>
    <x v="40"/>
    <n v="0.64"/>
    <n v="1"/>
    <n v="-160"/>
    <n v="960"/>
  </r>
  <r>
    <x v="65"/>
    <s v="conventional_cashout_wacls_1"/>
    <x v="41"/>
    <n v="0.64"/>
    <n v="1"/>
    <n v="-160"/>
    <n v="960"/>
  </r>
  <r>
    <x v="65"/>
    <s v="conventional_cashout_wacls_2"/>
    <x v="42"/>
    <n v="0.64"/>
    <n v="1"/>
    <n v="-160"/>
    <n v="960"/>
  </r>
  <r>
    <x v="65"/>
    <s v="conventional_cashout_wacls_3"/>
    <x v="43"/>
    <n v="0.64"/>
    <n v="1"/>
    <n v="-160"/>
    <n v="960"/>
  </r>
  <r>
    <x v="65"/>
    <s v="conventional_cashout_wacls_4"/>
    <x v="44"/>
    <n v="0.64"/>
    <n v="1"/>
    <n v="-160"/>
    <n v="960"/>
  </r>
  <r>
    <x v="65"/>
    <s v="conventional_cashout_wacls_5"/>
    <x v="45"/>
    <n v="0.64"/>
    <n v="1"/>
    <n v="-160"/>
    <n v="960"/>
  </r>
  <r>
    <x v="65"/>
    <s v="conventional_cashout_wacls_6"/>
    <x v="46"/>
    <n v="0.64"/>
    <n v="1"/>
    <n v="-160"/>
    <n v="960"/>
  </r>
  <r>
    <x v="65"/>
    <s v="conventional_cashout_wacls_7"/>
    <x v="47"/>
    <n v="0.64"/>
    <n v="1"/>
    <n v="-160"/>
    <n v="960"/>
  </r>
  <r>
    <x v="65"/>
    <s v="conventional_cashout_wacls_8"/>
    <x v="48"/>
    <n v="0.64"/>
    <n v="1"/>
    <n v="-160"/>
    <n v="960"/>
  </r>
  <r>
    <x v="65"/>
    <s v="conventional_cashout_wacls_9"/>
    <x v="49"/>
    <n v="0.64"/>
    <n v="1"/>
    <n v="-160"/>
    <n v="960"/>
  </r>
  <r>
    <x v="65"/>
    <s v="conventional_cashout_wacls_10"/>
    <x v="50"/>
    <n v="0.64"/>
    <n v="1"/>
    <n v="-160"/>
    <n v="960"/>
  </r>
  <r>
    <x v="65"/>
    <s v="conventional_cashout_wacls_11"/>
    <x v="51"/>
    <n v="0.64"/>
    <n v="1"/>
    <n v="-160"/>
    <n v="960"/>
  </r>
  <r>
    <x v="65"/>
    <s v="conventional_cashout_wacls_12"/>
    <x v="52"/>
    <n v="0.64"/>
    <n v="1"/>
    <n v="-160"/>
    <n v="960"/>
  </r>
  <r>
    <x v="65"/>
    <s v="conventional_cashout_wacls_13"/>
    <x v="53"/>
    <n v="0.64"/>
    <n v="1"/>
    <n v="-160"/>
    <n v="960"/>
  </r>
  <r>
    <x v="65"/>
    <s v="conventional_cashout_wacls_14"/>
    <x v="54"/>
    <n v="0.64"/>
    <n v="1"/>
    <n v="-160"/>
    <n v="960"/>
  </r>
  <r>
    <x v="65"/>
    <s v="conventional_cashout_wacls_15"/>
    <x v="55"/>
    <n v="0.64"/>
    <n v="1"/>
    <n v="-160"/>
    <n v="960"/>
  </r>
  <r>
    <x v="65"/>
    <s v="conventional_cashout_wacls_16"/>
    <x v="56"/>
    <n v="0.64"/>
    <n v="1"/>
    <n v="-160"/>
    <n v="960"/>
  </r>
  <r>
    <x v="65"/>
    <s v="conventional_cashout_wacls_17"/>
    <x v="57"/>
    <n v="0.64"/>
    <n v="1"/>
    <n v="-160"/>
    <n v="960"/>
  </r>
  <r>
    <x v="65"/>
    <s v="conventional_cashout_wacls_18"/>
    <x v="58"/>
    <n v="0.64"/>
    <n v="1"/>
    <n v="-160"/>
    <n v="960"/>
  </r>
  <r>
    <x v="65"/>
    <s v="conventional_cashout_wacls_19"/>
    <x v="59"/>
    <n v="0.64"/>
    <n v="1"/>
    <n v="-160"/>
    <n v="960"/>
  </r>
  <r>
    <x v="65"/>
    <s v="conventional_cashout_wacls_20"/>
    <x v="60"/>
    <n v="0.64"/>
    <n v="1"/>
    <n v="-160"/>
    <n v="960"/>
  </r>
  <r>
    <x v="65"/>
    <s v="conventional_cashout_wacls_21"/>
    <x v="61"/>
    <n v="0.64"/>
    <n v="1"/>
    <n v="-160"/>
    <n v="960"/>
  </r>
  <r>
    <x v="65"/>
    <s v="conventional_cashout_wacls_22"/>
    <x v="62"/>
    <n v="0.64"/>
    <n v="1"/>
    <n v="-160"/>
    <n v="960"/>
  </r>
  <r>
    <x v="65"/>
    <s v="conventional_cashout_wacls_23"/>
    <x v="63"/>
    <n v="0.64"/>
    <n v="1"/>
    <n v="-160"/>
    <n v="960"/>
  </r>
  <r>
    <x v="65"/>
    <s v="conventional_cashout_wacls_24"/>
    <x v="64"/>
    <n v="0.64"/>
    <n v="1"/>
    <n v="-160"/>
    <n v="960"/>
  </r>
  <r>
    <x v="65"/>
    <s v="conventional_cashout_wacls_25"/>
    <x v="65"/>
    <n v="0.64"/>
    <n v="1"/>
    <n v="-160"/>
    <n v="960"/>
  </r>
  <r>
    <x v="65"/>
    <s v="conventional_cashout_wacls_26"/>
    <x v="66"/>
    <n v="0.64"/>
    <n v="1"/>
    <n v="-160"/>
    <n v="960"/>
  </r>
  <r>
    <x v="65"/>
    <s v="conventional_cashout_wacls_27"/>
    <x v="67"/>
    <n v="0.64"/>
    <n v="1"/>
    <n v="-160"/>
    <n v="960"/>
  </r>
  <r>
    <x v="65"/>
    <s v="conventional_cashout_wacls_28"/>
    <x v="68"/>
    <n v="0.64"/>
    <n v="1"/>
    <n v="-160"/>
    <n v="960"/>
  </r>
  <r>
    <x v="65"/>
    <s v="conventional_cashout_wacls_29"/>
    <x v="69"/>
    <n v="0.64"/>
    <n v="1"/>
    <n v="-160"/>
    <n v="960"/>
  </r>
  <r>
    <x v="65"/>
    <s v="conventional_cashout_wacls_30"/>
    <x v="70"/>
    <n v="0.64"/>
    <n v="1"/>
    <n v="-160"/>
    <n v="960"/>
  </r>
  <r>
    <x v="65"/>
    <s v="conventional_cashout_wacls_31"/>
    <x v="71"/>
    <n v="0.64"/>
    <n v="1"/>
    <n v="-160"/>
    <n v="960"/>
  </r>
  <r>
    <x v="65"/>
    <s v="conventional_cashout_wacls_32"/>
    <x v="72"/>
    <n v="0.64"/>
    <n v="1"/>
    <n v="-160"/>
    <n v="960"/>
  </r>
  <r>
    <x v="65"/>
    <s v="conventional_cashout_wacls_33"/>
    <x v="73"/>
    <n v="0.64"/>
    <n v="1"/>
    <n v="-160"/>
    <n v="960"/>
  </r>
  <r>
    <x v="65"/>
    <s v="conventional_cashout_wacls_34"/>
    <x v="74"/>
    <n v="0.64"/>
    <n v="1"/>
    <n v="-160"/>
    <n v="960"/>
  </r>
  <r>
    <x v="65"/>
    <s v="conventional_cashout_wacls_35"/>
    <x v="75"/>
    <n v="0.64"/>
    <n v="1"/>
    <n v="-160"/>
    <n v="960"/>
  </r>
  <r>
    <x v="65"/>
    <s v="conventional_cashout_wacls_36"/>
    <x v="76"/>
    <n v="0.64"/>
    <n v="1"/>
    <n v="-160"/>
    <n v="960"/>
  </r>
  <r>
    <x v="65"/>
    <s v="conventional_cashout_wacls_37"/>
    <x v="77"/>
    <n v="0.64"/>
    <n v="1"/>
    <n v="-160"/>
    <n v="960"/>
  </r>
  <r>
    <x v="65"/>
    <s v="conventional_cashout_wacls_38"/>
    <x v="78"/>
    <n v="0.64"/>
    <n v="1"/>
    <n v="-160"/>
    <n v="960"/>
  </r>
  <r>
    <x v="65"/>
    <s v="conventional_cashout_wacls_39"/>
    <x v="79"/>
    <n v="0.64"/>
    <n v="1"/>
    <n v="-160"/>
    <n v="960"/>
  </r>
  <r>
    <x v="65"/>
    <s v="conventional_cashout_wacls_40"/>
    <x v="80"/>
    <n v="0.64"/>
    <n v="1"/>
    <n v="-160"/>
    <n v="960"/>
  </r>
  <r>
    <x v="65"/>
    <s v="conventional_cashout_wacls_41"/>
    <x v="81"/>
    <n v="0.64"/>
    <n v="1"/>
    <n v="-160"/>
    <n v="960"/>
  </r>
  <r>
    <x v="65"/>
    <s v="conventional_cashout_wacls_42"/>
    <x v="82"/>
    <n v="0.64"/>
    <n v="1"/>
    <n v="-160"/>
    <n v="960"/>
  </r>
  <r>
    <x v="65"/>
    <s v="conventional_cashout_wacls_43"/>
    <x v="83"/>
    <n v="0.64"/>
    <n v="1"/>
    <n v="-160"/>
    <n v="960"/>
  </r>
  <r>
    <x v="65"/>
    <s v="conventional_cashout_wacls_44"/>
    <x v="84"/>
    <n v="0.64"/>
    <n v="1"/>
    <n v="-160"/>
    <n v="960"/>
  </r>
  <r>
    <x v="65"/>
    <s v="conventional_cashout_wacls_45"/>
    <x v="85"/>
    <n v="0.64"/>
    <n v="1"/>
    <n v="-160"/>
    <n v="960"/>
  </r>
  <r>
    <x v="65"/>
    <s v="conventional_cashout_wacls_46"/>
    <x v="86"/>
    <n v="0.64"/>
    <n v="1"/>
    <n v="-160"/>
    <n v="960"/>
  </r>
  <r>
    <x v="65"/>
    <s v="conventional_cashout_wacls_47"/>
    <x v="87"/>
    <n v="0.64"/>
    <n v="1"/>
    <n v="-160"/>
    <n v="960"/>
  </r>
  <r>
    <x v="65"/>
    <s v="conventional_cashout_wacls_48"/>
    <x v="88"/>
    <n v="0.64"/>
    <n v="1"/>
    <n v="-160"/>
    <n v="960"/>
  </r>
  <r>
    <x v="65"/>
    <s v="conventional_cashout_wacls_49"/>
    <x v="89"/>
    <n v="0.64"/>
    <n v="1"/>
    <n v="-160"/>
    <n v="960"/>
  </r>
  <r>
    <x v="65"/>
    <s v="conventional_cashout_wacls_50"/>
    <x v="90"/>
    <n v="0.64"/>
    <n v="1"/>
    <n v="-160"/>
    <n v="960"/>
  </r>
  <r>
    <x v="65"/>
    <s v="conventional_cashout_wacls_51"/>
    <x v="91"/>
    <n v="0.64"/>
    <n v="1"/>
    <n v="-160"/>
    <n v="960"/>
  </r>
  <r>
    <x v="65"/>
    <s v="conventional_cashout_wacls_52"/>
    <x v="92"/>
    <n v="0.64"/>
    <n v="1"/>
    <n v="-160"/>
    <n v="960"/>
  </r>
  <r>
    <x v="65"/>
    <s v="conventional_cashout_wacls_53"/>
    <x v="93"/>
    <n v="0.64"/>
    <n v="1"/>
    <n v="-160"/>
    <n v="960"/>
  </r>
  <r>
    <x v="65"/>
    <s v="conventional_cashout_wacls_54"/>
    <x v="94"/>
    <n v="0.64"/>
    <n v="1"/>
    <n v="-160"/>
    <n v="960"/>
  </r>
  <r>
    <x v="65"/>
    <s v="conventional_cashout_wacls_55"/>
    <x v="95"/>
    <n v="0.64"/>
    <n v="1"/>
    <n v="-160"/>
    <n v="960"/>
  </r>
  <r>
    <x v="65"/>
    <s v="conventional_cashout_wacls_56"/>
    <x v="96"/>
    <n v="0.64030592592592595"/>
    <n v="1"/>
    <n v="-160"/>
    <n v="960"/>
  </r>
  <r>
    <x v="65"/>
    <s v="conventional_cashout_wacls_57"/>
    <x v="97"/>
    <n v="0.64120296296296297"/>
    <n v="1"/>
    <n v="-160"/>
    <n v="960"/>
  </r>
  <r>
    <x v="65"/>
    <s v="conventional_cashout_wacls_58"/>
    <x v="98"/>
    <n v="0.64266000000000001"/>
    <n v="1"/>
    <n v="-160"/>
    <n v="960"/>
  </r>
  <r>
    <x v="65"/>
    <s v="conventional_cashout_wacls_59"/>
    <x v="99"/>
    <n v="0.64464592592592596"/>
    <n v="1"/>
    <n v="-160"/>
    <n v="960"/>
  </r>
  <r>
    <x v="65"/>
    <s v="conventional_cashout_wacls_60"/>
    <x v="100"/>
    <n v="0.64712962962963005"/>
    <n v="1"/>
    <n v="-160"/>
    <n v="960"/>
  </r>
  <r>
    <x v="65"/>
    <s v="conventional_cashout_wacls_61"/>
    <x v="101"/>
    <n v="0.65007999999999999"/>
    <n v="1"/>
    <n v="-160"/>
    <n v="960"/>
  </r>
  <r>
    <x v="65"/>
    <s v="conventional_cashout_wacls_62"/>
    <x v="102"/>
    <n v="0.65346592592592601"/>
    <n v="1"/>
    <n v="-160"/>
    <n v="960"/>
  </r>
  <r>
    <x v="65"/>
    <s v="conventional_cashout_wacls_63"/>
    <x v="103"/>
    <n v="0.65725629629629601"/>
    <n v="1"/>
    <n v="-160"/>
    <n v="960"/>
  </r>
  <r>
    <x v="65"/>
    <s v="conventional_cashout_wacls_64"/>
    <x v="104"/>
    <n v="0.66142000000000001"/>
    <n v="1"/>
    <n v="-160"/>
    <n v="960"/>
  </r>
  <r>
    <x v="65"/>
    <s v="conventional_cashout_wacls_65"/>
    <x v="105"/>
    <n v="0.66592592592592603"/>
    <n v="1"/>
    <n v="-160"/>
    <n v="960"/>
  </r>
  <r>
    <x v="65"/>
    <s v="conventional_cashout_wacls_66"/>
    <x v="106"/>
    <n v="0.67074296296296299"/>
    <n v="1"/>
    <n v="-160"/>
    <n v="960"/>
  </r>
  <r>
    <x v="65"/>
    <s v="conventional_cashout_wacls_67"/>
    <x v="107"/>
    <n v="0.67584"/>
    <n v="1"/>
    <n v="-160"/>
    <n v="960"/>
  </r>
  <r>
    <x v="65"/>
    <s v="conventional_cashout_wacls_68"/>
    <x v="108"/>
    <n v="0.68118592592592597"/>
    <n v="1"/>
    <n v="-160"/>
    <n v="960"/>
  </r>
  <r>
    <x v="65"/>
    <s v="conventional_cashout_wacls_69"/>
    <x v="109"/>
    <n v="0.68674962962963004"/>
    <n v="1"/>
    <n v="-160"/>
    <n v="960"/>
  </r>
  <r>
    <x v="65"/>
    <s v="conventional_cashout_wacls_70"/>
    <x v="110"/>
    <n v="0.6925"/>
    <n v="1"/>
    <n v="-160"/>
    <n v="960"/>
  </r>
  <r>
    <x v="65"/>
    <s v="conventional_cashout_wacls_71"/>
    <x v="111"/>
    <n v="0.69840592592592599"/>
    <n v="1"/>
    <n v="-160"/>
    <n v="960"/>
  </r>
  <r>
    <x v="65"/>
    <s v="conventional_cashout_wacls_72"/>
    <x v="112"/>
    <n v="0.70443629629629601"/>
    <n v="1"/>
    <n v="-160"/>
    <n v="960"/>
  </r>
  <r>
    <x v="65"/>
    <s v="conventional_cashout_wacls_73"/>
    <x v="113"/>
    <n v="0.71055999999999997"/>
    <n v="1"/>
    <n v="-160"/>
    <n v="960"/>
  </r>
  <r>
    <x v="65"/>
    <s v="conventional_cashout_wacls_74"/>
    <x v="114"/>
    <n v="0.71674592592592601"/>
    <n v="1"/>
    <n v="-160"/>
    <n v="960"/>
  </r>
  <r>
    <x v="65"/>
    <s v="conventional_cashout_wacls_75"/>
    <x v="115"/>
    <n v="0.72296296296296303"/>
    <n v="1"/>
    <n v="-160"/>
    <n v="960"/>
  </r>
  <r>
    <x v="65"/>
    <s v="conventional_cashout_wacls_76"/>
    <x v="116"/>
    <n v="0.72918000000000005"/>
    <n v="1"/>
    <n v="-160"/>
    <n v="960"/>
  </r>
  <r>
    <x v="65"/>
    <s v="conventional_cashout_wacls_77"/>
    <x v="117"/>
    <n v="0.73536592592592598"/>
    <n v="1"/>
    <n v="-160"/>
    <n v="960"/>
  </r>
  <r>
    <x v="65"/>
    <s v="conventional_cashout_wacls_78"/>
    <x v="118"/>
    <n v="0.74148962962963005"/>
    <n v="1"/>
    <n v="-160"/>
    <n v="960"/>
  </r>
  <r>
    <x v="65"/>
    <s v="conventional_cashout_wacls_79"/>
    <x v="119"/>
    <n v="0.74751999999999996"/>
    <n v="1"/>
    <n v="-160"/>
    <n v="960"/>
  </r>
  <r>
    <x v="65"/>
    <s v="conventional_cashout_wacls_80"/>
    <x v="120"/>
    <n v="0.75342592592592605"/>
    <n v="1"/>
    <n v="-160"/>
    <n v="960"/>
  </r>
  <r>
    <x v="65"/>
    <s v="conventional_cashout_wacls_81"/>
    <x v="121"/>
    <n v="0.75917629629629602"/>
    <n v="1"/>
    <n v="-160"/>
    <n v="960"/>
  </r>
  <r>
    <x v="65"/>
    <s v="conventional_cashout_wacls_82"/>
    <x v="122"/>
    <n v="0.76473999999999998"/>
    <n v="1"/>
    <n v="-160"/>
    <n v="960"/>
  </r>
  <r>
    <x v="65"/>
    <s v="conventional_cashout_wacls_83"/>
    <x v="123"/>
    <n v="0.77008592592592595"/>
    <n v="1"/>
    <n v="-160"/>
    <n v="960"/>
  </r>
  <r>
    <x v="65"/>
    <s v="conventional_cashout_wacls_84"/>
    <x v="124"/>
    <n v="0.77518296296296296"/>
    <n v="1"/>
    <n v="-160"/>
    <n v="960"/>
  </r>
  <r>
    <x v="65"/>
    <s v="conventional_cashout_wacls_85"/>
    <x v="125"/>
    <n v="0.78"/>
    <n v="1"/>
    <n v="-160"/>
    <n v="960"/>
  </r>
  <r>
    <x v="65"/>
    <s v="conventional_cashout_wacls_86"/>
    <x v="126"/>
    <n v="0.78471883597883596"/>
    <n v="1"/>
    <n v="-160"/>
    <n v="960"/>
  </r>
  <r>
    <x v="65"/>
    <s v="conventional_cashout_wacls_87"/>
    <x v="127"/>
    <n v="0.78953481481481502"/>
    <n v="1"/>
    <n v="-160"/>
    <n v="960"/>
  </r>
  <r>
    <x v="65"/>
    <s v="conventional_cashout_wacls_88"/>
    <x v="128"/>
    <n v="0.79443714285714295"/>
    <n v="1"/>
    <n v="-160"/>
    <n v="960"/>
  </r>
  <r>
    <x v="65"/>
    <s v="conventional_cashout_wacls_89"/>
    <x v="129"/>
    <n v="0.79941502645502605"/>
    <n v="1"/>
    <n v="-160"/>
    <n v="960"/>
  </r>
  <r>
    <x v="65"/>
    <s v="conventional_cashout_wacls_90"/>
    <x v="130"/>
    <n v="0.80445767195767204"/>
    <n v="1"/>
    <n v="-160"/>
    <n v="960"/>
  </r>
  <r>
    <x v="65"/>
    <s v="conventional_cashout_wacls_91"/>
    <x v="131"/>
    <n v="0.809554285714286"/>
    <n v="1"/>
    <n v="-160"/>
    <n v="960"/>
  </r>
  <r>
    <x v="65"/>
    <s v="conventional_cashout_wacls_92"/>
    <x v="132"/>
    <n v="0.81469407407407402"/>
    <n v="1"/>
    <n v="-160"/>
    <n v="960"/>
  </r>
  <r>
    <x v="65"/>
    <s v="conventional_cashout_wacls_93"/>
    <x v="133"/>
    <n v="0.81986624338624303"/>
    <n v="1"/>
    <n v="-160"/>
    <n v="960"/>
  </r>
  <r>
    <x v="65"/>
    <s v="conventional_cashout_wacls_94"/>
    <x v="134"/>
    <n v="0.82506000000000002"/>
    <n v="1"/>
    <n v="-160"/>
    <n v="960"/>
  </r>
  <r>
    <x v="65"/>
    <s v="conventional_cashout_wacls_95"/>
    <x v="135"/>
    <n v="0.83026455026455004"/>
    <n v="1"/>
    <n v="-160"/>
    <n v="960"/>
  </r>
  <r>
    <x v="65"/>
    <s v="conventional_cashout_wacls_96"/>
    <x v="136"/>
    <n v="0.83546910052910095"/>
    <n v="1"/>
    <n v="-160"/>
    <n v="960"/>
  </r>
  <r>
    <x v="65"/>
    <s v="conventional_cashout_wacls_97"/>
    <x v="137"/>
    <n v="0.84066285714285705"/>
    <n v="1"/>
    <n v="-160"/>
    <n v="960"/>
  </r>
  <r>
    <x v="65"/>
    <s v="conventional_cashout_wacls_98"/>
    <x v="138"/>
    <n v="0.84583502645502695"/>
    <n v="1"/>
    <n v="-160"/>
    <n v="960"/>
  </r>
  <r>
    <x v="65"/>
    <s v="conventional_cashout_wacls_99"/>
    <x v="139"/>
    <n v="0.85097481481481496"/>
    <n v="1"/>
    <n v="-160"/>
    <n v="960"/>
  </r>
  <r>
    <x v="65"/>
    <s v="conventional_cashout_wacls_100"/>
    <x v="140"/>
    <n v="0.85607142857142904"/>
    <n v="1"/>
    <n v="-160"/>
    <n v="960"/>
  </r>
  <r>
    <x v="65"/>
    <s v="conventional_cashout_wacls_101"/>
    <x v="141"/>
    <n v="0.86111407407407403"/>
    <n v="1"/>
    <n v="-160"/>
    <n v="960"/>
  </r>
  <r>
    <x v="65"/>
    <s v="conventional_cashout_wacls_102"/>
    <x v="142"/>
    <n v="0.86609195767195801"/>
    <n v="1"/>
    <n v="-160"/>
    <n v="960"/>
  </r>
  <r>
    <x v="65"/>
    <s v="conventional_cashout_wacls_103"/>
    <x v="143"/>
    <n v="0.87099428571428605"/>
    <n v="1"/>
    <n v="-160"/>
    <n v="960"/>
  </r>
  <r>
    <x v="65"/>
    <s v="conventional_cashout_wacls_104"/>
    <x v="144"/>
    <n v="0.87581026455026401"/>
    <n v="1"/>
    <n v="-160"/>
    <n v="960"/>
  </r>
  <r>
    <x v="65"/>
    <s v="conventional_cashout_wacls_105"/>
    <x v="145"/>
    <n v="0.88052910052910005"/>
    <n v="1"/>
    <n v="-160"/>
    <n v="960"/>
  </r>
  <r>
    <x v="65"/>
    <s v="conventional_cashout_wacls_106"/>
    <x v="146"/>
    <n v="0.88514000000000004"/>
    <n v="1"/>
    <n v="-160"/>
    <n v="960"/>
  </r>
  <r>
    <x v="65"/>
    <s v="conventional_cashout_wacls_107"/>
    <x v="147"/>
    <n v="0.88963216931216904"/>
    <n v="1"/>
    <n v="-160"/>
    <n v="960"/>
  </r>
  <r>
    <x v="65"/>
    <s v="conventional_cashout_wacls_108"/>
    <x v="148"/>
    <n v="0.89399481481481502"/>
    <n v="1"/>
    <n v="-160"/>
    <n v="960"/>
  </r>
  <r>
    <x v="65"/>
    <s v="conventional_cashout_wacls_109"/>
    <x v="149"/>
    <n v="0.89821714285714305"/>
    <n v="1"/>
    <n v="-160"/>
    <n v="960"/>
  </r>
  <r>
    <x v="65"/>
    <s v="conventional_cashout_wacls_110"/>
    <x v="150"/>
    <n v="0.90228835978835997"/>
    <n v="1"/>
    <n v="-160"/>
    <n v="960"/>
  </r>
  <r>
    <x v="65"/>
    <s v="conventional_cashout_wacls_111"/>
    <x v="151"/>
    <n v="0.90619767195767198"/>
    <n v="1"/>
    <n v="-160"/>
    <n v="960"/>
  </r>
  <r>
    <x v="65"/>
    <s v="conventional_cashout_wacls_112"/>
    <x v="152"/>
    <n v="0.90993428571428603"/>
    <n v="1"/>
    <n v="-160"/>
    <n v="960"/>
  </r>
  <r>
    <x v="65"/>
    <s v="conventional_cashout_wacls_113"/>
    <x v="153"/>
    <n v="0.91348740740740697"/>
    <n v="1"/>
    <n v="-160"/>
    <n v="960"/>
  </r>
  <r>
    <x v="65"/>
    <s v="conventional_cashout_wacls_114"/>
    <x v="154"/>
    <n v="0.91684624338624299"/>
    <n v="1"/>
    <n v="-160"/>
    <n v="960"/>
  </r>
  <r>
    <x v="65"/>
    <s v="conventional_cashout_wacls_115"/>
    <x v="155"/>
    <n v="0.92"/>
    <n v="1"/>
    <n v="-160"/>
    <n v="960"/>
  </r>
  <r>
    <x v="65"/>
    <s v="conventional_cashout_wacls_116"/>
    <x v="156"/>
    <n v="0.92295959572400399"/>
    <n v="1"/>
    <n v="-160"/>
    <n v="960"/>
  </r>
  <r>
    <x v="65"/>
    <s v="conventional_cashout_wacls_117"/>
    <x v="157"/>
    <n v="0.92574805830903795"/>
    <n v="1"/>
    <n v="-160"/>
    <n v="960"/>
  </r>
  <r>
    <x v="65"/>
    <s v="conventional_cashout_wacls_118"/>
    <x v="158"/>
    <n v="0.92837275801749297"/>
    <n v="1"/>
    <n v="-160"/>
    <n v="960"/>
  </r>
  <r>
    <x v="65"/>
    <s v="conventional_cashout_wacls_119"/>
    <x v="159"/>
    <n v="0.93084106511175901"/>
    <n v="1"/>
    <n v="-160"/>
    <n v="960"/>
  </r>
  <r>
    <x v="65"/>
    <s v="conventional_cashout_wacls_120"/>
    <x v="160"/>
    <n v="0.93316034985422702"/>
    <n v="1"/>
    <n v="-160"/>
    <n v="960"/>
  </r>
  <r>
    <x v="65"/>
    <s v="conventional_cashout_wacls_121"/>
    <x v="161"/>
    <n v="0.93533798250728895"/>
    <n v="1"/>
    <n v="-160"/>
    <n v="960"/>
  </r>
  <r>
    <x v="65"/>
    <s v="conventional_cashout_wacls_122"/>
    <x v="162"/>
    <n v="0.93738133333333296"/>
    <n v="1"/>
    <n v="-160"/>
    <n v="960"/>
  </r>
  <r>
    <x v="65"/>
    <s v="conventional_cashout_wacls_123"/>
    <x v="163"/>
    <n v="0.939297772594752"/>
    <n v="1"/>
    <n v="-160"/>
    <n v="960"/>
  </r>
  <r>
    <x v="65"/>
    <s v="conventional_cashout_wacls_124"/>
    <x v="164"/>
    <n v="0.94109467055393603"/>
    <n v="1"/>
    <n v="-160"/>
    <n v="960"/>
  </r>
  <r>
    <x v="65"/>
    <s v="conventional_cashout_wacls_125"/>
    <x v="165"/>
    <n v="0.94277939747327499"/>
    <n v="1"/>
    <n v="-160"/>
    <n v="960"/>
  </r>
  <r>
    <x v="65"/>
    <s v="conventional_cashout_wacls_126"/>
    <x v="166"/>
    <n v="0.94435932361515995"/>
    <n v="1"/>
    <n v="-160"/>
    <n v="960"/>
  </r>
  <r>
    <x v="65"/>
    <s v="conventional_cashout_wacls_127"/>
    <x v="167"/>
    <n v="0.94584181924198296"/>
    <n v="1"/>
    <n v="-160"/>
    <n v="960"/>
  </r>
  <r>
    <x v="65"/>
    <s v="conventional_cashout_wacls_128"/>
    <x v="168"/>
    <n v="0.94723425461613198"/>
    <n v="1"/>
    <n v="-160"/>
    <n v="960"/>
  </r>
  <r>
    <x v="65"/>
    <s v="conventional_cashout_wacls_129"/>
    <x v="169"/>
    <n v="0.94854400000000005"/>
    <n v="1"/>
    <n v="-160"/>
    <n v="960"/>
  </r>
  <r>
    <x v="65"/>
    <s v="conventional_cashout_wacls_130"/>
    <x v="170"/>
    <n v="0.94977842565597703"/>
    <n v="1"/>
    <n v="-160"/>
    <n v="960"/>
  </r>
  <r>
    <x v="65"/>
    <s v="conventional_cashout_wacls_131"/>
    <x v="171"/>
    <n v="0.95094490184645297"/>
    <n v="1"/>
    <n v="-160"/>
    <n v="960"/>
  </r>
  <r>
    <x v="65"/>
    <s v="conventional_cashout_wacls_132"/>
    <x v="172"/>
    <n v="0.95205079883381905"/>
    <n v="1"/>
    <n v="-160"/>
    <n v="960"/>
  </r>
  <r>
    <x v="65"/>
    <s v="conventional_cashout_wacls_133"/>
    <x v="173"/>
    <n v="0.95310348688046598"/>
    <n v="1"/>
    <n v="-160"/>
    <n v="960"/>
  </r>
  <r>
    <x v="65"/>
    <s v="conventional_cashout_wacls_134"/>
    <x v="174"/>
    <n v="0.95411033624878505"/>
    <n v="1"/>
    <n v="-160"/>
    <n v="960"/>
  </r>
  <r>
    <x v="65"/>
    <s v="conventional_cashout_wacls_135"/>
    <x v="175"/>
    <n v="0.95507871720116599"/>
    <n v="1"/>
    <n v="-160"/>
    <n v="960"/>
  </r>
  <r>
    <x v="65"/>
    <s v="conventional_cashout_wacls_136"/>
    <x v="176"/>
    <n v="0.95601599999999998"/>
    <n v="1"/>
    <n v="-160"/>
    <n v="960"/>
  </r>
  <r>
    <x v="65"/>
    <s v="conventional_cashout_wacls_137"/>
    <x v="177"/>
    <n v="0.95692955490767695"/>
    <n v="1"/>
    <n v="-160"/>
    <n v="960"/>
  </r>
  <r>
    <x v="65"/>
    <s v="conventional_cashout_wacls_138"/>
    <x v="178"/>
    <n v="0.95782675218658897"/>
    <n v="1"/>
    <n v="-160"/>
    <n v="960"/>
  </r>
  <r>
    <x v="65"/>
    <s v="conventional_cashout_wacls_139"/>
    <x v="179"/>
    <n v="0.95871496209912499"/>
    <n v="1"/>
    <n v="-160"/>
    <n v="960"/>
  </r>
  <r>
    <x v="65"/>
    <s v="conventional_cashout_wacls_140"/>
    <x v="180"/>
    <n v="0.95960155490767696"/>
    <n v="1"/>
    <n v="-160"/>
    <n v="960"/>
  </r>
  <r>
    <x v="65"/>
    <s v="conventional_cashout_wacls_141"/>
    <x v="181"/>
    <n v="0.96049390087463604"/>
    <n v="1"/>
    <n v="-160"/>
    <n v="960"/>
  </r>
  <r>
    <x v="65"/>
    <s v="conventional_cashout_wacls_142"/>
    <x v="182"/>
    <n v="0.96139937026239097"/>
    <n v="1"/>
    <n v="-160"/>
    <n v="960"/>
  </r>
  <r>
    <x v="65"/>
    <s v="conventional_cashout_wacls_143"/>
    <x v="183"/>
    <n v="0.96232533333333303"/>
    <n v="1"/>
    <n v="-160"/>
    <n v="960"/>
  </r>
  <r>
    <x v="65"/>
    <s v="conventional_cashout_wacls_144"/>
    <x v="184"/>
    <n v="0.96327916034985395"/>
    <n v="1"/>
    <n v="-160"/>
    <n v="960"/>
  </r>
  <r>
    <x v="65"/>
    <s v="conventional_cashout_wacls_145"/>
    <x v="185"/>
    <n v="0.964268221574344"/>
    <n v="1"/>
    <n v="-160"/>
    <n v="960"/>
  </r>
  <r>
    <x v="65"/>
    <s v="conventional_cashout_wacls_146"/>
    <x v="186"/>
    <n v="0.96529988726919302"/>
    <n v="1"/>
    <n v="-160"/>
    <n v="960"/>
  </r>
  <r>
    <x v="65"/>
    <s v="conventional_cashout_wacls_147"/>
    <x v="187"/>
    <n v="0.96638152769679297"/>
    <n v="1"/>
    <n v="-160"/>
    <n v="960"/>
  </r>
  <r>
    <x v="65"/>
    <s v="conventional_cashout_wacls_148"/>
    <x v="188"/>
    <n v="0.96752051311953302"/>
    <n v="1"/>
    <n v="-160"/>
    <n v="960"/>
  </r>
  <r>
    <x v="65"/>
    <s v="conventional_cashout_wacls_149"/>
    <x v="189"/>
    <n v="0.968724213799806"/>
    <n v="1"/>
    <n v="-160"/>
    <n v="960"/>
  </r>
  <r>
    <x v="65"/>
    <s v="conventional_cashout_wacls_150"/>
    <x v="190"/>
    <n v="0.97"/>
    <n v="1"/>
    <n v="-160"/>
    <n v="960"/>
  </r>
  <r>
    <x v="65"/>
    <s v="conventional_cashout_wacls_151"/>
    <x v="191"/>
    <n v="0.97135140571428602"/>
    <n v="1"/>
    <n v="-160"/>
    <n v="960"/>
  </r>
  <r>
    <x v="65"/>
    <s v="conventional_cashout_wacls_152"/>
    <x v="192"/>
    <n v="0.97277010285714305"/>
    <n v="1"/>
    <n v="-160"/>
    <n v="960"/>
  </r>
  <r>
    <x v="65"/>
    <s v="conventional_cashout_wacls_153"/>
    <x v="193"/>
    <n v="0.97424566857142902"/>
    <n v="1"/>
    <n v="-160"/>
    <n v="960"/>
  </r>
  <r>
    <x v="65"/>
    <s v="conventional_cashout_wacls_154"/>
    <x v="194"/>
    <n v="0.97576768000000003"/>
    <n v="1"/>
    <n v="-160"/>
    <n v="960"/>
  </r>
  <r>
    <x v="65"/>
    <s v="conventional_cashout_wacls_155"/>
    <x v="195"/>
    <n v="0.97732571428571402"/>
    <n v="1"/>
    <n v="-160"/>
    <n v="960"/>
  </r>
  <r>
    <x v="65"/>
    <s v="conventional_cashout_wacls_156"/>
    <x v="196"/>
    <n v="0.97890934857142897"/>
    <n v="1"/>
    <n v="-160"/>
    <n v="960"/>
  </r>
  <r>
    <x v="65"/>
    <s v="conventional_cashout_wacls_157"/>
    <x v="197"/>
    <n v="0.98050815999999996"/>
    <n v="1"/>
    <n v="-160"/>
    <n v="960"/>
  </r>
  <r>
    <x v="65"/>
    <s v="conventional_cashout_wacls_158"/>
    <x v="198"/>
    <n v="0.98211172571428595"/>
    <n v="1"/>
    <n v="-160"/>
    <n v="960"/>
  </r>
  <r>
    <x v="65"/>
    <s v="conventional_cashout_wacls_159"/>
    <x v="199"/>
    <n v="0.98370962285714303"/>
    <n v="1"/>
    <n v="-160"/>
    <n v="960"/>
  </r>
  <r>
    <x v="65"/>
    <s v="conventional_cashout_wacls_160"/>
    <x v="200"/>
    <n v="0.98529142857142904"/>
    <n v="1"/>
    <n v="-160"/>
    <n v="960"/>
  </r>
  <r>
    <x v="65"/>
    <s v="conventional_cashout_wacls_161"/>
    <x v="201"/>
    <n v="0.98684671999999996"/>
    <n v="1"/>
    <n v="-160"/>
    <n v="960"/>
  </r>
  <r>
    <x v="65"/>
    <s v="conventional_cashout_wacls_162"/>
    <x v="202"/>
    <n v="0.98836507428571396"/>
    <n v="1"/>
    <n v="-160"/>
    <n v="960"/>
  </r>
  <r>
    <x v="65"/>
    <s v="conventional_cashout_wacls_163"/>
    <x v="203"/>
    <n v="0.98983606857142803"/>
    <n v="1"/>
    <n v="-160"/>
    <n v="960"/>
  </r>
  <r>
    <x v="65"/>
    <s v="conventional_cashout_wacls_164"/>
    <x v="204"/>
    <n v="0.99124928000000001"/>
    <n v="1"/>
    <n v="-160"/>
    <n v="960"/>
  </r>
  <r>
    <x v="65"/>
    <s v="conventional_cashout_wacls_165"/>
    <x v="205"/>
    <n v="0.99259428571428598"/>
    <n v="1"/>
    <n v="-160"/>
    <n v="960"/>
  </r>
  <r>
    <x v="65"/>
    <s v="conventional_cashout_wacls_166"/>
    <x v="206"/>
    <n v="0.99386066285714303"/>
    <n v="1"/>
    <n v="-160"/>
    <n v="960"/>
  </r>
  <r>
    <x v="65"/>
    <s v="conventional_cashout_wacls_167"/>
    <x v="207"/>
    <n v="0.995037988571429"/>
    <n v="1"/>
    <n v="-160"/>
    <n v="960"/>
  </r>
  <r>
    <x v="65"/>
    <s v="conventional_cashout_wacls_168"/>
    <x v="208"/>
    <n v="0.99611583999999997"/>
    <n v="1"/>
    <n v="-160"/>
    <n v="960"/>
  </r>
  <r>
    <x v="65"/>
    <s v="conventional_cashout_wacls_169"/>
    <x v="209"/>
    <n v="0.99708379428571403"/>
    <n v="1"/>
    <n v="-160"/>
    <n v="960"/>
  </r>
  <r>
    <x v="65"/>
    <s v="conventional_cashout_wacls_170"/>
    <x v="210"/>
    <n v="0.99793142857142902"/>
    <n v="1"/>
    <n v="-160"/>
    <n v="960"/>
  </r>
  <r>
    <x v="65"/>
    <s v="conventional_cashout_wacls_171"/>
    <x v="211"/>
    <n v="0.99864832000000003"/>
    <n v="1"/>
    <n v="-160"/>
    <n v="960"/>
  </r>
  <r>
    <x v="65"/>
    <s v="conventional_cashout_wacls_172"/>
    <x v="212"/>
    <n v="0.99922404571428602"/>
    <n v="1"/>
    <n v="-160"/>
    <n v="960"/>
  </r>
  <r>
    <x v="65"/>
    <s v="conventional_cashout_wacls_173"/>
    <x v="213"/>
    <n v="0.99964818285714296"/>
    <n v="1"/>
    <n v="-160"/>
    <n v="960"/>
  </r>
  <r>
    <x v="65"/>
    <s v="conventional_cashout_wacls_174"/>
    <x v="214"/>
    <n v="0.99991030857142904"/>
    <n v="1"/>
    <n v="-160"/>
    <n v="960"/>
  </r>
  <r>
    <x v="65"/>
    <s v="conventional_cashout_wacls_175"/>
    <x v="215"/>
    <n v="1"/>
    <n v="1"/>
    <n v="-160"/>
    <n v="960"/>
  </r>
  <r>
    <x v="65"/>
    <s v="conventional_cashout_wacls_176"/>
    <x v="216"/>
    <n v="1"/>
    <n v="1"/>
    <n v="-160"/>
    <n v="960"/>
  </r>
  <r>
    <x v="65"/>
    <s v="conventional_cashout_wacls_177"/>
    <x v="217"/>
    <n v="1"/>
    <n v="1"/>
    <n v="-160"/>
    <n v="960"/>
  </r>
  <r>
    <x v="65"/>
    <s v="conventional_cashout_wacls_178"/>
    <x v="218"/>
    <n v="1"/>
    <n v="1"/>
    <n v="-160"/>
    <n v="960"/>
  </r>
  <r>
    <x v="65"/>
    <s v="conventional_cashout_wacls_179"/>
    <x v="219"/>
    <n v="1"/>
    <n v="1"/>
    <n v="-160"/>
    <n v="960"/>
  </r>
  <r>
    <x v="65"/>
    <s v="conventional_cashout_wacls_180"/>
    <x v="220"/>
    <n v="1"/>
    <n v="1"/>
    <n v="-160"/>
    <n v="960"/>
  </r>
  <r>
    <x v="65"/>
    <s v="conventional_cashout_wacls_181"/>
    <x v="221"/>
    <n v="1"/>
    <n v="1"/>
    <n v="-160"/>
    <n v="960"/>
  </r>
  <r>
    <x v="65"/>
    <s v="conventional_cashout_wacls_182"/>
    <x v="222"/>
    <n v="1"/>
    <n v="1"/>
    <n v="-160"/>
    <n v="960"/>
  </r>
  <r>
    <x v="65"/>
    <s v="conventional_cashout_wacls_183"/>
    <x v="223"/>
    <n v="1"/>
    <n v="1"/>
    <n v="-160"/>
    <n v="960"/>
  </r>
  <r>
    <x v="65"/>
    <s v="conventional_cashout_wacls_184"/>
    <x v="224"/>
    <n v="1"/>
    <n v="1"/>
    <n v="-160"/>
    <n v="960"/>
  </r>
  <r>
    <x v="65"/>
    <s v="conventional_cashout_wacls_185"/>
    <x v="225"/>
    <n v="1"/>
    <n v="1"/>
    <n v="-160"/>
    <n v="960"/>
  </r>
  <r>
    <x v="65"/>
    <s v="conventional_cashout_wacls_186"/>
    <x v="226"/>
    <n v="1"/>
    <n v="1"/>
    <n v="-160"/>
    <n v="960"/>
  </r>
  <r>
    <x v="65"/>
    <s v="conventional_cashout_wacls_187"/>
    <x v="227"/>
    <n v="1"/>
    <n v="1"/>
    <n v="-160"/>
    <n v="960"/>
  </r>
  <r>
    <x v="65"/>
    <s v="conventional_cashout_wacls_188"/>
    <x v="228"/>
    <n v="1"/>
    <n v="1"/>
    <n v="-160"/>
    <n v="960"/>
  </r>
  <r>
    <x v="65"/>
    <s v="conventional_cashout_wacls_189"/>
    <x v="229"/>
    <n v="1"/>
    <n v="1"/>
    <n v="-160"/>
    <n v="960"/>
  </r>
  <r>
    <x v="65"/>
    <s v="conventional_cashout_wacls_190"/>
    <x v="230"/>
    <n v="1"/>
    <n v="1"/>
    <n v="-160"/>
    <n v="960"/>
  </r>
  <r>
    <x v="65"/>
    <s v="conventional_cashout_wacls_191"/>
    <x v="231"/>
    <n v="1"/>
    <n v="1"/>
    <n v="-160"/>
    <n v="960"/>
  </r>
  <r>
    <x v="65"/>
    <s v="conventional_cashout_wacls_192"/>
    <x v="232"/>
    <n v="1"/>
    <n v="1"/>
    <n v="-160"/>
    <n v="960"/>
  </r>
  <r>
    <x v="65"/>
    <s v="conventional_cashout_wacls_193"/>
    <x v="233"/>
    <n v="1"/>
    <n v="1"/>
    <n v="-160"/>
    <n v="960"/>
  </r>
  <r>
    <x v="65"/>
    <s v="conventional_cashout_wacls_194"/>
    <x v="234"/>
    <n v="1"/>
    <n v="1"/>
    <n v="-160"/>
    <n v="960"/>
  </r>
  <r>
    <x v="65"/>
    <s v="conventional_cashout_wacls_195"/>
    <x v="235"/>
    <n v="1"/>
    <n v="1"/>
    <n v="-160"/>
    <n v="960"/>
  </r>
  <r>
    <x v="65"/>
    <s v="conventional_cashout_wacls_196"/>
    <x v="236"/>
    <n v="1"/>
    <n v="1"/>
    <n v="-160"/>
    <n v="960"/>
  </r>
  <r>
    <x v="65"/>
    <s v="conventional_cashout_wacls_197"/>
    <x v="237"/>
    <n v="1"/>
    <n v="1"/>
    <n v="-160"/>
    <n v="960"/>
  </r>
  <r>
    <x v="65"/>
    <s v="conventional_cashout_wacls_198"/>
    <x v="238"/>
    <n v="1"/>
    <n v="1"/>
    <n v="-160"/>
    <n v="960"/>
  </r>
  <r>
    <x v="65"/>
    <s v="conventional_cashout_wacls_199"/>
    <x v="239"/>
    <n v="1"/>
    <n v="1"/>
    <n v="-160"/>
    <n v="960"/>
  </r>
  <r>
    <x v="65"/>
    <s v="conventional_cashout_wacls_200"/>
    <x v="240"/>
    <n v="1"/>
    <n v="1"/>
    <n v="-160"/>
    <n v="960"/>
  </r>
  <r>
    <x v="65"/>
    <s v="conventional_cashout_wacls_201"/>
    <x v="241"/>
    <n v="1"/>
    <n v="1"/>
    <n v="-160"/>
    <n v="960"/>
  </r>
  <r>
    <x v="65"/>
    <s v="conventional_cashout_wacls_202"/>
    <x v="242"/>
    <n v="1"/>
    <n v="1"/>
    <n v="-160"/>
    <n v="960"/>
  </r>
  <r>
    <x v="65"/>
    <s v="conventional_cashout_wacls_203"/>
    <x v="243"/>
    <n v="1"/>
    <n v="1"/>
    <n v="-160"/>
    <n v="960"/>
  </r>
  <r>
    <x v="65"/>
    <s v="conventional_cashout_wacls_204"/>
    <x v="244"/>
    <n v="1"/>
    <n v="1"/>
    <n v="-160"/>
    <n v="960"/>
  </r>
  <r>
    <x v="65"/>
    <s v="conventional_cashout_wacls_205"/>
    <x v="245"/>
    <n v="1"/>
    <n v="1"/>
    <n v="-160"/>
    <n v="960"/>
  </r>
  <r>
    <x v="65"/>
    <s v="conventional_cashout_wacls_206"/>
    <x v="246"/>
    <n v="1"/>
    <n v="1"/>
    <n v="-160"/>
    <n v="960"/>
  </r>
  <r>
    <x v="65"/>
    <s v="conventional_cashout_wacls_207"/>
    <x v="247"/>
    <n v="1"/>
    <n v="1"/>
    <n v="-160"/>
    <n v="960"/>
  </r>
  <r>
    <x v="65"/>
    <s v="conventional_cashout_wacls_208"/>
    <x v="248"/>
    <n v="1"/>
    <n v="1"/>
    <n v="-160"/>
    <n v="960"/>
  </r>
  <r>
    <x v="65"/>
    <s v="conventional_cashout_wacls_209"/>
    <x v="249"/>
    <n v="1"/>
    <n v="1"/>
    <n v="-160"/>
    <n v="960"/>
  </r>
  <r>
    <x v="65"/>
    <s v="conventional_cashout_wacls_210"/>
    <x v="250"/>
    <n v="1"/>
    <n v="1"/>
    <n v="-160"/>
    <n v="960"/>
  </r>
  <r>
    <x v="65"/>
    <s v="conventional_cashout_wacls_211"/>
    <x v="251"/>
    <n v="1"/>
    <n v="1"/>
    <n v="-160"/>
    <n v="960"/>
  </r>
  <r>
    <x v="65"/>
    <s v="conventional_cashout_wacls_212"/>
    <x v="252"/>
    <n v="1"/>
    <n v="1"/>
    <n v="-160"/>
    <n v="960"/>
  </r>
  <r>
    <x v="65"/>
    <s v="conventional_cashout_wacls_213"/>
    <x v="253"/>
    <n v="1"/>
    <n v="1"/>
    <n v="-160"/>
    <n v="960"/>
  </r>
  <r>
    <x v="65"/>
    <s v="conventional_cashout_wacls_214"/>
    <x v="254"/>
    <n v="1"/>
    <n v="1"/>
    <n v="-160"/>
    <n v="960"/>
  </r>
  <r>
    <x v="65"/>
    <s v="conventional_cashout_wacls_215"/>
    <x v="255"/>
    <n v="1"/>
    <n v="1"/>
    <n v="-160"/>
    <n v="960"/>
  </r>
  <r>
    <x v="65"/>
    <s v="conventional_cashout_wacls_216"/>
    <x v="256"/>
    <n v="1"/>
    <n v="1"/>
    <n v="-160"/>
    <n v="960"/>
  </r>
  <r>
    <x v="65"/>
    <s v="conventional_cashout_wacls_217"/>
    <x v="257"/>
    <n v="1"/>
    <n v="1"/>
    <n v="-160"/>
    <n v="960"/>
  </r>
  <r>
    <x v="65"/>
    <s v="conventional_cashout_wacls_218"/>
    <x v="258"/>
    <n v="1"/>
    <n v="1"/>
    <n v="-160"/>
    <n v="960"/>
  </r>
  <r>
    <x v="65"/>
    <s v="conventional_cashout_wacls_219"/>
    <x v="259"/>
    <n v="1"/>
    <n v="1"/>
    <n v="-160"/>
    <n v="960"/>
  </r>
  <r>
    <x v="65"/>
    <s v="conventional_cashout_wacls_220"/>
    <x v="260"/>
    <n v="1"/>
    <n v="1"/>
    <n v="-160"/>
    <n v="960"/>
  </r>
  <r>
    <x v="65"/>
    <s v="conventional_cashout_wacls_221"/>
    <x v="261"/>
    <n v="1"/>
    <n v="1"/>
    <n v="-160"/>
    <n v="960"/>
  </r>
  <r>
    <x v="65"/>
    <s v="conventional_cashout_wacls_222"/>
    <x v="262"/>
    <n v="1"/>
    <n v="1"/>
    <n v="-160"/>
    <n v="960"/>
  </r>
  <r>
    <x v="65"/>
    <s v="conventional_cashout_wacls_223"/>
    <x v="263"/>
    <n v="1"/>
    <n v="1"/>
    <n v="-160"/>
    <n v="960"/>
  </r>
  <r>
    <x v="65"/>
    <s v="conventional_cashout_wacls_224"/>
    <x v="264"/>
    <n v="1"/>
    <n v="1"/>
    <n v="-160"/>
    <n v="960"/>
  </r>
  <r>
    <x v="65"/>
    <s v="conventional_cashout_wacls_225"/>
    <x v="265"/>
    <n v="1"/>
    <n v="1"/>
    <n v="-160"/>
    <n v="960"/>
  </r>
  <r>
    <x v="65"/>
    <s v="conventional_cashout_wacls_226"/>
    <x v="266"/>
    <n v="1"/>
    <n v="1"/>
    <n v="-160"/>
    <n v="960"/>
  </r>
  <r>
    <x v="65"/>
    <s v="conventional_cashout_wacls_227"/>
    <x v="267"/>
    <n v="1"/>
    <n v="1"/>
    <n v="-160"/>
    <n v="960"/>
  </r>
  <r>
    <x v="65"/>
    <s v="conventional_cashout_wacls_228"/>
    <x v="268"/>
    <n v="1"/>
    <n v="1"/>
    <n v="-160"/>
    <n v="960"/>
  </r>
  <r>
    <x v="65"/>
    <s v="conventional_cashout_wacls_229"/>
    <x v="269"/>
    <n v="1"/>
    <n v="1"/>
    <n v="-160"/>
    <n v="960"/>
  </r>
  <r>
    <x v="65"/>
    <s v="conventional_cashout_wacls_230"/>
    <x v="270"/>
    <n v="1"/>
    <n v="1"/>
    <n v="-160"/>
    <n v="960"/>
  </r>
  <r>
    <x v="65"/>
    <s v="conventional_cashout_wacls_231"/>
    <x v="271"/>
    <n v="1"/>
    <n v="1"/>
    <n v="-160"/>
    <n v="960"/>
  </r>
  <r>
    <x v="65"/>
    <s v="conventional_cashout_wacls_232"/>
    <x v="272"/>
    <n v="1"/>
    <n v="1"/>
    <n v="-160"/>
    <n v="960"/>
  </r>
  <r>
    <x v="65"/>
    <s v="conventional_cashout_wacls_233"/>
    <x v="273"/>
    <n v="1"/>
    <n v="1"/>
    <n v="-160"/>
    <n v="960"/>
  </r>
  <r>
    <x v="65"/>
    <s v="conventional_cashout_wacls_234"/>
    <x v="274"/>
    <n v="1"/>
    <n v="1"/>
    <n v="-160"/>
    <n v="960"/>
  </r>
  <r>
    <x v="65"/>
    <s v="conventional_cashout_wacls_235"/>
    <x v="275"/>
    <n v="1"/>
    <n v="1"/>
    <n v="-160"/>
    <n v="960"/>
  </r>
  <r>
    <x v="65"/>
    <s v="conventional_cashout_wacls_236"/>
    <x v="276"/>
    <n v="1"/>
    <n v="1"/>
    <n v="-160"/>
    <n v="960"/>
  </r>
  <r>
    <x v="65"/>
    <s v="conventional_cashout_wacls_237"/>
    <x v="277"/>
    <n v="1"/>
    <n v="1"/>
    <n v="-160"/>
    <n v="960"/>
  </r>
  <r>
    <x v="65"/>
    <s v="conventional_cashout_wacls_238"/>
    <x v="278"/>
    <n v="1"/>
    <n v="1"/>
    <n v="-160"/>
    <n v="960"/>
  </r>
  <r>
    <x v="65"/>
    <s v="conventional_cashout_wacls_239"/>
    <x v="279"/>
    <n v="1"/>
    <n v="1"/>
    <n v="-160"/>
    <n v="960"/>
  </r>
  <r>
    <x v="65"/>
    <s v="conventional_cashout_wacls_240"/>
    <x v="280"/>
    <n v="1"/>
    <n v="1"/>
    <n v="-160"/>
    <n v="960"/>
  </r>
  <r>
    <x v="65"/>
    <s v="conventional_cashout_wacls_241"/>
    <x v="281"/>
    <n v="1"/>
    <n v="1"/>
    <n v="-160"/>
    <n v="960"/>
  </r>
  <r>
    <x v="65"/>
    <s v="conventional_cashout_wacls_242"/>
    <x v="282"/>
    <n v="1"/>
    <n v="1"/>
    <n v="-160"/>
    <n v="960"/>
  </r>
  <r>
    <x v="65"/>
    <s v="conventional_cashout_wacls_243"/>
    <x v="283"/>
    <n v="1"/>
    <n v="1"/>
    <n v="-160"/>
    <n v="960"/>
  </r>
  <r>
    <x v="65"/>
    <s v="conventional_cashout_wacls_244"/>
    <x v="284"/>
    <n v="1"/>
    <n v="1"/>
    <n v="-160"/>
    <n v="960"/>
  </r>
  <r>
    <x v="65"/>
    <s v="conventional_cashout_wacls_245"/>
    <x v="285"/>
    <n v="1"/>
    <n v="1"/>
    <n v="-160"/>
    <n v="960"/>
  </r>
  <r>
    <x v="65"/>
    <s v="conventional_cashout_wacls_246"/>
    <x v="286"/>
    <n v="1"/>
    <n v="1"/>
    <n v="-160"/>
    <n v="960"/>
  </r>
  <r>
    <x v="65"/>
    <s v="conventional_cashout_wacls_247"/>
    <x v="287"/>
    <n v="1"/>
    <n v="1"/>
    <n v="-160"/>
    <n v="960"/>
  </r>
  <r>
    <x v="65"/>
    <s v="conventional_cashout_wacls_248"/>
    <x v="288"/>
    <n v="1"/>
    <n v="1"/>
    <n v="-160"/>
    <n v="960"/>
  </r>
  <r>
    <x v="65"/>
    <s v="conventional_cashout_wacls_249"/>
    <x v="289"/>
    <n v="1"/>
    <n v="1"/>
    <n v="-160"/>
    <n v="960"/>
  </r>
  <r>
    <x v="65"/>
    <s v="conventional_cashout_wacls_250"/>
    <x v="290"/>
    <n v="1"/>
    <n v="1"/>
    <n v="-160"/>
    <n v="960"/>
  </r>
  <r>
    <x v="65"/>
    <s v="conventional_cashout_wacls_251"/>
    <x v="291"/>
    <n v="1"/>
    <n v="1"/>
    <n v="-160"/>
    <n v="960"/>
  </r>
  <r>
    <x v="65"/>
    <s v="conventional_cashout_wacls_252"/>
    <x v="292"/>
    <n v="1"/>
    <n v="1"/>
    <n v="-160"/>
    <n v="960"/>
  </r>
  <r>
    <x v="65"/>
    <s v="conventional_cashout_wacls_253"/>
    <x v="293"/>
    <n v="1"/>
    <n v="1"/>
    <n v="-160"/>
    <n v="960"/>
  </r>
  <r>
    <x v="65"/>
    <s v="conventional_cashout_wacls_254"/>
    <x v="294"/>
    <n v="1"/>
    <n v="1"/>
    <n v="-160"/>
    <n v="960"/>
  </r>
  <r>
    <x v="65"/>
    <s v="conventional_cashout_wacls_255"/>
    <x v="295"/>
    <n v="1"/>
    <n v="1"/>
    <n v="-160"/>
    <n v="960"/>
  </r>
  <r>
    <x v="65"/>
    <s v="conventional_cashout_wacls_256"/>
    <x v="296"/>
    <n v="1"/>
    <n v="1"/>
    <n v="-160"/>
    <n v="960"/>
  </r>
  <r>
    <x v="65"/>
    <s v="conventional_cashout_wacls_257"/>
    <x v="297"/>
    <n v="1"/>
    <n v="1"/>
    <n v="-160"/>
    <n v="960"/>
  </r>
  <r>
    <x v="65"/>
    <s v="conventional_cashout_wacls_258"/>
    <x v="298"/>
    <n v="1"/>
    <n v="1"/>
    <n v="-160"/>
    <n v="960"/>
  </r>
  <r>
    <x v="65"/>
    <s v="conventional_cashout_wacls_259"/>
    <x v="299"/>
    <n v="1"/>
    <n v="1"/>
    <n v="-160"/>
    <n v="960"/>
  </r>
  <r>
    <x v="65"/>
    <s v="conventional_cashout_wacls_260"/>
    <x v="300"/>
    <n v="1"/>
    <n v="1"/>
    <n v="-160"/>
    <n v="960"/>
  </r>
  <r>
    <x v="65"/>
    <s v="conventional_cashout_wacls_261"/>
    <x v="301"/>
    <n v="1"/>
    <n v="1"/>
    <n v="-160"/>
    <n v="960"/>
  </r>
  <r>
    <x v="65"/>
    <s v="conventional_cashout_wacls_262"/>
    <x v="302"/>
    <n v="1"/>
    <n v="1"/>
    <n v="-160"/>
    <n v="960"/>
  </r>
  <r>
    <x v="65"/>
    <s v="conventional_cashout_wacls_263"/>
    <x v="303"/>
    <n v="1"/>
    <n v="1"/>
    <n v="-160"/>
    <n v="960"/>
  </r>
  <r>
    <x v="65"/>
    <s v="conventional_cashout_wacls_264"/>
    <x v="304"/>
    <n v="1"/>
    <n v="1"/>
    <n v="-160"/>
    <n v="960"/>
  </r>
  <r>
    <x v="65"/>
    <s v="conventional_cashout_wacls_265"/>
    <x v="305"/>
    <n v="1"/>
    <n v="1"/>
    <n v="-160"/>
    <n v="960"/>
  </r>
  <r>
    <x v="65"/>
    <s v="conventional_cashout_wacls_266"/>
    <x v="306"/>
    <n v="1"/>
    <n v="1"/>
    <n v="-160"/>
    <n v="960"/>
  </r>
  <r>
    <x v="65"/>
    <s v="conventional_cashout_wacls_267"/>
    <x v="307"/>
    <n v="1"/>
    <n v="1"/>
    <n v="-160"/>
    <n v="960"/>
  </r>
  <r>
    <x v="65"/>
    <s v="conventional_cashout_wacls_268"/>
    <x v="308"/>
    <n v="1"/>
    <n v="1"/>
    <n v="-160"/>
    <n v="960"/>
  </r>
  <r>
    <x v="65"/>
    <s v="conventional_cashout_wacls_269"/>
    <x v="309"/>
    <n v="1"/>
    <n v="1"/>
    <n v="-160"/>
    <n v="960"/>
  </r>
  <r>
    <x v="65"/>
    <s v="conventional_cashout_wacls_270"/>
    <x v="310"/>
    <n v="1"/>
    <n v="1"/>
    <n v="-160"/>
    <n v="960"/>
  </r>
  <r>
    <x v="65"/>
    <s v="conventional_cashout_wacls_271"/>
    <x v="311"/>
    <n v="1"/>
    <n v="1"/>
    <n v="-160"/>
    <n v="960"/>
  </r>
  <r>
    <x v="65"/>
    <s v="conventional_cashout_wacls_272"/>
    <x v="312"/>
    <n v="1"/>
    <n v="1"/>
    <n v="-160"/>
    <n v="960"/>
  </r>
  <r>
    <x v="65"/>
    <s v="conventional_cashout_wacls_273"/>
    <x v="313"/>
    <n v="1"/>
    <n v="1"/>
    <n v="-160"/>
    <n v="960"/>
  </r>
  <r>
    <x v="65"/>
    <s v="conventional_cashout_wacls_274"/>
    <x v="314"/>
    <n v="1"/>
    <n v="1"/>
    <n v="-160"/>
    <n v="960"/>
  </r>
  <r>
    <x v="65"/>
    <s v="conventional_cashout_wacls_275"/>
    <x v="315"/>
    <n v="1"/>
    <n v="1"/>
    <n v="-160"/>
    <n v="960"/>
  </r>
  <r>
    <x v="65"/>
    <s v="conventional_cashout_wacls_276"/>
    <x v="316"/>
    <n v="1"/>
    <n v="1"/>
    <n v="-160"/>
    <n v="960"/>
  </r>
  <r>
    <x v="65"/>
    <s v="conventional_cashout_wacls_277"/>
    <x v="317"/>
    <n v="1"/>
    <n v="1"/>
    <n v="-160"/>
    <n v="960"/>
  </r>
  <r>
    <x v="65"/>
    <s v="conventional_cashout_wacls_278"/>
    <x v="318"/>
    <n v="1"/>
    <n v="1"/>
    <n v="-160"/>
    <n v="960"/>
  </r>
  <r>
    <x v="65"/>
    <s v="conventional_cashout_wacls_279"/>
    <x v="319"/>
    <n v="1"/>
    <n v="1"/>
    <n v="-160"/>
    <n v="960"/>
  </r>
  <r>
    <x v="65"/>
    <s v="conventional_cashout_wacls_280"/>
    <x v="320"/>
    <n v="1"/>
    <n v="1"/>
    <n v="-160"/>
    <n v="960"/>
  </r>
  <r>
    <x v="65"/>
    <s v="conventional_cashout_wacls_281"/>
    <x v="321"/>
    <n v="1"/>
    <n v="1"/>
    <n v="-160"/>
    <n v="960"/>
  </r>
  <r>
    <x v="65"/>
    <s v="conventional_cashout_wacls_282"/>
    <x v="322"/>
    <n v="1"/>
    <n v="1"/>
    <n v="-160"/>
    <n v="960"/>
  </r>
  <r>
    <x v="65"/>
    <s v="conventional_cashout_wacls_283"/>
    <x v="323"/>
    <n v="1"/>
    <n v="1"/>
    <n v="-160"/>
    <n v="960"/>
  </r>
  <r>
    <x v="65"/>
    <s v="conventional_cashout_wacls_284"/>
    <x v="324"/>
    <n v="1"/>
    <n v="1"/>
    <n v="-160"/>
    <n v="960"/>
  </r>
  <r>
    <x v="65"/>
    <s v="conventional_cashout_wacls_285"/>
    <x v="325"/>
    <n v="1"/>
    <n v="1"/>
    <n v="-160"/>
    <n v="960"/>
  </r>
  <r>
    <x v="65"/>
    <s v="conventional_cashout_wacls_286"/>
    <x v="326"/>
    <n v="1"/>
    <n v="1"/>
    <n v="-160"/>
    <n v="960"/>
  </r>
  <r>
    <x v="65"/>
    <s v="conventional_cashout_wacls_287"/>
    <x v="327"/>
    <n v="1"/>
    <n v="1"/>
    <n v="-160"/>
    <n v="960"/>
  </r>
  <r>
    <x v="65"/>
    <s v="conventional_cashout_wacls_288"/>
    <x v="328"/>
    <n v="1"/>
    <n v="1"/>
    <n v="-160"/>
    <n v="960"/>
  </r>
  <r>
    <x v="65"/>
    <s v="conventional_cashout_wacls_289"/>
    <x v="329"/>
    <n v="1"/>
    <n v="1"/>
    <n v="-160"/>
    <n v="960"/>
  </r>
  <r>
    <x v="65"/>
    <s v="conventional_cashout_wacls_290"/>
    <x v="330"/>
    <n v="1"/>
    <n v="1"/>
    <n v="-160"/>
    <n v="960"/>
  </r>
  <r>
    <x v="65"/>
    <s v="conventional_cashout_wacls_291"/>
    <x v="331"/>
    <n v="1"/>
    <n v="1"/>
    <n v="-160"/>
    <n v="960"/>
  </r>
  <r>
    <x v="65"/>
    <s v="conventional_cashout_wacls_292"/>
    <x v="332"/>
    <n v="1"/>
    <n v="1"/>
    <n v="-160"/>
    <n v="960"/>
  </r>
  <r>
    <x v="65"/>
    <s v="conventional_cashout_wacls_293"/>
    <x v="333"/>
    <n v="1"/>
    <n v="1"/>
    <n v="-160"/>
    <n v="960"/>
  </r>
  <r>
    <x v="65"/>
    <s v="conventional_cashout_wacls_294"/>
    <x v="334"/>
    <n v="1"/>
    <n v="1"/>
    <n v="-160"/>
    <n v="960"/>
  </r>
  <r>
    <x v="65"/>
    <s v="conventional_cashout_wacls_295"/>
    <x v="335"/>
    <n v="1"/>
    <n v="1"/>
    <n v="-160"/>
    <n v="960"/>
  </r>
  <r>
    <x v="65"/>
    <s v="conventional_cashout_wacls_296"/>
    <x v="336"/>
    <n v="1"/>
    <n v="1"/>
    <n v="-160"/>
    <n v="960"/>
  </r>
  <r>
    <x v="65"/>
    <s v="conventional_cashout_wacls_297"/>
    <x v="337"/>
    <n v="1"/>
    <n v="1"/>
    <n v="-160"/>
    <n v="960"/>
  </r>
  <r>
    <x v="65"/>
    <s v="conventional_cashout_wacls_298"/>
    <x v="338"/>
    <n v="1"/>
    <n v="1"/>
    <n v="-160"/>
    <n v="960"/>
  </r>
  <r>
    <x v="65"/>
    <s v="conventional_cashout_wacls_299"/>
    <x v="339"/>
    <n v="1"/>
    <n v="1"/>
    <n v="-160"/>
    <n v="960"/>
  </r>
  <r>
    <x v="65"/>
    <s v="conventional_cashout_wacls_300"/>
    <x v="340"/>
    <n v="1"/>
    <n v="1"/>
    <n v="-160"/>
    <n v="960"/>
  </r>
  <r>
    <x v="65"/>
    <s v="conventional_cashout_wacls_301"/>
    <x v="341"/>
    <n v="1"/>
    <n v="1"/>
    <n v="-160"/>
    <n v="960"/>
  </r>
  <r>
    <x v="65"/>
    <s v="conventional_cashout_wacls_302"/>
    <x v="342"/>
    <n v="1"/>
    <n v="1"/>
    <n v="-160"/>
    <n v="960"/>
  </r>
  <r>
    <x v="65"/>
    <s v="conventional_cashout_wacls_303"/>
    <x v="343"/>
    <n v="1"/>
    <n v="1"/>
    <n v="-160"/>
    <n v="960"/>
  </r>
  <r>
    <x v="65"/>
    <s v="conventional_cashout_wacls_304"/>
    <x v="344"/>
    <n v="1"/>
    <n v="1"/>
    <n v="-160"/>
    <n v="960"/>
  </r>
  <r>
    <x v="65"/>
    <s v="conventional_cashout_wacls_305"/>
    <x v="345"/>
    <n v="1"/>
    <n v="1"/>
    <n v="-160"/>
    <n v="960"/>
  </r>
  <r>
    <x v="65"/>
    <s v="conventional_cashout_wacls_306"/>
    <x v="346"/>
    <n v="1"/>
    <n v="1"/>
    <n v="-160"/>
    <n v="960"/>
  </r>
  <r>
    <x v="65"/>
    <s v="conventional_cashout_wacls_307"/>
    <x v="347"/>
    <n v="1"/>
    <n v="1"/>
    <n v="-160"/>
    <n v="960"/>
  </r>
  <r>
    <x v="65"/>
    <s v="conventional_cashout_wacls_308"/>
    <x v="348"/>
    <n v="1"/>
    <n v="1"/>
    <n v="-160"/>
    <n v="960"/>
  </r>
  <r>
    <x v="65"/>
    <s v="conventional_cashout_wacls_309"/>
    <x v="349"/>
    <n v="1"/>
    <n v="1"/>
    <n v="-160"/>
    <n v="960"/>
  </r>
  <r>
    <x v="65"/>
    <s v="conventional_cashout_wacls_310"/>
    <x v="350"/>
    <n v="1"/>
    <n v="1"/>
    <n v="-160"/>
    <n v="960"/>
  </r>
  <r>
    <x v="65"/>
    <s v="conventional_cashout_wacls_311"/>
    <x v="351"/>
    <n v="1"/>
    <n v="1"/>
    <n v="-160"/>
    <n v="960"/>
  </r>
  <r>
    <x v="65"/>
    <s v="conventional_cashout_wacls_312"/>
    <x v="352"/>
    <n v="1"/>
    <n v="1"/>
    <n v="-160"/>
    <n v="960"/>
  </r>
  <r>
    <x v="65"/>
    <s v="conventional_cashout_wacls_313"/>
    <x v="353"/>
    <n v="1"/>
    <n v="1"/>
    <n v="-160"/>
    <n v="960"/>
  </r>
  <r>
    <x v="65"/>
    <s v="conventional_cashout_wacls_314"/>
    <x v="354"/>
    <n v="1"/>
    <n v="1"/>
    <n v="-160"/>
    <n v="960"/>
  </r>
  <r>
    <x v="65"/>
    <s v="conventional_cashout_wacls_315"/>
    <x v="355"/>
    <n v="1"/>
    <n v="1"/>
    <n v="-160"/>
    <n v="960"/>
  </r>
  <r>
    <x v="65"/>
    <s v="conventional_cashout_wacls_316"/>
    <x v="356"/>
    <n v="1"/>
    <n v="1"/>
    <n v="-160"/>
    <n v="960"/>
  </r>
  <r>
    <x v="65"/>
    <s v="conventional_cashout_wacls_317"/>
    <x v="357"/>
    <n v="1"/>
    <n v="1"/>
    <n v="-160"/>
    <n v="960"/>
  </r>
  <r>
    <x v="65"/>
    <s v="conventional_cashout_wacls_318"/>
    <x v="358"/>
    <n v="1"/>
    <n v="1"/>
    <n v="-160"/>
    <n v="960"/>
  </r>
  <r>
    <x v="65"/>
    <s v="conventional_cashout_wacls_319"/>
    <x v="359"/>
    <n v="1"/>
    <n v="1"/>
    <n v="-160"/>
    <n v="960"/>
  </r>
  <r>
    <x v="65"/>
    <s v="conventional_cashout_wacls_320"/>
    <x v="360"/>
    <n v="1"/>
    <n v="1"/>
    <n v="-160"/>
    <n v="960"/>
  </r>
  <r>
    <x v="65"/>
    <s v="conventional_cashout_wacls_321"/>
    <x v="361"/>
    <n v="1"/>
    <n v="1"/>
    <n v="-160"/>
    <n v="960"/>
  </r>
  <r>
    <x v="65"/>
    <s v="conventional_cashout_wacls_322"/>
    <x v="362"/>
    <n v="1"/>
    <n v="1"/>
    <n v="-160"/>
    <n v="960"/>
  </r>
  <r>
    <x v="65"/>
    <s v="conventional_cashout_wacls_323"/>
    <x v="363"/>
    <n v="1"/>
    <n v="1"/>
    <n v="-160"/>
    <n v="960"/>
  </r>
  <r>
    <x v="65"/>
    <s v="conventional_cashout_wacls_324"/>
    <x v="364"/>
    <n v="1"/>
    <n v="1"/>
    <n v="-160"/>
    <n v="960"/>
  </r>
  <r>
    <x v="65"/>
    <s v="conventional_cashout_wacls_325"/>
    <x v="365"/>
    <n v="1"/>
    <n v="1"/>
    <n v="-160"/>
    <n v="960"/>
  </r>
  <r>
    <x v="65"/>
    <s v="conventional_cashout_wacls_326"/>
    <x v="366"/>
    <n v="1"/>
    <n v="1"/>
    <n v="-160"/>
    <n v="960"/>
  </r>
  <r>
    <x v="65"/>
    <s v="conventional_cashout_wacls_327"/>
    <x v="367"/>
    <n v="1"/>
    <n v="1"/>
    <n v="-160"/>
    <n v="960"/>
  </r>
  <r>
    <x v="65"/>
    <s v="conventional_cashout_wacls_328"/>
    <x v="368"/>
    <n v="1"/>
    <n v="1"/>
    <n v="-160"/>
    <n v="960"/>
  </r>
  <r>
    <x v="65"/>
    <s v="conventional_cashout_wacls_329"/>
    <x v="369"/>
    <n v="1"/>
    <n v="1"/>
    <n v="-160"/>
    <n v="960"/>
  </r>
  <r>
    <x v="65"/>
    <s v="conventional_cashout_wacls_330"/>
    <x v="370"/>
    <n v="1"/>
    <n v="1"/>
    <n v="-160"/>
    <n v="960"/>
  </r>
  <r>
    <x v="65"/>
    <s v="conventional_cashout_wacls_331"/>
    <x v="371"/>
    <n v="1"/>
    <n v="1"/>
    <n v="-160"/>
    <n v="960"/>
  </r>
  <r>
    <x v="65"/>
    <s v="conventional_cashout_wacls_332"/>
    <x v="372"/>
    <n v="1"/>
    <n v="1"/>
    <n v="-160"/>
    <n v="960"/>
  </r>
  <r>
    <x v="65"/>
    <s v="conventional_cashout_wacls_333"/>
    <x v="373"/>
    <n v="1"/>
    <n v="1"/>
    <n v="-160"/>
    <n v="960"/>
  </r>
  <r>
    <x v="65"/>
    <s v="conventional_cashout_wacls_334"/>
    <x v="374"/>
    <n v="1"/>
    <n v="1"/>
    <n v="-160"/>
    <n v="960"/>
  </r>
  <r>
    <x v="65"/>
    <s v="conventional_cashout_wacls_335"/>
    <x v="375"/>
    <n v="1"/>
    <n v="1"/>
    <n v="-160"/>
    <n v="960"/>
  </r>
  <r>
    <x v="65"/>
    <s v="conventional_cashout_wacls_336"/>
    <x v="376"/>
    <n v="1"/>
    <n v="1"/>
    <n v="-160"/>
    <n v="960"/>
  </r>
  <r>
    <x v="65"/>
    <s v="conventional_cashout_wacls_337"/>
    <x v="377"/>
    <n v="1"/>
    <n v="1"/>
    <n v="-160"/>
    <n v="960"/>
  </r>
  <r>
    <x v="65"/>
    <s v="conventional_cashout_wacls_338"/>
    <x v="378"/>
    <n v="1"/>
    <n v="1"/>
    <n v="-160"/>
    <n v="960"/>
  </r>
  <r>
    <x v="65"/>
    <s v="conventional_cashout_wacls_339"/>
    <x v="379"/>
    <n v="1"/>
    <n v="1"/>
    <n v="-160"/>
    <n v="960"/>
  </r>
  <r>
    <x v="65"/>
    <s v="conventional_cashout_wacls_340"/>
    <x v="380"/>
    <n v="1"/>
    <n v="1"/>
    <n v="-160"/>
    <n v="960"/>
  </r>
  <r>
    <x v="65"/>
    <s v="conventional_cashout_wacls_341"/>
    <x v="381"/>
    <n v="1"/>
    <n v="1"/>
    <n v="-160"/>
    <n v="960"/>
  </r>
  <r>
    <x v="65"/>
    <s v="conventional_cashout_wacls_342"/>
    <x v="382"/>
    <n v="1"/>
    <n v="1"/>
    <n v="-160"/>
    <n v="960"/>
  </r>
  <r>
    <x v="65"/>
    <s v="conventional_cashout_wacls_343"/>
    <x v="383"/>
    <n v="1"/>
    <n v="1"/>
    <n v="-160"/>
    <n v="960"/>
  </r>
  <r>
    <x v="65"/>
    <s v="conventional_cashout_wacls_344"/>
    <x v="384"/>
    <n v="1"/>
    <n v="1"/>
    <n v="-160"/>
    <n v="960"/>
  </r>
  <r>
    <x v="65"/>
    <s v="conventional_cashout_wacls_345"/>
    <x v="385"/>
    <n v="1"/>
    <n v="1"/>
    <n v="-160"/>
    <n v="960"/>
  </r>
  <r>
    <x v="65"/>
    <s v="conventional_cashout_wacls_346"/>
    <x v="386"/>
    <n v="1"/>
    <n v="1"/>
    <n v="-160"/>
    <n v="960"/>
  </r>
  <r>
    <x v="65"/>
    <s v="conventional_cashout_wacls_347"/>
    <x v="387"/>
    <n v="1"/>
    <n v="1"/>
    <n v="-160"/>
    <n v="960"/>
  </r>
  <r>
    <x v="65"/>
    <s v="conventional_cashout_wacls_348"/>
    <x v="388"/>
    <n v="1"/>
    <n v="1"/>
    <n v="-160"/>
    <n v="960"/>
  </r>
  <r>
    <x v="65"/>
    <s v="conventional_cashout_wacls_349"/>
    <x v="389"/>
    <n v="1"/>
    <n v="1"/>
    <n v="-160"/>
    <n v="960"/>
  </r>
  <r>
    <x v="65"/>
    <s v="conventional_cashout_wacls_350"/>
    <x v="390"/>
    <n v="1"/>
    <n v="1"/>
    <n v="-160"/>
    <n v="960"/>
  </r>
  <r>
    <x v="65"/>
    <s v="conventional_cashout_wacls_351"/>
    <x v="391"/>
    <n v="1"/>
    <n v="1"/>
    <n v="-160"/>
    <n v="960"/>
  </r>
  <r>
    <x v="65"/>
    <s v="conventional_cashout_wacls_352"/>
    <x v="392"/>
    <n v="1"/>
    <n v="1"/>
    <n v="-160"/>
    <n v="960"/>
  </r>
  <r>
    <x v="65"/>
    <s v="conventional_cashout_wacls_353"/>
    <x v="393"/>
    <n v="1"/>
    <n v="1"/>
    <n v="-160"/>
    <n v="960"/>
  </r>
  <r>
    <x v="65"/>
    <s v="conventional_cashout_wacls_354"/>
    <x v="394"/>
    <n v="1"/>
    <n v="1"/>
    <n v="-160"/>
    <n v="960"/>
  </r>
  <r>
    <x v="65"/>
    <s v="conventional_cashout_wacls_355"/>
    <x v="395"/>
    <n v="1"/>
    <n v="1"/>
    <n v="-160"/>
    <n v="960"/>
  </r>
  <r>
    <x v="65"/>
    <s v="conventional_cashout_wacls_356"/>
    <x v="396"/>
    <n v="1"/>
    <n v="1"/>
    <n v="-160"/>
    <n v="960"/>
  </r>
  <r>
    <x v="65"/>
    <s v="conventional_cashout_wacls_357"/>
    <x v="397"/>
    <n v="1"/>
    <n v="1"/>
    <n v="-160"/>
    <n v="960"/>
  </r>
  <r>
    <x v="65"/>
    <s v="conventional_cashout_wacls_358"/>
    <x v="398"/>
    <n v="1"/>
    <n v="1"/>
    <n v="-160"/>
    <n v="960"/>
  </r>
  <r>
    <x v="65"/>
    <s v="conventional_cashout_wacls_359"/>
    <x v="399"/>
    <n v="1"/>
    <n v="1"/>
    <n v="-160"/>
    <n v="960"/>
  </r>
  <r>
    <x v="65"/>
    <s v="conventional_cashout_wacls_360"/>
    <x v="400"/>
    <n v="1"/>
    <n v="1"/>
    <n v="-160"/>
    <n v="960"/>
  </r>
  <r>
    <x v="65"/>
    <s v="conventional_cashout_wacls_361"/>
    <x v="401"/>
    <n v="1"/>
    <n v="1"/>
    <n v="-160"/>
    <n v="960"/>
  </r>
  <r>
    <x v="65"/>
    <s v="conventional_cashout_wacls_362"/>
    <x v="402"/>
    <n v="1"/>
    <n v="1"/>
    <n v="-160"/>
    <n v="960"/>
  </r>
  <r>
    <x v="65"/>
    <s v="conventional_cashout_wacls_363"/>
    <x v="403"/>
    <n v="1"/>
    <n v="1"/>
    <n v="-160"/>
    <n v="960"/>
  </r>
  <r>
    <x v="65"/>
    <s v="conventional_cashout_wacls_364"/>
    <x v="404"/>
    <n v="1"/>
    <n v="1"/>
    <n v="-160"/>
    <n v="960"/>
  </r>
  <r>
    <x v="65"/>
    <s v="conventional_cashout_wacls_365"/>
    <x v="405"/>
    <n v="1"/>
    <n v="1"/>
    <n v="-160"/>
    <n v="960"/>
  </r>
  <r>
    <x v="65"/>
    <s v="conventional_cashout_wacls_366"/>
    <x v="406"/>
    <n v="1"/>
    <n v="1"/>
    <n v="-160"/>
    <n v="960"/>
  </r>
  <r>
    <x v="65"/>
    <s v="conventional_cashout_wacls_367"/>
    <x v="407"/>
    <n v="1"/>
    <n v="1"/>
    <n v="-160"/>
    <n v="960"/>
  </r>
  <r>
    <x v="65"/>
    <s v="conventional_cashout_wacls_368"/>
    <x v="408"/>
    <n v="1"/>
    <n v="1"/>
    <n v="-160"/>
    <n v="960"/>
  </r>
  <r>
    <x v="65"/>
    <s v="conventional_cashout_wacls_369"/>
    <x v="409"/>
    <n v="1"/>
    <n v="1"/>
    <n v="-160"/>
    <n v="960"/>
  </r>
  <r>
    <x v="65"/>
    <s v="conventional_cashout_wacls_370"/>
    <x v="410"/>
    <n v="1"/>
    <n v="1"/>
    <n v="-160"/>
    <n v="960"/>
  </r>
  <r>
    <x v="65"/>
    <s v="conventional_cashout_wacls_371"/>
    <x v="411"/>
    <n v="1"/>
    <n v="1"/>
    <n v="-160"/>
    <n v="960"/>
  </r>
  <r>
    <x v="65"/>
    <s v="conventional_cashout_wacls_372"/>
    <x v="412"/>
    <n v="1"/>
    <n v="1"/>
    <n v="-160"/>
    <n v="960"/>
  </r>
  <r>
    <x v="65"/>
    <s v="conventional_cashout_wacls_373"/>
    <x v="413"/>
    <n v="1"/>
    <n v="1"/>
    <n v="-160"/>
    <n v="960"/>
  </r>
  <r>
    <x v="65"/>
    <s v="conventional_cashout_wacls_374"/>
    <x v="414"/>
    <n v="1"/>
    <n v="1"/>
    <n v="-160"/>
    <n v="960"/>
  </r>
  <r>
    <x v="65"/>
    <s v="conventional_cashout_wacls_375"/>
    <x v="415"/>
    <n v="1"/>
    <n v="1"/>
    <n v="-160"/>
    <n v="960"/>
  </r>
  <r>
    <x v="65"/>
    <s v="conventional_cashout_wacls_376"/>
    <x v="416"/>
    <n v="1"/>
    <n v="1"/>
    <n v="-160"/>
    <n v="960"/>
  </r>
  <r>
    <x v="65"/>
    <s v="conventional_cashout_wacls_377"/>
    <x v="417"/>
    <n v="1"/>
    <n v="1"/>
    <n v="-160"/>
    <n v="960"/>
  </r>
  <r>
    <x v="65"/>
    <s v="conventional_cashout_wacls_378"/>
    <x v="418"/>
    <n v="1"/>
    <n v="1"/>
    <n v="-160"/>
    <n v="960"/>
  </r>
  <r>
    <x v="65"/>
    <s v="conventional_cashout_wacls_379"/>
    <x v="419"/>
    <n v="1"/>
    <n v="1"/>
    <n v="-160"/>
    <n v="960"/>
  </r>
  <r>
    <x v="65"/>
    <s v="conventional_cashout_wacls_380"/>
    <x v="420"/>
    <n v="1"/>
    <n v="1"/>
    <n v="-160"/>
    <n v="960"/>
  </r>
  <r>
    <x v="65"/>
    <s v="conventional_cashout_wacls_381"/>
    <x v="421"/>
    <n v="1"/>
    <n v="1"/>
    <n v="-160"/>
    <n v="960"/>
  </r>
  <r>
    <x v="65"/>
    <s v="conventional_cashout_wacls_382"/>
    <x v="422"/>
    <n v="1"/>
    <n v="1"/>
    <n v="-160"/>
    <n v="960"/>
  </r>
  <r>
    <x v="65"/>
    <s v="conventional_cashout_wacls_383"/>
    <x v="423"/>
    <n v="1"/>
    <n v="1"/>
    <n v="-160"/>
    <n v="960"/>
  </r>
  <r>
    <x v="65"/>
    <s v="conventional_cashout_wacls_384"/>
    <x v="424"/>
    <n v="1"/>
    <n v="1"/>
    <n v="-160"/>
    <n v="960"/>
  </r>
  <r>
    <x v="65"/>
    <s v="conventional_cashout_wacls_385"/>
    <x v="425"/>
    <n v="1"/>
    <n v="1"/>
    <n v="-160"/>
    <n v="960"/>
  </r>
  <r>
    <x v="65"/>
    <s v="conventional_cashout_wacls_386"/>
    <x v="426"/>
    <n v="1"/>
    <n v="1"/>
    <n v="-160"/>
    <n v="960"/>
  </r>
  <r>
    <x v="65"/>
    <s v="conventional_cashout_wacls_387"/>
    <x v="427"/>
    <n v="1"/>
    <n v="1"/>
    <n v="-160"/>
    <n v="960"/>
  </r>
  <r>
    <x v="65"/>
    <s v="conventional_cashout_wacls_388"/>
    <x v="428"/>
    <n v="1"/>
    <n v="1"/>
    <n v="-160"/>
    <n v="960"/>
  </r>
  <r>
    <x v="65"/>
    <s v="conventional_cashout_wacls_389"/>
    <x v="429"/>
    <n v="1"/>
    <n v="1"/>
    <n v="-160"/>
    <n v="960"/>
  </r>
  <r>
    <x v="65"/>
    <s v="conventional_cashout_wacls_390"/>
    <x v="430"/>
    <n v="1"/>
    <n v="1"/>
    <n v="-160"/>
    <n v="960"/>
  </r>
  <r>
    <x v="65"/>
    <s v="conventional_cashout_wacls_391"/>
    <x v="431"/>
    <n v="1"/>
    <n v="1"/>
    <n v="-160"/>
    <n v="960"/>
  </r>
  <r>
    <x v="65"/>
    <s v="conventional_cashout_wacls_392"/>
    <x v="432"/>
    <n v="1"/>
    <n v="1"/>
    <n v="-160"/>
    <n v="960"/>
  </r>
  <r>
    <x v="65"/>
    <s v="conventional_cashout_wacls_393"/>
    <x v="433"/>
    <n v="1"/>
    <n v="1"/>
    <n v="-160"/>
    <n v="960"/>
  </r>
  <r>
    <x v="65"/>
    <s v="conventional_cashout_wacls_394"/>
    <x v="434"/>
    <n v="1"/>
    <n v="1"/>
    <n v="-160"/>
    <n v="960"/>
  </r>
  <r>
    <x v="65"/>
    <s v="conventional_cashout_wacls_395"/>
    <x v="435"/>
    <n v="1"/>
    <n v="1"/>
    <n v="-160"/>
    <n v="960"/>
  </r>
  <r>
    <x v="65"/>
    <s v="conventional_cashout_wacls_396"/>
    <x v="436"/>
    <n v="1"/>
    <n v="1"/>
    <n v="-160"/>
    <n v="960"/>
  </r>
  <r>
    <x v="65"/>
    <s v="conventional_cashout_wacls_397"/>
    <x v="437"/>
    <n v="1"/>
    <n v="1"/>
    <n v="-160"/>
    <n v="960"/>
  </r>
  <r>
    <x v="65"/>
    <s v="conventional_cashout_wacls_398"/>
    <x v="438"/>
    <n v="1"/>
    <n v="1"/>
    <n v="-160"/>
    <n v="960"/>
  </r>
  <r>
    <x v="65"/>
    <s v="conventional_cashout_wacls_399"/>
    <x v="439"/>
    <n v="1"/>
    <n v="1"/>
    <n v="-160"/>
    <n v="960"/>
  </r>
  <r>
    <x v="65"/>
    <s v="conventional_cashout_wacls_400"/>
    <x v="440"/>
    <n v="1"/>
    <n v="1"/>
    <n v="-160"/>
    <n v="960"/>
  </r>
  <r>
    <x v="65"/>
    <s v="conventional_cashout_wacls_401"/>
    <x v="441"/>
    <n v="1"/>
    <n v="1"/>
    <n v="-160"/>
    <n v="960"/>
  </r>
  <r>
    <x v="65"/>
    <s v="conventional_cashout_wacls_402"/>
    <x v="442"/>
    <n v="1"/>
    <n v="1"/>
    <n v="-160"/>
    <n v="960"/>
  </r>
  <r>
    <x v="65"/>
    <s v="conventional_cashout_wacls_403"/>
    <x v="443"/>
    <n v="1"/>
    <n v="1"/>
    <n v="-160"/>
    <n v="960"/>
  </r>
  <r>
    <x v="65"/>
    <s v="conventional_cashout_wacls_404"/>
    <x v="444"/>
    <n v="1"/>
    <n v="1"/>
    <n v="-160"/>
    <n v="960"/>
  </r>
  <r>
    <x v="65"/>
    <s v="conventional_cashout_wacls_405"/>
    <x v="445"/>
    <n v="1"/>
    <n v="1"/>
    <n v="-160"/>
    <n v="960"/>
  </r>
  <r>
    <x v="65"/>
    <s v="conventional_cashout_wacls_406"/>
    <x v="446"/>
    <n v="1"/>
    <n v="1"/>
    <n v="-160"/>
    <n v="960"/>
  </r>
  <r>
    <x v="65"/>
    <s v="conventional_cashout_wacls_407"/>
    <x v="447"/>
    <n v="1"/>
    <n v="1"/>
    <n v="-160"/>
    <n v="960"/>
  </r>
  <r>
    <x v="65"/>
    <s v="conventional_cashout_wacls_408"/>
    <x v="448"/>
    <n v="1"/>
    <n v="1"/>
    <n v="-160"/>
    <n v="960"/>
  </r>
  <r>
    <x v="65"/>
    <s v="conventional_cashout_wacls_409"/>
    <x v="449"/>
    <n v="1"/>
    <n v="1"/>
    <n v="-160"/>
    <n v="960"/>
  </r>
  <r>
    <x v="65"/>
    <s v="conventional_cashout_wacls_410"/>
    <x v="450"/>
    <n v="1"/>
    <n v="1"/>
    <n v="-160"/>
    <n v="960"/>
  </r>
  <r>
    <x v="65"/>
    <s v="conventional_cashout_wacls_411"/>
    <x v="451"/>
    <n v="1"/>
    <n v="1"/>
    <n v="-160"/>
    <n v="960"/>
  </r>
  <r>
    <x v="65"/>
    <s v="conventional_cashout_wacls_412"/>
    <x v="452"/>
    <n v="1"/>
    <n v="1"/>
    <n v="-160"/>
    <n v="960"/>
  </r>
  <r>
    <x v="65"/>
    <s v="conventional_cashout_wacls_413"/>
    <x v="453"/>
    <n v="1"/>
    <n v="1"/>
    <n v="-160"/>
    <n v="960"/>
  </r>
  <r>
    <x v="65"/>
    <s v="conventional_cashout_wacls_414"/>
    <x v="454"/>
    <n v="1"/>
    <n v="1"/>
    <n v="-160"/>
    <n v="960"/>
  </r>
  <r>
    <x v="65"/>
    <s v="conventional_cashout_wacls_415"/>
    <x v="455"/>
    <n v="1"/>
    <n v="1"/>
    <n v="-160"/>
    <n v="960"/>
  </r>
  <r>
    <x v="65"/>
    <s v="conventional_cashout_wacls_416"/>
    <x v="456"/>
    <n v="1"/>
    <n v="1"/>
    <n v="-160"/>
    <n v="960"/>
  </r>
  <r>
    <x v="65"/>
    <s v="conventional_cashout_wacls_417"/>
    <x v="457"/>
    <n v="1"/>
    <n v="1"/>
    <n v="-160"/>
    <n v="960"/>
  </r>
  <r>
    <x v="65"/>
    <s v="conventional_cashout_wacls_418"/>
    <x v="458"/>
    <n v="1"/>
    <n v="1"/>
    <n v="-160"/>
    <n v="960"/>
  </r>
  <r>
    <x v="65"/>
    <s v="conventional_cashout_wacls_419"/>
    <x v="459"/>
    <n v="1"/>
    <n v="1"/>
    <n v="-160"/>
    <n v="960"/>
  </r>
  <r>
    <x v="65"/>
    <s v="conventional_cashout_wacls_420"/>
    <x v="460"/>
    <n v="1"/>
    <n v="1"/>
    <n v="-160"/>
    <n v="960"/>
  </r>
  <r>
    <x v="65"/>
    <s v="conventional_cashout_wacls_421"/>
    <x v="461"/>
    <n v="1"/>
    <n v="1"/>
    <n v="-160"/>
    <n v="960"/>
  </r>
  <r>
    <x v="65"/>
    <s v="conventional_cashout_wacls_422"/>
    <x v="462"/>
    <n v="1"/>
    <n v="1"/>
    <n v="-160"/>
    <n v="960"/>
  </r>
  <r>
    <x v="65"/>
    <s v="conventional_cashout_wacls_423"/>
    <x v="463"/>
    <n v="1"/>
    <n v="1"/>
    <n v="-160"/>
    <n v="960"/>
  </r>
  <r>
    <x v="65"/>
    <s v="conventional_cashout_wacls_424"/>
    <x v="464"/>
    <n v="1"/>
    <n v="1"/>
    <n v="-160"/>
    <n v="960"/>
  </r>
  <r>
    <x v="65"/>
    <s v="conventional_cashout_wacls_425"/>
    <x v="465"/>
    <n v="1"/>
    <n v="1"/>
    <n v="-160"/>
    <n v="960"/>
  </r>
  <r>
    <x v="65"/>
    <s v="conventional_cashout_wacls_426"/>
    <x v="466"/>
    <n v="1"/>
    <n v="1"/>
    <n v="-160"/>
    <n v="960"/>
  </r>
  <r>
    <x v="65"/>
    <s v="conventional_cashout_wacls_427"/>
    <x v="467"/>
    <n v="1"/>
    <n v="1"/>
    <n v="-160"/>
    <n v="960"/>
  </r>
  <r>
    <x v="65"/>
    <s v="conventional_cashout_wacls_428"/>
    <x v="468"/>
    <n v="1"/>
    <n v="1"/>
    <n v="-160"/>
    <n v="960"/>
  </r>
  <r>
    <x v="65"/>
    <s v="conventional_cashout_wacls_429"/>
    <x v="469"/>
    <n v="1"/>
    <n v="1"/>
    <n v="-160"/>
    <n v="960"/>
  </r>
  <r>
    <x v="65"/>
    <s v="conventional_cashout_wacls_430"/>
    <x v="470"/>
    <n v="1"/>
    <n v="1"/>
    <n v="-160"/>
    <n v="960"/>
  </r>
  <r>
    <x v="65"/>
    <s v="conventional_cashout_wacls_431"/>
    <x v="471"/>
    <n v="1"/>
    <n v="1"/>
    <n v="-160"/>
    <n v="960"/>
  </r>
  <r>
    <x v="65"/>
    <s v="conventional_cashout_wacls_432"/>
    <x v="472"/>
    <n v="1"/>
    <n v="1"/>
    <n v="-160"/>
    <n v="960"/>
  </r>
  <r>
    <x v="65"/>
    <s v="conventional_cashout_wacls_433"/>
    <x v="473"/>
    <n v="1"/>
    <n v="1"/>
    <n v="-160"/>
    <n v="960"/>
  </r>
  <r>
    <x v="65"/>
    <s v="conventional_cashout_wacls_434"/>
    <x v="474"/>
    <n v="1"/>
    <n v="1"/>
    <n v="-160"/>
    <n v="960"/>
  </r>
  <r>
    <x v="65"/>
    <s v="conventional_cashout_wacls_435"/>
    <x v="475"/>
    <n v="1"/>
    <n v="1"/>
    <n v="-160"/>
    <n v="960"/>
  </r>
  <r>
    <x v="65"/>
    <s v="conventional_cashout_wacls_436"/>
    <x v="476"/>
    <n v="1"/>
    <n v="1"/>
    <n v="-160"/>
    <n v="960"/>
  </r>
  <r>
    <x v="65"/>
    <s v="conventional_cashout_wacls_437"/>
    <x v="477"/>
    <n v="1"/>
    <n v="1"/>
    <n v="-160"/>
    <n v="960"/>
  </r>
  <r>
    <x v="65"/>
    <s v="conventional_cashout_wacls_438"/>
    <x v="478"/>
    <n v="1"/>
    <n v="1"/>
    <n v="-160"/>
    <n v="960"/>
  </r>
  <r>
    <x v="65"/>
    <s v="conventional_cashout_wacls_439"/>
    <x v="479"/>
    <n v="1"/>
    <n v="1"/>
    <n v="-160"/>
    <n v="960"/>
  </r>
  <r>
    <x v="65"/>
    <s v="conventional_cashout_wacls_440"/>
    <x v="480"/>
    <n v="1"/>
    <n v="1"/>
    <n v="-160"/>
    <n v="960"/>
  </r>
  <r>
    <x v="65"/>
    <s v="conventional_cashout_wacls_441"/>
    <x v="481"/>
    <n v="1"/>
    <n v="1"/>
    <n v="-160"/>
    <n v="960"/>
  </r>
  <r>
    <x v="65"/>
    <s v="conventional_cashout_wacls_442"/>
    <x v="482"/>
    <n v="1"/>
    <n v="1"/>
    <n v="-160"/>
    <n v="960"/>
  </r>
  <r>
    <x v="65"/>
    <s v="conventional_cashout_wacls_443"/>
    <x v="483"/>
    <n v="1"/>
    <n v="1"/>
    <n v="-160"/>
    <n v="960"/>
  </r>
  <r>
    <x v="65"/>
    <s v="conventional_cashout_wacls_444"/>
    <x v="484"/>
    <n v="1"/>
    <n v="1"/>
    <n v="-160"/>
    <n v="960"/>
  </r>
  <r>
    <x v="65"/>
    <s v="conventional_cashout_wacls_445"/>
    <x v="485"/>
    <n v="1"/>
    <n v="1"/>
    <n v="-160"/>
    <n v="960"/>
  </r>
  <r>
    <x v="65"/>
    <s v="conventional_cashout_wacls_446"/>
    <x v="486"/>
    <n v="1"/>
    <n v="1"/>
    <n v="-160"/>
    <n v="960"/>
  </r>
  <r>
    <x v="65"/>
    <s v="conventional_cashout_wacls_447"/>
    <x v="487"/>
    <n v="1"/>
    <n v="1"/>
    <n v="-160"/>
    <n v="960"/>
  </r>
  <r>
    <x v="65"/>
    <s v="conventional_cashout_wacls_448"/>
    <x v="488"/>
    <n v="1"/>
    <n v="1"/>
    <n v="-160"/>
    <n v="960"/>
  </r>
  <r>
    <x v="65"/>
    <s v="conventional_cashout_wacls_449"/>
    <x v="489"/>
    <n v="1"/>
    <n v="1"/>
    <n v="-160"/>
    <n v="960"/>
  </r>
  <r>
    <x v="65"/>
    <s v="conventional_cashout_wacls_450"/>
    <x v="490"/>
    <n v="1"/>
    <n v="1"/>
    <n v="-160"/>
    <n v="960"/>
  </r>
  <r>
    <x v="65"/>
    <s v="conventional_cashout_wacls_451"/>
    <x v="491"/>
    <n v="1"/>
    <n v="1"/>
    <n v="-160"/>
    <n v="960"/>
  </r>
  <r>
    <x v="65"/>
    <s v="conventional_cashout_wacls_452"/>
    <x v="492"/>
    <n v="1"/>
    <n v="1"/>
    <n v="-160"/>
    <n v="960"/>
  </r>
  <r>
    <x v="65"/>
    <s v="conventional_cashout_wacls_453"/>
    <x v="493"/>
    <n v="1"/>
    <n v="1"/>
    <n v="-160"/>
    <n v="960"/>
  </r>
  <r>
    <x v="65"/>
    <s v="conventional_cashout_wacls_454"/>
    <x v="494"/>
    <n v="1"/>
    <n v="1"/>
    <n v="-160"/>
    <n v="960"/>
  </r>
  <r>
    <x v="65"/>
    <s v="conventional_cashout_wacls_455"/>
    <x v="495"/>
    <n v="1"/>
    <n v="1"/>
    <n v="-160"/>
    <n v="960"/>
  </r>
  <r>
    <x v="65"/>
    <s v="conventional_cashout_wacls_456"/>
    <x v="496"/>
    <n v="1"/>
    <n v="1"/>
    <n v="-160"/>
    <n v="960"/>
  </r>
  <r>
    <x v="65"/>
    <s v="conventional_cashout_wacls_457"/>
    <x v="497"/>
    <n v="1"/>
    <n v="1"/>
    <n v="-160"/>
    <n v="960"/>
  </r>
  <r>
    <x v="65"/>
    <s v="conventional_cashout_wacls_458"/>
    <x v="498"/>
    <n v="1"/>
    <n v="1"/>
    <n v="-160"/>
    <n v="960"/>
  </r>
  <r>
    <x v="65"/>
    <s v="conventional_cashout_wacls_459"/>
    <x v="499"/>
    <n v="1"/>
    <n v="1"/>
    <n v="-160"/>
    <n v="960"/>
  </r>
  <r>
    <x v="65"/>
    <s v="conventional_cashout_wacls_460"/>
    <x v="500"/>
    <n v="1"/>
    <n v="1"/>
    <n v="-160"/>
    <n v="960"/>
  </r>
  <r>
    <x v="65"/>
    <s v="conventional_cashout_wacls_461"/>
    <x v="501"/>
    <n v="1"/>
    <n v="1"/>
    <n v="-160"/>
    <n v="960"/>
  </r>
  <r>
    <x v="65"/>
    <s v="conventional_cashout_wacls_462"/>
    <x v="502"/>
    <n v="1"/>
    <n v="1"/>
    <n v="-160"/>
    <n v="960"/>
  </r>
  <r>
    <x v="65"/>
    <s v="conventional_cashout_wacls_463"/>
    <x v="503"/>
    <n v="1"/>
    <n v="1"/>
    <n v="-160"/>
    <n v="960"/>
  </r>
  <r>
    <x v="65"/>
    <s v="conventional_cashout_wacls_464"/>
    <x v="504"/>
    <n v="1"/>
    <n v="1"/>
    <n v="-160"/>
    <n v="960"/>
  </r>
  <r>
    <x v="65"/>
    <s v="conventional_cashout_wacls_465"/>
    <x v="505"/>
    <n v="1"/>
    <n v="1"/>
    <n v="-160"/>
    <n v="960"/>
  </r>
  <r>
    <x v="65"/>
    <s v="conventional_cashout_wacls_466"/>
    <x v="506"/>
    <n v="1"/>
    <n v="1"/>
    <n v="-160"/>
    <n v="960"/>
  </r>
  <r>
    <x v="65"/>
    <s v="conventional_cashout_wacls_467"/>
    <x v="507"/>
    <n v="1"/>
    <n v="1"/>
    <n v="-160"/>
    <n v="960"/>
  </r>
  <r>
    <x v="65"/>
    <s v="conventional_cashout_wacls_468"/>
    <x v="508"/>
    <n v="1"/>
    <n v="1"/>
    <n v="-160"/>
    <n v="960"/>
  </r>
  <r>
    <x v="65"/>
    <s v="conventional_cashout_wacls_469"/>
    <x v="509"/>
    <n v="1"/>
    <n v="1"/>
    <n v="-160"/>
    <n v="960"/>
  </r>
  <r>
    <x v="65"/>
    <s v="conventional_cashout_wacls_470"/>
    <x v="510"/>
    <n v="1"/>
    <n v="1"/>
    <n v="-160"/>
    <n v="960"/>
  </r>
  <r>
    <x v="65"/>
    <s v="conventional_cashout_wacls_471"/>
    <x v="511"/>
    <n v="1"/>
    <n v="1"/>
    <n v="-160"/>
    <n v="960"/>
  </r>
  <r>
    <x v="65"/>
    <s v="conventional_cashout_wacls_472"/>
    <x v="512"/>
    <n v="1"/>
    <n v="1"/>
    <n v="-160"/>
    <n v="960"/>
  </r>
  <r>
    <x v="65"/>
    <s v="conventional_cashout_wacls_473"/>
    <x v="513"/>
    <n v="1"/>
    <n v="1"/>
    <n v="-160"/>
    <n v="960"/>
  </r>
  <r>
    <x v="65"/>
    <s v="conventional_cashout_wacls_474"/>
    <x v="514"/>
    <n v="1"/>
    <n v="1"/>
    <n v="-160"/>
    <n v="960"/>
  </r>
  <r>
    <x v="65"/>
    <s v="conventional_cashout_wacls_475"/>
    <x v="515"/>
    <n v="1"/>
    <n v="1"/>
    <n v="-160"/>
    <n v="960"/>
  </r>
  <r>
    <x v="65"/>
    <s v="conventional_cashout_wacls_476"/>
    <x v="516"/>
    <n v="1"/>
    <n v="1"/>
    <n v="-160"/>
    <n v="960"/>
  </r>
  <r>
    <x v="65"/>
    <s v="conventional_cashout_wacls_477"/>
    <x v="517"/>
    <n v="1"/>
    <n v="1"/>
    <n v="-160"/>
    <n v="960"/>
  </r>
  <r>
    <x v="65"/>
    <s v="conventional_cashout_wacls_478"/>
    <x v="518"/>
    <n v="1"/>
    <n v="1"/>
    <n v="-160"/>
    <n v="960"/>
  </r>
  <r>
    <x v="65"/>
    <s v="conventional_cashout_wacls_479"/>
    <x v="519"/>
    <n v="1"/>
    <n v="1"/>
    <n v="-160"/>
    <n v="960"/>
  </r>
  <r>
    <x v="65"/>
    <s v="conventional_cashout_wacls_480"/>
    <x v="520"/>
    <n v="1"/>
    <n v="1"/>
    <n v="-160"/>
    <n v="960"/>
  </r>
  <r>
    <x v="65"/>
    <s v="conventional_cashout_wacls_481"/>
    <x v="521"/>
    <n v="1"/>
    <n v="1"/>
    <n v="-160"/>
    <n v="960"/>
  </r>
  <r>
    <x v="65"/>
    <s v="conventional_cashout_wacls_482"/>
    <x v="522"/>
    <n v="1"/>
    <n v="1"/>
    <n v="-160"/>
    <n v="960"/>
  </r>
  <r>
    <x v="65"/>
    <s v="conventional_cashout_wacls_483"/>
    <x v="523"/>
    <n v="1"/>
    <n v="1"/>
    <n v="-160"/>
    <n v="960"/>
  </r>
  <r>
    <x v="65"/>
    <s v="conventional_cashout_wacls_484"/>
    <x v="524"/>
    <n v="1"/>
    <n v="1"/>
    <n v="-160"/>
    <n v="960"/>
  </r>
  <r>
    <x v="65"/>
    <s v="conventional_cashout_wacls_485"/>
    <x v="525"/>
    <n v="1"/>
    <n v="1"/>
    <n v="-160"/>
    <n v="960"/>
  </r>
  <r>
    <x v="65"/>
    <s v="conventional_cashout_wacls_486"/>
    <x v="526"/>
    <n v="1"/>
    <n v="1"/>
    <n v="-160"/>
    <n v="960"/>
  </r>
  <r>
    <x v="65"/>
    <s v="conventional_cashout_wacls_487"/>
    <x v="527"/>
    <n v="1"/>
    <n v="1"/>
    <n v="-160"/>
    <n v="960"/>
  </r>
  <r>
    <x v="65"/>
    <s v="conventional_cashout_wacls_488"/>
    <x v="528"/>
    <n v="1"/>
    <n v="1"/>
    <n v="-160"/>
    <n v="960"/>
  </r>
  <r>
    <x v="65"/>
    <s v="conventional_cashout_wacls_489"/>
    <x v="529"/>
    <n v="1"/>
    <n v="1"/>
    <n v="-160"/>
    <n v="960"/>
  </r>
  <r>
    <x v="65"/>
    <s v="conventional_cashout_wacls_490"/>
    <x v="530"/>
    <n v="1"/>
    <n v="1"/>
    <n v="-160"/>
    <n v="960"/>
  </r>
  <r>
    <x v="65"/>
    <s v="conventional_cashout_wacls_491"/>
    <x v="531"/>
    <n v="1"/>
    <n v="1"/>
    <n v="-160"/>
    <n v="960"/>
  </r>
  <r>
    <x v="65"/>
    <s v="conventional_cashout_wacls_492"/>
    <x v="532"/>
    <n v="1"/>
    <n v="1"/>
    <n v="-160"/>
    <n v="960"/>
  </r>
  <r>
    <x v="65"/>
    <s v="conventional_cashout_wacls_493"/>
    <x v="533"/>
    <n v="1"/>
    <n v="1"/>
    <n v="-160"/>
    <n v="960"/>
  </r>
  <r>
    <x v="65"/>
    <s v="conventional_cashout_wacls_494"/>
    <x v="534"/>
    <n v="1"/>
    <n v="1"/>
    <n v="-160"/>
    <n v="960"/>
  </r>
  <r>
    <x v="65"/>
    <s v="conventional_cashout_wacls_495"/>
    <x v="535"/>
    <n v="1"/>
    <n v="1"/>
    <n v="-160"/>
    <n v="960"/>
  </r>
  <r>
    <x v="65"/>
    <s v="conventional_cashout_wacls_496"/>
    <x v="536"/>
    <n v="1"/>
    <n v="1"/>
    <n v="-160"/>
    <n v="960"/>
  </r>
  <r>
    <x v="65"/>
    <s v="conventional_cashout_wacls_497"/>
    <x v="537"/>
    <n v="1"/>
    <n v="1"/>
    <n v="-160"/>
    <n v="960"/>
  </r>
  <r>
    <x v="65"/>
    <s v="conventional_cashout_wacls_498"/>
    <x v="538"/>
    <n v="1"/>
    <n v="1"/>
    <n v="-160"/>
    <n v="960"/>
  </r>
  <r>
    <x v="65"/>
    <s v="conventional_cashout_wacls_499"/>
    <x v="539"/>
    <n v="1"/>
    <n v="1"/>
    <n v="-160"/>
    <n v="960"/>
  </r>
  <r>
    <x v="65"/>
    <s v="conventional_cashout_wacls_500"/>
    <x v="540"/>
    <n v="1"/>
    <n v="1"/>
    <n v="-160"/>
    <n v="960"/>
  </r>
  <r>
    <x v="65"/>
    <s v="conventional_cashout_wacls_501"/>
    <x v="541"/>
    <n v="1"/>
    <n v="1"/>
    <n v="-160"/>
    <n v="960"/>
  </r>
  <r>
    <x v="65"/>
    <s v="conventional_cashout_wacls_502"/>
    <x v="542"/>
    <n v="1"/>
    <n v="1"/>
    <n v="-160"/>
    <n v="960"/>
  </r>
  <r>
    <x v="65"/>
    <s v="conventional_cashout_wacls_503"/>
    <x v="543"/>
    <n v="1"/>
    <n v="1"/>
    <n v="-160"/>
    <n v="960"/>
  </r>
  <r>
    <x v="65"/>
    <s v="conventional_cashout_wacls_504"/>
    <x v="544"/>
    <n v="1"/>
    <n v="1"/>
    <n v="-160"/>
    <n v="960"/>
  </r>
  <r>
    <x v="65"/>
    <s v="conventional_cashout_wacls_505"/>
    <x v="545"/>
    <n v="1"/>
    <n v="1"/>
    <n v="-160"/>
    <n v="960"/>
  </r>
  <r>
    <x v="65"/>
    <s v="conventional_cashout_wacls_506"/>
    <x v="546"/>
    <n v="1"/>
    <n v="1"/>
    <n v="-160"/>
    <n v="960"/>
  </r>
  <r>
    <x v="65"/>
    <s v="conventional_cashout_wacls_507"/>
    <x v="547"/>
    <n v="1"/>
    <n v="1"/>
    <n v="-160"/>
    <n v="960"/>
  </r>
  <r>
    <x v="65"/>
    <s v="conventional_cashout_wacls_508"/>
    <x v="548"/>
    <n v="1"/>
    <n v="1"/>
    <n v="-160"/>
    <n v="960"/>
  </r>
  <r>
    <x v="65"/>
    <s v="conventional_cashout_wacls_509"/>
    <x v="549"/>
    <n v="1"/>
    <n v="1"/>
    <n v="-160"/>
    <n v="960"/>
  </r>
  <r>
    <x v="65"/>
    <s v="conventional_cashout_wacls_510"/>
    <x v="550"/>
    <n v="1"/>
    <n v="1"/>
    <n v="-160"/>
    <n v="960"/>
  </r>
  <r>
    <x v="65"/>
    <s v="conventional_cashout_wacls_511"/>
    <x v="551"/>
    <n v="1"/>
    <n v="1"/>
    <n v="-160"/>
    <n v="960"/>
  </r>
  <r>
    <x v="65"/>
    <s v="conventional_cashout_wacls_512"/>
    <x v="552"/>
    <n v="1"/>
    <n v="1"/>
    <n v="-160"/>
    <n v="960"/>
  </r>
  <r>
    <x v="65"/>
    <s v="conventional_cashout_wacls_513"/>
    <x v="553"/>
    <n v="1"/>
    <n v="1"/>
    <n v="-160"/>
    <n v="960"/>
  </r>
  <r>
    <x v="65"/>
    <s v="conventional_cashout_wacls_514"/>
    <x v="554"/>
    <n v="1"/>
    <n v="1"/>
    <n v="-160"/>
    <n v="960"/>
  </r>
  <r>
    <x v="65"/>
    <s v="conventional_cashout_wacls_515"/>
    <x v="555"/>
    <n v="1"/>
    <n v="1"/>
    <n v="-160"/>
    <n v="960"/>
  </r>
  <r>
    <x v="65"/>
    <s v="conventional_cashout_wacls_516"/>
    <x v="556"/>
    <n v="1"/>
    <n v="1"/>
    <n v="-160"/>
    <n v="960"/>
  </r>
  <r>
    <x v="65"/>
    <s v="conventional_cashout_wacls_517"/>
    <x v="557"/>
    <n v="1"/>
    <n v="1"/>
    <n v="-160"/>
    <n v="960"/>
  </r>
  <r>
    <x v="65"/>
    <s v="conventional_cashout_wacls_518"/>
    <x v="558"/>
    <n v="1"/>
    <n v="1"/>
    <n v="-160"/>
    <n v="960"/>
  </r>
  <r>
    <x v="65"/>
    <s v="conventional_cashout_wacls_519"/>
    <x v="559"/>
    <n v="1"/>
    <n v="1"/>
    <n v="-160"/>
    <n v="960"/>
  </r>
  <r>
    <x v="65"/>
    <s v="conventional_cashout_wacls_520"/>
    <x v="560"/>
    <n v="1"/>
    <n v="1"/>
    <n v="-160"/>
    <n v="960"/>
  </r>
  <r>
    <x v="65"/>
    <s v="conventional_cashout_wacls_521"/>
    <x v="561"/>
    <n v="1"/>
    <n v="1"/>
    <n v="-160"/>
    <n v="960"/>
  </r>
  <r>
    <x v="65"/>
    <s v="conventional_cashout_wacls_522"/>
    <x v="562"/>
    <n v="1"/>
    <n v="1"/>
    <n v="-160"/>
    <n v="960"/>
  </r>
  <r>
    <x v="65"/>
    <s v="conventional_cashout_wacls_523"/>
    <x v="563"/>
    <n v="1"/>
    <n v="1"/>
    <n v="-160"/>
    <n v="960"/>
  </r>
  <r>
    <x v="65"/>
    <s v="conventional_cashout_wacls_524"/>
    <x v="564"/>
    <n v="1"/>
    <n v="1"/>
    <n v="-160"/>
    <n v="960"/>
  </r>
  <r>
    <x v="65"/>
    <s v="conventional_cashout_wacls_525"/>
    <x v="565"/>
    <n v="1"/>
    <n v="1"/>
    <n v="-160"/>
    <n v="960"/>
  </r>
  <r>
    <x v="65"/>
    <s v="conventional_cashout_wacls_526"/>
    <x v="566"/>
    <n v="1"/>
    <n v="1"/>
    <n v="-160"/>
    <n v="960"/>
  </r>
  <r>
    <x v="65"/>
    <s v="conventional_cashout_wacls_527"/>
    <x v="567"/>
    <n v="1"/>
    <n v="1"/>
    <n v="-160"/>
    <n v="960"/>
  </r>
  <r>
    <x v="65"/>
    <s v="conventional_cashout_wacls_528"/>
    <x v="568"/>
    <n v="1"/>
    <n v="1"/>
    <n v="-160"/>
    <n v="960"/>
  </r>
  <r>
    <x v="65"/>
    <s v="conventional_cashout_wacls_529"/>
    <x v="569"/>
    <n v="1"/>
    <n v="1"/>
    <n v="-160"/>
    <n v="960"/>
  </r>
  <r>
    <x v="65"/>
    <s v="conventional_cashout_wacls_530"/>
    <x v="570"/>
    <n v="1"/>
    <n v="1"/>
    <n v="-160"/>
    <n v="960"/>
  </r>
  <r>
    <x v="65"/>
    <s v="conventional_cashout_wacls_531"/>
    <x v="571"/>
    <n v="1"/>
    <n v="1"/>
    <n v="-160"/>
    <n v="960"/>
  </r>
  <r>
    <x v="65"/>
    <s v="conventional_cashout_wacls_532"/>
    <x v="572"/>
    <n v="1"/>
    <n v="1"/>
    <n v="-160"/>
    <n v="960"/>
  </r>
  <r>
    <x v="65"/>
    <s v="conventional_cashout_wacls_533"/>
    <x v="573"/>
    <n v="1"/>
    <n v="1"/>
    <n v="-160"/>
    <n v="960"/>
  </r>
  <r>
    <x v="65"/>
    <s v="conventional_cashout_wacls_534"/>
    <x v="574"/>
    <n v="1"/>
    <n v="1"/>
    <n v="-160"/>
    <n v="960"/>
  </r>
  <r>
    <x v="65"/>
    <s v="conventional_cashout_wacls_535"/>
    <x v="575"/>
    <n v="1"/>
    <n v="1"/>
    <n v="-160"/>
    <n v="960"/>
  </r>
  <r>
    <x v="65"/>
    <s v="conventional_cashout_wacls_536"/>
    <x v="576"/>
    <n v="1"/>
    <n v="1"/>
    <n v="-160"/>
    <n v="960"/>
  </r>
  <r>
    <x v="65"/>
    <s v="conventional_cashout_wacls_537"/>
    <x v="577"/>
    <n v="1"/>
    <n v="1"/>
    <n v="-160"/>
    <n v="960"/>
  </r>
  <r>
    <x v="65"/>
    <s v="conventional_cashout_wacls_538"/>
    <x v="578"/>
    <n v="1"/>
    <n v="1"/>
    <n v="-160"/>
    <n v="960"/>
  </r>
  <r>
    <x v="65"/>
    <s v="conventional_cashout_wacls_539"/>
    <x v="579"/>
    <n v="1"/>
    <n v="1"/>
    <n v="-160"/>
    <n v="960"/>
  </r>
  <r>
    <x v="65"/>
    <s v="conventional_cashout_wacls_540"/>
    <x v="580"/>
    <n v="1"/>
    <n v="1"/>
    <n v="-160"/>
    <n v="960"/>
  </r>
  <r>
    <x v="65"/>
    <s v="conventional_cashout_wacls_541"/>
    <x v="581"/>
    <n v="1"/>
    <n v="1"/>
    <n v="-160"/>
    <n v="960"/>
  </r>
  <r>
    <x v="65"/>
    <s v="conventional_cashout_wacls_542"/>
    <x v="582"/>
    <n v="1"/>
    <n v="1"/>
    <n v="-160"/>
    <n v="960"/>
  </r>
  <r>
    <x v="65"/>
    <s v="conventional_cashout_wacls_543"/>
    <x v="583"/>
    <n v="1"/>
    <n v="1"/>
    <n v="-160"/>
    <n v="960"/>
  </r>
  <r>
    <x v="65"/>
    <s v="conventional_cashout_wacls_544"/>
    <x v="584"/>
    <n v="1"/>
    <n v="1"/>
    <n v="-160"/>
    <n v="960"/>
  </r>
  <r>
    <x v="65"/>
    <s v="conventional_cashout_wacls_545"/>
    <x v="585"/>
    <n v="1"/>
    <n v="1"/>
    <n v="-160"/>
    <n v="960"/>
  </r>
  <r>
    <x v="65"/>
    <s v="conventional_cashout_wacls_546"/>
    <x v="586"/>
    <n v="1"/>
    <n v="1"/>
    <n v="-160"/>
    <n v="960"/>
  </r>
  <r>
    <x v="65"/>
    <s v="conventional_cashout_wacls_547"/>
    <x v="587"/>
    <n v="1"/>
    <n v="1"/>
    <n v="-160"/>
    <n v="960"/>
  </r>
  <r>
    <x v="65"/>
    <s v="conventional_cashout_wacls_548"/>
    <x v="588"/>
    <n v="1"/>
    <n v="1"/>
    <n v="-160"/>
    <n v="960"/>
  </r>
  <r>
    <x v="65"/>
    <s v="conventional_cashout_wacls_549"/>
    <x v="589"/>
    <n v="1"/>
    <n v="1"/>
    <n v="-160"/>
    <n v="960"/>
  </r>
  <r>
    <x v="65"/>
    <s v="conventional_cashout_wacls_550"/>
    <x v="590"/>
    <n v="1"/>
    <n v="1"/>
    <n v="-160"/>
    <n v="960"/>
  </r>
  <r>
    <x v="65"/>
    <s v="conventional_cashout_wacls_551"/>
    <x v="591"/>
    <n v="1"/>
    <n v="1"/>
    <n v="-160"/>
    <n v="960"/>
  </r>
  <r>
    <x v="65"/>
    <s v="conventional_cashout_wacls_552"/>
    <x v="592"/>
    <n v="1"/>
    <n v="1"/>
    <n v="-160"/>
    <n v="960"/>
  </r>
  <r>
    <x v="65"/>
    <s v="conventional_cashout_wacls_553"/>
    <x v="593"/>
    <n v="1"/>
    <n v="1"/>
    <n v="-160"/>
    <n v="960"/>
  </r>
  <r>
    <x v="65"/>
    <s v="conventional_cashout_wacls_554"/>
    <x v="594"/>
    <n v="1"/>
    <n v="1"/>
    <n v="-160"/>
    <n v="960"/>
  </r>
  <r>
    <x v="65"/>
    <s v="conventional_cashout_wacls_555"/>
    <x v="595"/>
    <n v="1"/>
    <n v="1"/>
    <n v="-160"/>
    <n v="960"/>
  </r>
  <r>
    <x v="65"/>
    <s v="conventional_cashout_wacls_556"/>
    <x v="596"/>
    <n v="1"/>
    <n v="1"/>
    <n v="-160"/>
    <n v="960"/>
  </r>
  <r>
    <x v="65"/>
    <s v="conventional_cashout_wacls_557"/>
    <x v="597"/>
    <n v="1"/>
    <n v="1"/>
    <n v="-160"/>
    <n v="960"/>
  </r>
  <r>
    <x v="65"/>
    <s v="conventional_cashout_wacls_558"/>
    <x v="598"/>
    <n v="1"/>
    <n v="1"/>
    <n v="-160"/>
    <n v="960"/>
  </r>
  <r>
    <x v="65"/>
    <s v="conventional_cashout_wacls_559"/>
    <x v="599"/>
    <n v="1"/>
    <n v="1"/>
    <n v="-160"/>
    <n v="960"/>
  </r>
  <r>
    <x v="65"/>
    <s v="conventional_cashout_wacls_560"/>
    <x v="600"/>
    <n v="1"/>
    <n v="1"/>
    <n v="-160"/>
    <n v="960"/>
  </r>
  <r>
    <x v="65"/>
    <s v="conventional_cashout_wacls_561"/>
    <x v="601"/>
    <n v="1"/>
    <n v="1"/>
    <n v="-160"/>
    <n v="960"/>
  </r>
  <r>
    <x v="65"/>
    <s v="conventional_cashout_wacls_562"/>
    <x v="602"/>
    <n v="1"/>
    <n v="1"/>
    <n v="-160"/>
    <n v="960"/>
  </r>
  <r>
    <x v="65"/>
    <s v="conventional_cashout_wacls_563"/>
    <x v="603"/>
    <n v="1"/>
    <n v="1"/>
    <n v="-160"/>
    <n v="960"/>
  </r>
  <r>
    <x v="65"/>
    <s v="conventional_cashout_wacls_564"/>
    <x v="604"/>
    <n v="1"/>
    <n v="1"/>
    <n v="-160"/>
    <n v="960"/>
  </r>
  <r>
    <x v="65"/>
    <s v="conventional_cashout_wacls_565"/>
    <x v="605"/>
    <n v="1"/>
    <n v="1"/>
    <n v="-160"/>
    <n v="960"/>
  </r>
  <r>
    <x v="65"/>
    <s v="conventional_cashout_wacls_566"/>
    <x v="606"/>
    <n v="1"/>
    <n v="1"/>
    <n v="-160"/>
    <n v="960"/>
  </r>
  <r>
    <x v="65"/>
    <s v="conventional_cashout_wacls_567"/>
    <x v="607"/>
    <n v="1"/>
    <n v="1"/>
    <n v="-160"/>
    <n v="960"/>
  </r>
  <r>
    <x v="65"/>
    <s v="conventional_cashout_wacls_568"/>
    <x v="608"/>
    <n v="1"/>
    <n v="1"/>
    <n v="-160"/>
    <n v="960"/>
  </r>
  <r>
    <x v="65"/>
    <s v="conventional_cashout_wacls_569"/>
    <x v="609"/>
    <n v="1"/>
    <n v="1"/>
    <n v="-160"/>
    <n v="960"/>
  </r>
  <r>
    <x v="65"/>
    <s v="conventional_cashout_wacls_570"/>
    <x v="610"/>
    <n v="1"/>
    <n v="1"/>
    <n v="-160"/>
    <n v="960"/>
  </r>
  <r>
    <x v="65"/>
    <s v="conventional_cashout_wacls_571"/>
    <x v="611"/>
    <n v="1"/>
    <n v="1"/>
    <n v="-160"/>
    <n v="960"/>
  </r>
  <r>
    <x v="65"/>
    <s v="conventional_cashout_wacls_572"/>
    <x v="612"/>
    <n v="1"/>
    <n v="1"/>
    <n v="-160"/>
    <n v="960"/>
  </r>
  <r>
    <x v="65"/>
    <s v="conventional_cashout_wacls_573"/>
    <x v="613"/>
    <n v="1"/>
    <n v="1"/>
    <n v="-160"/>
    <n v="960"/>
  </r>
  <r>
    <x v="65"/>
    <s v="conventional_cashout_wacls_574"/>
    <x v="614"/>
    <n v="1"/>
    <n v="1"/>
    <n v="-160"/>
    <n v="960"/>
  </r>
  <r>
    <x v="65"/>
    <s v="conventional_cashout_wacls_575"/>
    <x v="615"/>
    <n v="1"/>
    <n v="1"/>
    <n v="-160"/>
    <n v="960"/>
  </r>
  <r>
    <x v="65"/>
    <s v="conventional_cashout_wacls_576"/>
    <x v="616"/>
    <n v="1"/>
    <n v="1"/>
    <n v="-160"/>
    <n v="960"/>
  </r>
  <r>
    <x v="65"/>
    <s v="conventional_cashout_wacls_577"/>
    <x v="617"/>
    <n v="1"/>
    <n v="1"/>
    <n v="-160"/>
    <n v="960"/>
  </r>
  <r>
    <x v="65"/>
    <s v="conventional_cashout_wacls_578"/>
    <x v="618"/>
    <n v="1"/>
    <n v="1"/>
    <n v="-160"/>
    <n v="960"/>
  </r>
  <r>
    <x v="65"/>
    <s v="conventional_cashout_wacls_579"/>
    <x v="619"/>
    <n v="1"/>
    <n v="1"/>
    <n v="-160"/>
    <n v="960"/>
  </r>
  <r>
    <x v="65"/>
    <s v="conventional_cashout_wacls_580"/>
    <x v="620"/>
    <n v="1"/>
    <n v="1"/>
    <n v="-160"/>
    <n v="960"/>
  </r>
  <r>
    <x v="65"/>
    <s v="conventional_cashout_wacls_581"/>
    <x v="621"/>
    <n v="1"/>
    <n v="1"/>
    <n v="-160"/>
    <n v="960"/>
  </r>
  <r>
    <x v="65"/>
    <s v="conventional_cashout_wacls_582"/>
    <x v="622"/>
    <n v="1"/>
    <n v="1"/>
    <n v="-160"/>
    <n v="960"/>
  </r>
  <r>
    <x v="65"/>
    <s v="conventional_cashout_wacls_583"/>
    <x v="623"/>
    <n v="1"/>
    <n v="1"/>
    <n v="-160"/>
    <n v="960"/>
  </r>
  <r>
    <x v="65"/>
    <s v="conventional_cashout_wacls_584"/>
    <x v="624"/>
    <n v="1"/>
    <n v="1"/>
    <n v="-160"/>
    <n v="960"/>
  </r>
  <r>
    <x v="65"/>
    <s v="conventional_cashout_wacls_585"/>
    <x v="625"/>
    <n v="1"/>
    <n v="1"/>
    <n v="-160"/>
    <n v="960"/>
  </r>
  <r>
    <x v="65"/>
    <s v="conventional_cashout_wacls_586"/>
    <x v="626"/>
    <n v="1"/>
    <n v="1"/>
    <n v="-160"/>
    <n v="960"/>
  </r>
  <r>
    <x v="65"/>
    <s v="conventional_cashout_wacls_587"/>
    <x v="627"/>
    <n v="1"/>
    <n v="1"/>
    <n v="-160"/>
    <n v="960"/>
  </r>
  <r>
    <x v="65"/>
    <s v="conventional_cashout_wacls_588"/>
    <x v="628"/>
    <n v="1"/>
    <n v="1"/>
    <n v="-160"/>
    <n v="960"/>
  </r>
  <r>
    <x v="65"/>
    <s v="conventional_cashout_wacls_589"/>
    <x v="629"/>
    <n v="1"/>
    <n v="1"/>
    <n v="-160"/>
    <n v="960"/>
  </r>
  <r>
    <x v="65"/>
    <s v="conventional_cashout_wacls_590"/>
    <x v="630"/>
    <n v="1"/>
    <n v="1"/>
    <n v="-160"/>
    <n v="960"/>
  </r>
  <r>
    <x v="65"/>
    <s v="conventional_cashout_wacls_591"/>
    <x v="631"/>
    <n v="1"/>
    <n v="1"/>
    <n v="-160"/>
    <n v="960"/>
  </r>
  <r>
    <x v="65"/>
    <s v="conventional_cashout_wacls_592"/>
    <x v="632"/>
    <n v="1"/>
    <n v="1"/>
    <n v="-160"/>
    <n v="960"/>
  </r>
  <r>
    <x v="65"/>
    <s v="conventional_cashout_wacls_593"/>
    <x v="633"/>
    <n v="1"/>
    <n v="1"/>
    <n v="-160"/>
    <n v="960"/>
  </r>
  <r>
    <x v="65"/>
    <s v="conventional_cashout_wacls_594"/>
    <x v="634"/>
    <n v="1"/>
    <n v="1"/>
    <n v="-160"/>
    <n v="960"/>
  </r>
  <r>
    <x v="65"/>
    <s v="conventional_cashout_wacls_595"/>
    <x v="635"/>
    <n v="1"/>
    <n v="1"/>
    <n v="-160"/>
    <n v="960"/>
  </r>
  <r>
    <x v="65"/>
    <s v="conventional_cashout_wacls_596"/>
    <x v="636"/>
    <n v="1"/>
    <n v="1"/>
    <n v="-160"/>
    <n v="960"/>
  </r>
  <r>
    <x v="65"/>
    <s v="conventional_cashout_wacls_597"/>
    <x v="637"/>
    <n v="1"/>
    <n v="1"/>
    <n v="-160"/>
    <n v="960"/>
  </r>
  <r>
    <x v="65"/>
    <s v="conventional_cashout_wacls_598"/>
    <x v="638"/>
    <n v="1"/>
    <n v="1"/>
    <n v="-160"/>
    <n v="960"/>
  </r>
  <r>
    <x v="65"/>
    <s v="conventional_cashout_wacls_599"/>
    <x v="639"/>
    <n v="1"/>
    <n v="1"/>
    <n v="-160"/>
    <n v="960"/>
  </r>
  <r>
    <x v="65"/>
    <s v="conventional_cashout_wacls_600"/>
    <x v="640"/>
    <n v="1"/>
    <n v="1"/>
    <n v="-160"/>
    <n v="960"/>
  </r>
  <r>
    <x v="65"/>
    <s v="conventional_cashout_wacls_601"/>
    <x v="641"/>
    <n v="1"/>
    <n v="1"/>
    <n v="-160"/>
    <n v="960"/>
  </r>
  <r>
    <x v="65"/>
    <s v="conventional_cashout_wacls_602"/>
    <x v="642"/>
    <n v="1"/>
    <n v="1"/>
    <n v="-160"/>
    <n v="960"/>
  </r>
  <r>
    <x v="65"/>
    <s v="conventional_cashout_wacls_603"/>
    <x v="643"/>
    <n v="1"/>
    <n v="1"/>
    <n v="-160"/>
    <n v="960"/>
  </r>
  <r>
    <x v="65"/>
    <s v="conventional_cashout_wacls_604"/>
    <x v="644"/>
    <n v="1"/>
    <n v="1"/>
    <n v="-160"/>
    <n v="960"/>
  </r>
  <r>
    <x v="65"/>
    <s v="conventional_cashout_wacls_605"/>
    <x v="645"/>
    <n v="1"/>
    <n v="1"/>
    <n v="-160"/>
    <n v="960"/>
  </r>
  <r>
    <x v="65"/>
    <s v="conventional_cashout_wacls_606"/>
    <x v="646"/>
    <n v="1"/>
    <n v="1"/>
    <n v="-160"/>
    <n v="960"/>
  </r>
  <r>
    <x v="65"/>
    <s v="conventional_cashout_wacls_607"/>
    <x v="647"/>
    <n v="1"/>
    <n v="1"/>
    <n v="-160"/>
    <n v="960"/>
  </r>
  <r>
    <x v="65"/>
    <s v="conventional_cashout_wacls_608"/>
    <x v="648"/>
    <n v="1"/>
    <n v="1"/>
    <n v="-160"/>
    <n v="960"/>
  </r>
  <r>
    <x v="65"/>
    <s v="conventional_cashout_wacls_609"/>
    <x v="649"/>
    <n v="1"/>
    <n v="1"/>
    <n v="-160"/>
    <n v="960"/>
  </r>
  <r>
    <x v="65"/>
    <s v="conventional_cashout_wacls_610"/>
    <x v="650"/>
    <n v="1"/>
    <n v="1"/>
    <n v="-160"/>
    <n v="960"/>
  </r>
  <r>
    <x v="65"/>
    <s v="conventional_cashout_wacls_611"/>
    <x v="651"/>
    <n v="1"/>
    <n v="1"/>
    <n v="-160"/>
    <n v="960"/>
  </r>
  <r>
    <x v="65"/>
    <s v="conventional_cashout_wacls_612"/>
    <x v="652"/>
    <n v="1"/>
    <n v="1"/>
    <n v="-160"/>
    <n v="960"/>
  </r>
  <r>
    <x v="65"/>
    <s v="conventional_cashout_wacls_613"/>
    <x v="653"/>
    <n v="1"/>
    <n v="1"/>
    <n v="-160"/>
    <n v="960"/>
  </r>
  <r>
    <x v="65"/>
    <s v="conventional_cashout_wacls_614"/>
    <x v="654"/>
    <n v="1"/>
    <n v="1"/>
    <n v="-160"/>
    <n v="960"/>
  </r>
  <r>
    <x v="65"/>
    <s v="conventional_cashout_wacls_615"/>
    <x v="655"/>
    <n v="1"/>
    <n v="1"/>
    <n v="-160"/>
    <n v="960"/>
  </r>
  <r>
    <x v="65"/>
    <s v="conventional_cashout_wacls_616"/>
    <x v="656"/>
    <n v="1"/>
    <n v="1"/>
    <n v="-160"/>
    <n v="960"/>
  </r>
  <r>
    <x v="65"/>
    <s v="conventional_cashout_wacls_617"/>
    <x v="657"/>
    <n v="1"/>
    <n v="1"/>
    <n v="-160"/>
    <n v="960"/>
  </r>
  <r>
    <x v="65"/>
    <s v="conventional_cashout_wacls_618"/>
    <x v="658"/>
    <n v="1"/>
    <n v="1"/>
    <n v="-160"/>
    <n v="960"/>
  </r>
  <r>
    <x v="65"/>
    <s v="conventional_cashout_wacls_619"/>
    <x v="659"/>
    <n v="1"/>
    <n v="1"/>
    <n v="-160"/>
    <n v="960"/>
  </r>
  <r>
    <x v="65"/>
    <s v="conventional_cashout_wacls_620"/>
    <x v="660"/>
    <n v="1"/>
    <n v="1"/>
    <n v="-160"/>
    <n v="960"/>
  </r>
  <r>
    <x v="65"/>
    <s v="conventional_cashout_wacls_621"/>
    <x v="661"/>
    <n v="1"/>
    <n v="1"/>
    <n v="-160"/>
    <n v="960"/>
  </r>
  <r>
    <x v="65"/>
    <s v="conventional_cashout_wacls_622"/>
    <x v="662"/>
    <n v="1"/>
    <n v="1"/>
    <n v="-160"/>
    <n v="960"/>
  </r>
  <r>
    <x v="65"/>
    <s v="conventional_cashout_wacls_623"/>
    <x v="663"/>
    <n v="1"/>
    <n v="1"/>
    <n v="-160"/>
    <n v="960"/>
  </r>
  <r>
    <x v="65"/>
    <s v="conventional_cashout_wacls_624"/>
    <x v="664"/>
    <n v="1"/>
    <n v="1"/>
    <n v="-160"/>
    <n v="960"/>
  </r>
  <r>
    <x v="65"/>
    <s v="conventional_cashout_wacls_625"/>
    <x v="665"/>
    <n v="1"/>
    <n v="1"/>
    <n v="-160"/>
    <n v="960"/>
  </r>
  <r>
    <x v="65"/>
    <s v="conventional_cashout_wacls_626"/>
    <x v="666"/>
    <n v="1"/>
    <n v="1"/>
    <n v="-160"/>
    <n v="960"/>
  </r>
  <r>
    <x v="65"/>
    <s v="conventional_cashout_wacls_627"/>
    <x v="667"/>
    <n v="1"/>
    <n v="1"/>
    <n v="-160"/>
    <n v="960"/>
  </r>
  <r>
    <x v="65"/>
    <s v="conventional_cashout_wacls_628"/>
    <x v="668"/>
    <n v="1"/>
    <n v="1"/>
    <n v="-160"/>
    <n v="960"/>
  </r>
  <r>
    <x v="65"/>
    <s v="conventional_cashout_wacls_629"/>
    <x v="669"/>
    <n v="1"/>
    <n v="1"/>
    <n v="-160"/>
    <n v="960"/>
  </r>
  <r>
    <x v="65"/>
    <s v="conventional_cashout_wacls_630"/>
    <x v="670"/>
    <n v="1"/>
    <n v="1"/>
    <n v="-160"/>
    <n v="960"/>
  </r>
  <r>
    <x v="65"/>
    <s v="conventional_cashout_wacls_631"/>
    <x v="671"/>
    <n v="1"/>
    <n v="1"/>
    <n v="-160"/>
    <n v="960"/>
  </r>
  <r>
    <x v="65"/>
    <s v="conventional_cashout_wacls_632"/>
    <x v="672"/>
    <n v="1"/>
    <n v="1"/>
    <n v="-160"/>
    <n v="960"/>
  </r>
  <r>
    <x v="65"/>
    <s v="conventional_cashout_wacls_633"/>
    <x v="673"/>
    <n v="1"/>
    <n v="1"/>
    <n v="-160"/>
    <n v="960"/>
  </r>
  <r>
    <x v="65"/>
    <s v="conventional_cashout_wacls_634"/>
    <x v="674"/>
    <n v="1"/>
    <n v="1"/>
    <n v="-160"/>
    <n v="960"/>
  </r>
  <r>
    <x v="65"/>
    <s v="conventional_cashout_wacls_635"/>
    <x v="675"/>
    <n v="1"/>
    <n v="1"/>
    <n v="-160"/>
    <n v="960"/>
  </r>
  <r>
    <x v="65"/>
    <s v="conventional_cashout_wacls_636"/>
    <x v="676"/>
    <n v="1"/>
    <n v="1"/>
    <n v="-160"/>
    <n v="960"/>
  </r>
  <r>
    <x v="65"/>
    <s v="conventional_cashout_wacls_637"/>
    <x v="677"/>
    <n v="1"/>
    <n v="1"/>
    <n v="-160"/>
    <n v="960"/>
  </r>
  <r>
    <x v="65"/>
    <s v="conventional_cashout_wacls_638"/>
    <x v="678"/>
    <n v="1"/>
    <n v="1"/>
    <n v="-160"/>
    <n v="960"/>
  </r>
  <r>
    <x v="65"/>
    <s v="conventional_cashout_wacls_639"/>
    <x v="679"/>
    <n v="1"/>
    <n v="1"/>
    <n v="-160"/>
    <n v="960"/>
  </r>
  <r>
    <x v="65"/>
    <s v="conventional_cashout_wacls_640"/>
    <x v="680"/>
    <n v="1"/>
    <n v="1"/>
    <n v="-160"/>
    <n v="960"/>
  </r>
  <r>
    <x v="65"/>
    <s v="conventional_cashout_wacls_641"/>
    <x v="681"/>
    <n v="1"/>
    <n v="1"/>
    <n v="-160"/>
    <n v="960"/>
  </r>
  <r>
    <x v="65"/>
    <s v="conventional_cashout_wacls_642"/>
    <x v="682"/>
    <n v="1"/>
    <n v="1"/>
    <n v="-160"/>
    <n v="960"/>
  </r>
  <r>
    <x v="65"/>
    <s v="conventional_cashout_wacls_643"/>
    <x v="683"/>
    <n v="1"/>
    <n v="1"/>
    <n v="-160"/>
    <n v="960"/>
  </r>
  <r>
    <x v="65"/>
    <s v="conventional_cashout_wacls_644"/>
    <x v="684"/>
    <n v="1"/>
    <n v="1"/>
    <n v="-160"/>
    <n v="960"/>
  </r>
  <r>
    <x v="65"/>
    <s v="conventional_cashout_wacls_645"/>
    <x v="685"/>
    <n v="1"/>
    <n v="1"/>
    <n v="-160"/>
    <n v="960"/>
  </r>
  <r>
    <x v="65"/>
    <s v="conventional_cashout_wacls_646"/>
    <x v="686"/>
    <n v="1"/>
    <n v="1"/>
    <n v="-160"/>
    <n v="960"/>
  </r>
  <r>
    <x v="65"/>
    <s v="conventional_cashout_wacls_647"/>
    <x v="687"/>
    <n v="1"/>
    <n v="1"/>
    <n v="-160"/>
    <n v="960"/>
  </r>
  <r>
    <x v="65"/>
    <s v="conventional_cashout_wacls_648"/>
    <x v="688"/>
    <n v="1"/>
    <n v="1"/>
    <n v="-160"/>
    <n v="960"/>
  </r>
  <r>
    <x v="65"/>
    <s v="conventional_cashout_wacls_649"/>
    <x v="689"/>
    <n v="1"/>
    <n v="1"/>
    <n v="-160"/>
    <n v="960"/>
  </r>
  <r>
    <x v="65"/>
    <s v="conventional_cashout_wacls_650"/>
    <x v="690"/>
    <n v="1"/>
    <n v="1"/>
    <n v="-160"/>
    <n v="960"/>
  </r>
  <r>
    <x v="65"/>
    <s v="conventional_cashout_wacls_651"/>
    <x v="691"/>
    <n v="1"/>
    <n v="1"/>
    <n v="-160"/>
    <n v="960"/>
  </r>
  <r>
    <x v="65"/>
    <s v="conventional_cashout_wacls_652"/>
    <x v="692"/>
    <n v="1"/>
    <n v="1"/>
    <n v="-160"/>
    <n v="960"/>
  </r>
  <r>
    <x v="65"/>
    <s v="conventional_cashout_wacls_653"/>
    <x v="693"/>
    <n v="1"/>
    <n v="1"/>
    <n v="-160"/>
    <n v="960"/>
  </r>
  <r>
    <x v="65"/>
    <s v="conventional_cashout_wacls_654"/>
    <x v="694"/>
    <n v="1"/>
    <n v="1"/>
    <n v="-160"/>
    <n v="960"/>
  </r>
  <r>
    <x v="65"/>
    <s v="conventional_cashout_wacls_655"/>
    <x v="695"/>
    <n v="1"/>
    <n v="1"/>
    <n v="-160"/>
    <n v="960"/>
  </r>
  <r>
    <x v="65"/>
    <s v="conventional_cashout_wacls_656"/>
    <x v="696"/>
    <n v="1"/>
    <n v="1"/>
    <n v="-160"/>
    <n v="960"/>
  </r>
  <r>
    <x v="65"/>
    <s v="conventional_cashout_wacls_657"/>
    <x v="697"/>
    <n v="1"/>
    <n v="1"/>
    <n v="-160"/>
    <n v="960"/>
  </r>
  <r>
    <x v="65"/>
    <s v="conventional_cashout_wacls_658"/>
    <x v="698"/>
    <n v="1"/>
    <n v="1"/>
    <n v="-160"/>
    <n v="960"/>
  </r>
  <r>
    <x v="65"/>
    <s v="conventional_cashout_wacls_659"/>
    <x v="699"/>
    <n v="1"/>
    <n v="1"/>
    <n v="-160"/>
    <n v="960"/>
  </r>
  <r>
    <x v="65"/>
    <s v="conventional_cashout_wacls_660"/>
    <x v="700"/>
    <n v="1"/>
    <n v="1"/>
    <n v="-160"/>
    <n v="960"/>
  </r>
  <r>
    <x v="65"/>
    <s v="conventional_cashout_wacls_661"/>
    <x v="701"/>
    <n v="1"/>
    <n v="1"/>
    <n v="-160"/>
    <n v="960"/>
  </r>
  <r>
    <x v="65"/>
    <s v="conventional_cashout_wacls_662"/>
    <x v="702"/>
    <n v="1"/>
    <n v="1"/>
    <n v="-160"/>
    <n v="960"/>
  </r>
  <r>
    <x v="65"/>
    <s v="conventional_cashout_wacls_663"/>
    <x v="703"/>
    <n v="1"/>
    <n v="1"/>
    <n v="-160"/>
    <n v="960"/>
  </r>
  <r>
    <x v="65"/>
    <s v="conventional_cashout_wacls_664"/>
    <x v="704"/>
    <n v="1"/>
    <n v="1"/>
    <n v="-160"/>
    <n v="960"/>
  </r>
  <r>
    <x v="65"/>
    <s v="conventional_cashout_wacls_665"/>
    <x v="705"/>
    <n v="1"/>
    <n v="1"/>
    <n v="-160"/>
    <n v="960"/>
  </r>
  <r>
    <x v="65"/>
    <s v="conventional_cashout_wacls_666"/>
    <x v="706"/>
    <n v="1"/>
    <n v="1"/>
    <n v="-160"/>
    <n v="960"/>
  </r>
  <r>
    <x v="65"/>
    <s v="conventional_cashout_wacls_667"/>
    <x v="707"/>
    <n v="1"/>
    <n v="1"/>
    <n v="-160"/>
    <n v="960"/>
  </r>
  <r>
    <x v="65"/>
    <s v="conventional_cashout_wacls_668"/>
    <x v="708"/>
    <n v="1"/>
    <n v="1"/>
    <n v="-160"/>
    <n v="960"/>
  </r>
  <r>
    <x v="65"/>
    <s v="conventional_cashout_wacls_669"/>
    <x v="709"/>
    <n v="1"/>
    <n v="1"/>
    <n v="-160"/>
    <n v="960"/>
  </r>
  <r>
    <x v="65"/>
    <s v="conventional_cashout_wacls_670"/>
    <x v="710"/>
    <n v="1"/>
    <n v="1"/>
    <n v="-160"/>
    <n v="960"/>
  </r>
  <r>
    <x v="65"/>
    <s v="conventional_cashout_wacls_671"/>
    <x v="711"/>
    <n v="1"/>
    <n v="1"/>
    <n v="-160"/>
    <n v="960"/>
  </r>
  <r>
    <x v="65"/>
    <s v="conventional_cashout_wacls_672"/>
    <x v="712"/>
    <n v="1"/>
    <n v="1"/>
    <n v="-160"/>
    <n v="960"/>
  </r>
  <r>
    <x v="65"/>
    <s v="conventional_cashout_wacls_673"/>
    <x v="713"/>
    <n v="1"/>
    <n v="1"/>
    <n v="-160"/>
    <n v="960"/>
  </r>
  <r>
    <x v="65"/>
    <s v="conventional_cashout_wacls_674"/>
    <x v="714"/>
    <n v="1"/>
    <n v="1"/>
    <n v="-160"/>
    <n v="960"/>
  </r>
  <r>
    <x v="65"/>
    <s v="conventional_cashout_wacls_675"/>
    <x v="715"/>
    <n v="1"/>
    <n v="1"/>
    <n v="-160"/>
    <n v="960"/>
  </r>
  <r>
    <x v="65"/>
    <s v="conventional_cashout_wacls_676"/>
    <x v="716"/>
    <n v="1"/>
    <n v="1"/>
    <n v="-160"/>
    <n v="960"/>
  </r>
  <r>
    <x v="65"/>
    <s v="conventional_cashout_wacls_677"/>
    <x v="717"/>
    <n v="1"/>
    <n v="1"/>
    <n v="-160"/>
    <n v="960"/>
  </r>
  <r>
    <x v="65"/>
    <s v="conventional_cashout_wacls_678"/>
    <x v="718"/>
    <n v="1"/>
    <n v="1"/>
    <n v="-160"/>
    <n v="960"/>
  </r>
  <r>
    <x v="65"/>
    <s v="conventional_cashout_wacls_679"/>
    <x v="719"/>
    <n v="1"/>
    <n v="1"/>
    <n v="-160"/>
    <n v="960"/>
  </r>
  <r>
    <x v="65"/>
    <s v="conventional_cashout_wacls_680"/>
    <x v="720"/>
    <n v="1"/>
    <n v="1"/>
    <n v="-160"/>
    <n v="960"/>
  </r>
  <r>
    <x v="65"/>
    <s v="conventional_cashout_wacls_681"/>
    <x v="721"/>
    <n v="1"/>
    <n v="1"/>
    <n v="-160"/>
    <n v="960"/>
  </r>
  <r>
    <x v="65"/>
    <s v="conventional_cashout_wacls_682"/>
    <x v="722"/>
    <n v="1"/>
    <n v="1"/>
    <n v="-160"/>
    <n v="960"/>
  </r>
  <r>
    <x v="65"/>
    <s v="conventional_cashout_wacls_683"/>
    <x v="723"/>
    <n v="1"/>
    <n v="1"/>
    <n v="-160"/>
    <n v="960"/>
  </r>
  <r>
    <x v="65"/>
    <s v="conventional_cashout_wacls_684"/>
    <x v="724"/>
    <n v="1"/>
    <n v="1"/>
    <n v="-160"/>
    <n v="960"/>
  </r>
  <r>
    <x v="65"/>
    <s v="conventional_cashout_wacls_685"/>
    <x v="725"/>
    <n v="1"/>
    <n v="1"/>
    <n v="-160"/>
    <n v="960"/>
  </r>
  <r>
    <x v="65"/>
    <s v="conventional_cashout_wacls_686"/>
    <x v="726"/>
    <n v="1"/>
    <n v="1"/>
    <n v="-160"/>
    <n v="960"/>
  </r>
  <r>
    <x v="65"/>
    <s v="conventional_cashout_wacls_687"/>
    <x v="727"/>
    <n v="1"/>
    <n v="1"/>
    <n v="-160"/>
    <n v="960"/>
  </r>
  <r>
    <x v="65"/>
    <s v="conventional_cashout_wacls_688"/>
    <x v="728"/>
    <n v="1"/>
    <n v="1"/>
    <n v="-160"/>
    <n v="960"/>
  </r>
  <r>
    <x v="65"/>
    <s v="conventional_cashout_wacls_689"/>
    <x v="729"/>
    <n v="1"/>
    <n v="1"/>
    <n v="-160"/>
    <n v="960"/>
  </r>
  <r>
    <x v="65"/>
    <s v="conventional_cashout_wacls_690"/>
    <x v="730"/>
    <n v="1"/>
    <n v="1"/>
    <n v="-160"/>
    <n v="960"/>
  </r>
  <r>
    <x v="65"/>
    <s v="conventional_cashout_wacls_691"/>
    <x v="731"/>
    <n v="1"/>
    <n v="1"/>
    <n v="-160"/>
    <n v="960"/>
  </r>
  <r>
    <x v="65"/>
    <s v="conventional_cashout_wacls_692"/>
    <x v="732"/>
    <n v="1"/>
    <n v="1"/>
    <n v="-160"/>
    <n v="960"/>
  </r>
  <r>
    <x v="65"/>
    <s v="conventional_cashout_wacls_693"/>
    <x v="733"/>
    <n v="1"/>
    <n v="1"/>
    <n v="-160"/>
    <n v="960"/>
  </r>
  <r>
    <x v="65"/>
    <s v="conventional_cashout_wacls_694"/>
    <x v="734"/>
    <n v="1"/>
    <n v="1"/>
    <n v="-160"/>
    <n v="960"/>
  </r>
  <r>
    <x v="65"/>
    <s v="conventional_cashout_wacls_695"/>
    <x v="735"/>
    <n v="1"/>
    <n v="1"/>
    <n v="-160"/>
    <n v="960"/>
  </r>
  <r>
    <x v="65"/>
    <s v="conventional_cashout_wacls_696"/>
    <x v="736"/>
    <n v="1"/>
    <n v="1"/>
    <n v="-160"/>
    <n v="960"/>
  </r>
  <r>
    <x v="65"/>
    <s v="conventional_cashout_wacls_697"/>
    <x v="737"/>
    <n v="1"/>
    <n v="1"/>
    <n v="-160"/>
    <n v="960"/>
  </r>
  <r>
    <x v="65"/>
    <s v="conventional_cashout_wacls_698"/>
    <x v="738"/>
    <n v="1"/>
    <n v="1"/>
    <n v="-160"/>
    <n v="960"/>
  </r>
  <r>
    <x v="65"/>
    <s v="conventional_cashout_wacls_699"/>
    <x v="739"/>
    <n v="1"/>
    <n v="1"/>
    <n v="-160"/>
    <n v="960"/>
  </r>
  <r>
    <x v="65"/>
    <s v="conventional_cashout_wacls_700"/>
    <x v="740"/>
    <n v="1"/>
    <n v="1"/>
    <n v="-160"/>
    <n v="960"/>
  </r>
  <r>
    <x v="65"/>
    <s v="conventional_cashout_wacls_701"/>
    <x v="741"/>
    <n v="1"/>
    <n v="1"/>
    <n v="-160"/>
    <n v="960"/>
  </r>
  <r>
    <x v="65"/>
    <s v="conventional_cashout_wacls_702"/>
    <x v="742"/>
    <n v="1"/>
    <n v="1"/>
    <n v="-160"/>
    <n v="960"/>
  </r>
  <r>
    <x v="65"/>
    <s v="conventional_cashout_wacls_703"/>
    <x v="743"/>
    <n v="1"/>
    <n v="1"/>
    <n v="-160"/>
    <n v="960"/>
  </r>
  <r>
    <x v="65"/>
    <s v="conventional_cashout_wacls_704"/>
    <x v="744"/>
    <n v="1"/>
    <n v="1"/>
    <n v="-160"/>
    <n v="960"/>
  </r>
  <r>
    <x v="65"/>
    <s v="conventional_cashout_wacls_705"/>
    <x v="745"/>
    <n v="1"/>
    <n v="1"/>
    <n v="-160"/>
    <n v="960"/>
  </r>
  <r>
    <x v="65"/>
    <s v="conventional_cashout_wacls_706"/>
    <x v="746"/>
    <n v="1"/>
    <n v="1"/>
    <n v="-160"/>
    <n v="960"/>
  </r>
  <r>
    <x v="65"/>
    <s v="conventional_cashout_wacls_707"/>
    <x v="747"/>
    <n v="1"/>
    <n v="1"/>
    <n v="-160"/>
    <n v="960"/>
  </r>
  <r>
    <x v="65"/>
    <s v="conventional_cashout_wacls_708"/>
    <x v="748"/>
    <n v="1"/>
    <n v="1"/>
    <n v="-160"/>
    <n v="960"/>
  </r>
  <r>
    <x v="65"/>
    <s v="conventional_cashout_wacls_709"/>
    <x v="749"/>
    <n v="1"/>
    <n v="1"/>
    <n v="-160"/>
    <n v="960"/>
  </r>
  <r>
    <x v="65"/>
    <s v="conventional_cashout_wacls_710"/>
    <x v="750"/>
    <n v="1"/>
    <n v="1"/>
    <n v="-160"/>
    <n v="960"/>
  </r>
  <r>
    <x v="65"/>
    <s v="conventional_cashout_wacls_711"/>
    <x v="751"/>
    <n v="1"/>
    <n v="1"/>
    <n v="-160"/>
    <n v="960"/>
  </r>
  <r>
    <x v="65"/>
    <s v="conventional_cashout_wacls_712"/>
    <x v="752"/>
    <n v="1"/>
    <n v="1"/>
    <n v="-160"/>
    <n v="960"/>
  </r>
  <r>
    <x v="65"/>
    <s v="conventional_cashout_wacls_713"/>
    <x v="753"/>
    <n v="1"/>
    <n v="1"/>
    <n v="-160"/>
    <n v="960"/>
  </r>
  <r>
    <x v="65"/>
    <s v="conventional_cashout_wacls_714"/>
    <x v="754"/>
    <n v="1"/>
    <n v="1"/>
    <n v="-160"/>
    <n v="960"/>
  </r>
  <r>
    <x v="65"/>
    <s v="conventional_cashout_wacls_715"/>
    <x v="755"/>
    <n v="1"/>
    <n v="1"/>
    <n v="-160"/>
    <n v="960"/>
  </r>
  <r>
    <x v="65"/>
    <s v="conventional_cashout_wacls_716"/>
    <x v="756"/>
    <n v="1"/>
    <n v="1"/>
    <n v="-160"/>
    <n v="960"/>
  </r>
  <r>
    <x v="65"/>
    <s v="conventional_cashout_wacls_717"/>
    <x v="757"/>
    <n v="1"/>
    <n v="1"/>
    <n v="-160"/>
    <n v="960"/>
  </r>
  <r>
    <x v="65"/>
    <s v="conventional_cashout_wacls_718"/>
    <x v="758"/>
    <n v="1"/>
    <n v="1"/>
    <n v="-160"/>
    <n v="960"/>
  </r>
  <r>
    <x v="65"/>
    <s v="conventional_cashout_wacls_719"/>
    <x v="759"/>
    <n v="1"/>
    <n v="1"/>
    <n v="-160"/>
    <n v="960"/>
  </r>
  <r>
    <x v="65"/>
    <s v="conventional_cashout_wacls_720"/>
    <x v="760"/>
    <n v="1"/>
    <n v="1"/>
    <n v="-160"/>
    <n v="960"/>
  </r>
  <r>
    <x v="65"/>
    <s v="conventional_cashout_wacls_721"/>
    <x v="761"/>
    <n v="1"/>
    <n v="1"/>
    <n v="-160"/>
    <n v="960"/>
  </r>
  <r>
    <x v="65"/>
    <s v="conventional_cashout_wacls_722"/>
    <x v="762"/>
    <n v="1"/>
    <n v="1"/>
    <n v="-160"/>
    <n v="960"/>
  </r>
  <r>
    <x v="65"/>
    <s v="conventional_cashout_wacls_723"/>
    <x v="763"/>
    <n v="1"/>
    <n v="1"/>
    <n v="-160"/>
    <n v="960"/>
  </r>
  <r>
    <x v="65"/>
    <s v="conventional_cashout_wacls_724"/>
    <x v="764"/>
    <n v="1"/>
    <n v="1"/>
    <n v="-160"/>
    <n v="960"/>
  </r>
  <r>
    <x v="65"/>
    <s v="conventional_cashout_wacls_725"/>
    <x v="765"/>
    <n v="1"/>
    <n v="1"/>
    <n v="-160"/>
    <n v="960"/>
  </r>
  <r>
    <x v="65"/>
    <s v="conventional_cashout_wacls_726"/>
    <x v="766"/>
    <n v="1"/>
    <n v="1"/>
    <n v="-160"/>
    <n v="960"/>
  </r>
  <r>
    <x v="65"/>
    <s v="conventional_cashout_wacls_727"/>
    <x v="767"/>
    <n v="1"/>
    <n v="1"/>
    <n v="-160"/>
    <n v="960"/>
  </r>
  <r>
    <x v="65"/>
    <s v="conventional_cashout_wacls_728"/>
    <x v="768"/>
    <n v="1"/>
    <n v="1"/>
    <n v="-160"/>
    <n v="960"/>
  </r>
  <r>
    <x v="65"/>
    <s v="conventional_cashout_wacls_729"/>
    <x v="769"/>
    <n v="1"/>
    <n v="1"/>
    <n v="-160"/>
    <n v="960"/>
  </r>
  <r>
    <x v="65"/>
    <s v="conventional_cashout_wacls_730"/>
    <x v="770"/>
    <n v="1"/>
    <n v="1"/>
    <n v="-160"/>
    <n v="960"/>
  </r>
  <r>
    <x v="65"/>
    <s v="conventional_cashout_wacls_731"/>
    <x v="771"/>
    <n v="1"/>
    <n v="1"/>
    <n v="-160"/>
    <n v="960"/>
  </r>
  <r>
    <x v="65"/>
    <s v="conventional_cashout_wacls_732"/>
    <x v="772"/>
    <n v="1"/>
    <n v="1"/>
    <n v="-160"/>
    <n v="960"/>
  </r>
  <r>
    <x v="65"/>
    <s v="conventional_cashout_wacls_733"/>
    <x v="773"/>
    <n v="1"/>
    <n v="1"/>
    <n v="-160"/>
    <n v="960"/>
  </r>
  <r>
    <x v="65"/>
    <s v="conventional_cashout_wacls_734"/>
    <x v="774"/>
    <n v="1"/>
    <n v="1"/>
    <n v="-160"/>
    <n v="960"/>
  </r>
  <r>
    <x v="65"/>
    <s v="conventional_cashout_wacls_735"/>
    <x v="775"/>
    <n v="1"/>
    <n v="1"/>
    <n v="-160"/>
    <n v="960"/>
  </r>
  <r>
    <x v="65"/>
    <s v="conventional_cashout_wacls_736"/>
    <x v="776"/>
    <n v="1"/>
    <n v="1"/>
    <n v="-160"/>
    <n v="960"/>
  </r>
  <r>
    <x v="65"/>
    <s v="conventional_cashout_wacls_737"/>
    <x v="777"/>
    <n v="1"/>
    <n v="1"/>
    <n v="-160"/>
    <n v="960"/>
  </r>
  <r>
    <x v="65"/>
    <s v="conventional_cashout_wacls_738"/>
    <x v="778"/>
    <n v="1"/>
    <n v="1"/>
    <n v="-160"/>
    <n v="960"/>
  </r>
  <r>
    <x v="65"/>
    <s v="conventional_cashout_wacls_739"/>
    <x v="779"/>
    <n v="1"/>
    <n v="1"/>
    <n v="-160"/>
    <n v="960"/>
  </r>
  <r>
    <x v="65"/>
    <s v="conventional_cashout_wacls_740"/>
    <x v="780"/>
    <n v="1"/>
    <n v="1"/>
    <n v="-160"/>
    <n v="960"/>
  </r>
  <r>
    <x v="65"/>
    <s v="conventional_cashout_wacls_741"/>
    <x v="781"/>
    <n v="1"/>
    <n v="1"/>
    <n v="-160"/>
    <n v="960"/>
  </r>
  <r>
    <x v="65"/>
    <s v="conventional_cashout_wacls_742"/>
    <x v="782"/>
    <n v="1"/>
    <n v="1"/>
    <n v="-160"/>
    <n v="960"/>
  </r>
  <r>
    <x v="65"/>
    <s v="conventional_cashout_wacls_743"/>
    <x v="783"/>
    <n v="1"/>
    <n v="1"/>
    <n v="-160"/>
    <n v="960"/>
  </r>
  <r>
    <x v="65"/>
    <s v="conventional_cashout_wacls_744"/>
    <x v="784"/>
    <n v="1"/>
    <n v="1"/>
    <n v="-160"/>
    <n v="960"/>
  </r>
  <r>
    <x v="65"/>
    <s v="conventional_cashout_wacls_745"/>
    <x v="785"/>
    <n v="1"/>
    <n v="1"/>
    <n v="-160"/>
    <n v="960"/>
  </r>
  <r>
    <x v="65"/>
    <s v="conventional_cashout_wacls_746"/>
    <x v="786"/>
    <n v="1"/>
    <n v="1"/>
    <n v="-160"/>
    <n v="960"/>
  </r>
  <r>
    <x v="65"/>
    <s v="conventional_cashout_wacls_747"/>
    <x v="787"/>
    <n v="1"/>
    <n v="1"/>
    <n v="-160"/>
    <n v="960"/>
  </r>
  <r>
    <x v="65"/>
    <s v="conventional_cashout_wacls_748"/>
    <x v="788"/>
    <n v="1"/>
    <n v="1"/>
    <n v="-160"/>
    <n v="960"/>
  </r>
  <r>
    <x v="65"/>
    <s v="conventional_cashout_wacls_749"/>
    <x v="789"/>
    <n v="1"/>
    <n v="1"/>
    <n v="-160"/>
    <n v="960"/>
  </r>
  <r>
    <x v="65"/>
    <s v="conventional_cashout_wacls_750"/>
    <x v="790"/>
    <n v="1"/>
    <n v="1"/>
    <n v="-160"/>
    <n v="960"/>
  </r>
  <r>
    <x v="65"/>
    <s v="conventional_cashout_wacls_751"/>
    <x v="791"/>
    <n v="1"/>
    <n v="1"/>
    <n v="-160"/>
    <n v="960"/>
  </r>
  <r>
    <x v="65"/>
    <s v="conventional_cashout_wacls_752"/>
    <x v="792"/>
    <n v="1"/>
    <n v="1"/>
    <n v="-160"/>
    <n v="960"/>
  </r>
  <r>
    <x v="65"/>
    <s v="conventional_cashout_wacls_753"/>
    <x v="793"/>
    <n v="1"/>
    <n v="1"/>
    <n v="-160"/>
    <n v="960"/>
  </r>
  <r>
    <x v="65"/>
    <s v="conventional_cashout_wacls_754"/>
    <x v="794"/>
    <n v="1"/>
    <n v="1"/>
    <n v="-160"/>
    <n v="960"/>
  </r>
  <r>
    <x v="65"/>
    <s v="conventional_cashout_wacls_755"/>
    <x v="795"/>
    <n v="1"/>
    <n v="1"/>
    <n v="-160"/>
    <n v="960"/>
  </r>
  <r>
    <x v="65"/>
    <s v="conventional_cashout_wacls_756"/>
    <x v="796"/>
    <n v="1"/>
    <n v="1"/>
    <n v="-160"/>
    <n v="960"/>
  </r>
  <r>
    <x v="65"/>
    <s v="conventional_cashout_wacls_757"/>
    <x v="797"/>
    <n v="1"/>
    <n v="1"/>
    <n v="-160"/>
    <n v="960"/>
  </r>
  <r>
    <x v="65"/>
    <s v="conventional_cashout_wacls_758"/>
    <x v="798"/>
    <n v="1"/>
    <n v="1"/>
    <n v="-160"/>
    <n v="960"/>
  </r>
  <r>
    <x v="65"/>
    <s v="conventional_cashout_wacls_759"/>
    <x v="799"/>
    <n v="1"/>
    <n v="1"/>
    <n v="-160"/>
    <n v="960"/>
  </r>
  <r>
    <x v="65"/>
    <s v="conventional_cashout_wacls_760"/>
    <x v="800"/>
    <n v="1"/>
    <n v="1"/>
    <n v="-160"/>
    <n v="960"/>
  </r>
  <r>
    <x v="65"/>
    <s v="conventional_cashout_wacls_761"/>
    <x v="801"/>
    <n v="1"/>
    <n v="1"/>
    <n v="-160"/>
    <n v="960"/>
  </r>
  <r>
    <x v="65"/>
    <s v="conventional_cashout_wacls_762"/>
    <x v="802"/>
    <n v="1"/>
    <n v="1"/>
    <n v="-160"/>
    <n v="960"/>
  </r>
  <r>
    <x v="65"/>
    <s v="conventional_cashout_wacls_763"/>
    <x v="803"/>
    <n v="1"/>
    <n v="1"/>
    <n v="-160"/>
    <n v="960"/>
  </r>
  <r>
    <x v="65"/>
    <s v="conventional_cashout_wacls_764"/>
    <x v="804"/>
    <n v="1"/>
    <n v="1"/>
    <n v="-160"/>
    <n v="960"/>
  </r>
  <r>
    <x v="65"/>
    <s v="conventional_cashout_wacls_765"/>
    <x v="805"/>
    <n v="1"/>
    <n v="1"/>
    <n v="-160"/>
    <n v="960"/>
  </r>
  <r>
    <x v="65"/>
    <s v="conventional_cashout_wacls_766"/>
    <x v="806"/>
    <n v="1"/>
    <n v="1"/>
    <n v="-160"/>
    <n v="960"/>
  </r>
  <r>
    <x v="65"/>
    <s v="conventional_cashout_wacls_767"/>
    <x v="807"/>
    <n v="1"/>
    <n v="1"/>
    <n v="-160"/>
    <n v="960"/>
  </r>
  <r>
    <x v="65"/>
    <s v="conventional_cashout_wacls_768"/>
    <x v="808"/>
    <n v="1"/>
    <n v="1"/>
    <n v="-160"/>
    <n v="960"/>
  </r>
  <r>
    <x v="65"/>
    <s v="conventional_cashout_wacls_769"/>
    <x v="809"/>
    <n v="1"/>
    <n v="1"/>
    <n v="-160"/>
    <n v="960"/>
  </r>
  <r>
    <x v="65"/>
    <s v="conventional_cashout_wacls_770"/>
    <x v="810"/>
    <n v="1"/>
    <n v="1"/>
    <n v="-160"/>
    <n v="960"/>
  </r>
  <r>
    <x v="65"/>
    <s v="conventional_cashout_wacls_771"/>
    <x v="811"/>
    <n v="1"/>
    <n v="1"/>
    <n v="-160"/>
    <n v="960"/>
  </r>
  <r>
    <x v="65"/>
    <s v="conventional_cashout_wacls_772"/>
    <x v="812"/>
    <n v="1"/>
    <n v="1"/>
    <n v="-160"/>
    <n v="960"/>
  </r>
  <r>
    <x v="65"/>
    <s v="conventional_cashout_wacls_773"/>
    <x v="813"/>
    <n v="1"/>
    <n v="1"/>
    <n v="-160"/>
    <n v="960"/>
  </r>
  <r>
    <x v="65"/>
    <s v="conventional_cashout_wacls_774"/>
    <x v="814"/>
    <n v="1"/>
    <n v="1"/>
    <n v="-160"/>
    <n v="960"/>
  </r>
  <r>
    <x v="65"/>
    <s v="conventional_cashout_wacls_775"/>
    <x v="815"/>
    <n v="1"/>
    <n v="1"/>
    <n v="-160"/>
    <n v="960"/>
  </r>
  <r>
    <x v="65"/>
    <s v="conventional_cashout_wacls_776"/>
    <x v="816"/>
    <n v="1"/>
    <n v="1"/>
    <n v="-160"/>
    <n v="960"/>
  </r>
  <r>
    <x v="65"/>
    <s v="conventional_cashout_wacls_777"/>
    <x v="817"/>
    <n v="1"/>
    <n v="1"/>
    <n v="-160"/>
    <n v="960"/>
  </r>
  <r>
    <x v="65"/>
    <s v="conventional_cashout_wacls_778"/>
    <x v="818"/>
    <n v="1"/>
    <n v="1"/>
    <n v="-160"/>
    <n v="960"/>
  </r>
  <r>
    <x v="65"/>
    <s v="conventional_cashout_wacls_779"/>
    <x v="819"/>
    <n v="1"/>
    <n v="1"/>
    <n v="-160"/>
    <n v="960"/>
  </r>
  <r>
    <x v="65"/>
    <s v="conventional_cashout_wacls_780"/>
    <x v="820"/>
    <n v="1"/>
    <n v="1"/>
    <n v="-160"/>
    <n v="960"/>
  </r>
  <r>
    <x v="65"/>
    <s v="conventional_cashout_wacls_781"/>
    <x v="821"/>
    <n v="1"/>
    <n v="1"/>
    <n v="-160"/>
    <n v="960"/>
  </r>
  <r>
    <x v="65"/>
    <s v="conventional_cashout_wacls_782"/>
    <x v="822"/>
    <n v="1"/>
    <n v="1"/>
    <n v="-160"/>
    <n v="960"/>
  </r>
  <r>
    <x v="65"/>
    <s v="conventional_cashout_wacls_783"/>
    <x v="823"/>
    <n v="1"/>
    <n v="1"/>
    <n v="-160"/>
    <n v="960"/>
  </r>
  <r>
    <x v="65"/>
    <s v="conventional_cashout_wacls_784"/>
    <x v="824"/>
    <n v="1"/>
    <n v="1"/>
    <n v="-160"/>
    <n v="960"/>
  </r>
  <r>
    <x v="65"/>
    <s v="conventional_cashout_wacls_785"/>
    <x v="825"/>
    <n v="1"/>
    <n v="1"/>
    <n v="-160"/>
    <n v="960"/>
  </r>
  <r>
    <x v="65"/>
    <s v="conventional_cashout_wacls_786"/>
    <x v="826"/>
    <n v="1"/>
    <n v="1"/>
    <n v="-160"/>
    <n v="960"/>
  </r>
  <r>
    <x v="65"/>
    <s v="conventional_cashout_wacls_787"/>
    <x v="827"/>
    <n v="1"/>
    <n v="1"/>
    <n v="-160"/>
    <n v="960"/>
  </r>
  <r>
    <x v="65"/>
    <s v="conventional_cashout_wacls_788"/>
    <x v="828"/>
    <n v="1"/>
    <n v="1"/>
    <n v="-160"/>
    <n v="960"/>
  </r>
  <r>
    <x v="65"/>
    <s v="conventional_cashout_wacls_789"/>
    <x v="829"/>
    <n v="1"/>
    <n v="1"/>
    <n v="-160"/>
    <n v="960"/>
  </r>
  <r>
    <x v="65"/>
    <s v="conventional_cashout_wacls_790"/>
    <x v="830"/>
    <n v="1"/>
    <n v="1"/>
    <n v="-160"/>
    <n v="960"/>
  </r>
  <r>
    <x v="65"/>
    <s v="conventional_cashout_wacls_791"/>
    <x v="831"/>
    <n v="1"/>
    <n v="1"/>
    <n v="-160"/>
    <n v="960"/>
  </r>
  <r>
    <x v="65"/>
    <s v="conventional_cashout_wacls_792"/>
    <x v="832"/>
    <n v="1"/>
    <n v="1"/>
    <n v="-160"/>
    <n v="960"/>
  </r>
  <r>
    <x v="65"/>
    <s v="conventional_cashout_wacls_793"/>
    <x v="833"/>
    <n v="1"/>
    <n v="1"/>
    <n v="-160"/>
    <n v="960"/>
  </r>
  <r>
    <x v="65"/>
    <s v="conventional_cashout_wacls_794"/>
    <x v="834"/>
    <n v="1"/>
    <n v="1"/>
    <n v="-160"/>
    <n v="960"/>
  </r>
  <r>
    <x v="65"/>
    <s v="conventional_cashout_wacls_795"/>
    <x v="835"/>
    <n v="1"/>
    <n v="1"/>
    <n v="-160"/>
    <n v="960"/>
  </r>
  <r>
    <x v="65"/>
    <s v="conventional_cashout_wacls_796"/>
    <x v="836"/>
    <n v="1"/>
    <n v="1"/>
    <n v="-160"/>
    <n v="960"/>
  </r>
  <r>
    <x v="65"/>
    <s v="conventional_cashout_wacls_797"/>
    <x v="837"/>
    <n v="1"/>
    <n v="1"/>
    <n v="-160"/>
    <n v="960"/>
  </r>
  <r>
    <x v="65"/>
    <s v="conventional_cashout_wacls_798"/>
    <x v="838"/>
    <n v="1"/>
    <n v="1"/>
    <n v="-160"/>
    <n v="960"/>
  </r>
  <r>
    <x v="65"/>
    <s v="conventional_cashout_wacls_799"/>
    <x v="839"/>
    <n v="1"/>
    <n v="1"/>
    <n v="-160"/>
    <n v="960"/>
  </r>
  <r>
    <x v="65"/>
    <s v="conventional_cashout_wacls_800"/>
    <x v="840"/>
    <n v="1"/>
    <n v="1"/>
    <n v="-160"/>
    <n v="960"/>
  </r>
  <r>
    <x v="65"/>
    <s v="conventional_cashout_wacls_801"/>
    <x v="841"/>
    <n v="1"/>
    <n v="1"/>
    <n v="-160"/>
    <n v="960"/>
  </r>
  <r>
    <x v="65"/>
    <s v="conventional_cashout_wacls_802"/>
    <x v="842"/>
    <n v="1"/>
    <n v="1"/>
    <n v="-160"/>
    <n v="960"/>
  </r>
  <r>
    <x v="65"/>
    <s v="conventional_cashout_wacls_803"/>
    <x v="843"/>
    <n v="1"/>
    <n v="1"/>
    <n v="-160"/>
    <n v="960"/>
  </r>
  <r>
    <x v="65"/>
    <s v="conventional_cashout_wacls_804"/>
    <x v="844"/>
    <n v="1"/>
    <n v="1"/>
    <n v="-160"/>
    <n v="960"/>
  </r>
  <r>
    <x v="65"/>
    <s v="conventional_cashout_wacls_805"/>
    <x v="845"/>
    <n v="1"/>
    <n v="1"/>
    <n v="-160"/>
    <n v="960"/>
  </r>
  <r>
    <x v="65"/>
    <s v="conventional_cashout_wacls_806"/>
    <x v="846"/>
    <n v="1"/>
    <n v="1"/>
    <n v="-160"/>
    <n v="960"/>
  </r>
  <r>
    <x v="65"/>
    <s v="conventional_cashout_wacls_807"/>
    <x v="847"/>
    <n v="1"/>
    <n v="1"/>
    <n v="-160"/>
    <n v="960"/>
  </r>
  <r>
    <x v="65"/>
    <s v="conventional_cashout_wacls_808"/>
    <x v="848"/>
    <n v="1"/>
    <n v="1"/>
    <n v="-160"/>
    <n v="960"/>
  </r>
  <r>
    <x v="65"/>
    <s v="conventional_cashout_wacls_809"/>
    <x v="849"/>
    <n v="1"/>
    <n v="1"/>
    <n v="-160"/>
    <n v="960"/>
  </r>
  <r>
    <x v="65"/>
    <s v="conventional_cashout_wacls_810"/>
    <x v="850"/>
    <n v="1"/>
    <n v="1"/>
    <n v="-160"/>
    <n v="960"/>
  </r>
  <r>
    <x v="65"/>
    <s v="conventional_cashout_wacls_811"/>
    <x v="851"/>
    <n v="1"/>
    <n v="1"/>
    <n v="-160"/>
    <n v="960"/>
  </r>
  <r>
    <x v="65"/>
    <s v="conventional_cashout_wacls_812"/>
    <x v="852"/>
    <n v="1"/>
    <n v="1"/>
    <n v="-160"/>
    <n v="960"/>
  </r>
  <r>
    <x v="65"/>
    <s v="conventional_cashout_wacls_813"/>
    <x v="853"/>
    <n v="1"/>
    <n v="1"/>
    <n v="-160"/>
    <n v="960"/>
  </r>
  <r>
    <x v="65"/>
    <s v="conventional_cashout_wacls_814"/>
    <x v="854"/>
    <n v="1"/>
    <n v="1"/>
    <n v="-160"/>
    <n v="960"/>
  </r>
  <r>
    <x v="65"/>
    <s v="conventional_cashout_wacls_815"/>
    <x v="855"/>
    <n v="1"/>
    <n v="1"/>
    <n v="-160"/>
    <n v="960"/>
  </r>
  <r>
    <x v="65"/>
    <s v="conventional_cashout_wacls_816"/>
    <x v="856"/>
    <n v="1"/>
    <n v="1"/>
    <n v="-160"/>
    <n v="960"/>
  </r>
  <r>
    <x v="65"/>
    <s v="conventional_cashout_wacls_817"/>
    <x v="857"/>
    <n v="1"/>
    <n v="1"/>
    <n v="-160"/>
    <n v="960"/>
  </r>
  <r>
    <x v="65"/>
    <s v="conventional_cashout_wacls_818"/>
    <x v="858"/>
    <n v="1"/>
    <n v="1"/>
    <n v="-160"/>
    <n v="960"/>
  </r>
  <r>
    <x v="65"/>
    <s v="conventional_cashout_wacls_819"/>
    <x v="859"/>
    <n v="1"/>
    <n v="1"/>
    <n v="-160"/>
    <n v="960"/>
  </r>
  <r>
    <x v="65"/>
    <s v="conventional_cashout_wacls_820"/>
    <x v="860"/>
    <n v="1"/>
    <n v="1"/>
    <n v="-160"/>
    <n v="960"/>
  </r>
  <r>
    <x v="65"/>
    <s v="conventional_cashout_wacls_821"/>
    <x v="861"/>
    <n v="1"/>
    <n v="1"/>
    <n v="-160"/>
    <n v="960"/>
  </r>
  <r>
    <x v="65"/>
    <s v="conventional_cashout_wacls_822"/>
    <x v="862"/>
    <n v="1"/>
    <n v="1"/>
    <n v="-160"/>
    <n v="960"/>
  </r>
  <r>
    <x v="65"/>
    <s v="conventional_cashout_wacls_823"/>
    <x v="863"/>
    <n v="1"/>
    <n v="1"/>
    <n v="-160"/>
    <n v="960"/>
  </r>
  <r>
    <x v="65"/>
    <s v="conventional_cashout_wacls_824"/>
    <x v="864"/>
    <n v="1"/>
    <n v="1"/>
    <n v="-160"/>
    <n v="960"/>
  </r>
  <r>
    <x v="65"/>
    <s v="conventional_cashout_wacls_825"/>
    <x v="865"/>
    <n v="1"/>
    <n v="1"/>
    <n v="-160"/>
    <n v="960"/>
  </r>
  <r>
    <x v="65"/>
    <s v="conventional_cashout_wacls_826"/>
    <x v="866"/>
    <n v="1"/>
    <n v="1"/>
    <n v="-160"/>
    <n v="960"/>
  </r>
  <r>
    <x v="65"/>
    <s v="conventional_cashout_wacls_827"/>
    <x v="867"/>
    <n v="1"/>
    <n v="1"/>
    <n v="-160"/>
    <n v="960"/>
  </r>
  <r>
    <x v="65"/>
    <s v="conventional_cashout_wacls_828"/>
    <x v="868"/>
    <n v="1"/>
    <n v="1"/>
    <n v="-160"/>
    <n v="960"/>
  </r>
  <r>
    <x v="65"/>
    <s v="conventional_cashout_wacls_829"/>
    <x v="869"/>
    <n v="1"/>
    <n v="1"/>
    <n v="-160"/>
    <n v="960"/>
  </r>
  <r>
    <x v="65"/>
    <s v="conventional_cashout_wacls_830"/>
    <x v="870"/>
    <n v="1"/>
    <n v="1"/>
    <n v="-160"/>
    <n v="960"/>
  </r>
  <r>
    <x v="65"/>
    <s v="conventional_cashout_wacls_831"/>
    <x v="871"/>
    <n v="1"/>
    <n v="1"/>
    <n v="-160"/>
    <n v="960"/>
  </r>
  <r>
    <x v="65"/>
    <s v="conventional_cashout_wacls_832"/>
    <x v="872"/>
    <n v="1"/>
    <n v="1"/>
    <n v="-160"/>
    <n v="960"/>
  </r>
  <r>
    <x v="65"/>
    <s v="conventional_cashout_wacls_833"/>
    <x v="873"/>
    <n v="1"/>
    <n v="1"/>
    <n v="-160"/>
    <n v="960"/>
  </r>
  <r>
    <x v="65"/>
    <s v="conventional_cashout_wacls_834"/>
    <x v="874"/>
    <n v="1"/>
    <n v="1"/>
    <n v="-160"/>
    <n v="960"/>
  </r>
  <r>
    <x v="65"/>
    <s v="conventional_cashout_wacls_835"/>
    <x v="875"/>
    <n v="1"/>
    <n v="1"/>
    <n v="-160"/>
    <n v="960"/>
  </r>
  <r>
    <x v="65"/>
    <s v="conventional_cashout_wacls_836"/>
    <x v="876"/>
    <n v="1"/>
    <n v="1"/>
    <n v="-160"/>
    <n v="960"/>
  </r>
  <r>
    <x v="65"/>
    <s v="conventional_cashout_wacls_837"/>
    <x v="877"/>
    <n v="1"/>
    <n v="1"/>
    <n v="-160"/>
    <n v="960"/>
  </r>
  <r>
    <x v="65"/>
    <s v="conventional_cashout_wacls_838"/>
    <x v="878"/>
    <n v="1"/>
    <n v="1"/>
    <n v="-160"/>
    <n v="960"/>
  </r>
  <r>
    <x v="65"/>
    <s v="conventional_cashout_wacls_839"/>
    <x v="879"/>
    <n v="1"/>
    <n v="1"/>
    <n v="-160"/>
    <n v="960"/>
  </r>
  <r>
    <x v="65"/>
    <s v="conventional_cashout_wacls_840"/>
    <x v="880"/>
    <n v="1"/>
    <n v="1"/>
    <n v="-160"/>
    <n v="960"/>
  </r>
  <r>
    <x v="65"/>
    <s v="conventional_cashout_wacls_841"/>
    <x v="881"/>
    <n v="1"/>
    <n v="1"/>
    <n v="-160"/>
    <n v="960"/>
  </r>
  <r>
    <x v="65"/>
    <s v="conventional_cashout_wacls_842"/>
    <x v="882"/>
    <n v="1"/>
    <n v="1"/>
    <n v="-160"/>
    <n v="960"/>
  </r>
  <r>
    <x v="65"/>
    <s v="conventional_cashout_wacls_843"/>
    <x v="883"/>
    <n v="1"/>
    <n v="1"/>
    <n v="-160"/>
    <n v="960"/>
  </r>
  <r>
    <x v="65"/>
    <s v="conventional_cashout_wacls_844"/>
    <x v="884"/>
    <n v="1"/>
    <n v="1"/>
    <n v="-160"/>
    <n v="960"/>
  </r>
  <r>
    <x v="65"/>
    <s v="conventional_cashout_wacls_845"/>
    <x v="885"/>
    <n v="1"/>
    <n v="1"/>
    <n v="-160"/>
    <n v="960"/>
  </r>
  <r>
    <x v="65"/>
    <s v="conventional_cashout_wacls_846"/>
    <x v="886"/>
    <n v="1"/>
    <n v="1"/>
    <n v="-160"/>
    <n v="960"/>
  </r>
  <r>
    <x v="65"/>
    <s v="conventional_cashout_wacls_847"/>
    <x v="887"/>
    <n v="1"/>
    <n v="1"/>
    <n v="-160"/>
    <n v="960"/>
  </r>
  <r>
    <x v="65"/>
    <s v="conventional_cashout_wacls_848"/>
    <x v="888"/>
    <n v="1"/>
    <n v="1"/>
    <n v="-160"/>
    <n v="960"/>
  </r>
  <r>
    <x v="65"/>
    <s v="conventional_cashout_wacls_849"/>
    <x v="889"/>
    <n v="1"/>
    <n v="1"/>
    <n v="-160"/>
    <n v="960"/>
  </r>
  <r>
    <x v="65"/>
    <s v="conventional_cashout_wacls_850"/>
    <x v="890"/>
    <n v="1"/>
    <n v="1"/>
    <n v="-160"/>
    <n v="960"/>
  </r>
  <r>
    <x v="65"/>
    <s v="conventional_cashout_wacls_851"/>
    <x v="891"/>
    <n v="1"/>
    <n v="1"/>
    <n v="-160"/>
    <n v="960"/>
  </r>
  <r>
    <x v="65"/>
    <s v="conventional_cashout_wacls_852"/>
    <x v="892"/>
    <n v="1"/>
    <n v="1"/>
    <n v="-160"/>
    <n v="960"/>
  </r>
  <r>
    <x v="65"/>
    <s v="conventional_cashout_wacls_853"/>
    <x v="893"/>
    <n v="1"/>
    <n v="1"/>
    <n v="-160"/>
    <n v="960"/>
  </r>
  <r>
    <x v="65"/>
    <s v="conventional_cashout_wacls_854"/>
    <x v="894"/>
    <n v="1"/>
    <n v="1"/>
    <n v="-160"/>
    <n v="960"/>
  </r>
  <r>
    <x v="65"/>
    <s v="conventional_cashout_wacls_855"/>
    <x v="895"/>
    <n v="1"/>
    <n v="1"/>
    <n v="-160"/>
    <n v="960"/>
  </r>
  <r>
    <x v="65"/>
    <s v="conventional_cashout_wacls_856"/>
    <x v="896"/>
    <n v="1"/>
    <n v="1"/>
    <n v="-160"/>
    <n v="960"/>
  </r>
  <r>
    <x v="65"/>
    <s v="conventional_cashout_wacls_857"/>
    <x v="897"/>
    <n v="1"/>
    <n v="1"/>
    <n v="-160"/>
    <n v="960"/>
  </r>
  <r>
    <x v="65"/>
    <s v="conventional_cashout_wacls_858"/>
    <x v="898"/>
    <n v="1"/>
    <n v="1"/>
    <n v="-160"/>
    <n v="960"/>
  </r>
  <r>
    <x v="65"/>
    <s v="conventional_cashout_wacls_859"/>
    <x v="899"/>
    <n v="1"/>
    <n v="1"/>
    <n v="-160"/>
    <n v="960"/>
  </r>
  <r>
    <x v="65"/>
    <s v="conventional_cashout_wacls_860"/>
    <x v="900"/>
    <n v="1"/>
    <n v="1"/>
    <n v="-160"/>
    <n v="960"/>
  </r>
  <r>
    <x v="65"/>
    <s v="conventional_cashout_wacls_861"/>
    <x v="901"/>
    <n v="1"/>
    <n v="1"/>
    <n v="-160"/>
    <n v="960"/>
  </r>
  <r>
    <x v="65"/>
    <s v="conventional_cashout_wacls_862"/>
    <x v="902"/>
    <n v="1"/>
    <n v="1"/>
    <n v="-160"/>
    <n v="960"/>
  </r>
  <r>
    <x v="65"/>
    <s v="conventional_cashout_wacls_863"/>
    <x v="903"/>
    <n v="1"/>
    <n v="1"/>
    <n v="-160"/>
    <n v="960"/>
  </r>
  <r>
    <x v="65"/>
    <s v="conventional_cashout_wacls_864"/>
    <x v="904"/>
    <n v="1"/>
    <n v="1"/>
    <n v="-160"/>
    <n v="960"/>
  </r>
  <r>
    <x v="65"/>
    <s v="conventional_cashout_wacls_865"/>
    <x v="905"/>
    <n v="1"/>
    <n v="1"/>
    <n v="-160"/>
    <n v="960"/>
  </r>
  <r>
    <x v="65"/>
    <s v="conventional_cashout_wacls_866"/>
    <x v="906"/>
    <n v="1"/>
    <n v="1"/>
    <n v="-160"/>
    <n v="960"/>
  </r>
  <r>
    <x v="65"/>
    <s v="conventional_cashout_wacls_867"/>
    <x v="907"/>
    <n v="1"/>
    <n v="1"/>
    <n v="-160"/>
    <n v="960"/>
  </r>
  <r>
    <x v="65"/>
    <s v="conventional_cashout_wacls_868"/>
    <x v="908"/>
    <n v="1"/>
    <n v="1"/>
    <n v="-160"/>
    <n v="960"/>
  </r>
  <r>
    <x v="65"/>
    <s v="conventional_cashout_wacls_869"/>
    <x v="909"/>
    <n v="1"/>
    <n v="1"/>
    <n v="-160"/>
    <n v="960"/>
  </r>
  <r>
    <x v="65"/>
    <s v="conventional_cashout_wacls_870"/>
    <x v="910"/>
    <n v="1"/>
    <n v="1"/>
    <n v="-160"/>
    <n v="960"/>
  </r>
  <r>
    <x v="65"/>
    <s v="conventional_cashout_wacls_871"/>
    <x v="911"/>
    <n v="1"/>
    <n v="1"/>
    <n v="-160"/>
    <n v="960"/>
  </r>
  <r>
    <x v="65"/>
    <s v="conventional_cashout_wacls_872"/>
    <x v="912"/>
    <n v="1"/>
    <n v="1"/>
    <n v="-160"/>
    <n v="960"/>
  </r>
  <r>
    <x v="65"/>
    <s v="conventional_cashout_wacls_873"/>
    <x v="913"/>
    <n v="1"/>
    <n v="1"/>
    <n v="-160"/>
    <n v="960"/>
  </r>
  <r>
    <x v="65"/>
    <s v="conventional_cashout_wacls_874"/>
    <x v="914"/>
    <n v="1"/>
    <n v="1"/>
    <n v="-160"/>
    <n v="960"/>
  </r>
  <r>
    <x v="65"/>
    <s v="conventional_cashout_wacls_875"/>
    <x v="915"/>
    <n v="1"/>
    <n v="1"/>
    <n v="-160"/>
    <n v="960"/>
  </r>
  <r>
    <x v="65"/>
    <s v="conventional_cashout_wacls_876"/>
    <x v="916"/>
    <n v="1"/>
    <n v="1"/>
    <n v="-160"/>
    <n v="960"/>
  </r>
  <r>
    <x v="65"/>
    <s v="conventional_cashout_wacls_877"/>
    <x v="917"/>
    <n v="1"/>
    <n v="1"/>
    <n v="-160"/>
    <n v="960"/>
  </r>
  <r>
    <x v="65"/>
    <s v="conventional_cashout_wacls_878"/>
    <x v="918"/>
    <n v="1"/>
    <n v="1"/>
    <n v="-160"/>
    <n v="960"/>
  </r>
  <r>
    <x v="65"/>
    <s v="conventional_cashout_wacls_879"/>
    <x v="919"/>
    <n v="1"/>
    <n v="1"/>
    <n v="-160"/>
    <n v="960"/>
  </r>
  <r>
    <x v="65"/>
    <s v="conventional_cashout_wacls_880"/>
    <x v="920"/>
    <n v="1"/>
    <n v="1"/>
    <n v="-160"/>
    <n v="960"/>
  </r>
  <r>
    <x v="65"/>
    <s v="conventional_cashout_wacls_881"/>
    <x v="921"/>
    <n v="1"/>
    <n v="1"/>
    <n v="-160"/>
    <n v="960"/>
  </r>
  <r>
    <x v="65"/>
    <s v="conventional_cashout_wacls_882"/>
    <x v="922"/>
    <n v="1"/>
    <n v="1"/>
    <n v="-160"/>
    <n v="960"/>
  </r>
  <r>
    <x v="65"/>
    <s v="conventional_cashout_wacls_883"/>
    <x v="923"/>
    <n v="1"/>
    <n v="1"/>
    <n v="-160"/>
    <n v="960"/>
  </r>
  <r>
    <x v="65"/>
    <s v="conventional_cashout_wacls_884"/>
    <x v="924"/>
    <n v="1"/>
    <n v="1"/>
    <n v="-160"/>
    <n v="960"/>
  </r>
  <r>
    <x v="65"/>
    <s v="conventional_cashout_wacls_885"/>
    <x v="925"/>
    <n v="1"/>
    <n v="1"/>
    <n v="-160"/>
    <n v="960"/>
  </r>
  <r>
    <x v="65"/>
    <s v="conventional_cashout_wacls_886"/>
    <x v="926"/>
    <n v="1"/>
    <n v="1"/>
    <n v="-160"/>
    <n v="960"/>
  </r>
  <r>
    <x v="65"/>
    <s v="conventional_cashout_wacls_887"/>
    <x v="927"/>
    <n v="1"/>
    <n v="1"/>
    <n v="-160"/>
    <n v="960"/>
  </r>
  <r>
    <x v="65"/>
    <s v="conventional_cashout_wacls_888"/>
    <x v="928"/>
    <n v="1"/>
    <n v="1"/>
    <n v="-160"/>
    <n v="960"/>
  </r>
  <r>
    <x v="65"/>
    <s v="conventional_cashout_wacls_889"/>
    <x v="929"/>
    <n v="1"/>
    <n v="1"/>
    <n v="-160"/>
    <n v="960"/>
  </r>
  <r>
    <x v="65"/>
    <s v="conventional_cashout_wacls_890"/>
    <x v="930"/>
    <n v="1"/>
    <n v="1"/>
    <n v="-160"/>
    <n v="960"/>
  </r>
  <r>
    <x v="65"/>
    <s v="conventional_cashout_wacls_891"/>
    <x v="931"/>
    <n v="1"/>
    <n v="1"/>
    <n v="-160"/>
    <n v="960"/>
  </r>
  <r>
    <x v="65"/>
    <s v="conventional_cashout_wacls_892"/>
    <x v="932"/>
    <n v="1"/>
    <n v="1"/>
    <n v="-160"/>
    <n v="960"/>
  </r>
  <r>
    <x v="65"/>
    <s v="conventional_cashout_wacls_893"/>
    <x v="933"/>
    <n v="1"/>
    <n v="1"/>
    <n v="-160"/>
    <n v="960"/>
  </r>
  <r>
    <x v="65"/>
    <s v="conventional_cashout_wacls_894"/>
    <x v="934"/>
    <n v="1"/>
    <n v="1"/>
    <n v="-160"/>
    <n v="960"/>
  </r>
  <r>
    <x v="65"/>
    <s v="conventional_cashout_wacls_895"/>
    <x v="935"/>
    <n v="1"/>
    <n v="1"/>
    <n v="-160"/>
    <n v="960"/>
  </r>
  <r>
    <x v="65"/>
    <s v="conventional_cashout_wacls_896"/>
    <x v="936"/>
    <n v="1"/>
    <n v="1"/>
    <n v="-160"/>
    <n v="960"/>
  </r>
  <r>
    <x v="65"/>
    <s v="conventional_cashout_wacls_897"/>
    <x v="937"/>
    <n v="1"/>
    <n v="1"/>
    <n v="-160"/>
    <n v="960"/>
  </r>
  <r>
    <x v="65"/>
    <s v="conventional_cashout_wacls_898"/>
    <x v="938"/>
    <n v="1"/>
    <n v="1"/>
    <n v="-160"/>
    <n v="960"/>
  </r>
  <r>
    <x v="65"/>
    <s v="conventional_cashout_wacls_899"/>
    <x v="939"/>
    <n v="1"/>
    <n v="1"/>
    <n v="-160"/>
    <n v="960"/>
  </r>
  <r>
    <x v="65"/>
    <s v="conventional_cashout_wacls_900"/>
    <x v="940"/>
    <n v="1"/>
    <n v="1"/>
    <n v="-160"/>
    <n v="960"/>
  </r>
  <r>
    <x v="65"/>
    <s v="conventional_cashout_wacls_901"/>
    <x v="941"/>
    <n v="1"/>
    <n v="1"/>
    <n v="-160"/>
    <n v="960"/>
  </r>
  <r>
    <x v="65"/>
    <s v="conventional_cashout_wacls_902"/>
    <x v="942"/>
    <n v="1"/>
    <n v="1"/>
    <n v="-160"/>
    <n v="960"/>
  </r>
  <r>
    <x v="65"/>
    <s v="conventional_cashout_wacls_903"/>
    <x v="943"/>
    <n v="1"/>
    <n v="1"/>
    <n v="-160"/>
    <n v="960"/>
  </r>
  <r>
    <x v="65"/>
    <s v="conventional_cashout_wacls_904"/>
    <x v="944"/>
    <n v="1"/>
    <n v="1"/>
    <n v="-160"/>
    <n v="960"/>
  </r>
  <r>
    <x v="65"/>
    <s v="conventional_cashout_wacls_905"/>
    <x v="945"/>
    <n v="1"/>
    <n v="1"/>
    <n v="-160"/>
    <n v="960"/>
  </r>
  <r>
    <x v="65"/>
    <s v="conventional_cashout_wacls_906"/>
    <x v="946"/>
    <n v="1"/>
    <n v="1"/>
    <n v="-160"/>
    <n v="960"/>
  </r>
  <r>
    <x v="65"/>
    <s v="conventional_cashout_wacls_907"/>
    <x v="947"/>
    <n v="1"/>
    <n v="1"/>
    <n v="-160"/>
    <n v="960"/>
  </r>
  <r>
    <x v="65"/>
    <s v="conventional_cashout_wacls_908"/>
    <x v="948"/>
    <n v="1"/>
    <n v="1"/>
    <n v="-160"/>
    <n v="960"/>
  </r>
  <r>
    <x v="65"/>
    <s v="conventional_cashout_wacls_909"/>
    <x v="949"/>
    <n v="1"/>
    <n v="1"/>
    <n v="-160"/>
    <n v="960"/>
  </r>
  <r>
    <x v="65"/>
    <s v="conventional_cashout_wacls_910"/>
    <x v="950"/>
    <n v="1"/>
    <n v="1"/>
    <n v="-160"/>
    <n v="960"/>
  </r>
  <r>
    <x v="65"/>
    <s v="conventional_cashout_wacls_911"/>
    <x v="951"/>
    <n v="1"/>
    <n v="1"/>
    <n v="-160"/>
    <n v="960"/>
  </r>
  <r>
    <x v="65"/>
    <s v="conventional_cashout_wacls_912"/>
    <x v="952"/>
    <n v="1"/>
    <n v="1"/>
    <n v="-160"/>
    <n v="960"/>
  </r>
  <r>
    <x v="65"/>
    <s v="conventional_cashout_wacls_913"/>
    <x v="953"/>
    <n v="1"/>
    <n v="1"/>
    <n v="-160"/>
    <n v="960"/>
  </r>
  <r>
    <x v="65"/>
    <s v="conventional_cashout_wacls_914"/>
    <x v="954"/>
    <n v="1"/>
    <n v="1"/>
    <n v="-160"/>
    <n v="960"/>
  </r>
  <r>
    <x v="65"/>
    <s v="conventional_cashout_wacls_915"/>
    <x v="955"/>
    <n v="1"/>
    <n v="1"/>
    <n v="-160"/>
    <n v="960"/>
  </r>
  <r>
    <x v="65"/>
    <s v="conventional_cashout_wacls_916"/>
    <x v="956"/>
    <n v="1"/>
    <n v="1"/>
    <n v="-160"/>
    <n v="960"/>
  </r>
  <r>
    <x v="65"/>
    <s v="conventional_cashout_wacls_917"/>
    <x v="957"/>
    <n v="1"/>
    <n v="1"/>
    <n v="-160"/>
    <n v="960"/>
  </r>
  <r>
    <x v="65"/>
    <s v="conventional_cashout_wacls_918"/>
    <x v="958"/>
    <n v="1"/>
    <n v="1"/>
    <n v="-160"/>
    <n v="960"/>
  </r>
  <r>
    <x v="65"/>
    <s v="conventional_cashout_wacls_919"/>
    <x v="959"/>
    <n v="1"/>
    <n v="1"/>
    <n v="-160"/>
    <n v="960"/>
  </r>
  <r>
    <x v="65"/>
    <s v="conventional_cashout_wacls_920"/>
    <x v="960"/>
    <n v="1"/>
    <n v="1"/>
    <n v="-160"/>
    <n v="960"/>
  </r>
  <r>
    <x v="65"/>
    <s v="conventional_cashout_wacls_921"/>
    <x v="961"/>
    <n v="1"/>
    <n v="1"/>
    <n v="-160"/>
    <n v="960"/>
  </r>
  <r>
    <x v="65"/>
    <s v="conventional_cashout_wacls_922"/>
    <x v="962"/>
    <n v="1"/>
    <n v="1"/>
    <n v="-160"/>
    <n v="960"/>
  </r>
  <r>
    <x v="65"/>
    <s v="conventional_cashout_wacls_923"/>
    <x v="963"/>
    <n v="1"/>
    <n v="1"/>
    <n v="-160"/>
    <n v="960"/>
  </r>
  <r>
    <x v="65"/>
    <s v="conventional_cashout_wacls_924"/>
    <x v="964"/>
    <n v="1"/>
    <n v="1"/>
    <n v="-160"/>
    <n v="960"/>
  </r>
  <r>
    <x v="65"/>
    <s v="conventional_cashout_wacls_925"/>
    <x v="965"/>
    <n v="1"/>
    <n v="1"/>
    <n v="-160"/>
    <n v="960"/>
  </r>
  <r>
    <x v="65"/>
    <s v="conventional_cashout_wacls_926"/>
    <x v="966"/>
    <n v="1"/>
    <n v="1"/>
    <n v="-160"/>
    <n v="960"/>
  </r>
  <r>
    <x v="65"/>
    <s v="conventional_cashout_wacls_927"/>
    <x v="967"/>
    <n v="1"/>
    <n v="1"/>
    <n v="-160"/>
    <n v="960"/>
  </r>
  <r>
    <x v="65"/>
    <s v="conventional_cashout_wacls_928"/>
    <x v="968"/>
    <n v="1"/>
    <n v="1"/>
    <n v="-160"/>
    <n v="960"/>
  </r>
  <r>
    <x v="65"/>
    <s v="conventional_cashout_wacls_929"/>
    <x v="969"/>
    <n v="1"/>
    <n v="1"/>
    <n v="-160"/>
    <n v="960"/>
  </r>
  <r>
    <x v="65"/>
    <s v="conventional_cashout_wacls_930"/>
    <x v="970"/>
    <n v="1"/>
    <n v="1"/>
    <n v="-160"/>
    <n v="960"/>
  </r>
  <r>
    <x v="65"/>
    <s v="conventional_cashout_wacls_931"/>
    <x v="971"/>
    <n v="1"/>
    <n v="1"/>
    <n v="-160"/>
    <n v="960"/>
  </r>
  <r>
    <x v="65"/>
    <s v="conventional_cashout_wacls_932"/>
    <x v="972"/>
    <n v="1"/>
    <n v="1"/>
    <n v="-160"/>
    <n v="960"/>
  </r>
  <r>
    <x v="65"/>
    <s v="conventional_cashout_wacls_933"/>
    <x v="973"/>
    <n v="1"/>
    <n v="1"/>
    <n v="-160"/>
    <n v="960"/>
  </r>
  <r>
    <x v="65"/>
    <s v="conventional_cashout_wacls_934"/>
    <x v="974"/>
    <n v="1"/>
    <n v="1"/>
    <n v="-160"/>
    <n v="960"/>
  </r>
  <r>
    <x v="65"/>
    <s v="conventional_cashout_wacls_935"/>
    <x v="975"/>
    <n v="1"/>
    <n v="1"/>
    <n v="-160"/>
    <n v="960"/>
  </r>
  <r>
    <x v="65"/>
    <s v="conventional_cashout_wacls_936"/>
    <x v="976"/>
    <n v="1"/>
    <n v="1"/>
    <n v="-160"/>
    <n v="960"/>
  </r>
  <r>
    <x v="65"/>
    <s v="conventional_cashout_wacls_937"/>
    <x v="977"/>
    <n v="1"/>
    <n v="1"/>
    <n v="-160"/>
    <n v="960"/>
  </r>
  <r>
    <x v="65"/>
    <s v="conventional_cashout_wacls_938"/>
    <x v="978"/>
    <n v="1"/>
    <n v="1"/>
    <n v="-160"/>
    <n v="960"/>
  </r>
  <r>
    <x v="65"/>
    <s v="conventional_cashout_wacls_939"/>
    <x v="979"/>
    <n v="1"/>
    <n v="1"/>
    <n v="-160"/>
    <n v="960"/>
  </r>
  <r>
    <x v="65"/>
    <s v="conventional_cashout_wacls_940"/>
    <x v="980"/>
    <n v="1"/>
    <n v="1"/>
    <n v="-160"/>
    <n v="960"/>
  </r>
  <r>
    <x v="65"/>
    <s v="conventional_cashout_wacls_941"/>
    <x v="1879"/>
    <n v="1"/>
    <n v="1"/>
    <n v="-160"/>
    <n v="960"/>
  </r>
  <r>
    <x v="65"/>
    <s v="conventional_cashout_wacls_942"/>
    <x v="1880"/>
    <n v="1"/>
    <n v="1"/>
    <n v="-160"/>
    <n v="960"/>
  </r>
  <r>
    <x v="65"/>
    <s v="conventional_cashout_wacls_943"/>
    <x v="1881"/>
    <n v="1"/>
    <n v="1"/>
    <n v="-160"/>
    <n v="960"/>
  </r>
  <r>
    <x v="65"/>
    <s v="conventional_cashout_wacls_944"/>
    <x v="1882"/>
    <n v="1"/>
    <n v="1"/>
    <n v="-160"/>
    <n v="960"/>
  </r>
  <r>
    <x v="65"/>
    <s v="conventional_cashout_wacls_945"/>
    <x v="1883"/>
    <n v="1"/>
    <n v="1"/>
    <n v="-160"/>
    <n v="960"/>
  </r>
  <r>
    <x v="65"/>
    <s v="conventional_cashout_wacls_946"/>
    <x v="1884"/>
    <n v="1"/>
    <n v="1"/>
    <n v="-160"/>
    <n v="960"/>
  </r>
  <r>
    <x v="65"/>
    <s v="conventional_cashout_wacls_947"/>
    <x v="1885"/>
    <n v="1"/>
    <n v="1"/>
    <n v="-160"/>
    <n v="960"/>
  </r>
  <r>
    <x v="65"/>
    <s v="conventional_cashout_wacls_948"/>
    <x v="1886"/>
    <n v="1"/>
    <n v="1"/>
    <n v="-160"/>
    <n v="960"/>
  </r>
  <r>
    <x v="65"/>
    <s v="conventional_cashout_wacls_949"/>
    <x v="1887"/>
    <n v="1"/>
    <n v="1"/>
    <n v="-160"/>
    <n v="960"/>
  </r>
  <r>
    <x v="65"/>
    <s v="conventional_cashout_wacls_950"/>
    <x v="1888"/>
    <n v="1"/>
    <n v="1"/>
    <n v="-160"/>
    <n v="960"/>
  </r>
  <r>
    <x v="65"/>
    <s v="conventional_cashout_wacls_951"/>
    <x v="1889"/>
    <n v="1"/>
    <n v="1"/>
    <n v="-160"/>
    <n v="960"/>
  </r>
  <r>
    <x v="65"/>
    <s v="conventional_cashout_wacls_952"/>
    <x v="1890"/>
    <n v="1"/>
    <n v="1"/>
    <n v="-160"/>
    <n v="960"/>
  </r>
  <r>
    <x v="65"/>
    <s v="conventional_cashout_wacls_953"/>
    <x v="1891"/>
    <n v="1"/>
    <n v="1"/>
    <n v="-160"/>
    <n v="960"/>
  </r>
  <r>
    <x v="65"/>
    <s v="conventional_cashout_wacls_954"/>
    <x v="1892"/>
    <n v="1"/>
    <n v="1"/>
    <n v="-160"/>
    <n v="960"/>
  </r>
  <r>
    <x v="65"/>
    <s v="conventional_cashout_wacls_955"/>
    <x v="1893"/>
    <n v="1"/>
    <n v="1"/>
    <n v="-160"/>
    <n v="960"/>
  </r>
  <r>
    <x v="65"/>
    <s v="conventional_cashout_wacls_956"/>
    <x v="1894"/>
    <n v="1"/>
    <n v="1"/>
    <n v="-160"/>
    <n v="960"/>
  </r>
  <r>
    <x v="65"/>
    <s v="conventional_cashout_wacls_957"/>
    <x v="1895"/>
    <n v="1"/>
    <n v="1"/>
    <n v="-160"/>
    <n v="960"/>
  </r>
  <r>
    <x v="65"/>
    <s v="conventional_cashout_wacls_958"/>
    <x v="1896"/>
    <n v="1"/>
    <n v="1"/>
    <n v="-160"/>
    <n v="960"/>
  </r>
  <r>
    <x v="65"/>
    <s v="conventional_cashout_wacls_959"/>
    <x v="1897"/>
    <n v="1"/>
    <n v="1"/>
    <n v="-160"/>
    <n v="960"/>
  </r>
  <r>
    <x v="65"/>
    <s v="conventional_cashout_wacls_960"/>
    <x v="1898"/>
    <n v="1"/>
    <n v="1"/>
    <n v="-160"/>
    <n v="960"/>
  </r>
  <r>
    <x v="66"/>
    <s v="conventional_cashout_fico_564"/>
    <x v="604"/>
    <n v="1.224"/>
    <n v="1"/>
    <n v="564"/>
    <n v="816"/>
  </r>
  <r>
    <x v="66"/>
    <s v="conventional_cashout_fico_565"/>
    <x v="605"/>
    <n v="1.224"/>
    <n v="1"/>
    <n v="564"/>
    <n v="816"/>
  </r>
  <r>
    <x v="66"/>
    <s v="conventional_cashout_fico_566"/>
    <x v="606"/>
    <n v="1.224"/>
    <n v="1"/>
    <n v="564"/>
    <n v="816"/>
  </r>
  <r>
    <x v="66"/>
    <s v="conventional_cashout_fico_567"/>
    <x v="607"/>
    <n v="1.224"/>
    <n v="1"/>
    <n v="564"/>
    <n v="816"/>
  </r>
  <r>
    <x v="66"/>
    <s v="conventional_cashout_fico_568"/>
    <x v="608"/>
    <n v="1.224"/>
    <n v="1"/>
    <n v="564"/>
    <n v="816"/>
  </r>
  <r>
    <x v="66"/>
    <s v="conventional_cashout_fico_569"/>
    <x v="609"/>
    <n v="1.224"/>
    <n v="1"/>
    <n v="564"/>
    <n v="816"/>
  </r>
  <r>
    <x v="66"/>
    <s v="conventional_cashout_fico_570"/>
    <x v="610"/>
    <n v="1.224"/>
    <n v="1"/>
    <n v="564"/>
    <n v="816"/>
  </r>
  <r>
    <x v="66"/>
    <s v="conventional_cashout_fico_571"/>
    <x v="611"/>
    <n v="1.224"/>
    <n v="1"/>
    <n v="564"/>
    <n v="816"/>
  </r>
  <r>
    <x v="66"/>
    <s v="conventional_cashout_fico_572"/>
    <x v="612"/>
    <n v="1.224"/>
    <n v="1"/>
    <n v="564"/>
    <n v="816"/>
  </r>
  <r>
    <x v="66"/>
    <s v="conventional_cashout_fico_573"/>
    <x v="613"/>
    <n v="1.224"/>
    <n v="1"/>
    <n v="564"/>
    <n v="816"/>
  </r>
  <r>
    <x v="66"/>
    <s v="conventional_cashout_fico_574"/>
    <x v="614"/>
    <n v="1.224"/>
    <n v="1"/>
    <n v="564"/>
    <n v="816"/>
  </r>
  <r>
    <x v="66"/>
    <s v="conventional_cashout_fico_575"/>
    <x v="615"/>
    <n v="1.224"/>
    <n v="1"/>
    <n v="564"/>
    <n v="816"/>
  </r>
  <r>
    <x v="66"/>
    <s v="conventional_cashout_fico_576"/>
    <x v="616"/>
    <n v="1.224"/>
    <n v="1"/>
    <n v="564"/>
    <n v="816"/>
  </r>
  <r>
    <x v="66"/>
    <s v="conventional_cashout_fico_577"/>
    <x v="617"/>
    <n v="1.224"/>
    <n v="1"/>
    <n v="564"/>
    <n v="816"/>
  </r>
  <r>
    <x v="66"/>
    <s v="conventional_cashout_fico_578"/>
    <x v="618"/>
    <n v="1.224"/>
    <n v="1"/>
    <n v="564"/>
    <n v="816"/>
  </r>
  <r>
    <x v="66"/>
    <s v="conventional_cashout_fico_579"/>
    <x v="619"/>
    <n v="1.224"/>
    <n v="1"/>
    <n v="564"/>
    <n v="816"/>
  </r>
  <r>
    <x v="66"/>
    <s v="conventional_cashout_fico_580"/>
    <x v="620"/>
    <n v="1.224"/>
    <n v="1"/>
    <n v="564"/>
    <n v="816"/>
  </r>
  <r>
    <x v="66"/>
    <s v="conventional_cashout_fico_581"/>
    <x v="621"/>
    <n v="1.224"/>
    <n v="1"/>
    <n v="564"/>
    <n v="816"/>
  </r>
  <r>
    <x v="66"/>
    <s v="conventional_cashout_fico_582"/>
    <x v="622"/>
    <n v="1.224"/>
    <n v="1"/>
    <n v="564"/>
    <n v="816"/>
  </r>
  <r>
    <x v="66"/>
    <s v="conventional_cashout_fico_583"/>
    <x v="623"/>
    <n v="1.224"/>
    <n v="1"/>
    <n v="564"/>
    <n v="816"/>
  </r>
  <r>
    <x v="66"/>
    <s v="conventional_cashout_fico_584"/>
    <x v="624"/>
    <n v="1.224"/>
    <n v="1"/>
    <n v="564"/>
    <n v="816"/>
  </r>
  <r>
    <x v="66"/>
    <s v="conventional_cashout_fico_585"/>
    <x v="625"/>
    <n v="1.224"/>
    <n v="1"/>
    <n v="564"/>
    <n v="816"/>
  </r>
  <r>
    <x v="66"/>
    <s v="conventional_cashout_fico_586"/>
    <x v="626"/>
    <n v="1.224"/>
    <n v="1"/>
    <n v="564"/>
    <n v="816"/>
  </r>
  <r>
    <x v="66"/>
    <s v="conventional_cashout_fico_587"/>
    <x v="627"/>
    <n v="1.224"/>
    <n v="1"/>
    <n v="564"/>
    <n v="816"/>
  </r>
  <r>
    <x v="66"/>
    <s v="conventional_cashout_fico_588"/>
    <x v="628"/>
    <n v="1.224"/>
    <n v="1"/>
    <n v="564"/>
    <n v="816"/>
  </r>
  <r>
    <x v="66"/>
    <s v="conventional_cashout_fico_589"/>
    <x v="629"/>
    <n v="1.224"/>
    <n v="1"/>
    <n v="564"/>
    <n v="816"/>
  </r>
  <r>
    <x v="66"/>
    <s v="conventional_cashout_fico_590"/>
    <x v="630"/>
    <n v="1.224"/>
    <n v="1"/>
    <n v="564"/>
    <n v="816"/>
  </r>
  <r>
    <x v="66"/>
    <s v="conventional_cashout_fico_591"/>
    <x v="631"/>
    <n v="1.224"/>
    <n v="1"/>
    <n v="564"/>
    <n v="816"/>
  </r>
  <r>
    <x v="66"/>
    <s v="conventional_cashout_fico_592"/>
    <x v="632"/>
    <n v="1.224"/>
    <n v="1"/>
    <n v="564"/>
    <n v="816"/>
  </r>
  <r>
    <x v="66"/>
    <s v="conventional_cashout_fico_593"/>
    <x v="633"/>
    <n v="1.224"/>
    <n v="1"/>
    <n v="564"/>
    <n v="816"/>
  </r>
  <r>
    <x v="66"/>
    <s v="conventional_cashout_fico_594"/>
    <x v="634"/>
    <n v="1.224"/>
    <n v="1"/>
    <n v="564"/>
    <n v="816"/>
  </r>
  <r>
    <x v="66"/>
    <s v="conventional_cashout_fico_595"/>
    <x v="635"/>
    <n v="1.224"/>
    <n v="1"/>
    <n v="564"/>
    <n v="816"/>
  </r>
  <r>
    <x v="66"/>
    <s v="conventional_cashout_fico_596"/>
    <x v="636"/>
    <n v="1.224"/>
    <n v="1"/>
    <n v="564"/>
    <n v="816"/>
  </r>
  <r>
    <x v="66"/>
    <s v="conventional_cashout_fico_597"/>
    <x v="637"/>
    <n v="1.224"/>
    <n v="1"/>
    <n v="564"/>
    <n v="816"/>
  </r>
  <r>
    <x v="66"/>
    <s v="conventional_cashout_fico_598"/>
    <x v="638"/>
    <n v="1.224"/>
    <n v="1"/>
    <n v="564"/>
    <n v="816"/>
  </r>
  <r>
    <x v="66"/>
    <s v="conventional_cashout_fico_599"/>
    <x v="639"/>
    <n v="1.224"/>
    <n v="1"/>
    <n v="564"/>
    <n v="816"/>
  </r>
  <r>
    <x v="66"/>
    <s v="conventional_cashout_fico_600"/>
    <x v="640"/>
    <n v="1.224"/>
    <n v="1"/>
    <n v="564"/>
    <n v="816"/>
  </r>
  <r>
    <x v="66"/>
    <s v="conventional_cashout_fico_601"/>
    <x v="641"/>
    <n v="1.224"/>
    <n v="1"/>
    <n v="564"/>
    <n v="816"/>
  </r>
  <r>
    <x v="66"/>
    <s v="conventional_cashout_fico_602"/>
    <x v="642"/>
    <n v="1.224"/>
    <n v="1"/>
    <n v="564"/>
    <n v="816"/>
  </r>
  <r>
    <x v="66"/>
    <s v="conventional_cashout_fico_603"/>
    <x v="643"/>
    <n v="1.224"/>
    <n v="1"/>
    <n v="564"/>
    <n v="816"/>
  </r>
  <r>
    <x v="66"/>
    <s v="conventional_cashout_fico_604"/>
    <x v="644"/>
    <n v="1.224"/>
    <n v="1"/>
    <n v="564"/>
    <n v="816"/>
  </r>
  <r>
    <x v="66"/>
    <s v="conventional_cashout_fico_605"/>
    <x v="645"/>
    <n v="1.224"/>
    <n v="1"/>
    <n v="564"/>
    <n v="816"/>
  </r>
  <r>
    <x v="66"/>
    <s v="conventional_cashout_fico_606"/>
    <x v="646"/>
    <n v="1.224"/>
    <n v="1"/>
    <n v="564"/>
    <n v="816"/>
  </r>
  <r>
    <x v="66"/>
    <s v="conventional_cashout_fico_607"/>
    <x v="647"/>
    <n v="1.224"/>
    <n v="1"/>
    <n v="564"/>
    <n v="816"/>
  </r>
  <r>
    <x v="66"/>
    <s v="conventional_cashout_fico_608"/>
    <x v="648"/>
    <n v="1.224"/>
    <n v="1"/>
    <n v="564"/>
    <n v="816"/>
  </r>
  <r>
    <x v="66"/>
    <s v="conventional_cashout_fico_609"/>
    <x v="649"/>
    <n v="1.224"/>
    <n v="1"/>
    <n v="564"/>
    <n v="816"/>
  </r>
  <r>
    <x v="66"/>
    <s v="conventional_cashout_fico_610"/>
    <x v="650"/>
    <n v="1.224"/>
    <n v="1"/>
    <n v="564"/>
    <n v="816"/>
  </r>
  <r>
    <x v="66"/>
    <s v="conventional_cashout_fico_611"/>
    <x v="651"/>
    <n v="1.224"/>
    <n v="1"/>
    <n v="564"/>
    <n v="816"/>
  </r>
  <r>
    <x v="66"/>
    <s v="conventional_cashout_fico_612"/>
    <x v="652"/>
    <n v="1.224"/>
    <n v="1"/>
    <n v="564"/>
    <n v="816"/>
  </r>
  <r>
    <x v="66"/>
    <s v="conventional_cashout_fico_613"/>
    <x v="653"/>
    <n v="1.224"/>
    <n v="1"/>
    <n v="564"/>
    <n v="816"/>
  </r>
  <r>
    <x v="66"/>
    <s v="conventional_cashout_fico_614"/>
    <x v="654"/>
    <n v="1.224"/>
    <n v="1"/>
    <n v="564"/>
    <n v="816"/>
  </r>
  <r>
    <x v="66"/>
    <s v="conventional_cashout_fico_615"/>
    <x v="655"/>
    <n v="1.224"/>
    <n v="1"/>
    <n v="564"/>
    <n v="816"/>
  </r>
  <r>
    <x v="66"/>
    <s v="conventional_cashout_fico_616"/>
    <x v="656"/>
    <n v="1.224"/>
    <n v="1"/>
    <n v="564"/>
    <n v="816"/>
  </r>
  <r>
    <x v="66"/>
    <s v="conventional_cashout_fico_617"/>
    <x v="657"/>
    <n v="1.224"/>
    <n v="1"/>
    <n v="564"/>
    <n v="816"/>
  </r>
  <r>
    <x v="66"/>
    <s v="conventional_cashout_fico_618"/>
    <x v="658"/>
    <n v="1.224"/>
    <n v="1"/>
    <n v="564"/>
    <n v="816"/>
  </r>
  <r>
    <x v="66"/>
    <s v="conventional_cashout_fico_619"/>
    <x v="659"/>
    <n v="1.224"/>
    <n v="1"/>
    <n v="564"/>
    <n v="816"/>
  </r>
  <r>
    <x v="66"/>
    <s v="conventional_cashout_fico_620"/>
    <x v="660"/>
    <n v="1.224"/>
    <n v="1"/>
    <n v="564"/>
    <n v="816"/>
  </r>
  <r>
    <x v="66"/>
    <s v="conventional_cashout_fico_621"/>
    <x v="661"/>
    <n v="1.224"/>
    <n v="1"/>
    <n v="564"/>
    <n v="816"/>
  </r>
  <r>
    <x v="66"/>
    <s v="conventional_cashout_fico_622"/>
    <x v="662"/>
    <n v="1.224"/>
    <n v="1"/>
    <n v="564"/>
    <n v="816"/>
  </r>
  <r>
    <x v="66"/>
    <s v="conventional_cashout_fico_623"/>
    <x v="663"/>
    <n v="1.224"/>
    <n v="1"/>
    <n v="564"/>
    <n v="816"/>
  </r>
  <r>
    <x v="66"/>
    <s v="conventional_cashout_fico_624"/>
    <x v="664"/>
    <n v="1.224"/>
    <n v="1"/>
    <n v="564"/>
    <n v="816"/>
  </r>
  <r>
    <x v="66"/>
    <s v="conventional_cashout_fico_625"/>
    <x v="665"/>
    <n v="1.224"/>
    <n v="1"/>
    <n v="564"/>
    <n v="816"/>
  </r>
  <r>
    <x v="66"/>
    <s v="conventional_cashout_fico_626"/>
    <x v="666"/>
    <n v="1.224"/>
    <n v="1"/>
    <n v="564"/>
    <n v="816"/>
  </r>
  <r>
    <x v="66"/>
    <s v="conventional_cashout_fico_627"/>
    <x v="667"/>
    <n v="1.224"/>
    <n v="1"/>
    <n v="564"/>
    <n v="816"/>
  </r>
  <r>
    <x v="66"/>
    <s v="conventional_cashout_fico_628"/>
    <x v="668"/>
    <n v="1.224"/>
    <n v="1"/>
    <n v="564"/>
    <n v="816"/>
  </r>
  <r>
    <x v="66"/>
    <s v="conventional_cashout_fico_629"/>
    <x v="669"/>
    <n v="1.224"/>
    <n v="1"/>
    <n v="564"/>
    <n v="816"/>
  </r>
  <r>
    <x v="66"/>
    <s v="conventional_cashout_fico_630"/>
    <x v="670"/>
    <n v="1.224"/>
    <n v="1"/>
    <n v="564"/>
    <n v="816"/>
  </r>
  <r>
    <x v="66"/>
    <s v="conventional_cashout_fico_631"/>
    <x v="671"/>
    <n v="1.224"/>
    <n v="1"/>
    <n v="564"/>
    <n v="816"/>
  </r>
  <r>
    <x v="66"/>
    <s v="conventional_cashout_fico_632"/>
    <x v="672"/>
    <n v="1.224"/>
    <n v="1"/>
    <n v="564"/>
    <n v="816"/>
  </r>
  <r>
    <x v="66"/>
    <s v="conventional_cashout_fico_633"/>
    <x v="673"/>
    <n v="1.224"/>
    <n v="1"/>
    <n v="564"/>
    <n v="816"/>
  </r>
  <r>
    <x v="66"/>
    <s v="conventional_cashout_fico_634"/>
    <x v="674"/>
    <n v="1.224"/>
    <n v="1"/>
    <n v="564"/>
    <n v="816"/>
  </r>
  <r>
    <x v="66"/>
    <s v="conventional_cashout_fico_635"/>
    <x v="675"/>
    <n v="1.224"/>
    <n v="1"/>
    <n v="564"/>
    <n v="816"/>
  </r>
  <r>
    <x v="66"/>
    <s v="conventional_cashout_fico_636"/>
    <x v="676"/>
    <n v="1.224"/>
    <n v="1"/>
    <n v="564"/>
    <n v="816"/>
  </r>
  <r>
    <x v="66"/>
    <s v="conventional_cashout_fico_637"/>
    <x v="677"/>
    <n v="1.224"/>
    <n v="1"/>
    <n v="564"/>
    <n v="816"/>
  </r>
  <r>
    <x v="66"/>
    <s v="conventional_cashout_fico_638"/>
    <x v="678"/>
    <n v="1.224"/>
    <n v="1"/>
    <n v="564"/>
    <n v="816"/>
  </r>
  <r>
    <x v="66"/>
    <s v="conventional_cashout_fico_639"/>
    <x v="679"/>
    <n v="1.224"/>
    <n v="1"/>
    <n v="564"/>
    <n v="816"/>
  </r>
  <r>
    <x v="66"/>
    <s v="conventional_cashout_fico_640"/>
    <x v="680"/>
    <n v="1.224"/>
    <n v="1"/>
    <n v="564"/>
    <n v="816"/>
  </r>
  <r>
    <x v="66"/>
    <s v="conventional_cashout_fico_641"/>
    <x v="681"/>
    <n v="1.224"/>
    <n v="1"/>
    <n v="564"/>
    <n v="816"/>
  </r>
  <r>
    <x v="66"/>
    <s v="conventional_cashout_fico_642"/>
    <x v="682"/>
    <n v="1.224"/>
    <n v="1"/>
    <n v="564"/>
    <n v="816"/>
  </r>
  <r>
    <x v="66"/>
    <s v="conventional_cashout_fico_643"/>
    <x v="683"/>
    <n v="1.224"/>
    <n v="1"/>
    <n v="564"/>
    <n v="816"/>
  </r>
  <r>
    <x v="66"/>
    <s v="conventional_cashout_fico_644"/>
    <x v="684"/>
    <n v="1.224"/>
    <n v="1"/>
    <n v="564"/>
    <n v="816"/>
  </r>
  <r>
    <x v="66"/>
    <s v="conventional_cashout_fico_645"/>
    <x v="685"/>
    <n v="1.224"/>
    <n v="1"/>
    <n v="564"/>
    <n v="816"/>
  </r>
  <r>
    <x v="66"/>
    <s v="conventional_cashout_fico_646"/>
    <x v="686"/>
    <n v="1.224"/>
    <n v="1"/>
    <n v="564"/>
    <n v="816"/>
  </r>
  <r>
    <x v="66"/>
    <s v="conventional_cashout_fico_647"/>
    <x v="687"/>
    <n v="1.224"/>
    <n v="1"/>
    <n v="564"/>
    <n v="816"/>
  </r>
  <r>
    <x v="66"/>
    <s v="conventional_cashout_fico_648"/>
    <x v="688"/>
    <n v="1.224"/>
    <n v="1"/>
    <n v="564"/>
    <n v="816"/>
  </r>
  <r>
    <x v="66"/>
    <s v="conventional_cashout_fico_649"/>
    <x v="689"/>
    <n v="1.224"/>
    <n v="1"/>
    <n v="564"/>
    <n v="816"/>
  </r>
  <r>
    <x v="66"/>
    <s v="conventional_cashout_fico_650"/>
    <x v="690"/>
    <n v="1.224"/>
    <n v="1"/>
    <n v="564"/>
    <n v="816"/>
  </r>
  <r>
    <x v="66"/>
    <s v="conventional_cashout_fico_651"/>
    <x v="691"/>
    <n v="1.224"/>
    <n v="1"/>
    <n v="564"/>
    <n v="816"/>
  </r>
  <r>
    <x v="66"/>
    <s v="conventional_cashout_fico_652"/>
    <x v="692"/>
    <n v="1.224"/>
    <n v="1"/>
    <n v="564"/>
    <n v="816"/>
  </r>
  <r>
    <x v="66"/>
    <s v="conventional_cashout_fico_653"/>
    <x v="693"/>
    <n v="1.224"/>
    <n v="1"/>
    <n v="564"/>
    <n v="816"/>
  </r>
  <r>
    <x v="66"/>
    <s v="conventional_cashout_fico_654"/>
    <x v="694"/>
    <n v="1.224"/>
    <n v="1"/>
    <n v="564"/>
    <n v="816"/>
  </r>
  <r>
    <x v="66"/>
    <s v="conventional_cashout_fico_655"/>
    <x v="695"/>
    <n v="1.224"/>
    <n v="1"/>
    <n v="564"/>
    <n v="816"/>
  </r>
  <r>
    <x v="66"/>
    <s v="conventional_cashout_fico_656"/>
    <x v="696"/>
    <n v="1.224"/>
    <n v="1"/>
    <n v="564"/>
    <n v="816"/>
  </r>
  <r>
    <x v="66"/>
    <s v="conventional_cashout_fico_657"/>
    <x v="697"/>
    <n v="1.224"/>
    <n v="1"/>
    <n v="564"/>
    <n v="816"/>
  </r>
  <r>
    <x v="66"/>
    <s v="conventional_cashout_fico_658"/>
    <x v="698"/>
    <n v="1.224"/>
    <n v="1"/>
    <n v="564"/>
    <n v="816"/>
  </r>
  <r>
    <x v="66"/>
    <s v="conventional_cashout_fico_659"/>
    <x v="699"/>
    <n v="1.224"/>
    <n v="1"/>
    <n v="564"/>
    <n v="816"/>
  </r>
  <r>
    <x v="66"/>
    <s v="conventional_cashout_fico_660"/>
    <x v="700"/>
    <n v="1.224"/>
    <n v="1"/>
    <n v="564"/>
    <n v="816"/>
  </r>
  <r>
    <x v="66"/>
    <s v="conventional_cashout_fico_661"/>
    <x v="701"/>
    <n v="1.224"/>
    <n v="1"/>
    <n v="564"/>
    <n v="816"/>
  </r>
  <r>
    <x v="66"/>
    <s v="conventional_cashout_fico_662"/>
    <x v="702"/>
    <n v="1.224"/>
    <n v="1"/>
    <n v="564"/>
    <n v="816"/>
  </r>
  <r>
    <x v="66"/>
    <s v="conventional_cashout_fico_663"/>
    <x v="703"/>
    <n v="1.224"/>
    <n v="1"/>
    <n v="564"/>
    <n v="816"/>
  </r>
  <r>
    <x v="66"/>
    <s v="conventional_cashout_fico_664"/>
    <x v="704"/>
    <n v="1.224"/>
    <n v="1"/>
    <n v="564"/>
    <n v="816"/>
  </r>
  <r>
    <x v="66"/>
    <s v="conventional_cashout_fico_665"/>
    <x v="705"/>
    <n v="1.224"/>
    <n v="1"/>
    <n v="564"/>
    <n v="816"/>
  </r>
  <r>
    <x v="66"/>
    <s v="conventional_cashout_fico_666"/>
    <x v="706"/>
    <n v="1.224"/>
    <n v="1"/>
    <n v="564"/>
    <n v="816"/>
  </r>
  <r>
    <x v="66"/>
    <s v="conventional_cashout_fico_667"/>
    <x v="707"/>
    <n v="1.224"/>
    <n v="1"/>
    <n v="564"/>
    <n v="816"/>
  </r>
  <r>
    <x v="66"/>
    <s v="conventional_cashout_fico_668"/>
    <x v="708"/>
    <n v="1.224"/>
    <n v="1"/>
    <n v="564"/>
    <n v="816"/>
  </r>
  <r>
    <x v="66"/>
    <s v="conventional_cashout_fico_669"/>
    <x v="709"/>
    <n v="1.224"/>
    <n v="1"/>
    <n v="564"/>
    <n v="816"/>
  </r>
  <r>
    <x v="66"/>
    <s v="conventional_cashout_fico_670"/>
    <x v="710"/>
    <n v="1.224"/>
    <n v="1"/>
    <n v="564"/>
    <n v="816"/>
  </r>
  <r>
    <x v="66"/>
    <s v="conventional_cashout_fico_671"/>
    <x v="711"/>
    <n v="1.224"/>
    <n v="1"/>
    <n v="564"/>
    <n v="816"/>
  </r>
  <r>
    <x v="66"/>
    <s v="conventional_cashout_fico_672"/>
    <x v="712"/>
    <n v="1.224"/>
    <n v="1"/>
    <n v="564"/>
    <n v="816"/>
  </r>
  <r>
    <x v="66"/>
    <s v="conventional_cashout_fico_673"/>
    <x v="713"/>
    <n v="1.224"/>
    <n v="1"/>
    <n v="564"/>
    <n v="816"/>
  </r>
  <r>
    <x v="66"/>
    <s v="conventional_cashout_fico_674"/>
    <x v="714"/>
    <n v="1.224"/>
    <n v="1"/>
    <n v="564"/>
    <n v="816"/>
  </r>
  <r>
    <x v="66"/>
    <s v="conventional_cashout_fico_675"/>
    <x v="715"/>
    <n v="1.224"/>
    <n v="1"/>
    <n v="564"/>
    <n v="816"/>
  </r>
  <r>
    <x v="66"/>
    <s v="conventional_cashout_fico_676"/>
    <x v="716"/>
    <n v="1.224"/>
    <n v="1"/>
    <n v="564"/>
    <n v="816"/>
  </r>
  <r>
    <x v="66"/>
    <s v="conventional_cashout_fico_677"/>
    <x v="717"/>
    <n v="1.224"/>
    <n v="1"/>
    <n v="564"/>
    <n v="816"/>
  </r>
  <r>
    <x v="66"/>
    <s v="conventional_cashout_fico_678"/>
    <x v="718"/>
    <n v="1.224"/>
    <n v="1"/>
    <n v="564"/>
    <n v="816"/>
  </r>
  <r>
    <x v="66"/>
    <s v="conventional_cashout_fico_679"/>
    <x v="719"/>
    <n v="1.224"/>
    <n v="1"/>
    <n v="564"/>
    <n v="816"/>
  </r>
  <r>
    <x v="66"/>
    <s v="conventional_cashout_fico_680"/>
    <x v="720"/>
    <n v="1.224"/>
    <n v="1"/>
    <n v="564"/>
    <n v="816"/>
  </r>
  <r>
    <x v="66"/>
    <s v="conventional_cashout_fico_681"/>
    <x v="721"/>
    <n v="1.224"/>
    <n v="1"/>
    <n v="564"/>
    <n v="816"/>
  </r>
  <r>
    <x v="66"/>
    <s v="conventional_cashout_fico_682"/>
    <x v="722"/>
    <n v="1.224"/>
    <n v="1"/>
    <n v="564"/>
    <n v="816"/>
  </r>
  <r>
    <x v="66"/>
    <s v="conventional_cashout_fico_683"/>
    <x v="723"/>
    <n v="1.224"/>
    <n v="1"/>
    <n v="564"/>
    <n v="816"/>
  </r>
  <r>
    <x v="66"/>
    <s v="conventional_cashout_fico_684"/>
    <x v="724"/>
    <n v="1.224"/>
    <n v="1"/>
    <n v="564"/>
    <n v="816"/>
  </r>
  <r>
    <x v="66"/>
    <s v="conventional_cashout_fico_685"/>
    <x v="725"/>
    <n v="1.224"/>
    <n v="1"/>
    <n v="564"/>
    <n v="816"/>
  </r>
  <r>
    <x v="66"/>
    <s v="conventional_cashout_fico_686"/>
    <x v="726"/>
    <n v="1.224"/>
    <n v="1"/>
    <n v="564"/>
    <n v="816"/>
  </r>
  <r>
    <x v="66"/>
    <s v="conventional_cashout_fico_687"/>
    <x v="727"/>
    <n v="1.224"/>
    <n v="1"/>
    <n v="564"/>
    <n v="816"/>
  </r>
  <r>
    <x v="66"/>
    <s v="conventional_cashout_fico_688"/>
    <x v="728"/>
    <n v="1.224"/>
    <n v="1"/>
    <n v="564"/>
    <n v="816"/>
  </r>
  <r>
    <x v="66"/>
    <s v="conventional_cashout_fico_689"/>
    <x v="729"/>
    <n v="1.224"/>
    <n v="1"/>
    <n v="564"/>
    <n v="816"/>
  </r>
  <r>
    <x v="66"/>
    <s v="conventional_cashout_fico_690"/>
    <x v="730"/>
    <n v="1.224"/>
    <n v="1"/>
    <n v="564"/>
    <n v="816"/>
  </r>
  <r>
    <x v="66"/>
    <s v="conventional_cashout_fico_691"/>
    <x v="731"/>
    <n v="1.224"/>
    <n v="1"/>
    <n v="564"/>
    <n v="816"/>
  </r>
  <r>
    <x v="66"/>
    <s v="conventional_cashout_fico_692"/>
    <x v="732"/>
    <n v="1.224"/>
    <n v="1"/>
    <n v="564"/>
    <n v="816"/>
  </r>
  <r>
    <x v="66"/>
    <s v="conventional_cashout_fico_693"/>
    <x v="733"/>
    <n v="1.224"/>
    <n v="1"/>
    <n v="564"/>
    <n v="816"/>
  </r>
  <r>
    <x v="66"/>
    <s v="conventional_cashout_fico_694"/>
    <x v="734"/>
    <n v="1.224"/>
    <n v="1"/>
    <n v="564"/>
    <n v="816"/>
  </r>
  <r>
    <x v="66"/>
    <s v="conventional_cashout_fico_695"/>
    <x v="735"/>
    <n v="1.224"/>
    <n v="1"/>
    <n v="564"/>
    <n v="816"/>
  </r>
  <r>
    <x v="66"/>
    <s v="conventional_cashout_fico_696"/>
    <x v="736"/>
    <n v="1.224"/>
    <n v="1"/>
    <n v="564"/>
    <n v="816"/>
  </r>
  <r>
    <x v="66"/>
    <s v="conventional_cashout_fico_697"/>
    <x v="737"/>
    <n v="1.224"/>
    <n v="1"/>
    <n v="564"/>
    <n v="816"/>
  </r>
  <r>
    <x v="66"/>
    <s v="conventional_cashout_fico_698"/>
    <x v="738"/>
    <n v="1.224"/>
    <n v="1"/>
    <n v="564"/>
    <n v="816"/>
  </r>
  <r>
    <x v="66"/>
    <s v="conventional_cashout_fico_699"/>
    <x v="739"/>
    <n v="1.224"/>
    <n v="1"/>
    <n v="564"/>
    <n v="816"/>
  </r>
  <r>
    <x v="66"/>
    <s v="conventional_cashout_fico_700"/>
    <x v="740"/>
    <n v="1.224"/>
    <n v="1"/>
    <n v="564"/>
    <n v="816"/>
  </r>
  <r>
    <x v="66"/>
    <s v="conventional_cashout_fico_701"/>
    <x v="741"/>
    <n v="1.223454"/>
    <n v="1"/>
    <n v="564"/>
    <n v="816"/>
  </r>
  <r>
    <x v="66"/>
    <s v="conventional_cashout_fico_702"/>
    <x v="742"/>
    <n v="1.2218720000000001"/>
    <n v="1"/>
    <n v="564"/>
    <n v="816"/>
  </r>
  <r>
    <x v="66"/>
    <s v="conventional_cashout_fico_703"/>
    <x v="743"/>
    <n v="1.219338"/>
    <n v="1"/>
    <n v="564"/>
    <n v="816"/>
  </r>
  <r>
    <x v="66"/>
    <s v="conventional_cashout_fico_704"/>
    <x v="744"/>
    <n v="1.2159359999999999"/>
    <n v="1"/>
    <n v="564"/>
    <n v="816"/>
  </r>
  <r>
    <x v="66"/>
    <s v="conventional_cashout_fico_705"/>
    <x v="745"/>
    <n v="1.2117500000000001"/>
    <n v="1"/>
    <n v="564"/>
    <n v="816"/>
  </r>
  <r>
    <x v="66"/>
    <s v="conventional_cashout_fico_706"/>
    <x v="746"/>
    <n v="1.2068639999999999"/>
    <n v="1"/>
    <n v="564"/>
    <n v="816"/>
  </r>
  <r>
    <x v="66"/>
    <s v="conventional_cashout_fico_707"/>
    <x v="747"/>
    <n v="1.201362"/>
    <n v="1"/>
    <n v="564"/>
    <n v="816"/>
  </r>
  <r>
    <x v="66"/>
    <s v="conventional_cashout_fico_708"/>
    <x v="748"/>
    <n v="1.1953279999999999"/>
    <n v="1"/>
    <n v="564"/>
    <n v="816"/>
  </r>
  <r>
    <x v="66"/>
    <s v="conventional_cashout_fico_709"/>
    <x v="749"/>
    <n v="1.1888460000000001"/>
    <n v="1"/>
    <n v="564"/>
    <n v="816"/>
  </r>
  <r>
    <x v="66"/>
    <s v="conventional_cashout_fico_710"/>
    <x v="750"/>
    <n v="1.1819999999999999"/>
    <n v="1"/>
    <n v="564"/>
    <n v="816"/>
  </r>
  <r>
    <x v="66"/>
    <s v="conventional_cashout_fico_711"/>
    <x v="751"/>
    <n v="1.174874"/>
    <n v="1"/>
    <n v="564"/>
    <n v="816"/>
  </r>
  <r>
    <x v="66"/>
    <s v="conventional_cashout_fico_712"/>
    <x v="752"/>
    <n v="1.1675519999999999"/>
    <n v="1"/>
    <n v="564"/>
    <n v="816"/>
  </r>
  <r>
    <x v="66"/>
    <s v="conventional_cashout_fico_713"/>
    <x v="753"/>
    <n v="1.160118"/>
    <n v="1"/>
    <n v="564"/>
    <n v="816"/>
  </r>
  <r>
    <x v="66"/>
    <s v="conventional_cashout_fico_714"/>
    <x v="754"/>
    <n v="1.1526559999999999"/>
    <n v="1"/>
    <n v="564"/>
    <n v="816"/>
  </r>
  <r>
    <x v="66"/>
    <s v="conventional_cashout_fico_715"/>
    <x v="755"/>
    <n v="1.1452500000000001"/>
    <n v="1"/>
    <n v="564"/>
    <n v="816"/>
  </r>
  <r>
    <x v="66"/>
    <s v="conventional_cashout_fico_716"/>
    <x v="756"/>
    <n v="1.1379840000000001"/>
    <n v="1"/>
    <n v="564"/>
    <n v="816"/>
  </r>
  <r>
    <x v="66"/>
    <s v="conventional_cashout_fico_717"/>
    <x v="757"/>
    <n v="1.1309419999999999"/>
    <n v="1"/>
    <n v="564"/>
    <n v="816"/>
  </r>
  <r>
    <x v="66"/>
    <s v="conventional_cashout_fico_718"/>
    <x v="758"/>
    <n v="1.1242080000000001"/>
    <n v="1"/>
    <n v="564"/>
    <n v="816"/>
  </r>
  <r>
    <x v="66"/>
    <s v="conventional_cashout_fico_719"/>
    <x v="759"/>
    <n v="1.117866"/>
    <n v="1"/>
    <n v="564"/>
    <n v="816"/>
  </r>
  <r>
    <x v="66"/>
    <s v="conventional_cashout_fico_720"/>
    <x v="760"/>
    <n v="1.1120000000000001"/>
    <n v="1"/>
    <n v="564"/>
    <n v="816"/>
  </r>
  <r>
    <x v="66"/>
    <s v="conventional_cashout_fico_721"/>
    <x v="761"/>
    <n v="1.106134"/>
    <n v="1"/>
    <n v="564"/>
    <n v="816"/>
  </r>
  <r>
    <x v="66"/>
    <s v="conventional_cashout_fico_722"/>
    <x v="762"/>
    <n v="1.0997920000000001"/>
    <n v="1"/>
    <n v="564"/>
    <n v="816"/>
  </r>
  <r>
    <x v="66"/>
    <s v="conventional_cashout_fico_723"/>
    <x v="763"/>
    <n v="1.0930580000000001"/>
    <n v="1"/>
    <n v="564"/>
    <n v="816"/>
  </r>
  <r>
    <x v="66"/>
    <s v="conventional_cashout_fico_724"/>
    <x v="764"/>
    <n v="1.0860160000000001"/>
    <n v="1"/>
    <n v="564"/>
    <n v="816"/>
  </r>
  <r>
    <x v="66"/>
    <s v="conventional_cashout_fico_725"/>
    <x v="765"/>
    <n v="1.0787500000000001"/>
    <n v="1"/>
    <n v="564"/>
    <n v="816"/>
  </r>
  <r>
    <x v="66"/>
    <s v="conventional_cashout_fico_726"/>
    <x v="766"/>
    <n v="1.0713440000000001"/>
    <n v="1"/>
    <n v="564"/>
    <n v="816"/>
  </r>
  <r>
    <x v="66"/>
    <s v="conventional_cashout_fico_727"/>
    <x v="767"/>
    <n v="1.063882"/>
    <n v="1"/>
    <n v="564"/>
    <n v="816"/>
  </r>
  <r>
    <x v="66"/>
    <s v="conventional_cashout_fico_728"/>
    <x v="768"/>
    <n v="1.0564480000000001"/>
    <n v="1"/>
    <n v="564"/>
    <n v="816"/>
  </r>
  <r>
    <x v="66"/>
    <s v="conventional_cashout_fico_729"/>
    <x v="769"/>
    <n v="1.049126"/>
    <n v="1"/>
    <n v="564"/>
    <n v="816"/>
  </r>
  <r>
    <x v="66"/>
    <s v="conventional_cashout_fico_730"/>
    <x v="770"/>
    <n v="1.042"/>
    <n v="1"/>
    <n v="564"/>
    <n v="816"/>
  </r>
  <r>
    <x v="66"/>
    <s v="conventional_cashout_fico_731"/>
    <x v="771"/>
    <n v="1.0351539999999999"/>
    <n v="1"/>
    <n v="564"/>
    <n v="816"/>
  </r>
  <r>
    <x v="66"/>
    <s v="conventional_cashout_fico_732"/>
    <x v="772"/>
    <n v="1.028672"/>
    <n v="1"/>
    <n v="564"/>
    <n v="816"/>
  </r>
  <r>
    <x v="66"/>
    <s v="conventional_cashout_fico_733"/>
    <x v="773"/>
    <n v="1.0226379999999999"/>
    <n v="1"/>
    <n v="564"/>
    <n v="816"/>
  </r>
  <r>
    <x v="66"/>
    <s v="conventional_cashout_fico_734"/>
    <x v="774"/>
    <n v="1.017136"/>
    <n v="1"/>
    <n v="564"/>
    <n v="816"/>
  </r>
  <r>
    <x v="66"/>
    <s v="conventional_cashout_fico_735"/>
    <x v="775"/>
    <n v="1.0122500000000001"/>
    <n v="1"/>
    <n v="564"/>
    <n v="816"/>
  </r>
  <r>
    <x v="66"/>
    <s v="conventional_cashout_fico_736"/>
    <x v="776"/>
    <n v="1.0080640000000001"/>
    <n v="1"/>
    <n v="564"/>
    <n v="816"/>
  </r>
  <r>
    <x v="66"/>
    <s v="conventional_cashout_fico_737"/>
    <x v="777"/>
    <n v="1.0046619999999999"/>
    <n v="1"/>
    <n v="564"/>
    <n v="816"/>
  </r>
  <r>
    <x v="66"/>
    <s v="conventional_cashout_fico_738"/>
    <x v="778"/>
    <n v="1.0021279999999999"/>
    <n v="1"/>
    <n v="564"/>
    <n v="816"/>
  </r>
  <r>
    <x v="66"/>
    <s v="conventional_cashout_fico_739"/>
    <x v="779"/>
    <n v="1.0005459999999999"/>
    <n v="1"/>
    <n v="564"/>
    <n v="816"/>
  </r>
  <r>
    <x v="66"/>
    <s v="conventional_cashout_fico_740"/>
    <x v="780"/>
    <n v="1"/>
    <n v="1"/>
    <n v="564"/>
    <n v="816"/>
  </r>
  <r>
    <x v="66"/>
    <s v="conventional_cashout_fico_741"/>
    <x v="781"/>
    <n v="1"/>
    <n v="1"/>
    <n v="564"/>
    <n v="816"/>
  </r>
  <r>
    <x v="66"/>
    <s v="conventional_cashout_fico_742"/>
    <x v="782"/>
    <n v="1"/>
    <n v="1"/>
    <n v="564"/>
    <n v="816"/>
  </r>
  <r>
    <x v="66"/>
    <s v="conventional_cashout_fico_743"/>
    <x v="783"/>
    <n v="1"/>
    <n v="1"/>
    <n v="564"/>
    <n v="816"/>
  </r>
  <r>
    <x v="66"/>
    <s v="conventional_cashout_fico_744"/>
    <x v="784"/>
    <n v="1"/>
    <n v="1"/>
    <n v="564"/>
    <n v="816"/>
  </r>
  <r>
    <x v="66"/>
    <s v="conventional_cashout_fico_745"/>
    <x v="785"/>
    <n v="1"/>
    <n v="1"/>
    <n v="564"/>
    <n v="816"/>
  </r>
  <r>
    <x v="66"/>
    <s v="conventional_cashout_fico_746"/>
    <x v="786"/>
    <n v="1"/>
    <n v="1"/>
    <n v="564"/>
    <n v="816"/>
  </r>
  <r>
    <x v="66"/>
    <s v="conventional_cashout_fico_747"/>
    <x v="787"/>
    <n v="1"/>
    <n v="1"/>
    <n v="564"/>
    <n v="816"/>
  </r>
  <r>
    <x v="66"/>
    <s v="conventional_cashout_fico_748"/>
    <x v="788"/>
    <n v="1"/>
    <n v="1"/>
    <n v="564"/>
    <n v="816"/>
  </r>
  <r>
    <x v="66"/>
    <s v="conventional_cashout_fico_749"/>
    <x v="789"/>
    <n v="1"/>
    <n v="1"/>
    <n v="564"/>
    <n v="816"/>
  </r>
  <r>
    <x v="66"/>
    <s v="conventional_cashout_fico_750"/>
    <x v="790"/>
    <n v="1"/>
    <n v="1"/>
    <n v="564"/>
    <n v="816"/>
  </r>
  <r>
    <x v="66"/>
    <s v="conventional_cashout_fico_751"/>
    <x v="791"/>
    <n v="1"/>
    <n v="1"/>
    <n v="564"/>
    <n v="816"/>
  </r>
  <r>
    <x v="66"/>
    <s v="conventional_cashout_fico_752"/>
    <x v="792"/>
    <n v="1"/>
    <n v="1"/>
    <n v="564"/>
    <n v="816"/>
  </r>
  <r>
    <x v="66"/>
    <s v="conventional_cashout_fico_753"/>
    <x v="793"/>
    <n v="1"/>
    <n v="1"/>
    <n v="564"/>
    <n v="816"/>
  </r>
  <r>
    <x v="66"/>
    <s v="conventional_cashout_fico_754"/>
    <x v="794"/>
    <n v="1"/>
    <n v="1"/>
    <n v="564"/>
    <n v="816"/>
  </r>
  <r>
    <x v="66"/>
    <s v="conventional_cashout_fico_755"/>
    <x v="795"/>
    <n v="1"/>
    <n v="1"/>
    <n v="564"/>
    <n v="816"/>
  </r>
  <r>
    <x v="66"/>
    <s v="conventional_cashout_fico_756"/>
    <x v="796"/>
    <n v="1"/>
    <n v="1"/>
    <n v="564"/>
    <n v="816"/>
  </r>
  <r>
    <x v="66"/>
    <s v="conventional_cashout_fico_757"/>
    <x v="797"/>
    <n v="1"/>
    <n v="1"/>
    <n v="564"/>
    <n v="816"/>
  </r>
  <r>
    <x v="66"/>
    <s v="conventional_cashout_fico_758"/>
    <x v="798"/>
    <n v="1"/>
    <n v="1"/>
    <n v="564"/>
    <n v="816"/>
  </r>
  <r>
    <x v="66"/>
    <s v="conventional_cashout_fico_759"/>
    <x v="799"/>
    <n v="1"/>
    <n v="1"/>
    <n v="564"/>
    <n v="816"/>
  </r>
  <r>
    <x v="66"/>
    <s v="conventional_cashout_fico_760"/>
    <x v="800"/>
    <n v="1"/>
    <n v="1"/>
    <n v="564"/>
    <n v="816"/>
  </r>
  <r>
    <x v="66"/>
    <s v="conventional_cashout_fico_761"/>
    <x v="801"/>
    <n v="1"/>
    <n v="1"/>
    <n v="564"/>
    <n v="816"/>
  </r>
  <r>
    <x v="66"/>
    <s v="conventional_cashout_fico_762"/>
    <x v="802"/>
    <n v="1"/>
    <n v="1"/>
    <n v="564"/>
    <n v="816"/>
  </r>
  <r>
    <x v="66"/>
    <s v="conventional_cashout_fico_763"/>
    <x v="803"/>
    <n v="1"/>
    <n v="1"/>
    <n v="564"/>
    <n v="816"/>
  </r>
  <r>
    <x v="66"/>
    <s v="conventional_cashout_fico_764"/>
    <x v="804"/>
    <n v="1"/>
    <n v="1"/>
    <n v="564"/>
    <n v="816"/>
  </r>
  <r>
    <x v="66"/>
    <s v="conventional_cashout_fico_765"/>
    <x v="805"/>
    <n v="1"/>
    <n v="1"/>
    <n v="564"/>
    <n v="816"/>
  </r>
  <r>
    <x v="66"/>
    <s v="conventional_cashout_fico_766"/>
    <x v="806"/>
    <n v="1"/>
    <n v="1"/>
    <n v="564"/>
    <n v="816"/>
  </r>
  <r>
    <x v="66"/>
    <s v="conventional_cashout_fico_767"/>
    <x v="807"/>
    <n v="1"/>
    <n v="1"/>
    <n v="564"/>
    <n v="816"/>
  </r>
  <r>
    <x v="66"/>
    <s v="conventional_cashout_fico_768"/>
    <x v="808"/>
    <n v="1"/>
    <n v="1"/>
    <n v="564"/>
    <n v="816"/>
  </r>
  <r>
    <x v="66"/>
    <s v="conventional_cashout_fico_769"/>
    <x v="809"/>
    <n v="1"/>
    <n v="1"/>
    <n v="564"/>
    <n v="816"/>
  </r>
  <r>
    <x v="66"/>
    <s v="conventional_cashout_fico_770"/>
    <x v="810"/>
    <n v="1"/>
    <n v="1"/>
    <n v="564"/>
    <n v="816"/>
  </r>
  <r>
    <x v="66"/>
    <s v="conventional_cashout_fico_771"/>
    <x v="811"/>
    <n v="1"/>
    <n v="1"/>
    <n v="564"/>
    <n v="816"/>
  </r>
  <r>
    <x v="66"/>
    <s v="conventional_cashout_fico_772"/>
    <x v="812"/>
    <n v="1"/>
    <n v="1"/>
    <n v="564"/>
    <n v="816"/>
  </r>
  <r>
    <x v="66"/>
    <s v="conventional_cashout_fico_773"/>
    <x v="813"/>
    <n v="1"/>
    <n v="1"/>
    <n v="564"/>
    <n v="816"/>
  </r>
  <r>
    <x v="66"/>
    <s v="conventional_cashout_fico_774"/>
    <x v="814"/>
    <n v="1"/>
    <n v="1"/>
    <n v="564"/>
    <n v="816"/>
  </r>
  <r>
    <x v="66"/>
    <s v="conventional_cashout_fico_775"/>
    <x v="815"/>
    <n v="1"/>
    <n v="1"/>
    <n v="564"/>
    <n v="816"/>
  </r>
  <r>
    <x v="66"/>
    <s v="conventional_cashout_fico_776"/>
    <x v="816"/>
    <n v="1"/>
    <n v="1"/>
    <n v="564"/>
    <n v="816"/>
  </r>
  <r>
    <x v="66"/>
    <s v="conventional_cashout_fico_777"/>
    <x v="817"/>
    <n v="1"/>
    <n v="1"/>
    <n v="564"/>
    <n v="816"/>
  </r>
  <r>
    <x v="66"/>
    <s v="conventional_cashout_fico_778"/>
    <x v="818"/>
    <n v="1"/>
    <n v="1"/>
    <n v="564"/>
    <n v="816"/>
  </r>
  <r>
    <x v="66"/>
    <s v="conventional_cashout_fico_779"/>
    <x v="819"/>
    <n v="1"/>
    <n v="1"/>
    <n v="564"/>
    <n v="816"/>
  </r>
  <r>
    <x v="66"/>
    <s v="conventional_cashout_fico_780"/>
    <x v="820"/>
    <n v="1"/>
    <n v="1"/>
    <n v="564"/>
    <n v="816"/>
  </r>
  <r>
    <x v="66"/>
    <s v="conventional_cashout_fico_781"/>
    <x v="821"/>
    <n v="1"/>
    <n v="1"/>
    <n v="564"/>
    <n v="816"/>
  </r>
  <r>
    <x v="66"/>
    <s v="conventional_cashout_fico_782"/>
    <x v="822"/>
    <n v="1"/>
    <n v="1"/>
    <n v="564"/>
    <n v="816"/>
  </r>
  <r>
    <x v="66"/>
    <s v="conventional_cashout_fico_783"/>
    <x v="823"/>
    <n v="1"/>
    <n v="1"/>
    <n v="564"/>
    <n v="816"/>
  </r>
  <r>
    <x v="66"/>
    <s v="conventional_cashout_fico_784"/>
    <x v="824"/>
    <n v="1"/>
    <n v="1"/>
    <n v="564"/>
    <n v="816"/>
  </r>
  <r>
    <x v="66"/>
    <s v="conventional_cashout_fico_785"/>
    <x v="825"/>
    <n v="1"/>
    <n v="1"/>
    <n v="564"/>
    <n v="816"/>
  </r>
  <r>
    <x v="66"/>
    <s v="conventional_cashout_fico_786"/>
    <x v="826"/>
    <n v="1"/>
    <n v="1"/>
    <n v="564"/>
    <n v="816"/>
  </r>
  <r>
    <x v="66"/>
    <s v="conventional_cashout_fico_787"/>
    <x v="827"/>
    <n v="1"/>
    <n v="1"/>
    <n v="564"/>
    <n v="816"/>
  </r>
  <r>
    <x v="66"/>
    <s v="conventional_cashout_fico_788"/>
    <x v="828"/>
    <n v="1"/>
    <n v="1"/>
    <n v="564"/>
    <n v="816"/>
  </r>
  <r>
    <x v="66"/>
    <s v="conventional_cashout_fico_789"/>
    <x v="829"/>
    <n v="1"/>
    <n v="1"/>
    <n v="564"/>
    <n v="816"/>
  </r>
  <r>
    <x v="66"/>
    <s v="conventional_cashout_fico_790"/>
    <x v="830"/>
    <n v="1"/>
    <n v="1"/>
    <n v="564"/>
    <n v="816"/>
  </r>
  <r>
    <x v="66"/>
    <s v="conventional_cashout_fico_791"/>
    <x v="831"/>
    <n v="1"/>
    <n v="1"/>
    <n v="564"/>
    <n v="816"/>
  </r>
  <r>
    <x v="66"/>
    <s v="conventional_cashout_fico_792"/>
    <x v="832"/>
    <n v="1"/>
    <n v="1"/>
    <n v="564"/>
    <n v="816"/>
  </r>
  <r>
    <x v="66"/>
    <s v="conventional_cashout_fico_793"/>
    <x v="833"/>
    <n v="1"/>
    <n v="1"/>
    <n v="564"/>
    <n v="816"/>
  </r>
  <r>
    <x v="66"/>
    <s v="conventional_cashout_fico_794"/>
    <x v="834"/>
    <n v="1"/>
    <n v="1"/>
    <n v="564"/>
    <n v="816"/>
  </r>
  <r>
    <x v="66"/>
    <s v="conventional_cashout_fico_795"/>
    <x v="835"/>
    <n v="1"/>
    <n v="1"/>
    <n v="564"/>
    <n v="816"/>
  </r>
  <r>
    <x v="66"/>
    <s v="conventional_cashout_fico_796"/>
    <x v="836"/>
    <n v="1"/>
    <n v="1"/>
    <n v="564"/>
    <n v="816"/>
  </r>
  <r>
    <x v="66"/>
    <s v="conventional_cashout_fico_797"/>
    <x v="837"/>
    <n v="1"/>
    <n v="1"/>
    <n v="564"/>
    <n v="816"/>
  </r>
  <r>
    <x v="66"/>
    <s v="conventional_cashout_fico_798"/>
    <x v="838"/>
    <n v="1"/>
    <n v="1"/>
    <n v="564"/>
    <n v="816"/>
  </r>
  <r>
    <x v="66"/>
    <s v="conventional_cashout_fico_799"/>
    <x v="839"/>
    <n v="1"/>
    <n v="1"/>
    <n v="564"/>
    <n v="816"/>
  </r>
  <r>
    <x v="66"/>
    <s v="conventional_cashout_fico_800"/>
    <x v="840"/>
    <n v="1"/>
    <n v="1"/>
    <n v="564"/>
    <n v="816"/>
  </r>
  <r>
    <x v="66"/>
    <s v="conventional_cashout_fico_801"/>
    <x v="841"/>
    <n v="1"/>
    <n v="1"/>
    <n v="564"/>
    <n v="816"/>
  </r>
  <r>
    <x v="66"/>
    <s v="conventional_cashout_fico_802"/>
    <x v="842"/>
    <n v="1"/>
    <n v="1"/>
    <n v="564"/>
    <n v="816"/>
  </r>
  <r>
    <x v="66"/>
    <s v="conventional_cashout_fico_803"/>
    <x v="843"/>
    <n v="1"/>
    <n v="1"/>
    <n v="564"/>
    <n v="816"/>
  </r>
  <r>
    <x v="66"/>
    <s v="conventional_cashout_fico_804"/>
    <x v="844"/>
    <n v="1"/>
    <n v="1"/>
    <n v="564"/>
    <n v="816"/>
  </r>
  <r>
    <x v="66"/>
    <s v="conventional_cashout_fico_805"/>
    <x v="845"/>
    <n v="1"/>
    <n v="1"/>
    <n v="564"/>
    <n v="816"/>
  </r>
  <r>
    <x v="66"/>
    <s v="conventional_cashout_fico_806"/>
    <x v="846"/>
    <n v="1"/>
    <n v="1"/>
    <n v="564"/>
    <n v="816"/>
  </r>
  <r>
    <x v="66"/>
    <s v="conventional_cashout_fico_807"/>
    <x v="847"/>
    <n v="1"/>
    <n v="1"/>
    <n v="564"/>
    <n v="816"/>
  </r>
  <r>
    <x v="66"/>
    <s v="conventional_cashout_fico_808"/>
    <x v="848"/>
    <n v="1"/>
    <n v="1"/>
    <n v="564"/>
    <n v="816"/>
  </r>
  <r>
    <x v="66"/>
    <s v="conventional_cashout_fico_809"/>
    <x v="849"/>
    <n v="1"/>
    <n v="1"/>
    <n v="564"/>
    <n v="816"/>
  </r>
  <r>
    <x v="66"/>
    <s v="conventional_cashout_fico_810"/>
    <x v="850"/>
    <n v="1"/>
    <n v="1"/>
    <n v="564"/>
    <n v="816"/>
  </r>
  <r>
    <x v="66"/>
    <s v="conventional_cashout_fico_811"/>
    <x v="851"/>
    <n v="1"/>
    <n v="1"/>
    <n v="564"/>
    <n v="816"/>
  </r>
  <r>
    <x v="66"/>
    <s v="conventional_cashout_fico_812"/>
    <x v="852"/>
    <n v="1"/>
    <n v="1"/>
    <n v="564"/>
    <n v="816"/>
  </r>
  <r>
    <x v="66"/>
    <s v="conventional_cashout_fico_813"/>
    <x v="853"/>
    <n v="1"/>
    <n v="1"/>
    <n v="564"/>
    <n v="816"/>
  </r>
  <r>
    <x v="66"/>
    <s v="conventional_cashout_fico_814"/>
    <x v="854"/>
    <n v="1"/>
    <n v="1"/>
    <n v="564"/>
    <n v="816"/>
  </r>
  <r>
    <x v="66"/>
    <s v="conventional_cashout_fico_815"/>
    <x v="855"/>
    <n v="1"/>
    <n v="1"/>
    <n v="564"/>
    <n v="816"/>
  </r>
  <r>
    <x v="66"/>
    <s v="conventional_cashout_fico_816"/>
    <x v="856"/>
    <n v="1"/>
    <n v="1"/>
    <n v="564"/>
    <n v="816"/>
  </r>
  <r>
    <x v="67"/>
    <s v="conventional_cashout_refi_elig_pct_-20"/>
    <x v="20"/>
    <n v="-0.2"/>
    <n v="1"/>
    <n v="-20"/>
    <n v="120"/>
  </r>
  <r>
    <x v="67"/>
    <s v="conventional_cashout_refi_elig_pct_-19"/>
    <x v="21"/>
    <n v="-0.19"/>
    <n v="1"/>
    <n v="-20"/>
    <n v="120"/>
  </r>
  <r>
    <x v="67"/>
    <s v="conventional_cashout_refi_elig_pct_-18"/>
    <x v="22"/>
    <n v="-0.18"/>
    <n v="1"/>
    <n v="-20"/>
    <n v="120"/>
  </r>
  <r>
    <x v="67"/>
    <s v="conventional_cashout_refi_elig_pct_-17"/>
    <x v="23"/>
    <n v="-0.17"/>
    <n v="1"/>
    <n v="-20"/>
    <n v="120"/>
  </r>
  <r>
    <x v="67"/>
    <s v="conventional_cashout_refi_elig_pct_-16"/>
    <x v="24"/>
    <n v="-0.16"/>
    <n v="1"/>
    <n v="-20"/>
    <n v="120"/>
  </r>
  <r>
    <x v="67"/>
    <s v="conventional_cashout_refi_elig_pct_-15"/>
    <x v="25"/>
    <n v="-0.15"/>
    <n v="1"/>
    <n v="-20"/>
    <n v="120"/>
  </r>
  <r>
    <x v="67"/>
    <s v="conventional_cashout_refi_elig_pct_-14"/>
    <x v="26"/>
    <n v="-0.14000000000000001"/>
    <n v="1"/>
    <n v="-20"/>
    <n v="120"/>
  </r>
  <r>
    <x v="67"/>
    <s v="conventional_cashout_refi_elig_pct_-13"/>
    <x v="27"/>
    <n v="-0.13"/>
    <n v="1"/>
    <n v="-20"/>
    <n v="120"/>
  </r>
  <r>
    <x v="67"/>
    <s v="conventional_cashout_refi_elig_pct_-12"/>
    <x v="28"/>
    <n v="-0.12"/>
    <n v="1"/>
    <n v="-20"/>
    <n v="120"/>
  </r>
  <r>
    <x v="67"/>
    <s v="conventional_cashout_refi_elig_pct_-11"/>
    <x v="29"/>
    <n v="-0.11"/>
    <n v="1"/>
    <n v="-20"/>
    <n v="120"/>
  </r>
  <r>
    <x v="67"/>
    <s v="conventional_cashout_refi_elig_pct_-10"/>
    <x v="30"/>
    <n v="-0.1"/>
    <n v="1"/>
    <n v="-20"/>
    <n v="120"/>
  </r>
  <r>
    <x v="67"/>
    <s v="conventional_cashout_refi_elig_pct_-9"/>
    <x v="31"/>
    <n v="-0.09"/>
    <n v="1"/>
    <n v="-20"/>
    <n v="120"/>
  </r>
  <r>
    <x v="67"/>
    <s v="conventional_cashout_refi_elig_pct_-8"/>
    <x v="32"/>
    <n v="-0.08"/>
    <n v="1"/>
    <n v="-20"/>
    <n v="120"/>
  </r>
  <r>
    <x v="67"/>
    <s v="conventional_cashout_refi_elig_pct_-7"/>
    <x v="33"/>
    <n v="-7.0000000000000007E-2"/>
    <n v="1"/>
    <n v="-20"/>
    <n v="120"/>
  </r>
  <r>
    <x v="67"/>
    <s v="conventional_cashout_refi_elig_pct_-6"/>
    <x v="34"/>
    <n v="-0.06"/>
    <n v="1"/>
    <n v="-20"/>
    <n v="120"/>
  </r>
  <r>
    <x v="67"/>
    <s v="conventional_cashout_refi_elig_pct_-5"/>
    <x v="35"/>
    <n v="-0.05"/>
    <n v="1"/>
    <n v="-20"/>
    <n v="120"/>
  </r>
  <r>
    <x v="67"/>
    <s v="conventional_cashout_refi_elig_pct_-4"/>
    <x v="36"/>
    <n v="-0.04"/>
    <n v="1"/>
    <n v="-20"/>
    <n v="120"/>
  </r>
  <r>
    <x v="67"/>
    <s v="conventional_cashout_refi_elig_pct_-3"/>
    <x v="37"/>
    <n v="-0.03"/>
    <n v="1"/>
    <n v="-20"/>
    <n v="120"/>
  </r>
  <r>
    <x v="67"/>
    <s v="conventional_cashout_refi_elig_pct_-2"/>
    <x v="38"/>
    <n v="-0.02"/>
    <n v="1"/>
    <n v="-20"/>
    <n v="120"/>
  </r>
  <r>
    <x v="67"/>
    <s v="conventional_cashout_refi_elig_pct_-1"/>
    <x v="39"/>
    <n v="-0.01"/>
    <n v="1"/>
    <n v="-20"/>
    <n v="120"/>
  </r>
  <r>
    <x v="67"/>
    <s v="conventional_cashout_refi_elig_pct_0"/>
    <x v="40"/>
    <n v="0"/>
    <n v="1"/>
    <n v="-20"/>
    <n v="120"/>
  </r>
  <r>
    <x v="67"/>
    <s v="conventional_cashout_refi_elig_pct_1"/>
    <x v="41"/>
    <n v="0.01"/>
    <n v="1"/>
    <n v="-20"/>
    <n v="120"/>
  </r>
  <r>
    <x v="67"/>
    <s v="conventional_cashout_refi_elig_pct_2"/>
    <x v="42"/>
    <n v="0.02"/>
    <n v="1"/>
    <n v="-20"/>
    <n v="120"/>
  </r>
  <r>
    <x v="67"/>
    <s v="conventional_cashout_refi_elig_pct_3"/>
    <x v="43"/>
    <n v="0.03"/>
    <n v="1"/>
    <n v="-20"/>
    <n v="120"/>
  </r>
  <r>
    <x v="67"/>
    <s v="conventional_cashout_refi_elig_pct_4"/>
    <x v="44"/>
    <n v="0.04"/>
    <n v="1"/>
    <n v="-20"/>
    <n v="120"/>
  </r>
  <r>
    <x v="67"/>
    <s v="conventional_cashout_refi_elig_pct_5"/>
    <x v="45"/>
    <n v="0.05"/>
    <n v="1"/>
    <n v="-20"/>
    <n v="120"/>
  </r>
  <r>
    <x v="67"/>
    <s v="conventional_cashout_refi_elig_pct_6"/>
    <x v="46"/>
    <n v="0.06"/>
    <n v="1"/>
    <n v="-20"/>
    <n v="120"/>
  </r>
  <r>
    <x v="67"/>
    <s v="conventional_cashout_refi_elig_pct_7"/>
    <x v="47"/>
    <n v="7.0000000000000007E-2"/>
    <n v="1"/>
    <n v="-20"/>
    <n v="120"/>
  </r>
  <r>
    <x v="67"/>
    <s v="conventional_cashout_refi_elig_pct_8"/>
    <x v="48"/>
    <n v="0.08"/>
    <n v="1"/>
    <n v="-20"/>
    <n v="120"/>
  </r>
  <r>
    <x v="67"/>
    <s v="conventional_cashout_refi_elig_pct_9"/>
    <x v="49"/>
    <n v="0.09"/>
    <n v="1"/>
    <n v="-20"/>
    <n v="120"/>
  </r>
  <r>
    <x v="67"/>
    <s v="conventional_cashout_refi_elig_pct_10"/>
    <x v="50"/>
    <n v="0.1"/>
    <n v="1"/>
    <n v="-20"/>
    <n v="120"/>
  </r>
  <r>
    <x v="67"/>
    <s v="conventional_cashout_refi_elig_pct_11"/>
    <x v="51"/>
    <n v="0.11"/>
    <n v="1"/>
    <n v="-20"/>
    <n v="120"/>
  </r>
  <r>
    <x v="67"/>
    <s v="conventional_cashout_refi_elig_pct_12"/>
    <x v="52"/>
    <n v="0.12"/>
    <n v="1"/>
    <n v="-20"/>
    <n v="120"/>
  </r>
  <r>
    <x v="67"/>
    <s v="conventional_cashout_refi_elig_pct_13"/>
    <x v="53"/>
    <n v="0.13"/>
    <n v="1"/>
    <n v="-20"/>
    <n v="120"/>
  </r>
  <r>
    <x v="67"/>
    <s v="conventional_cashout_refi_elig_pct_14"/>
    <x v="54"/>
    <n v="0.14000000000000001"/>
    <n v="1"/>
    <n v="-20"/>
    <n v="120"/>
  </r>
  <r>
    <x v="67"/>
    <s v="conventional_cashout_refi_elig_pct_15"/>
    <x v="55"/>
    <n v="0.15"/>
    <n v="1"/>
    <n v="-20"/>
    <n v="120"/>
  </r>
  <r>
    <x v="67"/>
    <s v="conventional_cashout_refi_elig_pct_16"/>
    <x v="56"/>
    <n v="0.16"/>
    <n v="1"/>
    <n v="-20"/>
    <n v="120"/>
  </r>
  <r>
    <x v="67"/>
    <s v="conventional_cashout_refi_elig_pct_17"/>
    <x v="57"/>
    <n v="0.17"/>
    <n v="1"/>
    <n v="-20"/>
    <n v="120"/>
  </r>
  <r>
    <x v="67"/>
    <s v="conventional_cashout_refi_elig_pct_18"/>
    <x v="58"/>
    <n v="0.18"/>
    <n v="1"/>
    <n v="-20"/>
    <n v="120"/>
  </r>
  <r>
    <x v="67"/>
    <s v="conventional_cashout_refi_elig_pct_19"/>
    <x v="59"/>
    <n v="0.19"/>
    <n v="1"/>
    <n v="-20"/>
    <n v="120"/>
  </r>
  <r>
    <x v="67"/>
    <s v="conventional_cashout_refi_elig_pct_20"/>
    <x v="60"/>
    <n v="0.2"/>
    <n v="1"/>
    <n v="-20"/>
    <n v="120"/>
  </r>
  <r>
    <x v="67"/>
    <s v="conventional_cashout_refi_elig_pct_21"/>
    <x v="61"/>
    <n v="0.21"/>
    <n v="1"/>
    <n v="-20"/>
    <n v="120"/>
  </r>
  <r>
    <x v="67"/>
    <s v="conventional_cashout_refi_elig_pct_22"/>
    <x v="62"/>
    <n v="0.22"/>
    <n v="1"/>
    <n v="-20"/>
    <n v="120"/>
  </r>
  <r>
    <x v="67"/>
    <s v="conventional_cashout_refi_elig_pct_23"/>
    <x v="63"/>
    <n v="0.23"/>
    <n v="1"/>
    <n v="-20"/>
    <n v="120"/>
  </r>
  <r>
    <x v="67"/>
    <s v="conventional_cashout_refi_elig_pct_24"/>
    <x v="64"/>
    <n v="0.24"/>
    <n v="1"/>
    <n v="-20"/>
    <n v="120"/>
  </r>
  <r>
    <x v="67"/>
    <s v="conventional_cashout_refi_elig_pct_25"/>
    <x v="65"/>
    <n v="0.25"/>
    <n v="1"/>
    <n v="-20"/>
    <n v="120"/>
  </r>
  <r>
    <x v="67"/>
    <s v="conventional_cashout_refi_elig_pct_26"/>
    <x v="66"/>
    <n v="0.26"/>
    <n v="1"/>
    <n v="-20"/>
    <n v="120"/>
  </r>
  <r>
    <x v="67"/>
    <s v="conventional_cashout_refi_elig_pct_27"/>
    <x v="67"/>
    <n v="0.27"/>
    <n v="1"/>
    <n v="-20"/>
    <n v="120"/>
  </r>
  <r>
    <x v="67"/>
    <s v="conventional_cashout_refi_elig_pct_28"/>
    <x v="68"/>
    <n v="0.28000000000000003"/>
    <n v="1"/>
    <n v="-20"/>
    <n v="120"/>
  </r>
  <r>
    <x v="67"/>
    <s v="conventional_cashout_refi_elig_pct_29"/>
    <x v="69"/>
    <n v="0.28999999999999998"/>
    <n v="1"/>
    <n v="-20"/>
    <n v="120"/>
  </r>
  <r>
    <x v="67"/>
    <s v="conventional_cashout_refi_elig_pct_30"/>
    <x v="70"/>
    <n v="0.3"/>
    <n v="1"/>
    <n v="-20"/>
    <n v="120"/>
  </r>
  <r>
    <x v="67"/>
    <s v="conventional_cashout_refi_elig_pct_31"/>
    <x v="71"/>
    <n v="0.31"/>
    <n v="1"/>
    <n v="-20"/>
    <n v="120"/>
  </r>
  <r>
    <x v="67"/>
    <s v="conventional_cashout_refi_elig_pct_32"/>
    <x v="72"/>
    <n v="0.32"/>
    <n v="1"/>
    <n v="-20"/>
    <n v="120"/>
  </r>
  <r>
    <x v="67"/>
    <s v="conventional_cashout_refi_elig_pct_33"/>
    <x v="73"/>
    <n v="0.33"/>
    <n v="1"/>
    <n v="-20"/>
    <n v="120"/>
  </r>
  <r>
    <x v="67"/>
    <s v="conventional_cashout_refi_elig_pct_34"/>
    <x v="74"/>
    <n v="0.34"/>
    <n v="1"/>
    <n v="-20"/>
    <n v="120"/>
  </r>
  <r>
    <x v="67"/>
    <s v="conventional_cashout_refi_elig_pct_35"/>
    <x v="75"/>
    <n v="0.35"/>
    <n v="1"/>
    <n v="-20"/>
    <n v="120"/>
  </r>
  <r>
    <x v="67"/>
    <s v="conventional_cashout_refi_elig_pct_36"/>
    <x v="76"/>
    <n v="0.36"/>
    <n v="1"/>
    <n v="-20"/>
    <n v="120"/>
  </r>
  <r>
    <x v="67"/>
    <s v="conventional_cashout_refi_elig_pct_37"/>
    <x v="77"/>
    <n v="0.37"/>
    <n v="1"/>
    <n v="-20"/>
    <n v="120"/>
  </r>
  <r>
    <x v="67"/>
    <s v="conventional_cashout_refi_elig_pct_38"/>
    <x v="78"/>
    <n v="0.38"/>
    <n v="1"/>
    <n v="-20"/>
    <n v="120"/>
  </r>
  <r>
    <x v="67"/>
    <s v="conventional_cashout_refi_elig_pct_39"/>
    <x v="79"/>
    <n v="0.39"/>
    <n v="1"/>
    <n v="-20"/>
    <n v="120"/>
  </r>
  <r>
    <x v="67"/>
    <s v="conventional_cashout_refi_elig_pct_40"/>
    <x v="80"/>
    <n v="0.4"/>
    <n v="1"/>
    <n v="-20"/>
    <n v="120"/>
  </r>
  <r>
    <x v="67"/>
    <s v="conventional_cashout_refi_elig_pct_41"/>
    <x v="81"/>
    <n v="0.41"/>
    <n v="1"/>
    <n v="-20"/>
    <n v="120"/>
  </r>
  <r>
    <x v="67"/>
    <s v="conventional_cashout_refi_elig_pct_42"/>
    <x v="82"/>
    <n v="0.42"/>
    <n v="1"/>
    <n v="-20"/>
    <n v="120"/>
  </r>
  <r>
    <x v="67"/>
    <s v="conventional_cashout_refi_elig_pct_43"/>
    <x v="83"/>
    <n v="0.43"/>
    <n v="1"/>
    <n v="-20"/>
    <n v="120"/>
  </r>
  <r>
    <x v="67"/>
    <s v="conventional_cashout_refi_elig_pct_44"/>
    <x v="84"/>
    <n v="0.44"/>
    <n v="1"/>
    <n v="-20"/>
    <n v="120"/>
  </r>
  <r>
    <x v="67"/>
    <s v="conventional_cashout_refi_elig_pct_45"/>
    <x v="85"/>
    <n v="0.45"/>
    <n v="1"/>
    <n v="-20"/>
    <n v="120"/>
  </r>
  <r>
    <x v="67"/>
    <s v="conventional_cashout_refi_elig_pct_46"/>
    <x v="86"/>
    <n v="0.46"/>
    <n v="1"/>
    <n v="-20"/>
    <n v="120"/>
  </r>
  <r>
    <x v="67"/>
    <s v="conventional_cashout_refi_elig_pct_47"/>
    <x v="87"/>
    <n v="0.47"/>
    <n v="1"/>
    <n v="-20"/>
    <n v="120"/>
  </r>
  <r>
    <x v="67"/>
    <s v="conventional_cashout_refi_elig_pct_48"/>
    <x v="88"/>
    <n v="0.48"/>
    <n v="1"/>
    <n v="-20"/>
    <n v="120"/>
  </r>
  <r>
    <x v="67"/>
    <s v="conventional_cashout_refi_elig_pct_49"/>
    <x v="89"/>
    <n v="0.49"/>
    <n v="1"/>
    <n v="-20"/>
    <n v="120"/>
  </r>
  <r>
    <x v="67"/>
    <s v="conventional_cashout_refi_elig_pct_50"/>
    <x v="90"/>
    <n v="0.5"/>
    <n v="1"/>
    <n v="-20"/>
    <n v="120"/>
  </r>
  <r>
    <x v="67"/>
    <s v="conventional_cashout_refi_elig_pct_51"/>
    <x v="91"/>
    <n v="0.51"/>
    <n v="1"/>
    <n v="-20"/>
    <n v="120"/>
  </r>
  <r>
    <x v="67"/>
    <s v="conventional_cashout_refi_elig_pct_52"/>
    <x v="92"/>
    <n v="0.52"/>
    <n v="1"/>
    <n v="-20"/>
    <n v="120"/>
  </r>
  <r>
    <x v="67"/>
    <s v="conventional_cashout_refi_elig_pct_53"/>
    <x v="93"/>
    <n v="0.53"/>
    <n v="1"/>
    <n v="-20"/>
    <n v="120"/>
  </r>
  <r>
    <x v="67"/>
    <s v="conventional_cashout_refi_elig_pct_54"/>
    <x v="94"/>
    <n v="0.54"/>
    <n v="1"/>
    <n v="-20"/>
    <n v="120"/>
  </r>
  <r>
    <x v="67"/>
    <s v="conventional_cashout_refi_elig_pct_55"/>
    <x v="95"/>
    <n v="0.55000000000000004"/>
    <n v="1"/>
    <n v="-20"/>
    <n v="120"/>
  </r>
  <r>
    <x v="67"/>
    <s v="conventional_cashout_refi_elig_pct_56"/>
    <x v="96"/>
    <n v="0.56000000000000005"/>
    <n v="1"/>
    <n v="-20"/>
    <n v="120"/>
  </r>
  <r>
    <x v="67"/>
    <s v="conventional_cashout_refi_elig_pct_57"/>
    <x v="97"/>
    <n v="0.56999999999999995"/>
    <n v="1"/>
    <n v="-20"/>
    <n v="120"/>
  </r>
  <r>
    <x v="67"/>
    <s v="conventional_cashout_refi_elig_pct_58"/>
    <x v="98"/>
    <n v="0.57999999999999996"/>
    <n v="1"/>
    <n v="-20"/>
    <n v="120"/>
  </r>
  <r>
    <x v="67"/>
    <s v="conventional_cashout_refi_elig_pct_59"/>
    <x v="99"/>
    <n v="0.59"/>
    <n v="1"/>
    <n v="-20"/>
    <n v="120"/>
  </r>
  <r>
    <x v="67"/>
    <s v="conventional_cashout_refi_elig_pct_60"/>
    <x v="100"/>
    <n v="0.6"/>
    <n v="1"/>
    <n v="-20"/>
    <n v="120"/>
  </r>
  <r>
    <x v="67"/>
    <s v="conventional_cashout_refi_elig_pct_61"/>
    <x v="101"/>
    <n v="0.61"/>
    <n v="1"/>
    <n v="-20"/>
    <n v="120"/>
  </r>
  <r>
    <x v="67"/>
    <s v="conventional_cashout_refi_elig_pct_62"/>
    <x v="102"/>
    <n v="0.62"/>
    <n v="1"/>
    <n v="-20"/>
    <n v="120"/>
  </r>
  <r>
    <x v="67"/>
    <s v="conventional_cashout_refi_elig_pct_63"/>
    <x v="103"/>
    <n v="0.63"/>
    <n v="1"/>
    <n v="-20"/>
    <n v="120"/>
  </r>
  <r>
    <x v="67"/>
    <s v="conventional_cashout_refi_elig_pct_64"/>
    <x v="104"/>
    <n v="0.64"/>
    <n v="1"/>
    <n v="-20"/>
    <n v="120"/>
  </r>
  <r>
    <x v="67"/>
    <s v="conventional_cashout_refi_elig_pct_65"/>
    <x v="105"/>
    <n v="0.65"/>
    <n v="1"/>
    <n v="-20"/>
    <n v="120"/>
  </r>
  <r>
    <x v="67"/>
    <s v="conventional_cashout_refi_elig_pct_66"/>
    <x v="106"/>
    <n v="0.66"/>
    <n v="1"/>
    <n v="-20"/>
    <n v="120"/>
  </r>
  <r>
    <x v="67"/>
    <s v="conventional_cashout_refi_elig_pct_67"/>
    <x v="107"/>
    <n v="0.67"/>
    <n v="1"/>
    <n v="-20"/>
    <n v="120"/>
  </r>
  <r>
    <x v="67"/>
    <s v="conventional_cashout_refi_elig_pct_68"/>
    <x v="108"/>
    <n v="0.68"/>
    <n v="1"/>
    <n v="-20"/>
    <n v="120"/>
  </r>
  <r>
    <x v="67"/>
    <s v="conventional_cashout_refi_elig_pct_69"/>
    <x v="109"/>
    <n v="0.69"/>
    <n v="1"/>
    <n v="-20"/>
    <n v="120"/>
  </r>
  <r>
    <x v="67"/>
    <s v="conventional_cashout_refi_elig_pct_70"/>
    <x v="110"/>
    <n v="0.7"/>
    <n v="1"/>
    <n v="-20"/>
    <n v="120"/>
  </r>
  <r>
    <x v="67"/>
    <s v="conventional_cashout_refi_elig_pct_71"/>
    <x v="111"/>
    <n v="0.71"/>
    <n v="1"/>
    <n v="-20"/>
    <n v="120"/>
  </r>
  <r>
    <x v="67"/>
    <s v="conventional_cashout_refi_elig_pct_72"/>
    <x v="112"/>
    <n v="0.72"/>
    <n v="1"/>
    <n v="-20"/>
    <n v="120"/>
  </r>
  <r>
    <x v="67"/>
    <s v="conventional_cashout_refi_elig_pct_73"/>
    <x v="113"/>
    <n v="0.73"/>
    <n v="1"/>
    <n v="-20"/>
    <n v="120"/>
  </r>
  <r>
    <x v="67"/>
    <s v="conventional_cashout_refi_elig_pct_74"/>
    <x v="114"/>
    <n v="0.74"/>
    <n v="1"/>
    <n v="-20"/>
    <n v="120"/>
  </r>
  <r>
    <x v="67"/>
    <s v="conventional_cashout_refi_elig_pct_75"/>
    <x v="115"/>
    <n v="0.75"/>
    <n v="1"/>
    <n v="-20"/>
    <n v="120"/>
  </r>
  <r>
    <x v="67"/>
    <s v="conventional_cashout_refi_elig_pct_76"/>
    <x v="116"/>
    <n v="0.76"/>
    <n v="1"/>
    <n v="-20"/>
    <n v="120"/>
  </r>
  <r>
    <x v="67"/>
    <s v="conventional_cashout_refi_elig_pct_77"/>
    <x v="117"/>
    <n v="0.77"/>
    <n v="1"/>
    <n v="-20"/>
    <n v="120"/>
  </r>
  <r>
    <x v="67"/>
    <s v="conventional_cashout_refi_elig_pct_78"/>
    <x v="118"/>
    <n v="0.78"/>
    <n v="1"/>
    <n v="-20"/>
    <n v="120"/>
  </r>
  <r>
    <x v="67"/>
    <s v="conventional_cashout_refi_elig_pct_79"/>
    <x v="119"/>
    <n v="0.79"/>
    <n v="1"/>
    <n v="-20"/>
    <n v="120"/>
  </r>
  <r>
    <x v="67"/>
    <s v="conventional_cashout_refi_elig_pct_80"/>
    <x v="120"/>
    <n v="0.8"/>
    <n v="1"/>
    <n v="-20"/>
    <n v="120"/>
  </r>
  <r>
    <x v="67"/>
    <s v="conventional_cashout_refi_elig_pct_81"/>
    <x v="121"/>
    <n v="0.81"/>
    <n v="1"/>
    <n v="-20"/>
    <n v="120"/>
  </r>
  <r>
    <x v="67"/>
    <s v="conventional_cashout_refi_elig_pct_82"/>
    <x v="122"/>
    <n v="0.82"/>
    <n v="1"/>
    <n v="-20"/>
    <n v="120"/>
  </r>
  <r>
    <x v="67"/>
    <s v="conventional_cashout_refi_elig_pct_83"/>
    <x v="123"/>
    <n v="0.83"/>
    <n v="1"/>
    <n v="-20"/>
    <n v="120"/>
  </r>
  <r>
    <x v="67"/>
    <s v="conventional_cashout_refi_elig_pct_84"/>
    <x v="124"/>
    <n v="0.84"/>
    <n v="1"/>
    <n v="-20"/>
    <n v="120"/>
  </r>
  <r>
    <x v="67"/>
    <s v="conventional_cashout_refi_elig_pct_85"/>
    <x v="125"/>
    <n v="0.85"/>
    <n v="1"/>
    <n v="-20"/>
    <n v="120"/>
  </r>
  <r>
    <x v="67"/>
    <s v="conventional_cashout_refi_elig_pct_86"/>
    <x v="126"/>
    <n v="0.86"/>
    <n v="1"/>
    <n v="-20"/>
    <n v="120"/>
  </r>
  <r>
    <x v="67"/>
    <s v="conventional_cashout_refi_elig_pct_87"/>
    <x v="127"/>
    <n v="0.87"/>
    <n v="1"/>
    <n v="-20"/>
    <n v="120"/>
  </r>
  <r>
    <x v="67"/>
    <s v="conventional_cashout_refi_elig_pct_88"/>
    <x v="128"/>
    <n v="0.88"/>
    <n v="1"/>
    <n v="-20"/>
    <n v="120"/>
  </r>
  <r>
    <x v="67"/>
    <s v="conventional_cashout_refi_elig_pct_89"/>
    <x v="129"/>
    <n v="0.89"/>
    <n v="1"/>
    <n v="-20"/>
    <n v="120"/>
  </r>
  <r>
    <x v="67"/>
    <s v="conventional_cashout_refi_elig_pct_90"/>
    <x v="130"/>
    <n v="0.9"/>
    <n v="1"/>
    <n v="-20"/>
    <n v="120"/>
  </r>
  <r>
    <x v="67"/>
    <s v="conventional_cashout_refi_elig_pct_91"/>
    <x v="131"/>
    <n v="0.91"/>
    <n v="1"/>
    <n v="-20"/>
    <n v="120"/>
  </r>
  <r>
    <x v="67"/>
    <s v="conventional_cashout_refi_elig_pct_92"/>
    <x v="132"/>
    <n v="0.92"/>
    <n v="1"/>
    <n v="-20"/>
    <n v="120"/>
  </r>
  <r>
    <x v="67"/>
    <s v="conventional_cashout_refi_elig_pct_93"/>
    <x v="133"/>
    <n v="0.93"/>
    <n v="1"/>
    <n v="-20"/>
    <n v="120"/>
  </r>
  <r>
    <x v="67"/>
    <s v="conventional_cashout_refi_elig_pct_94"/>
    <x v="134"/>
    <n v="0.94"/>
    <n v="1"/>
    <n v="-20"/>
    <n v="120"/>
  </r>
  <r>
    <x v="67"/>
    <s v="conventional_cashout_refi_elig_pct_95"/>
    <x v="135"/>
    <n v="0.95"/>
    <n v="1"/>
    <n v="-20"/>
    <n v="120"/>
  </r>
  <r>
    <x v="67"/>
    <s v="conventional_cashout_refi_elig_pct_96"/>
    <x v="136"/>
    <n v="0.96"/>
    <n v="1"/>
    <n v="-20"/>
    <n v="120"/>
  </r>
  <r>
    <x v="67"/>
    <s v="conventional_cashout_refi_elig_pct_97"/>
    <x v="137"/>
    <n v="0.97"/>
    <n v="1"/>
    <n v="-20"/>
    <n v="120"/>
  </r>
  <r>
    <x v="67"/>
    <s v="conventional_cashout_refi_elig_pct_98"/>
    <x v="138"/>
    <n v="0.98"/>
    <n v="1"/>
    <n v="-20"/>
    <n v="120"/>
  </r>
  <r>
    <x v="67"/>
    <s v="conventional_cashout_refi_elig_pct_99"/>
    <x v="139"/>
    <n v="0.99"/>
    <n v="1"/>
    <n v="-20"/>
    <n v="120"/>
  </r>
  <r>
    <x v="67"/>
    <s v="conventional_cashout_refi_elig_pct_100"/>
    <x v="140"/>
    <n v="1"/>
    <n v="1"/>
    <n v="-20"/>
    <n v="120"/>
  </r>
  <r>
    <x v="67"/>
    <s v="conventional_cashout_refi_elig_pct_101"/>
    <x v="141"/>
    <n v="1.01"/>
    <n v="1"/>
    <n v="-20"/>
    <n v="120"/>
  </r>
  <r>
    <x v="67"/>
    <s v="conventional_cashout_refi_elig_pct_102"/>
    <x v="142"/>
    <n v="1.02"/>
    <n v="1"/>
    <n v="-20"/>
    <n v="120"/>
  </r>
  <r>
    <x v="67"/>
    <s v="conventional_cashout_refi_elig_pct_103"/>
    <x v="143"/>
    <n v="1.03"/>
    <n v="1"/>
    <n v="-20"/>
    <n v="120"/>
  </r>
  <r>
    <x v="67"/>
    <s v="conventional_cashout_refi_elig_pct_104"/>
    <x v="144"/>
    <n v="1.04"/>
    <n v="1"/>
    <n v="-20"/>
    <n v="120"/>
  </r>
  <r>
    <x v="67"/>
    <s v="conventional_cashout_refi_elig_pct_105"/>
    <x v="145"/>
    <n v="1.05"/>
    <n v="1"/>
    <n v="-20"/>
    <n v="120"/>
  </r>
  <r>
    <x v="67"/>
    <s v="conventional_cashout_refi_elig_pct_106"/>
    <x v="146"/>
    <n v="1.06"/>
    <n v="1"/>
    <n v="-20"/>
    <n v="120"/>
  </r>
  <r>
    <x v="67"/>
    <s v="conventional_cashout_refi_elig_pct_107"/>
    <x v="147"/>
    <n v="1.07"/>
    <n v="1"/>
    <n v="-20"/>
    <n v="120"/>
  </r>
  <r>
    <x v="67"/>
    <s v="conventional_cashout_refi_elig_pct_108"/>
    <x v="148"/>
    <n v="1.08"/>
    <n v="1"/>
    <n v="-20"/>
    <n v="120"/>
  </r>
  <r>
    <x v="67"/>
    <s v="conventional_cashout_refi_elig_pct_109"/>
    <x v="149"/>
    <n v="1.0900000000000001"/>
    <n v="1"/>
    <n v="-20"/>
    <n v="120"/>
  </r>
  <r>
    <x v="67"/>
    <s v="conventional_cashout_refi_elig_pct_110"/>
    <x v="150"/>
    <n v="1.1000000000000001"/>
    <n v="1"/>
    <n v="-20"/>
    <n v="120"/>
  </r>
  <r>
    <x v="67"/>
    <s v="conventional_cashout_refi_elig_pct_111"/>
    <x v="151"/>
    <n v="1.1100000000000001"/>
    <n v="1"/>
    <n v="-20"/>
    <n v="120"/>
  </r>
  <r>
    <x v="67"/>
    <s v="conventional_cashout_refi_elig_pct_112"/>
    <x v="152"/>
    <n v="1.1200000000000001"/>
    <n v="1"/>
    <n v="-20"/>
    <n v="120"/>
  </r>
  <r>
    <x v="67"/>
    <s v="conventional_cashout_refi_elig_pct_113"/>
    <x v="153"/>
    <n v="1.1299999999999999"/>
    <n v="1"/>
    <n v="-20"/>
    <n v="120"/>
  </r>
  <r>
    <x v="67"/>
    <s v="conventional_cashout_refi_elig_pct_114"/>
    <x v="154"/>
    <n v="1.1399999999999999"/>
    <n v="1"/>
    <n v="-20"/>
    <n v="120"/>
  </r>
  <r>
    <x v="67"/>
    <s v="conventional_cashout_refi_elig_pct_115"/>
    <x v="155"/>
    <n v="1.1499999999999999"/>
    <n v="1"/>
    <n v="-20"/>
    <n v="120"/>
  </r>
  <r>
    <x v="67"/>
    <s v="conventional_cashout_refi_elig_pct_116"/>
    <x v="156"/>
    <n v="1.1599999999999999"/>
    <n v="1"/>
    <n v="-20"/>
    <n v="120"/>
  </r>
  <r>
    <x v="67"/>
    <s v="conventional_cashout_refi_elig_pct_117"/>
    <x v="157"/>
    <n v="1.17"/>
    <n v="1"/>
    <n v="-20"/>
    <n v="120"/>
  </r>
  <r>
    <x v="67"/>
    <s v="conventional_cashout_refi_elig_pct_118"/>
    <x v="158"/>
    <n v="1.18"/>
    <n v="1"/>
    <n v="-20"/>
    <n v="120"/>
  </r>
  <r>
    <x v="67"/>
    <s v="conventional_cashout_refi_elig_pct_119"/>
    <x v="159"/>
    <n v="1.19"/>
    <n v="1"/>
    <n v="-20"/>
    <n v="120"/>
  </r>
  <r>
    <x v="67"/>
    <s v="conventional_cashout_refi_elig_pct_120"/>
    <x v="160"/>
    <n v="1.2"/>
    <n v="1"/>
    <n v="-20"/>
    <n v="120"/>
  </r>
  <r>
    <x v="68"/>
    <s v="conventional_cashout_pct_tpo_-20"/>
    <x v="20"/>
    <n v="1"/>
    <n v="1"/>
    <n v="-20"/>
    <n v="120"/>
  </r>
  <r>
    <x v="68"/>
    <s v="conventional_cashout_pct_tpo_-19"/>
    <x v="21"/>
    <n v="1"/>
    <n v="1"/>
    <n v="-20"/>
    <n v="120"/>
  </r>
  <r>
    <x v="68"/>
    <s v="conventional_cashout_pct_tpo_-18"/>
    <x v="22"/>
    <n v="1"/>
    <n v="1"/>
    <n v="-20"/>
    <n v="120"/>
  </r>
  <r>
    <x v="68"/>
    <s v="conventional_cashout_pct_tpo_-17"/>
    <x v="23"/>
    <n v="1"/>
    <n v="1"/>
    <n v="-20"/>
    <n v="120"/>
  </r>
  <r>
    <x v="68"/>
    <s v="conventional_cashout_pct_tpo_-16"/>
    <x v="24"/>
    <n v="1"/>
    <n v="1"/>
    <n v="-20"/>
    <n v="120"/>
  </r>
  <r>
    <x v="68"/>
    <s v="conventional_cashout_pct_tpo_-15"/>
    <x v="25"/>
    <n v="1"/>
    <n v="1"/>
    <n v="-20"/>
    <n v="120"/>
  </r>
  <r>
    <x v="68"/>
    <s v="conventional_cashout_pct_tpo_-14"/>
    <x v="26"/>
    <n v="1"/>
    <n v="1"/>
    <n v="-20"/>
    <n v="120"/>
  </r>
  <r>
    <x v="68"/>
    <s v="conventional_cashout_pct_tpo_-13"/>
    <x v="27"/>
    <n v="1"/>
    <n v="1"/>
    <n v="-20"/>
    <n v="120"/>
  </r>
  <r>
    <x v="68"/>
    <s v="conventional_cashout_pct_tpo_-12"/>
    <x v="28"/>
    <n v="1"/>
    <n v="1"/>
    <n v="-20"/>
    <n v="120"/>
  </r>
  <r>
    <x v="68"/>
    <s v="conventional_cashout_pct_tpo_-11"/>
    <x v="29"/>
    <n v="1"/>
    <n v="1"/>
    <n v="-20"/>
    <n v="120"/>
  </r>
  <r>
    <x v="68"/>
    <s v="conventional_cashout_pct_tpo_-10"/>
    <x v="30"/>
    <n v="1"/>
    <n v="1"/>
    <n v="-20"/>
    <n v="120"/>
  </r>
  <r>
    <x v="68"/>
    <s v="conventional_cashout_pct_tpo_-9"/>
    <x v="31"/>
    <n v="1"/>
    <n v="1"/>
    <n v="-20"/>
    <n v="120"/>
  </r>
  <r>
    <x v="68"/>
    <s v="conventional_cashout_pct_tpo_-8"/>
    <x v="32"/>
    <n v="1"/>
    <n v="1"/>
    <n v="-20"/>
    <n v="120"/>
  </r>
  <r>
    <x v="68"/>
    <s v="conventional_cashout_pct_tpo_-7"/>
    <x v="33"/>
    <n v="1"/>
    <n v="1"/>
    <n v="-20"/>
    <n v="120"/>
  </r>
  <r>
    <x v="68"/>
    <s v="conventional_cashout_pct_tpo_-6"/>
    <x v="34"/>
    <n v="1"/>
    <n v="1"/>
    <n v="-20"/>
    <n v="120"/>
  </r>
  <r>
    <x v="68"/>
    <s v="conventional_cashout_pct_tpo_-5"/>
    <x v="35"/>
    <n v="1"/>
    <n v="1"/>
    <n v="-20"/>
    <n v="120"/>
  </r>
  <r>
    <x v="68"/>
    <s v="conventional_cashout_pct_tpo_-4"/>
    <x v="36"/>
    <n v="1"/>
    <n v="1"/>
    <n v="-20"/>
    <n v="120"/>
  </r>
  <r>
    <x v="68"/>
    <s v="conventional_cashout_pct_tpo_-3"/>
    <x v="37"/>
    <n v="1"/>
    <n v="1"/>
    <n v="-20"/>
    <n v="120"/>
  </r>
  <r>
    <x v="68"/>
    <s v="conventional_cashout_pct_tpo_-2"/>
    <x v="38"/>
    <n v="1"/>
    <n v="1"/>
    <n v="-20"/>
    <n v="120"/>
  </r>
  <r>
    <x v="68"/>
    <s v="conventional_cashout_pct_tpo_-1"/>
    <x v="39"/>
    <n v="1"/>
    <n v="1"/>
    <n v="-20"/>
    <n v="120"/>
  </r>
  <r>
    <x v="68"/>
    <s v="conventional_cashout_pct_tpo_0"/>
    <x v="40"/>
    <n v="1"/>
    <n v="1"/>
    <n v="-20"/>
    <n v="120"/>
  </r>
  <r>
    <x v="68"/>
    <s v="conventional_cashout_pct_tpo_1"/>
    <x v="41"/>
    <n v="1"/>
    <n v="1"/>
    <n v="-20"/>
    <n v="120"/>
  </r>
  <r>
    <x v="68"/>
    <s v="conventional_cashout_pct_tpo_2"/>
    <x v="42"/>
    <n v="1"/>
    <n v="1"/>
    <n v="-20"/>
    <n v="120"/>
  </r>
  <r>
    <x v="68"/>
    <s v="conventional_cashout_pct_tpo_3"/>
    <x v="43"/>
    <n v="1"/>
    <n v="1"/>
    <n v="-20"/>
    <n v="120"/>
  </r>
  <r>
    <x v="68"/>
    <s v="conventional_cashout_pct_tpo_4"/>
    <x v="44"/>
    <n v="1"/>
    <n v="1"/>
    <n v="-20"/>
    <n v="120"/>
  </r>
  <r>
    <x v="68"/>
    <s v="conventional_cashout_pct_tpo_5"/>
    <x v="45"/>
    <n v="1"/>
    <n v="1"/>
    <n v="-20"/>
    <n v="120"/>
  </r>
  <r>
    <x v="68"/>
    <s v="conventional_cashout_pct_tpo_6"/>
    <x v="46"/>
    <n v="1"/>
    <n v="1"/>
    <n v="-20"/>
    <n v="120"/>
  </r>
  <r>
    <x v="68"/>
    <s v="conventional_cashout_pct_tpo_7"/>
    <x v="47"/>
    <n v="1"/>
    <n v="1"/>
    <n v="-20"/>
    <n v="120"/>
  </r>
  <r>
    <x v="68"/>
    <s v="conventional_cashout_pct_tpo_8"/>
    <x v="48"/>
    <n v="1"/>
    <n v="1"/>
    <n v="-20"/>
    <n v="120"/>
  </r>
  <r>
    <x v="68"/>
    <s v="conventional_cashout_pct_tpo_9"/>
    <x v="49"/>
    <n v="1"/>
    <n v="1"/>
    <n v="-20"/>
    <n v="120"/>
  </r>
  <r>
    <x v="68"/>
    <s v="conventional_cashout_pct_tpo_10"/>
    <x v="50"/>
    <n v="1"/>
    <n v="1"/>
    <n v="-20"/>
    <n v="120"/>
  </r>
  <r>
    <x v="68"/>
    <s v="conventional_cashout_pct_tpo_11"/>
    <x v="51"/>
    <n v="1"/>
    <n v="1"/>
    <n v="-20"/>
    <n v="120"/>
  </r>
  <r>
    <x v="68"/>
    <s v="conventional_cashout_pct_tpo_12"/>
    <x v="52"/>
    <n v="1"/>
    <n v="1"/>
    <n v="-20"/>
    <n v="120"/>
  </r>
  <r>
    <x v="68"/>
    <s v="conventional_cashout_pct_tpo_13"/>
    <x v="53"/>
    <n v="1"/>
    <n v="1"/>
    <n v="-20"/>
    <n v="120"/>
  </r>
  <r>
    <x v="68"/>
    <s v="conventional_cashout_pct_tpo_14"/>
    <x v="54"/>
    <n v="1"/>
    <n v="1"/>
    <n v="-20"/>
    <n v="120"/>
  </r>
  <r>
    <x v="68"/>
    <s v="conventional_cashout_pct_tpo_15"/>
    <x v="55"/>
    <n v="1"/>
    <n v="1"/>
    <n v="-20"/>
    <n v="120"/>
  </r>
  <r>
    <x v="68"/>
    <s v="conventional_cashout_pct_tpo_16"/>
    <x v="56"/>
    <n v="1"/>
    <n v="1"/>
    <n v="-20"/>
    <n v="120"/>
  </r>
  <r>
    <x v="68"/>
    <s v="conventional_cashout_pct_tpo_17"/>
    <x v="57"/>
    <n v="1"/>
    <n v="1"/>
    <n v="-20"/>
    <n v="120"/>
  </r>
  <r>
    <x v="68"/>
    <s v="conventional_cashout_pct_tpo_18"/>
    <x v="58"/>
    <n v="1"/>
    <n v="1"/>
    <n v="-20"/>
    <n v="120"/>
  </r>
  <r>
    <x v="68"/>
    <s v="conventional_cashout_pct_tpo_19"/>
    <x v="59"/>
    <n v="1"/>
    <n v="1"/>
    <n v="-20"/>
    <n v="120"/>
  </r>
  <r>
    <x v="68"/>
    <s v="conventional_cashout_pct_tpo_20"/>
    <x v="60"/>
    <n v="1"/>
    <n v="1"/>
    <n v="-20"/>
    <n v="120"/>
  </r>
  <r>
    <x v="68"/>
    <s v="conventional_cashout_pct_tpo_21"/>
    <x v="61"/>
    <n v="1"/>
    <n v="1"/>
    <n v="-20"/>
    <n v="120"/>
  </r>
  <r>
    <x v="68"/>
    <s v="conventional_cashout_pct_tpo_22"/>
    <x v="62"/>
    <n v="1"/>
    <n v="1"/>
    <n v="-20"/>
    <n v="120"/>
  </r>
  <r>
    <x v="68"/>
    <s v="conventional_cashout_pct_tpo_23"/>
    <x v="63"/>
    <n v="1"/>
    <n v="1"/>
    <n v="-20"/>
    <n v="120"/>
  </r>
  <r>
    <x v="68"/>
    <s v="conventional_cashout_pct_tpo_24"/>
    <x v="64"/>
    <n v="1"/>
    <n v="1"/>
    <n v="-20"/>
    <n v="120"/>
  </r>
  <r>
    <x v="68"/>
    <s v="conventional_cashout_pct_tpo_25"/>
    <x v="65"/>
    <n v="1"/>
    <n v="1"/>
    <n v="-20"/>
    <n v="120"/>
  </r>
  <r>
    <x v="68"/>
    <s v="conventional_cashout_pct_tpo_26"/>
    <x v="66"/>
    <n v="1"/>
    <n v="1"/>
    <n v="-20"/>
    <n v="120"/>
  </r>
  <r>
    <x v="68"/>
    <s v="conventional_cashout_pct_tpo_27"/>
    <x v="67"/>
    <n v="1"/>
    <n v="1"/>
    <n v="-20"/>
    <n v="120"/>
  </r>
  <r>
    <x v="68"/>
    <s v="conventional_cashout_pct_tpo_28"/>
    <x v="68"/>
    <n v="1"/>
    <n v="1"/>
    <n v="-20"/>
    <n v="120"/>
  </r>
  <r>
    <x v="68"/>
    <s v="conventional_cashout_pct_tpo_29"/>
    <x v="69"/>
    <n v="1"/>
    <n v="1"/>
    <n v="-20"/>
    <n v="120"/>
  </r>
  <r>
    <x v="68"/>
    <s v="conventional_cashout_pct_tpo_30"/>
    <x v="70"/>
    <n v="1"/>
    <n v="1"/>
    <n v="-20"/>
    <n v="120"/>
  </r>
  <r>
    <x v="68"/>
    <s v="conventional_cashout_pct_tpo_31"/>
    <x v="71"/>
    <n v="1"/>
    <n v="1"/>
    <n v="-20"/>
    <n v="120"/>
  </r>
  <r>
    <x v="68"/>
    <s v="conventional_cashout_pct_tpo_32"/>
    <x v="72"/>
    <n v="1"/>
    <n v="1"/>
    <n v="-20"/>
    <n v="120"/>
  </r>
  <r>
    <x v="68"/>
    <s v="conventional_cashout_pct_tpo_33"/>
    <x v="73"/>
    <n v="1"/>
    <n v="1"/>
    <n v="-20"/>
    <n v="120"/>
  </r>
  <r>
    <x v="68"/>
    <s v="conventional_cashout_pct_tpo_34"/>
    <x v="74"/>
    <n v="1"/>
    <n v="1"/>
    <n v="-20"/>
    <n v="120"/>
  </r>
  <r>
    <x v="68"/>
    <s v="conventional_cashout_pct_tpo_35"/>
    <x v="75"/>
    <n v="1"/>
    <n v="1"/>
    <n v="-20"/>
    <n v="120"/>
  </r>
  <r>
    <x v="68"/>
    <s v="conventional_cashout_pct_tpo_36"/>
    <x v="76"/>
    <n v="1"/>
    <n v="1"/>
    <n v="-20"/>
    <n v="120"/>
  </r>
  <r>
    <x v="68"/>
    <s v="conventional_cashout_pct_tpo_37"/>
    <x v="77"/>
    <n v="1"/>
    <n v="1"/>
    <n v="-20"/>
    <n v="120"/>
  </r>
  <r>
    <x v="68"/>
    <s v="conventional_cashout_pct_tpo_38"/>
    <x v="78"/>
    <n v="1"/>
    <n v="1"/>
    <n v="-20"/>
    <n v="120"/>
  </r>
  <r>
    <x v="68"/>
    <s v="conventional_cashout_pct_tpo_39"/>
    <x v="79"/>
    <n v="1"/>
    <n v="1"/>
    <n v="-20"/>
    <n v="120"/>
  </r>
  <r>
    <x v="68"/>
    <s v="conventional_cashout_pct_tpo_40"/>
    <x v="80"/>
    <n v="1"/>
    <n v="1"/>
    <n v="-20"/>
    <n v="120"/>
  </r>
  <r>
    <x v="68"/>
    <s v="conventional_cashout_pct_tpo_41"/>
    <x v="81"/>
    <n v="1"/>
    <n v="1"/>
    <n v="-20"/>
    <n v="120"/>
  </r>
  <r>
    <x v="68"/>
    <s v="conventional_cashout_pct_tpo_42"/>
    <x v="82"/>
    <n v="1"/>
    <n v="1"/>
    <n v="-20"/>
    <n v="120"/>
  </r>
  <r>
    <x v="68"/>
    <s v="conventional_cashout_pct_tpo_43"/>
    <x v="83"/>
    <n v="1"/>
    <n v="1"/>
    <n v="-20"/>
    <n v="120"/>
  </r>
  <r>
    <x v="68"/>
    <s v="conventional_cashout_pct_tpo_44"/>
    <x v="84"/>
    <n v="1"/>
    <n v="1"/>
    <n v="-20"/>
    <n v="120"/>
  </r>
  <r>
    <x v="68"/>
    <s v="conventional_cashout_pct_tpo_45"/>
    <x v="85"/>
    <n v="1"/>
    <n v="1"/>
    <n v="-20"/>
    <n v="120"/>
  </r>
  <r>
    <x v="68"/>
    <s v="conventional_cashout_pct_tpo_46"/>
    <x v="86"/>
    <n v="1"/>
    <n v="1"/>
    <n v="-20"/>
    <n v="120"/>
  </r>
  <r>
    <x v="68"/>
    <s v="conventional_cashout_pct_tpo_47"/>
    <x v="87"/>
    <n v="1"/>
    <n v="1"/>
    <n v="-20"/>
    <n v="120"/>
  </r>
  <r>
    <x v="68"/>
    <s v="conventional_cashout_pct_tpo_48"/>
    <x v="88"/>
    <n v="1"/>
    <n v="1"/>
    <n v="-20"/>
    <n v="120"/>
  </r>
  <r>
    <x v="68"/>
    <s v="conventional_cashout_pct_tpo_49"/>
    <x v="89"/>
    <n v="1"/>
    <n v="1"/>
    <n v="-20"/>
    <n v="120"/>
  </r>
  <r>
    <x v="68"/>
    <s v="conventional_cashout_pct_tpo_50"/>
    <x v="90"/>
    <n v="1"/>
    <n v="1"/>
    <n v="-20"/>
    <n v="120"/>
  </r>
  <r>
    <x v="68"/>
    <s v="conventional_cashout_pct_tpo_51"/>
    <x v="91"/>
    <n v="1"/>
    <n v="1"/>
    <n v="-20"/>
    <n v="120"/>
  </r>
  <r>
    <x v="68"/>
    <s v="conventional_cashout_pct_tpo_52"/>
    <x v="92"/>
    <n v="1"/>
    <n v="1"/>
    <n v="-20"/>
    <n v="120"/>
  </r>
  <r>
    <x v="68"/>
    <s v="conventional_cashout_pct_tpo_53"/>
    <x v="93"/>
    <n v="1"/>
    <n v="1"/>
    <n v="-20"/>
    <n v="120"/>
  </r>
  <r>
    <x v="68"/>
    <s v="conventional_cashout_pct_tpo_54"/>
    <x v="94"/>
    <n v="1"/>
    <n v="1"/>
    <n v="-20"/>
    <n v="120"/>
  </r>
  <r>
    <x v="68"/>
    <s v="conventional_cashout_pct_tpo_55"/>
    <x v="95"/>
    <n v="1"/>
    <n v="1"/>
    <n v="-20"/>
    <n v="120"/>
  </r>
  <r>
    <x v="68"/>
    <s v="conventional_cashout_pct_tpo_56"/>
    <x v="96"/>
    <n v="1"/>
    <n v="1"/>
    <n v="-20"/>
    <n v="120"/>
  </r>
  <r>
    <x v="68"/>
    <s v="conventional_cashout_pct_tpo_57"/>
    <x v="97"/>
    <n v="1"/>
    <n v="1"/>
    <n v="-20"/>
    <n v="120"/>
  </r>
  <r>
    <x v="68"/>
    <s v="conventional_cashout_pct_tpo_58"/>
    <x v="98"/>
    <n v="1"/>
    <n v="1"/>
    <n v="-20"/>
    <n v="120"/>
  </r>
  <r>
    <x v="68"/>
    <s v="conventional_cashout_pct_tpo_59"/>
    <x v="99"/>
    <n v="1"/>
    <n v="1"/>
    <n v="-20"/>
    <n v="120"/>
  </r>
  <r>
    <x v="68"/>
    <s v="conventional_cashout_pct_tpo_60"/>
    <x v="100"/>
    <n v="1"/>
    <n v="1"/>
    <n v="-20"/>
    <n v="120"/>
  </r>
  <r>
    <x v="68"/>
    <s v="conventional_cashout_pct_tpo_61"/>
    <x v="101"/>
    <n v="1"/>
    <n v="1"/>
    <n v="-20"/>
    <n v="120"/>
  </r>
  <r>
    <x v="68"/>
    <s v="conventional_cashout_pct_tpo_62"/>
    <x v="102"/>
    <n v="1"/>
    <n v="1"/>
    <n v="-20"/>
    <n v="120"/>
  </r>
  <r>
    <x v="68"/>
    <s v="conventional_cashout_pct_tpo_63"/>
    <x v="103"/>
    <n v="1"/>
    <n v="1"/>
    <n v="-20"/>
    <n v="120"/>
  </r>
  <r>
    <x v="68"/>
    <s v="conventional_cashout_pct_tpo_64"/>
    <x v="104"/>
    <n v="1"/>
    <n v="1"/>
    <n v="-20"/>
    <n v="120"/>
  </r>
  <r>
    <x v="68"/>
    <s v="conventional_cashout_pct_tpo_65"/>
    <x v="105"/>
    <n v="1"/>
    <n v="1"/>
    <n v="-20"/>
    <n v="120"/>
  </r>
  <r>
    <x v="68"/>
    <s v="conventional_cashout_pct_tpo_66"/>
    <x v="106"/>
    <n v="1"/>
    <n v="1"/>
    <n v="-20"/>
    <n v="120"/>
  </r>
  <r>
    <x v="68"/>
    <s v="conventional_cashout_pct_tpo_67"/>
    <x v="107"/>
    <n v="1"/>
    <n v="1"/>
    <n v="-20"/>
    <n v="120"/>
  </r>
  <r>
    <x v="68"/>
    <s v="conventional_cashout_pct_tpo_68"/>
    <x v="108"/>
    <n v="1"/>
    <n v="1"/>
    <n v="-20"/>
    <n v="120"/>
  </r>
  <r>
    <x v="68"/>
    <s v="conventional_cashout_pct_tpo_69"/>
    <x v="109"/>
    <n v="1"/>
    <n v="1"/>
    <n v="-20"/>
    <n v="120"/>
  </r>
  <r>
    <x v="68"/>
    <s v="conventional_cashout_pct_tpo_70"/>
    <x v="110"/>
    <n v="1"/>
    <n v="1"/>
    <n v="-20"/>
    <n v="120"/>
  </r>
  <r>
    <x v="68"/>
    <s v="conventional_cashout_pct_tpo_71"/>
    <x v="111"/>
    <n v="1"/>
    <n v="1"/>
    <n v="-20"/>
    <n v="120"/>
  </r>
  <r>
    <x v="68"/>
    <s v="conventional_cashout_pct_tpo_72"/>
    <x v="112"/>
    <n v="1"/>
    <n v="1"/>
    <n v="-20"/>
    <n v="120"/>
  </r>
  <r>
    <x v="68"/>
    <s v="conventional_cashout_pct_tpo_73"/>
    <x v="113"/>
    <n v="1"/>
    <n v="1"/>
    <n v="-20"/>
    <n v="120"/>
  </r>
  <r>
    <x v="68"/>
    <s v="conventional_cashout_pct_tpo_74"/>
    <x v="114"/>
    <n v="1"/>
    <n v="1"/>
    <n v="-20"/>
    <n v="120"/>
  </r>
  <r>
    <x v="68"/>
    <s v="conventional_cashout_pct_tpo_75"/>
    <x v="115"/>
    <n v="1"/>
    <n v="1"/>
    <n v="-20"/>
    <n v="120"/>
  </r>
  <r>
    <x v="68"/>
    <s v="conventional_cashout_pct_tpo_76"/>
    <x v="116"/>
    <n v="1"/>
    <n v="1"/>
    <n v="-20"/>
    <n v="120"/>
  </r>
  <r>
    <x v="68"/>
    <s v="conventional_cashout_pct_tpo_77"/>
    <x v="117"/>
    <n v="1"/>
    <n v="1"/>
    <n v="-20"/>
    <n v="120"/>
  </r>
  <r>
    <x v="68"/>
    <s v="conventional_cashout_pct_tpo_78"/>
    <x v="118"/>
    <n v="1"/>
    <n v="1"/>
    <n v="-20"/>
    <n v="120"/>
  </r>
  <r>
    <x v="68"/>
    <s v="conventional_cashout_pct_tpo_79"/>
    <x v="119"/>
    <n v="1"/>
    <n v="1"/>
    <n v="-20"/>
    <n v="120"/>
  </r>
  <r>
    <x v="68"/>
    <s v="conventional_cashout_pct_tpo_80"/>
    <x v="120"/>
    <n v="1"/>
    <n v="1"/>
    <n v="-20"/>
    <n v="120"/>
  </r>
  <r>
    <x v="68"/>
    <s v="conventional_cashout_pct_tpo_81"/>
    <x v="121"/>
    <n v="1"/>
    <n v="1"/>
    <n v="-20"/>
    <n v="120"/>
  </r>
  <r>
    <x v="68"/>
    <s v="conventional_cashout_pct_tpo_82"/>
    <x v="122"/>
    <n v="1"/>
    <n v="1"/>
    <n v="-20"/>
    <n v="120"/>
  </r>
  <r>
    <x v="68"/>
    <s v="conventional_cashout_pct_tpo_83"/>
    <x v="123"/>
    <n v="1"/>
    <n v="1"/>
    <n v="-20"/>
    <n v="120"/>
  </r>
  <r>
    <x v="68"/>
    <s v="conventional_cashout_pct_tpo_84"/>
    <x v="124"/>
    <n v="1"/>
    <n v="1"/>
    <n v="-20"/>
    <n v="120"/>
  </r>
  <r>
    <x v="68"/>
    <s v="conventional_cashout_pct_tpo_85"/>
    <x v="125"/>
    <n v="1"/>
    <n v="1"/>
    <n v="-20"/>
    <n v="120"/>
  </r>
  <r>
    <x v="68"/>
    <s v="conventional_cashout_pct_tpo_86"/>
    <x v="126"/>
    <n v="1"/>
    <n v="1"/>
    <n v="-20"/>
    <n v="120"/>
  </r>
  <r>
    <x v="68"/>
    <s v="conventional_cashout_pct_tpo_87"/>
    <x v="127"/>
    <n v="1"/>
    <n v="1"/>
    <n v="-20"/>
    <n v="120"/>
  </r>
  <r>
    <x v="68"/>
    <s v="conventional_cashout_pct_tpo_88"/>
    <x v="128"/>
    <n v="1"/>
    <n v="1"/>
    <n v="-20"/>
    <n v="120"/>
  </r>
  <r>
    <x v="68"/>
    <s v="conventional_cashout_pct_tpo_89"/>
    <x v="129"/>
    <n v="1"/>
    <n v="1"/>
    <n v="-20"/>
    <n v="120"/>
  </r>
  <r>
    <x v="68"/>
    <s v="conventional_cashout_pct_tpo_90"/>
    <x v="130"/>
    <n v="1"/>
    <n v="1"/>
    <n v="-20"/>
    <n v="120"/>
  </r>
  <r>
    <x v="68"/>
    <s v="conventional_cashout_pct_tpo_91"/>
    <x v="131"/>
    <n v="1"/>
    <n v="1"/>
    <n v="-20"/>
    <n v="120"/>
  </r>
  <r>
    <x v="68"/>
    <s v="conventional_cashout_pct_tpo_92"/>
    <x v="132"/>
    <n v="1"/>
    <n v="1"/>
    <n v="-20"/>
    <n v="120"/>
  </r>
  <r>
    <x v="68"/>
    <s v="conventional_cashout_pct_tpo_93"/>
    <x v="133"/>
    <n v="1"/>
    <n v="1"/>
    <n v="-20"/>
    <n v="120"/>
  </r>
  <r>
    <x v="68"/>
    <s v="conventional_cashout_pct_tpo_94"/>
    <x v="134"/>
    <n v="1"/>
    <n v="1"/>
    <n v="-20"/>
    <n v="120"/>
  </r>
  <r>
    <x v="68"/>
    <s v="conventional_cashout_pct_tpo_95"/>
    <x v="135"/>
    <n v="1"/>
    <n v="1"/>
    <n v="-20"/>
    <n v="120"/>
  </r>
  <r>
    <x v="68"/>
    <s v="conventional_cashout_pct_tpo_96"/>
    <x v="136"/>
    <n v="1"/>
    <n v="1"/>
    <n v="-20"/>
    <n v="120"/>
  </r>
  <r>
    <x v="68"/>
    <s v="conventional_cashout_pct_tpo_97"/>
    <x v="137"/>
    <n v="1"/>
    <n v="1"/>
    <n v="-20"/>
    <n v="120"/>
  </r>
  <r>
    <x v="68"/>
    <s v="conventional_cashout_pct_tpo_98"/>
    <x v="138"/>
    <n v="1"/>
    <n v="1"/>
    <n v="-20"/>
    <n v="120"/>
  </r>
  <r>
    <x v="68"/>
    <s v="conventional_cashout_pct_tpo_99"/>
    <x v="139"/>
    <n v="1"/>
    <n v="1"/>
    <n v="-20"/>
    <n v="120"/>
  </r>
  <r>
    <x v="68"/>
    <s v="conventional_cashout_pct_tpo_100"/>
    <x v="140"/>
    <n v="1"/>
    <n v="1"/>
    <n v="-20"/>
    <n v="120"/>
  </r>
  <r>
    <x v="68"/>
    <s v="conventional_cashout_pct_tpo_101"/>
    <x v="141"/>
    <n v="1"/>
    <n v="1"/>
    <n v="-20"/>
    <n v="120"/>
  </r>
  <r>
    <x v="68"/>
    <s v="conventional_cashout_pct_tpo_102"/>
    <x v="142"/>
    <n v="1"/>
    <n v="1"/>
    <n v="-20"/>
    <n v="120"/>
  </r>
  <r>
    <x v="68"/>
    <s v="conventional_cashout_pct_tpo_103"/>
    <x v="143"/>
    <n v="1"/>
    <n v="1"/>
    <n v="-20"/>
    <n v="120"/>
  </r>
  <r>
    <x v="68"/>
    <s v="conventional_cashout_pct_tpo_104"/>
    <x v="144"/>
    <n v="1"/>
    <n v="1"/>
    <n v="-20"/>
    <n v="120"/>
  </r>
  <r>
    <x v="68"/>
    <s v="conventional_cashout_pct_tpo_105"/>
    <x v="145"/>
    <n v="1"/>
    <n v="1"/>
    <n v="-20"/>
    <n v="120"/>
  </r>
  <r>
    <x v="68"/>
    <s v="conventional_cashout_pct_tpo_106"/>
    <x v="146"/>
    <n v="1"/>
    <n v="1"/>
    <n v="-20"/>
    <n v="120"/>
  </r>
  <r>
    <x v="68"/>
    <s v="conventional_cashout_pct_tpo_107"/>
    <x v="147"/>
    <n v="1"/>
    <n v="1"/>
    <n v="-20"/>
    <n v="120"/>
  </r>
  <r>
    <x v="68"/>
    <s v="conventional_cashout_pct_tpo_108"/>
    <x v="148"/>
    <n v="1"/>
    <n v="1"/>
    <n v="-20"/>
    <n v="120"/>
  </r>
  <r>
    <x v="68"/>
    <s v="conventional_cashout_pct_tpo_109"/>
    <x v="149"/>
    <n v="1"/>
    <n v="1"/>
    <n v="-20"/>
    <n v="120"/>
  </r>
  <r>
    <x v="68"/>
    <s v="conventional_cashout_pct_tpo_110"/>
    <x v="150"/>
    <n v="1"/>
    <n v="1"/>
    <n v="-20"/>
    <n v="120"/>
  </r>
  <r>
    <x v="68"/>
    <s v="conventional_cashout_pct_tpo_111"/>
    <x v="151"/>
    <n v="1"/>
    <n v="1"/>
    <n v="-20"/>
    <n v="120"/>
  </r>
  <r>
    <x v="68"/>
    <s v="conventional_cashout_pct_tpo_112"/>
    <x v="152"/>
    <n v="1"/>
    <n v="1"/>
    <n v="-20"/>
    <n v="120"/>
  </r>
  <r>
    <x v="68"/>
    <s v="conventional_cashout_pct_tpo_113"/>
    <x v="153"/>
    <n v="1"/>
    <n v="1"/>
    <n v="-20"/>
    <n v="120"/>
  </r>
  <r>
    <x v="68"/>
    <s v="conventional_cashout_pct_tpo_114"/>
    <x v="154"/>
    <n v="1"/>
    <n v="1"/>
    <n v="-20"/>
    <n v="120"/>
  </r>
  <r>
    <x v="68"/>
    <s v="conventional_cashout_pct_tpo_115"/>
    <x v="155"/>
    <n v="1"/>
    <n v="1"/>
    <n v="-20"/>
    <n v="120"/>
  </r>
  <r>
    <x v="68"/>
    <s v="conventional_cashout_pct_tpo_116"/>
    <x v="156"/>
    <n v="1"/>
    <n v="1"/>
    <n v="-20"/>
    <n v="120"/>
  </r>
  <r>
    <x v="68"/>
    <s v="conventional_cashout_pct_tpo_117"/>
    <x v="157"/>
    <n v="1"/>
    <n v="1"/>
    <n v="-20"/>
    <n v="120"/>
  </r>
  <r>
    <x v="68"/>
    <s v="conventional_cashout_pct_tpo_118"/>
    <x v="158"/>
    <n v="1"/>
    <n v="1"/>
    <n v="-20"/>
    <n v="120"/>
  </r>
  <r>
    <x v="68"/>
    <s v="conventional_cashout_pct_tpo_119"/>
    <x v="159"/>
    <n v="1"/>
    <n v="1"/>
    <n v="-20"/>
    <n v="120"/>
  </r>
  <r>
    <x v="68"/>
    <s v="conventional_cashout_pct_tpo_120"/>
    <x v="160"/>
    <n v="1"/>
    <n v="1"/>
    <n v="-20"/>
    <n v="120"/>
  </r>
  <r>
    <x v="69"/>
    <s v="conventional_cashout_hpa2yr_42"/>
    <x v="82"/>
    <n v="1"/>
    <n v="1"/>
    <n v="42"/>
    <n v="168"/>
  </r>
  <r>
    <x v="69"/>
    <s v="conventional_cashout_hpa2yr_43"/>
    <x v="83"/>
    <n v="1"/>
    <n v="1"/>
    <n v="42"/>
    <n v="168"/>
  </r>
  <r>
    <x v="69"/>
    <s v="conventional_cashout_hpa2yr_44"/>
    <x v="84"/>
    <n v="1"/>
    <n v="1"/>
    <n v="42"/>
    <n v="168"/>
  </r>
  <r>
    <x v="69"/>
    <s v="conventional_cashout_hpa2yr_45"/>
    <x v="85"/>
    <n v="1"/>
    <n v="1"/>
    <n v="42"/>
    <n v="168"/>
  </r>
  <r>
    <x v="69"/>
    <s v="conventional_cashout_hpa2yr_46"/>
    <x v="86"/>
    <n v="1"/>
    <n v="1"/>
    <n v="42"/>
    <n v="168"/>
  </r>
  <r>
    <x v="69"/>
    <s v="conventional_cashout_hpa2yr_47"/>
    <x v="87"/>
    <n v="1"/>
    <n v="1"/>
    <n v="42"/>
    <n v="168"/>
  </r>
  <r>
    <x v="69"/>
    <s v="conventional_cashout_hpa2yr_48"/>
    <x v="88"/>
    <n v="1"/>
    <n v="1"/>
    <n v="42"/>
    <n v="168"/>
  </r>
  <r>
    <x v="69"/>
    <s v="conventional_cashout_hpa2yr_49"/>
    <x v="89"/>
    <n v="1"/>
    <n v="1"/>
    <n v="42"/>
    <n v="168"/>
  </r>
  <r>
    <x v="69"/>
    <s v="conventional_cashout_hpa2yr_50"/>
    <x v="90"/>
    <n v="1"/>
    <n v="1"/>
    <n v="42"/>
    <n v="168"/>
  </r>
  <r>
    <x v="69"/>
    <s v="conventional_cashout_hpa2yr_51"/>
    <x v="91"/>
    <n v="1"/>
    <n v="1"/>
    <n v="42"/>
    <n v="168"/>
  </r>
  <r>
    <x v="69"/>
    <s v="conventional_cashout_hpa2yr_52"/>
    <x v="92"/>
    <n v="1"/>
    <n v="1"/>
    <n v="42"/>
    <n v="168"/>
  </r>
  <r>
    <x v="69"/>
    <s v="conventional_cashout_hpa2yr_53"/>
    <x v="93"/>
    <n v="1"/>
    <n v="1"/>
    <n v="42"/>
    <n v="168"/>
  </r>
  <r>
    <x v="69"/>
    <s v="conventional_cashout_hpa2yr_54"/>
    <x v="94"/>
    <n v="1"/>
    <n v="1"/>
    <n v="42"/>
    <n v="168"/>
  </r>
  <r>
    <x v="69"/>
    <s v="conventional_cashout_hpa2yr_55"/>
    <x v="95"/>
    <n v="1"/>
    <n v="1"/>
    <n v="42"/>
    <n v="168"/>
  </r>
  <r>
    <x v="69"/>
    <s v="conventional_cashout_hpa2yr_56"/>
    <x v="96"/>
    <n v="1"/>
    <n v="1"/>
    <n v="42"/>
    <n v="168"/>
  </r>
  <r>
    <x v="69"/>
    <s v="conventional_cashout_hpa2yr_57"/>
    <x v="97"/>
    <n v="1"/>
    <n v="1"/>
    <n v="42"/>
    <n v="168"/>
  </r>
  <r>
    <x v="69"/>
    <s v="conventional_cashout_hpa2yr_58"/>
    <x v="98"/>
    <n v="1"/>
    <n v="1"/>
    <n v="42"/>
    <n v="168"/>
  </r>
  <r>
    <x v="69"/>
    <s v="conventional_cashout_hpa2yr_59"/>
    <x v="99"/>
    <n v="1"/>
    <n v="1"/>
    <n v="42"/>
    <n v="168"/>
  </r>
  <r>
    <x v="69"/>
    <s v="conventional_cashout_hpa2yr_60"/>
    <x v="100"/>
    <n v="1"/>
    <n v="1"/>
    <n v="42"/>
    <n v="168"/>
  </r>
  <r>
    <x v="69"/>
    <s v="conventional_cashout_hpa2yr_61"/>
    <x v="101"/>
    <n v="1"/>
    <n v="1"/>
    <n v="42"/>
    <n v="168"/>
  </r>
  <r>
    <x v="69"/>
    <s v="conventional_cashout_hpa2yr_62"/>
    <x v="102"/>
    <n v="1"/>
    <n v="1"/>
    <n v="42"/>
    <n v="168"/>
  </r>
  <r>
    <x v="69"/>
    <s v="conventional_cashout_hpa2yr_63"/>
    <x v="103"/>
    <n v="1"/>
    <n v="1"/>
    <n v="42"/>
    <n v="168"/>
  </r>
  <r>
    <x v="69"/>
    <s v="conventional_cashout_hpa2yr_64"/>
    <x v="104"/>
    <n v="1"/>
    <n v="1"/>
    <n v="42"/>
    <n v="168"/>
  </r>
  <r>
    <x v="69"/>
    <s v="conventional_cashout_hpa2yr_65"/>
    <x v="105"/>
    <n v="1"/>
    <n v="1"/>
    <n v="42"/>
    <n v="168"/>
  </r>
  <r>
    <x v="69"/>
    <s v="conventional_cashout_hpa2yr_66"/>
    <x v="106"/>
    <n v="1"/>
    <n v="1"/>
    <n v="42"/>
    <n v="168"/>
  </r>
  <r>
    <x v="69"/>
    <s v="conventional_cashout_hpa2yr_67"/>
    <x v="107"/>
    <n v="1"/>
    <n v="1"/>
    <n v="42"/>
    <n v="168"/>
  </r>
  <r>
    <x v="69"/>
    <s v="conventional_cashout_hpa2yr_68"/>
    <x v="108"/>
    <n v="1"/>
    <n v="1"/>
    <n v="42"/>
    <n v="168"/>
  </r>
  <r>
    <x v="69"/>
    <s v="conventional_cashout_hpa2yr_69"/>
    <x v="109"/>
    <n v="1"/>
    <n v="1"/>
    <n v="42"/>
    <n v="168"/>
  </r>
  <r>
    <x v="69"/>
    <s v="conventional_cashout_hpa2yr_70"/>
    <x v="110"/>
    <n v="1"/>
    <n v="1"/>
    <n v="42"/>
    <n v="168"/>
  </r>
  <r>
    <x v="69"/>
    <s v="conventional_cashout_hpa2yr_71"/>
    <x v="111"/>
    <n v="1"/>
    <n v="1"/>
    <n v="42"/>
    <n v="168"/>
  </r>
  <r>
    <x v="69"/>
    <s v="conventional_cashout_hpa2yr_72"/>
    <x v="112"/>
    <n v="1"/>
    <n v="1"/>
    <n v="42"/>
    <n v="168"/>
  </r>
  <r>
    <x v="69"/>
    <s v="conventional_cashout_hpa2yr_73"/>
    <x v="113"/>
    <n v="1"/>
    <n v="1"/>
    <n v="42"/>
    <n v="168"/>
  </r>
  <r>
    <x v="69"/>
    <s v="conventional_cashout_hpa2yr_74"/>
    <x v="114"/>
    <n v="1"/>
    <n v="1"/>
    <n v="42"/>
    <n v="168"/>
  </r>
  <r>
    <x v="69"/>
    <s v="conventional_cashout_hpa2yr_75"/>
    <x v="115"/>
    <n v="1"/>
    <n v="1"/>
    <n v="42"/>
    <n v="168"/>
  </r>
  <r>
    <x v="69"/>
    <s v="conventional_cashout_hpa2yr_76"/>
    <x v="116"/>
    <n v="1"/>
    <n v="1"/>
    <n v="42"/>
    <n v="168"/>
  </r>
  <r>
    <x v="69"/>
    <s v="conventional_cashout_hpa2yr_77"/>
    <x v="117"/>
    <n v="1"/>
    <n v="1"/>
    <n v="42"/>
    <n v="168"/>
  </r>
  <r>
    <x v="69"/>
    <s v="conventional_cashout_hpa2yr_78"/>
    <x v="118"/>
    <n v="1"/>
    <n v="1"/>
    <n v="42"/>
    <n v="168"/>
  </r>
  <r>
    <x v="69"/>
    <s v="conventional_cashout_hpa2yr_79"/>
    <x v="119"/>
    <n v="1"/>
    <n v="1"/>
    <n v="42"/>
    <n v="168"/>
  </r>
  <r>
    <x v="69"/>
    <s v="conventional_cashout_hpa2yr_80"/>
    <x v="120"/>
    <n v="1"/>
    <n v="1"/>
    <n v="42"/>
    <n v="168"/>
  </r>
  <r>
    <x v="69"/>
    <s v="conventional_cashout_hpa2yr_81"/>
    <x v="121"/>
    <n v="1"/>
    <n v="1"/>
    <n v="42"/>
    <n v="168"/>
  </r>
  <r>
    <x v="69"/>
    <s v="conventional_cashout_hpa2yr_82"/>
    <x v="122"/>
    <n v="1"/>
    <n v="1"/>
    <n v="42"/>
    <n v="168"/>
  </r>
  <r>
    <x v="69"/>
    <s v="conventional_cashout_hpa2yr_83"/>
    <x v="123"/>
    <n v="1"/>
    <n v="1"/>
    <n v="42"/>
    <n v="168"/>
  </r>
  <r>
    <x v="69"/>
    <s v="conventional_cashout_hpa2yr_84"/>
    <x v="124"/>
    <n v="1"/>
    <n v="1"/>
    <n v="42"/>
    <n v="168"/>
  </r>
  <r>
    <x v="69"/>
    <s v="conventional_cashout_hpa2yr_85"/>
    <x v="125"/>
    <n v="1"/>
    <n v="1"/>
    <n v="42"/>
    <n v="168"/>
  </r>
  <r>
    <x v="69"/>
    <s v="conventional_cashout_hpa2yr_86"/>
    <x v="126"/>
    <n v="1"/>
    <n v="1"/>
    <n v="42"/>
    <n v="168"/>
  </r>
  <r>
    <x v="69"/>
    <s v="conventional_cashout_hpa2yr_87"/>
    <x v="127"/>
    <n v="1"/>
    <n v="1"/>
    <n v="42"/>
    <n v="168"/>
  </r>
  <r>
    <x v="69"/>
    <s v="conventional_cashout_hpa2yr_88"/>
    <x v="128"/>
    <n v="1"/>
    <n v="1"/>
    <n v="42"/>
    <n v="168"/>
  </r>
  <r>
    <x v="69"/>
    <s v="conventional_cashout_hpa2yr_89"/>
    <x v="129"/>
    <n v="1"/>
    <n v="1"/>
    <n v="42"/>
    <n v="168"/>
  </r>
  <r>
    <x v="69"/>
    <s v="conventional_cashout_hpa2yr_90"/>
    <x v="130"/>
    <n v="1"/>
    <n v="1"/>
    <n v="42"/>
    <n v="168"/>
  </r>
  <r>
    <x v="69"/>
    <s v="conventional_cashout_hpa2yr_91"/>
    <x v="131"/>
    <n v="1"/>
    <n v="1"/>
    <n v="42"/>
    <n v="168"/>
  </r>
  <r>
    <x v="69"/>
    <s v="conventional_cashout_hpa2yr_92"/>
    <x v="132"/>
    <n v="1"/>
    <n v="1"/>
    <n v="42"/>
    <n v="168"/>
  </r>
  <r>
    <x v="69"/>
    <s v="conventional_cashout_hpa2yr_93"/>
    <x v="133"/>
    <n v="1"/>
    <n v="1"/>
    <n v="42"/>
    <n v="168"/>
  </r>
  <r>
    <x v="69"/>
    <s v="conventional_cashout_hpa2yr_94"/>
    <x v="134"/>
    <n v="1"/>
    <n v="1"/>
    <n v="42"/>
    <n v="168"/>
  </r>
  <r>
    <x v="69"/>
    <s v="conventional_cashout_hpa2yr_95"/>
    <x v="135"/>
    <n v="1"/>
    <n v="1"/>
    <n v="42"/>
    <n v="168"/>
  </r>
  <r>
    <x v="69"/>
    <s v="conventional_cashout_hpa2yr_96"/>
    <x v="136"/>
    <n v="1"/>
    <n v="1"/>
    <n v="42"/>
    <n v="168"/>
  </r>
  <r>
    <x v="69"/>
    <s v="conventional_cashout_hpa2yr_97"/>
    <x v="137"/>
    <n v="1"/>
    <n v="1"/>
    <n v="42"/>
    <n v="168"/>
  </r>
  <r>
    <x v="69"/>
    <s v="conventional_cashout_hpa2yr_98"/>
    <x v="138"/>
    <n v="1"/>
    <n v="1"/>
    <n v="42"/>
    <n v="168"/>
  </r>
  <r>
    <x v="69"/>
    <s v="conventional_cashout_hpa2yr_99"/>
    <x v="139"/>
    <n v="1"/>
    <n v="1"/>
    <n v="42"/>
    <n v="168"/>
  </r>
  <r>
    <x v="69"/>
    <s v="conventional_cashout_hpa2yr_100"/>
    <x v="140"/>
    <n v="1"/>
    <n v="1"/>
    <n v="42"/>
    <n v="168"/>
  </r>
  <r>
    <x v="69"/>
    <s v="conventional_cashout_hpa2yr_101"/>
    <x v="141"/>
    <n v="1"/>
    <n v="1"/>
    <n v="42"/>
    <n v="168"/>
  </r>
  <r>
    <x v="69"/>
    <s v="conventional_cashout_hpa2yr_102"/>
    <x v="142"/>
    <n v="1"/>
    <n v="1"/>
    <n v="42"/>
    <n v="168"/>
  </r>
  <r>
    <x v="69"/>
    <s v="conventional_cashout_hpa2yr_103"/>
    <x v="143"/>
    <n v="1"/>
    <n v="1"/>
    <n v="42"/>
    <n v="168"/>
  </r>
  <r>
    <x v="69"/>
    <s v="conventional_cashout_hpa2yr_104"/>
    <x v="144"/>
    <n v="1"/>
    <n v="1"/>
    <n v="42"/>
    <n v="168"/>
  </r>
  <r>
    <x v="69"/>
    <s v="conventional_cashout_hpa2yr_105"/>
    <x v="145"/>
    <n v="1"/>
    <n v="1"/>
    <n v="42"/>
    <n v="168"/>
  </r>
  <r>
    <x v="69"/>
    <s v="conventional_cashout_hpa2yr_106"/>
    <x v="146"/>
    <n v="1"/>
    <n v="1"/>
    <n v="42"/>
    <n v="168"/>
  </r>
  <r>
    <x v="69"/>
    <s v="conventional_cashout_hpa2yr_107"/>
    <x v="147"/>
    <n v="1"/>
    <n v="1"/>
    <n v="42"/>
    <n v="168"/>
  </r>
  <r>
    <x v="69"/>
    <s v="conventional_cashout_hpa2yr_108"/>
    <x v="148"/>
    <n v="1"/>
    <n v="1"/>
    <n v="42"/>
    <n v="168"/>
  </r>
  <r>
    <x v="69"/>
    <s v="conventional_cashout_hpa2yr_109"/>
    <x v="149"/>
    <n v="1"/>
    <n v="1"/>
    <n v="42"/>
    <n v="168"/>
  </r>
  <r>
    <x v="69"/>
    <s v="conventional_cashout_hpa2yr_110"/>
    <x v="150"/>
    <n v="1"/>
    <n v="1"/>
    <n v="42"/>
    <n v="168"/>
  </r>
  <r>
    <x v="69"/>
    <s v="conventional_cashout_hpa2yr_111"/>
    <x v="151"/>
    <n v="1"/>
    <n v="1"/>
    <n v="42"/>
    <n v="168"/>
  </r>
  <r>
    <x v="69"/>
    <s v="conventional_cashout_hpa2yr_112"/>
    <x v="152"/>
    <n v="1"/>
    <n v="1"/>
    <n v="42"/>
    <n v="168"/>
  </r>
  <r>
    <x v="69"/>
    <s v="conventional_cashout_hpa2yr_113"/>
    <x v="153"/>
    <n v="1"/>
    <n v="1"/>
    <n v="42"/>
    <n v="168"/>
  </r>
  <r>
    <x v="69"/>
    <s v="conventional_cashout_hpa2yr_114"/>
    <x v="154"/>
    <n v="1"/>
    <n v="1"/>
    <n v="42"/>
    <n v="168"/>
  </r>
  <r>
    <x v="69"/>
    <s v="conventional_cashout_hpa2yr_115"/>
    <x v="155"/>
    <n v="1"/>
    <n v="1"/>
    <n v="42"/>
    <n v="168"/>
  </r>
  <r>
    <x v="69"/>
    <s v="conventional_cashout_hpa2yr_116"/>
    <x v="156"/>
    <n v="1"/>
    <n v="1"/>
    <n v="42"/>
    <n v="168"/>
  </r>
  <r>
    <x v="69"/>
    <s v="conventional_cashout_hpa2yr_117"/>
    <x v="157"/>
    <n v="1"/>
    <n v="1"/>
    <n v="42"/>
    <n v="168"/>
  </r>
  <r>
    <x v="69"/>
    <s v="conventional_cashout_hpa2yr_118"/>
    <x v="158"/>
    <n v="1"/>
    <n v="1"/>
    <n v="42"/>
    <n v="168"/>
  </r>
  <r>
    <x v="69"/>
    <s v="conventional_cashout_hpa2yr_119"/>
    <x v="159"/>
    <n v="1"/>
    <n v="1"/>
    <n v="42"/>
    <n v="168"/>
  </r>
  <r>
    <x v="69"/>
    <s v="conventional_cashout_hpa2yr_120"/>
    <x v="160"/>
    <n v="1"/>
    <n v="1"/>
    <n v="42"/>
    <n v="168"/>
  </r>
  <r>
    <x v="69"/>
    <s v="conventional_cashout_hpa2yr_121"/>
    <x v="161"/>
    <n v="1"/>
    <n v="1"/>
    <n v="42"/>
    <n v="168"/>
  </r>
  <r>
    <x v="69"/>
    <s v="conventional_cashout_hpa2yr_122"/>
    <x v="162"/>
    <n v="1"/>
    <n v="1"/>
    <n v="42"/>
    <n v="168"/>
  </r>
  <r>
    <x v="69"/>
    <s v="conventional_cashout_hpa2yr_123"/>
    <x v="163"/>
    <n v="1"/>
    <n v="1"/>
    <n v="42"/>
    <n v="168"/>
  </r>
  <r>
    <x v="69"/>
    <s v="conventional_cashout_hpa2yr_124"/>
    <x v="164"/>
    <n v="1"/>
    <n v="1"/>
    <n v="42"/>
    <n v="168"/>
  </r>
  <r>
    <x v="69"/>
    <s v="conventional_cashout_hpa2yr_125"/>
    <x v="165"/>
    <n v="1"/>
    <n v="1"/>
    <n v="42"/>
    <n v="168"/>
  </r>
  <r>
    <x v="69"/>
    <s v="conventional_cashout_hpa2yr_126"/>
    <x v="166"/>
    <n v="1"/>
    <n v="1"/>
    <n v="42"/>
    <n v="168"/>
  </r>
  <r>
    <x v="69"/>
    <s v="conventional_cashout_hpa2yr_127"/>
    <x v="167"/>
    <n v="1"/>
    <n v="1"/>
    <n v="42"/>
    <n v="168"/>
  </r>
  <r>
    <x v="69"/>
    <s v="conventional_cashout_hpa2yr_128"/>
    <x v="168"/>
    <n v="1"/>
    <n v="1"/>
    <n v="42"/>
    <n v="168"/>
  </r>
  <r>
    <x v="69"/>
    <s v="conventional_cashout_hpa2yr_129"/>
    <x v="169"/>
    <n v="1"/>
    <n v="1"/>
    <n v="42"/>
    <n v="168"/>
  </r>
  <r>
    <x v="69"/>
    <s v="conventional_cashout_hpa2yr_130"/>
    <x v="170"/>
    <n v="1"/>
    <n v="1"/>
    <n v="42"/>
    <n v="168"/>
  </r>
  <r>
    <x v="69"/>
    <s v="conventional_cashout_hpa2yr_131"/>
    <x v="171"/>
    <n v="1"/>
    <n v="1"/>
    <n v="42"/>
    <n v="168"/>
  </r>
  <r>
    <x v="69"/>
    <s v="conventional_cashout_hpa2yr_132"/>
    <x v="172"/>
    <n v="1"/>
    <n v="1"/>
    <n v="42"/>
    <n v="168"/>
  </r>
  <r>
    <x v="69"/>
    <s v="conventional_cashout_hpa2yr_133"/>
    <x v="173"/>
    <n v="1"/>
    <n v="1"/>
    <n v="42"/>
    <n v="168"/>
  </r>
  <r>
    <x v="69"/>
    <s v="conventional_cashout_hpa2yr_134"/>
    <x v="174"/>
    <n v="1"/>
    <n v="1"/>
    <n v="42"/>
    <n v="168"/>
  </r>
  <r>
    <x v="69"/>
    <s v="conventional_cashout_hpa2yr_135"/>
    <x v="175"/>
    <n v="1"/>
    <n v="1"/>
    <n v="42"/>
    <n v="168"/>
  </r>
  <r>
    <x v="69"/>
    <s v="conventional_cashout_hpa2yr_136"/>
    <x v="176"/>
    <n v="1"/>
    <n v="1"/>
    <n v="42"/>
    <n v="168"/>
  </r>
  <r>
    <x v="69"/>
    <s v="conventional_cashout_hpa2yr_137"/>
    <x v="177"/>
    <n v="1"/>
    <n v="1"/>
    <n v="42"/>
    <n v="168"/>
  </r>
  <r>
    <x v="69"/>
    <s v="conventional_cashout_hpa2yr_138"/>
    <x v="178"/>
    <n v="1"/>
    <n v="1"/>
    <n v="42"/>
    <n v="168"/>
  </r>
  <r>
    <x v="69"/>
    <s v="conventional_cashout_hpa2yr_139"/>
    <x v="179"/>
    <n v="1"/>
    <n v="1"/>
    <n v="42"/>
    <n v="168"/>
  </r>
  <r>
    <x v="69"/>
    <s v="conventional_cashout_hpa2yr_140"/>
    <x v="180"/>
    <n v="1"/>
    <n v="1"/>
    <n v="42"/>
    <n v="168"/>
  </r>
  <r>
    <x v="69"/>
    <s v="conventional_cashout_hpa2yr_141"/>
    <x v="181"/>
    <n v="1"/>
    <n v="1"/>
    <n v="42"/>
    <n v="168"/>
  </r>
  <r>
    <x v="69"/>
    <s v="conventional_cashout_hpa2yr_142"/>
    <x v="182"/>
    <n v="1"/>
    <n v="1"/>
    <n v="42"/>
    <n v="168"/>
  </r>
  <r>
    <x v="69"/>
    <s v="conventional_cashout_hpa2yr_143"/>
    <x v="183"/>
    <n v="1"/>
    <n v="1"/>
    <n v="42"/>
    <n v="168"/>
  </r>
  <r>
    <x v="69"/>
    <s v="conventional_cashout_hpa2yr_144"/>
    <x v="184"/>
    <n v="1"/>
    <n v="1"/>
    <n v="42"/>
    <n v="168"/>
  </r>
  <r>
    <x v="69"/>
    <s v="conventional_cashout_hpa2yr_145"/>
    <x v="185"/>
    <n v="1"/>
    <n v="1"/>
    <n v="42"/>
    <n v="168"/>
  </r>
  <r>
    <x v="69"/>
    <s v="conventional_cashout_hpa2yr_146"/>
    <x v="186"/>
    <n v="1"/>
    <n v="1"/>
    <n v="42"/>
    <n v="168"/>
  </r>
  <r>
    <x v="69"/>
    <s v="conventional_cashout_hpa2yr_147"/>
    <x v="187"/>
    <n v="1"/>
    <n v="1"/>
    <n v="42"/>
    <n v="168"/>
  </r>
  <r>
    <x v="69"/>
    <s v="conventional_cashout_hpa2yr_148"/>
    <x v="188"/>
    <n v="1"/>
    <n v="1"/>
    <n v="42"/>
    <n v="168"/>
  </r>
  <r>
    <x v="69"/>
    <s v="conventional_cashout_hpa2yr_149"/>
    <x v="189"/>
    <n v="1"/>
    <n v="1"/>
    <n v="42"/>
    <n v="168"/>
  </r>
  <r>
    <x v="69"/>
    <s v="conventional_cashout_hpa2yr_150"/>
    <x v="190"/>
    <n v="1"/>
    <n v="1"/>
    <n v="42"/>
    <n v="168"/>
  </r>
  <r>
    <x v="69"/>
    <s v="conventional_cashout_hpa2yr_151"/>
    <x v="191"/>
    <n v="1"/>
    <n v="1"/>
    <n v="42"/>
    <n v="168"/>
  </r>
  <r>
    <x v="69"/>
    <s v="conventional_cashout_hpa2yr_152"/>
    <x v="192"/>
    <n v="1"/>
    <n v="1"/>
    <n v="42"/>
    <n v="168"/>
  </r>
  <r>
    <x v="69"/>
    <s v="conventional_cashout_hpa2yr_153"/>
    <x v="193"/>
    <n v="1"/>
    <n v="1"/>
    <n v="42"/>
    <n v="168"/>
  </r>
  <r>
    <x v="69"/>
    <s v="conventional_cashout_hpa2yr_154"/>
    <x v="194"/>
    <n v="1"/>
    <n v="1"/>
    <n v="42"/>
    <n v="168"/>
  </r>
  <r>
    <x v="69"/>
    <s v="conventional_cashout_hpa2yr_155"/>
    <x v="195"/>
    <n v="1"/>
    <n v="1"/>
    <n v="42"/>
    <n v="168"/>
  </r>
  <r>
    <x v="69"/>
    <s v="conventional_cashout_hpa2yr_156"/>
    <x v="196"/>
    <n v="1"/>
    <n v="1"/>
    <n v="42"/>
    <n v="168"/>
  </r>
  <r>
    <x v="69"/>
    <s v="conventional_cashout_hpa2yr_157"/>
    <x v="197"/>
    <n v="1"/>
    <n v="1"/>
    <n v="42"/>
    <n v="168"/>
  </r>
  <r>
    <x v="69"/>
    <s v="conventional_cashout_hpa2yr_158"/>
    <x v="198"/>
    <n v="1"/>
    <n v="1"/>
    <n v="42"/>
    <n v="168"/>
  </r>
  <r>
    <x v="69"/>
    <s v="conventional_cashout_hpa2yr_159"/>
    <x v="199"/>
    <n v="1"/>
    <n v="1"/>
    <n v="42"/>
    <n v="168"/>
  </r>
  <r>
    <x v="69"/>
    <s v="conventional_cashout_hpa2yr_160"/>
    <x v="200"/>
    <n v="1"/>
    <n v="1"/>
    <n v="42"/>
    <n v="168"/>
  </r>
  <r>
    <x v="69"/>
    <s v="conventional_cashout_hpa2yr_161"/>
    <x v="201"/>
    <n v="1"/>
    <n v="1"/>
    <n v="42"/>
    <n v="168"/>
  </r>
  <r>
    <x v="69"/>
    <s v="conventional_cashout_hpa2yr_162"/>
    <x v="202"/>
    <n v="1"/>
    <n v="1"/>
    <n v="42"/>
    <n v="168"/>
  </r>
  <r>
    <x v="69"/>
    <s v="conventional_cashout_hpa2yr_163"/>
    <x v="203"/>
    <n v="1"/>
    <n v="1"/>
    <n v="42"/>
    <n v="168"/>
  </r>
  <r>
    <x v="69"/>
    <s v="conventional_cashout_hpa2yr_164"/>
    <x v="204"/>
    <n v="1"/>
    <n v="1"/>
    <n v="42"/>
    <n v="168"/>
  </r>
  <r>
    <x v="69"/>
    <s v="conventional_cashout_hpa2yr_165"/>
    <x v="205"/>
    <n v="1"/>
    <n v="1"/>
    <n v="42"/>
    <n v="168"/>
  </r>
  <r>
    <x v="69"/>
    <s v="conventional_cashout_hpa2yr_166"/>
    <x v="206"/>
    <n v="1"/>
    <n v="1"/>
    <n v="42"/>
    <n v="168"/>
  </r>
  <r>
    <x v="69"/>
    <s v="conventional_cashout_hpa2yr_167"/>
    <x v="207"/>
    <n v="1"/>
    <n v="1"/>
    <n v="42"/>
    <n v="168"/>
  </r>
  <r>
    <x v="69"/>
    <s v="conventional_cashout_hpa2yr_168"/>
    <x v="208"/>
    <n v="1"/>
    <n v="1"/>
    <n v="42"/>
    <n v="168"/>
  </r>
  <r>
    <x v="70"/>
    <s v="conventional_cashout_hpa_cum_-6"/>
    <x v="34"/>
    <n v="0"/>
    <n v="1"/>
    <n v="-6"/>
    <n v="41"/>
  </r>
  <r>
    <x v="70"/>
    <s v="conventional_cashout_hpa_cum_-5"/>
    <x v="35"/>
    <n v="0"/>
    <n v="1"/>
    <n v="-6"/>
    <n v="41"/>
  </r>
  <r>
    <x v="70"/>
    <s v="conventional_cashout_hpa_cum_-4"/>
    <x v="36"/>
    <n v="0"/>
    <n v="1"/>
    <n v="-6"/>
    <n v="41"/>
  </r>
  <r>
    <x v="70"/>
    <s v="conventional_cashout_hpa_cum_-3"/>
    <x v="37"/>
    <n v="0"/>
    <n v="1"/>
    <n v="-6"/>
    <n v="41"/>
  </r>
  <r>
    <x v="70"/>
    <s v="conventional_cashout_hpa_cum_-2"/>
    <x v="38"/>
    <n v="0"/>
    <n v="1"/>
    <n v="-6"/>
    <n v="41"/>
  </r>
  <r>
    <x v="70"/>
    <s v="conventional_cashout_hpa_cum_-1"/>
    <x v="39"/>
    <n v="0"/>
    <n v="1"/>
    <n v="-6"/>
    <n v="41"/>
  </r>
  <r>
    <x v="70"/>
    <s v="conventional_cashout_hpa_cum_0"/>
    <x v="40"/>
    <n v="0"/>
    <n v="1"/>
    <n v="-6"/>
    <n v="41"/>
  </r>
  <r>
    <x v="70"/>
    <s v="conventional_cashout_hpa_cum_1"/>
    <x v="41"/>
    <n v="0"/>
    <n v="1"/>
    <n v="-6"/>
    <n v="41"/>
  </r>
  <r>
    <x v="70"/>
    <s v="conventional_cashout_hpa_cum_2"/>
    <x v="42"/>
    <n v="0"/>
    <n v="1"/>
    <n v="-6"/>
    <n v="41"/>
  </r>
  <r>
    <x v="70"/>
    <s v="conventional_cashout_hpa_cum_3"/>
    <x v="43"/>
    <n v="0"/>
    <n v="1"/>
    <n v="-6"/>
    <n v="41"/>
  </r>
  <r>
    <x v="70"/>
    <s v="conventional_cashout_hpa_cum_4"/>
    <x v="44"/>
    <n v="0"/>
    <n v="1"/>
    <n v="-6"/>
    <n v="41"/>
  </r>
  <r>
    <x v="70"/>
    <s v="conventional_cashout_hpa_cum_5"/>
    <x v="45"/>
    <n v="0"/>
    <n v="1"/>
    <n v="-6"/>
    <n v="41"/>
  </r>
  <r>
    <x v="70"/>
    <s v="conventional_cashout_hpa_cum_6"/>
    <x v="46"/>
    <n v="0"/>
    <n v="1"/>
    <n v="-6"/>
    <n v="41"/>
  </r>
  <r>
    <x v="70"/>
    <s v="conventional_cashout_hpa_cum_7"/>
    <x v="47"/>
    <n v="0"/>
    <n v="1"/>
    <n v="-6"/>
    <n v="41"/>
  </r>
  <r>
    <x v="70"/>
    <s v="conventional_cashout_hpa_cum_8"/>
    <x v="48"/>
    <n v="0"/>
    <n v="1"/>
    <n v="-6"/>
    <n v="41"/>
  </r>
  <r>
    <x v="70"/>
    <s v="conventional_cashout_hpa_cum_9"/>
    <x v="49"/>
    <n v="0"/>
    <n v="1"/>
    <n v="-6"/>
    <n v="41"/>
  </r>
  <r>
    <x v="70"/>
    <s v="conventional_cashout_hpa_cum_10"/>
    <x v="50"/>
    <n v="0"/>
    <n v="1"/>
    <n v="-6"/>
    <n v="41"/>
  </r>
  <r>
    <x v="70"/>
    <s v="conventional_cashout_hpa_cum_11"/>
    <x v="51"/>
    <n v="0"/>
    <n v="1"/>
    <n v="-6"/>
    <n v="41"/>
  </r>
  <r>
    <x v="70"/>
    <s v="conventional_cashout_hpa_cum_12"/>
    <x v="52"/>
    <n v="0"/>
    <n v="1"/>
    <n v="-6"/>
    <n v="41"/>
  </r>
  <r>
    <x v="70"/>
    <s v="conventional_cashout_hpa_cum_13"/>
    <x v="53"/>
    <n v="0"/>
    <n v="1"/>
    <n v="-6"/>
    <n v="41"/>
  </r>
  <r>
    <x v="70"/>
    <s v="conventional_cashout_hpa_cum_14"/>
    <x v="54"/>
    <n v="0"/>
    <n v="1"/>
    <n v="-6"/>
    <n v="41"/>
  </r>
  <r>
    <x v="70"/>
    <s v="conventional_cashout_hpa_cum_15"/>
    <x v="55"/>
    <n v="0"/>
    <n v="1"/>
    <n v="-6"/>
    <n v="41"/>
  </r>
  <r>
    <x v="70"/>
    <s v="conventional_cashout_hpa_cum_16"/>
    <x v="56"/>
    <n v="5.04E-2"/>
    <n v="1"/>
    <n v="-6"/>
    <n v="41"/>
  </r>
  <r>
    <x v="70"/>
    <s v="conventional_cashout_hpa_cum_17"/>
    <x v="57"/>
    <n v="0.1792"/>
    <n v="1"/>
    <n v="-6"/>
    <n v="41"/>
  </r>
  <r>
    <x v="70"/>
    <s v="conventional_cashout_hpa_cum_18"/>
    <x v="58"/>
    <n v="0.3528"/>
    <n v="1"/>
    <n v="-6"/>
    <n v="41"/>
  </r>
  <r>
    <x v="70"/>
    <s v="conventional_cashout_hpa_cum_19"/>
    <x v="59"/>
    <n v="0.53759999999999997"/>
    <n v="1"/>
    <n v="-6"/>
    <n v="41"/>
  </r>
  <r>
    <x v="70"/>
    <s v="conventional_cashout_hpa_cum_20"/>
    <x v="60"/>
    <n v="0.7"/>
    <n v="1"/>
    <n v="-6"/>
    <n v="41"/>
  </r>
  <r>
    <x v="70"/>
    <s v="conventional_cashout_hpa_cum_21"/>
    <x v="61"/>
    <n v="0.86240000000000006"/>
    <n v="1"/>
    <n v="-6"/>
    <n v="41"/>
  </r>
  <r>
    <x v="70"/>
    <s v="conventional_cashout_hpa_cum_22"/>
    <x v="62"/>
    <n v="1.0471999999999999"/>
    <n v="1"/>
    <n v="-6"/>
    <n v="41"/>
  </r>
  <r>
    <x v="70"/>
    <s v="conventional_cashout_hpa_cum_23"/>
    <x v="63"/>
    <n v="1.2208000000000001"/>
    <n v="1"/>
    <n v="-6"/>
    <n v="41"/>
  </r>
  <r>
    <x v="70"/>
    <s v="conventional_cashout_hpa_cum_24"/>
    <x v="64"/>
    <n v="1.3495999999999999"/>
    <n v="1"/>
    <n v="-6"/>
    <n v="41"/>
  </r>
  <r>
    <x v="70"/>
    <s v="conventional_cashout_hpa_cum_25"/>
    <x v="65"/>
    <n v="1.4"/>
    <n v="1"/>
    <n v="-6"/>
    <n v="41"/>
  </r>
  <r>
    <x v="70"/>
    <s v="conventional_cashout_hpa_cum_26"/>
    <x v="66"/>
    <n v="1.4"/>
    <n v="1"/>
    <n v="-6"/>
    <n v="41"/>
  </r>
  <r>
    <x v="70"/>
    <s v="conventional_cashout_hpa_cum_27"/>
    <x v="67"/>
    <n v="1.4"/>
    <n v="1"/>
    <n v="-6"/>
    <n v="41"/>
  </r>
  <r>
    <x v="70"/>
    <s v="conventional_cashout_hpa_cum_28"/>
    <x v="68"/>
    <n v="1.4"/>
    <n v="1"/>
    <n v="-6"/>
    <n v="41"/>
  </r>
  <r>
    <x v="70"/>
    <s v="conventional_cashout_hpa_cum_29"/>
    <x v="69"/>
    <n v="1.4"/>
    <n v="1"/>
    <n v="-6"/>
    <n v="41"/>
  </r>
  <r>
    <x v="70"/>
    <s v="conventional_cashout_hpa_cum_30"/>
    <x v="70"/>
    <n v="1.4"/>
    <n v="1"/>
    <n v="-6"/>
    <n v="41"/>
  </r>
  <r>
    <x v="70"/>
    <s v="conventional_cashout_hpa_cum_31"/>
    <x v="71"/>
    <n v="1.4"/>
    <n v="1"/>
    <n v="-6"/>
    <n v="41"/>
  </r>
  <r>
    <x v="70"/>
    <s v="conventional_cashout_hpa_cum_32"/>
    <x v="72"/>
    <n v="1.4"/>
    <n v="1"/>
    <n v="-6"/>
    <n v="41"/>
  </r>
  <r>
    <x v="70"/>
    <s v="conventional_cashout_hpa_cum_33"/>
    <x v="73"/>
    <n v="1.4"/>
    <n v="1"/>
    <n v="-6"/>
    <n v="41"/>
  </r>
  <r>
    <x v="70"/>
    <s v="conventional_cashout_hpa_cum_34"/>
    <x v="74"/>
    <n v="1.4"/>
    <n v="1"/>
    <n v="-6"/>
    <n v="41"/>
  </r>
  <r>
    <x v="70"/>
    <s v="conventional_cashout_hpa_cum_35"/>
    <x v="75"/>
    <n v="1.4"/>
    <n v="1"/>
    <n v="-6"/>
    <n v="41"/>
  </r>
  <r>
    <x v="70"/>
    <s v="conventional_cashout_hpa_cum_36"/>
    <x v="76"/>
    <n v="1.4"/>
    <n v="1"/>
    <n v="-6"/>
    <n v="41"/>
  </r>
  <r>
    <x v="70"/>
    <s v="conventional_cashout_hpa_cum_37"/>
    <x v="77"/>
    <n v="1.4"/>
    <n v="1"/>
    <n v="-6"/>
    <n v="41"/>
  </r>
  <r>
    <x v="70"/>
    <s v="conventional_cashout_hpa_cum_38"/>
    <x v="78"/>
    <n v="1.4"/>
    <n v="1"/>
    <n v="-6"/>
    <n v="41"/>
  </r>
  <r>
    <x v="70"/>
    <s v="conventional_cashout_hpa_cum_39"/>
    <x v="79"/>
    <n v="1.4"/>
    <n v="1"/>
    <n v="-6"/>
    <n v="41"/>
  </r>
  <r>
    <x v="70"/>
    <s v="conventional_cashout_hpa_cum_40"/>
    <x v="80"/>
    <n v="1.4"/>
    <n v="1"/>
    <n v="-6"/>
    <n v="41"/>
  </r>
  <r>
    <x v="70"/>
    <s v="conventional_cashout_hpa_cum_41"/>
    <x v="81"/>
    <n v="1.4"/>
    <n v="1"/>
    <n v="-6"/>
    <n v="41"/>
  </r>
  <r>
    <x v="71"/>
    <m/>
    <x v="18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L56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562">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t="grand">
      <x/>
    </i>
  </rowItems>
  <colItems count="1">
    <i/>
  </colItems>
  <pageFields count="1">
    <pageField fld="0" item="30"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G729"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726">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t="grand">
      <x/>
    </i>
  </rowItems>
  <colItems count="1">
    <i/>
  </colItems>
  <pageFields count="1">
    <pageField fld="0" item="5"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1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912">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t="grand">
      <x/>
    </i>
  </rowItems>
  <colItems count="1">
    <i/>
  </colItems>
  <pageFields count="1">
    <pageField fld="0" item="57"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selection activeCell="L14" sqref="L14"/>
    </sheetView>
  </sheetViews>
  <sheetFormatPr defaultRowHeight="15" x14ac:dyDescent="0.25"/>
  <cols>
    <col min="1" max="1" width="13.28515625" bestFit="1" customWidth="1"/>
    <col min="7" max="7" width="1" customWidth="1"/>
    <col min="9" max="9" width="14.28515625" bestFit="1" customWidth="1"/>
  </cols>
  <sheetData>
    <row r="1" spans="1:20" x14ac:dyDescent="0.25">
      <c r="A1" t="s">
        <v>0</v>
      </c>
      <c r="B1" t="s">
        <v>1</v>
      </c>
      <c r="I1" t="s">
        <v>0</v>
      </c>
      <c r="J1" s="1" t="s">
        <v>11</v>
      </c>
      <c r="K1" t="s">
        <v>13</v>
      </c>
      <c r="L1" t="s">
        <v>14</v>
      </c>
      <c r="M1" t="s">
        <v>15</v>
      </c>
      <c r="N1" t="s">
        <v>16</v>
      </c>
      <c r="O1" t="s">
        <v>17</v>
      </c>
      <c r="P1" t="s">
        <v>19</v>
      </c>
      <c r="Q1" t="s">
        <v>113</v>
      </c>
      <c r="R1" t="s">
        <v>114</v>
      </c>
      <c r="S1" t="s">
        <v>116</v>
      </c>
      <c r="T1" t="s">
        <v>118</v>
      </c>
    </row>
    <row r="2" spans="1:20" x14ac:dyDescent="0.25">
      <c r="A2" s="6">
        <v>1096925</v>
      </c>
      <c r="B2" t="s">
        <v>2</v>
      </c>
      <c r="C2" t="s">
        <v>3</v>
      </c>
      <c r="I2" s="6">
        <f>SUM(Baseline!AR3:AR17)</f>
        <v>2986921</v>
      </c>
      <c r="J2" s="1" t="s">
        <v>12</v>
      </c>
      <c r="K2" t="s">
        <v>119</v>
      </c>
      <c r="L2" t="s">
        <v>120</v>
      </c>
      <c r="M2" t="s">
        <v>18</v>
      </c>
      <c r="N2" t="s">
        <v>18</v>
      </c>
      <c r="O2" t="s">
        <v>121</v>
      </c>
      <c r="P2" t="s">
        <v>20</v>
      </c>
      <c r="Q2" t="s">
        <v>122</v>
      </c>
      <c r="R2" t="s">
        <v>115</v>
      </c>
      <c r="S2" t="s">
        <v>117</v>
      </c>
      <c r="T2" s="15" t="s">
        <v>124</v>
      </c>
    </row>
    <row r="3" spans="1:20" x14ac:dyDescent="0.25">
      <c r="A3" s="6">
        <v>466351</v>
      </c>
      <c r="B3" t="s">
        <v>4</v>
      </c>
      <c r="I3" s="6">
        <f>SUM(Baseline!AR136:AR152)</f>
        <v>2478699</v>
      </c>
      <c r="J3" s="1" t="s">
        <v>125</v>
      </c>
      <c r="T3" s="33" t="s">
        <v>123</v>
      </c>
    </row>
    <row r="4" spans="1:20" x14ac:dyDescent="0.25">
      <c r="A4" s="6">
        <v>230769</v>
      </c>
      <c r="B4" t="s">
        <v>5</v>
      </c>
      <c r="J4" s="1"/>
      <c r="T4" s="26"/>
    </row>
    <row r="5" spans="1:20" x14ac:dyDescent="0.25">
      <c r="A5" s="6">
        <v>144409</v>
      </c>
      <c r="B5" t="s">
        <v>6</v>
      </c>
      <c r="J5" s="1"/>
    </row>
    <row r="6" spans="1:20" x14ac:dyDescent="0.25">
      <c r="A6" s="6">
        <v>124596</v>
      </c>
      <c r="B6" t="s">
        <v>7</v>
      </c>
      <c r="J6" s="1"/>
    </row>
    <row r="7" spans="1:20" x14ac:dyDescent="0.25">
      <c r="A7" s="6">
        <v>57525</v>
      </c>
      <c r="B7" t="s">
        <v>8</v>
      </c>
      <c r="J7" s="1"/>
    </row>
    <row r="8" spans="1:20" x14ac:dyDescent="0.25">
      <c r="A8" s="6">
        <v>2</v>
      </c>
      <c r="B8" t="s">
        <v>9</v>
      </c>
      <c r="J8" s="1"/>
    </row>
    <row r="9" spans="1:20" x14ac:dyDescent="0.25">
      <c r="A9" s="6"/>
      <c r="J9" s="1"/>
    </row>
    <row r="10" spans="1:20" x14ac:dyDescent="0.25">
      <c r="A10" s="6">
        <f>SUM(A2:A8)</f>
        <v>2120577</v>
      </c>
      <c r="B10"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08"/>
  <sheetViews>
    <sheetView tabSelected="1" zoomScale="80" zoomScaleNormal="80" workbookViewId="0">
      <pane xSplit="29100" topLeftCell="AY1"/>
      <selection activeCell="AN322" sqref="AN322"/>
      <selection pane="topRight" activeCell="BE119" sqref="BE119"/>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0" x14ac:dyDescent="0.25">
      <c r="A1" s="34" t="s">
        <v>126</v>
      </c>
      <c r="AS1" s="18" t="s">
        <v>91</v>
      </c>
      <c r="AT1" s="18" t="s">
        <v>92</v>
      </c>
      <c r="AU1" s="18"/>
      <c r="AV1" s="18"/>
      <c r="AW1" s="18" t="s">
        <v>93</v>
      </c>
      <c r="AX1" s="18"/>
    </row>
    <row r="2" spans="1:50" x14ac:dyDescent="0.25">
      <c r="A2" t="s">
        <v>21</v>
      </c>
      <c r="B2" t="s">
        <v>22</v>
      </c>
      <c r="C2" t="s">
        <v>23</v>
      </c>
      <c r="D2" t="s">
        <v>24</v>
      </c>
      <c r="E2" t="s">
        <v>99</v>
      </c>
      <c r="F2" t="s">
        <v>100</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s="1" t="s">
        <v>46</v>
      </c>
      <c r="AC2" s="1" t="s">
        <v>47</v>
      </c>
      <c r="AD2" s="1" t="s">
        <v>48</v>
      </c>
      <c r="AE2" t="s">
        <v>49</v>
      </c>
      <c r="AF2" t="s">
        <v>50</v>
      </c>
      <c r="AG2" t="s">
        <v>51</v>
      </c>
      <c r="AH2" t="s">
        <v>52</v>
      </c>
      <c r="AI2" t="s">
        <v>53</v>
      </c>
      <c r="AJ2" t="s">
        <v>54</v>
      </c>
      <c r="AK2" t="s">
        <v>55</v>
      </c>
      <c r="AL2" t="s">
        <v>56</v>
      </c>
      <c r="AM2" t="s">
        <v>57</v>
      </c>
      <c r="AN2" t="s">
        <v>58</v>
      </c>
      <c r="AO2" t="s">
        <v>59</v>
      </c>
      <c r="AP2" t="s">
        <v>60</v>
      </c>
      <c r="AQ2" t="s">
        <v>61</v>
      </c>
      <c r="AR2" t="s">
        <v>62</v>
      </c>
      <c r="AS2" s="22" t="s">
        <v>129</v>
      </c>
      <c r="AT2" s="22" t="s">
        <v>130</v>
      </c>
      <c r="AU2" s="18" t="s">
        <v>133</v>
      </c>
      <c r="AV2" s="18" t="s">
        <v>134</v>
      </c>
      <c r="AW2" s="22" t="s">
        <v>131</v>
      </c>
      <c r="AX2" s="18" t="s">
        <v>132</v>
      </c>
    </row>
    <row r="3" spans="1:50" x14ac:dyDescent="0.25">
      <c r="A3">
        <v>4.3</v>
      </c>
      <c r="B3" s="4">
        <v>0.99048393820929603</v>
      </c>
      <c r="C3" s="4">
        <v>0</v>
      </c>
      <c r="D3" s="4">
        <v>10.840166579614801</v>
      </c>
      <c r="E3" s="4">
        <v>0</v>
      </c>
      <c r="F3" s="5">
        <v>9.5160617907035592E-3</v>
      </c>
      <c r="G3" s="5">
        <v>0</v>
      </c>
      <c r="H3" s="4">
        <v>4.2588074892821304</v>
      </c>
      <c r="I3" s="4">
        <v>4.0248861076810698</v>
      </c>
      <c r="J3" s="4">
        <v>-56.756867183108298</v>
      </c>
      <c r="K3" s="4">
        <v>-82.984204191452207</v>
      </c>
      <c r="L3" s="4">
        <v>20.079563672363498</v>
      </c>
      <c r="M3" s="4">
        <v>30.173843725049299</v>
      </c>
      <c r="N3" s="4">
        <v>77.142550700315596</v>
      </c>
      <c r="O3" s="4">
        <v>76.855341086742897</v>
      </c>
      <c r="P3" s="4">
        <v>208132.62954522</v>
      </c>
      <c r="Q3" s="4">
        <v>198834.758</v>
      </c>
      <c r="R3" s="4">
        <v>784.88722428500103</v>
      </c>
      <c r="S3" s="4">
        <v>0</v>
      </c>
      <c r="T3" s="4">
        <v>0</v>
      </c>
      <c r="U3" s="4">
        <v>0</v>
      </c>
      <c r="V3" s="4">
        <v>1</v>
      </c>
      <c r="W3" s="4">
        <v>0</v>
      </c>
      <c r="X3" s="4">
        <v>8.6003197690415797E-2</v>
      </c>
      <c r="Y3" s="4">
        <v>0</v>
      </c>
      <c r="Z3" s="5">
        <v>3.8074588014928401E-4</v>
      </c>
      <c r="AA3" s="5">
        <v>2.7081011188094099E-5</v>
      </c>
      <c r="AB3" s="10">
        <v>4.1335364079917499E-3</v>
      </c>
      <c r="AC3" s="10">
        <v>0</v>
      </c>
      <c r="AD3" s="10">
        <v>4.9746820505688896E-3</v>
      </c>
      <c r="AE3" s="4">
        <v>-4.0020897328755398E-2</v>
      </c>
      <c r="AF3" s="4">
        <v>1</v>
      </c>
      <c r="AG3" s="4">
        <v>1</v>
      </c>
      <c r="AH3" s="4">
        <v>1</v>
      </c>
      <c r="AI3" s="4">
        <v>1</v>
      </c>
      <c r="AJ3" s="4">
        <v>1</v>
      </c>
      <c r="AK3" s="4">
        <v>1</v>
      </c>
      <c r="AL3" s="4">
        <v>1</v>
      </c>
      <c r="AM3" s="4">
        <v>0</v>
      </c>
      <c r="AN3" s="4">
        <v>0</v>
      </c>
      <c r="AO3" s="4" t="s">
        <v>65</v>
      </c>
      <c r="AP3" s="4">
        <f>-100--75</f>
        <v>-25</v>
      </c>
      <c r="AQ3" s="6">
        <v>1988347.58</v>
      </c>
      <c r="AR3" s="4">
        <v>10</v>
      </c>
      <c r="AS3" s="16">
        <v>0</v>
      </c>
      <c r="AT3" s="16">
        <v>0</v>
      </c>
      <c r="AU3" s="16">
        <v>8.6003197690415796</v>
      </c>
      <c r="AV3" s="16">
        <v>91.399680230958396</v>
      </c>
      <c r="AW3" s="16">
        <v>0</v>
      </c>
      <c r="AX3" s="16">
        <v>100</v>
      </c>
    </row>
    <row r="4" spans="1:50" x14ac:dyDescent="0.25">
      <c r="A4">
        <v>4.3</v>
      </c>
      <c r="B4" s="4">
        <v>0.98341825114477399</v>
      </c>
      <c r="C4" s="4">
        <v>16.116409883057099</v>
      </c>
      <c r="D4" s="4">
        <v>18.1800577563803</v>
      </c>
      <c r="E4" s="4">
        <v>1.4538298378228599E-2</v>
      </c>
      <c r="F4" s="5">
        <v>1.6581748855225498E-2</v>
      </c>
      <c r="G4" s="5">
        <v>0</v>
      </c>
      <c r="H4" s="4">
        <v>4.3060588801698403</v>
      </c>
      <c r="I4" s="4">
        <v>3.85944754748789</v>
      </c>
      <c r="J4" s="4">
        <v>-49.517351907034602</v>
      </c>
      <c r="K4" s="4">
        <v>-60.076868837927201</v>
      </c>
      <c r="L4" s="4">
        <v>20.924636375765701</v>
      </c>
      <c r="M4" s="4">
        <v>28.778536293338401</v>
      </c>
      <c r="N4" s="4">
        <v>77.768090070685602</v>
      </c>
      <c r="O4" s="4">
        <v>73.576934863748704</v>
      </c>
      <c r="P4" s="4">
        <v>259063.42640984699</v>
      </c>
      <c r="Q4" s="4">
        <v>162933.089777777</v>
      </c>
      <c r="R4" s="4">
        <v>781.95533736640698</v>
      </c>
      <c r="S4" s="4">
        <v>0</v>
      </c>
      <c r="T4" s="4">
        <v>0</v>
      </c>
      <c r="U4" s="4">
        <v>0</v>
      </c>
      <c r="V4" s="4">
        <v>0.70876125041234295</v>
      </c>
      <c r="W4" s="4">
        <v>0</v>
      </c>
      <c r="X4" s="4">
        <v>0.36076246644253002</v>
      </c>
      <c r="Y4" s="4">
        <v>0</v>
      </c>
      <c r="Z4" s="5">
        <v>8.3555295944141199E-4</v>
      </c>
      <c r="AA4" s="5">
        <v>9.5039059879568503E-5</v>
      </c>
      <c r="AB4" s="10">
        <v>3.8269365928595899E-3</v>
      </c>
      <c r="AC4" s="10">
        <v>0</v>
      </c>
      <c r="AD4" s="10">
        <v>1.1824203453436599E-2</v>
      </c>
      <c r="AE4" s="4">
        <v>-2.5619576295267801E-2</v>
      </c>
      <c r="AF4" s="4">
        <v>1</v>
      </c>
      <c r="AG4" s="4">
        <v>1</v>
      </c>
      <c r="AH4" s="4">
        <v>1</v>
      </c>
      <c r="AI4" s="4">
        <v>1</v>
      </c>
      <c r="AJ4" s="4">
        <v>1</v>
      </c>
      <c r="AK4" s="4">
        <v>1</v>
      </c>
      <c r="AL4" s="4">
        <v>1</v>
      </c>
      <c r="AM4" s="4">
        <v>0</v>
      </c>
      <c r="AN4" s="4">
        <v>0</v>
      </c>
      <c r="AO4" s="4" t="s">
        <v>66</v>
      </c>
      <c r="AP4" s="4">
        <f>-75--50</f>
        <v>-25</v>
      </c>
      <c r="AQ4" s="6">
        <v>7331989.04</v>
      </c>
      <c r="AR4" s="4">
        <v>45</v>
      </c>
      <c r="AS4" s="16">
        <v>0</v>
      </c>
      <c r="AT4" s="16">
        <v>29.123874958765601</v>
      </c>
      <c r="AU4" s="16">
        <v>34.506528804085598</v>
      </c>
      <c r="AV4" s="16">
        <v>36.369596237148698</v>
      </c>
      <c r="AW4" s="16">
        <v>29.123874958765601</v>
      </c>
      <c r="AX4" s="16">
        <v>70.876125041234303</v>
      </c>
    </row>
    <row r="5" spans="1:50" x14ac:dyDescent="0.25">
      <c r="A5">
        <v>4.3</v>
      </c>
      <c r="B5" s="4">
        <v>0.98286148315062405</v>
      </c>
      <c r="C5" s="4">
        <v>16.768764003844201</v>
      </c>
      <c r="D5" s="4">
        <v>18.734204171979201</v>
      </c>
      <c r="E5" s="4">
        <v>1.5179239099881101E-2</v>
      </c>
      <c r="F5" s="5">
        <v>1.7138516849375E-2</v>
      </c>
      <c r="G5" s="5">
        <v>0</v>
      </c>
      <c r="H5" s="4">
        <v>4.4052733521861596</v>
      </c>
      <c r="I5" s="4">
        <v>3.98594981137505</v>
      </c>
      <c r="J5" s="4">
        <v>-51.457904380841498</v>
      </c>
      <c r="K5" s="4">
        <v>-33.483850125560203</v>
      </c>
      <c r="L5" s="4">
        <v>21.5456488233153</v>
      </c>
      <c r="M5" s="4">
        <v>29.718201359121799</v>
      </c>
      <c r="N5" s="4">
        <v>75.277073643788199</v>
      </c>
      <c r="O5" s="4">
        <v>71.699547343970195</v>
      </c>
      <c r="P5" s="4">
        <v>254787.471363046</v>
      </c>
      <c r="Q5" s="4">
        <v>169330.28925619801</v>
      </c>
      <c r="R5" s="4">
        <v>778.78911783562501</v>
      </c>
      <c r="S5" s="4">
        <v>0</v>
      </c>
      <c r="T5" s="4">
        <v>0</v>
      </c>
      <c r="U5" s="4">
        <v>5.1339909312159003E-2</v>
      </c>
      <c r="V5" s="4">
        <v>0.50524461972578805</v>
      </c>
      <c r="W5" s="4">
        <v>0</v>
      </c>
      <c r="X5" s="4">
        <v>0.62378485736102296</v>
      </c>
      <c r="Y5" s="4">
        <v>0</v>
      </c>
      <c r="Z5" s="5">
        <v>9.2018692304330805E-4</v>
      </c>
      <c r="AA5" s="5">
        <v>2.3542834335701099E-4</v>
      </c>
      <c r="AB5" s="10">
        <v>3.76038963434038E-3</v>
      </c>
      <c r="AC5" s="10">
        <v>7.0178073221365701E-9</v>
      </c>
      <c r="AD5" s="10">
        <v>1.22224893637472E-2</v>
      </c>
      <c r="AE5" s="4">
        <v>-5.6161735583347798E-2</v>
      </c>
      <c r="AF5" s="4">
        <v>0.98890548375674403</v>
      </c>
      <c r="AG5" s="4">
        <v>0.99395016610160603</v>
      </c>
      <c r="AH5" s="4">
        <v>1</v>
      </c>
      <c r="AI5" s="4">
        <v>1</v>
      </c>
      <c r="AJ5" s="4">
        <v>1</v>
      </c>
      <c r="AK5" s="4">
        <v>1</v>
      </c>
      <c r="AL5" s="4">
        <v>1</v>
      </c>
      <c r="AM5" s="4">
        <v>0</v>
      </c>
      <c r="AN5" s="4">
        <v>0</v>
      </c>
      <c r="AO5" s="4" t="s">
        <v>67</v>
      </c>
      <c r="AP5" s="4">
        <f>-50--25</f>
        <v>-25</v>
      </c>
      <c r="AQ5" s="6">
        <v>40977930</v>
      </c>
      <c r="AR5" s="4">
        <v>242</v>
      </c>
      <c r="AS5" s="16">
        <v>8.9012190220442999</v>
      </c>
      <c r="AT5" s="16">
        <v>40.574319005376701</v>
      </c>
      <c r="AU5" s="16">
        <v>15.873128120429699</v>
      </c>
      <c r="AV5" s="16">
        <v>34.651333852149101</v>
      </c>
      <c r="AW5" s="16">
        <v>49.475538027421102</v>
      </c>
      <c r="AX5" s="16">
        <v>50.524461972578798</v>
      </c>
    </row>
    <row r="6" spans="1:50" x14ac:dyDescent="0.25">
      <c r="A6">
        <v>4.3</v>
      </c>
      <c r="B6" s="4">
        <v>0.98598709560266096</v>
      </c>
      <c r="C6" s="4">
        <v>18.9456535012195</v>
      </c>
      <c r="D6" s="4">
        <v>15.578168018587</v>
      </c>
      <c r="E6" s="4">
        <v>1.7351884248824001E-2</v>
      </c>
      <c r="F6" s="5">
        <v>1.40129043973387E-2</v>
      </c>
      <c r="G6" s="5">
        <v>0</v>
      </c>
      <c r="H6" s="4">
        <v>4.3329731018668802</v>
      </c>
      <c r="I6" s="4">
        <v>4.0910654277611904</v>
      </c>
      <c r="J6" s="4">
        <v>-65.128917153874895</v>
      </c>
      <c r="K6" s="4">
        <v>-8.0399625616296202</v>
      </c>
      <c r="L6" s="4">
        <v>20.834103837941601</v>
      </c>
      <c r="M6" s="4">
        <v>30.241340158028802</v>
      </c>
      <c r="N6" s="4">
        <v>75.917428338936404</v>
      </c>
      <c r="O6" s="4">
        <v>73.251551699395804</v>
      </c>
      <c r="P6" s="4">
        <v>242660.115646833</v>
      </c>
      <c r="Q6" s="4">
        <v>172492.39180702899</v>
      </c>
      <c r="R6" s="4">
        <v>779.10800594190903</v>
      </c>
      <c r="S6" s="4">
        <v>0</v>
      </c>
      <c r="T6" s="4">
        <v>0</v>
      </c>
      <c r="U6" s="4">
        <v>1.5844022030986699E-2</v>
      </c>
      <c r="V6" s="4">
        <v>0.44362981391464901</v>
      </c>
      <c r="W6" s="4">
        <v>0</v>
      </c>
      <c r="X6" s="4">
        <v>0.58270037228189597</v>
      </c>
      <c r="Y6" s="4">
        <v>0</v>
      </c>
      <c r="Z6" s="5">
        <v>8.0103405156770903E-4</v>
      </c>
      <c r="AA6" s="5">
        <v>1.8072866102129099E-4</v>
      </c>
      <c r="AB6" s="10">
        <v>3.8425739608059502E-3</v>
      </c>
      <c r="AC6" s="10">
        <v>4.2888805298546697E-8</v>
      </c>
      <c r="AD6" s="10">
        <v>9.18850939659566E-3</v>
      </c>
      <c r="AE6" s="4">
        <v>-5.6751737152787002E-2</v>
      </c>
      <c r="AF6" s="4">
        <v>0.98815995182136596</v>
      </c>
      <c r="AG6" s="4">
        <v>0.99756548377125998</v>
      </c>
      <c r="AH6" s="4">
        <v>0.99996550349523705</v>
      </c>
      <c r="AI6" s="4">
        <v>1</v>
      </c>
      <c r="AJ6" s="4">
        <v>1</v>
      </c>
      <c r="AK6" s="4">
        <v>1</v>
      </c>
      <c r="AL6" s="4">
        <v>1</v>
      </c>
      <c r="AM6" s="4">
        <v>0</v>
      </c>
      <c r="AN6" s="4">
        <v>0</v>
      </c>
      <c r="AO6" s="4" t="s">
        <v>68</v>
      </c>
      <c r="AP6" s="4">
        <f>-25-0</f>
        <v>-25</v>
      </c>
      <c r="AQ6" s="6">
        <v>520237053.69</v>
      </c>
      <c r="AR6" s="4">
        <v>3016</v>
      </c>
      <c r="AS6" s="16">
        <v>10.6635666311183</v>
      </c>
      <c r="AT6" s="16">
        <v>44.973451977416701</v>
      </c>
      <c r="AU6" s="16">
        <v>8.5239353647470395</v>
      </c>
      <c r="AV6" s="16">
        <v>35.839046026717803</v>
      </c>
      <c r="AW6" s="16">
        <v>55.637018608535001</v>
      </c>
      <c r="AX6" s="16">
        <v>44.362981391464899</v>
      </c>
    </row>
    <row r="7" spans="1:50" x14ac:dyDescent="0.25">
      <c r="A7">
        <v>4.3</v>
      </c>
      <c r="B7" s="4">
        <v>0.98367233540671695</v>
      </c>
      <c r="C7" s="4">
        <v>16.6299769068501</v>
      </c>
      <c r="D7" s="4">
        <v>17.926020652418298</v>
      </c>
      <c r="E7" s="4">
        <v>1.50424955004873E-2</v>
      </c>
      <c r="F7" s="5">
        <v>1.6327664593282901E-2</v>
      </c>
      <c r="G7" s="5">
        <v>0</v>
      </c>
      <c r="H7" s="4">
        <v>4.2632624191090498</v>
      </c>
      <c r="I7" s="4">
        <v>4.0592586100197297</v>
      </c>
      <c r="J7" s="4">
        <v>-66.472851634302401</v>
      </c>
      <c r="K7" s="4">
        <v>16.717603686421</v>
      </c>
      <c r="L7" s="4">
        <v>17.193227558809699</v>
      </c>
      <c r="M7" s="4">
        <v>30.0018648840773</v>
      </c>
      <c r="N7" s="4">
        <v>68.423921695810606</v>
      </c>
      <c r="O7" s="4">
        <v>67.074514448627099</v>
      </c>
      <c r="P7" s="4">
        <v>258981.500098024</v>
      </c>
      <c r="Q7" s="4">
        <v>228179.44575919001</v>
      </c>
      <c r="R7" s="4">
        <v>781.91521103482796</v>
      </c>
      <c r="S7" s="4">
        <v>0</v>
      </c>
      <c r="T7" s="4">
        <v>0</v>
      </c>
      <c r="U7" s="4">
        <v>1.90072827625128E-2</v>
      </c>
      <c r="V7" s="4">
        <v>0.43315821592147302</v>
      </c>
      <c r="W7" s="4">
        <v>0</v>
      </c>
      <c r="X7" s="4">
        <v>0.69479842938131098</v>
      </c>
      <c r="Y7" s="4">
        <v>0</v>
      </c>
      <c r="Z7" s="5">
        <v>4.86607297092828E-4</v>
      </c>
      <c r="AA7" s="5">
        <v>1.5142154471168499E-4</v>
      </c>
      <c r="AB7" s="10">
        <v>3.7730907075322201E-3</v>
      </c>
      <c r="AC7" s="10">
        <v>5.8425821235287402E-7</v>
      </c>
      <c r="AD7" s="10">
        <v>1.19159453987193E-2</v>
      </c>
      <c r="AE7" s="4">
        <v>-4.7406501492188398E-2</v>
      </c>
      <c r="AF7" s="4">
        <v>0.94251767460052105</v>
      </c>
      <c r="AG7" s="4">
        <v>0.99463962962373498</v>
      </c>
      <c r="AH7" s="4">
        <v>0.99852034040187299</v>
      </c>
      <c r="AI7" s="4">
        <v>1</v>
      </c>
      <c r="AJ7" s="4">
        <v>1</v>
      </c>
      <c r="AK7" s="4">
        <v>1</v>
      </c>
      <c r="AL7" s="4">
        <v>1</v>
      </c>
      <c r="AM7" s="4">
        <v>0</v>
      </c>
      <c r="AN7" s="4">
        <v>0</v>
      </c>
      <c r="AO7" s="4" t="s">
        <v>69</v>
      </c>
      <c r="AP7" s="4" t="s">
        <v>70</v>
      </c>
      <c r="AQ7" s="6">
        <v>5908934927.3800001</v>
      </c>
      <c r="AR7" s="4">
        <v>25896</v>
      </c>
      <c r="AS7" s="16">
        <v>12.309750608347199</v>
      </c>
      <c r="AT7" s="16">
        <v>44.374427799505398</v>
      </c>
      <c r="AU7" s="16">
        <v>8.2534879032123794</v>
      </c>
      <c r="AV7" s="16">
        <v>35.062333688934899</v>
      </c>
      <c r="AW7" s="16">
        <v>56.684178407852599</v>
      </c>
      <c r="AX7" s="16">
        <v>43.315821592147302</v>
      </c>
    </row>
    <row r="8" spans="1:50" x14ac:dyDescent="0.25">
      <c r="A8">
        <v>4.3</v>
      </c>
      <c r="B8" s="4">
        <v>0.97788226967685099</v>
      </c>
      <c r="C8" s="4">
        <v>25.0836585074005</v>
      </c>
      <c r="D8" s="4">
        <v>23.539195670473401</v>
      </c>
      <c r="E8" s="4">
        <v>2.37792226180806E-2</v>
      </c>
      <c r="F8" s="5">
        <v>2.2117730323148298E-2</v>
      </c>
      <c r="G8" s="5">
        <v>0</v>
      </c>
      <c r="H8" s="4">
        <v>4.4301187266483701</v>
      </c>
      <c r="I8" s="4">
        <v>4.0012286888249404</v>
      </c>
      <c r="J8" s="4">
        <v>-45.632427748029698</v>
      </c>
      <c r="K8" s="4">
        <v>40.560416627556798</v>
      </c>
      <c r="L8" s="4">
        <v>16.319999545132301</v>
      </c>
      <c r="M8" s="4">
        <v>29.4239897732947</v>
      </c>
      <c r="N8" s="4">
        <v>68.580449569413403</v>
      </c>
      <c r="O8" s="4">
        <v>67.122252179822297</v>
      </c>
      <c r="P8" s="4">
        <v>267644.667258751</v>
      </c>
      <c r="Q8" s="4">
        <v>243013.29380393901</v>
      </c>
      <c r="R8" s="4">
        <v>781.639428608402</v>
      </c>
      <c r="S8" s="4">
        <v>0</v>
      </c>
      <c r="T8" s="4">
        <v>0</v>
      </c>
      <c r="U8" s="4">
        <v>3.2527366650728001E-2</v>
      </c>
      <c r="V8" s="4">
        <v>0.42378492293634001</v>
      </c>
      <c r="W8" s="4">
        <v>0</v>
      </c>
      <c r="X8" s="4">
        <v>0.70910419275874104</v>
      </c>
      <c r="Y8" s="4">
        <v>0</v>
      </c>
      <c r="Z8" s="5">
        <v>4.4133923268326698E-4</v>
      </c>
      <c r="AA8" s="5">
        <v>1.7157670291464199E-4</v>
      </c>
      <c r="AB8" s="10">
        <v>3.7355890907257001E-3</v>
      </c>
      <c r="AC8" s="10">
        <v>1.0018418060439101E-6</v>
      </c>
      <c r="AD8" s="10">
        <v>1.7768208174884802E-2</v>
      </c>
      <c r="AE8" s="4">
        <v>-3.6501468789743398E-2</v>
      </c>
      <c r="AF8" s="4">
        <v>0.92354870822118096</v>
      </c>
      <c r="AG8" s="4">
        <v>0.99375422909788402</v>
      </c>
      <c r="AH8" s="4">
        <v>0.99845502032933398</v>
      </c>
      <c r="AI8" s="4">
        <v>0.99998536745406996</v>
      </c>
      <c r="AJ8" s="4">
        <v>1</v>
      </c>
      <c r="AK8" s="4">
        <v>1</v>
      </c>
      <c r="AL8" s="4">
        <v>1</v>
      </c>
      <c r="AM8" s="4">
        <v>0</v>
      </c>
      <c r="AN8" s="4">
        <v>0</v>
      </c>
      <c r="AO8" s="4" t="s">
        <v>71</v>
      </c>
      <c r="AP8" s="4" t="s">
        <v>72</v>
      </c>
      <c r="AQ8" s="6">
        <v>29447621903.279999</v>
      </c>
      <c r="AR8" s="4">
        <v>121177</v>
      </c>
      <c r="AS8" s="16">
        <v>14.361943268053601</v>
      </c>
      <c r="AT8" s="16">
        <v>43.259564438312303</v>
      </c>
      <c r="AU8" s="16">
        <v>10.685003700789601</v>
      </c>
      <c r="AV8" s="16">
        <v>31.6934885928444</v>
      </c>
      <c r="AW8" s="16">
        <v>57.621507706365897</v>
      </c>
      <c r="AX8" s="16">
        <v>42.378492293633997</v>
      </c>
    </row>
    <row r="9" spans="1:50" x14ac:dyDescent="0.25">
      <c r="A9">
        <v>4.3</v>
      </c>
      <c r="B9" s="4">
        <v>0.97130625421860095</v>
      </c>
      <c r="C9" s="4">
        <v>34.0608828636448</v>
      </c>
      <c r="D9" s="4">
        <v>29.486183377732001</v>
      </c>
      <c r="E9" s="4">
        <v>3.4107944475921699E-2</v>
      </c>
      <c r="F9" s="5">
        <v>2.8693745781398699E-2</v>
      </c>
      <c r="G9" s="5">
        <v>0</v>
      </c>
      <c r="H9" s="4">
        <v>4.5800677972918802</v>
      </c>
      <c r="I9" s="4">
        <v>3.9498565474467902</v>
      </c>
      <c r="J9" s="4">
        <v>-29.129246641279199</v>
      </c>
      <c r="K9" s="4">
        <v>65.130418138261206</v>
      </c>
      <c r="L9" s="4">
        <v>16.091632671547298</v>
      </c>
      <c r="M9" s="4">
        <v>28.785384958317302</v>
      </c>
      <c r="N9" s="4">
        <v>68.252231617124707</v>
      </c>
      <c r="O9" s="4">
        <v>66.322084427531706</v>
      </c>
      <c r="P9" s="4">
        <v>268212.60896807298</v>
      </c>
      <c r="Q9" s="4">
        <v>247751.534510189</v>
      </c>
      <c r="R9" s="4">
        <v>781.75498923545501</v>
      </c>
      <c r="S9" s="4">
        <v>0</v>
      </c>
      <c r="T9" s="4">
        <v>0</v>
      </c>
      <c r="U9" s="4">
        <v>3.4621165033353399E-2</v>
      </c>
      <c r="V9" s="4">
        <v>0.435560815792018</v>
      </c>
      <c r="W9" s="4">
        <v>0</v>
      </c>
      <c r="X9" s="4">
        <v>0.74862083051808503</v>
      </c>
      <c r="Y9" s="4">
        <v>0</v>
      </c>
      <c r="Z9" s="5">
        <v>4.2141039468700502E-4</v>
      </c>
      <c r="AA9" s="5">
        <v>2.0620102515298699E-4</v>
      </c>
      <c r="AB9" s="10">
        <v>3.6848619274075498E-3</v>
      </c>
      <c r="AC9" s="10">
        <v>1.77299606389639E-6</v>
      </c>
      <c r="AD9" s="10">
        <v>2.4379484183598001E-2</v>
      </c>
      <c r="AE9" s="4">
        <v>-2.53050329546495E-2</v>
      </c>
      <c r="AF9" s="4">
        <v>0.90146911108458805</v>
      </c>
      <c r="AG9" s="4">
        <v>0.99138956448850102</v>
      </c>
      <c r="AH9" s="4">
        <v>0.99824576230719797</v>
      </c>
      <c r="AI9" s="4">
        <v>0.99997515756475197</v>
      </c>
      <c r="AJ9" s="4">
        <v>1</v>
      </c>
      <c r="AK9" s="4">
        <v>1</v>
      </c>
      <c r="AL9" s="4">
        <v>1</v>
      </c>
      <c r="AM9" s="4">
        <v>0</v>
      </c>
      <c r="AN9" s="4">
        <v>0</v>
      </c>
      <c r="AO9" s="4" t="s">
        <v>73</v>
      </c>
      <c r="AP9" s="4" t="s">
        <v>74</v>
      </c>
      <c r="AQ9" s="6">
        <v>123154810289.67</v>
      </c>
      <c r="AR9" s="4">
        <v>497090</v>
      </c>
      <c r="AS9" s="16">
        <v>14.0702186314223</v>
      </c>
      <c r="AT9" s="16">
        <v>42.373699789375699</v>
      </c>
      <c r="AU9" s="16">
        <v>10.7276748388025</v>
      </c>
      <c r="AV9" s="16">
        <v>32.828406740399302</v>
      </c>
      <c r="AW9" s="16">
        <v>56.443918420798099</v>
      </c>
      <c r="AX9" s="16">
        <v>43.556081579201802</v>
      </c>
    </row>
    <row r="10" spans="1:50" x14ac:dyDescent="0.25">
      <c r="A10">
        <v>4.3</v>
      </c>
      <c r="B10" s="4">
        <v>0.96530673601377703</v>
      </c>
      <c r="C10" s="4">
        <v>40.334988693478699</v>
      </c>
      <c r="D10" s="4">
        <v>34.5387881303241</v>
      </c>
      <c r="E10" s="4">
        <v>4.2122488477800597E-2</v>
      </c>
      <c r="F10" s="5">
        <v>3.4693263986222501E-2</v>
      </c>
      <c r="G10" s="5">
        <v>0</v>
      </c>
      <c r="H10" s="4">
        <v>4.7154885283988399</v>
      </c>
      <c r="I10" s="4">
        <v>3.8907081153255798</v>
      </c>
      <c r="J10" s="4">
        <v>-18.551170537872402</v>
      </c>
      <c r="K10" s="4">
        <v>87.109982420119195</v>
      </c>
      <c r="L10" s="4">
        <v>15.430833326548999</v>
      </c>
      <c r="M10" s="4">
        <v>29.447083294670801</v>
      </c>
      <c r="N10" s="4">
        <v>66.169575133301095</v>
      </c>
      <c r="O10" s="4">
        <v>63.832172620781101</v>
      </c>
      <c r="P10" s="4">
        <v>279374.25067447301</v>
      </c>
      <c r="Q10" s="4">
        <v>258562.59833450601</v>
      </c>
      <c r="R10" s="4">
        <v>781.648829428878</v>
      </c>
      <c r="S10" s="4">
        <v>0</v>
      </c>
      <c r="T10" s="4">
        <v>0</v>
      </c>
      <c r="U10" s="4">
        <v>3.7363786877699402E-2</v>
      </c>
      <c r="V10" s="4">
        <v>0.505680313868755</v>
      </c>
      <c r="W10" s="4">
        <v>0</v>
      </c>
      <c r="X10" s="4">
        <v>0.77738184752612405</v>
      </c>
      <c r="Y10" s="4">
        <v>0</v>
      </c>
      <c r="Z10" s="5">
        <v>4.1838792670910598E-4</v>
      </c>
      <c r="AA10" s="5">
        <v>2.38927613420906E-4</v>
      </c>
      <c r="AB10" s="10">
        <v>3.7948146468653999E-3</v>
      </c>
      <c r="AC10" s="10">
        <v>2.0311001084106902E-6</v>
      </c>
      <c r="AD10" s="10">
        <v>3.0239087516837002E-2</v>
      </c>
      <c r="AE10" s="4">
        <v>-1.7332457234684701E-2</v>
      </c>
      <c r="AF10" s="4">
        <v>0.87794961932549098</v>
      </c>
      <c r="AG10" s="4">
        <v>0.99198914666918703</v>
      </c>
      <c r="AH10" s="4">
        <v>0.99858600882954796</v>
      </c>
      <c r="AI10" s="4">
        <v>0.99998620135889305</v>
      </c>
      <c r="AJ10" s="4">
        <v>1</v>
      </c>
      <c r="AK10" s="4">
        <v>1</v>
      </c>
      <c r="AL10" s="4">
        <v>1</v>
      </c>
      <c r="AM10" s="4">
        <v>0</v>
      </c>
      <c r="AN10" s="4">
        <v>0</v>
      </c>
      <c r="AO10" s="4" t="s">
        <v>75</v>
      </c>
      <c r="AP10" s="4" t="s">
        <v>76</v>
      </c>
      <c r="AQ10" s="6">
        <v>189238087282.04999</v>
      </c>
      <c r="AR10" s="4">
        <v>731885</v>
      </c>
      <c r="AS10" s="16">
        <v>13.9481118807279</v>
      </c>
      <c r="AT10" s="16">
        <v>35.483856732396397</v>
      </c>
      <c r="AU10" s="16">
        <v>12.8122630960452</v>
      </c>
      <c r="AV10" s="16">
        <v>37.755768290830197</v>
      </c>
      <c r="AW10" s="16">
        <v>49.431968613124397</v>
      </c>
      <c r="AX10" s="16">
        <v>50.568031386875496</v>
      </c>
    </row>
    <row r="11" spans="1:50" x14ac:dyDescent="0.25">
      <c r="A11">
        <v>4.3</v>
      </c>
      <c r="B11" s="4">
        <v>0.96122630948901</v>
      </c>
      <c r="C11" s="4">
        <v>42.229864150514402</v>
      </c>
      <c r="D11" s="4">
        <v>37.7831826815463</v>
      </c>
      <c r="E11" s="4">
        <v>4.4695223819703603E-2</v>
      </c>
      <c r="F11" s="5">
        <v>3.8773690510989403E-2</v>
      </c>
      <c r="G11" s="5">
        <v>0</v>
      </c>
      <c r="H11" s="4">
        <v>4.8934648103971998</v>
      </c>
      <c r="I11" s="4">
        <v>3.8146705519739301</v>
      </c>
      <c r="J11" s="4">
        <v>-9.7248916781002208</v>
      </c>
      <c r="K11" s="4">
        <v>112.777591972545</v>
      </c>
      <c r="L11" s="4">
        <v>15.971561310483199</v>
      </c>
      <c r="M11" s="4">
        <v>31.9683158654538</v>
      </c>
      <c r="N11" s="4">
        <v>67.998957882842603</v>
      </c>
      <c r="O11" s="4">
        <v>65.0652046008274</v>
      </c>
      <c r="P11" s="4">
        <v>269555.650854957</v>
      </c>
      <c r="Q11" s="4">
        <v>249920.86122440401</v>
      </c>
      <c r="R11" s="4">
        <v>780.73484576879105</v>
      </c>
      <c r="S11" s="4">
        <v>0</v>
      </c>
      <c r="T11" s="4">
        <v>0</v>
      </c>
      <c r="U11" s="4">
        <v>3.9815232322508901E-2</v>
      </c>
      <c r="V11" s="4">
        <v>0.536840990492086</v>
      </c>
      <c r="W11" s="4">
        <v>0</v>
      </c>
      <c r="X11" s="4">
        <v>0.74410184350845299</v>
      </c>
      <c r="Y11" s="4">
        <v>0</v>
      </c>
      <c r="Z11" s="5">
        <v>4.28238065315998E-4</v>
      </c>
      <c r="AA11" s="5">
        <v>3.4684786099471401E-4</v>
      </c>
      <c r="AB11" s="10">
        <v>3.9908322328768798E-3</v>
      </c>
      <c r="AC11" s="10">
        <v>3.2080051888693601E-6</v>
      </c>
      <c r="AD11" s="10">
        <v>3.4004549066402802E-2</v>
      </c>
      <c r="AE11" s="4">
        <v>-1.21309812319274E-2</v>
      </c>
      <c r="AF11" s="4">
        <v>0.88608074172726703</v>
      </c>
      <c r="AG11" s="4">
        <v>0.98981010531038005</v>
      </c>
      <c r="AH11" s="4">
        <v>0.99843225509143396</v>
      </c>
      <c r="AI11" s="4">
        <v>0.99981348346239096</v>
      </c>
      <c r="AJ11" s="4">
        <v>1</v>
      </c>
      <c r="AK11" s="4">
        <v>1</v>
      </c>
      <c r="AL11" s="4">
        <v>1</v>
      </c>
      <c r="AM11" s="4">
        <v>0</v>
      </c>
      <c r="AN11" s="4">
        <v>0</v>
      </c>
      <c r="AO11" s="4" t="s">
        <v>77</v>
      </c>
      <c r="AP11" s="4" t="s">
        <v>78</v>
      </c>
      <c r="AQ11" s="6">
        <v>184521070417.48001</v>
      </c>
      <c r="AR11" s="4">
        <v>738318</v>
      </c>
      <c r="AS11" s="16">
        <v>13.1831377170439</v>
      </c>
      <c r="AT11" s="16">
        <v>33.132763233747397</v>
      </c>
      <c r="AU11" s="16">
        <v>11.5885853199745</v>
      </c>
      <c r="AV11" s="16">
        <v>42.095513729234</v>
      </c>
      <c r="AW11" s="16">
        <v>46.315900950791303</v>
      </c>
      <c r="AX11" s="16">
        <v>53.684099049208598</v>
      </c>
    </row>
    <row r="12" spans="1:50" x14ac:dyDescent="0.25">
      <c r="A12">
        <v>4.3</v>
      </c>
      <c r="B12" s="4">
        <v>0.95774671520973298</v>
      </c>
      <c r="C12" s="4">
        <v>43.430516045098202</v>
      </c>
      <c r="D12" s="4">
        <v>40.432680999397697</v>
      </c>
      <c r="E12" s="4">
        <v>4.63657259560223E-2</v>
      </c>
      <c r="F12" s="5">
        <v>4.22532847902665E-2</v>
      </c>
      <c r="G12" s="5">
        <v>0</v>
      </c>
      <c r="H12" s="4">
        <v>5.0117610116384101</v>
      </c>
      <c r="I12" s="4">
        <v>3.7351164927137401</v>
      </c>
      <c r="J12" s="4">
        <v>-3.2574518625462501</v>
      </c>
      <c r="K12" s="4">
        <v>135.92957671409101</v>
      </c>
      <c r="L12" s="4">
        <v>15.5704892207636</v>
      </c>
      <c r="M12" s="4">
        <v>34.0324810915127</v>
      </c>
      <c r="N12" s="4">
        <v>67.588816736364294</v>
      </c>
      <c r="O12" s="4">
        <v>63.963152753033398</v>
      </c>
      <c r="P12" s="4">
        <v>276245.11642420402</v>
      </c>
      <c r="Q12" s="4">
        <v>256398.57330214899</v>
      </c>
      <c r="R12" s="4">
        <v>780.01240669643505</v>
      </c>
      <c r="S12" s="4">
        <v>0</v>
      </c>
      <c r="T12" s="4">
        <v>0</v>
      </c>
      <c r="U12" s="4">
        <v>4.49006361593055E-2</v>
      </c>
      <c r="V12" s="4">
        <v>0.54552975365863299</v>
      </c>
      <c r="W12" s="4">
        <v>0</v>
      </c>
      <c r="X12" s="4">
        <v>0.73492034086174896</v>
      </c>
      <c r="Y12" s="4">
        <v>0</v>
      </c>
      <c r="Z12" s="5">
        <v>4.3327674088801702E-4</v>
      </c>
      <c r="AA12" s="5">
        <v>4.3431900516337701E-4</v>
      </c>
      <c r="AB12" s="10">
        <v>3.8639171242937599E-3</v>
      </c>
      <c r="AC12" s="10">
        <v>5.1362060254975397E-6</v>
      </c>
      <c r="AD12" s="10">
        <v>3.7516620398582799E-2</v>
      </c>
      <c r="AE12" s="4">
        <v>-2.2411398691909502E-3</v>
      </c>
      <c r="AF12" s="4">
        <v>0.84055371536569601</v>
      </c>
      <c r="AG12" s="4">
        <v>0.98751508097024199</v>
      </c>
      <c r="AH12" s="4">
        <v>0.99791425303046299</v>
      </c>
      <c r="AI12" s="4">
        <v>0.99975669231376796</v>
      </c>
      <c r="AJ12" s="4">
        <v>1</v>
      </c>
      <c r="AK12" s="4">
        <v>1</v>
      </c>
      <c r="AL12" s="4">
        <v>1</v>
      </c>
      <c r="AM12" s="4">
        <v>0</v>
      </c>
      <c r="AN12" s="4">
        <v>0</v>
      </c>
      <c r="AO12" s="4" t="s">
        <v>79</v>
      </c>
      <c r="AP12" s="4" t="s">
        <v>80</v>
      </c>
      <c r="AQ12" s="6">
        <v>138213702127.10999</v>
      </c>
      <c r="AR12" s="4">
        <v>539058</v>
      </c>
      <c r="AS12" s="16">
        <v>13.462637740082799</v>
      </c>
      <c r="AT12" s="16">
        <v>31.984386894053799</v>
      </c>
      <c r="AU12" s="16">
        <v>11.738894943562601</v>
      </c>
      <c r="AV12" s="16">
        <v>42.814080422300599</v>
      </c>
      <c r="AW12" s="16">
        <v>45.447024634136604</v>
      </c>
      <c r="AX12" s="16">
        <v>54.552975365863297</v>
      </c>
    </row>
    <row r="13" spans="1:50" x14ac:dyDescent="0.25">
      <c r="A13">
        <v>4.3</v>
      </c>
      <c r="B13" s="4">
        <v>0.95694215521091797</v>
      </c>
      <c r="C13" s="4">
        <v>42.81703181001</v>
      </c>
      <c r="D13" s="4">
        <v>41.030392314607298</v>
      </c>
      <c r="E13" s="4">
        <v>4.5508149888812001E-2</v>
      </c>
      <c r="F13" s="5">
        <v>4.3057844789081097E-2</v>
      </c>
      <c r="G13" s="5">
        <v>0</v>
      </c>
      <c r="H13" s="4">
        <v>5.2227868412311098</v>
      </c>
      <c r="I13" s="4">
        <v>3.7035981704192502</v>
      </c>
      <c r="J13" s="4">
        <v>12.7127010673951</v>
      </c>
      <c r="K13" s="4">
        <v>161.00603318595199</v>
      </c>
      <c r="L13" s="4">
        <v>15.9079426855742</v>
      </c>
      <c r="M13" s="4">
        <v>35.570661331232699</v>
      </c>
      <c r="N13" s="4">
        <v>69.692901785557495</v>
      </c>
      <c r="O13" s="4">
        <v>65.628564985684605</v>
      </c>
      <c r="P13" s="4">
        <v>270183.70881190599</v>
      </c>
      <c r="Q13" s="4">
        <v>250975.177950329</v>
      </c>
      <c r="R13" s="4">
        <v>778.84109286395505</v>
      </c>
      <c r="S13" s="4">
        <v>0</v>
      </c>
      <c r="T13" s="4">
        <v>0</v>
      </c>
      <c r="U13" s="4">
        <v>4.3887434579184897E-2</v>
      </c>
      <c r="V13" s="4">
        <v>0.59869949327721295</v>
      </c>
      <c r="W13" s="4">
        <v>0</v>
      </c>
      <c r="X13" s="4">
        <v>0.71384687854186102</v>
      </c>
      <c r="Y13" s="4">
        <v>0</v>
      </c>
      <c r="Z13" s="5">
        <v>4.3998118136028799E-4</v>
      </c>
      <c r="AA13" s="5">
        <v>6.7141775327851899E-4</v>
      </c>
      <c r="AB13" s="10">
        <v>3.9097782470538002E-3</v>
      </c>
      <c r="AC13" s="10">
        <v>5.3656131804302096E-6</v>
      </c>
      <c r="AD13" s="10">
        <v>3.8031286666364197E-2</v>
      </c>
      <c r="AE13" s="4">
        <v>1.29496612697125E-3</v>
      </c>
      <c r="AF13" s="4">
        <v>0.83238914682436005</v>
      </c>
      <c r="AG13" s="4">
        <v>0.98881141962996399</v>
      </c>
      <c r="AH13" s="4">
        <v>0.99813759607888397</v>
      </c>
      <c r="AI13" s="4">
        <v>0.99974695454095197</v>
      </c>
      <c r="AJ13" s="4">
        <v>1</v>
      </c>
      <c r="AK13" s="4">
        <v>1</v>
      </c>
      <c r="AL13" s="4">
        <v>1</v>
      </c>
      <c r="AM13" s="4">
        <v>0</v>
      </c>
      <c r="AN13" s="4">
        <v>0</v>
      </c>
      <c r="AO13" s="4" t="s">
        <v>81</v>
      </c>
      <c r="AP13" s="4" t="s">
        <v>82</v>
      </c>
      <c r="AQ13" s="6">
        <v>60320880119.650002</v>
      </c>
      <c r="AR13" s="4">
        <v>240346</v>
      </c>
      <c r="AS13" s="16">
        <v>12.1117664032724</v>
      </c>
      <c r="AT13" s="16">
        <v>28.018284269006202</v>
      </c>
      <c r="AU13" s="16">
        <v>12.150352706578699</v>
      </c>
      <c r="AV13" s="16">
        <v>47.7195966211426</v>
      </c>
      <c r="AW13" s="16">
        <v>40.1300506722786</v>
      </c>
      <c r="AX13" s="16">
        <v>59.869949327721301</v>
      </c>
    </row>
    <row r="14" spans="1:50" x14ac:dyDescent="0.25">
      <c r="A14">
        <v>4.3</v>
      </c>
      <c r="B14" s="4">
        <v>0.95678858055064997</v>
      </c>
      <c r="C14" s="4">
        <v>40.848321284894801</v>
      </c>
      <c r="D14" s="4">
        <v>41.143856829332499</v>
      </c>
      <c r="E14" s="4">
        <v>4.2811976088199602E-2</v>
      </c>
      <c r="F14" s="5">
        <v>4.3211419449349503E-2</v>
      </c>
      <c r="G14" s="5">
        <v>0</v>
      </c>
      <c r="H14" s="4">
        <v>5.3823891692109296</v>
      </c>
      <c r="I14" s="4">
        <v>3.6735420967719001</v>
      </c>
      <c r="J14" s="4">
        <v>27.863444920836201</v>
      </c>
      <c r="K14" s="4">
        <v>183.95939863203901</v>
      </c>
      <c r="L14" s="4">
        <v>15.5454949177534</v>
      </c>
      <c r="M14" s="4">
        <v>37.628660379541699</v>
      </c>
      <c r="N14" s="4">
        <v>69.676520074355693</v>
      </c>
      <c r="O14" s="4">
        <v>65.038570126640806</v>
      </c>
      <c r="P14" s="4">
        <v>276718.767576857</v>
      </c>
      <c r="Q14" s="4">
        <v>256834.75929733599</v>
      </c>
      <c r="R14" s="4">
        <v>778.22943323362301</v>
      </c>
      <c r="S14" s="4">
        <v>0</v>
      </c>
      <c r="T14" s="4">
        <v>0</v>
      </c>
      <c r="U14" s="4">
        <v>4.6212221929435797E-2</v>
      </c>
      <c r="V14" s="4">
        <v>0.60928811059215604</v>
      </c>
      <c r="W14" s="4">
        <v>0</v>
      </c>
      <c r="X14" s="4">
        <v>0.71946832937670402</v>
      </c>
      <c r="Y14" s="4">
        <v>0</v>
      </c>
      <c r="Z14" s="5">
        <v>4.4977824985876499E-4</v>
      </c>
      <c r="AA14" s="5">
        <v>8.9749289087974102E-4</v>
      </c>
      <c r="AB14" s="10">
        <v>3.75736645461312E-3</v>
      </c>
      <c r="AC14" s="10">
        <v>8.8435952609200096E-6</v>
      </c>
      <c r="AD14" s="10">
        <v>3.8097923003222102E-2</v>
      </c>
      <c r="AE14" s="4">
        <v>7.2707101025135598E-3</v>
      </c>
      <c r="AF14" s="4">
        <v>0.78699962188561401</v>
      </c>
      <c r="AG14" s="4">
        <v>0.98519327985579297</v>
      </c>
      <c r="AH14" s="4">
        <v>0.99708187635511503</v>
      </c>
      <c r="AI14" s="4">
        <v>0.99982057466531304</v>
      </c>
      <c r="AJ14" s="4">
        <v>1</v>
      </c>
      <c r="AK14" s="4">
        <v>1</v>
      </c>
      <c r="AL14" s="4">
        <v>1</v>
      </c>
      <c r="AM14" s="4">
        <v>0</v>
      </c>
      <c r="AN14" s="4">
        <v>0</v>
      </c>
      <c r="AO14" s="4" t="s">
        <v>83</v>
      </c>
      <c r="AP14" s="4" t="s">
        <v>84</v>
      </c>
      <c r="AQ14" s="6">
        <v>19036078689.599998</v>
      </c>
      <c r="AR14" s="4">
        <v>74118</v>
      </c>
      <c r="AS14" s="16">
        <v>11.9677320264211</v>
      </c>
      <c r="AT14" s="16">
        <v>27.1034569143631</v>
      </c>
      <c r="AU14" s="16">
        <v>11.469666840328999</v>
      </c>
      <c r="AV14" s="16">
        <v>49.4591442188865</v>
      </c>
      <c r="AW14" s="16">
        <v>39.071188940784303</v>
      </c>
      <c r="AX14" s="16">
        <v>60.928811059215597</v>
      </c>
    </row>
    <row r="15" spans="1:50" x14ac:dyDescent="0.25">
      <c r="A15">
        <v>4.3</v>
      </c>
      <c r="B15" s="4">
        <v>0.95965032772075898</v>
      </c>
      <c r="C15" s="4">
        <v>39.326351237253</v>
      </c>
      <c r="D15" s="4">
        <v>38.9962979285324</v>
      </c>
      <c r="E15" s="4">
        <v>4.0783421801696099E-2</v>
      </c>
      <c r="F15" s="5">
        <v>4.0349672279240002E-2</v>
      </c>
      <c r="G15" s="5">
        <v>0</v>
      </c>
      <c r="H15" s="4">
        <v>5.57102286179882</v>
      </c>
      <c r="I15" s="4">
        <v>3.67773029386835</v>
      </c>
      <c r="J15" s="4">
        <v>46.756090543031803</v>
      </c>
      <c r="K15" s="4">
        <v>209.45370462217099</v>
      </c>
      <c r="L15" s="4">
        <v>15.957203488801801</v>
      </c>
      <c r="M15" s="4">
        <v>38.921341103371702</v>
      </c>
      <c r="N15" s="4">
        <v>73.345641513013106</v>
      </c>
      <c r="O15" s="4">
        <v>67.691510239993505</v>
      </c>
      <c r="P15" s="4">
        <v>270149.02478779701</v>
      </c>
      <c r="Q15" s="4">
        <v>250217.175720864</v>
      </c>
      <c r="R15" s="4">
        <v>776.86708014287296</v>
      </c>
      <c r="S15" s="4">
        <v>0</v>
      </c>
      <c r="T15" s="4">
        <v>0</v>
      </c>
      <c r="U15" s="4">
        <v>3.2041067070645197E-2</v>
      </c>
      <c r="V15" s="4">
        <v>0.63087815172335104</v>
      </c>
      <c r="W15" s="4">
        <v>0</v>
      </c>
      <c r="X15" s="4">
        <v>0.67502083162390403</v>
      </c>
      <c r="Y15" s="4">
        <v>0</v>
      </c>
      <c r="Z15" s="5">
        <v>4.5714559676376297E-4</v>
      </c>
      <c r="AA15" s="5">
        <v>1.05079579613257E-3</v>
      </c>
      <c r="AB15" s="10">
        <v>3.8411387579300399E-3</v>
      </c>
      <c r="AC15" s="10">
        <v>1.9877559157312801E-5</v>
      </c>
      <c r="AD15" s="10">
        <v>3.4980699299328899E-2</v>
      </c>
      <c r="AE15" s="4">
        <v>1.5918157906386201E-2</v>
      </c>
      <c r="AF15" s="4">
        <v>0.72313041864166605</v>
      </c>
      <c r="AG15" s="4">
        <v>0.96685982920858704</v>
      </c>
      <c r="AH15" s="4">
        <v>0.99327678121173002</v>
      </c>
      <c r="AI15" s="4">
        <v>0.99912055533042499</v>
      </c>
      <c r="AJ15" s="4">
        <v>1</v>
      </c>
      <c r="AK15" s="4">
        <v>1</v>
      </c>
      <c r="AL15" s="4">
        <v>1</v>
      </c>
      <c r="AM15" s="4">
        <v>0</v>
      </c>
      <c r="AN15" s="4">
        <v>0</v>
      </c>
      <c r="AO15" s="4" t="s">
        <v>85</v>
      </c>
      <c r="AP15" s="4" t="s">
        <v>86</v>
      </c>
      <c r="AQ15" s="6">
        <v>3205532238.1599998</v>
      </c>
      <c r="AR15" s="4">
        <v>12811</v>
      </c>
      <c r="AS15" s="16">
        <v>10.496757691419701</v>
      </c>
      <c r="AT15" s="16">
        <v>26.415427136245</v>
      </c>
      <c r="AU15" s="16">
        <v>11.030447210943001</v>
      </c>
      <c r="AV15" s="16">
        <v>52.057367961392103</v>
      </c>
      <c r="AW15" s="16">
        <v>36.912184827664802</v>
      </c>
      <c r="AX15" s="16">
        <v>63.087815172335098</v>
      </c>
    </row>
    <row r="16" spans="1:50" x14ac:dyDescent="0.25">
      <c r="A16">
        <v>4.3</v>
      </c>
      <c r="B16" s="4">
        <v>0.96128536315385205</v>
      </c>
      <c r="C16" s="4">
        <v>39.004870469422002</v>
      </c>
      <c r="D16" s="4">
        <v>37.7372991333486</v>
      </c>
      <c r="E16" s="4">
        <v>4.0360910902604602E-2</v>
      </c>
      <c r="F16" s="5">
        <v>3.8714636846147003E-2</v>
      </c>
      <c r="G16" s="5">
        <v>0</v>
      </c>
      <c r="H16" s="4">
        <v>5.6910467710245598</v>
      </c>
      <c r="I16" s="4">
        <v>3.6698000768645902</v>
      </c>
      <c r="J16" s="4">
        <v>59.805408360489999</v>
      </c>
      <c r="K16" s="4">
        <v>233.68844069790299</v>
      </c>
      <c r="L16" s="4">
        <v>15.710860116739701</v>
      </c>
      <c r="M16" s="4">
        <v>39.375976785879899</v>
      </c>
      <c r="N16" s="4">
        <v>75.761613962719693</v>
      </c>
      <c r="O16" s="4">
        <v>68.822674565039094</v>
      </c>
      <c r="P16" s="4">
        <v>276076.75590832799</v>
      </c>
      <c r="Q16" s="4">
        <v>254144.55841483199</v>
      </c>
      <c r="R16" s="4">
        <v>776.85488196287895</v>
      </c>
      <c r="S16" s="4">
        <v>0</v>
      </c>
      <c r="T16" s="4">
        <v>0</v>
      </c>
      <c r="U16" s="4">
        <v>4.0665119918526997E-2</v>
      </c>
      <c r="V16" s="4">
        <v>0.64388528475991702</v>
      </c>
      <c r="W16" s="4">
        <v>0</v>
      </c>
      <c r="X16" s="4">
        <v>0.65325781541685402</v>
      </c>
      <c r="Y16" s="4">
        <v>0</v>
      </c>
      <c r="Z16" s="5">
        <v>4.6496213790758799E-4</v>
      </c>
      <c r="AA16" s="5">
        <v>1.43831950013406E-3</v>
      </c>
      <c r="AB16" s="10">
        <v>3.7480591746767E-3</v>
      </c>
      <c r="AC16" s="10">
        <v>4.7259168701016701E-5</v>
      </c>
      <c r="AD16" s="10">
        <v>3.3016021520124998E-2</v>
      </c>
      <c r="AE16" s="4">
        <v>2.9006960098884298E-2</v>
      </c>
      <c r="AF16" s="4">
        <v>0.65722937262792402</v>
      </c>
      <c r="AG16" s="4">
        <v>0.93236976132542604</v>
      </c>
      <c r="AH16" s="4">
        <v>0.98367578157291502</v>
      </c>
      <c r="AI16" s="4">
        <v>0.99888089121690404</v>
      </c>
      <c r="AJ16" s="4">
        <v>1</v>
      </c>
      <c r="AK16" s="4">
        <v>1</v>
      </c>
      <c r="AL16" s="4">
        <v>1</v>
      </c>
      <c r="AM16" s="4">
        <v>0</v>
      </c>
      <c r="AN16" s="4">
        <v>0</v>
      </c>
      <c r="AO16" s="4" t="s">
        <v>87</v>
      </c>
      <c r="AP16" s="4" t="s">
        <v>88</v>
      </c>
      <c r="AQ16" s="6">
        <v>623670746.35000002</v>
      </c>
      <c r="AR16" s="4">
        <v>2454</v>
      </c>
      <c r="AS16" s="16">
        <v>11.300401779699399</v>
      </c>
      <c r="AT16" s="16">
        <v>24.311069744308799</v>
      </c>
      <c r="AU16" s="16">
        <v>12.320369459317</v>
      </c>
      <c r="AV16" s="16">
        <v>52.068159016674699</v>
      </c>
      <c r="AW16" s="16">
        <v>35.611471524008202</v>
      </c>
      <c r="AX16" s="16">
        <v>64.388528475991706</v>
      </c>
    </row>
    <row r="17" spans="1:50" x14ac:dyDescent="0.25">
      <c r="A17">
        <v>4.3</v>
      </c>
      <c r="B17" s="4">
        <v>0.96250323231016</v>
      </c>
      <c r="C17" s="4">
        <v>48.491811326748397</v>
      </c>
      <c r="D17" s="4">
        <v>36.784094992026901</v>
      </c>
      <c r="E17" s="4">
        <v>5.3785302101780001E-2</v>
      </c>
      <c r="F17" s="5">
        <v>3.7496767689839297E-2</v>
      </c>
      <c r="G17" s="5">
        <v>0</v>
      </c>
      <c r="H17" s="4">
        <v>5.8607298339704297</v>
      </c>
      <c r="I17" s="4">
        <v>3.6975991804738202</v>
      </c>
      <c r="J17" s="4">
        <v>77.423252239571895</v>
      </c>
      <c r="K17" s="4">
        <v>271.38147049753798</v>
      </c>
      <c r="L17" s="4">
        <v>15.3566629889257</v>
      </c>
      <c r="M17" s="4">
        <v>38.893016957151801</v>
      </c>
      <c r="N17" s="4">
        <v>83.782928376276701</v>
      </c>
      <c r="O17" s="4">
        <v>74.039933543539803</v>
      </c>
      <c r="P17" s="4">
        <v>280200.93669457501</v>
      </c>
      <c r="Q17" s="4">
        <v>260001.28193406499</v>
      </c>
      <c r="R17" s="4">
        <v>774.21663051651501</v>
      </c>
      <c r="S17" s="4">
        <v>0</v>
      </c>
      <c r="T17" s="4">
        <v>0</v>
      </c>
      <c r="U17" s="4">
        <v>2.7828875215330999E-2</v>
      </c>
      <c r="V17" s="4">
        <v>0.69094470089412297</v>
      </c>
      <c r="W17" s="4">
        <v>0</v>
      </c>
      <c r="X17" s="4">
        <v>0.54818966603492403</v>
      </c>
      <c r="Y17" s="4">
        <v>0</v>
      </c>
      <c r="Z17" s="5">
        <v>4.7942213428066798E-4</v>
      </c>
      <c r="AA17" s="5">
        <v>1.50040516872326E-3</v>
      </c>
      <c r="AB17" s="10">
        <v>3.8460780859025001E-3</v>
      </c>
      <c r="AC17" s="10">
        <v>1.0597716446869E-4</v>
      </c>
      <c r="AD17" s="10">
        <v>3.1564869269854003E-2</v>
      </c>
      <c r="AE17" s="4">
        <v>5.6337641012310397E-2</v>
      </c>
      <c r="AF17" s="4">
        <v>0.49526170975274603</v>
      </c>
      <c r="AG17" s="4">
        <v>0.83911173552753004</v>
      </c>
      <c r="AH17" s="4">
        <v>0.96226327380454402</v>
      </c>
      <c r="AI17" s="4">
        <v>0.99764238153129003</v>
      </c>
      <c r="AJ17" s="4">
        <v>1</v>
      </c>
      <c r="AK17" s="4">
        <v>1</v>
      </c>
      <c r="AL17" s="4">
        <v>1</v>
      </c>
      <c r="AM17" s="4">
        <v>0</v>
      </c>
      <c r="AN17" s="4">
        <v>0</v>
      </c>
      <c r="AO17" s="4" t="s">
        <v>89</v>
      </c>
      <c r="AP17" s="4" t="s">
        <v>90</v>
      </c>
      <c r="AQ17" s="6">
        <v>118300583.28</v>
      </c>
      <c r="AR17" s="4">
        <v>455</v>
      </c>
      <c r="AS17" s="16">
        <v>11.1495115191286</v>
      </c>
      <c r="AT17" s="16">
        <v>19.756018391458898</v>
      </c>
      <c r="AU17" s="16">
        <v>14.4715913694859</v>
      </c>
      <c r="AV17" s="16">
        <v>54.622878719926398</v>
      </c>
      <c r="AW17" s="16">
        <v>30.9055299105876</v>
      </c>
      <c r="AX17" s="16">
        <v>69.094470089412297</v>
      </c>
    </row>
    <row r="25" spans="1:50" x14ac:dyDescent="0.25">
      <c r="K25" t="s">
        <v>104</v>
      </c>
      <c r="L25" t="s">
        <v>92</v>
      </c>
      <c r="M25" t="s">
        <v>93</v>
      </c>
      <c r="R25" t="s">
        <v>104</v>
      </c>
      <c r="W25" t="s">
        <v>92</v>
      </c>
      <c r="AB25" t="s">
        <v>93</v>
      </c>
    </row>
    <row r="26" spans="1:50" x14ac:dyDescent="0.25">
      <c r="A26" s="4" t="s">
        <v>97</v>
      </c>
      <c r="B26" t="str">
        <f>AQ2</f>
        <v>Balance</v>
      </c>
      <c r="C26" s="2" t="str">
        <f t="shared" ref="C26:C41" si="0">AO2</f>
        <v>groupByColumn</v>
      </c>
      <c r="D26" t="str">
        <f>E2</f>
        <v>PREPAY_SMM1</v>
      </c>
      <c r="E26" t="str">
        <f>F2</f>
        <v>PREPAY_TRACKING_SMM1</v>
      </c>
      <c r="F26" t="s">
        <v>94</v>
      </c>
      <c r="G26" t="str">
        <f>C2</f>
        <v>PREPAY_CPR1</v>
      </c>
      <c r="H26" t="str">
        <f>D2</f>
        <v>PREPAY_TRACKING_CPR1</v>
      </c>
      <c r="K26" t="s">
        <v>95</v>
      </c>
      <c r="L26" t="s">
        <v>95</v>
      </c>
      <c r="M26" t="s">
        <v>95</v>
      </c>
      <c r="N26" t="s">
        <v>102</v>
      </c>
      <c r="O26" t="s">
        <v>103</v>
      </c>
      <c r="P26" t="s">
        <v>94</v>
      </c>
      <c r="R26" t="s">
        <v>98</v>
      </c>
      <c r="T26" t="s">
        <v>96</v>
      </c>
      <c r="U26" t="s">
        <v>101</v>
      </c>
      <c r="W26" t="s">
        <v>98</v>
      </c>
      <c r="X26" t="s">
        <v>105</v>
      </c>
      <c r="Y26" t="s">
        <v>96</v>
      </c>
      <c r="Z26" t="s">
        <v>101</v>
      </c>
      <c r="AB26" t="s">
        <v>98</v>
      </c>
      <c r="AC26" t="s">
        <v>105</v>
      </c>
      <c r="AD26" t="s">
        <v>96</v>
      </c>
      <c r="AE26" t="s">
        <v>101</v>
      </c>
    </row>
    <row r="27" spans="1:50" s="18" customFormat="1" x14ac:dyDescent="0.25">
      <c r="A27" s="16">
        <f t="shared" ref="A27:A41" si="1">K3</f>
        <v>-82.984204191452207</v>
      </c>
      <c r="B27" s="23">
        <f t="shared" ref="B27:B41" si="2">AQ3/1000000000</f>
        <v>1.98834758E-3</v>
      </c>
      <c r="C27" s="24" t="str">
        <f t="shared" si="0"/>
        <v>05:-100--75</v>
      </c>
      <c r="D27" s="17">
        <f>E3</f>
        <v>0</v>
      </c>
      <c r="E27" s="17">
        <f t="shared" ref="E27:E41" si="3">Z3+AA3+AB3+AC3+AD3</f>
        <v>9.5160453498980176E-3</v>
      </c>
      <c r="F27" s="23">
        <f t="shared" ref="F27:F40" si="4">D27/E27</f>
        <v>0</v>
      </c>
      <c r="G27" s="24">
        <f t="shared" ref="G27:G41" si="5">(1-(1-D27)^12)*100</f>
        <v>0</v>
      </c>
      <c r="H27" s="24">
        <f t="shared" ref="H27:H41" si="6">(1-(1-E27)^12)*100</f>
        <v>10.840148820300888</v>
      </c>
      <c r="K27" s="16">
        <v>1</v>
      </c>
      <c r="L27" s="16">
        <v>1</v>
      </c>
      <c r="M27" s="16">
        <v>1</v>
      </c>
      <c r="N27" s="17">
        <f t="shared" ref="N27:N41" si="7">Z3+AA3+AB3*K27+AC3*L27+AD3*M27</f>
        <v>9.5160453498980176E-3</v>
      </c>
      <c r="O27" s="24">
        <f t="shared" ref="O27:O41" si="8">100*(1-(1-N27)^12)</f>
        <v>10.840148820300888</v>
      </c>
      <c r="P27" s="25">
        <f t="shared" ref="P27:P41" si="9">D27/N27</f>
        <v>0</v>
      </c>
      <c r="S27" s="19">
        <f>A27</f>
        <v>-82.984204191452207</v>
      </c>
      <c r="T27" s="17">
        <f>VLOOKUP(ROUNDDOWN(S27,0),'Spline Pre-Adj'!A:B,2,0)</f>
        <v>1.141723072</v>
      </c>
      <c r="U27" s="17">
        <f>T27*K27</f>
        <v>1.141723072</v>
      </c>
      <c r="Y27" s="17"/>
      <c r="Z27" s="17"/>
      <c r="AE27" s="17"/>
    </row>
    <row r="28" spans="1:50" s="18" customFormat="1" x14ac:dyDescent="0.25">
      <c r="A28" s="16">
        <f t="shared" si="1"/>
        <v>-60.076868837927201</v>
      </c>
      <c r="B28" s="23">
        <f t="shared" si="2"/>
        <v>7.3319890400000004E-3</v>
      </c>
      <c r="C28" s="24" t="str">
        <f t="shared" si="0"/>
        <v>06:-75--50</v>
      </c>
      <c r="D28" s="17">
        <f>E4</f>
        <v>1.4538298378228599E-2</v>
      </c>
      <c r="E28" s="17">
        <f t="shared" si="3"/>
        <v>1.658173206561717E-2</v>
      </c>
      <c r="F28" s="23">
        <f t="shared" si="4"/>
        <v>0.87676596875994006</v>
      </c>
      <c r="G28" s="24">
        <f t="shared" si="5"/>
        <v>16.116409883057202</v>
      </c>
      <c r="H28" s="24">
        <f t="shared" si="6"/>
        <v>18.180040993727363</v>
      </c>
      <c r="K28" s="16">
        <v>1</v>
      </c>
      <c r="L28" s="16">
        <v>1</v>
      </c>
      <c r="M28" s="16">
        <v>1</v>
      </c>
      <c r="N28" s="17">
        <f t="shared" si="7"/>
        <v>1.658173206561717E-2</v>
      </c>
      <c r="O28" s="24">
        <f t="shared" si="8"/>
        <v>18.180040993727363</v>
      </c>
      <c r="P28" s="25">
        <f t="shared" si="9"/>
        <v>0.87676596875994006</v>
      </c>
      <c r="S28" s="19">
        <f t="shared" ref="S28:S35" si="10">A28</f>
        <v>-60.076868837927201</v>
      </c>
      <c r="T28" s="17">
        <f>VLOOKUP(ROUNDDOWN(S28,0),'Spline Pre-Adj'!A:B,2,0)</f>
        <v>1.267304</v>
      </c>
      <c r="U28" s="17">
        <f t="shared" ref="U28:U35" si="11">T28*K28</f>
        <v>1.267304</v>
      </c>
      <c r="X28" s="19">
        <f>A28</f>
        <v>-60.076868837927201</v>
      </c>
      <c r="Y28" s="17">
        <f>VLOOKUP(ROUNDDOWN(X28,0),'Spline Pre-Adj'!F:G,2,0)</f>
        <v>0.169505391304348</v>
      </c>
      <c r="Z28" s="17">
        <f t="shared" ref="Z28:Z41" si="12">Y28*L28</f>
        <v>0.169505391304348</v>
      </c>
      <c r="AE28" s="17"/>
    </row>
    <row r="29" spans="1:50" s="18" customFormat="1" x14ac:dyDescent="0.25">
      <c r="A29" s="16">
        <f t="shared" si="1"/>
        <v>-33.483850125560203</v>
      </c>
      <c r="B29" s="23">
        <f t="shared" si="2"/>
        <v>4.0977930000000003E-2</v>
      </c>
      <c r="C29" s="24" t="str">
        <f t="shared" si="0"/>
        <v>07:-50--25</v>
      </c>
      <c r="D29" s="17">
        <f>E5</f>
        <v>1.5179239099881101E-2</v>
      </c>
      <c r="E29" s="17">
        <f t="shared" si="3"/>
        <v>1.7138501282295222E-2</v>
      </c>
      <c r="F29" s="23">
        <f t="shared" si="4"/>
        <v>0.88568065841100585</v>
      </c>
      <c r="G29" s="24">
        <f t="shared" si="5"/>
        <v>16.768764003844126</v>
      </c>
      <c r="H29" s="24">
        <f t="shared" si="6"/>
        <v>18.734188726410306</v>
      </c>
      <c r="K29" s="16">
        <v>1</v>
      </c>
      <c r="L29" s="16">
        <v>1</v>
      </c>
      <c r="M29" s="16">
        <v>1</v>
      </c>
      <c r="N29" s="17">
        <f t="shared" si="7"/>
        <v>1.7138501282295222E-2</v>
      </c>
      <c r="O29" s="24">
        <f t="shared" si="8"/>
        <v>18.734188726410306</v>
      </c>
      <c r="P29" s="25">
        <f t="shared" si="9"/>
        <v>0.88568065841100585</v>
      </c>
      <c r="S29" s="19">
        <f t="shared" si="10"/>
        <v>-33.483850125560203</v>
      </c>
      <c r="T29" s="17">
        <f>VLOOKUP(ROUNDDOWN(S29,0),'Spline Pre-Adj'!A:B,2,0)</f>
        <v>1.2869999999999999</v>
      </c>
      <c r="U29" s="17">
        <f t="shared" si="11"/>
        <v>1.2869999999999999</v>
      </c>
      <c r="X29" s="9">
        <f t="shared" ref="X29:X41" si="13">A29</f>
        <v>-33.483850125560203</v>
      </c>
      <c r="Y29" s="8">
        <f>VLOOKUP(ROUNDDOWN(X29,0),'Spline Pre-Adj'!F:G,2,0)</f>
        <v>0.30615060763888902</v>
      </c>
      <c r="Z29" s="8">
        <f t="shared" si="12"/>
        <v>0.30615060763888902</v>
      </c>
      <c r="AE29" s="17"/>
    </row>
    <row r="30" spans="1:50" s="18" customFormat="1" x14ac:dyDescent="0.25">
      <c r="A30" s="16">
        <f t="shared" si="1"/>
        <v>-8.0399625616296202</v>
      </c>
      <c r="B30" s="23">
        <f t="shared" si="2"/>
        <v>0.52023705368999995</v>
      </c>
      <c r="C30" s="24" t="str">
        <f t="shared" si="0"/>
        <v>08:-25-0</v>
      </c>
      <c r="D30" s="17">
        <f>E6</f>
        <v>1.7351884248824001E-2</v>
      </c>
      <c r="E30" s="17">
        <f t="shared" si="3"/>
        <v>1.4012888958795908E-2</v>
      </c>
      <c r="F30" s="23">
        <f t="shared" si="4"/>
        <v>1.2382802932247745</v>
      </c>
      <c r="G30" s="24">
        <f t="shared" si="5"/>
        <v>18.945653501219649</v>
      </c>
      <c r="H30" s="24">
        <f t="shared" si="6"/>
        <v>15.578152156105352</v>
      </c>
      <c r="K30" s="16">
        <v>1</v>
      </c>
      <c r="L30" s="16">
        <v>1</v>
      </c>
      <c r="M30" s="16">
        <v>1</v>
      </c>
      <c r="N30" s="17">
        <f t="shared" si="7"/>
        <v>1.4012888958795908E-2</v>
      </c>
      <c r="O30" s="24">
        <f t="shared" si="8"/>
        <v>15.578152156105352</v>
      </c>
      <c r="P30" s="25">
        <f t="shared" si="9"/>
        <v>1.2382802932247745</v>
      </c>
      <c r="S30" s="19">
        <f t="shared" si="10"/>
        <v>-8.0399625616296202</v>
      </c>
      <c r="T30" s="17">
        <f>VLOOKUP(ROUNDDOWN(S30,0),'Spline Pre-Adj'!A:B,2,0)</f>
        <v>1.2869999999999999</v>
      </c>
      <c r="U30" s="17">
        <f t="shared" si="11"/>
        <v>1.2869999999999999</v>
      </c>
      <c r="X30" s="19">
        <f t="shared" si="13"/>
        <v>-8.0399625616296202</v>
      </c>
      <c r="Y30" s="17">
        <f>VLOOKUP(ROUNDDOWN(X30,0),'Spline Pre-Adj'!F:G,2,0)</f>
        <v>0.53185287373913004</v>
      </c>
      <c r="Z30" s="17">
        <f t="shared" si="12"/>
        <v>0.53185287373913004</v>
      </c>
      <c r="AC30" s="19">
        <f t="shared" ref="AC30:AC41" si="14">A30</f>
        <v>-8.0399625616296202</v>
      </c>
      <c r="AD30" s="17">
        <f>VLOOKUP(ROUNDDOWN(AC30,0),'Spline Pre-Adj'!K:L,2,0)</f>
        <v>1.1762837415319201</v>
      </c>
      <c r="AE30" s="17">
        <f t="shared" ref="AE30:AE41" si="15">AD30*M30</f>
        <v>1.1762837415319201</v>
      </c>
    </row>
    <row r="31" spans="1:50" x14ac:dyDescent="0.25">
      <c r="A31" s="4">
        <f t="shared" si="1"/>
        <v>16.717603686421</v>
      </c>
      <c r="B31" s="3">
        <f t="shared" si="2"/>
        <v>5.9089349273799998</v>
      </c>
      <c r="C31" s="2" t="str">
        <f t="shared" si="0"/>
        <v>09:0-25</v>
      </c>
      <c r="D31" s="8">
        <f t="shared" ref="D31:D40" si="16">E7</f>
        <v>1.50424955004873E-2</v>
      </c>
      <c r="E31" s="8">
        <f t="shared" si="3"/>
        <v>1.6327649206268384E-2</v>
      </c>
      <c r="F31" s="3">
        <f t="shared" si="4"/>
        <v>0.92128972826733091</v>
      </c>
      <c r="G31" s="2">
        <f t="shared" si="5"/>
        <v>16.629976906850132</v>
      </c>
      <c r="H31" s="2">
        <f t="shared" si="6"/>
        <v>17.92600524639041</v>
      </c>
      <c r="K31" s="4">
        <v>1</v>
      </c>
      <c r="L31" s="4">
        <v>1</v>
      </c>
      <c r="M31" s="4">
        <v>1</v>
      </c>
      <c r="N31" s="8">
        <f t="shared" si="7"/>
        <v>1.6327649206268384E-2</v>
      </c>
      <c r="O31" s="2">
        <f t="shared" si="8"/>
        <v>17.92600524639041</v>
      </c>
      <c r="P31" s="7">
        <f t="shared" si="9"/>
        <v>0.92128972826733091</v>
      </c>
      <c r="S31" s="9">
        <f t="shared" si="10"/>
        <v>16.717603686421</v>
      </c>
      <c r="T31" s="8">
        <f>VLOOKUP(ROUNDDOWN(S31,0),'Spline Pre-Adj'!A:B,2,0)</f>
        <v>1.2869999999999999</v>
      </c>
      <c r="U31" s="8">
        <f t="shared" si="11"/>
        <v>1.2869999999999999</v>
      </c>
      <c r="X31" s="9">
        <f t="shared" si="13"/>
        <v>16.717603686421</v>
      </c>
      <c r="Y31" s="8">
        <f>VLOOKUP(ROUNDDOWN(X31,0),'Spline Pre-Adj'!F:G,2,0)</f>
        <v>1.01594124675193</v>
      </c>
      <c r="Z31" s="8">
        <f t="shared" si="12"/>
        <v>1.01594124675193</v>
      </c>
      <c r="AC31" s="9">
        <f t="shared" si="14"/>
        <v>16.717603686421</v>
      </c>
      <c r="AD31" s="8">
        <f>VLOOKUP(ROUNDDOWN(AC31,0),'Spline Pre-Adj'!K:L,2,0)</f>
        <v>1.7435287487101601</v>
      </c>
      <c r="AE31" s="8">
        <f t="shared" si="15"/>
        <v>1.7435287487101601</v>
      </c>
    </row>
    <row r="32" spans="1:50" x14ac:dyDescent="0.25">
      <c r="A32" s="4">
        <f t="shared" si="1"/>
        <v>40.560416627556798</v>
      </c>
      <c r="B32" s="3">
        <f t="shared" si="2"/>
        <v>29.447621903279998</v>
      </c>
      <c r="C32" s="2" t="str">
        <f t="shared" si="0"/>
        <v>10:25-50</v>
      </c>
      <c r="D32" s="8">
        <f t="shared" si="16"/>
        <v>2.37792226180806E-2</v>
      </c>
      <c r="E32" s="8">
        <f t="shared" si="3"/>
        <v>2.2117715043014456E-2</v>
      </c>
      <c r="F32" s="3">
        <f t="shared" si="4"/>
        <v>1.0751211222241923</v>
      </c>
      <c r="G32" s="2">
        <f t="shared" si="5"/>
        <v>25.083658507400418</v>
      </c>
      <c r="H32" s="2">
        <f t="shared" si="6"/>
        <v>23.539181333392644</v>
      </c>
      <c r="K32" s="4">
        <v>1</v>
      </c>
      <c r="L32" s="4">
        <v>1</v>
      </c>
      <c r="M32" s="4">
        <v>1.08</v>
      </c>
      <c r="N32" s="8">
        <f t="shared" si="7"/>
        <v>2.3539171697005243E-2</v>
      </c>
      <c r="O32" s="2">
        <f t="shared" si="8"/>
        <v>24.862297777509625</v>
      </c>
      <c r="P32" s="7">
        <f t="shared" si="9"/>
        <v>1.010197934071992</v>
      </c>
      <c r="S32" s="9">
        <f t="shared" si="10"/>
        <v>40.560416627556798</v>
      </c>
      <c r="T32" s="8">
        <f>VLOOKUP(ROUNDDOWN(S32,0),'Spline Pre-Adj'!A:B,2,0)</f>
        <v>1.2869999999999999</v>
      </c>
      <c r="U32" s="8">
        <f t="shared" si="11"/>
        <v>1.2869999999999999</v>
      </c>
      <c r="X32" s="9">
        <f t="shared" si="13"/>
        <v>40.560416627556798</v>
      </c>
      <c r="Y32" s="8">
        <f>VLOOKUP(ROUNDDOWN(X32,0),'Spline Pre-Adj'!F:G,2,0)</f>
        <v>2.0717371897488701</v>
      </c>
      <c r="Z32" s="8">
        <f t="shared" si="12"/>
        <v>2.0717371897488701</v>
      </c>
      <c r="AC32" s="9">
        <f t="shared" si="14"/>
        <v>40.560416627556798</v>
      </c>
      <c r="AD32" s="8">
        <f>VLOOKUP(ROUNDDOWN(AC32,0),'Spline Pre-Adj'!K:L,2,0)</f>
        <v>2.5357969334519801</v>
      </c>
      <c r="AE32" s="8">
        <f t="shared" si="15"/>
        <v>2.7386606881281388</v>
      </c>
    </row>
    <row r="33" spans="1:31" x14ac:dyDescent="0.25">
      <c r="A33" s="4">
        <f t="shared" si="1"/>
        <v>65.130418138261206</v>
      </c>
      <c r="B33" s="3">
        <f t="shared" si="2"/>
        <v>123.15481028967</v>
      </c>
      <c r="C33" s="2" t="str">
        <f t="shared" si="0"/>
        <v>11:50-75</v>
      </c>
      <c r="D33" s="8">
        <f t="shared" si="16"/>
        <v>3.4107944475921699E-2</v>
      </c>
      <c r="E33" s="8">
        <f t="shared" si="3"/>
        <v>2.869373052690944E-2</v>
      </c>
      <c r="F33" s="3">
        <f t="shared" si="4"/>
        <v>1.1886897886607921</v>
      </c>
      <c r="G33" s="2">
        <f t="shared" si="5"/>
        <v>34.060882863644892</v>
      </c>
      <c r="H33" s="2">
        <f t="shared" si="6"/>
        <v>29.486170088588558</v>
      </c>
      <c r="K33" s="4">
        <v>1</v>
      </c>
      <c r="L33" s="4">
        <v>1</v>
      </c>
      <c r="M33" s="4">
        <v>1.21</v>
      </c>
      <c r="N33" s="8">
        <f t="shared" si="7"/>
        <v>3.3813422205465016E-2</v>
      </c>
      <c r="O33" s="2">
        <f t="shared" si="8"/>
        <v>33.819201928132451</v>
      </c>
      <c r="P33" s="7">
        <f t="shared" si="9"/>
        <v>1.0087102177551577</v>
      </c>
      <c r="S33" s="9">
        <f t="shared" si="10"/>
        <v>65.130418138261206</v>
      </c>
      <c r="T33" s="8">
        <f>VLOOKUP(ROUNDDOWN(S33,0),'Spline Pre-Adj'!A:B,2,0)</f>
        <v>1.2869999999999999</v>
      </c>
      <c r="U33" s="8">
        <f t="shared" si="11"/>
        <v>1.2869999999999999</v>
      </c>
      <c r="X33" s="9">
        <f t="shared" si="13"/>
        <v>65.130418138261206</v>
      </c>
      <c r="Y33" s="8">
        <f>VLOOKUP(ROUNDDOWN(X33,0),'Spline Pre-Adj'!F:G,2,0)</f>
        <v>3.5525412195015398</v>
      </c>
      <c r="Z33" s="8">
        <f t="shared" si="12"/>
        <v>3.5525412195015398</v>
      </c>
      <c r="AC33" s="9">
        <f t="shared" si="14"/>
        <v>65.130418138261206</v>
      </c>
      <c r="AD33" s="8">
        <f>VLOOKUP(ROUNDDOWN(AC33,0),'Spline Pre-Adj'!K:L,2,0)</f>
        <v>3.4611348963631601</v>
      </c>
      <c r="AE33" s="8">
        <f t="shared" si="15"/>
        <v>4.1879732245994239</v>
      </c>
    </row>
    <row r="34" spans="1:31" x14ac:dyDescent="0.25">
      <c r="A34" s="4">
        <f t="shared" si="1"/>
        <v>87.109982420119195</v>
      </c>
      <c r="B34" s="3">
        <f t="shared" si="2"/>
        <v>189.23808728204997</v>
      </c>
      <c r="C34" s="2" t="str">
        <f t="shared" si="0"/>
        <v>12:75-100</v>
      </c>
      <c r="D34" s="8">
        <f t="shared" si="16"/>
        <v>4.2122488477800597E-2</v>
      </c>
      <c r="E34" s="8">
        <f t="shared" si="3"/>
        <v>3.4693248803940827E-2</v>
      </c>
      <c r="F34" s="3">
        <f t="shared" si="4"/>
        <v>1.214140789057953</v>
      </c>
      <c r="G34" s="2">
        <f t="shared" si="5"/>
        <v>40.334988693478778</v>
      </c>
      <c r="H34" s="2">
        <f t="shared" si="6"/>
        <v>34.538775775486783</v>
      </c>
      <c r="K34" s="4">
        <v>1</v>
      </c>
      <c r="L34" s="4">
        <v>1</v>
      </c>
      <c r="M34" s="4">
        <v>1.24</v>
      </c>
      <c r="N34" s="8">
        <f t="shared" si="7"/>
        <v>4.1950629807981706E-2</v>
      </c>
      <c r="O34" s="2">
        <f t="shared" si="8"/>
        <v>40.206403475980679</v>
      </c>
      <c r="P34" s="7">
        <f t="shared" si="9"/>
        <v>1.0040966886696465</v>
      </c>
      <c r="S34" s="9">
        <f t="shared" si="10"/>
        <v>87.109982420119195</v>
      </c>
      <c r="T34" s="8">
        <f>VLOOKUP(ROUNDDOWN(S34,0),'Spline Pre-Adj'!A:B,2,0)</f>
        <v>1.2869999999999999</v>
      </c>
      <c r="U34" s="8">
        <f t="shared" si="11"/>
        <v>1.2869999999999999</v>
      </c>
      <c r="X34" s="9">
        <f t="shared" si="13"/>
        <v>87.109982420119195</v>
      </c>
      <c r="Y34" s="8">
        <f>VLOOKUP(ROUNDDOWN(X34,0),'Spline Pre-Adj'!F:G,2,0)</f>
        <v>4.8225583111111101</v>
      </c>
      <c r="Z34" s="8">
        <f t="shared" si="12"/>
        <v>4.8225583111111101</v>
      </c>
      <c r="AC34" s="9">
        <f t="shared" si="14"/>
        <v>87.109982420119195</v>
      </c>
      <c r="AD34" s="8">
        <f>VLOOKUP(ROUNDDOWN(AC34,0),'Spline Pre-Adj'!K:L,2,0)</f>
        <v>4.1457396580159296</v>
      </c>
      <c r="AE34" s="8">
        <f t="shared" si="15"/>
        <v>5.140717175939753</v>
      </c>
    </row>
    <row r="35" spans="1:31" x14ac:dyDescent="0.25">
      <c r="A35" s="4">
        <f t="shared" si="1"/>
        <v>112.777591972545</v>
      </c>
      <c r="B35" s="3">
        <f t="shared" si="2"/>
        <v>184.52107041748002</v>
      </c>
      <c r="C35" s="2" t="str">
        <f t="shared" si="0"/>
        <v>13:100-125</v>
      </c>
      <c r="D35" s="8">
        <f t="shared" si="16"/>
        <v>4.4695223819703603E-2</v>
      </c>
      <c r="E35" s="8">
        <f t="shared" si="3"/>
        <v>3.8773675230779264E-2</v>
      </c>
      <c r="F35" s="3">
        <f t="shared" si="4"/>
        <v>1.1527208487119041</v>
      </c>
      <c r="G35" s="2">
        <f t="shared" si="5"/>
        <v>42.229864150514317</v>
      </c>
      <c r="H35" s="2">
        <f t="shared" si="6"/>
        <v>37.78317081313056</v>
      </c>
      <c r="K35" s="4">
        <v>1</v>
      </c>
      <c r="L35" s="4">
        <v>1</v>
      </c>
      <c r="M35" s="4">
        <v>1.17</v>
      </c>
      <c r="N35" s="8">
        <f t="shared" si="7"/>
        <v>4.4554448572067737E-2</v>
      </c>
      <c r="O35" s="2">
        <f t="shared" si="8"/>
        <v>42.127624111427295</v>
      </c>
      <c r="P35" s="7">
        <f t="shared" si="9"/>
        <v>1.0031596227121555</v>
      </c>
      <c r="S35" s="9">
        <f t="shared" si="10"/>
        <v>112.777591972545</v>
      </c>
      <c r="T35" s="8">
        <f>VLOOKUP(ROUNDDOWN(S35,0),'Spline Pre-Adj'!A:B,2,0)</f>
        <v>1.2869999999999999</v>
      </c>
      <c r="U35" s="8">
        <f t="shared" si="11"/>
        <v>1.2869999999999999</v>
      </c>
      <c r="X35" s="9">
        <f t="shared" si="13"/>
        <v>112.777591972545</v>
      </c>
      <c r="Y35" s="8">
        <f>VLOOKUP(ROUNDDOWN(X35,0),'Spline Pre-Adj'!F:G,2,0)</f>
        <v>6.2750975705599998</v>
      </c>
      <c r="Z35" s="8">
        <f t="shared" si="12"/>
        <v>6.2750975705599998</v>
      </c>
      <c r="AC35" s="9">
        <f t="shared" si="14"/>
        <v>112.777591972545</v>
      </c>
      <c r="AD35" s="8">
        <f>VLOOKUP(ROUNDDOWN(AC35,0),'Spline Pre-Adj'!K:L,2,0)</f>
        <v>4.75215670710576</v>
      </c>
      <c r="AE35" s="8">
        <f t="shared" si="15"/>
        <v>5.5600233473137388</v>
      </c>
    </row>
    <row r="36" spans="1:31" x14ac:dyDescent="0.25">
      <c r="A36" s="4">
        <f t="shared" si="1"/>
        <v>135.92957671409101</v>
      </c>
      <c r="B36" s="3">
        <f t="shared" si="2"/>
        <v>138.21370212711</v>
      </c>
      <c r="C36" s="2" t="str">
        <f t="shared" si="0"/>
        <v>14:125-150</v>
      </c>
      <c r="D36" s="8">
        <f t="shared" si="16"/>
        <v>4.63657259560223E-2</v>
      </c>
      <c r="E36" s="8">
        <f t="shared" si="3"/>
        <v>4.2253269474953448E-2</v>
      </c>
      <c r="F36" s="3">
        <f t="shared" si="4"/>
        <v>1.0973287163850505</v>
      </c>
      <c r="G36" s="2">
        <f t="shared" si="5"/>
        <v>43.430516045098187</v>
      </c>
      <c r="H36" s="2">
        <f t="shared" si="6"/>
        <v>40.432669568915749</v>
      </c>
      <c r="K36" s="4">
        <v>1</v>
      </c>
      <c r="L36" s="4">
        <v>1</v>
      </c>
      <c r="M36" s="4">
        <v>1.1000000000000001</v>
      </c>
      <c r="N36" s="8">
        <f t="shared" si="7"/>
        <v>4.6004931514811734E-2</v>
      </c>
      <c r="O36" s="2">
        <f t="shared" si="8"/>
        <v>43.173153495603309</v>
      </c>
      <c r="P36" s="7">
        <f t="shared" si="9"/>
        <v>1.0078425166461644</v>
      </c>
      <c r="S36" s="9">
        <f>A36</f>
        <v>135.92957671409101</v>
      </c>
      <c r="T36" s="8">
        <f>VLOOKUP(ROUNDDOWN(S36,0),'Spline Pre-Adj'!A:B,2,0)</f>
        <v>1.2869999999999999</v>
      </c>
      <c r="U36" s="8">
        <f>T36*K36</f>
        <v>1.2869999999999999</v>
      </c>
      <c r="X36" s="9">
        <f t="shared" si="13"/>
        <v>135.92957671409101</v>
      </c>
      <c r="Y36" s="8">
        <f>VLOOKUP(ROUNDDOWN(X36,0),'Spline Pre-Adj'!F:G,2,0)</f>
        <v>7.6782094614435499</v>
      </c>
      <c r="Z36" s="8">
        <f t="shared" si="12"/>
        <v>7.6782094614435499</v>
      </c>
      <c r="AC36" s="9">
        <f t="shared" si="14"/>
        <v>135.92957671409101</v>
      </c>
      <c r="AD36" s="8">
        <f>VLOOKUP(ROUNDDOWN(AC36,0),'Spline Pre-Adj'!K:L,2,0)</f>
        <v>5.2241824620250199</v>
      </c>
      <c r="AE36" s="8">
        <f t="shared" si="15"/>
        <v>5.7466007082275228</v>
      </c>
    </row>
    <row r="37" spans="1:31" x14ac:dyDescent="0.25">
      <c r="A37" s="4">
        <f t="shared" si="1"/>
        <v>161.00603318595199</v>
      </c>
      <c r="B37" s="3">
        <f t="shared" si="2"/>
        <v>60.320880119649999</v>
      </c>
      <c r="C37" s="2" t="str">
        <f t="shared" si="0"/>
        <v>15:150-175</v>
      </c>
      <c r="D37" s="8">
        <f t="shared" si="16"/>
        <v>4.5508149888812001E-2</v>
      </c>
      <c r="E37" s="8">
        <f t="shared" si="3"/>
        <v>4.3057829461237235E-2</v>
      </c>
      <c r="F37" s="3">
        <f t="shared" si="4"/>
        <v>1.0569076625142162</v>
      </c>
      <c r="G37" s="2">
        <f t="shared" si="5"/>
        <v>42.817031810010043</v>
      </c>
      <c r="H37" s="2">
        <f t="shared" si="6"/>
        <v>41.030380980041102</v>
      </c>
      <c r="K37" s="4">
        <v>1</v>
      </c>
      <c r="L37" s="4">
        <v>1</v>
      </c>
      <c r="M37" s="4">
        <v>1.05</v>
      </c>
      <c r="N37" s="8">
        <f t="shared" si="7"/>
        <v>4.4959393794555449E-2</v>
      </c>
      <c r="O37" s="2">
        <f t="shared" si="8"/>
        <v>42.421274635374786</v>
      </c>
      <c r="P37" s="7">
        <f t="shared" si="9"/>
        <v>1.0122055937133878</v>
      </c>
      <c r="X37" s="9">
        <f t="shared" si="13"/>
        <v>161.00603318595199</v>
      </c>
      <c r="Y37" s="8">
        <f>VLOOKUP(ROUNDDOWN(X37,0),'Spline Pre-Adj'!F:G,2,0)</f>
        <v>8.7557674712905893</v>
      </c>
      <c r="Z37" s="8">
        <f t="shared" si="12"/>
        <v>8.7557674712905893</v>
      </c>
      <c r="AC37" s="9">
        <f t="shared" si="14"/>
        <v>161.00603318595199</v>
      </c>
      <c r="AD37" s="8">
        <f>VLOOKUP(ROUNDDOWN(AC37,0),'Spline Pre-Adj'!K:L,2,0)</f>
        <v>5.6827404574273999</v>
      </c>
      <c r="AE37" s="8">
        <f t="shared" si="15"/>
        <v>5.9668774802987699</v>
      </c>
    </row>
    <row r="38" spans="1:31" x14ac:dyDescent="0.25">
      <c r="A38" s="4">
        <f t="shared" si="1"/>
        <v>183.95939863203901</v>
      </c>
      <c r="B38" s="3">
        <f t="shared" si="2"/>
        <v>19.0360786896</v>
      </c>
      <c r="C38" s="2" t="str">
        <f t="shared" si="0"/>
        <v>16:175-200</v>
      </c>
      <c r="D38" s="8">
        <f t="shared" si="16"/>
        <v>4.2811976088199602E-2</v>
      </c>
      <c r="E38" s="8">
        <f t="shared" si="3"/>
        <v>4.3211404193834652E-2</v>
      </c>
      <c r="F38" s="3">
        <f t="shared" si="4"/>
        <v>0.99075641921185154</v>
      </c>
      <c r="G38" s="2">
        <f t="shared" si="5"/>
        <v>40.848321284894908</v>
      </c>
      <c r="H38" s="2">
        <f t="shared" si="6"/>
        <v>41.143845568150773</v>
      </c>
      <c r="K38" s="4">
        <v>1</v>
      </c>
      <c r="L38" s="4">
        <v>1</v>
      </c>
      <c r="M38" s="4">
        <v>1.01</v>
      </c>
      <c r="N38" s="8">
        <f t="shared" si="7"/>
        <v>4.3592383423866871E-2</v>
      </c>
      <c r="O38" s="2">
        <f t="shared" si="8"/>
        <v>41.424458412422126</v>
      </c>
      <c r="P38" s="7">
        <f t="shared" si="9"/>
        <v>0.98209762177766136</v>
      </c>
      <c r="X38" s="9">
        <f t="shared" si="13"/>
        <v>183.95939863203901</v>
      </c>
      <c r="Y38" s="8">
        <f>VLOOKUP(ROUNDDOWN(X38,0),'Spline Pre-Adj'!F:G,2,0)</f>
        <v>8.8912890705385497</v>
      </c>
      <c r="Z38" s="8">
        <f t="shared" si="12"/>
        <v>8.8912890705385497</v>
      </c>
      <c r="AC38" s="9">
        <f t="shared" si="14"/>
        <v>183.95939863203901</v>
      </c>
      <c r="AD38" s="8">
        <f>VLOOKUP(ROUNDDOWN(AC38,0),'Spline Pre-Adj'!K:L,2,0)</f>
        <v>6.0276934430763003</v>
      </c>
      <c r="AE38" s="8">
        <f t="shared" si="15"/>
        <v>6.0879703775070633</v>
      </c>
    </row>
    <row r="39" spans="1:31" x14ac:dyDescent="0.25">
      <c r="A39" s="4">
        <f t="shared" si="1"/>
        <v>209.45370462217099</v>
      </c>
      <c r="B39" s="3">
        <f t="shared" si="2"/>
        <v>3.20553223816</v>
      </c>
      <c r="C39" s="2" t="str">
        <f t="shared" si="0"/>
        <v>17:200-225</v>
      </c>
      <c r="D39" s="8">
        <f t="shared" si="16"/>
        <v>4.0783421801696099E-2</v>
      </c>
      <c r="E39" s="8">
        <f t="shared" si="3"/>
        <v>4.0349657009312583E-2</v>
      </c>
      <c r="F39" s="3">
        <f t="shared" si="4"/>
        <v>1.0107501481929178</v>
      </c>
      <c r="G39" s="2">
        <f t="shared" si="5"/>
        <v>39.326351237253085</v>
      </c>
      <c r="H39" s="2">
        <f t="shared" si="6"/>
        <v>38.996286280262325</v>
      </c>
      <c r="K39" s="4">
        <v>1</v>
      </c>
      <c r="L39" s="4">
        <v>1</v>
      </c>
      <c r="M39" s="4">
        <v>1</v>
      </c>
      <c r="N39" s="8">
        <f t="shared" si="7"/>
        <v>4.0349657009312583E-2</v>
      </c>
      <c r="O39" s="2">
        <f t="shared" si="8"/>
        <v>38.996286280262325</v>
      </c>
      <c r="P39" s="7">
        <f t="shared" si="9"/>
        <v>1.0107501481929178</v>
      </c>
      <c r="X39" s="9">
        <f t="shared" si="13"/>
        <v>209.45370462217099</v>
      </c>
      <c r="Y39" s="8">
        <f>VLOOKUP(ROUNDDOWN(X39,0),'Spline Pre-Adj'!F:G,2,0)</f>
        <v>8.9</v>
      </c>
      <c r="Z39" s="8">
        <f t="shared" si="12"/>
        <v>8.9</v>
      </c>
      <c r="AC39" s="9">
        <f t="shared" si="14"/>
        <v>209.45370462217099</v>
      </c>
      <c r="AD39" s="8">
        <f>VLOOKUP(ROUNDDOWN(AC39,0),'Spline Pre-Adj'!K:L,2,0)</f>
        <v>6.3657668913125001</v>
      </c>
      <c r="AE39" s="8">
        <f t="shared" si="15"/>
        <v>6.3657668913125001</v>
      </c>
    </row>
    <row r="40" spans="1:31" x14ac:dyDescent="0.25">
      <c r="A40" s="4">
        <f t="shared" si="1"/>
        <v>233.68844069790299</v>
      </c>
      <c r="B40" s="3">
        <f t="shared" si="2"/>
        <v>0.62367074634999997</v>
      </c>
      <c r="C40" s="2" t="str">
        <f t="shared" si="0"/>
        <v>18:225-250</v>
      </c>
      <c r="D40" s="8">
        <f t="shared" si="16"/>
        <v>4.0360910902604602E-2</v>
      </c>
      <c r="E40" s="8">
        <f t="shared" si="3"/>
        <v>3.8714621501544366E-2</v>
      </c>
      <c r="F40" s="3">
        <f t="shared" si="4"/>
        <v>1.0425237116419843</v>
      </c>
      <c r="G40" s="2">
        <f t="shared" si="5"/>
        <v>39.004870469422023</v>
      </c>
      <c r="H40" s="2">
        <f t="shared" si="6"/>
        <v>37.73728720686109</v>
      </c>
      <c r="K40" s="4">
        <v>1</v>
      </c>
      <c r="L40" s="4">
        <v>1</v>
      </c>
      <c r="M40" s="4">
        <v>1</v>
      </c>
      <c r="N40" s="8">
        <f t="shared" si="7"/>
        <v>3.8714621501544366E-2</v>
      </c>
      <c r="O40" s="2">
        <f t="shared" si="8"/>
        <v>37.73728720686109</v>
      </c>
      <c r="P40" s="7">
        <f t="shared" si="9"/>
        <v>1.0425237116419843</v>
      </c>
      <c r="X40" s="9">
        <f t="shared" si="13"/>
        <v>233.68844069790299</v>
      </c>
      <c r="Y40" s="8">
        <f>VLOOKUP(ROUNDDOWN(X40,0),'Spline Pre-Adj'!F:G,2,0)</f>
        <v>8.9</v>
      </c>
      <c r="Z40" s="8">
        <f t="shared" si="12"/>
        <v>8.9</v>
      </c>
      <c r="AC40" s="9">
        <f t="shared" si="14"/>
        <v>233.68844069790299</v>
      </c>
      <c r="AD40" s="8">
        <f>VLOOKUP(ROUNDDOWN(AC40,0),'Spline Pre-Adj'!K:L,2,0)</f>
        <v>6.6052587481674401</v>
      </c>
      <c r="AE40" s="8">
        <f t="shared" si="15"/>
        <v>6.6052587481674401</v>
      </c>
    </row>
    <row r="41" spans="1:31" s="30" customFormat="1" x14ac:dyDescent="0.25">
      <c r="A41" s="27">
        <f t="shared" si="1"/>
        <v>271.38147049753798</v>
      </c>
      <c r="B41" s="28">
        <f t="shared" si="2"/>
        <v>0.11830058328</v>
      </c>
      <c r="C41" s="29" t="str">
        <f t="shared" si="0"/>
        <v>999:&gt;= 250</v>
      </c>
      <c r="D41" s="20">
        <f>E17</f>
        <v>5.3785302101780001E-2</v>
      </c>
      <c r="E41" s="20">
        <f t="shared" si="3"/>
        <v>3.7496751823229119E-2</v>
      </c>
      <c r="F41" s="28">
        <f>D41/E41</f>
        <v>1.4343989675516422</v>
      </c>
      <c r="G41" s="29">
        <f t="shared" si="5"/>
        <v>48.491811326748525</v>
      </c>
      <c r="H41" s="29">
        <f t="shared" si="6"/>
        <v>36.784082486856875</v>
      </c>
      <c r="K41" s="27">
        <v>1</v>
      </c>
      <c r="L41" s="27">
        <v>1</v>
      </c>
      <c r="M41" s="27">
        <v>1</v>
      </c>
      <c r="N41" s="20">
        <f t="shared" si="7"/>
        <v>3.7496751823229119E-2</v>
      </c>
      <c r="O41" s="29">
        <f t="shared" si="8"/>
        <v>36.784082486856875</v>
      </c>
      <c r="P41" s="31">
        <f t="shared" si="9"/>
        <v>1.4343989675516422</v>
      </c>
      <c r="X41" s="21">
        <f t="shared" si="13"/>
        <v>271.38147049753798</v>
      </c>
      <c r="Y41" s="20">
        <f>VLOOKUP(ROUNDDOWN(X41,0),'Spline Pre-Adj'!F:G,2,0)</f>
        <v>8.9</v>
      </c>
      <c r="Z41" s="20">
        <f t="shared" si="12"/>
        <v>8.9</v>
      </c>
      <c r="AC41" s="21">
        <f t="shared" si="14"/>
        <v>271.38147049753798</v>
      </c>
      <c r="AD41" s="20">
        <f>VLOOKUP(ROUNDDOWN(AC41,0),'Spline Pre-Adj'!K:L,2,0)</f>
        <v>6.9406563237474703</v>
      </c>
      <c r="AE41" s="20">
        <f t="shared" si="15"/>
        <v>6.9406563237474703</v>
      </c>
    </row>
    <row r="66" spans="1:50" s="32" customFormat="1" x14ac:dyDescent="0.25"/>
    <row r="67" spans="1:50" x14ac:dyDescent="0.25">
      <c r="A67" s="34" t="s">
        <v>126</v>
      </c>
      <c r="AS67" s="18" t="s">
        <v>91</v>
      </c>
      <c r="AT67" s="18" t="s">
        <v>92</v>
      </c>
      <c r="AU67" s="18"/>
      <c r="AV67" s="18"/>
      <c r="AW67" s="18" t="s">
        <v>93</v>
      </c>
      <c r="AX67" s="18"/>
    </row>
    <row r="68" spans="1:50" x14ac:dyDescent="0.25">
      <c r="A68" t="s">
        <v>21</v>
      </c>
      <c r="B68" t="s">
        <v>22</v>
      </c>
      <c r="C68" t="s">
        <v>23</v>
      </c>
      <c r="D68" t="s">
        <v>24</v>
      </c>
      <c r="E68" t="s">
        <v>99</v>
      </c>
      <c r="F68" t="s">
        <v>100</v>
      </c>
      <c r="G68" t="s">
        <v>25</v>
      </c>
      <c r="H68" t="s">
        <v>26</v>
      </c>
      <c r="I68" t="s">
        <v>27</v>
      </c>
      <c r="J68" t="s">
        <v>28</v>
      </c>
      <c r="K68" t="s">
        <v>29</v>
      </c>
      <c r="L68" t="s">
        <v>30</v>
      </c>
      <c r="M68" t="s">
        <v>31</v>
      </c>
      <c r="N68" t="s">
        <v>32</v>
      </c>
      <c r="O68" t="s">
        <v>33</v>
      </c>
      <c r="P68" t="s">
        <v>34</v>
      </c>
      <c r="Q68" t="s">
        <v>35</v>
      </c>
      <c r="R68" t="s">
        <v>36</v>
      </c>
      <c r="S68" t="s">
        <v>37</v>
      </c>
      <c r="T68" t="s">
        <v>38</v>
      </c>
      <c r="U68" t="s">
        <v>39</v>
      </c>
      <c r="V68" t="s">
        <v>40</v>
      </c>
      <c r="W68" t="s">
        <v>41</v>
      </c>
      <c r="X68" t="s">
        <v>42</v>
      </c>
      <c r="Y68" t="s">
        <v>43</v>
      </c>
      <c r="Z68" t="s">
        <v>44</v>
      </c>
      <c r="AA68" t="s">
        <v>45</v>
      </c>
      <c r="AB68" s="1" t="s">
        <v>46</v>
      </c>
      <c r="AC68" s="1" t="s">
        <v>47</v>
      </c>
      <c r="AD68" s="1" t="s">
        <v>48</v>
      </c>
      <c r="AE68" t="s">
        <v>49</v>
      </c>
      <c r="AF68" t="s">
        <v>50</v>
      </c>
      <c r="AG68" t="s">
        <v>51</v>
      </c>
      <c r="AH68" t="s">
        <v>52</v>
      </c>
      <c r="AI68" t="s">
        <v>53</v>
      </c>
      <c r="AJ68" t="s">
        <v>54</v>
      </c>
      <c r="AK68" t="s">
        <v>55</v>
      </c>
      <c r="AL68" t="s">
        <v>56</v>
      </c>
      <c r="AM68" t="s">
        <v>57</v>
      </c>
      <c r="AN68" t="s">
        <v>58</v>
      </c>
      <c r="AO68" t="s">
        <v>59</v>
      </c>
      <c r="AP68" t="s">
        <v>60</v>
      </c>
      <c r="AQ68" t="s">
        <v>61</v>
      </c>
      <c r="AR68" t="s">
        <v>62</v>
      </c>
      <c r="AS68" s="37" t="s">
        <v>129</v>
      </c>
      <c r="AT68" s="37" t="s">
        <v>130</v>
      </c>
      <c r="AU68" s="37" t="s">
        <v>133</v>
      </c>
      <c r="AV68" s="37" t="s">
        <v>134</v>
      </c>
      <c r="AW68" s="37" t="s">
        <v>131</v>
      </c>
      <c r="AX68" s="37" t="s">
        <v>132</v>
      </c>
    </row>
    <row r="69" spans="1:50" x14ac:dyDescent="0.25">
      <c r="A69">
        <v>4.3</v>
      </c>
      <c r="B69" s="4">
        <v>0.99048393820929603</v>
      </c>
      <c r="C69" s="4">
        <v>0</v>
      </c>
      <c r="D69" s="4">
        <v>10.840166579614801</v>
      </c>
      <c r="E69" s="4">
        <v>0</v>
      </c>
      <c r="F69" s="5">
        <v>9.5160617907035592E-3</v>
      </c>
      <c r="G69" s="5">
        <v>0</v>
      </c>
      <c r="H69" s="4">
        <v>4.2588074892821304</v>
      </c>
      <c r="I69" s="4">
        <v>4.0248861076810698</v>
      </c>
      <c r="J69" s="4">
        <v>-56.756867183108298</v>
      </c>
      <c r="K69" s="4">
        <v>-82.984204191452207</v>
      </c>
      <c r="L69" s="4">
        <v>20.079563672363498</v>
      </c>
      <c r="M69" s="4">
        <v>30.173843725049299</v>
      </c>
      <c r="N69" s="4">
        <v>77.142550700315596</v>
      </c>
      <c r="O69" s="4">
        <v>76.855341086742897</v>
      </c>
      <c r="P69" s="4">
        <v>208132.62954522</v>
      </c>
      <c r="Q69" s="4">
        <v>198834.758</v>
      </c>
      <c r="R69" s="4">
        <v>784.88722428500103</v>
      </c>
      <c r="S69" s="4">
        <v>0</v>
      </c>
      <c r="T69" s="4">
        <v>0</v>
      </c>
      <c r="U69" s="4">
        <v>0</v>
      </c>
      <c r="V69" s="4">
        <v>1</v>
      </c>
      <c r="W69" s="4">
        <v>0</v>
      </c>
      <c r="X69" s="4">
        <v>8.6003197690415797E-2</v>
      </c>
      <c r="Y69" s="4">
        <v>0</v>
      </c>
      <c r="Z69" s="5">
        <v>3.8074588014928401E-4</v>
      </c>
      <c r="AA69" s="5">
        <v>2.7081011188094099E-5</v>
      </c>
      <c r="AB69" s="10">
        <v>4.1335364079917499E-3</v>
      </c>
      <c r="AC69" s="10">
        <v>0</v>
      </c>
      <c r="AD69" s="10">
        <v>4.9746820505688896E-3</v>
      </c>
      <c r="AE69" s="4">
        <v>-4.0020897328755398E-2</v>
      </c>
      <c r="AF69" s="4">
        <v>1</v>
      </c>
      <c r="AG69" s="4">
        <v>1</v>
      </c>
      <c r="AH69" s="4">
        <v>1</v>
      </c>
      <c r="AI69" s="4">
        <v>1</v>
      </c>
      <c r="AJ69" s="4">
        <v>1</v>
      </c>
      <c r="AK69" s="4">
        <v>1</v>
      </c>
      <c r="AL69" s="4">
        <v>1</v>
      </c>
      <c r="AM69" s="4">
        <v>0</v>
      </c>
      <c r="AN69" s="4">
        <v>0</v>
      </c>
      <c r="AO69" s="4" t="s">
        <v>65</v>
      </c>
      <c r="AP69" s="4">
        <f>-100--75</f>
        <v>-25</v>
      </c>
      <c r="AQ69" s="6">
        <v>1988347.58</v>
      </c>
      <c r="AR69" s="4">
        <v>10</v>
      </c>
      <c r="AS69" s="38">
        <v>0</v>
      </c>
      <c r="AT69" s="38">
        <v>0</v>
      </c>
      <c r="AU69" s="38">
        <v>8.6003197690415796</v>
      </c>
      <c r="AV69" s="38">
        <v>91.399680230958396</v>
      </c>
      <c r="AW69" s="38">
        <v>0</v>
      </c>
      <c r="AX69" s="38">
        <v>100</v>
      </c>
    </row>
    <row r="70" spans="1:50" x14ac:dyDescent="0.25">
      <c r="A70">
        <v>4.3</v>
      </c>
      <c r="B70" s="4">
        <v>0.98341825114477399</v>
      </c>
      <c r="C70" s="4">
        <v>16.116409883057099</v>
      </c>
      <c r="D70" s="4">
        <v>18.1800577563803</v>
      </c>
      <c r="E70" s="4">
        <v>1.4538298378228599E-2</v>
      </c>
      <c r="F70" s="5">
        <v>1.6581748855225498E-2</v>
      </c>
      <c r="G70" s="5">
        <v>0</v>
      </c>
      <c r="H70" s="4">
        <v>4.3060588801698403</v>
      </c>
      <c r="I70" s="4">
        <v>3.85944754748789</v>
      </c>
      <c r="J70" s="4">
        <v>-49.517351907034602</v>
      </c>
      <c r="K70" s="4">
        <v>-60.076868837927201</v>
      </c>
      <c r="L70" s="4">
        <v>20.924636375765701</v>
      </c>
      <c r="M70" s="4">
        <v>28.778536293338401</v>
      </c>
      <c r="N70" s="4">
        <v>77.768090070685602</v>
      </c>
      <c r="O70" s="4">
        <v>73.576934863748704</v>
      </c>
      <c r="P70" s="4">
        <v>259063.42640984699</v>
      </c>
      <c r="Q70" s="4">
        <v>162933.089777777</v>
      </c>
      <c r="R70" s="4">
        <v>781.95533736640698</v>
      </c>
      <c r="S70" s="4">
        <v>0</v>
      </c>
      <c r="T70" s="4">
        <v>0</v>
      </c>
      <c r="U70" s="4">
        <v>0</v>
      </c>
      <c r="V70" s="4">
        <v>0.70876125041234295</v>
      </c>
      <c r="W70" s="4">
        <v>0</v>
      </c>
      <c r="X70" s="4">
        <v>0.36076246644253002</v>
      </c>
      <c r="Y70" s="4">
        <v>0</v>
      </c>
      <c r="Z70" s="5">
        <v>8.3555295944141199E-4</v>
      </c>
      <c r="AA70" s="5">
        <v>9.5039059879568503E-5</v>
      </c>
      <c r="AB70" s="10">
        <v>3.8269365928595899E-3</v>
      </c>
      <c r="AC70" s="10">
        <v>0</v>
      </c>
      <c r="AD70" s="10">
        <v>1.1824203453436599E-2</v>
      </c>
      <c r="AE70" s="4">
        <v>-2.5619576295267801E-2</v>
      </c>
      <c r="AF70" s="4">
        <v>1</v>
      </c>
      <c r="AG70" s="4">
        <v>1</v>
      </c>
      <c r="AH70" s="4">
        <v>1</v>
      </c>
      <c r="AI70" s="4">
        <v>1</v>
      </c>
      <c r="AJ70" s="4">
        <v>1</v>
      </c>
      <c r="AK70" s="4">
        <v>1</v>
      </c>
      <c r="AL70" s="4">
        <v>1</v>
      </c>
      <c r="AM70" s="4">
        <v>0</v>
      </c>
      <c r="AN70" s="4">
        <v>0</v>
      </c>
      <c r="AO70" s="4" t="s">
        <v>66</v>
      </c>
      <c r="AP70" s="4">
        <f>-75--50</f>
        <v>-25</v>
      </c>
      <c r="AQ70" s="6">
        <v>7331989.04</v>
      </c>
      <c r="AR70" s="4">
        <v>45</v>
      </c>
      <c r="AS70" s="38">
        <v>0</v>
      </c>
      <c r="AT70" s="38">
        <v>29.123874958765601</v>
      </c>
      <c r="AU70" s="38">
        <v>34.506528804085598</v>
      </c>
      <c r="AV70" s="38">
        <v>36.369596237148698</v>
      </c>
      <c r="AW70" s="38">
        <v>29.123874958765601</v>
      </c>
      <c r="AX70" s="38">
        <v>70.876125041234303</v>
      </c>
    </row>
    <row r="71" spans="1:50" x14ac:dyDescent="0.25">
      <c r="A71">
        <v>4.3</v>
      </c>
      <c r="B71" s="4">
        <v>0.98286148315062405</v>
      </c>
      <c r="C71" s="4">
        <v>16.768764003844201</v>
      </c>
      <c r="D71" s="4">
        <v>18.734204171979201</v>
      </c>
      <c r="E71" s="4">
        <v>1.5179239099881101E-2</v>
      </c>
      <c r="F71" s="5">
        <v>1.7138516849375E-2</v>
      </c>
      <c r="G71" s="5">
        <v>0</v>
      </c>
      <c r="H71" s="4">
        <v>4.4052733521861596</v>
      </c>
      <c r="I71" s="4">
        <v>3.98594981137505</v>
      </c>
      <c r="J71" s="4">
        <v>-51.457904380841498</v>
      </c>
      <c r="K71" s="4">
        <v>-33.483850125560203</v>
      </c>
      <c r="L71" s="4">
        <v>21.5456488233153</v>
      </c>
      <c r="M71" s="4">
        <v>29.718201359121799</v>
      </c>
      <c r="N71" s="4">
        <v>75.277073643788199</v>
      </c>
      <c r="O71" s="4">
        <v>71.699547343970195</v>
      </c>
      <c r="P71" s="4">
        <v>254787.471363046</v>
      </c>
      <c r="Q71" s="4">
        <v>169330.28925619801</v>
      </c>
      <c r="R71" s="4">
        <v>778.78911783562501</v>
      </c>
      <c r="S71" s="4">
        <v>0</v>
      </c>
      <c r="T71" s="4">
        <v>0</v>
      </c>
      <c r="U71" s="4">
        <v>5.1339909312159003E-2</v>
      </c>
      <c r="V71" s="4">
        <v>0.50524461972578805</v>
      </c>
      <c r="W71" s="4">
        <v>0</v>
      </c>
      <c r="X71" s="4">
        <v>0.62378485736102296</v>
      </c>
      <c r="Y71" s="4">
        <v>0</v>
      </c>
      <c r="Z71" s="5">
        <v>9.2018692304330805E-4</v>
      </c>
      <c r="AA71" s="5">
        <v>2.3542834335701099E-4</v>
      </c>
      <c r="AB71" s="10">
        <v>3.76038963434038E-3</v>
      </c>
      <c r="AC71" s="10">
        <v>7.0178073221365701E-9</v>
      </c>
      <c r="AD71" s="10">
        <v>1.22224893637472E-2</v>
      </c>
      <c r="AE71" s="4">
        <v>-5.6161735583347798E-2</v>
      </c>
      <c r="AF71" s="4">
        <v>0.98890548375674403</v>
      </c>
      <c r="AG71" s="4">
        <v>0.99395016610160603</v>
      </c>
      <c r="AH71" s="4">
        <v>1</v>
      </c>
      <c r="AI71" s="4">
        <v>1</v>
      </c>
      <c r="AJ71" s="4">
        <v>1</v>
      </c>
      <c r="AK71" s="4">
        <v>1</v>
      </c>
      <c r="AL71" s="4">
        <v>1</v>
      </c>
      <c r="AM71" s="4">
        <v>0</v>
      </c>
      <c r="AN71" s="4">
        <v>0</v>
      </c>
      <c r="AO71" s="4" t="s">
        <v>67</v>
      </c>
      <c r="AP71" s="4">
        <f>-50--25</f>
        <v>-25</v>
      </c>
      <c r="AQ71" s="6">
        <v>40977930</v>
      </c>
      <c r="AR71" s="4">
        <v>242</v>
      </c>
      <c r="AS71" s="38">
        <v>8.9012190220442999</v>
      </c>
      <c r="AT71" s="38">
        <v>40.574319005376701</v>
      </c>
      <c r="AU71" s="38">
        <v>15.873128120429699</v>
      </c>
      <c r="AV71" s="38">
        <v>34.651333852149101</v>
      </c>
      <c r="AW71" s="38">
        <v>49.475538027421102</v>
      </c>
      <c r="AX71" s="38">
        <v>50.524461972578798</v>
      </c>
    </row>
    <row r="72" spans="1:50" x14ac:dyDescent="0.25">
      <c r="A72">
        <v>4.3</v>
      </c>
      <c r="B72" s="4">
        <v>0.98598709560266096</v>
      </c>
      <c r="C72" s="4">
        <v>18.9456535012195</v>
      </c>
      <c r="D72" s="4">
        <v>15.578168018587</v>
      </c>
      <c r="E72" s="4">
        <v>1.7351884248824001E-2</v>
      </c>
      <c r="F72" s="5">
        <v>1.40129043973387E-2</v>
      </c>
      <c r="G72" s="5">
        <v>0</v>
      </c>
      <c r="H72" s="4">
        <v>4.3329731018668802</v>
      </c>
      <c r="I72" s="4">
        <v>4.0910654277611904</v>
      </c>
      <c r="J72" s="4">
        <v>-65.128917153874895</v>
      </c>
      <c r="K72" s="4">
        <v>-8.0399625616296202</v>
      </c>
      <c r="L72" s="4">
        <v>20.834103837941601</v>
      </c>
      <c r="M72" s="4">
        <v>30.241340158028802</v>
      </c>
      <c r="N72" s="4">
        <v>75.917428338936404</v>
      </c>
      <c r="O72" s="4">
        <v>73.251551699395804</v>
      </c>
      <c r="P72" s="4">
        <v>242660.115646833</v>
      </c>
      <c r="Q72" s="4">
        <v>172492.39180702899</v>
      </c>
      <c r="R72" s="4">
        <v>779.10800594190903</v>
      </c>
      <c r="S72" s="4">
        <v>0</v>
      </c>
      <c r="T72" s="4">
        <v>0</v>
      </c>
      <c r="U72" s="4">
        <v>1.5844022030986699E-2</v>
      </c>
      <c r="V72" s="4">
        <v>0.44362981391464901</v>
      </c>
      <c r="W72" s="4">
        <v>0</v>
      </c>
      <c r="X72" s="4">
        <v>0.58270037228189597</v>
      </c>
      <c r="Y72" s="4">
        <v>0</v>
      </c>
      <c r="Z72" s="5">
        <v>8.0103405156770903E-4</v>
      </c>
      <c r="AA72" s="5">
        <v>1.8072866102129099E-4</v>
      </c>
      <c r="AB72" s="10">
        <v>3.8425739608059502E-3</v>
      </c>
      <c r="AC72" s="10">
        <v>4.2888805298546697E-8</v>
      </c>
      <c r="AD72" s="10">
        <v>9.18850939659566E-3</v>
      </c>
      <c r="AE72" s="4">
        <v>-5.6751737152787002E-2</v>
      </c>
      <c r="AF72" s="4">
        <v>0.98815995182136596</v>
      </c>
      <c r="AG72" s="4">
        <v>0.99756548377125998</v>
      </c>
      <c r="AH72" s="4">
        <v>0.99996550349523705</v>
      </c>
      <c r="AI72" s="4">
        <v>1</v>
      </c>
      <c r="AJ72" s="4">
        <v>1</v>
      </c>
      <c r="AK72" s="4">
        <v>1</v>
      </c>
      <c r="AL72" s="4">
        <v>1</v>
      </c>
      <c r="AM72" s="4">
        <v>0</v>
      </c>
      <c r="AN72" s="4">
        <v>0</v>
      </c>
      <c r="AO72" s="4" t="s">
        <v>68</v>
      </c>
      <c r="AP72" s="4">
        <f>-25-0</f>
        <v>-25</v>
      </c>
      <c r="AQ72" s="6">
        <v>520237053.69</v>
      </c>
      <c r="AR72" s="4">
        <v>3016</v>
      </c>
      <c r="AS72" s="38">
        <v>10.6635666311183</v>
      </c>
      <c r="AT72" s="38">
        <v>44.973451977416701</v>
      </c>
      <c r="AU72" s="38">
        <v>8.5239353647470395</v>
      </c>
      <c r="AV72" s="38">
        <v>35.839046026717803</v>
      </c>
      <c r="AW72" s="38">
        <v>55.637018608535001</v>
      </c>
      <c r="AX72" s="38">
        <v>44.362981391464899</v>
      </c>
    </row>
    <row r="73" spans="1:50" x14ac:dyDescent="0.25">
      <c r="A73">
        <v>4.3</v>
      </c>
      <c r="B73" s="4">
        <v>0.98367233540671695</v>
      </c>
      <c r="C73" s="4">
        <v>16.6299769068501</v>
      </c>
      <c r="D73" s="4">
        <v>17.926020652418298</v>
      </c>
      <c r="E73" s="4">
        <v>1.50424955004873E-2</v>
      </c>
      <c r="F73" s="5">
        <v>1.6327664593282901E-2</v>
      </c>
      <c r="G73" s="5">
        <v>0</v>
      </c>
      <c r="H73" s="4">
        <v>4.2632624191090498</v>
      </c>
      <c r="I73" s="4">
        <v>4.0592586100197297</v>
      </c>
      <c r="J73" s="4">
        <v>-66.472851634302401</v>
      </c>
      <c r="K73" s="4">
        <v>16.717603686421</v>
      </c>
      <c r="L73" s="4">
        <v>17.193227558809699</v>
      </c>
      <c r="M73" s="4">
        <v>30.0018648840773</v>
      </c>
      <c r="N73" s="4">
        <v>68.423921695810606</v>
      </c>
      <c r="O73" s="4">
        <v>67.074514448627099</v>
      </c>
      <c r="P73" s="4">
        <v>258981.500098024</v>
      </c>
      <c r="Q73" s="4">
        <v>228179.44575919001</v>
      </c>
      <c r="R73" s="4">
        <v>781.91521103482796</v>
      </c>
      <c r="S73" s="4">
        <v>0</v>
      </c>
      <c r="T73" s="4">
        <v>0</v>
      </c>
      <c r="U73" s="4">
        <v>1.90072827625128E-2</v>
      </c>
      <c r="V73" s="4">
        <v>0.43315821592147302</v>
      </c>
      <c r="W73" s="4">
        <v>0</v>
      </c>
      <c r="X73" s="4">
        <v>0.69479842938131098</v>
      </c>
      <c r="Y73" s="4">
        <v>0</v>
      </c>
      <c r="Z73" s="5">
        <v>4.86607297092828E-4</v>
      </c>
      <c r="AA73" s="5">
        <v>1.5142154471168499E-4</v>
      </c>
      <c r="AB73" s="10">
        <v>3.7730907075322201E-3</v>
      </c>
      <c r="AC73" s="10">
        <v>5.8425821235287402E-7</v>
      </c>
      <c r="AD73" s="10">
        <v>1.19159453987193E-2</v>
      </c>
      <c r="AE73" s="4">
        <v>-4.7406501492188398E-2</v>
      </c>
      <c r="AF73" s="4">
        <v>0.94251767460052105</v>
      </c>
      <c r="AG73" s="4">
        <v>0.99463962962373498</v>
      </c>
      <c r="AH73" s="4">
        <v>0.99852034040187299</v>
      </c>
      <c r="AI73" s="4">
        <v>1</v>
      </c>
      <c r="AJ73" s="4">
        <v>1</v>
      </c>
      <c r="AK73" s="4">
        <v>1</v>
      </c>
      <c r="AL73" s="4">
        <v>1</v>
      </c>
      <c r="AM73" s="4">
        <v>0</v>
      </c>
      <c r="AN73" s="4">
        <v>0</v>
      </c>
      <c r="AO73" s="4" t="s">
        <v>69</v>
      </c>
      <c r="AP73" s="4" t="s">
        <v>70</v>
      </c>
      <c r="AQ73" s="6">
        <v>5908934927.3800001</v>
      </c>
      <c r="AR73" s="4">
        <v>25896</v>
      </c>
      <c r="AS73" s="38">
        <v>12.309750608347199</v>
      </c>
      <c r="AT73" s="38">
        <v>44.374427799505398</v>
      </c>
      <c r="AU73" s="38">
        <v>8.2534879032123794</v>
      </c>
      <c r="AV73" s="38">
        <v>35.062333688934899</v>
      </c>
      <c r="AW73" s="38">
        <v>56.684178407852599</v>
      </c>
      <c r="AX73" s="38">
        <v>43.315821592147302</v>
      </c>
    </row>
    <row r="74" spans="1:50" x14ac:dyDescent="0.25">
      <c r="A74">
        <v>4.3</v>
      </c>
      <c r="B74" s="4">
        <v>0.97788226967685099</v>
      </c>
      <c r="C74" s="4">
        <v>25.0836585074005</v>
      </c>
      <c r="D74" s="4">
        <v>23.539195670473401</v>
      </c>
      <c r="E74" s="4">
        <v>2.37792226180806E-2</v>
      </c>
      <c r="F74" s="5">
        <v>2.2117730323148298E-2</v>
      </c>
      <c r="G74" s="5">
        <v>0</v>
      </c>
      <c r="H74" s="4">
        <v>4.4301187266483701</v>
      </c>
      <c r="I74" s="4">
        <v>4.0012286888249404</v>
      </c>
      <c r="J74" s="4">
        <v>-45.632427748029698</v>
      </c>
      <c r="K74" s="4">
        <v>40.560416627556798</v>
      </c>
      <c r="L74" s="4">
        <v>16.319999545132301</v>
      </c>
      <c r="M74" s="4">
        <v>29.4239897732947</v>
      </c>
      <c r="N74" s="4">
        <v>68.580449569413403</v>
      </c>
      <c r="O74" s="4">
        <v>67.122252179822297</v>
      </c>
      <c r="P74" s="4">
        <v>267644.667258751</v>
      </c>
      <c r="Q74" s="4">
        <v>243013.29380393901</v>
      </c>
      <c r="R74" s="4">
        <v>781.639428608402</v>
      </c>
      <c r="S74" s="4">
        <v>0</v>
      </c>
      <c r="T74" s="4">
        <v>0</v>
      </c>
      <c r="U74" s="4">
        <v>3.2527366650728001E-2</v>
      </c>
      <c r="V74" s="4">
        <v>0.42378492293634001</v>
      </c>
      <c r="W74" s="4">
        <v>0</v>
      </c>
      <c r="X74" s="4">
        <v>0.70910419275874104</v>
      </c>
      <c r="Y74" s="4">
        <v>0</v>
      </c>
      <c r="Z74" s="5">
        <v>4.4133923268326698E-4</v>
      </c>
      <c r="AA74" s="5">
        <v>1.7157670291464199E-4</v>
      </c>
      <c r="AB74" s="10">
        <v>3.7355890907257001E-3</v>
      </c>
      <c r="AC74" s="10">
        <v>1.0018418060439101E-6</v>
      </c>
      <c r="AD74" s="10">
        <v>1.7768208174884802E-2</v>
      </c>
      <c r="AE74" s="4">
        <v>-3.6501468789743398E-2</v>
      </c>
      <c r="AF74" s="4">
        <v>0.92354870822118096</v>
      </c>
      <c r="AG74" s="4">
        <v>0.99375422909788402</v>
      </c>
      <c r="AH74" s="4">
        <v>0.99845502032933398</v>
      </c>
      <c r="AI74" s="4">
        <v>0.99998536745406996</v>
      </c>
      <c r="AJ74" s="4">
        <v>1</v>
      </c>
      <c r="AK74" s="4">
        <v>1</v>
      </c>
      <c r="AL74" s="4">
        <v>1</v>
      </c>
      <c r="AM74" s="4">
        <v>0</v>
      </c>
      <c r="AN74" s="4">
        <v>0</v>
      </c>
      <c r="AO74" s="4" t="s">
        <v>71</v>
      </c>
      <c r="AP74" s="4" t="s">
        <v>72</v>
      </c>
      <c r="AQ74" s="6">
        <v>29447621903.279999</v>
      </c>
      <c r="AR74" s="4">
        <v>121177</v>
      </c>
      <c r="AS74" s="38">
        <v>14.361943268053601</v>
      </c>
      <c r="AT74" s="38">
        <v>43.259564438312303</v>
      </c>
      <c r="AU74" s="38">
        <v>10.685003700789601</v>
      </c>
      <c r="AV74" s="38">
        <v>31.6934885928444</v>
      </c>
      <c r="AW74" s="38">
        <v>57.621507706365897</v>
      </c>
      <c r="AX74" s="38">
        <v>42.378492293633997</v>
      </c>
    </row>
    <row r="75" spans="1:50" x14ac:dyDescent="0.25">
      <c r="A75">
        <v>4.3</v>
      </c>
      <c r="B75" s="4">
        <v>0.97130625421860095</v>
      </c>
      <c r="C75" s="4">
        <v>34.0608828636448</v>
      </c>
      <c r="D75" s="4">
        <v>29.486183377732001</v>
      </c>
      <c r="E75" s="4">
        <v>3.4107944475921699E-2</v>
      </c>
      <c r="F75" s="5">
        <v>2.8693745781398699E-2</v>
      </c>
      <c r="G75" s="5">
        <v>0</v>
      </c>
      <c r="H75" s="4">
        <v>4.5800677972918802</v>
      </c>
      <c r="I75" s="4">
        <v>3.9498565474467902</v>
      </c>
      <c r="J75" s="4">
        <v>-29.129246641279199</v>
      </c>
      <c r="K75" s="4">
        <v>65.130418138261206</v>
      </c>
      <c r="L75" s="4">
        <v>16.091632671547298</v>
      </c>
      <c r="M75" s="4">
        <v>28.785384958317302</v>
      </c>
      <c r="N75" s="4">
        <v>68.252231617124707</v>
      </c>
      <c r="O75" s="4">
        <v>66.322084427531706</v>
      </c>
      <c r="P75" s="4">
        <v>268212.60896807298</v>
      </c>
      <c r="Q75" s="4">
        <v>247751.534510189</v>
      </c>
      <c r="R75" s="4">
        <v>781.75498923545501</v>
      </c>
      <c r="S75" s="4">
        <v>0</v>
      </c>
      <c r="T75" s="4">
        <v>0</v>
      </c>
      <c r="U75" s="4">
        <v>3.4621165033353399E-2</v>
      </c>
      <c r="V75" s="4">
        <v>0.435560815792018</v>
      </c>
      <c r="W75" s="4">
        <v>0</v>
      </c>
      <c r="X75" s="4">
        <v>0.74862083051808503</v>
      </c>
      <c r="Y75" s="4">
        <v>0</v>
      </c>
      <c r="Z75" s="5">
        <v>4.2141039468700502E-4</v>
      </c>
      <c r="AA75" s="5">
        <v>2.0620102515298699E-4</v>
      </c>
      <c r="AB75" s="10">
        <v>3.6848619274075498E-3</v>
      </c>
      <c r="AC75" s="10">
        <v>1.77299606389639E-6</v>
      </c>
      <c r="AD75" s="10">
        <v>2.4379484183598001E-2</v>
      </c>
      <c r="AE75" s="4">
        <v>-2.53050329546495E-2</v>
      </c>
      <c r="AF75" s="4">
        <v>0.90146911108458805</v>
      </c>
      <c r="AG75" s="4">
        <v>0.99138956448850102</v>
      </c>
      <c r="AH75" s="4">
        <v>0.99824576230719797</v>
      </c>
      <c r="AI75" s="4">
        <v>0.99997515756475197</v>
      </c>
      <c r="AJ75" s="4">
        <v>1</v>
      </c>
      <c r="AK75" s="4">
        <v>1</v>
      </c>
      <c r="AL75" s="4">
        <v>1</v>
      </c>
      <c r="AM75" s="4">
        <v>0</v>
      </c>
      <c r="AN75" s="4">
        <v>0</v>
      </c>
      <c r="AO75" s="4" t="s">
        <v>73</v>
      </c>
      <c r="AP75" s="4" t="s">
        <v>74</v>
      </c>
      <c r="AQ75" s="6">
        <v>123154810289.67</v>
      </c>
      <c r="AR75" s="4">
        <v>497090</v>
      </c>
      <c r="AS75" s="38">
        <v>14.0702186314223</v>
      </c>
      <c r="AT75" s="38">
        <v>42.373699789375699</v>
      </c>
      <c r="AU75" s="38">
        <v>10.7276748388025</v>
      </c>
      <c r="AV75" s="38">
        <v>32.828406740399302</v>
      </c>
      <c r="AW75" s="38">
        <v>56.443918420798099</v>
      </c>
      <c r="AX75" s="38">
        <v>43.556081579201802</v>
      </c>
    </row>
    <row r="76" spans="1:50" x14ac:dyDescent="0.25">
      <c r="A76">
        <v>4.3</v>
      </c>
      <c r="B76" s="4">
        <v>0.96530673601377703</v>
      </c>
      <c r="C76" s="4">
        <v>40.334988693478699</v>
      </c>
      <c r="D76" s="4">
        <v>34.5387881303241</v>
      </c>
      <c r="E76" s="4">
        <v>4.2122488477800597E-2</v>
      </c>
      <c r="F76" s="5">
        <v>3.4693263986222501E-2</v>
      </c>
      <c r="G76" s="5">
        <v>0</v>
      </c>
      <c r="H76" s="4">
        <v>4.7154885283988399</v>
      </c>
      <c r="I76" s="4">
        <v>3.8907081153255798</v>
      </c>
      <c r="J76" s="4">
        <v>-18.551170537872402</v>
      </c>
      <c r="K76" s="4">
        <v>87.109982420119195</v>
      </c>
      <c r="L76" s="4">
        <v>15.430833326548999</v>
      </c>
      <c r="M76" s="4">
        <v>29.447083294670801</v>
      </c>
      <c r="N76" s="4">
        <v>66.169575133301095</v>
      </c>
      <c r="O76" s="4">
        <v>63.832172620781101</v>
      </c>
      <c r="P76" s="4">
        <v>279374.25067447301</v>
      </c>
      <c r="Q76" s="4">
        <v>258562.59833450601</v>
      </c>
      <c r="R76" s="4">
        <v>781.648829428878</v>
      </c>
      <c r="S76" s="4">
        <v>0</v>
      </c>
      <c r="T76" s="4">
        <v>0</v>
      </c>
      <c r="U76" s="4">
        <v>3.7363786877699402E-2</v>
      </c>
      <c r="V76" s="4">
        <v>0.505680313868755</v>
      </c>
      <c r="W76" s="4">
        <v>0</v>
      </c>
      <c r="X76" s="4">
        <v>0.77738184752612405</v>
      </c>
      <c r="Y76" s="4">
        <v>0</v>
      </c>
      <c r="Z76" s="5">
        <v>4.1838792670910598E-4</v>
      </c>
      <c r="AA76" s="5">
        <v>2.38927613420906E-4</v>
      </c>
      <c r="AB76" s="10">
        <v>3.7948146468653999E-3</v>
      </c>
      <c r="AC76" s="10">
        <v>2.0311001084106902E-6</v>
      </c>
      <c r="AD76" s="10">
        <v>3.0239087516837002E-2</v>
      </c>
      <c r="AE76" s="4">
        <v>-1.7332457234684701E-2</v>
      </c>
      <c r="AF76" s="4">
        <v>0.87794961932549098</v>
      </c>
      <c r="AG76" s="4">
        <v>0.99198914666918703</v>
      </c>
      <c r="AH76" s="4">
        <v>0.99858600882954796</v>
      </c>
      <c r="AI76" s="4">
        <v>0.99998620135889305</v>
      </c>
      <c r="AJ76" s="4">
        <v>1</v>
      </c>
      <c r="AK76" s="4">
        <v>1</v>
      </c>
      <c r="AL76" s="4">
        <v>1</v>
      </c>
      <c r="AM76" s="4">
        <v>0</v>
      </c>
      <c r="AN76" s="4">
        <v>0</v>
      </c>
      <c r="AO76" s="4" t="s">
        <v>75</v>
      </c>
      <c r="AP76" s="4" t="s">
        <v>76</v>
      </c>
      <c r="AQ76" s="6">
        <v>189238087282.04999</v>
      </c>
      <c r="AR76" s="4">
        <v>731885</v>
      </c>
      <c r="AS76" s="38">
        <v>13.9481118807279</v>
      </c>
      <c r="AT76" s="38">
        <v>35.483856732396397</v>
      </c>
      <c r="AU76" s="38">
        <v>12.8122630960452</v>
      </c>
      <c r="AV76" s="38">
        <v>37.755768290830197</v>
      </c>
      <c r="AW76" s="38">
        <v>49.431968613124397</v>
      </c>
      <c r="AX76" s="38">
        <v>50.568031386875496</v>
      </c>
    </row>
    <row r="77" spans="1:50" x14ac:dyDescent="0.25">
      <c r="A77">
        <v>4.3</v>
      </c>
      <c r="B77" s="4">
        <v>0.96122630948901</v>
      </c>
      <c r="C77" s="4">
        <v>42.229864150514402</v>
      </c>
      <c r="D77" s="4">
        <v>37.7831826815463</v>
      </c>
      <c r="E77" s="4">
        <v>4.4695223819703603E-2</v>
      </c>
      <c r="F77" s="5">
        <v>3.8773690510989403E-2</v>
      </c>
      <c r="G77" s="5">
        <v>0</v>
      </c>
      <c r="H77" s="4">
        <v>4.8934648103971998</v>
      </c>
      <c r="I77" s="4">
        <v>3.8146705519739301</v>
      </c>
      <c r="J77" s="4">
        <v>-9.7248916781002208</v>
      </c>
      <c r="K77" s="4">
        <v>112.777591972545</v>
      </c>
      <c r="L77" s="4">
        <v>15.971561310483199</v>
      </c>
      <c r="M77" s="4">
        <v>31.9683158654538</v>
      </c>
      <c r="N77" s="4">
        <v>67.998957882842603</v>
      </c>
      <c r="O77" s="4">
        <v>65.0652046008274</v>
      </c>
      <c r="P77" s="4">
        <v>269555.650854957</v>
      </c>
      <c r="Q77" s="4">
        <v>249920.86122440401</v>
      </c>
      <c r="R77" s="4">
        <v>780.73484576879105</v>
      </c>
      <c r="S77" s="4">
        <v>0</v>
      </c>
      <c r="T77" s="4">
        <v>0</v>
      </c>
      <c r="U77" s="4">
        <v>3.9815232322508901E-2</v>
      </c>
      <c r="V77" s="4">
        <v>0.536840990492086</v>
      </c>
      <c r="W77" s="4">
        <v>0</v>
      </c>
      <c r="X77" s="4">
        <v>0.74410184350845299</v>
      </c>
      <c r="Y77" s="4">
        <v>0</v>
      </c>
      <c r="Z77" s="5">
        <v>4.28238065315998E-4</v>
      </c>
      <c r="AA77" s="5">
        <v>3.4684786099471401E-4</v>
      </c>
      <c r="AB77" s="10">
        <v>3.9908322328768798E-3</v>
      </c>
      <c r="AC77" s="10">
        <v>3.2080051888693601E-6</v>
      </c>
      <c r="AD77" s="10">
        <v>3.4004549066402802E-2</v>
      </c>
      <c r="AE77" s="4">
        <v>-1.21309812319274E-2</v>
      </c>
      <c r="AF77" s="4">
        <v>0.88608074172726703</v>
      </c>
      <c r="AG77" s="4">
        <v>0.98981010531038005</v>
      </c>
      <c r="AH77" s="4">
        <v>0.99843225509143396</v>
      </c>
      <c r="AI77" s="4">
        <v>0.99981348346239096</v>
      </c>
      <c r="AJ77" s="4">
        <v>1</v>
      </c>
      <c r="AK77" s="4">
        <v>1</v>
      </c>
      <c r="AL77" s="4">
        <v>1</v>
      </c>
      <c r="AM77" s="4">
        <v>0</v>
      </c>
      <c r="AN77" s="4">
        <v>0</v>
      </c>
      <c r="AO77" s="4" t="s">
        <v>77</v>
      </c>
      <c r="AP77" s="4" t="s">
        <v>78</v>
      </c>
      <c r="AQ77" s="6">
        <v>184521070417.48001</v>
      </c>
      <c r="AR77" s="4">
        <v>738318</v>
      </c>
      <c r="AS77" s="38">
        <v>13.1831377170439</v>
      </c>
      <c r="AT77" s="38">
        <v>33.132763233747397</v>
      </c>
      <c r="AU77" s="38">
        <v>11.5885853199745</v>
      </c>
      <c r="AV77" s="38">
        <v>42.095513729234</v>
      </c>
      <c r="AW77" s="38">
        <v>46.315900950791303</v>
      </c>
      <c r="AX77" s="38">
        <v>53.684099049208598</v>
      </c>
    </row>
    <row r="78" spans="1:50" x14ac:dyDescent="0.25">
      <c r="A78">
        <v>4.3</v>
      </c>
      <c r="B78" s="4">
        <v>0.95774671520973298</v>
      </c>
      <c r="C78" s="4">
        <v>43.430516045098202</v>
      </c>
      <c r="D78" s="4">
        <v>40.432680999397697</v>
      </c>
      <c r="E78" s="4">
        <v>4.63657259560223E-2</v>
      </c>
      <c r="F78" s="5">
        <v>4.22532847902665E-2</v>
      </c>
      <c r="G78" s="5">
        <v>0</v>
      </c>
      <c r="H78" s="4">
        <v>5.0117610116384101</v>
      </c>
      <c r="I78" s="4">
        <v>3.7351164927137401</v>
      </c>
      <c r="J78" s="4">
        <v>-3.2574518625462501</v>
      </c>
      <c r="K78" s="4">
        <v>135.92957671409101</v>
      </c>
      <c r="L78" s="4">
        <v>15.5704892207636</v>
      </c>
      <c r="M78" s="4">
        <v>34.0324810915127</v>
      </c>
      <c r="N78" s="4">
        <v>67.588816736364294</v>
      </c>
      <c r="O78" s="4">
        <v>63.963152753033398</v>
      </c>
      <c r="P78" s="4">
        <v>276245.11642420402</v>
      </c>
      <c r="Q78" s="4">
        <v>256398.57330214899</v>
      </c>
      <c r="R78" s="4">
        <v>780.01240669643505</v>
      </c>
      <c r="S78" s="4">
        <v>0</v>
      </c>
      <c r="T78" s="4">
        <v>0</v>
      </c>
      <c r="U78" s="4">
        <v>4.49006361593055E-2</v>
      </c>
      <c r="V78" s="4">
        <v>0.54552975365863299</v>
      </c>
      <c r="W78" s="4">
        <v>0</v>
      </c>
      <c r="X78" s="4">
        <v>0.73492034086174896</v>
      </c>
      <c r="Y78" s="4">
        <v>0</v>
      </c>
      <c r="Z78" s="5">
        <v>4.3327674088801702E-4</v>
      </c>
      <c r="AA78" s="5">
        <v>4.3431900516337701E-4</v>
      </c>
      <c r="AB78" s="10">
        <v>3.8639171242937599E-3</v>
      </c>
      <c r="AC78" s="10">
        <v>5.1362060254975397E-6</v>
      </c>
      <c r="AD78" s="10">
        <v>3.7516620398582799E-2</v>
      </c>
      <c r="AE78" s="4">
        <v>-2.2411398691909502E-3</v>
      </c>
      <c r="AF78" s="4">
        <v>0.84055371536569601</v>
      </c>
      <c r="AG78" s="4">
        <v>0.98751508097024199</v>
      </c>
      <c r="AH78" s="4">
        <v>0.99791425303046299</v>
      </c>
      <c r="AI78" s="4">
        <v>0.99975669231376796</v>
      </c>
      <c r="AJ78" s="4">
        <v>1</v>
      </c>
      <c r="AK78" s="4">
        <v>1</v>
      </c>
      <c r="AL78" s="4">
        <v>1</v>
      </c>
      <c r="AM78" s="4">
        <v>0</v>
      </c>
      <c r="AN78" s="4">
        <v>0</v>
      </c>
      <c r="AO78" s="4" t="s">
        <v>79</v>
      </c>
      <c r="AP78" s="4" t="s">
        <v>80</v>
      </c>
      <c r="AQ78" s="6">
        <v>138213702127.10999</v>
      </c>
      <c r="AR78" s="4">
        <v>539058</v>
      </c>
      <c r="AS78" s="38">
        <v>13.462637740082799</v>
      </c>
      <c r="AT78" s="38">
        <v>31.984386894053799</v>
      </c>
      <c r="AU78" s="38">
        <v>11.738894943562601</v>
      </c>
      <c r="AV78" s="38">
        <v>42.814080422300599</v>
      </c>
      <c r="AW78" s="38">
        <v>45.447024634136604</v>
      </c>
      <c r="AX78" s="38">
        <v>54.552975365863297</v>
      </c>
    </row>
    <row r="79" spans="1:50" x14ac:dyDescent="0.25">
      <c r="A79">
        <v>4.3</v>
      </c>
      <c r="B79" s="4">
        <v>0.95694215521091797</v>
      </c>
      <c r="C79" s="4">
        <v>42.81703181001</v>
      </c>
      <c r="D79" s="4">
        <v>41.030392314607298</v>
      </c>
      <c r="E79" s="4">
        <v>4.5508149888812001E-2</v>
      </c>
      <c r="F79" s="5">
        <v>4.3057844789081097E-2</v>
      </c>
      <c r="G79" s="5">
        <v>0</v>
      </c>
      <c r="H79" s="4">
        <v>5.2227868412311098</v>
      </c>
      <c r="I79" s="4">
        <v>3.7035981704192502</v>
      </c>
      <c r="J79" s="4">
        <v>12.7127010673951</v>
      </c>
      <c r="K79" s="4">
        <v>161.00603318595199</v>
      </c>
      <c r="L79" s="4">
        <v>15.9079426855742</v>
      </c>
      <c r="M79" s="4">
        <v>35.570661331232699</v>
      </c>
      <c r="N79" s="4">
        <v>69.692901785557495</v>
      </c>
      <c r="O79" s="4">
        <v>65.628564985684605</v>
      </c>
      <c r="P79" s="4">
        <v>270183.70881190599</v>
      </c>
      <c r="Q79" s="4">
        <v>250975.177950329</v>
      </c>
      <c r="R79" s="4">
        <v>778.84109286395505</v>
      </c>
      <c r="S79" s="4">
        <v>0</v>
      </c>
      <c r="T79" s="4">
        <v>0</v>
      </c>
      <c r="U79" s="4">
        <v>4.3887434579184897E-2</v>
      </c>
      <c r="V79" s="4">
        <v>0.59869949327721295</v>
      </c>
      <c r="W79" s="4">
        <v>0</v>
      </c>
      <c r="X79" s="4">
        <v>0.71384687854186102</v>
      </c>
      <c r="Y79" s="4">
        <v>0</v>
      </c>
      <c r="Z79" s="5">
        <v>4.3998118136028799E-4</v>
      </c>
      <c r="AA79" s="5">
        <v>6.7141775327851899E-4</v>
      </c>
      <c r="AB79" s="10">
        <v>3.9097782470538002E-3</v>
      </c>
      <c r="AC79" s="10">
        <v>5.3656131804302096E-6</v>
      </c>
      <c r="AD79" s="10">
        <v>3.8031286666364197E-2</v>
      </c>
      <c r="AE79" s="4">
        <v>1.29496612697125E-3</v>
      </c>
      <c r="AF79" s="4">
        <v>0.83238914682436005</v>
      </c>
      <c r="AG79" s="4">
        <v>0.98881141962996399</v>
      </c>
      <c r="AH79" s="4">
        <v>0.99813759607888397</v>
      </c>
      <c r="AI79" s="4">
        <v>0.99974695454095197</v>
      </c>
      <c r="AJ79" s="4">
        <v>1</v>
      </c>
      <c r="AK79" s="4">
        <v>1</v>
      </c>
      <c r="AL79" s="4">
        <v>1</v>
      </c>
      <c r="AM79" s="4">
        <v>0</v>
      </c>
      <c r="AN79" s="4">
        <v>0</v>
      </c>
      <c r="AO79" s="4" t="s">
        <v>81</v>
      </c>
      <c r="AP79" s="4" t="s">
        <v>82</v>
      </c>
      <c r="AQ79" s="6">
        <v>60320880119.650002</v>
      </c>
      <c r="AR79" s="4">
        <v>240346</v>
      </c>
      <c r="AS79" s="38">
        <v>12.1117664032724</v>
      </c>
      <c r="AT79" s="38">
        <v>28.018284269006202</v>
      </c>
      <c r="AU79" s="38">
        <v>12.150352706578699</v>
      </c>
      <c r="AV79" s="38">
        <v>47.7195966211426</v>
      </c>
      <c r="AW79" s="38">
        <v>40.1300506722786</v>
      </c>
      <c r="AX79" s="38">
        <v>59.869949327721301</v>
      </c>
    </row>
    <row r="80" spans="1:50" x14ac:dyDescent="0.25">
      <c r="A80">
        <v>4.3</v>
      </c>
      <c r="B80" s="4">
        <v>0.95678858055064997</v>
      </c>
      <c r="C80" s="4">
        <v>40.848321284894801</v>
      </c>
      <c r="D80" s="4">
        <v>41.143856829332499</v>
      </c>
      <c r="E80" s="4">
        <v>4.2811976088199602E-2</v>
      </c>
      <c r="F80" s="5">
        <v>4.3211419449349503E-2</v>
      </c>
      <c r="G80" s="5">
        <v>0</v>
      </c>
      <c r="H80" s="4">
        <v>5.3823891692109296</v>
      </c>
      <c r="I80" s="4">
        <v>3.6735420967719001</v>
      </c>
      <c r="J80" s="4">
        <v>27.863444920836201</v>
      </c>
      <c r="K80" s="4">
        <v>183.95939863203901</v>
      </c>
      <c r="L80" s="4">
        <v>15.5454949177534</v>
      </c>
      <c r="M80" s="4">
        <v>37.628660379541699</v>
      </c>
      <c r="N80" s="4">
        <v>69.676520074355693</v>
      </c>
      <c r="O80" s="4">
        <v>65.038570126640806</v>
      </c>
      <c r="P80" s="4">
        <v>276718.767576857</v>
      </c>
      <c r="Q80" s="4">
        <v>256834.75929733599</v>
      </c>
      <c r="R80" s="4">
        <v>778.22943323362301</v>
      </c>
      <c r="S80" s="4">
        <v>0</v>
      </c>
      <c r="T80" s="4">
        <v>0</v>
      </c>
      <c r="U80" s="4">
        <v>4.6212221929435797E-2</v>
      </c>
      <c r="V80" s="4">
        <v>0.60928811059215604</v>
      </c>
      <c r="W80" s="4">
        <v>0</v>
      </c>
      <c r="X80" s="4">
        <v>0.71946832937670402</v>
      </c>
      <c r="Y80" s="4">
        <v>0</v>
      </c>
      <c r="Z80" s="5">
        <v>4.4977824985876499E-4</v>
      </c>
      <c r="AA80" s="5">
        <v>8.9749289087974102E-4</v>
      </c>
      <c r="AB80" s="10">
        <v>3.75736645461312E-3</v>
      </c>
      <c r="AC80" s="10">
        <v>8.8435952609200096E-6</v>
      </c>
      <c r="AD80" s="10">
        <v>3.8097923003222102E-2</v>
      </c>
      <c r="AE80" s="4">
        <v>7.2707101025135598E-3</v>
      </c>
      <c r="AF80" s="4">
        <v>0.78699962188561401</v>
      </c>
      <c r="AG80" s="4">
        <v>0.98519327985579297</v>
      </c>
      <c r="AH80" s="4">
        <v>0.99708187635511503</v>
      </c>
      <c r="AI80" s="4">
        <v>0.99982057466531304</v>
      </c>
      <c r="AJ80" s="4">
        <v>1</v>
      </c>
      <c r="AK80" s="4">
        <v>1</v>
      </c>
      <c r="AL80" s="4">
        <v>1</v>
      </c>
      <c r="AM80" s="4">
        <v>0</v>
      </c>
      <c r="AN80" s="4">
        <v>0</v>
      </c>
      <c r="AO80" s="4" t="s">
        <v>83</v>
      </c>
      <c r="AP80" s="4" t="s">
        <v>84</v>
      </c>
      <c r="AQ80" s="6">
        <v>19036078689.599998</v>
      </c>
      <c r="AR80" s="4">
        <v>74118</v>
      </c>
      <c r="AS80" s="38">
        <v>11.9677320264211</v>
      </c>
      <c r="AT80" s="38">
        <v>27.1034569143631</v>
      </c>
      <c r="AU80" s="38">
        <v>11.469666840328999</v>
      </c>
      <c r="AV80" s="38">
        <v>49.4591442188865</v>
      </c>
      <c r="AW80" s="38">
        <v>39.071188940784303</v>
      </c>
      <c r="AX80" s="38">
        <v>60.928811059215597</v>
      </c>
    </row>
    <row r="81" spans="1:50" x14ac:dyDescent="0.25">
      <c r="A81">
        <v>4.3</v>
      </c>
      <c r="B81" s="4">
        <v>0.95965032772075898</v>
      </c>
      <c r="C81" s="4">
        <v>39.326351237253</v>
      </c>
      <c r="D81" s="4">
        <v>38.9962979285324</v>
      </c>
      <c r="E81" s="4">
        <v>4.0783421801696099E-2</v>
      </c>
      <c r="F81" s="5">
        <v>4.0349672279240002E-2</v>
      </c>
      <c r="G81" s="5">
        <v>0</v>
      </c>
      <c r="H81" s="4">
        <v>5.57102286179882</v>
      </c>
      <c r="I81" s="4">
        <v>3.67773029386835</v>
      </c>
      <c r="J81" s="4">
        <v>46.756090543031803</v>
      </c>
      <c r="K81" s="4">
        <v>209.45370462217099</v>
      </c>
      <c r="L81" s="4">
        <v>15.957203488801801</v>
      </c>
      <c r="M81" s="4">
        <v>38.921341103371702</v>
      </c>
      <c r="N81" s="4">
        <v>73.345641513013106</v>
      </c>
      <c r="O81" s="4">
        <v>67.691510239993505</v>
      </c>
      <c r="P81" s="4">
        <v>270149.02478779701</v>
      </c>
      <c r="Q81" s="4">
        <v>250217.175720864</v>
      </c>
      <c r="R81" s="4">
        <v>776.86708014287296</v>
      </c>
      <c r="S81" s="4">
        <v>0</v>
      </c>
      <c r="T81" s="4">
        <v>0</v>
      </c>
      <c r="U81" s="4">
        <v>3.2041067070645197E-2</v>
      </c>
      <c r="V81" s="4">
        <v>0.63087815172335104</v>
      </c>
      <c r="W81" s="4">
        <v>0</v>
      </c>
      <c r="X81" s="4">
        <v>0.67502083162390403</v>
      </c>
      <c r="Y81" s="4">
        <v>0</v>
      </c>
      <c r="Z81" s="5">
        <v>4.5714559676376297E-4</v>
      </c>
      <c r="AA81" s="5">
        <v>1.05079579613257E-3</v>
      </c>
      <c r="AB81" s="10">
        <v>3.8411387579300399E-3</v>
      </c>
      <c r="AC81" s="10">
        <v>1.9877559157312801E-5</v>
      </c>
      <c r="AD81" s="10">
        <v>3.4980699299328899E-2</v>
      </c>
      <c r="AE81" s="4">
        <v>1.5918157906386201E-2</v>
      </c>
      <c r="AF81" s="4">
        <v>0.72313041864166605</v>
      </c>
      <c r="AG81" s="4">
        <v>0.96685982920858704</v>
      </c>
      <c r="AH81" s="4">
        <v>0.99327678121173002</v>
      </c>
      <c r="AI81" s="4">
        <v>0.99912055533042499</v>
      </c>
      <c r="AJ81" s="4">
        <v>1</v>
      </c>
      <c r="AK81" s="4">
        <v>1</v>
      </c>
      <c r="AL81" s="4">
        <v>1</v>
      </c>
      <c r="AM81" s="4">
        <v>0</v>
      </c>
      <c r="AN81" s="4">
        <v>0</v>
      </c>
      <c r="AO81" s="4" t="s">
        <v>85</v>
      </c>
      <c r="AP81" s="4" t="s">
        <v>86</v>
      </c>
      <c r="AQ81" s="6">
        <v>3205532238.1599998</v>
      </c>
      <c r="AR81" s="4">
        <v>12811</v>
      </c>
      <c r="AS81" s="38">
        <v>10.496757691419701</v>
      </c>
      <c r="AT81" s="38">
        <v>26.415427136245</v>
      </c>
      <c r="AU81" s="38">
        <v>11.030447210943001</v>
      </c>
      <c r="AV81" s="38">
        <v>52.057367961392103</v>
      </c>
      <c r="AW81" s="38">
        <v>36.912184827664802</v>
      </c>
      <c r="AX81" s="38">
        <v>63.087815172335098</v>
      </c>
    </row>
    <row r="82" spans="1:50" x14ac:dyDescent="0.25">
      <c r="A82">
        <v>4.3</v>
      </c>
      <c r="B82" s="4">
        <v>0.96128536315385205</v>
      </c>
      <c r="C82" s="4">
        <v>39.004870469422002</v>
      </c>
      <c r="D82" s="4">
        <v>37.7372991333486</v>
      </c>
      <c r="E82" s="4">
        <v>4.0360910902604602E-2</v>
      </c>
      <c r="F82" s="5">
        <v>3.8714636846147003E-2</v>
      </c>
      <c r="G82" s="5">
        <v>0</v>
      </c>
      <c r="H82" s="4">
        <v>5.6910467710245598</v>
      </c>
      <c r="I82" s="4">
        <v>3.6698000768645902</v>
      </c>
      <c r="J82" s="4">
        <v>59.805408360489999</v>
      </c>
      <c r="K82" s="4">
        <v>233.68844069790299</v>
      </c>
      <c r="L82" s="4">
        <v>15.710860116739701</v>
      </c>
      <c r="M82" s="4">
        <v>39.375976785879899</v>
      </c>
      <c r="N82" s="4">
        <v>75.761613962719693</v>
      </c>
      <c r="O82" s="4">
        <v>68.822674565039094</v>
      </c>
      <c r="P82" s="4">
        <v>276076.75590832799</v>
      </c>
      <c r="Q82" s="4">
        <v>254144.55841483199</v>
      </c>
      <c r="R82" s="4">
        <v>776.85488196287895</v>
      </c>
      <c r="S82" s="4">
        <v>0</v>
      </c>
      <c r="T82" s="4">
        <v>0</v>
      </c>
      <c r="U82" s="4">
        <v>4.0665119918526997E-2</v>
      </c>
      <c r="V82" s="4">
        <v>0.64388528475991702</v>
      </c>
      <c r="W82" s="4">
        <v>0</v>
      </c>
      <c r="X82" s="4">
        <v>0.65325781541685402</v>
      </c>
      <c r="Y82" s="4">
        <v>0</v>
      </c>
      <c r="Z82" s="5">
        <v>4.6496213790758799E-4</v>
      </c>
      <c r="AA82" s="5">
        <v>1.43831950013406E-3</v>
      </c>
      <c r="AB82" s="10">
        <v>3.7480591746767E-3</v>
      </c>
      <c r="AC82" s="10">
        <v>4.7259168701016701E-5</v>
      </c>
      <c r="AD82" s="10">
        <v>3.3016021520124998E-2</v>
      </c>
      <c r="AE82" s="4">
        <v>2.9006960098884298E-2</v>
      </c>
      <c r="AF82" s="4">
        <v>0.65722937262792402</v>
      </c>
      <c r="AG82" s="4">
        <v>0.93236976132542604</v>
      </c>
      <c r="AH82" s="4">
        <v>0.98367578157291502</v>
      </c>
      <c r="AI82" s="4">
        <v>0.99888089121690404</v>
      </c>
      <c r="AJ82" s="4">
        <v>1</v>
      </c>
      <c r="AK82" s="4">
        <v>1</v>
      </c>
      <c r="AL82" s="4">
        <v>1</v>
      </c>
      <c r="AM82" s="4">
        <v>0</v>
      </c>
      <c r="AN82" s="4">
        <v>0</v>
      </c>
      <c r="AO82" s="4" t="s">
        <v>87</v>
      </c>
      <c r="AP82" s="4" t="s">
        <v>88</v>
      </c>
      <c r="AQ82" s="6">
        <v>623670746.35000002</v>
      </c>
      <c r="AR82" s="4">
        <v>2454</v>
      </c>
      <c r="AS82" s="38">
        <v>11.300401779699399</v>
      </c>
      <c r="AT82" s="38">
        <v>24.311069744308799</v>
      </c>
      <c r="AU82" s="38">
        <v>12.320369459317</v>
      </c>
      <c r="AV82" s="38">
        <v>52.068159016674699</v>
      </c>
      <c r="AW82" s="38">
        <v>35.611471524008202</v>
      </c>
      <c r="AX82" s="38">
        <v>64.388528475991706</v>
      </c>
    </row>
    <row r="83" spans="1:50" x14ac:dyDescent="0.25">
      <c r="A83">
        <v>4.3</v>
      </c>
      <c r="B83" s="4">
        <v>0.96250323231016</v>
      </c>
      <c r="C83" s="4">
        <v>48.491811326748397</v>
      </c>
      <c r="D83" s="4">
        <v>36.784094992026901</v>
      </c>
      <c r="E83" s="4">
        <v>5.3785302101780001E-2</v>
      </c>
      <c r="F83" s="5">
        <v>3.7496767689839297E-2</v>
      </c>
      <c r="G83" s="5">
        <v>0</v>
      </c>
      <c r="H83" s="4">
        <v>5.8607298339704297</v>
      </c>
      <c r="I83" s="4">
        <v>3.6975991804738202</v>
      </c>
      <c r="J83" s="4">
        <v>77.423252239571895</v>
      </c>
      <c r="K83" s="4">
        <v>271.38147049753798</v>
      </c>
      <c r="L83" s="4">
        <v>15.3566629889257</v>
      </c>
      <c r="M83" s="4">
        <v>38.893016957151801</v>
      </c>
      <c r="N83" s="4">
        <v>83.782928376276701</v>
      </c>
      <c r="O83" s="4">
        <v>74.039933543539803</v>
      </c>
      <c r="P83" s="4">
        <v>280200.93669457501</v>
      </c>
      <c r="Q83" s="4">
        <v>260001.28193406499</v>
      </c>
      <c r="R83" s="4">
        <v>774.21663051651501</v>
      </c>
      <c r="S83" s="4">
        <v>0</v>
      </c>
      <c r="T83" s="4">
        <v>0</v>
      </c>
      <c r="U83" s="4">
        <v>2.7828875215330999E-2</v>
      </c>
      <c r="V83" s="4">
        <v>0.69094470089412297</v>
      </c>
      <c r="W83" s="4">
        <v>0</v>
      </c>
      <c r="X83" s="4">
        <v>0.54818966603492403</v>
      </c>
      <c r="Y83" s="4">
        <v>0</v>
      </c>
      <c r="Z83" s="5">
        <v>4.7942213428066798E-4</v>
      </c>
      <c r="AA83" s="5">
        <v>1.50040516872326E-3</v>
      </c>
      <c r="AB83" s="10">
        <v>3.8460780859025001E-3</v>
      </c>
      <c r="AC83" s="10">
        <v>1.0597716446869E-4</v>
      </c>
      <c r="AD83" s="10">
        <v>3.1564869269854003E-2</v>
      </c>
      <c r="AE83" s="4">
        <v>5.6337641012310397E-2</v>
      </c>
      <c r="AF83" s="4">
        <v>0.49526170975274603</v>
      </c>
      <c r="AG83" s="4">
        <v>0.83911173552753004</v>
      </c>
      <c r="AH83" s="4">
        <v>0.96226327380454402</v>
      </c>
      <c r="AI83" s="4">
        <v>0.99764238153129003</v>
      </c>
      <c r="AJ83" s="4">
        <v>1</v>
      </c>
      <c r="AK83" s="4">
        <v>1</v>
      </c>
      <c r="AL83" s="4">
        <v>1</v>
      </c>
      <c r="AM83" s="4">
        <v>0</v>
      </c>
      <c r="AN83" s="4">
        <v>0</v>
      </c>
      <c r="AO83" s="4" t="s">
        <v>89</v>
      </c>
      <c r="AP83" s="4" t="s">
        <v>90</v>
      </c>
      <c r="AQ83" s="6">
        <v>118300583.28</v>
      </c>
      <c r="AR83" s="4">
        <v>455</v>
      </c>
      <c r="AS83" s="38">
        <v>11.1495115191286</v>
      </c>
      <c r="AT83" s="38">
        <v>19.756018391458898</v>
      </c>
      <c r="AU83" s="38">
        <v>14.4715913694859</v>
      </c>
      <c r="AV83" s="38">
        <v>54.622878719926398</v>
      </c>
      <c r="AW83" s="38">
        <v>30.9055299105876</v>
      </c>
      <c r="AX83" s="38">
        <v>69.094470089412297</v>
      </c>
    </row>
    <row r="91" spans="1:50" x14ac:dyDescent="0.25">
      <c r="K91" t="s">
        <v>104</v>
      </c>
      <c r="L91" t="s">
        <v>92</v>
      </c>
      <c r="M91" t="s">
        <v>93</v>
      </c>
      <c r="R91" t="s">
        <v>104</v>
      </c>
      <c r="W91" t="s">
        <v>92</v>
      </c>
      <c r="AB91" t="s">
        <v>93</v>
      </c>
    </row>
    <row r="92" spans="1:50" x14ac:dyDescent="0.25">
      <c r="A92" s="4" t="s">
        <v>97</v>
      </c>
      <c r="B92" t="str">
        <f>AQ68</f>
        <v>Balance</v>
      </c>
      <c r="C92" s="2" t="str">
        <f t="shared" ref="C92:C107" si="17">AO68</f>
        <v>groupByColumn</v>
      </c>
      <c r="D92" t="str">
        <f>E68</f>
        <v>PREPAY_SMM1</v>
      </c>
      <c r="E92" t="str">
        <f>F68</f>
        <v>PREPAY_TRACKING_SMM1</v>
      </c>
      <c r="F92" t="s">
        <v>94</v>
      </c>
      <c r="G92" t="str">
        <f>C68</f>
        <v>PREPAY_CPR1</v>
      </c>
      <c r="H92" t="str">
        <f>D68</f>
        <v>PREPAY_TRACKING_CPR1</v>
      </c>
      <c r="K92" t="s">
        <v>95</v>
      </c>
      <c r="L92" t="s">
        <v>95</v>
      </c>
      <c r="M92" t="s">
        <v>95</v>
      </c>
      <c r="N92" t="s">
        <v>102</v>
      </c>
      <c r="O92" t="s">
        <v>103</v>
      </c>
      <c r="P92" t="s">
        <v>94</v>
      </c>
      <c r="R92" t="s">
        <v>98</v>
      </c>
      <c r="T92" t="s">
        <v>96</v>
      </c>
      <c r="U92" t="s">
        <v>101</v>
      </c>
      <c r="W92" t="s">
        <v>98</v>
      </c>
      <c r="X92" t="s">
        <v>105</v>
      </c>
      <c r="Y92" t="s">
        <v>96</v>
      </c>
      <c r="Z92" t="s">
        <v>101</v>
      </c>
      <c r="AB92" t="s">
        <v>98</v>
      </c>
      <c r="AC92" t="s">
        <v>105</v>
      </c>
      <c r="AD92" t="s">
        <v>96</v>
      </c>
      <c r="AE92" t="s">
        <v>101</v>
      </c>
    </row>
    <row r="93" spans="1:50" s="18" customFormat="1" x14ac:dyDescent="0.25">
      <c r="A93" s="16">
        <f t="shared" ref="A93:A107" si="18">K69</f>
        <v>-82.984204191452207</v>
      </c>
      <c r="B93" s="23">
        <f t="shared" ref="B93:B107" si="19">AQ69/1000000000</f>
        <v>1.98834758E-3</v>
      </c>
      <c r="C93" s="24" t="str">
        <f t="shared" si="17"/>
        <v>05:-100--75</v>
      </c>
      <c r="D93" s="17">
        <f>E69</f>
        <v>0</v>
      </c>
      <c r="E93" s="17">
        <f t="shared" ref="E93:E107" si="20">Z69+AA69+AB69+AC69+AD69</f>
        <v>9.5160453498980176E-3</v>
      </c>
      <c r="F93" s="23">
        <f t="shared" ref="F93:F106" si="21">D93/E93</f>
        <v>0</v>
      </c>
      <c r="G93" s="24">
        <f t="shared" ref="G93:G107" si="22">(1-(1-D93)^12)*100</f>
        <v>0</v>
      </c>
      <c r="H93" s="24">
        <f t="shared" ref="H93:H107" si="23">(1-(1-E93)^12)*100</f>
        <v>10.840148820300888</v>
      </c>
      <c r="K93" s="16">
        <v>1</v>
      </c>
      <c r="L93" s="16">
        <v>1</v>
      </c>
      <c r="M93" s="16">
        <v>1</v>
      </c>
      <c r="N93" s="17">
        <f t="shared" ref="N93:N107" si="24">Z69+AA69+AB69*K93+AC69*L93+AD69*M93</f>
        <v>9.5160453498980176E-3</v>
      </c>
      <c r="O93" s="24">
        <f t="shared" ref="O93:O107" si="25">100*(1-(1-N93)^12)</f>
        <v>10.840148820300888</v>
      </c>
      <c r="P93" s="25">
        <f t="shared" ref="P93:P107" si="26">D93/N93</f>
        <v>0</v>
      </c>
      <c r="S93" s="19">
        <f>A93</f>
        <v>-82.984204191452207</v>
      </c>
      <c r="T93" s="17">
        <f>VLOOKUP(ROUNDDOWN(S93,0),'Spline Pre-Adj'!A:B,2,0)</f>
        <v>1.141723072</v>
      </c>
      <c r="U93" s="17">
        <f>T93*K93</f>
        <v>1.141723072</v>
      </c>
      <c r="Y93" s="17"/>
      <c r="Z93" s="17"/>
      <c r="AE93" s="17"/>
    </row>
    <row r="94" spans="1:50" s="18" customFormat="1" x14ac:dyDescent="0.25">
      <c r="A94" s="16">
        <f t="shared" si="18"/>
        <v>-60.076868837927201</v>
      </c>
      <c r="B94" s="23">
        <f t="shared" si="19"/>
        <v>7.3319890400000004E-3</v>
      </c>
      <c r="C94" s="24" t="str">
        <f t="shared" si="17"/>
        <v>06:-75--50</v>
      </c>
      <c r="D94" s="17">
        <f>E70</f>
        <v>1.4538298378228599E-2</v>
      </c>
      <c r="E94" s="17">
        <f t="shared" si="20"/>
        <v>1.658173206561717E-2</v>
      </c>
      <c r="F94" s="23">
        <f t="shared" si="21"/>
        <v>0.87676596875994006</v>
      </c>
      <c r="G94" s="24">
        <f t="shared" si="22"/>
        <v>16.116409883057202</v>
      </c>
      <c r="H94" s="24">
        <f t="shared" si="23"/>
        <v>18.180040993727363</v>
      </c>
      <c r="K94" s="16">
        <v>1</v>
      </c>
      <c r="L94" s="16">
        <v>1</v>
      </c>
      <c r="M94" s="16">
        <v>1</v>
      </c>
      <c r="N94" s="17">
        <f t="shared" si="24"/>
        <v>1.658173206561717E-2</v>
      </c>
      <c r="O94" s="24">
        <f t="shared" si="25"/>
        <v>18.180040993727363</v>
      </c>
      <c r="P94" s="25">
        <f t="shared" si="26"/>
        <v>0.87676596875994006</v>
      </c>
      <c r="S94" s="19">
        <f t="shared" ref="S94:S101" si="27">A94</f>
        <v>-60.076868837927201</v>
      </c>
      <c r="T94" s="17">
        <f>VLOOKUP(ROUNDDOWN(S94,0),'Spline Pre-Adj'!A:B,2,0)</f>
        <v>1.267304</v>
      </c>
      <c r="U94" s="17">
        <f t="shared" ref="U94:U101" si="28">T94*K94</f>
        <v>1.267304</v>
      </c>
      <c r="X94" s="19">
        <f>A94</f>
        <v>-60.076868837927201</v>
      </c>
      <c r="Y94" s="17">
        <f>VLOOKUP(ROUNDDOWN(X94,0),'Spline Pre-Adj'!F:G,2,0)</f>
        <v>0.169505391304348</v>
      </c>
      <c r="Z94" s="17">
        <f t="shared" ref="Z94:Z107" si="29">Y94*L94</f>
        <v>0.169505391304348</v>
      </c>
      <c r="AE94" s="17"/>
    </row>
    <row r="95" spans="1:50" s="18" customFormat="1" x14ac:dyDescent="0.25">
      <c r="A95" s="16">
        <f t="shared" si="18"/>
        <v>-33.483850125560203</v>
      </c>
      <c r="B95" s="23">
        <f t="shared" si="19"/>
        <v>4.0977930000000003E-2</v>
      </c>
      <c r="C95" s="24" t="str">
        <f t="shared" si="17"/>
        <v>07:-50--25</v>
      </c>
      <c r="D95" s="17">
        <f>E71</f>
        <v>1.5179239099881101E-2</v>
      </c>
      <c r="E95" s="17">
        <f t="shared" si="20"/>
        <v>1.7138501282295222E-2</v>
      </c>
      <c r="F95" s="23">
        <f t="shared" si="21"/>
        <v>0.88568065841100585</v>
      </c>
      <c r="G95" s="24">
        <f t="shared" si="22"/>
        <v>16.768764003844126</v>
      </c>
      <c r="H95" s="24">
        <f t="shared" si="23"/>
        <v>18.734188726410306</v>
      </c>
      <c r="K95" s="16">
        <v>1</v>
      </c>
      <c r="L95" s="16">
        <v>1</v>
      </c>
      <c r="M95" s="16">
        <v>1</v>
      </c>
      <c r="N95" s="17">
        <f t="shared" si="24"/>
        <v>1.7138501282295222E-2</v>
      </c>
      <c r="O95" s="24">
        <f t="shared" si="25"/>
        <v>18.734188726410306</v>
      </c>
      <c r="P95" s="25">
        <f t="shared" si="26"/>
        <v>0.88568065841100585</v>
      </c>
      <c r="S95" s="19">
        <f t="shared" si="27"/>
        <v>-33.483850125560203</v>
      </c>
      <c r="T95" s="17">
        <f>VLOOKUP(ROUNDDOWN(S95,0),'Spline Pre-Adj'!A:B,2,0)</f>
        <v>1.2869999999999999</v>
      </c>
      <c r="U95" s="17">
        <f t="shared" si="28"/>
        <v>1.2869999999999999</v>
      </c>
      <c r="X95" s="9">
        <f t="shared" ref="X95:X107" si="30">A95</f>
        <v>-33.483850125560203</v>
      </c>
      <c r="Y95" s="8">
        <f>VLOOKUP(ROUNDDOWN(X95,0),'Spline Pre-Adj'!F:G,2,0)</f>
        <v>0.30615060763888902</v>
      </c>
      <c r="Z95" s="8">
        <f t="shared" si="29"/>
        <v>0.30615060763888902</v>
      </c>
      <c r="AE95" s="17"/>
    </row>
    <row r="96" spans="1:50" s="18" customFormat="1" x14ac:dyDescent="0.25">
      <c r="A96" s="16">
        <f t="shared" si="18"/>
        <v>-8.0399625616296202</v>
      </c>
      <c r="B96" s="23">
        <f t="shared" si="19"/>
        <v>0.52023705368999995</v>
      </c>
      <c r="C96" s="24" t="str">
        <f t="shared" si="17"/>
        <v>08:-25-0</v>
      </c>
      <c r="D96" s="17">
        <f>E72</f>
        <v>1.7351884248824001E-2</v>
      </c>
      <c r="E96" s="17">
        <f t="shared" si="20"/>
        <v>1.4012888958795908E-2</v>
      </c>
      <c r="F96" s="23">
        <f t="shared" si="21"/>
        <v>1.2382802932247745</v>
      </c>
      <c r="G96" s="24">
        <f t="shared" si="22"/>
        <v>18.945653501219649</v>
      </c>
      <c r="H96" s="24">
        <f t="shared" si="23"/>
        <v>15.578152156105352</v>
      </c>
      <c r="K96" s="16">
        <v>1</v>
      </c>
      <c r="L96" s="16">
        <v>1</v>
      </c>
      <c r="M96" s="16">
        <v>1</v>
      </c>
      <c r="N96" s="17">
        <f t="shared" si="24"/>
        <v>1.4012888958795908E-2</v>
      </c>
      <c r="O96" s="24">
        <f t="shared" si="25"/>
        <v>15.578152156105352</v>
      </c>
      <c r="P96" s="25">
        <f t="shared" si="26"/>
        <v>1.2382802932247745</v>
      </c>
      <c r="S96" s="19">
        <f t="shared" si="27"/>
        <v>-8.0399625616296202</v>
      </c>
      <c r="T96" s="17">
        <f>VLOOKUP(ROUNDDOWN(S96,0),'Spline Pre-Adj'!A:B,2,0)</f>
        <v>1.2869999999999999</v>
      </c>
      <c r="U96" s="17">
        <f t="shared" si="28"/>
        <v>1.2869999999999999</v>
      </c>
      <c r="X96" s="19">
        <f t="shared" si="30"/>
        <v>-8.0399625616296202</v>
      </c>
      <c r="Y96" s="17">
        <f>VLOOKUP(ROUNDDOWN(X96,0),'Spline Pre-Adj'!F:G,2,0)</f>
        <v>0.53185287373913004</v>
      </c>
      <c r="Z96" s="17">
        <f t="shared" si="29"/>
        <v>0.53185287373913004</v>
      </c>
      <c r="AC96" s="19">
        <f t="shared" ref="AC96:AC107" si="31">A96</f>
        <v>-8.0399625616296202</v>
      </c>
      <c r="AD96" s="17">
        <f>VLOOKUP(ROUNDDOWN(AC96,0),'Spline Pre-Adj'!K:L,2,0)</f>
        <v>1.1762837415319201</v>
      </c>
      <c r="AE96" s="17">
        <f t="shared" ref="AE96:AE107" si="32">AD96*M96</f>
        <v>1.1762837415319201</v>
      </c>
    </row>
    <row r="97" spans="1:31" x14ac:dyDescent="0.25">
      <c r="A97" s="4">
        <f t="shared" si="18"/>
        <v>16.717603686421</v>
      </c>
      <c r="B97" s="3">
        <f t="shared" si="19"/>
        <v>5.9089349273799998</v>
      </c>
      <c r="C97" s="2" t="str">
        <f t="shared" si="17"/>
        <v>09:0-25</v>
      </c>
      <c r="D97" s="8">
        <f t="shared" ref="D97:D106" si="33">E73</f>
        <v>1.50424955004873E-2</v>
      </c>
      <c r="E97" s="8">
        <f t="shared" si="20"/>
        <v>1.6327649206268384E-2</v>
      </c>
      <c r="F97" s="3">
        <f t="shared" si="21"/>
        <v>0.92128972826733091</v>
      </c>
      <c r="G97" s="2">
        <f t="shared" si="22"/>
        <v>16.629976906850132</v>
      </c>
      <c r="H97" s="2">
        <f t="shared" si="23"/>
        <v>17.92600524639041</v>
      </c>
      <c r="K97" s="4">
        <v>1</v>
      </c>
      <c r="L97" s="4">
        <v>1</v>
      </c>
      <c r="M97" s="4">
        <v>1</v>
      </c>
      <c r="N97" s="8">
        <f t="shared" si="24"/>
        <v>1.6327649206268384E-2</v>
      </c>
      <c r="O97" s="2">
        <f t="shared" si="25"/>
        <v>17.92600524639041</v>
      </c>
      <c r="P97" s="7">
        <f t="shared" si="26"/>
        <v>0.92128972826733091</v>
      </c>
      <c r="S97" s="9">
        <f t="shared" si="27"/>
        <v>16.717603686421</v>
      </c>
      <c r="T97" s="8">
        <f>VLOOKUP(ROUNDDOWN(S97,0),'Spline Pre-Adj'!A:B,2,0)</f>
        <v>1.2869999999999999</v>
      </c>
      <c r="U97" s="8">
        <f t="shared" si="28"/>
        <v>1.2869999999999999</v>
      </c>
      <c r="X97" s="9">
        <f t="shared" si="30"/>
        <v>16.717603686421</v>
      </c>
      <c r="Y97" s="8">
        <f>VLOOKUP(ROUNDDOWN(X97,0),'Spline Pre-Adj'!F:G,2,0)</f>
        <v>1.01594124675193</v>
      </c>
      <c r="Z97" s="8">
        <f t="shared" si="29"/>
        <v>1.01594124675193</v>
      </c>
      <c r="AC97" s="9">
        <f t="shared" si="31"/>
        <v>16.717603686421</v>
      </c>
      <c r="AD97" s="8">
        <f>VLOOKUP(ROUNDDOWN(AC97,0),'Spline Pre-Adj'!K:L,2,0)</f>
        <v>1.7435287487101601</v>
      </c>
      <c r="AE97" s="8">
        <f t="shared" si="32"/>
        <v>1.7435287487101601</v>
      </c>
    </row>
    <row r="98" spans="1:31" x14ac:dyDescent="0.25">
      <c r="A98" s="4">
        <f t="shared" si="18"/>
        <v>40.560416627556798</v>
      </c>
      <c r="B98" s="3">
        <f t="shared" si="19"/>
        <v>29.447621903279998</v>
      </c>
      <c r="C98" s="2" t="str">
        <f t="shared" si="17"/>
        <v>10:25-50</v>
      </c>
      <c r="D98" s="8">
        <f t="shared" si="33"/>
        <v>2.37792226180806E-2</v>
      </c>
      <c r="E98" s="8">
        <f t="shared" si="20"/>
        <v>2.2117715043014456E-2</v>
      </c>
      <c r="F98" s="3">
        <f t="shared" si="21"/>
        <v>1.0751211222241923</v>
      </c>
      <c r="G98" s="2">
        <f t="shared" si="22"/>
        <v>25.083658507400418</v>
      </c>
      <c r="H98" s="2">
        <f t="shared" si="23"/>
        <v>23.539181333392644</v>
      </c>
      <c r="K98" s="4">
        <v>1</v>
      </c>
      <c r="L98" s="4">
        <v>1</v>
      </c>
      <c r="M98" s="4">
        <v>1.08</v>
      </c>
      <c r="N98" s="8">
        <f t="shared" si="24"/>
        <v>2.3539171697005243E-2</v>
      </c>
      <c r="O98" s="2">
        <f t="shared" si="25"/>
        <v>24.862297777509625</v>
      </c>
      <c r="P98" s="7">
        <f t="shared" si="26"/>
        <v>1.010197934071992</v>
      </c>
      <c r="S98" s="9">
        <f t="shared" si="27"/>
        <v>40.560416627556798</v>
      </c>
      <c r="T98" s="8">
        <f>VLOOKUP(ROUNDDOWN(S98,0),'Spline Pre-Adj'!A:B,2,0)</f>
        <v>1.2869999999999999</v>
      </c>
      <c r="U98" s="8">
        <f t="shared" si="28"/>
        <v>1.2869999999999999</v>
      </c>
      <c r="X98" s="9">
        <f t="shared" si="30"/>
        <v>40.560416627556798</v>
      </c>
      <c r="Y98" s="8">
        <f>VLOOKUP(ROUNDDOWN(X98,0),'Spline Pre-Adj'!F:G,2,0)</f>
        <v>2.0717371897488701</v>
      </c>
      <c r="Z98" s="8">
        <f t="shared" si="29"/>
        <v>2.0717371897488701</v>
      </c>
      <c r="AC98" s="9">
        <f t="shared" si="31"/>
        <v>40.560416627556798</v>
      </c>
      <c r="AD98" s="8">
        <f>VLOOKUP(ROUNDDOWN(AC98,0),'Spline Pre-Adj'!K:L,2,0)</f>
        <v>2.5357969334519801</v>
      </c>
      <c r="AE98" s="8">
        <f t="shared" si="32"/>
        <v>2.7386606881281388</v>
      </c>
    </row>
    <row r="99" spans="1:31" x14ac:dyDescent="0.25">
      <c r="A99" s="4">
        <f t="shared" si="18"/>
        <v>65.130418138261206</v>
      </c>
      <c r="B99" s="3">
        <f t="shared" si="19"/>
        <v>123.15481028967</v>
      </c>
      <c r="C99" s="2" t="str">
        <f t="shared" si="17"/>
        <v>11:50-75</v>
      </c>
      <c r="D99" s="8">
        <f t="shared" si="33"/>
        <v>3.4107944475921699E-2</v>
      </c>
      <c r="E99" s="8">
        <f t="shared" si="20"/>
        <v>2.869373052690944E-2</v>
      </c>
      <c r="F99" s="3">
        <f t="shared" si="21"/>
        <v>1.1886897886607921</v>
      </c>
      <c r="G99" s="2">
        <f t="shared" si="22"/>
        <v>34.060882863644892</v>
      </c>
      <c r="H99" s="2">
        <f t="shared" si="23"/>
        <v>29.486170088588558</v>
      </c>
      <c r="K99" s="4">
        <v>1</v>
      </c>
      <c r="L99" s="4">
        <v>1</v>
      </c>
      <c r="M99" s="4">
        <v>1.21</v>
      </c>
      <c r="N99" s="8">
        <f t="shared" si="24"/>
        <v>3.3813422205465016E-2</v>
      </c>
      <c r="O99" s="2">
        <f t="shared" si="25"/>
        <v>33.819201928132451</v>
      </c>
      <c r="P99" s="7">
        <f t="shared" si="26"/>
        <v>1.0087102177551577</v>
      </c>
      <c r="S99" s="9">
        <f t="shared" si="27"/>
        <v>65.130418138261206</v>
      </c>
      <c r="T99" s="8">
        <f>VLOOKUP(ROUNDDOWN(S99,0),'Spline Pre-Adj'!A:B,2,0)</f>
        <v>1.2869999999999999</v>
      </c>
      <c r="U99" s="8">
        <f t="shared" si="28"/>
        <v>1.2869999999999999</v>
      </c>
      <c r="X99" s="9">
        <f t="shared" si="30"/>
        <v>65.130418138261206</v>
      </c>
      <c r="Y99" s="8">
        <f>VLOOKUP(ROUNDDOWN(X99,0),'Spline Pre-Adj'!F:G,2,0)</f>
        <v>3.5525412195015398</v>
      </c>
      <c r="Z99" s="8">
        <f t="shared" si="29"/>
        <v>3.5525412195015398</v>
      </c>
      <c r="AC99" s="9">
        <f t="shared" si="31"/>
        <v>65.130418138261206</v>
      </c>
      <c r="AD99" s="8">
        <f>VLOOKUP(ROUNDDOWN(AC99,0),'Spline Pre-Adj'!K:L,2,0)</f>
        <v>3.4611348963631601</v>
      </c>
      <c r="AE99" s="8">
        <f t="shared" si="32"/>
        <v>4.1879732245994239</v>
      </c>
    </row>
    <row r="100" spans="1:31" x14ac:dyDescent="0.25">
      <c r="A100" s="4">
        <f t="shared" si="18"/>
        <v>87.109982420119195</v>
      </c>
      <c r="B100" s="3">
        <f t="shared" si="19"/>
        <v>189.23808728204997</v>
      </c>
      <c r="C100" s="2" t="str">
        <f t="shared" si="17"/>
        <v>12:75-100</v>
      </c>
      <c r="D100" s="8">
        <f t="shared" si="33"/>
        <v>4.2122488477800597E-2</v>
      </c>
      <c r="E100" s="8">
        <f t="shared" si="20"/>
        <v>3.4693248803940827E-2</v>
      </c>
      <c r="F100" s="3">
        <f t="shared" si="21"/>
        <v>1.214140789057953</v>
      </c>
      <c r="G100" s="2">
        <f t="shared" si="22"/>
        <v>40.334988693478778</v>
      </c>
      <c r="H100" s="2">
        <f t="shared" si="23"/>
        <v>34.538775775486783</v>
      </c>
      <c r="K100" s="4">
        <v>1</v>
      </c>
      <c r="L100" s="4">
        <v>1</v>
      </c>
      <c r="M100" s="4">
        <v>1.24</v>
      </c>
      <c r="N100" s="8">
        <f t="shared" si="24"/>
        <v>4.1950629807981706E-2</v>
      </c>
      <c r="O100" s="2">
        <f t="shared" si="25"/>
        <v>40.206403475980679</v>
      </c>
      <c r="P100" s="7">
        <f t="shared" si="26"/>
        <v>1.0040966886696465</v>
      </c>
      <c r="S100" s="9">
        <f t="shared" si="27"/>
        <v>87.109982420119195</v>
      </c>
      <c r="T100" s="8">
        <f>VLOOKUP(ROUNDDOWN(S100,0),'Spline Pre-Adj'!A:B,2,0)</f>
        <v>1.2869999999999999</v>
      </c>
      <c r="U100" s="8">
        <f t="shared" si="28"/>
        <v>1.2869999999999999</v>
      </c>
      <c r="X100" s="9">
        <f t="shared" si="30"/>
        <v>87.109982420119195</v>
      </c>
      <c r="Y100" s="8">
        <f>VLOOKUP(ROUNDDOWN(X100,0),'Spline Pre-Adj'!F:G,2,0)</f>
        <v>4.8225583111111101</v>
      </c>
      <c r="Z100" s="8">
        <f t="shared" si="29"/>
        <v>4.8225583111111101</v>
      </c>
      <c r="AC100" s="9">
        <f t="shared" si="31"/>
        <v>87.109982420119195</v>
      </c>
      <c r="AD100" s="8">
        <f>VLOOKUP(ROUNDDOWN(AC100,0),'Spline Pre-Adj'!K:L,2,0)</f>
        <v>4.1457396580159296</v>
      </c>
      <c r="AE100" s="8">
        <f t="shared" si="32"/>
        <v>5.140717175939753</v>
      </c>
    </row>
    <row r="101" spans="1:31" x14ac:dyDescent="0.25">
      <c r="A101" s="4">
        <f t="shared" si="18"/>
        <v>112.777591972545</v>
      </c>
      <c r="B101" s="3">
        <f t="shared" si="19"/>
        <v>184.52107041748002</v>
      </c>
      <c r="C101" s="2" t="str">
        <f t="shared" si="17"/>
        <v>13:100-125</v>
      </c>
      <c r="D101" s="8">
        <f t="shared" si="33"/>
        <v>4.4695223819703603E-2</v>
      </c>
      <c r="E101" s="8">
        <f t="shared" si="20"/>
        <v>3.8773675230779264E-2</v>
      </c>
      <c r="F101" s="3">
        <f t="shared" si="21"/>
        <v>1.1527208487119041</v>
      </c>
      <c r="G101" s="2">
        <f t="shared" si="22"/>
        <v>42.229864150514317</v>
      </c>
      <c r="H101" s="2">
        <f t="shared" si="23"/>
        <v>37.78317081313056</v>
      </c>
      <c r="K101" s="4">
        <v>1</v>
      </c>
      <c r="L101" s="4">
        <v>1</v>
      </c>
      <c r="M101" s="4">
        <v>1.17</v>
      </c>
      <c r="N101" s="8">
        <f t="shared" si="24"/>
        <v>4.4554448572067737E-2</v>
      </c>
      <c r="O101" s="2">
        <f t="shared" si="25"/>
        <v>42.127624111427295</v>
      </c>
      <c r="P101" s="7">
        <f t="shared" si="26"/>
        <v>1.0031596227121555</v>
      </c>
      <c r="S101" s="9">
        <f t="shared" si="27"/>
        <v>112.777591972545</v>
      </c>
      <c r="T101" s="8">
        <f>VLOOKUP(ROUNDDOWN(S101,0),'Spline Pre-Adj'!A:B,2,0)</f>
        <v>1.2869999999999999</v>
      </c>
      <c r="U101" s="8">
        <f t="shared" si="28"/>
        <v>1.2869999999999999</v>
      </c>
      <c r="X101" s="9">
        <f t="shared" si="30"/>
        <v>112.777591972545</v>
      </c>
      <c r="Y101" s="8">
        <f>VLOOKUP(ROUNDDOWN(X101,0),'Spline Pre-Adj'!F:G,2,0)</f>
        <v>6.2750975705599998</v>
      </c>
      <c r="Z101" s="8">
        <f t="shared" si="29"/>
        <v>6.2750975705599998</v>
      </c>
      <c r="AC101" s="9">
        <f t="shared" si="31"/>
        <v>112.777591972545</v>
      </c>
      <c r="AD101" s="8">
        <f>VLOOKUP(ROUNDDOWN(AC101,0),'Spline Pre-Adj'!K:L,2,0)</f>
        <v>4.75215670710576</v>
      </c>
      <c r="AE101" s="8">
        <f t="shared" si="32"/>
        <v>5.5600233473137388</v>
      </c>
    </row>
    <row r="102" spans="1:31" x14ac:dyDescent="0.25">
      <c r="A102" s="4">
        <f t="shared" si="18"/>
        <v>135.92957671409101</v>
      </c>
      <c r="B102" s="3">
        <f t="shared" si="19"/>
        <v>138.21370212711</v>
      </c>
      <c r="C102" s="2" t="str">
        <f t="shared" si="17"/>
        <v>14:125-150</v>
      </c>
      <c r="D102" s="8">
        <f t="shared" si="33"/>
        <v>4.63657259560223E-2</v>
      </c>
      <c r="E102" s="8">
        <f t="shared" si="20"/>
        <v>4.2253269474953448E-2</v>
      </c>
      <c r="F102" s="3">
        <f t="shared" si="21"/>
        <v>1.0973287163850505</v>
      </c>
      <c r="G102" s="2">
        <f t="shared" si="22"/>
        <v>43.430516045098187</v>
      </c>
      <c r="H102" s="2">
        <f t="shared" si="23"/>
        <v>40.432669568915749</v>
      </c>
      <c r="K102" s="4">
        <v>1</v>
      </c>
      <c r="L102" s="4">
        <v>1</v>
      </c>
      <c r="M102" s="4">
        <v>1.1000000000000001</v>
      </c>
      <c r="N102" s="8">
        <f t="shared" si="24"/>
        <v>4.6004931514811734E-2</v>
      </c>
      <c r="O102" s="2">
        <f t="shared" si="25"/>
        <v>43.173153495603309</v>
      </c>
      <c r="P102" s="7">
        <f t="shared" si="26"/>
        <v>1.0078425166461644</v>
      </c>
      <c r="S102" s="9">
        <f>A102</f>
        <v>135.92957671409101</v>
      </c>
      <c r="T102" s="8">
        <f>VLOOKUP(ROUNDDOWN(S102,0),'Spline Pre-Adj'!A:B,2,0)</f>
        <v>1.2869999999999999</v>
      </c>
      <c r="U102" s="8">
        <f>T102*K102</f>
        <v>1.2869999999999999</v>
      </c>
      <c r="X102" s="9">
        <f t="shared" si="30"/>
        <v>135.92957671409101</v>
      </c>
      <c r="Y102" s="8">
        <f>VLOOKUP(ROUNDDOWN(X102,0),'Spline Pre-Adj'!F:G,2,0)</f>
        <v>7.6782094614435499</v>
      </c>
      <c r="Z102" s="8">
        <f t="shared" si="29"/>
        <v>7.6782094614435499</v>
      </c>
      <c r="AC102" s="9">
        <f t="shared" si="31"/>
        <v>135.92957671409101</v>
      </c>
      <c r="AD102" s="8">
        <f>VLOOKUP(ROUNDDOWN(AC102,0),'Spline Pre-Adj'!K:L,2,0)</f>
        <v>5.2241824620250199</v>
      </c>
      <c r="AE102" s="8">
        <f t="shared" si="32"/>
        <v>5.7466007082275228</v>
      </c>
    </row>
    <row r="103" spans="1:31" x14ac:dyDescent="0.25">
      <c r="A103" s="4">
        <f t="shared" si="18"/>
        <v>161.00603318595199</v>
      </c>
      <c r="B103" s="3">
        <f t="shared" si="19"/>
        <v>60.320880119649999</v>
      </c>
      <c r="C103" s="2" t="str">
        <f t="shared" si="17"/>
        <v>15:150-175</v>
      </c>
      <c r="D103" s="8">
        <f t="shared" si="33"/>
        <v>4.5508149888812001E-2</v>
      </c>
      <c r="E103" s="8">
        <f t="shared" si="20"/>
        <v>4.3057829461237235E-2</v>
      </c>
      <c r="F103" s="3">
        <f t="shared" si="21"/>
        <v>1.0569076625142162</v>
      </c>
      <c r="G103" s="2">
        <f t="shared" si="22"/>
        <v>42.817031810010043</v>
      </c>
      <c r="H103" s="2">
        <f t="shared" si="23"/>
        <v>41.030380980041102</v>
      </c>
      <c r="K103" s="4">
        <v>1</v>
      </c>
      <c r="L103" s="4">
        <v>1</v>
      </c>
      <c r="M103" s="4">
        <v>1.05</v>
      </c>
      <c r="N103" s="8">
        <f t="shared" si="24"/>
        <v>4.4959393794555449E-2</v>
      </c>
      <c r="O103" s="2">
        <f t="shared" si="25"/>
        <v>42.421274635374786</v>
      </c>
      <c r="P103" s="7">
        <f t="shared" si="26"/>
        <v>1.0122055937133878</v>
      </c>
      <c r="X103" s="9">
        <f t="shared" si="30"/>
        <v>161.00603318595199</v>
      </c>
      <c r="Y103" s="8">
        <f>VLOOKUP(ROUNDDOWN(X103,0),'Spline Pre-Adj'!F:G,2,0)</f>
        <v>8.7557674712905893</v>
      </c>
      <c r="Z103" s="8">
        <f t="shared" si="29"/>
        <v>8.7557674712905893</v>
      </c>
      <c r="AC103" s="9">
        <f t="shared" si="31"/>
        <v>161.00603318595199</v>
      </c>
      <c r="AD103" s="8">
        <f>VLOOKUP(ROUNDDOWN(AC103,0),'Spline Pre-Adj'!K:L,2,0)</f>
        <v>5.6827404574273999</v>
      </c>
      <c r="AE103" s="8">
        <f t="shared" si="32"/>
        <v>5.9668774802987699</v>
      </c>
    </row>
    <row r="104" spans="1:31" x14ac:dyDescent="0.25">
      <c r="A104" s="4">
        <f t="shared" si="18"/>
        <v>183.95939863203901</v>
      </c>
      <c r="B104" s="3">
        <f t="shared" si="19"/>
        <v>19.0360786896</v>
      </c>
      <c r="C104" s="2" t="str">
        <f t="shared" si="17"/>
        <v>16:175-200</v>
      </c>
      <c r="D104" s="8">
        <f t="shared" si="33"/>
        <v>4.2811976088199602E-2</v>
      </c>
      <c r="E104" s="8">
        <f t="shared" si="20"/>
        <v>4.3211404193834652E-2</v>
      </c>
      <c r="F104" s="3">
        <f t="shared" si="21"/>
        <v>0.99075641921185154</v>
      </c>
      <c r="G104" s="2">
        <f t="shared" si="22"/>
        <v>40.848321284894908</v>
      </c>
      <c r="H104" s="2">
        <f t="shared" si="23"/>
        <v>41.143845568150773</v>
      </c>
      <c r="K104" s="4">
        <v>1</v>
      </c>
      <c r="L104" s="4">
        <v>1</v>
      </c>
      <c r="M104" s="4">
        <v>1.01</v>
      </c>
      <c r="N104" s="8">
        <f t="shared" si="24"/>
        <v>4.3592383423866871E-2</v>
      </c>
      <c r="O104" s="2">
        <f t="shared" si="25"/>
        <v>41.424458412422126</v>
      </c>
      <c r="P104" s="7">
        <f t="shared" si="26"/>
        <v>0.98209762177766136</v>
      </c>
      <c r="X104" s="9">
        <f t="shared" si="30"/>
        <v>183.95939863203901</v>
      </c>
      <c r="Y104" s="8">
        <f>VLOOKUP(ROUNDDOWN(X104,0),'Spline Pre-Adj'!F:G,2,0)</f>
        <v>8.8912890705385497</v>
      </c>
      <c r="Z104" s="8">
        <f t="shared" si="29"/>
        <v>8.8912890705385497</v>
      </c>
      <c r="AC104" s="9">
        <f t="shared" si="31"/>
        <v>183.95939863203901</v>
      </c>
      <c r="AD104" s="8">
        <f>VLOOKUP(ROUNDDOWN(AC104,0),'Spline Pre-Adj'!K:L,2,0)</f>
        <v>6.0276934430763003</v>
      </c>
      <c r="AE104" s="8">
        <f t="shared" si="32"/>
        <v>6.0879703775070633</v>
      </c>
    </row>
    <row r="105" spans="1:31" x14ac:dyDescent="0.25">
      <c r="A105" s="4">
        <f t="shared" si="18"/>
        <v>209.45370462217099</v>
      </c>
      <c r="B105" s="3">
        <f t="shared" si="19"/>
        <v>3.20553223816</v>
      </c>
      <c r="C105" s="2" t="str">
        <f t="shared" si="17"/>
        <v>17:200-225</v>
      </c>
      <c r="D105" s="8">
        <f t="shared" si="33"/>
        <v>4.0783421801696099E-2</v>
      </c>
      <c r="E105" s="8">
        <f t="shared" si="20"/>
        <v>4.0349657009312583E-2</v>
      </c>
      <c r="F105" s="3">
        <f t="shared" si="21"/>
        <v>1.0107501481929178</v>
      </c>
      <c r="G105" s="2">
        <f t="shared" si="22"/>
        <v>39.326351237253085</v>
      </c>
      <c r="H105" s="2">
        <f t="shared" si="23"/>
        <v>38.996286280262325</v>
      </c>
      <c r="K105" s="4">
        <v>1</v>
      </c>
      <c r="L105" s="4">
        <v>1</v>
      </c>
      <c r="M105" s="4">
        <v>1</v>
      </c>
      <c r="N105" s="8">
        <f t="shared" si="24"/>
        <v>4.0349657009312583E-2</v>
      </c>
      <c r="O105" s="2">
        <f t="shared" si="25"/>
        <v>38.996286280262325</v>
      </c>
      <c r="P105" s="7">
        <f t="shared" si="26"/>
        <v>1.0107501481929178</v>
      </c>
      <c r="X105" s="9">
        <f t="shared" si="30"/>
        <v>209.45370462217099</v>
      </c>
      <c r="Y105" s="8">
        <f>VLOOKUP(ROUNDDOWN(X105,0),'Spline Pre-Adj'!F:G,2,0)</f>
        <v>8.9</v>
      </c>
      <c r="Z105" s="8">
        <f t="shared" si="29"/>
        <v>8.9</v>
      </c>
      <c r="AC105" s="9">
        <f t="shared" si="31"/>
        <v>209.45370462217099</v>
      </c>
      <c r="AD105" s="8">
        <f>VLOOKUP(ROUNDDOWN(AC105,0),'Spline Pre-Adj'!K:L,2,0)</f>
        <v>6.3657668913125001</v>
      </c>
      <c r="AE105" s="8">
        <f t="shared" si="32"/>
        <v>6.3657668913125001</v>
      </c>
    </row>
    <row r="106" spans="1:31" x14ac:dyDescent="0.25">
      <c r="A106" s="4">
        <f t="shared" si="18"/>
        <v>233.68844069790299</v>
      </c>
      <c r="B106" s="3">
        <f t="shared" si="19"/>
        <v>0.62367074634999997</v>
      </c>
      <c r="C106" s="2" t="str">
        <f t="shared" si="17"/>
        <v>18:225-250</v>
      </c>
      <c r="D106" s="8">
        <f t="shared" si="33"/>
        <v>4.0360910902604602E-2</v>
      </c>
      <c r="E106" s="8">
        <f t="shared" si="20"/>
        <v>3.8714621501544366E-2</v>
      </c>
      <c r="F106" s="3">
        <f t="shared" si="21"/>
        <v>1.0425237116419843</v>
      </c>
      <c r="G106" s="2">
        <f t="shared" si="22"/>
        <v>39.004870469422023</v>
      </c>
      <c r="H106" s="2">
        <f t="shared" si="23"/>
        <v>37.73728720686109</v>
      </c>
      <c r="K106" s="4">
        <v>1</v>
      </c>
      <c r="L106" s="4">
        <v>1</v>
      </c>
      <c r="M106" s="4">
        <v>1</v>
      </c>
      <c r="N106" s="8">
        <f t="shared" si="24"/>
        <v>3.8714621501544366E-2</v>
      </c>
      <c r="O106" s="2">
        <f t="shared" si="25"/>
        <v>37.73728720686109</v>
      </c>
      <c r="P106" s="7">
        <f t="shared" si="26"/>
        <v>1.0425237116419843</v>
      </c>
      <c r="X106" s="9">
        <f t="shared" si="30"/>
        <v>233.68844069790299</v>
      </c>
      <c r="Y106" s="8">
        <f>VLOOKUP(ROUNDDOWN(X106,0),'Spline Pre-Adj'!F:G,2,0)</f>
        <v>8.9</v>
      </c>
      <c r="Z106" s="8">
        <f t="shared" si="29"/>
        <v>8.9</v>
      </c>
      <c r="AC106" s="9">
        <f t="shared" si="31"/>
        <v>233.68844069790299</v>
      </c>
      <c r="AD106" s="8">
        <f>VLOOKUP(ROUNDDOWN(AC106,0),'Spline Pre-Adj'!K:L,2,0)</f>
        <v>6.6052587481674401</v>
      </c>
      <c r="AE106" s="8">
        <f t="shared" si="32"/>
        <v>6.6052587481674401</v>
      </c>
    </row>
    <row r="107" spans="1:31" s="30" customFormat="1" x14ac:dyDescent="0.25">
      <c r="A107" s="27">
        <f t="shared" si="18"/>
        <v>271.38147049753798</v>
      </c>
      <c r="B107" s="28">
        <f t="shared" si="19"/>
        <v>0.11830058328</v>
      </c>
      <c r="C107" s="29" t="str">
        <f t="shared" si="17"/>
        <v>999:&gt;= 250</v>
      </c>
      <c r="D107" s="20">
        <f>E83</f>
        <v>5.3785302101780001E-2</v>
      </c>
      <c r="E107" s="20">
        <f t="shared" si="20"/>
        <v>3.7496751823229119E-2</v>
      </c>
      <c r="F107" s="28">
        <f>D107/E107</f>
        <v>1.4343989675516422</v>
      </c>
      <c r="G107" s="29">
        <f t="shared" si="22"/>
        <v>48.491811326748525</v>
      </c>
      <c r="H107" s="29">
        <f t="shared" si="23"/>
        <v>36.784082486856875</v>
      </c>
      <c r="K107" s="27">
        <v>1</v>
      </c>
      <c r="L107" s="27">
        <v>1</v>
      </c>
      <c r="M107" s="27">
        <v>1</v>
      </c>
      <c r="N107" s="20">
        <f t="shared" si="24"/>
        <v>3.7496751823229119E-2</v>
      </c>
      <c r="O107" s="29">
        <f t="shared" si="25"/>
        <v>36.784082486856875</v>
      </c>
      <c r="P107" s="31">
        <f t="shared" si="26"/>
        <v>1.4343989675516422</v>
      </c>
      <c r="X107" s="21">
        <f t="shared" si="30"/>
        <v>271.38147049753798</v>
      </c>
      <c r="Y107" s="20">
        <f>VLOOKUP(ROUNDDOWN(X107,0),'Spline Pre-Adj'!F:G,2,0)</f>
        <v>8.9</v>
      </c>
      <c r="Z107" s="20">
        <f t="shared" si="29"/>
        <v>8.9</v>
      </c>
      <c r="AC107" s="21">
        <f t="shared" si="31"/>
        <v>271.38147049753798</v>
      </c>
      <c r="AD107" s="20">
        <f>VLOOKUP(ROUNDDOWN(AC107,0),'Spline Pre-Adj'!K:L,2,0)</f>
        <v>6.9406563237474703</v>
      </c>
      <c r="AE107" s="20">
        <f t="shared" si="32"/>
        <v>6.9406563237474703</v>
      </c>
    </row>
    <row r="132" spans="1:50" s="32" customFormat="1" x14ac:dyDescent="0.25"/>
    <row r="134" spans="1:50" x14ac:dyDescent="0.25">
      <c r="A134" s="34" t="s">
        <v>127</v>
      </c>
      <c r="AS134" s="18"/>
      <c r="AT134" s="18"/>
      <c r="AU134" s="18"/>
      <c r="AV134" s="18"/>
      <c r="AW134" s="18"/>
      <c r="AX134" s="18"/>
    </row>
    <row r="135" spans="1:50" x14ac:dyDescent="0.25">
      <c r="A135" t="s">
        <v>21</v>
      </c>
      <c r="B135" t="s">
        <v>22</v>
      </c>
      <c r="C135" t="s">
        <v>23</v>
      </c>
      <c r="D135" t="s">
        <v>24</v>
      </c>
      <c r="E135" t="s">
        <v>99</v>
      </c>
      <c r="F135" t="s">
        <v>100</v>
      </c>
      <c r="G135" t="s">
        <v>25</v>
      </c>
      <c r="H135" t="s">
        <v>26</v>
      </c>
      <c r="I135" t="s">
        <v>27</v>
      </c>
      <c r="J135" t="s">
        <v>28</v>
      </c>
      <c r="K135" t="s">
        <v>29</v>
      </c>
      <c r="L135" t="s">
        <v>30</v>
      </c>
      <c r="M135" t="s">
        <v>31</v>
      </c>
      <c r="N135" t="s">
        <v>32</v>
      </c>
      <c r="O135" t="s">
        <v>33</v>
      </c>
      <c r="P135" t="s">
        <v>34</v>
      </c>
      <c r="Q135" t="s">
        <v>35</v>
      </c>
      <c r="R135" t="s">
        <v>36</v>
      </c>
      <c r="S135" t="s">
        <v>37</v>
      </c>
      <c r="T135" t="s">
        <v>38</v>
      </c>
      <c r="U135" t="s">
        <v>39</v>
      </c>
      <c r="V135" t="s">
        <v>40</v>
      </c>
      <c r="W135" t="s">
        <v>41</v>
      </c>
      <c r="X135" t="s">
        <v>42</v>
      </c>
      <c r="Y135" t="s">
        <v>43</v>
      </c>
      <c r="Z135" t="s">
        <v>44</v>
      </c>
      <c r="AA135" t="s">
        <v>45</v>
      </c>
      <c r="AB135" s="1" t="s">
        <v>46</v>
      </c>
      <c r="AC135" s="1" t="s">
        <v>47</v>
      </c>
      <c r="AD135" s="1" t="s">
        <v>48</v>
      </c>
      <c r="AE135" t="s">
        <v>49</v>
      </c>
      <c r="AF135" t="s">
        <v>50</v>
      </c>
      <c r="AG135" t="s">
        <v>51</v>
      </c>
      <c r="AH135" t="s">
        <v>52</v>
      </c>
      <c r="AI135" t="s">
        <v>53</v>
      </c>
      <c r="AJ135" t="s">
        <v>54</v>
      </c>
      <c r="AK135" t="s">
        <v>55</v>
      </c>
      <c r="AL135" t="s">
        <v>56</v>
      </c>
      <c r="AM135" t="s">
        <v>57</v>
      </c>
      <c r="AN135" t="s">
        <v>58</v>
      </c>
      <c r="AO135" t="s">
        <v>59</v>
      </c>
      <c r="AP135" t="s">
        <v>60</v>
      </c>
      <c r="AQ135" t="s">
        <v>61</v>
      </c>
      <c r="AR135" t="s">
        <v>62</v>
      </c>
      <c r="AS135" s="37" t="s">
        <v>129</v>
      </c>
      <c r="AT135" s="37" t="s">
        <v>130</v>
      </c>
      <c r="AU135" s="37" t="s">
        <v>133</v>
      </c>
      <c r="AV135" s="37" t="s">
        <v>134</v>
      </c>
      <c r="AW135" s="37" t="s">
        <v>131</v>
      </c>
      <c r="AX135" s="37" t="s">
        <v>132</v>
      </c>
    </row>
    <row r="136" spans="1:50" x14ac:dyDescent="0.25">
      <c r="A136">
        <v>4.3</v>
      </c>
      <c r="B136" s="4">
        <v>0.99661761999999998</v>
      </c>
      <c r="C136" s="4">
        <v>0</v>
      </c>
      <c r="D136" s="4">
        <v>3.9841936068485002</v>
      </c>
      <c r="E136" s="4">
        <v>0</v>
      </c>
      <c r="F136" s="5">
        <v>3.3823799999999999E-3</v>
      </c>
      <c r="G136" s="5">
        <v>0</v>
      </c>
      <c r="H136" s="4">
        <v>3.875</v>
      </c>
      <c r="I136" s="4">
        <v>4.1184719999999997</v>
      </c>
      <c r="J136" s="4">
        <v>-64.061899999999994</v>
      </c>
      <c r="K136" s="4">
        <v>-131.94999999999999</v>
      </c>
      <c r="L136" s="4">
        <v>13.16</v>
      </c>
      <c r="M136" s="4">
        <v>17</v>
      </c>
      <c r="N136" s="4">
        <v>80</v>
      </c>
      <c r="O136" s="4">
        <v>77.08</v>
      </c>
      <c r="P136" s="4">
        <v>303250.44</v>
      </c>
      <c r="Q136" s="4">
        <v>303250.44</v>
      </c>
      <c r="R136" s="4">
        <v>773</v>
      </c>
      <c r="S136" s="4">
        <v>0</v>
      </c>
      <c r="T136" s="4">
        <v>0</v>
      </c>
      <c r="U136" s="4">
        <v>0</v>
      </c>
      <c r="V136" s="4">
        <v>1</v>
      </c>
      <c r="W136" s="4">
        <v>0</v>
      </c>
      <c r="X136" s="4">
        <v>1</v>
      </c>
      <c r="Y136" s="4">
        <v>0</v>
      </c>
      <c r="Z136" s="5">
        <v>3.5183000000000002E-4</v>
      </c>
      <c r="AA136" s="5">
        <v>7.7919999999999999E-5</v>
      </c>
      <c r="AB136" s="10">
        <v>2.95262E-3</v>
      </c>
      <c r="AC136" s="10">
        <v>0</v>
      </c>
      <c r="AD136" s="10">
        <v>0</v>
      </c>
      <c r="AE136" s="4">
        <v>1.1207682833043501E-2</v>
      </c>
      <c r="AF136" s="4">
        <v>1</v>
      </c>
      <c r="AG136" s="4">
        <v>1</v>
      </c>
      <c r="AH136" s="4">
        <v>1</v>
      </c>
      <c r="AI136" s="4">
        <v>1</v>
      </c>
      <c r="AJ136" s="4">
        <v>1</v>
      </c>
      <c r="AK136" s="4">
        <v>1</v>
      </c>
      <c r="AL136" s="4">
        <v>1</v>
      </c>
      <c r="AM136" s="4">
        <v>0</v>
      </c>
      <c r="AN136" s="4">
        <v>0</v>
      </c>
      <c r="AO136" s="4" t="s">
        <v>63</v>
      </c>
      <c r="AP136" s="4">
        <f>-150--125</f>
        <v>-25</v>
      </c>
      <c r="AQ136" s="6">
        <v>303250.44</v>
      </c>
      <c r="AR136" s="4">
        <v>1</v>
      </c>
      <c r="AS136" s="38">
        <v>0</v>
      </c>
      <c r="AT136" s="38">
        <v>0</v>
      </c>
      <c r="AU136" s="38">
        <v>100</v>
      </c>
      <c r="AV136" s="38">
        <v>0</v>
      </c>
      <c r="AW136" s="38">
        <v>0</v>
      </c>
      <c r="AX136" s="38">
        <v>100</v>
      </c>
    </row>
    <row r="137" spans="1:50" x14ac:dyDescent="0.25">
      <c r="A137">
        <v>4.3</v>
      </c>
      <c r="B137" s="4">
        <v>0.99396161935582505</v>
      </c>
      <c r="C137" s="4">
        <v>4.2592943061414701E-6</v>
      </c>
      <c r="D137" s="4">
        <v>7.0101859027679501</v>
      </c>
      <c r="E137" s="4">
        <v>3.54941203758885E-9</v>
      </c>
      <c r="F137" s="5">
        <v>6.0383806441740304E-3</v>
      </c>
      <c r="G137" s="5">
        <v>0</v>
      </c>
      <c r="H137" s="4">
        <v>3.9914049765568902</v>
      </c>
      <c r="I137" s="4">
        <v>4.0207579826372601</v>
      </c>
      <c r="J137" s="4">
        <v>-47.342571097094201</v>
      </c>
      <c r="K137" s="4">
        <v>-109.521065613342</v>
      </c>
      <c r="L137" s="4">
        <v>18.424374879011602</v>
      </c>
      <c r="M137" s="4">
        <v>17.235056335221898</v>
      </c>
      <c r="N137" s="4">
        <v>78.645806727901402</v>
      </c>
      <c r="O137" s="4">
        <v>76.212631890998594</v>
      </c>
      <c r="P137" s="4">
        <v>227361.29122970099</v>
      </c>
      <c r="Q137" s="4">
        <v>216720.61307692301</v>
      </c>
      <c r="R137" s="4">
        <v>770.41385897845601</v>
      </c>
      <c r="S137" s="4">
        <v>0</v>
      </c>
      <c r="T137" s="4">
        <v>0</v>
      </c>
      <c r="U137" s="4">
        <v>0</v>
      </c>
      <c r="V137" s="4">
        <v>0.64799816688481704</v>
      </c>
      <c r="W137" s="4">
        <v>0</v>
      </c>
      <c r="X137" s="4">
        <v>0.47019959199720701</v>
      </c>
      <c r="Y137" s="4">
        <v>0</v>
      </c>
      <c r="Z137" s="5">
        <v>3.5253440561351299E-4</v>
      </c>
      <c r="AA137" s="5">
        <v>4.2568940368268602E-5</v>
      </c>
      <c r="AB137" s="10">
        <v>3.2257403768181101E-3</v>
      </c>
      <c r="AC137" s="10">
        <v>0</v>
      </c>
      <c r="AD137" s="10">
        <v>2.4175230901213002E-3</v>
      </c>
      <c r="AE137" s="4">
        <v>5.65705661196982E-3</v>
      </c>
      <c r="AF137" s="4">
        <v>1</v>
      </c>
      <c r="AG137" s="4">
        <v>1</v>
      </c>
      <c r="AH137" s="4">
        <v>1</v>
      </c>
      <c r="AI137" s="4">
        <v>1</v>
      </c>
      <c r="AJ137" s="4">
        <v>1</v>
      </c>
      <c r="AK137" s="4">
        <v>1</v>
      </c>
      <c r="AL137" s="4">
        <v>1</v>
      </c>
      <c r="AM137" s="4">
        <v>0</v>
      </c>
      <c r="AN137" s="4">
        <v>0</v>
      </c>
      <c r="AO137" s="4" t="s">
        <v>64</v>
      </c>
      <c r="AP137" s="4">
        <f>-125--100</f>
        <v>-25</v>
      </c>
      <c r="AQ137" s="6">
        <v>2817367.97</v>
      </c>
      <c r="AR137" s="4">
        <v>13</v>
      </c>
      <c r="AS137" s="38">
        <v>0</v>
      </c>
      <c r="AT137" s="38">
        <v>35.200183311518202</v>
      </c>
      <c r="AU137" s="38">
        <v>39.5652648808951</v>
      </c>
      <c r="AV137" s="38">
        <v>25.234551807586499</v>
      </c>
      <c r="AW137" s="38">
        <v>35.200183311518202</v>
      </c>
      <c r="AX137" s="38">
        <v>64.799816688481698</v>
      </c>
    </row>
    <row r="138" spans="1:50" x14ac:dyDescent="0.25">
      <c r="A138">
        <v>4.3</v>
      </c>
      <c r="B138" s="4">
        <v>0.99057368080063402</v>
      </c>
      <c r="C138" s="4">
        <v>7.3377235751931797</v>
      </c>
      <c r="D138" s="4">
        <v>10.743178559326299</v>
      </c>
      <c r="E138" s="4">
        <v>6.33060498030845E-3</v>
      </c>
      <c r="F138" s="5">
        <v>9.4263191993659203E-3</v>
      </c>
      <c r="G138" s="5">
        <v>0</v>
      </c>
      <c r="H138" s="4">
        <v>4.17224955241148</v>
      </c>
      <c r="I138" s="4">
        <v>4.0571662065191196</v>
      </c>
      <c r="J138" s="4">
        <v>-29.890011270807499</v>
      </c>
      <c r="K138" s="4">
        <v>-83.259099964223196</v>
      </c>
      <c r="L138" s="4">
        <v>17.2757965838072</v>
      </c>
      <c r="M138" s="4">
        <v>16.404367603061001</v>
      </c>
      <c r="N138" s="4">
        <v>77.333062790736804</v>
      </c>
      <c r="O138" s="4">
        <v>76.104077629279502</v>
      </c>
      <c r="P138" s="4">
        <v>267797.77791093697</v>
      </c>
      <c r="Q138" s="4">
        <v>209583.53127272701</v>
      </c>
      <c r="R138" s="4">
        <v>777.86816649443494</v>
      </c>
      <c r="S138" s="4">
        <v>0</v>
      </c>
      <c r="T138" s="4">
        <v>0</v>
      </c>
      <c r="U138" s="4">
        <v>0</v>
      </c>
      <c r="V138" s="4">
        <v>0.46054219117851503</v>
      </c>
      <c r="W138" s="4">
        <v>0</v>
      </c>
      <c r="X138" s="4">
        <v>0.43187178095261503</v>
      </c>
      <c r="Y138" s="4">
        <v>0</v>
      </c>
      <c r="Z138" s="5">
        <v>5.0126474255654996E-4</v>
      </c>
      <c r="AA138" s="5">
        <v>6.9428058862079802E-5</v>
      </c>
      <c r="AB138" s="10">
        <v>2.8351574817837301E-3</v>
      </c>
      <c r="AC138" s="10">
        <v>0</v>
      </c>
      <c r="AD138" s="10">
        <v>6.0204542242498103E-3</v>
      </c>
      <c r="AE138" s="4">
        <v>-2.0558580365669099E-2</v>
      </c>
      <c r="AF138" s="4">
        <v>1</v>
      </c>
      <c r="AG138" s="4">
        <v>1</v>
      </c>
      <c r="AH138" s="4">
        <v>1</v>
      </c>
      <c r="AI138" s="4">
        <v>1</v>
      </c>
      <c r="AJ138" s="4">
        <v>1</v>
      </c>
      <c r="AK138" s="4">
        <v>1</v>
      </c>
      <c r="AL138" s="4">
        <v>1</v>
      </c>
      <c r="AM138" s="4">
        <v>0</v>
      </c>
      <c r="AN138" s="4">
        <v>0</v>
      </c>
      <c r="AO138" s="4" t="s">
        <v>65</v>
      </c>
      <c r="AP138" s="4">
        <f>-100--75</f>
        <v>-25</v>
      </c>
      <c r="AQ138" s="6">
        <v>11527094.220000001</v>
      </c>
      <c r="AR138" s="4">
        <v>55</v>
      </c>
      <c r="AS138" s="38">
        <v>0</v>
      </c>
      <c r="AT138" s="38">
        <v>53.945780882148398</v>
      </c>
      <c r="AU138" s="38">
        <v>20.1514239032566</v>
      </c>
      <c r="AV138" s="38">
        <v>25.9027952145948</v>
      </c>
      <c r="AW138" s="38">
        <v>53.945780882148398</v>
      </c>
      <c r="AX138" s="38">
        <v>46.054219117851503</v>
      </c>
    </row>
    <row r="139" spans="1:50" x14ac:dyDescent="0.25">
      <c r="A139">
        <v>4.3</v>
      </c>
      <c r="B139" s="4">
        <v>0.99484330711162205</v>
      </c>
      <c r="C139" s="4">
        <v>5.3431785680875699</v>
      </c>
      <c r="D139" s="4">
        <v>6.0155097034071296</v>
      </c>
      <c r="E139" s="4">
        <v>4.5655660440048198E-3</v>
      </c>
      <c r="F139" s="5">
        <v>5.1566928883772E-3</v>
      </c>
      <c r="G139" s="5">
        <v>0</v>
      </c>
      <c r="H139" s="4">
        <v>3.91695180332714</v>
      </c>
      <c r="I139" s="4">
        <v>4.1403075819143602</v>
      </c>
      <c r="J139" s="4">
        <v>-57.902392307505899</v>
      </c>
      <c r="K139" s="4">
        <v>-57.340959844646001</v>
      </c>
      <c r="L139" s="4">
        <v>18.4469852918415</v>
      </c>
      <c r="M139" s="4">
        <v>15.368493132760999</v>
      </c>
      <c r="N139" s="4">
        <v>78.123203786107098</v>
      </c>
      <c r="O139" s="4">
        <v>75.856039392720703</v>
      </c>
      <c r="P139" s="4">
        <v>260064.792808228</v>
      </c>
      <c r="Q139" s="4">
        <v>206197.94078994601</v>
      </c>
      <c r="R139" s="4">
        <v>780.06203051544605</v>
      </c>
      <c r="S139" s="4">
        <v>0</v>
      </c>
      <c r="T139" s="4">
        <v>0</v>
      </c>
      <c r="U139" s="4">
        <v>1.50657428957765E-2</v>
      </c>
      <c r="V139" s="4">
        <v>0.29548163503671399</v>
      </c>
      <c r="W139" s="4">
        <v>0</v>
      </c>
      <c r="X139" s="4">
        <v>0.40957522450002298</v>
      </c>
      <c r="Y139" s="4">
        <v>0</v>
      </c>
      <c r="Z139" s="5">
        <v>5.8260157630400005E-4</v>
      </c>
      <c r="AA139" s="5">
        <v>6.7237639097123306E-5</v>
      </c>
      <c r="AB139" s="10">
        <v>2.5059517851333999E-3</v>
      </c>
      <c r="AC139" s="10">
        <v>2.82637017049611E-9</v>
      </c>
      <c r="AD139" s="10">
        <v>2.0008886164802901E-3</v>
      </c>
      <c r="AE139" s="4">
        <v>-2.19160049625476E-2</v>
      </c>
      <c r="AF139" s="4">
        <v>0.99220981794894103</v>
      </c>
      <c r="AG139" s="4">
        <v>0.99953584959286101</v>
      </c>
      <c r="AH139" s="4">
        <v>1</v>
      </c>
      <c r="AI139" s="4">
        <v>1</v>
      </c>
      <c r="AJ139" s="4">
        <v>1</v>
      </c>
      <c r="AK139" s="4">
        <v>1</v>
      </c>
      <c r="AL139" s="4">
        <v>1</v>
      </c>
      <c r="AM139" s="4">
        <v>0</v>
      </c>
      <c r="AN139" s="4">
        <v>0</v>
      </c>
      <c r="AO139" s="4" t="s">
        <v>66</v>
      </c>
      <c r="AP139" s="4">
        <f>-75--50</f>
        <v>-25</v>
      </c>
      <c r="AQ139" s="6">
        <v>229704506.03999999</v>
      </c>
      <c r="AR139" s="4">
        <v>1114</v>
      </c>
      <c r="AS139" s="38">
        <v>9.7098229915072096</v>
      </c>
      <c r="AT139" s="38">
        <v>60.742013504821301</v>
      </c>
      <c r="AU139" s="38">
        <v>5.7793093086681804</v>
      </c>
      <c r="AV139" s="38">
        <v>23.7688541950032</v>
      </c>
      <c r="AW139" s="38">
        <v>70.451836496328497</v>
      </c>
      <c r="AX139" s="38">
        <v>29.5481635036714</v>
      </c>
    </row>
    <row r="140" spans="1:50" x14ac:dyDescent="0.25">
      <c r="A140">
        <v>4.3</v>
      </c>
      <c r="B140" s="4">
        <v>0.99387386162457902</v>
      </c>
      <c r="C140" s="4">
        <v>3.8902771649641399</v>
      </c>
      <c r="D140" s="4">
        <v>7.1086598882593997</v>
      </c>
      <c r="E140" s="4">
        <v>3.3011808299070501E-3</v>
      </c>
      <c r="F140" s="5">
        <v>6.1261383754208096E-3</v>
      </c>
      <c r="G140" s="5">
        <v>0</v>
      </c>
      <c r="H140" s="4">
        <v>3.9173643207244702</v>
      </c>
      <c r="I140" s="4">
        <v>4.14104917960129</v>
      </c>
      <c r="J140" s="4">
        <v>-58.629752443341303</v>
      </c>
      <c r="K140" s="4">
        <v>-33.260099520149197</v>
      </c>
      <c r="L140" s="4">
        <v>16.1957834565737</v>
      </c>
      <c r="M140" s="4">
        <v>15.4683596988668</v>
      </c>
      <c r="N140" s="4">
        <v>73.872118279957803</v>
      </c>
      <c r="O140" s="4">
        <v>72.3088363648056</v>
      </c>
      <c r="P140" s="4">
        <v>272596.08101807901</v>
      </c>
      <c r="Q140" s="4">
        <v>243776.68311771701</v>
      </c>
      <c r="R140" s="4">
        <v>782.66871314944797</v>
      </c>
      <c r="S140" s="4">
        <v>0</v>
      </c>
      <c r="T140" s="4">
        <v>0</v>
      </c>
      <c r="U140" s="4">
        <v>9.4806962917946894E-3</v>
      </c>
      <c r="V140" s="4">
        <v>0.29473072227380398</v>
      </c>
      <c r="W140" s="4">
        <v>0</v>
      </c>
      <c r="X140" s="4">
        <v>0.52757354473678597</v>
      </c>
      <c r="Y140" s="4">
        <v>0</v>
      </c>
      <c r="Z140" s="5">
        <v>4.1434191073676398E-4</v>
      </c>
      <c r="AA140" s="5">
        <v>5.8078043189716101E-5</v>
      </c>
      <c r="AB140" s="10">
        <v>2.5782364926103299E-3</v>
      </c>
      <c r="AC140" s="10">
        <v>3.9563250462176403E-8</v>
      </c>
      <c r="AD140" s="10">
        <v>3.0754283167657801E-3</v>
      </c>
      <c r="AE140" s="4">
        <v>-1.5040041092517199E-2</v>
      </c>
      <c r="AF140" s="4">
        <v>0.98117369098327401</v>
      </c>
      <c r="AG140" s="4">
        <v>0.99863198203966896</v>
      </c>
      <c r="AH140" s="4">
        <v>0.99995817775715501</v>
      </c>
      <c r="AI140" s="4">
        <v>0.99997146959224803</v>
      </c>
      <c r="AJ140" s="4">
        <v>1</v>
      </c>
      <c r="AK140" s="4">
        <v>1</v>
      </c>
      <c r="AL140" s="4">
        <v>1</v>
      </c>
      <c r="AM140" s="4">
        <v>0</v>
      </c>
      <c r="AN140" s="4">
        <v>0</v>
      </c>
      <c r="AO140" s="4" t="s">
        <v>67</v>
      </c>
      <c r="AP140" s="4">
        <f>-50--25</f>
        <v>-25</v>
      </c>
      <c r="AQ140" s="6">
        <v>2656922069.3000002</v>
      </c>
      <c r="AR140" s="4">
        <v>10899</v>
      </c>
      <c r="AS140" s="38">
        <v>9.3476428194761993</v>
      </c>
      <c r="AT140" s="38">
        <v>61.179284953143302</v>
      </c>
      <c r="AU140" s="38">
        <v>7.3830638924867404</v>
      </c>
      <c r="AV140" s="38">
        <v>22.0900083348936</v>
      </c>
      <c r="AW140" s="38">
        <v>70.526927772619501</v>
      </c>
      <c r="AX140" s="38">
        <v>29.473072227380399</v>
      </c>
    </row>
    <row r="141" spans="1:50" x14ac:dyDescent="0.25">
      <c r="A141">
        <v>4.3</v>
      </c>
      <c r="B141" s="4">
        <v>0.98895694274656298</v>
      </c>
      <c r="C141" s="4">
        <v>9.2499995761005795</v>
      </c>
      <c r="D141" s="4">
        <v>12.4757084552592</v>
      </c>
      <c r="E141" s="4">
        <v>8.0558519795120003E-3</v>
      </c>
      <c r="F141" s="5">
        <v>1.1043057253436701E-2</v>
      </c>
      <c r="G141" s="5">
        <v>0</v>
      </c>
      <c r="H141" s="4">
        <v>4.1064224414690296</v>
      </c>
      <c r="I141" s="4">
        <v>4.1264230368325201</v>
      </c>
      <c r="J141" s="4">
        <v>-40.737988248861299</v>
      </c>
      <c r="K141" s="4">
        <v>-8.92345924469676</v>
      </c>
      <c r="L141" s="4">
        <v>15.415975404218701</v>
      </c>
      <c r="M141" s="4">
        <v>15.9364905115608</v>
      </c>
      <c r="N141" s="4">
        <v>72.393302180037395</v>
      </c>
      <c r="O141" s="4">
        <v>71.173508431908104</v>
      </c>
      <c r="P141" s="4">
        <v>280619.740171001</v>
      </c>
      <c r="Q141" s="4">
        <v>258172.62217672801</v>
      </c>
      <c r="R141" s="4">
        <v>782.32452799756402</v>
      </c>
      <c r="S141" s="4">
        <v>0</v>
      </c>
      <c r="T141" s="4">
        <v>0</v>
      </c>
      <c r="U141" s="4">
        <v>2.23832857067181E-2</v>
      </c>
      <c r="V141" s="4">
        <v>0.36096526729626299</v>
      </c>
      <c r="W141" s="4">
        <v>0</v>
      </c>
      <c r="X141" s="4">
        <v>0.66644307075378795</v>
      </c>
      <c r="Y141" s="4">
        <v>0</v>
      </c>
      <c r="Z141" s="5">
        <v>3.7977384695343601E-4</v>
      </c>
      <c r="AA141" s="5">
        <v>6.5285011006641097E-5</v>
      </c>
      <c r="AB141" s="10">
        <v>2.6091565517947601E-3</v>
      </c>
      <c r="AC141" s="10">
        <v>5.0751520673963201E-8</v>
      </c>
      <c r="AD141" s="10">
        <v>7.9887768302293397E-3</v>
      </c>
      <c r="AE141" s="4">
        <v>-1.4619950004169401E-2</v>
      </c>
      <c r="AF141" s="4">
        <v>0.97071267516015103</v>
      </c>
      <c r="AG141" s="4">
        <v>0.99719995849885901</v>
      </c>
      <c r="AH141" s="4">
        <v>0.99984232226037295</v>
      </c>
      <c r="AI141" s="4">
        <v>0.99999630276297202</v>
      </c>
      <c r="AJ141" s="4">
        <v>1</v>
      </c>
      <c r="AK141" s="4">
        <v>1</v>
      </c>
      <c r="AL141" s="4">
        <v>1</v>
      </c>
      <c r="AM141" s="4">
        <v>0</v>
      </c>
      <c r="AN141" s="4">
        <v>0</v>
      </c>
      <c r="AO141" s="4" t="s">
        <v>68</v>
      </c>
      <c r="AP141" s="4">
        <f>-25-0</f>
        <v>-25</v>
      </c>
      <c r="AQ141" s="6">
        <v>18260549566.560001</v>
      </c>
      <c r="AR141" s="4">
        <v>70730</v>
      </c>
      <c r="AS141" s="38">
        <v>11.0900413834121</v>
      </c>
      <c r="AT141" s="38">
        <v>52.813431886961403</v>
      </c>
      <c r="AU141" s="38">
        <v>11.2694386064836</v>
      </c>
      <c r="AV141" s="38">
        <v>24.827088123142602</v>
      </c>
      <c r="AW141" s="38">
        <v>63.903473270373603</v>
      </c>
      <c r="AX141" s="38">
        <v>36.096526729626298</v>
      </c>
    </row>
    <row r="142" spans="1:50" x14ac:dyDescent="0.25">
      <c r="A142">
        <v>4.3</v>
      </c>
      <c r="B142" s="4">
        <v>0.98443032361875105</v>
      </c>
      <c r="C142" s="4">
        <v>17.9679742337335</v>
      </c>
      <c r="D142" s="4">
        <v>17.1638711760767</v>
      </c>
      <c r="E142" s="4">
        <v>1.6369576221281899E-2</v>
      </c>
      <c r="F142" s="5">
        <v>1.55696763812487E-2</v>
      </c>
      <c r="G142" s="5">
        <v>0</v>
      </c>
      <c r="H142" s="4">
        <v>4.2077257614427301</v>
      </c>
      <c r="I142" s="4">
        <v>4.0679378943764002</v>
      </c>
      <c r="J142" s="4">
        <v>-29.7512608561366</v>
      </c>
      <c r="K142" s="4">
        <v>15.341775522777199</v>
      </c>
      <c r="L142" s="4">
        <v>15.1924396170728</v>
      </c>
      <c r="M142" s="4">
        <v>16.236888583769002</v>
      </c>
      <c r="N142" s="4">
        <v>68.907396299420796</v>
      </c>
      <c r="O142" s="4">
        <v>67.228913420042701</v>
      </c>
      <c r="P142" s="4">
        <v>283046.02030027501</v>
      </c>
      <c r="Q142" s="4">
        <v>262621.19389707199</v>
      </c>
      <c r="R142" s="4">
        <v>783.21217789770901</v>
      </c>
      <c r="S142" s="4">
        <v>0</v>
      </c>
      <c r="T142" s="4">
        <v>0</v>
      </c>
      <c r="U142" s="4">
        <v>4.3180756034756997E-2</v>
      </c>
      <c r="V142" s="4">
        <v>0.40768802911514301</v>
      </c>
      <c r="W142" s="4">
        <v>0</v>
      </c>
      <c r="X142" s="4">
        <v>0.780264504668992</v>
      </c>
      <c r="Y142" s="4">
        <v>0</v>
      </c>
      <c r="Z142" s="5">
        <v>3.7433067469884598E-4</v>
      </c>
      <c r="AA142" s="5">
        <v>6.9526385762074395E-5</v>
      </c>
      <c r="AB142" s="10">
        <v>2.7741190436573302E-3</v>
      </c>
      <c r="AC142" s="10">
        <v>8.9575193695426001E-7</v>
      </c>
      <c r="AD142" s="10">
        <v>1.23507902481151E-2</v>
      </c>
      <c r="AE142" s="4">
        <v>-6.3592540488123499E-3</v>
      </c>
      <c r="AF142" s="4">
        <v>0.91276337592077905</v>
      </c>
      <c r="AG142" s="4">
        <v>0.98537981544061404</v>
      </c>
      <c r="AH142" s="4">
        <v>0.998628301699785</v>
      </c>
      <c r="AI142" s="4">
        <v>0.99969701153437396</v>
      </c>
      <c r="AJ142" s="4">
        <v>1</v>
      </c>
      <c r="AK142" s="4">
        <v>1</v>
      </c>
      <c r="AL142" s="4">
        <v>1</v>
      </c>
      <c r="AM142" s="4">
        <v>0</v>
      </c>
      <c r="AN142" s="4">
        <v>0</v>
      </c>
      <c r="AO142" s="4" t="s">
        <v>69</v>
      </c>
      <c r="AP142" s="4" t="s">
        <v>70</v>
      </c>
      <c r="AQ142" s="6">
        <v>84189526612.360001</v>
      </c>
      <c r="AR142" s="4">
        <v>320574</v>
      </c>
      <c r="AS142" s="38">
        <v>13.052060757277999</v>
      </c>
      <c r="AT142" s="38">
        <v>46.179136331207502</v>
      </c>
      <c r="AU142" s="38">
        <v>13.3688353221808</v>
      </c>
      <c r="AV142" s="38">
        <v>27.3999675893335</v>
      </c>
      <c r="AW142" s="38">
        <v>59.231197088485601</v>
      </c>
      <c r="AX142" s="38">
        <v>40.7688029115143</v>
      </c>
    </row>
    <row r="143" spans="1:50" x14ac:dyDescent="0.25">
      <c r="A143">
        <v>4.3</v>
      </c>
      <c r="B143" s="4">
        <v>0.97813866600486099</v>
      </c>
      <c r="C143" s="4">
        <v>28.0461756742191</v>
      </c>
      <c r="D143" s="4">
        <v>23.298276300566599</v>
      </c>
      <c r="E143" s="4">
        <v>2.7056046426358098E-2</v>
      </c>
      <c r="F143" s="5">
        <v>2.18613339951386E-2</v>
      </c>
      <c r="G143" s="5">
        <v>0</v>
      </c>
      <c r="H143" s="4">
        <v>4.2605926666787104</v>
      </c>
      <c r="I143" s="4">
        <v>3.9393599553499601</v>
      </c>
      <c r="J143" s="4">
        <v>-23.2956866633834</v>
      </c>
      <c r="K143" s="4">
        <v>37.7097864846059</v>
      </c>
      <c r="L143" s="4">
        <v>14.7061810358442</v>
      </c>
      <c r="M143" s="4">
        <v>16.798917662785598</v>
      </c>
      <c r="N143" s="4">
        <v>66.620302903934601</v>
      </c>
      <c r="O143" s="4">
        <v>63.780484396799402</v>
      </c>
      <c r="P143" s="4">
        <v>291792.64518440899</v>
      </c>
      <c r="Q143" s="4">
        <v>271398.11097608402</v>
      </c>
      <c r="R143" s="4">
        <v>783.48821090144202</v>
      </c>
      <c r="S143" s="4">
        <v>0</v>
      </c>
      <c r="T143" s="4">
        <v>0</v>
      </c>
      <c r="U143" s="4">
        <v>5.50602193576335E-2</v>
      </c>
      <c r="V143" s="4">
        <v>0.46670200283809299</v>
      </c>
      <c r="W143" s="4">
        <v>0</v>
      </c>
      <c r="X143" s="4">
        <v>0.80310974248232403</v>
      </c>
      <c r="Y143" s="4">
        <v>0</v>
      </c>
      <c r="Z143" s="5">
        <v>3.7248726294799998E-4</v>
      </c>
      <c r="AA143" s="5">
        <v>7.4004331268943502E-5</v>
      </c>
      <c r="AB143" s="10">
        <v>3.0471414189638E-3</v>
      </c>
      <c r="AC143" s="10">
        <v>4.1151288913735802E-6</v>
      </c>
      <c r="AD143" s="10">
        <v>1.8363571590158102E-2</v>
      </c>
      <c r="AE143" s="4">
        <v>1.38215917529582E-2</v>
      </c>
      <c r="AF143" s="4">
        <v>0.79681211987538403</v>
      </c>
      <c r="AG143" s="4">
        <v>0.95848187121992301</v>
      </c>
      <c r="AH143" s="4">
        <v>0.99596547819877301</v>
      </c>
      <c r="AI143" s="4">
        <v>0.99929474331207002</v>
      </c>
      <c r="AJ143" s="4">
        <v>1</v>
      </c>
      <c r="AK143" s="4">
        <v>1</v>
      </c>
      <c r="AL143" s="4">
        <v>1</v>
      </c>
      <c r="AM143" s="4">
        <v>0</v>
      </c>
      <c r="AN143" s="4">
        <v>0</v>
      </c>
      <c r="AO143" s="4" t="s">
        <v>71</v>
      </c>
      <c r="AP143" s="4" t="s">
        <v>72</v>
      </c>
      <c r="AQ143" s="6">
        <v>157013577531.66</v>
      </c>
      <c r="AR143" s="4">
        <v>578536</v>
      </c>
      <c r="AS143" s="38">
        <v>13.962235763648801</v>
      </c>
      <c r="AT143" s="38">
        <v>39.367563952541701</v>
      </c>
      <c r="AU143" s="38">
        <v>16.798884605200101</v>
      </c>
      <c r="AV143" s="38">
        <v>29.8713156786092</v>
      </c>
      <c r="AW143" s="38">
        <v>53.3297997161906</v>
      </c>
      <c r="AX143" s="38">
        <v>46.670200283809301</v>
      </c>
    </row>
    <row r="144" spans="1:50" x14ac:dyDescent="0.25">
      <c r="A144">
        <v>4.3</v>
      </c>
      <c r="B144" s="4">
        <v>0.97121487459315503</v>
      </c>
      <c r="C144" s="4">
        <v>35.134115122229197</v>
      </c>
      <c r="D144" s="4">
        <v>29.565748722596801</v>
      </c>
      <c r="E144" s="4">
        <v>3.5427900736187699E-2</v>
      </c>
      <c r="F144" s="5">
        <v>2.8785125406844699E-2</v>
      </c>
      <c r="G144" s="5">
        <v>0</v>
      </c>
      <c r="H144" s="4">
        <v>4.4866454961938196</v>
      </c>
      <c r="I144" s="4">
        <v>3.9068604969122598</v>
      </c>
      <c r="J144" s="4">
        <v>-13.555952683857999</v>
      </c>
      <c r="K144" s="4">
        <v>62.6401223444797</v>
      </c>
      <c r="L144" s="4">
        <v>15.1180848553669</v>
      </c>
      <c r="M144" s="4">
        <v>17.6488342391043</v>
      </c>
      <c r="N144" s="4">
        <v>68.049850233714807</v>
      </c>
      <c r="O144" s="4">
        <v>64.935528226936597</v>
      </c>
      <c r="P144" s="4">
        <v>283850.08964885899</v>
      </c>
      <c r="Q144" s="4">
        <v>264065.13332882302</v>
      </c>
      <c r="R144" s="4">
        <v>782.61137249897104</v>
      </c>
      <c r="S144" s="4">
        <v>0</v>
      </c>
      <c r="T144" s="4">
        <v>0</v>
      </c>
      <c r="U144" s="4">
        <v>3.8891160428155401E-2</v>
      </c>
      <c r="V144" s="4">
        <v>0.50962279794026899</v>
      </c>
      <c r="W144" s="4">
        <v>0</v>
      </c>
      <c r="X144" s="4">
        <v>0.74325725418706701</v>
      </c>
      <c r="Y144" s="4">
        <v>0</v>
      </c>
      <c r="Z144" s="5">
        <v>3.7488878279965998E-4</v>
      </c>
      <c r="AA144" s="5">
        <v>1.03004925028908E-4</v>
      </c>
      <c r="AB144" s="10">
        <v>3.2158704548215199E-3</v>
      </c>
      <c r="AC144" s="10">
        <v>5.9540143958549501E-6</v>
      </c>
      <c r="AD144" s="10">
        <v>2.5085392841750799E-2</v>
      </c>
      <c r="AE144" s="4">
        <v>1.5898293305009401E-2</v>
      </c>
      <c r="AF144" s="4">
        <v>0.76890899070003504</v>
      </c>
      <c r="AG144" s="4">
        <v>0.96930788156791203</v>
      </c>
      <c r="AH144" s="4">
        <v>0.99581487147461301</v>
      </c>
      <c r="AI144" s="4">
        <v>0.99922414537308202</v>
      </c>
      <c r="AJ144" s="4">
        <v>1</v>
      </c>
      <c r="AK144" s="4">
        <v>1</v>
      </c>
      <c r="AL144" s="4">
        <v>1</v>
      </c>
      <c r="AM144" s="4">
        <v>0</v>
      </c>
      <c r="AN144" s="4">
        <v>0</v>
      </c>
      <c r="AO144" s="4" t="s">
        <v>73</v>
      </c>
      <c r="AP144" s="4" t="s">
        <v>74</v>
      </c>
      <c r="AQ144" s="6">
        <v>159460483933.01001</v>
      </c>
      <c r="AR144" s="4">
        <v>603868</v>
      </c>
      <c r="AS144" s="38">
        <v>10.8817861751377</v>
      </c>
      <c r="AT144" s="38">
        <v>38.155934030835198</v>
      </c>
      <c r="AU144" s="38">
        <v>13.919927905590001</v>
      </c>
      <c r="AV144" s="38">
        <v>37.042351888436897</v>
      </c>
      <c r="AW144" s="38">
        <v>49.037720205973002</v>
      </c>
      <c r="AX144" s="38">
        <v>50.962279794026898</v>
      </c>
    </row>
    <row r="145" spans="1:50" x14ac:dyDescent="0.25">
      <c r="A145">
        <v>4.3</v>
      </c>
      <c r="B145" s="4">
        <v>0.96575807072680497</v>
      </c>
      <c r="C145" s="4">
        <v>38.328603390415701</v>
      </c>
      <c r="D145" s="4">
        <v>34.170560981816202</v>
      </c>
      <c r="E145" s="4">
        <v>3.9478739854403297E-2</v>
      </c>
      <c r="F145" s="5">
        <v>3.4241929273194402E-2</v>
      </c>
      <c r="G145" s="5">
        <v>0</v>
      </c>
      <c r="H145" s="4">
        <v>4.6870864431130004</v>
      </c>
      <c r="I145" s="4">
        <v>3.8870568515033699</v>
      </c>
      <c r="J145" s="4">
        <v>-6.4296002071691998</v>
      </c>
      <c r="K145" s="4">
        <v>86.158905824089203</v>
      </c>
      <c r="L145" s="4">
        <v>15.026685847898801</v>
      </c>
      <c r="M145" s="4">
        <v>17.519206623757601</v>
      </c>
      <c r="N145" s="4">
        <v>67.479173889123004</v>
      </c>
      <c r="O145" s="4">
        <v>63.928634972676001</v>
      </c>
      <c r="P145" s="4">
        <v>285673.90663460502</v>
      </c>
      <c r="Q145" s="4">
        <v>265703.485914452</v>
      </c>
      <c r="R145" s="4">
        <v>781.87752646992794</v>
      </c>
      <c r="S145" s="4">
        <v>0</v>
      </c>
      <c r="T145" s="4">
        <v>0</v>
      </c>
      <c r="U145" s="4">
        <v>4.01039119127021E-2</v>
      </c>
      <c r="V145" s="4">
        <v>0.53935842632557995</v>
      </c>
      <c r="W145" s="4">
        <v>0</v>
      </c>
      <c r="X145" s="4">
        <v>0.69928420507292199</v>
      </c>
      <c r="Y145" s="4">
        <v>0</v>
      </c>
      <c r="Z145" s="5">
        <v>3.7447521607723101E-4</v>
      </c>
      <c r="AA145" s="5">
        <v>1.2679405019910399E-4</v>
      </c>
      <c r="AB145" s="10">
        <v>3.33272891467751E-3</v>
      </c>
      <c r="AC145" s="10">
        <v>1.1541962189245001E-5</v>
      </c>
      <c r="AD145" s="10">
        <v>3.0396374547283899E-2</v>
      </c>
      <c r="AE145" s="4">
        <v>2.3515229463785502E-2</v>
      </c>
      <c r="AF145" s="4">
        <v>0.69082879500162897</v>
      </c>
      <c r="AG145" s="4">
        <v>0.962550622729063</v>
      </c>
      <c r="AH145" s="4">
        <v>0.99325380973016497</v>
      </c>
      <c r="AI145" s="4">
        <v>0.99891141338928002</v>
      </c>
      <c r="AJ145" s="4">
        <v>1</v>
      </c>
      <c r="AK145" s="4">
        <v>1</v>
      </c>
      <c r="AL145" s="4">
        <v>1</v>
      </c>
      <c r="AM145" s="4">
        <v>0</v>
      </c>
      <c r="AN145" s="4">
        <v>0</v>
      </c>
      <c r="AO145" s="4" t="s">
        <v>75</v>
      </c>
      <c r="AP145" s="4" t="s">
        <v>76</v>
      </c>
      <c r="AQ145" s="6">
        <v>122999989106.49001</v>
      </c>
      <c r="AR145" s="4">
        <v>462922</v>
      </c>
      <c r="AS145" s="38">
        <v>9.0559604467332893</v>
      </c>
      <c r="AT145" s="38">
        <v>37.008196920708599</v>
      </c>
      <c r="AU145" s="38">
        <v>11.151045284309101</v>
      </c>
      <c r="AV145" s="38">
        <v>42.784797348248901</v>
      </c>
      <c r="AW145" s="38">
        <v>46.064157367441901</v>
      </c>
      <c r="AX145" s="38">
        <v>53.935842632558</v>
      </c>
    </row>
    <row r="146" spans="1:50" x14ac:dyDescent="0.25">
      <c r="A146">
        <v>4.3</v>
      </c>
      <c r="B146" s="4">
        <v>0.960934635585593</v>
      </c>
      <c r="C146" s="4">
        <v>40.056401802181597</v>
      </c>
      <c r="D146" s="4">
        <v>38.009353353747201</v>
      </c>
      <c r="E146" s="4">
        <v>4.1750574889936699E-2</v>
      </c>
      <c r="F146" s="5">
        <v>3.90653644144065E-2</v>
      </c>
      <c r="G146" s="5">
        <v>0</v>
      </c>
      <c r="H146" s="4">
        <v>4.8390750057422904</v>
      </c>
      <c r="I146" s="4">
        <v>3.7949967960071498</v>
      </c>
      <c r="J146" s="4">
        <v>-2.0327422007478901</v>
      </c>
      <c r="K146" s="4">
        <v>111.70776691100799</v>
      </c>
      <c r="L146" s="4">
        <v>15.401514853034699</v>
      </c>
      <c r="M146" s="4">
        <v>18.262809878951501</v>
      </c>
      <c r="N146" s="4">
        <v>69.932045684559696</v>
      </c>
      <c r="O146" s="4">
        <v>65.079789423757603</v>
      </c>
      <c r="P146" s="4">
        <v>278563.97082272498</v>
      </c>
      <c r="Q146" s="4">
        <v>259255.00237966</v>
      </c>
      <c r="R146" s="4">
        <v>780.68147081637903</v>
      </c>
      <c r="S146" s="4">
        <v>0</v>
      </c>
      <c r="T146" s="4">
        <v>0</v>
      </c>
      <c r="U146" s="4">
        <v>3.8497602293718403E-2</v>
      </c>
      <c r="V146" s="4">
        <v>0.52474218677609696</v>
      </c>
      <c r="W146" s="4">
        <v>0</v>
      </c>
      <c r="X146" s="4">
        <v>0.63226364606815799</v>
      </c>
      <c r="Y146" s="4">
        <v>0</v>
      </c>
      <c r="Z146" s="5">
        <v>3.7489859702067701E-4</v>
      </c>
      <c r="AA146" s="5">
        <v>1.7445913451245E-4</v>
      </c>
      <c r="AB146" s="10">
        <v>3.5435651050083898E-3</v>
      </c>
      <c r="AC146" s="10">
        <v>2.4879705517403901E-5</v>
      </c>
      <c r="AD146" s="10">
        <v>3.4947547124808201E-2</v>
      </c>
      <c r="AE146" s="4">
        <v>4.1801775130860801E-2</v>
      </c>
      <c r="AF146" s="4">
        <v>0.54845247360655403</v>
      </c>
      <c r="AG146" s="4">
        <v>0.94514129796065904</v>
      </c>
      <c r="AH146" s="4">
        <v>0.98937142976287695</v>
      </c>
      <c r="AI146" s="4">
        <v>0.99790306442205701</v>
      </c>
      <c r="AJ146" s="4">
        <v>1</v>
      </c>
      <c r="AK146" s="4">
        <v>1</v>
      </c>
      <c r="AL146" s="4">
        <v>1</v>
      </c>
      <c r="AM146" s="4">
        <v>0</v>
      </c>
      <c r="AN146" s="4">
        <v>0</v>
      </c>
      <c r="AO146" s="4" t="s">
        <v>77</v>
      </c>
      <c r="AP146" s="4" t="s">
        <v>78</v>
      </c>
      <c r="AQ146" s="6">
        <v>71013315466.820007</v>
      </c>
      <c r="AR146" s="4">
        <v>273913</v>
      </c>
      <c r="AS146" s="38">
        <v>8.0621905437650394</v>
      </c>
      <c r="AT146" s="38">
        <v>39.463590778625097</v>
      </c>
      <c r="AU146" s="38">
        <v>9.9252034303949408</v>
      </c>
      <c r="AV146" s="38">
        <v>42.549015247214797</v>
      </c>
      <c r="AW146" s="38">
        <v>47.525781322390202</v>
      </c>
      <c r="AX146" s="38">
        <v>52.474218677609699</v>
      </c>
    </row>
    <row r="147" spans="1:50" x14ac:dyDescent="0.25">
      <c r="A147">
        <v>4.3</v>
      </c>
      <c r="B147" s="4">
        <v>0.95654379335022799</v>
      </c>
      <c r="C147" s="4">
        <v>40.720890291440803</v>
      </c>
      <c r="D147" s="4">
        <v>41.324297631207003</v>
      </c>
      <c r="E147" s="4">
        <v>4.2640305630919702E-2</v>
      </c>
      <c r="F147" s="5">
        <v>4.34562066497719E-2</v>
      </c>
      <c r="G147" s="5">
        <v>0</v>
      </c>
      <c r="H147" s="4">
        <v>4.9143347822853602</v>
      </c>
      <c r="I147" s="4">
        <v>3.6931794010644201</v>
      </c>
      <c r="J147" s="4">
        <v>-0.55474334563847505</v>
      </c>
      <c r="K147" s="4">
        <v>134.63538146328699</v>
      </c>
      <c r="L147" s="4">
        <v>14.9428906214403</v>
      </c>
      <c r="M147" s="4">
        <v>19.4990663831997</v>
      </c>
      <c r="N147" s="4">
        <v>70.104425033515497</v>
      </c>
      <c r="O147" s="4">
        <v>63.6064282588517</v>
      </c>
      <c r="P147" s="4">
        <v>286701.36543710402</v>
      </c>
      <c r="Q147" s="4">
        <v>267217.72497504199</v>
      </c>
      <c r="R147" s="4">
        <v>779.98781256172504</v>
      </c>
      <c r="S147" s="4">
        <v>0</v>
      </c>
      <c r="T147" s="4">
        <v>0</v>
      </c>
      <c r="U147" s="4">
        <v>4.0940992908493602E-2</v>
      </c>
      <c r="V147" s="4">
        <v>0.52716829352001904</v>
      </c>
      <c r="W147" s="4">
        <v>0</v>
      </c>
      <c r="X147" s="4">
        <v>0.64988935221474797</v>
      </c>
      <c r="Y147" s="4">
        <v>0</v>
      </c>
      <c r="Z147" s="5">
        <v>3.7467380705510499E-4</v>
      </c>
      <c r="AA147" s="5">
        <v>2.1040531631487399E-4</v>
      </c>
      <c r="AB147" s="10">
        <v>3.5436357013102098E-3</v>
      </c>
      <c r="AC147" s="10">
        <v>5.8615974383726801E-5</v>
      </c>
      <c r="AD147" s="10">
        <v>3.9268860982176197E-2</v>
      </c>
      <c r="AE147" s="4">
        <v>6.8488545698158099E-2</v>
      </c>
      <c r="AF147" s="4">
        <v>0.40686791480978102</v>
      </c>
      <c r="AG147" s="4">
        <v>0.90589042939029296</v>
      </c>
      <c r="AH147" s="4">
        <v>0.97635676508866098</v>
      </c>
      <c r="AI147" s="4">
        <v>0.99669880174014602</v>
      </c>
      <c r="AJ147" s="4">
        <v>1</v>
      </c>
      <c r="AK147" s="4">
        <v>1</v>
      </c>
      <c r="AL147" s="4">
        <v>1</v>
      </c>
      <c r="AM147" s="4">
        <v>0</v>
      </c>
      <c r="AN147" s="4">
        <v>0</v>
      </c>
      <c r="AO147" s="4" t="s">
        <v>79</v>
      </c>
      <c r="AP147" s="4" t="s">
        <v>80</v>
      </c>
      <c r="AQ147" s="6">
        <v>32388658791.049999</v>
      </c>
      <c r="AR147" s="4">
        <v>121207</v>
      </c>
      <c r="AS147" s="38">
        <v>8.0917924822012495</v>
      </c>
      <c r="AT147" s="38">
        <v>39.191378165796799</v>
      </c>
      <c r="AU147" s="38">
        <v>9.2110010864493805</v>
      </c>
      <c r="AV147" s="38">
        <v>43.505828265552502</v>
      </c>
      <c r="AW147" s="38">
        <v>47.283170647997999</v>
      </c>
      <c r="AX147" s="38">
        <v>52.716829352001902</v>
      </c>
    </row>
    <row r="148" spans="1:50" x14ac:dyDescent="0.25">
      <c r="A148">
        <v>4.3</v>
      </c>
      <c r="B148" s="4">
        <v>0.95344927868412499</v>
      </c>
      <c r="C148" s="4">
        <v>38.6248622443605</v>
      </c>
      <c r="D148" s="4">
        <v>43.562062494809403</v>
      </c>
      <c r="E148" s="4">
        <v>3.9864104073656002E-2</v>
      </c>
      <c r="F148" s="5">
        <v>4.6550721315874899E-2</v>
      </c>
      <c r="G148" s="5">
        <v>0</v>
      </c>
      <c r="H148" s="4">
        <v>5.0958083480393297</v>
      </c>
      <c r="I148" s="4">
        <v>3.68134105672475</v>
      </c>
      <c r="J148" s="4">
        <v>14.5561807347477</v>
      </c>
      <c r="K148" s="4">
        <v>160.542481226337</v>
      </c>
      <c r="L148" s="4">
        <v>15.293369171518799</v>
      </c>
      <c r="M148" s="4">
        <v>19.652890976355799</v>
      </c>
      <c r="N148" s="4">
        <v>75.912476298907507</v>
      </c>
      <c r="O148" s="4">
        <v>67.669566421498999</v>
      </c>
      <c r="P148" s="4">
        <v>280089.558030318</v>
      </c>
      <c r="Q148" s="4">
        <v>261101.87391940801</v>
      </c>
      <c r="R148" s="4">
        <v>778.30213866702002</v>
      </c>
      <c r="S148" s="4">
        <v>0</v>
      </c>
      <c r="T148" s="4">
        <v>0</v>
      </c>
      <c r="U148" s="4">
        <v>2.7884939571355901E-2</v>
      </c>
      <c r="V148" s="4">
        <v>0.57533797030455502</v>
      </c>
      <c r="W148" s="4">
        <v>0</v>
      </c>
      <c r="X148" s="4">
        <v>0.6861887460385</v>
      </c>
      <c r="Y148" s="4">
        <v>0</v>
      </c>
      <c r="Z148" s="5">
        <v>3.7944267022956799E-4</v>
      </c>
      <c r="AA148" s="5">
        <v>3.0619965989427898E-4</v>
      </c>
      <c r="AB148" s="10">
        <v>3.7148402968529E-3</v>
      </c>
      <c r="AC148" s="10">
        <v>1.0110499345805399E-4</v>
      </c>
      <c r="AD148" s="10">
        <v>4.2049118581307499E-2</v>
      </c>
      <c r="AE148" s="4">
        <v>8.5846961193164803E-2</v>
      </c>
      <c r="AF148" s="4">
        <v>0.30966605677676701</v>
      </c>
      <c r="AG148" s="4">
        <v>0.84498248866067405</v>
      </c>
      <c r="AH148" s="4">
        <v>0.95809147219424595</v>
      </c>
      <c r="AI148" s="4">
        <v>0.993344614589032</v>
      </c>
      <c r="AJ148" s="4">
        <v>1</v>
      </c>
      <c r="AK148" s="4">
        <v>1</v>
      </c>
      <c r="AL148" s="4">
        <v>1</v>
      </c>
      <c r="AM148" s="4">
        <v>0</v>
      </c>
      <c r="AN148" s="4">
        <v>0</v>
      </c>
      <c r="AO148" s="4" t="s">
        <v>81</v>
      </c>
      <c r="AP148" s="4" t="s">
        <v>82</v>
      </c>
      <c r="AQ148" s="6">
        <v>7134086501.1000004</v>
      </c>
      <c r="AR148" s="4">
        <v>27323</v>
      </c>
      <c r="AS148" s="38">
        <v>6.1703459734070503</v>
      </c>
      <c r="AT148" s="38">
        <v>36.295856996137402</v>
      </c>
      <c r="AU148" s="38">
        <v>9.3112727795994008</v>
      </c>
      <c r="AV148" s="38">
        <v>48.222524250856097</v>
      </c>
      <c r="AW148" s="38">
        <v>42.466202969544398</v>
      </c>
      <c r="AX148" s="38">
        <v>57.533797030455503</v>
      </c>
    </row>
    <row r="149" spans="1:50" x14ac:dyDescent="0.25">
      <c r="A149">
        <v>4.3</v>
      </c>
      <c r="B149" s="4">
        <v>0.94846459560607999</v>
      </c>
      <c r="C149" s="4">
        <v>42.746844979188602</v>
      </c>
      <c r="D149" s="4">
        <v>47.002731117613401</v>
      </c>
      <c r="E149" s="4">
        <v>4.5410575526386998E-2</v>
      </c>
      <c r="F149" s="5">
        <v>5.15354043939193E-2</v>
      </c>
      <c r="G149" s="5">
        <v>0</v>
      </c>
      <c r="H149" s="4">
        <v>5.1533400510184499</v>
      </c>
      <c r="I149" s="4">
        <v>3.6593929536075902</v>
      </c>
      <c r="J149" s="4">
        <v>20.2304153551521</v>
      </c>
      <c r="K149" s="4">
        <v>182.94834548867701</v>
      </c>
      <c r="L149" s="4">
        <v>14.3903167406531</v>
      </c>
      <c r="M149" s="4">
        <v>20.1093075151663</v>
      </c>
      <c r="N149" s="4">
        <v>79.544824414553602</v>
      </c>
      <c r="O149" s="4">
        <v>69.019346761395994</v>
      </c>
      <c r="P149" s="4">
        <v>295984.31701339397</v>
      </c>
      <c r="Q149" s="4">
        <v>277485.42851833999</v>
      </c>
      <c r="R149" s="4">
        <v>777.42324738350999</v>
      </c>
      <c r="S149" s="4">
        <v>0</v>
      </c>
      <c r="T149" s="4">
        <v>0</v>
      </c>
      <c r="U149" s="4">
        <v>2.6473443307478899E-2</v>
      </c>
      <c r="V149" s="4">
        <v>0.54721995516014998</v>
      </c>
      <c r="W149" s="4">
        <v>0</v>
      </c>
      <c r="X149" s="4">
        <v>0.65808075313074099</v>
      </c>
      <c r="Y149" s="4">
        <v>0</v>
      </c>
      <c r="Z149" s="5">
        <v>3.8321034317554201E-4</v>
      </c>
      <c r="AA149" s="5">
        <v>4.2074106301767298E-4</v>
      </c>
      <c r="AB149" s="10">
        <v>3.7645388185371899E-3</v>
      </c>
      <c r="AC149" s="10">
        <v>2.6773100839129097E-4</v>
      </c>
      <c r="AD149" s="10">
        <v>4.6699167488665497E-2</v>
      </c>
      <c r="AE149" s="4">
        <v>0.112462373639198</v>
      </c>
      <c r="AF149" s="4">
        <v>0.20811617231738999</v>
      </c>
      <c r="AG149" s="4">
        <v>0.72451378884053896</v>
      </c>
      <c r="AH149" s="4">
        <v>0.88002431082327803</v>
      </c>
      <c r="AI149" s="4">
        <v>0.97878945165915998</v>
      </c>
      <c r="AJ149" s="4">
        <v>1</v>
      </c>
      <c r="AK149" s="4">
        <v>1</v>
      </c>
      <c r="AL149" s="4">
        <v>1</v>
      </c>
      <c r="AM149" s="4">
        <v>0</v>
      </c>
      <c r="AN149" s="4">
        <v>0</v>
      </c>
      <c r="AO149" s="4" t="s">
        <v>83</v>
      </c>
      <c r="AP149" s="4" t="s">
        <v>84</v>
      </c>
      <c r="AQ149" s="6">
        <v>1732341530.24</v>
      </c>
      <c r="AR149" s="4">
        <v>6243</v>
      </c>
      <c r="AS149" s="38">
        <v>5.5780500463215601</v>
      </c>
      <c r="AT149" s="38">
        <v>39.699954437663301</v>
      </c>
      <c r="AU149" s="38">
        <v>6.9344216739615598</v>
      </c>
      <c r="AV149" s="38">
        <v>47.787573842053497</v>
      </c>
      <c r="AW149" s="38">
        <v>45.278004483984901</v>
      </c>
      <c r="AX149" s="38">
        <v>54.721995516014999</v>
      </c>
    </row>
    <row r="150" spans="1:50" x14ac:dyDescent="0.25">
      <c r="A150">
        <v>4.3</v>
      </c>
      <c r="B150" s="4">
        <v>0.945809535040395</v>
      </c>
      <c r="C150" s="4">
        <v>36.409614120755798</v>
      </c>
      <c r="D150" s="4">
        <v>48.755854488406499</v>
      </c>
      <c r="E150" s="4">
        <v>3.7022910001545499E-2</v>
      </c>
      <c r="F150" s="5">
        <v>5.4190464959604202E-2</v>
      </c>
      <c r="G150" s="5">
        <v>0</v>
      </c>
      <c r="H150" s="4">
        <v>5.2044219025350502</v>
      </c>
      <c r="I150" s="4">
        <v>3.6758658679419498</v>
      </c>
      <c r="J150" s="4">
        <v>25.413604159675</v>
      </c>
      <c r="K150" s="4">
        <v>209.634663133814</v>
      </c>
      <c r="L150" s="4">
        <v>14.822921652890001</v>
      </c>
      <c r="M150" s="4">
        <v>20.0297838304576</v>
      </c>
      <c r="N150" s="4">
        <v>88.126509206561394</v>
      </c>
      <c r="O150" s="4">
        <v>74.434441353969405</v>
      </c>
      <c r="P150" s="4">
        <v>289940.36443330703</v>
      </c>
      <c r="Q150" s="4">
        <v>269388.43377755501</v>
      </c>
      <c r="R150" s="4">
        <v>776.44213927749104</v>
      </c>
      <c r="S150" s="4">
        <v>0</v>
      </c>
      <c r="T150" s="4">
        <v>0</v>
      </c>
      <c r="U150" s="4">
        <v>2.13922879281386E-2</v>
      </c>
      <c r="V150" s="4">
        <v>0.46755641745929399</v>
      </c>
      <c r="W150" s="4">
        <v>0</v>
      </c>
      <c r="X150" s="4">
        <v>0.50068622711711896</v>
      </c>
      <c r="Y150" s="4">
        <v>0</v>
      </c>
      <c r="Z150" s="5">
        <v>3.8805671025440597E-4</v>
      </c>
      <c r="AA150" s="5">
        <v>4.7106501090722402E-4</v>
      </c>
      <c r="AB150" s="10">
        <v>4.1524738017512603E-3</v>
      </c>
      <c r="AC150" s="10">
        <v>5.1435563818045995E-4</v>
      </c>
      <c r="AD150" s="10">
        <v>4.8664497179174197E-2</v>
      </c>
      <c r="AE150" s="4">
        <v>0.142912745049776</v>
      </c>
      <c r="AF150" s="4">
        <v>8.5110012461945897E-2</v>
      </c>
      <c r="AG150" s="4">
        <v>0.55071638346767304</v>
      </c>
      <c r="AH150" s="4">
        <v>0.77019628899626102</v>
      </c>
      <c r="AI150" s="4">
        <v>0.95371105820616298</v>
      </c>
      <c r="AJ150" s="4">
        <v>1</v>
      </c>
      <c r="AK150" s="4">
        <v>1</v>
      </c>
      <c r="AL150" s="4">
        <v>1</v>
      </c>
      <c r="AM150" s="4">
        <v>0</v>
      </c>
      <c r="AN150" s="4">
        <v>0</v>
      </c>
      <c r="AO150" s="4" t="s">
        <v>85</v>
      </c>
      <c r="AP150" s="4" t="s">
        <v>86</v>
      </c>
      <c r="AQ150" s="6">
        <v>268849656.91000003</v>
      </c>
      <c r="AR150" s="4">
        <v>998</v>
      </c>
      <c r="AS150" s="38">
        <v>7.7713408825342798</v>
      </c>
      <c r="AT150" s="38">
        <v>45.473017371536201</v>
      </c>
      <c r="AU150" s="38">
        <v>5.9331256224514402</v>
      </c>
      <c r="AV150" s="38">
        <v>40.822516123477897</v>
      </c>
      <c r="AW150" s="38">
        <v>53.244358254070498</v>
      </c>
      <c r="AX150" s="38">
        <v>46.755641745929402</v>
      </c>
    </row>
    <row r="151" spans="1:50" x14ac:dyDescent="0.25">
      <c r="A151">
        <v>4.3</v>
      </c>
      <c r="B151" s="4">
        <v>0.94686739201878101</v>
      </c>
      <c r="C151" s="4">
        <v>11.7006186937294</v>
      </c>
      <c r="D151" s="4">
        <v>48.0638289809147</v>
      </c>
      <c r="E151" s="4">
        <v>1.0316176528550901E-2</v>
      </c>
      <c r="F151" s="5">
        <v>5.3132607981218702E-2</v>
      </c>
      <c r="G151" s="5">
        <v>0</v>
      </c>
      <c r="H151" s="4">
        <v>5.2969781389137998</v>
      </c>
      <c r="I151" s="4">
        <v>3.66302661930593</v>
      </c>
      <c r="J151" s="4">
        <v>33.413211435288197</v>
      </c>
      <c r="K151" s="4">
        <v>233.72394515151399</v>
      </c>
      <c r="L151" s="4">
        <v>14.5898729509879</v>
      </c>
      <c r="M151" s="4">
        <v>20.334138068000801</v>
      </c>
      <c r="N151" s="4">
        <v>89.992705818229297</v>
      </c>
      <c r="O151" s="4">
        <v>75.152473273272804</v>
      </c>
      <c r="P151" s="4">
        <v>294887.01723649399</v>
      </c>
      <c r="Q151" s="4">
        <v>273700.59215447103</v>
      </c>
      <c r="R151" s="4">
        <v>779.68322288564298</v>
      </c>
      <c r="S151" s="4">
        <v>0</v>
      </c>
      <c r="T151" s="4">
        <v>0</v>
      </c>
      <c r="U151" s="4">
        <v>1.66296218868053E-2</v>
      </c>
      <c r="V151" s="4">
        <v>0.60343912935090005</v>
      </c>
      <c r="W151" s="4">
        <v>0</v>
      </c>
      <c r="X151" s="4">
        <v>0.51922311881990901</v>
      </c>
      <c r="Y151" s="4">
        <v>0</v>
      </c>
      <c r="Z151" s="5">
        <v>3.91691609098634E-4</v>
      </c>
      <c r="AA151" s="5">
        <v>5.1225336670046898E-4</v>
      </c>
      <c r="AB151" s="10">
        <v>4.1136003722690596E-3</v>
      </c>
      <c r="AC151" s="10">
        <v>7.3850956582763305E-4</v>
      </c>
      <c r="AD151" s="10">
        <v>4.7376536386420101E-2</v>
      </c>
      <c r="AE151" s="4">
        <v>0.15485634909513901</v>
      </c>
      <c r="AF151" s="4">
        <v>4.1769564406871601E-2</v>
      </c>
      <c r="AG151" s="4">
        <v>0.46474274725047598</v>
      </c>
      <c r="AH151" s="4">
        <v>0.65538178396225599</v>
      </c>
      <c r="AI151" s="4">
        <v>0.95645806180219395</v>
      </c>
      <c r="AJ151" s="4">
        <v>1</v>
      </c>
      <c r="AK151" s="4">
        <v>1</v>
      </c>
      <c r="AL151" s="4">
        <v>1</v>
      </c>
      <c r="AM151" s="4">
        <v>0</v>
      </c>
      <c r="AN151" s="4">
        <v>0</v>
      </c>
      <c r="AO151" s="4" t="s">
        <v>87</v>
      </c>
      <c r="AP151" s="4" t="s">
        <v>88</v>
      </c>
      <c r="AQ151" s="6">
        <v>67330345.670000002</v>
      </c>
      <c r="AR151" s="4">
        <v>246</v>
      </c>
      <c r="AS151" s="38">
        <v>5.6247101100023196</v>
      </c>
      <c r="AT151" s="38">
        <v>34.0313769549075</v>
      </c>
      <c r="AU151" s="38">
        <v>0.97793433770143301</v>
      </c>
      <c r="AV151" s="38">
        <v>59.365978597388597</v>
      </c>
      <c r="AW151" s="38">
        <v>39.656087064909897</v>
      </c>
      <c r="AX151" s="38">
        <v>60.343912935090003</v>
      </c>
    </row>
    <row r="152" spans="1:50" x14ac:dyDescent="0.25">
      <c r="A152">
        <v>4.3</v>
      </c>
      <c r="B152" s="4">
        <v>0.95286034594978397</v>
      </c>
      <c r="C152" s="4">
        <v>34.576458281537199</v>
      </c>
      <c r="D152" s="4">
        <v>43.978975645168497</v>
      </c>
      <c r="E152" s="4">
        <v>3.4739567290702898E-2</v>
      </c>
      <c r="F152" s="5">
        <v>4.7139654050215501E-2</v>
      </c>
      <c r="G152" s="5">
        <v>0</v>
      </c>
      <c r="H152" s="4">
        <v>5.4833120084995297</v>
      </c>
      <c r="I152" s="4">
        <v>3.6729403220961898</v>
      </c>
      <c r="J152" s="4">
        <v>47.391439883256403</v>
      </c>
      <c r="K152" s="4">
        <v>265.60644549534697</v>
      </c>
      <c r="L152" s="4">
        <v>14.277030255506199</v>
      </c>
      <c r="M152" s="4">
        <v>20.573625950846299</v>
      </c>
      <c r="N152" s="4">
        <v>88.917567716743804</v>
      </c>
      <c r="O152" s="4">
        <v>76.022172327895106</v>
      </c>
      <c r="P152" s="4">
        <v>295376.62379078899</v>
      </c>
      <c r="Q152" s="4">
        <v>279697.78473684198</v>
      </c>
      <c r="R152" s="4">
        <v>783.97377999480602</v>
      </c>
      <c r="S152" s="4">
        <v>0</v>
      </c>
      <c r="T152" s="4">
        <v>0</v>
      </c>
      <c r="U152" s="4">
        <v>0</v>
      </c>
      <c r="V152" s="4">
        <v>1</v>
      </c>
      <c r="W152" s="4">
        <v>0</v>
      </c>
      <c r="X152" s="4">
        <v>0.94361767122689999</v>
      </c>
      <c r="Y152" s="4">
        <v>0</v>
      </c>
      <c r="Z152" s="5">
        <v>3.9082394423278299E-4</v>
      </c>
      <c r="AA152" s="5">
        <v>6.3181952604973702E-4</v>
      </c>
      <c r="AB152" s="10">
        <v>4.0903138794649999E-3</v>
      </c>
      <c r="AC152" s="10">
        <v>1.7462634454327701E-4</v>
      </c>
      <c r="AD152" s="10">
        <v>4.1852053064363202E-2</v>
      </c>
      <c r="AE152" s="4">
        <v>0.12851392145829801</v>
      </c>
      <c r="AF152" s="4">
        <v>9.9460969393059304E-2</v>
      </c>
      <c r="AG152" s="4">
        <v>0.56324577655534402</v>
      </c>
      <c r="AH152" s="4">
        <v>0.94738828172530298</v>
      </c>
      <c r="AI152" s="4">
        <v>1</v>
      </c>
      <c r="AJ152" s="4">
        <v>1</v>
      </c>
      <c r="AK152" s="4">
        <v>1</v>
      </c>
      <c r="AL152" s="4">
        <v>1</v>
      </c>
      <c r="AM152" s="4">
        <v>0</v>
      </c>
      <c r="AN152" s="4">
        <v>0</v>
      </c>
      <c r="AO152" s="4" t="s">
        <v>89</v>
      </c>
      <c r="AP152" s="4" t="s">
        <v>90</v>
      </c>
      <c r="AQ152" s="6">
        <v>15942773.73</v>
      </c>
      <c r="AR152" s="4">
        <v>57</v>
      </c>
      <c r="AS152" s="38">
        <v>0</v>
      </c>
      <c r="AT152" s="38">
        <v>0</v>
      </c>
      <c r="AU152" s="38">
        <v>0</v>
      </c>
      <c r="AV152" s="38">
        <v>100</v>
      </c>
      <c r="AW152" s="38">
        <v>0</v>
      </c>
      <c r="AX152" s="38">
        <v>100</v>
      </c>
    </row>
    <row r="153" spans="1:50" x14ac:dyDescent="0.25">
      <c r="G153" s="35"/>
      <c r="S153" s="35"/>
      <c r="T153" s="35"/>
      <c r="W153" s="35"/>
      <c r="Y153" s="35"/>
    </row>
    <row r="158" spans="1:50" x14ac:dyDescent="0.25">
      <c r="K158" t="s">
        <v>104</v>
      </c>
      <c r="L158" t="s">
        <v>92</v>
      </c>
      <c r="M158" t="s">
        <v>93</v>
      </c>
      <c r="R158" t="s">
        <v>104</v>
      </c>
      <c r="W158" t="s">
        <v>92</v>
      </c>
      <c r="AB158" t="s">
        <v>93</v>
      </c>
    </row>
    <row r="159" spans="1:50" x14ac:dyDescent="0.25">
      <c r="A159" s="4" t="s">
        <v>97</v>
      </c>
      <c r="B159" t="str">
        <f>AQ135</f>
        <v>Balance</v>
      </c>
      <c r="C159" s="2" t="str">
        <f t="shared" ref="C159:C176" si="34">AO135</f>
        <v>groupByColumn</v>
      </c>
      <c r="D159" t="str">
        <f>E135</f>
        <v>PREPAY_SMM1</v>
      </c>
      <c r="E159" t="str">
        <f>F135</f>
        <v>PREPAY_TRACKING_SMM1</v>
      </c>
      <c r="F159" t="s">
        <v>94</v>
      </c>
      <c r="G159" t="str">
        <f>C135</f>
        <v>PREPAY_CPR1</v>
      </c>
      <c r="H159" t="str">
        <f>D135</f>
        <v>PREPAY_TRACKING_CPR1</v>
      </c>
      <c r="K159" t="s">
        <v>95</v>
      </c>
      <c r="L159" t="s">
        <v>95</v>
      </c>
      <c r="M159" t="s">
        <v>95</v>
      </c>
      <c r="N159" t="s">
        <v>102</v>
      </c>
      <c r="O159" t="s">
        <v>103</v>
      </c>
      <c r="P159" t="s">
        <v>94</v>
      </c>
      <c r="R159" t="s">
        <v>98</v>
      </c>
      <c r="T159" t="s">
        <v>96</v>
      </c>
      <c r="U159" t="s">
        <v>101</v>
      </c>
      <c r="W159" t="s">
        <v>98</v>
      </c>
      <c r="X159" t="s">
        <v>105</v>
      </c>
      <c r="Y159" t="s">
        <v>96</v>
      </c>
      <c r="Z159" t="s">
        <v>101</v>
      </c>
      <c r="AB159" t="s">
        <v>98</v>
      </c>
      <c r="AC159" t="s">
        <v>105</v>
      </c>
      <c r="AD159" t="s">
        <v>96</v>
      </c>
      <c r="AE159" t="s">
        <v>101</v>
      </c>
    </row>
    <row r="160" spans="1:50" s="18" customFormat="1" x14ac:dyDescent="0.25">
      <c r="A160" s="16">
        <f t="shared" ref="A160:A176" si="35">K136</f>
        <v>-131.94999999999999</v>
      </c>
      <c r="B160" s="23">
        <f t="shared" ref="B160:B176" si="36">AQ136/1000000000</f>
        <v>3.0325044E-4</v>
      </c>
      <c r="C160" s="24" t="str">
        <f t="shared" si="34"/>
        <v>03:-150--125</v>
      </c>
      <c r="D160" s="17">
        <f>E136</f>
        <v>0</v>
      </c>
      <c r="E160" s="17">
        <f t="shared" ref="E160:E176" si="37">Z136+AA136+AB136+AC136+AD136</f>
        <v>3.38237E-3</v>
      </c>
      <c r="F160" s="23">
        <f t="shared" ref="F160:F176" si="38">D160/E160</f>
        <v>0</v>
      </c>
      <c r="G160" s="24">
        <f t="shared" ref="G160:G176" si="39">(1-(1-D160)^12)*100</f>
        <v>0</v>
      </c>
      <c r="H160" s="24">
        <f t="shared" ref="H160:H176" si="40">(1-(1-E160)^12)*100</f>
        <v>3.9841820458473509</v>
      </c>
      <c r="K160" s="16" t="e">
        <f t="shared" ref="K160:K176" si="41">VLOOKUP(C160,$C$26:$M$44,9,0)</f>
        <v>#N/A</v>
      </c>
      <c r="L160" s="16" t="e">
        <f t="shared" ref="L160:L176" si="42">VLOOKUP(C160,$C$26:$M$44,10,0)</f>
        <v>#N/A</v>
      </c>
      <c r="M160" s="16" t="e">
        <f t="shared" ref="M160:M176" si="43">VLOOKUP(C160,$C$26:$M$44,11,0)</f>
        <v>#N/A</v>
      </c>
      <c r="N160" s="17" t="e">
        <f t="shared" ref="N160:N176" si="44">Z136+AA136+AB136*K160+AC136*L160+AD136*M160</f>
        <v>#N/A</v>
      </c>
      <c r="O160" s="24" t="e">
        <f t="shared" ref="O160:O176" si="45">100*(1-(1-N160)^12)</f>
        <v>#N/A</v>
      </c>
      <c r="P160" s="25" t="e">
        <f t="shared" ref="P160:P176" si="46">D160/N160</f>
        <v>#N/A</v>
      </c>
      <c r="S160" s="19">
        <f>A160</f>
        <v>-131.94999999999999</v>
      </c>
      <c r="T160" s="17">
        <f>VLOOKUP(ROUNDDOWN(S160,0),'Spline Pre-Adj'!A:B,2,0)</f>
        <v>0.95832877400000005</v>
      </c>
      <c r="U160" s="17" t="e">
        <f>T160*K160</f>
        <v>#N/A</v>
      </c>
      <c r="Y160" s="17"/>
      <c r="Z160" s="17"/>
      <c r="AE160" s="17"/>
    </row>
    <row r="161" spans="1:31" s="18" customFormat="1" x14ac:dyDescent="0.25">
      <c r="A161" s="16">
        <f t="shared" si="35"/>
        <v>-109.521065613342</v>
      </c>
      <c r="B161" s="23">
        <f t="shared" si="36"/>
        <v>2.8173679700000003E-3</v>
      </c>
      <c r="C161" s="24" t="str">
        <f t="shared" si="34"/>
        <v>04:-125--100</v>
      </c>
      <c r="D161" s="17">
        <f>E137</f>
        <v>3.54941203758885E-9</v>
      </c>
      <c r="E161" s="17">
        <f t="shared" si="37"/>
        <v>6.038366812921192E-3</v>
      </c>
      <c r="F161" s="23">
        <f t="shared" si="38"/>
        <v>5.8780994059414296E-7</v>
      </c>
      <c r="G161" s="24">
        <f t="shared" si="39"/>
        <v>4.2592943172437003E-6</v>
      </c>
      <c r="H161" s="24">
        <f t="shared" si="40"/>
        <v>7.0101703750167887</v>
      </c>
      <c r="K161" s="16" t="e">
        <f t="shared" si="41"/>
        <v>#N/A</v>
      </c>
      <c r="L161" s="16" t="e">
        <f t="shared" si="42"/>
        <v>#N/A</v>
      </c>
      <c r="M161" s="16" t="e">
        <f t="shared" si="43"/>
        <v>#N/A</v>
      </c>
      <c r="N161" s="17" t="e">
        <f t="shared" si="44"/>
        <v>#N/A</v>
      </c>
      <c r="O161" s="24" t="e">
        <f t="shared" si="45"/>
        <v>#N/A</v>
      </c>
      <c r="P161" s="25" t="e">
        <f t="shared" si="46"/>
        <v>#N/A</v>
      </c>
      <c r="S161" s="19">
        <f t="shared" ref="S161:S162" si="47">A161</f>
        <v>-109.521065613342</v>
      </c>
      <c r="T161" s="17">
        <f>VLOOKUP(ROUNDDOWN(S161,0),'Spline Pre-Adj'!A:B,2,0)</f>
        <v>1.016004106</v>
      </c>
      <c r="U161" s="17" t="e">
        <f t="shared" ref="U161:U162" si="48">T161*K161</f>
        <v>#N/A</v>
      </c>
      <c r="X161" s="19">
        <f>A161</f>
        <v>-109.521065613342</v>
      </c>
      <c r="Y161" s="17">
        <f>VLOOKUP(ROUNDDOWN(X161,0),'Spline Pre-Adj'!F:G,2,0)</f>
        <v>0</v>
      </c>
      <c r="Z161" s="17" t="e">
        <f t="shared" ref="Z161:Z176" si="49">Y161*L161</f>
        <v>#N/A</v>
      </c>
      <c r="AE161" s="17"/>
    </row>
    <row r="162" spans="1:31" s="18" customFormat="1" x14ac:dyDescent="0.25">
      <c r="A162" s="16">
        <f t="shared" si="35"/>
        <v>-83.259099964223196</v>
      </c>
      <c r="B162" s="23">
        <f t="shared" si="36"/>
        <v>1.1527094220000001E-2</v>
      </c>
      <c r="C162" s="24" t="str">
        <f t="shared" si="34"/>
        <v>05:-100--75</v>
      </c>
      <c r="D162" s="17">
        <f>E138</f>
        <v>6.33060498030845E-3</v>
      </c>
      <c r="E162" s="17">
        <f t="shared" si="37"/>
        <v>9.4263045074521705E-3</v>
      </c>
      <c r="F162" s="23">
        <f t="shared" si="38"/>
        <v>0.6715892718406935</v>
      </c>
      <c r="G162" s="24">
        <f t="shared" si="39"/>
        <v>7.3377235751930669</v>
      </c>
      <c r="H162" s="24">
        <f t="shared" si="40"/>
        <v>10.74316267333627</v>
      </c>
      <c r="K162" s="16">
        <f t="shared" si="41"/>
        <v>1</v>
      </c>
      <c r="L162" s="16">
        <f t="shared" si="42"/>
        <v>1</v>
      </c>
      <c r="M162" s="16">
        <f t="shared" si="43"/>
        <v>1</v>
      </c>
      <c r="N162" s="17">
        <f t="shared" si="44"/>
        <v>9.4263045074521705E-3</v>
      </c>
      <c r="O162" s="24">
        <f t="shared" si="45"/>
        <v>10.74316267333627</v>
      </c>
      <c r="P162" s="25">
        <f t="shared" si="46"/>
        <v>0.6715892718406935</v>
      </c>
      <c r="S162" s="19">
        <f t="shared" si="47"/>
        <v>-83.259099964223196</v>
      </c>
      <c r="T162" s="17">
        <f>VLOOKUP(ROUNDDOWN(S162,0),'Spline Pre-Adj'!A:B,2,0)</f>
        <v>1.135228248</v>
      </c>
      <c r="U162" s="17">
        <f t="shared" si="48"/>
        <v>1.135228248</v>
      </c>
      <c r="X162" s="19">
        <f t="shared" ref="X162:X176" si="50">A162</f>
        <v>-83.259099964223196</v>
      </c>
      <c r="Y162" s="17">
        <f>VLOOKUP(ROUNDDOWN(X162,0),'Spline Pre-Adj'!F:G,2,0)</f>
        <v>3.1256266951590402E-2</v>
      </c>
      <c r="Z162" s="17">
        <f t="shared" si="49"/>
        <v>3.1256266951590402E-2</v>
      </c>
      <c r="AE162" s="17"/>
    </row>
    <row r="163" spans="1:31" s="18" customFormat="1" x14ac:dyDescent="0.25">
      <c r="A163" s="16">
        <f t="shared" si="35"/>
        <v>-57.340959844646001</v>
      </c>
      <c r="B163" s="23">
        <f t="shared" si="36"/>
        <v>0.22970450603999998</v>
      </c>
      <c r="C163" s="24" t="str">
        <f t="shared" si="34"/>
        <v>06:-75--50</v>
      </c>
      <c r="D163" s="17">
        <f>E139</f>
        <v>4.5655660440048198E-3</v>
      </c>
      <c r="E163" s="17">
        <f t="shared" si="37"/>
        <v>5.1566824433849842E-3</v>
      </c>
      <c r="F163" s="23">
        <f t="shared" si="38"/>
        <v>0.8853688576192138</v>
      </c>
      <c r="G163" s="24">
        <f t="shared" si="39"/>
        <v>5.3431785680875592</v>
      </c>
      <c r="H163" s="24">
        <f t="shared" si="40"/>
        <v>6.0154978623384707</v>
      </c>
      <c r="K163" s="16">
        <f t="shared" si="41"/>
        <v>1</v>
      </c>
      <c r="L163" s="16">
        <f t="shared" si="42"/>
        <v>1</v>
      </c>
      <c r="M163" s="16">
        <f t="shared" si="43"/>
        <v>1</v>
      </c>
      <c r="N163" s="17">
        <f t="shared" si="44"/>
        <v>5.1566824433849842E-3</v>
      </c>
      <c r="O163" s="24">
        <f t="shared" si="45"/>
        <v>6.0154978623384707</v>
      </c>
      <c r="P163" s="25">
        <f t="shared" si="46"/>
        <v>0.8853688576192138</v>
      </c>
      <c r="S163" s="19">
        <f t="shared" ref="S163:S168" si="51">A163</f>
        <v>-57.340959844646001</v>
      </c>
      <c r="T163" s="17">
        <f>VLOOKUP(ROUNDDOWN(S163,0),'Spline Pre-Adj'!A:B,2,0)</f>
        <v>1.276980872</v>
      </c>
      <c r="U163" s="17">
        <f t="shared" ref="U163:U168" si="52">T163*K163</f>
        <v>1.276980872</v>
      </c>
      <c r="X163" s="19">
        <f t="shared" si="50"/>
        <v>-57.340959844646001</v>
      </c>
      <c r="Y163" s="17">
        <f>VLOOKUP(ROUNDDOWN(X163,0),'Spline Pre-Adj'!F:G,2,0)</f>
        <v>0.183833391304348</v>
      </c>
      <c r="Z163" s="17">
        <f t="shared" si="49"/>
        <v>0.183833391304348</v>
      </c>
      <c r="AC163" s="19">
        <f t="shared" ref="AC163:AC174" si="53">A163</f>
        <v>-57.340959844646001</v>
      </c>
      <c r="AD163" s="17">
        <f>VLOOKUP(ROUNDDOWN(AC163,0),'Spline Pre-Adj'!K:L,2,0)</f>
        <v>0</v>
      </c>
      <c r="AE163" s="17">
        <f t="shared" ref="AE163:AE174" si="54">AD163*M163</f>
        <v>0</v>
      </c>
    </row>
    <row r="164" spans="1:31" x14ac:dyDescent="0.25">
      <c r="A164" s="4">
        <f t="shared" si="35"/>
        <v>-33.260099520149197</v>
      </c>
      <c r="B164" s="3">
        <f t="shared" si="36"/>
        <v>2.6569220693000002</v>
      </c>
      <c r="C164" s="2" t="str">
        <f t="shared" si="34"/>
        <v>07:-50--25</v>
      </c>
      <c r="D164" s="8">
        <f t="shared" ref="D164" si="55">E140</f>
        <v>3.3011808299070501E-3</v>
      </c>
      <c r="E164" s="8">
        <f t="shared" si="37"/>
        <v>6.1261243265530521E-3</v>
      </c>
      <c r="F164" s="3">
        <f t="shared" si="38"/>
        <v>0.53886938200036572</v>
      </c>
      <c r="G164" s="2">
        <f t="shared" si="39"/>
        <v>3.8902771649641621</v>
      </c>
      <c r="H164" s="2">
        <f t="shared" si="40"/>
        <v>7.1086441315123539</v>
      </c>
      <c r="K164" s="14">
        <f t="shared" si="41"/>
        <v>1</v>
      </c>
      <c r="L164" s="14">
        <f t="shared" si="42"/>
        <v>1</v>
      </c>
      <c r="M164" s="14">
        <f t="shared" si="43"/>
        <v>1</v>
      </c>
      <c r="N164" s="8">
        <f t="shared" si="44"/>
        <v>6.1261243265530521E-3</v>
      </c>
      <c r="O164" s="2">
        <f t="shared" si="45"/>
        <v>7.1086441315123539</v>
      </c>
      <c r="P164" s="7">
        <f t="shared" si="46"/>
        <v>0.53886938200036572</v>
      </c>
      <c r="S164" s="9">
        <f t="shared" si="51"/>
        <v>-33.260099520149197</v>
      </c>
      <c r="T164" s="8">
        <f>VLOOKUP(ROUNDDOWN(S164,0),'Spline Pre-Adj'!A:B,2,0)</f>
        <v>1.2869999999999999</v>
      </c>
      <c r="U164" s="8">
        <f t="shared" si="52"/>
        <v>1.2869999999999999</v>
      </c>
      <c r="X164" s="9">
        <f t="shared" si="50"/>
        <v>-33.260099520149197</v>
      </c>
      <c r="Y164" s="8">
        <f>VLOOKUP(ROUNDDOWN(X164,0),'Spline Pre-Adj'!F:G,2,0)</f>
        <v>0.30615060763888902</v>
      </c>
      <c r="Z164" s="8">
        <f t="shared" si="49"/>
        <v>0.30615060763888902</v>
      </c>
      <c r="AC164" s="9">
        <f t="shared" si="53"/>
        <v>-33.260099520149197</v>
      </c>
      <c r="AD164" s="8">
        <f>VLOOKUP(ROUNDDOWN(AC164,0),'Spline Pre-Adj'!K:L,2,0)</f>
        <v>0.39387319081357403</v>
      </c>
      <c r="AE164" s="8">
        <f t="shared" si="54"/>
        <v>0.39387319081357403</v>
      </c>
    </row>
    <row r="165" spans="1:31" x14ac:dyDescent="0.25">
      <c r="A165" s="4">
        <f t="shared" si="35"/>
        <v>-8.92345924469676</v>
      </c>
      <c r="B165" s="3">
        <f t="shared" si="36"/>
        <v>18.260549566560002</v>
      </c>
      <c r="C165" s="2" t="str">
        <f t="shared" si="34"/>
        <v>08:-25-0</v>
      </c>
      <c r="D165" s="8">
        <f t="shared" ref="D165" si="56">E141</f>
        <v>8.0558519795120003E-3</v>
      </c>
      <c r="E165" s="8">
        <f t="shared" si="37"/>
        <v>1.104304299150485E-2</v>
      </c>
      <c r="F165" s="3">
        <f t="shared" si="38"/>
        <v>0.72949566398583932</v>
      </c>
      <c r="G165" s="2">
        <f t="shared" si="39"/>
        <v>9.2499995761007305</v>
      </c>
      <c r="H165" s="2">
        <f t="shared" si="40"/>
        <v>12.475693308809177</v>
      </c>
      <c r="K165" s="4">
        <f t="shared" si="41"/>
        <v>1</v>
      </c>
      <c r="L165" s="4">
        <f t="shared" si="42"/>
        <v>1</v>
      </c>
      <c r="M165" s="14">
        <f t="shared" si="43"/>
        <v>1</v>
      </c>
      <c r="N165" s="8">
        <f t="shared" si="44"/>
        <v>1.104304299150485E-2</v>
      </c>
      <c r="O165" s="2">
        <f t="shared" si="45"/>
        <v>12.475693308809177</v>
      </c>
      <c r="P165" s="7">
        <f t="shared" si="46"/>
        <v>0.72949566398583932</v>
      </c>
      <c r="S165" s="9">
        <f t="shared" si="51"/>
        <v>-8.92345924469676</v>
      </c>
      <c r="T165" s="8">
        <f>VLOOKUP(ROUNDDOWN(S165,0),'Spline Pre-Adj'!A:B,2,0)</f>
        <v>1.2869999999999999</v>
      </c>
      <c r="U165" s="8">
        <f t="shared" si="52"/>
        <v>1.2869999999999999</v>
      </c>
      <c r="X165" s="9">
        <f t="shared" si="50"/>
        <v>-8.92345924469676</v>
      </c>
      <c r="Y165" s="8">
        <f>VLOOKUP(ROUNDDOWN(X165,0),'Spline Pre-Adj'!F:G,2,0)</f>
        <v>0.53185287373913004</v>
      </c>
      <c r="Z165" s="8">
        <f t="shared" si="49"/>
        <v>0.53185287373913004</v>
      </c>
      <c r="AC165" s="9">
        <f t="shared" si="53"/>
        <v>-8.92345924469676</v>
      </c>
      <c r="AD165" s="8">
        <f>VLOOKUP(ROUNDDOWN(AC165,0),'Spline Pre-Adj'!K:L,2,0)</f>
        <v>1.1762837415319201</v>
      </c>
      <c r="AE165" s="8">
        <f t="shared" si="54"/>
        <v>1.1762837415319201</v>
      </c>
    </row>
    <row r="166" spans="1:31" x14ac:dyDescent="0.25">
      <c r="A166" s="4">
        <f t="shared" si="35"/>
        <v>15.341775522777199</v>
      </c>
      <c r="B166" s="3">
        <f t="shared" si="36"/>
        <v>84.189526612359998</v>
      </c>
      <c r="C166" s="2" t="str">
        <f t="shared" si="34"/>
        <v>09:0-25</v>
      </c>
      <c r="D166" s="8">
        <f t="shared" ref="D166" si="57">E142</f>
        <v>1.6369576221281899E-2</v>
      </c>
      <c r="E166" s="8">
        <f t="shared" si="37"/>
        <v>1.5569662104170306E-2</v>
      </c>
      <c r="F166" s="3">
        <f t="shared" si="38"/>
        <v>1.051376459666221</v>
      </c>
      <c r="G166" s="2">
        <f t="shared" si="39"/>
        <v>17.967974233733528</v>
      </c>
      <c r="H166" s="2">
        <f t="shared" si="40"/>
        <v>17.163856759722595</v>
      </c>
      <c r="K166" s="4">
        <f t="shared" si="41"/>
        <v>1</v>
      </c>
      <c r="L166" s="4">
        <f t="shared" si="42"/>
        <v>1</v>
      </c>
      <c r="M166" s="4">
        <f t="shared" si="43"/>
        <v>1</v>
      </c>
      <c r="N166" s="8">
        <f t="shared" si="44"/>
        <v>1.5569662104170306E-2</v>
      </c>
      <c r="O166" s="2">
        <f t="shared" si="45"/>
        <v>17.163856759722595</v>
      </c>
      <c r="P166" s="7">
        <f t="shared" si="46"/>
        <v>1.051376459666221</v>
      </c>
      <c r="S166" s="9">
        <f t="shared" si="51"/>
        <v>15.341775522777199</v>
      </c>
      <c r="T166" s="8">
        <f>VLOOKUP(ROUNDDOWN(S166,0),'Spline Pre-Adj'!A:B,2,0)</f>
        <v>1.2869999999999999</v>
      </c>
      <c r="U166" s="8">
        <f t="shared" si="52"/>
        <v>1.2869999999999999</v>
      </c>
      <c r="X166" s="9">
        <f t="shared" si="50"/>
        <v>15.341775522777199</v>
      </c>
      <c r="Y166" s="8">
        <f>VLOOKUP(ROUNDDOWN(X166,0),'Spline Pre-Adj'!F:G,2,0)</f>
        <v>0.98856376263664003</v>
      </c>
      <c r="Z166" s="8">
        <f t="shared" si="49"/>
        <v>0.98856376263664003</v>
      </c>
      <c r="AC166" s="9">
        <f t="shared" si="53"/>
        <v>15.341775522777199</v>
      </c>
      <c r="AD166" s="8">
        <f>VLOOKUP(ROUNDDOWN(AC166,0),'Spline Pre-Adj'!K:L,2,0)</f>
        <v>1.7164152091598801</v>
      </c>
      <c r="AE166" s="8">
        <f t="shared" si="54"/>
        <v>1.7164152091598801</v>
      </c>
    </row>
    <row r="167" spans="1:31" x14ac:dyDescent="0.25">
      <c r="A167" s="4">
        <f t="shared" si="35"/>
        <v>37.7097864846059</v>
      </c>
      <c r="B167" s="3">
        <f t="shared" si="36"/>
        <v>157.01357753165999</v>
      </c>
      <c r="C167" s="2" t="str">
        <f t="shared" si="34"/>
        <v>10:25-50</v>
      </c>
      <c r="D167" s="8">
        <f t="shared" ref="D167" si="58">E143</f>
        <v>2.7056046426358098E-2</v>
      </c>
      <c r="E167" s="8">
        <f t="shared" si="37"/>
        <v>2.1861319732230218E-2</v>
      </c>
      <c r="F167" s="3">
        <f t="shared" si="38"/>
        <v>1.2376218251119249</v>
      </c>
      <c r="G167" s="2">
        <f t="shared" si="39"/>
        <v>28.046175674218986</v>
      </c>
      <c r="H167" s="2">
        <f t="shared" si="40"/>
        <v>23.29826287928266</v>
      </c>
      <c r="K167" s="4">
        <f t="shared" si="41"/>
        <v>1</v>
      </c>
      <c r="L167" s="4">
        <f t="shared" si="42"/>
        <v>1</v>
      </c>
      <c r="M167" s="4">
        <f t="shared" si="43"/>
        <v>1.08</v>
      </c>
      <c r="N167" s="8">
        <f t="shared" si="44"/>
        <v>2.3330405459442868E-2</v>
      </c>
      <c r="O167" s="2">
        <f t="shared" si="45"/>
        <v>24.669298651526216</v>
      </c>
      <c r="P167" s="7">
        <f t="shared" si="46"/>
        <v>1.1596903651499677</v>
      </c>
      <c r="S167" s="9">
        <f t="shared" si="51"/>
        <v>37.7097864846059</v>
      </c>
      <c r="T167" s="8">
        <f>VLOOKUP(ROUNDDOWN(S167,0),'Spline Pre-Adj'!A:B,2,0)</f>
        <v>1.2869999999999999</v>
      </c>
      <c r="U167" s="8">
        <f t="shared" si="52"/>
        <v>1.2869999999999999</v>
      </c>
      <c r="X167" s="9">
        <f t="shared" si="50"/>
        <v>37.7097864846059</v>
      </c>
      <c r="Y167" s="8">
        <f>VLOOKUP(ROUNDDOWN(X167,0),'Spline Pre-Adj'!F:G,2,0)</f>
        <v>1.89537379409471</v>
      </c>
      <c r="Z167" s="8">
        <f t="shared" si="49"/>
        <v>1.89537379409471</v>
      </c>
      <c r="AC167" s="9">
        <f t="shared" si="53"/>
        <v>37.7097864846059</v>
      </c>
      <c r="AD167" s="8">
        <f>VLOOKUP(ROUNDDOWN(AC167,0),'Spline Pre-Adj'!K:L,2,0)</f>
        <v>2.4264029166777901</v>
      </c>
      <c r="AE167" s="8">
        <f t="shared" si="54"/>
        <v>2.6205151500120136</v>
      </c>
    </row>
    <row r="168" spans="1:31" x14ac:dyDescent="0.25">
      <c r="A168" s="4">
        <f t="shared" si="35"/>
        <v>62.6401223444797</v>
      </c>
      <c r="B168" s="3">
        <f t="shared" si="36"/>
        <v>159.46048393301001</v>
      </c>
      <c r="C168" s="2" t="str">
        <f t="shared" si="34"/>
        <v>11:50-75</v>
      </c>
      <c r="D168" s="8">
        <f t="shared" ref="D168" si="59">E144</f>
        <v>3.5427900736187699E-2</v>
      </c>
      <c r="E168" s="8">
        <f t="shared" si="37"/>
        <v>2.8785111018796741E-2</v>
      </c>
      <c r="F168" s="3">
        <f t="shared" si="38"/>
        <v>1.230771724766085</v>
      </c>
      <c r="G168" s="2">
        <f t="shared" si="39"/>
        <v>35.134115122229318</v>
      </c>
      <c r="H168" s="2">
        <f t="shared" si="40"/>
        <v>29.565736201230088</v>
      </c>
      <c r="K168" s="4">
        <f t="shared" si="41"/>
        <v>1</v>
      </c>
      <c r="L168" s="4">
        <f t="shared" si="42"/>
        <v>1</v>
      </c>
      <c r="M168" s="4">
        <f t="shared" si="43"/>
        <v>1.21</v>
      </c>
      <c r="N168" s="8">
        <f t="shared" si="44"/>
        <v>3.4053043515564409E-2</v>
      </c>
      <c r="O168" s="2">
        <f t="shared" si="45"/>
        <v>34.01589332969364</v>
      </c>
      <c r="P168" s="7">
        <f t="shared" si="46"/>
        <v>1.0403739894789401</v>
      </c>
      <c r="S168" s="9">
        <f t="shared" si="51"/>
        <v>62.6401223444797</v>
      </c>
      <c r="T168" s="8">
        <f>VLOOKUP(ROUNDDOWN(S168,0),'Spline Pre-Adj'!A:B,2,0)</f>
        <v>1.2869999999999999</v>
      </c>
      <c r="U168" s="8">
        <f t="shared" si="52"/>
        <v>1.2869999999999999</v>
      </c>
      <c r="X168" s="9">
        <f t="shared" si="50"/>
        <v>62.6401223444797</v>
      </c>
      <c r="Y168" s="8">
        <f>VLOOKUP(ROUNDDOWN(X168,0),'Spline Pre-Adj'!F:G,2,0)</f>
        <v>3.3799457765415402</v>
      </c>
      <c r="Z168" s="8">
        <f t="shared" si="49"/>
        <v>3.3799457765415402</v>
      </c>
      <c r="AC168" s="9">
        <f t="shared" si="53"/>
        <v>62.6401223444797</v>
      </c>
      <c r="AD168" s="8">
        <f>VLOOKUP(ROUNDDOWN(AC168,0),'Spline Pre-Adj'!K:L,2,0)</f>
        <v>3.3536482047599101</v>
      </c>
      <c r="AE168" s="8">
        <f t="shared" si="54"/>
        <v>4.0579143277594909</v>
      </c>
    </row>
    <row r="169" spans="1:31" x14ac:dyDescent="0.25">
      <c r="A169" s="4">
        <f t="shared" si="35"/>
        <v>86.158905824089203</v>
      </c>
      <c r="B169" s="3">
        <f t="shared" si="36"/>
        <v>122.99998910649001</v>
      </c>
      <c r="C169" s="2" t="str">
        <f t="shared" si="34"/>
        <v>12:75-100</v>
      </c>
      <c r="D169" s="8">
        <f t="shared" ref="D169" si="60">E145</f>
        <v>3.9478739854403297E-2</v>
      </c>
      <c r="E169" s="8">
        <f t="shared" si="37"/>
        <v>3.4241914690426992E-2</v>
      </c>
      <c r="F169" s="3">
        <f t="shared" si="38"/>
        <v>1.1529361080220308</v>
      </c>
      <c r="G169" s="2">
        <f t="shared" si="39"/>
        <v>38.328603390415786</v>
      </c>
      <c r="H169" s="2">
        <f t="shared" si="40"/>
        <v>34.170549053667735</v>
      </c>
      <c r="K169" s="4">
        <f t="shared" si="41"/>
        <v>1</v>
      </c>
      <c r="L169" s="4">
        <f t="shared" si="42"/>
        <v>1</v>
      </c>
      <c r="M169" s="4">
        <f t="shared" si="43"/>
        <v>1.24</v>
      </c>
      <c r="N169" s="8">
        <f t="shared" si="44"/>
        <v>4.1537044581775123E-2</v>
      </c>
      <c r="O169" s="2">
        <f t="shared" si="45"/>
        <v>39.89591572992245</v>
      </c>
      <c r="P169" s="7">
        <f t="shared" si="46"/>
        <v>0.95044652916218952</v>
      </c>
      <c r="S169" s="9">
        <f>A169</f>
        <v>86.158905824089203</v>
      </c>
      <c r="T169" s="8">
        <f>VLOOKUP(ROUNDDOWN(S169,0),'Spline Pre-Adj'!A:B,2,0)</f>
        <v>1.2869999999999999</v>
      </c>
      <c r="U169" s="8">
        <f>T169*K169</f>
        <v>1.2869999999999999</v>
      </c>
      <c r="X169" s="9">
        <f t="shared" si="50"/>
        <v>86.158905824089203</v>
      </c>
      <c r="Y169" s="8">
        <f>VLOOKUP(ROUNDDOWN(X169,0),'Spline Pre-Adj'!F:G,2,0)</f>
        <v>4.7646640542534699</v>
      </c>
      <c r="Z169" s="8">
        <f t="shared" si="49"/>
        <v>4.7646640542534699</v>
      </c>
      <c r="AC169" s="9">
        <f t="shared" si="53"/>
        <v>86.158905824089203</v>
      </c>
      <c r="AD169" s="8">
        <f>VLOOKUP(ROUNDDOWN(AC169,0),'Spline Pre-Adj'!K:L,2,0)</f>
        <v>4.1191352784208304</v>
      </c>
      <c r="AE169" s="8">
        <f t="shared" si="54"/>
        <v>5.1077277452418297</v>
      </c>
    </row>
    <row r="170" spans="1:31" x14ac:dyDescent="0.25">
      <c r="A170" s="4">
        <f t="shared" si="35"/>
        <v>111.70776691100799</v>
      </c>
      <c r="B170" s="3">
        <f t="shared" si="36"/>
        <v>71.013315466820004</v>
      </c>
      <c r="C170" s="2" t="str">
        <f t="shared" si="34"/>
        <v>13:100-125</v>
      </c>
      <c r="D170" s="8">
        <f t="shared" ref="D170" si="61">E146</f>
        <v>4.1750574889936699E-2</v>
      </c>
      <c r="E170" s="8">
        <f t="shared" si="37"/>
        <v>3.9065349666867123E-2</v>
      </c>
      <c r="F170" s="3">
        <f t="shared" si="38"/>
        <v>1.0687367512634098</v>
      </c>
      <c r="G170" s="2">
        <f t="shared" si="39"/>
        <v>40.056401802181604</v>
      </c>
      <c r="H170" s="2">
        <f t="shared" si="40"/>
        <v>38.009341937242411</v>
      </c>
      <c r="K170" s="4">
        <f t="shared" si="41"/>
        <v>1</v>
      </c>
      <c r="L170" s="4">
        <f t="shared" si="42"/>
        <v>1</v>
      </c>
      <c r="M170" s="4">
        <f t="shared" si="43"/>
        <v>1.17</v>
      </c>
      <c r="N170" s="8">
        <f t="shared" si="44"/>
        <v>4.5006432678084518E-2</v>
      </c>
      <c r="O170" s="2">
        <f t="shared" si="45"/>
        <v>42.455296711861401</v>
      </c>
      <c r="P170" s="7">
        <f t="shared" si="46"/>
        <v>0.92765794588884998</v>
      </c>
      <c r="X170" s="9">
        <f t="shared" si="50"/>
        <v>111.70776691100799</v>
      </c>
      <c r="Y170" s="8">
        <f>VLOOKUP(ROUNDDOWN(X170,0),'Spline Pre-Adj'!F:G,2,0)</f>
        <v>6.2168084690133298</v>
      </c>
      <c r="Z170" s="8">
        <f t="shared" si="49"/>
        <v>6.2168084690133298</v>
      </c>
      <c r="AC170" s="9">
        <f t="shared" si="53"/>
        <v>111.70776691100799</v>
      </c>
      <c r="AD170" s="8">
        <f>VLOOKUP(ROUNDDOWN(AC170,0),'Spline Pre-Adj'!K:L,2,0)</f>
        <v>4.7299139704548203</v>
      </c>
      <c r="AE170" s="8">
        <f t="shared" si="54"/>
        <v>5.5339993454321394</v>
      </c>
    </row>
    <row r="171" spans="1:31" x14ac:dyDescent="0.25">
      <c r="A171" s="4">
        <f t="shared" si="35"/>
        <v>134.63538146328699</v>
      </c>
      <c r="B171" s="3">
        <f t="shared" si="36"/>
        <v>32.388658791049998</v>
      </c>
      <c r="C171" s="2" t="str">
        <f t="shared" si="34"/>
        <v>14:125-150</v>
      </c>
      <c r="D171" s="8">
        <f t="shared" ref="D171" si="62">E147</f>
        <v>4.2640305630919702E-2</v>
      </c>
      <c r="E171" s="8">
        <f t="shared" si="37"/>
        <v>4.3456191781240112E-2</v>
      </c>
      <c r="F171" s="3">
        <f t="shared" si="38"/>
        <v>0.98122508860353874</v>
      </c>
      <c r="G171" s="2">
        <f t="shared" si="39"/>
        <v>40.72089029144076</v>
      </c>
      <c r="H171" s="2">
        <f t="shared" si="40"/>
        <v>41.324286686533554</v>
      </c>
      <c r="K171" s="4">
        <f t="shared" si="41"/>
        <v>1</v>
      </c>
      <c r="L171" s="4">
        <f t="shared" si="42"/>
        <v>1</v>
      </c>
      <c r="M171" s="4">
        <f t="shared" si="43"/>
        <v>1.1000000000000001</v>
      </c>
      <c r="N171" s="8">
        <f t="shared" si="44"/>
        <v>4.7383077879457738E-2</v>
      </c>
      <c r="O171" s="2">
        <f t="shared" si="45"/>
        <v>44.150472439585961</v>
      </c>
      <c r="P171" s="7">
        <f t="shared" si="46"/>
        <v>0.89990577943029326</v>
      </c>
      <c r="X171" s="9">
        <f t="shared" si="50"/>
        <v>134.63538146328699</v>
      </c>
      <c r="Y171" s="8">
        <f>VLOOKUP(ROUNDDOWN(X171,0),'Spline Pre-Adj'!F:G,2,0)</f>
        <v>7.60662891263856</v>
      </c>
      <c r="Z171" s="8">
        <f t="shared" si="49"/>
        <v>7.60662891263856</v>
      </c>
      <c r="AC171" s="9">
        <f t="shared" si="53"/>
        <v>134.63538146328699</v>
      </c>
      <c r="AD171" s="8">
        <f>VLOOKUP(ROUNDDOWN(AC171,0),'Spline Pre-Adj'!K:L,2,0)</f>
        <v>5.2051069926153799</v>
      </c>
      <c r="AE171" s="8">
        <f t="shared" si="54"/>
        <v>5.7256176918769182</v>
      </c>
    </row>
    <row r="172" spans="1:31" x14ac:dyDescent="0.25">
      <c r="A172" s="4">
        <f t="shared" si="35"/>
        <v>160.542481226337</v>
      </c>
      <c r="B172" s="3">
        <f t="shared" si="36"/>
        <v>7.1340865011000005</v>
      </c>
      <c r="C172" s="2" t="str">
        <f t="shared" si="34"/>
        <v>15:150-175</v>
      </c>
      <c r="D172" s="8">
        <f t="shared" ref="D172" si="63">E148</f>
        <v>3.9864104073656002E-2</v>
      </c>
      <c r="E172" s="8">
        <f t="shared" si="37"/>
        <v>4.6550706201742301E-2</v>
      </c>
      <c r="F172" s="3">
        <f t="shared" si="38"/>
        <v>0.85635873924000683</v>
      </c>
      <c r="G172" s="2">
        <f t="shared" si="39"/>
        <v>38.624862244360678</v>
      </c>
      <c r="H172" s="2">
        <f t="shared" si="40"/>
        <v>43.56205175891953</v>
      </c>
      <c r="K172" s="4">
        <f t="shared" si="41"/>
        <v>1</v>
      </c>
      <c r="L172" s="4">
        <f t="shared" si="42"/>
        <v>1</v>
      </c>
      <c r="M172" s="4">
        <f t="shared" si="43"/>
        <v>1.05</v>
      </c>
      <c r="N172" s="8">
        <f t="shared" si="44"/>
        <v>4.8653162130807677E-2</v>
      </c>
      <c r="O172" s="2">
        <f t="shared" si="45"/>
        <v>45.03749123670422</v>
      </c>
      <c r="P172" s="7">
        <f t="shared" si="46"/>
        <v>0.81935278875560791</v>
      </c>
      <c r="X172" s="9">
        <f t="shared" si="50"/>
        <v>160.542481226337</v>
      </c>
      <c r="Y172" s="8">
        <f>VLOOKUP(ROUNDDOWN(X172,0),'Spline Pre-Adj'!F:G,2,0)</f>
        <v>8.7434835551418502</v>
      </c>
      <c r="Z172" s="8">
        <f t="shared" si="49"/>
        <v>8.7434835551418502</v>
      </c>
      <c r="AC172" s="9">
        <f t="shared" si="53"/>
        <v>160.542481226337</v>
      </c>
      <c r="AD172" s="8">
        <f>VLOOKUP(ROUNDDOWN(AC172,0),'Spline Pre-Adj'!K:L,2,0)</f>
        <v>5.6662697466415004</v>
      </c>
      <c r="AE172" s="8">
        <f t="shared" si="54"/>
        <v>5.9495832339735752</v>
      </c>
    </row>
    <row r="173" spans="1:31" x14ac:dyDescent="0.25">
      <c r="A173" s="4">
        <f t="shared" si="35"/>
        <v>182.94834548867701</v>
      </c>
      <c r="B173" s="3">
        <f t="shared" si="36"/>
        <v>1.73234153024</v>
      </c>
      <c r="C173" s="2" t="str">
        <f t="shared" si="34"/>
        <v>16:175-200</v>
      </c>
      <c r="D173" s="8">
        <f t="shared" ref="D173" si="64">E149</f>
        <v>4.5410575526386998E-2</v>
      </c>
      <c r="E173" s="8">
        <f t="shared" si="37"/>
        <v>5.1535388721787194E-2</v>
      </c>
      <c r="F173" s="3">
        <f t="shared" si="38"/>
        <v>0.88115325512600895</v>
      </c>
      <c r="G173" s="2">
        <f t="shared" si="39"/>
        <v>42.746844979188594</v>
      </c>
      <c r="H173" s="2">
        <f t="shared" si="40"/>
        <v>47.002720609089096</v>
      </c>
      <c r="K173" s="4">
        <f t="shared" si="41"/>
        <v>1</v>
      </c>
      <c r="L173" s="4">
        <f t="shared" si="42"/>
        <v>1</v>
      </c>
      <c r="M173" s="4">
        <f t="shared" si="43"/>
        <v>1.01</v>
      </c>
      <c r="N173" s="8">
        <f t="shared" si="44"/>
        <v>5.2002380396673847E-2</v>
      </c>
      <c r="O173" s="2">
        <f t="shared" si="45"/>
        <v>47.315002709593621</v>
      </c>
      <c r="P173" s="7">
        <f t="shared" si="46"/>
        <v>0.87324032438506471</v>
      </c>
      <c r="X173" s="9">
        <f t="shared" si="50"/>
        <v>182.94834548867701</v>
      </c>
      <c r="Y173" s="8">
        <f>VLOOKUP(ROUNDDOWN(X173,0),'Spline Pre-Adj'!F:G,2,0)</f>
        <v>8.8893165458857606</v>
      </c>
      <c r="Z173" s="8">
        <f t="shared" si="49"/>
        <v>8.8893165458857606</v>
      </c>
      <c r="AC173" s="9">
        <f t="shared" si="53"/>
        <v>182.94834548867701</v>
      </c>
      <c r="AD173" s="8">
        <f>VLOOKUP(ROUNDDOWN(AC173,0),'Spline Pre-Adj'!K:L,2,0)</f>
        <v>6.0126180729972596</v>
      </c>
      <c r="AE173" s="8">
        <f t="shared" si="54"/>
        <v>6.0727442537272323</v>
      </c>
    </row>
    <row r="174" spans="1:31" s="18" customFormat="1" x14ac:dyDescent="0.25">
      <c r="A174" s="16">
        <f t="shared" si="35"/>
        <v>209.634663133814</v>
      </c>
      <c r="B174" s="23">
        <f t="shared" si="36"/>
        <v>0.26884965691000001</v>
      </c>
      <c r="C174" s="24" t="str">
        <f t="shared" si="34"/>
        <v>17:200-225</v>
      </c>
      <c r="D174" s="17">
        <f>E150</f>
        <v>3.7022910001545499E-2</v>
      </c>
      <c r="E174" s="17">
        <f t="shared" si="37"/>
        <v>5.4190448340267545E-2</v>
      </c>
      <c r="F174" s="23">
        <f>D174/E174</f>
        <v>0.68319992056671575</v>
      </c>
      <c r="G174" s="24">
        <f t="shared" si="39"/>
        <v>36.409614120755776</v>
      </c>
      <c r="H174" s="24">
        <f t="shared" si="40"/>
        <v>48.755843683138558</v>
      </c>
      <c r="K174" s="16">
        <f t="shared" si="41"/>
        <v>1</v>
      </c>
      <c r="L174" s="16">
        <f t="shared" si="42"/>
        <v>1</v>
      </c>
      <c r="M174" s="16">
        <f t="shared" si="43"/>
        <v>1</v>
      </c>
      <c r="N174" s="17">
        <f t="shared" si="44"/>
        <v>5.4190448340267545E-2</v>
      </c>
      <c r="O174" s="24">
        <f t="shared" si="45"/>
        <v>48.755843683138558</v>
      </c>
      <c r="P174" s="25">
        <f t="shared" si="46"/>
        <v>0.68319992056671575</v>
      </c>
      <c r="X174" s="19">
        <f t="shared" si="50"/>
        <v>209.634663133814</v>
      </c>
      <c r="Y174" s="17">
        <f>VLOOKUP(ROUNDDOWN(X174,0),'Spline Pre-Adj'!F:G,2,0)</f>
        <v>8.9</v>
      </c>
      <c r="Z174" s="17">
        <f t="shared" si="49"/>
        <v>8.9</v>
      </c>
      <c r="AC174" s="19">
        <f t="shared" si="53"/>
        <v>209.634663133814</v>
      </c>
      <c r="AD174" s="17">
        <f>VLOOKUP(ROUNDDOWN(AC174,0),'Spline Pre-Adj'!K:L,2,0)</f>
        <v>6.3657668913125001</v>
      </c>
      <c r="AE174" s="17">
        <f t="shared" si="54"/>
        <v>6.3657668913125001</v>
      </c>
    </row>
    <row r="175" spans="1:31" s="18" customFormat="1" x14ac:dyDescent="0.25">
      <c r="A175" s="16">
        <f t="shared" si="35"/>
        <v>233.72394515151399</v>
      </c>
      <c r="B175" s="23">
        <f t="shared" si="36"/>
        <v>6.733034567E-2</v>
      </c>
      <c r="C175" s="24" t="str">
        <f t="shared" si="34"/>
        <v>18:225-250</v>
      </c>
      <c r="D175" s="17">
        <f t="shared" ref="D175" si="65">E151</f>
        <v>1.0316176528550901E-2</v>
      </c>
      <c r="E175" s="17">
        <f t="shared" si="37"/>
        <v>5.3132591300315897E-2</v>
      </c>
      <c r="F175" s="23">
        <f t="shared" si="38"/>
        <v>0.19415910792383217</v>
      </c>
      <c r="G175" s="24">
        <f t="shared" si="39"/>
        <v>11.700618693729536</v>
      </c>
      <c r="H175" s="24">
        <f t="shared" si="40"/>
        <v>48.063818001438861</v>
      </c>
      <c r="K175" s="16">
        <f t="shared" si="41"/>
        <v>1</v>
      </c>
      <c r="L175" s="16">
        <f t="shared" si="42"/>
        <v>1</v>
      </c>
      <c r="M175" s="16">
        <f t="shared" si="43"/>
        <v>1</v>
      </c>
      <c r="N175" s="17">
        <f t="shared" si="44"/>
        <v>5.3132591300315897E-2</v>
      </c>
      <c r="O175" s="24">
        <f t="shared" si="45"/>
        <v>48.063818001438861</v>
      </c>
      <c r="P175" s="25">
        <f t="shared" si="46"/>
        <v>0.19415910792383217</v>
      </c>
      <c r="X175" s="19">
        <f t="shared" si="50"/>
        <v>233.72394515151399</v>
      </c>
      <c r="Y175" s="17">
        <f>VLOOKUP(ROUNDDOWN(X175,0),'Spline Pre-Adj'!F:G,2,0)</f>
        <v>8.9</v>
      </c>
      <c r="Z175" s="17">
        <f t="shared" si="49"/>
        <v>8.9</v>
      </c>
      <c r="AC175" s="19">
        <f>A175</f>
        <v>233.72394515151399</v>
      </c>
      <c r="AD175" s="17">
        <f>VLOOKUP(ROUNDDOWN(AC175,0),'Spline Pre-Adj'!K:L,2,0)</f>
        <v>6.6052587481674401</v>
      </c>
      <c r="AE175" s="17">
        <f>AD175*M175</f>
        <v>6.6052587481674401</v>
      </c>
    </row>
    <row r="176" spans="1:31" s="18" customFormat="1" x14ac:dyDescent="0.25">
      <c r="A176" s="16">
        <f t="shared" si="35"/>
        <v>265.60644549534697</v>
      </c>
      <c r="B176" s="23">
        <f t="shared" si="36"/>
        <v>1.5942773730000002E-2</v>
      </c>
      <c r="C176" s="24" t="str">
        <f t="shared" si="34"/>
        <v>999:&gt;= 250</v>
      </c>
      <c r="D176" s="17">
        <f t="shared" ref="D176" si="66">E152</f>
        <v>3.4739567290702898E-2</v>
      </c>
      <c r="E176" s="17">
        <f t="shared" si="37"/>
        <v>4.7139636758653999E-2</v>
      </c>
      <c r="F176" s="23">
        <f t="shared" si="38"/>
        <v>0.73695025416854387</v>
      </c>
      <c r="G176" s="24">
        <f t="shared" si="39"/>
        <v>34.576458281537128</v>
      </c>
      <c r="H176" s="24">
        <f t="shared" si="40"/>
        <v>43.978963445801448</v>
      </c>
      <c r="K176" s="16">
        <f t="shared" si="41"/>
        <v>1</v>
      </c>
      <c r="L176" s="16">
        <f t="shared" si="42"/>
        <v>1</v>
      </c>
      <c r="M176" s="27">
        <f t="shared" si="43"/>
        <v>1</v>
      </c>
      <c r="N176" s="17">
        <f t="shared" si="44"/>
        <v>4.7139636758653999E-2</v>
      </c>
      <c r="O176" s="24">
        <f t="shared" si="45"/>
        <v>43.978963445801448</v>
      </c>
      <c r="P176" s="25">
        <f t="shared" si="46"/>
        <v>0.73695025416854387</v>
      </c>
      <c r="X176" s="19">
        <f t="shared" si="50"/>
        <v>265.60644549534697</v>
      </c>
      <c r="Y176" s="17">
        <f>VLOOKUP(ROUNDDOWN(X176,0),'Spline Pre-Adj'!F:G,2,0)</f>
        <v>8.9</v>
      </c>
      <c r="Z176" s="17">
        <f t="shared" si="49"/>
        <v>8.9</v>
      </c>
      <c r="AC176" s="19">
        <f>A176</f>
        <v>265.60644549534697</v>
      </c>
      <c r="AD176" s="17">
        <f>VLOOKUP(ROUNDDOWN(AC176,0),'Spline Pre-Adj'!K:L,2,0)</f>
        <v>6.8861429780502004</v>
      </c>
      <c r="AE176" s="17">
        <f>AD176*M176</f>
        <v>6.8861429780502004</v>
      </c>
    </row>
    <row r="179" spans="9:13" x14ac:dyDescent="0.25">
      <c r="I179" t="s">
        <v>128</v>
      </c>
      <c r="K179" s="16">
        <v>0.75</v>
      </c>
      <c r="L179" s="16">
        <v>1</v>
      </c>
      <c r="M179" s="16">
        <v>1</v>
      </c>
    </row>
    <row r="180" spans="9:13" x14ac:dyDescent="0.25">
      <c r="K180" s="16">
        <v>0.75</v>
      </c>
      <c r="L180" s="16">
        <v>1</v>
      </c>
      <c r="M180" s="16">
        <v>1</v>
      </c>
    </row>
    <row r="181" spans="9:13" x14ac:dyDescent="0.25">
      <c r="K181" s="16">
        <v>0.75</v>
      </c>
      <c r="L181" s="16">
        <v>1</v>
      </c>
      <c r="M181" s="16">
        <v>1</v>
      </c>
    </row>
    <row r="182" spans="9:13" x14ac:dyDescent="0.25">
      <c r="K182" s="16">
        <v>0.64</v>
      </c>
      <c r="L182" s="16">
        <v>1</v>
      </c>
      <c r="M182" s="16">
        <v>1</v>
      </c>
    </row>
    <row r="183" spans="9:13" x14ac:dyDescent="0.25">
      <c r="K183" s="4">
        <v>0.64</v>
      </c>
      <c r="L183" s="4">
        <v>1</v>
      </c>
      <c r="M183" s="4">
        <v>0.32</v>
      </c>
    </row>
    <row r="184" spans="9:13" x14ac:dyDescent="0.25">
      <c r="K184" s="4">
        <v>0.75</v>
      </c>
      <c r="L184" s="4">
        <v>1</v>
      </c>
      <c r="M184" s="4">
        <v>0.67</v>
      </c>
    </row>
    <row r="185" spans="9:13" x14ac:dyDescent="0.25">
      <c r="K185" s="4">
        <v>0.75</v>
      </c>
      <c r="L185" s="4">
        <v>1</v>
      </c>
      <c r="M185" s="4">
        <v>1.1100000000000001</v>
      </c>
    </row>
    <row r="186" spans="9:13" x14ac:dyDescent="0.25">
      <c r="K186" s="4">
        <v>0.75</v>
      </c>
      <c r="L186" s="4">
        <v>1</v>
      </c>
      <c r="M186" s="4">
        <v>1.32</v>
      </c>
    </row>
    <row r="187" spans="9:13" x14ac:dyDescent="0.25">
      <c r="K187" s="4">
        <v>0.75</v>
      </c>
      <c r="L187" s="4">
        <v>1</v>
      </c>
      <c r="M187" s="4">
        <v>1.26</v>
      </c>
    </row>
    <row r="188" spans="9:13" x14ac:dyDescent="0.25">
      <c r="K188" s="4">
        <v>0.75</v>
      </c>
      <c r="L188" s="4">
        <v>1</v>
      </c>
      <c r="M188" s="4">
        <v>1.17</v>
      </c>
    </row>
    <row r="189" spans="9:13" x14ac:dyDescent="0.25">
      <c r="K189" s="4">
        <v>0.75</v>
      </c>
      <c r="L189" s="4">
        <v>1</v>
      </c>
      <c r="M189" s="4">
        <v>1.07</v>
      </c>
    </row>
    <row r="190" spans="9:13" x14ac:dyDescent="0.25">
      <c r="K190" s="4">
        <v>0.75</v>
      </c>
      <c r="L190" s="4">
        <v>1</v>
      </c>
      <c r="M190" s="4">
        <v>1</v>
      </c>
    </row>
    <row r="191" spans="9:13" x14ac:dyDescent="0.25">
      <c r="K191" s="4">
        <v>0.75</v>
      </c>
      <c r="L191" s="4">
        <v>1</v>
      </c>
      <c r="M191" s="4">
        <v>0.95</v>
      </c>
    </row>
    <row r="192" spans="9:13" x14ac:dyDescent="0.25">
      <c r="K192" s="4">
        <v>0.75</v>
      </c>
      <c r="L192" s="4">
        <v>1</v>
      </c>
      <c r="M192" s="4">
        <v>0.91</v>
      </c>
    </row>
    <row r="193" spans="1:50" x14ac:dyDescent="0.25">
      <c r="K193" s="27">
        <v>0.75</v>
      </c>
      <c r="L193" s="27">
        <v>1</v>
      </c>
      <c r="M193" s="27">
        <v>1.05</v>
      </c>
    </row>
    <row r="194" spans="1:50" x14ac:dyDescent="0.25">
      <c r="K194" s="16">
        <v>0.75</v>
      </c>
      <c r="L194" s="16">
        <v>1</v>
      </c>
      <c r="M194" s="16">
        <v>1</v>
      </c>
    </row>
    <row r="195" spans="1:50" x14ac:dyDescent="0.25">
      <c r="K195" s="16">
        <v>0.75</v>
      </c>
      <c r="L195" s="16">
        <v>1</v>
      </c>
      <c r="M195" s="16">
        <v>1</v>
      </c>
    </row>
    <row r="197" spans="1:50" s="32" customFormat="1" x14ac:dyDescent="0.25"/>
    <row r="199" spans="1:50" x14ac:dyDescent="0.25">
      <c r="A199" s="34" t="s">
        <v>127</v>
      </c>
      <c r="C199" s="34" t="s">
        <v>135</v>
      </c>
      <c r="AS199" s="18" t="s">
        <v>91</v>
      </c>
      <c r="AT199" s="18" t="s">
        <v>92</v>
      </c>
      <c r="AU199" s="18"/>
      <c r="AV199" s="18"/>
      <c r="AW199" s="18" t="s">
        <v>93</v>
      </c>
      <c r="AX199" s="18"/>
    </row>
    <row r="200" spans="1:50" x14ac:dyDescent="0.25">
      <c r="A200" t="s">
        <v>21</v>
      </c>
      <c r="B200" t="s">
        <v>22</v>
      </c>
      <c r="C200" t="s">
        <v>23</v>
      </c>
      <c r="D200" t="s">
        <v>24</v>
      </c>
      <c r="E200" t="s">
        <v>99</v>
      </c>
      <c r="F200" t="s">
        <v>100</v>
      </c>
      <c r="G200" t="s">
        <v>25</v>
      </c>
      <c r="H200" t="s">
        <v>26</v>
      </c>
      <c r="I200" t="s">
        <v>27</v>
      </c>
      <c r="J200" t="s">
        <v>28</v>
      </c>
      <c r="K200" t="s">
        <v>29</v>
      </c>
      <c r="L200" t="s">
        <v>30</v>
      </c>
      <c r="M200" t="s">
        <v>31</v>
      </c>
      <c r="N200" t="s">
        <v>32</v>
      </c>
      <c r="O200" t="s">
        <v>33</v>
      </c>
      <c r="P200" t="s">
        <v>34</v>
      </c>
      <c r="Q200" t="s">
        <v>35</v>
      </c>
      <c r="R200" t="s">
        <v>36</v>
      </c>
      <c r="S200" t="s">
        <v>37</v>
      </c>
      <c r="T200" t="s">
        <v>38</v>
      </c>
      <c r="U200" t="s">
        <v>39</v>
      </c>
      <c r="V200" t="s">
        <v>40</v>
      </c>
      <c r="W200" t="s">
        <v>41</v>
      </c>
      <c r="X200" t="s">
        <v>42</v>
      </c>
      <c r="Y200" t="s">
        <v>43</v>
      </c>
      <c r="Z200" t="s">
        <v>44</v>
      </c>
      <c r="AA200" t="s">
        <v>45</v>
      </c>
      <c r="AB200" s="1" t="s">
        <v>46</v>
      </c>
      <c r="AC200" s="1" t="s">
        <v>47</v>
      </c>
      <c r="AD200" s="1" t="s">
        <v>48</v>
      </c>
      <c r="AE200" t="s">
        <v>49</v>
      </c>
      <c r="AF200" t="s">
        <v>50</v>
      </c>
      <c r="AG200" t="s">
        <v>51</v>
      </c>
      <c r="AH200" t="s">
        <v>52</v>
      </c>
      <c r="AI200" t="s">
        <v>53</v>
      </c>
      <c r="AJ200" t="s">
        <v>54</v>
      </c>
      <c r="AK200" t="s">
        <v>55</v>
      </c>
      <c r="AL200" t="s">
        <v>56</v>
      </c>
      <c r="AM200" t="s">
        <v>57</v>
      </c>
      <c r="AN200" t="s">
        <v>58</v>
      </c>
      <c r="AO200" t="s">
        <v>59</v>
      </c>
      <c r="AP200" t="s">
        <v>60</v>
      </c>
      <c r="AQ200" t="s">
        <v>61</v>
      </c>
      <c r="AR200" t="s">
        <v>62</v>
      </c>
      <c r="AS200" s="22" t="s">
        <v>129</v>
      </c>
      <c r="AT200" s="22" t="s">
        <v>130</v>
      </c>
      <c r="AU200" s="18" t="s">
        <v>133</v>
      </c>
      <c r="AV200" s="18" t="s">
        <v>134</v>
      </c>
      <c r="AW200" s="22" t="s">
        <v>131</v>
      </c>
      <c r="AX200" s="18" t="s">
        <v>132</v>
      </c>
    </row>
    <row r="201" spans="1:50" x14ac:dyDescent="0.25">
      <c r="A201">
        <v>4.3</v>
      </c>
      <c r="B201" s="4">
        <v>0.99355963723044405</v>
      </c>
      <c r="C201" s="4">
        <v>3.4080264717967301</v>
      </c>
      <c r="D201" s="4">
        <v>7.4604714058524699</v>
      </c>
      <c r="E201" s="4">
        <v>2.8853741161145498E-3</v>
      </c>
      <c r="F201" s="5">
        <v>6.4403627695555597E-3</v>
      </c>
      <c r="G201" s="5">
        <v>0</v>
      </c>
      <c r="H201" s="4">
        <v>3.9555301458176202</v>
      </c>
      <c r="I201" s="4">
        <v>4.1464713438871996</v>
      </c>
      <c r="J201" s="4">
        <v>-55.300464941518698</v>
      </c>
      <c r="K201" s="4">
        <v>-57.210404834917597</v>
      </c>
      <c r="L201" s="4">
        <v>18.5570557271718</v>
      </c>
      <c r="M201" s="4">
        <v>15.563260719001301</v>
      </c>
      <c r="N201" s="4">
        <v>77.867714064102998</v>
      </c>
      <c r="O201" s="4">
        <v>75.5438012193529</v>
      </c>
      <c r="P201" s="4">
        <v>266943.27049541398</v>
      </c>
      <c r="Q201" s="4">
        <v>193946.96469565199</v>
      </c>
      <c r="R201" s="4">
        <v>774.77254139517299</v>
      </c>
      <c r="S201" s="4">
        <v>0</v>
      </c>
      <c r="T201" s="4">
        <v>0</v>
      </c>
      <c r="U201" s="4">
        <v>8.8398661081929994E-2</v>
      </c>
      <c r="V201" s="4">
        <v>0</v>
      </c>
      <c r="W201" s="4">
        <v>0</v>
      </c>
      <c r="X201" s="4">
        <v>0.578717543837871</v>
      </c>
      <c r="Y201" s="4">
        <v>0</v>
      </c>
      <c r="Z201" s="5">
        <v>6.6739660044732002E-4</v>
      </c>
      <c r="AA201" s="5">
        <v>7.4725746085626196E-5</v>
      </c>
      <c r="AB201" s="10">
        <v>2.5331702241159098E-3</v>
      </c>
      <c r="AC201" s="10">
        <v>2.9108359369354299E-8</v>
      </c>
      <c r="AD201" s="10">
        <v>3.16503007643992E-3</v>
      </c>
      <c r="AE201" s="4">
        <v>-2.3797480444894801E-2</v>
      </c>
      <c r="AF201" s="4">
        <v>0.97866265899941696</v>
      </c>
      <c r="AG201" s="4">
        <v>0.99723235365122598</v>
      </c>
      <c r="AH201" s="4">
        <v>1</v>
      </c>
      <c r="AI201" s="4">
        <v>1</v>
      </c>
      <c r="AJ201" s="4">
        <v>1</v>
      </c>
      <c r="AK201" s="4">
        <v>1</v>
      </c>
      <c r="AL201" s="4">
        <v>1</v>
      </c>
      <c r="AM201" s="4">
        <v>0</v>
      </c>
      <c r="AN201" s="4">
        <v>0</v>
      </c>
      <c r="AO201" s="4" t="s">
        <v>66</v>
      </c>
      <c r="AP201" s="4">
        <f>-75--50</f>
        <v>-25</v>
      </c>
      <c r="AQ201" s="6">
        <v>22303900.940000001</v>
      </c>
      <c r="AR201" s="4">
        <v>115</v>
      </c>
      <c r="AS201" s="16">
        <v>100</v>
      </c>
      <c r="AT201" s="16">
        <v>0</v>
      </c>
      <c r="AU201" s="16">
        <v>0</v>
      </c>
      <c r="AV201" s="16">
        <v>0</v>
      </c>
      <c r="AW201" s="16">
        <v>100</v>
      </c>
      <c r="AX201" s="16">
        <v>0</v>
      </c>
    </row>
    <row r="202" spans="1:50" x14ac:dyDescent="0.25">
      <c r="A202">
        <v>4.3</v>
      </c>
      <c r="B202" s="4">
        <v>0.99344040371019304</v>
      </c>
      <c r="C202" s="4">
        <v>2.6756425653229798</v>
      </c>
      <c r="D202" s="4">
        <v>7.5936475158731396</v>
      </c>
      <c r="E202" s="4">
        <v>2.25752251921006E-3</v>
      </c>
      <c r="F202" s="5">
        <v>6.5595962898064002E-3</v>
      </c>
      <c r="G202" s="5">
        <v>0</v>
      </c>
      <c r="H202" s="4">
        <v>3.9199800446603601</v>
      </c>
      <c r="I202" s="4">
        <v>4.1424648010542997</v>
      </c>
      <c r="J202" s="4">
        <v>-57.6599484595964</v>
      </c>
      <c r="K202" s="4">
        <v>-32.594270536739103</v>
      </c>
      <c r="L202" s="4">
        <v>14.9890601246206</v>
      </c>
      <c r="M202" s="4">
        <v>15.4242979965813</v>
      </c>
      <c r="N202" s="4">
        <v>73.798811330660001</v>
      </c>
      <c r="O202" s="4">
        <v>72.801415481914006</v>
      </c>
      <c r="P202" s="4">
        <v>293064.03473648202</v>
      </c>
      <c r="Q202" s="4">
        <v>263371.776277836</v>
      </c>
      <c r="R202" s="4">
        <v>784.82055795311999</v>
      </c>
      <c r="S202" s="4">
        <v>0</v>
      </c>
      <c r="T202" s="4">
        <v>0</v>
      </c>
      <c r="U202" s="4">
        <v>8.3187060034362603E-2</v>
      </c>
      <c r="V202" s="4">
        <v>0</v>
      </c>
      <c r="W202" s="4">
        <v>0</v>
      </c>
      <c r="X202" s="4">
        <v>0.63466923272141795</v>
      </c>
      <c r="Y202" s="4">
        <v>0</v>
      </c>
      <c r="Z202" s="5">
        <v>4.23379175116946E-4</v>
      </c>
      <c r="AA202" s="5">
        <v>5.4947754922540903E-5</v>
      </c>
      <c r="AB202" s="10">
        <v>2.4369602344780201E-3</v>
      </c>
      <c r="AC202" s="10">
        <v>1.9932865122568199E-8</v>
      </c>
      <c r="AD202" s="10">
        <v>3.6442752604935102E-3</v>
      </c>
      <c r="AE202" s="4">
        <v>-2.0683738395817799E-2</v>
      </c>
      <c r="AF202" s="4">
        <v>0.983010735102128</v>
      </c>
      <c r="AG202" s="4">
        <v>0.99723916155715397</v>
      </c>
      <c r="AH202" s="4">
        <v>1</v>
      </c>
      <c r="AI202" s="4">
        <v>1</v>
      </c>
      <c r="AJ202" s="4">
        <v>1</v>
      </c>
      <c r="AK202" s="4">
        <v>1</v>
      </c>
      <c r="AL202" s="4">
        <v>1</v>
      </c>
      <c r="AM202" s="4">
        <v>0</v>
      </c>
      <c r="AN202" s="4">
        <v>0</v>
      </c>
      <c r="AO202" s="4" t="s">
        <v>67</v>
      </c>
      <c r="AP202" s="4">
        <f>-50--25</f>
        <v>-25</v>
      </c>
      <c r="AQ202" s="6">
        <v>248359585.03</v>
      </c>
      <c r="AR202" s="4">
        <v>943</v>
      </c>
      <c r="AS202" s="16">
        <v>100</v>
      </c>
      <c r="AT202" s="16">
        <v>0</v>
      </c>
      <c r="AU202" s="16">
        <v>0</v>
      </c>
      <c r="AV202" s="16">
        <v>0</v>
      </c>
      <c r="AW202" s="16">
        <v>100</v>
      </c>
      <c r="AX202" s="16">
        <v>0</v>
      </c>
    </row>
    <row r="203" spans="1:50" x14ac:dyDescent="0.25">
      <c r="A203">
        <v>4.3</v>
      </c>
      <c r="B203" s="4">
        <v>0.98810592582053303</v>
      </c>
      <c r="C203" s="4">
        <v>14.515442637879501</v>
      </c>
      <c r="D203" s="4">
        <v>13.3752396795824</v>
      </c>
      <c r="E203" s="4">
        <v>1.298450129879E-2</v>
      </c>
      <c r="F203" s="5">
        <v>1.18940741794663E-2</v>
      </c>
      <c r="G203" s="5">
        <v>0</v>
      </c>
      <c r="H203" s="4">
        <v>4.0995239520356197</v>
      </c>
      <c r="I203" s="4">
        <v>4.12338679968299</v>
      </c>
      <c r="J203" s="4">
        <v>-40.109616469691801</v>
      </c>
      <c r="K203" s="4">
        <v>-8.5060139715854</v>
      </c>
      <c r="L203" s="4">
        <v>14.517345518292</v>
      </c>
      <c r="M203" s="4">
        <v>15.825203313012</v>
      </c>
      <c r="N203" s="4">
        <v>72.1808528843098</v>
      </c>
      <c r="O203" s="4">
        <v>71.167071743574496</v>
      </c>
      <c r="P203" s="4">
        <v>297034.49829133903</v>
      </c>
      <c r="Q203" s="4">
        <v>273995.738569882</v>
      </c>
      <c r="R203" s="4">
        <v>782.75175458452304</v>
      </c>
      <c r="S203" s="4">
        <v>0</v>
      </c>
      <c r="T203" s="4">
        <v>0</v>
      </c>
      <c r="U203" s="4">
        <v>0.16198245123361699</v>
      </c>
      <c r="V203" s="4">
        <v>0</v>
      </c>
      <c r="W203" s="4">
        <v>0</v>
      </c>
      <c r="X203" s="4">
        <v>0.71326841987058798</v>
      </c>
      <c r="Y203" s="4">
        <v>0</v>
      </c>
      <c r="Z203" s="5">
        <v>3.7641744615595402E-4</v>
      </c>
      <c r="AA203" s="5">
        <v>6.1641340987403801E-5</v>
      </c>
      <c r="AB203" s="10">
        <v>2.50458677346466E-3</v>
      </c>
      <c r="AC203" s="10">
        <v>1.1985441577818799E-7</v>
      </c>
      <c r="AD203" s="10">
        <v>8.9512944541392803E-3</v>
      </c>
      <c r="AE203" s="4">
        <v>-1.5472145763548601E-2</v>
      </c>
      <c r="AF203" s="4">
        <v>0.95973662770244605</v>
      </c>
      <c r="AG203" s="4">
        <v>0.99363682375780404</v>
      </c>
      <c r="AH203" s="4">
        <v>0.99969862358628003</v>
      </c>
      <c r="AI203" s="4">
        <v>1</v>
      </c>
      <c r="AJ203" s="4">
        <v>1</v>
      </c>
      <c r="AK203" s="4">
        <v>1</v>
      </c>
      <c r="AL203" s="4">
        <v>1</v>
      </c>
      <c r="AM203" s="4">
        <v>0</v>
      </c>
      <c r="AN203" s="4">
        <v>0</v>
      </c>
      <c r="AO203" s="4" t="s">
        <v>68</v>
      </c>
      <c r="AP203" s="4">
        <f>-25-0</f>
        <v>-25</v>
      </c>
      <c r="AQ203" s="6">
        <v>2025102503.77</v>
      </c>
      <c r="AR203" s="4">
        <v>7391</v>
      </c>
      <c r="AS203" s="16">
        <v>100</v>
      </c>
      <c r="AT203" s="16">
        <v>0</v>
      </c>
      <c r="AU203" s="16">
        <v>0</v>
      </c>
      <c r="AV203" s="16">
        <v>0</v>
      </c>
      <c r="AW203" s="16">
        <v>100</v>
      </c>
      <c r="AX203" s="16">
        <v>0</v>
      </c>
    </row>
    <row r="204" spans="1:50" x14ac:dyDescent="0.25">
      <c r="A204">
        <v>4.3</v>
      </c>
      <c r="B204" s="4">
        <v>0.98304689452850602</v>
      </c>
      <c r="C204" s="4">
        <v>27.050318596738499</v>
      </c>
      <c r="D204" s="4">
        <v>18.5500490707946</v>
      </c>
      <c r="E204" s="4">
        <v>2.5940955489783899E-2</v>
      </c>
      <c r="F204" s="5">
        <v>1.69531054714935E-2</v>
      </c>
      <c r="G204" s="5">
        <v>0</v>
      </c>
      <c r="H204" s="4">
        <v>4.15215572719723</v>
      </c>
      <c r="I204" s="4">
        <v>4.0348536186764203</v>
      </c>
      <c r="J204" s="4">
        <v>-30.3922862521989</v>
      </c>
      <c r="K204" s="4">
        <v>15.7442331989037</v>
      </c>
      <c r="L204" s="4">
        <v>14.364095837731901</v>
      </c>
      <c r="M204" s="4">
        <v>15.777124391584801</v>
      </c>
      <c r="N204" s="4">
        <v>68.036834479608302</v>
      </c>
      <c r="O204" s="4">
        <v>65.941326054660806</v>
      </c>
      <c r="P204" s="4">
        <v>298324.75490986201</v>
      </c>
      <c r="Q204" s="4">
        <v>277823.32536180201</v>
      </c>
      <c r="R204" s="4">
        <v>783.61073117685999</v>
      </c>
      <c r="S204" s="4">
        <v>0</v>
      </c>
      <c r="T204" s="4">
        <v>0</v>
      </c>
      <c r="U204" s="4">
        <v>0.23319152735131199</v>
      </c>
      <c r="V204" s="4">
        <v>0</v>
      </c>
      <c r="W204" s="4">
        <v>0</v>
      </c>
      <c r="X204" s="4">
        <v>0.81772260865053303</v>
      </c>
      <c r="Y204" s="4">
        <v>0</v>
      </c>
      <c r="Z204" s="5">
        <v>3.6976836693950903E-4</v>
      </c>
      <c r="AA204" s="5">
        <v>5.8796095808894297E-5</v>
      </c>
      <c r="AB204" s="10">
        <v>2.7739209576879199E-3</v>
      </c>
      <c r="AC204" s="10">
        <v>3.0264462529797401E-6</v>
      </c>
      <c r="AD204" s="10">
        <v>1.3747579381738999E-2</v>
      </c>
      <c r="AE204" s="4">
        <v>3.81771638538552E-3</v>
      </c>
      <c r="AF204" s="4">
        <v>0.83519171000412096</v>
      </c>
      <c r="AG204" s="4">
        <v>0.95177943029932899</v>
      </c>
      <c r="AH204" s="4">
        <v>0.995132606996872</v>
      </c>
      <c r="AI204" s="4">
        <v>0.99904787644527104</v>
      </c>
      <c r="AJ204" s="4">
        <v>1</v>
      </c>
      <c r="AK204" s="4">
        <v>1</v>
      </c>
      <c r="AL204" s="4">
        <v>1</v>
      </c>
      <c r="AM204" s="4">
        <v>0</v>
      </c>
      <c r="AN204" s="4">
        <v>0</v>
      </c>
      <c r="AO204" s="4" t="s">
        <v>69</v>
      </c>
      <c r="AP204" s="4" t="s">
        <v>70</v>
      </c>
      <c r="AQ204" s="6">
        <v>10988468164.709999</v>
      </c>
      <c r="AR204" s="4">
        <v>39552</v>
      </c>
      <c r="AS204" s="16">
        <v>100</v>
      </c>
      <c r="AT204" s="16">
        <v>0</v>
      </c>
      <c r="AU204" s="16">
        <v>0</v>
      </c>
      <c r="AV204" s="16">
        <v>0</v>
      </c>
      <c r="AW204" s="16">
        <v>100</v>
      </c>
      <c r="AX204" s="16">
        <v>0</v>
      </c>
    </row>
    <row r="205" spans="1:50" x14ac:dyDescent="0.25">
      <c r="A205">
        <v>4.3</v>
      </c>
      <c r="B205" s="4">
        <v>0.97553116316286204</v>
      </c>
      <c r="C205" s="4">
        <v>39.513548144822202</v>
      </c>
      <c r="D205" s="4">
        <v>25.716258690858201</v>
      </c>
      <c r="E205" s="4">
        <v>4.1030394473697697E-2</v>
      </c>
      <c r="F205" s="5">
        <v>2.44688368371371E-2</v>
      </c>
      <c r="G205" s="5">
        <v>0</v>
      </c>
      <c r="H205" s="4">
        <v>4.1700578053304902</v>
      </c>
      <c r="I205" s="4">
        <v>3.8869179653800598</v>
      </c>
      <c r="J205" s="4">
        <v>-26.9254414846807</v>
      </c>
      <c r="K205" s="4">
        <v>37.409773690442798</v>
      </c>
      <c r="L205" s="4">
        <v>13.6392282343106</v>
      </c>
      <c r="M205" s="4">
        <v>16.149175669811299</v>
      </c>
      <c r="N205" s="4">
        <v>64.842415472019795</v>
      </c>
      <c r="O205" s="4">
        <v>61.094889697799402</v>
      </c>
      <c r="P205" s="4">
        <v>311880.95356661099</v>
      </c>
      <c r="Q205" s="4">
        <v>292676.037006167</v>
      </c>
      <c r="R205" s="4">
        <v>783.83246488544501</v>
      </c>
      <c r="S205" s="4">
        <v>0</v>
      </c>
      <c r="T205" s="4">
        <v>0</v>
      </c>
      <c r="U205" s="4">
        <v>0.26767772235910797</v>
      </c>
      <c r="V205" s="4">
        <v>0</v>
      </c>
      <c r="W205" s="4">
        <v>0</v>
      </c>
      <c r="X205" s="4">
        <v>0.83998256606780397</v>
      </c>
      <c r="Y205" s="4">
        <v>0</v>
      </c>
      <c r="Z205" s="5">
        <v>3.6821214141322898E-4</v>
      </c>
      <c r="AA205" s="5">
        <v>5.77370958595294E-5</v>
      </c>
      <c r="AB205" s="10">
        <v>3.0839844749197599E-3</v>
      </c>
      <c r="AC205" s="10">
        <v>1.0550636958278901E-5</v>
      </c>
      <c r="AD205" s="10">
        <v>2.09483381742901E-2</v>
      </c>
      <c r="AE205" s="4">
        <v>3.4415970970381501E-2</v>
      </c>
      <c r="AF205" s="4">
        <v>0.65984201777926299</v>
      </c>
      <c r="AG205" s="4">
        <v>0.89654846843539904</v>
      </c>
      <c r="AH205" s="4">
        <v>0.989129276180991</v>
      </c>
      <c r="AI205" s="4">
        <v>0.99836616191374505</v>
      </c>
      <c r="AJ205" s="4">
        <v>1</v>
      </c>
      <c r="AK205" s="4">
        <v>1</v>
      </c>
      <c r="AL205" s="4">
        <v>1</v>
      </c>
      <c r="AM205" s="4">
        <v>0</v>
      </c>
      <c r="AN205" s="4">
        <v>0</v>
      </c>
      <c r="AO205" s="4" t="s">
        <v>71</v>
      </c>
      <c r="AP205" s="4" t="s">
        <v>72</v>
      </c>
      <c r="AQ205" s="6">
        <v>21922605875.91</v>
      </c>
      <c r="AR205" s="4">
        <v>74904</v>
      </c>
      <c r="AS205" s="16">
        <v>100</v>
      </c>
      <c r="AT205" s="16">
        <v>0</v>
      </c>
      <c r="AU205" s="16">
        <v>0</v>
      </c>
      <c r="AV205" s="16">
        <v>0</v>
      </c>
      <c r="AW205" s="16">
        <v>100</v>
      </c>
      <c r="AX205" s="16">
        <v>0</v>
      </c>
    </row>
    <row r="206" spans="1:50" x14ac:dyDescent="0.25">
      <c r="A206">
        <v>4.3</v>
      </c>
      <c r="B206" s="4">
        <v>0.96749357220090604</v>
      </c>
      <c r="C206" s="4">
        <v>47.214702074901403</v>
      </c>
      <c r="D206" s="4">
        <v>32.736871944949499</v>
      </c>
      <c r="E206" s="4">
        <v>5.18521132414346E-2</v>
      </c>
      <c r="F206" s="5">
        <v>3.2506427799093802E-2</v>
      </c>
      <c r="G206" s="5">
        <v>0</v>
      </c>
      <c r="H206" s="4">
        <v>4.4546547887574599</v>
      </c>
      <c r="I206" s="4">
        <v>3.8939040959056999</v>
      </c>
      <c r="J206" s="4">
        <v>-17.636898612248299</v>
      </c>
      <c r="K206" s="4">
        <v>62.476421052563801</v>
      </c>
      <c r="L206" s="4">
        <v>14.232921683971901</v>
      </c>
      <c r="M206" s="4">
        <v>17.6221820065918</v>
      </c>
      <c r="N206" s="4">
        <v>67.201041048723198</v>
      </c>
      <c r="O206" s="4">
        <v>63.715508808663103</v>
      </c>
      <c r="P206" s="4">
        <v>300316.04420158098</v>
      </c>
      <c r="Q206" s="4">
        <v>280511.30628413003</v>
      </c>
      <c r="R206" s="4">
        <v>782.163023885293</v>
      </c>
      <c r="S206" s="4">
        <v>0</v>
      </c>
      <c r="T206" s="4">
        <v>0</v>
      </c>
      <c r="U206" s="4">
        <v>0.245087679247038</v>
      </c>
      <c r="V206" s="4">
        <v>0</v>
      </c>
      <c r="W206" s="4">
        <v>0</v>
      </c>
      <c r="X206" s="4">
        <v>0.76374484223739603</v>
      </c>
      <c r="Y206" s="4">
        <v>0</v>
      </c>
      <c r="Z206" s="5">
        <v>3.7146699222639001E-4</v>
      </c>
      <c r="AA206" s="5">
        <v>8.9445969793199896E-5</v>
      </c>
      <c r="AB206" s="10">
        <v>3.24444344680129E-3</v>
      </c>
      <c r="AC206" s="10">
        <v>9.1330476599430008E-6</v>
      </c>
      <c r="AD206" s="10">
        <v>2.8791923917121098E-2</v>
      </c>
      <c r="AE206" s="4">
        <v>2.4817788028949E-2</v>
      </c>
      <c r="AF206" s="4">
        <v>0.68591324038860801</v>
      </c>
      <c r="AG206" s="4">
        <v>0.94531585736450696</v>
      </c>
      <c r="AH206" s="4">
        <v>0.99334856606547395</v>
      </c>
      <c r="AI206" s="4">
        <v>0.99910377298605901</v>
      </c>
      <c r="AJ206" s="4">
        <v>1</v>
      </c>
      <c r="AK206" s="4">
        <v>1</v>
      </c>
      <c r="AL206" s="4">
        <v>1</v>
      </c>
      <c r="AM206" s="4">
        <v>0</v>
      </c>
      <c r="AN206" s="4">
        <v>0</v>
      </c>
      <c r="AO206" s="4" t="s">
        <v>73</v>
      </c>
      <c r="AP206" s="4" t="s">
        <v>74</v>
      </c>
      <c r="AQ206" s="6">
        <v>17352148895.43</v>
      </c>
      <c r="AR206" s="4">
        <v>61859</v>
      </c>
      <c r="AS206" s="16">
        <v>100</v>
      </c>
      <c r="AT206" s="16">
        <v>0</v>
      </c>
      <c r="AU206" s="16">
        <v>0</v>
      </c>
      <c r="AV206" s="16">
        <v>0</v>
      </c>
      <c r="AW206" s="16">
        <v>100</v>
      </c>
      <c r="AX206" s="16">
        <v>0</v>
      </c>
    </row>
    <row r="207" spans="1:50" x14ac:dyDescent="0.25">
      <c r="A207">
        <v>4.3</v>
      </c>
      <c r="B207" s="4">
        <v>0.961687204475137</v>
      </c>
      <c r="C207" s="4">
        <v>45.766741434564899</v>
      </c>
      <c r="D207" s="4">
        <v>37.4242516538107</v>
      </c>
      <c r="E207" s="4">
        <v>4.9711497126083998E-2</v>
      </c>
      <c r="F207" s="5">
        <v>3.8312795524862699E-2</v>
      </c>
      <c r="G207" s="5">
        <v>0</v>
      </c>
      <c r="H207" s="4">
        <v>4.6791200228619001</v>
      </c>
      <c r="I207" s="4">
        <v>3.8981243519114699</v>
      </c>
      <c r="J207" s="4">
        <v>-11.532707931943801</v>
      </c>
      <c r="K207" s="4">
        <v>85.669606730613907</v>
      </c>
      <c r="L207" s="4">
        <v>14.263536481728201</v>
      </c>
      <c r="M207" s="4">
        <v>17.601641718950901</v>
      </c>
      <c r="N207" s="4">
        <v>66.445737525975403</v>
      </c>
      <c r="O207" s="4">
        <v>62.694667282090997</v>
      </c>
      <c r="P207" s="4">
        <v>299863.76048319298</v>
      </c>
      <c r="Q207" s="4">
        <v>279926.37623064901</v>
      </c>
      <c r="R207" s="4">
        <v>780.861905279761</v>
      </c>
      <c r="S207" s="4">
        <v>0</v>
      </c>
      <c r="T207" s="4">
        <v>0</v>
      </c>
      <c r="U207" s="4">
        <v>0.28395964737330198</v>
      </c>
      <c r="V207" s="4">
        <v>0</v>
      </c>
      <c r="W207" s="4">
        <v>0</v>
      </c>
      <c r="X207" s="4">
        <v>0.69294533805180802</v>
      </c>
      <c r="Y207" s="4">
        <v>0</v>
      </c>
      <c r="Z207" s="5">
        <v>3.7185712983031801E-4</v>
      </c>
      <c r="AA207" s="5">
        <v>1.0534787893834E-4</v>
      </c>
      <c r="AB207" s="10">
        <v>3.36409431135368E-3</v>
      </c>
      <c r="AC207" s="10">
        <v>1.8857609644229799E-5</v>
      </c>
      <c r="AD207" s="10">
        <v>3.4452623856001598E-2</v>
      </c>
      <c r="AE207" s="4">
        <v>2.83354191664714E-2</v>
      </c>
      <c r="AF207" s="4">
        <v>0.62650954504879097</v>
      </c>
      <c r="AG207" s="4">
        <v>0.94560307229434803</v>
      </c>
      <c r="AH207" s="4">
        <v>0.98872582409482701</v>
      </c>
      <c r="AI207" s="4">
        <v>0.99818469056704295</v>
      </c>
      <c r="AJ207" s="4">
        <v>1</v>
      </c>
      <c r="AK207" s="4">
        <v>1</v>
      </c>
      <c r="AL207" s="4">
        <v>1</v>
      </c>
      <c r="AM207" s="4">
        <v>0</v>
      </c>
      <c r="AN207" s="4">
        <v>0</v>
      </c>
      <c r="AO207" s="4" t="s">
        <v>75</v>
      </c>
      <c r="AP207" s="4" t="s">
        <v>76</v>
      </c>
      <c r="AQ207" s="6">
        <v>11138830362.969999</v>
      </c>
      <c r="AR207" s="4">
        <v>39792</v>
      </c>
      <c r="AS207" s="16">
        <v>100</v>
      </c>
      <c r="AT207" s="16">
        <v>0</v>
      </c>
      <c r="AU207" s="16">
        <v>0</v>
      </c>
      <c r="AV207" s="16">
        <v>0</v>
      </c>
      <c r="AW207" s="16">
        <v>100</v>
      </c>
      <c r="AX207" s="16">
        <v>0</v>
      </c>
    </row>
    <row r="208" spans="1:50" x14ac:dyDescent="0.25">
      <c r="A208">
        <v>4.3</v>
      </c>
      <c r="B208" s="4">
        <v>0.95610776010162402</v>
      </c>
      <c r="C208" s="4">
        <v>45.909203181044703</v>
      </c>
      <c r="D208" s="4">
        <v>41.644456654936</v>
      </c>
      <c r="E208" s="4">
        <v>4.9919768812099398E-2</v>
      </c>
      <c r="F208" s="5">
        <v>4.3892239898375297E-2</v>
      </c>
      <c r="G208" s="5">
        <v>0</v>
      </c>
      <c r="H208" s="4">
        <v>4.8190174463322899</v>
      </c>
      <c r="I208" s="4">
        <v>3.7827978441224901</v>
      </c>
      <c r="J208" s="4">
        <v>-7.0333729511050098</v>
      </c>
      <c r="K208" s="4">
        <v>111.768434390067</v>
      </c>
      <c r="L208" s="4">
        <v>14.851525150510399</v>
      </c>
      <c r="M208" s="4">
        <v>18.573442605538801</v>
      </c>
      <c r="N208" s="4">
        <v>70.0477308833091</v>
      </c>
      <c r="O208" s="4">
        <v>64.517258387715799</v>
      </c>
      <c r="P208" s="4">
        <v>288600.20744691603</v>
      </c>
      <c r="Q208" s="4">
        <v>268853.19579149998</v>
      </c>
      <c r="R208" s="4">
        <v>779.33270544376001</v>
      </c>
      <c r="S208" s="4">
        <v>0</v>
      </c>
      <c r="T208" s="4">
        <v>0</v>
      </c>
      <c r="U208" s="4">
        <v>0.29515184776322501</v>
      </c>
      <c r="V208" s="4">
        <v>0</v>
      </c>
      <c r="W208" s="4">
        <v>0</v>
      </c>
      <c r="X208" s="4">
        <v>0.61609329399752699</v>
      </c>
      <c r="Y208" s="4">
        <v>0</v>
      </c>
      <c r="Z208" s="5">
        <v>3.7279537998950501E-4</v>
      </c>
      <c r="AA208" s="5">
        <v>1.47224620153274E-4</v>
      </c>
      <c r="AB208" s="10">
        <v>3.69618458198757E-3</v>
      </c>
      <c r="AC208" s="10">
        <v>3.6742998713316997E-5</v>
      </c>
      <c r="AD208" s="10">
        <v>3.9639277509902898E-2</v>
      </c>
      <c r="AE208" s="4">
        <v>5.2894393530933802E-2</v>
      </c>
      <c r="AF208" s="4">
        <v>0.44589189061352302</v>
      </c>
      <c r="AG208" s="4">
        <v>0.91894030275873695</v>
      </c>
      <c r="AH208" s="4">
        <v>0.98503593196407102</v>
      </c>
      <c r="AI208" s="4">
        <v>0.99699297254341501</v>
      </c>
      <c r="AJ208" s="4">
        <v>1</v>
      </c>
      <c r="AK208" s="4">
        <v>1</v>
      </c>
      <c r="AL208" s="4">
        <v>1</v>
      </c>
      <c r="AM208" s="4">
        <v>0</v>
      </c>
      <c r="AN208" s="4">
        <v>0</v>
      </c>
      <c r="AO208" s="4" t="s">
        <v>77</v>
      </c>
      <c r="AP208" s="4" t="s">
        <v>78</v>
      </c>
      <c r="AQ208" s="6">
        <v>5725228804.3800001</v>
      </c>
      <c r="AR208" s="4">
        <v>21295</v>
      </c>
      <c r="AS208" s="16">
        <v>100</v>
      </c>
      <c r="AT208" s="16">
        <v>0</v>
      </c>
      <c r="AU208" s="16">
        <v>0</v>
      </c>
      <c r="AV208" s="16">
        <v>0</v>
      </c>
      <c r="AW208" s="16">
        <v>100</v>
      </c>
      <c r="AX208" s="16">
        <v>0</v>
      </c>
    </row>
    <row r="209" spans="1:50" x14ac:dyDescent="0.25">
      <c r="A209">
        <v>4.3</v>
      </c>
      <c r="B209" s="4">
        <v>0.95139204284506595</v>
      </c>
      <c r="C209" s="4">
        <v>46.476872003021001</v>
      </c>
      <c r="D209" s="4">
        <v>45.006143321778303</v>
      </c>
      <c r="E209" s="4">
        <v>5.0754696248407602E-2</v>
      </c>
      <c r="F209" s="5">
        <v>4.8607957154933899E-2</v>
      </c>
      <c r="G209" s="5">
        <v>0</v>
      </c>
      <c r="H209" s="4">
        <v>4.8761354772326699</v>
      </c>
      <c r="I209" s="4">
        <v>3.6738704947384</v>
      </c>
      <c r="J209" s="4">
        <v>-6.5473520175052498</v>
      </c>
      <c r="K209" s="4">
        <v>134.373235124464</v>
      </c>
      <c r="L209" s="4">
        <v>14.345574769635199</v>
      </c>
      <c r="M209" s="4">
        <v>20.090595794887001</v>
      </c>
      <c r="N209" s="4">
        <v>70.801330035653606</v>
      </c>
      <c r="O209" s="4">
        <v>63.193321717083897</v>
      </c>
      <c r="P209" s="4">
        <v>297212.06415607501</v>
      </c>
      <c r="Q209" s="4">
        <v>278337.19808198803</v>
      </c>
      <c r="R209" s="4">
        <v>778.25756439140002</v>
      </c>
      <c r="S209" s="4">
        <v>0</v>
      </c>
      <c r="T209" s="4">
        <v>0</v>
      </c>
      <c r="U209" s="4">
        <v>0.29020541166177999</v>
      </c>
      <c r="V209" s="4">
        <v>0</v>
      </c>
      <c r="W209" s="4">
        <v>0</v>
      </c>
      <c r="X209" s="4">
        <v>0.61283835550985899</v>
      </c>
      <c r="Y209" s="4">
        <v>0</v>
      </c>
      <c r="Z209" s="5">
        <v>3.74110962989013E-4</v>
      </c>
      <c r="AA209" s="5">
        <v>1.6841150508178801E-4</v>
      </c>
      <c r="AB209" s="10">
        <v>3.68573956505487E-3</v>
      </c>
      <c r="AC209" s="10">
        <v>8.5910415182201494E-5</v>
      </c>
      <c r="AD209" s="10">
        <v>4.4293769686680397E-2</v>
      </c>
      <c r="AE209" s="4">
        <v>8.5370718844031801E-2</v>
      </c>
      <c r="AF209" s="4">
        <v>0.28253616588601399</v>
      </c>
      <c r="AG209" s="4">
        <v>0.87003254035329303</v>
      </c>
      <c r="AH209" s="4">
        <v>0.96620380419857199</v>
      </c>
      <c r="AI209" s="4">
        <v>0.99610031307449098</v>
      </c>
      <c r="AJ209" s="4">
        <v>1</v>
      </c>
      <c r="AK209" s="4">
        <v>1</v>
      </c>
      <c r="AL209" s="4">
        <v>1</v>
      </c>
      <c r="AM209" s="4">
        <v>0</v>
      </c>
      <c r="AN209" s="4">
        <v>0</v>
      </c>
      <c r="AO209" s="4" t="s">
        <v>79</v>
      </c>
      <c r="AP209" s="4" t="s">
        <v>80</v>
      </c>
      <c r="AQ209" s="6">
        <v>2620823057.1399999</v>
      </c>
      <c r="AR209" s="4">
        <v>9416</v>
      </c>
      <c r="AS209" s="16">
        <v>100</v>
      </c>
      <c r="AT209" s="16">
        <v>0</v>
      </c>
      <c r="AU209" s="16">
        <v>0</v>
      </c>
      <c r="AV209" s="16">
        <v>0</v>
      </c>
      <c r="AW209" s="16">
        <v>100</v>
      </c>
      <c r="AX209" s="16">
        <v>0</v>
      </c>
    </row>
    <row r="210" spans="1:50" x14ac:dyDescent="0.25">
      <c r="A210">
        <v>4.3</v>
      </c>
      <c r="B210" s="4">
        <v>0.94664668044911304</v>
      </c>
      <c r="C210" s="4">
        <v>44.242835662966101</v>
      </c>
      <c r="D210" s="4">
        <v>48.208916618606999</v>
      </c>
      <c r="E210" s="4">
        <v>4.7514462955103302E-2</v>
      </c>
      <c r="F210" s="5">
        <v>5.3353319550886201E-2</v>
      </c>
      <c r="G210" s="5">
        <v>0</v>
      </c>
      <c r="H210" s="4">
        <v>5.0228990838490102</v>
      </c>
      <c r="I210" s="4">
        <v>3.6711342065528298</v>
      </c>
      <c r="J210" s="4">
        <v>6.8476451351644396</v>
      </c>
      <c r="K210" s="4">
        <v>160.18516166213001</v>
      </c>
      <c r="L210" s="4">
        <v>14.050935964014</v>
      </c>
      <c r="M210" s="4">
        <v>20.067577183632402</v>
      </c>
      <c r="N210" s="4">
        <v>78.702584894491594</v>
      </c>
      <c r="O210" s="4">
        <v>68.818308900589201</v>
      </c>
      <c r="P210" s="4">
        <v>302497.44945458398</v>
      </c>
      <c r="Q210" s="4">
        <v>284181.93619109102</v>
      </c>
      <c r="R210" s="4">
        <v>777.14943247241695</v>
      </c>
      <c r="S210" s="4">
        <v>0</v>
      </c>
      <c r="T210" s="4">
        <v>0</v>
      </c>
      <c r="U210" s="4">
        <v>0.23643044410942601</v>
      </c>
      <c r="V210" s="4">
        <v>0</v>
      </c>
      <c r="W210" s="4">
        <v>0</v>
      </c>
      <c r="X210" s="4">
        <v>0.52204473215818603</v>
      </c>
      <c r="Y210" s="4">
        <v>0</v>
      </c>
      <c r="Z210" s="5">
        <v>3.7364660821713198E-4</v>
      </c>
      <c r="AA210" s="5">
        <v>2.4360028836634701E-4</v>
      </c>
      <c r="AB210" s="10">
        <v>3.8902341285462E-3</v>
      </c>
      <c r="AC210" s="10">
        <v>1.3030684466215601E-4</v>
      </c>
      <c r="AD210" s="10">
        <v>4.8715516343220799E-2</v>
      </c>
      <c r="AE210" s="4">
        <v>0.107049235597792</v>
      </c>
      <c r="AF210" s="4">
        <v>0.157129082402062</v>
      </c>
      <c r="AG210" s="4">
        <v>0.78788788066198401</v>
      </c>
      <c r="AH210" s="4">
        <v>0.94414222667681402</v>
      </c>
      <c r="AI210" s="4">
        <v>0.98989339820335798</v>
      </c>
      <c r="AJ210" s="4">
        <v>1</v>
      </c>
      <c r="AK210" s="4">
        <v>1</v>
      </c>
      <c r="AL210" s="4">
        <v>1</v>
      </c>
      <c r="AM210" s="4">
        <v>0</v>
      </c>
      <c r="AN210" s="4">
        <v>0</v>
      </c>
      <c r="AO210" s="4" t="s">
        <v>81</v>
      </c>
      <c r="AP210" s="4" t="s">
        <v>82</v>
      </c>
      <c r="AQ210" s="6">
        <v>440197819.16000003</v>
      </c>
      <c r="AR210" s="4">
        <v>1549</v>
      </c>
      <c r="AS210" s="16">
        <v>100</v>
      </c>
      <c r="AT210" s="16">
        <v>0</v>
      </c>
      <c r="AU210" s="16">
        <v>0</v>
      </c>
      <c r="AV210" s="16">
        <v>0</v>
      </c>
      <c r="AW210" s="16">
        <v>100</v>
      </c>
      <c r="AX210" s="16">
        <v>0</v>
      </c>
    </row>
    <row r="211" spans="1:50" x14ac:dyDescent="0.25">
      <c r="A211">
        <v>4.3</v>
      </c>
      <c r="B211" s="4">
        <v>0.94180871701906499</v>
      </c>
      <c r="C211" s="4">
        <v>53.130436470808498</v>
      </c>
      <c r="D211" s="4">
        <v>51.297363811112703</v>
      </c>
      <c r="E211" s="4">
        <v>6.1197489207662902E-2</v>
      </c>
      <c r="F211" s="5">
        <v>5.8191282980934698E-2</v>
      </c>
      <c r="G211" s="5">
        <v>0</v>
      </c>
      <c r="H211" s="4">
        <v>5.0468119636960296</v>
      </c>
      <c r="I211" s="4">
        <v>3.6581714092980402</v>
      </c>
      <c r="J211" s="4">
        <v>6.4300908512944703</v>
      </c>
      <c r="K211" s="4">
        <v>183.94350489017</v>
      </c>
      <c r="L211" s="4">
        <v>13.8846846311134</v>
      </c>
      <c r="M211" s="4">
        <v>20.4863828371568</v>
      </c>
      <c r="N211" s="4">
        <v>85.498758550909699</v>
      </c>
      <c r="O211" s="4">
        <v>72.570640434086698</v>
      </c>
      <c r="P211" s="4">
        <v>305684.75228504901</v>
      </c>
      <c r="Q211" s="4">
        <v>287591.89741071401</v>
      </c>
      <c r="R211" s="4">
        <v>777.65331003001995</v>
      </c>
      <c r="S211" s="4">
        <v>0</v>
      </c>
      <c r="T211" s="4">
        <v>0</v>
      </c>
      <c r="U211" s="4">
        <v>0.23252351468115601</v>
      </c>
      <c r="V211" s="4">
        <v>0</v>
      </c>
      <c r="W211" s="4">
        <v>0</v>
      </c>
      <c r="X211" s="4">
        <v>0.402000486106938</v>
      </c>
      <c r="Y211" s="4">
        <v>0</v>
      </c>
      <c r="Z211" s="5">
        <v>3.7498083586438299E-4</v>
      </c>
      <c r="AA211" s="5">
        <v>3.2210145234887899E-4</v>
      </c>
      <c r="AB211" s="10">
        <v>4.1021818581568103E-3</v>
      </c>
      <c r="AC211" s="10">
        <v>3.5720283658052701E-4</v>
      </c>
      <c r="AD211" s="10">
        <v>5.3034800071768001E-2</v>
      </c>
      <c r="AE211" s="4">
        <v>0.139428074325575</v>
      </c>
      <c r="AF211" s="4">
        <v>3.5231054369169602E-2</v>
      </c>
      <c r="AG211" s="4">
        <v>0.62060278239097899</v>
      </c>
      <c r="AH211" s="4">
        <v>0.85157551067931403</v>
      </c>
      <c r="AI211" s="4">
        <v>0.98674363275235299</v>
      </c>
      <c r="AJ211" s="4">
        <v>1</v>
      </c>
      <c r="AK211" s="4">
        <v>1</v>
      </c>
      <c r="AL211" s="4">
        <v>1</v>
      </c>
      <c r="AM211" s="4">
        <v>0</v>
      </c>
      <c r="AN211" s="4">
        <v>0</v>
      </c>
      <c r="AO211" s="4" t="s">
        <v>83</v>
      </c>
      <c r="AP211" s="4" t="s">
        <v>84</v>
      </c>
      <c r="AQ211" s="6">
        <v>96630877.530000001</v>
      </c>
      <c r="AR211" s="4">
        <v>336</v>
      </c>
      <c r="AS211" s="16">
        <v>100</v>
      </c>
      <c r="AT211" s="16">
        <v>0</v>
      </c>
      <c r="AU211" s="16">
        <v>0</v>
      </c>
      <c r="AV211" s="16">
        <v>0</v>
      </c>
      <c r="AW211" s="16">
        <v>100</v>
      </c>
      <c r="AX211" s="16">
        <v>0</v>
      </c>
    </row>
    <row r="212" spans="1:50" x14ac:dyDescent="0.25">
      <c r="A212">
        <v>4.3</v>
      </c>
      <c r="B212" s="4">
        <v>0.94074240080284799</v>
      </c>
      <c r="C212" s="4">
        <v>47.495830730037397</v>
      </c>
      <c r="D212" s="4">
        <v>51.954952623882903</v>
      </c>
      <c r="E212" s="4">
        <v>5.2273954856408698E-2</v>
      </c>
      <c r="F212" s="5">
        <v>5.92575991971519E-2</v>
      </c>
      <c r="G212" s="5">
        <v>0</v>
      </c>
      <c r="H212" s="4">
        <v>5.1962175270796997</v>
      </c>
      <c r="I212" s="4">
        <v>3.6487087980292801</v>
      </c>
      <c r="J212" s="4">
        <v>17.288719989476</v>
      </c>
      <c r="K212" s="4">
        <v>209.552293094823</v>
      </c>
      <c r="L212" s="4">
        <v>14.525860365374999</v>
      </c>
      <c r="M212" s="4">
        <v>20.792683089257899</v>
      </c>
      <c r="N212" s="4">
        <v>90.1202353104606</v>
      </c>
      <c r="O212" s="4">
        <v>75.175750153318802</v>
      </c>
      <c r="P212" s="4">
        <v>294450.39719337702</v>
      </c>
      <c r="Q212" s="4">
        <v>274910.83289473603</v>
      </c>
      <c r="R212" s="4">
        <v>775.395165462573</v>
      </c>
      <c r="S212" s="4">
        <v>0</v>
      </c>
      <c r="T212" s="4">
        <v>0</v>
      </c>
      <c r="U212" s="4">
        <v>8.3777428444944596E-2</v>
      </c>
      <c r="V212" s="4">
        <v>0</v>
      </c>
      <c r="W212" s="4">
        <v>0</v>
      </c>
      <c r="X212" s="4">
        <v>0.28831944805759002</v>
      </c>
      <c r="Y212" s="4">
        <v>0</v>
      </c>
      <c r="Z212" s="5">
        <v>3.7198763570191602E-4</v>
      </c>
      <c r="AA212" s="5">
        <v>3.7985114570584198E-4</v>
      </c>
      <c r="AB212" s="10">
        <v>4.3843365412793598E-3</v>
      </c>
      <c r="AC212" s="10">
        <v>5.94536303158278E-4</v>
      </c>
      <c r="AD212" s="10">
        <v>5.3526868723453899E-2</v>
      </c>
      <c r="AE212" s="4">
        <v>0.16459064505952101</v>
      </c>
      <c r="AF212" s="4">
        <v>0</v>
      </c>
      <c r="AG212" s="4">
        <v>0.467143527346496</v>
      </c>
      <c r="AH212" s="4">
        <v>0.67606014482217303</v>
      </c>
      <c r="AI212" s="4">
        <v>0.98161704517847104</v>
      </c>
      <c r="AJ212" s="4">
        <v>1</v>
      </c>
      <c r="AK212" s="4">
        <v>1</v>
      </c>
      <c r="AL212" s="4">
        <v>1</v>
      </c>
      <c r="AM212" s="4">
        <v>0</v>
      </c>
      <c r="AN212" s="4">
        <v>0</v>
      </c>
      <c r="AO212" s="4" t="s">
        <v>85</v>
      </c>
      <c r="AP212" s="4" t="s">
        <v>86</v>
      </c>
      <c r="AQ212" s="6">
        <v>20893223.300000001</v>
      </c>
      <c r="AR212" s="4">
        <v>76</v>
      </c>
      <c r="AS212" s="16">
        <v>100</v>
      </c>
      <c r="AT212" s="16">
        <v>0</v>
      </c>
      <c r="AU212" s="16">
        <v>0</v>
      </c>
      <c r="AV212" s="16">
        <v>0</v>
      </c>
      <c r="AW212" s="16">
        <v>100</v>
      </c>
      <c r="AX212" s="16">
        <v>0</v>
      </c>
    </row>
    <row r="213" spans="1:50" x14ac:dyDescent="0.25">
      <c r="A213">
        <v>4.3</v>
      </c>
      <c r="B213" s="4">
        <v>0.94906051167171401</v>
      </c>
      <c r="C213" s="4">
        <v>46.592588079016998</v>
      </c>
      <c r="D213" s="4">
        <v>46.601772073341898</v>
      </c>
      <c r="E213" s="4">
        <v>5.09258869416227E-2</v>
      </c>
      <c r="F213" s="5">
        <v>5.0939488328285501E-2</v>
      </c>
      <c r="G213" s="5">
        <v>0</v>
      </c>
      <c r="H213" s="4">
        <v>5.3215329643257903</v>
      </c>
      <c r="I213" s="4">
        <v>3.66540798537434</v>
      </c>
      <c r="J213" s="4">
        <v>30.4743143825511</v>
      </c>
      <c r="K213" s="4">
        <v>232.640397203189</v>
      </c>
      <c r="L213" s="4">
        <v>17.9274009343142</v>
      </c>
      <c r="M213" s="4">
        <v>20.850681634745001</v>
      </c>
      <c r="N213" s="4">
        <v>92.695714677597195</v>
      </c>
      <c r="O213" s="4">
        <v>75.691523369808195</v>
      </c>
      <c r="P213" s="4">
        <v>246276.82689495001</v>
      </c>
      <c r="Q213" s="4">
        <v>222772.75058823501</v>
      </c>
      <c r="R213" s="4">
        <v>788.41158566716194</v>
      </c>
      <c r="S213" s="4">
        <v>0</v>
      </c>
      <c r="T213" s="4">
        <v>0</v>
      </c>
      <c r="U213" s="4">
        <v>0</v>
      </c>
      <c r="V213" s="4">
        <v>0</v>
      </c>
      <c r="W213" s="4">
        <v>0</v>
      </c>
      <c r="X213" s="4">
        <v>0.34002479487960102</v>
      </c>
      <c r="Y213" s="4">
        <v>0</v>
      </c>
      <c r="Z213" s="5">
        <v>4.0339217660008598E-4</v>
      </c>
      <c r="AA213" s="5">
        <v>4.2794964240108403E-5</v>
      </c>
      <c r="AB213" s="10">
        <v>4.2408690282340596E-3</v>
      </c>
      <c r="AC213" s="10">
        <v>6.8165278861622E-4</v>
      </c>
      <c r="AD213" s="10">
        <v>4.5570761118122999E-2</v>
      </c>
      <c r="AE213" s="4">
        <v>0.17333362962495499</v>
      </c>
      <c r="AF213" s="4">
        <v>0</v>
      </c>
      <c r="AG213" s="4">
        <v>0.29883153731158102</v>
      </c>
      <c r="AH213" s="4">
        <v>0.63135197684278999</v>
      </c>
      <c r="AI213" s="4">
        <v>0.95367428980832403</v>
      </c>
      <c r="AJ213" s="4">
        <v>1</v>
      </c>
      <c r="AK213" s="4">
        <v>1</v>
      </c>
      <c r="AL213" s="4">
        <v>1</v>
      </c>
      <c r="AM213" s="4">
        <v>0</v>
      </c>
      <c r="AN213" s="4">
        <v>0</v>
      </c>
      <c r="AO213" s="4" t="s">
        <v>87</v>
      </c>
      <c r="AP213" s="4" t="s">
        <v>88</v>
      </c>
      <c r="AQ213" s="6">
        <v>3787136.76</v>
      </c>
      <c r="AR213" s="4">
        <v>17</v>
      </c>
      <c r="AS213" s="16">
        <v>100</v>
      </c>
      <c r="AT213" s="16">
        <v>0</v>
      </c>
      <c r="AU213" s="16">
        <v>0</v>
      </c>
      <c r="AV213" s="16">
        <v>0</v>
      </c>
      <c r="AW213" s="16">
        <v>100</v>
      </c>
      <c r="AX213" s="16">
        <v>0</v>
      </c>
    </row>
    <row r="214" spans="1:50" x14ac:dyDescent="0.25">
      <c r="B214" s="4"/>
      <c r="C214" s="4"/>
      <c r="D214" s="4"/>
      <c r="E214" s="4"/>
      <c r="F214" s="5"/>
      <c r="G214" s="5"/>
      <c r="H214" s="4"/>
      <c r="I214" s="4"/>
      <c r="J214" s="4"/>
      <c r="K214" s="4"/>
      <c r="L214" s="4"/>
      <c r="M214" s="4"/>
      <c r="N214" s="4"/>
      <c r="O214" s="4"/>
      <c r="P214" s="4"/>
      <c r="Q214" s="4"/>
      <c r="R214" s="4"/>
      <c r="S214" s="4"/>
      <c r="T214" s="4"/>
      <c r="U214" s="4"/>
      <c r="V214" s="4"/>
      <c r="W214" s="4"/>
      <c r="X214" s="4"/>
      <c r="Y214" s="4"/>
      <c r="Z214" s="5"/>
      <c r="AA214" s="5"/>
      <c r="AB214" s="10"/>
      <c r="AC214" s="10"/>
      <c r="AD214" s="10"/>
      <c r="AE214" s="4"/>
      <c r="AF214" s="4"/>
      <c r="AG214" s="4"/>
      <c r="AH214" s="4"/>
      <c r="AI214" s="4"/>
      <c r="AJ214" s="4"/>
      <c r="AK214" s="4"/>
      <c r="AL214" s="4"/>
      <c r="AM214" s="4"/>
      <c r="AN214" s="4"/>
      <c r="AO214" s="4"/>
      <c r="AP214" s="4"/>
      <c r="AQ214" s="6"/>
      <c r="AR214" s="4"/>
      <c r="AS214" s="16"/>
      <c r="AT214" s="16"/>
      <c r="AU214" s="16"/>
      <c r="AV214" s="16"/>
      <c r="AW214" s="16"/>
      <c r="AX214" s="16"/>
    </row>
    <row r="215" spans="1:50" x14ac:dyDescent="0.25">
      <c r="B215" s="4"/>
      <c r="C215" s="4"/>
      <c r="D215" s="4"/>
      <c r="E215" s="4"/>
      <c r="F215" s="5"/>
      <c r="G215" s="5"/>
      <c r="H215" s="4"/>
      <c r="I215" s="4"/>
      <c r="J215" s="4"/>
      <c r="K215" s="4"/>
      <c r="L215" s="4"/>
      <c r="M215" s="4"/>
      <c r="N215" s="4"/>
      <c r="O215" s="4"/>
      <c r="P215" s="4"/>
      <c r="Q215" s="4"/>
      <c r="R215" s="4"/>
      <c r="S215" s="4"/>
      <c r="T215" s="4"/>
      <c r="U215" s="4"/>
      <c r="V215" s="4"/>
      <c r="W215" s="4"/>
      <c r="X215" s="4"/>
      <c r="Y215" s="4"/>
      <c r="Z215" s="5"/>
      <c r="AA215" s="5"/>
      <c r="AB215" s="10"/>
      <c r="AC215" s="10"/>
      <c r="AD215" s="10"/>
      <c r="AE215" s="4"/>
      <c r="AF215" s="4"/>
      <c r="AG215" s="4"/>
      <c r="AH215" s="4"/>
      <c r="AI215" s="4"/>
      <c r="AJ215" s="4"/>
      <c r="AK215" s="4"/>
      <c r="AL215" s="4"/>
      <c r="AM215" s="4"/>
      <c r="AN215" s="4"/>
      <c r="AO215" s="4"/>
      <c r="AP215" s="4"/>
      <c r="AQ215" s="6"/>
      <c r="AR215" s="4"/>
      <c r="AS215" s="16"/>
      <c r="AT215" s="16"/>
      <c r="AU215" s="16"/>
      <c r="AV215" s="16"/>
      <c r="AW215" s="16"/>
      <c r="AX215" s="16"/>
    </row>
    <row r="216" spans="1:50" x14ac:dyDescent="0.25">
      <c r="B216" s="4"/>
      <c r="C216" s="4"/>
      <c r="D216" s="4"/>
      <c r="E216" s="4"/>
      <c r="F216" s="5"/>
      <c r="G216" s="5"/>
      <c r="H216" s="4"/>
      <c r="I216" s="4"/>
      <c r="J216" s="4"/>
      <c r="K216" s="4"/>
      <c r="L216" s="4"/>
      <c r="M216" s="4"/>
      <c r="N216" s="4"/>
      <c r="O216" s="4"/>
      <c r="P216" s="4"/>
      <c r="Q216" s="4"/>
      <c r="R216" s="4"/>
      <c r="S216" s="4"/>
      <c r="T216" s="4"/>
      <c r="U216" s="4"/>
      <c r="V216" s="4"/>
      <c r="W216" s="4"/>
      <c r="X216" s="4"/>
      <c r="Y216" s="4"/>
      <c r="Z216" s="5"/>
      <c r="AA216" s="5"/>
      <c r="AB216" s="10"/>
      <c r="AC216" s="10"/>
      <c r="AD216" s="10"/>
      <c r="AE216" s="4"/>
      <c r="AF216" s="4"/>
      <c r="AG216" s="4"/>
      <c r="AH216" s="4"/>
      <c r="AI216" s="4"/>
      <c r="AJ216" s="4"/>
      <c r="AK216" s="4"/>
      <c r="AL216" s="4"/>
      <c r="AM216" s="4"/>
      <c r="AN216" s="4"/>
      <c r="AO216" s="4"/>
      <c r="AP216" s="4"/>
      <c r="AQ216" s="6"/>
      <c r="AR216" s="4"/>
      <c r="AS216" s="16"/>
      <c r="AT216" s="16"/>
      <c r="AU216" s="16"/>
      <c r="AV216" s="16"/>
      <c r="AW216" s="16"/>
      <c r="AX216" s="16"/>
    </row>
    <row r="217" spans="1:50" x14ac:dyDescent="0.25">
      <c r="B217" s="4"/>
      <c r="C217" s="4"/>
      <c r="D217" s="4"/>
      <c r="E217" s="4"/>
      <c r="F217" s="5"/>
      <c r="G217" s="5"/>
      <c r="H217" s="4"/>
      <c r="I217" s="4"/>
      <c r="J217" s="4"/>
      <c r="K217" s="4"/>
      <c r="L217" s="4"/>
      <c r="M217" s="4"/>
      <c r="N217" s="4"/>
      <c r="O217" s="4"/>
      <c r="P217" s="4"/>
      <c r="Q217" s="4"/>
      <c r="R217" s="4"/>
      <c r="S217" s="4"/>
      <c r="T217" s="4"/>
      <c r="U217" s="4"/>
      <c r="V217" s="4"/>
      <c r="W217" s="4"/>
      <c r="X217" s="4"/>
      <c r="Y217" s="4"/>
      <c r="Z217" s="5"/>
      <c r="AA217" s="5"/>
      <c r="AB217" s="10"/>
      <c r="AC217" s="10"/>
      <c r="AD217" s="10"/>
      <c r="AE217" s="4"/>
      <c r="AF217" s="4"/>
      <c r="AG217" s="4"/>
      <c r="AH217" s="4"/>
      <c r="AI217" s="4"/>
      <c r="AJ217" s="4"/>
      <c r="AK217" s="4"/>
      <c r="AL217" s="4"/>
      <c r="AM217" s="4"/>
      <c r="AN217" s="4"/>
      <c r="AO217" s="4"/>
      <c r="AP217" s="4"/>
      <c r="AQ217" s="6"/>
      <c r="AR217" s="4"/>
      <c r="AS217" s="16"/>
      <c r="AT217" s="16"/>
      <c r="AU217" s="16"/>
      <c r="AV217" s="16"/>
      <c r="AW217" s="16"/>
      <c r="AX217" s="16"/>
    </row>
    <row r="218" spans="1:50" x14ac:dyDescent="0.25">
      <c r="G218" s="35"/>
      <c r="S218" s="35"/>
      <c r="T218" s="35"/>
      <c r="W218" s="35"/>
      <c r="Y218" s="35"/>
    </row>
    <row r="223" spans="1:50" x14ac:dyDescent="0.25">
      <c r="K223" t="s">
        <v>104</v>
      </c>
      <c r="L223" t="s">
        <v>92</v>
      </c>
      <c r="M223" t="s">
        <v>93</v>
      </c>
      <c r="R223" t="s">
        <v>104</v>
      </c>
      <c r="W223" t="s">
        <v>92</v>
      </c>
      <c r="AB223" t="s">
        <v>93</v>
      </c>
    </row>
    <row r="224" spans="1:50" x14ac:dyDescent="0.25">
      <c r="A224" s="4" t="s">
        <v>97</v>
      </c>
      <c r="B224" t="str">
        <f>AQ200</f>
        <v>Balance</v>
      </c>
      <c r="C224" s="2" t="str">
        <f>AO200</f>
        <v>groupByColumn</v>
      </c>
      <c r="D224" t="str">
        <f>E200</f>
        <v>PREPAY_SMM1</v>
      </c>
      <c r="E224" t="str">
        <f>F200</f>
        <v>PREPAY_TRACKING_SMM1</v>
      </c>
      <c r="F224" t="s">
        <v>94</v>
      </c>
      <c r="G224" t="str">
        <f>C200</f>
        <v>PREPAY_CPR1</v>
      </c>
      <c r="H224" t="str">
        <f>D200</f>
        <v>PREPAY_TRACKING_CPR1</v>
      </c>
      <c r="K224" t="s">
        <v>95</v>
      </c>
      <c r="L224" t="s">
        <v>95</v>
      </c>
      <c r="M224" t="s">
        <v>95</v>
      </c>
      <c r="N224" t="s">
        <v>102</v>
      </c>
      <c r="O224" t="s">
        <v>103</v>
      </c>
      <c r="P224" t="s">
        <v>94</v>
      </c>
      <c r="R224" t="s">
        <v>98</v>
      </c>
      <c r="T224" t="s">
        <v>96</v>
      </c>
      <c r="U224" t="s">
        <v>101</v>
      </c>
      <c r="W224" t="s">
        <v>98</v>
      </c>
      <c r="X224" t="s">
        <v>105</v>
      </c>
      <c r="Y224" t="s">
        <v>96</v>
      </c>
      <c r="Z224" t="s">
        <v>101</v>
      </c>
      <c r="AB224" t="s">
        <v>98</v>
      </c>
      <c r="AC224" t="s">
        <v>105</v>
      </c>
      <c r="AD224" t="s">
        <v>96</v>
      </c>
      <c r="AE224" t="s">
        <v>101</v>
      </c>
    </row>
    <row r="225" spans="1:31" s="18" customFormat="1" x14ac:dyDescent="0.25">
      <c r="A225" s="16">
        <f>K201</f>
        <v>-57.210404834917597</v>
      </c>
      <c r="B225" s="23">
        <f>AQ201/1000000000</f>
        <v>2.2303900940000003E-2</v>
      </c>
      <c r="C225" s="24" t="str">
        <f>AO201</f>
        <v>06:-75--50</v>
      </c>
      <c r="D225" s="17">
        <f>E201</f>
        <v>2.8853741161145498E-3</v>
      </c>
      <c r="E225" s="17">
        <f>Z201+AA201+AB201+AC201+AD201</f>
        <v>6.4403517554481454E-3</v>
      </c>
      <c r="F225" s="23">
        <f t="shared" ref="F225:F237" si="67">D225/E225</f>
        <v>0.44801498826111463</v>
      </c>
      <c r="G225" s="24">
        <f t="shared" ref="G225:G237" si="68">(1-(1-D225)^12)*100</f>
        <v>3.4080264717968878</v>
      </c>
      <c r="H225" s="24">
        <f t="shared" ref="H225:H237" si="69">(1-(1-E225)^12)*100</f>
        <v>7.4604590956861454</v>
      </c>
      <c r="K225" s="16">
        <f t="shared" ref="K225:K238" si="70">VLOOKUP(C225,$C$26:$M$44,9,0)</f>
        <v>1</v>
      </c>
      <c r="L225" s="16">
        <f t="shared" ref="L225:L238" si="71">VLOOKUP(C225,$C$26:$M$44,10,0)</f>
        <v>1</v>
      </c>
      <c r="M225" s="16">
        <f t="shared" ref="M225:M238" si="72">VLOOKUP(C225,$C$26:$M$44,11,0)</f>
        <v>1</v>
      </c>
      <c r="N225" s="17">
        <f>Z201+AA201+AB201*K225+AC201*L225+AD201*M225</f>
        <v>6.4403517554481454E-3</v>
      </c>
      <c r="O225" s="24">
        <f t="shared" ref="O225:O237" si="73">100*(1-(1-N225)^12)</f>
        <v>7.4604590956861454</v>
      </c>
      <c r="P225" s="25">
        <f t="shared" ref="P225:P237" si="74">D225/N225</f>
        <v>0.44801498826111463</v>
      </c>
      <c r="S225" s="19">
        <f>A225</f>
        <v>-57.210404834917597</v>
      </c>
      <c r="T225" s="17">
        <f>VLOOKUP(ROUNDDOWN(S225,0),'Spline Pre-Adj'!A:B,2,0)</f>
        <v>1.276980872</v>
      </c>
      <c r="U225" s="17">
        <f>T225*K225</f>
        <v>1.276980872</v>
      </c>
      <c r="Y225" s="17"/>
      <c r="Z225" s="17"/>
      <c r="AE225" s="17"/>
    </row>
    <row r="226" spans="1:31" s="18" customFormat="1" x14ac:dyDescent="0.25">
      <c r="A226" s="16">
        <f>K202</f>
        <v>-32.594270536739103</v>
      </c>
      <c r="B226" s="23">
        <f>AQ202/1000000000</f>
        <v>0.24835958503</v>
      </c>
      <c r="C226" s="24" t="str">
        <f>AO202</f>
        <v>07:-50--25</v>
      </c>
      <c r="D226" s="17">
        <f>E202</f>
        <v>2.25752251921006E-3</v>
      </c>
      <c r="E226" s="17">
        <f>Z202+AA202+AB202+AC202+AD202</f>
        <v>6.5595823578761397E-3</v>
      </c>
      <c r="F226" s="23">
        <f t="shared" si="67"/>
        <v>0.34415644107272103</v>
      </c>
      <c r="G226" s="24">
        <f t="shared" si="68"/>
        <v>2.6756425653229554</v>
      </c>
      <c r="H226" s="24">
        <f t="shared" si="69"/>
        <v>7.5936319650785737</v>
      </c>
      <c r="K226" s="14">
        <f t="shared" si="70"/>
        <v>1</v>
      </c>
      <c r="L226" s="14">
        <f t="shared" si="71"/>
        <v>1</v>
      </c>
      <c r="M226" s="14">
        <f t="shared" si="72"/>
        <v>1</v>
      </c>
      <c r="N226" s="17">
        <f>Z202+AA202+AB202*K226+AC202*L226+AD202*M226</f>
        <v>6.5595823578761397E-3</v>
      </c>
      <c r="O226" s="24">
        <f t="shared" si="73"/>
        <v>7.5936319650785737</v>
      </c>
      <c r="P226" s="25">
        <f t="shared" si="74"/>
        <v>0.34415644107272103</v>
      </c>
      <c r="S226" s="19">
        <f t="shared" ref="S226:S233" si="75">A226</f>
        <v>-32.594270536739103</v>
      </c>
      <c r="T226" s="17">
        <f>VLOOKUP(ROUNDDOWN(S226,0),'Spline Pre-Adj'!A:B,2,0)</f>
        <v>1.2869999999999999</v>
      </c>
      <c r="U226" s="17">
        <f t="shared" ref="U226:U233" si="76">T226*K226</f>
        <v>1.2869999999999999</v>
      </c>
      <c r="X226" s="19">
        <f>A226</f>
        <v>-32.594270536739103</v>
      </c>
      <c r="Y226" s="17">
        <f>VLOOKUP(ROUNDDOWN(X226,0),'Spline Pre-Adj'!F:G,2,0)</f>
        <v>0.3115</v>
      </c>
      <c r="Z226" s="17">
        <f t="shared" ref="Z226:Z237" si="77">Y226*L226</f>
        <v>0.3115</v>
      </c>
      <c r="AE226" s="17"/>
    </row>
    <row r="227" spans="1:31" s="18" customFormat="1" x14ac:dyDescent="0.25">
      <c r="A227" s="16">
        <f>K203</f>
        <v>-8.5060139715854</v>
      </c>
      <c r="B227" s="23">
        <f>AQ203/1000000000</f>
        <v>2.0251025037699999</v>
      </c>
      <c r="C227" s="24" t="str">
        <f>AO203</f>
        <v>08:-25-0</v>
      </c>
      <c r="D227" s="17">
        <f>E203</f>
        <v>1.298450129879E-2</v>
      </c>
      <c r="E227" s="17">
        <f>Z203+AA203+AB203+AC203+AD203</f>
        <v>1.1894059869163077E-2</v>
      </c>
      <c r="F227" s="23">
        <f t="shared" si="67"/>
        <v>1.0916794972971371</v>
      </c>
      <c r="G227" s="24">
        <f t="shared" si="68"/>
        <v>14.515442637879495</v>
      </c>
      <c r="H227" s="24">
        <f t="shared" si="69"/>
        <v>13.375224625001925</v>
      </c>
      <c r="K227" s="4">
        <f t="shared" si="70"/>
        <v>1</v>
      </c>
      <c r="L227" s="4">
        <f t="shared" si="71"/>
        <v>1</v>
      </c>
      <c r="M227" s="14">
        <f t="shared" si="72"/>
        <v>1</v>
      </c>
      <c r="N227" s="17">
        <f>Z203+AA203+AB203*K227+AC203*L227+AD203*M227</f>
        <v>1.1894059869163077E-2</v>
      </c>
      <c r="O227" s="24">
        <f t="shared" si="73"/>
        <v>13.375224625001925</v>
      </c>
      <c r="P227" s="25">
        <f t="shared" si="74"/>
        <v>1.0916794972971371</v>
      </c>
      <c r="S227" s="19">
        <f t="shared" si="75"/>
        <v>-8.5060139715854</v>
      </c>
      <c r="T227" s="17">
        <f>VLOOKUP(ROUNDDOWN(S227,0),'Spline Pre-Adj'!A:B,2,0)</f>
        <v>1.2869999999999999</v>
      </c>
      <c r="U227" s="17">
        <f t="shared" si="76"/>
        <v>1.2869999999999999</v>
      </c>
      <c r="X227" s="19">
        <f t="shared" ref="X227:X237" si="78">A227</f>
        <v>-8.5060139715854</v>
      </c>
      <c r="Y227" s="17">
        <f>VLOOKUP(ROUNDDOWN(X227,0),'Spline Pre-Adj'!F:G,2,0)</f>
        <v>0.53185287373913004</v>
      </c>
      <c r="Z227" s="17">
        <f t="shared" si="77"/>
        <v>0.53185287373913004</v>
      </c>
      <c r="AE227" s="17"/>
    </row>
    <row r="228" spans="1:31" s="18" customFormat="1" x14ac:dyDescent="0.25">
      <c r="A228" s="16">
        <f>K204</f>
        <v>15.7442331989037</v>
      </c>
      <c r="B228" s="23">
        <f>AQ204/1000000000</f>
        <v>10.98846816471</v>
      </c>
      <c r="C228" s="24" t="str">
        <f>AO204</f>
        <v>09:0-25</v>
      </c>
      <c r="D228" s="17">
        <f>E204</f>
        <v>2.5940955489783899E-2</v>
      </c>
      <c r="E228" s="17">
        <f>Z204+AA204+AB204+AC204+AD204</f>
        <v>1.6953091248428302E-2</v>
      </c>
      <c r="F228" s="23">
        <f t="shared" si="67"/>
        <v>1.5301607895367666</v>
      </c>
      <c r="G228" s="24">
        <f t="shared" si="68"/>
        <v>27.05031859673861</v>
      </c>
      <c r="H228" s="24">
        <f t="shared" si="69"/>
        <v>18.550034929437931</v>
      </c>
      <c r="K228" s="4">
        <f t="shared" si="70"/>
        <v>1</v>
      </c>
      <c r="L228" s="4">
        <f t="shared" si="71"/>
        <v>1</v>
      </c>
      <c r="M228" s="4">
        <f t="shared" si="72"/>
        <v>1</v>
      </c>
      <c r="N228" s="17">
        <f>Z204+AA204+AB204*K228+AC204*L228+AD204*M228</f>
        <v>1.6953091248428302E-2</v>
      </c>
      <c r="O228" s="24">
        <f t="shared" si="73"/>
        <v>18.550034929437931</v>
      </c>
      <c r="P228" s="25">
        <f t="shared" si="74"/>
        <v>1.5301607895367666</v>
      </c>
      <c r="S228" s="19">
        <f t="shared" si="75"/>
        <v>15.7442331989037</v>
      </c>
      <c r="T228" s="17">
        <f>VLOOKUP(ROUNDDOWN(S228,0),'Spline Pre-Adj'!A:B,2,0)</f>
        <v>1.2869999999999999</v>
      </c>
      <c r="U228" s="17">
        <f t="shared" si="76"/>
        <v>1.2869999999999999</v>
      </c>
      <c r="X228" s="19">
        <f t="shared" si="78"/>
        <v>15.7442331989037</v>
      </c>
      <c r="Y228" s="17">
        <f>VLOOKUP(ROUNDDOWN(X228,0),'Spline Pre-Adj'!F:G,2,0)</f>
        <v>0.98856376263664003</v>
      </c>
      <c r="Z228" s="17">
        <f t="shared" si="77"/>
        <v>0.98856376263664003</v>
      </c>
      <c r="AC228" s="19">
        <f t="shared" ref="AC228:AC237" si="79">A228</f>
        <v>15.7442331989037</v>
      </c>
      <c r="AD228" s="17">
        <f>VLOOKUP(ROUNDDOWN(AC228,0),'Spline Pre-Adj'!K:L,2,0)</f>
        <v>1.7164152091598801</v>
      </c>
      <c r="AE228" s="17">
        <f t="shared" ref="AE228:AE237" si="80">AD228*M228</f>
        <v>1.7164152091598801</v>
      </c>
    </row>
    <row r="229" spans="1:31" x14ac:dyDescent="0.25">
      <c r="A229" s="4">
        <f>K205</f>
        <v>37.409773690442798</v>
      </c>
      <c r="B229" s="3">
        <f>AQ205/1000000000</f>
        <v>21.922605875910001</v>
      </c>
      <c r="C229" s="2" t="str">
        <f>AO205</f>
        <v>10:25-50</v>
      </c>
      <c r="D229" s="8">
        <f>E205</f>
        <v>4.1030394473697697E-2</v>
      </c>
      <c r="E229" s="8">
        <f>Z205+AA205+AB205+AC205+AD205</f>
        <v>2.4468822523440896E-2</v>
      </c>
      <c r="F229" s="3">
        <f t="shared" si="67"/>
        <v>1.6768438462615427</v>
      </c>
      <c r="G229" s="2">
        <f t="shared" si="68"/>
        <v>39.513548144822266</v>
      </c>
      <c r="H229" s="2">
        <f t="shared" si="69"/>
        <v>25.716245611522069</v>
      </c>
      <c r="K229" s="4">
        <f t="shared" si="70"/>
        <v>1</v>
      </c>
      <c r="L229" s="4">
        <f t="shared" si="71"/>
        <v>1</v>
      </c>
      <c r="M229" s="4">
        <f t="shared" si="72"/>
        <v>1.08</v>
      </c>
      <c r="N229" s="8">
        <f>Z205+AA205+AB205*K229+AC205*L229+AD205*M229</f>
        <v>2.6144689577384105E-2</v>
      </c>
      <c r="O229" s="2">
        <f t="shared" si="73"/>
        <v>27.233205884156952</v>
      </c>
      <c r="P229" s="7">
        <f t="shared" si="74"/>
        <v>1.5693586398206902</v>
      </c>
      <c r="S229" s="9">
        <f t="shared" si="75"/>
        <v>37.409773690442798</v>
      </c>
      <c r="T229" s="8">
        <f>VLOOKUP(ROUNDDOWN(S229,0),'Spline Pre-Adj'!A:B,2,0)</f>
        <v>1.2869999999999999</v>
      </c>
      <c r="U229" s="8">
        <f t="shared" si="76"/>
        <v>1.2869999999999999</v>
      </c>
      <c r="X229" s="9">
        <f t="shared" si="78"/>
        <v>37.409773690442798</v>
      </c>
      <c r="Y229" s="8">
        <f>VLOOKUP(ROUNDDOWN(X229,0),'Spline Pre-Adj'!F:G,2,0)</f>
        <v>1.89537379409471</v>
      </c>
      <c r="Z229" s="8">
        <f t="shared" si="77"/>
        <v>1.89537379409471</v>
      </c>
      <c r="AC229" s="9">
        <f t="shared" si="79"/>
        <v>37.409773690442798</v>
      </c>
      <c r="AD229" s="8">
        <f>VLOOKUP(ROUNDDOWN(AC229,0),'Spline Pre-Adj'!K:L,2,0)</f>
        <v>2.4264029166777901</v>
      </c>
      <c r="AE229" s="8">
        <f t="shared" si="80"/>
        <v>2.6205151500120136</v>
      </c>
    </row>
    <row r="230" spans="1:31" x14ac:dyDescent="0.25">
      <c r="A230" s="4">
        <f t="shared" ref="A230:A237" si="81">K206</f>
        <v>62.476421052563801</v>
      </c>
      <c r="B230" s="3">
        <f t="shared" ref="B230:B237" si="82">AQ206/1000000000</f>
        <v>17.352148895430002</v>
      </c>
      <c r="C230" s="2" t="str">
        <f t="shared" ref="C230:C237" si="83">AO206</f>
        <v>11:50-75</v>
      </c>
      <c r="D230" s="8">
        <f t="shared" ref="D230:D237" si="84">E206</f>
        <v>5.18521132414346E-2</v>
      </c>
      <c r="E230" s="8">
        <f t="shared" ref="E230:E237" si="85">Z206+AA206+AB206+AC206+AD206</f>
        <v>3.2506413373601918E-2</v>
      </c>
      <c r="F230" s="3">
        <f t="shared" si="67"/>
        <v>1.5951348629419417</v>
      </c>
      <c r="G230" s="2">
        <f t="shared" si="68"/>
        <v>47.214702074901403</v>
      </c>
      <c r="H230" s="2">
        <f t="shared" si="69"/>
        <v>32.736859910093926</v>
      </c>
      <c r="K230" s="4">
        <f t="shared" si="70"/>
        <v>1</v>
      </c>
      <c r="L230" s="4">
        <f t="shared" si="71"/>
        <v>1</v>
      </c>
      <c r="M230" s="4">
        <f t="shared" si="72"/>
        <v>1.21</v>
      </c>
      <c r="N230" s="8">
        <f t="shared" ref="N230:N237" si="86">Z206+AA206+AB206*K230+AC206*L230+AD206*M230</f>
        <v>3.8552717396197346E-2</v>
      </c>
      <c r="O230" s="2">
        <f t="shared" si="73"/>
        <v>37.611331702449846</v>
      </c>
      <c r="P230" s="7">
        <f t="shared" si="74"/>
        <v>1.344966496357765</v>
      </c>
      <c r="S230" s="9">
        <f t="shared" si="75"/>
        <v>62.476421052563801</v>
      </c>
      <c r="T230" s="8">
        <f>VLOOKUP(ROUNDDOWN(S230,0),'Spline Pre-Adj'!A:B,2,0)</f>
        <v>1.2869999999999999</v>
      </c>
      <c r="U230" s="8">
        <f t="shared" si="76"/>
        <v>1.2869999999999999</v>
      </c>
      <c r="X230" s="9">
        <f t="shared" si="78"/>
        <v>62.476421052563801</v>
      </c>
      <c r="Y230" s="8">
        <f>VLOOKUP(ROUNDDOWN(X230,0),'Spline Pre-Adj'!F:G,2,0)</f>
        <v>3.3799457765415402</v>
      </c>
      <c r="Z230" s="8">
        <f t="shared" si="77"/>
        <v>3.3799457765415402</v>
      </c>
      <c r="AC230" s="9">
        <f t="shared" si="79"/>
        <v>62.476421052563801</v>
      </c>
      <c r="AD230" s="8">
        <f>VLOOKUP(ROUNDDOWN(AC230,0),'Spline Pre-Adj'!K:L,2,0)</f>
        <v>3.3536482047599101</v>
      </c>
      <c r="AE230" s="8">
        <f t="shared" si="80"/>
        <v>4.0579143277594909</v>
      </c>
    </row>
    <row r="231" spans="1:31" x14ac:dyDescent="0.25">
      <c r="A231" s="4">
        <f t="shared" si="81"/>
        <v>85.669606730613907</v>
      </c>
      <c r="B231" s="3">
        <f t="shared" si="82"/>
        <v>11.138830362969999</v>
      </c>
      <c r="C231" s="2" t="str">
        <f t="shared" si="83"/>
        <v>12:75-100</v>
      </c>
      <c r="D231" s="8">
        <f t="shared" si="84"/>
        <v>4.9711497126083998E-2</v>
      </c>
      <c r="E231" s="8">
        <f t="shared" si="85"/>
        <v>3.8312780785768163E-2</v>
      </c>
      <c r="F231" s="3">
        <f t="shared" si="67"/>
        <v>1.2975173325072258</v>
      </c>
      <c r="G231" s="2">
        <f t="shared" si="68"/>
        <v>45.766741434565049</v>
      </c>
      <c r="H231" s="2">
        <f t="shared" si="69"/>
        <v>37.424240145162834</v>
      </c>
      <c r="K231" s="4">
        <f t="shared" si="70"/>
        <v>1</v>
      </c>
      <c r="L231" s="4">
        <f t="shared" si="71"/>
        <v>1</v>
      </c>
      <c r="M231" s="4">
        <f t="shared" si="72"/>
        <v>1.24</v>
      </c>
      <c r="N231" s="8">
        <f t="shared" si="86"/>
        <v>4.6581410511208544E-2</v>
      </c>
      <c r="O231" s="2">
        <f t="shared" si="73"/>
        <v>43.583857822596762</v>
      </c>
      <c r="P231" s="7">
        <f t="shared" si="74"/>
        <v>1.0671960462451493</v>
      </c>
      <c r="S231" s="9">
        <f t="shared" si="75"/>
        <v>85.669606730613907</v>
      </c>
      <c r="T231" s="8">
        <f>VLOOKUP(ROUNDDOWN(S231,0),'Spline Pre-Adj'!A:B,2,0)</f>
        <v>1.2869999999999999</v>
      </c>
      <c r="U231" s="8">
        <f t="shared" si="76"/>
        <v>1.2869999999999999</v>
      </c>
      <c r="X231" s="9">
        <f t="shared" si="78"/>
        <v>85.669606730613907</v>
      </c>
      <c r="Y231" s="8">
        <f>VLOOKUP(ROUNDDOWN(X231,0),'Spline Pre-Adj'!F:G,2,0)</f>
        <v>4.7067860187499999</v>
      </c>
      <c r="Z231" s="8">
        <f t="shared" si="77"/>
        <v>4.7067860187499999</v>
      </c>
      <c r="AC231" s="9">
        <f t="shared" si="79"/>
        <v>85.669606730613907</v>
      </c>
      <c r="AD231" s="8">
        <f>VLOOKUP(ROUNDDOWN(AC231,0),'Spline Pre-Adj'!K:L,2,0)</f>
        <v>4.0923365222828396</v>
      </c>
      <c r="AE231" s="8">
        <f t="shared" si="80"/>
        <v>5.0744972876307211</v>
      </c>
    </row>
    <row r="232" spans="1:31" x14ac:dyDescent="0.25">
      <c r="A232" s="4">
        <f t="shared" si="81"/>
        <v>111.768434390067</v>
      </c>
      <c r="B232" s="3">
        <f t="shared" si="82"/>
        <v>5.7252288043800004</v>
      </c>
      <c r="C232" s="2" t="str">
        <f t="shared" si="83"/>
        <v>13:100-125</v>
      </c>
      <c r="D232" s="8">
        <f t="shared" si="84"/>
        <v>4.9919768812099398E-2</v>
      </c>
      <c r="E232" s="8">
        <f t="shared" si="85"/>
        <v>4.3892225090746563E-2</v>
      </c>
      <c r="F232" s="3">
        <f t="shared" si="67"/>
        <v>1.1373260004224204</v>
      </c>
      <c r="G232" s="2">
        <f t="shared" si="68"/>
        <v>45.909203181044674</v>
      </c>
      <c r="H232" s="2">
        <f t="shared" si="69"/>
        <v>41.644445809623512</v>
      </c>
      <c r="K232" s="4">
        <f t="shared" si="70"/>
        <v>1</v>
      </c>
      <c r="L232" s="4">
        <f t="shared" si="71"/>
        <v>1</v>
      </c>
      <c r="M232" s="4">
        <f t="shared" si="72"/>
        <v>1.17</v>
      </c>
      <c r="N232" s="8">
        <f t="shared" si="86"/>
        <v>5.0630902267430056E-2</v>
      </c>
      <c r="O232" s="2">
        <f t="shared" si="73"/>
        <v>46.393050520942481</v>
      </c>
      <c r="P232" s="7">
        <f t="shared" si="74"/>
        <v>0.985954556930973</v>
      </c>
      <c r="S232" s="9">
        <f t="shared" si="75"/>
        <v>111.768434390067</v>
      </c>
      <c r="T232" s="8">
        <f>VLOOKUP(ROUNDDOWN(S232,0),'Spline Pre-Adj'!A:B,2,0)</f>
        <v>1.2869999999999999</v>
      </c>
      <c r="U232" s="8">
        <f t="shared" si="76"/>
        <v>1.2869999999999999</v>
      </c>
      <c r="X232" s="9">
        <f t="shared" si="78"/>
        <v>111.768434390067</v>
      </c>
      <c r="Y232" s="8">
        <f>VLOOKUP(ROUNDDOWN(X232,0),'Spline Pre-Adj'!F:G,2,0)</f>
        <v>6.2168084690133298</v>
      </c>
      <c r="Z232" s="8">
        <f t="shared" si="77"/>
        <v>6.2168084690133298</v>
      </c>
      <c r="AC232" s="9">
        <f t="shared" si="79"/>
        <v>111.768434390067</v>
      </c>
      <c r="AD232" s="8">
        <f>VLOOKUP(ROUNDDOWN(AC232,0),'Spline Pre-Adj'!K:L,2,0)</f>
        <v>4.7299139704548203</v>
      </c>
      <c r="AE232" s="8">
        <f t="shared" si="80"/>
        <v>5.5339993454321394</v>
      </c>
    </row>
    <row r="233" spans="1:31" x14ac:dyDescent="0.25">
      <c r="A233" s="4">
        <f t="shared" si="81"/>
        <v>134.373235124464</v>
      </c>
      <c r="B233" s="3">
        <f t="shared" si="82"/>
        <v>2.62082305714</v>
      </c>
      <c r="C233" s="2" t="str">
        <f t="shared" si="83"/>
        <v>14:125-150</v>
      </c>
      <c r="D233" s="8">
        <f t="shared" si="84"/>
        <v>5.0754696248407602E-2</v>
      </c>
      <c r="E233" s="8">
        <f t="shared" si="85"/>
        <v>4.8607942134988272E-2</v>
      </c>
      <c r="F233" s="3">
        <f t="shared" si="67"/>
        <v>1.0441646780161484</v>
      </c>
      <c r="G233" s="2">
        <f t="shared" si="68"/>
        <v>46.476872003021043</v>
      </c>
      <c r="H233" s="2">
        <f t="shared" si="69"/>
        <v>45.006132903299736</v>
      </c>
      <c r="K233" s="4">
        <f t="shared" si="70"/>
        <v>1</v>
      </c>
      <c r="L233" s="4">
        <f t="shared" si="71"/>
        <v>1</v>
      </c>
      <c r="M233" s="4">
        <f t="shared" si="72"/>
        <v>1.1000000000000001</v>
      </c>
      <c r="N233" s="8">
        <f t="shared" si="86"/>
        <v>5.3037319103656312E-2</v>
      </c>
      <c r="O233" s="2">
        <f t="shared" si="73"/>
        <v>48.001074517577372</v>
      </c>
      <c r="P233" s="7">
        <f t="shared" si="74"/>
        <v>0.95696194879708107</v>
      </c>
      <c r="S233" s="9">
        <f t="shared" si="75"/>
        <v>134.373235124464</v>
      </c>
      <c r="T233" s="8">
        <f>VLOOKUP(ROUNDDOWN(S233,0),'Spline Pre-Adj'!A:B,2,0)</f>
        <v>1.2869999999999999</v>
      </c>
      <c r="U233" s="8">
        <f t="shared" si="76"/>
        <v>1.2869999999999999</v>
      </c>
      <c r="X233" s="9">
        <f t="shared" si="78"/>
        <v>134.373235124464</v>
      </c>
      <c r="Y233" s="8">
        <f>VLOOKUP(ROUNDDOWN(X233,0),'Spline Pre-Adj'!F:G,2,0)</f>
        <v>7.60662891263856</v>
      </c>
      <c r="Z233" s="8">
        <f t="shared" si="77"/>
        <v>7.60662891263856</v>
      </c>
      <c r="AC233" s="9">
        <f t="shared" si="79"/>
        <v>134.373235124464</v>
      </c>
      <c r="AD233" s="8">
        <f>VLOOKUP(ROUNDDOWN(AC233,0),'Spline Pre-Adj'!K:L,2,0)</f>
        <v>5.2051069926153799</v>
      </c>
      <c r="AE233" s="8">
        <f t="shared" si="80"/>
        <v>5.7256176918769182</v>
      </c>
    </row>
    <row r="234" spans="1:31" x14ac:dyDescent="0.25">
      <c r="A234" s="4">
        <f t="shared" si="81"/>
        <v>160.18516166213001</v>
      </c>
      <c r="B234" s="3">
        <f t="shared" si="82"/>
        <v>0.44019781916</v>
      </c>
      <c r="C234" s="2" t="str">
        <f t="shared" si="83"/>
        <v>15:150-175</v>
      </c>
      <c r="D234" s="8">
        <f t="shared" si="84"/>
        <v>4.7514462955103302E-2</v>
      </c>
      <c r="E234" s="8">
        <f t="shared" si="85"/>
        <v>5.3353304213012633E-2</v>
      </c>
      <c r="F234" s="3">
        <f t="shared" si="67"/>
        <v>0.89056270564616202</v>
      </c>
      <c r="G234" s="2">
        <f t="shared" si="68"/>
        <v>44.242835662966016</v>
      </c>
      <c r="H234" s="2">
        <f t="shared" si="69"/>
        <v>48.208906548976913</v>
      </c>
      <c r="K234" s="4">
        <f t="shared" si="70"/>
        <v>1</v>
      </c>
      <c r="L234" s="4">
        <f t="shared" si="71"/>
        <v>1</v>
      </c>
      <c r="M234" s="4">
        <f t="shared" si="72"/>
        <v>1.05</v>
      </c>
      <c r="N234" s="8">
        <f t="shared" si="86"/>
        <v>5.5789080030173674E-2</v>
      </c>
      <c r="O234" s="2">
        <f t="shared" si="73"/>
        <v>49.785606007370276</v>
      </c>
      <c r="P234" s="7">
        <f t="shared" si="74"/>
        <v>0.85168034549781024</v>
      </c>
      <c r="S234" s="9">
        <f>A234</f>
        <v>160.18516166213001</v>
      </c>
      <c r="T234" s="8">
        <f>VLOOKUP(ROUNDDOWN(S234,0),'Spline Pre-Adj'!A:B,2,0)</f>
        <v>1.2869999999999999</v>
      </c>
      <c r="U234" s="8">
        <f>T234*K234</f>
        <v>1.2869999999999999</v>
      </c>
      <c r="X234" s="9">
        <f t="shared" si="78"/>
        <v>160.18516166213001</v>
      </c>
      <c r="Y234" s="8">
        <f>VLOOKUP(ROUNDDOWN(X234,0),'Spline Pre-Adj'!F:G,2,0)</f>
        <v>8.7434835551418502</v>
      </c>
      <c r="Z234" s="8">
        <f t="shared" si="77"/>
        <v>8.7434835551418502</v>
      </c>
      <c r="AC234" s="9">
        <f t="shared" si="79"/>
        <v>160.18516166213001</v>
      </c>
      <c r="AD234" s="8">
        <f>VLOOKUP(ROUNDDOWN(AC234,0),'Spline Pre-Adj'!K:L,2,0)</f>
        <v>5.6662697466415004</v>
      </c>
      <c r="AE234" s="8">
        <f t="shared" si="80"/>
        <v>5.9495832339735752</v>
      </c>
    </row>
    <row r="235" spans="1:31" x14ac:dyDescent="0.25">
      <c r="A235" s="4">
        <f t="shared" si="81"/>
        <v>183.94350489017</v>
      </c>
      <c r="B235" s="3">
        <f t="shared" si="82"/>
        <v>9.6630877530000006E-2</v>
      </c>
      <c r="C235" s="2" t="str">
        <f t="shared" si="83"/>
        <v>16:175-200</v>
      </c>
      <c r="D235" s="8">
        <f t="shared" si="84"/>
        <v>6.1197489207662902E-2</v>
      </c>
      <c r="E235" s="8">
        <f t="shared" si="85"/>
        <v>5.8191267054718603E-2</v>
      </c>
      <c r="F235" s="3">
        <f t="shared" si="67"/>
        <v>1.0516610533693567</v>
      </c>
      <c r="G235" s="2">
        <f t="shared" si="68"/>
        <v>53.130436470808448</v>
      </c>
      <c r="H235" s="2">
        <f t="shared" si="69"/>
        <v>51.297353928229739</v>
      </c>
      <c r="K235" s="4">
        <f t="shared" si="70"/>
        <v>1</v>
      </c>
      <c r="L235" s="4">
        <f t="shared" si="71"/>
        <v>1</v>
      </c>
      <c r="M235" s="4">
        <f t="shared" si="72"/>
        <v>1.01</v>
      </c>
      <c r="N235" s="8">
        <f t="shared" si="86"/>
        <v>5.8721615055436285E-2</v>
      </c>
      <c r="O235" s="2">
        <f t="shared" si="73"/>
        <v>51.625439700791695</v>
      </c>
      <c r="P235" s="7">
        <f t="shared" si="74"/>
        <v>1.0421629096864802</v>
      </c>
      <c r="X235" s="9">
        <f t="shared" si="78"/>
        <v>183.94350489017</v>
      </c>
      <c r="Y235" s="8">
        <f>VLOOKUP(ROUNDDOWN(X235,0),'Spline Pre-Adj'!F:G,2,0)</f>
        <v>8.8912890705385497</v>
      </c>
      <c r="Z235" s="8">
        <f t="shared" si="77"/>
        <v>8.8912890705385497</v>
      </c>
      <c r="AC235" s="9">
        <f t="shared" si="79"/>
        <v>183.94350489017</v>
      </c>
      <c r="AD235" s="8">
        <f>VLOOKUP(ROUNDDOWN(AC235,0),'Spline Pre-Adj'!K:L,2,0)</f>
        <v>6.0276934430763003</v>
      </c>
      <c r="AE235" s="8">
        <f t="shared" si="80"/>
        <v>6.0879703775070633</v>
      </c>
    </row>
    <row r="236" spans="1:31" x14ac:dyDescent="0.25">
      <c r="A236" s="4">
        <f t="shared" si="81"/>
        <v>209.552293094823</v>
      </c>
      <c r="B236" s="3">
        <f t="shared" si="82"/>
        <v>2.0893223299999999E-2</v>
      </c>
      <c r="C236" s="2" t="str">
        <f t="shared" si="83"/>
        <v>17:200-225</v>
      </c>
      <c r="D236" s="8">
        <f t="shared" si="84"/>
        <v>5.2273954856408698E-2</v>
      </c>
      <c r="E236" s="8">
        <f t="shared" si="85"/>
        <v>5.9257580349299295E-2</v>
      </c>
      <c r="F236" s="3">
        <f t="shared" si="67"/>
        <v>0.88214798087054902</v>
      </c>
      <c r="G236" s="2">
        <f t="shared" si="68"/>
        <v>47.495830730037483</v>
      </c>
      <c r="H236" s="2">
        <f t="shared" si="69"/>
        <v>51.954941072843219</v>
      </c>
      <c r="K236" s="16">
        <f t="shared" si="70"/>
        <v>1</v>
      </c>
      <c r="L236" s="16">
        <f t="shared" si="71"/>
        <v>1</v>
      </c>
      <c r="M236" s="16">
        <f t="shared" si="72"/>
        <v>1</v>
      </c>
      <c r="N236" s="8">
        <f t="shared" si="86"/>
        <v>5.9257580349299295E-2</v>
      </c>
      <c r="O236" s="2">
        <f t="shared" si="73"/>
        <v>51.954941072843219</v>
      </c>
      <c r="P236" s="7">
        <f t="shared" si="74"/>
        <v>0.88214798087054902</v>
      </c>
      <c r="X236" s="9">
        <f t="shared" si="78"/>
        <v>209.552293094823</v>
      </c>
      <c r="Y236" s="8">
        <f>VLOOKUP(ROUNDDOWN(X236,0),'Spline Pre-Adj'!F:G,2,0)</f>
        <v>8.9</v>
      </c>
      <c r="Z236" s="8">
        <f t="shared" si="77"/>
        <v>8.9</v>
      </c>
      <c r="AC236" s="9">
        <f t="shared" si="79"/>
        <v>209.552293094823</v>
      </c>
      <c r="AD236" s="8">
        <f>VLOOKUP(ROUNDDOWN(AC236,0),'Spline Pre-Adj'!K:L,2,0)</f>
        <v>6.3657668913125001</v>
      </c>
      <c r="AE236" s="8">
        <f t="shared" si="80"/>
        <v>6.3657668913125001</v>
      </c>
    </row>
    <row r="237" spans="1:31" x14ac:dyDescent="0.25">
      <c r="A237" s="4">
        <f t="shared" si="81"/>
        <v>232.640397203189</v>
      </c>
      <c r="B237" s="3">
        <f t="shared" si="82"/>
        <v>3.78713676E-3</v>
      </c>
      <c r="C237" s="2" t="str">
        <f t="shared" si="83"/>
        <v>18:225-250</v>
      </c>
      <c r="D237" s="8">
        <f t="shared" si="84"/>
        <v>5.09258869416227E-2</v>
      </c>
      <c r="E237" s="8">
        <f t="shared" si="85"/>
        <v>5.0939470075813474E-2</v>
      </c>
      <c r="F237" s="3">
        <f t="shared" si="67"/>
        <v>0.99973334755601972</v>
      </c>
      <c r="G237" s="2">
        <f t="shared" si="68"/>
        <v>46.59258807901702</v>
      </c>
      <c r="H237" s="2">
        <f t="shared" si="69"/>
        <v>46.60175974978921</v>
      </c>
      <c r="K237" s="16">
        <f t="shared" si="70"/>
        <v>1</v>
      </c>
      <c r="L237" s="16">
        <f t="shared" si="71"/>
        <v>1</v>
      </c>
      <c r="M237" s="16">
        <f t="shared" si="72"/>
        <v>1</v>
      </c>
      <c r="N237" s="8">
        <f t="shared" si="86"/>
        <v>5.0939470075813474E-2</v>
      </c>
      <c r="O237" s="2">
        <f t="shared" si="73"/>
        <v>46.60175974978921</v>
      </c>
      <c r="P237" s="7">
        <f t="shared" si="74"/>
        <v>0.99973334755601972</v>
      </c>
      <c r="X237" s="9">
        <f t="shared" si="78"/>
        <v>232.640397203189</v>
      </c>
      <c r="Y237" s="8">
        <f>VLOOKUP(ROUNDDOWN(X237,0),'Spline Pre-Adj'!F:G,2,0)</f>
        <v>8.9</v>
      </c>
      <c r="Z237" s="8">
        <f t="shared" si="77"/>
        <v>8.9</v>
      </c>
      <c r="AC237" s="9">
        <f t="shared" si="79"/>
        <v>232.640397203189</v>
      </c>
      <c r="AD237" s="8">
        <f>VLOOKUP(ROUNDDOWN(AC237,0),'Spline Pre-Adj'!K:L,2,0)</f>
        <v>6.5961350573707502</v>
      </c>
      <c r="AE237" s="8">
        <f t="shared" si="80"/>
        <v>6.5961350573707502</v>
      </c>
    </row>
    <row r="238" spans="1:31" x14ac:dyDescent="0.25">
      <c r="A238" s="4"/>
      <c r="B238" s="3"/>
      <c r="C238" s="2"/>
      <c r="D238" s="8"/>
      <c r="E238" s="8"/>
      <c r="F238" s="3"/>
      <c r="G238" s="2"/>
      <c r="H238" s="2"/>
      <c r="K238" s="16" t="e">
        <f t="shared" si="70"/>
        <v>#N/A</v>
      </c>
      <c r="L238" s="16" t="e">
        <f t="shared" si="71"/>
        <v>#N/A</v>
      </c>
      <c r="M238" s="27" t="e">
        <f t="shared" si="72"/>
        <v>#N/A</v>
      </c>
      <c r="N238" s="8"/>
      <c r="O238" s="2"/>
      <c r="P238" s="7"/>
      <c r="X238" s="9"/>
      <c r="Y238" s="8"/>
      <c r="Z238" s="8"/>
      <c r="AC238" s="9"/>
      <c r="AD238" s="8"/>
      <c r="AE238" s="8"/>
    </row>
    <row r="239" spans="1:31" s="18" customFormat="1" x14ac:dyDescent="0.25">
      <c r="A239" s="16"/>
      <c r="B239" s="23"/>
      <c r="C239" s="24"/>
      <c r="D239" s="17"/>
      <c r="E239" s="17"/>
      <c r="F239" s="23"/>
      <c r="G239" s="24"/>
      <c r="H239" s="24"/>
      <c r="K239" s="16"/>
      <c r="L239" s="16"/>
      <c r="M239" s="16"/>
      <c r="N239" s="17"/>
      <c r="O239" s="24"/>
      <c r="P239" s="25"/>
      <c r="X239" s="19"/>
      <c r="Y239" s="17"/>
      <c r="Z239" s="17"/>
      <c r="AC239" s="19"/>
      <c r="AD239" s="17"/>
      <c r="AE239" s="17"/>
    </row>
    <row r="240" spans="1:31" s="18" customFormat="1" x14ac:dyDescent="0.25">
      <c r="A240" s="16"/>
      <c r="B240" s="23"/>
      <c r="C240" s="24"/>
      <c r="D240" s="17"/>
      <c r="E240" s="17"/>
      <c r="F240" s="23"/>
      <c r="G240" s="24"/>
      <c r="H240" s="24"/>
      <c r="K240" s="16"/>
      <c r="L240" s="16"/>
      <c r="M240" s="16"/>
      <c r="N240" s="17"/>
      <c r="O240" s="24"/>
      <c r="P240" s="25"/>
      <c r="X240" s="19"/>
      <c r="Y240" s="17"/>
      <c r="Z240" s="17"/>
      <c r="AC240" s="19"/>
      <c r="AD240" s="17"/>
      <c r="AE240" s="17"/>
    </row>
    <row r="241" spans="1:50" s="18" customFormat="1" x14ac:dyDescent="0.25">
      <c r="A241" s="16"/>
      <c r="B241" s="23"/>
      <c r="C241" s="24"/>
      <c r="D241" s="17"/>
      <c r="E241" s="17"/>
      <c r="F241" s="23"/>
      <c r="G241" s="24"/>
      <c r="H241" s="24"/>
      <c r="K241" s="16"/>
      <c r="L241" s="16"/>
      <c r="M241" s="27"/>
      <c r="N241" s="17"/>
      <c r="O241" s="24"/>
      <c r="P241" s="25"/>
      <c r="X241" s="19"/>
      <c r="Y241" s="17"/>
      <c r="Z241" s="17"/>
      <c r="AC241" s="19"/>
      <c r="AD241" s="17"/>
      <c r="AE241" s="17"/>
    </row>
    <row r="244" spans="1:50" s="32" customFormat="1" x14ac:dyDescent="0.25"/>
    <row r="247" spans="1:50" x14ac:dyDescent="0.25">
      <c r="A247" s="34" t="s">
        <v>127</v>
      </c>
      <c r="C247" s="34" t="s">
        <v>136</v>
      </c>
      <c r="AS247" s="18" t="s">
        <v>91</v>
      </c>
      <c r="AT247" s="18" t="s">
        <v>92</v>
      </c>
      <c r="AU247" s="18"/>
      <c r="AV247" s="18"/>
      <c r="AW247" s="18" t="s">
        <v>93</v>
      </c>
      <c r="AX247" s="18"/>
    </row>
    <row r="248" spans="1:50" x14ac:dyDescent="0.25">
      <c r="A248" s="36" t="s">
        <v>21</v>
      </c>
      <c r="B248" t="s">
        <v>22</v>
      </c>
      <c r="C248" t="s">
        <v>23</v>
      </c>
      <c r="D248" t="s">
        <v>24</v>
      </c>
      <c r="E248" t="s">
        <v>99</v>
      </c>
      <c r="F248" t="s">
        <v>100</v>
      </c>
      <c r="G248" t="s">
        <v>25</v>
      </c>
      <c r="H248" t="s">
        <v>26</v>
      </c>
      <c r="I248" t="s">
        <v>27</v>
      </c>
      <c r="J248" t="s">
        <v>28</v>
      </c>
      <c r="K248" t="s">
        <v>29</v>
      </c>
      <c r="L248" t="s">
        <v>30</v>
      </c>
      <c r="M248" t="s">
        <v>31</v>
      </c>
      <c r="N248" t="s">
        <v>32</v>
      </c>
      <c r="O248" t="s">
        <v>33</v>
      </c>
      <c r="P248" t="s">
        <v>34</v>
      </c>
      <c r="Q248" t="s">
        <v>35</v>
      </c>
      <c r="R248" t="s">
        <v>36</v>
      </c>
      <c r="S248" t="s">
        <v>37</v>
      </c>
      <c r="T248" t="s">
        <v>38</v>
      </c>
      <c r="U248" t="s">
        <v>39</v>
      </c>
      <c r="V248" t="s">
        <v>40</v>
      </c>
      <c r="W248" t="s">
        <v>41</v>
      </c>
      <c r="X248" t="s">
        <v>42</v>
      </c>
      <c r="Y248" t="s">
        <v>43</v>
      </c>
      <c r="Z248" t="s">
        <v>44</v>
      </c>
      <c r="AA248" t="s">
        <v>45</v>
      </c>
      <c r="AB248" s="1" t="s">
        <v>46</v>
      </c>
      <c r="AC248" s="1" t="s">
        <v>47</v>
      </c>
      <c r="AD248" s="1" t="s">
        <v>48</v>
      </c>
      <c r="AE248" t="s">
        <v>49</v>
      </c>
      <c r="AF248" t="s">
        <v>50</v>
      </c>
      <c r="AG248" t="s">
        <v>51</v>
      </c>
      <c r="AH248" t="s">
        <v>52</v>
      </c>
      <c r="AI248" t="s">
        <v>53</v>
      </c>
      <c r="AJ248" t="s">
        <v>54</v>
      </c>
      <c r="AK248" t="s">
        <v>55</v>
      </c>
      <c r="AL248" t="s">
        <v>56</v>
      </c>
      <c r="AM248" t="s">
        <v>57</v>
      </c>
      <c r="AN248" t="s">
        <v>58</v>
      </c>
      <c r="AO248" t="s">
        <v>59</v>
      </c>
      <c r="AP248" t="s">
        <v>60</v>
      </c>
      <c r="AQ248" t="s">
        <v>61</v>
      </c>
      <c r="AR248" t="s">
        <v>62</v>
      </c>
      <c r="AS248" s="22" t="s">
        <v>129</v>
      </c>
      <c r="AT248" s="22" t="s">
        <v>130</v>
      </c>
      <c r="AU248" s="18" t="s">
        <v>133</v>
      </c>
      <c r="AV248" s="18" t="s">
        <v>134</v>
      </c>
      <c r="AW248" s="22" t="s">
        <v>131</v>
      </c>
      <c r="AX248" s="18" t="s">
        <v>132</v>
      </c>
    </row>
    <row r="249" spans="1:50" x14ac:dyDescent="0.25">
      <c r="A249">
        <v>4.3</v>
      </c>
      <c r="B249" s="4">
        <v>0.99570059641268804</v>
      </c>
      <c r="C249" s="4">
        <v>1.21002045716522E-5</v>
      </c>
      <c r="D249" s="4">
        <v>5.0390157831752003</v>
      </c>
      <c r="E249" s="4">
        <v>1.0083504526031401E-8</v>
      </c>
      <c r="F249" s="5">
        <v>4.2994035873111297E-3</v>
      </c>
      <c r="G249" s="5">
        <v>0</v>
      </c>
      <c r="H249" s="4">
        <v>4.0264724982141802</v>
      </c>
      <c r="I249" s="4">
        <v>4.1375376417415</v>
      </c>
      <c r="J249" s="4">
        <v>-42.855524106759503</v>
      </c>
      <c r="K249" s="4">
        <v>-108.853802183863</v>
      </c>
      <c r="L249" s="4">
        <v>20.131192575588098</v>
      </c>
      <c r="M249" s="4">
        <v>15.604362725078801</v>
      </c>
      <c r="N249" s="4">
        <v>76.152880057146007</v>
      </c>
      <c r="O249" s="4">
        <v>75.620604437937899</v>
      </c>
      <c r="P249" s="4">
        <v>198516.224249666</v>
      </c>
      <c r="Q249" s="4">
        <v>198343.73800000001</v>
      </c>
      <c r="R249" s="4">
        <v>760.45864017143799</v>
      </c>
      <c r="S249" s="4">
        <v>0</v>
      </c>
      <c r="T249" s="4">
        <v>0</v>
      </c>
      <c r="U249" s="4">
        <v>0</v>
      </c>
      <c r="V249" s="4">
        <v>0</v>
      </c>
      <c r="W249" s="4">
        <v>0</v>
      </c>
      <c r="X249" s="4">
        <v>0.21177998571348799</v>
      </c>
      <c r="Y249" s="4">
        <v>0</v>
      </c>
      <c r="Z249" s="5">
        <v>3.5089724352164802E-4</v>
      </c>
      <c r="AA249" s="5">
        <v>5.1078517150463303E-5</v>
      </c>
      <c r="AB249" s="10">
        <v>2.86847169235985E-3</v>
      </c>
      <c r="AC249" s="10">
        <v>0</v>
      </c>
      <c r="AD249" s="10">
        <v>1.02894218707E-3</v>
      </c>
      <c r="AE249" s="4">
        <v>-1.59662195992138E-2</v>
      </c>
      <c r="AF249" s="4">
        <v>1</v>
      </c>
      <c r="AG249" s="4">
        <v>1</v>
      </c>
      <c r="AH249" s="4">
        <v>1</v>
      </c>
      <c r="AI249" s="4">
        <v>1</v>
      </c>
      <c r="AJ249" s="4">
        <v>1</v>
      </c>
      <c r="AK249" s="4">
        <v>1</v>
      </c>
      <c r="AL249" s="4">
        <v>1</v>
      </c>
      <c r="AM249" s="4">
        <v>0</v>
      </c>
      <c r="AN249" s="4">
        <v>0</v>
      </c>
      <c r="AO249" s="4" t="s">
        <v>64</v>
      </c>
      <c r="AP249" s="4">
        <f>-125--100</f>
        <v>-25</v>
      </c>
      <c r="AQ249" s="6">
        <v>991718.69</v>
      </c>
      <c r="AR249" s="4">
        <v>5</v>
      </c>
      <c r="AS249" s="16">
        <v>0</v>
      </c>
      <c r="AT249" s="16">
        <v>100</v>
      </c>
      <c r="AU249" s="16">
        <v>0</v>
      </c>
      <c r="AV249" s="16">
        <v>0</v>
      </c>
      <c r="AW249" s="16">
        <v>100</v>
      </c>
      <c r="AX249" s="16">
        <v>0</v>
      </c>
    </row>
    <row r="250" spans="1:50" x14ac:dyDescent="0.25">
      <c r="A250">
        <v>4.3</v>
      </c>
      <c r="B250" s="4">
        <v>0.99034254472057204</v>
      </c>
      <c r="C250" s="4">
        <v>7.9358739953947399</v>
      </c>
      <c r="D250" s="4">
        <v>10.9927795747513</v>
      </c>
      <c r="E250" s="4">
        <v>6.8667181026693799E-3</v>
      </c>
      <c r="F250" s="5">
        <v>9.6574552794271903E-3</v>
      </c>
      <c r="G250" s="5">
        <v>0</v>
      </c>
      <c r="H250" s="4">
        <v>4.1493575916695304</v>
      </c>
      <c r="I250" s="4">
        <v>4.0940505466547199</v>
      </c>
      <c r="J250" s="4">
        <v>-33.386671996418102</v>
      </c>
      <c r="K250" s="4">
        <v>-83.205890832494603</v>
      </c>
      <c r="L250" s="4">
        <v>15.783595169037699</v>
      </c>
      <c r="M250" s="4">
        <v>15.6901681027427</v>
      </c>
      <c r="N250" s="4">
        <v>76.749332132832194</v>
      </c>
      <c r="O250" s="4">
        <v>75.908226274633506</v>
      </c>
      <c r="P250" s="4">
        <v>298964.842306184</v>
      </c>
      <c r="Q250" s="4">
        <v>222085.03535714201</v>
      </c>
      <c r="R250" s="4">
        <v>780.43588322335904</v>
      </c>
      <c r="S250" s="4">
        <v>0</v>
      </c>
      <c r="T250" s="4">
        <v>0</v>
      </c>
      <c r="U250" s="4">
        <v>0</v>
      </c>
      <c r="V250" s="4">
        <v>0</v>
      </c>
      <c r="W250" s="4">
        <v>0</v>
      </c>
      <c r="X250" s="4">
        <v>0.371096018997703</v>
      </c>
      <c r="Y250" s="4">
        <v>0</v>
      </c>
      <c r="Z250" s="5">
        <v>5.35425222145016E-4</v>
      </c>
      <c r="AA250" s="5">
        <v>7.7502751175720399E-5</v>
      </c>
      <c r="AB250" s="10">
        <v>2.6030463025199899E-3</v>
      </c>
      <c r="AC250" s="10">
        <v>0</v>
      </c>
      <c r="AD250" s="10">
        <v>6.4414668119124E-3</v>
      </c>
      <c r="AE250" s="4">
        <v>-2.6461015105583002E-2</v>
      </c>
      <c r="AF250" s="4">
        <v>1</v>
      </c>
      <c r="AG250" s="4">
        <v>1</v>
      </c>
      <c r="AH250" s="4">
        <v>1</v>
      </c>
      <c r="AI250" s="4">
        <v>1</v>
      </c>
      <c r="AJ250" s="4">
        <v>1</v>
      </c>
      <c r="AK250" s="4">
        <v>1</v>
      </c>
      <c r="AL250" s="4">
        <v>1</v>
      </c>
      <c r="AM250" s="4">
        <v>0</v>
      </c>
      <c r="AN250" s="4">
        <v>0</v>
      </c>
      <c r="AO250" s="4" t="s">
        <v>65</v>
      </c>
      <c r="AP250" s="4">
        <f>-100--75</f>
        <v>-25</v>
      </c>
      <c r="AQ250" s="6">
        <v>6218380.9900000002</v>
      </c>
      <c r="AR250" s="4">
        <v>28</v>
      </c>
      <c r="AS250" s="16">
        <v>0</v>
      </c>
      <c r="AT250" s="16">
        <v>100</v>
      </c>
      <c r="AU250" s="16">
        <v>0</v>
      </c>
      <c r="AV250" s="16">
        <v>0</v>
      </c>
      <c r="AW250" s="16">
        <v>100</v>
      </c>
      <c r="AX250" s="16">
        <v>0</v>
      </c>
    </row>
    <row r="251" spans="1:50" x14ac:dyDescent="0.25">
      <c r="A251">
        <v>4.3</v>
      </c>
      <c r="B251" s="4">
        <v>0.995311943285075</v>
      </c>
      <c r="C251" s="4">
        <v>1.8301087366495701</v>
      </c>
      <c r="D251" s="4">
        <v>5.4828570840255901</v>
      </c>
      <c r="E251" s="4">
        <v>1.5380346705518499E-3</v>
      </c>
      <c r="F251" s="5">
        <v>4.6880567149246502E-3</v>
      </c>
      <c r="G251" s="5">
        <v>0</v>
      </c>
      <c r="H251" s="4">
        <v>3.8986259377108099</v>
      </c>
      <c r="I251" s="4">
        <v>4.1473096127734399</v>
      </c>
      <c r="J251" s="4">
        <v>-59.670288781649099</v>
      </c>
      <c r="K251" s="4">
        <v>-56.9058788127074</v>
      </c>
      <c r="L251" s="4">
        <v>17.185230058719899</v>
      </c>
      <c r="M251" s="4">
        <v>15.2459113694189</v>
      </c>
      <c r="N251" s="4">
        <v>77.854850726832794</v>
      </c>
      <c r="O251" s="4">
        <v>76.716764759401798</v>
      </c>
      <c r="P251" s="4">
        <v>263061.79539893998</v>
      </c>
      <c r="Q251" s="4">
        <v>226873.40175609701</v>
      </c>
      <c r="R251" s="4">
        <v>780.81197119743899</v>
      </c>
      <c r="S251" s="4">
        <v>0</v>
      </c>
      <c r="T251" s="4">
        <v>0</v>
      </c>
      <c r="U251" s="4">
        <v>2.50981339386436E-3</v>
      </c>
      <c r="V251" s="4">
        <v>0</v>
      </c>
      <c r="W251" s="4">
        <v>0</v>
      </c>
      <c r="X251" s="4">
        <v>0.46038548494865</v>
      </c>
      <c r="Y251" s="4">
        <v>0</v>
      </c>
      <c r="Z251" s="5">
        <v>4.7411809231937501E-4</v>
      </c>
      <c r="AA251" s="5">
        <v>6.1413375988147995E-5</v>
      </c>
      <c r="AB251" s="10">
        <v>2.4185358287252402E-3</v>
      </c>
      <c r="AC251" s="10">
        <v>0</v>
      </c>
      <c r="AD251" s="10">
        <v>1.73397911762863E-3</v>
      </c>
      <c r="AE251" s="4">
        <v>-2.2969111468739398E-2</v>
      </c>
      <c r="AF251" s="4">
        <v>0.99655200075893302</v>
      </c>
      <c r="AG251" s="4">
        <v>1</v>
      </c>
      <c r="AH251" s="4">
        <v>1</v>
      </c>
      <c r="AI251" s="4">
        <v>1</v>
      </c>
      <c r="AJ251" s="4">
        <v>1</v>
      </c>
      <c r="AK251" s="4">
        <v>1</v>
      </c>
      <c r="AL251" s="4">
        <v>1</v>
      </c>
      <c r="AM251" s="4">
        <v>0</v>
      </c>
      <c r="AN251" s="4">
        <v>0</v>
      </c>
      <c r="AO251" s="4" t="s">
        <v>66</v>
      </c>
      <c r="AP251" s="4">
        <f>-75--50</f>
        <v>-25</v>
      </c>
      <c r="AQ251" s="6">
        <v>139527142.08000001</v>
      </c>
      <c r="AR251" s="4">
        <v>615</v>
      </c>
      <c r="AS251" s="16">
        <v>0</v>
      </c>
      <c r="AT251" s="16">
        <v>100</v>
      </c>
      <c r="AU251" s="16">
        <v>0</v>
      </c>
      <c r="AV251" s="16">
        <v>0</v>
      </c>
      <c r="AW251" s="16">
        <v>100</v>
      </c>
      <c r="AX251" s="16">
        <v>0</v>
      </c>
    </row>
    <row r="252" spans="1:50" x14ac:dyDescent="0.25">
      <c r="A252">
        <v>4.3</v>
      </c>
      <c r="B252" s="4">
        <v>0.99386721969649605</v>
      </c>
      <c r="C252" s="4">
        <v>3.4070806667748199</v>
      </c>
      <c r="D252" s="4">
        <v>7.1161089815177903</v>
      </c>
      <c r="E252" s="4">
        <v>2.88456049451831E-3</v>
      </c>
      <c r="F252" s="5">
        <v>6.1327803035032E-3</v>
      </c>
      <c r="G252" s="5">
        <v>0</v>
      </c>
      <c r="H252" s="4">
        <v>3.89951166592251</v>
      </c>
      <c r="I252" s="4">
        <v>4.1447021145405403</v>
      </c>
      <c r="J252" s="4">
        <v>-60.114068185303303</v>
      </c>
      <c r="K252" s="4">
        <v>-33.387746159817397</v>
      </c>
      <c r="L252" s="4">
        <v>15.9557511910453</v>
      </c>
      <c r="M252" s="4">
        <v>15.468515309962401</v>
      </c>
      <c r="N252" s="4">
        <v>73.341273746447897</v>
      </c>
      <c r="O252" s="4">
        <v>71.959296558923896</v>
      </c>
      <c r="P252" s="4">
        <v>273610.41154723201</v>
      </c>
      <c r="Q252" s="4">
        <v>248811.56034899701</v>
      </c>
      <c r="R252" s="4">
        <v>782.10208167140297</v>
      </c>
      <c r="S252" s="4">
        <v>0</v>
      </c>
      <c r="T252" s="4">
        <v>0</v>
      </c>
      <c r="U252" s="4">
        <v>1.3918239013517499E-3</v>
      </c>
      <c r="V252" s="4">
        <v>0</v>
      </c>
      <c r="W252" s="4">
        <v>0</v>
      </c>
      <c r="X252" s="4">
        <v>0.58737228270268804</v>
      </c>
      <c r="Y252" s="4">
        <v>0</v>
      </c>
      <c r="Z252" s="5">
        <v>3.9633253095045098E-4</v>
      </c>
      <c r="AA252" s="5">
        <v>5.7272474545529103E-5</v>
      </c>
      <c r="AB252" s="10">
        <v>2.53879352533228E-3</v>
      </c>
      <c r="AC252" s="10">
        <v>2.19885343026675E-8</v>
      </c>
      <c r="AD252" s="10">
        <v>3.1403456700803902E-3</v>
      </c>
      <c r="AE252" s="4">
        <v>-1.52731652235439E-2</v>
      </c>
      <c r="AF252" s="4">
        <v>0.98396189242309895</v>
      </c>
      <c r="AG252" s="4">
        <v>0.99979739429595404</v>
      </c>
      <c r="AH252" s="4">
        <v>0.99996869045787695</v>
      </c>
      <c r="AI252" s="4">
        <v>0.99999041649652398</v>
      </c>
      <c r="AJ252" s="4">
        <v>1</v>
      </c>
      <c r="AK252" s="4">
        <v>1</v>
      </c>
      <c r="AL252" s="4">
        <v>1</v>
      </c>
      <c r="AM252" s="4">
        <v>0</v>
      </c>
      <c r="AN252" s="4">
        <v>0</v>
      </c>
      <c r="AO252" s="4" t="s">
        <v>67</v>
      </c>
      <c r="AP252" s="4">
        <f>-50--25</f>
        <v>-25</v>
      </c>
      <c r="AQ252" s="6">
        <v>1625485923.76</v>
      </c>
      <c r="AR252" s="4">
        <v>6533</v>
      </c>
      <c r="AS252" s="16">
        <v>0</v>
      </c>
      <c r="AT252" s="16">
        <v>100</v>
      </c>
      <c r="AU252" s="16">
        <v>0</v>
      </c>
      <c r="AV252" s="16">
        <v>0</v>
      </c>
      <c r="AW252" s="16">
        <v>100</v>
      </c>
      <c r="AX252" s="16">
        <v>0</v>
      </c>
    </row>
    <row r="253" spans="1:50" x14ac:dyDescent="0.25">
      <c r="A253">
        <v>4.3</v>
      </c>
      <c r="B253" s="4">
        <v>0.98847282026748795</v>
      </c>
      <c r="C253" s="4">
        <v>8.68668202532122</v>
      </c>
      <c r="D253" s="4">
        <v>12.988473901950799</v>
      </c>
      <c r="E253" s="4">
        <v>7.5441935107328799E-3</v>
      </c>
      <c r="F253" s="5">
        <v>1.1527179732511401E-2</v>
      </c>
      <c r="G253" s="5">
        <v>0</v>
      </c>
      <c r="H253" s="4">
        <v>4.0970673984653603</v>
      </c>
      <c r="I253" s="4">
        <v>4.1260059507257401</v>
      </c>
      <c r="J253" s="4">
        <v>-41.673616140155197</v>
      </c>
      <c r="K253" s="4">
        <v>-9.3601744294780893</v>
      </c>
      <c r="L253" s="4">
        <v>15.303927904440201</v>
      </c>
      <c r="M253" s="4">
        <v>16.0964267707934</v>
      </c>
      <c r="N253" s="4">
        <v>72.188260504903397</v>
      </c>
      <c r="O253" s="4">
        <v>71.0341204557418</v>
      </c>
      <c r="P253" s="4">
        <v>281960.45606702199</v>
      </c>
      <c r="Q253" s="4">
        <v>260269.41511091901</v>
      </c>
      <c r="R253" s="4">
        <v>781.85446782543204</v>
      </c>
      <c r="S253" s="4">
        <v>0</v>
      </c>
      <c r="T253" s="4">
        <v>0</v>
      </c>
      <c r="U253" s="4">
        <v>2.80758932445991E-3</v>
      </c>
      <c r="V253" s="4">
        <v>0</v>
      </c>
      <c r="W253" s="4">
        <v>0</v>
      </c>
      <c r="X253" s="4">
        <v>0.68322328631987805</v>
      </c>
      <c r="Y253" s="4">
        <v>0</v>
      </c>
      <c r="Z253" s="5">
        <v>3.7474774158130698E-4</v>
      </c>
      <c r="AA253" s="5">
        <v>6.70073702752368E-5</v>
      </c>
      <c r="AB253" s="10">
        <v>2.6070060140537402E-3</v>
      </c>
      <c r="AC253" s="10">
        <v>3.1677835963857198E-8</v>
      </c>
      <c r="AD253" s="10">
        <v>8.4783726131799405E-3</v>
      </c>
      <c r="AE253" s="4">
        <v>-1.4259590812643001E-2</v>
      </c>
      <c r="AF253" s="4">
        <v>0.97207832489592805</v>
      </c>
      <c r="AG253" s="4">
        <v>0.99863124355193</v>
      </c>
      <c r="AH253" s="4">
        <v>0.99987520985261602</v>
      </c>
      <c r="AI253" s="4">
        <v>1</v>
      </c>
      <c r="AJ253" s="4">
        <v>1</v>
      </c>
      <c r="AK253" s="4">
        <v>1</v>
      </c>
      <c r="AL253" s="4">
        <v>1</v>
      </c>
      <c r="AM253" s="4">
        <v>0</v>
      </c>
      <c r="AN253" s="4">
        <v>0</v>
      </c>
      <c r="AO253" s="4" t="s">
        <v>68</v>
      </c>
      <c r="AP253" s="4">
        <f>-25-0</f>
        <v>-25</v>
      </c>
      <c r="AQ253" s="6">
        <v>9644022907.5200005</v>
      </c>
      <c r="AR253" s="4">
        <v>37054</v>
      </c>
      <c r="AS253" s="16">
        <v>0</v>
      </c>
      <c r="AT253" s="16">
        <v>100</v>
      </c>
      <c r="AU253" s="16">
        <v>0</v>
      </c>
      <c r="AV253" s="16">
        <v>0</v>
      </c>
      <c r="AW253" s="16">
        <v>100</v>
      </c>
      <c r="AX253" s="16">
        <v>0</v>
      </c>
    </row>
    <row r="254" spans="1:50" x14ac:dyDescent="0.25">
      <c r="A254">
        <v>4.3</v>
      </c>
      <c r="B254" s="4">
        <v>0.983397837185226</v>
      </c>
      <c r="C254" s="4">
        <v>18.623371498249998</v>
      </c>
      <c r="D254" s="4">
        <v>18.200436613184301</v>
      </c>
      <c r="E254" s="4">
        <v>1.7026882006178599E-2</v>
      </c>
      <c r="F254" s="5">
        <v>1.66021628147731E-2</v>
      </c>
      <c r="G254" s="5">
        <v>0</v>
      </c>
      <c r="H254" s="4">
        <v>4.2061359671525604</v>
      </c>
      <c r="I254" s="4">
        <v>4.0684557122534803</v>
      </c>
      <c r="J254" s="4">
        <v>-31.261671671015101</v>
      </c>
      <c r="K254" s="4">
        <v>15.1591449142802</v>
      </c>
      <c r="L254" s="4">
        <v>15.015130049801</v>
      </c>
      <c r="M254" s="4">
        <v>16.531300608991</v>
      </c>
      <c r="N254" s="4">
        <v>69.195364349667599</v>
      </c>
      <c r="O254" s="4">
        <v>67.653180421966397</v>
      </c>
      <c r="P254" s="4">
        <v>286201.82766168198</v>
      </c>
      <c r="Q254" s="4">
        <v>265734.33584126201</v>
      </c>
      <c r="R254" s="4">
        <v>782.34236424789401</v>
      </c>
      <c r="S254" s="4">
        <v>0</v>
      </c>
      <c r="T254" s="4">
        <v>0</v>
      </c>
      <c r="U254" s="4">
        <v>8.9629359504991308E-3</v>
      </c>
      <c r="V254" s="4">
        <v>0</v>
      </c>
      <c r="W254" s="4">
        <v>0</v>
      </c>
      <c r="X254" s="4">
        <v>0.76933567837554095</v>
      </c>
      <c r="Y254" s="4">
        <v>0</v>
      </c>
      <c r="Z254" s="5">
        <v>3.72983966456134E-4</v>
      </c>
      <c r="AA254" s="5">
        <v>7.4131174420440993E-5</v>
      </c>
      <c r="AB254" s="10">
        <v>2.76405115182316E-3</v>
      </c>
      <c r="AC254" s="10">
        <v>4.0373824557347098E-7</v>
      </c>
      <c r="AD254" s="10">
        <v>1.33905785305056E-2</v>
      </c>
      <c r="AE254" s="4">
        <v>-8.6863247107541296E-3</v>
      </c>
      <c r="AF254" s="4">
        <v>0.92526663264605402</v>
      </c>
      <c r="AG254" s="4">
        <v>0.99384499448756303</v>
      </c>
      <c r="AH254" s="4">
        <v>0.99955193135652798</v>
      </c>
      <c r="AI254" s="4">
        <v>0.99983997667429503</v>
      </c>
      <c r="AJ254" s="4">
        <v>1</v>
      </c>
      <c r="AK254" s="4">
        <v>1</v>
      </c>
      <c r="AL254" s="4">
        <v>1</v>
      </c>
      <c r="AM254" s="4">
        <v>0</v>
      </c>
      <c r="AN254" s="4">
        <v>0</v>
      </c>
      <c r="AO254" s="4" t="s">
        <v>69</v>
      </c>
      <c r="AP254" s="4" t="s">
        <v>70</v>
      </c>
      <c r="AQ254" s="6">
        <v>38877996270.919998</v>
      </c>
      <c r="AR254" s="4">
        <v>146304</v>
      </c>
      <c r="AS254" s="16">
        <v>0</v>
      </c>
      <c r="AT254" s="16">
        <v>100</v>
      </c>
      <c r="AU254" s="16">
        <v>0</v>
      </c>
      <c r="AV254" s="16">
        <v>0</v>
      </c>
      <c r="AW254" s="16">
        <v>100</v>
      </c>
      <c r="AX254" s="16">
        <v>0</v>
      </c>
    </row>
    <row r="255" spans="1:50" x14ac:dyDescent="0.25">
      <c r="A255">
        <v>4.3</v>
      </c>
      <c r="B255" s="4">
        <v>0.97636767899003496</v>
      </c>
      <c r="C255" s="4">
        <v>30.174218473375401</v>
      </c>
      <c r="D255" s="4">
        <v>24.948265641630702</v>
      </c>
      <c r="E255" s="4">
        <v>2.9487089441179299E-2</v>
      </c>
      <c r="F255" s="5">
        <v>2.3632321009964201E-2</v>
      </c>
      <c r="G255" s="5">
        <v>0</v>
      </c>
      <c r="H255" s="4">
        <v>4.2307564439883798</v>
      </c>
      <c r="I255" s="4">
        <v>3.9142019479467902</v>
      </c>
      <c r="J255" s="4">
        <v>-26.990302730787999</v>
      </c>
      <c r="K255" s="4">
        <v>37.381477333595498</v>
      </c>
      <c r="L255" s="4">
        <v>14.4225929191409</v>
      </c>
      <c r="M255" s="4">
        <v>17.06362831501</v>
      </c>
      <c r="N255" s="4">
        <v>67.3851125830369</v>
      </c>
      <c r="O255" s="4">
        <v>64.474990281558703</v>
      </c>
      <c r="P255" s="4">
        <v>297412.76565679302</v>
      </c>
      <c r="Q255" s="4">
        <v>276705.54038037098</v>
      </c>
      <c r="R255" s="4">
        <v>782.191100139235</v>
      </c>
      <c r="S255" s="4">
        <v>0</v>
      </c>
      <c r="T255" s="4">
        <v>0</v>
      </c>
      <c r="U255" s="4">
        <v>1.7086088876484499E-2</v>
      </c>
      <c r="V255" s="4">
        <v>0</v>
      </c>
      <c r="W255" s="4">
        <v>0</v>
      </c>
      <c r="X255" s="4">
        <v>0.754487631539001</v>
      </c>
      <c r="Y255" s="4">
        <v>0</v>
      </c>
      <c r="Z255" s="5">
        <v>3.7191375779141699E-4</v>
      </c>
      <c r="AA255" s="5">
        <v>7.6176462571942498E-5</v>
      </c>
      <c r="AB255" s="10">
        <v>3.0565340792310198E-3</v>
      </c>
      <c r="AC255" s="10">
        <v>3.0377568426194499E-6</v>
      </c>
      <c r="AD255" s="10">
        <v>2.0124644723495198E-2</v>
      </c>
      <c r="AE255" s="4">
        <v>1.40128894720209E-2</v>
      </c>
      <c r="AF255" s="4">
        <v>0.79797600221526699</v>
      </c>
      <c r="AG255" s="4">
        <v>0.97130341216478799</v>
      </c>
      <c r="AH255" s="4">
        <v>0.997146486232806</v>
      </c>
      <c r="AI255" s="4">
        <v>0.99948031112720104</v>
      </c>
      <c r="AJ255" s="4">
        <v>1</v>
      </c>
      <c r="AK255" s="4">
        <v>1</v>
      </c>
      <c r="AL255" s="4">
        <v>1</v>
      </c>
      <c r="AM255" s="4">
        <v>0</v>
      </c>
      <c r="AN255" s="4">
        <v>0</v>
      </c>
      <c r="AO255" s="4" t="s">
        <v>71</v>
      </c>
      <c r="AP255" s="4" t="s">
        <v>72</v>
      </c>
      <c r="AQ255" s="6">
        <v>61812420548.949997</v>
      </c>
      <c r="AR255" s="4">
        <v>223387</v>
      </c>
      <c r="AS255" s="16">
        <v>0</v>
      </c>
      <c r="AT255" s="16">
        <v>100</v>
      </c>
      <c r="AU255" s="16">
        <v>0</v>
      </c>
      <c r="AV255" s="16">
        <v>0</v>
      </c>
      <c r="AW255" s="16">
        <v>100</v>
      </c>
      <c r="AX255" s="16">
        <v>0</v>
      </c>
    </row>
    <row r="256" spans="1:50" x14ac:dyDescent="0.25">
      <c r="A256">
        <v>4.3</v>
      </c>
      <c r="B256" s="4">
        <v>0.96875017750016301</v>
      </c>
      <c r="C256" s="4">
        <v>38.016294907704399</v>
      </c>
      <c r="D256" s="4">
        <v>31.680993676818002</v>
      </c>
      <c r="E256" s="4">
        <v>3.9074331791410698E-2</v>
      </c>
      <c r="F256" s="5">
        <v>3.1249822499836401E-2</v>
      </c>
      <c r="G256" s="5">
        <v>0</v>
      </c>
      <c r="H256" s="4">
        <v>4.4691621770344101</v>
      </c>
      <c r="I256" s="4">
        <v>3.8899428758463901</v>
      </c>
      <c r="J256" s="4">
        <v>-17.583565548872699</v>
      </c>
      <c r="K256" s="4">
        <v>62.663678760894598</v>
      </c>
      <c r="L256" s="4">
        <v>14.9048264022432</v>
      </c>
      <c r="M256" s="4">
        <v>17.4335934457437</v>
      </c>
      <c r="N256" s="4">
        <v>69.565025139041595</v>
      </c>
      <c r="O256" s="4">
        <v>66.269528201944496</v>
      </c>
      <c r="P256" s="4">
        <v>287891.59701940801</v>
      </c>
      <c r="Q256" s="4">
        <v>267834.24258912902</v>
      </c>
      <c r="R256" s="4">
        <v>780.90653080956895</v>
      </c>
      <c r="S256" s="4">
        <v>0</v>
      </c>
      <c r="T256" s="4">
        <v>0</v>
      </c>
      <c r="U256" s="4">
        <v>1.23809082560661E-2</v>
      </c>
      <c r="V256" s="4">
        <v>0</v>
      </c>
      <c r="W256" s="4">
        <v>0</v>
      </c>
      <c r="X256" s="4">
        <v>0.65517134299437796</v>
      </c>
      <c r="Y256" s="4">
        <v>0</v>
      </c>
      <c r="Z256" s="5">
        <v>3.7348037011428501E-4</v>
      </c>
      <c r="AA256" s="5">
        <v>1.01654428176272E-4</v>
      </c>
      <c r="AB256" s="10">
        <v>3.1880611132879101E-3</v>
      </c>
      <c r="AC256" s="10">
        <v>6.1309126249858897E-6</v>
      </c>
      <c r="AD256" s="10">
        <v>2.7580481330537501E-2</v>
      </c>
      <c r="AE256" s="4">
        <v>1.85120902548606E-2</v>
      </c>
      <c r="AF256" s="4">
        <v>0.75939426840802304</v>
      </c>
      <c r="AG256" s="4">
        <v>0.97298118168985703</v>
      </c>
      <c r="AH256" s="4">
        <v>0.99567971624586504</v>
      </c>
      <c r="AI256" s="4">
        <v>0.99918137285834496</v>
      </c>
      <c r="AJ256" s="4">
        <v>1</v>
      </c>
      <c r="AK256" s="4">
        <v>1</v>
      </c>
      <c r="AL256" s="4">
        <v>1</v>
      </c>
      <c r="AM256" s="4">
        <v>0</v>
      </c>
      <c r="AN256" s="4">
        <v>0</v>
      </c>
      <c r="AO256" s="4" t="s">
        <v>73</v>
      </c>
      <c r="AP256" s="4" t="s">
        <v>74</v>
      </c>
      <c r="AQ256" s="6">
        <v>60843637054.730003</v>
      </c>
      <c r="AR256" s="4">
        <v>227169</v>
      </c>
      <c r="AS256" s="16">
        <v>0</v>
      </c>
      <c r="AT256" s="16">
        <v>100</v>
      </c>
      <c r="AU256" s="16">
        <v>0</v>
      </c>
      <c r="AV256" s="16">
        <v>0</v>
      </c>
      <c r="AW256" s="16">
        <v>100</v>
      </c>
      <c r="AX256" s="16">
        <v>0</v>
      </c>
    </row>
    <row r="257" spans="1:50" x14ac:dyDescent="0.25">
      <c r="A257">
        <v>4.3</v>
      </c>
      <c r="B257" s="4">
        <v>0.96283659646562003</v>
      </c>
      <c r="C257" s="4">
        <v>42.414665854834297</v>
      </c>
      <c r="D257" s="4">
        <v>36.5208550547935</v>
      </c>
      <c r="E257" s="4">
        <v>4.4950259457577503E-2</v>
      </c>
      <c r="F257" s="5">
        <v>3.7163403534378997E-2</v>
      </c>
      <c r="G257" s="5">
        <v>0</v>
      </c>
      <c r="H257" s="4">
        <v>4.6698770579922302</v>
      </c>
      <c r="I257" s="4">
        <v>3.8733710985405301</v>
      </c>
      <c r="J257" s="4">
        <v>-11.1154965804515</v>
      </c>
      <c r="K257" s="4">
        <v>86.082845729492504</v>
      </c>
      <c r="L257" s="4">
        <v>14.8046158592207</v>
      </c>
      <c r="M257" s="4">
        <v>16.9381806499647</v>
      </c>
      <c r="N257" s="4">
        <v>69.318793516853205</v>
      </c>
      <c r="O257" s="4">
        <v>65.422118148443204</v>
      </c>
      <c r="P257" s="4">
        <v>290100.27049477003</v>
      </c>
      <c r="Q257" s="4">
        <v>269684.68618389702</v>
      </c>
      <c r="R257" s="4">
        <v>780.16253282192099</v>
      </c>
      <c r="S257" s="4">
        <v>0</v>
      </c>
      <c r="T257" s="4">
        <v>0</v>
      </c>
      <c r="U257" s="4">
        <v>1.49290179427668E-2</v>
      </c>
      <c r="V257" s="4">
        <v>0</v>
      </c>
      <c r="W257" s="4">
        <v>0</v>
      </c>
      <c r="X257" s="4">
        <v>0.57812595363568497</v>
      </c>
      <c r="Y257" s="4">
        <v>0</v>
      </c>
      <c r="Z257" s="5">
        <v>3.71595087045032E-4</v>
      </c>
      <c r="AA257" s="5">
        <v>1.21174356677155E-4</v>
      </c>
      <c r="AB257" s="10">
        <v>3.3234897727862801E-3</v>
      </c>
      <c r="AC257" s="10">
        <v>1.19903009763369E-5</v>
      </c>
      <c r="AD257" s="10">
        <v>3.3335139471334797E-2</v>
      </c>
      <c r="AE257" s="4">
        <v>2.8743719995771199E-2</v>
      </c>
      <c r="AF257" s="4">
        <v>0.667192352389675</v>
      </c>
      <c r="AG257" s="4">
        <v>0.96392805309995899</v>
      </c>
      <c r="AH257" s="4">
        <v>0.99288468456134304</v>
      </c>
      <c r="AI257" s="4">
        <v>0.99892189163505196</v>
      </c>
      <c r="AJ257" s="4">
        <v>1</v>
      </c>
      <c r="AK257" s="4">
        <v>1</v>
      </c>
      <c r="AL257" s="4">
        <v>1</v>
      </c>
      <c r="AM257" s="4">
        <v>0</v>
      </c>
      <c r="AN257" s="4">
        <v>0</v>
      </c>
      <c r="AO257" s="4" t="s">
        <v>75</v>
      </c>
      <c r="AP257" s="4" t="s">
        <v>76</v>
      </c>
      <c r="AQ257" s="6">
        <v>45520078180.980003</v>
      </c>
      <c r="AR257" s="4">
        <v>168790</v>
      </c>
      <c r="AS257" s="16">
        <v>0</v>
      </c>
      <c r="AT257" s="16">
        <v>100</v>
      </c>
      <c r="AU257" s="16">
        <v>0</v>
      </c>
      <c r="AV257" s="16">
        <v>0</v>
      </c>
      <c r="AW257" s="16">
        <v>100</v>
      </c>
      <c r="AX257" s="16">
        <v>0</v>
      </c>
    </row>
    <row r="258" spans="1:50" x14ac:dyDescent="0.25">
      <c r="A258">
        <v>4.3</v>
      </c>
      <c r="B258" s="4">
        <v>0.95762830341494398</v>
      </c>
      <c r="C258" s="4">
        <v>42.852394616922098</v>
      </c>
      <c r="D258" s="4">
        <v>40.520996776553297</v>
      </c>
      <c r="E258" s="4">
        <v>4.5557353178631299E-2</v>
      </c>
      <c r="F258" s="5">
        <v>4.2371696585055602E-2</v>
      </c>
      <c r="G258" s="5">
        <v>0</v>
      </c>
      <c r="H258" s="4">
        <v>4.80307066344227</v>
      </c>
      <c r="I258" s="4">
        <v>3.76306375105559</v>
      </c>
      <c r="J258" s="4">
        <v>-6.4593236688391604</v>
      </c>
      <c r="K258" s="4">
        <v>111.90841165136</v>
      </c>
      <c r="L258" s="4">
        <v>15.277936638501799</v>
      </c>
      <c r="M258" s="4">
        <v>18.004710989240301</v>
      </c>
      <c r="N258" s="4">
        <v>72.0509781008235</v>
      </c>
      <c r="O258" s="4">
        <v>66.635781076092002</v>
      </c>
      <c r="P258" s="4">
        <v>281055.07745070901</v>
      </c>
      <c r="Q258" s="4">
        <v>261350.979811058</v>
      </c>
      <c r="R258" s="4">
        <v>779.37083986950904</v>
      </c>
      <c r="S258" s="4">
        <v>0</v>
      </c>
      <c r="T258" s="4">
        <v>0</v>
      </c>
      <c r="U258" s="4">
        <v>1.54618139036497E-2</v>
      </c>
      <c r="V258" s="4">
        <v>0</v>
      </c>
      <c r="W258" s="4">
        <v>0</v>
      </c>
      <c r="X258" s="4">
        <v>0.50503882922366095</v>
      </c>
      <c r="Y258" s="4">
        <v>0</v>
      </c>
      <c r="Z258" s="5">
        <v>3.71752185292284E-4</v>
      </c>
      <c r="AA258" s="5">
        <v>1.6336900941408801E-4</v>
      </c>
      <c r="AB258" s="10">
        <v>3.57443180439421E-3</v>
      </c>
      <c r="AC258" s="10">
        <v>2.7047063057368399E-5</v>
      </c>
      <c r="AD258" s="10">
        <v>3.8235081827552503E-2</v>
      </c>
      <c r="AE258" s="4">
        <v>4.9632939164116902E-2</v>
      </c>
      <c r="AF258" s="4">
        <v>0.509691859825257</v>
      </c>
      <c r="AG258" s="4">
        <v>0.94266934400559999</v>
      </c>
      <c r="AH258" s="4">
        <v>0.98829488231923701</v>
      </c>
      <c r="AI258" s="4">
        <v>0.99772993075521399</v>
      </c>
      <c r="AJ258" s="4">
        <v>1</v>
      </c>
      <c r="AK258" s="4">
        <v>1</v>
      </c>
      <c r="AL258" s="4">
        <v>1</v>
      </c>
      <c r="AM258" s="4">
        <v>0</v>
      </c>
      <c r="AN258" s="4">
        <v>0</v>
      </c>
      <c r="AO258" s="4" t="s">
        <v>77</v>
      </c>
      <c r="AP258" s="4" t="s">
        <v>78</v>
      </c>
      <c r="AQ258" s="6">
        <v>28024404214.16</v>
      </c>
      <c r="AR258" s="4">
        <v>107229</v>
      </c>
      <c r="AS258" s="16">
        <v>0</v>
      </c>
      <c r="AT258" s="16">
        <v>100</v>
      </c>
      <c r="AU258" s="16">
        <v>0</v>
      </c>
      <c r="AV258" s="16">
        <v>0</v>
      </c>
      <c r="AW258" s="16">
        <v>100</v>
      </c>
      <c r="AX258" s="16">
        <v>0</v>
      </c>
    </row>
    <row r="259" spans="1:50" x14ac:dyDescent="0.25">
      <c r="A259">
        <v>4.3</v>
      </c>
      <c r="B259" s="4">
        <v>0.95271774843811396</v>
      </c>
      <c r="C259" s="4">
        <v>44.798998302592302</v>
      </c>
      <c r="D259" s="4">
        <v>44.0794968197049</v>
      </c>
      <c r="E259" s="4">
        <v>4.8309837936262902E-2</v>
      </c>
      <c r="F259" s="5">
        <v>4.7282251561885098E-2</v>
      </c>
      <c r="G259" s="5">
        <v>0</v>
      </c>
      <c r="H259" s="4">
        <v>4.8803772521553004</v>
      </c>
      <c r="I259" s="4">
        <v>3.67660868399402</v>
      </c>
      <c r="J259" s="4">
        <v>-4.9606845720969002</v>
      </c>
      <c r="K259" s="4">
        <v>134.28081895348899</v>
      </c>
      <c r="L259" s="4">
        <v>14.634897092157599</v>
      </c>
      <c r="M259" s="4">
        <v>19.560764365859502</v>
      </c>
      <c r="N259" s="4">
        <v>71.765223365576105</v>
      </c>
      <c r="O259" s="4">
        <v>64.965123508616102</v>
      </c>
      <c r="P259" s="4">
        <v>292501.52835133101</v>
      </c>
      <c r="Q259" s="4">
        <v>272839.00244239502</v>
      </c>
      <c r="R259" s="4">
        <v>778.75525817257505</v>
      </c>
      <c r="S259" s="4">
        <v>0</v>
      </c>
      <c r="T259" s="4">
        <v>0</v>
      </c>
      <c r="U259" s="4">
        <v>1.7310270791915799E-2</v>
      </c>
      <c r="V259" s="4">
        <v>0</v>
      </c>
      <c r="W259" s="4">
        <v>0</v>
      </c>
      <c r="X259" s="4">
        <v>0.51892854704645797</v>
      </c>
      <c r="Y259" s="4">
        <v>0</v>
      </c>
      <c r="Z259" s="5">
        <v>3.7232786877904002E-4</v>
      </c>
      <c r="AA259" s="5">
        <v>1.9812612201618399E-4</v>
      </c>
      <c r="AB259" s="10">
        <v>3.5194902257911498E-3</v>
      </c>
      <c r="AC259" s="10">
        <v>6.8003855147735995E-5</v>
      </c>
      <c r="AD259" s="10">
        <v>4.3124288612863E-2</v>
      </c>
      <c r="AE259" s="4">
        <v>7.1316873584725604E-2</v>
      </c>
      <c r="AF259" s="4">
        <v>0.39504722309608298</v>
      </c>
      <c r="AG259" s="4">
        <v>0.90351126768846401</v>
      </c>
      <c r="AH259" s="4">
        <v>0.97245279839362697</v>
      </c>
      <c r="AI259" s="4">
        <v>0.99591590863757995</v>
      </c>
      <c r="AJ259" s="4">
        <v>1</v>
      </c>
      <c r="AK259" s="4">
        <v>1</v>
      </c>
      <c r="AL259" s="4">
        <v>1</v>
      </c>
      <c r="AM259" s="4">
        <v>0</v>
      </c>
      <c r="AN259" s="4">
        <v>0</v>
      </c>
      <c r="AO259" s="4" t="s">
        <v>79</v>
      </c>
      <c r="AP259" s="4" t="s">
        <v>80</v>
      </c>
      <c r="AQ259" s="6">
        <v>12693561749.629999</v>
      </c>
      <c r="AR259" s="4">
        <v>46524</v>
      </c>
      <c r="AS259" s="16">
        <v>0</v>
      </c>
      <c r="AT259" s="16">
        <v>100</v>
      </c>
      <c r="AU259" s="16">
        <v>0</v>
      </c>
      <c r="AV259" s="16">
        <v>0</v>
      </c>
      <c r="AW259" s="16">
        <v>100</v>
      </c>
      <c r="AX259" s="16">
        <v>0</v>
      </c>
    </row>
    <row r="260" spans="1:50" x14ac:dyDescent="0.25">
      <c r="A260">
        <v>4.3</v>
      </c>
      <c r="B260" s="4">
        <v>0.94905501974167605</v>
      </c>
      <c r="C260" s="4">
        <v>41.969116557867203</v>
      </c>
      <c r="D260" s="4">
        <v>46.605479950700399</v>
      </c>
      <c r="E260" s="4">
        <v>4.4336648122120299E-2</v>
      </c>
      <c r="F260" s="5">
        <v>5.0944980258323697E-2</v>
      </c>
      <c r="G260" s="5">
        <v>0</v>
      </c>
      <c r="H260" s="4">
        <v>5.0437094502521402</v>
      </c>
      <c r="I260" s="4">
        <v>3.6813689091791102</v>
      </c>
      <c r="J260" s="4">
        <v>9.8997912040910894</v>
      </c>
      <c r="K260" s="4">
        <v>160.877956975899</v>
      </c>
      <c r="L260" s="4">
        <v>15.117117439386099</v>
      </c>
      <c r="M260" s="4">
        <v>19.509485252473901</v>
      </c>
      <c r="N260" s="4">
        <v>79.547143489342204</v>
      </c>
      <c r="O260" s="4">
        <v>70.444072425959604</v>
      </c>
      <c r="P260" s="4">
        <v>283367.07338231499</v>
      </c>
      <c r="Q260" s="4">
        <v>264141.36839946901</v>
      </c>
      <c r="R260" s="4">
        <v>776.94788674611402</v>
      </c>
      <c r="S260" s="4">
        <v>0</v>
      </c>
      <c r="T260" s="4">
        <v>0</v>
      </c>
      <c r="U260" s="4">
        <v>1.6864358769712401E-2</v>
      </c>
      <c r="V260" s="4">
        <v>0</v>
      </c>
      <c r="W260" s="4">
        <v>0</v>
      </c>
      <c r="X260" s="4">
        <v>0.47586119886053602</v>
      </c>
      <c r="Y260" s="4">
        <v>0</v>
      </c>
      <c r="Z260" s="5">
        <v>3.7698871821507902E-4</v>
      </c>
      <c r="AA260" s="5">
        <v>2.7641764874936E-4</v>
      </c>
      <c r="AB260" s="10">
        <v>3.8033490686328799E-3</v>
      </c>
      <c r="AC260" s="10">
        <v>1.4893528665536101E-4</v>
      </c>
      <c r="AD260" s="10">
        <v>4.6339274243147502E-2</v>
      </c>
      <c r="AE260" s="4">
        <v>9.2920040834740605E-2</v>
      </c>
      <c r="AF260" s="4">
        <v>0.28586907706568898</v>
      </c>
      <c r="AG260" s="4">
        <v>0.80402494470890296</v>
      </c>
      <c r="AH260" s="4">
        <v>0.93781179441660301</v>
      </c>
      <c r="AI260" s="4">
        <v>0.99023845449898895</v>
      </c>
      <c r="AJ260" s="4">
        <v>1</v>
      </c>
      <c r="AK260" s="4">
        <v>1</v>
      </c>
      <c r="AL260" s="4">
        <v>1</v>
      </c>
      <c r="AM260" s="4">
        <v>0</v>
      </c>
      <c r="AN260" s="4">
        <v>0</v>
      </c>
      <c r="AO260" s="4" t="s">
        <v>81</v>
      </c>
      <c r="AP260" s="4" t="s">
        <v>82</v>
      </c>
      <c r="AQ260" s="6">
        <v>2589377834.4200001</v>
      </c>
      <c r="AR260" s="4">
        <v>9803</v>
      </c>
      <c r="AS260" s="16">
        <v>0</v>
      </c>
      <c r="AT260" s="16">
        <v>100</v>
      </c>
      <c r="AU260" s="16">
        <v>0</v>
      </c>
      <c r="AV260" s="16">
        <v>0</v>
      </c>
      <c r="AW260" s="16">
        <v>100</v>
      </c>
      <c r="AX260" s="16">
        <v>0</v>
      </c>
    </row>
    <row r="261" spans="1:50" x14ac:dyDescent="0.25">
      <c r="A261">
        <v>4.3</v>
      </c>
      <c r="B261" s="4">
        <v>0.94283130925785896</v>
      </c>
      <c r="C261" s="4">
        <v>48.614261930598197</v>
      </c>
      <c r="D261" s="4">
        <v>50.658999431708203</v>
      </c>
      <c r="E261" s="4">
        <v>5.3972959964105303E-2</v>
      </c>
      <c r="F261" s="5">
        <v>5.71686907421406E-2</v>
      </c>
      <c r="G261" s="5">
        <v>0</v>
      </c>
      <c r="H261" s="4">
        <v>5.0708381984447399</v>
      </c>
      <c r="I261" s="4">
        <v>3.6598792250796</v>
      </c>
      <c r="J261" s="4">
        <v>12.272402311170399</v>
      </c>
      <c r="K261" s="4">
        <v>183.233073537423</v>
      </c>
      <c r="L261" s="4">
        <v>13.998406940681001</v>
      </c>
      <c r="M261" s="4">
        <v>19.983098444583501</v>
      </c>
      <c r="N261" s="4">
        <v>83.347995110604302</v>
      </c>
      <c r="O261" s="4">
        <v>71.286860290441595</v>
      </c>
      <c r="P261" s="4">
        <v>302493.01326827198</v>
      </c>
      <c r="Q261" s="4">
        <v>285250.43476150901</v>
      </c>
      <c r="R261" s="4">
        <v>776.17567494418495</v>
      </c>
      <c r="S261" s="4">
        <v>0</v>
      </c>
      <c r="T261" s="4">
        <v>0</v>
      </c>
      <c r="U261" s="4">
        <v>1.7338200696304099E-2</v>
      </c>
      <c r="V261" s="4">
        <v>0</v>
      </c>
      <c r="W261" s="4">
        <v>0</v>
      </c>
      <c r="X261" s="4">
        <v>0.460943373538163</v>
      </c>
      <c r="Y261" s="4">
        <v>0</v>
      </c>
      <c r="Z261" s="5">
        <v>3.7678141982618702E-4</v>
      </c>
      <c r="AA261" s="5">
        <v>3.2697234037831302E-4</v>
      </c>
      <c r="AB261" s="10">
        <v>3.9004437455688401E-3</v>
      </c>
      <c r="AC261" s="10">
        <v>4.3674645921026802E-4</v>
      </c>
      <c r="AD261" s="10">
        <v>5.2127730520144099E-2</v>
      </c>
      <c r="AE261" s="4">
        <v>0.12986576734302599</v>
      </c>
      <c r="AF261" s="4">
        <v>0.165684502992379</v>
      </c>
      <c r="AG261" s="4">
        <v>0.61689356599371603</v>
      </c>
      <c r="AH261" s="4">
        <v>0.80051608202550695</v>
      </c>
      <c r="AI261" s="4">
        <v>0.960621559885108</v>
      </c>
      <c r="AJ261" s="4">
        <v>1</v>
      </c>
      <c r="AK261" s="4">
        <v>1</v>
      </c>
      <c r="AL261" s="4">
        <v>1</v>
      </c>
      <c r="AM261" s="4">
        <v>0</v>
      </c>
      <c r="AN261" s="4">
        <v>0</v>
      </c>
      <c r="AO261" s="4" t="s">
        <v>83</v>
      </c>
      <c r="AP261" s="4" t="s">
        <v>84</v>
      </c>
      <c r="AQ261" s="6">
        <v>687738798.21000004</v>
      </c>
      <c r="AR261" s="4">
        <v>2411</v>
      </c>
      <c r="AS261" s="16">
        <v>0</v>
      </c>
      <c r="AT261" s="16">
        <v>100</v>
      </c>
      <c r="AU261" s="16">
        <v>0</v>
      </c>
      <c r="AV261" s="16">
        <v>0</v>
      </c>
      <c r="AW261" s="16">
        <v>100</v>
      </c>
      <c r="AX261" s="16">
        <v>0</v>
      </c>
    </row>
    <row r="262" spans="1:50" x14ac:dyDescent="0.25">
      <c r="A262">
        <v>4.3</v>
      </c>
      <c r="B262" s="4">
        <v>0.94088172406639103</v>
      </c>
      <c r="C262" s="4">
        <v>38.621292886992499</v>
      </c>
      <c r="D262" s="4">
        <v>51.869497801566403</v>
      </c>
      <c r="E262" s="4">
        <v>3.9859451026680502E-2</v>
      </c>
      <c r="F262" s="5">
        <v>5.9118275933608203E-2</v>
      </c>
      <c r="G262" s="5">
        <v>0</v>
      </c>
      <c r="H262" s="4">
        <v>5.1634229347766096</v>
      </c>
      <c r="I262" s="4">
        <v>3.6695501689723198</v>
      </c>
      <c r="J262" s="4">
        <v>17.743645471965401</v>
      </c>
      <c r="K262" s="4">
        <v>209.46084012065501</v>
      </c>
      <c r="L262" s="4">
        <v>14.567521560311</v>
      </c>
      <c r="M262" s="4">
        <v>20.245063432322802</v>
      </c>
      <c r="N262" s="4">
        <v>90.510218962012601</v>
      </c>
      <c r="O262" s="4">
        <v>75.361806517382803</v>
      </c>
      <c r="P262" s="4">
        <v>295560.14370288199</v>
      </c>
      <c r="Q262" s="4">
        <v>274112.22239910299</v>
      </c>
      <c r="R262" s="4">
        <v>775.64251014338902</v>
      </c>
      <c r="S262" s="4">
        <v>0</v>
      </c>
      <c r="T262" s="4">
        <v>0</v>
      </c>
      <c r="U262" s="4">
        <v>1.5909000814846499E-2</v>
      </c>
      <c r="V262" s="4">
        <v>0</v>
      </c>
      <c r="W262" s="4">
        <v>0</v>
      </c>
      <c r="X262" s="4">
        <v>0.297317449329427</v>
      </c>
      <c r="Y262" s="4">
        <v>0</v>
      </c>
      <c r="Z262" s="5">
        <v>3.7970978712629301E-4</v>
      </c>
      <c r="AA262" s="5">
        <v>4.2870261173810298E-4</v>
      </c>
      <c r="AB262" s="10">
        <v>4.2641385693847804E-3</v>
      </c>
      <c r="AC262" s="10">
        <v>7.0976883670232E-4</v>
      </c>
      <c r="AD262" s="10">
        <v>5.3335938939440102E-2</v>
      </c>
      <c r="AE262" s="4">
        <v>0.161498107656256</v>
      </c>
      <c r="AF262" s="4">
        <v>3.6957441295569701E-2</v>
      </c>
      <c r="AG262" s="4">
        <v>0.42072987945455698</v>
      </c>
      <c r="AH262" s="4">
        <v>0.70021921062524395</v>
      </c>
      <c r="AI262" s="4">
        <v>0.92890525045675498</v>
      </c>
      <c r="AJ262" s="4">
        <v>1</v>
      </c>
      <c r="AK262" s="4">
        <v>1</v>
      </c>
      <c r="AL262" s="4">
        <v>1</v>
      </c>
      <c r="AM262" s="4">
        <v>0</v>
      </c>
      <c r="AN262" s="4">
        <v>0</v>
      </c>
      <c r="AO262" s="4" t="s">
        <v>85</v>
      </c>
      <c r="AP262" s="4" t="s">
        <v>86</v>
      </c>
      <c r="AQ262" s="6">
        <v>122254051.19</v>
      </c>
      <c r="AR262" s="4">
        <v>446</v>
      </c>
      <c r="AS262" s="16">
        <v>0</v>
      </c>
      <c r="AT262" s="16">
        <v>100</v>
      </c>
      <c r="AU262" s="16">
        <v>0</v>
      </c>
      <c r="AV262" s="16">
        <v>0</v>
      </c>
      <c r="AW262" s="16">
        <v>100</v>
      </c>
      <c r="AX262" s="16">
        <v>0</v>
      </c>
    </row>
    <row r="263" spans="1:50" x14ac:dyDescent="0.25">
      <c r="A263">
        <v>4.3</v>
      </c>
      <c r="B263" s="4">
        <v>0.93891143794745902</v>
      </c>
      <c r="C263" s="4">
        <v>22.828420602885899</v>
      </c>
      <c r="D263" s="4">
        <v>53.065136762851999</v>
      </c>
      <c r="E263" s="4">
        <v>2.1363410908492999E-2</v>
      </c>
      <c r="F263" s="5">
        <v>6.1088562052540402E-2</v>
      </c>
      <c r="G263" s="5">
        <v>0</v>
      </c>
      <c r="H263" s="4">
        <v>5.2641041039887702</v>
      </c>
      <c r="I263" s="4">
        <v>3.6465013367372099</v>
      </c>
      <c r="J263" s="4">
        <v>27.398545986511799</v>
      </c>
      <c r="K263" s="4">
        <v>231.79459950432499</v>
      </c>
      <c r="L263" s="4">
        <v>13.7673904467927</v>
      </c>
      <c r="M263" s="4">
        <v>20.801173985818298</v>
      </c>
      <c r="N263" s="4">
        <v>92.494128868993798</v>
      </c>
      <c r="O263" s="4">
        <v>74.555659125711102</v>
      </c>
      <c r="P263" s="4">
        <v>310947.98299733503</v>
      </c>
      <c r="Q263" s="4">
        <v>290043.59164556902</v>
      </c>
      <c r="R263" s="4">
        <v>776.17564155635705</v>
      </c>
      <c r="S263" s="4">
        <v>0</v>
      </c>
      <c r="T263" s="4">
        <v>0</v>
      </c>
      <c r="U263" s="4">
        <v>0</v>
      </c>
      <c r="V263" s="4">
        <v>0</v>
      </c>
      <c r="W263" s="4">
        <v>0</v>
      </c>
      <c r="X263" s="4">
        <v>0.15312933358309699</v>
      </c>
      <c r="Y263" s="4">
        <v>0</v>
      </c>
      <c r="Z263" s="5">
        <v>3.8271757567737299E-4</v>
      </c>
      <c r="AA263" s="5">
        <v>5.24074838317642E-4</v>
      </c>
      <c r="AB263" s="10">
        <v>4.4067446403254001E-3</v>
      </c>
      <c r="AC263" s="10">
        <v>1.33212776177888E-3</v>
      </c>
      <c r="AD263" s="10">
        <v>5.4442878713720999E-2</v>
      </c>
      <c r="AE263" s="4">
        <v>0.19808291559358601</v>
      </c>
      <c r="AF263" s="4">
        <v>0</v>
      </c>
      <c r="AG263" s="4">
        <v>0.17645629464861901</v>
      </c>
      <c r="AH263" s="4">
        <v>0.38832439117246298</v>
      </c>
      <c r="AI263" s="4">
        <v>0.90979730138111403</v>
      </c>
      <c r="AJ263" s="4">
        <v>1</v>
      </c>
      <c r="AK263" s="4">
        <v>1</v>
      </c>
      <c r="AL263" s="4">
        <v>1</v>
      </c>
      <c r="AM263" s="4">
        <v>0</v>
      </c>
      <c r="AN263" s="4">
        <v>0</v>
      </c>
      <c r="AO263" s="4" t="s">
        <v>87</v>
      </c>
      <c r="AP263" s="4" t="s">
        <v>88</v>
      </c>
      <c r="AQ263" s="6">
        <v>22913443.739999998</v>
      </c>
      <c r="AR263" s="4">
        <v>79</v>
      </c>
      <c r="AS263" s="16">
        <v>0</v>
      </c>
      <c r="AT263" s="16">
        <v>100</v>
      </c>
      <c r="AU263" s="16">
        <v>0</v>
      </c>
      <c r="AV263" s="16">
        <v>0</v>
      </c>
      <c r="AW263" s="16">
        <v>100</v>
      </c>
      <c r="AX263" s="16">
        <v>0</v>
      </c>
    </row>
    <row r="264" spans="1:50" x14ac:dyDescent="0.25">
      <c r="B264" s="4"/>
      <c r="C264" s="4"/>
      <c r="D264" s="4"/>
      <c r="E264" s="4"/>
      <c r="F264" s="5"/>
      <c r="G264" s="5"/>
      <c r="H264" s="4"/>
      <c r="I264" s="4"/>
      <c r="J264" s="4"/>
      <c r="K264" s="4"/>
      <c r="L264" s="4"/>
      <c r="M264" s="4"/>
      <c r="N264" s="4"/>
      <c r="O264" s="4"/>
      <c r="P264" s="4"/>
      <c r="Q264" s="4"/>
      <c r="R264" s="4"/>
      <c r="S264" s="4"/>
      <c r="T264" s="4"/>
      <c r="U264" s="4"/>
      <c r="V264" s="4"/>
      <c r="W264" s="4"/>
      <c r="X264" s="4"/>
      <c r="Y264" s="4"/>
      <c r="Z264" s="5"/>
      <c r="AA264" s="5"/>
      <c r="AB264" s="10"/>
      <c r="AC264" s="10"/>
      <c r="AD264" s="10"/>
      <c r="AE264" s="4"/>
      <c r="AF264" s="4"/>
      <c r="AG264" s="4"/>
      <c r="AH264" s="4"/>
      <c r="AI264" s="4"/>
      <c r="AJ264" s="4"/>
      <c r="AK264" s="4"/>
      <c r="AL264" s="4"/>
      <c r="AM264" s="4"/>
      <c r="AN264" s="4"/>
      <c r="AO264" s="4"/>
      <c r="AP264" s="4"/>
      <c r="AQ264" s="6"/>
      <c r="AR264" s="4"/>
      <c r="AS264" s="16"/>
      <c r="AT264" s="16"/>
      <c r="AU264" s="16"/>
      <c r="AV264" s="16"/>
      <c r="AW264" s="16"/>
      <c r="AX264" s="16"/>
    </row>
    <row r="265" spans="1:50" x14ac:dyDescent="0.25">
      <c r="B265" s="4"/>
      <c r="C265" s="4"/>
      <c r="D265" s="4"/>
      <c r="E265" s="4"/>
      <c r="F265" s="5"/>
      <c r="G265" s="5"/>
      <c r="H265" s="4"/>
      <c r="I265" s="4"/>
      <c r="J265" s="4"/>
      <c r="K265" s="4"/>
      <c r="L265" s="4"/>
      <c r="M265" s="4"/>
      <c r="N265" s="4"/>
      <c r="O265" s="4"/>
      <c r="P265" s="4"/>
      <c r="Q265" s="4"/>
      <c r="R265" s="4"/>
      <c r="S265" s="4"/>
      <c r="T265" s="4"/>
      <c r="U265" s="4"/>
      <c r="V265" s="4"/>
      <c r="W265" s="4"/>
      <c r="X265" s="4"/>
      <c r="Y265" s="4"/>
      <c r="Z265" s="5"/>
      <c r="AA265" s="5"/>
      <c r="AB265" s="10"/>
      <c r="AC265" s="10"/>
      <c r="AD265" s="10"/>
      <c r="AE265" s="4"/>
      <c r="AF265" s="4"/>
      <c r="AG265" s="4"/>
      <c r="AH265" s="4"/>
      <c r="AI265" s="4"/>
      <c r="AJ265" s="4"/>
      <c r="AK265" s="4"/>
      <c r="AL265" s="4"/>
      <c r="AM265" s="4"/>
      <c r="AN265" s="4"/>
      <c r="AO265" s="4"/>
      <c r="AP265" s="4"/>
      <c r="AQ265" s="6"/>
      <c r="AR265" s="4"/>
      <c r="AS265" s="16"/>
      <c r="AT265" s="16"/>
      <c r="AU265" s="16"/>
      <c r="AV265" s="16"/>
      <c r="AW265" s="16"/>
      <c r="AX265" s="16"/>
    </row>
    <row r="266" spans="1:50" x14ac:dyDescent="0.25">
      <c r="G266" s="35"/>
      <c r="S266" s="35"/>
      <c r="T266" s="35"/>
      <c r="W266" s="35"/>
      <c r="Y266" s="35"/>
    </row>
    <row r="271" spans="1:50" x14ac:dyDescent="0.25">
      <c r="K271" t="s">
        <v>104</v>
      </c>
      <c r="L271" t="s">
        <v>92</v>
      </c>
      <c r="M271" t="s">
        <v>93</v>
      </c>
      <c r="R271" t="s">
        <v>104</v>
      </c>
      <c r="W271" t="s">
        <v>92</v>
      </c>
      <c r="AB271" t="s">
        <v>93</v>
      </c>
    </row>
    <row r="272" spans="1:50" x14ac:dyDescent="0.25">
      <c r="A272" s="4" t="s">
        <v>97</v>
      </c>
      <c r="B272" t="str">
        <f>AQ248</f>
        <v>Balance</v>
      </c>
      <c r="C272" s="2" t="str">
        <f>AO248</f>
        <v>groupByColumn</v>
      </c>
      <c r="D272" t="str">
        <f>E248</f>
        <v>PREPAY_SMM1</v>
      </c>
      <c r="E272" t="str">
        <f>F248</f>
        <v>PREPAY_TRACKING_SMM1</v>
      </c>
      <c r="F272" t="s">
        <v>94</v>
      </c>
      <c r="G272" t="str">
        <f>C248</f>
        <v>PREPAY_CPR1</v>
      </c>
      <c r="H272" t="str">
        <f>D248</f>
        <v>PREPAY_TRACKING_CPR1</v>
      </c>
      <c r="K272" t="s">
        <v>95</v>
      </c>
      <c r="L272" t="s">
        <v>95</v>
      </c>
      <c r="M272" t="s">
        <v>95</v>
      </c>
      <c r="N272" t="s">
        <v>102</v>
      </c>
      <c r="O272" t="s">
        <v>103</v>
      </c>
      <c r="P272" t="s">
        <v>94</v>
      </c>
      <c r="R272" t="s">
        <v>98</v>
      </c>
      <c r="T272" t="s">
        <v>96</v>
      </c>
      <c r="U272" t="s">
        <v>101</v>
      </c>
      <c r="W272" t="s">
        <v>98</v>
      </c>
      <c r="X272" t="s">
        <v>105</v>
      </c>
      <c r="Y272" t="s">
        <v>96</v>
      </c>
      <c r="Z272" t="s">
        <v>101</v>
      </c>
      <c r="AB272" t="s">
        <v>98</v>
      </c>
      <c r="AC272" t="s">
        <v>105</v>
      </c>
      <c r="AD272" t="s">
        <v>96</v>
      </c>
      <c r="AE272" t="s">
        <v>101</v>
      </c>
    </row>
    <row r="273" spans="1:31" s="18" customFormat="1" x14ac:dyDescent="0.25">
      <c r="A273" s="16">
        <f>K249</f>
        <v>-108.853802183863</v>
      </c>
      <c r="B273" s="23">
        <f>AQ249/1000000000</f>
        <v>9.9171869E-4</v>
      </c>
      <c r="C273" s="24" t="str">
        <f>AO249</f>
        <v>04:-125--100</v>
      </c>
      <c r="D273" s="17">
        <f>E249</f>
        <v>1.0083504526031401E-8</v>
      </c>
      <c r="E273" s="17">
        <f>Z249+AA249+AB249+AC249+AD249</f>
        <v>4.2993896401019617E-3</v>
      </c>
      <c r="F273" s="23">
        <f t="shared" ref="F273:F285" si="87">D273/E273</f>
        <v>2.3453339590296511E-6</v>
      </c>
      <c r="G273" s="24">
        <f t="shared" ref="G273:G285" si="88">(1-(1-D273)^12)*100</f>
        <v>1.2100204682674587E-5</v>
      </c>
      <c r="H273" s="24">
        <f t="shared" ref="H273:H285" si="89">(1-(1-E273)^12)*100</f>
        <v>5.038999821258761</v>
      </c>
      <c r="K273" s="16" t="e">
        <f>VLOOKUP(C273,$C$26:$M$44,9,0)</f>
        <v>#N/A</v>
      </c>
      <c r="L273" s="16" t="e">
        <f>VLOOKUP(C273,$C$26:$M$44,10,0)</f>
        <v>#N/A</v>
      </c>
      <c r="M273" s="16" t="e">
        <f>VLOOKUP(C273,$C$26:$M$44,11,0)</f>
        <v>#N/A</v>
      </c>
      <c r="N273" s="17" t="e">
        <f>Z249+AA249+AB249*K273+AC249*L273+AD249*M273</f>
        <v>#N/A</v>
      </c>
      <c r="O273" s="24" t="e">
        <f t="shared" ref="O273:O285" si="90">100*(1-(1-N273)^12)</f>
        <v>#N/A</v>
      </c>
      <c r="P273" s="25" t="e">
        <f t="shared" ref="P273:P285" si="91">D273/N273</f>
        <v>#N/A</v>
      </c>
      <c r="S273" s="19">
        <f>A273</f>
        <v>-108.853802183863</v>
      </c>
      <c r="T273" s="17">
        <f>VLOOKUP(ROUNDDOWN(S273,0),'Spline Pre-Adj'!A:B,2,0)</f>
        <v>1.019055168</v>
      </c>
      <c r="U273" s="17" t="e">
        <f>T273*K273</f>
        <v>#N/A</v>
      </c>
      <c r="Y273" s="17"/>
      <c r="Z273" s="17"/>
      <c r="AE273" s="17"/>
    </row>
    <row r="274" spans="1:31" s="18" customFormat="1" x14ac:dyDescent="0.25">
      <c r="A274" s="16">
        <f>K250</f>
        <v>-83.205890832494603</v>
      </c>
      <c r="B274" s="23">
        <f>AQ250/1000000000</f>
        <v>6.2183809900000003E-3</v>
      </c>
      <c r="C274" s="24" t="str">
        <f>AO250</f>
        <v>05:-100--75</v>
      </c>
      <c r="D274" s="17">
        <f>E250</f>
        <v>6.8667181026693799E-3</v>
      </c>
      <c r="E274" s="17">
        <f>Z250+AA250+AB250+AC250+AD250</f>
        <v>9.6574410877531269E-3</v>
      </c>
      <c r="F274" s="23">
        <f t="shared" si="87"/>
        <v>0.71102873320938598</v>
      </c>
      <c r="G274" s="24">
        <f t="shared" si="88"/>
        <v>7.9358739953947595</v>
      </c>
      <c r="H274" s="24">
        <f t="shared" si="89"/>
        <v>10.992764268997989</v>
      </c>
      <c r="K274" s="16">
        <f t="shared" ref="K274:K288" si="92">VLOOKUP(C274,$C$26:$M$44,9,0)</f>
        <v>1</v>
      </c>
      <c r="L274" s="16">
        <f t="shared" ref="L274:L288" si="93">VLOOKUP(C274,$C$26:$M$44,10,0)</f>
        <v>1</v>
      </c>
      <c r="M274" s="16">
        <f t="shared" ref="M274:M288" si="94">VLOOKUP(C274,$C$26:$M$44,11,0)</f>
        <v>1</v>
      </c>
      <c r="N274" s="17">
        <f>Z250+AA250+AB250*K274+AC250*L274+AD250*M274</f>
        <v>9.6574410877531269E-3</v>
      </c>
      <c r="O274" s="24">
        <f t="shared" si="90"/>
        <v>10.992764268997989</v>
      </c>
      <c r="P274" s="25">
        <f t="shared" si="91"/>
        <v>0.71102873320938598</v>
      </c>
      <c r="S274" s="19">
        <f t="shared" ref="S274:S281" si="95">A274</f>
        <v>-83.205890832494603</v>
      </c>
      <c r="T274" s="17">
        <f>VLOOKUP(ROUNDDOWN(S274,0),'Spline Pre-Adj'!A:B,2,0)</f>
        <v>1.135228248</v>
      </c>
      <c r="U274" s="17">
        <f t="shared" ref="U274:U281" si="96">T274*K274</f>
        <v>1.135228248</v>
      </c>
      <c r="X274" s="19">
        <f>A274</f>
        <v>-83.205890832494603</v>
      </c>
      <c r="Y274" s="17">
        <f>VLOOKUP(ROUNDDOWN(X274,0),'Spline Pre-Adj'!F:G,2,0)</f>
        <v>3.1256266951590402E-2</v>
      </c>
      <c r="Z274" s="17">
        <f t="shared" ref="Z274:Z285" si="97">Y274*L274</f>
        <v>3.1256266951590402E-2</v>
      </c>
      <c r="AE274" s="17"/>
    </row>
    <row r="275" spans="1:31" s="18" customFormat="1" x14ac:dyDescent="0.25">
      <c r="A275" s="16">
        <f>K251</f>
        <v>-56.9058788127074</v>
      </c>
      <c r="B275" s="23">
        <f>AQ251/1000000000</f>
        <v>0.13952714208</v>
      </c>
      <c r="C275" s="24" t="str">
        <f>AO251</f>
        <v>06:-75--50</v>
      </c>
      <c r="D275" s="17">
        <f>E251</f>
        <v>1.5380346705518499E-3</v>
      </c>
      <c r="E275" s="17">
        <f>Z251+AA251+AB251+AC251+AD251</f>
        <v>4.6880464146613933E-3</v>
      </c>
      <c r="F275" s="23">
        <f t="shared" si="87"/>
        <v>0.32807581975762895</v>
      </c>
      <c r="G275" s="24">
        <f t="shared" si="88"/>
        <v>1.8301087366494606</v>
      </c>
      <c r="H275" s="24">
        <f t="shared" si="89"/>
        <v>5.4828453463806941</v>
      </c>
      <c r="K275" s="16">
        <f>VLOOKUP(C275,$C$26:$M$44,9,0)</f>
        <v>1</v>
      </c>
      <c r="L275" s="16">
        <f t="shared" si="93"/>
        <v>1</v>
      </c>
      <c r="M275" s="16">
        <f t="shared" si="94"/>
        <v>1</v>
      </c>
      <c r="N275" s="17">
        <f>Z251+AA251+AB251*K275+AC251*L275+AD251*M275</f>
        <v>4.6880464146613933E-3</v>
      </c>
      <c r="O275" s="24">
        <f t="shared" si="90"/>
        <v>5.4828453463806941</v>
      </c>
      <c r="P275" s="25">
        <f t="shared" si="91"/>
        <v>0.32807581975762895</v>
      </c>
      <c r="S275" s="19">
        <f t="shared" si="95"/>
        <v>-56.9058788127074</v>
      </c>
      <c r="T275" s="17">
        <f>VLOOKUP(ROUNDDOWN(S275,0),'Spline Pre-Adj'!A:B,2,0)</f>
        <v>1.2795488639999999</v>
      </c>
      <c r="U275" s="17">
        <f t="shared" si="96"/>
        <v>1.2795488639999999</v>
      </c>
      <c r="X275" s="19">
        <f t="shared" ref="X275:X285" si="98">A275</f>
        <v>-56.9058788127074</v>
      </c>
      <c r="Y275" s="17">
        <f>VLOOKUP(ROUNDDOWN(X275,0),'Spline Pre-Adj'!F:G,2,0)</f>
        <v>0.18862313043478299</v>
      </c>
      <c r="Z275" s="17">
        <f t="shared" si="97"/>
        <v>0.18862313043478299</v>
      </c>
      <c r="AE275" s="17"/>
    </row>
    <row r="276" spans="1:31" s="18" customFormat="1" x14ac:dyDescent="0.25">
      <c r="A276" s="16">
        <f>K252</f>
        <v>-33.387746159817397</v>
      </c>
      <c r="B276" s="23">
        <f>AQ252/1000000000</f>
        <v>1.6254859237599999</v>
      </c>
      <c r="C276" s="24" t="str">
        <f>AO252</f>
        <v>07:-50--25</v>
      </c>
      <c r="D276" s="17">
        <f>E252</f>
        <v>2.88456049451831E-3</v>
      </c>
      <c r="E276" s="17">
        <f>Z252+AA252+AB252+AC252+AD252</f>
        <v>6.1327661894429531E-3</v>
      </c>
      <c r="F276" s="23">
        <f t="shared" si="87"/>
        <v>0.47035226933709634</v>
      </c>
      <c r="G276" s="24">
        <f t="shared" si="88"/>
        <v>3.4070806667749864</v>
      </c>
      <c r="H276" s="24">
        <f t="shared" si="89"/>
        <v>7.116093152816461</v>
      </c>
      <c r="K276" s="14">
        <f t="shared" si="92"/>
        <v>1</v>
      </c>
      <c r="L276" s="14">
        <f t="shared" si="93"/>
        <v>1</v>
      </c>
      <c r="M276" s="14">
        <f t="shared" si="94"/>
        <v>1</v>
      </c>
      <c r="N276" s="17">
        <f>Z252+AA252+AB252*K276+AC252*L276+AD252*M276</f>
        <v>6.1327661894429531E-3</v>
      </c>
      <c r="O276" s="24">
        <f t="shared" si="90"/>
        <v>7.116093152816461</v>
      </c>
      <c r="P276" s="25">
        <f t="shared" si="91"/>
        <v>0.47035226933709634</v>
      </c>
      <c r="S276" s="19">
        <f t="shared" si="95"/>
        <v>-33.387746159817397</v>
      </c>
      <c r="T276" s="17">
        <f>VLOOKUP(ROUNDDOWN(S276,0),'Spline Pre-Adj'!A:B,2,0)</f>
        <v>1.2869999999999999</v>
      </c>
      <c r="U276" s="17">
        <f t="shared" si="96"/>
        <v>1.2869999999999999</v>
      </c>
      <c r="X276" s="19">
        <f t="shared" si="98"/>
        <v>-33.387746159817397</v>
      </c>
      <c r="Y276" s="17">
        <f>VLOOKUP(ROUNDDOWN(X276,0),'Spline Pre-Adj'!F:G,2,0)</f>
        <v>0.30615060763888902</v>
      </c>
      <c r="Z276" s="17">
        <f t="shared" si="97"/>
        <v>0.30615060763888902</v>
      </c>
      <c r="AC276" s="19">
        <f t="shared" ref="AC276:AC285" si="99">A276</f>
        <v>-33.387746159817397</v>
      </c>
      <c r="AD276" s="17">
        <f>VLOOKUP(ROUNDDOWN(AC276,0),'Spline Pre-Adj'!K:L,2,0)</f>
        <v>0.39387319081357403</v>
      </c>
      <c r="AE276" s="17">
        <f t="shared" ref="AE276:AE285" si="100">AD276*M276</f>
        <v>0.39387319081357403</v>
      </c>
    </row>
    <row r="277" spans="1:31" x14ac:dyDescent="0.25">
      <c r="A277" s="4">
        <f>K253</f>
        <v>-9.3601744294780893</v>
      </c>
      <c r="B277" s="3">
        <f>AQ253/1000000000</f>
        <v>9.6440229075200001</v>
      </c>
      <c r="C277" s="2" t="str">
        <f>AO253</f>
        <v>08:-25-0</v>
      </c>
      <c r="D277" s="8">
        <f>E253</f>
        <v>7.5441935107328799E-3</v>
      </c>
      <c r="E277" s="8">
        <f>Z253+AA253+AB253+AC253+AD253</f>
        <v>1.1527165416926189E-2</v>
      </c>
      <c r="F277" s="3">
        <f t="shared" si="87"/>
        <v>0.65447082937277734</v>
      </c>
      <c r="G277" s="2">
        <f t="shared" si="88"/>
        <v>8.6866820253213799</v>
      </c>
      <c r="H277" s="2">
        <f t="shared" si="89"/>
        <v>12.988458780187507</v>
      </c>
      <c r="K277" s="4">
        <f t="shared" si="92"/>
        <v>1</v>
      </c>
      <c r="L277" s="4">
        <f t="shared" si="93"/>
        <v>1</v>
      </c>
      <c r="M277" s="14">
        <f t="shared" si="94"/>
        <v>1</v>
      </c>
      <c r="N277" s="8">
        <f>Z253+AA253+AB253*K277+AC253*L277+AD253*M277</f>
        <v>1.1527165416926189E-2</v>
      </c>
      <c r="O277" s="2">
        <f t="shared" si="90"/>
        <v>12.988458780187507</v>
      </c>
      <c r="P277" s="7">
        <f t="shared" si="91"/>
        <v>0.65447082937277734</v>
      </c>
      <c r="S277" s="9">
        <f t="shared" si="95"/>
        <v>-9.3601744294780893</v>
      </c>
      <c r="T277" s="8">
        <f>VLOOKUP(ROUNDDOWN(S277,0),'Spline Pre-Adj'!A:B,2,0)</f>
        <v>1.2869999999999999</v>
      </c>
      <c r="U277" s="8">
        <f t="shared" si="96"/>
        <v>1.2869999999999999</v>
      </c>
      <c r="X277" s="9">
        <f t="shared" si="98"/>
        <v>-9.3601744294780893</v>
      </c>
      <c r="Y277" s="8">
        <f>VLOOKUP(ROUNDDOWN(X277,0),'Spline Pre-Adj'!F:G,2,0)</f>
        <v>0.51930077356521698</v>
      </c>
      <c r="Z277" s="8">
        <f t="shared" si="97"/>
        <v>0.51930077356521698</v>
      </c>
      <c r="AC277" s="9">
        <f t="shared" si="99"/>
        <v>-9.3601744294780893</v>
      </c>
      <c r="AD277" s="8">
        <f>VLOOKUP(ROUNDDOWN(AC277,0),'Spline Pre-Adj'!K:L,2,0)</f>
        <v>1.1530058138744601</v>
      </c>
      <c r="AE277" s="8">
        <f t="shared" si="100"/>
        <v>1.1530058138744601</v>
      </c>
    </row>
    <row r="278" spans="1:31" x14ac:dyDescent="0.25">
      <c r="A278" s="4">
        <f t="shared" ref="A278:A285" si="101">K254</f>
        <v>15.1591449142802</v>
      </c>
      <c r="B278" s="3">
        <f t="shared" ref="B278:B285" si="102">AQ254/1000000000</f>
        <v>38.877996270920001</v>
      </c>
      <c r="C278" s="2" t="str">
        <f t="shared" ref="C278:C285" si="103">AO254</f>
        <v>09:0-25</v>
      </c>
      <c r="D278" s="8">
        <f t="shared" ref="D278:D285" si="104">E254</f>
        <v>1.7026882006178599E-2</v>
      </c>
      <c r="E278" s="8">
        <f t="shared" ref="E278:E285" si="105">Z254+AA254+AB254+AC254+AD254</f>
        <v>1.6602148561450907E-2</v>
      </c>
      <c r="F278" s="3">
        <f t="shared" si="87"/>
        <v>1.0255830408429121</v>
      </c>
      <c r="G278" s="2">
        <f t="shared" si="88"/>
        <v>18.623371498250151</v>
      </c>
      <c r="H278" s="2">
        <f t="shared" si="89"/>
        <v>18.200422385994763</v>
      </c>
      <c r="K278" s="4">
        <f t="shared" si="92"/>
        <v>1</v>
      </c>
      <c r="L278" s="4">
        <f t="shared" si="93"/>
        <v>1</v>
      </c>
      <c r="M278" s="4">
        <f t="shared" si="94"/>
        <v>1</v>
      </c>
      <c r="N278" s="8">
        <f t="shared" ref="N278:N285" si="106">Z254+AA254+AB254*K278+AC254*L278+AD254*M278</f>
        <v>1.6602148561450907E-2</v>
      </c>
      <c r="O278" s="2">
        <f t="shared" si="90"/>
        <v>18.200422385994763</v>
      </c>
      <c r="P278" s="7">
        <f t="shared" si="91"/>
        <v>1.0255830408429121</v>
      </c>
      <c r="S278" s="9">
        <f t="shared" si="95"/>
        <v>15.1591449142802</v>
      </c>
      <c r="T278" s="8">
        <f>VLOOKUP(ROUNDDOWN(S278,0),'Spline Pre-Adj'!A:B,2,0)</f>
        <v>1.2869999999999999</v>
      </c>
      <c r="U278" s="8">
        <f t="shared" si="96"/>
        <v>1.2869999999999999</v>
      </c>
      <c r="X278" s="9">
        <f t="shared" si="98"/>
        <v>15.1591449142802</v>
      </c>
      <c r="Y278" s="8">
        <f>VLOOKUP(ROUNDDOWN(X278,0),'Spline Pre-Adj'!F:G,2,0)</f>
        <v>0.98856376263664003</v>
      </c>
      <c r="Z278" s="8">
        <f t="shared" si="97"/>
        <v>0.98856376263664003</v>
      </c>
      <c r="AC278" s="9">
        <f t="shared" si="99"/>
        <v>15.1591449142802</v>
      </c>
      <c r="AD278" s="8">
        <f>VLOOKUP(ROUNDDOWN(AC278,0),'Spline Pre-Adj'!K:L,2,0)</f>
        <v>1.7164152091598801</v>
      </c>
      <c r="AE278" s="8">
        <f t="shared" si="100"/>
        <v>1.7164152091598801</v>
      </c>
    </row>
    <row r="279" spans="1:31" x14ac:dyDescent="0.25">
      <c r="A279" s="4">
        <f t="shared" si="101"/>
        <v>37.381477333595498</v>
      </c>
      <c r="B279" s="3">
        <f t="shared" si="102"/>
        <v>61.812420548949994</v>
      </c>
      <c r="C279" s="2" t="str">
        <f t="shared" si="103"/>
        <v>10:25-50</v>
      </c>
      <c r="D279" s="8">
        <f t="shared" si="104"/>
        <v>2.9487089441179299E-2</v>
      </c>
      <c r="E279" s="8">
        <f t="shared" si="105"/>
        <v>2.3632306779932197E-2</v>
      </c>
      <c r="F279" s="3">
        <f t="shared" si="87"/>
        <v>1.247744865356047</v>
      </c>
      <c r="G279" s="2">
        <f t="shared" si="88"/>
        <v>30.174218473375369</v>
      </c>
      <c r="H279" s="2">
        <f t="shared" si="89"/>
        <v>24.948252515567503</v>
      </c>
      <c r="K279" s="4">
        <f t="shared" si="92"/>
        <v>1</v>
      </c>
      <c r="L279" s="4">
        <f t="shared" si="93"/>
        <v>1</v>
      </c>
      <c r="M279" s="4">
        <f t="shared" si="94"/>
        <v>1.08</v>
      </c>
      <c r="N279" s="8">
        <f t="shared" si="106"/>
        <v>2.5242278357811815E-2</v>
      </c>
      <c r="O279" s="2">
        <f t="shared" si="90"/>
        <v>26.419927709652779</v>
      </c>
      <c r="P279" s="7">
        <f t="shared" si="91"/>
        <v>1.1681627554849394</v>
      </c>
      <c r="S279" s="9">
        <f t="shared" si="95"/>
        <v>37.381477333595498</v>
      </c>
      <c r="T279" s="8">
        <f>VLOOKUP(ROUNDDOWN(S279,0),'Spline Pre-Adj'!A:B,2,0)</f>
        <v>1.2869999999999999</v>
      </c>
      <c r="U279" s="8">
        <f t="shared" si="96"/>
        <v>1.2869999999999999</v>
      </c>
      <c r="X279" s="9">
        <f t="shared" si="98"/>
        <v>37.381477333595498</v>
      </c>
      <c r="Y279" s="8">
        <f>VLOOKUP(ROUNDDOWN(X279,0),'Spline Pre-Adj'!F:G,2,0)</f>
        <v>1.89537379409471</v>
      </c>
      <c r="Z279" s="8">
        <f t="shared" si="97"/>
        <v>1.89537379409471</v>
      </c>
      <c r="AC279" s="9">
        <f t="shared" si="99"/>
        <v>37.381477333595498</v>
      </c>
      <c r="AD279" s="8">
        <f>VLOOKUP(ROUNDDOWN(AC279,0),'Spline Pre-Adj'!K:L,2,0)</f>
        <v>2.4264029166777901</v>
      </c>
      <c r="AE279" s="8">
        <f t="shared" si="100"/>
        <v>2.6205151500120136</v>
      </c>
    </row>
    <row r="280" spans="1:31" x14ac:dyDescent="0.25">
      <c r="A280" s="4">
        <f t="shared" si="101"/>
        <v>62.663678760894598</v>
      </c>
      <c r="B280" s="3">
        <f t="shared" si="102"/>
        <v>60.843637054730003</v>
      </c>
      <c r="C280" s="2" t="str">
        <f t="shared" si="103"/>
        <v>11:50-75</v>
      </c>
      <c r="D280" s="8">
        <f t="shared" si="104"/>
        <v>3.9074331791410698E-2</v>
      </c>
      <c r="E280" s="8">
        <f t="shared" si="105"/>
        <v>3.1249808154740953E-2</v>
      </c>
      <c r="F280" s="3">
        <f t="shared" si="87"/>
        <v>1.2503862935069787</v>
      </c>
      <c r="G280" s="2">
        <f t="shared" si="88"/>
        <v>38.016294907704427</v>
      </c>
      <c r="H280" s="2">
        <f t="shared" si="89"/>
        <v>31.680981536935938</v>
      </c>
      <c r="K280" s="4">
        <f t="shared" si="92"/>
        <v>1</v>
      </c>
      <c r="L280" s="4">
        <f t="shared" si="93"/>
        <v>1</v>
      </c>
      <c r="M280" s="4">
        <f t="shared" si="94"/>
        <v>1.21</v>
      </c>
      <c r="N280" s="8">
        <f t="shared" si="106"/>
        <v>3.7041709234153827E-2</v>
      </c>
      <c r="O280" s="2">
        <f t="shared" si="90"/>
        <v>36.424509454651819</v>
      </c>
      <c r="P280" s="7">
        <f t="shared" si="91"/>
        <v>1.0548738867423191</v>
      </c>
      <c r="S280" s="9">
        <f t="shared" si="95"/>
        <v>62.663678760894598</v>
      </c>
      <c r="T280" s="8">
        <f>VLOOKUP(ROUNDDOWN(S280,0),'Spline Pre-Adj'!A:B,2,0)</f>
        <v>1.2869999999999999</v>
      </c>
      <c r="U280" s="8">
        <f t="shared" si="96"/>
        <v>1.2869999999999999</v>
      </c>
      <c r="X280" s="9">
        <f t="shared" si="98"/>
        <v>62.663678760894598</v>
      </c>
      <c r="Y280" s="8">
        <f>VLOOKUP(ROUNDDOWN(X280,0),'Spline Pre-Adj'!F:G,2,0)</f>
        <v>3.3799457765415402</v>
      </c>
      <c r="Z280" s="8">
        <f t="shared" si="97"/>
        <v>3.3799457765415402</v>
      </c>
      <c r="AC280" s="9">
        <f t="shared" si="99"/>
        <v>62.663678760894598</v>
      </c>
      <c r="AD280" s="8">
        <f>VLOOKUP(ROUNDDOWN(AC280,0),'Spline Pre-Adj'!K:L,2,0)</f>
        <v>3.3536482047599101</v>
      </c>
      <c r="AE280" s="8">
        <f t="shared" si="100"/>
        <v>4.0579143277594909</v>
      </c>
    </row>
    <row r="281" spans="1:31" x14ac:dyDescent="0.25">
      <c r="A281" s="4">
        <f t="shared" si="101"/>
        <v>86.082845729492504</v>
      </c>
      <c r="B281" s="3">
        <f t="shared" si="102"/>
        <v>45.520078180980001</v>
      </c>
      <c r="C281" s="2" t="str">
        <f t="shared" si="103"/>
        <v>12:75-100</v>
      </c>
      <c r="D281" s="8">
        <f t="shared" si="104"/>
        <v>4.4950259457577503E-2</v>
      </c>
      <c r="E281" s="8">
        <f t="shared" si="105"/>
        <v>3.7163388988819601E-2</v>
      </c>
      <c r="F281" s="3">
        <f t="shared" si="87"/>
        <v>1.209530688148504</v>
      </c>
      <c r="G281" s="2">
        <f t="shared" si="88"/>
        <v>42.414665854834354</v>
      </c>
      <c r="H281" s="2">
        <f t="shared" si="89"/>
        <v>36.520843547049672</v>
      </c>
      <c r="K281" s="4">
        <f t="shared" si="92"/>
        <v>1</v>
      </c>
      <c r="L281" s="4">
        <f t="shared" si="93"/>
        <v>1</v>
      </c>
      <c r="M281" s="4">
        <f t="shared" si="94"/>
        <v>1.24</v>
      </c>
      <c r="N281" s="8">
        <f t="shared" si="106"/>
        <v>4.5163822461939951E-2</v>
      </c>
      <c r="O281" s="2">
        <f t="shared" si="90"/>
        <v>42.568998964803761</v>
      </c>
      <c r="P281" s="7">
        <f t="shared" si="91"/>
        <v>0.99527137003201138</v>
      </c>
      <c r="S281" s="9">
        <f t="shared" si="95"/>
        <v>86.082845729492504</v>
      </c>
      <c r="T281" s="8">
        <f>VLOOKUP(ROUNDDOWN(S281,0),'Spline Pre-Adj'!A:B,2,0)</f>
        <v>1.2869999999999999</v>
      </c>
      <c r="U281" s="8">
        <f t="shared" si="96"/>
        <v>1.2869999999999999</v>
      </c>
      <c r="X281" s="9">
        <f t="shared" si="98"/>
        <v>86.082845729492504</v>
      </c>
      <c r="Y281" s="8">
        <f>VLOOKUP(ROUNDDOWN(X281,0),'Spline Pre-Adj'!F:G,2,0)</f>
        <v>4.7646640542534699</v>
      </c>
      <c r="Z281" s="8">
        <f t="shared" si="97"/>
        <v>4.7646640542534699</v>
      </c>
      <c r="AC281" s="9">
        <f t="shared" si="99"/>
        <v>86.082845729492504</v>
      </c>
      <c r="AD281" s="8">
        <f>VLOOKUP(ROUNDDOWN(AC281,0),'Spline Pre-Adj'!K:L,2,0)</f>
        <v>4.1191352784208304</v>
      </c>
      <c r="AE281" s="8">
        <f t="shared" si="100"/>
        <v>5.1077277452418297</v>
      </c>
    </row>
    <row r="282" spans="1:31" x14ac:dyDescent="0.25">
      <c r="A282" s="4">
        <f t="shared" si="101"/>
        <v>111.90841165136</v>
      </c>
      <c r="B282" s="3">
        <f t="shared" si="102"/>
        <v>28.02440421416</v>
      </c>
      <c r="C282" s="2" t="str">
        <f t="shared" si="103"/>
        <v>13:100-125</v>
      </c>
      <c r="D282" s="8">
        <f t="shared" si="104"/>
        <v>4.5557353178631299E-2</v>
      </c>
      <c r="E282" s="8">
        <f t="shared" si="105"/>
        <v>4.2371681889710452E-2</v>
      </c>
      <c r="F282" s="3">
        <f t="shared" si="87"/>
        <v>1.0751839706814768</v>
      </c>
      <c r="G282" s="2">
        <f t="shared" si="88"/>
        <v>42.852394616922126</v>
      </c>
      <c r="H282" s="2">
        <f t="shared" si="89"/>
        <v>40.520985823687106</v>
      </c>
      <c r="K282" s="4">
        <f t="shared" si="92"/>
        <v>1</v>
      </c>
      <c r="L282" s="4">
        <f t="shared" si="93"/>
        <v>1</v>
      </c>
      <c r="M282" s="4">
        <f t="shared" si="94"/>
        <v>1.17</v>
      </c>
      <c r="N282" s="8">
        <f t="shared" si="106"/>
        <v>4.8871645800394374E-2</v>
      </c>
      <c r="O282" s="2">
        <f t="shared" si="90"/>
        <v>45.188770501834256</v>
      </c>
      <c r="P282" s="7">
        <f t="shared" si="91"/>
        <v>0.93218373215218531</v>
      </c>
      <c r="S282" s="9">
        <f>A282</f>
        <v>111.90841165136</v>
      </c>
      <c r="T282" s="8">
        <f>VLOOKUP(ROUNDDOWN(S282,0),'Spline Pre-Adj'!A:B,2,0)</f>
        <v>1.2869999999999999</v>
      </c>
      <c r="U282" s="8">
        <f>T282*K282</f>
        <v>1.2869999999999999</v>
      </c>
      <c r="X282" s="9">
        <f t="shared" si="98"/>
        <v>111.90841165136</v>
      </c>
      <c r="Y282" s="8">
        <f>VLOOKUP(ROUNDDOWN(X282,0),'Spline Pre-Adj'!F:G,2,0)</f>
        <v>6.2168084690133298</v>
      </c>
      <c r="Z282" s="8">
        <f t="shared" si="97"/>
        <v>6.2168084690133298</v>
      </c>
      <c r="AC282" s="9">
        <f t="shared" si="99"/>
        <v>111.90841165136</v>
      </c>
      <c r="AD282" s="8">
        <f>VLOOKUP(ROUNDDOWN(AC282,0),'Spline Pre-Adj'!K:L,2,0)</f>
        <v>4.7299139704548203</v>
      </c>
      <c r="AE282" s="8">
        <f t="shared" si="100"/>
        <v>5.5339993454321394</v>
      </c>
    </row>
    <row r="283" spans="1:31" x14ac:dyDescent="0.25">
      <c r="A283" s="4">
        <f t="shared" si="101"/>
        <v>134.28081895348899</v>
      </c>
      <c r="B283" s="3">
        <f t="shared" si="102"/>
        <v>12.69356174963</v>
      </c>
      <c r="C283" s="2" t="str">
        <f t="shared" si="103"/>
        <v>14:125-150</v>
      </c>
      <c r="D283" s="8">
        <f t="shared" si="104"/>
        <v>4.8309837936262902E-2</v>
      </c>
      <c r="E283" s="8">
        <f t="shared" si="105"/>
        <v>4.7282236684597106E-2</v>
      </c>
      <c r="F283" s="3">
        <f t="shared" si="87"/>
        <v>1.0217333468913612</v>
      </c>
      <c r="G283" s="2">
        <f t="shared" si="88"/>
        <v>44.798998302592217</v>
      </c>
      <c r="H283" s="2">
        <f t="shared" si="89"/>
        <v>44.079486340897233</v>
      </c>
      <c r="K283" s="4">
        <f t="shared" si="92"/>
        <v>1</v>
      </c>
      <c r="L283" s="4">
        <f t="shared" si="93"/>
        <v>1</v>
      </c>
      <c r="M283" s="4">
        <f t="shared" si="94"/>
        <v>1.1000000000000001</v>
      </c>
      <c r="N283" s="8">
        <f t="shared" si="106"/>
        <v>5.159466554588342E-2</v>
      </c>
      <c r="O283" s="2">
        <f t="shared" si="90"/>
        <v>47.042453424526855</v>
      </c>
      <c r="P283" s="7">
        <f t="shared" si="91"/>
        <v>0.93633396834990035</v>
      </c>
      <c r="X283" s="9">
        <f t="shared" si="98"/>
        <v>134.28081895348899</v>
      </c>
      <c r="Y283" s="8">
        <f>VLOOKUP(ROUNDDOWN(X283,0),'Spline Pre-Adj'!F:G,2,0)</f>
        <v>7.60662891263856</v>
      </c>
      <c r="Z283" s="8">
        <f t="shared" si="97"/>
        <v>7.60662891263856</v>
      </c>
      <c r="AC283" s="9">
        <f t="shared" si="99"/>
        <v>134.28081895348899</v>
      </c>
      <c r="AD283" s="8">
        <f>VLOOKUP(ROUNDDOWN(AC283,0),'Spline Pre-Adj'!K:L,2,0)</f>
        <v>5.2051069926153799</v>
      </c>
      <c r="AE283" s="8">
        <f t="shared" si="100"/>
        <v>5.7256176918769182</v>
      </c>
    </row>
    <row r="284" spans="1:31" x14ac:dyDescent="0.25">
      <c r="A284" s="4">
        <f t="shared" si="101"/>
        <v>160.877956975899</v>
      </c>
      <c r="B284" s="3">
        <f t="shared" si="102"/>
        <v>2.58937783442</v>
      </c>
      <c r="C284" s="2" t="str">
        <f t="shared" si="103"/>
        <v>15:150-175</v>
      </c>
      <c r="D284" s="8">
        <f t="shared" si="104"/>
        <v>4.4336648122120299E-2</v>
      </c>
      <c r="E284" s="8">
        <f t="shared" si="105"/>
        <v>5.0944964965400186E-2</v>
      </c>
      <c r="F284" s="3">
        <f t="shared" si="87"/>
        <v>0.87028518229882001</v>
      </c>
      <c r="G284" s="2">
        <f t="shared" si="88"/>
        <v>41.969116557867217</v>
      </c>
      <c r="H284" s="2">
        <f t="shared" si="89"/>
        <v>46.605469626008542</v>
      </c>
      <c r="K284" s="4">
        <f t="shared" si="92"/>
        <v>1</v>
      </c>
      <c r="L284" s="4">
        <f t="shared" si="93"/>
        <v>1</v>
      </c>
      <c r="M284" s="4">
        <f t="shared" si="94"/>
        <v>1.05</v>
      </c>
      <c r="N284" s="8">
        <f t="shared" si="106"/>
        <v>5.3261928677557566E-2</v>
      </c>
      <c r="O284" s="2">
        <f t="shared" si="90"/>
        <v>48.1488847630553</v>
      </c>
      <c r="P284" s="7">
        <f t="shared" si="91"/>
        <v>0.83242663611620171</v>
      </c>
      <c r="X284" s="9">
        <f t="shared" si="98"/>
        <v>160.877956975899</v>
      </c>
      <c r="Y284" s="8">
        <f>VLOOKUP(ROUNDDOWN(X284,0),'Spline Pre-Adj'!F:G,2,0)</f>
        <v>8.7434835551418502</v>
      </c>
      <c r="Z284" s="8">
        <f t="shared" si="97"/>
        <v>8.7434835551418502</v>
      </c>
      <c r="AC284" s="9">
        <f t="shared" si="99"/>
        <v>160.877956975899</v>
      </c>
      <c r="AD284" s="8">
        <f>VLOOKUP(ROUNDDOWN(AC284,0),'Spline Pre-Adj'!K:L,2,0)</f>
        <v>5.6662697466415004</v>
      </c>
      <c r="AE284" s="8">
        <f t="shared" si="100"/>
        <v>5.9495832339735752</v>
      </c>
    </row>
    <row r="285" spans="1:31" x14ac:dyDescent="0.25">
      <c r="A285" s="4">
        <f t="shared" si="101"/>
        <v>183.233073537423</v>
      </c>
      <c r="B285" s="3">
        <f t="shared" si="102"/>
        <v>0.68773879821000006</v>
      </c>
      <c r="C285" s="2" t="str">
        <f t="shared" si="103"/>
        <v>16:175-200</v>
      </c>
      <c r="D285" s="8">
        <f t="shared" si="104"/>
        <v>5.3972959964105303E-2</v>
      </c>
      <c r="E285" s="8">
        <f t="shared" si="105"/>
        <v>5.7168674485127705E-2</v>
      </c>
      <c r="F285" s="3">
        <f t="shared" si="87"/>
        <v>0.94410025158351785</v>
      </c>
      <c r="G285" s="2">
        <f t="shared" si="88"/>
        <v>48.614261930598261</v>
      </c>
      <c r="H285" s="2">
        <f t="shared" si="89"/>
        <v>50.658989222407612</v>
      </c>
      <c r="K285" s="4">
        <f t="shared" si="92"/>
        <v>1</v>
      </c>
      <c r="L285" s="4">
        <f t="shared" si="93"/>
        <v>1</v>
      </c>
      <c r="M285" s="4">
        <f t="shared" si="94"/>
        <v>1.01</v>
      </c>
      <c r="N285" s="8">
        <f t="shared" si="106"/>
        <v>5.7689951790329146E-2</v>
      </c>
      <c r="O285" s="2">
        <f t="shared" si="90"/>
        <v>50.985354461582347</v>
      </c>
      <c r="P285" s="7">
        <f t="shared" si="91"/>
        <v>0.93556951061888494</v>
      </c>
      <c r="X285" s="9">
        <f t="shared" si="98"/>
        <v>183.233073537423</v>
      </c>
      <c r="Y285" s="8">
        <f>VLOOKUP(ROUNDDOWN(X285,0),'Spline Pre-Adj'!F:G,2,0)</f>
        <v>8.8912890705385497</v>
      </c>
      <c r="Z285" s="8">
        <f t="shared" si="97"/>
        <v>8.8912890705385497</v>
      </c>
      <c r="AC285" s="9">
        <f t="shared" si="99"/>
        <v>183.233073537423</v>
      </c>
      <c r="AD285" s="8">
        <f>VLOOKUP(ROUNDDOWN(AC285,0),'Spline Pre-Adj'!K:L,2,0)</f>
        <v>6.0276934430763003</v>
      </c>
      <c r="AE285" s="8">
        <f t="shared" si="100"/>
        <v>6.0879703775070633</v>
      </c>
    </row>
    <row r="286" spans="1:31" x14ac:dyDescent="0.25">
      <c r="A286" s="4"/>
      <c r="B286" s="3"/>
      <c r="C286" s="2"/>
      <c r="D286" s="8"/>
      <c r="E286" s="8"/>
      <c r="F286" s="3"/>
      <c r="G286" s="2"/>
      <c r="H286" s="2"/>
      <c r="K286" s="16" t="e">
        <f t="shared" si="92"/>
        <v>#N/A</v>
      </c>
      <c r="L286" s="16" t="e">
        <f t="shared" si="93"/>
        <v>#N/A</v>
      </c>
      <c r="M286" s="16" t="e">
        <f t="shared" si="94"/>
        <v>#N/A</v>
      </c>
      <c r="N286" s="8"/>
      <c r="O286" s="2"/>
      <c r="P286" s="7"/>
      <c r="X286" s="9"/>
      <c r="Y286" s="8"/>
      <c r="Z286" s="8"/>
      <c r="AC286" s="9"/>
      <c r="AD286" s="8"/>
      <c r="AE286" s="8"/>
    </row>
    <row r="287" spans="1:31" s="18" customFormat="1" x14ac:dyDescent="0.25">
      <c r="A287" s="16"/>
      <c r="B287" s="23"/>
      <c r="C287" s="24"/>
      <c r="D287" s="17"/>
      <c r="E287" s="17"/>
      <c r="F287" s="23"/>
      <c r="G287" s="24"/>
      <c r="H287" s="24"/>
      <c r="K287" s="16" t="e">
        <f t="shared" si="92"/>
        <v>#N/A</v>
      </c>
      <c r="L287" s="16" t="e">
        <f t="shared" si="93"/>
        <v>#N/A</v>
      </c>
      <c r="M287" s="16" t="e">
        <f t="shared" si="94"/>
        <v>#N/A</v>
      </c>
      <c r="N287" s="17"/>
      <c r="O287" s="24"/>
      <c r="P287" s="25"/>
      <c r="X287" s="19"/>
      <c r="Y287" s="17"/>
      <c r="Z287" s="17"/>
      <c r="AC287" s="19"/>
      <c r="AD287" s="17"/>
      <c r="AE287" s="17"/>
    </row>
    <row r="288" spans="1:31" s="18" customFormat="1" x14ac:dyDescent="0.25">
      <c r="A288" s="16"/>
      <c r="B288" s="23"/>
      <c r="C288" s="24"/>
      <c r="D288" s="17"/>
      <c r="E288" s="17"/>
      <c r="F288" s="23"/>
      <c r="G288" s="24"/>
      <c r="H288" s="24"/>
      <c r="K288" s="16" t="e">
        <f t="shared" si="92"/>
        <v>#N/A</v>
      </c>
      <c r="L288" s="16" t="e">
        <f t="shared" si="93"/>
        <v>#N/A</v>
      </c>
      <c r="M288" s="27" t="e">
        <f t="shared" si="94"/>
        <v>#N/A</v>
      </c>
      <c r="N288" s="17"/>
      <c r="O288" s="24"/>
      <c r="P288" s="25"/>
      <c r="X288" s="19"/>
      <c r="Y288" s="17"/>
      <c r="Z288" s="17"/>
      <c r="AC288" s="19"/>
      <c r="AD288" s="17"/>
      <c r="AE288" s="17"/>
    </row>
    <row r="289" spans="1:50" s="18" customFormat="1" x14ac:dyDescent="0.25">
      <c r="A289" s="16"/>
      <c r="B289" s="23"/>
      <c r="C289" s="24"/>
      <c r="D289" s="17"/>
      <c r="E289" s="17"/>
      <c r="F289" s="23"/>
      <c r="G289" s="24"/>
      <c r="H289" s="24"/>
      <c r="K289" s="16"/>
      <c r="L289" s="16"/>
      <c r="M289" s="27"/>
      <c r="N289" s="17"/>
      <c r="O289" s="24"/>
      <c r="P289" s="25"/>
      <c r="X289" s="19"/>
      <c r="Y289" s="17"/>
      <c r="Z289" s="17"/>
      <c r="AC289" s="19"/>
      <c r="AD289" s="17"/>
      <c r="AE289" s="17"/>
    </row>
    <row r="292" spans="1:50" s="32" customFormat="1" x14ac:dyDescent="0.25"/>
    <row r="295" spans="1:50" x14ac:dyDescent="0.25">
      <c r="A295" s="34" t="s">
        <v>127</v>
      </c>
      <c r="C295" s="34" t="s">
        <v>137</v>
      </c>
      <c r="AS295" s="18" t="s">
        <v>91</v>
      </c>
      <c r="AT295" s="18" t="s">
        <v>92</v>
      </c>
      <c r="AU295" s="18"/>
      <c r="AV295" s="18"/>
      <c r="AW295" s="18" t="s">
        <v>93</v>
      </c>
      <c r="AX295" s="18"/>
    </row>
    <row r="296" spans="1:50" x14ac:dyDescent="0.25">
      <c r="A296" s="36" t="s">
        <v>21</v>
      </c>
      <c r="B296" t="s">
        <v>22</v>
      </c>
      <c r="C296" t="s">
        <v>23</v>
      </c>
      <c r="D296" t="s">
        <v>24</v>
      </c>
      <c r="E296" t="s">
        <v>99</v>
      </c>
      <c r="F296" t="s">
        <v>100</v>
      </c>
      <c r="G296" t="s">
        <v>25</v>
      </c>
      <c r="H296" t="s">
        <v>26</v>
      </c>
      <c r="I296" t="s">
        <v>27</v>
      </c>
      <c r="J296" t="s">
        <v>28</v>
      </c>
      <c r="K296" t="s">
        <v>29</v>
      </c>
      <c r="L296" t="s">
        <v>30</v>
      </c>
      <c r="M296" t="s">
        <v>31</v>
      </c>
      <c r="N296" t="s">
        <v>32</v>
      </c>
      <c r="O296" t="s">
        <v>33</v>
      </c>
      <c r="P296" t="s">
        <v>34</v>
      </c>
      <c r="Q296" t="s">
        <v>35</v>
      </c>
      <c r="R296" t="s">
        <v>36</v>
      </c>
      <c r="S296" t="s">
        <v>37</v>
      </c>
      <c r="T296" t="s">
        <v>38</v>
      </c>
      <c r="U296" t="s">
        <v>39</v>
      </c>
      <c r="V296" t="s">
        <v>40</v>
      </c>
      <c r="W296" t="s">
        <v>41</v>
      </c>
      <c r="X296" t="s">
        <v>42</v>
      </c>
      <c r="Y296" t="s">
        <v>43</v>
      </c>
      <c r="Z296" t="s">
        <v>44</v>
      </c>
      <c r="AA296" t="s">
        <v>45</v>
      </c>
      <c r="AB296" s="1" t="s">
        <v>46</v>
      </c>
      <c r="AC296" s="1" t="s">
        <v>47</v>
      </c>
      <c r="AD296" s="1" t="s">
        <v>48</v>
      </c>
      <c r="AE296" t="s">
        <v>49</v>
      </c>
      <c r="AF296" t="s">
        <v>50</v>
      </c>
      <c r="AG296" t="s">
        <v>51</v>
      </c>
      <c r="AH296" t="s">
        <v>52</v>
      </c>
      <c r="AI296" t="s">
        <v>53</v>
      </c>
      <c r="AJ296" t="s">
        <v>54</v>
      </c>
      <c r="AK296" t="s">
        <v>55</v>
      </c>
      <c r="AL296" t="s">
        <v>56</v>
      </c>
      <c r="AM296" t="s">
        <v>57</v>
      </c>
      <c r="AN296" t="s">
        <v>58</v>
      </c>
      <c r="AO296" t="s">
        <v>59</v>
      </c>
      <c r="AP296" t="s">
        <v>60</v>
      </c>
      <c r="AQ296" t="s">
        <v>61</v>
      </c>
      <c r="AR296" t="s">
        <v>62</v>
      </c>
      <c r="AS296" s="22" t="s">
        <v>129</v>
      </c>
      <c r="AT296" s="22" t="s">
        <v>130</v>
      </c>
      <c r="AU296" s="18" t="s">
        <v>133</v>
      </c>
      <c r="AV296" s="18" t="s">
        <v>134</v>
      </c>
      <c r="AW296" s="22" t="s">
        <v>131</v>
      </c>
      <c r="AX296" s="18" t="s">
        <v>132</v>
      </c>
    </row>
    <row r="297" spans="1:50" x14ac:dyDescent="0.25">
      <c r="A297">
        <v>4.3</v>
      </c>
      <c r="B297" s="4">
        <v>0.99661761999999998</v>
      </c>
      <c r="C297" s="4">
        <v>0</v>
      </c>
      <c r="D297" s="4">
        <v>3.9841936068485002</v>
      </c>
      <c r="E297" s="4">
        <v>0</v>
      </c>
      <c r="F297" s="5">
        <v>3.3823799999999999E-3</v>
      </c>
      <c r="G297" s="5">
        <v>0</v>
      </c>
      <c r="H297" s="4">
        <v>3.875</v>
      </c>
      <c r="I297" s="4">
        <v>4.1184719999999997</v>
      </c>
      <c r="J297" s="4">
        <v>-64.061899999999994</v>
      </c>
      <c r="K297" s="4">
        <v>-131.94999999999999</v>
      </c>
      <c r="L297" s="4">
        <v>13.16</v>
      </c>
      <c r="M297" s="4">
        <v>17</v>
      </c>
      <c r="N297" s="4">
        <v>80</v>
      </c>
      <c r="O297" s="4">
        <v>77.08</v>
      </c>
      <c r="P297" s="4">
        <v>303250.44</v>
      </c>
      <c r="Q297" s="4">
        <v>303250.44</v>
      </c>
      <c r="R297" s="4">
        <v>773</v>
      </c>
      <c r="S297" s="4">
        <v>0</v>
      </c>
      <c r="T297" s="4">
        <v>0</v>
      </c>
      <c r="U297" s="4">
        <v>0</v>
      </c>
      <c r="V297" s="4">
        <v>1</v>
      </c>
      <c r="W297" s="4">
        <v>0</v>
      </c>
      <c r="X297" s="4">
        <v>1</v>
      </c>
      <c r="Y297" s="4">
        <v>0</v>
      </c>
      <c r="Z297" s="5">
        <v>3.5183000000000002E-4</v>
      </c>
      <c r="AA297" s="5">
        <v>7.7919999999999999E-5</v>
      </c>
      <c r="AB297" s="10">
        <v>2.95262E-3</v>
      </c>
      <c r="AC297" s="10">
        <v>0</v>
      </c>
      <c r="AD297" s="10">
        <v>0</v>
      </c>
      <c r="AE297" s="4">
        <v>1.1207682833043501E-2</v>
      </c>
      <c r="AF297" s="4">
        <v>1</v>
      </c>
      <c r="AG297" s="4">
        <v>1</v>
      </c>
      <c r="AH297" s="4">
        <v>1</v>
      </c>
      <c r="AI297" s="4">
        <v>1</v>
      </c>
      <c r="AJ297" s="4">
        <v>1</v>
      </c>
      <c r="AK297" s="4">
        <v>1</v>
      </c>
      <c r="AL297" s="4">
        <v>1</v>
      </c>
      <c r="AM297" s="4">
        <v>0</v>
      </c>
      <c r="AN297" s="4">
        <v>0</v>
      </c>
      <c r="AO297" s="4" t="s">
        <v>63</v>
      </c>
      <c r="AP297" s="4">
        <f>-150--125</f>
        <v>-25</v>
      </c>
      <c r="AQ297" s="6">
        <v>303250.44</v>
      </c>
      <c r="AR297" s="4">
        <v>1</v>
      </c>
      <c r="AS297" s="16">
        <v>0</v>
      </c>
      <c r="AT297" s="16">
        <v>0</v>
      </c>
      <c r="AU297" s="16">
        <v>100</v>
      </c>
      <c r="AV297" s="16">
        <v>0</v>
      </c>
      <c r="AW297" s="16">
        <v>0</v>
      </c>
      <c r="AX297" s="16">
        <v>100</v>
      </c>
    </row>
    <row r="298" spans="1:50" x14ac:dyDescent="0.25">
      <c r="A298">
        <v>4.3</v>
      </c>
      <c r="B298" s="4">
        <v>0.99173452851728106</v>
      </c>
      <c r="C298" s="4">
        <v>0</v>
      </c>
      <c r="D298" s="4">
        <v>9.4798618211770798</v>
      </c>
      <c r="E298" s="4">
        <v>0</v>
      </c>
      <c r="F298" s="5">
        <v>8.2654714827189602E-3</v>
      </c>
      <c r="G298" s="5">
        <v>0</v>
      </c>
      <c r="H298" s="4">
        <v>3.875</v>
      </c>
      <c r="I298" s="4">
        <v>3.87177729011671</v>
      </c>
      <c r="J298" s="4">
        <v>-56.468943365388903</v>
      </c>
      <c r="K298" s="4">
        <v>-111.350860701152</v>
      </c>
      <c r="L298" s="4">
        <v>14.3288150159984</v>
      </c>
      <c r="M298" s="4">
        <v>17.880294251605601</v>
      </c>
      <c r="N298" s="4">
        <v>80</v>
      </c>
      <c r="O298" s="4">
        <v>75.620345288427998</v>
      </c>
      <c r="P298" s="4">
        <v>284673.46513646498</v>
      </c>
      <c r="Q298" s="4">
        <v>278674.77500000002</v>
      </c>
      <c r="R298" s="4">
        <v>771.88116751866005</v>
      </c>
      <c r="S298" s="4">
        <v>0</v>
      </c>
      <c r="T298" s="4">
        <v>0</v>
      </c>
      <c r="U298" s="4">
        <v>0</v>
      </c>
      <c r="V298" s="4">
        <v>1</v>
      </c>
      <c r="W298" s="4">
        <v>0</v>
      </c>
      <c r="X298" s="4">
        <v>1</v>
      </c>
      <c r="Y298" s="4">
        <v>0</v>
      </c>
      <c r="Z298" s="5">
        <v>3.5334787924355497E-4</v>
      </c>
      <c r="AA298" s="5">
        <v>5.3605207760731097E-5</v>
      </c>
      <c r="AB298" s="10">
        <v>3.1742462211523199E-3</v>
      </c>
      <c r="AC298" s="10">
        <v>0</v>
      </c>
      <c r="AD298" s="10">
        <v>4.6842575937177996E-3</v>
      </c>
      <c r="AE298" s="4">
        <v>2.9306717266170901E-2</v>
      </c>
      <c r="AF298" s="4">
        <v>1</v>
      </c>
      <c r="AG298" s="4">
        <v>1</v>
      </c>
      <c r="AH298" s="4">
        <v>1</v>
      </c>
      <c r="AI298" s="4">
        <v>1</v>
      </c>
      <c r="AJ298" s="4">
        <v>1</v>
      </c>
      <c r="AK298" s="4">
        <v>1</v>
      </c>
      <c r="AL298" s="4">
        <v>1</v>
      </c>
      <c r="AM298" s="4">
        <v>0</v>
      </c>
      <c r="AN298" s="4">
        <v>0</v>
      </c>
      <c r="AO298" s="4" t="s">
        <v>64</v>
      </c>
      <c r="AP298" s="4">
        <f>-125--100</f>
        <v>-25</v>
      </c>
      <c r="AQ298" s="6">
        <v>1114699.1000000001</v>
      </c>
      <c r="AR298" s="4">
        <v>4</v>
      </c>
      <c r="AS298" s="16">
        <v>0</v>
      </c>
      <c r="AT298" s="16">
        <v>0</v>
      </c>
      <c r="AU298" s="16">
        <v>100</v>
      </c>
      <c r="AV298" s="16">
        <v>0</v>
      </c>
      <c r="AW298" s="16">
        <v>0</v>
      </c>
      <c r="AX298" s="16">
        <v>100</v>
      </c>
    </row>
    <row r="299" spans="1:50" x14ac:dyDescent="0.25">
      <c r="A299">
        <v>4.3</v>
      </c>
      <c r="B299" s="4">
        <v>0.98992818993213105</v>
      </c>
      <c r="C299" s="4">
        <v>12.1077768525506</v>
      </c>
      <c r="D299" s="4">
        <v>11.4386352169379</v>
      </c>
      <c r="E299" s="4">
        <v>1.0697277709633701E-2</v>
      </c>
      <c r="F299" s="5">
        <v>1.0071810067868199E-2</v>
      </c>
      <c r="G299" s="5">
        <v>0</v>
      </c>
      <c r="H299" s="4">
        <v>4.2120763817103404</v>
      </c>
      <c r="I299" s="4">
        <v>3.9473309326199502</v>
      </c>
      <c r="J299" s="4">
        <v>-23.140697414802499</v>
      </c>
      <c r="K299" s="4">
        <v>-83.452033435034593</v>
      </c>
      <c r="L299" s="4">
        <v>19.2085456169156</v>
      </c>
      <c r="M299" s="4">
        <v>17.333170700005599</v>
      </c>
      <c r="N299" s="4">
        <v>79.615477044334398</v>
      </c>
      <c r="O299" s="4">
        <v>76.0375259611411</v>
      </c>
      <c r="P299" s="4">
        <v>239079.34042697799</v>
      </c>
      <c r="Q299" s="4">
        <v>193572.801666666</v>
      </c>
      <c r="R299" s="4">
        <v>765.54681701968696</v>
      </c>
      <c r="S299" s="4">
        <v>0</v>
      </c>
      <c r="T299" s="4">
        <v>0</v>
      </c>
      <c r="U299" s="4">
        <v>0</v>
      </c>
      <c r="V299" s="4">
        <v>1</v>
      </c>
      <c r="W299" s="4">
        <v>0</v>
      </c>
      <c r="X299" s="4">
        <v>0.97979815191150998</v>
      </c>
      <c r="Y299" s="4">
        <v>0</v>
      </c>
      <c r="Z299" s="5">
        <v>5.6887344660124005E-4</v>
      </c>
      <c r="AA299" s="5">
        <v>8.1948977832638098E-5</v>
      </c>
      <c r="AB299" s="10">
        <v>3.09777160609762E-3</v>
      </c>
      <c r="AC299" s="10">
        <v>0</v>
      </c>
      <c r="AD299" s="10">
        <v>6.3232008152040104E-3</v>
      </c>
      <c r="AE299" s="4">
        <v>-2.0566970336569E-4</v>
      </c>
      <c r="AF299" s="4">
        <v>1</v>
      </c>
      <c r="AG299" s="4">
        <v>1</v>
      </c>
      <c r="AH299" s="4">
        <v>1</v>
      </c>
      <c r="AI299" s="4">
        <v>1</v>
      </c>
      <c r="AJ299" s="4">
        <v>1</v>
      </c>
      <c r="AK299" s="4">
        <v>1</v>
      </c>
      <c r="AL299" s="4">
        <v>1</v>
      </c>
      <c r="AM299" s="4">
        <v>0</v>
      </c>
      <c r="AN299" s="4">
        <v>0</v>
      </c>
      <c r="AO299" s="4" t="s">
        <v>65</v>
      </c>
      <c r="AP299" s="4">
        <f>-100--75</f>
        <v>-25</v>
      </c>
      <c r="AQ299" s="6">
        <v>2322873.62</v>
      </c>
      <c r="AR299" s="4">
        <v>12</v>
      </c>
      <c r="AS299" s="16">
        <v>0</v>
      </c>
      <c r="AT299" s="16">
        <v>0</v>
      </c>
      <c r="AU299" s="16">
        <v>100</v>
      </c>
      <c r="AV299" s="16">
        <v>0</v>
      </c>
      <c r="AW299" s="16">
        <v>0</v>
      </c>
      <c r="AX299" s="16">
        <v>100</v>
      </c>
    </row>
    <row r="300" spans="1:50" x14ac:dyDescent="0.25">
      <c r="A300">
        <v>4.3</v>
      </c>
      <c r="B300" s="4">
        <v>0.98934760844010705</v>
      </c>
      <c r="C300" s="4">
        <v>27.432197884992</v>
      </c>
      <c r="D300" s="4">
        <v>12.0599112838027</v>
      </c>
      <c r="E300" s="4">
        <v>2.6366897999839999E-2</v>
      </c>
      <c r="F300" s="5">
        <v>1.0652391559892E-2</v>
      </c>
      <c r="G300" s="5">
        <v>0</v>
      </c>
      <c r="H300" s="4">
        <v>4.2156057486245198</v>
      </c>
      <c r="I300" s="4">
        <v>4.0468353902672103</v>
      </c>
      <c r="J300" s="4">
        <v>-26.571952303741899</v>
      </c>
      <c r="K300" s="4">
        <v>-57.932898037517504</v>
      </c>
      <c r="L300" s="4">
        <v>22.942908331186999</v>
      </c>
      <c r="M300" s="4">
        <v>16.5398765359867</v>
      </c>
      <c r="N300" s="4">
        <v>78.810039671393795</v>
      </c>
      <c r="O300" s="4">
        <v>71.950412694907797</v>
      </c>
      <c r="P300" s="4">
        <v>243355.10261806301</v>
      </c>
      <c r="Q300" s="4">
        <v>154364.34767441801</v>
      </c>
      <c r="R300" s="4">
        <v>774.26726695665195</v>
      </c>
      <c r="S300" s="4">
        <v>0</v>
      </c>
      <c r="T300" s="4">
        <v>0</v>
      </c>
      <c r="U300" s="4">
        <v>8.5786690457556006E-2</v>
      </c>
      <c r="V300" s="4">
        <v>1</v>
      </c>
      <c r="W300" s="4">
        <v>0</v>
      </c>
      <c r="X300" s="4">
        <v>0.62733873006388097</v>
      </c>
      <c r="Y300" s="4">
        <v>0</v>
      </c>
      <c r="Z300" s="5">
        <v>1.04548385373196E-3</v>
      </c>
      <c r="AA300" s="5">
        <v>8.0260523885082797E-5</v>
      </c>
      <c r="AB300" s="10">
        <v>2.8381170060073199E-3</v>
      </c>
      <c r="AC300" s="10">
        <v>0</v>
      </c>
      <c r="AD300" s="10">
        <v>6.6885165049547701E-3</v>
      </c>
      <c r="AE300" s="4">
        <v>-1.0579770027668099E-2</v>
      </c>
      <c r="AF300" s="4">
        <v>0.955114364392747</v>
      </c>
      <c r="AG300" s="4">
        <v>0.99661868165892198</v>
      </c>
      <c r="AH300" s="4">
        <v>1</v>
      </c>
      <c r="AI300" s="4">
        <v>1</v>
      </c>
      <c r="AJ300" s="4">
        <v>1</v>
      </c>
      <c r="AK300" s="4">
        <v>1</v>
      </c>
      <c r="AL300" s="4">
        <v>1</v>
      </c>
      <c r="AM300" s="4">
        <v>0</v>
      </c>
      <c r="AN300" s="4">
        <v>0</v>
      </c>
      <c r="AO300" s="4" t="s">
        <v>66</v>
      </c>
      <c r="AP300" s="4">
        <f>-75--50</f>
        <v>-25</v>
      </c>
      <c r="AQ300" s="6">
        <v>13275333.9</v>
      </c>
      <c r="AR300" s="4">
        <v>86</v>
      </c>
      <c r="AS300" s="16">
        <v>0</v>
      </c>
      <c r="AT300" s="16">
        <v>0</v>
      </c>
      <c r="AU300" s="16">
        <v>100</v>
      </c>
      <c r="AV300" s="16">
        <v>0</v>
      </c>
      <c r="AW300" s="16">
        <v>0</v>
      </c>
      <c r="AX300" s="16">
        <v>100</v>
      </c>
    </row>
    <row r="301" spans="1:50" x14ac:dyDescent="0.25">
      <c r="A301">
        <v>4.3</v>
      </c>
      <c r="B301" s="4">
        <v>0.99372916415201296</v>
      </c>
      <c r="C301" s="4">
        <v>2.69719997833666</v>
      </c>
      <c r="D301" s="4">
        <v>7.2708179044393999</v>
      </c>
      <c r="E301" s="4">
        <v>2.2759411103495898E-3</v>
      </c>
      <c r="F301" s="5">
        <v>6.2708358479861802E-3</v>
      </c>
      <c r="G301" s="5">
        <v>0</v>
      </c>
      <c r="H301" s="4">
        <v>4.0130120879893099</v>
      </c>
      <c r="I301" s="4">
        <v>4.1244129562212404</v>
      </c>
      <c r="J301" s="4">
        <v>-49.480846331599501</v>
      </c>
      <c r="K301" s="4">
        <v>-32.3134018442613</v>
      </c>
      <c r="L301" s="4">
        <v>17.404312484139801</v>
      </c>
      <c r="M301" s="4">
        <v>15.5834067817612</v>
      </c>
      <c r="N301" s="4">
        <v>77.1455307546439</v>
      </c>
      <c r="O301" s="4">
        <v>74.947545641434004</v>
      </c>
      <c r="P301" s="4">
        <v>263811.82557247201</v>
      </c>
      <c r="Q301" s="4">
        <v>223674.17782211999</v>
      </c>
      <c r="R301" s="4">
        <v>781.04806102565601</v>
      </c>
      <c r="S301" s="4">
        <v>0</v>
      </c>
      <c r="T301" s="4">
        <v>0</v>
      </c>
      <c r="U301" s="4">
        <v>4.7215107460789798E-3</v>
      </c>
      <c r="V301" s="4">
        <v>1</v>
      </c>
      <c r="W301" s="4">
        <v>0</v>
      </c>
      <c r="X301" s="4">
        <v>0.55130440338213704</v>
      </c>
      <c r="Y301" s="4">
        <v>0</v>
      </c>
      <c r="Z301" s="5">
        <v>4.70307536388373E-4</v>
      </c>
      <c r="AA301" s="5">
        <v>5.2422737412395002E-5</v>
      </c>
      <c r="AB301" s="10">
        <v>2.62978052028089E-3</v>
      </c>
      <c r="AC301" s="10">
        <v>3.0524063836543202E-7</v>
      </c>
      <c r="AD301" s="10">
        <v>3.1180061735164E-3</v>
      </c>
      <c r="AE301" s="4">
        <v>-1.48765918764389E-2</v>
      </c>
      <c r="AF301" s="4">
        <v>0.97128747306586505</v>
      </c>
      <c r="AG301" s="4">
        <v>0.99033606031829502</v>
      </c>
      <c r="AH301" s="4">
        <v>0.99969298262643602</v>
      </c>
      <c r="AI301" s="4">
        <v>0.99969298262643602</v>
      </c>
      <c r="AJ301" s="4">
        <v>1</v>
      </c>
      <c r="AK301" s="4">
        <v>1</v>
      </c>
      <c r="AL301" s="4">
        <v>1</v>
      </c>
      <c r="AM301" s="4">
        <v>0</v>
      </c>
      <c r="AN301" s="4">
        <v>0</v>
      </c>
      <c r="AO301" s="4" t="s">
        <v>67</v>
      </c>
      <c r="AP301" s="4">
        <f>-50--25</f>
        <v>-25</v>
      </c>
      <c r="AQ301" s="6">
        <v>196162253.94999999</v>
      </c>
      <c r="AR301" s="4">
        <v>877</v>
      </c>
      <c r="AS301" s="16">
        <v>0</v>
      </c>
      <c r="AT301" s="16">
        <v>0</v>
      </c>
      <c r="AU301" s="16">
        <v>100</v>
      </c>
      <c r="AV301" s="16">
        <v>0</v>
      </c>
      <c r="AW301" s="16">
        <v>0</v>
      </c>
      <c r="AX301" s="16">
        <v>100</v>
      </c>
    </row>
    <row r="302" spans="1:50" x14ac:dyDescent="0.25">
      <c r="A302">
        <v>4.3</v>
      </c>
      <c r="B302" s="4">
        <v>0.99009167020071498</v>
      </c>
      <c r="C302" s="4">
        <v>10.270991707432101</v>
      </c>
      <c r="D302" s="4">
        <v>11.262971648540599</v>
      </c>
      <c r="E302" s="4">
        <v>8.9906796871627101E-3</v>
      </c>
      <c r="F302" s="5">
        <v>9.9083297992844793E-3</v>
      </c>
      <c r="G302" s="5">
        <v>0</v>
      </c>
      <c r="H302" s="4">
        <v>4.1238634939800303</v>
      </c>
      <c r="I302" s="4">
        <v>4.1159776462884698</v>
      </c>
      <c r="J302" s="4">
        <v>-38.461075403691503</v>
      </c>
      <c r="K302" s="4">
        <v>-8.5263263960701394</v>
      </c>
      <c r="L302" s="4">
        <v>16.4829645429819</v>
      </c>
      <c r="M302" s="4">
        <v>15.9817599963789</v>
      </c>
      <c r="N302" s="4">
        <v>74.181442502856399</v>
      </c>
      <c r="O302" s="4">
        <v>72.815064467299507</v>
      </c>
      <c r="P302" s="4">
        <v>262221.32704476803</v>
      </c>
      <c r="Q302" s="4">
        <v>241334.751097689</v>
      </c>
      <c r="R302" s="4">
        <v>781.31996937341603</v>
      </c>
      <c r="S302" s="4">
        <v>0</v>
      </c>
      <c r="T302" s="4">
        <v>0</v>
      </c>
      <c r="U302" s="4">
        <v>1.97871729031955E-2</v>
      </c>
      <c r="V302" s="4">
        <v>1</v>
      </c>
      <c r="W302" s="4">
        <v>0</v>
      </c>
      <c r="X302" s="4">
        <v>0.71342306411865397</v>
      </c>
      <c r="Y302" s="4">
        <v>0</v>
      </c>
      <c r="Z302" s="5">
        <v>3.8680673301048403E-4</v>
      </c>
      <c r="AA302" s="5">
        <v>5.6035489193772501E-5</v>
      </c>
      <c r="AB302" s="10">
        <v>2.6657636433855599E-3</v>
      </c>
      <c r="AC302" s="10">
        <v>1.5853701578584301E-7</v>
      </c>
      <c r="AD302" s="10">
        <v>6.79955122334401E-3</v>
      </c>
      <c r="AE302" s="4">
        <v>-1.3428430051147799E-2</v>
      </c>
      <c r="AF302" s="4">
        <v>0.96152873740662703</v>
      </c>
      <c r="AG302" s="4">
        <v>0.99077502366708303</v>
      </c>
      <c r="AH302" s="4">
        <v>0.999711057001473</v>
      </c>
      <c r="AI302" s="4">
        <v>0.99996719235840703</v>
      </c>
      <c r="AJ302" s="4">
        <v>1</v>
      </c>
      <c r="AK302" s="4">
        <v>1</v>
      </c>
      <c r="AL302" s="4">
        <v>1</v>
      </c>
      <c r="AM302" s="4">
        <v>0</v>
      </c>
      <c r="AN302" s="4">
        <v>0</v>
      </c>
      <c r="AO302" s="4" t="s">
        <v>68</v>
      </c>
      <c r="AP302" s="4">
        <f>-25-0</f>
        <v>-25</v>
      </c>
      <c r="AQ302" s="6">
        <v>2057861422.6099999</v>
      </c>
      <c r="AR302" s="4">
        <v>8527</v>
      </c>
      <c r="AS302" s="16">
        <v>0</v>
      </c>
      <c r="AT302" s="16">
        <v>0</v>
      </c>
      <c r="AU302" s="16">
        <v>100</v>
      </c>
      <c r="AV302" s="16">
        <v>0</v>
      </c>
      <c r="AW302" s="16">
        <v>0</v>
      </c>
      <c r="AX302" s="16">
        <v>100</v>
      </c>
    </row>
    <row r="303" spans="1:50" x14ac:dyDescent="0.25">
      <c r="A303">
        <v>4.3</v>
      </c>
      <c r="B303" s="4">
        <v>0.98630430471067598</v>
      </c>
      <c r="C303" s="4">
        <v>18.571484040300099</v>
      </c>
      <c r="D303" s="4">
        <v>15.251671134907101</v>
      </c>
      <c r="E303" s="4">
        <v>1.6974666894606302E-2</v>
      </c>
      <c r="F303" s="5">
        <v>1.3695695289323601E-2</v>
      </c>
      <c r="G303" s="5">
        <v>0</v>
      </c>
      <c r="H303" s="4">
        <v>4.1971871863727204</v>
      </c>
      <c r="I303" s="4">
        <v>4.03692910599898</v>
      </c>
      <c r="J303" s="4">
        <v>-27.529616833264502</v>
      </c>
      <c r="K303" s="4">
        <v>15.6085089959707</v>
      </c>
      <c r="L303" s="4">
        <v>16.294170901559099</v>
      </c>
      <c r="M303" s="4">
        <v>16.097431270848901</v>
      </c>
      <c r="N303" s="4">
        <v>70.909420906762705</v>
      </c>
      <c r="O303" s="4">
        <v>68.868541692507407</v>
      </c>
      <c r="P303" s="4">
        <v>263721.43234582798</v>
      </c>
      <c r="Q303" s="4">
        <v>244842.375760403</v>
      </c>
      <c r="R303" s="4">
        <v>782.52901478540298</v>
      </c>
      <c r="S303" s="4">
        <v>0</v>
      </c>
      <c r="T303" s="4">
        <v>0</v>
      </c>
      <c r="U303" s="4">
        <v>4.5178747569849902E-2</v>
      </c>
      <c r="V303" s="4">
        <v>1</v>
      </c>
      <c r="W303" s="4">
        <v>0</v>
      </c>
      <c r="X303" s="4">
        <v>0.80559986261736205</v>
      </c>
      <c r="Y303" s="4">
        <v>0</v>
      </c>
      <c r="Z303" s="5">
        <v>3.7783854351942703E-4</v>
      </c>
      <c r="AA303" s="5">
        <v>6.0190521877759301E-5</v>
      </c>
      <c r="AB303" s="10">
        <v>2.83694664813533E-3</v>
      </c>
      <c r="AC303" s="10">
        <v>1.4960011185952001E-6</v>
      </c>
      <c r="AD303" s="10">
        <v>1.04192093750288E-2</v>
      </c>
      <c r="AE303" s="4">
        <v>-4.3825579711251599E-4</v>
      </c>
      <c r="AF303" s="4">
        <v>0.88767383468903804</v>
      </c>
      <c r="AG303" s="4">
        <v>0.97231540097507296</v>
      </c>
      <c r="AH303" s="4">
        <v>0.99769634722571898</v>
      </c>
      <c r="AI303" s="4">
        <v>0.99965001837912304</v>
      </c>
      <c r="AJ303" s="4">
        <v>1</v>
      </c>
      <c r="AK303" s="4">
        <v>1</v>
      </c>
      <c r="AL303" s="4">
        <v>1</v>
      </c>
      <c r="AM303" s="4">
        <v>0</v>
      </c>
      <c r="AN303" s="4">
        <v>0</v>
      </c>
      <c r="AO303" s="4" t="s">
        <v>69</v>
      </c>
      <c r="AP303" s="4" t="s">
        <v>70</v>
      </c>
      <c r="AQ303" s="6">
        <v>11255159171.33</v>
      </c>
      <c r="AR303" s="4">
        <v>45969</v>
      </c>
      <c r="AS303" s="16">
        <v>0</v>
      </c>
      <c r="AT303" s="16">
        <v>0</v>
      </c>
      <c r="AU303" s="16">
        <v>100</v>
      </c>
      <c r="AV303" s="16">
        <v>0</v>
      </c>
      <c r="AW303" s="16">
        <v>0</v>
      </c>
      <c r="AX303" s="16">
        <v>100</v>
      </c>
    </row>
    <row r="304" spans="1:50" x14ac:dyDescent="0.25">
      <c r="A304">
        <v>4.3</v>
      </c>
      <c r="B304" s="4">
        <v>0.98060847238813298</v>
      </c>
      <c r="C304" s="4">
        <v>30.160270358457201</v>
      </c>
      <c r="D304" s="4">
        <v>20.9416594091193</v>
      </c>
      <c r="E304" s="4">
        <v>2.9470935443201701E-2</v>
      </c>
      <c r="F304" s="5">
        <v>1.93915276118664E-2</v>
      </c>
      <c r="G304" s="5">
        <v>0</v>
      </c>
      <c r="H304" s="4">
        <v>4.2299293888660898</v>
      </c>
      <c r="I304" s="4">
        <v>3.9089849028410102</v>
      </c>
      <c r="J304" s="4">
        <v>-21.580367990488899</v>
      </c>
      <c r="K304" s="4">
        <v>38.013826345629099</v>
      </c>
      <c r="L304" s="4">
        <v>15.4806291257007</v>
      </c>
      <c r="M304" s="4">
        <v>16.3211594863645</v>
      </c>
      <c r="N304" s="4">
        <v>68.001413903527805</v>
      </c>
      <c r="O304" s="4">
        <v>64.841199196184604</v>
      </c>
      <c r="P304" s="4">
        <v>277166.00805639999</v>
      </c>
      <c r="Q304" s="4">
        <v>257802.32916677199</v>
      </c>
      <c r="R304" s="4">
        <v>783.21867227157202</v>
      </c>
      <c r="S304" s="4">
        <v>0</v>
      </c>
      <c r="T304" s="4">
        <v>0</v>
      </c>
      <c r="U304" s="4">
        <v>4.5055812546029299E-2</v>
      </c>
      <c r="V304" s="4">
        <v>1</v>
      </c>
      <c r="W304" s="4">
        <v>0</v>
      </c>
      <c r="X304" s="4">
        <v>0.82873534272220395</v>
      </c>
      <c r="Y304" s="4">
        <v>0</v>
      </c>
      <c r="Z304" s="5">
        <v>3.7299587535984298E-4</v>
      </c>
      <c r="AA304" s="5">
        <v>6.2396155557792996E-5</v>
      </c>
      <c r="AB304" s="10">
        <v>3.0315636322792499E-3</v>
      </c>
      <c r="AC304" s="10">
        <v>5.0816860780665299E-6</v>
      </c>
      <c r="AD304" s="10">
        <v>1.5919476092606799E-2</v>
      </c>
      <c r="AE304" s="4">
        <v>1.9984993000717901E-2</v>
      </c>
      <c r="AF304" s="4">
        <v>0.77433293757524402</v>
      </c>
      <c r="AG304" s="4">
        <v>0.93880060906182194</v>
      </c>
      <c r="AH304" s="4">
        <v>0.99518487730171101</v>
      </c>
      <c r="AI304" s="4">
        <v>0.99924468864579397</v>
      </c>
      <c r="AJ304" s="4">
        <v>1</v>
      </c>
      <c r="AK304" s="4">
        <v>1</v>
      </c>
      <c r="AL304" s="4">
        <v>1</v>
      </c>
      <c r="AM304" s="4">
        <v>0</v>
      </c>
      <c r="AN304" s="4">
        <v>0</v>
      </c>
      <c r="AO304" s="4" t="s">
        <v>71</v>
      </c>
      <c r="AP304" s="4" t="s">
        <v>72</v>
      </c>
      <c r="AQ304" s="6">
        <v>26376529704.040001</v>
      </c>
      <c r="AR304" s="4">
        <v>102313</v>
      </c>
      <c r="AS304" s="16">
        <v>0</v>
      </c>
      <c r="AT304" s="16">
        <v>0</v>
      </c>
      <c r="AU304" s="16">
        <v>100</v>
      </c>
      <c r="AV304" s="16">
        <v>0</v>
      </c>
      <c r="AW304" s="16">
        <v>0</v>
      </c>
      <c r="AX304" s="16">
        <v>100</v>
      </c>
    </row>
    <row r="305" spans="1:50" x14ac:dyDescent="0.25">
      <c r="A305">
        <v>4.3</v>
      </c>
      <c r="B305" s="4">
        <v>0.97389389398045101</v>
      </c>
      <c r="C305" s="4">
        <v>40.148690228741799</v>
      </c>
      <c r="D305" s="4">
        <v>27.1986026285579</v>
      </c>
      <c r="E305" s="4">
        <v>4.1873604148134701E-2</v>
      </c>
      <c r="F305" s="5">
        <v>2.6106106019548499E-2</v>
      </c>
      <c r="G305" s="5">
        <v>0</v>
      </c>
      <c r="H305" s="4">
        <v>4.4272099801808897</v>
      </c>
      <c r="I305" s="4">
        <v>3.8675633705824901</v>
      </c>
      <c r="J305" s="4">
        <v>-11.885926962619299</v>
      </c>
      <c r="K305" s="4">
        <v>61.818098269145203</v>
      </c>
      <c r="L305" s="4">
        <v>15.319500696455099</v>
      </c>
      <c r="M305" s="4">
        <v>17.3565884312282</v>
      </c>
      <c r="N305" s="4">
        <v>67.607093348368593</v>
      </c>
      <c r="O305" s="4">
        <v>64.383984028535494</v>
      </c>
      <c r="P305" s="4">
        <v>280266.92806475202</v>
      </c>
      <c r="Q305" s="4">
        <v>260583.74991347801</v>
      </c>
      <c r="R305" s="4">
        <v>782.63043382151</v>
      </c>
      <c r="S305" s="4">
        <v>0</v>
      </c>
      <c r="T305" s="4">
        <v>0</v>
      </c>
      <c r="U305" s="4">
        <v>2.95669339509914E-2</v>
      </c>
      <c r="V305" s="4">
        <v>1</v>
      </c>
      <c r="W305" s="4">
        <v>0</v>
      </c>
      <c r="X305" s="4">
        <v>0.78718715535452399</v>
      </c>
      <c r="Y305" s="4">
        <v>0</v>
      </c>
      <c r="Z305" s="5">
        <v>3.7399140040257303E-4</v>
      </c>
      <c r="AA305" s="5">
        <v>7.9841689126813702E-5</v>
      </c>
      <c r="AB305" s="10">
        <v>3.1769033997294202E-3</v>
      </c>
      <c r="AC305" s="10">
        <v>6.4069521481569301E-6</v>
      </c>
      <c r="AD305" s="10">
        <v>2.2468948219941502E-2</v>
      </c>
      <c r="AE305" s="4">
        <v>1.9505622846793299E-2</v>
      </c>
      <c r="AF305" s="4">
        <v>0.77028770982642802</v>
      </c>
      <c r="AG305" s="4">
        <v>0.95971545633094402</v>
      </c>
      <c r="AH305" s="4">
        <v>0.99534212345038697</v>
      </c>
      <c r="AI305" s="4">
        <v>0.99934210796276002</v>
      </c>
      <c r="AJ305" s="4">
        <v>1</v>
      </c>
      <c r="AK305" s="4">
        <v>1</v>
      </c>
      <c r="AL305" s="4">
        <v>1</v>
      </c>
      <c r="AM305" s="4">
        <v>0</v>
      </c>
      <c r="AN305" s="4">
        <v>0</v>
      </c>
      <c r="AO305" s="4" t="s">
        <v>73</v>
      </c>
      <c r="AP305" s="4" t="s">
        <v>74</v>
      </c>
      <c r="AQ305" s="6">
        <v>22196784401.380001</v>
      </c>
      <c r="AR305" s="4">
        <v>85181</v>
      </c>
      <c r="AS305" s="16">
        <v>0</v>
      </c>
      <c r="AT305" s="16">
        <v>0</v>
      </c>
      <c r="AU305" s="16">
        <v>100</v>
      </c>
      <c r="AV305" s="16">
        <v>0</v>
      </c>
      <c r="AW305" s="16">
        <v>0</v>
      </c>
      <c r="AX305" s="16">
        <v>100</v>
      </c>
    </row>
    <row r="306" spans="1:50" x14ac:dyDescent="0.25">
      <c r="A306">
        <v>4.3</v>
      </c>
      <c r="B306" s="4">
        <v>0.96868952820863696</v>
      </c>
      <c r="C306" s="4">
        <v>42.720470590534603</v>
      </c>
      <c r="D306" s="4">
        <v>31.7323019251765</v>
      </c>
      <c r="E306" s="4">
        <v>4.5373937955490398E-2</v>
      </c>
      <c r="F306" s="5">
        <v>3.1310471791362503E-2</v>
      </c>
      <c r="G306" s="5">
        <v>0</v>
      </c>
      <c r="H306" s="4">
        <v>4.6748497878959396</v>
      </c>
      <c r="I306" s="4">
        <v>3.87622953668824</v>
      </c>
      <c r="J306" s="4">
        <v>-4.75759536966779</v>
      </c>
      <c r="K306" s="4">
        <v>86.110873117962697</v>
      </c>
      <c r="L306" s="4">
        <v>15.2693768764646</v>
      </c>
      <c r="M306" s="4">
        <v>17.806320714029599</v>
      </c>
      <c r="N306" s="4">
        <v>67.682181779718803</v>
      </c>
      <c r="O306" s="4">
        <v>64.283156871683204</v>
      </c>
      <c r="P306" s="4">
        <v>281347.48396015901</v>
      </c>
      <c r="Q306" s="4">
        <v>261472.17639469201</v>
      </c>
      <c r="R306" s="4">
        <v>781.28025167899398</v>
      </c>
      <c r="S306" s="4">
        <v>0</v>
      </c>
      <c r="T306" s="4">
        <v>0</v>
      </c>
      <c r="U306" s="4">
        <v>3.7970666908704903E-2</v>
      </c>
      <c r="V306" s="4">
        <v>1</v>
      </c>
      <c r="W306" s="4">
        <v>0</v>
      </c>
      <c r="X306" s="4">
        <v>0.70634598431707896</v>
      </c>
      <c r="Y306" s="4">
        <v>0</v>
      </c>
      <c r="Z306" s="5">
        <v>3.7464319431795498E-4</v>
      </c>
      <c r="AA306" s="5">
        <v>1.01892924341294E-4</v>
      </c>
      <c r="AB306" s="10">
        <v>3.28425447659721E-3</v>
      </c>
      <c r="AC306" s="10">
        <v>1.0011185688454801E-5</v>
      </c>
      <c r="AD306" s="10">
        <v>2.7539655402154799E-2</v>
      </c>
      <c r="AE306" s="4">
        <v>2.0944945650255599E-2</v>
      </c>
      <c r="AF306" s="4">
        <v>0.725580954184045</v>
      </c>
      <c r="AG306" s="4">
        <v>0.96035688795589902</v>
      </c>
      <c r="AH306" s="4">
        <v>0.99420312057416804</v>
      </c>
      <c r="AI306" s="4">
        <v>0.99909325306812402</v>
      </c>
      <c r="AJ306" s="4">
        <v>1</v>
      </c>
      <c r="AK306" s="4">
        <v>1</v>
      </c>
      <c r="AL306" s="4">
        <v>1</v>
      </c>
      <c r="AM306" s="4">
        <v>0</v>
      </c>
      <c r="AN306" s="4">
        <v>0</v>
      </c>
      <c r="AO306" s="4" t="s">
        <v>75</v>
      </c>
      <c r="AP306" s="4" t="s">
        <v>76</v>
      </c>
      <c r="AQ306" s="6">
        <v>13715784484.959999</v>
      </c>
      <c r="AR306" s="4">
        <v>52456</v>
      </c>
      <c r="AS306" s="16">
        <v>0</v>
      </c>
      <c r="AT306" s="16">
        <v>0</v>
      </c>
      <c r="AU306" s="16">
        <v>100</v>
      </c>
      <c r="AV306" s="16">
        <v>0</v>
      </c>
      <c r="AW306" s="16">
        <v>0</v>
      </c>
      <c r="AX306" s="16">
        <v>100</v>
      </c>
    </row>
    <row r="307" spans="1:50" x14ac:dyDescent="0.25">
      <c r="A307">
        <v>4.3</v>
      </c>
      <c r="B307" s="4">
        <v>0.96474916013132805</v>
      </c>
      <c r="C307" s="4">
        <v>43.6802671259547</v>
      </c>
      <c r="D307" s="4">
        <v>34.9910861568708</v>
      </c>
      <c r="E307" s="4">
        <v>4.6717291383408702E-2</v>
      </c>
      <c r="F307" s="5">
        <v>3.5250839868671599E-2</v>
      </c>
      <c r="G307" s="5">
        <v>0</v>
      </c>
      <c r="H307" s="4">
        <v>4.8433593252212397</v>
      </c>
      <c r="I307" s="4">
        <v>3.80742884131688</v>
      </c>
      <c r="J307" s="4">
        <v>-1.3595289362808201</v>
      </c>
      <c r="K307" s="4">
        <v>111.23497696885499</v>
      </c>
      <c r="L307" s="4">
        <v>15.526422529429199</v>
      </c>
      <c r="M307" s="4">
        <v>18.290005537756201</v>
      </c>
      <c r="N307" s="4">
        <v>69.561480713345901</v>
      </c>
      <c r="O307" s="4">
        <v>65.196609523607705</v>
      </c>
      <c r="P307" s="4">
        <v>276554.97974585003</v>
      </c>
      <c r="Q307" s="4">
        <v>257168.46144233199</v>
      </c>
      <c r="R307" s="4">
        <v>780.71030646610996</v>
      </c>
      <c r="S307" s="4">
        <v>0</v>
      </c>
      <c r="T307" s="4">
        <v>0</v>
      </c>
      <c r="U307" s="4">
        <v>3.97834268323966E-2</v>
      </c>
      <c r="V307" s="4">
        <v>1</v>
      </c>
      <c r="W307" s="4">
        <v>0</v>
      </c>
      <c r="X307" s="4">
        <v>0.62196538966176496</v>
      </c>
      <c r="Y307" s="4">
        <v>0</v>
      </c>
      <c r="Z307" s="5">
        <v>3.7584630595302099E-4</v>
      </c>
      <c r="AA307" s="5">
        <v>1.3362587570249501E-4</v>
      </c>
      <c r="AB307" s="10">
        <v>3.4024226646696301E-3</v>
      </c>
      <c r="AC307" s="10">
        <v>1.6833526592935801E-5</v>
      </c>
      <c r="AD307" s="10">
        <v>3.1322096711711801E-2</v>
      </c>
      <c r="AE307" s="4">
        <v>3.3334224037620798E-2</v>
      </c>
      <c r="AF307" s="4">
        <v>0.62657787186507197</v>
      </c>
      <c r="AG307" s="4">
        <v>0.95629865790495105</v>
      </c>
      <c r="AH307" s="4">
        <v>0.99256639031765104</v>
      </c>
      <c r="AI307" s="4">
        <v>0.99872664151594703</v>
      </c>
      <c r="AJ307" s="4">
        <v>1</v>
      </c>
      <c r="AK307" s="4">
        <v>1</v>
      </c>
      <c r="AL307" s="4">
        <v>1</v>
      </c>
      <c r="AM307" s="4">
        <v>0</v>
      </c>
      <c r="AN307" s="4">
        <v>0</v>
      </c>
      <c r="AO307" s="4" t="s">
        <v>77</v>
      </c>
      <c r="AP307" s="4" t="s">
        <v>78</v>
      </c>
      <c r="AQ307" s="6">
        <v>7048216022.75</v>
      </c>
      <c r="AR307" s="4">
        <v>27407</v>
      </c>
      <c r="AS307" s="16">
        <v>0</v>
      </c>
      <c r="AT307" s="16">
        <v>0</v>
      </c>
      <c r="AU307" s="16">
        <v>100</v>
      </c>
      <c r="AV307" s="16">
        <v>0</v>
      </c>
      <c r="AW307" s="16">
        <v>0</v>
      </c>
      <c r="AX307" s="16">
        <v>100</v>
      </c>
    </row>
    <row r="308" spans="1:50" x14ac:dyDescent="0.25">
      <c r="A308">
        <v>4.3</v>
      </c>
      <c r="B308" s="4">
        <v>0.96091515609272404</v>
      </c>
      <c r="C308" s="4">
        <v>42.101363524771699</v>
      </c>
      <c r="D308" s="4">
        <v>38.0244313208565</v>
      </c>
      <c r="E308" s="4">
        <v>4.4518326928573999E-2</v>
      </c>
      <c r="F308" s="5">
        <v>3.9084843907275901E-2</v>
      </c>
      <c r="G308" s="5">
        <v>0</v>
      </c>
      <c r="H308" s="4">
        <v>4.9314992121846597</v>
      </c>
      <c r="I308" s="4">
        <v>3.6962158069749198</v>
      </c>
      <c r="J308" s="4">
        <v>1.0134518908232699</v>
      </c>
      <c r="K308" s="4">
        <v>134.98955507538901</v>
      </c>
      <c r="L308" s="4">
        <v>15.353483349707</v>
      </c>
      <c r="M308" s="4">
        <v>19.417276851455401</v>
      </c>
      <c r="N308" s="4">
        <v>70.844633779165505</v>
      </c>
      <c r="O308" s="4">
        <v>64.871654489854393</v>
      </c>
      <c r="P308" s="4">
        <v>279277.203832097</v>
      </c>
      <c r="Q308" s="4">
        <v>260074.946659401</v>
      </c>
      <c r="R308" s="4">
        <v>779.88927833968398</v>
      </c>
      <c r="S308" s="4">
        <v>0</v>
      </c>
      <c r="T308" s="4">
        <v>0</v>
      </c>
      <c r="U308" s="4">
        <v>5.88176813995911E-2</v>
      </c>
      <c r="V308" s="4">
        <v>1</v>
      </c>
      <c r="W308" s="4">
        <v>0</v>
      </c>
      <c r="X308" s="4">
        <v>0.64073702612801497</v>
      </c>
      <c r="Y308" s="4">
        <v>0</v>
      </c>
      <c r="Z308" s="5">
        <v>3.7431828300588501E-4</v>
      </c>
      <c r="AA308" s="5">
        <v>1.45279582394356E-4</v>
      </c>
      <c r="AB308" s="10">
        <v>3.4345168612924799E-3</v>
      </c>
      <c r="AC308" s="10">
        <v>3.4008376592424898E-5</v>
      </c>
      <c r="AD308" s="10">
        <v>3.5096706197111201E-2</v>
      </c>
      <c r="AE308" s="4">
        <v>5.8857392253210503E-2</v>
      </c>
      <c r="AF308" s="4">
        <v>0.49379534606581599</v>
      </c>
      <c r="AG308" s="4">
        <v>0.92892988545047595</v>
      </c>
      <c r="AH308" s="4">
        <v>0.98536101280469801</v>
      </c>
      <c r="AI308" s="4">
        <v>0.99845261845397104</v>
      </c>
      <c r="AJ308" s="4">
        <v>1</v>
      </c>
      <c r="AK308" s="4">
        <v>1</v>
      </c>
      <c r="AL308" s="4">
        <v>1</v>
      </c>
      <c r="AM308" s="4">
        <v>0</v>
      </c>
      <c r="AN308" s="4">
        <v>0</v>
      </c>
      <c r="AO308" s="4" t="s">
        <v>79</v>
      </c>
      <c r="AP308" s="4" t="s">
        <v>80</v>
      </c>
      <c r="AQ308" s="6">
        <v>2983319713.1300001</v>
      </c>
      <c r="AR308" s="4">
        <v>11471</v>
      </c>
      <c r="AS308" s="16">
        <v>0</v>
      </c>
      <c r="AT308" s="16">
        <v>0</v>
      </c>
      <c r="AU308" s="16">
        <v>100</v>
      </c>
      <c r="AV308" s="16">
        <v>0</v>
      </c>
      <c r="AW308" s="16">
        <v>0</v>
      </c>
      <c r="AX308" s="16">
        <v>100</v>
      </c>
    </row>
    <row r="309" spans="1:50" x14ac:dyDescent="0.25">
      <c r="A309">
        <v>4.3</v>
      </c>
      <c r="B309" s="4">
        <v>0.95711518963290398</v>
      </c>
      <c r="C309" s="4">
        <v>43.8828813809669</v>
      </c>
      <c r="D309" s="4">
        <v>40.902310267364797</v>
      </c>
      <c r="E309" s="4">
        <v>4.7003555584516597E-2</v>
      </c>
      <c r="F309" s="5">
        <v>4.2884810367095801E-2</v>
      </c>
      <c r="G309" s="5">
        <v>0</v>
      </c>
      <c r="H309" s="4">
        <v>5.0875769097778498</v>
      </c>
      <c r="I309" s="4">
        <v>3.66793483380046</v>
      </c>
      <c r="J309" s="4">
        <v>12.6974984932138</v>
      </c>
      <c r="K309" s="4">
        <v>159.207056068414</v>
      </c>
      <c r="L309" s="4">
        <v>14.998157763768001</v>
      </c>
      <c r="M309" s="4">
        <v>20.170376500070301</v>
      </c>
      <c r="N309" s="4">
        <v>73.929938117158301</v>
      </c>
      <c r="O309" s="4">
        <v>66.5123838909131</v>
      </c>
      <c r="P309" s="4">
        <v>285723.39204309898</v>
      </c>
      <c r="Q309" s="4">
        <v>266242.186152304</v>
      </c>
      <c r="R309" s="4">
        <v>778.91596495789702</v>
      </c>
      <c r="S309" s="4">
        <v>0</v>
      </c>
      <c r="T309" s="4">
        <v>0</v>
      </c>
      <c r="U309" s="4">
        <v>1.87251563592492E-2</v>
      </c>
      <c r="V309" s="4">
        <v>1</v>
      </c>
      <c r="W309" s="4">
        <v>0</v>
      </c>
      <c r="X309" s="4">
        <v>0.66487286975419502</v>
      </c>
      <c r="Y309" s="4">
        <v>0</v>
      </c>
      <c r="Z309" s="5">
        <v>3.7296397503904302E-4</v>
      </c>
      <c r="AA309" s="5">
        <v>2.13893148282654E-4</v>
      </c>
      <c r="AB309" s="10">
        <v>3.4935867984783099E-3</v>
      </c>
      <c r="AC309" s="10">
        <v>6.0542803152706997E-5</v>
      </c>
      <c r="AD309" s="10">
        <v>3.8743808840741703E-2</v>
      </c>
      <c r="AE309" s="4">
        <v>7.6476583362124304E-2</v>
      </c>
      <c r="AF309" s="4">
        <v>0.39557037313987597</v>
      </c>
      <c r="AG309" s="4">
        <v>0.89160448744228704</v>
      </c>
      <c r="AH309" s="4">
        <v>0.97368175544530899</v>
      </c>
      <c r="AI309" s="4">
        <v>0.99657008886805798</v>
      </c>
      <c r="AJ309" s="4">
        <v>1</v>
      </c>
      <c r="AK309" s="4">
        <v>1</v>
      </c>
      <c r="AL309" s="4">
        <v>1</v>
      </c>
      <c r="AM309" s="4">
        <v>0</v>
      </c>
      <c r="AN309" s="4">
        <v>0</v>
      </c>
      <c r="AO309" s="4" t="s">
        <v>81</v>
      </c>
      <c r="AP309" s="4" t="s">
        <v>82</v>
      </c>
      <c r="AQ309" s="6">
        <v>664274254.45000005</v>
      </c>
      <c r="AR309" s="4">
        <v>2495</v>
      </c>
      <c r="AS309" s="16">
        <v>0</v>
      </c>
      <c r="AT309" s="16">
        <v>0</v>
      </c>
      <c r="AU309" s="16">
        <v>100</v>
      </c>
      <c r="AV309" s="16">
        <v>0</v>
      </c>
      <c r="AW309" s="16">
        <v>0</v>
      </c>
      <c r="AX309" s="16">
        <v>100</v>
      </c>
    </row>
    <row r="310" spans="1:50" x14ac:dyDescent="0.25">
      <c r="A310">
        <v>4.3</v>
      </c>
      <c r="B310" s="4">
        <v>0.95312325182999502</v>
      </c>
      <c r="C310" s="4">
        <v>55.3010002587543</v>
      </c>
      <c r="D310" s="4">
        <v>43.793211243427898</v>
      </c>
      <c r="E310" s="4">
        <v>6.4899798897641206E-2</v>
      </c>
      <c r="F310" s="5">
        <v>4.6876748170004597E-2</v>
      </c>
      <c r="G310" s="5">
        <v>0</v>
      </c>
      <c r="H310" s="4">
        <v>5.1828648717878902</v>
      </c>
      <c r="I310" s="4">
        <v>3.66154715696744</v>
      </c>
      <c r="J310" s="4">
        <v>26.721662193348799</v>
      </c>
      <c r="K310" s="4">
        <v>183.23274294401699</v>
      </c>
      <c r="L310" s="4">
        <v>14.4258651382055</v>
      </c>
      <c r="M310" s="4">
        <v>20.147710145289899</v>
      </c>
      <c r="N310" s="4">
        <v>78.208501163480307</v>
      </c>
      <c r="O310" s="4">
        <v>68.105275866285197</v>
      </c>
      <c r="P310" s="4">
        <v>296805.84790738299</v>
      </c>
      <c r="Q310" s="4">
        <v>276792.31921658898</v>
      </c>
      <c r="R310" s="4">
        <v>779.56453400799705</v>
      </c>
      <c r="S310" s="4">
        <v>0</v>
      </c>
      <c r="T310" s="4">
        <v>0</v>
      </c>
      <c r="U310" s="4">
        <v>0</v>
      </c>
      <c r="V310" s="4">
        <v>1</v>
      </c>
      <c r="W310" s="4">
        <v>0</v>
      </c>
      <c r="X310" s="4">
        <v>0.65481308680203199</v>
      </c>
      <c r="Y310" s="4">
        <v>0</v>
      </c>
      <c r="Z310" s="5">
        <v>3.9321548512953001E-4</v>
      </c>
      <c r="AA310" s="5">
        <v>2.99803565748083E-4</v>
      </c>
      <c r="AB310" s="10">
        <v>3.60211953921206E-3</v>
      </c>
      <c r="AC310" s="10">
        <v>1.7322806964271999E-4</v>
      </c>
      <c r="AD310" s="10">
        <v>4.2408366034350803E-2</v>
      </c>
      <c r="AE310" s="4">
        <v>0.10048404856059499</v>
      </c>
      <c r="AF310" s="4">
        <v>0.266754752190074</v>
      </c>
      <c r="AG310" s="4">
        <v>0.79175140431158697</v>
      </c>
      <c r="AH310" s="4">
        <v>0.92892010933069502</v>
      </c>
      <c r="AI310" s="4">
        <v>0.98513130806826299</v>
      </c>
      <c r="AJ310" s="4">
        <v>1</v>
      </c>
      <c r="AK310" s="4">
        <v>1</v>
      </c>
      <c r="AL310" s="4">
        <v>1</v>
      </c>
      <c r="AM310" s="4">
        <v>0</v>
      </c>
      <c r="AN310" s="4">
        <v>0</v>
      </c>
      <c r="AO310" s="4" t="s">
        <v>83</v>
      </c>
      <c r="AP310" s="4" t="s">
        <v>84</v>
      </c>
      <c r="AQ310" s="6">
        <v>120127866.54000001</v>
      </c>
      <c r="AR310" s="4">
        <v>434</v>
      </c>
      <c r="AS310" s="16">
        <v>0</v>
      </c>
      <c r="AT310" s="16">
        <v>0</v>
      </c>
      <c r="AU310" s="16">
        <v>100</v>
      </c>
      <c r="AV310" s="16">
        <v>0</v>
      </c>
      <c r="AW310" s="16">
        <v>0</v>
      </c>
      <c r="AX310" s="16">
        <v>100</v>
      </c>
    </row>
    <row r="311" spans="1:50" x14ac:dyDescent="0.25">
      <c r="A311">
        <v>4.3</v>
      </c>
      <c r="B311" s="4">
        <v>0.95413154706949299</v>
      </c>
      <c r="C311" s="4">
        <v>53.736278937248798</v>
      </c>
      <c r="D311" s="4">
        <v>43.075520879579599</v>
      </c>
      <c r="E311" s="4">
        <v>6.22147879329044E-2</v>
      </c>
      <c r="F311" s="5">
        <v>4.5868452930506301E-2</v>
      </c>
      <c r="G311" s="5">
        <v>0</v>
      </c>
      <c r="H311" s="4">
        <v>5.2404386091394901</v>
      </c>
      <c r="I311" s="4">
        <v>3.6507389351644601</v>
      </c>
      <c r="J311" s="4">
        <v>30.826974600296701</v>
      </c>
      <c r="K311" s="4">
        <v>207.937634827827</v>
      </c>
      <c r="L311" s="4">
        <v>15.518872186376599</v>
      </c>
      <c r="M311" s="4">
        <v>20.3801925784852</v>
      </c>
      <c r="N311" s="4">
        <v>83.3105111028257</v>
      </c>
      <c r="O311" s="4">
        <v>69.451671691763593</v>
      </c>
      <c r="P311" s="4">
        <v>273149.375560396</v>
      </c>
      <c r="Q311" s="4">
        <v>257277.22387096699</v>
      </c>
      <c r="R311" s="4">
        <v>776.79709678461802</v>
      </c>
      <c r="S311" s="4">
        <v>0</v>
      </c>
      <c r="T311" s="4">
        <v>0</v>
      </c>
      <c r="U311" s="4">
        <v>0</v>
      </c>
      <c r="V311" s="4">
        <v>1</v>
      </c>
      <c r="W311" s="4">
        <v>0</v>
      </c>
      <c r="X311" s="4">
        <v>0.51070676373977897</v>
      </c>
      <c r="Y311" s="4">
        <v>0</v>
      </c>
      <c r="Z311" s="5">
        <v>4.3522975761832699E-4</v>
      </c>
      <c r="AA311" s="5">
        <v>3.20856477287771E-4</v>
      </c>
      <c r="AB311" s="10">
        <v>3.9489033533806998E-3</v>
      </c>
      <c r="AC311" s="10">
        <v>3.87787124826706E-4</v>
      </c>
      <c r="AD311" s="10">
        <v>4.0775660905237002E-2</v>
      </c>
      <c r="AE311" s="4">
        <v>0.12908079345047899</v>
      </c>
      <c r="AF311" s="4">
        <v>0.12918379342667399</v>
      </c>
      <c r="AG311" s="4">
        <v>0.65268541617854703</v>
      </c>
      <c r="AH311" s="4">
        <v>0.837179658371624</v>
      </c>
      <c r="AI311" s="4">
        <v>0.96337045714741998</v>
      </c>
      <c r="AJ311" s="4">
        <v>1</v>
      </c>
      <c r="AK311" s="4">
        <v>1</v>
      </c>
      <c r="AL311" s="4">
        <v>1</v>
      </c>
      <c r="AM311" s="4">
        <v>0</v>
      </c>
      <c r="AN311" s="4">
        <v>0</v>
      </c>
      <c r="AO311" s="4" t="s">
        <v>85</v>
      </c>
      <c r="AP311" s="4" t="s">
        <v>86</v>
      </c>
      <c r="AQ311" s="6">
        <v>15951187.880000001</v>
      </c>
      <c r="AR311" s="4">
        <v>62</v>
      </c>
      <c r="AS311" s="16">
        <v>0</v>
      </c>
      <c r="AT311" s="16">
        <v>0</v>
      </c>
      <c r="AU311" s="16">
        <v>100</v>
      </c>
      <c r="AV311" s="16">
        <v>0</v>
      </c>
      <c r="AW311" s="16">
        <v>0</v>
      </c>
      <c r="AX311" s="16">
        <v>100</v>
      </c>
    </row>
    <row r="312" spans="1:50" x14ac:dyDescent="0.25">
      <c r="A312">
        <v>4.3</v>
      </c>
      <c r="B312" s="4">
        <v>0.95616786554540201</v>
      </c>
      <c r="C312" s="4">
        <v>0</v>
      </c>
      <c r="D312" s="4">
        <v>41.600419374232601</v>
      </c>
      <c r="E312" s="4">
        <v>0</v>
      </c>
      <c r="F312" s="5">
        <v>4.3832134454597799E-2</v>
      </c>
      <c r="G312" s="5">
        <v>0</v>
      </c>
      <c r="H312" s="4">
        <v>5.25</v>
      </c>
      <c r="I312" s="4">
        <v>3.6406662916588299</v>
      </c>
      <c r="J312" s="4">
        <v>17.662920604131902</v>
      </c>
      <c r="K312" s="4">
        <v>233.95346394605701</v>
      </c>
      <c r="L312" s="4">
        <v>18.196645222709499</v>
      </c>
      <c r="M312" s="4">
        <v>20.999142117180401</v>
      </c>
      <c r="N312" s="4">
        <v>95</v>
      </c>
      <c r="O312" s="4">
        <v>75.144083977687004</v>
      </c>
      <c r="P312" s="4">
        <v>219482.43229651701</v>
      </c>
      <c r="Q312" s="4">
        <v>219482.19</v>
      </c>
      <c r="R312" s="4">
        <v>794</v>
      </c>
      <c r="S312" s="4">
        <v>0</v>
      </c>
      <c r="T312" s="4">
        <v>0</v>
      </c>
      <c r="U312" s="4">
        <v>0</v>
      </c>
      <c r="V312" s="4">
        <v>1</v>
      </c>
      <c r="W312" s="4">
        <v>0</v>
      </c>
      <c r="X312" s="4">
        <v>0</v>
      </c>
      <c r="Y312" s="4">
        <v>0</v>
      </c>
      <c r="Z312" s="5">
        <v>3.5712854154316498E-4</v>
      </c>
      <c r="AA312" s="5">
        <v>1.17134227584783E-4</v>
      </c>
      <c r="AB312" s="10">
        <v>4.8422814985199097E-3</v>
      </c>
      <c r="AC312" s="10">
        <v>1.84434555156616E-3</v>
      </c>
      <c r="AD312" s="10">
        <v>3.6671224635383803E-2</v>
      </c>
      <c r="AE312" s="4">
        <v>0.232513101617222</v>
      </c>
      <c r="AF312" s="4">
        <v>0</v>
      </c>
      <c r="AG312" s="4">
        <v>0</v>
      </c>
      <c r="AH312" s="4">
        <v>0</v>
      </c>
      <c r="AI312" s="4">
        <v>1</v>
      </c>
      <c r="AJ312" s="4">
        <v>1</v>
      </c>
      <c r="AK312" s="4">
        <v>1</v>
      </c>
      <c r="AL312" s="4">
        <v>1</v>
      </c>
      <c r="AM312" s="4">
        <v>0</v>
      </c>
      <c r="AN312" s="4">
        <v>0</v>
      </c>
      <c r="AO312" s="4" t="s">
        <v>87</v>
      </c>
      <c r="AP312" s="4" t="s">
        <v>88</v>
      </c>
      <c r="AQ312" s="6">
        <v>658446.56999999995</v>
      </c>
      <c r="AR312" s="4">
        <v>3</v>
      </c>
      <c r="AS312" s="16">
        <v>0</v>
      </c>
      <c r="AT312" s="16">
        <v>0</v>
      </c>
      <c r="AU312" s="16">
        <v>100</v>
      </c>
      <c r="AV312" s="16">
        <v>0</v>
      </c>
      <c r="AW312" s="16">
        <v>0</v>
      </c>
      <c r="AX312" s="16">
        <v>100</v>
      </c>
    </row>
    <row r="313" spans="1:50" x14ac:dyDescent="0.25">
      <c r="B313" s="4"/>
      <c r="C313" s="4"/>
      <c r="D313" s="4"/>
      <c r="E313" s="4"/>
      <c r="F313" s="5"/>
      <c r="G313" s="5"/>
      <c r="H313" s="4"/>
      <c r="I313" s="4"/>
      <c r="J313" s="4"/>
      <c r="K313" s="4"/>
      <c r="L313" s="4"/>
      <c r="M313" s="4"/>
      <c r="N313" s="4"/>
      <c r="O313" s="4"/>
      <c r="P313" s="4"/>
      <c r="Q313" s="4"/>
      <c r="R313" s="4"/>
      <c r="S313" s="4"/>
      <c r="T313" s="4"/>
      <c r="U313" s="4"/>
      <c r="V313" s="4"/>
      <c r="W313" s="4"/>
      <c r="X313" s="4"/>
      <c r="Y313" s="4"/>
      <c r="Z313" s="5"/>
      <c r="AA313" s="5"/>
      <c r="AB313" s="10"/>
      <c r="AC313" s="10"/>
      <c r="AD313" s="10"/>
      <c r="AE313" s="4"/>
      <c r="AF313" s="4"/>
      <c r="AG313" s="4"/>
      <c r="AH313" s="4"/>
      <c r="AI313" s="4"/>
      <c r="AJ313" s="4"/>
      <c r="AK313" s="4"/>
      <c r="AL313" s="4"/>
      <c r="AM313" s="4"/>
      <c r="AN313" s="4"/>
      <c r="AO313" s="4"/>
      <c r="AP313" s="4"/>
      <c r="AQ313" s="6"/>
      <c r="AR313" s="4"/>
      <c r="AS313" s="16"/>
      <c r="AT313" s="16"/>
      <c r="AU313" s="16"/>
      <c r="AV313" s="16"/>
      <c r="AW313" s="16"/>
      <c r="AX313" s="16"/>
    </row>
    <row r="314" spans="1:50" x14ac:dyDescent="0.25">
      <c r="G314" s="35"/>
      <c r="S314" s="35"/>
      <c r="T314" s="35"/>
      <c r="W314" s="35"/>
      <c r="Y314" s="35"/>
    </row>
    <row r="319" spans="1:50" x14ac:dyDescent="0.25">
      <c r="K319" t="s">
        <v>104</v>
      </c>
      <c r="L319" t="s">
        <v>92</v>
      </c>
      <c r="M319" t="s">
        <v>93</v>
      </c>
      <c r="R319" t="s">
        <v>104</v>
      </c>
      <c r="W319" t="s">
        <v>92</v>
      </c>
      <c r="AB319" t="s">
        <v>93</v>
      </c>
    </row>
    <row r="320" spans="1:50" x14ac:dyDescent="0.25">
      <c r="A320" s="4" t="s">
        <v>97</v>
      </c>
      <c r="B320" t="str">
        <f>AQ296</f>
        <v>Balance</v>
      </c>
      <c r="C320" s="2" t="str">
        <f>AO296</f>
        <v>groupByColumn</v>
      </c>
      <c r="D320" t="str">
        <f>E296</f>
        <v>PREPAY_SMM1</v>
      </c>
      <c r="E320" t="str">
        <f>F296</f>
        <v>PREPAY_TRACKING_SMM1</v>
      </c>
      <c r="F320" t="s">
        <v>94</v>
      </c>
      <c r="G320" t="str">
        <f>C296</f>
        <v>PREPAY_CPR1</v>
      </c>
      <c r="H320" t="str">
        <f>D296</f>
        <v>PREPAY_TRACKING_CPR1</v>
      </c>
      <c r="K320" t="s">
        <v>95</v>
      </c>
      <c r="L320" t="s">
        <v>95</v>
      </c>
      <c r="M320" t="s">
        <v>95</v>
      </c>
      <c r="N320" t="s">
        <v>102</v>
      </c>
      <c r="O320" t="s">
        <v>103</v>
      </c>
      <c r="P320" t="s">
        <v>94</v>
      </c>
      <c r="R320" t="s">
        <v>98</v>
      </c>
      <c r="T320" t="s">
        <v>96</v>
      </c>
      <c r="U320" t="s">
        <v>101</v>
      </c>
      <c r="W320" t="s">
        <v>98</v>
      </c>
      <c r="X320" t="s">
        <v>105</v>
      </c>
      <c r="Y320" t="s">
        <v>96</v>
      </c>
      <c r="Z320" t="s">
        <v>101</v>
      </c>
      <c r="AB320" t="s">
        <v>98</v>
      </c>
      <c r="AC320" t="s">
        <v>105</v>
      </c>
      <c r="AD320" t="s">
        <v>96</v>
      </c>
      <c r="AE320" t="s">
        <v>101</v>
      </c>
    </row>
    <row r="321" spans="1:31" s="18" customFormat="1" x14ac:dyDescent="0.25">
      <c r="A321" s="16">
        <f>K297</f>
        <v>-131.94999999999999</v>
      </c>
      <c r="B321" s="23">
        <f>AQ297/1000000000</f>
        <v>3.0325044E-4</v>
      </c>
      <c r="C321" s="24" t="str">
        <f>AO297</f>
        <v>03:-150--125</v>
      </c>
      <c r="D321" s="17">
        <f>E297</f>
        <v>0</v>
      </c>
      <c r="E321" s="17">
        <f>Z297+AA297+AB297+AC297+AD297</f>
        <v>3.38237E-3</v>
      </c>
      <c r="F321" s="23">
        <f t="shared" ref="F321:F333" si="107">D321/E321</f>
        <v>0</v>
      </c>
      <c r="G321" s="24">
        <f t="shared" ref="G321:G333" si="108">(1-(1-D321)^12)*100</f>
        <v>0</v>
      </c>
      <c r="H321" s="24">
        <f t="shared" ref="H321:H333" si="109">(1-(1-E321)^12)*100</f>
        <v>3.9841820458473509</v>
      </c>
      <c r="K321" s="16" t="e">
        <f>VLOOKUP(C321,$C$26:$M$44,9,0)</f>
        <v>#N/A</v>
      </c>
      <c r="L321" s="16" t="e">
        <f>VLOOKUP(C321,$C$26:$M$44,10,0)</f>
        <v>#N/A</v>
      </c>
      <c r="M321" s="16" t="e">
        <f>VLOOKUP(C321,$C$26:$M$44,11,0)</f>
        <v>#N/A</v>
      </c>
      <c r="N321" s="17" t="e">
        <f>Z297+AA297+AB297*K321+AC297*L321+AD297*M321</f>
        <v>#N/A</v>
      </c>
      <c r="O321" s="24" t="e">
        <f t="shared" ref="O321:O333" si="110">100*(1-(1-N321)^12)</f>
        <v>#N/A</v>
      </c>
      <c r="P321" s="25" t="e">
        <f t="shared" ref="P321:P333" si="111">D321/N321</f>
        <v>#N/A</v>
      </c>
      <c r="S321" s="19">
        <f>A321</f>
        <v>-131.94999999999999</v>
      </c>
      <c r="T321" s="17">
        <f>VLOOKUP(ROUNDDOWN(S321,0),'Spline Pre-Adj'!A:B,2,0)</f>
        <v>0.95832877400000005</v>
      </c>
      <c r="U321" s="17" t="e">
        <f>T321*K321</f>
        <v>#N/A</v>
      </c>
      <c r="Y321" s="17"/>
      <c r="Z321" s="17"/>
      <c r="AE321" s="17"/>
    </row>
    <row r="322" spans="1:31" s="18" customFormat="1" x14ac:dyDescent="0.25">
      <c r="A322" s="16">
        <f>K298</f>
        <v>-111.350860701152</v>
      </c>
      <c r="B322" s="23">
        <f>AQ298/1000000000</f>
        <v>1.1146991000000001E-3</v>
      </c>
      <c r="C322" s="24" t="str">
        <f>AO298</f>
        <v>04:-125--100</v>
      </c>
      <c r="D322" s="17">
        <f>E298</f>
        <v>0</v>
      </c>
      <c r="E322" s="17">
        <f>Z298+AA298+AB298+AC298+AD298</f>
        <v>8.2654569018744059E-3</v>
      </c>
      <c r="F322" s="23">
        <f t="shared" si="107"/>
        <v>0</v>
      </c>
      <c r="G322" s="24">
        <f t="shared" si="108"/>
        <v>0</v>
      </c>
      <c r="H322" s="24">
        <f t="shared" si="109"/>
        <v>9.4798458508529535</v>
      </c>
      <c r="K322" s="16" t="e">
        <f t="shared" ref="K322:K336" si="112">VLOOKUP(C322,$C$26:$M$44,9,0)</f>
        <v>#N/A</v>
      </c>
      <c r="L322" s="16" t="e">
        <f t="shared" ref="L322:L336" si="113">VLOOKUP(C322,$C$26:$M$44,10,0)</f>
        <v>#N/A</v>
      </c>
      <c r="M322" s="16" t="e">
        <f t="shared" ref="M322:M336" si="114">VLOOKUP(C322,$C$26:$M$44,11,0)</f>
        <v>#N/A</v>
      </c>
      <c r="N322" s="17" t="e">
        <f>Z298+AA298+AB298*K322+AC298*L322+AD298*M322</f>
        <v>#N/A</v>
      </c>
      <c r="O322" s="24" t="e">
        <f t="shared" si="110"/>
        <v>#N/A</v>
      </c>
      <c r="P322" s="25" t="e">
        <f t="shared" si="111"/>
        <v>#N/A</v>
      </c>
      <c r="S322" s="19">
        <f t="shared" ref="S322:S329" si="115">A322</f>
        <v>-111.350860701152</v>
      </c>
      <c r="T322" s="17">
        <f>VLOOKUP(ROUNDDOWN(S322,0),'Spline Pre-Adj'!A:B,2,0)</f>
        <v>1.0100243339999999</v>
      </c>
      <c r="U322" s="17" t="e">
        <f t="shared" ref="U322:U329" si="116">T322*K322</f>
        <v>#N/A</v>
      </c>
      <c r="X322" s="19">
        <f>A322</f>
        <v>-111.350860701152</v>
      </c>
      <c r="Y322" s="17">
        <f>VLOOKUP(ROUNDDOWN(X322,0),'Spline Pre-Adj'!F:G,2,0)</f>
        <v>0</v>
      </c>
      <c r="Z322" s="17" t="e">
        <f t="shared" ref="Z322:Z333" si="117">Y322*L322</f>
        <v>#N/A</v>
      </c>
      <c r="AE322" s="17"/>
    </row>
    <row r="323" spans="1:31" s="18" customFormat="1" x14ac:dyDescent="0.25">
      <c r="A323" s="16">
        <f>K299</f>
        <v>-83.452033435034593</v>
      </c>
      <c r="B323" s="23">
        <f>AQ299/1000000000</f>
        <v>2.3228736200000002E-3</v>
      </c>
      <c r="C323" s="24" t="str">
        <f>AO299</f>
        <v>05:-100--75</v>
      </c>
      <c r="D323" s="17">
        <f>E299</f>
        <v>1.0697277709633701E-2</v>
      </c>
      <c r="E323" s="17">
        <f>Z299+AA299+AB299+AC299+AD299</f>
        <v>1.0071794845735508E-2</v>
      </c>
      <c r="F323" s="23">
        <f t="shared" si="107"/>
        <v>1.0621024230018969</v>
      </c>
      <c r="G323" s="24">
        <f t="shared" si="108"/>
        <v>12.107776852550668</v>
      </c>
      <c r="H323" s="24">
        <f t="shared" si="109"/>
        <v>11.438618875231787</v>
      </c>
      <c r="K323" s="16">
        <f t="shared" si="112"/>
        <v>1</v>
      </c>
      <c r="L323" s="16">
        <f t="shared" si="113"/>
        <v>1</v>
      </c>
      <c r="M323" s="16">
        <f t="shared" si="114"/>
        <v>1</v>
      </c>
      <c r="N323" s="17">
        <f>Z299+AA299+AB299*K323+AC299*L323+AD299*M323</f>
        <v>1.0071794845735508E-2</v>
      </c>
      <c r="O323" s="24">
        <f t="shared" si="110"/>
        <v>11.438618875231787</v>
      </c>
      <c r="P323" s="25">
        <f t="shared" si="111"/>
        <v>1.0621024230018969</v>
      </c>
      <c r="S323" s="19">
        <f t="shared" si="115"/>
        <v>-83.452033435034593</v>
      </c>
      <c r="T323" s="17">
        <f>VLOOKUP(ROUNDDOWN(S323,0),'Spline Pre-Adj'!A:B,2,0)</f>
        <v>1.135228248</v>
      </c>
      <c r="U323" s="17">
        <f t="shared" si="116"/>
        <v>1.135228248</v>
      </c>
      <c r="X323" s="19">
        <f t="shared" ref="X323:X333" si="118">A323</f>
        <v>-83.452033435034593</v>
      </c>
      <c r="Y323" s="17">
        <f>VLOOKUP(ROUNDDOWN(X323,0),'Spline Pre-Adj'!F:G,2,0)</f>
        <v>3.1256266951590402E-2</v>
      </c>
      <c r="Z323" s="17">
        <f t="shared" si="117"/>
        <v>3.1256266951590402E-2</v>
      </c>
      <c r="AE323" s="17"/>
    </row>
    <row r="324" spans="1:31" s="18" customFormat="1" x14ac:dyDescent="0.25">
      <c r="A324" s="16">
        <f>K300</f>
        <v>-57.932898037517504</v>
      </c>
      <c r="B324" s="23">
        <f>AQ300/1000000000</f>
        <v>1.32753339E-2</v>
      </c>
      <c r="C324" s="24" t="str">
        <f>AO300</f>
        <v>06:-75--50</v>
      </c>
      <c r="D324" s="17">
        <f>E300</f>
        <v>2.6366897999839999E-2</v>
      </c>
      <c r="E324" s="17">
        <f>Z300+AA300+AB300+AC300+AD300</f>
        <v>1.0652377888579131E-2</v>
      </c>
      <c r="F324" s="23">
        <f t="shared" si="107"/>
        <v>2.4752124150711059</v>
      </c>
      <c r="G324" s="24">
        <f t="shared" si="108"/>
        <v>27.432197884991893</v>
      </c>
      <c r="H324" s="24">
        <f t="shared" si="109"/>
        <v>12.059896701386396</v>
      </c>
      <c r="K324" s="14">
        <f t="shared" si="112"/>
        <v>1</v>
      </c>
      <c r="L324" s="14">
        <f t="shared" si="113"/>
        <v>1</v>
      </c>
      <c r="M324" s="14">
        <f t="shared" si="114"/>
        <v>1</v>
      </c>
      <c r="N324" s="17">
        <f>Z300+AA300+AB300*K324+AC300*L324+AD300*M324</f>
        <v>1.0652377888579131E-2</v>
      </c>
      <c r="O324" s="24">
        <f t="shared" si="110"/>
        <v>12.059896701386396</v>
      </c>
      <c r="P324" s="25">
        <f t="shared" si="111"/>
        <v>2.4752124150711059</v>
      </c>
      <c r="S324" s="19">
        <f t="shared" si="115"/>
        <v>-57.932898037517504</v>
      </c>
      <c r="T324" s="17">
        <f>VLOOKUP(ROUNDDOWN(S324,0),'Spline Pre-Adj'!A:B,2,0)</f>
        <v>1.276980872</v>
      </c>
      <c r="U324" s="17">
        <f t="shared" si="116"/>
        <v>1.276980872</v>
      </c>
      <c r="X324" s="19">
        <f t="shared" si="118"/>
        <v>-57.932898037517504</v>
      </c>
      <c r="Y324" s="17">
        <f>VLOOKUP(ROUNDDOWN(X324,0),'Spline Pre-Adj'!F:G,2,0)</f>
        <v>0.183833391304348</v>
      </c>
      <c r="Z324" s="17">
        <f t="shared" si="117"/>
        <v>0.183833391304348</v>
      </c>
      <c r="AC324" s="19">
        <f t="shared" ref="AC324:AC333" si="119">A324</f>
        <v>-57.932898037517504</v>
      </c>
      <c r="AD324" s="17">
        <f>VLOOKUP(ROUNDDOWN(AC324,0),'Spline Pre-Adj'!K:L,2,0)</f>
        <v>0</v>
      </c>
      <c r="AE324" s="17">
        <f t="shared" ref="AE324:AE333" si="120">AD324*M324</f>
        <v>0</v>
      </c>
    </row>
    <row r="325" spans="1:31" x14ac:dyDescent="0.25">
      <c r="A325" s="4">
        <f>K301</f>
        <v>-32.3134018442613</v>
      </c>
      <c r="B325" s="3">
        <f>AQ301/1000000000</f>
        <v>0.19616225394999998</v>
      </c>
      <c r="C325" s="2" t="str">
        <f>AO301</f>
        <v>07:-50--25</v>
      </c>
      <c r="D325" s="8">
        <f>E301</f>
        <v>2.2759411103495898E-3</v>
      </c>
      <c r="E325" s="8">
        <f>Z301+AA301+AB301+AC301+AD301</f>
        <v>6.2708222082364234E-3</v>
      </c>
      <c r="F325" s="3">
        <f t="shared" si="107"/>
        <v>0.3629414189673964</v>
      </c>
      <c r="G325" s="2">
        <f t="shared" si="108"/>
        <v>2.6971999783365286</v>
      </c>
      <c r="H325" s="2">
        <f t="shared" si="109"/>
        <v>7.2708026310271512</v>
      </c>
      <c r="K325" s="4">
        <f t="shared" si="112"/>
        <v>1</v>
      </c>
      <c r="L325" s="4">
        <f t="shared" si="113"/>
        <v>1</v>
      </c>
      <c r="M325" s="14">
        <f t="shared" si="114"/>
        <v>1</v>
      </c>
      <c r="N325" s="8">
        <f>Z301+AA301+AB301*K325+AC301*L325+AD301*M325</f>
        <v>6.2708222082364234E-3</v>
      </c>
      <c r="O325" s="2">
        <f t="shared" si="110"/>
        <v>7.2708026310271512</v>
      </c>
      <c r="P325" s="7">
        <f t="shared" si="111"/>
        <v>0.3629414189673964</v>
      </c>
      <c r="S325" s="9">
        <f t="shared" si="115"/>
        <v>-32.3134018442613</v>
      </c>
      <c r="T325" s="8">
        <f>VLOOKUP(ROUNDDOWN(S325,0),'Spline Pre-Adj'!A:B,2,0)</f>
        <v>1.2869999999999999</v>
      </c>
      <c r="U325" s="8">
        <f t="shared" si="116"/>
        <v>1.2869999999999999</v>
      </c>
      <c r="X325" s="9">
        <f t="shared" si="118"/>
        <v>-32.3134018442613</v>
      </c>
      <c r="Y325" s="8">
        <f>VLOOKUP(ROUNDDOWN(X325,0),'Spline Pre-Adj'!F:G,2,0)</f>
        <v>0.3115</v>
      </c>
      <c r="Z325" s="8">
        <f t="shared" si="117"/>
        <v>0.3115</v>
      </c>
      <c r="AC325" s="9">
        <f t="shared" si="119"/>
        <v>-32.3134018442613</v>
      </c>
      <c r="AD325" s="8">
        <f>VLOOKUP(ROUNDDOWN(AC325,0),'Spline Pre-Adj'!K:L,2,0)</f>
        <v>0.43003693731507903</v>
      </c>
      <c r="AE325" s="8">
        <f t="shared" si="120"/>
        <v>0.43003693731507903</v>
      </c>
    </row>
    <row r="326" spans="1:31" x14ac:dyDescent="0.25">
      <c r="A326" s="4">
        <f t="shared" ref="A326:A333" si="121">K302</f>
        <v>-8.5263263960701394</v>
      </c>
      <c r="B326" s="3">
        <f t="shared" ref="B326:B333" si="122">AQ302/1000000000</f>
        <v>2.0578614226099998</v>
      </c>
      <c r="C326" s="2" t="str">
        <f t="shared" ref="C326:C333" si="123">AO302</f>
        <v>08:-25-0</v>
      </c>
      <c r="D326" s="8">
        <f t="shared" ref="D326:D333" si="124">E302</f>
        <v>8.9906796871627101E-3</v>
      </c>
      <c r="E326" s="8">
        <f t="shared" ref="E326:E333" si="125">Z302+AA302+AB302+AC302+AD302</f>
        <v>9.9083156259496125E-3</v>
      </c>
      <c r="F326" s="3">
        <f t="shared" si="107"/>
        <v>0.90738729230792381</v>
      </c>
      <c r="G326" s="2">
        <f t="shared" si="108"/>
        <v>10.270991707432175</v>
      </c>
      <c r="H326" s="2">
        <f t="shared" si="109"/>
        <v>11.262956405107005</v>
      </c>
      <c r="K326" s="4">
        <f t="shared" si="112"/>
        <v>1</v>
      </c>
      <c r="L326" s="4">
        <f t="shared" si="113"/>
        <v>1</v>
      </c>
      <c r="M326" s="4">
        <f t="shared" si="114"/>
        <v>1</v>
      </c>
      <c r="N326" s="8">
        <f t="shared" ref="N326:N333" si="126">Z302+AA302+AB302*K326+AC302*L326+AD302*M326</f>
        <v>9.9083156259496125E-3</v>
      </c>
      <c r="O326" s="2">
        <f t="shared" si="110"/>
        <v>11.262956405107005</v>
      </c>
      <c r="P326" s="7">
        <f t="shared" si="111"/>
        <v>0.90738729230792381</v>
      </c>
      <c r="S326" s="9">
        <f t="shared" si="115"/>
        <v>-8.5263263960701394</v>
      </c>
      <c r="T326" s="8">
        <f>VLOOKUP(ROUNDDOWN(S326,0),'Spline Pre-Adj'!A:B,2,0)</f>
        <v>1.2869999999999999</v>
      </c>
      <c r="U326" s="8">
        <f t="shared" si="116"/>
        <v>1.2869999999999999</v>
      </c>
      <c r="X326" s="9">
        <f t="shared" si="118"/>
        <v>-8.5263263960701394</v>
      </c>
      <c r="Y326" s="8">
        <f>VLOOKUP(ROUNDDOWN(X326,0),'Spline Pre-Adj'!F:G,2,0)</f>
        <v>0.53185287373913004</v>
      </c>
      <c r="Z326" s="8">
        <f t="shared" si="117"/>
        <v>0.53185287373913004</v>
      </c>
      <c r="AC326" s="9">
        <f t="shared" si="119"/>
        <v>-8.5263263960701394</v>
      </c>
      <c r="AD326" s="8">
        <f>VLOOKUP(ROUNDDOWN(AC326,0),'Spline Pre-Adj'!K:L,2,0)</f>
        <v>1.1762837415319201</v>
      </c>
      <c r="AE326" s="8">
        <f t="shared" si="120"/>
        <v>1.1762837415319201</v>
      </c>
    </row>
    <row r="327" spans="1:31" x14ac:dyDescent="0.25">
      <c r="A327" s="4">
        <f t="shared" si="121"/>
        <v>15.6085089959707</v>
      </c>
      <c r="B327" s="3">
        <f t="shared" si="122"/>
        <v>11.25515917133</v>
      </c>
      <c r="C327" s="2" t="str">
        <f t="shared" si="123"/>
        <v>09:0-25</v>
      </c>
      <c r="D327" s="8">
        <f t="shared" si="124"/>
        <v>1.6974666894606302E-2</v>
      </c>
      <c r="E327" s="8">
        <f t="shared" si="125"/>
        <v>1.3695681089679912E-2</v>
      </c>
      <c r="F327" s="3">
        <f t="shared" si="107"/>
        <v>1.2394175056687906</v>
      </c>
      <c r="G327" s="2">
        <f t="shared" si="108"/>
        <v>18.571484040300057</v>
      </c>
      <c r="H327" s="2">
        <f t="shared" si="109"/>
        <v>15.251656493630605</v>
      </c>
      <c r="K327" s="4">
        <f t="shared" si="112"/>
        <v>1</v>
      </c>
      <c r="L327" s="4">
        <f t="shared" si="113"/>
        <v>1</v>
      </c>
      <c r="M327" s="4">
        <f t="shared" si="114"/>
        <v>1</v>
      </c>
      <c r="N327" s="8">
        <f t="shared" si="126"/>
        <v>1.3695681089679912E-2</v>
      </c>
      <c r="O327" s="2">
        <f t="shared" si="110"/>
        <v>15.251656493630605</v>
      </c>
      <c r="P327" s="7">
        <f t="shared" si="111"/>
        <v>1.2394175056687906</v>
      </c>
      <c r="S327" s="9">
        <f t="shared" si="115"/>
        <v>15.6085089959707</v>
      </c>
      <c r="T327" s="8">
        <f>VLOOKUP(ROUNDDOWN(S327,0),'Spline Pre-Adj'!A:B,2,0)</f>
        <v>1.2869999999999999</v>
      </c>
      <c r="U327" s="8">
        <f t="shared" si="116"/>
        <v>1.2869999999999999</v>
      </c>
      <c r="X327" s="9">
        <f t="shared" si="118"/>
        <v>15.6085089959707</v>
      </c>
      <c r="Y327" s="8">
        <f>VLOOKUP(ROUNDDOWN(X327,0),'Spline Pre-Adj'!F:G,2,0)</f>
        <v>0.98856376263664003</v>
      </c>
      <c r="Z327" s="8">
        <f t="shared" si="117"/>
        <v>0.98856376263664003</v>
      </c>
      <c r="AC327" s="9">
        <f t="shared" si="119"/>
        <v>15.6085089959707</v>
      </c>
      <c r="AD327" s="8">
        <f>VLOOKUP(ROUNDDOWN(AC327,0),'Spline Pre-Adj'!K:L,2,0)</f>
        <v>1.7164152091598801</v>
      </c>
      <c r="AE327" s="8">
        <f t="shared" si="120"/>
        <v>1.7164152091598801</v>
      </c>
    </row>
    <row r="328" spans="1:31" x14ac:dyDescent="0.25">
      <c r="A328" s="4">
        <f t="shared" si="121"/>
        <v>38.013826345629099</v>
      </c>
      <c r="B328" s="3">
        <f t="shared" si="122"/>
        <v>26.376529704039999</v>
      </c>
      <c r="C328" s="2" t="str">
        <f t="shared" si="123"/>
        <v>10:25-50</v>
      </c>
      <c r="D328" s="8">
        <f t="shared" si="124"/>
        <v>2.9470935443201701E-2</v>
      </c>
      <c r="E328" s="8">
        <f t="shared" si="125"/>
        <v>1.9391513441881753E-2</v>
      </c>
      <c r="F328" s="3">
        <f t="shared" si="107"/>
        <v>1.5197852159156611</v>
      </c>
      <c r="G328" s="2">
        <f t="shared" si="108"/>
        <v>30.160270358457154</v>
      </c>
      <c r="H328" s="2">
        <f t="shared" si="109"/>
        <v>20.941645700215982</v>
      </c>
      <c r="K328" s="4">
        <f t="shared" si="112"/>
        <v>1</v>
      </c>
      <c r="L328" s="4">
        <f t="shared" si="113"/>
        <v>1</v>
      </c>
      <c r="M328" s="4">
        <f t="shared" si="114"/>
        <v>1.08</v>
      </c>
      <c r="N328" s="8">
        <f t="shared" si="126"/>
        <v>2.0665071529290299E-2</v>
      </c>
      <c r="O328" s="2">
        <f t="shared" si="110"/>
        <v>22.165000071764208</v>
      </c>
      <c r="P328" s="7">
        <f t="shared" si="111"/>
        <v>1.4261230792949413</v>
      </c>
      <c r="S328" s="9">
        <f t="shared" si="115"/>
        <v>38.013826345629099</v>
      </c>
      <c r="T328" s="8">
        <f>VLOOKUP(ROUNDDOWN(S328,0),'Spline Pre-Adj'!A:B,2,0)</f>
        <v>1.2869999999999999</v>
      </c>
      <c r="U328" s="8">
        <f t="shared" si="116"/>
        <v>1.2869999999999999</v>
      </c>
      <c r="X328" s="9">
        <f t="shared" si="118"/>
        <v>38.013826345629099</v>
      </c>
      <c r="Y328" s="8">
        <f>VLOOKUP(ROUNDDOWN(X328,0),'Spline Pre-Adj'!F:G,2,0)</f>
        <v>1.953306525895</v>
      </c>
      <c r="Z328" s="8">
        <f t="shared" si="117"/>
        <v>1.953306525895</v>
      </c>
      <c r="AC328" s="9">
        <f t="shared" si="119"/>
        <v>38.013826345629099</v>
      </c>
      <c r="AD328" s="8">
        <f>VLOOKUP(ROUNDDOWN(AC328,0),'Spline Pre-Adj'!K:L,2,0)</f>
        <v>2.46266973778858</v>
      </c>
      <c r="AE328" s="8">
        <f t="shared" si="120"/>
        <v>2.6596833168116665</v>
      </c>
    </row>
    <row r="329" spans="1:31" x14ac:dyDescent="0.25">
      <c r="A329" s="4">
        <f t="shared" si="121"/>
        <v>61.818098269145203</v>
      </c>
      <c r="B329" s="3">
        <f t="shared" si="122"/>
        <v>22.19678440138</v>
      </c>
      <c r="C329" s="2" t="str">
        <f t="shared" si="123"/>
        <v>11:50-75</v>
      </c>
      <c r="D329" s="8">
        <f t="shared" si="124"/>
        <v>4.1873604148134701E-2</v>
      </c>
      <c r="E329" s="8">
        <f t="shared" si="125"/>
        <v>2.6106091661348467E-2</v>
      </c>
      <c r="F329" s="3">
        <f t="shared" si="107"/>
        <v>1.6039782856554863</v>
      </c>
      <c r="G329" s="2">
        <f t="shared" si="108"/>
        <v>40.148690228741756</v>
      </c>
      <c r="H329" s="2">
        <f t="shared" si="109"/>
        <v>27.198589748751012</v>
      </c>
      <c r="K329" s="4">
        <f t="shared" si="112"/>
        <v>1</v>
      </c>
      <c r="L329" s="4">
        <f t="shared" si="113"/>
        <v>1</v>
      </c>
      <c r="M329" s="4">
        <f t="shared" si="114"/>
        <v>1.21</v>
      </c>
      <c r="N329" s="8">
        <f t="shared" si="126"/>
        <v>3.0824570787536178E-2</v>
      </c>
      <c r="O329" s="2">
        <f t="shared" si="110"/>
        <v>31.320244073374461</v>
      </c>
      <c r="P329" s="7">
        <f t="shared" si="111"/>
        <v>1.3584488957447598</v>
      </c>
      <c r="S329" s="9">
        <f t="shared" si="115"/>
        <v>61.818098269145203</v>
      </c>
      <c r="T329" s="8">
        <f>VLOOKUP(ROUNDDOWN(S329,0),'Spline Pre-Adj'!A:B,2,0)</f>
        <v>1.2869999999999999</v>
      </c>
      <c r="U329" s="8">
        <f t="shared" si="116"/>
        <v>1.2869999999999999</v>
      </c>
      <c r="X329" s="9">
        <f t="shared" si="118"/>
        <v>61.818098269145203</v>
      </c>
      <c r="Y329" s="8">
        <f>VLOOKUP(ROUNDDOWN(X329,0),'Spline Pre-Adj'!F:G,2,0)</f>
        <v>3.3224466277353799</v>
      </c>
      <c r="Z329" s="8">
        <f t="shared" si="117"/>
        <v>3.3224466277353799</v>
      </c>
      <c r="AC329" s="9">
        <f t="shared" si="119"/>
        <v>61.818098269145203</v>
      </c>
      <c r="AD329" s="8">
        <f>VLOOKUP(ROUNDDOWN(AC329,0),'Spline Pre-Adj'!K:L,2,0)</f>
        <v>3.3173571363314101</v>
      </c>
      <c r="AE329" s="8">
        <f t="shared" si="120"/>
        <v>4.0140021349610064</v>
      </c>
    </row>
    <row r="330" spans="1:31" x14ac:dyDescent="0.25">
      <c r="A330" s="4">
        <f t="shared" si="121"/>
        <v>86.110873117962697</v>
      </c>
      <c r="B330" s="3">
        <f t="shared" si="122"/>
        <v>13.715784484959999</v>
      </c>
      <c r="C330" s="2" t="str">
        <f t="shared" si="123"/>
        <v>12:75-100</v>
      </c>
      <c r="D330" s="8">
        <f t="shared" si="124"/>
        <v>4.5373937955490398E-2</v>
      </c>
      <c r="E330" s="8">
        <f t="shared" si="125"/>
        <v>3.1310457183099716E-2</v>
      </c>
      <c r="F330" s="3">
        <f t="shared" si="107"/>
        <v>1.4491624216838856</v>
      </c>
      <c r="G330" s="2">
        <f t="shared" si="108"/>
        <v>42.720470590534674</v>
      </c>
      <c r="H330" s="2">
        <f t="shared" si="109"/>
        <v>31.732289571093762</v>
      </c>
      <c r="K330" s="4">
        <f t="shared" si="112"/>
        <v>1</v>
      </c>
      <c r="L330" s="4">
        <f t="shared" si="113"/>
        <v>1</v>
      </c>
      <c r="M330" s="4">
        <f t="shared" si="114"/>
        <v>1.24</v>
      </c>
      <c r="N330" s="8">
        <f t="shared" si="126"/>
        <v>3.7919974479616869E-2</v>
      </c>
      <c r="O330" s="2">
        <f t="shared" si="110"/>
        <v>37.11683731479544</v>
      </c>
      <c r="P330" s="7">
        <f t="shared" si="111"/>
        <v>1.1965708990621884</v>
      </c>
      <c r="S330" s="9">
        <f>A330</f>
        <v>86.110873117962697</v>
      </c>
      <c r="T330" s="8">
        <f>VLOOKUP(ROUNDDOWN(S330,0),'Spline Pre-Adj'!A:B,2,0)</f>
        <v>1.2869999999999999</v>
      </c>
      <c r="U330" s="8">
        <f>T330*K330</f>
        <v>1.2869999999999999</v>
      </c>
      <c r="X330" s="9">
        <f t="shared" si="118"/>
        <v>86.110873117962697</v>
      </c>
      <c r="Y330" s="8">
        <f>VLOOKUP(ROUNDDOWN(X330,0),'Spline Pre-Adj'!F:G,2,0)</f>
        <v>4.7646640542534699</v>
      </c>
      <c r="Z330" s="8">
        <f t="shared" si="117"/>
        <v>4.7646640542534699</v>
      </c>
      <c r="AC330" s="9">
        <f t="shared" si="119"/>
        <v>86.110873117962697</v>
      </c>
      <c r="AD330" s="8">
        <f>VLOOKUP(ROUNDDOWN(AC330,0),'Spline Pre-Adj'!K:L,2,0)</f>
        <v>4.1191352784208304</v>
      </c>
      <c r="AE330" s="8">
        <f t="shared" si="120"/>
        <v>5.1077277452418297</v>
      </c>
    </row>
    <row r="331" spans="1:31" x14ac:dyDescent="0.25">
      <c r="A331" s="4">
        <f t="shared" si="121"/>
        <v>111.23497696885499</v>
      </c>
      <c r="B331" s="3">
        <f t="shared" si="122"/>
        <v>7.0482160227500001</v>
      </c>
      <c r="C331" s="2" t="str">
        <f t="shared" si="123"/>
        <v>13:100-125</v>
      </c>
      <c r="D331" s="8">
        <f t="shared" si="124"/>
        <v>4.6717291383408702E-2</v>
      </c>
      <c r="E331" s="8">
        <f t="shared" si="125"/>
        <v>3.5250825084629886E-2</v>
      </c>
      <c r="F331" s="3">
        <f t="shared" si="107"/>
        <v>1.3252822103099777</v>
      </c>
      <c r="G331" s="2">
        <f t="shared" si="108"/>
        <v>43.680267125954742</v>
      </c>
      <c r="H331" s="2">
        <f t="shared" si="109"/>
        <v>34.991074202328207</v>
      </c>
      <c r="K331" s="4">
        <f t="shared" si="112"/>
        <v>1</v>
      </c>
      <c r="L331" s="4">
        <f t="shared" si="113"/>
        <v>1</v>
      </c>
      <c r="M331" s="4">
        <f t="shared" si="114"/>
        <v>1.17</v>
      </c>
      <c r="N331" s="8">
        <f t="shared" si="126"/>
        <v>4.0575581525620887E-2</v>
      </c>
      <c r="O331" s="2">
        <f t="shared" si="110"/>
        <v>39.168404005647226</v>
      </c>
      <c r="P331" s="7">
        <f t="shared" si="111"/>
        <v>1.1513646786284435</v>
      </c>
      <c r="X331" s="9">
        <f t="shared" si="118"/>
        <v>111.23497696885499</v>
      </c>
      <c r="Y331" s="8">
        <f>VLOOKUP(ROUNDDOWN(X331,0),'Spline Pre-Adj'!F:G,2,0)</f>
        <v>6.2168084690133298</v>
      </c>
      <c r="Z331" s="8">
        <f t="shared" si="117"/>
        <v>6.2168084690133298</v>
      </c>
      <c r="AC331" s="9">
        <f t="shared" si="119"/>
        <v>111.23497696885499</v>
      </c>
      <c r="AD331" s="8">
        <f>VLOOKUP(ROUNDDOWN(AC331,0),'Spline Pre-Adj'!K:L,2,0)</f>
        <v>4.7299139704548203</v>
      </c>
      <c r="AE331" s="8">
        <f t="shared" si="120"/>
        <v>5.5339993454321394</v>
      </c>
    </row>
    <row r="332" spans="1:31" x14ac:dyDescent="0.25">
      <c r="A332" s="4">
        <f t="shared" si="121"/>
        <v>134.98955507538901</v>
      </c>
      <c r="B332" s="3">
        <f t="shared" si="122"/>
        <v>2.9833197131300002</v>
      </c>
      <c r="C332" s="2" t="str">
        <f t="shared" si="123"/>
        <v>14:125-150</v>
      </c>
      <c r="D332" s="8">
        <f t="shared" si="124"/>
        <v>4.4518326928573999E-2</v>
      </c>
      <c r="E332" s="8">
        <f t="shared" si="125"/>
        <v>3.9084829300396348E-2</v>
      </c>
      <c r="F332" s="3">
        <f t="shared" si="107"/>
        <v>1.139018072368108</v>
      </c>
      <c r="G332" s="2">
        <f t="shared" si="108"/>
        <v>42.101363524771784</v>
      </c>
      <c r="H332" s="2">
        <f t="shared" si="109"/>
        <v>38.024420015761763</v>
      </c>
      <c r="K332" s="4">
        <f t="shared" si="112"/>
        <v>1</v>
      </c>
      <c r="L332" s="4">
        <f t="shared" si="113"/>
        <v>1</v>
      </c>
      <c r="M332" s="4">
        <f t="shared" si="114"/>
        <v>1.1000000000000001</v>
      </c>
      <c r="N332" s="8">
        <f t="shared" si="126"/>
        <v>4.259449992010747E-2</v>
      </c>
      <c r="O332" s="2">
        <f t="shared" si="110"/>
        <v>40.686846204191504</v>
      </c>
      <c r="P332" s="7">
        <f t="shared" si="111"/>
        <v>1.0451660898020863</v>
      </c>
      <c r="X332" s="9">
        <f t="shared" si="118"/>
        <v>134.98955507538901</v>
      </c>
      <c r="Y332" s="8">
        <f>VLOOKUP(ROUNDDOWN(X332,0),'Spline Pre-Adj'!F:G,2,0)</f>
        <v>7.60662891263856</v>
      </c>
      <c r="Z332" s="8">
        <f t="shared" si="117"/>
        <v>7.60662891263856</v>
      </c>
      <c r="AC332" s="9">
        <f t="shared" si="119"/>
        <v>134.98955507538901</v>
      </c>
      <c r="AD332" s="8">
        <f>VLOOKUP(ROUNDDOWN(AC332,0),'Spline Pre-Adj'!K:L,2,0)</f>
        <v>5.2051069926153799</v>
      </c>
      <c r="AE332" s="8">
        <f t="shared" si="120"/>
        <v>5.7256176918769182</v>
      </c>
    </row>
    <row r="333" spans="1:31" x14ac:dyDescent="0.25">
      <c r="A333" s="4">
        <f t="shared" si="121"/>
        <v>159.207056068414</v>
      </c>
      <c r="B333" s="3">
        <f t="shared" si="122"/>
        <v>0.6642742544500001</v>
      </c>
      <c r="C333" s="2" t="str">
        <f t="shared" si="123"/>
        <v>15:150-175</v>
      </c>
      <c r="D333" s="8">
        <f t="shared" si="124"/>
        <v>4.7003555584516597E-2</v>
      </c>
      <c r="E333" s="8">
        <f t="shared" si="125"/>
        <v>4.2884795565694418E-2</v>
      </c>
      <c r="F333" s="3">
        <f t="shared" si="107"/>
        <v>1.096042430994284</v>
      </c>
      <c r="G333" s="2">
        <f t="shared" si="108"/>
        <v>43.882881380966985</v>
      </c>
      <c r="H333" s="2">
        <f t="shared" si="109"/>
        <v>40.902299300299994</v>
      </c>
      <c r="K333" s="4">
        <f t="shared" si="112"/>
        <v>1</v>
      </c>
      <c r="L333" s="4">
        <f t="shared" si="113"/>
        <v>1</v>
      </c>
      <c r="M333" s="4">
        <f t="shared" si="114"/>
        <v>1.05</v>
      </c>
      <c r="N333" s="8">
        <f t="shared" si="126"/>
        <v>4.4821986007731504E-2</v>
      </c>
      <c r="O333" s="2">
        <f t="shared" si="110"/>
        <v>42.321785307971027</v>
      </c>
      <c r="P333" s="7">
        <f t="shared" si="111"/>
        <v>1.048671863321915</v>
      </c>
      <c r="X333" s="9">
        <f t="shared" si="118"/>
        <v>159.207056068414</v>
      </c>
      <c r="Y333" s="8">
        <f>VLOOKUP(ROUNDDOWN(X333,0),'Spline Pre-Adj'!F:G,2,0)</f>
        <v>8.7305212828365306</v>
      </c>
      <c r="Z333" s="8">
        <f t="shared" si="117"/>
        <v>8.7305212828365306</v>
      </c>
      <c r="AC333" s="9">
        <f t="shared" si="119"/>
        <v>159.207056068414</v>
      </c>
      <c r="AD333" s="8">
        <f>VLOOKUP(ROUNDDOWN(AC333,0),'Spline Pre-Adj'!K:L,2,0)</f>
        <v>5.6497179978557703</v>
      </c>
      <c r="AE333" s="8">
        <f t="shared" si="120"/>
        <v>5.9322038977485594</v>
      </c>
    </row>
    <row r="334" spans="1:31" x14ac:dyDescent="0.25">
      <c r="A334" s="4"/>
      <c r="B334" s="3"/>
      <c r="C334" s="2"/>
      <c r="D334" s="8"/>
      <c r="E334" s="8"/>
      <c r="F334" s="3"/>
      <c r="G334" s="2"/>
      <c r="H334" s="2"/>
      <c r="K334" s="16" t="e">
        <f t="shared" si="112"/>
        <v>#N/A</v>
      </c>
      <c r="L334" s="16" t="e">
        <f t="shared" si="113"/>
        <v>#N/A</v>
      </c>
      <c r="M334" s="16" t="e">
        <f t="shared" si="114"/>
        <v>#N/A</v>
      </c>
      <c r="N334" s="8"/>
      <c r="O334" s="2"/>
      <c r="P334" s="7"/>
      <c r="X334" s="9"/>
      <c r="Y334" s="8"/>
      <c r="Z334" s="8"/>
      <c r="AC334" s="9"/>
      <c r="AD334" s="8"/>
      <c r="AE334" s="8"/>
    </row>
    <row r="335" spans="1:31" s="18" customFormat="1" x14ac:dyDescent="0.25">
      <c r="A335" s="16"/>
      <c r="B335" s="23"/>
      <c r="C335" s="24"/>
      <c r="D335" s="17"/>
      <c r="E335" s="17"/>
      <c r="F335" s="23"/>
      <c r="G335" s="24"/>
      <c r="H335" s="24"/>
      <c r="K335" s="16" t="e">
        <f t="shared" si="112"/>
        <v>#N/A</v>
      </c>
      <c r="L335" s="16" t="e">
        <f t="shared" si="113"/>
        <v>#N/A</v>
      </c>
      <c r="M335" s="16" t="e">
        <f t="shared" si="114"/>
        <v>#N/A</v>
      </c>
      <c r="N335" s="17"/>
      <c r="O335" s="24"/>
      <c r="P335" s="25"/>
      <c r="X335" s="19"/>
      <c r="Y335" s="17"/>
      <c r="Z335" s="17"/>
      <c r="AC335" s="19"/>
      <c r="AD335" s="17"/>
      <c r="AE335" s="17"/>
    </row>
    <row r="336" spans="1:31" s="18" customFormat="1" x14ac:dyDescent="0.25">
      <c r="A336" s="16"/>
      <c r="B336" s="23"/>
      <c r="C336" s="24"/>
      <c r="D336" s="17"/>
      <c r="E336" s="17"/>
      <c r="F336" s="23"/>
      <c r="G336" s="24"/>
      <c r="H336" s="24"/>
      <c r="K336" s="16" t="e">
        <f t="shared" si="112"/>
        <v>#N/A</v>
      </c>
      <c r="L336" s="16" t="e">
        <f t="shared" si="113"/>
        <v>#N/A</v>
      </c>
      <c r="M336" s="27" t="e">
        <f t="shared" si="114"/>
        <v>#N/A</v>
      </c>
      <c r="N336" s="17"/>
      <c r="O336" s="24"/>
      <c r="P336" s="25"/>
      <c r="X336" s="19"/>
      <c r="Y336" s="17"/>
      <c r="Z336" s="17"/>
      <c r="AC336" s="19"/>
      <c r="AD336" s="17"/>
      <c r="AE336" s="17"/>
    </row>
    <row r="337" spans="1:50" s="18" customFormat="1" x14ac:dyDescent="0.25">
      <c r="A337" s="16"/>
      <c r="B337" s="23"/>
      <c r="C337" s="24"/>
      <c r="D337" s="17"/>
      <c r="E337" s="17"/>
      <c r="F337" s="23"/>
      <c r="G337" s="24"/>
      <c r="H337" s="24"/>
      <c r="K337" s="16"/>
      <c r="L337" s="16"/>
      <c r="M337" s="27"/>
      <c r="N337" s="17"/>
      <c r="O337" s="24"/>
      <c r="P337" s="25"/>
      <c r="X337" s="19"/>
      <c r="Y337" s="17"/>
      <c r="Z337" s="17"/>
      <c r="AC337" s="19"/>
      <c r="AD337" s="17"/>
      <c r="AE337" s="17"/>
    </row>
    <row r="340" spans="1:50" s="32" customFormat="1" x14ac:dyDescent="0.25"/>
    <row r="343" spans="1:50" x14ac:dyDescent="0.25">
      <c r="A343" s="34" t="s">
        <v>127</v>
      </c>
      <c r="C343" s="34" t="s">
        <v>138</v>
      </c>
      <c r="AS343" s="18" t="s">
        <v>91</v>
      </c>
      <c r="AT343" s="18" t="s">
        <v>92</v>
      </c>
      <c r="AU343" s="18"/>
      <c r="AV343" s="18"/>
      <c r="AW343" s="18" t="s">
        <v>93</v>
      </c>
      <c r="AX343" s="18"/>
    </row>
    <row r="344" spans="1:50" x14ac:dyDescent="0.25">
      <c r="A344" s="36" t="s">
        <v>21</v>
      </c>
      <c r="B344" t="s">
        <v>22</v>
      </c>
      <c r="C344" t="s">
        <v>23</v>
      </c>
      <c r="D344" t="s">
        <v>24</v>
      </c>
      <c r="E344" t="s">
        <v>99</v>
      </c>
      <c r="F344" t="s">
        <v>100</v>
      </c>
      <c r="G344" t="s">
        <v>25</v>
      </c>
      <c r="H344" t="s">
        <v>26</v>
      </c>
      <c r="I344" t="s">
        <v>27</v>
      </c>
      <c r="J344" t="s">
        <v>28</v>
      </c>
      <c r="K344" t="s">
        <v>29</v>
      </c>
      <c r="L344" t="s">
        <v>30</v>
      </c>
      <c r="M344" t="s">
        <v>31</v>
      </c>
      <c r="N344" t="s">
        <v>32</v>
      </c>
      <c r="O344" t="s">
        <v>33</v>
      </c>
      <c r="P344" t="s">
        <v>34</v>
      </c>
      <c r="Q344" t="s">
        <v>35</v>
      </c>
      <c r="R344" t="s">
        <v>36</v>
      </c>
      <c r="S344" t="s">
        <v>37</v>
      </c>
      <c r="T344" t="s">
        <v>38</v>
      </c>
      <c r="U344" t="s">
        <v>39</v>
      </c>
      <c r="V344" t="s">
        <v>40</v>
      </c>
      <c r="W344" t="s">
        <v>41</v>
      </c>
      <c r="X344" t="s">
        <v>42</v>
      </c>
      <c r="Y344" t="s">
        <v>43</v>
      </c>
      <c r="Z344" t="s">
        <v>44</v>
      </c>
      <c r="AA344" t="s">
        <v>45</v>
      </c>
      <c r="AB344" s="1" t="s">
        <v>46</v>
      </c>
      <c r="AC344" s="1" t="s">
        <v>47</v>
      </c>
      <c r="AD344" s="1" t="s">
        <v>48</v>
      </c>
      <c r="AE344" t="s">
        <v>49</v>
      </c>
      <c r="AF344" t="s">
        <v>50</v>
      </c>
      <c r="AG344" t="s">
        <v>51</v>
      </c>
      <c r="AH344" t="s">
        <v>52</v>
      </c>
      <c r="AI344" t="s">
        <v>53</v>
      </c>
      <c r="AJ344" t="s">
        <v>54</v>
      </c>
      <c r="AK344" t="s">
        <v>55</v>
      </c>
      <c r="AL344" t="s">
        <v>56</v>
      </c>
      <c r="AM344" t="s">
        <v>57</v>
      </c>
      <c r="AN344" t="s">
        <v>58</v>
      </c>
      <c r="AO344" t="s">
        <v>59</v>
      </c>
      <c r="AP344" t="s">
        <v>60</v>
      </c>
      <c r="AQ344" t="s">
        <v>61</v>
      </c>
      <c r="AR344" t="s">
        <v>62</v>
      </c>
      <c r="AS344" s="22" t="s">
        <v>129</v>
      </c>
      <c r="AT344" s="22" t="s">
        <v>130</v>
      </c>
      <c r="AU344" s="18" t="s">
        <v>133</v>
      </c>
      <c r="AV344" s="18" t="s">
        <v>134</v>
      </c>
      <c r="AW344" s="22" t="s">
        <v>131</v>
      </c>
      <c r="AX344" s="18" t="s">
        <v>132</v>
      </c>
    </row>
    <row r="345" spans="1:50" x14ac:dyDescent="0.25">
      <c r="A345">
        <v>4.3</v>
      </c>
      <c r="B345" s="4">
        <v>0.99502774202643496</v>
      </c>
      <c r="C345" s="4">
        <v>0</v>
      </c>
      <c r="D345" s="4">
        <v>5.8062099244318599</v>
      </c>
      <c r="E345" s="4">
        <v>0</v>
      </c>
      <c r="F345" s="5">
        <v>4.9722579735641901E-3</v>
      </c>
      <c r="G345" s="5">
        <v>0</v>
      </c>
      <c r="H345" s="4">
        <v>4.125</v>
      </c>
      <c r="I345" s="4">
        <v>4.0914465832429299</v>
      </c>
      <c r="J345" s="4">
        <v>-39.292400000000001</v>
      </c>
      <c r="K345" s="4">
        <v>-107.582908254133</v>
      </c>
      <c r="L345" s="4">
        <v>22.464930692893201</v>
      </c>
      <c r="M345" s="4">
        <v>18.498074801809601</v>
      </c>
      <c r="N345" s="4">
        <v>80</v>
      </c>
      <c r="O345" s="4">
        <v>77.967109304621005</v>
      </c>
      <c r="P345" s="4">
        <v>177738.07201269601</v>
      </c>
      <c r="Q345" s="4">
        <v>177737.54500000001</v>
      </c>
      <c r="R345" s="4">
        <v>782</v>
      </c>
      <c r="S345" s="4">
        <v>0</v>
      </c>
      <c r="T345" s="4">
        <v>0</v>
      </c>
      <c r="U345" s="4">
        <v>0</v>
      </c>
      <c r="V345" s="4">
        <v>1</v>
      </c>
      <c r="W345" s="4">
        <v>0</v>
      </c>
      <c r="X345" s="4">
        <v>0</v>
      </c>
      <c r="Y345" s="4">
        <v>0</v>
      </c>
      <c r="Z345" s="5">
        <v>3.5354267024575401E-4</v>
      </c>
      <c r="AA345" s="5">
        <v>1.33949922462921E-5</v>
      </c>
      <c r="AB345" s="10">
        <v>3.8048393520865201E-3</v>
      </c>
      <c r="AC345" s="10">
        <v>0</v>
      </c>
      <c r="AD345" s="10">
        <v>8.0046846476781205E-4</v>
      </c>
      <c r="AE345" s="4">
        <v>-1.2605143054186499E-3</v>
      </c>
      <c r="AF345" s="4">
        <v>1</v>
      </c>
      <c r="AG345" s="4">
        <v>1</v>
      </c>
      <c r="AH345" s="4">
        <v>1</v>
      </c>
      <c r="AI345" s="4">
        <v>1</v>
      </c>
      <c r="AJ345" s="4">
        <v>1</v>
      </c>
      <c r="AK345" s="4">
        <v>1</v>
      </c>
      <c r="AL345" s="4">
        <v>1</v>
      </c>
      <c r="AM345" s="4">
        <v>0</v>
      </c>
      <c r="AN345" s="4">
        <v>0</v>
      </c>
      <c r="AO345" s="4" t="s">
        <v>64</v>
      </c>
      <c r="AP345" s="4">
        <f>-125--100</f>
        <v>-25</v>
      </c>
      <c r="AQ345" s="6">
        <v>710950.18</v>
      </c>
      <c r="AR345" s="4">
        <v>4</v>
      </c>
      <c r="AS345" s="16">
        <v>0</v>
      </c>
      <c r="AT345" s="16">
        <v>0</v>
      </c>
      <c r="AU345" s="16">
        <v>0</v>
      </c>
      <c r="AV345" s="16">
        <v>100</v>
      </c>
      <c r="AW345" s="16">
        <v>0</v>
      </c>
      <c r="AX345" s="16">
        <v>100</v>
      </c>
    </row>
    <row r="346" spans="1:50" x14ac:dyDescent="0.25">
      <c r="A346">
        <v>4.3</v>
      </c>
      <c r="B346" s="4">
        <v>0.99155721853217005</v>
      </c>
      <c r="C346" s="4">
        <v>2.1576303824956899</v>
      </c>
      <c r="D346" s="4">
        <v>9.6738776673459803</v>
      </c>
      <c r="E346" s="4">
        <v>1.8160552716067701E-3</v>
      </c>
      <c r="F346" s="5">
        <v>8.4427814678294695E-3</v>
      </c>
      <c r="G346" s="5">
        <v>0</v>
      </c>
      <c r="H346" s="4">
        <v>4.1889410860719298</v>
      </c>
      <c r="I346" s="4">
        <v>4.0657978090578597</v>
      </c>
      <c r="J346" s="4">
        <v>-27.858500450505399</v>
      </c>
      <c r="K346" s="4">
        <v>-83.219819416087105</v>
      </c>
      <c r="L346" s="4">
        <v>18.879883136790401</v>
      </c>
      <c r="M346" s="4">
        <v>17.1692018480523</v>
      </c>
      <c r="N346" s="4">
        <v>76.773119708864698</v>
      </c>
      <c r="O346" s="4">
        <v>76.563737100031304</v>
      </c>
      <c r="P346" s="4">
        <v>225230.39435666599</v>
      </c>
      <c r="Q346" s="4">
        <v>199055.97399999999</v>
      </c>
      <c r="R346" s="4">
        <v>782.10613584833504</v>
      </c>
      <c r="S346" s="4">
        <v>0</v>
      </c>
      <c r="T346" s="4">
        <v>0</v>
      </c>
      <c r="U346" s="4">
        <v>0</v>
      </c>
      <c r="V346" s="4">
        <v>1</v>
      </c>
      <c r="W346" s="4">
        <v>0</v>
      </c>
      <c r="X346" s="4">
        <v>0.13217823177046001</v>
      </c>
      <c r="Y346" s="4">
        <v>0</v>
      </c>
      <c r="Z346" s="5">
        <v>3.7752422054304499E-4</v>
      </c>
      <c r="AA346" s="5">
        <v>4.28706961381961E-5</v>
      </c>
      <c r="AB346" s="10">
        <v>3.1142536262320098E-3</v>
      </c>
      <c r="AC346" s="10">
        <v>0</v>
      </c>
      <c r="AD346" s="10">
        <v>4.9081176036822301E-3</v>
      </c>
      <c r="AE346" s="4">
        <v>-2.40998460287251E-2</v>
      </c>
      <c r="AF346" s="4">
        <v>1</v>
      </c>
      <c r="AG346" s="4">
        <v>1</v>
      </c>
      <c r="AH346" s="4">
        <v>1</v>
      </c>
      <c r="AI346" s="4">
        <v>1</v>
      </c>
      <c r="AJ346" s="4">
        <v>1</v>
      </c>
      <c r="AK346" s="4">
        <v>1</v>
      </c>
      <c r="AL346" s="4">
        <v>1</v>
      </c>
      <c r="AM346" s="4">
        <v>0</v>
      </c>
      <c r="AN346" s="4">
        <v>0</v>
      </c>
      <c r="AO346" s="4" t="s">
        <v>65</v>
      </c>
      <c r="AP346" s="4">
        <f>-100--75</f>
        <v>-25</v>
      </c>
      <c r="AQ346" s="6">
        <v>2985839.61</v>
      </c>
      <c r="AR346" s="4">
        <v>15</v>
      </c>
      <c r="AS346" s="16">
        <v>0</v>
      </c>
      <c r="AT346" s="16">
        <v>0</v>
      </c>
      <c r="AU346" s="16">
        <v>0</v>
      </c>
      <c r="AV346" s="16">
        <v>100</v>
      </c>
      <c r="AW346" s="16">
        <v>0</v>
      </c>
      <c r="AX346" s="16">
        <v>100</v>
      </c>
    </row>
    <row r="347" spans="1:50" x14ac:dyDescent="0.25">
      <c r="A347">
        <v>4.3</v>
      </c>
      <c r="B347" s="4">
        <v>0.99550634475364297</v>
      </c>
      <c r="C347" s="4">
        <v>8.8452660536773493</v>
      </c>
      <c r="D347" s="4">
        <v>5.2610891509947102</v>
      </c>
      <c r="E347" s="4">
        <v>7.6879413060304503E-3</v>
      </c>
      <c r="F347" s="5">
        <v>4.49365524635647E-3</v>
      </c>
      <c r="G347" s="5">
        <v>0</v>
      </c>
      <c r="H347" s="4">
        <v>3.8754078391898901</v>
      </c>
      <c r="I347" s="4">
        <v>4.1426231422739299</v>
      </c>
      <c r="J347" s="4">
        <v>-62.065275608468198</v>
      </c>
      <c r="K347" s="4">
        <v>-58.362227838696299</v>
      </c>
      <c r="L347" s="4">
        <v>20.533306268326498</v>
      </c>
      <c r="M347" s="4">
        <v>15.3173723400286</v>
      </c>
      <c r="N347" s="4">
        <v>78.746356588527703</v>
      </c>
      <c r="O347" s="4">
        <v>74.733621395514504</v>
      </c>
      <c r="P347" s="4">
        <v>253658.83384519001</v>
      </c>
      <c r="Q347" s="4">
        <v>183215.198389261</v>
      </c>
      <c r="R347" s="4">
        <v>781.71532127546197</v>
      </c>
      <c r="S347" s="4">
        <v>0</v>
      </c>
      <c r="T347" s="4">
        <v>0</v>
      </c>
      <c r="U347" s="4">
        <v>0</v>
      </c>
      <c r="V347" s="4">
        <v>1</v>
      </c>
      <c r="W347" s="4">
        <v>0</v>
      </c>
      <c r="X347" s="4">
        <v>0.15768331110903</v>
      </c>
      <c r="Y347" s="4">
        <v>0</v>
      </c>
      <c r="Z347" s="5">
        <v>7.1264657948908296E-4</v>
      </c>
      <c r="AA347" s="5">
        <v>7.5896280950531197E-5</v>
      </c>
      <c r="AB347" s="10">
        <v>2.63746209696412E-3</v>
      </c>
      <c r="AC347" s="10">
        <v>0</v>
      </c>
      <c r="AD347" s="10">
        <v>1.06764049105882E-3</v>
      </c>
      <c r="AE347" s="4">
        <v>-2.1212521517532001E-2</v>
      </c>
      <c r="AF347" s="4">
        <v>0.99566701819617198</v>
      </c>
      <c r="AG347" s="4">
        <v>1</v>
      </c>
      <c r="AH347" s="4">
        <v>1</v>
      </c>
      <c r="AI347" s="4">
        <v>1</v>
      </c>
      <c r="AJ347" s="4">
        <v>1</v>
      </c>
      <c r="AK347" s="4">
        <v>1</v>
      </c>
      <c r="AL347" s="4">
        <v>1</v>
      </c>
      <c r="AM347" s="4">
        <v>0</v>
      </c>
      <c r="AN347" s="4">
        <v>0</v>
      </c>
      <c r="AO347" s="4" t="s">
        <v>66</v>
      </c>
      <c r="AP347" s="4">
        <f>-75--50</f>
        <v>-25</v>
      </c>
      <c r="AQ347" s="6">
        <v>54598129.119999997</v>
      </c>
      <c r="AR347" s="4">
        <v>298</v>
      </c>
      <c r="AS347" s="16">
        <v>0</v>
      </c>
      <c r="AT347" s="16">
        <v>0</v>
      </c>
      <c r="AU347" s="16">
        <v>0</v>
      </c>
      <c r="AV347" s="16">
        <v>100</v>
      </c>
      <c r="AW347" s="16">
        <v>0</v>
      </c>
      <c r="AX347" s="16">
        <v>100</v>
      </c>
    </row>
    <row r="348" spans="1:50" x14ac:dyDescent="0.25">
      <c r="A348">
        <v>4.3</v>
      </c>
      <c r="B348" s="4">
        <v>0.99412404119775899</v>
      </c>
      <c r="C348" s="4">
        <v>6.10911542156789</v>
      </c>
      <c r="D348" s="4">
        <v>6.8276779473100699</v>
      </c>
      <c r="E348" s="4">
        <v>5.2393000986796501E-3</v>
      </c>
      <c r="F348" s="5">
        <v>5.87595880224045E-3</v>
      </c>
      <c r="G348" s="5">
        <v>0</v>
      </c>
      <c r="H348" s="4">
        <v>3.9337331794347299</v>
      </c>
      <c r="I348" s="4">
        <v>4.1358934381727401</v>
      </c>
      <c r="J348" s="4">
        <v>-57.987062050997501</v>
      </c>
      <c r="K348" s="4">
        <v>-33.5047409308822</v>
      </c>
      <c r="L348" s="4">
        <v>16.9672804055526</v>
      </c>
      <c r="M348" s="4">
        <v>15.4481221743963</v>
      </c>
      <c r="N348" s="4">
        <v>74.279276239167999</v>
      </c>
      <c r="O348" s="4">
        <v>72.186535938175993</v>
      </c>
      <c r="P348" s="4">
        <v>264061.524804977</v>
      </c>
      <c r="Q348" s="4">
        <v>230524.07956009399</v>
      </c>
      <c r="R348" s="4">
        <v>783.86911152895505</v>
      </c>
      <c r="S348" s="4">
        <v>0</v>
      </c>
      <c r="T348" s="4">
        <v>0</v>
      </c>
      <c r="U348" s="4">
        <v>2.28414120258448E-3</v>
      </c>
      <c r="V348" s="4">
        <v>1</v>
      </c>
      <c r="W348" s="4">
        <v>0</v>
      </c>
      <c r="X348" s="4">
        <v>0.308707954423458</v>
      </c>
      <c r="Y348" s="4">
        <v>0</v>
      </c>
      <c r="Z348" s="5">
        <v>4.4169029644841698E-4</v>
      </c>
      <c r="AA348" s="5">
        <v>6.3523872468606701E-5</v>
      </c>
      <c r="AB348" s="10">
        <v>2.7300308982072499E-3</v>
      </c>
      <c r="AC348" s="10">
        <v>7.7476567074194104E-9</v>
      </c>
      <c r="AD348" s="10">
        <v>2.6406919329238E-3</v>
      </c>
      <c r="AE348" s="4">
        <v>-1.20608263629062E-2</v>
      </c>
      <c r="AF348" s="4">
        <v>0.97597850851066403</v>
      </c>
      <c r="AG348" s="4">
        <v>0.99876642381705805</v>
      </c>
      <c r="AH348" s="4">
        <v>1</v>
      </c>
      <c r="AI348" s="4">
        <v>1</v>
      </c>
      <c r="AJ348" s="4">
        <v>1</v>
      </c>
      <c r="AK348" s="4">
        <v>1</v>
      </c>
      <c r="AL348" s="4">
        <v>1</v>
      </c>
      <c r="AM348" s="4">
        <v>0</v>
      </c>
      <c r="AN348" s="4">
        <v>0</v>
      </c>
      <c r="AO348" s="4" t="s">
        <v>67</v>
      </c>
      <c r="AP348" s="4">
        <f>-50--25</f>
        <v>-25</v>
      </c>
      <c r="AQ348" s="6">
        <v>586914306.55999994</v>
      </c>
      <c r="AR348" s="4">
        <v>2546</v>
      </c>
      <c r="AS348" s="16">
        <v>0</v>
      </c>
      <c r="AT348" s="16">
        <v>0</v>
      </c>
      <c r="AU348" s="16">
        <v>0</v>
      </c>
      <c r="AV348" s="16">
        <v>100</v>
      </c>
      <c r="AW348" s="16">
        <v>0</v>
      </c>
      <c r="AX348" s="16">
        <v>100</v>
      </c>
    </row>
    <row r="349" spans="1:50" x14ac:dyDescent="0.25">
      <c r="A349">
        <v>4.3</v>
      </c>
      <c r="B349" s="4">
        <v>0.98985186207867903</v>
      </c>
      <c r="C349" s="4">
        <v>7.5476108074383204</v>
      </c>
      <c r="D349" s="4">
        <v>11.5205421640827</v>
      </c>
      <c r="E349" s="4">
        <v>6.5183614926363001E-3</v>
      </c>
      <c r="F349" s="5">
        <v>1.01481379213207E-2</v>
      </c>
      <c r="G349" s="5">
        <v>0</v>
      </c>
      <c r="H349" s="4">
        <v>4.1214876632708499</v>
      </c>
      <c r="I349" s="4">
        <v>4.1334078846296798</v>
      </c>
      <c r="J349" s="4">
        <v>-40.061891186289103</v>
      </c>
      <c r="K349" s="4">
        <v>-8.3611912096424508</v>
      </c>
      <c r="L349" s="4">
        <v>15.571413972315501</v>
      </c>
      <c r="M349" s="4">
        <v>15.625428467656</v>
      </c>
      <c r="N349" s="4">
        <v>72.112709001809705</v>
      </c>
      <c r="O349" s="4">
        <v>70.727766491494293</v>
      </c>
      <c r="P349" s="4">
        <v>278786.72749150201</v>
      </c>
      <c r="Q349" s="4">
        <v>255296.921537335</v>
      </c>
      <c r="R349" s="4">
        <v>783.58961160059903</v>
      </c>
      <c r="S349" s="4">
        <v>0</v>
      </c>
      <c r="T349" s="4">
        <v>0</v>
      </c>
      <c r="U349" s="4">
        <v>2.84639604014668E-3</v>
      </c>
      <c r="V349" s="4">
        <v>1</v>
      </c>
      <c r="W349" s="4">
        <v>0</v>
      </c>
      <c r="X349" s="4">
        <v>0.58850586069084199</v>
      </c>
      <c r="Y349" s="4">
        <v>0</v>
      </c>
      <c r="Z349" s="5">
        <v>3.8877255911479099E-4</v>
      </c>
      <c r="AA349" s="5">
        <v>6.7447232582009905E-5</v>
      </c>
      <c r="AB349" s="10">
        <v>2.6347467579886899E-3</v>
      </c>
      <c r="AC349" s="10">
        <v>1.15326951253463E-8</v>
      </c>
      <c r="AD349" s="10">
        <v>7.0571456725335904E-3</v>
      </c>
      <c r="AE349" s="4">
        <v>-1.55467071100808E-2</v>
      </c>
      <c r="AF349" s="4">
        <v>0.97687924584899199</v>
      </c>
      <c r="AG349" s="4">
        <v>0.99866326521162996</v>
      </c>
      <c r="AH349" s="4">
        <v>0.99989613458823201</v>
      </c>
      <c r="AI349" s="4">
        <v>1</v>
      </c>
      <c r="AJ349" s="4">
        <v>1</v>
      </c>
      <c r="AK349" s="4">
        <v>1</v>
      </c>
      <c r="AL349" s="4">
        <v>1</v>
      </c>
      <c r="AM349" s="4">
        <v>0</v>
      </c>
      <c r="AN349" s="4">
        <v>0</v>
      </c>
      <c r="AO349" s="4" t="s">
        <v>68</v>
      </c>
      <c r="AP349" s="4">
        <f>-25-0</f>
        <v>-25</v>
      </c>
      <c r="AQ349" s="6">
        <v>4533562732.6599998</v>
      </c>
      <c r="AR349" s="4">
        <v>17758</v>
      </c>
      <c r="AS349" s="16">
        <v>0</v>
      </c>
      <c r="AT349" s="16">
        <v>0</v>
      </c>
      <c r="AU349" s="16">
        <v>0</v>
      </c>
      <c r="AV349" s="16">
        <v>100</v>
      </c>
      <c r="AW349" s="16">
        <v>0</v>
      </c>
      <c r="AX349" s="16">
        <v>100</v>
      </c>
    </row>
    <row r="350" spans="1:50" x14ac:dyDescent="0.25">
      <c r="A350">
        <v>4.3</v>
      </c>
      <c r="B350" s="4">
        <v>0.98591510594798704</v>
      </c>
      <c r="C350" s="4">
        <v>11.7980061582755</v>
      </c>
      <c r="D350" s="4">
        <v>15.6521047904927</v>
      </c>
      <c r="E350" s="4">
        <v>1.04071846735542E-2</v>
      </c>
      <c r="F350" s="5">
        <v>1.4084894052012799E-2</v>
      </c>
      <c r="G350" s="5">
        <v>0</v>
      </c>
      <c r="H350" s="4">
        <v>4.2420180379609</v>
      </c>
      <c r="I350" s="4">
        <v>4.0979546079686102</v>
      </c>
      <c r="J350" s="4">
        <v>-27.984274230746301</v>
      </c>
      <c r="K350" s="4">
        <v>15.3277209750925</v>
      </c>
      <c r="L350" s="4">
        <v>15.3483059293312</v>
      </c>
      <c r="M350" s="4">
        <v>16.0277481528442</v>
      </c>
      <c r="N350" s="4">
        <v>67.859941506667695</v>
      </c>
      <c r="O350" s="4">
        <v>66.327213975215898</v>
      </c>
      <c r="P350" s="4">
        <v>279877.98017463897</v>
      </c>
      <c r="Q350" s="4">
        <v>259922.96257309901</v>
      </c>
      <c r="R350" s="4">
        <v>784.82161033611806</v>
      </c>
      <c r="S350" s="4">
        <v>0</v>
      </c>
      <c r="T350" s="4">
        <v>0</v>
      </c>
      <c r="U350" s="4">
        <v>9.3634323492446294E-3</v>
      </c>
      <c r="V350" s="4">
        <v>1</v>
      </c>
      <c r="W350" s="4">
        <v>0</v>
      </c>
      <c r="X350" s="4">
        <v>0.76847887328597697</v>
      </c>
      <c r="Y350" s="4">
        <v>0</v>
      </c>
      <c r="Z350" s="5">
        <v>3.7706210935360202E-4</v>
      </c>
      <c r="AA350" s="5">
        <v>7.14321128353079E-5</v>
      </c>
      <c r="AB350" s="10">
        <v>2.7605270597597701E-3</v>
      </c>
      <c r="AC350" s="10">
        <v>4.1714491832427501E-7</v>
      </c>
      <c r="AD350" s="10">
        <v>1.08754412445187E-2</v>
      </c>
      <c r="AE350" s="4">
        <v>-1.01740459207777E-2</v>
      </c>
      <c r="AF350" s="4">
        <v>0.94088379037787795</v>
      </c>
      <c r="AG350" s="4">
        <v>0.99349280374618898</v>
      </c>
      <c r="AH350" s="4">
        <v>0.99919154126035403</v>
      </c>
      <c r="AI350" s="4">
        <v>0.99978820827324999</v>
      </c>
      <c r="AJ350" s="4">
        <v>1</v>
      </c>
      <c r="AK350" s="4">
        <v>1</v>
      </c>
      <c r="AL350" s="4">
        <v>1</v>
      </c>
      <c r="AM350" s="4">
        <v>0</v>
      </c>
      <c r="AN350" s="4">
        <v>0</v>
      </c>
      <c r="AO350" s="4" t="s">
        <v>69</v>
      </c>
      <c r="AP350" s="4" t="s">
        <v>70</v>
      </c>
      <c r="AQ350" s="6">
        <v>23067903005.400002</v>
      </c>
      <c r="AR350" s="4">
        <v>88749</v>
      </c>
      <c r="AS350" s="16">
        <v>0</v>
      </c>
      <c r="AT350" s="16">
        <v>0</v>
      </c>
      <c r="AU350" s="16">
        <v>0</v>
      </c>
      <c r="AV350" s="16">
        <v>100</v>
      </c>
      <c r="AW350" s="16">
        <v>0</v>
      </c>
      <c r="AX350" s="16">
        <v>100</v>
      </c>
    </row>
    <row r="351" spans="1:50" x14ac:dyDescent="0.25">
      <c r="A351">
        <v>4.3</v>
      </c>
      <c r="B351" s="4">
        <v>0.98030248169564904</v>
      </c>
      <c r="C351" s="4">
        <v>17.559460681885799</v>
      </c>
      <c r="D351" s="4">
        <v>21.237185822192199</v>
      </c>
      <c r="E351" s="4">
        <v>1.59623042782722E-2</v>
      </c>
      <c r="F351" s="5">
        <v>1.96975183043504E-2</v>
      </c>
      <c r="G351" s="5">
        <v>0</v>
      </c>
      <c r="H351" s="4">
        <v>4.3594754002418599</v>
      </c>
      <c r="I351" s="4">
        <v>4.0141100573955404</v>
      </c>
      <c r="J351" s="4">
        <v>-17.694591343516201</v>
      </c>
      <c r="K351" s="4">
        <v>38.111712213331302</v>
      </c>
      <c r="L351" s="4">
        <v>15.1431003845062</v>
      </c>
      <c r="M351" s="4">
        <v>17.022431146684799</v>
      </c>
      <c r="N351" s="4">
        <v>65.666661119836704</v>
      </c>
      <c r="O351" s="4">
        <v>63.523953212268502</v>
      </c>
      <c r="P351" s="4">
        <v>283221.982836565</v>
      </c>
      <c r="Q351" s="4">
        <v>263595.20155317697</v>
      </c>
      <c r="R351" s="4">
        <v>785.18835308746702</v>
      </c>
      <c r="S351" s="4">
        <v>0</v>
      </c>
      <c r="T351" s="4">
        <v>0</v>
      </c>
      <c r="U351" s="4">
        <v>1.13526092676821E-2</v>
      </c>
      <c r="V351" s="4">
        <v>1</v>
      </c>
      <c r="W351" s="4">
        <v>0</v>
      </c>
      <c r="X351" s="4">
        <v>0.83554304789652201</v>
      </c>
      <c r="Y351" s="4">
        <v>0</v>
      </c>
      <c r="Z351" s="5">
        <v>3.7495530403777001E-4</v>
      </c>
      <c r="AA351" s="5">
        <v>8.5273331466160802E-5</v>
      </c>
      <c r="AB351" s="10">
        <v>3.0263024256953499E-3</v>
      </c>
      <c r="AC351" s="10">
        <v>1.9833965235164399E-6</v>
      </c>
      <c r="AD351" s="10">
        <v>1.6208989511872302E-2</v>
      </c>
      <c r="AE351" s="4">
        <v>4.7725922156803302E-4</v>
      </c>
      <c r="AF351" s="4">
        <v>0.87194154702260696</v>
      </c>
      <c r="AG351" s="4">
        <v>0.98160101325954296</v>
      </c>
      <c r="AH351" s="4">
        <v>0.99804334045473297</v>
      </c>
      <c r="AI351" s="4">
        <v>0.99951236285759204</v>
      </c>
      <c r="AJ351" s="4">
        <v>1</v>
      </c>
      <c r="AK351" s="4">
        <v>1</v>
      </c>
      <c r="AL351" s="4">
        <v>1</v>
      </c>
      <c r="AM351" s="4">
        <v>0</v>
      </c>
      <c r="AN351" s="4">
        <v>0</v>
      </c>
      <c r="AO351" s="4" t="s">
        <v>71</v>
      </c>
      <c r="AP351" s="4" t="s">
        <v>72</v>
      </c>
      <c r="AQ351" s="6">
        <v>46902021402.760002</v>
      </c>
      <c r="AR351" s="4">
        <v>177932</v>
      </c>
      <c r="AS351" s="16">
        <v>0</v>
      </c>
      <c r="AT351" s="16">
        <v>0</v>
      </c>
      <c r="AU351" s="16">
        <v>0</v>
      </c>
      <c r="AV351" s="16">
        <v>100</v>
      </c>
      <c r="AW351" s="16">
        <v>0</v>
      </c>
      <c r="AX351" s="16">
        <v>100</v>
      </c>
    </row>
    <row r="352" spans="1:50" x14ac:dyDescent="0.25">
      <c r="A352">
        <v>4.3</v>
      </c>
      <c r="B352" s="4">
        <v>0.97384012582384605</v>
      </c>
      <c r="C352" s="4">
        <v>25.6759994190366</v>
      </c>
      <c r="D352" s="4">
        <v>27.246819896125501</v>
      </c>
      <c r="E352" s="4">
        <v>2.4424789040132702E-2</v>
      </c>
      <c r="F352" s="5">
        <v>2.61598741761533E-2</v>
      </c>
      <c r="G352" s="5">
        <v>0</v>
      </c>
      <c r="H352" s="4">
        <v>4.5363871139474998</v>
      </c>
      <c r="I352" s="4">
        <v>3.94286008970604</v>
      </c>
      <c r="J352" s="4">
        <v>-8.8359858024153706</v>
      </c>
      <c r="K352" s="4">
        <v>62.972851251297797</v>
      </c>
      <c r="L352" s="4">
        <v>15.5220964010758</v>
      </c>
      <c r="M352" s="4">
        <v>17.988196545841902</v>
      </c>
      <c r="N352" s="4">
        <v>66.904857877876395</v>
      </c>
      <c r="O352" s="4">
        <v>64.127086872670901</v>
      </c>
      <c r="P352" s="4">
        <v>276196.44132876699</v>
      </c>
      <c r="Q352" s="4">
        <v>257198.34006709899</v>
      </c>
      <c r="R352" s="4">
        <v>784.49201249596797</v>
      </c>
      <c r="S352" s="4">
        <v>0</v>
      </c>
      <c r="T352" s="4">
        <v>0</v>
      </c>
      <c r="U352" s="4">
        <v>9.1287296351898802E-3</v>
      </c>
      <c r="V352" s="4">
        <v>1</v>
      </c>
      <c r="W352" s="4">
        <v>0</v>
      </c>
      <c r="X352" s="4">
        <v>0.81146452176459505</v>
      </c>
      <c r="Y352" s="4">
        <v>0</v>
      </c>
      <c r="Z352" s="5">
        <v>3.7768196379012799E-4</v>
      </c>
      <c r="AA352" s="5">
        <v>1.1708355847635401E-4</v>
      </c>
      <c r="AB352" s="10">
        <v>3.25076523724133E-3</v>
      </c>
      <c r="AC352" s="10">
        <v>4.6676992508118801E-6</v>
      </c>
      <c r="AD352" s="10">
        <v>2.2409661284886199E-2</v>
      </c>
      <c r="AE352" s="4">
        <v>9.2300972287461692E-3</v>
      </c>
      <c r="AF352" s="4">
        <v>0.80257298313075398</v>
      </c>
      <c r="AG352" s="4">
        <v>0.97617687705357703</v>
      </c>
      <c r="AH352" s="4">
        <v>0.996856257848453</v>
      </c>
      <c r="AI352" s="4">
        <v>0.999259236586718</v>
      </c>
      <c r="AJ352" s="4">
        <v>1</v>
      </c>
      <c r="AK352" s="4">
        <v>1</v>
      </c>
      <c r="AL352" s="4">
        <v>1</v>
      </c>
      <c r="AM352" s="4">
        <v>0</v>
      </c>
      <c r="AN352" s="4">
        <v>0</v>
      </c>
      <c r="AO352" s="4" t="s">
        <v>73</v>
      </c>
      <c r="AP352" s="4" t="s">
        <v>74</v>
      </c>
      <c r="AQ352" s="6">
        <v>59067913581.470001</v>
      </c>
      <c r="AR352" s="4">
        <v>229659</v>
      </c>
      <c r="AS352" s="16">
        <v>0</v>
      </c>
      <c r="AT352" s="16">
        <v>0</v>
      </c>
      <c r="AU352" s="16">
        <v>0</v>
      </c>
      <c r="AV352" s="16">
        <v>100</v>
      </c>
      <c r="AW352" s="16">
        <v>0</v>
      </c>
      <c r="AX352" s="16">
        <v>100</v>
      </c>
    </row>
    <row r="353" spans="1:50" x14ac:dyDescent="0.25">
      <c r="A353">
        <v>4.3</v>
      </c>
      <c r="B353" s="4">
        <v>0.96838272458394004</v>
      </c>
      <c r="C353" s="4">
        <v>31.5062623624219</v>
      </c>
      <c r="D353" s="4">
        <v>31.9913116091357</v>
      </c>
      <c r="E353" s="4">
        <v>3.10435928074204E-2</v>
      </c>
      <c r="F353" s="5">
        <v>3.1617275416059402E-2</v>
      </c>
      <c r="G353" s="5">
        <v>0</v>
      </c>
      <c r="H353" s="4">
        <v>4.7068477473375196</v>
      </c>
      <c r="I353" s="4">
        <v>3.89937417226191</v>
      </c>
      <c r="J353" s="4">
        <v>-1.73200834646805</v>
      </c>
      <c r="K353" s="4">
        <v>86.340781994112504</v>
      </c>
      <c r="L353" s="4">
        <v>15.3170507080011</v>
      </c>
      <c r="M353" s="4">
        <v>17.9295059253391</v>
      </c>
      <c r="N353" s="4">
        <v>66.053761112288598</v>
      </c>
      <c r="O353" s="4">
        <v>62.805580766597103</v>
      </c>
      <c r="P353" s="4">
        <v>279969.30171550403</v>
      </c>
      <c r="Q353" s="4">
        <v>260670.95994521599</v>
      </c>
      <c r="R353" s="4">
        <v>783.73160761855195</v>
      </c>
      <c r="S353" s="4">
        <v>0</v>
      </c>
      <c r="T353" s="4">
        <v>0</v>
      </c>
      <c r="U353" s="4">
        <v>1.0820553627680101E-2</v>
      </c>
      <c r="V353" s="4">
        <v>1</v>
      </c>
      <c r="W353" s="4">
        <v>0</v>
      </c>
      <c r="X353" s="4">
        <v>0.80358542918101195</v>
      </c>
      <c r="Y353" s="4">
        <v>0</v>
      </c>
      <c r="Z353" s="5">
        <v>3.7747685551154801E-4</v>
      </c>
      <c r="AA353" s="5">
        <v>1.4268436702595601E-4</v>
      </c>
      <c r="AB353" s="10">
        <v>3.34671567824886E-3</v>
      </c>
      <c r="AC353" s="10">
        <v>1.0004671606829701E-5</v>
      </c>
      <c r="AD353" s="10">
        <v>2.77403792684482E-2</v>
      </c>
      <c r="AE353" s="4">
        <v>1.8642304588066899E-2</v>
      </c>
      <c r="AF353" s="4">
        <v>0.71583047484475604</v>
      </c>
      <c r="AG353" s="4">
        <v>0.96551809191581695</v>
      </c>
      <c r="AH353" s="4">
        <v>0.99428408474079499</v>
      </c>
      <c r="AI353" s="4">
        <v>0.99900877717071401</v>
      </c>
      <c r="AJ353" s="4">
        <v>1</v>
      </c>
      <c r="AK353" s="4">
        <v>1</v>
      </c>
      <c r="AL353" s="4">
        <v>1</v>
      </c>
      <c r="AM353" s="4">
        <v>0</v>
      </c>
      <c r="AN353" s="4">
        <v>0</v>
      </c>
      <c r="AO353" s="4" t="s">
        <v>75</v>
      </c>
      <c r="AP353" s="4" t="s">
        <v>76</v>
      </c>
      <c r="AQ353" s="6">
        <v>52625296077.580002</v>
      </c>
      <c r="AR353" s="4">
        <v>201884</v>
      </c>
      <c r="AS353" s="16">
        <v>0</v>
      </c>
      <c r="AT353" s="16">
        <v>0</v>
      </c>
      <c r="AU353" s="16">
        <v>0</v>
      </c>
      <c r="AV353" s="16">
        <v>100</v>
      </c>
      <c r="AW353" s="16">
        <v>0</v>
      </c>
      <c r="AX353" s="16">
        <v>100</v>
      </c>
    </row>
    <row r="354" spans="1:50" x14ac:dyDescent="0.25">
      <c r="A354">
        <v>4.3</v>
      </c>
      <c r="B354" s="4">
        <v>0.96402601142055899</v>
      </c>
      <c r="C354" s="4">
        <v>35.203065759167401</v>
      </c>
      <c r="D354" s="4">
        <v>35.573427608855603</v>
      </c>
      <c r="E354" s="4">
        <v>3.5513385174712003E-2</v>
      </c>
      <c r="F354" s="5">
        <v>3.5973988579440598E-2</v>
      </c>
      <c r="G354" s="5">
        <v>0</v>
      </c>
      <c r="H354" s="4">
        <v>4.87526963316789</v>
      </c>
      <c r="I354" s="4">
        <v>3.82402572433559</v>
      </c>
      <c r="J354" s="4">
        <v>2.8633301934340101</v>
      </c>
      <c r="K354" s="4">
        <v>111.620461991638</v>
      </c>
      <c r="L354" s="4">
        <v>15.5912073223249</v>
      </c>
      <c r="M354" s="4">
        <v>18.436990321059898</v>
      </c>
      <c r="N354" s="4">
        <v>68.031286649713905</v>
      </c>
      <c r="O354" s="4">
        <v>63.715968232081501</v>
      </c>
      <c r="P354" s="4">
        <v>274820.466572251</v>
      </c>
      <c r="Q354" s="4">
        <v>256102.341251462</v>
      </c>
      <c r="R354" s="4">
        <v>782.14589970457598</v>
      </c>
      <c r="S354" s="4">
        <v>0</v>
      </c>
      <c r="T354" s="4">
        <v>0</v>
      </c>
      <c r="U354" s="4">
        <v>1.0932156469406699E-2</v>
      </c>
      <c r="V354" s="4">
        <v>1</v>
      </c>
      <c r="W354" s="4">
        <v>0</v>
      </c>
      <c r="X354" s="4">
        <v>0.75572899133359805</v>
      </c>
      <c r="Y354" s="4">
        <v>0</v>
      </c>
      <c r="Z354" s="5">
        <v>3.7799429821655501E-4</v>
      </c>
      <c r="AA354" s="5">
        <v>1.9943043871156101E-4</v>
      </c>
      <c r="AB354" s="10">
        <v>3.51894195783958E-3</v>
      </c>
      <c r="AC354" s="10">
        <v>2.2498548679841999E-5</v>
      </c>
      <c r="AD354" s="10">
        <v>3.1855108559944903E-2</v>
      </c>
      <c r="AE354" s="4">
        <v>3.4411839384644302E-2</v>
      </c>
      <c r="AF354" s="4">
        <v>0.58561162953484402</v>
      </c>
      <c r="AG354" s="4">
        <v>0.94979594218018404</v>
      </c>
      <c r="AH354" s="4">
        <v>0.99044612922188402</v>
      </c>
      <c r="AI354" s="4">
        <v>0.99804397579412896</v>
      </c>
      <c r="AJ354" s="4">
        <v>1</v>
      </c>
      <c r="AK354" s="4">
        <v>1</v>
      </c>
      <c r="AL354" s="4">
        <v>1</v>
      </c>
      <c r="AM354" s="4">
        <v>0</v>
      </c>
      <c r="AN354" s="4">
        <v>0</v>
      </c>
      <c r="AO354" s="4" t="s">
        <v>77</v>
      </c>
      <c r="AP354" s="4" t="s">
        <v>78</v>
      </c>
      <c r="AQ354" s="6">
        <v>30215466425.529999</v>
      </c>
      <c r="AR354" s="4">
        <v>117982</v>
      </c>
      <c r="AS354" s="16">
        <v>0</v>
      </c>
      <c r="AT354" s="16">
        <v>0</v>
      </c>
      <c r="AU354" s="16">
        <v>0</v>
      </c>
      <c r="AV354" s="16">
        <v>100</v>
      </c>
      <c r="AW354" s="16">
        <v>0</v>
      </c>
      <c r="AX354" s="16">
        <v>100</v>
      </c>
    </row>
    <row r="355" spans="1:50" x14ac:dyDescent="0.25">
      <c r="A355">
        <v>4.3</v>
      </c>
      <c r="B355" s="4">
        <v>0.96002310286120796</v>
      </c>
      <c r="C355" s="4">
        <v>35.293944118368501</v>
      </c>
      <c r="D355" s="4">
        <v>38.711327739224899</v>
      </c>
      <c r="E355" s="4">
        <v>3.5626182891834501E-2</v>
      </c>
      <c r="F355" s="5">
        <v>3.9976897138791899E-2</v>
      </c>
      <c r="G355" s="5">
        <v>0</v>
      </c>
      <c r="H355" s="4">
        <v>4.9483955445091699</v>
      </c>
      <c r="I355" s="4">
        <v>3.7110552718407401</v>
      </c>
      <c r="J355" s="4">
        <v>4.1968316684857401</v>
      </c>
      <c r="K355" s="4">
        <v>134.928554450935</v>
      </c>
      <c r="L355" s="4">
        <v>15.244507146279799</v>
      </c>
      <c r="M355" s="4">
        <v>19.350782831123801</v>
      </c>
      <c r="N355" s="4">
        <v>68.321991442478705</v>
      </c>
      <c r="O355" s="4">
        <v>62.1914369903444</v>
      </c>
      <c r="P355" s="4">
        <v>281093.31658046303</v>
      </c>
      <c r="Q355" s="4">
        <v>261933.12274425599</v>
      </c>
      <c r="R355" s="4">
        <v>781.44081128990695</v>
      </c>
      <c r="S355" s="4">
        <v>0</v>
      </c>
      <c r="T355" s="4">
        <v>0</v>
      </c>
      <c r="U355" s="4">
        <v>1.2081926661174599E-2</v>
      </c>
      <c r="V355" s="4">
        <v>1</v>
      </c>
      <c r="W355" s="4">
        <v>0</v>
      </c>
      <c r="X355" s="4">
        <v>0.77669179966381297</v>
      </c>
      <c r="Y355" s="4">
        <v>0</v>
      </c>
      <c r="Z355" s="5">
        <v>3.7696705621032602E-4</v>
      </c>
      <c r="AA355" s="5">
        <v>2.4306569805937901E-4</v>
      </c>
      <c r="AB355" s="10">
        <v>3.5620588246394001E-3</v>
      </c>
      <c r="AC355" s="10">
        <v>5.0292392452226999E-5</v>
      </c>
      <c r="AD355" s="10">
        <v>3.5744498279551798E-2</v>
      </c>
      <c r="AE355" s="4">
        <v>6.4839826641248502E-2</v>
      </c>
      <c r="AF355" s="4">
        <v>0.422237056676249</v>
      </c>
      <c r="AG355" s="4">
        <v>0.90982509228338404</v>
      </c>
      <c r="AH355" s="4">
        <v>0.979855591757815</v>
      </c>
      <c r="AI355" s="4">
        <v>0.997144054683195</v>
      </c>
      <c r="AJ355" s="4">
        <v>1</v>
      </c>
      <c r="AK355" s="4">
        <v>1</v>
      </c>
      <c r="AL355" s="4">
        <v>1</v>
      </c>
      <c r="AM355" s="4">
        <v>0</v>
      </c>
      <c r="AN355" s="4">
        <v>0</v>
      </c>
      <c r="AO355" s="4" t="s">
        <v>79</v>
      </c>
      <c r="AP355" s="4" t="s">
        <v>80</v>
      </c>
      <c r="AQ355" s="6">
        <v>14090954271.15</v>
      </c>
      <c r="AR355" s="4">
        <v>53796</v>
      </c>
      <c r="AS355" s="16">
        <v>0</v>
      </c>
      <c r="AT355" s="16">
        <v>0</v>
      </c>
      <c r="AU355" s="16">
        <v>0</v>
      </c>
      <c r="AV355" s="16">
        <v>100</v>
      </c>
      <c r="AW355" s="16">
        <v>0</v>
      </c>
      <c r="AX355" s="16">
        <v>100</v>
      </c>
    </row>
    <row r="356" spans="1:50" x14ac:dyDescent="0.25">
      <c r="A356">
        <v>4.3</v>
      </c>
      <c r="B356" s="4">
        <v>0.95691930611584797</v>
      </c>
      <c r="C356" s="4">
        <v>34.087346563707897</v>
      </c>
      <c r="D356" s="4">
        <v>41.047286442203003</v>
      </c>
      <c r="E356" s="4">
        <v>3.4140254306829702E-2</v>
      </c>
      <c r="F356" s="5">
        <v>4.3080693884151401E-2</v>
      </c>
      <c r="G356" s="5">
        <v>0</v>
      </c>
      <c r="H356" s="4">
        <v>5.1459404125265804</v>
      </c>
      <c r="I356" s="4">
        <v>3.6852147209439599</v>
      </c>
      <c r="J356" s="4">
        <v>19.406169015445201</v>
      </c>
      <c r="K356" s="4">
        <v>160.59355514797099</v>
      </c>
      <c r="L356" s="4">
        <v>15.6420079997502</v>
      </c>
      <c r="M356" s="4">
        <v>19.607846204697701</v>
      </c>
      <c r="N356" s="4">
        <v>73.202552997823901</v>
      </c>
      <c r="O356" s="4">
        <v>65.657718825126693</v>
      </c>
      <c r="P356" s="4">
        <v>273667.60394890199</v>
      </c>
      <c r="Q356" s="4">
        <v>255286.18232932599</v>
      </c>
      <c r="R356" s="4">
        <v>779.35042112083102</v>
      </c>
      <c r="S356" s="4">
        <v>0</v>
      </c>
      <c r="T356" s="4">
        <v>0</v>
      </c>
      <c r="U356" s="4">
        <v>1.1263925599785399E-2</v>
      </c>
      <c r="V356" s="4">
        <v>1</v>
      </c>
      <c r="W356" s="4">
        <v>0</v>
      </c>
      <c r="X356" s="4">
        <v>0.86961593086255695</v>
      </c>
      <c r="Y356" s="4">
        <v>0</v>
      </c>
      <c r="Z356" s="5">
        <v>3.8328230534499699E-4</v>
      </c>
      <c r="AA356" s="5">
        <v>3.5444919769250799E-4</v>
      </c>
      <c r="AB356" s="10">
        <v>3.6685011492348998E-3</v>
      </c>
      <c r="AC356" s="10">
        <v>6.9199957120856596E-5</v>
      </c>
      <c r="AD356" s="10">
        <v>3.8605246263440501E-2</v>
      </c>
      <c r="AE356" s="4">
        <v>7.9619607558633093E-2</v>
      </c>
      <c r="AF356" s="4">
        <v>0.33050816679016198</v>
      </c>
      <c r="AG356" s="4">
        <v>0.87411353305107098</v>
      </c>
      <c r="AH356" s="4">
        <v>0.97213002753556499</v>
      </c>
      <c r="AI356" s="4">
        <v>0.99550133849190003</v>
      </c>
      <c r="AJ356" s="4">
        <v>1</v>
      </c>
      <c r="AK356" s="4">
        <v>1</v>
      </c>
      <c r="AL356" s="4">
        <v>1</v>
      </c>
      <c r="AM356" s="4">
        <v>0</v>
      </c>
      <c r="AN356" s="4">
        <v>0</v>
      </c>
      <c r="AO356" s="4" t="s">
        <v>81</v>
      </c>
      <c r="AP356" s="4" t="s">
        <v>82</v>
      </c>
      <c r="AQ356" s="6">
        <v>3440236593.0700002</v>
      </c>
      <c r="AR356" s="4">
        <v>13476</v>
      </c>
      <c r="AS356" s="16">
        <v>0</v>
      </c>
      <c r="AT356" s="16">
        <v>0</v>
      </c>
      <c r="AU356" s="16">
        <v>0</v>
      </c>
      <c r="AV356" s="16">
        <v>100</v>
      </c>
      <c r="AW356" s="16">
        <v>0</v>
      </c>
      <c r="AX356" s="16">
        <v>100</v>
      </c>
    </row>
    <row r="357" spans="1:50" x14ac:dyDescent="0.25">
      <c r="A357">
        <v>4.3</v>
      </c>
      <c r="B357" s="4">
        <v>0.95324539802312203</v>
      </c>
      <c r="C357" s="4">
        <v>33.665359871941803</v>
      </c>
      <c r="D357" s="4">
        <v>43.706713052519298</v>
      </c>
      <c r="E357" s="4">
        <v>3.3626457099512501E-2</v>
      </c>
      <c r="F357" s="5">
        <v>4.6754601976877398E-2</v>
      </c>
      <c r="G357" s="5">
        <v>0</v>
      </c>
      <c r="H357" s="4">
        <v>5.2300294691854399</v>
      </c>
      <c r="I357" s="4">
        <v>3.65881897020031</v>
      </c>
      <c r="J357" s="4">
        <v>27.5105215681697</v>
      </c>
      <c r="K357" s="4">
        <v>182.55437546943199</v>
      </c>
      <c r="L357" s="4">
        <v>14.769761298689801</v>
      </c>
      <c r="M357" s="4">
        <v>20.164569774608999</v>
      </c>
      <c r="N357" s="4">
        <v>75.884240648583798</v>
      </c>
      <c r="O357" s="4">
        <v>66.8537016725532</v>
      </c>
      <c r="P357" s="4">
        <v>289325.65505929501</v>
      </c>
      <c r="Q357" s="4">
        <v>270360.544728935</v>
      </c>
      <c r="R357" s="4">
        <v>778.12210444987204</v>
      </c>
      <c r="S357" s="4">
        <v>0</v>
      </c>
      <c r="T357" s="4">
        <v>0</v>
      </c>
      <c r="U357" s="4">
        <v>1.3852780085121599E-2</v>
      </c>
      <c r="V357" s="4">
        <v>1</v>
      </c>
      <c r="W357" s="4">
        <v>0</v>
      </c>
      <c r="X357" s="4">
        <v>0.85221977638386703</v>
      </c>
      <c r="Y357" s="4">
        <v>0</v>
      </c>
      <c r="Z357" s="5">
        <v>3.8805998662553198E-4</v>
      </c>
      <c r="AA357" s="5">
        <v>5.2770322687382195E-4</v>
      </c>
      <c r="AB357" s="10">
        <v>3.6357914284036201E-3</v>
      </c>
      <c r="AC357" s="10">
        <v>1.3058948228871501E-4</v>
      </c>
      <c r="AD357" s="10">
        <v>4.2072442667634699E-2</v>
      </c>
      <c r="AE357" s="4">
        <v>9.65949180004404E-2</v>
      </c>
      <c r="AF357" s="4">
        <v>0.255037837503992</v>
      </c>
      <c r="AG357" s="4">
        <v>0.81629255907895903</v>
      </c>
      <c r="AH357" s="4">
        <v>0.94230196100390295</v>
      </c>
      <c r="AI357" s="4">
        <v>0.99203386852364395</v>
      </c>
      <c r="AJ357" s="4">
        <v>1</v>
      </c>
      <c r="AK357" s="4">
        <v>1</v>
      </c>
      <c r="AL357" s="4">
        <v>1</v>
      </c>
      <c r="AM357" s="4">
        <v>0</v>
      </c>
      <c r="AN357" s="4">
        <v>0</v>
      </c>
      <c r="AO357" s="4" t="s">
        <v>83</v>
      </c>
      <c r="AP357" s="4" t="s">
        <v>84</v>
      </c>
      <c r="AQ357" s="6">
        <v>827843987.96000004</v>
      </c>
      <c r="AR357" s="4">
        <v>3062</v>
      </c>
      <c r="AS357" s="16">
        <v>0</v>
      </c>
      <c r="AT357" s="16">
        <v>0</v>
      </c>
      <c r="AU357" s="16">
        <v>0</v>
      </c>
      <c r="AV357" s="16">
        <v>100</v>
      </c>
      <c r="AW357" s="16">
        <v>0</v>
      </c>
      <c r="AX357" s="16">
        <v>100</v>
      </c>
    </row>
    <row r="358" spans="1:50" x14ac:dyDescent="0.25">
      <c r="A358">
        <v>4.3</v>
      </c>
      <c r="B358" s="4">
        <v>0.95105383007684796</v>
      </c>
      <c r="C358" s="4">
        <v>28.261046737152199</v>
      </c>
      <c r="D358" s="4">
        <v>45.240284040715402</v>
      </c>
      <c r="E358" s="4">
        <v>2.7298498426786399E-2</v>
      </c>
      <c r="F358" s="5">
        <v>4.8946169923151102E-2</v>
      </c>
      <c r="G358" s="5">
        <v>0</v>
      </c>
      <c r="H358" s="4">
        <v>5.2464186800367099</v>
      </c>
      <c r="I358" s="4">
        <v>3.69172285194899</v>
      </c>
      <c r="J358" s="4">
        <v>34.717273760760897</v>
      </c>
      <c r="K358" s="4">
        <v>210.090614075605</v>
      </c>
      <c r="L358" s="4">
        <v>15.0628190517424</v>
      </c>
      <c r="M358" s="4">
        <v>19.5938189736627</v>
      </c>
      <c r="N358" s="4">
        <v>85.7916585505439</v>
      </c>
      <c r="O358" s="4">
        <v>73.984501983366698</v>
      </c>
      <c r="P358" s="4">
        <v>285262.204090774</v>
      </c>
      <c r="Q358" s="4">
        <v>265099.50371980597</v>
      </c>
      <c r="R358" s="4">
        <v>777.48058414718002</v>
      </c>
      <c r="S358" s="4">
        <v>0</v>
      </c>
      <c r="T358" s="4">
        <v>0</v>
      </c>
      <c r="U358" s="4">
        <v>1.8733180614728201E-2</v>
      </c>
      <c r="V358" s="4">
        <v>1</v>
      </c>
      <c r="W358" s="4">
        <v>0</v>
      </c>
      <c r="X358" s="4">
        <v>0.76619444473884202</v>
      </c>
      <c r="Y358" s="4">
        <v>0</v>
      </c>
      <c r="Z358" s="5">
        <v>3.93557459393304E-4</v>
      </c>
      <c r="AA358" s="5">
        <v>5.5744886441279405E-4</v>
      </c>
      <c r="AB358" s="10">
        <v>4.0135355441274102E-3</v>
      </c>
      <c r="AC358" s="10">
        <v>2.998124646368E-4</v>
      </c>
      <c r="AD358" s="10">
        <v>4.3681799840299997E-2</v>
      </c>
      <c r="AE358" s="4">
        <v>0.120093667509478</v>
      </c>
      <c r="AF358" s="4">
        <v>0.14854476835838101</v>
      </c>
      <c r="AG358" s="4">
        <v>0.69660049824911896</v>
      </c>
      <c r="AH358" s="4">
        <v>0.85633042659728598</v>
      </c>
      <c r="AI358" s="4">
        <v>0.97462641676318995</v>
      </c>
      <c r="AJ358" s="4">
        <v>1</v>
      </c>
      <c r="AK358" s="4">
        <v>1</v>
      </c>
      <c r="AL358" s="4">
        <v>1</v>
      </c>
      <c r="AM358" s="4">
        <v>0</v>
      </c>
      <c r="AN358" s="4">
        <v>0</v>
      </c>
      <c r="AO358" s="4" t="s">
        <v>85</v>
      </c>
      <c r="AP358" s="4" t="s">
        <v>86</v>
      </c>
      <c r="AQ358" s="6">
        <v>109751194.54000001</v>
      </c>
      <c r="AR358" s="4">
        <v>414</v>
      </c>
      <c r="AS358" s="16">
        <v>0</v>
      </c>
      <c r="AT358" s="16">
        <v>0</v>
      </c>
      <c r="AU358" s="16">
        <v>0</v>
      </c>
      <c r="AV358" s="16">
        <v>100</v>
      </c>
      <c r="AW358" s="16">
        <v>0</v>
      </c>
      <c r="AX358" s="16">
        <v>100</v>
      </c>
    </row>
    <row r="359" spans="1:50" x14ac:dyDescent="0.25">
      <c r="A359">
        <v>4.3</v>
      </c>
      <c r="B359" s="4">
        <v>0.95106712329963905</v>
      </c>
      <c r="C359" s="4">
        <v>0.36622219306755499</v>
      </c>
      <c r="D359" s="4">
        <v>45.231098578728002</v>
      </c>
      <c r="E359" s="4">
        <v>3.0569862156209999E-4</v>
      </c>
      <c r="F359" s="5">
        <v>4.8932876700360402E-2</v>
      </c>
      <c r="G359" s="5">
        <v>0</v>
      </c>
      <c r="H359" s="4">
        <v>5.3142704746798097</v>
      </c>
      <c r="I359" s="4">
        <v>3.6726424055235101</v>
      </c>
      <c r="J359" s="4">
        <v>37.399005099148297</v>
      </c>
      <c r="K359" s="4">
        <v>234.928818371413</v>
      </c>
      <c r="L359" s="4">
        <v>14.685725801905299</v>
      </c>
      <c r="M359" s="4">
        <v>20.006515851593601</v>
      </c>
      <c r="N359" s="4">
        <v>88.220186954252696</v>
      </c>
      <c r="O359" s="4">
        <v>75.4436604361658</v>
      </c>
      <c r="P359" s="4">
        <v>291527.89096783998</v>
      </c>
      <c r="Q359" s="4">
        <v>271913.73197278898</v>
      </c>
      <c r="R359" s="4">
        <v>780.63111333434904</v>
      </c>
      <c r="S359" s="4">
        <v>0</v>
      </c>
      <c r="T359" s="4">
        <v>0</v>
      </c>
      <c r="U359" s="4">
        <v>2.8012040363361902E-2</v>
      </c>
      <c r="V359" s="4">
        <v>1</v>
      </c>
      <c r="W359" s="4">
        <v>0</v>
      </c>
      <c r="X359" s="4">
        <v>0.75461686920681104</v>
      </c>
      <c r="Y359" s="4">
        <v>0</v>
      </c>
      <c r="Z359" s="5">
        <v>3.96296718470781E-4</v>
      </c>
      <c r="AA359" s="5">
        <v>5.5646500274883601E-4</v>
      </c>
      <c r="AB359" s="10">
        <v>3.9214944734304504E-3</v>
      </c>
      <c r="AC359" s="10">
        <v>3.8539020046526802E-4</v>
      </c>
      <c r="AD359" s="10">
        <v>4.3673214883734601E-2</v>
      </c>
      <c r="AE359" s="4">
        <v>0.127046951028637</v>
      </c>
      <c r="AF359" s="4">
        <v>7.0359430424194194E-2</v>
      </c>
      <c r="AG359" s="4">
        <v>0.653377307897968</v>
      </c>
      <c r="AH359" s="4">
        <v>0.82154449340582902</v>
      </c>
      <c r="AI359" s="4">
        <v>0.98275269582925295</v>
      </c>
      <c r="AJ359" s="4">
        <v>1</v>
      </c>
      <c r="AK359" s="4">
        <v>1</v>
      </c>
      <c r="AL359" s="4">
        <v>1</v>
      </c>
      <c r="AM359" s="4">
        <v>0</v>
      </c>
      <c r="AN359" s="4">
        <v>0</v>
      </c>
      <c r="AO359" s="4" t="s">
        <v>87</v>
      </c>
      <c r="AP359" s="4" t="s">
        <v>88</v>
      </c>
      <c r="AQ359" s="6">
        <v>39971318.600000001</v>
      </c>
      <c r="AR359" s="4">
        <v>147</v>
      </c>
      <c r="AS359" s="16">
        <v>0</v>
      </c>
      <c r="AT359" s="16">
        <v>0</v>
      </c>
      <c r="AU359" s="16">
        <v>0</v>
      </c>
      <c r="AV359" s="16">
        <v>100</v>
      </c>
      <c r="AW359" s="16">
        <v>0</v>
      </c>
      <c r="AX359" s="16">
        <v>100</v>
      </c>
    </row>
    <row r="360" spans="1:50" x14ac:dyDescent="0.25">
      <c r="A360">
        <v>4.3</v>
      </c>
      <c r="B360" s="4">
        <v>0.95286034594978397</v>
      </c>
      <c r="C360" s="4">
        <v>34.576458281537199</v>
      </c>
      <c r="D360" s="4">
        <v>43.978975645168497</v>
      </c>
      <c r="E360" s="4">
        <v>3.4739567290702898E-2</v>
      </c>
      <c r="F360" s="5">
        <v>4.7139654050215501E-2</v>
      </c>
      <c r="G360" s="5">
        <v>0</v>
      </c>
      <c r="H360" s="4">
        <v>5.4833120084995297</v>
      </c>
      <c r="I360" s="4">
        <v>3.6729403220961898</v>
      </c>
      <c r="J360" s="4">
        <v>47.391439883256403</v>
      </c>
      <c r="K360" s="4">
        <v>265.60644549534697</v>
      </c>
      <c r="L360" s="4">
        <v>14.277030255506199</v>
      </c>
      <c r="M360" s="4">
        <v>20.573625950846299</v>
      </c>
      <c r="N360" s="4">
        <v>88.917567716743804</v>
      </c>
      <c r="O360" s="4">
        <v>76.022172327895106</v>
      </c>
      <c r="P360" s="4">
        <v>295376.62379078899</v>
      </c>
      <c r="Q360" s="4">
        <v>279697.78473684198</v>
      </c>
      <c r="R360" s="4">
        <v>783.97377999480602</v>
      </c>
      <c r="S360" s="4">
        <v>0</v>
      </c>
      <c r="T360" s="4">
        <v>0</v>
      </c>
      <c r="U360" s="4">
        <v>0</v>
      </c>
      <c r="V360" s="4">
        <v>1</v>
      </c>
      <c r="W360" s="4">
        <v>0</v>
      </c>
      <c r="X360" s="4">
        <v>0.94361767122689999</v>
      </c>
      <c r="Y360" s="4">
        <v>0</v>
      </c>
      <c r="Z360" s="5">
        <v>3.9082394423278299E-4</v>
      </c>
      <c r="AA360" s="5">
        <v>6.3181952604973702E-4</v>
      </c>
      <c r="AB360" s="10">
        <v>4.0903138794649999E-3</v>
      </c>
      <c r="AC360" s="10">
        <v>1.7462634454327701E-4</v>
      </c>
      <c r="AD360" s="10">
        <v>4.1852053064363202E-2</v>
      </c>
      <c r="AE360" s="4">
        <v>0.12851392145829801</v>
      </c>
      <c r="AF360" s="4">
        <v>9.9460969393059304E-2</v>
      </c>
      <c r="AG360" s="4">
        <v>0.56324577655534402</v>
      </c>
      <c r="AH360" s="4">
        <v>0.94738828172530298</v>
      </c>
      <c r="AI360" s="4">
        <v>1</v>
      </c>
      <c r="AJ360" s="4">
        <v>1</v>
      </c>
      <c r="AK360" s="4">
        <v>1</v>
      </c>
      <c r="AL360" s="4">
        <v>1</v>
      </c>
      <c r="AM360" s="4">
        <v>0</v>
      </c>
      <c r="AN360" s="4">
        <v>0</v>
      </c>
      <c r="AO360" s="4" t="s">
        <v>89</v>
      </c>
      <c r="AP360" s="4" t="s">
        <v>90</v>
      </c>
      <c r="AQ360" s="6">
        <v>15942773.73</v>
      </c>
      <c r="AR360" s="4">
        <v>57</v>
      </c>
      <c r="AS360" s="16">
        <v>0</v>
      </c>
      <c r="AT360" s="16">
        <v>0</v>
      </c>
      <c r="AU360" s="16">
        <v>0</v>
      </c>
      <c r="AV360" s="16">
        <v>100</v>
      </c>
      <c r="AW360" s="16">
        <v>0</v>
      </c>
      <c r="AX360" s="16">
        <v>100</v>
      </c>
    </row>
    <row r="361" spans="1:50" x14ac:dyDescent="0.25">
      <c r="B361" s="4"/>
      <c r="C361" s="4"/>
      <c r="D361" s="4"/>
      <c r="E361" s="4"/>
      <c r="F361" s="5"/>
      <c r="G361" s="5"/>
      <c r="H361" s="4"/>
      <c r="I361" s="4"/>
      <c r="J361" s="4"/>
      <c r="K361" s="4"/>
      <c r="L361" s="4"/>
      <c r="M361" s="4"/>
      <c r="N361" s="4"/>
      <c r="O361" s="4"/>
      <c r="P361" s="4"/>
      <c r="Q361" s="4"/>
      <c r="R361" s="4"/>
      <c r="S361" s="4"/>
      <c r="T361" s="4"/>
      <c r="U361" s="4"/>
      <c r="V361" s="4"/>
      <c r="W361" s="4"/>
      <c r="X361" s="4"/>
      <c r="Y361" s="4"/>
      <c r="Z361" s="5"/>
      <c r="AA361" s="5"/>
      <c r="AB361" s="10"/>
      <c r="AC361" s="10"/>
      <c r="AD361" s="10"/>
      <c r="AE361" s="4"/>
      <c r="AF361" s="4"/>
      <c r="AG361" s="4"/>
      <c r="AH361" s="4"/>
      <c r="AI361" s="4"/>
      <c r="AJ361" s="4"/>
      <c r="AK361" s="4"/>
      <c r="AL361" s="4"/>
      <c r="AM361" s="4"/>
      <c r="AN361" s="4"/>
      <c r="AO361" s="4"/>
      <c r="AP361" s="4"/>
      <c r="AQ361" s="6"/>
      <c r="AR361" s="4"/>
      <c r="AS361" s="16"/>
      <c r="AT361" s="16"/>
      <c r="AU361" s="16"/>
      <c r="AV361" s="16"/>
      <c r="AW361" s="16"/>
      <c r="AX361" s="16"/>
    </row>
    <row r="362" spans="1:50" x14ac:dyDescent="0.25">
      <c r="G362" s="35"/>
      <c r="S362" s="35"/>
      <c r="T362" s="35"/>
      <c r="W362" s="35"/>
      <c r="Y362" s="35"/>
    </row>
    <row r="367" spans="1:50" x14ac:dyDescent="0.25">
      <c r="K367" t="s">
        <v>104</v>
      </c>
      <c r="L367" t="s">
        <v>92</v>
      </c>
      <c r="M367" t="s">
        <v>93</v>
      </c>
      <c r="R367" t="s">
        <v>104</v>
      </c>
      <c r="W367" t="s">
        <v>92</v>
      </c>
      <c r="AB367" t="s">
        <v>93</v>
      </c>
    </row>
    <row r="368" spans="1:50" x14ac:dyDescent="0.25">
      <c r="A368" s="4" t="s">
        <v>97</v>
      </c>
      <c r="B368" t="str">
        <f>AQ344</f>
        <v>Balance</v>
      </c>
      <c r="C368" s="2" t="str">
        <f>AO344</f>
        <v>groupByColumn</v>
      </c>
      <c r="D368" t="str">
        <f>E344</f>
        <v>PREPAY_SMM1</v>
      </c>
      <c r="E368" t="str">
        <f>F344</f>
        <v>PREPAY_TRACKING_SMM1</v>
      </c>
      <c r="F368" t="s">
        <v>94</v>
      </c>
      <c r="G368" t="str">
        <f>C344</f>
        <v>PREPAY_CPR1</v>
      </c>
      <c r="H368" t="str">
        <f>D344</f>
        <v>PREPAY_TRACKING_CPR1</v>
      </c>
      <c r="K368" t="s">
        <v>95</v>
      </c>
      <c r="L368" t="s">
        <v>95</v>
      </c>
      <c r="M368" t="s">
        <v>95</v>
      </c>
      <c r="N368" t="s">
        <v>102</v>
      </c>
      <c r="O368" t="s">
        <v>103</v>
      </c>
      <c r="P368" t="s">
        <v>94</v>
      </c>
      <c r="R368" t="s">
        <v>98</v>
      </c>
      <c r="T368" t="s">
        <v>96</v>
      </c>
      <c r="U368" t="s">
        <v>101</v>
      </c>
      <c r="W368" t="s">
        <v>98</v>
      </c>
      <c r="X368" t="s">
        <v>105</v>
      </c>
      <c r="Y368" t="s">
        <v>96</v>
      </c>
      <c r="Z368" t="s">
        <v>101</v>
      </c>
      <c r="AB368" t="s">
        <v>98</v>
      </c>
      <c r="AC368" t="s">
        <v>105</v>
      </c>
      <c r="AD368" t="s">
        <v>96</v>
      </c>
      <c r="AE368" t="s">
        <v>101</v>
      </c>
    </row>
    <row r="369" spans="1:31" s="18" customFormat="1" x14ac:dyDescent="0.25">
      <c r="A369" s="16">
        <f>K345</f>
        <v>-107.582908254133</v>
      </c>
      <c r="B369" s="23">
        <f>AQ345/1000000000</f>
        <v>7.1095018000000005E-4</v>
      </c>
      <c r="C369" s="24" t="str">
        <f>AO345</f>
        <v>04:-125--100</v>
      </c>
      <c r="D369" s="17">
        <f>E345</f>
        <v>0</v>
      </c>
      <c r="E369" s="17">
        <f>Z345+AA345+AB345+AC345+AD345</f>
        <v>4.9722454793463787E-3</v>
      </c>
      <c r="F369" s="23">
        <f t="shared" ref="F369:F381" si="127">D369/E369</f>
        <v>0</v>
      </c>
      <c r="G369" s="24">
        <f t="shared" ref="G369:G381" si="128">(1-(1-D369)^12)*100</f>
        <v>0</v>
      </c>
      <c r="H369" s="24">
        <f t="shared" ref="H369:H381" si="129">(1-(1-E369)^12)*100</f>
        <v>5.8061957313264356</v>
      </c>
      <c r="K369" s="16" t="e">
        <f>VLOOKUP(C369,$C$26:$M$44,9,0)</f>
        <v>#N/A</v>
      </c>
      <c r="L369" s="16" t="e">
        <f>VLOOKUP(C369,$C$26:$M$44,10,0)</f>
        <v>#N/A</v>
      </c>
      <c r="M369" s="16" t="e">
        <f>VLOOKUP(C369,$C$26:$M$44,11,0)</f>
        <v>#N/A</v>
      </c>
      <c r="N369" s="17" t="e">
        <f>Z345+AA345+AB345*K369+AC345*L369+AD345*M369</f>
        <v>#N/A</v>
      </c>
      <c r="O369" s="24" t="e">
        <f t="shared" ref="O369:O381" si="130">100*(1-(1-N369)^12)</f>
        <v>#N/A</v>
      </c>
      <c r="P369" s="25" t="e">
        <f t="shared" ref="P369:P381" si="131">D369/N369</f>
        <v>#N/A</v>
      </c>
      <c r="S369" s="19">
        <f>A369</f>
        <v>-107.582908254133</v>
      </c>
      <c r="T369" s="17">
        <f>VLOOKUP(ROUNDDOWN(S369,0),'Spline Pre-Adj'!A:B,2,0)</f>
        <v>1.022147702</v>
      </c>
      <c r="U369" s="17" t="e">
        <f>T369*K369</f>
        <v>#N/A</v>
      </c>
      <c r="Y369" s="17"/>
      <c r="Z369" s="17"/>
      <c r="AE369" s="17"/>
    </row>
    <row r="370" spans="1:31" s="18" customFormat="1" x14ac:dyDescent="0.25">
      <c r="A370" s="16">
        <f>K346</f>
        <v>-83.219819416087105</v>
      </c>
      <c r="B370" s="23">
        <f>AQ346/1000000000</f>
        <v>2.9858396099999998E-3</v>
      </c>
      <c r="C370" s="24" t="str">
        <f>AO346</f>
        <v>05:-100--75</v>
      </c>
      <c r="D370" s="17">
        <f>E346</f>
        <v>1.8160552716067701E-3</v>
      </c>
      <c r="E370" s="17">
        <f>Z346+AA346+AB346+AC346+AD346</f>
        <v>8.4427661465954814E-3</v>
      </c>
      <c r="F370" s="23">
        <f t="shared" si="127"/>
        <v>0.21510192750501428</v>
      </c>
      <c r="G370" s="24">
        <f t="shared" si="128"/>
        <v>2.1576303824957122</v>
      </c>
      <c r="H370" s="24">
        <f t="shared" si="129"/>
        <v>9.6738609190506804</v>
      </c>
      <c r="K370" s="16">
        <f t="shared" ref="K370:K384" si="132">VLOOKUP(C370,$C$26:$M$44,9,0)</f>
        <v>1</v>
      </c>
      <c r="L370" s="16">
        <f t="shared" ref="L370:L384" si="133">VLOOKUP(C370,$C$26:$M$44,10,0)</f>
        <v>1</v>
      </c>
      <c r="M370" s="16">
        <f t="shared" ref="M370:M384" si="134">VLOOKUP(C370,$C$26:$M$44,11,0)</f>
        <v>1</v>
      </c>
      <c r="N370" s="17">
        <f>Z346+AA346+AB346*K370+AC346*L370+AD346*M370</f>
        <v>8.4427661465954814E-3</v>
      </c>
      <c r="O370" s="24">
        <f t="shared" si="130"/>
        <v>9.6738609190506804</v>
      </c>
      <c r="P370" s="25">
        <f t="shared" si="131"/>
        <v>0.21510192750501428</v>
      </c>
      <c r="S370" s="19">
        <f t="shared" ref="S370:S377" si="135">A370</f>
        <v>-83.219819416087105</v>
      </c>
      <c r="T370" s="17">
        <f>VLOOKUP(ROUNDDOWN(S370,0),'Spline Pre-Adj'!A:B,2,0)</f>
        <v>1.135228248</v>
      </c>
      <c r="U370" s="17">
        <f t="shared" ref="U370:U377" si="136">T370*K370</f>
        <v>1.135228248</v>
      </c>
      <c r="X370" s="19">
        <f>A370</f>
        <v>-83.219819416087105</v>
      </c>
      <c r="Y370" s="17">
        <f>VLOOKUP(ROUNDDOWN(X370,0),'Spline Pre-Adj'!F:G,2,0)</f>
        <v>3.1256266951590402E-2</v>
      </c>
      <c r="Z370" s="17">
        <f t="shared" ref="Z370:Z381" si="137">Y370*L370</f>
        <v>3.1256266951590402E-2</v>
      </c>
      <c r="AE370" s="17"/>
    </row>
    <row r="371" spans="1:31" s="18" customFormat="1" x14ac:dyDescent="0.25">
      <c r="A371" s="16">
        <f>K347</f>
        <v>-58.362227838696299</v>
      </c>
      <c r="B371" s="23">
        <f>AQ347/1000000000</f>
        <v>5.4598129119999998E-2</v>
      </c>
      <c r="C371" s="24" t="str">
        <f>AO347</f>
        <v>06:-75--50</v>
      </c>
      <c r="D371" s="17">
        <f>E347</f>
        <v>7.6879413060304503E-3</v>
      </c>
      <c r="E371" s="17">
        <f>Z347+AA347+AB347+AC347+AD347</f>
        <v>4.4936454484625545E-3</v>
      </c>
      <c r="F371" s="23">
        <f t="shared" si="127"/>
        <v>1.7108473274545468</v>
      </c>
      <c r="G371" s="24">
        <f t="shared" si="128"/>
        <v>8.845266053677193</v>
      </c>
      <c r="H371" s="24">
        <f t="shared" si="129"/>
        <v>5.2610779618120436</v>
      </c>
      <c r="K371" s="16">
        <f t="shared" si="132"/>
        <v>1</v>
      </c>
      <c r="L371" s="16">
        <f t="shared" si="133"/>
        <v>1</v>
      </c>
      <c r="M371" s="16">
        <f t="shared" si="134"/>
        <v>1</v>
      </c>
      <c r="N371" s="17">
        <f>Z347+AA347+AB347*K371+AC347*L371+AD347*M371</f>
        <v>4.4936454484625545E-3</v>
      </c>
      <c r="O371" s="24">
        <f t="shared" si="130"/>
        <v>5.2610779618120436</v>
      </c>
      <c r="P371" s="25">
        <f t="shared" si="131"/>
        <v>1.7108473274545468</v>
      </c>
      <c r="S371" s="19">
        <f t="shared" si="135"/>
        <v>-58.362227838696299</v>
      </c>
      <c r="T371" s="17">
        <f>VLOOKUP(ROUNDDOWN(S371,0),'Spline Pre-Adj'!A:B,2,0)</f>
        <v>1.2740740479999999</v>
      </c>
      <c r="U371" s="17">
        <f t="shared" si="136"/>
        <v>1.2740740479999999</v>
      </c>
      <c r="X371" s="19">
        <f t="shared" ref="X371:X381" si="138">A371</f>
        <v>-58.362227838696299</v>
      </c>
      <c r="Y371" s="17">
        <f>VLOOKUP(ROUNDDOWN(X371,0),'Spline Pre-Adj'!F:G,2,0)</f>
        <v>0.17905591304347801</v>
      </c>
      <c r="Z371" s="17">
        <f t="shared" si="137"/>
        <v>0.17905591304347801</v>
      </c>
      <c r="AE371" s="17"/>
    </row>
    <row r="372" spans="1:31" s="18" customFormat="1" x14ac:dyDescent="0.25">
      <c r="A372" s="16">
        <f>K348</f>
        <v>-33.5047409308822</v>
      </c>
      <c r="B372" s="23">
        <f>AQ348/1000000000</f>
        <v>0.58691430655999999</v>
      </c>
      <c r="C372" s="24" t="str">
        <f>AO348</f>
        <v>07:-50--25</v>
      </c>
      <c r="D372" s="17">
        <f>E348</f>
        <v>5.2393000986796501E-3</v>
      </c>
      <c r="E372" s="17">
        <f>Z348+AA348+AB348+AC348+AD348</f>
        <v>5.875944747704781E-3</v>
      </c>
      <c r="F372" s="23">
        <f t="shared" si="127"/>
        <v>0.89165237653505636</v>
      </c>
      <c r="G372" s="24">
        <f t="shared" si="128"/>
        <v>6.1091154215680232</v>
      </c>
      <c r="H372" s="24">
        <f t="shared" si="129"/>
        <v>6.8276621405041986</v>
      </c>
      <c r="K372" s="14">
        <f t="shared" si="132"/>
        <v>1</v>
      </c>
      <c r="L372" s="14">
        <f t="shared" si="133"/>
        <v>1</v>
      </c>
      <c r="M372" s="14">
        <f t="shared" si="134"/>
        <v>1</v>
      </c>
      <c r="N372" s="17">
        <f>Z348+AA348+AB348*K372+AC348*L372+AD348*M372</f>
        <v>5.875944747704781E-3</v>
      </c>
      <c r="O372" s="24">
        <f t="shared" si="130"/>
        <v>6.8276621405041986</v>
      </c>
      <c r="P372" s="25">
        <f t="shared" si="131"/>
        <v>0.89165237653505636</v>
      </c>
      <c r="S372" s="19">
        <f t="shared" si="135"/>
        <v>-33.5047409308822</v>
      </c>
      <c r="T372" s="17">
        <f>VLOOKUP(ROUNDDOWN(S372,0),'Spline Pre-Adj'!A:B,2,0)</f>
        <v>1.2869999999999999</v>
      </c>
      <c r="U372" s="17">
        <f t="shared" si="136"/>
        <v>1.2869999999999999</v>
      </c>
      <c r="X372" s="19">
        <f t="shared" si="138"/>
        <v>-33.5047409308822</v>
      </c>
      <c r="Y372" s="17">
        <f>VLOOKUP(ROUNDDOWN(X372,0),'Spline Pre-Adj'!F:G,2,0)</f>
        <v>0.30615060763888902</v>
      </c>
      <c r="Z372" s="17">
        <f t="shared" si="137"/>
        <v>0.30615060763888902</v>
      </c>
      <c r="AC372" s="19">
        <f t="shared" ref="AC372:AC381" si="139">A372</f>
        <v>-33.5047409308822</v>
      </c>
      <c r="AD372" s="17">
        <f>VLOOKUP(ROUNDDOWN(AC372,0),'Spline Pre-Adj'!K:L,2,0)</f>
        <v>0.39387319081357403</v>
      </c>
      <c r="AE372" s="17">
        <f t="shared" ref="AE372:AE381" si="140">AD372*M372</f>
        <v>0.39387319081357403</v>
      </c>
    </row>
    <row r="373" spans="1:31" x14ac:dyDescent="0.25">
      <c r="A373" s="4">
        <f>K349</f>
        <v>-8.3611912096424508</v>
      </c>
      <c r="B373" s="3">
        <f>AQ349/1000000000</f>
        <v>4.5335627326600001</v>
      </c>
      <c r="C373" s="2" t="str">
        <f>AO349</f>
        <v>08:-25-0</v>
      </c>
      <c r="D373" s="8">
        <f>E349</f>
        <v>6.5183614926363001E-3</v>
      </c>
      <c r="E373" s="8">
        <f>Z349+AA349+AB349+AC349+AD349</f>
        <v>1.0148123754914206E-2</v>
      </c>
      <c r="F373" s="3">
        <f t="shared" si="127"/>
        <v>0.64232183702724344</v>
      </c>
      <c r="G373" s="2">
        <f t="shared" si="128"/>
        <v>7.5476108074383212</v>
      </c>
      <c r="H373" s="2">
        <f t="shared" si="129"/>
        <v>11.520526968644662</v>
      </c>
      <c r="K373" s="4">
        <f t="shared" si="132"/>
        <v>1</v>
      </c>
      <c r="L373" s="4">
        <f t="shared" si="133"/>
        <v>1</v>
      </c>
      <c r="M373" s="14">
        <f t="shared" si="134"/>
        <v>1</v>
      </c>
      <c r="N373" s="8">
        <f>Z349+AA349+AB349*K373+AC349*L373+AD349*M373</f>
        <v>1.0148123754914206E-2</v>
      </c>
      <c r="O373" s="2">
        <f t="shared" si="130"/>
        <v>11.520526968644662</v>
      </c>
      <c r="P373" s="7">
        <f t="shared" si="131"/>
        <v>0.64232183702724344</v>
      </c>
      <c r="S373" s="9">
        <f t="shared" si="135"/>
        <v>-8.3611912096424508</v>
      </c>
      <c r="T373" s="8">
        <f>VLOOKUP(ROUNDDOWN(S373,0),'Spline Pre-Adj'!A:B,2,0)</f>
        <v>1.2869999999999999</v>
      </c>
      <c r="U373" s="8">
        <f t="shared" si="136"/>
        <v>1.2869999999999999</v>
      </c>
      <c r="X373" s="9">
        <f t="shared" si="138"/>
        <v>-8.3611912096424508</v>
      </c>
      <c r="Y373" s="8">
        <f>VLOOKUP(ROUNDDOWN(X373,0),'Spline Pre-Adj'!F:G,2,0)</f>
        <v>0.53185287373913004</v>
      </c>
      <c r="Z373" s="8">
        <f t="shared" si="137"/>
        <v>0.53185287373913004</v>
      </c>
      <c r="AC373" s="9">
        <f t="shared" si="139"/>
        <v>-8.3611912096424508</v>
      </c>
      <c r="AD373" s="8">
        <f>VLOOKUP(ROUNDDOWN(AC373,0),'Spline Pre-Adj'!K:L,2,0)</f>
        <v>1.1762837415319201</v>
      </c>
      <c r="AE373" s="8">
        <f t="shared" si="140"/>
        <v>1.1762837415319201</v>
      </c>
    </row>
    <row r="374" spans="1:31" x14ac:dyDescent="0.25">
      <c r="A374" s="4">
        <f t="shared" ref="A374:A381" si="141">K350</f>
        <v>15.3277209750925</v>
      </c>
      <c r="B374" s="3">
        <f t="shared" ref="B374:B381" si="142">AQ350/1000000000</f>
        <v>23.067903005400002</v>
      </c>
      <c r="C374" s="2" t="str">
        <f t="shared" ref="C374:C381" si="143">AO350</f>
        <v>09:0-25</v>
      </c>
      <c r="D374" s="8">
        <f t="shared" ref="D374:D381" si="144">E350</f>
        <v>1.04071846735542E-2</v>
      </c>
      <c r="E374" s="8">
        <f t="shared" ref="E374:E381" si="145">Z350+AA350+AB350+AC350+AD350</f>
        <v>1.4084879671385704E-2</v>
      </c>
      <c r="F374" s="3">
        <f t="shared" si="127"/>
        <v>0.73889056323974378</v>
      </c>
      <c r="G374" s="2">
        <f t="shared" si="128"/>
        <v>11.798006158275431</v>
      </c>
      <c r="H374" s="2">
        <f t="shared" si="129"/>
        <v>15.652090026839428</v>
      </c>
      <c r="K374" s="4">
        <f t="shared" si="132"/>
        <v>1</v>
      </c>
      <c r="L374" s="4">
        <f t="shared" si="133"/>
        <v>1</v>
      </c>
      <c r="M374" s="4">
        <f t="shared" si="134"/>
        <v>1</v>
      </c>
      <c r="N374" s="8">
        <f t="shared" ref="N374:N381" si="146">Z350+AA350+AB350*K374+AC350*L374+AD350*M374</f>
        <v>1.4084879671385704E-2</v>
      </c>
      <c r="O374" s="2">
        <f t="shared" si="130"/>
        <v>15.652090026839428</v>
      </c>
      <c r="P374" s="7">
        <f t="shared" si="131"/>
        <v>0.73889056323974378</v>
      </c>
      <c r="S374" s="9">
        <f t="shared" si="135"/>
        <v>15.3277209750925</v>
      </c>
      <c r="T374" s="8">
        <f>VLOOKUP(ROUNDDOWN(S374,0),'Spline Pre-Adj'!A:B,2,0)</f>
        <v>1.2869999999999999</v>
      </c>
      <c r="U374" s="8">
        <f t="shared" si="136"/>
        <v>1.2869999999999999</v>
      </c>
      <c r="X374" s="9">
        <f t="shared" si="138"/>
        <v>15.3277209750925</v>
      </c>
      <c r="Y374" s="8">
        <f>VLOOKUP(ROUNDDOWN(X374,0),'Spline Pre-Adj'!F:G,2,0)</f>
        <v>0.98856376263664003</v>
      </c>
      <c r="Z374" s="8">
        <f t="shared" si="137"/>
        <v>0.98856376263664003</v>
      </c>
      <c r="AC374" s="9">
        <f t="shared" si="139"/>
        <v>15.3277209750925</v>
      </c>
      <c r="AD374" s="8">
        <f>VLOOKUP(ROUNDDOWN(AC374,0),'Spline Pre-Adj'!K:L,2,0)</f>
        <v>1.7164152091598801</v>
      </c>
      <c r="AE374" s="8">
        <f t="shared" si="140"/>
        <v>1.7164152091598801</v>
      </c>
    </row>
    <row r="375" spans="1:31" x14ac:dyDescent="0.25">
      <c r="A375" s="4">
        <f t="shared" si="141"/>
        <v>38.111712213331302</v>
      </c>
      <c r="B375" s="3">
        <f t="shared" si="142"/>
        <v>46.902021402759999</v>
      </c>
      <c r="C375" s="2" t="str">
        <f t="shared" si="143"/>
        <v>10:25-50</v>
      </c>
      <c r="D375" s="8">
        <f t="shared" si="144"/>
        <v>1.59623042782722E-2</v>
      </c>
      <c r="E375" s="8">
        <f t="shared" si="145"/>
        <v>1.9697503969595097E-2</v>
      </c>
      <c r="F375" s="3">
        <f t="shared" si="127"/>
        <v>0.81037192848959338</v>
      </c>
      <c r="G375" s="2">
        <f t="shared" si="128"/>
        <v>17.55946068188581</v>
      </c>
      <c r="H375" s="2">
        <f t="shared" si="129"/>
        <v>21.237172001408023</v>
      </c>
      <c r="K375" s="4">
        <f t="shared" si="132"/>
        <v>1</v>
      </c>
      <c r="L375" s="4">
        <f t="shared" si="133"/>
        <v>1</v>
      </c>
      <c r="M375" s="4">
        <f t="shared" si="134"/>
        <v>1.08</v>
      </c>
      <c r="N375" s="8">
        <f t="shared" si="146"/>
        <v>2.0994223130544887E-2</v>
      </c>
      <c r="O375" s="2">
        <f t="shared" si="130"/>
        <v>22.478341813289592</v>
      </c>
      <c r="P375" s="7">
        <f t="shared" si="131"/>
        <v>0.76031888291443117</v>
      </c>
      <c r="S375" s="9">
        <f t="shared" si="135"/>
        <v>38.111712213331302</v>
      </c>
      <c r="T375" s="8">
        <f>VLOOKUP(ROUNDDOWN(S375,0),'Spline Pre-Adj'!A:B,2,0)</f>
        <v>1.2869999999999999</v>
      </c>
      <c r="U375" s="8">
        <f t="shared" si="136"/>
        <v>1.2869999999999999</v>
      </c>
      <c r="X375" s="9">
        <f t="shared" si="138"/>
        <v>38.111712213331302</v>
      </c>
      <c r="Y375" s="8">
        <f>VLOOKUP(ROUNDDOWN(X375,0),'Spline Pre-Adj'!F:G,2,0)</f>
        <v>1.953306525895</v>
      </c>
      <c r="Z375" s="8">
        <f t="shared" si="137"/>
        <v>1.953306525895</v>
      </c>
      <c r="AC375" s="9">
        <f t="shared" si="139"/>
        <v>38.111712213331302</v>
      </c>
      <c r="AD375" s="8">
        <f>VLOOKUP(ROUNDDOWN(AC375,0),'Spline Pre-Adj'!K:L,2,0)</f>
        <v>2.46266973778858</v>
      </c>
      <c r="AE375" s="8">
        <f t="shared" si="140"/>
        <v>2.6596833168116665</v>
      </c>
    </row>
    <row r="376" spans="1:31" x14ac:dyDescent="0.25">
      <c r="A376" s="4">
        <f t="shared" si="141"/>
        <v>62.972851251297797</v>
      </c>
      <c r="B376" s="3">
        <f t="shared" si="142"/>
        <v>59.067913581470002</v>
      </c>
      <c r="C376" s="2" t="str">
        <f t="shared" si="143"/>
        <v>11:50-75</v>
      </c>
      <c r="D376" s="8">
        <f t="shared" si="144"/>
        <v>2.4424789040132702E-2</v>
      </c>
      <c r="E376" s="8">
        <f t="shared" si="145"/>
        <v>2.6159859743644823E-2</v>
      </c>
      <c r="F376" s="3">
        <f t="shared" si="127"/>
        <v>0.93367431169298865</v>
      </c>
      <c r="G376" s="2">
        <f t="shared" si="128"/>
        <v>25.675999419036689</v>
      </c>
      <c r="H376" s="2">
        <f t="shared" si="129"/>
        <v>27.246806957521674</v>
      </c>
      <c r="K376" s="4">
        <f t="shared" si="132"/>
        <v>1</v>
      </c>
      <c r="L376" s="4">
        <f t="shared" si="133"/>
        <v>1</v>
      </c>
      <c r="M376" s="4">
        <f t="shared" si="134"/>
        <v>1.21</v>
      </c>
      <c r="N376" s="8">
        <f t="shared" si="146"/>
        <v>3.0865888613470924E-2</v>
      </c>
      <c r="O376" s="2">
        <f t="shared" si="130"/>
        <v>31.355371248560836</v>
      </c>
      <c r="P376" s="7">
        <f t="shared" si="131"/>
        <v>0.79131980763621668</v>
      </c>
      <c r="S376" s="9">
        <f t="shared" si="135"/>
        <v>62.972851251297797</v>
      </c>
      <c r="T376" s="8">
        <f>VLOOKUP(ROUNDDOWN(S376,0),'Spline Pre-Adj'!A:B,2,0)</f>
        <v>1.2869999999999999</v>
      </c>
      <c r="U376" s="8">
        <f t="shared" si="136"/>
        <v>1.2869999999999999</v>
      </c>
      <c r="X376" s="9">
        <f t="shared" si="138"/>
        <v>62.972851251297797</v>
      </c>
      <c r="Y376" s="8">
        <f>VLOOKUP(ROUNDDOWN(X376,0),'Spline Pre-Adj'!F:G,2,0)</f>
        <v>3.3799457765415402</v>
      </c>
      <c r="Z376" s="8">
        <f t="shared" si="137"/>
        <v>3.3799457765415402</v>
      </c>
      <c r="AC376" s="9">
        <f t="shared" si="139"/>
        <v>62.972851251297797</v>
      </c>
      <c r="AD376" s="8">
        <f>VLOOKUP(ROUNDDOWN(AC376,0),'Spline Pre-Adj'!K:L,2,0)</f>
        <v>3.3536482047599101</v>
      </c>
      <c r="AE376" s="8">
        <f t="shared" si="140"/>
        <v>4.0579143277594909</v>
      </c>
    </row>
    <row r="377" spans="1:31" x14ac:dyDescent="0.25">
      <c r="A377" s="4">
        <f t="shared" si="141"/>
        <v>86.340781994112504</v>
      </c>
      <c r="B377" s="3">
        <f t="shared" si="142"/>
        <v>52.625296077580003</v>
      </c>
      <c r="C377" s="2" t="str">
        <f t="shared" si="143"/>
        <v>12:75-100</v>
      </c>
      <c r="D377" s="8">
        <f t="shared" si="144"/>
        <v>3.10435928074204E-2</v>
      </c>
      <c r="E377" s="8">
        <f t="shared" si="145"/>
        <v>3.1617260840841391E-2</v>
      </c>
      <c r="F377" s="3">
        <f t="shared" si="127"/>
        <v>0.98185585916791507</v>
      </c>
      <c r="G377" s="2">
        <f t="shared" si="128"/>
        <v>31.506262362421911</v>
      </c>
      <c r="H377" s="2">
        <f t="shared" si="129"/>
        <v>31.991299325873999</v>
      </c>
      <c r="K377" s="4">
        <f t="shared" si="132"/>
        <v>1</v>
      </c>
      <c r="L377" s="4">
        <f t="shared" si="133"/>
        <v>1</v>
      </c>
      <c r="M377" s="4">
        <f t="shared" si="134"/>
        <v>1.24</v>
      </c>
      <c r="N377" s="8">
        <f t="shared" si="146"/>
        <v>3.8274951865268962E-2</v>
      </c>
      <c r="O377" s="2">
        <f t="shared" si="130"/>
        <v>37.394695999028293</v>
      </c>
      <c r="P377" s="7">
        <f t="shared" si="131"/>
        <v>0.81106810837271459</v>
      </c>
      <c r="S377" s="9">
        <f t="shared" si="135"/>
        <v>86.340781994112504</v>
      </c>
      <c r="T377" s="8">
        <f>VLOOKUP(ROUNDDOWN(S377,0),'Spline Pre-Adj'!A:B,2,0)</f>
        <v>1.2869999999999999</v>
      </c>
      <c r="U377" s="8">
        <f t="shared" si="136"/>
        <v>1.2869999999999999</v>
      </c>
      <c r="X377" s="9">
        <f t="shared" si="138"/>
        <v>86.340781994112504</v>
      </c>
      <c r="Y377" s="8">
        <f>VLOOKUP(ROUNDDOWN(X377,0),'Spline Pre-Adj'!F:G,2,0)</f>
        <v>4.7646640542534699</v>
      </c>
      <c r="Z377" s="8">
        <f t="shared" si="137"/>
        <v>4.7646640542534699</v>
      </c>
      <c r="AC377" s="9">
        <f t="shared" si="139"/>
        <v>86.340781994112504</v>
      </c>
      <c r="AD377" s="8">
        <f>VLOOKUP(ROUNDDOWN(AC377,0),'Spline Pre-Adj'!K:L,2,0)</f>
        <v>4.1191352784208304</v>
      </c>
      <c r="AE377" s="8">
        <f t="shared" si="140"/>
        <v>5.1077277452418297</v>
      </c>
    </row>
    <row r="378" spans="1:31" x14ac:dyDescent="0.25">
      <c r="A378" s="4">
        <f t="shared" si="141"/>
        <v>111.620461991638</v>
      </c>
      <c r="B378" s="3">
        <f t="shared" si="142"/>
        <v>30.21546642553</v>
      </c>
      <c r="C378" s="2" t="str">
        <f t="shared" si="143"/>
        <v>13:100-125</v>
      </c>
      <c r="D378" s="8">
        <f t="shared" si="144"/>
        <v>3.5513385174712003E-2</v>
      </c>
      <c r="E378" s="8">
        <f t="shared" si="145"/>
        <v>3.5973973803392442E-2</v>
      </c>
      <c r="F378" s="3">
        <f t="shared" si="127"/>
        <v>0.98719661521972302</v>
      </c>
      <c r="G378" s="2">
        <f t="shared" si="128"/>
        <v>35.203065759167515</v>
      </c>
      <c r="H378" s="2">
        <f t="shared" si="129"/>
        <v>35.573415758923652</v>
      </c>
      <c r="K378" s="4">
        <f t="shared" si="132"/>
        <v>1</v>
      </c>
      <c r="L378" s="4">
        <f t="shared" si="133"/>
        <v>1</v>
      </c>
      <c r="M378" s="4">
        <f t="shared" si="134"/>
        <v>1.17</v>
      </c>
      <c r="N378" s="8">
        <f t="shared" si="146"/>
        <v>4.1389342258583074E-2</v>
      </c>
      <c r="O378" s="2">
        <f t="shared" si="130"/>
        <v>39.78467461003158</v>
      </c>
      <c r="P378" s="7">
        <f t="shared" si="131"/>
        <v>0.85803212220284675</v>
      </c>
      <c r="S378" s="9">
        <f>A378</f>
        <v>111.620461991638</v>
      </c>
      <c r="T378" s="8">
        <f>VLOOKUP(ROUNDDOWN(S378,0),'Spline Pre-Adj'!A:B,2,0)</f>
        <v>1.2869999999999999</v>
      </c>
      <c r="U378" s="8">
        <f>T378*K378</f>
        <v>1.2869999999999999</v>
      </c>
      <c r="X378" s="9">
        <f t="shared" si="138"/>
        <v>111.620461991638</v>
      </c>
      <c r="Y378" s="8">
        <f>VLOOKUP(ROUNDDOWN(X378,0),'Spline Pre-Adj'!F:G,2,0)</f>
        <v>6.2168084690133298</v>
      </c>
      <c r="Z378" s="8">
        <f t="shared" si="137"/>
        <v>6.2168084690133298</v>
      </c>
      <c r="AC378" s="9">
        <f t="shared" si="139"/>
        <v>111.620461991638</v>
      </c>
      <c r="AD378" s="8">
        <f>VLOOKUP(ROUNDDOWN(AC378,0),'Spline Pre-Adj'!K:L,2,0)</f>
        <v>4.7299139704548203</v>
      </c>
      <c r="AE378" s="8">
        <f t="shared" si="140"/>
        <v>5.5339993454321394</v>
      </c>
    </row>
    <row r="379" spans="1:31" x14ac:dyDescent="0.25">
      <c r="A379" s="4">
        <f t="shared" si="141"/>
        <v>134.928554450935</v>
      </c>
      <c r="B379" s="3">
        <f t="shared" si="142"/>
        <v>14.09095427115</v>
      </c>
      <c r="C379" s="2" t="str">
        <f t="shared" si="143"/>
        <v>14:125-150</v>
      </c>
      <c r="D379" s="8">
        <f t="shared" si="144"/>
        <v>3.5626182891834501E-2</v>
      </c>
      <c r="E379" s="8">
        <f t="shared" si="145"/>
        <v>3.9976882250913129E-2</v>
      </c>
      <c r="F379" s="3">
        <f t="shared" si="127"/>
        <v>0.8911696181865395</v>
      </c>
      <c r="G379" s="2">
        <f t="shared" si="128"/>
        <v>35.29394411836855</v>
      </c>
      <c r="H379" s="2">
        <f t="shared" si="129"/>
        <v>38.711316333769375</v>
      </c>
      <c r="K379" s="4">
        <f t="shared" si="132"/>
        <v>1</v>
      </c>
      <c r="L379" s="4">
        <f t="shared" si="133"/>
        <v>1</v>
      </c>
      <c r="M379" s="4">
        <f t="shared" si="134"/>
        <v>1.1000000000000001</v>
      </c>
      <c r="N379" s="8">
        <f t="shared" si="146"/>
        <v>4.3551332078868313E-2</v>
      </c>
      <c r="O379" s="2">
        <f t="shared" si="130"/>
        <v>41.394280829530302</v>
      </c>
      <c r="P379" s="7">
        <f t="shared" si="131"/>
        <v>0.81802739873301833</v>
      </c>
      <c r="X379" s="9">
        <f t="shared" si="138"/>
        <v>134.928554450935</v>
      </c>
      <c r="Y379" s="8">
        <f>VLOOKUP(ROUNDDOWN(X379,0),'Spline Pre-Adj'!F:G,2,0)</f>
        <v>7.60662891263856</v>
      </c>
      <c r="Z379" s="8">
        <f t="shared" si="137"/>
        <v>7.60662891263856</v>
      </c>
      <c r="AC379" s="9">
        <f t="shared" si="139"/>
        <v>134.928554450935</v>
      </c>
      <c r="AD379" s="8">
        <f>VLOOKUP(ROUNDDOWN(AC379,0),'Spline Pre-Adj'!K:L,2,0)</f>
        <v>5.2051069926153799</v>
      </c>
      <c r="AE379" s="8">
        <f t="shared" si="140"/>
        <v>5.7256176918769182</v>
      </c>
    </row>
    <row r="380" spans="1:31" x14ac:dyDescent="0.25">
      <c r="A380" s="4">
        <f t="shared" si="141"/>
        <v>160.59355514797099</v>
      </c>
      <c r="B380" s="3">
        <f t="shared" si="142"/>
        <v>3.4402365930700003</v>
      </c>
      <c r="C380" s="2" t="str">
        <f t="shared" si="143"/>
        <v>15:150-175</v>
      </c>
      <c r="D380" s="8">
        <f t="shared" si="144"/>
        <v>3.4140254306829702E-2</v>
      </c>
      <c r="E380" s="8">
        <f t="shared" si="145"/>
        <v>4.3080678872833761E-2</v>
      </c>
      <c r="F380" s="3">
        <f t="shared" si="127"/>
        <v>0.79247252364814058</v>
      </c>
      <c r="G380" s="2">
        <f t="shared" si="128"/>
        <v>34.087346563707968</v>
      </c>
      <c r="H380" s="2">
        <f t="shared" si="129"/>
        <v>41.047275344615464</v>
      </c>
      <c r="K380" s="4">
        <f t="shared" si="132"/>
        <v>1</v>
      </c>
      <c r="L380" s="4">
        <f t="shared" si="133"/>
        <v>1</v>
      </c>
      <c r="M380" s="4">
        <f t="shared" si="134"/>
        <v>1.05</v>
      </c>
      <c r="N380" s="8">
        <f t="shared" si="146"/>
        <v>4.5010941186005786E-2</v>
      </c>
      <c r="O380" s="2">
        <f t="shared" si="130"/>
        <v>42.45855663766315</v>
      </c>
      <c r="P380" s="7">
        <f t="shared" si="131"/>
        <v>0.75848790110267994</v>
      </c>
      <c r="X380" s="9">
        <f t="shared" si="138"/>
        <v>160.59355514797099</v>
      </c>
      <c r="Y380" s="8">
        <f>VLOOKUP(ROUNDDOWN(X380,0),'Spline Pre-Adj'!F:G,2,0)</f>
        <v>8.7434835551418502</v>
      </c>
      <c r="Z380" s="8">
        <f t="shared" si="137"/>
        <v>8.7434835551418502</v>
      </c>
      <c r="AC380" s="9">
        <f t="shared" si="139"/>
        <v>160.59355514797099</v>
      </c>
      <c r="AD380" s="8">
        <f>VLOOKUP(ROUNDDOWN(AC380,0),'Spline Pre-Adj'!K:L,2,0)</f>
        <v>5.6662697466415004</v>
      </c>
      <c r="AE380" s="8">
        <f t="shared" si="140"/>
        <v>5.9495832339735752</v>
      </c>
    </row>
    <row r="381" spans="1:31" x14ac:dyDescent="0.25">
      <c r="A381" s="4">
        <f t="shared" si="141"/>
        <v>182.55437546943199</v>
      </c>
      <c r="B381" s="3">
        <f t="shared" si="142"/>
        <v>0.82784398796000003</v>
      </c>
      <c r="C381" s="2" t="str">
        <f t="shared" si="143"/>
        <v>16:175-200</v>
      </c>
      <c r="D381" s="8">
        <f t="shared" si="144"/>
        <v>3.3626457099512501E-2</v>
      </c>
      <c r="E381" s="8">
        <f t="shared" si="145"/>
        <v>4.675458679182639E-2</v>
      </c>
      <c r="F381" s="3">
        <f t="shared" si="127"/>
        <v>0.71921194062164306</v>
      </c>
      <c r="G381" s="2">
        <f t="shared" si="128"/>
        <v>33.665359871941824</v>
      </c>
      <c r="H381" s="2">
        <f t="shared" si="129"/>
        <v>43.706702291598717</v>
      </c>
      <c r="K381" s="4">
        <f t="shared" si="132"/>
        <v>1</v>
      </c>
      <c r="L381" s="4">
        <f t="shared" si="133"/>
        <v>1</v>
      </c>
      <c r="M381" s="4">
        <f t="shared" si="134"/>
        <v>1.01</v>
      </c>
      <c r="N381" s="8">
        <f t="shared" si="146"/>
        <v>4.7175311218502734E-2</v>
      </c>
      <c r="O381" s="2">
        <f t="shared" si="130"/>
        <v>44.004126949118593</v>
      </c>
      <c r="P381" s="7">
        <f t="shared" si="131"/>
        <v>0.71279777983369808</v>
      </c>
      <c r="X381" s="9">
        <f t="shared" si="138"/>
        <v>182.55437546943199</v>
      </c>
      <c r="Y381" s="8">
        <f>VLOOKUP(ROUNDDOWN(X381,0),'Spline Pre-Adj'!F:G,2,0)</f>
        <v>8.8893165458857606</v>
      </c>
      <c r="Z381" s="8">
        <f t="shared" si="137"/>
        <v>8.8893165458857606</v>
      </c>
      <c r="AC381" s="9">
        <f t="shared" si="139"/>
        <v>182.55437546943199</v>
      </c>
      <c r="AD381" s="8">
        <f>VLOOKUP(ROUNDDOWN(AC381,0),'Spline Pre-Adj'!K:L,2,0)</f>
        <v>6.0126180729972596</v>
      </c>
      <c r="AE381" s="8">
        <f t="shared" si="140"/>
        <v>6.0727442537272323</v>
      </c>
    </row>
    <row r="382" spans="1:31" x14ac:dyDescent="0.25">
      <c r="A382" s="4"/>
      <c r="B382" s="3"/>
      <c r="C382" s="2"/>
      <c r="D382" s="8"/>
      <c r="E382" s="8"/>
      <c r="F382" s="3"/>
      <c r="G382" s="2"/>
      <c r="H382" s="2"/>
      <c r="K382" s="16" t="e">
        <f t="shared" si="132"/>
        <v>#N/A</v>
      </c>
      <c r="L382" s="16" t="e">
        <f t="shared" si="133"/>
        <v>#N/A</v>
      </c>
      <c r="M382" s="16" t="e">
        <f t="shared" si="134"/>
        <v>#N/A</v>
      </c>
      <c r="N382" s="8"/>
      <c r="O382" s="2"/>
      <c r="P382" s="7"/>
      <c r="X382" s="9"/>
      <c r="Y382" s="8"/>
      <c r="Z382" s="8"/>
      <c r="AC382" s="9"/>
      <c r="AD382" s="8"/>
      <c r="AE382" s="8"/>
    </row>
    <row r="383" spans="1:31" s="18" customFormat="1" x14ac:dyDescent="0.25">
      <c r="A383" s="16"/>
      <c r="B383" s="23"/>
      <c r="C383" s="24"/>
      <c r="D383" s="17"/>
      <c r="E383" s="17"/>
      <c r="F383" s="23"/>
      <c r="G383" s="24"/>
      <c r="H383" s="24"/>
      <c r="K383" s="16" t="e">
        <f t="shared" si="132"/>
        <v>#N/A</v>
      </c>
      <c r="L383" s="16" t="e">
        <f t="shared" si="133"/>
        <v>#N/A</v>
      </c>
      <c r="M383" s="16" t="e">
        <f t="shared" si="134"/>
        <v>#N/A</v>
      </c>
      <c r="N383" s="17"/>
      <c r="O383" s="24"/>
      <c r="P383" s="25"/>
      <c r="X383" s="19"/>
      <c r="Y383" s="17"/>
      <c r="Z383" s="17"/>
      <c r="AC383" s="19"/>
      <c r="AD383" s="17"/>
      <c r="AE383" s="17"/>
    </row>
    <row r="384" spans="1:31" s="18" customFormat="1" x14ac:dyDescent="0.25">
      <c r="A384" s="16"/>
      <c r="B384" s="23"/>
      <c r="C384" s="24"/>
      <c r="D384" s="17"/>
      <c r="E384" s="17"/>
      <c r="F384" s="23"/>
      <c r="G384" s="24"/>
      <c r="H384" s="24"/>
      <c r="K384" s="16" t="e">
        <f t="shared" si="132"/>
        <v>#N/A</v>
      </c>
      <c r="L384" s="16" t="e">
        <f t="shared" si="133"/>
        <v>#N/A</v>
      </c>
      <c r="M384" s="27" t="e">
        <f t="shared" si="134"/>
        <v>#N/A</v>
      </c>
      <c r="N384" s="17"/>
      <c r="O384" s="24"/>
      <c r="P384" s="25"/>
      <c r="X384" s="19"/>
      <c r="Y384" s="17"/>
      <c r="Z384" s="17"/>
      <c r="AC384" s="19"/>
      <c r="AD384" s="17"/>
      <c r="AE384" s="17"/>
    </row>
    <row r="385" spans="1:31" s="18" customFormat="1" x14ac:dyDescent="0.25">
      <c r="A385" s="16"/>
      <c r="B385" s="23"/>
      <c r="C385" s="24"/>
      <c r="D385" s="17"/>
      <c r="E385" s="17"/>
      <c r="F385" s="23"/>
      <c r="G385" s="24"/>
      <c r="H385" s="24"/>
      <c r="K385" s="16"/>
      <c r="L385" s="16"/>
      <c r="M385" s="27"/>
      <c r="N385" s="17"/>
      <c r="O385" s="24"/>
      <c r="P385" s="25"/>
      <c r="X385" s="19"/>
      <c r="Y385" s="17"/>
      <c r="Z385" s="17"/>
      <c r="AC385" s="19"/>
      <c r="AD385" s="17"/>
      <c r="AE385" s="17"/>
    </row>
    <row r="388" spans="1:31" s="32" customFormat="1" x14ac:dyDescent="0.25"/>
    <row r="392" spans="1:31" x14ac:dyDescent="0.25">
      <c r="C392" t="s">
        <v>59</v>
      </c>
      <c r="D392" t="str">
        <f>C199</f>
        <v>Broker</v>
      </c>
      <c r="E392" t="str">
        <f>C247</f>
        <v>CORRES</v>
      </c>
      <c r="F392" t="str">
        <f>C295</f>
        <v>CashWindow</v>
      </c>
      <c r="G392" t="str">
        <f>C343</f>
        <v>NonCashWindow</v>
      </c>
    </row>
    <row r="393" spans="1:31" x14ac:dyDescent="0.25">
      <c r="C393" t="s">
        <v>64</v>
      </c>
      <c r="D393" t="e">
        <f>VLOOKUP(C393,$C$224:$H$237,5,0)</f>
        <v>#N/A</v>
      </c>
      <c r="E393">
        <f>VLOOKUP(C393,$C$272:$H$285,5,0)</f>
        <v>1.2100204682674587E-5</v>
      </c>
      <c r="F393">
        <f>VLOOKUP(C393,$C$320:$H$333,5,0)</f>
        <v>0</v>
      </c>
      <c r="G393">
        <f>VLOOKUP(C393,$C$368:$H$381,5,0)</f>
        <v>0</v>
      </c>
    </row>
    <row r="394" spans="1:31" x14ac:dyDescent="0.25">
      <c r="C394" t="s">
        <v>65</v>
      </c>
      <c r="D394" t="e">
        <f t="shared" ref="D394:D405" si="147">VLOOKUP(C394,$C$224:$H$237,5,0)</f>
        <v>#N/A</v>
      </c>
      <c r="E394">
        <f t="shared" ref="E394:E405" si="148">VLOOKUP(C394,$C$272:$H$285,5,0)</f>
        <v>7.9358739953947595</v>
      </c>
      <c r="F394">
        <f t="shared" ref="F394:F405" si="149">VLOOKUP(C394,$C$320:$H$333,5,0)</f>
        <v>12.107776852550668</v>
      </c>
      <c r="G394">
        <f t="shared" ref="G394:G405" si="150">VLOOKUP(C394,$C$368:$H$381,5,0)</f>
        <v>2.1576303824957122</v>
      </c>
    </row>
    <row r="395" spans="1:31" x14ac:dyDescent="0.25">
      <c r="C395" t="s">
        <v>66</v>
      </c>
      <c r="D395">
        <f t="shared" si="147"/>
        <v>3.4080264717968878</v>
      </c>
      <c r="E395">
        <f t="shared" si="148"/>
        <v>1.8301087366494606</v>
      </c>
      <c r="F395">
        <f t="shared" si="149"/>
        <v>27.432197884991893</v>
      </c>
      <c r="G395">
        <f t="shared" si="150"/>
        <v>8.845266053677193</v>
      </c>
    </row>
    <row r="396" spans="1:31" x14ac:dyDescent="0.25">
      <c r="C396" t="s">
        <v>67</v>
      </c>
      <c r="D396">
        <f t="shared" si="147"/>
        <v>2.6756425653229554</v>
      </c>
      <c r="E396">
        <f t="shared" si="148"/>
        <v>3.4070806667749864</v>
      </c>
      <c r="F396">
        <f t="shared" si="149"/>
        <v>2.6971999783365286</v>
      </c>
      <c r="G396">
        <f t="shared" si="150"/>
        <v>6.1091154215680232</v>
      </c>
    </row>
    <row r="397" spans="1:31" x14ac:dyDescent="0.25">
      <c r="C397" t="s">
        <v>68</v>
      </c>
      <c r="D397">
        <f t="shared" si="147"/>
        <v>14.515442637879495</v>
      </c>
      <c r="E397">
        <f t="shared" si="148"/>
        <v>8.6866820253213799</v>
      </c>
      <c r="F397">
        <f t="shared" si="149"/>
        <v>10.270991707432175</v>
      </c>
      <c r="G397">
        <f t="shared" si="150"/>
        <v>7.5476108074383212</v>
      </c>
    </row>
    <row r="398" spans="1:31" x14ac:dyDescent="0.25">
      <c r="C398" t="s">
        <v>69</v>
      </c>
      <c r="D398">
        <f t="shared" si="147"/>
        <v>27.05031859673861</v>
      </c>
      <c r="E398">
        <f t="shared" si="148"/>
        <v>18.623371498250151</v>
      </c>
      <c r="F398">
        <f t="shared" si="149"/>
        <v>18.571484040300057</v>
      </c>
      <c r="G398">
        <f t="shared" si="150"/>
        <v>11.798006158275431</v>
      </c>
    </row>
    <row r="399" spans="1:31" x14ac:dyDescent="0.25">
      <c r="C399" t="s">
        <v>71</v>
      </c>
      <c r="D399">
        <f t="shared" si="147"/>
        <v>39.513548144822266</v>
      </c>
      <c r="E399">
        <f t="shared" si="148"/>
        <v>30.174218473375369</v>
      </c>
      <c r="F399">
        <f t="shared" si="149"/>
        <v>30.160270358457154</v>
      </c>
      <c r="G399">
        <f t="shared" si="150"/>
        <v>17.55946068188581</v>
      </c>
    </row>
    <row r="400" spans="1:31" x14ac:dyDescent="0.25">
      <c r="C400" t="s">
        <v>73</v>
      </c>
      <c r="D400">
        <f t="shared" si="147"/>
        <v>47.214702074901403</v>
      </c>
      <c r="E400">
        <f t="shared" si="148"/>
        <v>38.016294907704427</v>
      </c>
      <c r="F400">
        <f t="shared" si="149"/>
        <v>40.148690228741756</v>
      </c>
      <c r="G400">
        <f t="shared" si="150"/>
        <v>25.675999419036689</v>
      </c>
    </row>
    <row r="401" spans="3:7" x14ac:dyDescent="0.25">
      <c r="C401" t="s">
        <v>75</v>
      </c>
      <c r="D401">
        <f t="shared" si="147"/>
        <v>45.766741434565049</v>
      </c>
      <c r="E401">
        <f t="shared" si="148"/>
        <v>42.414665854834354</v>
      </c>
      <c r="F401">
        <f t="shared" si="149"/>
        <v>42.720470590534674</v>
      </c>
      <c r="G401">
        <f t="shared" si="150"/>
        <v>31.506262362421911</v>
      </c>
    </row>
    <row r="402" spans="3:7" x14ac:dyDescent="0.25">
      <c r="C402" t="s">
        <v>77</v>
      </c>
      <c r="D402">
        <f t="shared" si="147"/>
        <v>45.909203181044674</v>
      </c>
      <c r="E402">
        <f t="shared" si="148"/>
        <v>42.852394616922126</v>
      </c>
      <c r="F402">
        <f t="shared" si="149"/>
        <v>43.680267125954742</v>
      </c>
      <c r="G402">
        <f t="shared" si="150"/>
        <v>35.203065759167515</v>
      </c>
    </row>
    <row r="403" spans="3:7" x14ac:dyDescent="0.25">
      <c r="C403" t="s">
        <v>79</v>
      </c>
      <c r="D403">
        <f t="shared" si="147"/>
        <v>46.476872003021043</v>
      </c>
      <c r="E403">
        <f t="shared" si="148"/>
        <v>44.798998302592217</v>
      </c>
      <c r="F403">
        <f t="shared" si="149"/>
        <v>42.101363524771784</v>
      </c>
      <c r="G403">
        <f t="shared" si="150"/>
        <v>35.29394411836855</v>
      </c>
    </row>
    <row r="404" spans="3:7" x14ac:dyDescent="0.25">
      <c r="C404" t="s">
        <v>81</v>
      </c>
      <c r="D404">
        <f t="shared" si="147"/>
        <v>44.242835662966016</v>
      </c>
      <c r="E404">
        <f t="shared" si="148"/>
        <v>41.969116557867217</v>
      </c>
      <c r="F404">
        <f t="shared" si="149"/>
        <v>43.882881380966985</v>
      </c>
      <c r="G404">
        <f t="shared" si="150"/>
        <v>34.087346563707968</v>
      </c>
    </row>
    <row r="405" spans="3:7" x14ac:dyDescent="0.25">
      <c r="C405" t="s">
        <v>83</v>
      </c>
      <c r="D405">
        <f t="shared" si="147"/>
        <v>53.130436470808448</v>
      </c>
      <c r="E405">
        <f t="shared" si="148"/>
        <v>48.614261930598261</v>
      </c>
      <c r="F405" t="e">
        <f t="shared" si="149"/>
        <v>#N/A</v>
      </c>
      <c r="G405">
        <f t="shared" si="150"/>
        <v>33.665359871941824</v>
      </c>
    </row>
    <row r="408" spans="3:7" s="32" customFormat="1" x14ac:dyDescent="0.25"/>
  </sheetData>
  <conditionalFormatting sqref="F164:F173">
    <cfRule type="colorScale" priority="27">
      <colorScale>
        <cfvo type="min"/>
        <cfvo type="num" val="1"/>
        <cfvo type="max"/>
        <color rgb="FFF8696B"/>
        <color theme="0"/>
        <color theme="4"/>
      </colorScale>
    </cfRule>
  </conditionalFormatting>
  <conditionalFormatting sqref="P164:P173">
    <cfRule type="colorScale" priority="26">
      <colorScale>
        <cfvo type="min"/>
        <cfvo type="num" val="1"/>
        <cfvo type="max"/>
        <color rgb="FFF8696B"/>
        <color theme="0"/>
        <color theme="4"/>
      </colorScale>
    </cfRule>
  </conditionalFormatting>
  <conditionalFormatting sqref="AQ135">
    <cfRule type="dataBar" priority="31">
      <dataBar>
        <cfvo type="min"/>
        <cfvo type="max"/>
        <color rgb="FF638EC6"/>
      </dataBar>
      <extLst>
        <ext xmlns:x14="http://schemas.microsoft.com/office/spreadsheetml/2009/9/main" uri="{B025F937-C7B1-47D3-B67F-A62EFF666E3E}">
          <x14:id>{7F887866-3709-4557-B367-E276FB81D8F0}</x14:id>
        </ext>
      </extLst>
    </cfRule>
  </conditionalFormatting>
  <conditionalFormatting sqref="B160:B176">
    <cfRule type="dataBar" priority="32">
      <dataBar>
        <cfvo type="min"/>
        <cfvo type="max"/>
        <color rgb="FF638EC6"/>
      </dataBar>
      <extLst>
        <ext xmlns:x14="http://schemas.microsoft.com/office/spreadsheetml/2009/9/main" uri="{B025F937-C7B1-47D3-B67F-A62EFF666E3E}">
          <x14:id>{3BB78279-90DE-4177-B88A-2B785057A913}</x14:id>
        </ext>
      </extLst>
    </cfRule>
  </conditionalFormatting>
  <conditionalFormatting sqref="F31:F40">
    <cfRule type="colorScale" priority="23">
      <colorScale>
        <cfvo type="min"/>
        <cfvo type="num" val="1"/>
        <cfvo type="max"/>
        <color rgb="FFF8696B"/>
        <color theme="0"/>
        <color theme="4"/>
      </colorScale>
    </cfRule>
  </conditionalFormatting>
  <conditionalFormatting sqref="P31:P40">
    <cfRule type="colorScale" priority="22">
      <colorScale>
        <cfvo type="min"/>
        <cfvo type="num" val="1"/>
        <cfvo type="max"/>
        <color rgb="FFF8696B"/>
        <color theme="0"/>
        <color theme="4"/>
      </colorScale>
    </cfRule>
  </conditionalFormatting>
  <conditionalFormatting sqref="AQ2:AQ17">
    <cfRule type="dataBar" priority="24">
      <dataBar>
        <cfvo type="min"/>
        <cfvo type="max"/>
        <color rgb="FF638EC6"/>
      </dataBar>
      <extLst>
        <ext xmlns:x14="http://schemas.microsoft.com/office/spreadsheetml/2009/9/main" uri="{B025F937-C7B1-47D3-B67F-A62EFF666E3E}">
          <x14:id>{9599D91F-38C6-4B2E-840A-5A1DEA62A1D2}</x14:id>
        </ext>
      </extLst>
    </cfRule>
  </conditionalFormatting>
  <conditionalFormatting sqref="B27:B41">
    <cfRule type="dataBar" priority="25">
      <dataBar>
        <cfvo type="min"/>
        <cfvo type="max"/>
        <color rgb="FF638EC6"/>
      </dataBar>
      <extLst>
        <ext xmlns:x14="http://schemas.microsoft.com/office/spreadsheetml/2009/9/main" uri="{B025F937-C7B1-47D3-B67F-A62EFF666E3E}">
          <x14:id>{42A8A8F2-34A5-4828-A1A9-7E42C16B17B3}</x14:id>
        </ext>
      </extLst>
    </cfRule>
  </conditionalFormatting>
  <conditionalFormatting sqref="F229:F238">
    <cfRule type="colorScale" priority="19">
      <colorScale>
        <cfvo type="min"/>
        <cfvo type="num" val="1"/>
        <cfvo type="max"/>
        <color rgb="FFF8696B"/>
        <color theme="0"/>
        <color theme="4"/>
      </colorScale>
    </cfRule>
  </conditionalFormatting>
  <conditionalFormatting sqref="P229:P238">
    <cfRule type="colorScale" priority="18">
      <colorScale>
        <cfvo type="min"/>
        <cfvo type="num" val="1"/>
        <cfvo type="max"/>
        <color rgb="FFF8696B"/>
        <color theme="0"/>
        <color theme="4"/>
      </colorScale>
    </cfRule>
  </conditionalFormatting>
  <conditionalFormatting sqref="AQ200:AQ217">
    <cfRule type="dataBar" priority="20">
      <dataBar>
        <cfvo type="min"/>
        <cfvo type="max"/>
        <color rgb="FF638EC6"/>
      </dataBar>
      <extLst>
        <ext xmlns:x14="http://schemas.microsoft.com/office/spreadsheetml/2009/9/main" uri="{B025F937-C7B1-47D3-B67F-A62EFF666E3E}">
          <x14:id>{EDD8EF9A-B2D9-44E3-962F-C73E68172746}</x14:id>
        </ext>
      </extLst>
    </cfRule>
  </conditionalFormatting>
  <conditionalFormatting sqref="B225:B241">
    <cfRule type="dataBar" priority="21">
      <dataBar>
        <cfvo type="min"/>
        <cfvo type="max"/>
        <color rgb="FF638EC6"/>
      </dataBar>
      <extLst>
        <ext xmlns:x14="http://schemas.microsoft.com/office/spreadsheetml/2009/9/main" uri="{B025F937-C7B1-47D3-B67F-A62EFF666E3E}">
          <x14:id>{C904432E-DD04-4DFB-B75A-E7350122324C}</x14:id>
        </ext>
      </extLst>
    </cfRule>
  </conditionalFormatting>
  <conditionalFormatting sqref="AQ136:AQ152">
    <cfRule type="dataBar" priority="17">
      <dataBar>
        <cfvo type="min"/>
        <cfvo type="max"/>
        <color rgb="FF638EC6"/>
      </dataBar>
      <extLst>
        <ext xmlns:x14="http://schemas.microsoft.com/office/spreadsheetml/2009/9/main" uri="{B025F937-C7B1-47D3-B67F-A62EFF666E3E}">
          <x14:id>{D7E0C1F3-B4BB-4E85-9243-C78DCE4A164C}</x14:id>
        </ext>
      </extLst>
    </cfRule>
  </conditionalFormatting>
  <conditionalFormatting sqref="F277:F286">
    <cfRule type="colorScale" priority="14">
      <colorScale>
        <cfvo type="min"/>
        <cfvo type="num" val="1"/>
        <cfvo type="max"/>
        <color rgb="FFF8696B"/>
        <color theme="0"/>
        <color theme="4"/>
      </colorScale>
    </cfRule>
  </conditionalFormatting>
  <conditionalFormatting sqref="P277:P286">
    <cfRule type="colorScale" priority="13">
      <colorScale>
        <cfvo type="min"/>
        <cfvo type="num" val="1"/>
        <cfvo type="max"/>
        <color rgb="FFF8696B"/>
        <color theme="0"/>
        <color theme="4"/>
      </colorScale>
    </cfRule>
  </conditionalFormatting>
  <conditionalFormatting sqref="AQ248:AQ265">
    <cfRule type="dataBar" priority="15">
      <dataBar>
        <cfvo type="min"/>
        <cfvo type="max"/>
        <color rgb="FF638EC6"/>
      </dataBar>
      <extLst>
        <ext xmlns:x14="http://schemas.microsoft.com/office/spreadsheetml/2009/9/main" uri="{B025F937-C7B1-47D3-B67F-A62EFF666E3E}">
          <x14:id>{58721753-FCA5-4163-B808-4836FE25B41E}</x14:id>
        </ext>
      </extLst>
    </cfRule>
  </conditionalFormatting>
  <conditionalFormatting sqref="B273:B289">
    <cfRule type="dataBar" priority="16">
      <dataBar>
        <cfvo type="min"/>
        <cfvo type="max"/>
        <color rgb="FF638EC6"/>
      </dataBar>
      <extLst>
        <ext xmlns:x14="http://schemas.microsoft.com/office/spreadsheetml/2009/9/main" uri="{B025F937-C7B1-47D3-B67F-A62EFF666E3E}">
          <x14:id>{45E7EDEF-5D81-4277-BD59-13AC2CE14DCE}</x14:id>
        </ext>
      </extLst>
    </cfRule>
  </conditionalFormatting>
  <conditionalFormatting sqref="F325:F334">
    <cfRule type="colorScale" priority="10">
      <colorScale>
        <cfvo type="min"/>
        <cfvo type="num" val="1"/>
        <cfvo type="max"/>
        <color rgb="FFF8696B"/>
        <color theme="0"/>
        <color theme="4"/>
      </colorScale>
    </cfRule>
  </conditionalFormatting>
  <conditionalFormatting sqref="P325:P334">
    <cfRule type="colorScale" priority="9">
      <colorScale>
        <cfvo type="min"/>
        <cfvo type="num" val="1"/>
        <cfvo type="max"/>
        <color rgb="FFF8696B"/>
        <color theme="0"/>
        <color theme="4"/>
      </colorScale>
    </cfRule>
  </conditionalFormatting>
  <conditionalFormatting sqref="AQ296:AQ313">
    <cfRule type="dataBar" priority="11">
      <dataBar>
        <cfvo type="min"/>
        <cfvo type="max"/>
        <color rgb="FF638EC6"/>
      </dataBar>
      <extLst>
        <ext xmlns:x14="http://schemas.microsoft.com/office/spreadsheetml/2009/9/main" uri="{B025F937-C7B1-47D3-B67F-A62EFF666E3E}">
          <x14:id>{5A555050-4D45-48D9-BEA5-3F9EB37FAC30}</x14:id>
        </ext>
      </extLst>
    </cfRule>
  </conditionalFormatting>
  <conditionalFormatting sqref="B321:B337">
    <cfRule type="dataBar" priority="12">
      <dataBar>
        <cfvo type="min"/>
        <cfvo type="max"/>
        <color rgb="FF638EC6"/>
      </dataBar>
      <extLst>
        <ext xmlns:x14="http://schemas.microsoft.com/office/spreadsheetml/2009/9/main" uri="{B025F937-C7B1-47D3-B67F-A62EFF666E3E}">
          <x14:id>{12157096-3C19-4423-A3C2-51CA705F736C}</x14:id>
        </ext>
      </extLst>
    </cfRule>
  </conditionalFormatting>
  <conditionalFormatting sqref="F373:F382">
    <cfRule type="colorScale" priority="6">
      <colorScale>
        <cfvo type="min"/>
        <cfvo type="num" val="1"/>
        <cfvo type="max"/>
        <color rgb="FFF8696B"/>
        <color theme="0"/>
        <color theme="4"/>
      </colorScale>
    </cfRule>
  </conditionalFormatting>
  <conditionalFormatting sqref="P373:P382">
    <cfRule type="colorScale" priority="5">
      <colorScale>
        <cfvo type="min"/>
        <cfvo type="num" val="1"/>
        <cfvo type="max"/>
        <color rgb="FFF8696B"/>
        <color theme="0"/>
        <color theme="4"/>
      </colorScale>
    </cfRule>
  </conditionalFormatting>
  <conditionalFormatting sqref="AQ344:AQ361">
    <cfRule type="dataBar" priority="7">
      <dataBar>
        <cfvo type="min"/>
        <cfvo type="max"/>
        <color rgb="FF638EC6"/>
      </dataBar>
      <extLst>
        <ext xmlns:x14="http://schemas.microsoft.com/office/spreadsheetml/2009/9/main" uri="{B025F937-C7B1-47D3-B67F-A62EFF666E3E}">
          <x14:id>{C51DDB90-74F9-4A2D-8B53-12127D03FD1F}</x14:id>
        </ext>
      </extLst>
    </cfRule>
  </conditionalFormatting>
  <conditionalFormatting sqref="B369:B385">
    <cfRule type="dataBar" priority="8">
      <dataBar>
        <cfvo type="min"/>
        <cfvo type="max"/>
        <color rgb="FF638EC6"/>
      </dataBar>
      <extLst>
        <ext xmlns:x14="http://schemas.microsoft.com/office/spreadsheetml/2009/9/main" uri="{B025F937-C7B1-47D3-B67F-A62EFF666E3E}">
          <x14:id>{68193677-4D13-4A97-8F3C-198E1F1066DA}</x14:id>
        </ext>
      </extLst>
    </cfRule>
  </conditionalFormatting>
  <conditionalFormatting sqref="F97:F106">
    <cfRule type="colorScale" priority="2">
      <colorScale>
        <cfvo type="min"/>
        <cfvo type="num" val="1"/>
        <cfvo type="max"/>
        <color rgb="FFF8696B"/>
        <color theme="0"/>
        <color theme="4"/>
      </colorScale>
    </cfRule>
  </conditionalFormatting>
  <conditionalFormatting sqref="P97:P106">
    <cfRule type="colorScale" priority="1">
      <colorScale>
        <cfvo type="min"/>
        <cfvo type="num" val="1"/>
        <cfvo type="max"/>
        <color rgb="FFF8696B"/>
        <color theme="0"/>
        <color theme="4"/>
      </colorScale>
    </cfRule>
  </conditionalFormatting>
  <conditionalFormatting sqref="AQ68:AQ83">
    <cfRule type="dataBar" priority="3">
      <dataBar>
        <cfvo type="min"/>
        <cfvo type="max"/>
        <color rgb="FF638EC6"/>
      </dataBar>
      <extLst>
        <ext xmlns:x14="http://schemas.microsoft.com/office/spreadsheetml/2009/9/main" uri="{B025F937-C7B1-47D3-B67F-A62EFF666E3E}">
          <x14:id>{A8684E53-43C1-49FA-BDB2-39CE55324387}</x14:id>
        </ext>
      </extLst>
    </cfRule>
  </conditionalFormatting>
  <conditionalFormatting sqref="B93:B107">
    <cfRule type="dataBar" priority="4">
      <dataBar>
        <cfvo type="min"/>
        <cfvo type="max"/>
        <color rgb="FF638EC6"/>
      </dataBar>
      <extLst>
        <ext xmlns:x14="http://schemas.microsoft.com/office/spreadsheetml/2009/9/main" uri="{B025F937-C7B1-47D3-B67F-A62EFF666E3E}">
          <x14:id>{7B21C263-A1AD-42B1-824A-6543420D0D34}</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F887866-3709-4557-B367-E276FB81D8F0}">
            <x14:dataBar minLength="0" maxLength="100" border="1" negativeBarBorderColorSameAsPositive="0">
              <x14:cfvo type="autoMin"/>
              <x14:cfvo type="autoMax"/>
              <x14:borderColor rgb="FF638EC6"/>
              <x14:negativeFillColor rgb="FFFF0000"/>
              <x14:negativeBorderColor rgb="FFFF0000"/>
              <x14:axisColor rgb="FF000000"/>
            </x14:dataBar>
          </x14:cfRule>
          <xm:sqref>AQ135</xm:sqref>
        </x14:conditionalFormatting>
        <x14:conditionalFormatting xmlns:xm="http://schemas.microsoft.com/office/excel/2006/main">
          <x14:cfRule type="dataBar" id="{3BB78279-90DE-4177-B88A-2B785057A913}">
            <x14:dataBar minLength="0" maxLength="100" border="1" negativeBarBorderColorSameAsPositive="0">
              <x14:cfvo type="autoMin"/>
              <x14:cfvo type="autoMax"/>
              <x14:borderColor rgb="FF638EC6"/>
              <x14:negativeFillColor rgb="FFFF0000"/>
              <x14:negativeBorderColor rgb="FFFF0000"/>
              <x14:axisColor rgb="FF000000"/>
            </x14:dataBar>
          </x14:cfRule>
          <xm:sqref>B160:B176</xm:sqref>
        </x14:conditionalFormatting>
        <x14:conditionalFormatting xmlns:xm="http://schemas.microsoft.com/office/excel/2006/main">
          <x14:cfRule type="dataBar" id="{9599D91F-38C6-4B2E-840A-5A1DEA62A1D2}">
            <x14:dataBar minLength="0" maxLength="100" border="1" negativeBarBorderColorSameAsPositive="0">
              <x14:cfvo type="autoMin"/>
              <x14:cfvo type="autoMax"/>
              <x14:borderColor rgb="FF638EC6"/>
              <x14:negativeFillColor rgb="FFFF0000"/>
              <x14:negativeBorderColor rgb="FFFF0000"/>
              <x14:axisColor rgb="FF000000"/>
            </x14:dataBar>
          </x14:cfRule>
          <xm:sqref>AQ2:AQ17</xm:sqref>
        </x14:conditionalFormatting>
        <x14:conditionalFormatting xmlns:xm="http://schemas.microsoft.com/office/excel/2006/main">
          <x14:cfRule type="dataBar" id="{42A8A8F2-34A5-4828-A1A9-7E42C16B17B3}">
            <x14:dataBar minLength="0" maxLength="100" border="1" negativeBarBorderColorSameAsPositive="0">
              <x14:cfvo type="autoMin"/>
              <x14:cfvo type="autoMax"/>
              <x14:borderColor rgb="FF638EC6"/>
              <x14:negativeFillColor rgb="FFFF0000"/>
              <x14:negativeBorderColor rgb="FFFF0000"/>
              <x14:axisColor rgb="FF000000"/>
            </x14:dataBar>
          </x14:cfRule>
          <xm:sqref>B27:B41</xm:sqref>
        </x14:conditionalFormatting>
        <x14:conditionalFormatting xmlns:xm="http://schemas.microsoft.com/office/excel/2006/main">
          <x14:cfRule type="dataBar" id="{EDD8EF9A-B2D9-44E3-962F-C73E68172746}">
            <x14:dataBar minLength="0" maxLength="100" border="1" negativeBarBorderColorSameAsPositive="0">
              <x14:cfvo type="autoMin"/>
              <x14:cfvo type="autoMax"/>
              <x14:borderColor rgb="FF638EC6"/>
              <x14:negativeFillColor rgb="FFFF0000"/>
              <x14:negativeBorderColor rgb="FFFF0000"/>
              <x14:axisColor rgb="FF000000"/>
            </x14:dataBar>
          </x14:cfRule>
          <xm:sqref>AQ200:AQ217</xm:sqref>
        </x14:conditionalFormatting>
        <x14:conditionalFormatting xmlns:xm="http://schemas.microsoft.com/office/excel/2006/main">
          <x14:cfRule type="dataBar" id="{C904432E-DD04-4DFB-B75A-E7350122324C}">
            <x14:dataBar minLength="0" maxLength="100" border="1" negativeBarBorderColorSameAsPositive="0">
              <x14:cfvo type="autoMin"/>
              <x14:cfvo type="autoMax"/>
              <x14:borderColor rgb="FF638EC6"/>
              <x14:negativeFillColor rgb="FFFF0000"/>
              <x14:negativeBorderColor rgb="FFFF0000"/>
              <x14:axisColor rgb="FF000000"/>
            </x14:dataBar>
          </x14:cfRule>
          <xm:sqref>B225:B241</xm:sqref>
        </x14:conditionalFormatting>
        <x14:conditionalFormatting xmlns:xm="http://schemas.microsoft.com/office/excel/2006/main">
          <x14:cfRule type="dataBar" id="{D7E0C1F3-B4BB-4E85-9243-C78DCE4A164C}">
            <x14:dataBar minLength="0" maxLength="100" border="1" negativeBarBorderColorSameAsPositive="0">
              <x14:cfvo type="autoMin"/>
              <x14:cfvo type="autoMax"/>
              <x14:borderColor rgb="FF638EC6"/>
              <x14:negativeFillColor rgb="FFFF0000"/>
              <x14:negativeBorderColor rgb="FFFF0000"/>
              <x14:axisColor rgb="FF000000"/>
            </x14:dataBar>
          </x14:cfRule>
          <xm:sqref>AQ136:AQ152</xm:sqref>
        </x14:conditionalFormatting>
        <x14:conditionalFormatting xmlns:xm="http://schemas.microsoft.com/office/excel/2006/main">
          <x14:cfRule type="dataBar" id="{58721753-FCA5-4163-B808-4836FE25B41E}">
            <x14:dataBar minLength="0" maxLength="100" border="1" negativeBarBorderColorSameAsPositive="0">
              <x14:cfvo type="autoMin"/>
              <x14:cfvo type="autoMax"/>
              <x14:borderColor rgb="FF638EC6"/>
              <x14:negativeFillColor rgb="FFFF0000"/>
              <x14:negativeBorderColor rgb="FFFF0000"/>
              <x14:axisColor rgb="FF000000"/>
            </x14:dataBar>
          </x14:cfRule>
          <xm:sqref>AQ248:AQ265</xm:sqref>
        </x14:conditionalFormatting>
        <x14:conditionalFormatting xmlns:xm="http://schemas.microsoft.com/office/excel/2006/main">
          <x14:cfRule type="dataBar" id="{45E7EDEF-5D81-4277-BD59-13AC2CE14DCE}">
            <x14:dataBar minLength="0" maxLength="100" border="1" negativeBarBorderColorSameAsPositive="0">
              <x14:cfvo type="autoMin"/>
              <x14:cfvo type="autoMax"/>
              <x14:borderColor rgb="FF638EC6"/>
              <x14:negativeFillColor rgb="FFFF0000"/>
              <x14:negativeBorderColor rgb="FFFF0000"/>
              <x14:axisColor rgb="FF000000"/>
            </x14:dataBar>
          </x14:cfRule>
          <xm:sqref>B273:B289</xm:sqref>
        </x14:conditionalFormatting>
        <x14:conditionalFormatting xmlns:xm="http://schemas.microsoft.com/office/excel/2006/main">
          <x14:cfRule type="dataBar" id="{5A555050-4D45-48D9-BEA5-3F9EB37FAC30}">
            <x14:dataBar minLength="0" maxLength="100" border="1" negativeBarBorderColorSameAsPositive="0">
              <x14:cfvo type="autoMin"/>
              <x14:cfvo type="autoMax"/>
              <x14:borderColor rgb="FF638EC6"/>
              <x14:negativeFillColor rgb="FFFF0000"/>
              <x14:negativeBorderColor rgb="FFFF0000"/>
              <x14:axisColor rgb="FF000000"/>
            </x14:dataBar>
          </x14:cfRule>
          <xm:sqref>AQ296:AQ313</xm:sqref>
        </x14:conditionalFormatting>
        <x14:conditionalFormatting xmlns:xm="http://schemas.microsoft.com/office/excel/2006/main">
          <x14:cfRule type="dataBar" id="{12157096-3C19-4423-A3C2-51CA705F736C}">
            <x14:dataBar minLength="0" maxLength="100" border="1" negativeBarBorderColorSameAsPositive="0">
              <x14:cfvo type="autoMin"/>
              <x14:cfvo type="autoMax"/>
              <x14:borderColor rgb="FF638EC6"/>
              <x14:negativeFillColor rgb="FFFF0000"/>
              <x14:negativeBorderColor rgb="FFFF0000"/>
              <x14:axisColor rgb="FF000000"/>
            </x14:dataBar>
          </x14:cfRule>
          <xm:sqref>B321:B337</xm:sqref>
        </x14:conditionalFormatting>
        <x14:conditionalFormatting xmlns:xm="http://schemas.microsoft.com/office/excel/2006/main">
          <x14:cfRule type="dataBar" id="{C51DDB90-74F9-4A2D-8B53-12127D03FD1F}">
            <x14:dataBar minLength="0" maxLength="100" border="1" negativeBarBorderColorSameAsPositive="0">
              <x14:cfvo type="autoMin"/>
              <x14:cfvo type="autoMax"/>
              <x14:borderColor rgb="FF638EC6"/>
              <x14:negativeFillColor rgb="FFFF0000"/>
              <x14:negativeBorderColor rgb="FFFF0000"/>
              <x14:axisColor rgb="FF000000"/>
            </x14:dataBar>
          </x14:cfRule>
          <xm:sqref>AQ344:AQ361</xm:sqref>
        </x14:conditionalFormatting>
        <x14:conditionalFormatting xmlns:xm="http://schemas.microsoft.com/office/excel/2006/main">
          <x14:cfRule type="dataBar" id="{68193677-4D13-4A97-8F3C-198E1F1066DA}">
            <x14:dataBar minLength="0" maxLength="100" border="1" negativeBarBorderColorSameAsPositive="0">
              <x14:cfvo type="autoMin"/>
              <x14:cfvo type="autoMax"/>
              <x14:borderColor rgb="FF638EC6"/>
              <x14:negativeFillColor rgb="FFFF0000"/>
              <x14:negativeBorderColor rgb="FFFF0000"/>
              <x14:axisColor rgb="FF000000"/>
            </x14:dataBar>
          </x14:cfRule>
          <xm:sqref>B369:B385</xm:sqref>
        </x14:conditionalFormatting>
        <x14:conditionalFormatting xmlns:xm="http://schemas.microsoft.com/office/excel/2006/main">
          <x14:cfRule type="dataBar" id="{A8684E53-43C1-49FA-BDB2-39CE55324387}">
            <x14:dataBar minLength="0" maxLength="100" border="1" negativeBarBorderColorSameAsPositive="0">
              <x14:cfvo type="autoMin"/>
              <x14:cfvo type="autoMax"/>
              <x14:borderColor rgb="FF638EC6"/>
              <x14:negativeFillColor rgb="FFFF0000"/>
              <x14:negativeBorderColor rgb="FFFF0000"/>
              <x14:axisColor rgb="FF000000"/>
            </x14:dataBar>
          </x14:cfRule>
          <xm:sqref>AQ68:AQ83</xm:sqref>
        </x14:conditionalFormatting>
        <x14:conditionalFormatting xmlns:xm="http://schemas.microsoft.com/office/excel/2006/main">
          <x14:cfRule type="dataBar" id="{7B21C263-A1AD-42B1-824A-6543420D0D34}">
            <x14:dataBar minLength="0" maxLength="100" border="1" negativeBarBorderColorSameAsPositive="0">
              <x14:cfvo type="autoMin"/>
              <x14:cfvo type="autoMax"/>
              <x14:borderColor rgb="FF638EC6"/>
              <x14:negativeFillColor rgb="FFFF0000"/>
              <x14:negativeBorderColor rgb="FFFF0000"/>
              <x14:axisColor rgb="FF000000"/>
            </x14:dataBar>
          </x14:cfRule>
          <xm:sqref>B93:B107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5"/>
  <sheetViews>
    <sheetView workbookViewId="0">
      <selection activeCell="I50" sqref="I50"/>
    </sheetView>
  </sheetViews>
  <sheetFormatPr defaultRowHeight="15" x14ac:dyDescent="0.25"/>
  <sheetData>
    <row r="1" spans="1:12" x14ac:dyDescent="0.25">
      <c r="A1" s="13" t="s">
        <v>110</v>
      </c>
      <c r="B1" t="s">
        <v>111</v>
      </c>
      <c r="F1" s="13" t="s">
        <v>110</v>
      </c>
      <c r="G1" t="s">
        <v>109</v>
      </c>
      <c r="K1" s="13" t="s">
        <v>110</v>
      </c>
      <c r="L1" t="s">
        <v>112</v>
      </c>
    </row>
    <row r="3" spans="1:12" x14ac:dyDescent="0.25">
      <c r="A3" s="13" t="s">
        <v>106</v>
      </c>
      <c r="B3" t="s">
        <v>107</v>
      </c>
      <c r="F3" s="13" t="s">
        <v>106</v>
      </c>
      <c r="G3" t="s">
        <v>107</v>
      </c>
      <c r="K3" s="13" t="s">
        <v>106</v>
      </c>
      <c r="L3" t="s">
        <v>107</v>
      </c>
    </row>
    <row r="4" spans="1:12" x14ac:dyDescent="0.25">
      <c r="A4" s="11">
        <v>-730</v>
      </c>
      <c r="B4" s="12">
        <v>0.73140000000000005</v>
      </c>
      <c r="F4" s="11">
        <v>-404</v>
      </c>
      <c r="G4" s="12">
        <v>0</v>
      </c>
      <c r="K4" s="11">
        <v>-196</v>
      </c>
      <c r="L4" s="12">
        <v>0</v>
      </c>
    </row>
    <row r="5" spans="1:12" x14ac:dyDescent="0.25">
      <c r="A5" s="11">
        <v>-729</v>
      </c>
      <c r="B5" s="12">
        <v>0.73141999999999996</v>
      </c>
      <c r="F5" s="11">
        <v>-403</v>
      </c>
      <c r="G5" s="12">
        <v>0</v>
      </c>
      <c r="K5" s="11">
        <v>-195</v>
      </c>
      <c r="L5" s="12">
        <v>0</v>
      </c>
    </row>
    <row r="6" spans="1:12" x14ac:dyDescent="0.25">
      <c r="A6" s="11">
        <v>-728</v>
      </c>
      <c r="B6" s="12">
        <v>0.73143999999999998</v>
      </c>
      <c r="F6" s="11">
        <v>-402</v>
      </c>
      <c r="G6" s="12">
        <v>0</v>
      </c>
      <c r="K6" s="11">
        <v>-194</v>
      </c>
      <c r="L6" s="12">
        <v>0</v>
      </c>
    </row>
    <row r="7" spans="1:12" x14ac:dyDescent="0.25">
      <c r="A7" s="11">
        <v>-727</v>
      </c>
      <c r="B7" s="12">
        <v>0.73146</v>
      </c>
      <c r="F7" s="11">
        <v>-401</v>
      </c>
      <c r="G7" s="12">
        <v>0</v>
      </c>
      <c r="K7" s="11">
        <v>-193</v>
      </c>
      <c r="L7" s="12">
        <v>0</v>
      </c>
    </row>
    <row r="8" spans="1:12" x14ac:dyDescent="0.25">
      <c r="A8" s="11">
        <v>-726</v>
      </c>
      <c r="B8" s="12">
        <v>0.73148000000000002</v>
      </c>
      <c r="F8" s="11">
        <v>-400</v>
      </c>
      <c r="G8" s="12">
        <v>0</v>
      </c>
      <c r="K8" s="11">
        <v>-192</v>
      </c>
      <c r="L8" s="12">
        <v>0</v>
      </c>
    </row>
    <row r="9" spans="1:12" x14ac:dyDescent="0.25">
      <c r="A9" s="11">
        <v>-725</v>
      </c>
      <c r="B9" s="12">
        <v>0.73150000000000004</v>
      </c>
      <c r="F9" s="11">
        <v>-399</v>
      </c>
      <c r="G9" s="12">
        <v>0</v>
      </c>
      <c r="K9" s="11">
        <v>-191</v>
      </c>
      <c r="L9" s="12">
        <v>0</v>
      </c>
    </row>
    <row r="10" spans="1:12" x14ac:dyDescent="0.25">
      <c r="A10" s="11">
        <v>-724</v>
      </c>
      <c r="B10" s="12">
        <v>0.73151999999999995</v>
      </c>
      <c r="F10" s="11">
        <v>-398</v>
      </c>
      <c r="G10" s="12">
        <v>0</v>
      </c>
      <c r="K10" s="11">
        <v>-190</v>
      </c>
      <c r="L10" s="12">
        <v>0</v>
      </c>
    </row>
    <row r="11" spans="1:12" x14ac:dyDescent="0.25">
      <c r="A11" s="11">
        <v>-723</v>
      </c>
      <c r="B11" s="12">
        <v>0.73153999999999997</v>
      </c>
      <c r="F11" s="11">
        <v>-397</v>
      </c>
      <c r="G11" s="12">
        <v>0</v>
      </c>
      <c r="K11" s="11">
        <v>-189</v>
      </c>
      <c r="L11" s="12">
        <v>0</v>
      </c>
    </row>
    <row r="12" spans="1:12" x14ac:dyDescent="0.25">
      <c r="A12" s="11">
        <v>-722</v>
      </c>
      <c r="B12" s="12">
        <v>0.73155999999999999</v>
      </c>
      <c r="F12" s="11">
        <v>-396</v>
      </c>
      <c r="G12" s="12">
        <v>0</v>
      </c>
      <c r="K12" s="11">
        <v>-188</v>
      </c>
      <c r="L12" s="12">
        <v>0</v>
      </c>
    </row>
    <row r="13" spans="1:12" x14ac:dyDescent="0.25">
      <c r="A13" s="11">
        <v>-721</v>
      </c>
      <c r="B13" s="12">
        <v>0.73158000000000001</v>
      </c>
      <c r="F13" s="11">
        <v>-395</v>
      </c>
      <c r="G13" s="12">
        <v>0</v>
      </c>
      <c r="K13" s="11">
        <v>-187</v>
      </c>
      <c r="L13" s="12">
        <v>0</v>
      </c>
    </row>
    <row r="14" spans="1:12" x14ac:dyDescent="0.25">
      <c r="A14" s="11">
        <v>-720</v>
      </c>
      <c r="B14" s="12">
        <v>0.73160000000000003</v>
      </c>
      <c r="F14" s="11">
        <v>-394</v>
      </c>
      <c r="G14" s="12">
        <v>0</v>
      </c>
      <c r="K14" s="11">
        <v>-186</v>
      </c>
      <c r="L14" s="12">
        <v>0</v>
      </c>
    </row>
    <row r="15" spans="1:12" x14ac:dyDescent="0.25">
      <c r="A15" s="11">
        <v>-719</v>
      </c>
      <c r="B15" s="12">
        <v>0.73162000000000005</v>
      </c>
      <c r="F15" s="11">
        <v>-393</v>
      </c>
      <c r="G15" s="12">
        <v>0</v>
      </c>
      <c r="K15" s="11">
        <v>-185</v>
      </c>
      <c r="L15" s="12">
        <v>0</v>
      </c>
    </row>
    <row r="16" spans="1:12" x14ac:dyDescent="0.25">
      <c r="A16" s="11">
        <v>-718</v>
      </c>
      <c r="B16" s="12">
        <v>0.73163999999999996</v>
      </c>
      <c r="F16" s="11">
        <v>-392</v>
      </c>
      <c r="G16" s="12">
        <v>0</v>
      </c>
      <c r="K16" s="11">
        <v>-184</v>
      </c>
      <c r="L16" s="12">
        <v>0</v>
      </c>
    </row>
    <row r="17" spans="1:12" x14ac:dyDescent="0.25">
      <c r="A17" s="11">
        <v>-717</v>
      </c>
      <c r="B17" s="12">
        <v>0.73165999999999998</v>
      </c>
      <c r="F17" s="11">
        <v>-391</v>
      </c>
      <c r="G17" s="12">
        <v>0</v>
      </c>
      <c r="K17" s="11">
        <v>-183</v>
      </c>
      <c r="L17" s="12">
        <v>0</v>
      </c>
    </row>
    <row r="18" spans="1:12" x14ac:dyDescent="0.25">
      <c r="A18" s="11">
        <v>-716</v>
      </c>
      <c r="B18" s="12">
        <v>0.73168</v>
      </c>
      <c r="F18" s="11">
        <v>-390</v>
      </c>
      <c r="G18" s="12">
        <v>0</v>
      </c>
      <c r="K18" s="11">
        <v>-182</v>
      </c>
      <c r="L18" s="12">
        <v>0</v>
      </c>
    </row>
    <row r="19" spans="1:12" x14ac:dyDescent="0.25">
      <c r="A19" s="11">
        <v>-715</v>
      </c>
      <c r="B19" s="12">
        <v>0.73170000000000002</v>
      </c>
      <c r="F19" s="11">
        <v>-389</v>
      </c>
      <c r="G19" s="12">
        <v>0</v>
      </c>
      <c r="K19" s="11">
        <v>-181</v>
      </c>
      <c r="L19" s="12">
        <v>0</v>
      </c>
    </row>
    <row r="20" spans="1:12" x14ac:dyDescent="0.25">
      <c r="A20" s="11">
        <v>-714</v>
      </c>
      <c r="B20" s="12">
        <v>0.73172000000000004</v>
      </c>
      <c r="F20" s="11">
        <v>-388</v>
      </c>
      <c r="G20" s="12">
        <v>0</v>
      </c>
      <c r="K20" s="11">
        <v>-180</v>
      </c>
      <c r="L20" s="12">
        <v>0</v>
      </c>
    </row>
    <row r="21" spans="1:12" x14ac:dyDescent="0.25">
      <c r="A21" s="11">
        <v>-713</v>
      </c>
      <c r="B21" s="12">
        <v>0.73173999999999995</v>
      </c>
      <c r="F21" s="11">
        <v>-387</v>
      </c>
      <c r="G21" s="12">
        <v>0</v>
      </c>
      <c r="K21" s="11">
        <v>-179</v>
      </c>
      <c r="L21" s="12">
        <v>0</v>
      </c>
    </row>
    <row r="22" spans="1:12" x14ac:dyDescent="0.25">
      <c r="A22" s="11">
        <v>-712</v>
      </c>
      <c r="B22" s="12">
        <v>0.73175999999999997</v>
      </c>
      <c r="F22" s="11">
        <v>-386</v>
      </c>
      <c r="G22" s="12">
        <v>0</v>
      </c>
      <c r="K22" s="11">
        <v>-178</v>
      </c>
      <c r="L22" s="12">
        <v>0</v>
      </c>
    </row>
    <row r="23" spans="1:12" x14ac:dyDescent="0.25">
      <c r="A23" s="11">
        <v>-711</v>
      </c>
      <c r="B23" s="12">
        <v>0.73177999999999999</v>
      </c>
      <c r="F23" s="11">
        <v>-385</v>
      </c>
      <c r="G23" s="12">
        <v>0</v>
      </c>
      <c r="K23" s="11">
        <v>-177</v>
      </c>
      <c r="L23" s="12">
        <v>0</v>
      </c>
    </row>
    <row r="24" spans="1:12" x14ac:dyDescent="0.25">
      <c r="A24" s="11">
        <v>-710</v>
      </c>
      <c r="B24" s="12">
        <v>0.73180000000000001</v>
      </c>
      <c r="F24" s="11">
        <v>-384</v>
      </c>
      <c r="G24" s="12">
        <v>0</v>
      </c>
      <c r="K24" s="11">
        <v>-176</v>
      </c>
      <c r="L24" s="12">
        <v>0</v>
      </c>
    </row>
    <row r="25" spans="1:12" x14ac:dyDescent="0.25">
      <c r="A25" s="11">
        <v>-709</v>
      </c>
      <c r="B25" s="12">
        <v>0.73182000000000003</v>
      </c>
      <c r="F25" s="11">
        <v>-383</v>
      </c>
      <c r="G25" s="12">
        <v>0</v>
      </c>
      <c r="K25" s="11">
        <v>-175</v>
      </c>
      <c r="L25" s="12">
        <v>0</v>
      </c>
    </row>
    <row r="26" spans="1:12" x14ac:dyDescent="0.25">
      <c r="A26" s="11">
        <v>-708</v>
      </c>
      <c r="B26" s="12">
        <v>0.73184000000000005</v>
      </c>
      <c r="F26" s="11">
        <v>-382</v>
      </c>
      <c r="G26" s="12">
        <v>0</v>
      </c>
      <c r="K26" s="11">
        <v>-174</v>
      </c>
      <c r="L26" s="12">
        <v>0</v>
      </c>
    </row>
    <row r="27" spans="1:12" x14ac:dyDescent="0.25">
      <c r="A27" s="11">
        <v>-707</v>
      </c>
      <c r="B27" s="12">
        <v>0.73185999999999996</v>
      </c>
      <c r="F27" s="11">
        <v>-381</v>
      </c>
      <c r="G27" s="12">
        <v>0</v>
      </c>
      <c r="K27" s="11">
        <v>-173</v>
      </c>
      <c r="L27" s="12">
        <v>0</v>
      </c>
    </row>
    <row r="28" spans="1:12" x14ac:dyDescent="0.25">
      <c r="A28" s="11">
        <v>-706</v>
      </c>
      <c r="B28" s="12">
        <v>0.73187999999999998</v>
      </c>
      <c r="F28" s="11">
        <v>-380</v>
      </c>
      <c r="G28" s="12">
        <v>0</v>
      </c>
      <c r="K28" s="11">
        <v>-172</v>
      </c>
      <c r="L28" s="12">
        <v>0</v>
      </c>
    </row>
    <row r="29" spans="1:12" x14ac:dyDescent="0.25">
      <c r="A29" s="11">
        <v>-705</v>
      </c>
      <c r="B29" s="12">
        <v>0.7319</v>
      </c>
      <c r="F29" s="11">
        <v>-379</v>
      </c>
      <c r="G29" s="12">
        <v>0</v>
      </c>
      <c r="K29" s="11">
        <v>-171</v>
      </c>
      <c r="L29" s="12">
        <v>0</v>
      </c>
    </row>
    <row r="30" spans="1:12" x14ac:dyDescent="0.25">
      <c r="A30" s="11">
        <v>-704</v>
      </c>
      <c r="B30" s="12">
        <v>0.73192000000000002</v>
      </c>
      <c r="F30" s="11">
        <v>-378</v>
      </c>
      <c r="G30" s="12">
        <v>0</v>
      </c>
      <c r="K30" s="11">
        <v>-170</v>
      </c>
      <c r="L30" s="12">
        <v>0</v>
      </c>
    </row>
    <row r="31" spans="1:12" x14ac:dyDescent="0.25">
      <c r="A31" s="11">
        <v>-703</v>
      </c>
      <c r="B31" s="12">
        <v>0.73194000000000004</v>
      </c>
      <c r="F31" s="11">
        <v>-377</v>
      </c>
      <c r="G31" s="12">
        <v>0</v>
      </c>
      <c r="K31" s="11">
        <v>-169</v>
      </c>
      <c r="L31" s="12">
        <v>0</v>
      </c>
    </row>
    <row r="32" spans="1:12" x14ac:dyDescent="0.25">
      <c r="A32" s="11">
        <v>-702</v>
      </c>
      <c r="B32" s="12">
        <v>0.73196000000000006</v>
      </c>
      <c r="F32" s="11">
        <v>-376</v>
      </c>
      <c r="G32" s="12">
        <v>0</v>
      </c>
      <c r="K32" s="11">
        <v>-168</v>
      </c>
      <c r="L32" s="12">
        <v>0</v>
      </c>
    </row>
    <row r="33" spans="1:12" x14ac:dyDescent="0.25">
      <c r="A33" s="11">
        <v>-701</v>
      </c>
      <c r="B33" s="12">
        <v>0.73197999999999996</v>
      </c>
      <c r="F33" s="11">
        <v>-375</v>
      </c>
      <c r="G33" s="12">
        <v>0</v>
      </c>
      <c r="K33" s="11">
        <v>-167</v>
      </c>
      <c r="L33" s="12">
        <v>0</v>
      </c>
    </row>
    <row r="34" spans="1:12" x14ac:dyDescent="0.25">
      <c r="A34" s="11">
        <v>-700</v>
      </c>
      <c r="B34" s="12">
        <v>0.73199999999999998</v>
      </c>
      <c r="F34" s="11">
        <v>-374</v>
      </c>
      <c r="G34" s="12">
        <v>0</v>
      </c>
      <c r="K34" s="11">
        <v>-166</v>
      </c>
      <c r="L34" s="12">
        <v>0</v>
      </c>
    </row>
    <row r="35" spans="1:12" x14ac:dyDescent="0.25">
      <c r="A35" s="11">
        <v>-699</v>
      </c>
      <c r="B35" s="12">
        <v>0.73202</v>
      </c>
      <c r="F35" s="11">
        <v>-373</v>
      </c>
      <c r="G35" s="12">
        <v>0</v>
      </c>
      <c r="K35" s="11">
        <v>-165</v>
      </c>
      <c r="L35" s="12">
        <v>0</v>
      </c>
    </row>
    <row r="36" spans="1:12" x14ac:dyDescent="0.25">
      <c r="A36" s="11">
        <v>-698</v>
      </c>
      <c r="B36" s="12">
        <v>0.73204000000000002</v>
      </c>
      <c r="F36" s="11">
        <v>-372</v>
      </c>
      <c r="G36" s="12">
        <v>0</v>
      </c>
      <c r="K36" s="11">
        <v>-164</v>
      </c>
      <c r="L36" s="12">
        <v>0</v>
      </c>
    </row>
    <row r="37" spans="1:12" x14ac:dyDescent="0.25">
      <c r="A37" s="11">
        <v>-697</v>
      </c>
      <c r="B37" s="12">
        <v>0.73206000000000004</v>
      </c>
      <c r="F37" s="11">
        <v>-371</v>
      </c>
      <c r="G37" s="12">
        <v>0</v>
      </c>
      <c r="K37" s="11">
        <v>-163</v>
      </c>
      <c r="L37" s="12">
        <v>0</v>
      </c>
    </row>
    <row r="38" spans="1:12" x14ac:dyDescent="0.25">
      <c r="A38" s="11">
        <v>-696</v>
      </c>
      <c r="B38" s="12">
        <v>0.73207999999999995</v>
      </c>
      <c r="F38" s="11">
        <v>-370</v>
      </c>
      <c r="G38" s="12">
        <v>0</v>
      </c>
      <c r="K38" s="11">
        <v>-162</v>
      </c>
      <c r="L38" s="12">
        <v>0</v>
      </c>
    </row>
    <row r="39" spans="1:12" x14ac:dyDescent="0.25">
      <c r="A39" s="11">
        <v>-695</v>
      </c>
      <c r="B39" s="12">
        <v>0.73209999999999997</v>
      </c>
      <c r="F39" s="11">
        <v>-369</v>
      </c>
      <c r="G39" s="12">
        <v>0</v>
      </c>
      <c r="K39" s="11">
        <v>-161</v>
      </c>
      <c r="L39" s="12">
        <v>0</v>
      </c>
    </row>
    <row r="40" spans="1:12" x14ac:dyDescent="0.25">
      <c r="A40" s="11">
        <v>-694</v>
      </c>
      <c r="B40" s="12">
        <v>0.73211999999999999</v>
      </c>
      <c r="F40" s="11">
        <v>-368</v>
      </c>
      <c r="G40" s="12">
        <v>0</v>
      </c>
      <c r="K40" s="11">
        <v>-160</v>
      </c>
      <c r="L40" s="12">
        <v>0</v>
      </c>
    </row>
    <row r="41" spans="1:12" x14ac:dyDescent="0.25">
      <c r="A41" s="11">
        <v>-693</v>
      </c>
      <c r="B41" s="12">
        <v>0.73214000000000001</v>
      </c>
      <c r="F41" s="11">
        <v>-367</v>
      </c>
      <c r="G41" s="12">
        <v>0</v>
      </c>
      <c r="K41" s="11">
        <v>-159</v>
      </c>
      <c r="L41" s="12">
        <v>0</v>
      </c>
    </row>
    <row r="42" spans="1:12" x14ac:dyDescent="0.25">
      <c r="A42" s="11">
        <v>-692</v>
      </c>
      <c r="B42" s="12">
        <v>0.73216000000000003</v>
      </c>
      <c r="F42" s="11">
        <v>-366</v>
      </c>
      <c r="G42" s="12">
        <v>0</v>
      </c>
      <c r="K42" s="11">
        <v>-158</v>
      </c>
      <c r="L42" s="12">
        <v>0</v>
      </c>
    </row>
    <row r="43" spans="1:12" x14ac:dyDescent="0.25">
      <c r="A43" s="11">
        <v>-691</v>
      </c>
      <c r="B43" s="12">
        <v>0.73218000000000005</v>
      </c>
      <c r="F43" s="11">
        <v>-365</v>
      </c>
      <c r="G43" s="12">
        <v>0</v>
      </c>
      <c r="K43" s="11">
        <v>-157</v>
      </c>
      <c r="L43" s="12">
        <v>0</v>
      </c>
    </row>
    <row r="44" spans="1:12" x14ac:dyDescent="0.25">
      <c r="A44" s="11">
        <v>-690</v>
      </c>
      <c r="B44" s="12">
        <v>0.73219999999999996</v>
      </c>
      <c r="F44" s="11">
        <v>-364</v>
      </c>
      <c r="G44" s="12">
        <v>0</v>
      </c>
      <c r="K44" s="11">
        <v>-156</v>
      </c>
      <c r="L44" s="12">
        <v>0</v>
      </c>
    </row>
    <row r="45" spans="1:12" x14ac:dyDescent="0.25">
      <c r="A45" s="11">
        <v>-689</v>
      </c>
      <c r="B45" s="12">
        <v>0.73221999999999998</v>
      </c>
      <c r="F45" s="11">
        <v>-363</v>
      </c>
      <c r="G45" s="12">
        <v>0</v>
      </c>
      <c r="K45" s="11">
        <v>-155</v>
      </c>
      <c r="L45" s="12">
        <v>0</v>
      </c>
    </row>
    <row r="46" spans="1:12" x14ac:dyDescent="0.25">
      <c r="A46" s="11">
        <v>-688</v>
      </c>
      <c r="B46" s="12">
        <v>0.73224</v>
      </c>
      <c r="F46" s="11">
        <v>-362</v>
      </c>
      <c r="G46" s="12">
        <v>0</v>
      </c>
      <c r="K46" s="11">
        <v>-154</v>
      </c>
      <c r="L46" s="12">
        <v>0</v>
      </c>
    </row>
    <row r="47" spans="1:12" x14ac:dyDescent="0.25">
      <c r="A47" s="11">
        <v>-687</v>
      </c>
      <c r="B47" s="12">
        <v>0.73226000000000002</v>
      </c>
      <c r="F47" s="11">
        <v>-361</v>
      </c>
      <c r="G47" s="12">
        <v>0</v>
      </c>
      <c r="K47" s="11">
        <v>-153</v>
      </c>
      <c r="L47" s="12">
        <v>0</v>
      </c>
    </row>
    <row r="48" spans="1:12" x14ac:dyDescent="0.25">
      <c r="A48" s="11">
        <v>-686</v>
      </c>
      <c r="B48" s="12">
        <v>0.73228000000000004</v>
      </c>
      <c r="F48" s="11">
        <v>-360</v>
      </c>
      <c r="G48" s="12">
        <v>0</v>
      </c>
      <c r="K48" s="11">
        <v>-152</v>
      </c>
      <c r="L48" s="12">
        <v>0</v>
      </c>
    </row>
    <row r="49" spans="1:12" x14ac:dyDescent="0.25">
      <c r="A49" s="11">
        <v>-685</v>
      </c>
      <c r="B49" s="12">
        <v>0.73229999999999995</v>
      </c>
      <c r="F49" s="11">
        <v>-359</v>
      </c>
      <c r="G49" s="12">
        <v>0</v>
      </c>
      <c r="K49" s="11">
        <v>-151</v>
      </c>
      <c r="L49" s="12">
        <v>0</v>
      </c>
    </row>
    <row r="50" spans="1:12" x14ac:dyDescent="0.25">
      <c r="A50" s="11">
        <v>-684</v>
      </c>
      <c r="B50" s="12">
        <v>0.73231999999999997</v>
      </c>
      <c r="F50" s="11">
        <v>-358</v>
      </c>
      <c r="G50" s="12">
        <v>0</v>
      </c>
      <c r="K50" s="11">
        <v>-150</v>
      </c>
      <c r="L50" s="12">
        <v>0</v>
      </c>
    </row>
    <row r="51" spans="1:12" x14ac:dyDescent="0.25">
      <c r="A51" s="11">
        <v>-683</v>
      </c>
      <c r="B51" s="12">
        <v>0.73233999999999999</v>
      </c>
      <c r="F51" s="11">
        <v>-357</v>
      </c>
      <c r="G51" s="12">
        <v>0</v>
      </c>
      <c r="K51" s="11">
        <v>-149</v>
      </c>
      <c r="L51" s="12">
        <v>0</v>
      </c>
    </row>
    <row r="52" spans="1:12" x14ac:dyDescent="0.25">
      <c r="A52" s="11">
        <v>-682</v>
      </c>
      <c r="B52" s="12">
        <v>0.73236000000000001</v>
      </c>
      <c r="F52" s="11">
        <v>-356</v>
      </c>
      <c r="G52" s="12">
        <v>0</v>
      </c>
      <c r="K52" s="11">
        <v>-148</v>
      </c>
      <c r="L52" s="12">
        <v>0</v>
      </c>
    </row>
    <row r="53" spans="1:12" x14ac:dyDescent="0.25">
      <c r="A53" s="11">
        <v>-681</v>
      </c>
      <c r="B53" s="12">
        <v>0.73238000000000003</v>
      </c>
      <c r="F53" s="11">
        <v>-355</v>
      </c>
      <c r="G53" s="12">
        <v>0</v>
      </c>
      <c r="K53" s="11">
        <v>-147</v>
      </c>
      <c r="L53" s="12">
        <v>0</v>
      </c>
    </row>
    <row r="54" spans="1:12" x14ac:dyDescent="0.25">
      <c r="A54" s="11">
        <v>-680</v>
      </c>
      <c r="B54" s="12">
        <v>0.73240000000000005</v>
      </c>
      <c r="F54" s="11">
        <v>-354</v>
      </c>
      <c r="G54" s="12">
        <v>0</v>
      </c>
      <c r="K54" s="11">
        <v>-146</v>
      </c>
      <c r="L54" s="12">
        <v>0</v>
      </c>
    </row>
    <row r="55" spans="1:12" x14ac:dyDescent="0.25">
      <c r="A55" s="11">
        <v>-679</v>
      </c>
      <c r="B55" s="12">
        <v>0.73241999999999996</v>
      </c>
      <c r="F55" s="11">
        <v>-353</v>
      </c>
      <c r="G55" s="12">
        <v>0</v>
      </c>
      <c r="K55" s="11">
        <v>-145</v>
      </c>
      <c r="L55" s="12">
        <v>0</v>
      </c>
    </row>
    <row r="56" spans="1:12" x14ac:dyDescent="0.25">
      <c r="A56" s="11">
        <v>-678</v>
      </c>
      <c r="B56" s="12">
        <v>0.73243999999999998</v>
      </c>
      <c r="F56" s="11">
        <v>-352</v>
      </c>
      <c r="G56" s="12">
        <v>0</v>
      </c>
      <c r="K56" s="11">
        <v>-144</v>
      </c>
      <c r="L56" s="12">
        <v>0</v>
      </c>
    </row>
    <row r="57" spans="1:12" x14ac:dyDescent="0.25">
      <c r="A57" s="11">
        <v>-677</v>
      </c>
      <c r="B57" s="12">
        <v>0.73246</v>
      </c>
      <c r="F57" s="11">
        <v>-351</v>
      </c>
      <c r="G57" s="12">
        <v>0</v>
      </c>
      <c r="K57" s="11">
        <v>-143</v>
      </c>
      <c r="L57" s="12">
        <v>0</v>
      </c>
    </row>
    <row r="58" spans="1:12" x14ac:dyDescent="0.25">
      <c r="A58" s="11">
        <v>-676</v>
      </c>
      <c r="B58" s="12">
        <v>0.73248000000000002</v>
      </c>
      <c r="F58" s="11">
        <v>-350</v>
      </c>
      <c r="G58" s="12">
        <v>0</v>
      </c>
      <c r="K58" s="11">
        <v>-142</v>
      </c>
      <c r="L58" s="12">
        <v>0</v>
      </c>
    </row>
    <row r="59" spans="1:12" x14ac:dyDescent="0.25">
      <c r="A59" s="11">
        <v>-675</v>
      </c>
      <c r="B59" s="12">
        <v>0.73250000000000004</v>
      </c>
      <c r="F59" s="11">
        <v>-349</v>
      </c>
      <c r="G59" s="12">
        <v>0</v>
      </c>
      <c r="K59" s="11">
        <v>-141</v>
      </c>
      <c r="L59" s="12">
        <v>0</v>
      </c>
    </row>
    <row r="60" spans="1:12" x14ac:dyDescent="0.25">
      <c r="A60" s="11">
        <v>-674</v>
      </c>
      <c r="B60" s="12">
        <v>0.73251999999999995</v>
      </c>
      <c r="F60" s="11">
        <v>-348</v>
      </c>
      <c r="G60" s="12">
        <v>0</v>
      </c>
      <c r="K60" s="11">
        <v>-140</v>
      </c>
      <c r="L60" s="12">
        <v>0</v>
      </c>
    </row>
    <row r="61" spans="1:12" x14ac:dyDescent="0.25">
      <c r="A61" s="11">
        <v>-673</v>
      </c>
      <c r="B61" s="12">
        <v>0.73253999999999997</v>
      </c>
      <c r="F61" s="11">
        <v>-347</v>
      </c>
      <c r="G61" s="12">
        <v>0</v>
      </c>
      <c r="K61" s="11">
        <v>-139</v>
      </c>
      <c r="L61" s="12">
        <v>0</v>
      </c>
    </row>
    <row r="62" spans="1:12" x14ac:dyDescent="0.25">
      <c r="A62" s="11">
        <v>-672</v>
      </c>
      <c r="B62" s="12">
        <v>0.73255999999999999</v>
      </c>
      <c r="F62" s="11">
        <v>-346</v>
      </c>
      <c r="G62" s="12">
        <v>0</v>
      </c>
      <c r="K62" s="11">
        <v>-138</v>
      </c>
      <c r="L62" s="12">
        <v>0</v>
      </c>
    </row>
    <row r="63" spans="1:12" x14ac:dyDescent="0.25">
      <c r="A63" s="11">
        <v>-671</v>
      </c>
      <c r="B63" s="12">
        <v>0.73258000000000001</v>
      </c>
      <c r="F63" s="11">
        <v>-345</v>
      </c>
      <c r="G63" s="12">
        <v>0</v>
      </c>
      <c r="K63" s="11">
        <v>-137</v>
      </c>
      <c r="L63" s="12">
        <v>0</v>
      </c>
    </row>
    <row r="64" spans="1:12" x14ac:dyDescent="0.25">
      <c r="A64" s="11">
        <v>-670</v>
      </c>
      <c r="B64" s="12">
        <v>0.73260000000000003</v>
      </c>
      <c r="F64" s="11">
        <v>-344</v>
      </c>
      <c r="G64" s="12">
        <v>0</v>
      </c>
      <c r="K64" s="11">
        <v>-136</v>
      </c>
      <c r="L64" s="12">
        <v>0</v>
      </c>
    </row>
    <row r="65" spans="1:12" x14ac:dyDescent="0.25">
      <c r="A65" s="11">
        <v>-669</v>
      </c>
      <c r="B65" s="12">
        <v>0.73262000000000005</v>
      </c>
      <c r="F65" s="11">
        <v>-343</v>
      </c>
      <c r="G65" s="12">
        <v>0</v>
      </c>
      <c r="K65" s="11">
        <v>-135</v>
      </c>
      <c r="L65" s="12">
        <v>0</v>
      </c>
    </row>
    <row r="66" spans="1:12" x14ac:dyDescent="0.25">
      <c r="A66" s="11">
        <v>-668</v>
      </c>
      <c r="B66" s="12">
        <v>0.73263999999999996</v>
      </c>
      <c r="F66" s="11">
        <v>-342</v>
      </c>
      <c r="G66" s="12">
        <v>0</v>
      </c>
      <c r="K66" s="11">
        <v>-134</v>
      </c>
      <c r="L66" s="12">
        <v>0</v>
      </c>
    </row>
    <row r="67" spans="1:12" x14ac:dyDescent="0.25">
      <c r="A67" s="11">
        <v>-667</v>
      </c>
      <c r="B67" s="12">
        <v>0.73265999999999998</v>
      </c>
      <c r="F67" s="11">
        <v>-341</v>
      </c>
      <c r="G67" s="12">
        <v>0</v>
      </c>
      <c r="K67" s="11">
        <v>-133</v>
      </c>
      <c r="L67" s="12">
        <v>0</v>
      </c>
    </row>
    <row r="68" spans="1:12" x14ac:dyDescent="0.25">
      <c r="A68" s="11">
        <v>-666</v>
      </c>
      <c r="B68" s="12">
        <v>0.73268</v>
      </c>
      <c r="F68" s="11">
        <v>-340</v>
      </c>
      <c r="G68" s="12">
        <v>0</v>
      </c>
      <c r="K68" s="11">
        <v>-132</v>
      </c>
      <c r="L68" s="12">
        <v>0</v>
      </c>
    </row>
    <row r="69" spans="1:12" x14ac:dyDescent="0.25">
      <c r="A69" s="11">
        <v>-665</v>
      </c>
      <c r="B69" s="12">
        <v>0.73270000000000002</v>
      </c>
      <c r="F69" s="11">
        <v>-339</v>
      </c>
      <c r="G69" s="12">
        <v>0</v>
      </c>
      <c r="K69" s="11">
        <v>-131</v>
      </c>
      <c r="L69" s="12">
        <v>0</v>
      </c>
    </row>
    <row r="70" spans="1:12" x14ac:dyDescent="0.25">
      <c r="A70" s="11">
        <v>-664</v>
      </c>
      <c r="B70" s="12">
        <v>0.73272000000000004</v>
      </c>
      <c r="F70" s="11">
        <v>-338</v>
      </c>
      <c r="G70" s="12">
        <v>0</v>
      </c>
      <c r="K70" s="11">
        <v>-130</v>
      </c>
      <c r="L70" s="12">
        <v>0</v>
      </c>
    </row>
    <row r="71" spans="1:12" x14ac:dyDescent="0.25">
      <c r="A71" s="11">
        <v>-663</v>
      </c>
      <c r="B71" s="12">
        <v>0.73273999999999995</v>
      </c>
      <c r="F71" s="11">
        <v>-337</v>
      </c>
      <c r="G71" s="12">
        <v>0</v>
      </c>
      <c r="K71" s="11">
        <v>-129</v>
      </c>
      <c r="L71" s="12">
        <v>0</v>
      </c>
    </row>
    <row r="72" spans="1:12" x14ac:dyDescent="0.25">
      <c r="A72" s="11">
        <v>-662</v>
      </c>
      <c r="B72" s="12">
        <v>0.73275999999999997</v>
      </c>
      <c r="F72" s="11">
        <v>-336</v>
      </c>
      <c r="G72" s="12">
        <v>0</v>
      </c>
      <c r="K72" s="11">
        <v>-128</v>
      </c>
      <c r="L72" s="12">
        <v>0</v>
      </c>
    </row>
    <row r="73" spans="1:12" x14ac:dyDescent="0.25">
      <c r="A73" s="11">
        <v>-661</v>
      </c>
      <c r="B73" s="12">
        <v>0.73277999999999999</v>
      </c>
      <c r="F73" s="11">
        <v>-335</v>
      </c>
      <c r="G73" s="12">
        <v>0</v>
      </c>
      <c r="K73" s="11">
        <v>-127</v>
      </c>
      <c r="L73" s="12">
        <v>0</v>
      </c>
    </row>
    <row r="74" spans="1:12" x14ac:dyDescent="0.25">
      <c r="A74" s="11">
        <v>-660</v>
      </c>
      <c r="B74" s="12">
        <v>0.73280000000000001</v>
      </c>
      <c r="F74" s="11">
        <v>-334</v>
      </c>
      <c r="G74" s="12">
        <v>0</v>
      </c>
      <c r="K74" s="11">
        <v>-126</v>
      </c>
      <c r="L74" s="12">
        <v>0</v>
      </c>
    </row>
    <row r="75" spans="1:12" x14ac:dyDescent="0.25">
      <c r="A75" s="11">
        <v>-659</v>
      </c>
      <c r="B75" s="12">
        <v>0.73282000000000003</v>
      </c>
      <c r="F75" s="11">
        <v>-333</v>
      </c>
      <c r="G75" s="12">
        <v>0</v>
      </c>
      <c r="K75" s="11">
        <v>-125</v>
      </c>
      <c r="L75" s="12">
        <v>0</v>
      </c>
    </row>
    <row r="76" spans="1:12" x14ac:dyDescent="0.25">
      <c r="A76" s="11">
        <v>-658</v>
      </c>
      <c r="B76" s="12">
        <v>0.73284000000000005</v>
      </c>
      <c r="F76" s="11">
        <v>-332</v>
      </c>
      <c r="G76" s="12">
        <v>0</v>
      </c>
      <c r="K76" s="11">
        <v>-124</v>
      </c>
      <c r="L76" s="12">
        <v>0</v>
      </c>
    </row>
    <row r="77" spans="1:12" x14ac:dyDescent="0.25">
      <c r="A77" s="11">
        <v>-657</v>
      </c>
      <c r="B77" s="12">
        <v>0.73285999999999996</v>
      </c>
      <c r="F77" s="11">
        <v>-331</v>
      </c>
      <c r="G77" s="12">
        <v>0</v>
      </c>
      <c r="K77" s="11">
        <v>-123</v>
      </c>
      <c r="L77" s="12">
        <v>0</v>
      </c>
    </row>
    <row r="78" spans="1:12" x14ac:dyDescent="0.25">
      <c r="A78" s="11">
        <v>-656</v>
      </c>
      <c r="B78" s="12">
        <v>0.73287999999999998</v>
      </c>
      <c r="F78" s="11">
        <v>-330</v>
      </c>
      <c r="G78" s="12">
        <v>0</v>
      </c>
      <c r="K78" s="11">
        <v>-122</v>
      </c>
      <c r="L78" s="12">
        <v>0</v>
      </c>
    </row>
    <row r="79" spans="1:12" x14ac:dyDescent="0.25">
      <c r="A79" s="11">
        <v>-655</v>
      </c>
      <c r="B79" s="12">
        <v>0.7329</v>
      </c>
      <c r="F79" s="11">
        <v>-329</v>
      </c>
      <c r="G79" s="12">
        <v>0</v>
      </c>
      <c r="K79" s="11">
        <v>-121</v>
      </c>
      <c r="L79" s="12">
        <v>0</v>
      </c>
    </row>
    <row r="80" spans="1:12" x14ac:dyDescent="0.25">
      <c r="A80" s="11">
        <v>-654</v>
      </c>
      <c r="B80" s="12">
        <v>0.73292000000000002</v>
      </c>
      <c r="F80" s="11">
        <v>-328</v>
      </c>
      <c r="G80" s="12">
        <v>0</v>
      </c>
      <c r="K80" s="11">
        <v>-120</v>
      </c>
      <c r="L80" s="12">
        <v>0</v>
      </c>
    </row>
    <row r="81" spans="1:12" x14ac:dyDescent="0.25">
      <c r="A81" s="11">
        <v>-653</v>
      </c>
      <c r="B81" s="12">
        <v>0.73294000000000004</v>
      </c>
      <c r="F81" s="11">
        <v>-327</v>
      </c>
      <c r="G81" s="12">
        <v>0</v>
      </c>
      <c r="K81" s="11">
        <v>-119</v>
      </c>
      <c r="L81" s="12">
        <v>0</v>
      </c>
    </row>
    <row r="82" spans="1:12" x14ac:dyDescent="0.25">
      <c r="A82" s="11">
        <v>-652</v>
      </c>
      <c r="B82" s="12">
        <v>0.73295999999999994</v>
      </c>
      <c r="F82" s="11">
        <v>-326</v>
      </c>
      <c r="G82" s="12">
        <v>0</v>
      </c>
      <c r="K82" s="11">
        <v>-118</v>
      </c>
      <c r="L82" s="12">
        <v>0</v>
      </c>
    </row>
    <row r="83" spans="1:12" x14ac:dyDescent="0.25">
      <c r="A83" s="11">
        <v>-651</v>
      </c>
      <c r="B83" s="12">
        <v>0.73297999999999996</v>
      </c>
      <c r="F83" s="11">
        <v>-325</v>
      </c>
      <c r="G83" s="12">
        <v>0</v>
      </c>
      <c r="K83" s="11">
        <v>-117</v>
      </c>
      <c r="L83" s="12">
        <v>0</v>
      </c>
    </row>
    <row r="84" spans="1:12" x14ac:dyDescent="0.25">
      <c r="A84" s="11">
        <v>-650</v>
      </c>
      <c r="B84" s="12">
        <v>0.73299999999999998</v>
      </c>
      <c r="F84" s="11">
        <v>-324</v>
      </c>
      <c r="G84" s="12">
        <v>0</v>
      </c>
      <c r="K84" s="11">
        <v>-116</v>
      </c>
      <c r="L84" s="12">
        <v>0</v>
      </c>
    </row>
    <row r="85" spans="1:12" x14ac:dyDescent="0.25">
      <c r="A85" s="11">
        <v>-649</v>
      </c>
      <c r="B85" s="12">
        <v>0.73302</v>
      </c>
      <c r="F85" s="11">
        <v>-323</v>
      </c>
      <c r="G85" s="12">
        <v>0</v>
      </c>
      <c r="K85" s="11">
        <v>-115</v>
      </c>
      <c r="L85" s="12">
        <v>0</v>
      </c>
    </row>
    <row r="86" spans="1:12" x14ac:dyDescent="0.25">
      <c r="A86" s="11">
        <v>-648</v>
      </c>
      <c r="B86" s="12">
        <v>0.73304000000000002</v>
      </c>
      <c r="F86" s="11">
        <v>-322</v>
      </c>
      <c r="G86" s="12">
        <v>0</v>
      </c>
      <c r="K86" s="11">
        <v>-114</v>
      </c>
      <c r="L86" s="12">
        <v>0</v>
      </c>
    </row>
    <row r="87" spans="1:12" x14ac:dyDescent="0.25">
      <c r="A87" s="11">
        <v>-647</v>
      </c>
      <c r="B87" s="12">
        <v>0.73306000000000004</v>
      </c>
      <c r="F87" s="11">
        <v>-321</v>
      </c>
      <c r="G87" s="12">
        <v>0</v>
      </c>
      <c r="K87" s="11">
        <v>-113</v>
      </c>
      <c r="L87" s="12">
        <v>0</v>
      </c>
    </row>
    <row r="88" spans="1:12" x14ac:dyDescent="0.25">
      <c r="A88" s="11">
        <v>-646</v>
      </c>
      <c r="B88" s="12">
        <v>0.73307999999999995</v>
      </c>
      <c r="F88" s="11">
        <v>-320</v>
      </c>
      <c r="G88" s="12">
        <v>0</v>
      </c>
      <c r="K88" s="11">
        <v>-112</v>
      </c>
      <c r="L88" s="12">
        <v>0</v>
      </c>
    </row>
    <row r="89" spans="1:12" x14ac:dyDescent="0.25">
      <c r="A89" s="11">
        <v>-645</v>
      </c>
      <c r="B89" s="12">
        <v>0.73309999999999997</v>
      </c>
      <c r="F89" s="11">
        <v>-319</v>
      </c>
      <c r="G89" s="12">
        <v>0</v>
      </c>
      <c r="K89" s="11">
        <v>-111</v>
      </c>
      <c r="L89" s="12">
        <v>0</v>
      </c>
    </row>
    <row r="90" spans="1:12" x14ac:dyDescent="0.25">
      <c r="A90" s="11">
        <v>-644</v>
      </c>
      <c r="B90" s="12">
        <v>0.73311999999999999</v>
      </c>
      <c r="F90" s="11">
        <v>-318</v>
      </c>
      <c r="G90" s="12">
        <v>0</v>
      </c>
      <c r="K90" s="11">
        <v>-110</v>
      </c>
      <c r="L90" s="12">
        <v>0</v>
      </c>
    </row>
    <row r="91" spans="1:12" x14ac:dyDescent="0.25">
      <c r="A91" s="11">
        <v>-643</v>
      </c>
      <c r="B91" s="12">
        <v>0.73314000000000001</v>
      </c>
      <c r="F91" s="11">
        <v>-317</v>
      </c>
      <c r="G91" s="12">
        <v>0</v>
      </c>
      <c r="K91" s="11">
        <v>-109</v>
      </c>
      <c r="L91" s="12">
        <v>0</v>
      </c>
    </row>
    <row r="92" spans="1:12" x14ac:dyDescent="0.25">
      <c r="A92" s="11">
        <v>-642</v>
      </c>
      <c r="B92" s="12">
        <v>0.73316000000000003</v>
      </c>
      <c r="F92" s="11">
        <v>-316</v>
      </c>
      <c r="G92" s="12">
        <v>0</v>
      </c>
      <c r="K92" s="11">
        <v>-108</v>
      </c>
      <c r="L92" s="12">
        <v>0</v>
      </c>
    </row>
    <row r="93" spans="1:12" x14ac:dyDescent="0.25">
      <c r="A93" s="11">
        <v>-641</v>
      </c>
      <c r="B93" s="12">
        <v>0.73318000000000005</v>
      </c>
      <c r="F93" s="11">
        <v>-315</v>
      </c>
      <c r="G93" s="12">
        <v>0</v>
      </c>
      <c r="K93" s="11">
        <v>-107</v>
      </c>
      <c r="L93" s="12">
        <v>0</v>
      </c>
    </row>
    <row r="94" spans="1:12" x14ac:dyDescent="0.25">
      <c r="A94" s="11">
        <v>-640</v>
      </c>
      <c r="B94" s="12">
        <v>0.73319999999999996</v>
      </c>
      <c r="F94" s="11">
        <v>-314</v>
      </c>
      <c r="G94" s="12">
        <v>0</v>
      </c>
      <c r="K94" s="11">
        <v>-106</v>
      </c>
      <c r="L94" s="12">
        <v>0</v>
      </c>
    </row>
    <row r="95" spans="1:12" x14ac:dyDescent="0.25">
      <c r="A95" s="11">
        <v>-639</v>
      </c>
      <c r="B95" s="12">
        <v>0.73321999999999998</v>
      </c>
      <c r="F95" s="11">
        <v>-313</v>
      </c>
      <c r="G95" s="12">
        <v>0</v>
      </c>
      <c r="K95" s="11">
        <v>-105</v>
      </c>
      <c r="L95" s="12">
        <v>0</v>
      </c>
    </row>
    <row r="96" spans="1:12" x14ac:dyDescent="0.25">
      <c r="A96" s="11">
        <v>-638</v>
      </c>
      <c r="B96" s="12">
        <v>0.73324</v>
      </c>
      <c r="F96" s="11">
        <v>-312</v>
      </c>
      <c r="G96" s="12">
        <v>0</v>
      </c>
      <c r="K96" s="11">
        <v>-104</v>
      </c>
      <c r="L96" s="12">
        <v>0</v>
      </c>
    </row>
    <row r="97" spans="1:12" x14ac:dyDescent="0.25">
      <c r="A97" s="11">
        <v>-637</v>
      </c>
      <c r="B97" s="12">
        <v>0.73326000000000002</v>
      </c>
      <c r="F97" s="11">
        <v>-311</v>
      </c>
      <c r="G97" s="12">
        <v>0</v>
      </c>
      <c r="K97" s="11">
        <v>-103</v>
      </c>
      <c r="L97" s="12">
        <v>0</v>
      </c>
    </row>
    <row r="98" spans="1:12" x14ac:dyDescent="0.25">
      <c r="A98" s="11">
        <v>-636</v>
      </c>
      <c r="B98" s="12">
        <v>0.73328000000000004</v>
      </c>
      <c r="F98" s="11">
        <v>-310</v>
      </c>
      <c r="G98" s="12">
        <v>0</v>
      </c>
      <c r="K98" s="11">
        <v>-102</v>
      </c>
      <c r="L98" s="12">
        <v>0</v>
      </c>
    </row>
    <row r="99" spans="1:12" x14ac:dyDescent="0.25">
      <c r="A99" s="11">
        <v>-635</v>
      </c>
      <c r="B99" s="12">
        <v>0.73329999999999995</v>
      </c>
      <c r="F99" s="11">
        <v>-309</v>
      </c>
      <c r="G99" s="12">
        <v>0</v>
      </c>
      <c r="K99" s="11">
        <v>-101</v>
      </c>
      <c r="L99" s="12">
        <v>0</v>
      </c>
    </row>
    <row r="100" spans="1:12" x14ac:dyDescent="0.25">
      <c r="A100" s="11">
        <v>-634</v>
      </c>
      <c r="B100" s="12">
        <v>0.73331999999999997</v>
      </c>
      <c r="F100" s="11">
        <v>-308</v>
      </c>
      <c r="G100" s="12">
        <v>0</v>
      </c>
      <c r="K100" s="11">
        <v>-100</v>
      </c>
      <c r="L100" s="12">
        <v>0</v>
      </c>
    </row>
    <row r="101" spans="1:12" x14ac:dyDescent="0.25">
      <c r="A101" s="11">
        <v>-633</v>
      </c>
      <c r="B101" s="12">
        <v>0.73333999999999999</v>
      </c>
      <c r="F101" s="11">
        <v>-307</v>
      </c>
      <c r="G101" s="12">
        <v>0</v>
      </c>
      <c r="K101" s="11">
        <v>-99</v>
      </c>
      <c r="L101" s="12">
        <v>0</v>
      </c>
    </row>
    <row r="102" spans="1:12" x14ac:dyDescent="0.25">
      <c r="A102" s="11">
        <v>-632</v>
      </c>
      <c r="B102" s="12">
        <v>0.73336000000000001</v>
      </c>
      <c r="F102" s="11">
        <v>-306</v>
      </c>
      <c r="G102" s="12">
        <v>0</v>
      </c>
      <c r="K102" s="11">
        <v>-98</v>
      </c>
      <c r="L102" s="12">
        <v>0</v>
      </c>
    </row>
    <row r="103" spans="1:12" x14ac:dyDescent="0.25">
      <c r="A103" s="11">
        <v>-631</v>
      </c>
      <c r="B103" s="12">
        <v>0.73338000000000003</v>
      </c>
      <c r="F103" s="11">
        <v>-305</v>
      </c>
      <c r="G103" s="12">
        <v>0</v>
      </c>
      <c r="K103" s="11">
        <v>-97</v>
      </c>
      <c r="L103" s="12">
        <v>0</v>
      </c>
    </row>
    <row r="104" spans="1:12" x14ac:dyDescent="0.25">
      <c r="A104" s="11">
        <v>-630</v>
      </c>
      <c r="B104" s="12">
        <v>0.73340000000000005</v>
      </c>
      <c r="F104" s="11">
        <v>-304</v>
      </c>
      <c r="G104" s="12">
        <v>0</v>
      </c>
      <c r="K104" s="11">
        <v>-96</v>
      </c>
      <c r="L104" s="12">
        <v>0</v>
      </c>
    </row>
    <row r="105" spans="1:12" x14ac:dyDescent="0.25">
      <c r="A105" s="11">
        <v>-629</v>
      </c>
      <c r="B105" s="12">
        <v>0.73341999999999996</v>
      </c>
      <c r="F105" s="11">
        <v>-303</v>
      </c>
      <c r="G105" s="12">
        <v>0</v>
      </c>
      <c r="K105" s="11">
        <v>-95</v>
      </c>
      <c r="L105" s="12">
        <v>0</v>
      </c>
    </row>
    <row r="106" spans="1:12" x14ac:dyDescent="0.25">
      <c r="A106" s="11">
        <v>-628</v>
      </c>
      <c r="B106" s="12">
        <v>0.73343999999999998</v>
      </c>
      <c r="F106" s="11">
        <v>-302</v>
      </c>
      <c r="G106" s="12">
        <v>0</v>
      </c>
      <c r="K106" s="11">
        <v>-94</v>
      </c>
      <c r="L106" s="12">
        <v>0</v>
      </c>
    </row>
    <row r="107" spans="1:12" x14ac:dyDescent="0.25">
      <c r="A107" s="11">
        <v>-627</v>
      </c>
      <c r="B107" s="12">
        <v>0.73346</v>
      </c>
      <c r="F107" s="11">
        <v>-301</v>
      </c>
      <c r="G107" s="12">
        <v>0</v>
      </c>
      <c r="K107" s="11">
        <v>-93</v>
      </c>
      <c r="L107" s="12">
        <v>0</v>
      </c>
    </row>
    <row r="108" spans="1:12" x14ac:dyDescent="0.25">
      <c r="A108" s="11">
        <v>-626</v>
      </c>
      <c r="B108" s="12">
        <v>0.73348000000000002</v>
      </c>
      <c r="F108" s="11">
        <v>-300</v>
      </c>
      <c r="G108" s="12">
        <v>0</v>
      </c>
      <c r="K108" s="11">
        <v>-92</v>
      </c>
      <c r="L108" s="12">
        <v>0</v>
      </c>
    </row>
    <row r="109" spans="1:12" x14ac:dyDescent="0.25">
      <c r="A109" s="11">
        <v>-625</v>
      </c>
      <c r="B109" s="12">
        <v>0.73350000000000004</v>
      </c>
      <c r="F109" s="11">
        <v>-299</v>
      </c>
      <c r="G109" s="12">
        <v>0</v>
      </c>
      <c r="K109" s="11">
        <v>-91</v>
      </c>
      <c r="L109" s="12">
        <v>0</v>
      </c>
    </row>
    <row r="110" spans="1:12" x14ac:dyDescent="0.25">
      <c r="A110" s="11">
        <v>-624</v>
      </c>
      <c r="B110" s="12">
        <v>0.73351999999999995</v>
      </c>
      <c r="F110" s="11">
        <v>-298</v>
      </c>
      <c r="G110" s="12">
        <v>0</v>
      </c>
      <c r="K110" s="11">
        <v>-90</v>
      </c>
      <c r="L110" s="12">
        <v>0</v>
      </c>
    </row>
    <row r="111" spans="1:12" x14ac:dyDescent="0.25">
      <c r="A111" s="11">
        <v>-623</v>
      </c>
      <c r="B111" s="12">
        <v>0.73353999999999997</v>
      </c>
      <c r="F111" s="11">
        <v>-297</v>
      </c>
      <c r="G111" s="12">
        <v>0</v>
      </c>
      <c r="K111" s="11">
        <v>-89</v>
      </c>
      <c r="L111" s="12">
        <v>0</v>
      </c>
    </row>
    <row r="112" spans="1:12" x14ac:dyDescent="0.25">
      <c r="A112" s="11">
        <v>-622</v>
      </c>
      <c r="B112" s="12">
        <v>0.73355999999999999</v>
      </c>
      <c r="F112" s="11">
        <v>-296</v>
      </c>
      <c r="G112" s="12">
        <v>0</v>
      </c>
      <c r="K112" s="11">
        <v>-88</v>
      </c>
      <c r="L112" s="12">
        <v>0</v>
      </c>
    </row>
    <row r="113" spans="1:12" x14ac:dyDescent="0.25">
      <c r="A113" s="11">
        <v>-621</v>
      </c>
      <c r="B113" s="12">
        <v>0.73358000000000001</v>
      </c>
      <c r="F113" s="11">
        <v>-295</v>
      </c>
      <c r="G113" s="12">
        <v>0</v>
      </c>
      <c r="K113" s="11">
        <v>-87</v>
      </c>
      <c r="L113" s="12">
        <v>0</v>
      </c>
    </row>
    <row r="114" spans="1:12" x14ac:dyDescent="0.25">
      <c r="A114" s="11">
        <v>-620</v>
      </c>
      <c r="B114" s="12">
        <v>0.73360000000000003</v>
      </c>
      <c r="F114" s="11">
        <v>-294</v>
      </c>
      <c r="G114" s="12">
        <v>0</v>
      </c>
      <c r="K114" s="11">
        <v>-86</v>
      </c>
      <c r="L114" s="12">
        <v>0</v>
      </c>
    </row>
    <row r="115" spans="1:12" x14ac:dyDescent="0.25">
      <c r="A115" s="11">
        <v>-619</v>
      </c>
      <c r="B115" s="12">
        <v>0.73362000000000005</v>
      </c>
      <c r="F115" s="11">
        <v>-293</v>
      </c>
      <c r="G115" s="12">
        <v>0</v>
      </c>
      <c r="K115" s="11">
        <v>-85</v>
      </c>
      <c r="L115" s="12">
        <v>0</v>
      </c>
    </row>
    <row r="116" spans="1:12" x14ac:dyDescent="0.25">
      <c r="A116" s="11">
        <v>-618</v>
      </c>
      <c r="B116" s="12">
        <v>0.73363999999999996</v>
      </c>
      <c r="F116" s="11">
        <v>-292</v>
      </c>
      <c r="G116" s="12">
        <v>0</v>
      </c>
      <c r="K116" s="11">
        <v>-84</v>
      </c>
      <c r="L116" s="12">
        <v>0</v>
      </c>
    </row>
    <row r="117" spans="1:12" x14ac:dyDescent="0.25">
      <c r="A117" s="11">
        <v>-617</v>
      </c>
      <c r="B117" s="12">
        <v>0.73365999999999998</v>
      </c>
      <c r="F117" s="11">
        <v>-291</v>
      </c>
      <c r="G117" s="12">
        <v>0</v>
      </c>
      <c r="K117" s="11">
        <v>-83</v>
      </c>
      <c r="L117" s="12">
        <v>0</v>
      </c>
    </row>
    <row r="118" spans="1:12" x14ac:dyDescent="0.25">
      <c r="A118" s="11">
        <v>-616</v>
      </c>
      <c r="B118" s="12">
        <v>0.73368</v>
      </c>
      <c r="F118" s="11">
        <v>-290</v>
      </c>
      <c r="G118" s="12">
        <v>0</v>
      </c>
      <c r="K118" s="11">
        <v>-82</v>
      </c>
      <c r="L118" s="12">
        <v>0</v>
      </c>
    </row>
    <row r="119" spans="1:12" x14ac:dyDescent="0.25">
      <c r="A119" s="11">
        <v>-615</v>
      </c>
      <c r="B119" s="12">
        <v>0.73370000000000002</v>
      </c>
      <c r="F119" s="11">
        <v>-289</v>
      </c>
      <c r="G119" s="12">
        <v>0</v>
      </c>
      <c r="K119" s="11">
        <v>-81</v>
      </c>
      <c r="L119" s="12">
        <v>0</v>
      </c>
    </row>
    <row r="120" spans="1:12" x14ac:dyDescent="0.25">
      <c r="A120" s="11">
        <v>-614</v>
      </c>
      <c r="B120" s="12">
        <v>0.73372000000000004</v>
      </c>
      <c r="F120" s="11">
        <v>-288</v>
      </c>
      <c r="G120" s="12">
        <v>0</v>
      </c>
      <c r="K120" s="11">
        <v>-80</v>
      </c>
      <c r="L120" s="12">
        <v>0</v>
      </c>
    </row>
    <row r="121" spans="1:12" x14ac:dyDescent="0.25">
      <c r="A121" s="11">
        <v>-613</v>
      </c>
      <c r="B121" s="12">
        <v>0.73373999999999995</v>
      </c>
      <c r="F121" s="11">
        <v>-287</v>
      </c>
      <c r="G121" s="12">
        <v>0</v>
      </c>
      <c r="K121" s="11">
        <v>-79</v>
      </c>
      <c r="L121" s="12">
        <v>0</v>
      </c>
    </row>
    <row r="122" spans="1:12" x14ac:dyDescent="0.25">
      <c r="A122" s="11">
        <v>-612</v>
      </c>
      <c r="B122" s="12">
        <v>0.73375999999999997</v>
      </c>
      <c r="F122" s="11">
        <v>-286</v>
      </c>
      <c r="G122" s="12">
        <v>0</v>
      </c>
      <c r="K122" s="11">
        <v>-78</v>
      </c>
      <c r="L122" s="12">
        <v>0</v>
      </c>
    </row>
    <row r="123" spans="1:12" x14ac:dyDescent="0.25">
      <c r="A123" s="11">
        <v>-611</v>
      </c>
      <c r="B123" s="12">
        <v>0.73377999999999999</v>
      </c>
      <c r="F123" s="11">
        <v>-285</v>
      </c>
      <c r="G123" s="12">
        <v>0</v>
      </c>
      <c r="K123" s="11">
        <v>-77</v>
      </c>
      <c r="L123" s="12">
        <v>0</v>
      </c>
    </row>
    <row r="124" spans="1:12" x14ac:dyDescent="0.25">
      <c r="A124" s="11">
        <v>-610</v>
      </c>
      <c r="B124" s="12">
        <v>0.73380000000000001</v>
      </c>
      <c r="F124" s="11">
        <v>-284</v>
      </c>
      <c r="G124" s="12">
        <v>0</v>
      </c>
      <c r="K124" s="11">
        <v>-76</v>
      </c>
      <c r="L124" s="12">
        <v>0</v>
      </c>
    </row>
    <row r="125" spans="1:12" x14ac:dyDescent="0.25">
      <c r="A125" s="11">
        <v>-609</v>
      </c>
      <c r="B125" s="12">
        <v>0.73382000000000003</v>
      </c>
      <c r="F125" s="11">
        <v>-283</v>
      </c>
      <c r="G125" s="12">
        <v>0</v>
      </c>
      <c r="K125" s="11">
        <v>-75</v>
      </c>
      <c r="L125" s="12">
        <v>0</v>
      </c>
    </row>
    <row r="126" spans="1:12" x14ac:dyDescent="0.25">
      <c r="A126" s="11">
        <v>-608</v>
      </c>
      <c r="B126" s="12">
        <v>0.73384000000000005</v>
      </c>
      <c r="F126" s="11">
        <v>-282</v>
      </c>
      <c r="G126" s="12">
        <v>0</v>
      </c>
      <c r="K126" s="11">
        <v>-74</v>
      </c>
      <c r="L126" s="12">
        <v>0</v>
      </c>
    </row>
    <row r="127" spans="1:12" x14ac:dyDescent="0.25">
      <c r="A127" s="11">
        <v>-607</v>
      </c>
      <c r="B127" s="12">
        <v>0.73385999999999996</v>
      </c>
      <c r="F127" s="11">
        <v>-281</v>
      </c>
      <c r="G127" s="12">
        <v>0</v>
      </c>
      <c r="K127" s="11">
        <v>-73</v>
      </c>
      <c r="L127" s="12">
        <v>0</v>
      </c>
    </row>
    <row r="128" spans="1:12" x14ac:dyDescent="0.25">
      <c r="A128" s="11">
        <v>-606</v>
      </c>
      <c r="B128" s="12">
        <v>0.73387999999999998</v>
      </c>
      <c r="F128" s="11">
        <v>-280</v>
      </c>
      <c r="G128" s="12">
        <v>0</v>
      </c>
      <c r="K128" s="11">
        <v>-72</v>
      </c>
      <c r="L128" s="12">
        <v>0</v>
      </c>
    </row>
    <row r="129" spans="1:12" x14ac:dyDescent="0.25">
      <c r="A129" s="11">
        <v>-605</v>
      </c>
      <c r="B129" s="12">
        <v>0.7339</v>
      </c>
      <c r="F129" s="11">
        <v>-279</v>
      </c>
      <c r="G129" s="12">
        <v>0</v>
      </c>
      <c r="K129" s="11">
        <v>-71</v>
      </c>
      <c r="L129" s="12">
        <v>0</v>
      </c>
    </row>
    <row r="130" spans="1:12" x14ac:dyDescent="0.25">
      <c r="A130" s="11">
        <v>-604</v>
      </c>
      <c r="B130" s="12">
        <v>0.73392000000000002</v>
      </c>
      <c r="F130" s="11">
        <v>-278</v>
      </c>
      <c r="G130" s="12">
        <v>0</v>
      </c>
      <c r="K130" s="11">
        <v>-70</v>
      </c>
      <c r="L130" s="12">
        <v>0</v>
      </c>
    </row>
    <row r="131" spans="1:12" x14ac:dyDescent="0.25">
      <c r="A131" s="11">
        <v>-603</v>
      </c>
      <c r="B131" s="12">
        <v>0.73394000000000004</v>
      </c>
      <c r="F131" s="11">
        <v>-277</v>
      </c>
      <c r="G131" s="12">
        <v>0</v>
      </c>
      <c r="K131" s="11">
        <v>-69</v>
      </c>
      <c r="L131" s="12">
        <v>0</v>
      </c>
    </row>
    <row r="132" spans="1:12" x14ac:dyDescent="0.25">
      <c r="A132" s="11">
        <v>-602</v>
      </c>
      <c r="B132" s="12">
        <v>0.73395999999999995</v>
      </c>
      <c r="F132" s="11">
        <v>-276</v>
      </c>
      <c r="G132" s="12">
        <v>0</v>
      </c>
      <c r="K132" s="11">
        <v>-68</v>
      </c>
      <c r="L132" s="12">
        <v>0</v>
      </c>
    </row>
    <row r="133" spans="1:12" x14ac:dyDescent="0.25">
      <c r="A133" s="11">
        <v>-601</v>
      </c>
      <c r="B133" s="12">
        <v>0.73397999999999997</v>
      </c>
      <c r="F133" s="11">
        <v>-275</v>
      </c>
      <c r="G133" s="12">
        <v>0</v>
      </c>
      <c r="K133" s="11">
        <v>-67</v>
      </c>
      <c r="L133" s="12">
        <v>0</v>
      </c>
    </row>
    <row r="134" spans="1:12" x14ac:dyDescent="0.25">
      <c r="A134" s="11">
        <v>-600</v>
      </c>
      <c r="B134" s="12">
        <v>0.73399999999999999</v>
      </c>
      <c r="F134" s="11">
        <v>-274</v>
      </c>
      <c r="G134" s="12">
        <v>0</v>
      </c>
      <c r="K134" s="11">
        <v>-66</v>
      </c>
      <c r="L134" s="12">
        <v>0</v>
      </c>
    </row>
    <row r="135" spans="1:12" x14ac:dyDescent="0.25">
      <c r="A135" s="11">
        <v>-599</v>
      </c>
      <c r="B135" s="12">
        <v>0.73401990100000003</v>
      </c>
      <c r="F135" s="11">
        <v>-273</v>
      </c>
      <c r="G135" s="12">
        <v>0</v>
      </c>
      <c r="K135" s="11">
        <v>-65</v>
      </c>
      <c r="L135" s="12">
        <v>0</v>
      </c>
    </row>
    <row r="136" spans="1:12" x14ac:dyDescent="0.25">
      <c r="A136" s="11">
        <v>-598</v>
      </c>
      <c r="B136" s="12">
        <v>0.73403960800000001</v>
      </c>
      <c r="F136" s="11">
        <v>-272</v>
      </c>
      <c r="G136" s="12">
        <v>0</v>
      </c>
      <c r="K136" s="11">
        <v>-64</v>
      </c>
      <c r="L136" s="12">
        <v>0</v>
      </c>
    </row>
    <row r="137" spans="1:12" x14ac:dyDescent="0.25">
      <c r="A137" s="11">
        <v>-597</v>
      </c>
      <c r="B137" s="12">
        <v>0.73405912699999998</v>
      </c>
      <c r="F137" s="11">
        <v>-271</v>
      </c>
      <c r="G137" s="12">
        <v>0</v>
      </c>
      <c r="K137" s="11">
        <v>-63</v>
      </c>
      <c r="L137" s="12">
        <v>0</v>
      </c>
    </row>
    <row r="138" spans="1:12" x14ac:dyDescent="0.25">
      <c r="A138" s="11">
        <v>-596</v>
      </c>
      <c r="B138" s="12">
        <v>0.73407846399999999</v>
      </c>
      <c r="F138" s="11">
        <v>-270</v>
      </c>
      <c r="G138" s="12">
        <v>0</v>
      </c>
      <c r="K138" s="11">
        <v>-62</v>
      </c>
      <c r="L138" s="12">
        <v>0</v>
      </c>
    </row>
    <row r="139" spans="1:12" x14ac:dyDescent="0.25">
      <c r="A139" s="11">
        <v>-595</v>
      </c>
      <c r="B139" s="12">
        <v>0.73409762499999998</v>
      </c>
      <c r="F139" s="11">
        <v>-269</v>
      </c>
      <c r="G139" s="12">
        <v>0</v>
      </c>
      <c r="K139" s="11">
        <v>-61</v>
      </c>
      <c r="L139" s="12">
        <v>0</v>
      </c>
    </row>
    <row r="140" spans="1:12" x14ac:dyDescent="0.25">
      <c r="A140" s="11">
        <v>-594</v>
      </c>
      <c r="B140" s="12">
        <v>0.734116616</v>
      </c>
      <c r="F140" s="11">
        <v>-268</v>
      </c>
      <c r="G140" s="12">
        <v>0</v>
      </c>
      <c r="K140" s="11">
        <v>-60</v>
      </c>
      <c r="L140" s="12">
        <v>0</v>
      </c>
    </row>
    <row r="141" spans="1:12" x14ac:dyDescent="0.25">
      <c r="A141" s="11">
        <v>-593</v>
      </c>
      <c r="B141" s="12">
        <v>0.734135443</v>
      </c>
      <c r="F141" s="11">
        <v>-267</v>
      </c>
      <c r="G141" s="12">
        <v>0</v>
      </c>
      <c r="K141" s="11">
        <v>-59</v>
      </c>
      <c r="L141" s="12">
        <v>0</v>
      </c>
    </row>
    <row r="142" spans="1:12" x14ac:dyDescent="0.25">
      <c r="A142" s="11">
        <v>-592</v>
      </c>
      <c r="B142" s="12">
        <v>0.73415411200000003</v>
      </c>
      <c r="F142" s="11">
        <v>-266</v>
      </c>
      <c r="G142" s="12">
        <v>0</v>
      </c>
      <c r="K142" s="11">
        <v>-58</v>
      </c>
      <c r="L142" s="12">
        <v>0</v>
      </c>
    </row>
    <row r="143" spans="1:12" x14ac:dyDescent="0.25">
      <c r="A143" s="11">
        <v>-591</v>
      </c>
      <c r="B143" s="12">
        <v>0.73417262900000002</v>
      </c>
      <c r="F143" s="11">
        <v>-265</v>
      </c>
      <c r="G143" s="12">
        <v>0</v>
      </c>
      <c r="K143" s="11">
        <v>-57</v>
      </c>
      <c r="L143" s="12">
        <v>0</v>
      </c>
    </row>
    <row r="144" spans="1:12" x14ac:dyDescent="0.25">
      <c r="A144" s="11">
        <v>-590</v>
      </c>
      <c r="B144" s="12">
        <v>0.73419100000000004</v>
      </c>
      <c r="F144" s="11">
        <v>-264</v>
      </c>
      <c r="G144" s="12">
        <v>0</v>
      </c>
      <c r="K144" s="11">
        <v>-56</v>
      </c>
      <c r="L144" s="12">
        <v>0</v>
      </c>
    </row>
    <row r="145" spans="1:12" x14ac:dyDescent="0.25">
      <c r="A145" s="11">
        <v>-589</v>
      </c>
      <c r="B145" s="12">
        <v>0.73420923100000002</v>
      </c>
      <c r="F145" s="11">
        <v>-263</v>
      </c>
      <c r="G145" s="12">
        <v>0</v>
      </c>
      <c r="K145" s="11">
        <v>-55</v>
      </c>
      <c r="L145" s="12">
        <v>0</v>
      </c>
    </row>
    <row r="146" spans="1:12" x14ac:dyDescent="0.25">
      <c r="A146" s="11">
        <v>-588</v>
      </c>
      <c r="B146" s="12">
        <v>0.73422732800000001</v>
      </c>
      <c r="F146" s="11">
        <v>-262</v>
      </c>
      <c r="G146" s="12">
        <v>0</v>
      </c>
      <c r="K146" s="11">
        <v>-54</v>
      </c>
      <c r="L146" s="12">
        <v>0</v>
      </c>
    </row>
    <row r="147" spans="1:12" x14ac:dyDescent="0.25">
      <c r="A147" s="11">
        <v>-587</v>
      </c>
      <c r="B147" s="12">
        <v>0.73424529699999996</v>
      </c>
      <c r="F147" s="11">
        <v>-261</v>
      </c>
      <c r="G147" s="12">
        <v>0</v>
      </c>
      <c r="K147" s="11">
        <v>-53</v>
      </c>
      <c r="L147" s="12">
        <v>0</v>
      </c>
    </row>
    <row r="148" spans="1:12" x14ac:dyDescent="0.25">
      <c r="A148" s="11">
        <v>-586</v>
      </c>
      <c r="B148" s="12">
        <v>0.73426314400000003</v>
      </c>
      <c r="F148" s="11">
        <v>-260</v>
      </c>
      <c r="G148" s="12">
        <v>0</v>
      </c>
      <c r="K148" s="11">
        <v>-52</v>
      </c>
      <c r="L148" s="12">
        <v>0</v>
      </c>
    </row>
    <row r="149" spans="1:12" x14ac:dyDescent="0.25">
      <c r="A149" s="11">
        <v>-585</v>
      </c>
      <c r="B149" s="12">
        <v>0.73428087500000006</v>
      </c>
      <c r="F149" s="11">
        <v>-259</v>
      </c>
      <c r="G149" s="12">
        <v>0</v>
      </c>
      <c r="K149" s="11">
        <v>-51</v>
      </c>
      <c r="L149" s="12">
        <v>0</v>
      </c>
    </row>
    <row r="150" spans="1:12" x14ac:dyDescent="0.25">
      <c r="A150" s="11">
        <v>-584</v>
      </c>
      <c r="B150" s="12">
        <v>0.73429849599999997</v>
      </c>
      <c r="F150" s="11">
        <v>-258</v>
      </c>
      <c r="G150" s="12">
        <v>0</v>
      </c>
      <c r="K150" s="11">
        <v>-50</v>
      </c>
      <c r="L150" s="12">
        <v>1.6307970245131201E-3</v>
      </c>
    </row>
    <row r="151" spans="1:12" x14ac:dyDescent="0.25">
      <c r="A151" s="11">
        <v>-583</v>
      </c>
      <c r="B151" s="12">
        <v>0.73431601300000005</v>
      </c>
      <c r="F151" s="11">
        <v>-257</v>
      </c>
      <c r="G151" s="12">
        <v>0</v>
      </c>
      <c r="K151" s="11">
        <v>-49</v>
      </c>
      <c r="L151" s="12">
        <v>6.4255083267172001E-3</v>
      </c>
    </row>
    <row r="152" spans="1:12" x14ac:dyDescent="0.25">
      <c r="A152" s="11">
        <v>-582</v>
      </c>
      <c r="B152" s="12">
        <v>0.73433343200000001</v>
      </c>
      <c r="F152" s="11">
        <v>-256</v>
      </c>
      <c r="G152" s="12">
        <v>0</v>
      </c>
      <c r="K152" s="11">
        <v>-48</v>
      </c>
      <c r="L152" s="12">
        <v>1.4237614249609299E-2</v>
      </c>
    </row>
    <row r="153" spans="1:12" x14ac:dyDescent="0.25">
      <c r="A153" s="11">
        <v>-581</v>
      </c>
      <c r="B153" s="12">
        <v>0.73435075900000002</v>
      </c>
      <c r="F153" s="11">
        <v>-255</v>
      </c>
      <c r="G153" s="12">
        <v>0</v>
      </c>
      <c r="K153" s="11">
        <v>-47</v>
      </c>
      <c r="L153" s="12">
        <v>2.49205951361866E-2</v>
      </c>
    </row>
    <row r="154" spans="1:12" x14ac:dyDescent="0.25">
      <c r="A154" s="11">
        <v>-580</v>
      </c>
      <c r="B154" s="12">
        <v>0.73436800000000002</v>
      </c>
      <c r="F154" s="11">
        <v>-254</v>
      </c>
      <c r="G154" s="12">
        <v>0</v>
      </c>
      <c r="K154" s="11">
        <v>-46</v>
      </c>
      <c r="L154" s="12">
        <v>3.8327931329446098E-2</v>
      </c>
    </row>
    <row r="155" spans="1:12" x14ac:dyDescent="0.25">
      <c r="A155" s="11">
        <v>-579</v>
      </c>
      <c r="B155" s="12">
        <v>0.73438516099999995</v>
      </c>
      <c r="F155" s="11">
        <v>-253</v>
      </c>
      <c r="G155" s="12">
        <v>0</v>
      </c>
      <c r="K155" s="11">
        <v>-45</v>
      </c>
      <c r="L155" s="12">
        <v>5.4313103172384802E-2</v>
      </c>
    </row>
    <row r="156" spans="1:12" x14ac:dyDescent="0.25">
      <c r="A156" s="11">
        <v>-578</v>
      </c>
      <c r="B156" s="12">
        <v>0.73440224799999998</v>
      </c>
      <c r="F156" s="11">
        <v>-252</v>
      </c>
      <c r="G156" s="12">
        <v>0</v>
      </c>
      <c r="K156" s="11">
        <v>-44</v>
      </c>
      <c r="L156" s="12">
        <v>7.2729591008E-2</v>
      </c>
    </row>
    <row r="157" spans="1:12" x14ac:dyDescent="0.25">
      <c r="A157" s="11">
        <v>-577</v>
      </c>
      <c r="B157" s="12">
        <v>0.73441926700000004</v>
      </c>
      <c r="F157" s="11">
        <v>-251</v>
      </c>
      <c r="G157" s="12">
        <v>0</v>
      </c>
      <c r="K157" s="11">
        <v>-43</v>
      </c>
      <c r="L157" s="12">
        <v>9.3430875179288594E-2</v>
      </c>
    </row>
    <row r="158" spans="1:12" x14ac:dyDescent="0.25">
      <c r="A158" s="11">
        <v>-576</v>
      </c>
      <c r="B158" s="12">
        <v>0.73443622399999997</v>
      </c>
      <c r="F158" s="11">
        <v>-250</v>
      </c>
      <c r="G158" s="12">
        <v>0</v>
      </c>
      <c r="K158" s="11">
        <v>-42</v>
      </c>
      <c r="L158" s="12">
        <v>0.116270436029248</v>
      </c>
    </row>
    <row r="159" spans="1:12" x14ac:dyDescent="0.25">
      <c r="A159" s="11">
        <v>-575</v>
      </c>
      <c r="B159" s="12">
        <v>0.73445312500000004</v>
      </c>
      <c r="F159" s="11">
        <v>-249</v>
      </c>
      <c r="G159" s="12">
        <v>0</v>
      </c>
      <c r="K159" s="11">
        <v>-41</v>
      </c>
      <c r="L159" s="12">
        <v>0.14110175390087501</v>
      </c>
    </row>
    <row r="160" spans="1:12" x14ac:dyDescent="0.25">
      <c r="A160" s="11">
        <v>-574</v>
      </c>
      <c r="B160" s="12">
        <v>0.73446997599999997</v>
      </c>
      <c r="F160" s="11">
        <v>-248</v>
      </c>
      <c r="G160" s="12">
        <v>0</v>
      </c>
      <c r="K160" s="11">
        <v>-40</v>
      </c>
      <c r="L160" s="12">
        <v>0.16777830913716599</v>
      </c>
    </row>
    <row r="161" spans="1:12" x14ac:dyDescent="0.25">
      <c r="A161" s="11">
        <v>-573</v>
      </c>
      <c r="B161" s="12">
        <v>0.73448678300000003</v>
      </c>
      <c r="F161" s="11">
        <v>-247</v>
      </c>
      <c r="G161" s="12">
        <v>0</v>
      </c>
      <c r="K161" s="11">
        <v>-39</v>
      </c>
      <c r="L161" s="12">
        <v>0.19615358208111899</v>
      </c>
    </row>
    <row r="162" spans="1:12" x14ac:dyDescent="0.25">
      <c r="A162" s="11">
        <v>-572</v>
      </c>
      <c r="B162" s="12">
        <v>0.73450355199999995</v>
      </c>
      <c r="F162" s="11">
        <v>-246</v>
      </c>
      <c r="G162" s="12">
        <v>0</v>
      </c>
      <c r="K162" s="11">
        <v>-38</v>
      </c>
      <c r="L162" s="12">
        <v>0.22608105307573201</v>
      </c>
    </row>
    <row r="163" spans="1:12" x14ac:dyDescent="0.25">
      <c r="A163" s="11">
        <v>-571</v>
      </c>
      <c r="B163" s="12">
        <v>0.73452028899999999</v>
      </c>
      <c r="F163" s="11">
        <v>-245</v>
      </c>
      <c r="G163" s="12">
        <v>0</v>
      </c>
      <c r="K163" s="11">
        <v>-37</v>
      </c>
      <c r="L163" s="12">
        <v>0.25741420246399999</v>
      </c>
    </row>
    <row r="164" spans="1:12" x14ac:dyDescent="0.25">
      <c r="A164" s="11">
        <v>-570</v>
      </c>
      <c r="B164" s="12">
        <v>0.734537</v>
      </c>
      <c r="F164" s="11">
        <v>-244</v>
      </c>
      <c r="G164" s="12">
        <v>0</v>
      </c>
      <c r="K164" s="11">
        <v>-36</v>
      </c>
      <c r="L164" s="12">
        <v>0.29000651058892102</v>
      </c>
    </row>
    <row r="165" spans="1:12" x14ac:dyDescent="0.25">
      <c r="A165" s="11">
        <v>-569</v>
      </c>
      <c r="B165" s="12">
        <v>0.73455369100000001</v>
      </c>
      <c r="F165" s="11">
        <v>-243</v>
      </c>
      <c r="G165" s="12">
        <v>0</v>
      </c>
      <c r="K165" s="11">
        <v>-35</v>
      </c>
      <c r="L165" s="12">
        <v>0.32371145779349297</v>
      </c>
    </row>
    <row r="166" spans="1:12" x14ac:dyDescent="0.25">
      <c r="A166" s="11">
        <v>-568</v>
      </c>
      <c r="B166" s="12">
        <v>0.73457036799999997</v>
      </c>
      <c r="F166" s="11">
        <v>-242</v>
      </c>
      <c r="G166" s="12">
        <v>0</v>
      </c>
      <c r="K166" s="11">
        <v>-34</v>
      </c>
      <c r="L166" s="12">
        <v>0.358382524420711</v>
      </c>
    </row>
    <row r="167" spans="1:12" x14ac:dyDescent="0.25">
      <c r="A167" s="11">
        <v>-567</v>
      </c>
      <c r="B167" s="12">
        <v>0.73458703700000005</v>
      </c>
      <c r="F167" s="11">
        <v>-241</v>
      </c>
      <c r="G167" s="12">
        <v>0</v>
      </c>
      <c r="K167" s="11">
        <v>-33</v>
      </c>
      <c r="L167" s="12">
        <v>0.39387319081357403</v>
      </c>
    </row>
    <row r="168" spans="1:12" x14ac:dyDescent="0.25">
      <c r="A168" s="11">
        <v>-566</v>
      </c>
      <c r="B168" s="12">
        <v>0.73460370399999997</v>
      </c>
      <c r="F168" s="11">
        <v>-240</v>
      </c>
      <c r="G168" s="12">
        <v>0</v>
      </c>
      <c r="K168" s="11">
        <v>-32</v>
      </c>
      <c r="L168" s="12">
        <v>0.43003693731507903</v>
      </c>
    </row>
    <row r="169" spans="1:12" x14ac:dyDescent="0.25">
      <c r="A169" s="11">
        <v>-565</v>
      </c>
      <c r="B169" s="12">
        <v>0.73462037499999999</v>
      </c>
      <c r="F169" s="11">
        <v>-239</v>
      </c>
      <c r="G169" s="12">
        <v>0</v>
      </c>
      <c r="K169" s="11">
        <v>-31</v>
      </c>
      <c r="L169" s="12">
        <v>0.46672724426822199</v>
      </c>
    </row>
    <row r="170" spans="1:12" x14ac:dyDescent="0.25">
      <c r="A170" s="11">
        <v>-564</v>
      </c>
      <c r="B170" s="12">
        <v>0.73463705599999995</v>
      </c>
      <c r="F170" s="11">
        <v>-238</v>
      </c>
      <c r="G170" s="12">
        <v>0</v>
      </c>
      <c r="K170" s="11">
        <v>-30</v>
      </c>
      <c r="L170" s="12">
        <v>0.50379759201600005</v>
      </c>
    </row>
    <row r="171" spans="1:12" x14ac:dyDescent="0.25">
      <c r="A171" s="11">
        <v>-563</v>
      </c>
      <c r="B171" s="12">
        <v>0.73465375300000002</v>
      </c>
      <c r="F171" s="11">
        <v>-237</v>
      </c>
      <c r="G171" s="12">
        <v>0</v>
      </c>
      <c r="K171" s="11">
        <v>-29</v>
      </c>
      <c r="L171" s="12">
        <v>0.54110146090141098</v>
      </c>
    </row>
    <row r="172" spans="1:12" x14ac:dyDescent="0.25">
      <c r="A172" s="11">
        <v>-562</v>
      </c>
      <c r="B172" s="12">
        <v>0.73467047200000002</v>
      </c>
      <c r="F172" s="11">
        <v>-236</v>
      </c>
      <c r="G172" s="12">
        <v>0</v>
      </c>
      <c r="K172" s="11">
        <v>-28</v>
      </c>
      <c r="L172" s="12">
        <v>0.57849233126745203</v>
      </c>
    </row>
    <row r="173" spans="1:12" x14ac:dyDescent="0.25">
      <c r="A173" s="11">
        <v>-561</v>
      </c>
      <c r="B173" s="12">
        <v>0.734687219</v>
      </c>
      <c r="F173" s="11">
        <v>-235</v>
      </c>
      <c r="G173" s="12">
        <v>0</v>
      </c>
      <c r="K173" s="11">
        <v>-27</v>
      </c>
      <c r="L173" s="12">
        <v>0.61582368345712002</v>
      </c>
    </row>
    <row r="174" spans="1:12" x14ac:dyDescent="0.25">
      <c r="A174" s="11">
        <v>-560</v>
      </c>
      <c r="B174" s="12">
        <v>0.73470400000000002</v>
      </c>
      <c r="F174" s="11">
        <v>-234</v>
      </c>
      <c r="G174" s="12">
        <v>0</v>
      </c>
      <c r="K174" s="11">
        <v>-26</v>
      </c>
      <c r="L174" s="12">
        <v>0.65294899781341098</v>
      </c>
    </row>
    <row r="175" spans="1:12" x14ac:dyDescent="0.25">
      <c r="A175" s="11">
        <v>-559</v>
      </c>
      <c r="B175" s="12">
        <v>0.73472082100000002</v>
      </c>
      <c r="F175" s="11">
        <v>-233</v>
      </c>
      <c r="G175" s="12">
        <v>0</v>
      </c>
      <c r="K175" s="11">
        <v>-25</v>
      </c>
      <c r="L175" s="12">
        <v>0.68972175467932395</v>
      </c>
    </row>
    <row r="176" spans="1:12" x14ac:dyDescent="0.25">
      <c r="A176" s="11">
        <v>-558</v>
      </c>
      <c r="B176" s="12">
        <v>0.73473768800000006</v>
      </c>
      <c r="F176" s="11">
        <v>-232</v>
      </c>
      <c r="G176" s="12">
        <v>0</v>
      </c>
      <c r="K176" s="11">
        <v>-24</v>
      </c>
      <c r="L176" s="12">
        <v>0.72599543439785397</v>
      </c>
    </row>
    <row r="177" spans="1:12" x14ac:dyDescent="0.25">
      <c r="A177" s="11">
        <v>-557</v>
      </c>
      <c r="B177" s="12">
        <v>0.73475460699999995</v>
      </c>
      <c r="F177" s="11">
        <v>-231</v>
      </c>
      <c r="G177" s="12">
        <v>0</v>
      </c>
      <c r="K177" s="11">
        <v>-23</v>
      </c>
      <c r="L177" s="12">
        <v>0.76162351731199995</v>
      </c>
    </row>
    <row r="178" spans="1:12" x14ac:dyDescent="0.25">
      <c r="A178" s="11">
        <v>-556</v>
      </c>
      <c r="B178" s="12">
        <v>0.73477158399999998</v>
      </c>
      <c r="F178" s="11">
        <v>-230</v>
      </c>
      <c r="G178" s="12">
        <v>0</v>
      </c>
      <c r="K178" s="11">
        <v>-22</v>
      </c>
      <c r="L178" s="12">
        <v>0.79645948376475795</v>
      </c>
    </row>
    <row r="179" spans="1:12" x14ac:dyDescent="0.25">
      <c r="A179" s="11">
        <v>-555</v>
      </c>
      <c r="B179" s="12">
        <v>0.73478862499999997</v>
      </c>
      <c r="F179" s="11">
        <v>-229</v>
      </c>
      <c r="G179" s="12">
        <v>0</v>
      </c>
      <c r="K179" s="11">
        <v>-21</v>
      </c>
      <c r="L179" s="12">
        <v>0.83035681409912498</v>
      </c>
    </row>
    <row r="180" spans="1:12" x14ac:dyDescent="0.25">
      <c r="A180" s="11">
        <v>-554</v>
      </c>
      <c r="B180" s="12">
        <v>0.73480573599999999</v>
      </c>
      <c r="F180" s="11">
        <v>-228</v>
      </c>
      <c r="G180" s="12">
        <v>0</v>
      </c>
      <c r="K180" s="11">
        <v>-20</v>
      </c>
      <c r="L180" s="12">
        <v>0.86316898865809899</v>
      </c>
    </row>
    <row r="181" spans="1:12" x14ac:dyDescent="0.25">
      <c r="A181" s="11">
        <v>-553</v>
      </c>
      <c r="B181" s="12">
        <v>0.73482292299999996</v>
      </c>
      <c r="F181" s="11">
        <v>-227</v>
      </c>
      <c r="G181" s="12">
        <v>0</v>
      </c>
      <c r="K181" s="11">
        <v>-19</v>
      </c>
      <c r="L181" s="12">
        <v>0.894749487784676</v>
      </c>
    </row>
    <row r="182" spans="1:12" x14ac:dyDescent="0.25">
      <c r="A182" s="11">
        <v>-552</v>
      </c>
      <c r="B182" s="12">
        <v>0.73484019199999995</v>
      </c>
      <c r="F182" s="11">
        <v>-226</v>
      </c>
      <c r="G182" s="12">
        <v>0</v>
      </c>
      <c r="K182" s="11">
        <v>-18</v>
      </c>
      <c r="L182" s="12">
        <v>0.92495179182185405</v>
      </c>
    </row>
    <row r="183" spans="1:12" x14ac:dyDescent="0.25">
      <c r="A183" s="11">
        <v>-551</v>
      </c>
      <c r="B183" s="12">
        <v>0.734857549</v>
      </c>
      <c r="F183" s="11">
        <v>-225</v>
      </c>
      <c r="G183" s="12">
        <v>0</v>
      </c>
      <c r="K183" s="11">
        <v>-17</v>
      </c>
      <c r="L183" s="12">
        <v>0.95362938111262996</v>
      </c>
    </row>
    <row r="184" spans="1:12" x14ac:dyDescent="0.25">
      <c r="A184" s="11">
        <v>-550</v>
      </c>
      <c r="B184" s="12">
        <v>0.73487499999999994</v>
      </c>
      <c r="F184" s="11">
        <v>-224</v>
      </c>
      <c r="G184" s="12">
        <v>0</v>
      </c>
      <c r="K184" s="11">
        <v>-16</v>
      </c>
      <c r="L184" s="12">
        <v>0.98063573599999998</v>
      </c>
    </row>
    <row r="185" spans="1:12" x14ac:dyDescent="0.25">
      <c r="A185" s="11">
        <v>-549</v>
      </c>
      <c r="B185" s="12">
        <v>0.73489255099999995</v>
      </c>
      <c r="F185" s="11">
        <v>-223</v>
      </c>
      <c r="G185" s="12">
        <v>0</v>
      </c>
      <c r="K185" s="11">
        <v>-15</v>
      </c>
      <c r="L185" s="12">
        <v>1.00650945567059</v>
      </c>
    </row>
    <row r="186" spans="1:12" x14ac:dyDescent="0.25">
      <c r="A186" s="11">
        <v>-548</v>
      </c>
      <c r="B186" s="12">
        <v>0.73491020799999995</v>
      </c>
      <c r="F186" s="11">
        <v>-222</v>
      </c>
      <c r="G186" s="12">
        <v>0</v>
      </c>
      <c r="K186" s="11">
        <v>-14</v>
      </c>
      <c r="L186" s="12">
        <v>1.0319096425057099</v>
      </c>
    </row>
    <row r="187" spans="1:12" x14ac:dyDescent="0.25">
      <c r="A187" s="11">
        <v>-547</v>
      </c>
      <c r="B187" s="12">
        <v>0.73492797700000001</v>
      </c>
      <c r="F187" s="11">
        <v>-221</v>
      </c>
      <c r="G187" s="12">
        <v>0</v>
      </c>
      <c r="K187" s="11">
        <v>-13</v>
      </c>
      <c r="L187" s="12">
        <v>1.0568705316403499</v>
      </c>
    </row>
    <row r="188" spans="1:12" x14ac:dyDescent="0.25">
      <c r="A188" s="11">
        <v>-546</v>
      </c>
      <c r="B188" s="12">
        <v>0.73494586399999995</v>
      </c>
      <c r="F188" s="11">
        <v>-220</v>
      </c>
      <c r="G188" s="12">
        <v>0</v>
      </c>
      <c r="K188" s="11">
        <v>-12</v>
      </c>
      <c r="L188" s="12">
        <v>1.08142635820954</v>
      </c>
    </row>
    <row r="189" spans="1:12" x14ac:dyDescent="0.25">
      <c r="A189" s="11">
        <v>-545</v>
      </c>
      <c r="B189" s="12">
        <v>0.73496387500000004</v>
      </c>
      <c r="F189" s="11">
        <v>-219</v>
      </c>
      <c r="G189" s="12">
        <v>0</v>
      </c>
      <c r="K189" s="11">
        <v>-11</v>
      </c>
      <c r="L189" s="12">
        <v>1.10561135734828</v>
      </c>
    </row>
    <row r="190" spans="1:12" x14ac:dyDescent="0.25">
      <c r="A190" s="11">
        <v>-544</v>
      </c>
      <c r="B190" s="12">
        <v>0.73498201600000002</v>
      </c>
      <c r="F190" s="11">
        <v>-218</v>
      </c>
      <c r="G190" s="12">
        <v>0</v>
      </c>
      <c r="K190" s="11">
        <v>-10</v>
      </c>
      <c r="L190" s="12">
        <v>1.12945976419159</v>
      </c>
    </row>
    <row r="191" spans="1:12" x14ac:dyDescent="0.25">
      <c r="A191" s="11">
        <v>-543</v>
      </c>
      <c r="B191" s="12">
        <v>0.73500029300000003</v>
      </c>
      <c r="F191" s="11">
        <v>-217</v>
      </c>
      <c r="G191" s="12">
        <v>0</v>
      </c>
      <c r="K191" s="11">
        <v>-9</v>
      </c>
      <c r="L191" s="12">
        <v>1.1530058138744601</v>
      </c>
    </row>
    <row r="192" spans="1:12" x14ac:dyDescent="0.25">
      <c r="A192" s="11">
        <v>-542</v>
      </c>
      <c r="B192" s="12">
        <v>0.73501871200000002</v>
      </c>
      <c r="F192" s="11">
        <v>-216</v>
      </c>
      <c r="G192" s="12">
        <v>0</v>
      </c>
      <c r="K192" s="11">
        <v>-8</v>
      </c>
      <c r="L192" s="12">
        <v>1.1762837415319201</v>
      </c>
    </row>
    <row r="193" spans="1:12" x14ac:dyDescent="0.25">
      <c r="A193" s="11">
        <v>-541</v>
      </c>
      <c r="B193" s="12">
        <v>0.73503727900000004</v>
      </c>
      <c r="F193" s="11">
        <v>-215</v>
      </c>
      <c r="G193" s="12">
        <v>0</v>
      </c>
      <c r="K193" s="11">
        <v>-7</v>
      </c>
      <c r="L193" s="12">
        <v>1.1993277822989601</v>
      </c>
    </row>
    <row r="194" spans="1:12" x14ac:dyDescent="0.25">
      <c r="A194" s="11">
        <v>-540</v>
      </c>
      <c r="B194" s="12">
        <v>0.73505600000000004</v>
      </c>
      <c r="F194" s="11">
        <v>-214</v>
      </c>
      <c r="G194" s="12">
        <v>0</v>
      </c>
      <c r="K194" s="11">
        <v>-6</v>
      </c>
      <c r="L194" s="12">
        <v>1.22217217131061</v>
      </c>
    </row>
    <row r="195" spans="1:12" x14ac:dyDescent="0.25">
      <c r="A195" s="11">
        <v>-539</v>
      </c>
      <c r="B195" s="12">
        <v>0.73507488099999996</v>
      </c>
      <c r="F195" s="11">
        <v>-213</v>
      </c>
      <c r="G195" s="12">
        <v>0</v>
      </c>
      <c r="K195" s="11">
        <v>-5</v>
      </c>
      <c r="L195" s="12">
        <v>1.2448511437018599</v>
      </c>
    </row>
    <row r="196" spans="1:12" x14ac:dyDescent="0.25">
      <c r="A196" s="11">
        <v>-538</v>
      </c>
      <c r="B196" s="12">
        <v>0.73509392799999995</v>
      </c>
      <c r="F196" s="11">
        <v>-212</v>
      </c>
      <c r="G196" s="12">
        <v>0</v>
      </c>
      <c r="K196" s="11">
        <v>-4</v>
      </c>
      <c r="L196" s="12">
        <v>1.2673989346077399</v>
      </c>
    </row>
    <row r="197" spans="1:12" x14ac:dyDescent="0.25">
      <c r="A197" s="11">
        <v>-537</v>
      </c>
      <c r="B197" s="12">
        <v>0.73511314699999997</v>
      </c>
      <c r="F197" s="11">
        <v>-211</v>
      </c>
      <c r="G197" s="12">
        <v>0</v>
      </c>
      <c r="K197" s="11">
        <v>-3</v>
      </c>
      <c r="L197" s="12">
        <v>1.28984977916324</v>
      </c>
    </row>
    <row r="198" spans="1:12" x14ac:dyDescent="0.25">
      <c r="A198" s="11">
        <v>-536</v>
      </c>
      <c r="B198" s="12">
        <v>0.73513254400000005</v>
      </c>
      <c r="F198" s="11">
        <v>-210</v>
      </c>
      <c r="G198" s="12">
        <v>0</v>
      </c>
      <c r="K198" s="11">
        <v>-2</v>
      </c>
      <c r="L198" s="12">
        <v>1.3122379125033801</v>
      </c>
    </row>
    <row r="199" spans="1:12" x14ac:dyDescent="0.25">
      <c r="A199" s="11">
        <v>-535</v>
      </c>
      <c r="B199" s="12">
        <v>0.73515212500000005</v>
      </c>
      <c r="F199" s="11">
        <v>-209</v>
      </c>
      <c r="G199" s="12">
        <v>0</v>
      </c>
      <c r="K199" s="11">
        <v>-1</v>
      </c>
      <c r="L199" s="12">
        <v>1.33459756976318</v>
      </c>
    </row>
    <row r="200" spans="1:12" x14ac:dyDescent="0.25">
      <c r="A200" s="11">
        <v>-534</v>
      </c>
      <c r="B200" s="12">
        <v>0.73517189599999999</v>
      </c>
      <c r="F200" s="11">
        <v>-208</v>
      </c>
      <c r="G200" s="12">
        <v>0</v>
      </c>
      <c r="K200" s="11">
        <v>0</v>
      </c>
      <c r="L200" s="12">
        <v>1.35696298607762</v>
      </c>
    </row>
    <row r="201" spans="1:12" x14ac:dyDescent="0.25">
      <c r="A201" s="11">
        <v>-533</v>
      </c>
      <c r="B201" s="12">
        <v>0.73519186299999995</v>
      </c>
      <c r="F201" s="11">
        <v>-207</v>
      </c>
      <c r="G201" s="12">
        <v>0</v>
      </c>
      <c r="K201" s="11">
        <v>1</v>
      </c>
      <c r="L201" s="12">
        <v>1.37936839658174</v>
      </c>
    </row>
    <row r="202" spans="1:12" x14ac:dyDescent="0.25">
      <c r="A202" s="11">
        <v>-532</v>
      </c>
      <c r="B202" s="12">
        <v>0.73521203199999996</v>
      </c>
      <c r="F202" s="11">
        <v>-206</v>
      </c>
      <c r="G202" s="12">
        <v>0</v>
      </c>
      <c r="K202" s="11">
        <v>2</v>
      </c>
      <c r="L202" s="12">
        <v>1.4018480364105399</v>
      </c>
    </row>
    <row r="203" spans="1:12" x14ac:dyDescent="0.25">
      <c r="A203" s="11">
        <v>-531</v>
      </c>
      <c r="B203" s="12">
        <v>0.73523240899999998</v>
      </c>
      <c r="F203" s="11">
        <v>-205</v>
      </c>
      <c r="G203" s="12">
        <v>0</v>
      </c>
      <c r="K203" s="11">
        <v>3</v>
      </c>
      <c r="L203" s="12">
        <v>1.42443614069902</v>
      </c>
    </row>
    <row r="204" spans="1:12" x14ac:dyDescent="0.25">
      <c r="A204" s="11">
        <v>-530</v>
      </c>
      <c r="B204" s="12">
        <v>0.73525300000000005</v>
      </c>
      <c r="F204" s="11">
        <v>-204</v>
      </c>
      <c r="G204" s="12">
        <v>0</v>
      </c>
      <c r="K204" s="11">
        <v>4</v>
      </c>
      <c r="L204" s="12">
        <v>1.44716694458219</v>
      </c>
    </row>
    <row r="205" spans="1:12" x14ac:dyDescent="0.25">
      <c r="A205" s="11">
        <v>-529</v>
      </c>
      <c r="B205" s="12">
        <v>0.735273811</v>
      </c>
      <c r="F205" s="11">
        <v>-203</v>
      </c>
      <c r="G205" s="12">
        <v>0</v>
      </c>
      <c r="K205" s="11">
        <v>5</v>
      </c>
      <c r="L205" s="12">
        <v>1.4700746831950799</v>
      </c>
    </row>
    <row r="206" spans="1:12" x14ac:dyDescent="0.25">
      <c r="A206" s="11">
        <v>-528</v>
      </c>
      <c r="B206" s="12">
        <v>0.735294848</v>
      </c>
      <c r="F206" s="11">
        <v>-202</v>
      </c>
      <c r="G206" s="12">
        <v>0</v>
      </c>
      <c r="K206" s="11">
        <v>6</v>
      </c>
      <c r="L206" s="12">
        <v>1.49319359167268</v>
      </c>
    </row>
    <row r="207" spans="1:12" x14ac:dyDescent="0.25">
      <c r="A207" s="11">
        <v>-527</v>
      </c>
      <c r="B207" s="12">
        <v>0.73531611699999999</v>
      </c>
      <c r="F207" s="11">
        <v>-201</v>
      </c>
      <c r="G207" s="12">
        <v>0</v>
      </c>
      <c r="K207" s="11">
        <v>7</v>
      </c>
      <c r="L207" s="12">
        <v>1.51655790515</v>
      </c>
    </row>
    <row r="208" spans="1:12" x14ac:dyDescent="0.25">
      <c r="A208" s="11">
        <v>-526</v>
      </c>
      <c r="B208" s="12">
        <v>0.73533762400000002</v>
      </c>
      <c r="F208" s="11">
        <v>-200</v>
      </c>
      <c r="G208" s="12">
        <v>0</v>
      </c>
      <c r="K208" s="11">
        <v>8</v>
      </c>
      <c r="L208" s="12">
        <v>1.5402018587620601</v>
      </c>
    </row>
    <row r="209" spans="1:12" x14ac:dyDescent="0.25">
      <c r="A209" s="11">
        <v>-525</v>
      </c>
      <c r="B209" s="12">
        <v>0.73535937500000004</v>
      </c>
      <c r="F209" s="11">
        <v>-199</v>
      </c>
      <c r="G209" s="12">
        <v>0</v>
      </c>
      <c r="K209" s="11">
        <v>9</v>
      </c>
      <c r="L209" s="12">
        <v>1.5641596876438699</v>
      </c>
    </row>
    <row r="210" spans="1:12" x14ac:dyDescent="0.25">
      <c r="A210" s="11">
        <v>-524</v>
      </c>
      <c r="B210" s="12">
        <v>0.73538137599999998</v>
      </c>
      <c r="F210" s="11">
        <v>-198</v>
      </c>
      <c r="G210" s="12">
        <v>0</v>
      </c>
      <c r="K210" s="11">
        <v>10</v>
      </c>
      <c r="L210" s="12">
        <v>1.58846562693043</v>
      </c>
    </row>
    <row r="211" spans="1:12" x14ac:dyDescent="0.25">
      <c r="A211" s="11">
        <v>-523</v>
      </c>
      <c r="B211" s="12">
        <v>0.735403633</v>
      </c>
      <c r="F211" s="11">
        <v>-197</v>
      </c>
      <c r="G211" s="12">
        <v>0</v>
      </c>
      <c r="K211" s="11">
        <v>11</v>
      </c>
      <c r="L211" s="12">
        <v>1.6131539117567499</v>
      </c>
    </row>
    <row r="212" spans="1:12" x14ac:dyDescent="0.25">
      <c r="A212" s="11">
        <v>-522</v>
      </c>
      <c r="B212" s="12">
        <v>0.73542615200000006</v>
      </c>
      <c r="F212" s="11">
        <v>-196</v>
      </c>
      <c r="G212" s="12">
        <v>0</v>
      </c>
      <c r="K212" s="11">
        <v>12</v>
      </c>
      <c r="L212" s="12">
        <v>1.6382587772578501</v>
      </c>
    </row>
    <row r="213" spans="1:12" x14ac:dyDescent="0.25">
      <c r="A213" s="11">
        <v>-521</v>
      </c>
      <c r="B213" s="12">
        <v>0.73544893899999997</v>
      </c>
      <c r="F213" s="11">
        <v>-195</v>
      </c>
      <c r="G213" s="12">
        <v>0</v>
      </c>
      <c r="K213" s="11">
        <v>13</v>
      </c>
      <c r="L213" s="12">
        <v>1.66381445856873</v>
      </c>
    </row>
    <row r="214" spans="1:12" x14ac:dyDescent="0.25">
      <c r="A214" s="11">
        <v>-520</v>
      </c>
      <c r="B214" s="12">
        <v>0.73547200000000001</v>
      </c>
      <c r="F214" s="11">
        <v>-194</v>
      </c>
      <c r="G214" s="12">
        <v>0</v>
      </c>
      <c r="K214" s="11">
        <v>14</v>
      </c>
      <c r="L214" s="12">
        <v>1.6898551908243999</v>
      </c>
    </row>
    <row r="215" spans="1:12" x14ac:dyDescent="0.25">
      <c r="A215" s="11">
        <v>-519</v>
      </c>
      <c r="B215" s="12">
        <v>0.73549534100000002</v>
      </c>
      <c r="F215" s="11">
        <v>-193</v>
      </c>
      <c r="G215" s="12">
        <v>0</v>
      </c>
      <c r="K215" s="11">
        <v>15</v>
      </c>
      <c r="L215" s="12">
        <v>1.7164152091598801</v>
      </c>
    </row>
    <row r="216" spans="1:12" x14ac:dyDescent="0.25">
      <c r="A216" s="11">
        <v>-518</v>
      </c>
      <c r="B216" s="12">
        <v>0.73551896800000005</v>
      </c>
      <c r="F216" s="11">
        <v>-192</v>
      </c>
      <c r="G216" s="12">
        <v>0</v>
      </c>
      <c r="K216" s="11">
        <v>16</v>
      </c>
      <c r="L216" s="12">
        <v>1.7435287487101601</v>
      </c>
    </row>
    <row r="217" spans="1:12" x14ac:dyDescent="0.25">
      <c r="A217" s="11">
        <v>-517</v>
      </c>
      <c r="B217" s="12">
        <v>0.73554288700000003</v>
      </c>
      <c r="F217" s="11">
        <v>-191</v>
      </c>
      <c r="G217" s="12">
        <v>0</v>
      </c>
      <c r="K217" s="11">
        <v>17</v>
      </c>
      <c r="L217" s="12">
        <v>1.77123004461028</v>
      </c>
    </row>
    <row r="218" spans="1:12" x14ac:dyDescent="0.25">
      <c r="A218" s="11">
        <v>-516</v>
      </c>
      <c r="B218" s="12">
        <v>0.73556710400000003</v>
      </c>
      <c r="F218" s="11">
        <v>-190</v>
      </c>
      <c r="G218" s="12">
        <v>0</v>
      </c>
      <c r="K218" s="11">
        <v>18</v>
      </c>
      <c r="L218" s="12">
        <v>1.7995533319952199</v>
      </c>
    </row>
    <row r="219" spans="1:12" x14ac:dyDescent="0.25">
      <c r="A219" s="11">
        <v>-515</v>
      </c>
      <c r="B219" s="12">
        <v>0.73559162499999997</v>
      </c>
      <c r="F219" s="11">
        <v>-189</v>
      </c>
      <c r="G219" s="12">
        <v>0</v>
      </c>
      <c r="K219" s="11">
        <v>19</v>
      </c>
      <c r="L219" s="12">
        <v>1.8285328460000001</v>
      </c>
    </row>
    <row r="220" spans="1:12" x14ac:dyDescent="0.25">
      <c r="A220" s="11">
        <v>-514</v>
      </c>
      <c r="B220" s="12">
        <v>0.73561645600000003</v>
      </c>
      <c r="F220" s="11">
        <v>-188</v>
      </c>
      <c r="G220" s="12">
        <v>0</v>
      </c>
      <c r="K220" s="11">
        <v>20</v>
      </c>
      <c r="L220" s="12">
        <v>1.8581182722121701</v>
      </c>
    </row>
    <row r="221" spans="1:12" x14ac:dyDescent="0.25">
      <c r="A221" s="11">
        <v>-513</v>
      </c>
      <c r="B221" s="12">
        <v>0.73564160300000003</v>
      </c>
      <c r="F221" s="11">
        <v>-187</v>
      </c>
      <c r="G221" s="12">
        <v>0</v>
      </c>
      <c r="K221" s="11">
        <v>21</v>
      </c>
      <c r="L221" s="12">
        <v>1.8882247211038701</v>
      </c>
    </row>
    <row r="222" spans="1:12" x14ac:dyDescent="0.25">
      <c r="A222" s="11">
        <v>-512</v>
      </c>
      <c r="B222" s="12">
        <v>0.73566707200000003</v>
      </c>
      <c r="F222" s="11">
        <v>-186</v>
      </c>
      <c r="G222" s="12">
        <v>0</v>
      </c>
      <c r="K222" s="11">
        <v>22</v>
      </c>
      <c r="L222" s="12">
        <v>1.91883456513696</v>
      </c>
    </row>
    <row r="223" spans="1:12" x14ac:dyDescent="0.25">
      <c r="A223" s="11">
        <v>-511</v>
      </c>
      <c r="B223" s="12">
        <v>0.73569286899999997</v>
      </c>
      <c r="F223" s="11">
        <v>-185</v>
      </c>
      <c r="G223" s="12">
        <v>0</v>
      </c>
      <c r="K223" s="11">
        <v>23</v>
      </c>
      <c r="L223" s="12">
        <v>1.9499301767733299</v>
      </c>
    </row>
    <row r="224" spans="1:12" x14ac:dyDescent="0.25">
      <c r="A224" s="11">
        <v>-510</v>
      </c>
      <c r="B224" s="12">
        <v>0.73571900000000001</v>
      </c>
      <c r="F224" s="11">
        <v>-184</v>
      </c>
      <c r="G224" s="12">
        <v>0</v>
      </c>
      <c r="K224" s="11">
        <v>24</v>
      </c>
      <c r="L224" s="12">
        <v>1.9814939284748601</v>
      </c>
    </row>
    <row r="225" spans="1:12" x14ac:dyDescent="0.25">
      <c r="A225" s="11">
        <v>-509</v>
      </c>
      <c r="B225" s="12">
        <v>0.73574547099999998</v>
      </c>
      <c r="F225" s="11">
        <v>-183</v>
      </c>
      <c r="G225" s="12">
        <v>0</v>
      </c>
      <c r="K225" s="11">
        <v>25</v>
      </c>
      <c r="L225" s="12">
        <v>2.01350819270341</v>
      </c>
    </row>
    <row r="226" spans="1:12" x14ac:dyDescent="0.25">
      <c r="A226" s="11">
        <v>-508</v>
      </c>
      <c r="B226" s="12">
        <v>0.73577228800000005</v>
      </c>
      <c r="F226" s="11">
        <v>-182</v>
      </c>
      <c r="G226" s="12">
        <v>0</v>
      </c>
      <c r="K226" s="11">
        <v>26</v>
      </c>
      <c r="L226" s="12">
        <v>2.04595534192087</v>
      </c>
    </row>
    <row r="227" spans="1:12" x14ac:dyDescent="0.25">
      <c r="A227" s="11">
        <v>-507</v>
      </c>
      <c r="B227" s="12">
        <v>0.73579945700000005</v>
      </c>
      <c r="F227" s="11">
        <v>-181</v>
      </c>
      <c r="G227" s="12">
        <v>0</v>
      </c>
      <c r="K227" s="11">
        <v>27</v>
      </c>
      <c r="L227" s="12">
        <v>2.0788177485891102</v>
      </c>
    </row>
    <row r="228" spans="1:12" x14ac:dyDescent="0.25">
      <c r="A228" s="11">
        <v>-506</v>
      </c>
      <c r="B228" s="12">
        <v>0.73582698400000002</v>
      </c>
      <c r="F228" s="11">
        <v>-180</v>
      </c>
      <c r="G228" s="12">
        <v>0</v>
      </c>
      <c r="K228" s="11">
        <v>28</v>
      </c>
      <c r="L228" s="12">
        <v>2.1120777851700199</v>
      </c>
    </row>
    <row r="229" spans="1:12" x14ac:dyDescent="0.25">
      <c r="A229" s="11">
        <v>-505</v>
      </c>
      <c r="B229" s="12">
        <v>0.73585487500000002</v>
      </c>
      <c r="F229" s="11">
        <v>-179</v>
      </c>
      <c r="G229" s="12">
        <v>0</v>
      </c>
      <c r="K229" s="11">
        <v>29</v>
      </c>
      <c r="L229" s="12">
        <v>2.14571782412547</v>
      </c>
    </row>
    <row r="230" spans="1:12" x14ac:dyDescent="0.25">
      <c r="A230" s="11">
        <v>-504</v>
      </c>
      <c r="B230" s="12">
        <v>0.73588313599999999</v>
      </c>
      <c r="F230" s="11">
        <v>-178</v>
      </c>
      <c r="G230" s="12">
        <v>0</v>
      </c>
      <c r="K230" s="11">
        <v>30</v>
      </c>
      <c r="L230" s="12">
        <v>2.1797202379173402</v>
      </c>
    </row>
    <row r="231" spans="1:12" x14ac:dyDescent="0.25">
      <c r="A231" s="11">
        <v>-503</v>
      </c>
      <c r="B231" s="12">
        <v>0.73591177299999999</v>
      </c>
      <c r="F231" s="11">
        <v>-177</v>
      </c>
      <c r="G231" s="12">
        <v>0</v>
      </c>
      <c r="K231" s="11">
        <v>31</v>
      </c>
      <c r="L231" s="12">
        <v>2.2140673990074999</v>
      </c>
    </row>
    <row r="232" spans="1:12" x14ac:dyDescent="0.25">
      <c r="A232" s="11">
        <v>-502</v>
      </c>
      <c r="B232" s="12">
        <v>0.73594079199999995</v>
      </c>
      <c r="F232" s="11">
        <v>-176</v>
      </c>
      <c r="G232" s="12">
        <v>0</v>
      </c>
      <c r="K232" s="11">
        <v>32</v>
      </c>
      <c r="L232" s="12">
        <v>2.2487416798578299</v>
      </c>
    </row>
    <row r="233" spans="1:12" x14ac:dyDescent="0.25">
      <c r="A233" s="11">
        <v>-501</v>
      </c>
      <c r="B233" s="12">
        <v>0.73597019900000005</v>
      </c>
      <c r="F233" s="11">
        <v>-175</v>
      </c>
      <c r="G233" s="12">
        <v>0</v>
      </c>
      <c r="K233" s="11">
        <v>33</v>
      </c>
      <c r="L233" s="12">
        <v>2.2837254529302098</v>
      </c>
    </row>
    <row r="234" spans="1:12" x14ac:dyDescent="0.25">
      <c r="A234" s="11">
        <v>-500</v>
      </c>
      <c r="B234" s="12">
        <v>0.73599999999999999</v>
      </c>
      <c r="F234" s="11">
        <v>-174</v>
      </c>
      <c r="G234" s="12">
        <v>0</v>
      </c>
      <c r="K234" s="11">
        <v>34</v>
      </c>
      <c r="L234" s="12">
        <v>2.3190010906865202</v>
      </c>
    </row>
    <row r="235" spans="1:12" x14ac:dyDescent="0.25">
      <c r="A235" s="11">
        <v>-499</v>
      </c>
      <c r="B235" s="12">
        <v>0.73602955550000004</v>
      </c>
      <c r="F235" s="11">
        <v>-173</v>
      </c>
      <c r="G235" s="12">
        <v>0</v>
      </c>
      <c r="K235" s="11">
        <v>35</v>
      </c>
      <c r="L235" s="12">
        <v>2.3545509655886301</v>
      </c>
    </row>
    <row r="236" spans="1:12" x14ac:dyDescent="0.25">
      <c r="A236" s="11">
        <v>-498</v>
      </c>
      <c r="B236" s="12">
        <v>0.73605824399999997</v>
      </c>
      <c r="F236" s="11">
        <v>-172</v>
      </c>
      <c r="G236" s="12">
        <v>0</v>
      </c>
      <c r="K236" s="11">
        <v>36</v>
      </c>
      <c r="L236" s="12">
        <v>2.3903574500984299</v>
      </c>
    </row>
    <row r="237" spans="1:12" x14ac:dyDescent="0.25">
      <c r="A237" s="11">
        <v>-497</v>
      </c>
      <c r="B237" s="12">
        <v>0.73608609849999995</v>
      </c>
      <c r="F237" s="11">
        <v>-171</v>
      </c>
      <c r="G237" s="12">
        <v>0</v>
      </c>
      <c r="K237" s="11">
        <v>37</v>
      </c>
      <c r="L237" s="12">
        <v>2.4264029166777901</v>
      </c>
    </row>
    <row r="238" spans="1:12" x14ac:dyDescent="0.25">
      <c r="A238" s="11">
        <v>-496</v>
      </c>
      <c r="B238" s="12">
        <v>0.73611315200000005</v>
      </c>
      <c r="F238" s="11">
        <v>-170</v>
      </c>
      <c r="G238" s="12">
        <v>0</v>
      </c>
      <c r="K238" s="11">
        <v>38</v>
      </c>
      <c r="L238" s="12">
        <v>2.46266973778858</v>
      </c>
    </row>
    <row r="239" spans="1:12" x14ac:dyDescent="0.25">
      <c r="A239" s="11">
        <v>-495</v>
      </c>
      <c r="B239" s="12">
        <v>0.73613943749999999</v>
      </c>
      <c r="F239" s="11">
        <v>-169</v>
      </c>
      <c r="G239" s="12">
        <v>0</v>
      </c>
      <c r="K239" s="11">
        <v>39</v>
      </c>
      <c r="L239" s="12">
        <v>2.4991402858926799</v>
      </c>
    </row>
    <row r="240" spans="1:12" x14ac:dyDescent="0.25">
      <c r="A240" s="11">
        <v>-494</v>
      </c>
      <c r="B240" s="12">
        <v>0.73616498799999996</v>
      </c>
      <c r="F240" s="11">
        <v>-168</v>
      </c>
      <c r="G240" s="12">
        <v>0</v>
      </c>
      <c r="K240" s="11">
        <v>40</v>
      </c>
      <c r="L240" s="12">
        <v>2.5357969334519801</v>
      </c>
    </row>
    <row r="241" spans="1:12" x14ac:dyDescent="0.25">
      <c r="A241" s="11">
        <v>-493</v>
      </c>
      <c r="B241" s="12">
        <v>0.73618983650000003</v>
      </c>
      <c r="F241" s="11">
        <v>-167</v>
      </c>
      <c r="G241" s="12">
        <v>0</v>
      </c>
      <c r="K241" s="11">
        <v>41</v>
      </c>
      <c r="L241" s="12">
        <v>2.5726220529283501</v>
      </c>
    </row>
    <row r="242" spans="1:12" x14ac:dyDescent="0.25">
      <c r="A242" s="11">
        <v>-492</v>
      </c>
      <c r="B242" s="12">
        <v>0.73621401600000003</v>
      </c>
      <c r="F242" s="11">
        <v>-166</v>
      </c>
      <c r="G242" s="12">
        <v>0</v>
      </c>
      <c r="K242" s="11">
        <v>42</v>
      </c>
      <c r="L242" s="12">
        <v>2.6095980167836599</v>
      </c>
    </row>
    <row r="243" spans="1:12" x14ac:dyDescent="0.25">
      <c r="A243" s="11">
        <v>-491</v>
      </c>
      <c r="B243" s="12">
        <v>0.73623755950000003</v>
      </c>
      <c r="F243" s="11">
        <v>-165</v>
      </c>
      <c r="G243" s="12">
        <v>0</v>
      </c>
      <c r="K243" s="11">
        <v>43</v>
      </c>
      <c r="L243" s="12">
        <v>2.6467071974798002</v>
      </c>
    </row>
    <row r="244" spans="1:12" x14ac:dyDescent="0.25">
      <c r="A244" s="11">
        <v>-490</v>
      </c>
      <c r="B244" s="12">
        <v>0.73626049999999998</v>
      </c>
      <c r="F244" s="11">
        <v>-164</v>
      </c>
      <c r="G244" s="12">
        <v>0</v>
      </c>
      <c r="K244" s="11">
        <v>44</v>
      </c>
      <c r="L244" s="12">
        <v>2.6839319674786402</v>
      </c>
    </row>
    <row r="245" spans="1:12" x14ac:dyDescent="0.25">
      <c r="A245" s="11">
        <v>-489</v>
      </c>
      <c r="B245" s="12">
        <v>0.73628287049999996</v>
      </c>
      <c r="F245" s="11">
        <v>-163</v>
      </c>
      <c r="G245" s="12">
        <v>0</v>
      </c>
      <c r="K245" s="11">
        <v>45</v>
      </c>
      <c r="L245" s="12">
        <v>2.7212546992420599</v>
      </c>
    </row>
    <row r="246" spans="1:12" x14ac:dyDescent="0.25">
      <c r="A246" s="11">
        <v>-488</v>
      </c>
      <c r="B246" s="12">
        <v>0.73630470400000003</v>
      </c>
      <c r="F246" s="11">
        <v>-162</v>
      </c>
      <c r="G246" s="12">
        <v>0</v>
      </c>
      <c r="K246" s="11">
        <v>46</v>
      </c>
      <c r="L246" s="12">
        <v>2.7586577652319302</v>
      </c>
    </row>
    <row r="247" spans="1:12" x14ac:dyDescent="0.25">
      <c r="A247" s="11">
        <v>-487</v>
      </c>
      <c r="B247" s="12">
        <v>0.73632603350000003</v>
      </c>
      <c r="F247" s="11">
        <v>-161</v>
      </c>
      <c r="G247" s="12">
        <v>0</v>
      </c>
      <c r="K247" s="11">
        <v>47</v>
      </c>
      <c r="L247" s="12">
        <v>2.7961235379101401</v>
      </c>
    </row>
    <row r="248" spans="1:12" x14ac:dyDescent="0.25">
      <c r="A248" s="11">
        <v>-486</v>
      </c>
      <c r="B248" s="12">
        <v>0.73634689200000003</v>
      </c>
      <c r="F248" s="11">
        <v>-160</v>
      </c>
      <c r="G248" s="12">
        <v>0</v>
      </c>
      <c r="K248" s="11">
        <v>48</v>
      </c>
      <c r="L248" s="12">
        <v>2.8336343897385601</v>
      </c>
    </row>
    <row r="249" spans="1:12" x14ac:dyDescent="0.25">
      <c r="A249" s="11">
        <v>-485</v>
      </c>
      <c r="B249" s="12">
        <v>0.73636731249999998</v>
      </c>
      <c r="F249" s="11">
        <v>-159</v>
      </c>
      <c r="G249" s="12">
        <v>0</v>
      </c>
      <c r="K249" s="11">
        <v>49</v>
      </c>
      <c r="L249" s="12">
        <v>2.87117269317906</v>
      </c>
    </row>
    <row r="250" spans="1:12" x14ac:dyDescent="0.25">
      <c r="A250" s="11">
        <v>-484</v>
      </c>
      <c r="B250" s="12">
        <v>0.73638732799999995</v>
      </c>
      <c r="F250" s="11">
        <v>-158</v>
      </c>
      <c r="G250" s="12">
        <v>0</v>
      </c>
      <c r="K250" s="11">
        <v>50</v>
      </c>
      <c r="L250" s="12">
        <v>2.9087208206935302</v>
      </c>
    </row>
    <row r="251" spans="1:12" x14ac:dyDescent="0.25">
      <c r="A251" s="11">
        <v>-483</v>
      </c>
      <c r="B251" s="12">
        <v>0.73640697150000001</v>
      </c>
      <c r="F251" s="11">
        <v>-157</v>
      </c>
      <c r="G251" s="12">
        <v>0</v>
      </c>
      <c r="K251" s="11">
        <v>51</v>
      </c>
      <c r="L251" s="12">
        <v>2.94626114474385</v>
      </c>
    </row>
    <row r="252" spans="1:12" x14ac:dyDescent="0.25">
      <c r="A252" s="11">
        <v>-482</v>
      </c>
      <c r="B252" s="12">
        <v>0.73642627599999999</v>
      </c>
      <c r="F252" s="11">
        <v>-156</v>
      </c>
      <c r="G252" s="12">
        <v>0</v>
      </c>
      <c r="K252" s="11">
        <v>52</v>
      </c>
      <c r="L252" s="12">
        <v>2.9837760377918898</v>
      </c>
    </row>
    <row r="253" spans="1:12" x14ac:dyDescent="0.25">
      <c r="A253" s="11">
        <v>-481</v>
      </c>
      <c r="B253" s="12">
        <v>0.73644527449999997</v>
      </c>
      <c r="F253" s="11">
        <v>-155</v>
      </c>
      <c r="G253" s="12">
        <v>0</v>
      </c>
      <c r="K253" s="11">
        <v>53</v>
      </c>
      <c r="L253" s="12">
        <v>3.02124787229952</v>
      </c>
    </row>
    <row r="254" spans="1:12" x14ac:dyDescent="0.25">
      <c r="A254" s="11">
        <v>-480</v>
      </c>
      <c r="B254" s="12">
        <v>0.73646400000000001</v>
      </c>
      <c r="F254" s="11">
        <v>-154</v>
      </c>
      <c r="G254" s="12">
        <v>0</v>
      </c>
      <c r="K254" s="11">
        <v>54</v>
      </c>
      <c r="L254" s="12">
        <v>3.0586590207286299</v>
      </c>
    </row>
    <row r="255" spans="1:12" x14ac:dyDescent="0.25">
      <c r="A255" s="11">
        <v>-479</v>
      </c>
      <c r="B255" s="12">
        <v>0.73648248549999995</v>
      </c>
      <c r="F255" s="11">
        <v>-153</v>
      </c>
      <c r="G255" s="12">
        <v>0</v>
      </c>
      <c r="K255" s="11">
        <v>55</v>
      </c>
      <c r="L255" s="12">
        <v>3.0959918555410901</v>
      </c>
    </row>
    <row r="256" spans="1:12" x14ac:dyDescent="0.25">
      <c r="A256" s="11">
        <v>-478</v>
      </c>
      <c r="B256" s="12">
        <v>0.73650076399999997</v>
      </c>
      <c r="F256" s="11">
        <v>-152</v>
      </c>
      <c r="G256" s="12">
        <v>0</v>
      </c>
      <c r="K256" s="11">
        <v>56</v>
      </c>
      <c r="L256" s="12">
        <v>3.13322874919879</v>
      </c>
    </row>
    <row r="257" spans="1:12" x14ac:dyDescent="0.25">
      <c r="A257" s="11">
        <v>-477</v>
      </c>
      <c r="B257" s="12">
        <v>0.73651886850000003</v>
      </c>
      <c r="F257" s="11">
        <v>-151</v>
      </c>
      <c r="G257" s="12">
        <v>0</v>
      </c>
      <c r="K257" s="11">
        <v>57</v>
      </c>
      <c r="L257" s="12">
        <v>3.1703520741635902</v>
      </c>
    </row>
    <row r="258" spans="1:12" x14ac:dyDescent="0.25">
      <c r="A258" s="11">
        <v>-476</v>
      </c>
      <c r="B258" s="12">
        <v>0.73653683199999997</v>
      </c>
      <c r="F258" s="11">
        <v>-150</v>
      </c>
      <c r="G258" s="12">
        <v>0</v>
      </c>
      <c r="K258" s="11">
        <v>58</v>
      </c>
      <c r="L258" s="12">
        <v>3.20734420289737</v>
      </c>
    </row>
    <row r="259" spans="1:12" x14ac:dyDescent="0.25">
      <c r="A259" s="11">
        <v>-475</v>
      </c>
      <c r="B259" s="12">
        <v>0.73655468749999997</v>
      </c>
      <c r="F259" s="11">
        <v>-149</v>
      </c>
      <c r="G259" s="12">
        <v>0</v>
      </c>
      <c r="K259" s="11">
        <v>59</v>
      </c>
      <c r="L259" s="12">
        <v>3.2441875078620201</v>
      </c>
    </row>
    <row r="260" spans="1:12" x14ac:dyDescent="0.25">
      <c r="A260" s="11">
        <v>-474</v>
      </c>
      <c r="B260" s="12">
        <v>0.73657246799999998</v>
      </c>
      <c r="F260" s="11">
        <v>-148</v>
      </c>
      <c r="G260" s="12">
        <v>0</v>
      </c>
      <c r="K260" s="11">
        <v>60</v>
      </c>
      <c r="L260" s="12">
        <v>3.2808643615194102</v>
      </c>
    </row>
    <row r="261" spans="1:12" x14ac:dyDescent="0.25">
      <c r="A261" s="11">
        <v>-473</v>
      </c>
      <c r="B261" s="12">
        <v>0.73659020649999996</v>
      </c>
      <c r="F261" s="11">
        <v>-147</v>
      </c>
      <c r="G261" s="12">
        <v>0</v>
      </c>
      <c r="K261" s="11">
        <v>61</v>
      </c>
      <c r="L261" s="12">
        <v>3.3173571363314101</v>
      </c>
    </row>
    <row r="262" spans="1:12" x14ac:dyDescent="0.25">
      <c r="A262" s="11">
        <v>-472</v>
      </c>
      <c r="B262" s="12">
        <v>0.73660793599999996</v>
      </c>
      <c r="F262" s="11">
        <v>-146</v>
      </c>
      <c r="G262" s="12">
        <v>0</v>
      </c>
      <c r="K262" s="11">
        <v>62</v>
      </c>
      <c r="L262" s="12">
        <v>3.3536482047599101</v>
      </c>
    </row>
    <row r="263" spans="1:12" x14ac:dyDescent="0.25">
      <c r="A263" s="11">
        <v>-471</v>
      </c>
      <c r="B263" s="12">
        <v>0.73662568949999996</v>
      </c>
      <c r="F263" s="11">
        <v>-145</v>
      </c>
      <c r="G263" s="12">
        <v>0</v>
      </c>
      <c r="K263" s="11">
        <v>63</v>
      </c>
      <c r="L263" s="12">
        <v>3.38971993926679</v>
      </c>
    </row>
    <row r="264" spans="1:12" x14ac:dyDescent="0.25">
      <c r="A264" s="11">
        <v>-470</v>
      </c>
      <c r="B264" s="12">
        <v>0.73664350000000001</v>
      </c>
      <c r="F264" s="11">
        <v>-144</v>
      </c>
      <c r="G264" s="12">
        <v>0</v>
      </c>
      <c r="K264" s="11">
        <v>64</v>
      </c>
      <c r="L264" s="12">
        <v>3.4255547123139101</v>
      </c>
    </row>
    <row r="265" spans="1:12" x14ac:dyDescent="0.25">
      <c r="A265" s="11">
        <v>-469</v>
      </c>
      <c r="B265" s="12">
        <v>0.73666140049999995</v>
      </c>
      <c r="F265" s="11">
        <v>-143</v>
      </c>
      <c r="G265" s="12">
        <v>0</v>
      </c>
      <c r="K265" s="11">
        <v>65</v>
      </c>
      <c r="L265" s="12">
        <v>3.4611348963631601</v>
      </c>
    </row>
    <row r="266" spans="1:12" x14ac:dyDescent="0.25">
      <c r="A266" s="11">
        <v>-468</v>
      </c>
      <c r="B266" s="12">
        <v>0.73667942399999997</v>
      </c>
      <c r="F266" s="11">
        <v>-142</v>
      </c>
      <c r="G266" s="12">
        <v>0</v>
      </c>
      <c r="K266" s="11">
        <v>66</v>
      </c>
      <c r="L266" s="12">
        <v>3.49644286387641</v>
      </c>
    </row>
    <row r="267" spans="1:12" x14ac:dyDescent="0.25">
      <c r="A267" s="11">
        <v>-467</v>
      </c>
      <c r="B267" s="12">
        <v>0.73669760350000002</v>
      </c>
      <c r="F267" s="11">
        <v>-141</v>
      </c>
      <c r="G267" s="12">
        <v>0</v>
      </c>
      <c r="K267" s="11">
        <v>67</v>
      </c>
      <c r="L267" s="12">
        <v>3.5314609873155498</v>
      </c>
    </row>
    <row r="268" spans="1:12" x14ac:dyDescent="0.25">
      <c r="A268" s="11">
        <v>-466</v>
      </c>
      <c r="B268" s="12">
        <v>0.73671597200000005</v>
      </c>
      <c r="F268" s="11">
        <v>-140</v>
      </c>
      <c r="G268" s="12">
        <v>0</v>
      </c>
      <c r="K268" s="11">
        <v>68</v>
      </c>
      <c r="L268" s="12">
        <v>3.5661716391424401</v>
      </c>
    </row>
    <row r="269" spans="1:12" x14ac:dyDescent="0.25">
      <c r="A269" s="11">
        <v>-465</v>
      </c>
      <c r="B269" s="12">
        <v>0.73673456250000002</v>
      </c>
      <c r="F269" s="11">
        <v>-139</v>
      </c>
      <c r="G269" s="12">
        <v>0</v>
      </c>
      <c r="K269" s="11">
        <v>69</v>
      </c>
      <c r="L269" s="12">
        <v>3.6005571918189698</v>
      </c>
    </row>
    <row r="270" spans="1:12" x14ac:dyDescent="0.25">
      <c r="A270" s="11">
        <v>-464</v>
      </c>
      <c r="B270" s="12">
        <v>0.736753408</v>
      </c>
      <c r="F270" s="11">
        <v>-138</v>
      </c>
      <c r="G270" s="12">
        <v>0</v>
      </c>
      <c r="K270" s="11">
        <v>70</v>
      </c>
      <c r="L270" s="12">
        <v>3.6346000178070201</v>
      </c>
    </row>
    <row r="271" spans="1:12" x14ac:dyDescent="0.25">
      <c r="A271" s="11">
        <v>-463</v>
      </c>
      <c r="B271" s="12">
        <v>0.73677254150000004</v>
      </c>
      <c r="F271" s="11">
        <v>-137</v>
      </c>
      <c r="G271" s="12">
        <v>0</v>
      </c>
      <c r="K271" s="11">
        <v>71</v>
      </c>
      <c r="L271" s="12">
        <v>3.66828248956846</v>
      </c>
    </row>
    <row r="272" spans="1:12" x14ac:dyDescent="0.25">
      <c r="A272" s="11">
        <v>-462</v>
      </c>
      <c r="B272" s="12">
        <v>0.736791996</v>
      </c>
      <c r="F272" s="11">
        <v>-136</v>
      </c>
      <c r="G272" s="12">
        <v>0</v>
      </c>
      <c r="K272" s="11">
        <v>72</v>
      </c>
      <c r="L272" s="12">
        <v>3.7015869795651599</v>
      </c>
    </row>
    <row r="273" spans="1:12" x14ac:dyDescent="0.25">
      <c r="A273" s="11">
        <v>-461</v>
      </c>
      <c r="B273" s="12">
        <v>0.73681180449999994</v>
      </c>
      <c r="F273" s="11">
        <v>-135</v>
      </c>
      <c r="G273" s="12">
        <v>0</v>
      </c>
      <c r="K273" s="11">
        <v>73</v>
      </c>
      <c r="L273" s="12">
        <v>3.7344958602590199</v>
      </c>
    </row>
    <row r="274" spans="1:12" x14ac:dyDescent="0.25">
      <c r="A274" s="11">
        <v>-460</v>
      </c>
      <c r="B274" s="12">
        <v>0.73683200000000004</v>
      </c>
      <c r="F274" s="11">
        <v>-134</v>
      </c>
      <c r="G274" s="12">
        <v>0</v>
      </c>
      <c r="K274" s="11">
        <v>74</v>
      </c>
      <c r="L274" s="12">
        <v>3.76699150411189</v>
      </c>
    </row>
    <row r="275" spans="1:12" x14ac:dyDescent="0.25">
      <c r="A275" s="11">
        <v>-459</v>
      </c>
      <c r="B275" s="12">
        <v>0.73685261550000003</v>
      </c>
      <c r="F275" s="11">
        <v>-133</v>
      </c>
      <c r="G275" s="12">
        <v>0</v>
      </c>
      <c r="K275" s="11">
        <v>75</v>
      </c>
      <c r="L275" s="12">
        <v>3.7990562835856698</v>
      </c>
    </row>
    <row r="276" spans="1:12" x14ac:dyDescent="0.25">
      <c r="A276" s="11">
        <v>-458</v>
      </c>
      <c r="B276" s="12">
        <v>0.73687368399999997</v>
      </c>
      <c r="F276" s="11">
        <v>-132</v>
      </c>
      <c r="G276" s="12">
        <v>0</v>
      </c>
      <c r="K276" s="11">
        <v>76</v>
      </c>
      <c r="L276" s="12">
        <v>3.8306725711422298</v>
      </c>
    </row>
    <row r="277" spans="1:12" x14ac:dyDescent="0.25">
      <c r="A277" s="11">
        <v>-457</v>
      </c>
      <c r="B277" s="12">
        <v>0.73689523850000005</v>
      </c>
      <c r="F277" s="11">
        <v>-131</v>
      </c>
      <c r="G277" s="12">
        <v>0</v>
      </c>
      <c r="K277" s="11">
        <v>77</v>
      </c>
      <c r="L277" s="12">
        <v>3.8618227392434399</v>
      </c>
    </row>
    <row r="278" spans="1:12" x14ac:dyDescent="0.25">
      <c r="A278" s="11">
        <v>-456</v>
      </c>
      <c r="B278" s="12">
        <v>0.73691731199999999</v>
      </c>
      <c r="F278" s="11">
        <v>-130</v>
      </c>
      <c r="G278" s="12">
        <v>0</v>
      </c>
      <c r="K278" s="11">
        <v>78</v>
      </c>
      <c r="L278" s="12">
        <v>3.89248916035119</v>
      </c>
    </row>
    <row r="279" spans="1:12" x14ac:dyDescent="0.25">
      <c r="A279" s="11">
        <v>-455</v>
      </c>
      <c r="B279" s="12">
        <v>0.73693993749999998</v>
      </c>
      <c r="F279" s="11">
        <v>-129</v>
      </c>
      <c r="G279" s="12">
        <v>0</v>
      </c>
      <c r="K279" s="11">
        <v>79</v>
      </c>
      <c r="L279" s="12">
        <v>3.9226542069273398</v>
      </c>
    </row>
    <row r="280" spans="1:12" x14ac:dyDescent="0.25">
      <c r="A280" s="11">
        <v>-454</v>
      </c>
      <c r="B280" s="12">
        <v>0.73696314799999996</v>
      </c>
      <c r="F280" s="11">
        <v>-128</v>
      </c>
      <c r="G280" s="12">
        <v>0</v>
      </c>
      <c r="K280" s="11">
        <v>80</v>
      </c>
      <c r="L280" s="12">
        <v>3.9523002514337899</v>
      </c>
    </row>
    <row r="281" spans="1:12" x14ac:dyDescent="0.25">
      <c r="A281" s="11">
        <v>-453</v>
      </c>
      <c r="B281" s="12">
        <v>0.7369869765</v>
      </c>
      <c r="F281" s="11">
        <v>-127</v>
      </c>
      <c r="G281" s="12">
        <v>0</v>
      </c>
      <c r="K281" s="11">
        <v>81</v>
      </c>
      <c r="L281" s="12">
        <v>3.9814096663324001</v>
      </c>
    </row>
    <row r="282" spans="1:12" x14ac:dyDescent="0.25">
      <c r="A282" s="11">
        <v>-452</v>
      </c>
      <c r="B282" s="12">
        <v>0.73701145599999995</v>
      </c>
      <c r="F282" s="11">
        <v>-126</v>
      </c>
      <c r="G282" s="12">
        <v>0</v>
      </c>
      <c r="K282" s="11">
        <v>82</v>
      </c>
      <c r="L282" s="12">
        <v>4.0099648240850501</v>
      </c>
    </row>
    <row r="283" spans="1:12" x14ac:dyDescent="0.25">
      <c r="A283" s="11">
        <v>-451</v>
      </c>
      <c r="B283" s="12">
        <v>0.73703661949999999</v>
      </c>
      <c r="F283" s="11">
        <v>-125</v>
      </c>
      <c r="G283" s="12">
        <v>0</v>
      </c>
      <c r="K283" s="11">
        <v>83</v>
      </c>
      <c r="L283" s="12">
        <v>4.0379480971536301</v>
      </c>
    </row>
    <row r="284" spans="1:12" x14ac:dyDescent="0.25">
      <c r="A284" s="11">
        <v>-450</v>
      </c>
      <c r="B284" s="12">
        <v>0.73706249999999995</v>
      </c>
      <c r="F284" s="11">
        <v>-124</v>
      </c>
      <c r="G284" s="12">
        <v>0</v>
      </c>
      <c r="K284" s="11">
        <v>84</v>
      </c>
      <c r="L284" s="12">
        <v>4.065341858</v>
      </c>
    </row>
    <row r="285" spans="1:12" x14ac:dyDescent="0.25">
      <c r="A285" s="11">
        <v>-449</v>
      </c>
      <c r="B285" s="12">
        <v>0.73708913050000002</v>
      </c>
      <c r="F285" s="11">
        <v>-123</v>
      </c>
      <c r="G285" s="12">
        <v>0</v>
      </c>
      <c r="K285" s="11">
        <v>85</v>
      </c>
      <c r="L285" s="12">
        <v>4.0923365222828396</v>
      </c>
    </row>
    <row r="286" spans="1:12" x14ac:dyDescent="0.25">
      <c r="A286" s="11">
        <v>-448</v>
      </c>
      <c r="B286" s="12">
        <v>0.73711654400000004</v>
      </c>
      <c r="F286" s="11">
        <v>-122</v>
      </c>
      <c r="G286" s="12">
        <v>0</v>
      </c>
      <c r="K286" s="11">
        <v>86</v>
      </c>
      <c r="L286" s="12">
        <v>4.1191352784208304</v>
      </c>
    </row>
    <row r="287" spans="1:12" x14ac:dyDescent="0.25">
      <c r="A287" s="11">
        <v>-447</v>
      </c>
      <c r="B287" s="12">
        <v>0.73714477349999996</v>
      </c>
      <c r="F287" s="11">
        <v>-121</v>
      </c>
      <c r="G287" s="12">
        <v>0</v>
      </c>
      <c r="K287" s="11">
        <v>87</v>
      </c>
      <c r="L287" s="12">
        <v>4.1457396580159296</v>
      </c>
    </row>
    <row r="288" spans="1:12" x14ac:dyDescent="0.25">
      <c r="A288" s="11">
        <v>-446</v>
      </c>
      <c r="B288" s="12">
        <v>0.73717385199999996</v>
      </c>
      <c r="F288" s="11">
        <v>-120</v>
      </c>
      <c r="G288" s="12">
        <v>0</v>
      </c>
      <c r="K288" s="11">
        <v>88</v>
      </c>
      <c r="L288" s="12">
        <v>4.1721511926700598</v>
      </c>
    </row>
    <row r="289" spans="1:12" x14ac:dyDescent="0.25">
      <c r="A289" s="11">
        <v>-445</v>
      </c>
      <c r="B289" s="12">
        <v>0.7372038125</v>
      </c>
      <c r="F289" s="11">
        <v>-119</v>
      </c>
      <c r="G289" s="12">
        <v>0</v>
      </c>
      <c r="K289" s="11">
        <v>89</v>
      </c>
      <c r="L289" s="12">
        <v>4.19837141398515</v>
      </c>
    </row>
    <row r="290" spans="1:12" x14ac:dyDescent="0.25">
      <c r="A290" s="11">
        <v>-444</v>
      </c>
      <c r="B290" s="12">
        <v>0.73723468800000003</v>
      </c>
      <c r="F290" s="11">
        <v>-118</v>
      </c>
      <c r="G290" s="12">
        <v>0</v>
      </c>
      <c r="K290" s="11">
        <v>90</v>
      </c>
      <c r="L290" s="12">
        <v>4.2244018535631502</v>
      </c>
    </row>
    <row r="291" spans="1:12" x14ac:dyDescent="0.25">
      <c r="A291" s="11">
        <v>-443</v>
      </c>
      <c r="B291" s="12">
        <v>0.7372665115</v>
      </c>
      <c r="F291" s="11">
        <v>-117</v>
      </c>
      <c r="G291" s="12">
        <v>0</v>
      </c>
      <c r="K291" s="11">
        <v>91</v>
      </c>
      <c r="L291" s="12">
        <v>4.2502440430059698</v>
      </c>
    </row>
    <row r="292" spans="1:12" x14ac:dyDescent="0.25">
      <c r="A292" s="11">
        <v>-442</v>
      </c>
      <c r="B292" s="12">
        <v>0.73729931599999998</v>
      </c>
      <c r="F292" s="11">
        <v>-116</v>
      </c>
      <c r="G292" s="12">
        <v>0</v>
      </c>
      <c r="K292" s="11">
        <v>92</v>
      </c>
      <c r="L292" s="12">
        <v>4.2758995139155598</v>
      </c>
    </row>
    <row r="293" spans="1:12" x14ac:dyDescent="0.25">
      <c r="A293" s="11">
        <v>-441</v>
      </c>
      <c r="B293" s="12">
        <v>0.73733313450000004</v>
      </c>
      <c r="F293" s="11">
        <v>-115</v>
      </c>
      <c r="G293" s="12">
        <v>0</v>
      </c>
      <c r="K293" s="11">
        <v>93</v>
      </c>
      <c r="L293" s="12">
        <v>4.3013697978938499</v>
      </c>
    </row>
    <row r="294" spans="1:12" x14ac:dyDescent="0.25">
      <c r="A294" s="11">
        <v>-440</v>
      </c>
      <c r="B294" s="12">
        <v>0.73736800000000002</v>
      </c>
      <c r="F294" s="11">
        <v>-114</v>
      </c>
      <c r="G294" s="12">
        <v>0</v>
      </c>
      <c r="K294" s="11">
        <v>94</v>
      </c>
      <c r="L294" s="12">
        <v>4.3266564265427698</v>
      </c>
    </row>
    <row r="295" spans="1:12" x14ac:dyDescent="0.25">
      <c r="A295" s="11">
        <v>-439</v>
      </c>
      <c r="B295" s="12">
        <v>0.73740394549999999</v>
      </c>
      <c r="F295" s="11">
        <v>-113</v>
      </c>
      <c r="G295" s="12">
        <v>0</v>
      </c>
      <c r="K295" s="11">
        <v>95</v>
      </c>
      <c r="L295" s="12">
        <v>4.35176093146426</v>
      </c>
    </row>
    <row r="296" spans="1:12" x14ac:dyDescent="0.25">
      <c r="A296" s="11">
        <v>-438</v>
      </c>
      <c r="B296" s="12">
        <v>0.73744100400000001</v>
      </c>
      <c r="F296" s="11">
        <v>-112</v>
      </c>
      <c r="G296" s="12">
        <v>0</v>
      </c>
      <c r="K296" s="11">
        <v>96</v>
      </c>
      <c r="L296" s="12">
        <v>4.3766848442602404</v>
      </c>
    </row>
    <row r="297" spans="1:12" x14ac:dyDescent="0.25">
      <c r="A297" s="11">
        <v>-437</v>
      </c>
      <c r="B297" s="12">
        <v>0.73747920850000004</v>
      </c>
      <c r="F297" s="11">
        <v>-111</v>
      </c>
      <c r="G297" s="12">
        <v>0</v>
      </c>
      <c r="K297" s="11">
        <v>97</v>
      </c>
      <c r="L297" s="12">
        <v>4.4014296965326603</v>
      </c>
    </row>
    <row r="298" spans="1:12" x14ac:dyDescent="0.25">
      <c r="A298" s="11">
        <v>-436</v>
      </c>
      <c r="B298" s="12">
        <v>0.73751859200000003</v>
      </c>
      <c r="F298" s="11">
        <v>-110</v>
      </c>
      <c r="G298" s="12">
        <v>0</v>
      </c>
      <c r="K298" s="11">
        <v>98</v>
      </c>
      <c r="L298" s="12">
        <v>4.4259970198834502</v>
      </c>
    </row>
    <row r="299" spans="1:12" x14ac:dyDescent="0.25">
      <c r="A299" s="11">
        <v>-435</v>
      </c>
      <c r="B299" s="12">
        <v>0.73755918750000005</v>
      </c>
      <c r="F299" s="11">
        <v>-109</v>
      </c>
      <c r="G299" s="12">
        <v>0</v>
      </c>
      <c r="K299" s="11">
        <v>99</v>
      </c>
      <c r="L299" s="12">
        <v>4.4503883459145399</v>
      </c>
    </row>
    <row r="300" spans="1:12" x14ac:dyDescent="0.25">
      <c r="A300" s="11">
        <v>-434</v>
      </c>
      <c r="B300" s="12">
        <v>0.73760102800000005</v>
      </c>
      <c r="F300" s="11">
        <v>-108</v>
      </c>
      <c r="G300" s="12">
        <v>0</v>
      </c>
      <c r="K300" s="11">
        <v>100</v>
      </c>
      <c r="L300" s="12">
        <v>4.4746052062278601</v>
      </c>
    </row>
    <row r="301" spans="1:12" x14ac:dyDescent="0.25">
      <c r="A301" s="11">
        <v>-433</v>
      </c>
      <c r="B301" s="12">
        <v>0.73764414649999999</v>
      </c>
      <c r="F301" s="11">
        <v>-107</v>
      </c>
      <c r="G301" s="12">
        <v>0</v>
      </c>
      <c r="K301" s="11">
        <v>101</v>
      </c>
      <c r="L301" s="12">
        <v>4.4986491324253501</v>
      </c>
    </row>
    <row r="302" spans="1:12" x14ac:dyDescent="0.25">
      <c r="A302" s="11">
        <v>-432</v>
      </c>
      <c r="B302" s="12">
        <v>0.73768857600000004</v>
      </c>
      <c r="F302" s="11">
        <v>-106</v>
      </c>
      <c r="G302" s="12">
        <v>0</v>
      </c>
      <c r="K302" s="11">
        <v>102</v>
      </c>
      <c r="L302" s="12">
        <v>4.5225216561089399</v>
      </c>
    </row>
    <row r="303" spans="1:12" x14ac:dyDescent="0.25">
      <c r="A303" s="11">
        <v>-431</v>
      </c>
      <c r="B303" s="12">
        <v>0.73773434950000005</v>
      </c>
      <c r="F303" s="11">
        <v>-105</v>
      </c>
      <c r="G303" s="12">
        <v>0</v>
      </c>
      <c r="K303" s="11">
        <v>103</v>
      </c>
      <c r="L303" s="12">
        <v>4.5462243088805598</v>
      </c>
    </row>
    <row r="304" spans="1:12" x14ac:dyDescent="0.25">
      <c r="A304" s="11">
        <v>-430</v>
      </c>
      <c r="B304" s="12">
        <v>0.73778149999999998</v>
      </c>
      <c r="F304" s="11">
        <v>-104</v>
      </c>
      <c r="G304" s="12">
        <v>0</v>
      </c>
      <c r="K304" s="11">
        <v>104</v>
      </c>
      <c r="L304" s="12">
        <v>4.5697586223421496</v>
      </c>
    </row>
    <row r="305" spans="1:12" x14ac:dyDescent="0.25">
      <c r="A305" s="11">
        <v>-429</v>
      </c>
      <c r="B305" s="12">
        <v>0.7378300605</v>
      </c>
      <c r="F305" s="11">
        <v>-103</v>
      </c>
      <c r="G305" s="12">
        <v>0</v>
      </c>
      <c r="K305" s="11">
        <v>105</v>
      </c>
      <c r="L305" s="12">
        <v>4.5931261280956504</v>
      </c>
    </row>
    <row r="306" spans="1:12" x14ac:dyDescent="0.25">
      <c r="A306" s="11">
        <v>-428</v>
      </c>
      <c r="B306" s="12">
        <v>0.73788006399999995</v>
      </c>
      <c r="F306" s="11">
        <v>-102</v>
      </c>
      <c r="G306" s="12">
        <v>0</v>
      </c>
      <c r="K306" s="11">
        <v>106</v>
      </c>
      <c r="L306" s="12">
        <v>4.6163283577429803</v>
      </c>
    </row>
    <row r="307" spans="1:12" x14ac:dyDescent="0.25">
      <c r="A307" s="11">
        <v>-427</v>
      </c>
      <c r="B307" s="12">
        <v>0.73793154350000001</v>
      </c>
      <c r="F307" s="11">
        <v>-101</v>
      </c>
      <c r="G307" s="12">
        <v>0</v>
      </c>
      <c r="K307" s="11">
        <v>107</v>
      </c>
      <c r="L307" s="12">
        <v>4.6393668428860702</v>
      </c>
    </row>
    <row r="308" spans="1:12" x14ac:dyDescent="0.25">
      <c r="A308" s="11">
        <v>-426</v>
      </c>
      <c r="B308" s="12">
        <v>0.73798453200000003</v>
      </c>
      <c r="F308" s="11">
        <v>-100</v>
      </c>
      <c r="G308" s="12">
        <v>0</v>
      </c>
      <c r="K308" s="11">
        <v>108</v>
      </c>
      <c r="L308" s="12">
        <v>4.66224311512687</v>
      </c>
    </row>
    <row r="309" spans="1:12" x14ac:dyDescent="0.25">
      <c r="A309" s="11">
        <v>-425</v>
      </c>
      <c r="B309" s="12">
        <v>0.73803906249999995</v>
      </c>
      <c r="F309" s="11">
        <v>-99</v>
      </c>
      <c r="G309" s="12">
        <v>0</v>
      </c>
      <c r="K309" s="11">
        <v>109</v>
      </c>
      <c r="L309" s="12">
        <v>4.6849587060673104</v>
      </c>
    </row>
    <row r="310" spans="1:12" x14ac:dyDescent="0.25">
      <c r="A310" s="11">
        <v>-424</v>
      </c>
      <c r="B310" s="12">
        <v>0.73809516799999997</v>
      </c>
      <c r="F310" s="11">
        <v>-98</v>
      </c>
      <c r="G310" s="12">
        <v>0</v>
      </c>
      <c r="K310" s="11">
        <v>110</v>
      </c>
      <c r="L310" s="12">
        <v>4.7075151473093104</v>
      </c>
    </row>
    <row r="311" spans="1:12" x14ac:dyDescent="0.25">
      <c r="A311" s="11">
        <v>-423</v>
      </c>
      <c r="B311" s="12">
        <v>0.73815288150000002</v>
      </c>
      <c r="F311" s="11">
        <v>-97</v>
      </c>
      <c r="G311" s="12">
        <v>0</v>
      </c>
      <c r="K311" s="11">
        <v>111</v>
      </c>
      <c r="L311" s="12">
        <v>4.7299139704548203</v>
      </c>
    </row>
    <row r="312" spans="1:12" x14ac:dyDescent="0.25">
      <c r="A312" s="11">
        <v>-422</v>
      </c>
      <c r="B312" s="12">
        <v>0.73821223599999997</v>
      </c>
      <c r="F312" s="11">
        <v>-96</v>
      </c>
      <c r="G312" s="12">
        <v>0</v>
      </c>
      <c r="K312" s="11">
        <v>112</v>
      </c>
      <c r="L312" s="12">
        <v>4.75215670710576</v>
      </c>
    </row>
    <row r="313" spans="1:12" x14ac:dyDescent="0.25">
      <c r="A313" s="11">
        <v>-421</v>
      </c>
      <c r="B313" s="12">
        <v>0.73827326449999997</v>
      </c>
      <c r="F313" s="11">
        <v>-95</v>
      </c>
      <c r="G313" s="12">
        <v>0</v>
      </c>
      <c r="K313" s="11">
        <v>113</v>
      </c>
      <c r="L313" s="12">
        <v>4.7742448888640796</v>
      </c>
    </row>
    <row r="314" spans="1:12" x14ac:dyDescent="0.25">
      <c r="A314" s="11">
        <v>-420</v>
      </c>
      <c r="B314" s="12">
        <v>0.73833599999999999</v>
      </c>
      <c r="F314" s="11">
        <v>-94</v>
      </c>
      <c r="G314" s="12">
        <v>0</v>
      </c>
      <c r="K314" s="11">
        <v>114</v>
      </c>
      <c r="L314" s="12">
        <v>4.7961800473316902</v>
      </c>
    </row>
    <row r="315" spans="1:12" x14ac:dyDescent="0.25">
      <c r="A315" s="11">
        <v>-419</v>
      </c>
      <c r="B315" s="12">
        <v>0.73840047549999999</v>
      </c>
      <c r="F315" s="11">
        <v>-93</v>
      </c>
      <c r="G315" s="12">
        <v>0</v>
      </c>
      <c r="K315" s="11">
        <v>115</v>
      </c>
      <c r="L315" s="12">
        <v>4.81796371411055</v>
      </c>
    </row>
    <row r="316" spans="1:12" x14ac:dyDescent="0.25">
      <c r="A316" s="11">
        <v>-418</v>
      </c>
      <c r="B316" s="12">
        <v>0.73846672400000002</v>
      </c>
      <c r="F316" s="11">
        <v>-92</v>
      </c>
      <c r="G316" s="12">
        <v>0</v>
      </c>
      <c r="K316" s="11">
        <v>116</v>
      </c>
      <c r="L316" s="12">
        <v>4.83959742080257</v>
      </c>
    </row>
    <row r="317" spans="1:12" x14ac:dyDescent="0.25">
      <c r="A317" s="11">
        <v>-417</v>
      </c>
      <c r="B317" s="12">
        <v>0.73853477850000004</v>
      </c>
      <c r="F317" s="11">
        <v>-91</v>
      </c>
      <c r="G317" s="12">
        <v>4.7135694912468101E-4</v>
      </c>
      <c r="K317" s="11">
        <v>117</v>
      </c>
      <c r="L317" s="12">
        <v>4.8610826990096996</v>
      </c>
    </row>
    <row r="318" spans="1:12" x14ac:dyDescent="0.25">
      <c r="A318" s="11">
        <v>-416</v>
      </c>
      <c r="B318" s="12">
        <v>0.73860467200000002</v>
      </c>
      <c r="F318" s="11">
        <v>-90</v>
      </c>
      <c r="G318" s="12">
        <v>1.8426892413906501E-3</v>
      </c>
      <c r="K318" s="11">
        <v>118</v>
      </c>
      <c r="L318" s="12">
        <v>4.8824210803338604</v>
      </c>
    </row>
    <row r="319" spans="1:12" x14ac:dyDescent="0.25">
      <c r="A319" s="11">
        <v>-415</v>
      </c>
      <c r="B319" s="12">
        <v>0.7386764375</v>
      </c>
      <c r="F319" s="11">
        <v>-89</v>
      </c>
      <c r="G319" s="12">
        <v>4.0498890441357802E-3</v>
      </c>
      <c r="K319" s="11">
        <v>119</v>
      </c>
      <c r="L319" s="12">
        <v>4.9036140963769999</v>
      </c>
    </row>
    <row r="320" spans="1:12" x14ac:dyDescent="0.25">
      <c r="A320" s="11">
        <v>-414</v>
      </c>
      <c r="B320" s="12">
        <v>0.73875010799999996</v>
      </c>
      <c r="F320" s="11">
        <v>-88</v>
      </c>
      <c r="G320" s="12">
        <v>7.0288485246979499E-3</v>
      </c>
      <c r="K320" s="11">
        <v>120</v>
      </c>
      <c r="L320" s="12">
        <v>4.9246632787410398</v>
      </c>
    </row>
    <row r="321" spans="1:12" x14ac:dyDescent="0.25">
      <c r="A321" s="11">
        <v>-413</v>
      </c>
      <c r="B321" s="12">
        <v>0.73882571649999995</v>
      </c>
      <c r="F321" s="11">
        <v>-87</v>
      </c>
      <c r="G321" s="12">
        <v>1.07154598504151E-2</v>
      </c>
      <c r="K321" s="11">
        <v>121</v>
      </c>
      <c r="L321" s="12">
        <v>4.9455701590279197</v>
      </c>
    </row>
    <row r="322" spans="1:12" x14ac:dyDescent="0.25">
      <c r="A322" s="11">
        <v>-412</v>
      </c>
      <c r="B322" s="12">
        <v>0.73890329600000004</v>
      </c>
      <c r="F322" s="11">
        <v>-86</v>
      </c>
      <c r="G322" s="12">
        <v>1.5045615188624999E-2</v>
      </c>
      <c r="K322" s="11">
        <v>122</v>
      </c>
      <c r="L322" s="12">
        <v>4.9663362688395702</v>
      </c>
    </row>
    <row r="323" spans="1:12" x14ac:dyDescent="0.25">
      <c r="A323" s="11">
        <v>-411</v>
      </c>
      <c r="B323" s="12">
        <v>0.73898287949999997</v>
      </c>
      <c r="F323" s="11">
        <v>-85</v>
      </c>
      <c r="G323" s="12">
        <v>1.9955206706665601E-2</v>
      </c>
      <c r="K323" s="11">
        <v>123</v>
      </c>
      <c r="L323" s="12">
        <v>4.9869631397779299</v>
      </c>
    </row>
    <row r="324" spans="1:12" x14ac:dyDescent="0.25">
      <c r="A324" s="11">
        <v>-410</v>
      </c>
      <c r="B324" s="12">
        <v>0.73906450000000001</v>
      </c>
      <c r="F324" s="11">
        <v>-84</v>
      </c>
      <c r="G324" s="12">
        <v>2.53801265718747E-2</v>
      </c>
      <c r="K324" s="11">
        <v>124</v>
      </c>
      <c r="L324" s="12">
        <v>5.0074523034449197</v>
      </c>
    </row>
    <row r="325" spans="1:12" x14ac:dyDescent="0.25">
      <c r="A325" s="11">
        <v>-409</v>
      </c>
      <c r="B325" s="12">
        <v>0.73914819050000002</v>
      </c>
      <c r="F325" s="11">
        <v>-83</v>
      </c>
      <c r="G325" s="12">
        <v>3.1256266951590402E-2</v>
      </c>
      <c r="K325" s="11">
        <v>125</v>
      </c>
      <c r="L325" s="12">
        <v>5.0278052914424904</v>
      </c>
    </row>
    <row r="326" spans="1:12" x14ac:dyDescent="0.25">
      <c r="A326" s="11">
        <v>-408</v>
      </c>
      <c r="B326" s="12">
        <v>0.73923398399999996</v>
      </c>
      <c r="F326" s="11">
        <v>-82</v>
      </c>
      <c r="G326" s="12">
        <v>3.7519520013150301E-2</v>
      </c>
      <c r="K326" s="11">
        <v>126</v>
      </c>
      <c r="L326" s="12">
        <v>5.0480236353725596</v>
      </c>
    </row>
    <row r="327" spans="1:12" x14ac:dyDescent="0.25">
      <c r="A327" s="11">
        <v>-407</v>
      </c>
      <c r="B327" s="12">
        <v>0.73932191349999998</v>
      </c>
      <c r="F327" s="11">
        <v>-81</v>
      </c>
      <c r="G327" s="12">
        <v>4.4105777923892503E-2</v>
      </c>
      <c r="K327" s="11">
        <v>127</v>
      </c>
      <c r="L327" s="12">
        <v>5.06810886683708</v>
      </c>
    </row>
    <row r="328" spans="1:12" x14ac:dyDescent="0.25">
      <c r="A328" s="11">
        <v>-406</v>
      </c>
      <c r="B328" s="12">
        <v>0.73941201199999995</v>
      </c>
      <c r="F328" s="11">
        <v>-80</v>
      </c>
      <c r="G328" s="12">
        <v>5.0950932851154797E-2</v>
      </c>
      <c r="K328" s="11">
        <v>128</v>
      </c>
      <c r="L328" s="12">
        <v>5.0880625174379599</v>
      </c>
    </row>
    <row r="329" spans="1:12" x14ac:dyDescent="0.25">
      <c r="A329" s="11">
        <v>-405</v>
      </c>
      <c r="B329" s="12">
        <v>0.73950431250000004</v>
      </c>
      <c r="F329" s="11">
        <v>-79</v>
      </c>
      <c r="G329" s="12">
        <v>5.7990876962274999E-2</v>
      </c>
      <c r="K329" s="11">
        <v>129</v>
      </c>
      <c r="L329" s="12">
        <v>5.1078861187771496</v>
      </c>
    </row>
    <row r="330" spans="1:12" x14ac:dyDescent="0.25">
      <c r="A330" s="11">
        <v>-404</v>
      </c>
      <c r="B330" s="12">
        <v>0.73959884799999998</v>
      </c>
      <c r="F330" s="11">
        <v>-78</v>
      </c>
      <c r="G330" s="12">
        <v>6.5161502424591095E-2</v>
      </c>
      <c r="K330" s="11">
        <v>130</v>
      </c>
      <c r="L330" s="12">
        <v>5.1275812024565903</v>
      </c>
    </row>
    <row r="331" spans="1:12" x14ac:dyDescent="0.25">
      <c r="A331" s="11">
        <v>-403</v>
      </c>
      <c r="B331" s="12">
        <v>0.73969565150000005</v>
      </c>
      <c r="F331" s="11">
        <v>-77</v>
      </c>
      <c r="G331" s="12">
        <v>7.2398701405440899E-2</v>
      </c>
      <c r="K331" s="11">
        <v>131</v>
      </c>
      <c r="L331" s="12">
        <v>5.1471493000781896</v>
      </c>
    </row>
    <row r="332" spans="1:12" x14ac:dyDescent="0.25">
      <c r="A332" s="11">
        <v>-402</v>
      </c>
      <c r="B332" s="12">
        <v>0.739794756</v>
      </c>
      <c r="F332" s="11">
        <v>-76</v>
      </c>
      <c r="G332" s="12">
        <v>7.9638366072162403E-2</v>
      </c>
      <c r="K332" s="11">
        <v>132</v>
      </c>
      <c r="L332" s="12">
        <v>5.1665919432439003</v>
      </c>
    </row>
    <row r="333" spans="1:12" x14ac:dyDescent="0.25">
      <c r="A333" s="11">
        <v>-401</v>
      </c>
      <c r="B333" s="12">
        <v>0.73989619449999999</v>
      </c>
      <c r="F333" s="11">
        <v>-75</v>
      </c>
      <c r="G333" s="12">
        <v>8.6816388592093299E-2</v>
      </c>
      <c r="K333" s="11">
        <v>133</v>
      </c>
      <c r="L333" s="12">
        <v>5.18591066355566</v>
      </c>
    </row>
    <row r="334" spans="1:12" x14ac:dyDescent="0.25">
      <c r="A334" s="11">
        <v>-400</v>
      </c>
      <c r="B334" s="12">
        <v>0.74</v>
      </c>
      <c r="F334" s="11">
        <v>-74</v>
      </c>
      <c r="G334" s="12">
        <v>9.3868661132571696E-2</v>
      </c>
      <c r="K334" s="11">
        <v>134</v>
      </c>
      <c r="L334" s="12">
        <v>5.2051069926153799</v>
      </c>
    </row>
    <row r="335" spans="1:12" x14ac:dyDescent="0.25">
      <c r="A335" s="11">
        <v>-399</v>
      </c>
      <c r="B335" s="12">
        <v>0.74010277899999999</v>
      </c>
      <c r="F335" s="11">
        <v>-73</v>
      </c>
      <c r="G335" s="12">
        <v>0.10073107586093499</v>
      </c>
      <c r="K335" s="11">
        <v>135</v>
      </c>
      <c r="L335" s="12">
        <v>5.2241824620250199</v>
      </c>
    </row>
    <row r="336" spans="1:12" x14ac:dyDescent="0.25">
      <c r="A336" s="11">
        <v>-398</v>
      </c>
      <c r="B336" s="12">
        <v>0.74020123199999999</v>
      </c>
      <c r="F336" s="11">
        <v>-72</v>
      </c>
      <c r="G336" s="12">
        <v>0.10733952494452199</v>
      </c>
      <c r="K336" s="11">
        <v>136</v>
      </c>
      <c r="L336" s="12">
        <v>5.2431386033865</v>
      </c>
    </row>
    <row r="337" spans="1:12" x14ac:dyDescent="0.25">
      <c r="A337" s="11">
        <v>-397</v>
      </c>
      <c r="B337" s="12">
        <v>0.74029553299999995</v>
      </c>
      <c r="F337" s="11">
        <v>-71</v>
      </c>
      <c r="G337" s="12">
        <v>0.11362990055067</v>
      </c>
      <c r="K337" s="11">
        <v>137</v>
      </c>
      <c r="L337" s="12">
        <v>5.2619769483017498</v>
      </c>
    </row>
    <row r="338" spans="1:12" x14ac:dyDescent="0.25">
      <c r="A338" s="11">
        <v>-396</v>
      </c>
      <c r="B338" s="12">
        <v>0.74038585599999995</v>
      </c>
      <c r="F338" s="11">
        <v>-70</v>
      </c>
      <c r="G338" s="12">
        <v>0.119538094846717</v>
      </c>
      <c r="K338" s="11">
        <v>138</v>
      </c>
      <c r="L338" s="12">
        <v>5.2806990283727098</v>
      </c>
    </row>
    <row r="339" spans="1:12" x14ac:dyDescent="0.25">
      <c r="A339" s="11">
        <v>-395</v>
      </c>
      <c r="B339" s="12">
        <v>0.74047237499999996</v>
      </c>
      <c r="F339" s="11">
        <v>-69</v>
      </c>
      <c r="G339" s="12">
        <v>0.125</v>
      </c>
      <c r="K339" s="11">
        <v>139</v>
      </c>
      <c r="L339" s="12">
        <v>5.2993063752013096</v>
      </c>
    </row>
    <row r="340" spans="1:12" x14ac:dyDescent="0.25">
      <c r="A340" s="11">
        <v>-394</v>
      </c>
      <c r="B340" s="12">
        <v>0.74055526400000005</v>
      </c>
      <c r="F340" s="11">
        <v>-68</v>
      </c>
      <c r="G340" s="12">
        <v>0.130176347826087</v>
      </c>
      <c r="K340" s="11">
        <v>140</v>
      </c>
      <c r="L340" s="12">
        <v>5.31780052038948</v>
      </c>
    </row>
    <row r="341" spans="1:12" x14ac:dyDescent="0.25">
      <c r="A341" s="11">
        <v>-393</v>
      </c>
      <c r="B341" s="12">
        <v>0.74063469699999995</v>
      </c>
      <c r="F341" s="11">
        <v>-67</v>
      </c>
      <c r="G341" s="12">
        <v>0.13527600000000001</v>
      </c>
      <c r="K341" s="11">
        <v>141</v>
      </c>
      <c r="L341" s="12">
        <v>5.3361829955391702</v>
      </c>
    </row>
    <row r="342" spans="1:12" x14ac:dyDescent="0.25">
      <c r="A342" s="11">
        <v>-392</v>
      </c>
      <c r="B342" s="12">
        <v>0.74071084799999998</v>
      </c>
      <c r="F342" s="11">
        <v>-66</v>
      </c>
      <c r="G342" s="12">
        <v>0.14030704347826101</v>
      </c>
      <c r="K342" s="11">
        <v>142</v>
      </c>
      <c r="L342" s="12">
        <v>5.3544553322523001</v>
      </c>
    </row>
    <row r="343" spans="1:12" x14ac:dyDescent="0.25">
      <c r="A343" s="11">
        <v>-391</v>
      </c>
      <c r="B343" s="12">
        <v>0.74078389099999997</v>
      </c>
      <c r="F343" s="11">
        <v>-65</v>
      </c>
      <c r="G343" s="12">
        <v>0.14527756521739099</v>
      </c>
      <c r="K343" s="11">
        <v>143</v>
      </c>
      <c r="L343" s="12">
        <v>5.3726190621308003</v>
      </c>
    </row>
    <row r="344" spans="1:12" x14ac:dyDescent="0.25">
      <c r="A344" s="11">
        <v>-390</v>
      </c>
      <c r="B344" s="12">
        <v>0.74085400000000001</v>
      </c>
      <c r="F344" s="11">
        <v>-64</v>
      </c>
      <c r="G344" s="12">
        <v>0.15019565217391301</v>
      </c>
      <c r="K344" s="11">
        <v>144</v>
      </c>
      <c r="L344" s="12">
        <v>5.3906757167766202</v>
      </c>
    </row>
    <row r="345" spans="1:12" x14ac:dyDescent="0.25">
      <c r="A345" s="11">
        <v>-389</v>
      </c>
      <c r="B345" s="12">
        <v>0.74092134899999995</v>
      </c>
      <c r="F345" s="11">
        <v>-63</v>
      </c>
      <c r="G345" s="12">
        <v>0.15506939130434799</v>
      </c>
      <c r="K345" s="11">
        <v>145</v>
      </c>
      <c r="L345" s="12">
        <v>5.4086268277916698</v>
      </c>
    </row>
    <row r="346" spans="1:12" x14ac:dyDescent="0.25">
      <c r="A346" s="11">
        <v>-388</v>
      </c>
      <c r="B346" s="12">
        <v>0.74098611199999997</v>
      </c>
      <c r="F346" s="11">
        <v>-62</v>
      </c>
      <c r="G346" s="12">
        <v>0.15990686956521699</v>
      </c>
      <c r="K346" s="11">
        <v>146</v>
      </c>
      <c r="L346" s="12">
        <v>5.4264739267779101</v>
      </c>
    </row>
    <row r="347" spans="1:12" x14ac:dyDescent="0.25">
      <c r="A347" s="11">
        <v>-387</v>
      </c>
      <c r="B347" s="12">
        <v>0.74104846300000005</v>
      </c>
      <c r="F347" s="11">
        <v>-61</v>
      </c>
      <c r="G347" s="12">
        <v>0.164716173913043</v>
      </c>
      <c r="K347" s="11">
        <v>147</v>
      </c>
      <c r="L347" s="12">
        <v>5.4442185453372502</v>
      </c>
    </row>
    <row r="348" spans="1:12" x14ac:dyDescent="0.25">
      <c r="A348" s="11">
        <v>-386</v>
      </c>
      <c r="B348" s="12">
        <v>0.74110857600000002</v>
      </c>
      <c r="F348" s="11">
        <v>-60</v>
      </c>
      <c r="G348" s="12">
        <v>0.169505391304348</v>
      </c>
      <c r="K348" s="11">
        <v>148</v>
      </c>
      <c r="L348" s="12">
        <v>5.4618622150716396</v>
      </c>
    </row>
    <row r="349" spans="1:12" x14ac:dyDescent="0.25">
      <c r="A349" s="11">
        <v>-385</v>
      </c>
      <c r="B349" s="12">
        <v>0.74116662499999997</v>
      </c>
      <c r="F349" s="11">
        <v>-59</v>
      </c>
      <c r="G349" s="12">
        <v>0.17428260869565201</v>
      </c>
      <c r="K349" s="11">
        <v>149</v>
      </c>
      <c r="L349" s="12">
        <v>5.4794064675829999</v>
      </c>
    </row>
    <row r="350" spans="1:12" x14ac:dyDescent="0.25">
      <c r="A350" s="11">
        <v>-384</v>
      </c>
      <c r="B350" s="12">
        <v>0.74122278399999997</v>
      </c>
      <c r="F350" s="11">
        <v>-58</v>
      </c>
      <c r="G350" s="12">
        <v>0.17905591304347801</v>
      </c>
      <c r="K350" s="11">
        <v>150</v>
      </c>
      <c r="L350" s="12">
        <v>5.4968528344732697</v>
      </c>
    </row>
    <row r="351" spans="1:12" x14ac:dyDescent="0.25">
      <c r="A351" s="11">
        <v>-383</v>
      </c>
      <c r="B351" s="12">
        <v>0.74127722699999998</v>
      </c>
      <c r="F351" s="11">
        <v>-57</v>
      </c>
      <c r="G351" s="12">
        <v>0.183833391304348</v>
      </c>
      <c r="K351" s="11">
        <v>151</v>
      </c>
      <c r="L351" s="12">
        <v>5.5142028473443903</v>
      </c>
    </row>
    <row r="352" spans="1:12" x14ac:dyDescent="0.25">
      <c r="A352" s="11">
        <v>-382</v>
      </c>
      <c r="B352" s="12">
        <v>0.74133012799999998</v>
      </c>
      <c r="F352" s="11">
        <v>-56</v>
      </c>
      <c r="G352" s="12">
        <v>0.18862313043478299</v>
      </c>
      <c r="K352" s="11">
        <v>152</v>
      </c>
      <c r="L352" s="12">
        <v>5.5314580377982896</v>
      </c>
    </row>
    <row r="353" spans="1:12" x14ac:dyDescent="0.25">
      <c r="A353" s="11">
        <v>-381</v>
      </c>
      <c r="B353" s="12">
        <v>0.74138166100000003</v>
      </c>
      <c r="F353" s="11">
        <v>-55</v>
      </c>
      <c r="G353" s="12">
        <v>0.19343321739130401</v>
      </c>
      <c r="K353" s="11">
        <v>153</v>
      </c>
      <c r="L353" s="12">
        <v>5.5486199374369001</v>
      </c>
    </row>
    <row r="354" spans="1:12" x14ac:dyDescent="0.25">
      <c r="A354" s="11">
        <v>-380</v>
      </c>
      <c r="B354" s="12">
        <v>0.74143199999999998</v>
      </c>
      <c r="F354" s="11">
        <v>-54</v>
      </c>
      <c r="G354" s="12">
        <v>0.198271739130435</v>
      </c>
      <c r="K354" s="11">
        <v>154</v>
      </c>
      <c r="L354" s="12">
        <v>5.5656900778621496</v>
      </c>
    </row>
    <row r="355" spans="1:12" x14ac:dyDescent="0.25">
      <c r="A355" s="11">
        <v>-379</v>
      </c>
      <c r="B355" s="12">
        <v>0.74148131900000003</v>
      </c>
      <c r="F355" s="11">
        <v>-53</v>
      </c>
      <c r="G355" s="12">
        <v>0.20314678260869601</v>
      </c>
      <c r="K355" s="11">
        <v>155</v>
      </c>
      <c r="L355" s="12">
        <v>5.5826699906759902</v>
      </c>
    </row>
    <row r="356" spans="1:12" x14ac:dyDescent="0.25">
      <c r="A356" s="11">
        <v>-378</v>
      </c>
      <c r="B356" s="12">
        <v>0.74152979200000002</v>
      </c>
      <c r="F356" s="11">
        <v>-52</v>
      </c>
      <c r="G356" s="12">
        <v>0.208066434782609</v>
      </c>
      <c r="K356" s="11">
        <v>156</v>
      </c>
      <c r="L356" s="12">
        <v>5.5995612074803303</v>
      </c>
    </row>
    <row r="357" spans="1:12" x14ac:dyDescent="0.25">
      <c r="A357" s="11">
        <v>-377</v>
      </c>
      <c r="B357" s="12">
        <v>0.74157759300000003</v>
      </c>
      <c r="F357" s="11">
        <v>-51</v>
      </c>
      <c r="G357" s="12">
        <v>0.21303878260869599</v>
      </c>
      <c r="K357" s="11">
        <v>157</v>
      </c>
      <c r="L357" s="12">
        <v>5.6163652598771199</v>
      </c>
    </row>
    <row r="358" spans="1:12" x14ac:dyDescent="0.25">
      <c r="A358" s="11">
        <v>-376</v>
      </c>
      <c r="B358" s="12">
        <v>0.74162489600000003</v>
      </c>
      <c r="F358" s="11">
        <v>-50</v>
      </c>
      <c r="G358" s="12">
        <v>0.21807191304347801</v>
      </c>
      <c r="K358" s="11">
        <v>158</v>
      </c>
      <c r="L358" s="12">
        <v>5.6330836794682897</v>
      </c>
    </row>
    <row r="359" spans="1:12" x14ac:dyDescent="0.25">
      <c r="A359" s="11">
        <v>-375</v>
      </c>
      <c r="B359" s="12">
        <v>0.74167187499999998</v>
      </c>
      <c r="F359" s="11">
        <v>-49</v>
      </c>
      <c r="G359" s="12">
        <v>0.223173913043478</v>
      </c>
      <c r="K359" s="11">
        <v>159</v>
      </c>
      <c r="L359" s="12">
        <v>5.6497179978557703</v>
      </c>
    </row>
    <row r="360" spans="1:12" x14ac:dyDescent="0.25">
      <c r="A360" s="11">
        <v>-374</v>
      </c>
      <c r="B360" s="12">
        <v>0.74171870399999995</v>
      </c>
      <c r="F360" s="11">
        <v>-48</v>
      </c>
      <c r="G360" s="12">
        <v>0.228352869565217</v>
      </c>
      <c r="K360" s="11">
        <v>160</v>
      </c>
      <c r="L360" s="12">
        <v>5.6662697466415004</v>
      </c>
    </row>
    <row r="361" spans="1:12" x14ac:dyDescent="0.25">
      <c r="A361" s="11">
        <v>-373</v>
      </c>
      <c r="B361" s="12">
        <v>0.74176555700000002</v>
      </c>
      <c r="F361" s="11">
        <v>-47</v>
      </c>
      <c r="G361" s="12">
        <v>0.23361686956521699</v>
      </c>
      <c r="K361" s="11">
        <v>161</v>
      </c>
      <c r="L361" s="12">
        <v>5.6827404574273999</v>
      </c>
    </row>
    <row r="362" spans="1:12" x14ac:dyDescent="0.25">
      <c r="A362" s="11">
        <v>-372</v>
      </c>
      <c r="B362" s="12">
        <v>0.74181260800000004</v>
      </c>
      <c r="F362" s="11">
        <v>-46</v>
      </c>
      <c r="G362" s="12">
        <v>0.23897399999999999</v>
      </c>
      <c r="K362" s="11">
        <v>162</v>
      </c>
      <c r="L362" s="12">
        <v>5.6991316618154197</v>
      </c>
    </row>
    <row r="363" spans="1:12" x14ac:dyDescent="0.25">
      <c r="A363" s="11">
        <v>-371</v>
      </c>
      <c r="B363" s="12">
        <v>0.74186003099999998</v>
      </c>
      <c r="F363" s="11">
        <v>-45</v>
      </c>
      <c r="G363" s="12">
        <v>0.244432347826087</v>
      </c>
      <c r="K363" s="11">
        <v>163</v>
      </c>
      <c r="L363" s="12">
        <v>5.7154448914074898</v>
      </c>
    </row>
    <row r="364" spans="1:12" x14ac:dyDescent="0.25">
      <c r="A364" s="11">
        <v>-370</v>
      </c>
      <c r="B364" s="12">
        <v>0.74190800000000001</v>
      </c>
      <c r="F364" s="11">
        <v>-44</v>
      </c>
      <c r="G364" s="12">
        <v>0.25</v>
      </c>
      <c r="K364" s="11">
        <v>164</v>
      </c>
      <c r="L364" s="12">
        <v>5.7316816778055397</v>
      </c>
    </row>
    <row r="365" spans="1:12" x14ac:dyDescent="0.25">
      <c r="A365" s="11">
        <v>-369</v>
      </c>
      <c r="B365" s="12">
        <v>0.741956689</v>
      </c>
      <c r="F365" s="11">
        <v>-43</v>
      </c>
      <c r="G365" s="12">
        <v>0.25552126736111103</v>
      </c>
      <c r="K365" s="11">
        <v>165</v>
      </c>
      <c r="L365" s="12">
        <v>5.7478435526115002</v>
      </c>
    </row>
    <row r="366" spans="1:12" x14ac:dyDescent="0.25">
      <c r="A366" s="11">
        <v>-368</v>
      </c>
      <c r="B366" s="12">
        <v>0.74200627200000002</v>
      </c>
      <c r="F366" s="11">
        <v>-42</v>
      </c>
      <c r="G366" s="12">
        <v>0.26085763888888902</v>
      </c>
      <c r="K366" s="11">
        <v>166</v>
      </c>
      <c r="L366" s="12">
        <v>5.7639320474273097</v>
      </c>
    </row>
    <row r="367" spans="1:12" x14ac:dyDescent="0.25">
      <c r="A367" s="11">
        <v>-367</v>
      </c>
      <c r="B367" s="12">
        <v>0.74205692300000003</v>
      </c>
      <c r="F367" s="11">
        <v>-41</v>
      </c>
      <c r="G367" s="12">
        <v>0.26604296875</v>
      </c>
      <c r="K367" s="11">
        <v>167</v>
      </c>
      <c r="L367" s="12">
        <v>5.7799486938548998</v>
      </c>
    </row>
    <row r="368" spans="1:12" x14ac:dyDescent="0.25">
      <c r="A368" s="11">
        <v>-366</v>
      </c>
      <c r="B368" s="12">
        <v>0.742108816</v>
      </c>
      <c r="F368" s="11">
        <v>-40</v>
      </c>
      <c r="G368" s="12">
        <v>0.27111111111111103</v>
      </c>
      <c r="K368" s="11">
        <v>168</v>
      </c>
      <c r="L368" s="12">
        <v>5.7958950234962003</v>
      </c>
    </row>
    <row r="369" spans="1:12" x14ac:dyDescent="0.25">
      <c r="A369" s="11">
        <v>-365</v>
      </c>
      <c r="B369" s="12">
        <v>0.74216212500000001</v>
      </c>
      <c r="F369" s="11">
        <v>-39</v>
      </c>
      <c r="G369" s="12">
        <v>0.27609592013888901</v>
      </c>
      <c r="K369" s="11">
        <v>169</v>
      </c>
      <c r="L369" s="12">
        <v>5.8117725679531498</v>
      </c>
    </row>
    <row r="370" spans="1:12" x14ac:dyDescent="0.25">
      <c r="A370" s="11">
        <v>-364</v>
      </c>
      <c r="B370" s="12">
        <v>0.742217024</v>
      </c>
      <c r="F370" s="11">
        <v>-38</v>
      </c>
      <c r="G370" s="12">
        <v>0.28103125000000001</v>
      </c>
      <c r="K370" s="11">
        <v>170</v>
      </c>
      <c r="L370" s="12">
        <v>5.8275828588276903</v>
      </c>
    </row>
    <row r="371" spans="1:12" x14ac:dyDescent="0.25">
      <c r="A371" s="11">
        <v>-363</v>
      </c>
      <c r="B371" s="12">
        <v>0.74227368699999996</v>
      </c>
      <c r="F371" s="11">
        <v>-37</v>
      </c>
      <c r="G371" s="12">
        <v>0.285950954861111</v>
      </c>
      <c r="K371" s="11">
        <v>171</v>
      </c>
      <c r="L371" s="12">
        <v>5.8433274277217402</v>
      </c>
    </row>
    <row r="372" spans="1:12" x14ac:dyDescent="0.25">
      <c r="A372" s="11">
        <v>-362</v>
      </c>
      <c r="B372" s="12">
        <v>0.74233228799999995</v>
      </c>
      <c r="F372" s="11">
        <v>-36</v>
      </c>
      <c r="G372" s="12">
        <v>0.29088888888888897</v>
      </c>
      <c r="K372" s="11">
        <v>172</v>
      </c>
      <c r="L372" s="12">
        <v>5.8590078062372299</v>
      </c>
    </row>
    <row r="373" spans="1:12" x14ac:dyDescent="0.25">
      <c r="A373" s="11">
        <v>-361</v>
      </c>
      <c r="B373" s="12">
        <v>0.74239300100000005</v>
      </c>
      <c r="F373" s="11">
        <v>-35</v>
      </c>
      <c r="G373" s="12">
        <v>0.29587890625000002</v>
      </c>
      <c r="K373" s="11">
        <v>173</v>
      </c>
      <c r="L373" s="12">
        <v>5.8746255259761098</v>
      </c>
    </row>
    <row r="374" spans="1:12" x14ac:dyDescent="0.25">
      <c r="A374" s="11">
        <v>-360</v>
      </c>
      <c r="B374" s="12">
        <v>0.742456</v>
      </c>
      <c r="F374" s="11">
        <v>-34</v>
      </c>
      <c r="G374" s="12">
        <v>0.30095486111111103</v>
      </c>
      <c r="K374" s="11">
        <v>174</v>
      </c>
      <c r="L374" s="12">
        <v>5.8901821185403103</v>
      </c>
    </row>
    <row r="375" spans="1:12" x14ac:dyDescent="0.25">
      <c r="A375" s="11">
        <v>-359</v>
      </c>
      <c r="B375" s="12">
        <v>0.74252145899999999</v>
      </c>
      <c r="F375" s="11">
        <v>-33</v>
      </c>
      <c r="G375" s="12">
        <v>0.30615060763888902</v>
      </c>
      <c r="K375" s="11">
        <v>175</v>
      </c>
      <c r="L375" s="12">
        <v>5.9056791155317496</v>
      </c>
    </row>
    <row r="376" spans="1:12" x14ac:dyDescent="0.25">
      <c r="A376" s="11">
        <v>-358</v>
      </c>
      <c r="B376" s="12">
        <v>0.74258955199999999</v>
      </c>
      <c r="F376" s="11">
        <v>-32</v>
      </c>
      <c r="G376" s="12">
        <v>0.3115</v>
      </c>
      <c r="K376" s="11">
        <v>176</v>
      </c>
      <c r="L376" s="12">
        <v>5.9211180485523798</v>
      </c>
    </row>
    <row r="377" spans="1:12" x14ac:dyDescent="0.25">
      <c r="A377" s="11">
        <v>-357</v>
      </c>
      <c r="B377" s="12">
        <v>0.74266045300000005</v>
      </c>
      <c r="F377" s="11">
        <v>-31</v>
      </c>
      <c r="G377" s="12">
        <v>0.31703689236111099</v>
      </c>
      <c r="K377" s="11">
        <v>177</v>
      </c>
      <c r="L377" s="12">
        <v>5.9365004492041198</v>
      </c>
    </row>
    <row r="378" spans="1:12" x14ac:dyDescent="0.25">
      <c r="A378" s="11">
        <v>-356</v>
      </c>
      <c r="B378" s="12">
        <v>0.74273433600000005</v>
      </c>
      <c r="F378" s="11">
        <v>-30</v>
      </c>
      <c r="G378" s="12">
        <v>0.322795138888889</v>
      </c>
      <c r="K378" s="11">
        <v>178</v>
      </c>
      <c r="L378" s="12">
        <v>5.9518278490889198</v>
      </c>
    </row>
    <row r="379" spans="1:12" x14ac:dyDescent="0.25">
      <c r="A379" s="11">
        <v>-355</v>
      </c>
      <c r="B379" s="12">
        <v>0.74281137500000005</v>
      </c>
      <c r="F379" s="11">
        <v>-29</v>
      </c>
      <c r="G379" s="12">
        <v>0.32880859374999999</v>
      </c>
      <c r="K379" s="11">
        <v>179</v>
      </c>
      <c r="L379" s="12">
        <v>5.9671017798086901</v>
      </c>
    </row>
    <row r="380" spans="1:12" x14ac:dyDescent="0.25">
      <c r="A380" s="11">
        <v>-354</v>
      </c>
      <c r="B380" s="12">
        <v>0.74289174400000002</v>
      </c>
      <c r="F380" s="11">
        <v>-28</v>
      </c>
      <c r="G380" s="12">
        <v>0.33511111111111103</v>
      </c>
      <c r="K380" s="11">
        <v>180</v>
      </c>
      <c r="L380" s="12">
        <v>5.9823237729653904</v>
      </c>
    </row>
    <row r="381" spans="1:12" x14ac:dyDescent="0.25">
      <c r="A381" s="11">
        <v>-353</v>
      </c>
      <c r="B381" s="12">
        <v>0.74297561700000003</v>
      </c>
      <c r="F381" s="11">
        <v>-27</v>
      </c>
      <c r="G381" s="12">
        <v>0.34173654513888901</v>
      </c>
      <c r="K381" s="11">
        <v>181</v>
      </c>
      <c r="L381" s="12">
        <v>5.9974953601609302</v>
      </c>
    </row>
    <row r="382" spans="1:12" x14ac:dyDescent="0.25">
      <c r="A382" s="11">
        <v>-352</v>
      </c>
      <c r="B382" s="12">
        <v>0.74306316800000005</v>
      </c>
      <c r="F382" s="11">
        <v>-26</v>
      </c>
      <c r="G382" s="12">
        <v>0.34871875000000002</v>
      </c>
      <c r="K382" s="11">
        <v>182</v>
      </c>
      <c r="L382" s="12">
        <v>6.0126180729972596</v>
      </c>
    </row>
    <row r="383" spans="1:12" x14ac:dyDescent="0.25">
      <c r="A383" s="11">
        <v>-351</v>
      </c>
      <c r="B383" s="12">
        <v>0.74315457100000004</v>
      </c>
      <c r="F383" s="11">
        <v>-25</v>
      </c>
      <c r="G383" s="12">
        <v>0.35609157986111101</v>
      </c>
      <c r="K383" s="11">
        <v>183</v>
      </c>
      <c r="L383" s="12">
        <v>6.0276934430763003</v>
      </c>
    </row>
    <row r="384" spans="1:12" x14ac:dyDescent="0.25">
      <c r="A384" s="11">
        <v>-350</v>
      </c>
      <c r="B384" s="12">
        <v>0.74324999999999997</v>
      </c>
      <c r="F384" s="11">
        <v>-24</v>
      </c>
      <c r="G384" s="12">
        <v>0.36388888888888898</v>
      </c>
      <c r="K384" s="11">
        <v>184</v>
      </c>
      <c r="L384" s="12">
        <v>6.0427230019999998</v>
      </c>
    </row>
    <row r="385" spans="1:12" x14ac:dyDescent="0.25">
      <c r="A385" s="11">
        <v>-349</v>
      </c>
      <c r="B385" s="12">
        <v>0.74334962900000001</v>
      </c>
      <c r="F385" s="11">
        <v>-23</v>
      </c>
      <c r="G385" s="12">
        <v>0.37214453125000002</v>
      </c>
      <c r="K385" s="11">
        <v>185</v>
      </c>
      <c r="L385" s="12">
        <v>6.05763530959356</v>
      </c>
    </row>
    <row r="386" spans="1:12" x14ac:dyDescent="0.25">
      <c r="A386" s="11">
        <v>-348</v>
      </c>
      <c r="B386" s="12">
        <v>0.74345363200000003</v>
      </c>
      <c r="F386" s="11">
        <v>-22</v>
      </c>
      <c r="G386" s="12">
        <v>0.38089236111111102</v>
      </c>
      <c r="K386" s="11">
        <v>186</v>
      </c>
      <c r="L386" s="12">
        <v>6.07235981127325</v>
      </c>
    </row>
    <row r="387" spans="1:12" x14ac:dyDescent="0.25">
      <c r="A387" s="11">
        <v>-347</v>
      </c>
      <c r="B387" s="12">
        <v>0.74356218299999999</v>
      </c>
      <c r="F387" s="11">
        <v>-21</v>
      </c>
      <c r="G387" s="12">
        <v>0.390166232638889</v>
      </c>
      <c r="K387" s="11">
        <v>187</v>
      </c>
      <c r="L387" s="12">
        <v>6.0868993670276099</v>
      </c>
    </row>
    <row r="388" spans="1:12" x14ac:dyDescent="0.25">
      <c r="A388" s="11">
        <v>-346</v>
      </c>
      <c r="B388" s="12">
        <v>0.74367545599999996</v>
      </c>
      <c r="F388" s="11">
        <v>-20</v>
      </c>
      <c r="G388" s="12">
        <v>0.4</v>
      </c>
      <c r="K388" s="11">
        <v>188</v>
      </c>
      <c r="L388" s="12">
        <v>6.1012568368451801</v>
      </c>
    </row>
    <row r="389" spans="1:12" x14ac:dyDescent="0.25">
      <c r="A389" s="11">
        <v>-345</v>
      </c>
      <c r="B389" s="12">
        <v>0.74379362500000001</v>
      </c>
      <c r="F389" s="11">
        <v>-19</v>
      </c>
      <c r="G389" s="12">
        <v>0.41012657530434798</v>
      </c>
      <c r="K389" s="11">
        <v>189</v>
      </c>
      <c r="L389" s="12">
        <v>6.1154350807144997</v>
      </c>
    </row>
    <row r="390" spans="1:12" x14ac:dyDescent="0.25">
      <c r="A390" s="11">
        <v>-344</v>
      </c>
      <c r="B390" s="12">
        <v>0.74391686400000001</v>
      </c>
      <c r="F390" s="11">
        <v>-18</v>
      </c>
      <c r="G390" s="12">
        <v>0.420281872</v>
      </c>
      <c r="K390" s="11">
        <v>190</v>
      </c>
      <c r="L390" s="12">
        <v>6.1294369586240904</v>
      </c>
    </row>
    <row r="391" spans="1:12" x14ac:dyDescent="0.25">
      <c r="A391" s="11">
        <v>-343</v>
      </c>
      <c r="B391" s="12">
        <v>0.74404534700000002</v>
      </c>
      <c r="F391" s="11">
        <v>-17</v>
      </c>
      <c r="G391" s="12">
        <v>0.43050424626087003</v>
      </c>
      <c r="K391" s="11">
        <v>191</v>
      </c>
      <c r="L391" s="12">
        <v>6.1432653305625102</v>
      </c>
    </row>
    <row r="392" spans="1:12" x14ac:dyDescent="0.25">
      <c r="A392" s="11">
        <v>-342</v>
      </c>
      <c r="B392" s="12">
        <v>0.74417924800000002</v>
      </c>
      <c r="F392" s="11">
        <v>-16</v>
      </c>
      <c r="G392" s="12">
        <v>0.44083205426087002</v>
      </c>
      <c r="K392" s="11">
        <v>192</v>
      </c>
      <c r="L392" s="12">
        <v>6.15692305651827</v>
      </c>
    </row>
    <row r="393" spans="1:12" x14ac:dyDescent="0.25">
      <c r="A393" s="11">
        <v>-341</v>
      </c>
      <c r="B393" s="12">
        <v>0.74431874099999995</v>
      </c>
      <c r="F393" s="11">
        <v>-15</v>
      </c>
      <c r="G393" s="12">
        <v>0.45130365217391299</v>
      </c>
      <c r="K393" s="11">
        <v>193</v>
      </c>
      <c r="L393" s="12">
        <v>6.1704129964799197</v>
      </c>
    </row>
    <row r="394" spans="1:12" x14ac:dyDescent="0.25">
      <c r="A394" s="11">
        <v>-340</v>
      </c>
      <c r="B394" s="12">
        <v>0.74446400000000001</v>
      </c>
      <c r="F394" s="11">
        <v>-14</v>
      </c>
      <c r="G394" s="12">
        <v>0.46195739617391302</v>
      </c>
      <c r="K394" s="11">
        <v>194</v>
      </c>
      <c r="L394" s="12">
        <v>6.1837380104359996</v>
      </c>
    </row>
    <row r="395" spans="1:12" x14ac:dyDescent="0.25">
      <c r="A395" s="11">
        <v>-339</v>
      </c>
      <c r="B395" s="12">
        <v>0.74461519899999995</v>
      </c>
      <c r="F395" s="11">
        <v>-13</v>
      </c>
      <c r="G395" s="12">
        <v>0.47283164243478298</v>
      </c>
      <c r="K395" s="11">
        <v>195</v>
      </c>
      <c r="L395" s="12">
        <v>6.1969009583750401</v>
      </c>
    </row>
    <row r="396" spans="1:12" x14ac:dyDescent="0.25">
      <c r="A396" s="11">
        <v>-338</v>
      </c>
      <c r="B396" s="12">
        <v>0.74477251200000005</v>
      </c>
      <c r="F396" s="11">
        <v>-12</v>
      </c>
      <c r="G396" s="12">
        <v>0.48396474713043502</v>
      </c>
      <c r="K396" s="11">
        <v>196</v>
      </c>
      <c r="L396" s="12">
        <v>6.2099047002855698</v>
      </c>
    </row>
    <row r="397" spans="1:12" x14ac:dyDescent="0.25">
      <c r="A397" s="11">
        <v>-337</v>
      </c>
      <c r="B397" s="12">
        <v>0.74493611299999996</v>
      </c>
      <c r="F397" s="11">
        <v>-11</v>
      </c>
      <c r="G397" s="12">
        <v>0.49539506643478298</v>
      </c>
      <c r="K397" s="11">
        <v>197</v>
      </c>
      <c r="L397" s="12">
        <v>6.22275209615613</v>
      </c>
    </row>
    <row r="398" spans="1:12" x14ac:dyDescent="0.25">
      <c r="A398" s="11">
        <v>-336</v>
      </c>
      <c r="B398" s="12">
        <v>0.74510617599999995</v>
      </c>
      <c r="F398" s="11">
        <v>-10</v>
      </c>
      <c r="G398" s="12">
        <v>0.50716095652173898</v>
      </c>
      <c r="K398" s="11">
        <v>198</v>
      </c>
      <c r="L398" s="12">
        <v>6.2354460059752599</v>
      </c>
    </row>
    <row r="399" spans="1:12" x14ac:dyDescent="0.25">
      <c r="A399" s="11">
        <v>-335</v>
      </c>
      <c r="B399" s="12">
        <v>0.74528287500000001</v>
      </c>
      <c r="F399" s="11">
        <v>-9</v>
      </c>
      <c r="G399" s="12">
        <v>0.51930077356521698</v>
      </c>
      <c r="K399" s="11">
        <v>199</v>
      </c>
      <c r="L399" s="12">
        <v>6.2479892897314997</v>
      </c>
    </row>
    <row r="400" spans="1:12" x14ac:dyDescent="0.25">
      <c r="A400" s="11">
        <v>-334</v>
      </c>
      <c r="B400" s="12">
        <v>0.74546638399999998</v>
      </c>
      <c r="F400" s="11">
        <v>-8</v>
      </c>
      <c r="G400" s="12">
        <v>0.53185287373913004</v>
      </c>
      <c r="K400" s="11">
        <v>200</v>
      </c>
      <c r="L400" s="12">
        <v>6.2603848074133799</v>
      </c>
    </row>
    <row r="401" spans="1:12" x14ac:dyDescent="0.25">
      <c r="A401" s="11">
        <v>-333</v>
      </c>
      <c r="B401" s="12">
        <v>0.74565687700000005</v>
      </c>
      <c r="F401" s="11">
        <v>-7</v>
      </c>
      <c r="G401" s="12">
        <v>0.54485561321739095</v>
      </c>
      <c r="K401" s="11">
        <v>201</v>
      </c>
      <c r="L401" s="12">
        <v>6.27263541900943</v>
      </c>
    </row>
    <row r="402" spans="1:12" x14ac:dyDescent="0.25">
      <c r="A402" s="11">
        <v>-332</v>
      </c>
      <c r="B402" s="12">
        <v>0.74585452799999996</v>
      </c>
      <c r="F402" s="11">
        <v>-6</v>
      </c>
      <c r="G402" s="12">
        <v>0.55834734817391296</v>
      </c>
      <c r="K402" s="11">
        <v>202</v>
      </c>
      <c r="L402" s="12">
        <v>6.2847439845081903</v>
      </c>
    </row>
    <row r="403" spans="1:12" x14ac:dyDescent="0.25">
      <c r="A403" s="11">
        <v>-331</v>
      </c>
      <c r="B403" s="12">
        <v>0.74605951100000001</v>
      </c>
      <c r="F403" s="11">
        <v>-5</v>
      </c>
      <c r="G403" s="12">
        <v>0.57236643478260896</v>
      </c>
      <c r="K403" s="11">
        <v>203</v>
      </c>
      <c r="L403" s="12">
        <v>6.2967133638982098</v>
      </c>
    </row>
    <row r="404" spans="1:12" x14ac:dyDescent="0.25">
      <c r="A404" s="11">
        <v>-330</v>
      </c>
      <c r="B404" s="12">
        <v>0.74627200000000005</v>
      </c>
      <c r="F404" s="11">
        <v>-4</v>
      </c>
      <c r="G404" s="12">
        <v>0.58695122921739096</v>
      </c>
      <c r="K404" s="11">
        <v>204</v>
      </c>
      <c r="L404" s="12">
        <v>6.3085464171680004</v>
      </c>
    </row>
    <row r="405" spans="1:12" x14ac:dyDescent="0.25">
      <c r="A405" s="11">
        <v>-329</v>
      </c>
      <c r="B405" s="12">
        <v>0.74649216900000004</v>
      </c>
      <c r="F405" s="11">
        <v>-3</v>
      </c>
      <c r="G405" s="12">
        <v>0.60214008765217397</v>
      </c>
      <c r="K405" s="11">
        <v>205</v>
      </c>
      <c r="L405" s="12">
        <v>6.3202460043061199</v>
      </c>
    </row>
    <row r="406" spans="1:12" x14ac:dyDescent="0.25">
      <c r="A406" s="11">
        <v>-328</v>
      </c>
      <c r="B406" s="12">
        <v>0.74672019199999995</v>
      </c>
      <c r="F406" s="11">
        <v>-2</v>
      </c>
      <c r="G406" s="12">
        <v>0.61797136626086902</v>
      </c>
      <c r="K406" s="11">
        <v>206</v>
      </c>
      <c r="L406" s="12">
        <v>6.3318149853010901</v>
      </c>
    </row>
    <row r="407" spans="1:12" x14ac:dyDescent="0.25">
      <c r="A407" s="11">
        <v>-327</v>
      </c>
      <c r="B407" s="12">
        <v>0.74695624299999996</v>
      </c>
      <c r="F407" s="11">
        <v>-1</v>
      </c>
      <c r="G407" s="12">
        <v>0.63448342121739099</v>
      </c>
      <c r="K407" s="11">
        <v>207</v>
      </c>
      <c r="L407" s="12">
        <v>6.3432562201414502</v>
      </c>
    </row>
    <row r="408" spans="1:12" x14ac:dyDescent="0.25">
      <c r="A408" s="11">
        <v>-326</v>
      </c>
      <c r="B408" s="12">
        <v>0.74720049600000005</v>
      </c>
      <c r="F408" s="11">
        <v>0</v>
      </c>
      <c r="G408" s="12">
        <v>0.65171460869565201</v>
      </c>
      <c r="K408" s="11">
        <v>208</v>
      </c>
      <c r="L408" s="12">
        <v>6.3545725688157404</v>
      </c>
    </row>
    <row r="409" spans="1:12" x14ac:dyDescent="0.25">
      <c r="A409" s="11">
        <v>-325</v>
      </c>
      <c r="B409" s="12">
        <v>0.74745312500000005</v>
      </c>
      <c r="F409" s="11">
        <v>1</v>
      </c>
      <c r="G409" s="12">
        <v>0.66970328486956499</v>
      </c>
      <c r="K409" s="11">
        <v>209</v>
      </c>
      <c r="L409" s="12">
        <v>6.3657668913125001</v>
      </c>
    </row>
    <row r="410" spans="1:12" x14ac:dyDescent="0.25">
      <c r="A410" s="11">
        <v>-324</v>
      </c>
      <c r="B410" s="12">
        <v>0.74771430400000005</v>
      </c>
      <c r="F410" s="11">
        <v>2</v>
      </c>
      <c r="G410" s="12">
        <v>0.68848780591304304</v>
      </c>
      <c r="K410" s="11">
        <v>210</v>
      </c>
      <c r="L410" s="12">
        <v>6.3768420476202596</v>
      </c>
    </row>
    <row r="411" spans="1:12" x14ac:dyDescent="0.25">
      <c r="A411" s="11">
        <v>-323</v>
      </c>
      <c r="B411" s="12">
        <v>0.74798420700000001</v>
      </c>
      <c r="F411" s="11">
        <v>3</v>
      </c>
      <c r="G411" s="12">
        <v>0.70810652799999996</v>
      </c>
      <c r="K411" s="11">
        <v>211</v>
      </c>
      <c r="L411" s="12">
        <v>6.3878008977275504</v>
      </c>
    </row>
    <row r="412" spans="1:12" x14ac:dyDescent="0.25">
      <c r="A412" s="11">
        <v>-322</v>
      </c>
      <c r="B412" s="12">
        <v>0.74826300800000001</v>
      </c>
      <c r="F412" s="11">
        <v>4</v>
      </c>
      <c r="G412" s="12">
        <v>0.72859780730434798</v>
      </c>
      <c r="K412" s="11">
        <v>212</v>
      </c>
      <c r="L412" s="12">
        <v>6.39864630162291</v>
      </c>
    </row>
    <row r="413" spans="1:12" x14ac:dyDescent="0.25">
      <c r="A413" s="11">
        <v>-321</v>
      </c>
      <c r="B413" s="12">
        <v>0.748550881</v>
      </c>
      <c r="F413" s="11">
        <v>5</v>
      </c>
      <c r="G413" s="12">
        <v>0.75</v>
      </c>
      <c r="K413" s="11">
        <v>213</v>
      </c>
      <c r="L413" s="12">
        <v>6.4093811192948804</v>
      </c>
    </row>
    <row r="414" spans="1:12" x14ac:dyDescent="0.25">
      <c r="A414" s="11">
        <v>-320</v>
      </c>
      <c r="B414" s="12">
        <v>0.74884799999999996</v>
      </c>
      <c r="F414" s="11">
        <v>6</v>
      </c>
      <c r="G414" s="12">
        <v>0.77196961446788603</v>
      </c>
      <c r="K414" s="11">
        <v>214</v>
      </c>
      <c r="L414" s="12">
        <v>6.420008210732</v>
      </c>
    </row>
    <row r="415" spans="1:12" x14ac:dyDescent="0.25">
      <c r="A415" s="11">
        <v>-319</v>
      </c>
      <c r="B415" s="12">
        <v>0.74915453899999995</v>
      </c>
      <c r="F415" s="11">
        <v>7</v>
      </c>
      <c r="G415" s="12">
        <v>0.79418177251202804</v>
      </c>
      <c r="K415" s="11">
        <v>215</v>
      </c>
      <c r="L415" s="12">
        <v>6.4305304359228002</v>
      </c>
    </row>
    <row r="416" spans="1:12" x14ac:dyDescent="0.25">
      <c r="A416" s="11">
        <v>-318</v>
      </c>
      <c r="B416" s="12">
        <v>0.74947067199999995</v>
      </c>
      <c r="F416" s="11">
        <v>8</v>
      </c>
      <c r="G416" s="12">
        <v>0.81670275044097795</v>
      </c>
      <c r="K416" s="11">
        <v>216</v>
      </c>
      <c r="L416" s="12">
        <v>6.4409506548558104</v>
      </c>
    </row>
    <row r="417" spans="1:12" x14ac:dyDescent="0.25">
      <c r="A417" s="11">
        <v>-317</v>
      </c>
      <c r="B417" s="12">
        <v>0.74979657300000002</v>
      </c>
      <c r="F417" s="11">
        <v>9</v>
      </c>
      <c r="G417" s="12">
        <v>0.83959882456328905</v>
      </c>
      <c r="K417" s="11">
        <v>217</v>
      </c>
      <c r="L417" s="12">
        <v>6.4512717275195701</v>
      </c>
    </row>
    <row r="418" spans="1:12" x14ac:dyDescent="0.25">
      <c r="A418" s="11">
        <v>-316</v>
      </c>
      <c r="B418" s="12">
        <v>0.75013241600000002</v>
      </c>
      <c r="F418" s="11">
        <v>10</v>
      </c>
      <c r="G418" s="12">
        <v>0.86293627118751204</v>
      </c>
      <c r="K418" s="11">
        <v>218</v>
      </c>
      <c r="L418" s="12">
        <v>6.4614965139026204</v>
      </c>
    </row>
    <row r="419" spans="1:12" x14ac:dyDescent="0.25">
      <c r="A419" s="11">
        <v>-315</v>
      </c>
      <c r="B419" s="12">
        <v>0.75047837500000003</v>
      </c>
      <c r="F419" s="11">
        <v>11</v>
      </c>
      <c r="G419" s="12">
        <v>0.88678136662219997</v>
      </c>
      <c r="K419" s="11">
        <v>219</v>
      </c>
      <c r="L419" s="12">
        <v>6.4716278739934996</v>
      </c>
    </row>
    <row r="420" spans="1:12" x14ac:dyDescent="0.25">
      <c r="A420" s="11">
        <v>-314</v>
      </c>
      <c r="B420" s="12">
        <v>0.75083462400000001</v>
      </c>
      <c r="F420" s="11">
        <v>12</v>
      </c>
      <c r="G420" s="12">
        <v>0.91120038717590501</v>
      </c>
      <c r="K420" s="11">
        <v>220</v>
      </c>
      <c r="L420" s="12">
        <v>6.4816686677807303</v>
      </c>
    </row>
    <row r="421" spans="1:12" x14ac:dyDescent="0.25">
      <c r="A421" s="11">
        <v>-313</v>
      </c>
      <c r="B421" s="12">
        <v>0.75120133700000002</v>
      </c>
      <c r="F421" s="11">
        <v>13</v>
      </c>
      <c r="G421" s="12">
        <v>0.93625960915717799</v>
      </c>
      <c r="K421" s="11">
        <v>221</v>
      </c>
      <c r="L421" s="12">
        <v>6.4916217552528703</v>
      </c>
    </row>
    <row r="422" spans="1:12" x14ac:dyDescent="0.25">
      <c r="A422" s="11">
        <v>-312</v>
      </c>
      <c r="B422" s="12">
        <v>0.75157868800000005</v>
      </c>
      <c r="F422" s="11">
        <v>14</v>
      </c>
      <c r="G422" s="12">
        <v>0.96202530887457205</v>
      </c>
      <c r="K422" s="11">
        <v>222</v>
      </c>
      <c r="L422" s="12">
        <v>6.5014899963984298</v>
      </c>
    </row>
    <row r="423" spans="1:12" x14ac:dyDescent="0.25">
      <c r="A423" s="11">
        <v>-311</v>
      </c>
      <c r="B423" s="12">
        <v>0.75196685100000005</v>
      </c>
      <c r="F423" s="11">
        <v>15</v>
      </c>
      <c r="G423" s="12">
        <v>0.98856376263664003</v>
      </c>
      <c r="K423" s="11">
        <v>223</v>
      </c>
      <c r="L423" s="12">
        <v>6.5112762512059597</v>
      </c>
    </row>
    <row r="424" spans="1:12" x14ac:dyDescent="0.25">
      <c r="A424" s="11">
        <v>-310</v>
      </c>
      <c r="B424" s="12">
        <v>0.75236599999999998</v>
      </c>
      <c r="F424" s="11">
        <v>16</v>
      </c>
      <c r="G424" s="12">
        <v>1.01594124675193</v>
      </c>
      <c r="K424" s="11">
        <v>224</v>
      </c>
      <c r="L424" s="12">
        <v>6.520983379664</v>
      </c>
    </row>
    <row r="425" spans="1:12" x14ac:dyDescent="0.25">
      <c r="A425" s="11">
        <v>-309</v>
      </c>
      <c r="B425" s="12">
        <v>0.75277630900000003</v>
      </c>
      <c r="F425" s="11">
        <v>17</v>
      </c>
      <c r="G425" s="12">
        <v>1.0442240375289999</v>
      </c>
      <c r="K425" s="11">
        <v>225</v>
      </c>
      <c r="L425" s="12">
        <v>6.5306142417610804</v>
      </c>
    </row>
    <row r="426" spans="1:12" x14ac:dyDescent="0.25">
      <c r="A426" s="11">
        <v>-308</v>
      </c>
      <c r="B426" s="12">
        <v>0.75319795199999995</v>
      </c>
      <c r="F426" s="11">
        <v>18</v>
      </c>
      <c r="G426" s="12">
        <v>1.0734784112764</v>
      </c>
      <c r="K426" s="11">
        <v>226</v>
      </c>
      <c r="L426" s="12">
        <v>6.5401716974857296</v>
      </c>
    </row>
    <row r="427" spans="1:12" x14ac:dyDescent="0.25">
      <c r="A427" s="11">
        <v>-307</v>
      </c>
      <c r="B427" s="12">
        <v>0.75363110300000002</v>
      </c>
      <c r="F427" s="11">
        <v>19</v>
      </c>
      <c r="G427" s="12">
        <v>1.10377064430269</v>
      </c>
      <c r="K427" s="11">
        <v>227</v>
      </c>
      <c r="L427" s="12">
        <v>6.5496586068264904</v>
      </c>
    </row>
    <row r="428" spans="1:12" x14ac:dyDescent="0.25">
      <c r="A428" s="11">
        <v>-306</v>
      </c>
      <c r="B428" s="12">
        <v>0.754075936</v>
      </c>
      <c r="F428" s="11">
        <v>20</v>
      </c>
      <c r="G428" s="12">
        <v>1.1351670129164</v>
      </c>
      <c r="K428" s="11">
        <v>228</v>
      </c>
      <c r="L428" s="12">
        <v>6.5590778297719003</v>
      </c>
    </row>
    <row r="429" spans="1:12" x14ac:dyDescent="0.25">
      <c r="A429" s="11">
        <v>-305</v>
      </c>
      <c r="B429" s="12">
        <v>0.75453262499999996</v>
      </c>
      <c r="F429" s="11">
        <v>21</v>
      </c>
      <c r="G429" s="12">
        <v>1.1677337934261001</v>
      </c>
      <c r="K429" s="11">
        <v>229</v>
      </c>
      <c r="L429" s="12">
        <v>6.5684322263104997</v>
      </c>
    </row>
    <row r="430" spans="1:12" x14ac:dyDescent="0.25">
      <c r="A430" s="11">
        <v>-304</v>
      </c>
      <c r="B430" s="12">
        <v>0.75500134399999996</v>
      </c>
      <c r="F430" s="11">
        <v>22</v>
      </c>
      <c r="G430" s="12">
        <v>1.20153726214034</v>
      </c>
      <c r="K430" s="11">
        <v>230</v>
      </c>
      <c r="L430" s="12">
        <v>6.5777246564308198</v>
      </c>
    </row>
    <row r="431" spans="1:12" x14ac:dyDescent="0.25">
      <c r="A431" s="11">
        <v>-303</v>
      </c>
      <c r="B431" s="12">
        <v>0.75548226699999999</v>
      </c>
      <c r="F431" s="11">
        <v>23</v>
      </c>
      <c r="G431" s="12">
        <v>1.23664369536767</v>
      </c>
      <c r="K431" s="11">
        <v>231</v>
      </c>
      <c r="L431" s="12">
        <v>6.5869579801213902</v>
      </c>
    </row>
    <row r="432" spans="1:12" x14ac:dyDescent="0.25">
      <c r="A432" s="11">
        <v>-302</v>
      </c>
      <c r="B432" s="12">
        <v>0.75597556799999999</v>
      </c>
      <c r="F432" s="11">
        <v>24</v>
      </c>
      <c r="G432" s="12">
        <v>1.2731193694166401</v>
      </c>
      <c r="K432" s="11">
        <v>232</v>
      </c>
      <c r="L432" s="12">
        <v>6.5961350573707502</v>
      </c>
    </row>
    <row r="433" spans="1:12" x14ac:dyDescent="0.25">
      <c r="A433" s="11">
        <v>-301</v>
      </c>
      <c r="B433" s="12">
        <v>0.75648142100000004</v>
      </c>
      <c r="F433" s="11">
        <v>25</v>
      </c>
      <c r="G433" s="12">
        <v>1.3110305605958099</v>
      </c>
      <c r="K433" s="11">
        <v>233</v>
      </c>
      <c r="L433" s="12">
        <v>6.6052587481674401</v>
      </c>
    </row>
    <row r="434" spans="1:12" x14ac:dyDescent="0.25">
      <c r="A434" s="11">
        <v>-300</v>
      </c>
      <c r="B434" s="12">
        <v>0.75700000000000001</v>
      </c>
      <c r="F434" s="11">
        <v>26</v>
      </c>
      <c r="G434" s="12">
        <v>1.35044354521372</v>
      </c>
      <c r="K434" s="11">
        <v>234</v>
      </c>
      <c r="L434" s="12">
        <v>6.6143319125</v>
      </c>
    </row>
    <row r="435" spans="1:12" x14ac:dyDescent="0.25">
      <c r="A435" s="11">
        <v>-299</v>
      </c>
      <c r="B435" s="12">
        <v>0.75752652050000002</v>
      </c>
      <c r="F435" s="11">
        <v>27</v>
      </c>
      <c r="G435" s="12">
        <v>1.39142459957894</v>
      </c>
      <c r="K435" s="11">
        <v>235</v>
      </c>
      <c r="L435" s="12">
        <v>6.6233574103569604</v>
      </c>
    </row>
    <row r="436" spans="1:12" x14ac:dyDescent="0.25">
      <c r="A436" s="11">
        <v>-298</v>
      </c>
      <c r="B436" s="12">
        <v>0.75805616399999998</v>
      </c>
      <c r="F436" s="11">
        <v>28</v>
      </c>
      <c r="G436" s="12">
        <v>1.43404</v>
      </c>
      <c r="K436" s="11">
        <v>236</v>
      </c>
      <c r="L436" s="12">
        <v>6.6323381017268499</v>
      </c>
    </row>
    <row r="437" spans="1:12" x14ac:dyDescent="0.25">
      <c r="A437" s="11">
        <v>-297</v>
      </c>
      <c r="B437" s="12">
        <v>0.75858905350000005</v>
      </c>
      <c r="F437" s="11">
        <v>29</v>
      </c>
      <c r="G437" s="12">
        <v>1.47852172082484</v>
      </c>
      <c r="K437" s="11">
        <v>237</v>
      </c>
      <c r="L437" s="12">
        <v>6.6412768465982097</v>
      </c>
    </row>
    <row r="438" spans="1:12" x14ac:dyDescent="0.25">
      <c r="A438" s="11">
        <v>-296</v>
      </c>
      <c r="B438" s="12">
        <v>0.759125312</v>
      </c>
      <c r="F438" s="11">
        <v>30</v>
      </c>
      <c r="G438" s="12">
        <v>1.52497761594269</v>
      </c>
      <c r="K438" s="11">
        <v>238</v>
      </c>
      <c r="L438" s="12">
        <v>6.65017650495958</v>
      </c>
    </row>
    <row r="439" spans="1:12" x14ac:dyDescent="0.25">
      <c r="A439" s="11">
        <v>-295</v>
      </c>
      <c r="B439" s="12">
        <v>0.75966506249999999</v>
      </c>
      <c r="F439" s="11">
        <v>31</v>
      </c>
      <c r="G439" s="12">
        <v>1.57328778097406</v>
      </c>
      <c r="K439" s="11">
        <v>239</v>
      </c>
      <c r="L439" s="12">
        <v>6.6590399367995001</v>
      </c>
    </row>
    <row r="440" spans="1:12" x14ac:dyDescent="0.25">
      <c r="A440" s="11">
        <v>-294</v>
      </c>
      <c r="B440" s="12">
        <v>0.76020842799999999</v>
      </c>
      <c r="F440" s="11">
        <v>32</v>
      </c>
      <c r="G440" s="12">
        <v>1.62333231153945</v>
      </c>
      <c r="K440" s="11">
        <v>240</v>
      </c>
      <c r="L440" s="12">
        <v>6.6678700021064996</v>
      </c>
    </row>
    <row r="441" spans="1:12" x14ac:dyDescent="0.25">
      <c r="A441" s="11">
        <v>-293</v>
      </c>
      <c r="B441" s="12">
        <v>0.76075553149999997</v>
      </c>
      <c r="F441" s="11">
        <v>33</v>
      </c>
      <c r="G441" s="12">
        <v>1.6749913032593899</v>
      </c>
      <c r="K441" s="11">
        <v>241</v>
      </c>
      <c r="L441" s="12">
        <v>6.6766695608691098</v>
      </c>
    </row>
    <row r="442" spans="1:12" x14ac:dyDescent="0.25">
      <c r="A442" s="11">
        <v>-292</v>
      </c>
      <c r="B442" s="12">
        <v>0.761306496</v>
      </c>
      <c r="F442" s="11">
        <v>34</v>
      </c>
      <c r="G442" s="12">
        <v>1.72814485175437</v>
      </c>
      <c r="K442" s="11">
        <v>242</v>
      </c>
      <c r="L442" s="12">
        <v>6.68544147307587</v>
      </c>
    </row>
    <row r="443" spans="1:12" x14ac:dyDescent="0.25">
      <c r="A443" s="11">
        <v>-291</v>
      </c>
      <c r="B443" s="12">
        <v>0.76186144450000004</v>
      </c>
      <c r="F443" s="11">
        <v>35</v>
      </c>
      <c r="G443" s="12">
        <v>1.7826730526449099</v>
      </c>
      <c r="K443" s="11">
        <v>243</v>
      </c>
      <c r="L443" s="12">
        <v>6.6941885987153196</v>
      </c>
    </row>
    <row r="444" spans="1:12" x14ac:dyDescent="0.25">
      <c r="A444" s="11">
        <v>-290</v>
      </c>
      <c r="B444" s="12">
        <v>0.76242049999999995</v>
      </c>
      <c r="F444" s="11">
        <v>36</v>
      </c>
      <c r="G444" s="12">
        <v>1.8384560015515199</v>
      </c>
      <c r="K444" s="11">
        <v>244</v>
      </c>
      <c r="L444" s="12">
        <v>6.7029137977759996</v>
      </c>
    </row>
    <row r="445" spans="1:12" x14ac:dyDescent="0.25">
      <c r="A445" s="11">
        <v>-289</v>
      </c>
      <c r="B445" s="12">
        <v>0.76298378550000001</v>
      </c>
      <c r="F445" s="11">
        <v>37</v>
      </c>
      <c r="G445" s="12">
        <v>1.89537379409471</v>
      </c>
      <c r="K445" s="11">
        <v>245</v>
      </c>
      <c r="L445" s="12">
        <v>6.7116199302464397</v>
      </c>
    </row>
    <row r="446" spans="1:12" x14ac:dyDescent="0.25">
      <c r="A446" s="11">
        <v>-288</v>
      </c>
      <c r="B446" s="12">
        <v>0.76355142399999998</v>
      </c>
      <c r="F446" s="11">
        <v>38</v>
      </c>
      <c r="G446" s="12">
        <v>1.953306525895</v>
      </c>
      <c r="K446" s="11">
        <v>246</v>
      </c>
      <c r="L446" s="12">
        <v>6.7203098561151702</v>
      </c>
    </row>
    <row r="447" spans="1:12" x14ac:dyDescent="0.25">
      <c r="A447" s="11">
        <v>-287</v>
      </c>
      <c r="B447" s="12">
        <v>0.76412353850000003</v>
      </c>
      <c r="F447" s="11">
        <v>39</v>
      </c>
      <c r="G447" s="12">
        <v>2.0121342925728798</v>
      </c>
      <c r="K447" s="11">
        <v>247</v>
      </c>
      <c r="L447" s="12">
        <v>6.7289864353707296</v>
      </c>
    </row>
    <row r="448" spans="1:12" x14ac:dyDescent="0.25">
      <c r="A448" s="11">
        <v>-286</v>
      </c>
      <c r="B448" s="12">
        <v>0.76470025200000002</v>
      </c>
      <c r="F448" s="11">
        <v>40</v>
      </c>
      <c r="G448" s="12">
        <v>2.0717371897488701</v>
      </c>
      <c r="K448" s="11">
        <v>248</v>
      </c>
      <c r="L448" s="12">
        <v>6.7376525280016599</v>
      </c>
    </row>
    <row r="449" spans="1:12" x14ac:dyDescent="0.25">
      <c r="A449" s="11">
        <v>-285</v>
      </c>
      <c r="B449" s="12">
        <v>0.76528168750000003</v>
      </c>
      <c r="F449" s="11">
        <v>41</v>
      </c>
      <c r="G449" s="12">
        <v>2.1319953130434799</v>
      </c>
      <c r="K449" s="11">
        <v>249</v>
      </c>
      <c r="L449" s="12">
        <v>6.7463109939964996</v>
      </c>
    </row>
    <row r="450" spans="1:12" x14ac:dyDescent="0.25">
      <c r="A450" s="11">
        <v>-284</v>
      </c>
      <c r="B450" s="12">
        <v>0.76586796800000001</v>
      </c>
      <c r="F450" s="11">
        <v>42</v>
      </c>
      <c r="G450" s="12">
        <v>2.1927887580772198</v>
      </c>
      <c r="K450" s="11">
        <v>250</v>
      </c>
      <c r="L450" s="12">
        <v>6.7549646933437799</v>
      </c>
    </row>
    <row r="451" spans="1:12" x14ac:dyDescent="0.25">
      <c r="A451" s="11">
        <v>-283</v>
      </c>
      <c r="B451" s="12">
        <v>0.76645921650000004</v>
      </c>
      <c r="F451" s="11">
        <v>43</v>
      </c>
      <c r="G451" s="12">
        <v>2.2539976204705998</v>
      </c>
      <c r="K451" s="11">
        <v>251</v>
      </c>
      <c r="L451" s="12">
        <v>6.7636164860320296</v>
      </c>
    </row>
    <row r="452" spans="1:12" x14ac:dyDescent="0.25">
      <c r="A452" s="11">
        <v>-282</v>
      </c>
      <c r="B452" s="12">
        <v>0.76705555599999997</v>
      </c>
      <c r="F452" s="11">
        <v>44</v>
      </c>
      <c r="G452" s="12">
        <v>2.3155019958441398</v>
      </c>
      <c r="K452" s="11">
        <v>252</v>
      </c>
      <c r="L452" s="12">
        <v>6.7722692320497897</v>
      </c>
    </row>
    <row r="453" spans="1:12" x14ac:dyDescent="0.25">
      <c r="A453" s="11">
        <v>-281</v>
      </c>
      <c r="B453" s="12">
        <v>0.76765710949999999</v>
      </c>
      <c r="F453" s="11">
        <v>45</v>
      </c>
      <c r="G453" s="12">
        <v>2.3771819798183298</v>
      </c>
      <c r="K453" s="11">
        <v>253</v>
      </c>
      <c r="L453" s="12">
        <v>6.7809257913855996</v>
      </c>
    </row>
    <row r="454" spans="1:12" x14ac:dyDescent="0.25">
      <c r="A454" s="11">
        <v>-280</v>
      </c>
      <c r="B454" s="12">
        <v>0.76826399999999995</v>
      </c>
      <c r="F454" s="11">
        <v>46</v>
      </c>
      <c r="G454" s="12">
        <v>2.4389176680136901</v>
      </c>
      <c r="K454" s="11">
        <v>254</v>
      </c>
      <c r="L454" s="12">
        <v>6.7895890240280004</v>
      </c>
    </row>
    <row r="455" spans="1:12" x14ac:dyDescent="0.25">
      <c r="A455" s="11">
        <v>-279</v>
      </c>
      <c r="B455" s="12">
        <v>0.76887635050000003</v>
      </c>
      <c r="F455" s="11">
        <v>47</v>
      </c>
      <c r="G455" s="12">
        <v>2.5005891560507401</v>
      </c>
      <c r="K455" s="11">
        <v>255</v>
      </c>
      <c r="L455" s="12">
        <v>6.7982617899655198</v>
      </c>
    </row>
    <row r="456" spans="1:12" x14ac:dyDescent="0.25">
      <c r="A456" s="11">
        <v>-278</v>
      </c>
      <c r="B456" s="12">
        <v>0.76949428399999997</v>
      </c>
      <c r="F456" s="11">
        <v>48</v>
      </c>
      <c r="G456" s="12">
        <v>2.56207653954998</v>
      </c>
      <c r="K456" s="11">
        <v>256</v>
      </c>
      <c r="L456" s="12">
        <v>6.8069469491866901</v>
      </c>
    </row>
    <row r="457" spans="1:12" x14ac:dyDescent="0.25">
      <c r="A457" s="11">
        <v>-277</v>
      </c>
      <c r="B457" s="12">
        <v>0.77011792349999997</v>
      </c>
      <c r="F457" s="11">
        <v>49</v>
      </c>
      <c r="G457" s="12">
        <v>2.6232599141319199</v>
      </c>
      <c r="K457" s="11">
        <v>257</v>
      </c>
      <c r="L457" s="12">
        <v>6.8156473616800497</v>
      </c>
    </row>
    <row r="458" spans="1:12" x14ac:dyDescent="0.25">
      <c r="A458" s="11">
        <v>-276</v>
      </c>
      <c r="B458" s="12">
        <v>0.77074739199999998</v>
      </c>
      <c r="F458" s="11">
        <v>50</v>
      </c>
      <c r="G458" s="12">
        <v>2.68401937541707</v>
      </c>
      <c r="K458" s="11">
        <v>258</v>
      </c>
      <c r="L458" s="12">
        <v>6.8243658874341397</v>
      </c>
    </row>
    <row r="459" spans="1:12" x14ac:dyDescent="0.25">
      <c r="A459" s="11">
        <v>-275</v>
      </c>
      <c r="B459" s="12">
        <v>0.77138281249999996</v>
      </c>
      <c r="F459" s="11">
        <v>51</v>
      </c>
      <c r="G459" s="12">
        <v>2.7442350190259401</v>
      </c>
      <c r="K459" s="11">
        <v>259</v>
      </c>
      <c r="L459" s="12">
        <v>6.8331053864375004</v>
      </c>
    </row>
    <row r="460" spans="1:12" x14ac:dyDescent="0.25">
      <c r="A460" s="11">
        <v>-274</v>
      </c>
      <c r="B460" s="12">
        <v>0.77202430799999999</v>
      </c>
      <c r="F460" s="11">
        <v>52</v>
      </c>
      <c r="G460" s="12">
        <v>2.8037869405790499</v>
      </c>
      <c r="K460" s="11">
        <v>260</v>
      </c>
      <c r="L460" s="12">
        <v>6.8418687186786604</v>
      </c>
    </row>
    <row r="461" spans="1:12" x14ac:dyDescent="0.25">
      <c r="A461" s="11">
        <v>-273</v>
      </c>
      <c r="B461" s="12">
        <v>0.77267200150000004</v>
      </c>
      <c r="F461" s="11">
        <v>53</v>
      </c>
      <c r="G461" s="12">
        <v>2.8625552356969002</v>
      </c>
      <c r="K461" s="11">
        <v>261</v>
      </c>
      <c r="L461" s="12">
        <v>6.8506587441461502</v>
      </c>
    </row>
    <row r="462" spans="1:12" x14ac:dyDescent="0.25">
      <c r="A462" s="11">
        <v>-272</v>
      </c>
      <c r="B462" s="12">
        <v>0.77332601599999995</v>
      </c>
      <c r="F462" s="11">
        <v>54</v>
      </c>
      <c r="G462" s="12">
        <v>2.92042</v>
      </c>
      <c r="K462" s="11">
        <v>262</v>
      </c>
      <c r="L462" s="12">
        <v>6.8594783228285099</v>
      </c>
    </row>
    <row r="463" spans="1:12" x14ac:dyDescent="0.25">
      <c r="A463" s="11">
        <v>-271</v>
      </c>
      <c r="B463" s="12">
        <v>0.77398647450000002</v>
      </c>
      <c r="F463" s="11">
        <v>55</v>
      </c>
      <c r="G463" s="12">
        <v>2.9778016069169202</v>
      </c>
      <c r="K463" s="11">
        <v>263</v>
      </c>
      <c r="L463" s="12">
        <v>6.8683303147142798</v>
      </c>
    </row>
    <row r="464" spans="1:12" x14ac:dyDescent="0.25">
      <c r="A464" s="11">
        <v>-270</v>
      </c>
      <c r="B464" s="12">
        <v>0.77465349999999999</v>
      </c>
      <c r="F464" s="11">
        <v>56</v>
      </c>
      <c r="G464" s="12">
        <v>3.0352003005661499</v>
      </c>
      <c r="K464" s="11">
        <v>264</v>
      </c>
      <c r="L464" s="12">
        <v>6.8772175797920001</v>
      </c>
    </row>
    <row r="465" spans="1:12" x14ac:dyDescent="0.25">
      <c r="A465" s="11">
        <v>-269</v>
      </c>
      <c r="B465" s="12">
        <v>0.77532721550000006</v>
      </c>
      <c r="F465" s="11">
        <v>57</v>
      </c>
      <c r="G465" s="12">
        <v>3.0926159826030801</v>
      </c>
      <c r="K465" s="11">
        <v>265</v>
      </c>
      <c r="L465" s="12">
        <v>6.8861429780502004</v>
      </c>
    </row>
    <row r="466" spans="1:12" x14ac:dyDescent="0.25">
      <c r="A466" s="11">
        <v>-268</v>
      </c>
      <c r="B466" s="12">
        <v>0.77600774400000005</v>
      </c>
      <c r="F466" s="11">
        <v>58</v>
      </c>
      <c r="G466" s="12">
        <v>3.1500485546830799</v>
      </c>
      <c r="K466" s="11">
        <v>266</v>
      </c>
      <c r="L466" s="12">
        <v>6.8951093694774102</v>
      </c>
    </row>
    <row r="467" spans="1:12" x14ac:dyDescent="0.25">
      <c r="A467" s="11">
        <v>-267</v>
      </c>
      <c r="B467" s="12">
        <v>0.77669520849999996</v>
      </c>
      <c r="F467" s="11">
        <v>59</v>
      </c>
      <c r="G467" s="12">
        <v>3.2074979184615402</v>
      </c>
      <c r="K467" s="11">
        <v>267</v>
      </c>
      <c r="L467" s="12">
        <v>6.9041196140621697</v>
      </c>
    </row>
    <row r="468" spans="1:12" x14ac:dyDescent="0.25">
      <c r="A468" s="11">
        <v>-266</v>
      </c>
      <c r="B468" s="12">
        <v>0.77738973200000006</v>
      </c>
      <c r="F468" s="11">
        <v>60</v>
      </c>
      <c r="G468" s="12">
        <v>3.26496397559385</v>
      </c>
      <c r="K468" s="11">
        <v>268</v>
      </c>
      <c r="L468" s="12">
        <v>6.91317657179302</v>
      </c>
    </row>
    <row r="469" spans="1:12" x14ac:dyDescent="0.25">
      <c r="A469" s="11">
        <v>-265</v>
      </c>
      <c r="B469" s="12">
        <v>0.77809143749999998</v>
      </c>
      <c r="F469" s="11">
        <v>61</v>
      </c>
      <c r="G469" s="12">
        <v>3.3224466277353799</v>
      </c>
      <c r="K469" s="11">
        <v>269</v>
      </c>
      <c r="L469" s="12">
        <v>6.9222831026584997</v>
      </c>
    </row>
    <row r="470" spans="1:12" x14ac:dyDescent="0.25">
      <c r="A470" s="11">
        <v>-264</v>
      </c>
      <c r="B470" s="12">
        <v>0.77880044800000003</v>
      </c>
      <c r="F470" s="11">
        <v>62</v>
      </c>
      <c r="G470" s="12">
        <v>3.3799457765415402</v>
      </c>
      <c r="K470" s="11">
        <v>270</v>
      </c>
      <c r="L470" s="12">
        <v>6.9314420666471399</v>
      </c>
    </row>
    <row r="471" spans="1:12" x14ac:dyDescent="0.25">
      <c r="A471" s="11">
        <v>-263</v>
      </c>
      <c r="B471" s="12">
        <v>0.77951688649999995</v>
      </c>
      <c r="F471" s="11">
        <v>63</v>
      </c>
      <c r="G471" s="12">
        <v>3.4374613236676899</v>
      </c>
      <c r="K471" s="11">
        <v>271</v>
      </c>
      <c r="L471" s="12">
        <v>6.9406563237474703</v>
      </c>
    </row>
    <row r="472" spans="1:12" x14ac:dyDescent="0.25">
      <c r="A472" s="11">
        <v>-262</v>
      </c>
      <c r="B472" s="12">
        <v>0.78024087600000003</v>
      </c>
      <c r="F472" s="11">
        <v>64</v>
      </c>
      <c r="G472" s="12">
        <v>3.4949931707692299</v>
      </c>
      <c r="K472" s="11">
        <v>272</v>
      </c>
      <c r="L472" s="12">
        <v>6.9499287339480302</v>
      </c>
    </row>
    <row r="473" spans="1:12" x14ac:dyDescent="0.25">
      <c r="A473" s="11">
        <v>-261</v>
      </c>
      <c r="B473" s="12">
        <v>0.78097253950000001</v>
      </c>
      <c r="F473" s="11">
        <v>65</v>
      </c>
      <c r="G473" s="12">
        <v>3.5525412195015398</v>
      </c>
      <c r="K473" s="11">
        <v>273</v>
      </c>
      <c r="L473" s="12">
        <v>6.9592621572373599</v>
      </c>
    </row>
    <row r="474" spans="1:12" x14ac:dyDescent="0.25">
      <c r="A474" s="11">
        <v>-260</v>
      </c>
      <c r="B474" s="12">
        <v>0.78171199999999996</v>
      </c>
      <c r="F474" s="11">
        <v>66</v>
      </c>
      <c r="G474" s="12">
        <v>3.61010537152</v>
      </c>
      <c r="K474" s="11">
        <v>274</v>
      </c>
      <c r="L474" s="12">
        <v>6.9686594536040003</v>
      </c>
    </row>
    <row r="475" spans="1:12" x14ac:dyDescent="0.25">
      <c r="A475" s="11">
        <v>-259</v>
      </c>
      <c r="B475" s="12">
        <v>0.78245938049999997</v>
      </c>
      <c r="F475" s="11">
        <v>67</v>
      </c>
      <c r="G475" s="12">
        <v>3.6676855284799998</v>
      </c>
      <c r="K475" s="11">
        <v>275</v>
      </c>
      <c r="L475" s="12">
        <v>6.9781234830364802</v>
      </c>
    </row>
    <row r="476" spans="1:12" x14ac:dyDescent="0.25">
      <c r="A476" s="11">
        <v>-258</v>
      </c>
      <c r="B476" s="12">
        <v>0.78321480399999999</v>
      </c>
      <c r="F476" s="11">
        <v>68</v>
      </c>
      <c r="G476" s="12">
        <v>3.7252815920369202</v>
      </c>
      <c r="K476" s="11">
        <v>276</v>
      </c>
      <c r="L476" s="12">
        <v>6.9876571055233301</v>
      </c>
    </row>
    <row r="477" spans="1:12" x14ac:dyDescent="0.25">
      <c r="A477" s="11">
        <v>-257</v>
      </c>
      <c r="B477" s="12">
        <v>0.78397839349999998</v>
      </c>
      <c r="F477" s="11">
        <v>69</v>
      </c>
      <c r="G477" s="12">
        <v>3.78289346384615</v>
      </c>
      <c r="K477" s="11">
        <v>277</v>
      </c>
      <c r="L477" s="12">
        <v>6.9972631810530901</v>
      </c>
    </row>
    <row r="478" spans="1:12" x14ac:dyDescent="0.25">
      <c r="A478" s="11">
        <v>-256</v>
      </c>
      <c r="B478" s="12">
        <v>0.78475027200000003</v>
      </c>
      <c r="F478" s="11">
        <v>70</v>
      </c>
      <c r="G478" s="12">
        <v>3.8405210455630798</v>
      </c>
      <c r="K478" s="11">
        <v>278</v>
      </c>
      <c r="L478" s="12">
        <v>7.0069445696142996</v>
      </c>
    </row>
    <row r="479" spans="1:12" x14ac:dyDescent="0.25">
      <c r="A479" s="11">
        <v>-255</v>
      </c>
      <c r="B479" s="12">
        <v>0.78553056249999997</v>
      </c>
      <c r="F479" s="11">
        <v>71</v>
      </c>
      <c r="G479" s="12">
        <v>3.8981642388430799</v>
      </c>
      <c r="K479" s="11">
        <v>279</v>
      </c>
      <c r="L479" s="12">
        <v>7.0167041311954996</v>
      </c>
    </row>
    <row r="480" spans="1:12" x14ac:dyDescent="0.25">
      <c r="A480" s="11">
        <v>-254</v>
      </c>
      <c r="B480" s="12">
        <v>0.78631938800000001</v>
      </c>
      <c r="F480" s="11">
        <v>72</v>
      </c>
      <c r="G480" s="12">
        <v>3.9558229453415401</v>
      </c>
      <c r="K480" s="11">
        <v>280</v>
      </c>
      <c r="L480" s="12">
        <v>7.0265447257852198</v>
      </c>
    </row>
    <row r="481" spans="1:12" x14ac:dyDescent="0.25">
      <c r="A481" s="11">
        <v>-253</v>
      </c>
      <c r="B481" s="12">
        <v>0.78711687149999998</v>
      </c>
      <c r="F481" s="11">
        <v>73</v>
      </c>
      <c r="G481" s="12">
        <v>4.0134970667138496</v>
      </c>
      <c r="K481" s="11">
        <v>281</v>
      </c>
      <c r="L481" s="12">
        <v>7.0364692133719897</v>
      </c>
    </row>
    <row r="482" spans="1:12" x14ac:dyDescent="0.25">
      <c r="A482" s="11">
        <v>-252</v>
      </c>
      <c r="B482" s="12">
        <v>0.78792313599999997</v>
      </c>
      <c r="F482" s="11">
        <v>74</v>
      </c>
      <c r="G482" s="12">
        <v>4.0711865046153903</v>
      </c>
      <c r="K482" s="11">
        <v>282</v>
      </c>
      <c r="L482" s="12">
        <v>7.0464804539443504</v>
      </c>
    </row>
    <row r="483" spans="1:12" x14ac:dyDescent="0.25">
      <c r="A483" s="11">
        <v>-251</v>
      </c>
      <c r="B483" s="12">
        <v>0.78873830450000004</v>
      </c>
      <c r="F483" s="11">
        <v>75</v>
      </c>
      <c r="G483" s="12">
        <v>4.1288911607015404</v>
      </c>
      <c r="K483" s="11">
        <v>283</v>
      </c>
      <c r="L483" s="12">
        <v>7.0565813074908403</v>
      </c>
    </row>
    <row r="484" spans="1:12" x14ac:dyDescent="0.25">
      <c r="A484" s="11">
        <v>-250</v>
      </c>
      <c r="B484" s="12">
        <v>0.78956249999999994</v>
      </c>
      <c r="F484" s="11">
        <v>76</v>
      </c>
      <c r="G484" s="12">
        <v>4.18661093662769</v>
      </c>
      <c r="K484" s="11">
        <v>284</v>
      </c>
      <c r="L484" s="12">
        <v>7.0667746339999997</v>
      </c>
    </row>
    <row r="485" spans="1:12" x14ac:dyDescent="0.25">
      <c r="A485" s="11">
        <v>-249</v>
      </c>
      <c r="B485" s="12">
        <v>0.79039584549999997</v>
      </c>
      <c r="F485" s="11">
        <v>77</v>
      </c>
      <c r="G485" s="12">
        <v>4.2443457340492303</v>
      </c>
      <c r="K485" s="11">
        <v>285</v>
      </c>
      <c r="L485" s="12">
        <v>7.0770151503200003</v>
      </c>
    </row>
    <row r="486" spans="1:12" x14ac:dyDescent="0.25">
      <c r="A486" s="11">
        <v>-248</v>
      </c>
      <c r="B486" s="12">
        <v>0.79123846399999997</v>
      </c>
      <c r="F486" s="11">
        <v>78</v>
      </c>
      <c r="G486" s="12">
        <v>4.30209545462154</v>
      </c>
      <c r="K486" s="11">
        <v>286</v>
      </c>
      <c r="L486" s="12">
        <v>7.08725566664</v>
      </c>
    </row>
    <row r="487" spans="1:12" x14ac:dyDescent="0.25">
      <c r="A487" s="11">
        <v>-247</v>
      </c>
      <c r="B487" s="12">
        <v>0.79209047850000003</v>
      </c>
      <c r="F487" s="11">
        <v>79</v>
      </c>
      <c r="G487" s="12">
        <v>4.3598600000000003</v>
      </c>
      <c r="K487" s="11">
        <v>287</v>
      </c>
      <c r="L487" s="12">
        <v>7.0974961829599996</v>
      </c>
    </row>
    <row r="488" spans="1:12" x14ac:dyDescent="0.25">
      <c r="A488" s="11">
        <v>-246</v>
      </c>
      <c r="B488" s="12">
        <v>0.79295201199999998</v>
      </c>
      <c r="F488" s="11">
        <v>80</v>
      </c>
      <c r="G488" s="12">
        <v>4.4176401276909703</v>
      </c>
      <c r="K488" s="11">
        <v>288</v>
      </c>
      <c r="L488" s="12">
        <v>7.1077366992800002</v>
      </c>
    </row>
    <row r="489" spans="1:12" x14ac:dyDescent="0.25">
      <c r="A489" s="11">
        <v>-245</v>
      </c>
      <c r="B489" s="12">
        <v>0.79382318750000003</v>
      </c>
      <c r="F489" s="11">
        <v>81</v>
      </c>
      <c r="G489" s="12">
        <v>4.4754366423611103</v>
      </c>
      <c r="K489" s="11">
        <v>289</v>
      </c>
      <c r="L489" s="12">
        <v>7.1179772155999999</v>
      </c>
    </row>
    <row r="490" spans="1:12" x14ac:dyDescent="0.25">
      <c r="A490" s="11">
        <v>-244</v>
      </c>
      <c r="B490" s="12">
        <v>0.79470412800000001</v>
      </c>
      <c r="F490" s="11">
        <v>82</v>
      </c>
      <c r="G490" s="12">
        <v>4.5332495164062498</v>
      </c>
      <c r="K490" s="11">
        <v>290</v>
      </c>
      <c r="L490" s="12">
        <v>7.1282177319200004</v>
      </c>
    </row>
    <row r="491" spans="1:12" x14ac:dyDescent="0.25">
      <c r="A491" s="11">
        <v>-243</v>
      </c>
      <c r="B491" s="12">
        <v>0.79559495650000001</v>
      </c>
      <c r="F491" s="11">
        <v>83</v>
      </c>
      <c r="G491" s="12">
        <v>4.5910787222222202</v>
      </c>
      <c r="K491" s="11">
        <v>291</v>
      </c>
      <c r="L491" s="12">
        <v>7.1384582482400001</v>
      </c>
    </row>
    <row r="492" spans="1:12" x14ac:dyDescent="0.25">
      <c r="A492" s="11">
        <v>-242</v>
      </c>
      <c r="B492" s="12">
        <v>0.79649579599999998</v>
      </c>
      <c r="F492" s="11">
        <v>84</v>
      </c>
      <c r="G492" s="12">
        <v>4.6489242322048598</v>
      </c>
      <c r="K492" s="11">
        <v>292</v>
      </c>
      <c r="L492" s="12">
        <v>7.1486987645599998</v>
      </c>
    </row>
    <row r="493" spans="1:12" x14ac:dyDescent="0.25">
      <c r="A493" s="11">
        <v>-241</v>
      </c>
      <c r="B493" s="12">
        <v>0.7974067695</v>
      </c>
      <c r="F493" s="11">
        <v>85</v>
      </c>
      <c r="G493" s="12">
        <v>4.7067860187499999</v>
      </c>
      <c r="K493" s="11">
        <v>293</v>
      </c>
      <c r="L493" s="12">
        <v>7.1589392808800003</v>
      </c>
    </row>
    <row r="494" spans="1:12" x14ac:dyDescent="0.25">
      <c r="A494" s="11">
        <v>-240</v>
      </c>
      <c r="B494" s="12">
        <v>0.79832800000000004</v>
      </c>
      <c r="F494" s="11">
        <v>86</v>
      </c>
      <c r="G494" s="12">
        <v>4.7646640542534699</v>
      </c>
      <c r="K494" s="11">
        <v>294</v>
      </c>
      <c r="L494" s="12">
        <v>7.1691797972</v>
      </c>
    </row>
    <row r="495" spans="1:12" x14ac:dyDescent="0.25">
      <c r="A495" s="11">
        <v>-239</v>
      </c>
      <c r="B495" s="12">
        <v>0.79925961050000005</v>
      </c>
      <c r="F495" s="11">
        <v>87</v>
      </c>
      <c r="G495" s="12">
        <v>4.8225583111111101</v>
      </c>
      <c r="K495" s="11">
        <v>295</v>
      </c>
      <c r="L495" s="12">
        <v>7.1794203135199997</v>
      </c>
    </row>
    <row r="496" spans="1:12" x14ac:dyDescent="0.25">
      <c r="A496" s="11">
        <v>-238</v>
      </c>
      <c r="B496" s="12">
        <v>0.800201724</v>
      </c>
      <c r="F496" s="11">
        <v>88</v>
      </c>
      <c r="G496" s="12">
        <v>4.8804687617187499</v>
      </c>
      <c r="K496" s="11">
        <v>296</v>
      </c>
      <c r="L496" s="12">
        <v>7.1896608298400002</v>
      </c>
    </row>
    <row r="497" spans="1:12" x14ac:dyDescent="0.25">
      <c r="A497" s="11">
        <v>-237</v>
      </c>
      <c r="B497" s="12">
        <v>0.80115446349999997</v>
      </c>
      <c r="F497" s="11">
        <v>89</v>
      </c>
      <c r="G497" s="12">
        <v>4.9383953784722197</v>
      </c>
      <c r="K497" s="11">
        <v>297</v>
      </c>
      <c r="L497" s="12">
        <v>7.1999013461599999</v>
      </c>
    </row>
    <row r="498" spans="1:12" x14ac:dyDescent="0.25">
      <c r="A498" s="11">
        <v>-236</v>
      </c>
      <c r="B498" s="12">
        <v>0.80211795200000002</v>
      </c>
      <c r="F498" s="11">
        <v>90</v>
      </c>
      <c r="G498" s="12">
        <v>4.9963381337673596</v>
      </c>
      <c r="K498" s="11">
        <v>298</v>
      </c>
      <c r="L498" s="12">
        <v>7.2101418624800004</v>
      </c>
    </row>
    <row r="499" spans="1:12" x14ac:dyDescent="0.25">
      <c r="A499" s="11">
        <v>-235</v>
      </c>
      <c r="B499" s="12">
        <v>0.80309231250000002</v>
      </c>
      <c r="F499" s="11">
        <v>91</v>
      </c>
      <c r="G499" s="12">
        <v>5.054297</v>
      </c>
      <c r="K499" s="11">
        <v>299</v>
      </c>
      <c r="L499" s="12">
        <v>7.2203823788000001</v>
      </c>
    </row>
    <row r="500" spans="1:12" x14ac:dyDescent="0.25">
      <c r="A500" s="11">
        <v>-234</v>
      </c>
      <c r="B500" s="12">
        <v>0.80407766800000002</v>
      </c>
      <c r="F500" s="11">
        <v>92</v>
      </c>
      <c r="G500" s="12">
        <v>5.1122719495659696</v>
      </c>
      <c r="K500" s="11">
        <v>300</v>
      </c>
      <c r="L500" s="12">
        <v>7.2306228951199998</v>
      </c>
    </row>
    <row r="501" spans="1:12" x14ac:dyDescent="0.25">
      <c r="A501" s="11">
        <v>-233</v>
      </c>
      <c r="B501" s="12">
        <v>0.80507414150000001</v>
      </c>
      <c r="F501" s="11">
        <v>93</v>
      </c>
      <c r="G501" s="12">
        <v>5.1702629548611103</v>
      </c>
      <c r="K501" s="11">
        <v>301</v>
      </c>
      <c r="L501" s="12">
        <v>7.2408634114400003</v>
      </c>
    </row>
    <row r="502" spans="1:12" x14ac:dyDescent="0.25">
      <c r="A502" s="11">
        <v>-232</v>
      </c>
      <c r="B502" s="12">
        <v>0.80608185600000004</v>
      </c>
      <c r="F502" s="11">
        <v>94</v>
      </c>
      <c r="G502" s="12">
        <v>5.2282699882812498</v>
      </c>
      <c r="K502" s="11">
        <v>302</v>
      </c>
      <c r="L502" s="12">
        <v>7.25110392776</v>
      </c>
    </row>
    <row r="503" spans="1:12" x14ac:dyDescent="0.25">
      <c r="A503" s="11">
        <v>-231</v>
      </c>
      <c r="B503" s="12">
        <v>0.80710093449999998</v>
      </c>
      <c r="F503" s="11">
        <v>95</v>
      </c>
      <c r="G503" s="12">
        <v>5.2862930222222202</v>
      </c>
      <c r="K503" s="11">
        <v>303</v>
      </c>
      <c r="L503" s="12">
        <v>7.2613444440799997</v>
      </c>
    </row>
    <row r="504" spans="1:12" x14ac:dyDescent="0.25">
      <c r="A504" s="11">
        <v>-230</v>
      </c>
      <c r="B504" s="12">
        <v>0.8081315</v>
      </c>
      <c r="F504" s="11">
        <v>96</v>
      </c>
      <c r="G504" s="12">
        <v>5.3443320290798599</v>
      </c>
      <c r="K504" s="11">
        <v>304</v>
      </c>
      <c r="L504" s="12">
        <v>7.2715849604000002</v>
      </c>
    </row>
    <row r="505" spans="1:12" x14ac:dyDescent="0.25">
      <c r="A505" s="11">
        <v>-229</v>
      </c>
      <c r="B505" s="12">
        <v>0.80917367549999997</v>
      </c>
      <c r="F505" s="11">
        <v>97</v>
      </c>
      <c r="G505" s="12">
        <v>5.4023869812500003</v>
      </c>
      <c r="K505" s="11">
        <v>305</v>
      </c>
      <c r="L505" s="12">
        <v>7.2818254767199999</v>
      </c>
    </row>
    <row r="506" spans="1:12" x14ac:dyDescent="0.25">
      <c r="A506" s="11">
        <v>-228</v>
      </c>
      <c r="B506" s="12">
        <v>0.81022758399999995</v>
      </c>
      <c r="F506" s="11">
        <v>98</v>
      </c>
      <c r="G506" s="12">
        <v>5.4604578511284698</v>
      </c>
      <c r="K506" s="11">
        <v>306</v>
      </c>
      <c r="L506" s="12">
        <v>7.2920659930399996</v>
      </c>
    </row>
    <row r="507" spans="1:12" x14ac:dyDescent="0.25">
      <c r="A507" s="11">
        <v>-227</v>
      </c>
      <c r="B507" s="12">
        <v>0.81129334850000001</v>
      </c>
      <c r="F507" s="11">
        <v>99</v>
      </c>
      <c r="G507" s="12">
        <v>5.5185446111111096</v>
      </c>
      <c r="K507" s="11">
        <v>307</v>
      </c>
      <c r="L507" s="12">
        <v>7.3023065093600001</v>
      </c>
    </row>
    <row r="508" spans="1:12" x14ac:dyDescent="0.25">
      <c r="A508" s="11">
        <v>-226</v>
      </c>
      <c r="B508" s="12">
        <v>0.81237109200000002</v>
      </c>
      <c r="F508" s="11">
        <v>100</v>
      </c>
      <c r="G508" s="12">
        <v>5.57664723359375</v>
      </c>
      <c r="K508" s="11">
        <v>308</v>
      </c>
      <c r="L508" s="12">
        <v>7.3125470256799998</v>
      </c>
    </row>
    <row r="509" spans="1:12" x14ac:dyDescent="0.25">
      <c r="A509" s="11">
        <v>-225</v>
      </c>
      <c r="B509" s="12">
        <v>0.81346093750000004</v>
      </c>
      <c r="F509" s="11">
        <v>101</v>
      </c>
      <c r="G509" s="12">
        <v>5.6347656909722197</v>
      </c>
      <c r="K509" s="11">
        <v>309</v>
      </c>
      <c r="L509" s="12">
        <v>7.3227875420000004</v>
      </c>
    </row>
    <row r="510" spans="1:12" x14ac:dyDescent="0.25">
      <c r="A510" s="11">
        <v>-224</v>
      </c>
      <c r="B510" s="12">
        <v>0.81456300800000003</v>
      </c>
      <c r="F510" s="11">
        <v>102</v>
      </c>
      <c r="G510" s="12">
        <v>5.6928999556423596</v>
      </c>
      <c r="K510" s="11">
        <v>310</v>
      </c>
      <c r="L510" s="12">
        <v>7.33302805832</v>
      </c>
    </row>
    <row r="511" spans="1:12" x14ac:dyDescent="0.25">
      <c r="A511" s="11">
        <v>-223</v>
      </c>
      <c r="B511" s="12">
        <v>0.81567742649999997</v>
      </c>
      <c r="F511" s="11">
        <v>103</v>
      </c>
      <c r="G511" s="12">
        <v>5.7510500000000002</v>
      </c>
      <c r="K511" s="11">
        <v>311</v>
      </c>
      <c r="L511" s="12">
        <v>7.3432685746399997</v>
      </c>
    </row>
    <row r="512" spans="1:12" x14ac:dyDescent="0.25">
      <c r="A512" s="11">
        <v>-222</v>
      </c>
      <c r="B512" s="12">
        <v>0.81680431600000003</v>
      </c>
      <c r="F512" s="11">
        <v>104</v>
      </c>
      <c r="G512" s="12">
        <v>5.8092156886400002</v>
      </c>
      <c r="K512" s="11">
        <v>312</v>
      </c>
      <c r="L512" s="12">
        <v>7.3535090909600003</v>
      </c>
    </row>
    <row r="513" spans="1:12" x14ac:dyDescent="0.25">
      <c r="A513" s="11">
        <v>-221</v>
      </c>
      <c r="B513" s="12">
        <v>0.81794379949999996</v>
      </c>
      <c r="F513" s="11">
        <v>105</v>
      </c>
      <c r="G513" s="12">
        <v>5.8673968884533299</v>
      </c>
      <c r="K513" s="11">
        <v>313</v>
      </c>
      <c r="L513" s="12">
        <v>7.3637496072799999</v>
      </c>
    </row>
    <row r="514" spans="1:12" x14ac:dyDescent="0.25">
      <c r="A514" s="11">
        <v>-220</v>
      </c>
      <c r="B514" s="12">
        <v>0.81909600000000005</v>
      </c>
      <c r="F514" s="11">
        <v>106</v>
      </c>
      <c r="G514" s="12">
        <v>5.9255935752799997</v>
      </c>
      <c r="K514" s="11">
        <v>314</v>
      </c>
      <c r="L514" s="12">
        <v>7.3739901235999996</v>
      </c>
    </row>
    <row r="515" spans="1:12" x14ac:dyDescent="0.25">
      <c r="A515" s="11">
        <v>-219</v>
      </c>
      <c r="B515" s="12">
        <v>0.82026104050000004</v>
      </c>
      <c r="F515" s="11">
        <v>107</v>
      </c>
      <c r="G515" s="12">
        <v>5.9838057249599998</v>
      </c>
      <c r="K515" s="11">
        <v>315</v>
      </c>
      <c r="L515" s="12">
        <v>7.3842306399200002</v>
      </c>
    </row>
    <row r="516" spans="1:12" x14ac:dyDescent="0.25">
      <c r="A516" s="11">
        <v>-218</v>
      </c>
      <c r="B516" s="12">
        <v>0.82143904400000001</v>
      </c>
      <c r="F516" s="11">
        <v>108</v>
      </c>
      <c r="G516" s="12">
        <v>6.0420333133333299</v>
      </c>
      <c r="K516" s="11">
        <v>316</v>
      </c>
      <c r="L516" s="12">
        <v>7.3944711562399998</v>
      </c>
    </row>
    <row r="517" spans="1:12" x14ac:dyDescent="0.25">
      <c r="A517" s="11">
        <v>-217</v>
      </c>
      <c r="B517" s="12">
        <v>0.82263013350000003</v>
      </c>
      <c r="F517" s="11">
        <v>109</v>
      </c>
      <c r="G517" s="12">
        <v>6.1002763162400004</v>
      </c>
      <c r="K517" s="11">
        <v>317</v>
      </c>
      <c r="L517" s="12">
        <v>7.4047116725600004</v>
      </c>
    </row>
    <row r="518" spans="1:12" x14ac:dyDescent="0.25">
      <c r="A518" s="11">
        <v>-216</v>
      </c>
      <c r="B518" s="12">
        <v>0.82383443199999995</v>
      </c>
      <c r="F518" s="11">
        <v>110</v>
      </c>
      <c r="G518" s="12">
        <v>6.1585347095199996</v>
      </c>
      <c r="K518" s="11">
        <v>318</v>
      </c>
      <c r="L518" s="12">
        <v>7.4149521888800001</v>
      </c>
    </row>
    <row r="519" spans="1:12" x14ac:dyDescent="0.25">
      <c r="A519" s="11">
        <v>-215</v>
      </c>
      <c r="B519" s="12">
        <v>0.82505206249999996</v>
      </c>
      <c r="F519" s="11">
        <v>111</v>
      </c>
      <c r="G519" s="12">
        <v>6.2168084690133298</v>
      </c>
      <c r="K519" s="11">
        <v>319</v>
      </c>
      <c r="L519" s="12">
        <v>7.4251927051999997</v>
      </c>
    </row>
    <row r="520" spans="1:12" x14ac:dyDescent="0.25">
      <c r="A520" s="11">
        <v>-214</v>
      </c>
      <c r="B520" s="12">
        <v>0.82628314800000002</v>
      </c>
      <c r="F520" s="11">
        <v>112</v>
      </c>
      <c r="G520" s="12">
        <v>6.2750975705599998</v>
      </c>
      <c r="K520" s="11">
        <v>320</v>
      </c>
      <c r="L520" s="12">
        <v>7.4354332215200003</v>
      </c>
    </row>
    <row r="521" spans="1:12" x14ac:dyDescent="0.25">
      <c r="A521" s="11">
        <v>-213</v>
      </c>
      <c r="B521" s="12">
        <v>0.82752781149999999</v>
      </c>
      <c r="F521" s="11">
        <v>113</v>
      </c>
      <c r="G521" s="12">
        <v>6.3334019899999996</v>
      </c>
      <c r="K521" s="11">
        <v>321</v>
      </c>
      <c r="L521" s="12">
        <v>7.44567373784</v>
      </c>
    </row>
    <row r="522" spans="1:12" x14ac:dyDescent="0.25">
      <c r="A522" s="11">
        <v>-212</v>
      </c>
      <c r="B522" s="12">
        <v>0.82878617600000004</v>
      </c>
      <c r="F522" s="11">
        <v>114</v>
      </c>
      <c r="G522" s="12">
        <v>6.3917217031733298</v>
      </c>
      <c r="K522" s="11">
        <v>322</v>
      </c>
      <c r="L522" s="12">
        <v>7.4559142541599996</v>
      </c>
    </row>
    <row r="523" spans="1:12" x14ac:dyDescent="0.25">
      <c r="A523" s="11">
        <v>-211</v>
      </c>
      <c r="B523" s="12">
        <v>0.83005836450000003</v>
      </c>
      <c r="F523" s="11">
        <v>115</v>
      </c>
      <c r="G523" s="12">
        <v>6.4500566859199999</v>
      </c>
      <c r="K523" s="11">
        <v>323</v>
      </c>
      <c r="L523" s="12">
        <v>7.4661547704800002</v>
      </c>
    </row>
    <row r="524" spans="1:12" x14ac:dyDescent="0.25">
      <c r="A524" s="11">
        <v>-210</v>
      </c>
      <c r="B524" s="12">
        <v>0.83134450000000004</v>
      </c>
      <c r="F524" s="11">
        <v>116</v>
      </c>
      <c r="G524" s="12">
        <v>6.50840691408</v>
      </c>
      <c r="K524" s="11">
        <v>324</v>
      </c>
      <c r="L524" s="12">
        <v>7.4763952867999999</v>
      </c>
    </row>
    <row r="525" spans="1:12" x14ac:dyDescent="0.25">
      <c r="A525" s="11">
        <v>-209</v>
      </c>
      <c r="B525" s="12">
        <v>0.83264470550000003</v>
      </c>
      <c r="F525" s="11">
        <v>117</v>
      </c>
      <c r="G525" s="12">
        <v>6.5667723634933299</v>
      </c>
      <c r="K525" s="11">
        <v>325</v>
      </c>
      <c r="L525" s="12">
        <v>7.4866358031200004</v>
      </c>
    </row>
    <row r="526" spans="1:12" x14ac:dyDescent="0.25">
      <c r="A526" s="11">
        <v>-208</v>
      </c>
      <c r="B526" s="12">
        <v>0.83395910399999995</v>
      </c>
      <c r="F526" s="11">
        <v>118</v>
      </c>
      <c r="G526" s="12">
        <v>6.62515301</v>
      </c>
      <c r="K526" s="11">
        <v>326</v>
      </c>
      <c r="L526" s="12">
        <v>7.4968763194400001</v>
      </c>
    </row>
    <row r="527" spans="1:12" x14ac:dyDescent="0.25">
      <c r="A527" s="11">
        <v>-207</v>
      </c>
      <c r="B527" s="12">
        <v>0.8352878185</v>
      </c>
      <c r="F527" s="11">
        <v>119</v>
      </c>
      <c r="G527" s="12">
        <v>6.6835488294400003</v>
      </c>
      <c r="K527" s="11">
        <v>327</v>
      </c>
      <c r="L527" s="12">
        <v>7.5071168357599998</v>
      </c>
    </row>
    <row r="528" spans="1:12" x14ac:dyDescent="0.25">
      <c r="A528" s="11">
        <v>-206</v>
      </c>
      <c r="B528" s="12">
        <v>0.83663097200000003</v>
      </c>
      <c r="F528" s="11">
        <v>120</v>
      </c>
      <c r="G528" s="12">
        <v>6.7419597976533296</v>
      </c>
      <c r="K528" s="11">
        <v>328</v>
      </c>
      <c r="L528" s="12">
        <v>7.5173573520800003</v>
      </c>
    </row>
    <row r="529" spans="1:12" x14ac:dyDescent="0.25">
      <c r="A529" s="11">
        <v>-205</v>
      </c>
      <c r="B529" s="12">
        <v>0.8379886875</v>
      </c>
      <c r="F529" s="11">
        <v>121</v>
      </c>
      <c r="G529" s="12">
        <v>6.8003858904800003</v>
      </c>
      <c r="K529" s="11">
        <v>329</v>
      </c>
      <c r="L529" s="12">
        <v>7.5275978684</v>
      </c>
    </row>
    <row r="530" spans="1:12" x14ac:dyDescent="0.25">
      <c r="A530" s="11">
        <v>-204</v>
      </c>
      <c r="B530" s="12">
        <v>0.83936108799999998</v>
      </c>
      <c r="F530" s="11">
        <v>122</v>
      </c>
      <c r="G530" s="12">
        <v>6.8588270837599996</v>
      </c>
      <c r="K530" s="11">
        <v>330</v>
      </c>
      <c r="L530" s="12">
        <v>7.5378383847199997</v>
      </c>
    </row>
    <row r="531" spans="1:12" x14ac:dyDescent="0.25">
      <c r="A531" s="11">
        <v>-203</v>
      </c>
      <c r="B531" s="12">
        <v>0.84074829650000005</v>
      </c>
      <c r="F531" s="11">
        <v>123</v>
      </c>
      <c r="G531" s="12">
        <v>6.91728335333333</v>
      </c>
      <c r="K531" s="11">
        <v>331</v>
      </c>
      <c r="L531" s="12">
        <v>7.5480789010400002</v>
      </c>
    </row>
    <row r="532" spans="1:12" x14ac:dyDescent="0.25">
      <c r="A532" s="11">
        <v>-202</v>
      </c>
      <c r="B532" s="12">
        <v>0.84215043599999995</v>
      </c>
      <c r="F532" s="11">
        <v>124</v>
      </c>
      <c r="G532" s="12">
        <v>6.9757546750400001</v>
      </c>
      <c r="K532" s="11">
        <v>332</v>
      </c>
      <c r="L532" s="12">
        <v>7.5583194173599999</v>
      </c>
    </row>
    <row r="533" spans="1:12" x14ac:dyDescent="0.25">
      <c r="A533" s="11">
        <v>-201</v>
      </c>
      <c r="B533" s="12">
        <v>0.84356762949999997</v>
      </c>
      <c r="F533" s="11">
        <v>125</v>
      </c>
      <c r="G533" s="12">
        <v>7.03424102472</v>
      </c>
      <c r="K533" s="11">
        <v>333</v>
      </c>
      <c r="L533" s="12">
        <v>7.5685599336799996</v>
      </c>
    </row>
    <row r="534" spans="1:12" x14ac:dyDescent="0.25">
      <c r="A534" s="11">
        <v>-200</v>
      </c>
      <c r="B534" s="12">
        <v>0.84499999999999997</v>
      </c>
      <c r="F534" s="11">
        <v>126</v>
      </c>
      <c r="G534" s="12">
        <v>7.0927423782133303</v>
      </c>
      <c r="K534" s="11">
        <v>334</v>
      </c>
      <c r="L534" s="12">
        <v>7.5788004500000001</v>
      </c>
    </row>
    <row r="535" spans="1:12" x14ac:dyDescent="0.25">
      <c r="A535" s="11">
        <v>-199</v>
      </c>
      <c r="B535" s="12">
        <v>0.84643708600000001</v>
      </c>
      <c r="F535" s="11">
        <v>127</v>
      </c>
      <c r="G535" s="12">
        <v>7.1512587113599997</v>
      </c>
      <c r="K535" s="11">
        <v>335</v>
      </c>
      <c r="L535" s="12">
        <v>7.5890409663199998</v>
      </c>
    </row>
    <row r="536" spans="1:12" x14ac:dyDescent="0.25">
      <c r="A536" s="11">
        <v>-198</v>
      </c>
      <c r="B536" s="12">
        <v>0.84786868800000004</v>
      </c>
      <c r="F536" s="11">
        <v>128</v>
      </c>
      <c r="G536" s="12">
        <v>7.2097899999999999</v>
      </c>
      <c r="K536" s="11">
        <v>336</v>
      </c>
      <c r="L536" s="12">
        <v>7.5992814826400004</v>
      </c>
    </row>
    <row r="537" spans="1:12" x14ac:dyDescent="0.25">
      <c r="A537" s="11">
        <v>-197</v>
      </c>
      <c r="B537" s="12">
        <v>0.84929532200000002</v>
      </c>
      <c r="F537" s="11">
        <v>129</v>
      </c>
      <c r="G537" s="12">
        <v>7.2699453133536798</v>
      </c>
      <c r="K537" s="11">
        <v>337</v>
      </c>
      <c r="L537" s="12">
        <v>7.60952199896</v>
      </c>
    </row>
    <row r="538" spans="1:12" x14ac:dyDescent="0.25">
      <c r="A538" s="11">
        <v>-196</v>
      </c>
      <c r="B538" s="12">
        <v>0.85071750400000001</v>
      </c>
      <c r="F538" s="11">
        <v>130</v>
      </c>
      <c r="G538" s="12">
        <v>7.33305396745709</v>
      </c>
      <c r="K538" s="11">
        <v>338</v>
      </c>
      <c r="L538" s="12">
        <v>7.6197625152799997</v>
      </c>
    </row>
    <row r="539" spans="1:12" x14ac:dyDescent="0.25">
      <c r="A539" s="11">
        <v>-195</v>
      </c>
      <c r="B539" s="12">
        <v>0.85213574999999997</v>
      </c>
      <c r="F539" s="11">
        <v>131</v>
      </c>
      <c r="G539" s="12">
        <v>7.3986963083737498</v>
      </c>
      <c r="K539" s="11">
        <v>339</v>
      </c>
      <c r="L539" s="12">
        <v>7.6300030316000003</v>
      </c>
    </row>
    <row r="540" spans="1:12" x14ac:dyDescent="0.25">
      <c r="A540" s="11">
        <v>-194</v>
      </c>
      <c r="B540" s="12">
        <v>0.85355057599999995</v>
      </c>
      <c r="F540" s="11">
        <v>132</v>
      </c>
      <c r="G540" s="12">
        <v>7.4664526821671897</v>
      </c>
      <c r="K540" s="11">
        <v>340</v>
      </c>
      <c r="L540" s="12">
        <v>7.6402435479199999</v>
      </c>
    </row>
    <row r="541" spans="1:12" x14ac:dyDescent="0.25">
      <c r="A541" s="11">
        <v>-193</v>
      </c>
      <c r="B541" s="12">
        <v>0.85496249800000002</v>
      </c>
      <c r="F541" s="11">
        <v>133</v>
      </c>
      <c r="G541" s="12">
        <v>7.5359034349009502</v>
      </c>
      <c r="K541" s="11">
        <v>341</v>
      </c>
      <c r="L541" s="12">
        <v>7.6504840642399996</v>
      </c>
    </row>
    <row r="542" spans="1:12" x14ac:dyDescent="0.25">
      <c r="A542" s="11">
        <v>-192</v>
      </c>
      <c r="B542" s="12">
        <v>0.85637203200000001</v>
      </c>
      <c r="F542" s="11">
        <v>134</v>
      </c>
      <c r="G542" s="12">
        <v>7.60662891263856</v>
      </c>
      <c r="K542" s="11">
        <v>342</v>
      </c>
      <c r="L542" s="12">
        <v>7.6607245805600002</v>
      </c>
    </row>
    <row r="543" spans="1:12" x14ac:dyDescent="0.25">
      <c r="A543" s="11">
        <v>-191</v>
      </c>
      <c r="B543" s="12">
        <v>0.85777969399999998</v>
      </c>
      <c r="F543" s="11">
        <v>135</v>
      </c>
      <c r="G543" s="12">
        <v>7.6782094614435499</v>
      </c>
      <c r="K543" s="11">
        <v>343</v>
      </c>
      <c r="L543" s="12">
        <v>7.6709650968799998</v>
      </c>
    </row>
    <row r="544" spans="1:12" x14ac:dyDescent="0.25">
      <c r="A544" s="11">
        <v>-190</v>
      </c>
      <c r="B544" s="12">
        <v>0.85918600000000001</v>
      </c>
      <c r="F544" s="11">
        <v>136</v>
      </c>
      <c r="G544" s="12">
        <v>7.7502254273794504</v>
      </c>
      <c r="K544" s="11">
        <v>344</v>
      </c>
      <c r="L544" s="12">
        <v>7.6812056132000004</v>
      </c>
    </row>
    <row r="545" spans="1:12" x14ac:dyDescent="0.25">
      <c r="A545" s="11">
        <v>-189</v>
      </c>
      <c r="B545" s="12">
        <v>0.86059146600000003</v>
      </c>
      <c r="F545" s="11">
        <v>137</v>
      </c>
      <c r="G545" s="12">
        <v>7.8222571565098002</v>
      </c>
      <c r="K545" s="11">
        <v>345</v>
      </c>
      <c r="L545" s="12">
        <v>7.6914461295200001</v>
      </c>
    </row>
    <row r="546" spans="1:12" x14ac:dyDescent="0.25">
      <c r="A546" s="11">
        <v>-188</v>
      </c>
      <c r="B546" s="12">
        <v>0.861996608</v>
      </c>
      <c r="F546" s="11">
        <v>138</v>
      </c>
      <c r="G546" s="12">
        <v>7.8938849948981202</v>
      </c>
      <c r="K546" s="11">
        <v>346</v>
      </c>
      <c r="L546" s="12">
        <v>7.7016866458399997</v>
      </c>
    </row>
    <row r="547" spans="1:12" x14ac:dyDescent="0.25">
      <c r="A547" s="11">
        <v>-187</v>
      </c>
      <c r="B547" s="12">
        <v>0.86340194199999998</v>
      </c>
      <c r="F547" s="11">
        <v>139</v>
      </c>
      <c r="G547" s="12">
        <v>7.9646892886079499</v>
      </c>
      <c r="K547" s="11">
        <v>347</v>
      </c>
      <c r="L547" s="12">
        <v>7.7119271621600003</v>
      </c>
    </row>
    <row r="548" spans="1:12" x14ac:dyDescent="0.25">
      <c r="A548" s="11">
        <v>-186</v>
      </c>
      <c r="B548" s="12">
        <v>0.86480798400000003</v>
      </c>
      <c r="F548" s="11">
        <v>140</v>
      </c>
      <c r="G548" s="12">
        <v>8.0342503837028207</v>
      </c>
      <c r="K548" s="11">
        <v>348</v>
      </c>
      <c r="L548" s="12">
        <v>7.72216767848</v>
      </c>
    </row>
    <row r="549" spans="1:12" x14ac:dyDescent="0.25">
      <c r="A549" s="11">
        <v>-185</v>
      </c>
      <c r="B549" s="12">
        <v>0.86621524999999999</v>
      </c>
      <c r="F549" s="11">
        <v>141</v>
      </c>
      <c r="G549" s="12">
        <v>8.1021486262462599</v>
      </c>
      <c r="K549" s="11">
        <v>349</v>
      </c>
      <c r="L549" s="12">
        <v>7.7324081947999996</v>
      </c>
    </row>
    <row r="550" spans="1:12" x14ac:dyDescent="0.25">
      <c r="A550" s="11">
        <v>-184</v>
      </c>
      <c r="B550" s="12">
        <v>0.86762425600000004</v>
      </c>
      <c r="F550" s="11">
        <v>142</v>
      </c>
      <c r="G550" s="12">
        <v>8.1679643623018094</v>
      </c>
      <c r="K550" s="11">
        <v>350</v>
      </c>
      <c r="L550" s="12">
        <v>7.7426487111200002</v>
      </c>
    </row>
    <row r="551" spans="1:12" x14ac:dyDescent="0.25">
      <c r="A551" s="11">
        <v>-183</v>
      </c>
      <c r="B551" s="12">
        <v>0.86903551800000001</v>
      </c>
      <c r="F551" s="11">
        <v>143</v>
      </c>
      <c r="G551" s="12">
        <v>8.2312779379329903</v>
      </c>
      <c r="K551" s="11">
        <v>351</v>
      </c>
      <c r="L551" s="12">
        <v>7.7528892274399999</v>
      </c>
    </row>
    <row r="552" spans="1:12" x14ac:dyDescent="0.25">
      <c r="A552" s="11">
        <v>-182</v>
      </c>
      <c r="B552" s="12">
        <v>0.87044955199999996</v>
      </c>
      <c r="F552" s="11">
        <v>144</v>
      </c>
      <c r="G552" s="12">
        <v>8.2916696992033394</v>
      </c>
      <c r="K552" s="11">
        <v>352</v>
      </c>
      <c r="L552" s="12">
        <v>7.7631297437600004</v>
      </c>
    </row>
    <row r="553" spans="1:12" x14ac:dyDescent="0.25">
      <c r="A553" s="11">
        <v>-181</v>
      </c>
      <c r="B553" s="12">
        <v>0.87186687399999996</v>
      </c>
      <c r="F553" s="11">
        <v>145</v>
      </c>
      <c r="G553" s="12">
        <v>8.3487199921763899</v>
      </c>
      <c r="K553" s="11">
        <v>353</v>
      </c>
      <c r="L553" s="12">
        <v>7.7733702600800001</v>
      </c>
    </row>
    <row r="554" spans="1:12" x14ac:dyDescent="0.25">
      <c r="A554" s="11">
        <v>-180</v>
      </c>
      <c r="B554" s="12">
        <v>0.87328799999999995</v>
      </c>
      <c r="F554" s="11">
        <v>146</v>
      </c>
      <c r="G554" s="12">
        <v>8.4020091629156699</v>
      </c>
      <c r="K554" s="11">
        <v>354</v>
      </c>
      <c r="L554" s="12">
        <v>7.7836107763999998</v>
      </c>
    </row>
    <row r="555" spans="1:12" x14ac:dyDescent="0.25">
      <c r="A555" s="11">
        <v>-179</v>
      </c>
      <c r="B555" s="12">
        <v>0.87471344600000001</v>
      </c>
      <c r="F555" s="11">
        <v>147</v>
      </c>
      <c r="G555" s="12">
        <v>8.4511175574847197</v>
      </c>
      <c r="K555" s="11">
        <v>355</v>
      </c>
      <c r="L555" s="12">
        <v>7.7938512927200003</v>
      </c>
    </row>
    <row r="556" spans="1:12" x14ac:dyDescent="0.25">
      <c r="A556" s="11">
        <v>-178</v>
      </c>
      <c r="B556" s="12">
        <v>0.87614372799999996</v>
      </c>
      <c r="F556" s="11">
        <v>148</v>
      </c>
      <c r="G556" s="12">
        <v>8.4956255219470496</v>
      </c>
      <c r="K556" s="11">
        <v>356</v>
      </c>
      <c r="L556" s="12">
        <v>7.80409180904</v>
      </c>
    </row>
    <row r="557" spans="1:12" x14ac:dyDescent="0.25">
      <c r="A557" s="11">
        <v>-177</v>
      </c>
      <c r="B557" s="12">
        <v>0.87757936199999997</v>
      </c>
      <c r="F557" s="11">
        <v>149</v>
      </c>
      <c r="G557" s="12">
        <v>8.5351134023662194</v>
      </c>
      <c r="K557" s="11">
        <v>357</v>
      </c>
      <c r="L557" s="12">
        <v>7.8143323253599997</v>
      </c>
    </row>
    <row r="558" spans="1:12" x14ac:dyDescent="0.25">
      <c r="A558" s="11">
        <v>-176</v>
      </c>
      <c r="B558" s="12">
        <v>0.87902086400000001</v>
      </c>
      <c r="F558" s="11">
        <v>150</v>
      </c>
      <c r="G558" s="12">
        <v>8.5691615448057501</v>
      </c>
      <c r="K558" s="11">
        <v>358</v>
      </c>
      <c r="L558" s="12">
        <v>7.8245728416800002</v>
      </c>
    </row>
    <row r="559" spans="1:12" x14ac:dyDescent="0.25">
      <c r="A559" s="11">
        <v>-175</v>
      </c>
      <c r="B559" s="12">
        <v>0.88046875000000002</v>
      </c>
      <c r="F559" s="11">
        <v>151</v>
      </c>
      <c r="G559" s="12">
        <v>8.5973502953291607</v>
      </c>
      <c r="K559" s="11">
        <v>359</v>
      </c>
      <c r="L559" s="12">
        <v>7.8348133579999999</v>
      </c>
    </row>
    <row r="560" spans="1:12" x14ac:dyDescent="0.25">
      <c r="A560" s="11">
        <v>-174</v>
      </c>
      <c r="B560" s="12">
        <v>0.88192353599999995</v>
      </c>
      <c r="F560" s="11">
        <v>152</v>
      </c>
      <c r="G560" s="12">
        <v>8.6192600000000006</v>
      </c>
      <c r="K560" s="11">
        <v>360</v>
      </c>
      <c r="L560" s="12">
        <v>7.8450538743199996</v>
      </c>
    </row>
    <row r="561" spans="1:12" x14ac:dyDescent="0.25">
      <c r="A561" s="11">
        <v>-173</v>
      </c>
      <c r="B561" s="12">
        <v>0.88338573799999998</v>
      </c>
      <c r="F561" s="11">
        <v>153</v>
      </c>
      <c r="G561" s="12">
        <v>8.6374812335063904</v>
      </c>
      <c r="K561" s="11">
        <v>361</v>
      </c>
      <c r="L561" s="12">
        <v>7.8552943906400001</v>
      </c>
    </row>
    <row r="562" spans="1:12" x14ac:dyDescent="0.25">
      <c r="A562" s="11">
        <v>-172</v>
      </c>
      <c r="B562" s="12">
        <v>0.88485587200000004</v>
      </c>
      <c r="F562" s="11">
        <v>154</v>
      </c>
      <c r="G562" s="12">
        <v>8.6548964938299502</v>
      </c>
      <c r="K562" s="11">
        <v>362</v>
      </c>
      <c r="L562" s="12">
        <v>7.8655349069599998</v>
      </c>
    </row>
    <row r="563" spans="1:12" x14ac:dyDescent="0.25">
      <c r="A563" s="11">
        <v>-171</v>
      </c>
      <c r="B563" s="12">
        <v>0.88633445399999999</v>
      </c>
      <c r="F563" s="11">
        <v>155</v>
      </c>
      <c r="G563" s="12">
        <v>8.6715240119744301</v>
      </c>
      <c r="K563" s="11">
        <v>363</v>
      </c>
      <c r="L563" s="12">
        <v>7.8757754232800004</v>
      </c>
    </row>
    <row r="564" spans="1:12" x14ac:dyDescent="0.25">
      <c r="A564" s="11">
        <v>-170</v>
      </c>
      <c r="B564" s="12">
        <v>0.887822</v>
      </c>
      <c r="F564" s="11">
        <v>156</v>
      </c>
      <c r="G564" s="12">
        <v>8.6873820189435804</v>
      </c>
      <c r="K564" s="11">
        <v>364</v>
      </c>
      <c r="L564" s="12">
        <v>7.8860159396</v>
      </c>
    </row>
    <row r="565" spans="1:12" x14ac:dyDescent="0.25">
      <c r="A565" s="11">
        <v>-169</v>
      </c>
      <c r="B565" s="12">
        <v>0.88931902600000001</v>
      </c>
      <c r="F565" s="11">
        <v>157</v>
      </c>
      <c r="G565" s="12">
        <v>8.7024887457411406</v>
      </c>
      <c r="K565" s="11" t="s">
        <v>108</v>
      </c>
      <c r="L565" s="12">
        <v>3.6232454134932173</v>
      </c>
    </row>
    <row r="566" spans="1:12" x14ac:dyDescent="0.25">
      <c r="A566" s="11">
        <v>-168</v>
      </c>
      <c r="B566" s="12">
        <v>0.89082604799999998</v>
      </c>
      <c r="F566" s="11">
        <v>158</v>
      </c>
      <c r="G566" s="12">
        <v>8.7168624233708805</v>
      </c>
    </row>
    <row r="567" spans="1:12" x14ac:dyDescent="0.25">
      <c r="A567" s="11">
        <v>-167</v>
      </c>
      <c r="B567" s="12">
        <v>0.89234358199999997</v>
      </c>
      <c r="F567" s="11">
        <v>159</v>
      </c>
      <c r="G567" s="12">
        <v>8.7305212828365306</v>
      </c>
    </row>
    <row r="568" spans="1:12" x14ac:dyDescent="0.25">
      <c r="A568" s="11">
        <v>-166</v>
      </c>
      <c r="B568" s="12">
        <v>0.89387214400000004</v>
      </c>
      <c r="F568" s="11">
        <v>160</v>
      </c>
      <c r="G568" s="12">
        <v>8.7434835551418502</v>
      </c>
    </row>
    <row r="569" spans="1:12" x14ac:dyDescent="0.25">
      <c r="A569" s="11">
        <v>-165</v>
      </c>
      <c r="B569" s="12">
        <v>0.89541225000000002</v>
      </c>
      <c r="F569" s="11">
        <v>161</v>
      </c>
      <c r="G569" s="12">
        <v>8.7557674712905893</v>
      </c>
    </row>
    <row r="570" spans="1:12" x14ac:dyDescent="0.25">
      <c r="A570" s="11">
        <v>-164</v>
      </c>
      <c r="B570" s="12">
        <v>0.89696441599999999</v>
      </c>
      <c r="F570" s="11">
        <v>162</v>
      </c>
      <c r="G570" s="12">
        <v>8.7673912622864894</v>
      </c>
    </row>
    <row r="571" spans="1:12" x14ac:dyDescent="0.25">
      <c r="A571" s="11">
        <v>-163</v>
      </c>
      <c r="B571" s="12">
        <v>0.89852915799999999</v>
      </c>
      <c r="F571" s="11">
        <v>163</v>
      </c>
      <c r="G571" s="12">
        <v>8.7783731591333307</v>
      </c>
    </row>
    <row r="572" spans="1:12" x14ac:dyDescent="0.25">
      <c r="A572" s="11">
        <v>-162</v>
      </c>
      <c r="B572" s="12">
        <v>0.90010699199999999</v>
      </c>
      <c r="F572" s="11">
        <v>164</v>
      </c>
      <c r="G572" s="12">
        <v>8.7887313928348192</v>
      </c>
    </row>
    <row r="573" spans="1:12" x14ac:dyDescent="0.25">
      <c r="A573" s="11">
        <v>-161</v>
      </c>
      <c r="B573" s="12">
        <v>0.90169843400000005</v>
      </c>
      <c r="F573" s="11">
        <v>165</v>
      </c>
      <c r="G573" s="12">
        <v>8.7984841943947405</v>
      </c>
    </row>
    <row r="574" spans="1:12" x14ac:dyDescent="0.25">
      <c r="A574" s="11">
        <v>-160</v>
      </c>
      <c r="B574" s="12">
        <v>0.903304</v>
      </c>
      <c r="F574" s="11">
        <v>166</v>
      </c>
      <c r="G574" s="12">
        <v>8.8076497948168306</v>
      </c>
    </row>
    <row r="575" spans="1:12" x14ac:dyDescent="0.25">
      <c r="A575" s="11">
        <v>-159</v>
      </c>
      <c r="B575" s="12">
        <v>0.90492420600000001</v>
      </c>
      <c r="F575" s="11">
        <v>167</v>
      </c>
      <c r="G575" s="12">
        <v>8.8162464251048505</v>
      </c>
    </row>
    <row r="576" spans="1:12" x14ac:dyDescent="0.25">
      <c r="A576" s="11">
        <v>-158</v>
      </c>
      <c r="B576" s="12">
        <v>0.90655956800000004</v>
      </c>
      <c r="F576" s="11">
        <v>168</v>
      </c>
      <c r="G576" s="12">
        <v>8.8242923162625306</v>
      </c>
    </row>
    <row r="577" spans="1:7" x14ac:dyDescent="0.25">
      <c r="A577" s="11">
        <v>-157</v>
      </c>
      <c r="B577" s="12">
        <v>0.90821060200000003</v>
      </c>
      <c r="F577" s="11">
        <v>169</v>
      </c>
      <c r="G577" s="12">
        <v>8.8318056992936302</v>
      </c>
    </row>
    <row r="578" spans="1:7" x14ac:dyDescent="0.25">
      <c r="A578" s="11">
        <v>-156</v>
      </c>
      <c r="B578" s="12">
        <v>0.90987782399999995</v>
      </c>
      <c r="F578" s="11">
        <v>170</v>
      </c>
      <c r="G578" s="12">
        <v>8.8388048052019101</v>
      </c>
    </row>
    <row r="579" spans="1:7" x14ac:dyDescent="0.25">
      <c r="A579" s="11">
        <v>-155</v>
      </c>
      <c r="B579" s="12">
        <v>0.91156174999999995</v>
      </c>
      <c r="F579" s="11">
        <v>171</v>
      </c>
      <c r="G579" s="12">
        <v>8.8453078649911099</v>
      </c>
    </row>
    <row r="580" spans="1:7" x14ac:dyDescent="0.25">
      <c r="A580" s="11">
        <v>-154</v>
      </c>
      <c r="B580" s="12">
        <v>0.91326289599999999</v>
      </c>
      <c r="F580" s="11">
        <v>172</v>
      </c>
      <c r="G580" s="12">
        <v>8.8513331096649797</v>
      </c>
    </row>
    <row r="581" spans="1:7" x14ac:dyDescent="0.25">
      <c r="A581" s="11">
        <v>-153</v>
      </c>
      <c r="B581" s="12">
        <v>0.91498177800000002</v>
      </c>
      <c r="F581" s="11">
        <v>173</v>
      </c>
      <c r="G581" s="12">
        <v>8.8568987702272803</v>
      </c>
    </row>
    <row r="582" spans="1:7" x14ac:dyDescent="0.25">
      <c r="A582" s="11">
        <v>-152</v>
      </c>
      <c r="B582" s="12">
        <v>0.916718912</v>
      </c>
      <c r="F582" s="11">
        <v>174</v>
      </c>
      <c r="G582" s="12">
        <v>8.8620230776817408</v>
      </c>
    </row>
    <row r="583" spans="1:7" x14ac:dyDescent="0.25">
      <c r="A583" s="11">
        <v>-151</v>
      </c>
      <c r="B583" s="12">
        <v>0.91847481399999997</v>
      </c>
      <c r="F583" s="11">
        <v>175</v>
      </c>
      <c r="G583" s="12">
        <v>8.8667242630321308</v>
      </c>
    </row>
    <row r="584" spans="1:7" x14ac:dyDescent="0.25">
      <c r="A584" s="11">
        <v>-150</v>
      </c>
      <c r="B584" s="12">
        <v>0.92025000000000001</v>
      </c>
      <c r="F584" s="11">
        <v>176</v>
      </c>
      <c r="G584" s="12">
        <v>8.8710205572822005</v>
      </c>
    </row>
    <row r="585" spans="1:7" x14ac:dyDescent="0.25">
      <c r="A585" s="11">
        <v>-149</v>
      </c>
      <c r="B585" s="12">
        <v>0.92204498599999996</v>
      </c>
      <c r="F585" s="11">
        <v>177</v>
      </c>
      <c r="G585" s="12">
        <v>8.8749301914356895</v>
      </c>
    </row>
    <row r="586" spans="1:7" x14ac:dyDescent="0.25">
      <c r="A586" s="11">
        <v>-148</v>
      </c>
      <c r="B586" s="12">
        <v>0.92386028799999997</v>
      </c>
      <c r="F586" s="11">
        <v>178</v>
      </c>
      <c r="G586" s="12">
        <v>8.8784713964963498</v>
      </c>
    </row>
    <row r="587" spans="1:7" x14ac:dyDescent="0.25">
      <c r="A587" s="11">
        <v>-147</v>
      </c>
      <c r="B587" s="12">
        <v>0.92569642200000002</v>
      </c>
      <c r="F587" s="11">
        <v>179</v>
      </c>
      <c r="G587" s="12">
        <v>8.8816624034679403</v>
      </c>
    </row>
    <row r="588" spans="1:7" x14ac:dyDescent="0.25">
      <c r="A588" s="11">
        <v>-146</v>
      </c>
      <c r="B588" s="12">
        <v>0.92755390400000004</v>
      </c>
      <c r="F588" s="11">
        <v>180</v>
      </c>
      <c r="G588" s="12">
        <v>8.8845214433542008</v>
      </c>
    </row>
    <row r="589" spans="1:7" x14ac:dyDescent="0.25">
      <c r="A589" s="11">
        <v>-145</v>
      </c>
      <c r="B589" s="12">
        <v>0.92943324999999999</v>
      </c>
      <c r="F589" s="11">
        <v>181</v>
      </c>
      <c r="G589" s="12">
        <v>8.8870667471588902</v>
      </c>
    </row>
    <row r="590" spans="1:7" x14ac:dyDescent="0.25">
      <c r="A590" s="11">
        <v>-144</v>
      </c>
      <c r="B590" s="12">
        <v>0.93133497600000004</v>
      </c>
      <c r="F590" s="11">
        <v>182</v>
      </c>
      <c r="G590" s="12">
        <v>8.8893165458857606</v>
      </c>
    </row>
    <row r="591" spans="1:7" x14ac:dyDescent="0.25">
      <c r="A591" s="11">
        <v>-143</v>
      </c>
      <c r="B591" s="12">
        <v>0.93325959800000002</v>
      </c>
      <c r="F591" s="11">
        <v>183</v>
      </c>
      <c r="G591" s="12">
        <v>8.8912890705385497</v>
      </c>
    </row>
    <row r="592" spans="1:7" x14ac:dyDescent="0.25">
      <c r="A592" s="11">
        <v>-142</v>
      </c>
      <c r="B592" s="12">
        <v>0.93520763200000001</v>
      </c>
      <c r="F592" s="11">
        <v>184</v>
      </c>
      <c r="G592" s="12">
        <v>8.8930025521210094</v>
      </c>
    </row>
    <row r="593" spans="1:7" x14ac:dyDescent="0.25">
      <c r="A593" s="11">
        <v>-141</v>
      </c>
      <c r="B593" s="12">
        <v>0.93717959399999995</v>
      </c>
      <c r="F593" s="11">
        <v>185</v>
      </c>
      <c r="G593" s="12">
        <v>8.8944752216369096</v>
      </c>
    </row>
    <row r="594" spans="1:7" x14ac:dyDescent="0.25">
      <c r="A594" s="11">
        <v>-140</v>
      </c>
      <c r="B594" s="12">
        <v>0.93917600000000001</v>
      </c>
      <c r="F594" s="11">
        <v>186</v>
      </c>
      <c r="G594" s="12">
        <v>8.8957253100899791</v>
      </c>
    </row>
    <row r="595" spans="1:7" x14ac:dyDescent="0.25">
      <c r="A595" s="11">
        <v>-139</v>
      </c>
      <c r="B595" s="12">
        <v>0.94119736600000004</v>
      </c>
      <c r="F595" s="11">
        <v>187</v>
      </c>
      <c r="G595" s="12">
        <v>8.8967710484839699</v>
      </c>
    </row>
    <row r="596" spans="1:7" x14ac:dyDescent="0.25">
      <c r="A596" s="11">
        <v>-138</v>
      </c>
      <c r="B596" s="12">
        <v>0.94324420799999997</v>
      </c>
      <c r="F596" s="11">
        <v>188</v>
      </c>
      <c r="G596" s="12">
        <v>8.89763066782265</v>
      </c>
    </row>
    <row r="597" spans="1:7" x14ac:dyDescent="0.25">
      <c r="A597" s="11">
        <v>-137</v>
      </c>
      <c r="B597" s="12">
        <v>0.945317042</v>
      </c>
      <c r="F597" s="11">
        <v>189</v>
      </c>
      <c r="G597" s="12">
        <v>8.89832239910975</v>
      </c>
    </row>
    <row r="598" spans="1:7" x14ac:dyDescent="0.25">
      <c r="A598" s="11">
        <v>-136</v>
      </c>
      <c r="B598" s="12">
        <v>0.94741638399999994</v>
      </c>
      <c r="F598" s="11">
        <v>190</v>
      </c>
      <c r="G598" s="12">
        <v>8.8988644733490307</v>
      </c>
    </row>
    <row r="599" spans="1:7" x14ac:dyDescent="0.25">
      <c r="A599" s="11">
        <v>-135</v>
      </c>
      <c r="B599" s="12">
        <v>0.94954274999999999</v>
      </c>
      <c r="F599" s="11">
        <v>191</v>
      </c>
      <c r="G599" s="12">
        <v>8.8992751215442407</v>
      </c>
    </row>
    <row r="600" spans="1:7" x14ac:dyDescent="0.25">
      <c r="A600" s="11">
        <v>-134</v>
      </c>
      <c r="B600" s="12">
        <v>0.95169665599999997</v>
      </c>
      <c r="F600" s="11">
        <v>192</v>
      </c>
      <c r="G600" s="12">
        <v>8.8995725746991194</v>
      </c>
    </row>
    <row r="601" spans="1:7" x14ac:dyDescent="0.25">
      <c r="A601" s="11">
        <v>-133</v>
      </c>
      <c r="B601" s="12">
        <v>0.95387861799999996</v>
      </c>
      <c r="F601" s="11">
        <v>193</v>
      </c>
      <c r="G601" s="12">
        <v>8.8997750638174402</v>
      </c>
    </row>
    <row r="602" spans="1:7" x14ac:dyDescent="0.25">
      <c r="A602" s="11">
        <v>-132</v>
      </c>
      <c r="B602" s="12">
        <v>0.956089152</v>
      </c>
      <c r="F602" s="11">
        <v>194</v>
      </c>
      <c r="G602" s="12">
        <v>8.8999008199029408</v>
      </c>
    </row>
    <row r="603" spans="1:7" x14ac:dyDescent="0.25">
      <c r="A603" s="11">
        <v>-131</v>
      </c>
      <c r="B603" s="12">
        <v>0.95832877400000005</v>
      </c>
      <c r="F603" s="11">
        <v>195</v>
      </c>
      <c r="G603" s="12">
        <v>8.8999680739593607</v>
      </c>
    </row>
    <row r="604" spans="1:7" x14ac:dyDescent="0.25">
      <c r="A604" s="11">
        <v>-130</v>
      </c>
      <c r="B604" s="12">
        <v>0.96059799999999995</v>
      </c>
      <c r="F604" s="11">
        <v>196</v>
      </c>
      <c r="G604" s="12">
        <v>8.8999950569904698</v>
      </c>
    </row>
    <row r="605" spans="1:7" x14ac:dyDescent="0.25">
      <c r="A605" s="11">
        <v>-129</v>
      </c>
      <c r="B605" s="12">
        <v>0.96289734599999999</v>
      </c>
      <c r="F605" s="11">
        <v>197</v>
      </c>
      <c r="G605" s="12">
        <v>8.9</v>
      </c>
    </row>
    <row r="606" spans="1:7" x14ac:dyDescent="0.25">
      <c r="A606" s="11">
        <v>-128</v>
      </c>
      <c r="B606" s="12">
        <v>0.965227328</v>
      </c>
      <c r="F606" s="11">
        <v>198</v>
      </c>
      <c r="G606" s="12">
        <v>8.9</v>
      </c>
    </row>
    <row r="607" spans="1:7" x14ac:dyDescent="0.25">
      <c r="A607" s="11">
        <v>-127</v>
      </c>
      <c r="B607" s="12">
        <v>0.96758846200000004</v>
      </c>
      <c r="F607" s="11">
        <v>199</v>
      </c>
      <c r="G607" s="12">
        <v>8.9</v>
      </c>
    </row>
    <row r="608" spans="1:7" x14ac:dyDescent="0.25">
      <c r="A608" s="11">
        <v>-126</v>
      </c>
      <c r="B608" s="12">
        <v>0.96998126399999995</v>
      </c>
      <c r="F608" s="11">
        <v>200</v>
      </c>
      <c r="G608" s="12">
        <v>8.9</v>
      </c>
    </row>
    <row r="609" spans="1:7" x14ac:dyDescent="0.25">
      <c r="A609" s="11">
        <v>-125</v>
      </c>
      <c r="B609" s="12">
        <v>0.97240625000000003</v>
      </c>
      <c r="F609" s="11">
        <v>201</v>
      </c>
      <c r="G609" s="12">
        <v>8.9</v>
      </c>
    </row>
    <row r="610" spans="1:7" x14ac:dyDescent="0.25">
      <c r="A610" s="11">
        <v>-124</v>
      </c>
      <c r="B610" s="12">
        <v>0.97486393599999999</v>
      </c>
      <c r="F610" s="11">
        <v>202</v>
      </c>
      <c r="G610" s="12">
        <v>8.9</v>
      </c>
    </row>
    <row r="611" spans="1:7" x14ac:dyDescent="0.25">
      <c r="A611" s="11">
        <v>-123</v>
      </c>
      <c r="B611" s="12">
        <v>0.977354838</v>
      </c>
      <c r="F611" s="11">
        <v>203</v>
      </c>
      <c r="G611" s="12">
        <v>8.9</v>
      </c>
    </row>
    <row r="612" spans="1:7" x14ac:dyDescent="0.25">
      <c r="A612" s="11">
        <v>-122</v>
      </c>
      <c r="B612" s="12">
        <v>0.97987947200000003</v>
      </c>
      <c r="F612" s="11">
        <v>204</v>
      </c>
      <c r="G612" s="12">
        <v>8.9</v>
      </c>
    </row>
    <row r="613" spans="1:7" x14ac:dyDescent="0.25">
      <c r="A613" s="11">
        <v>-121</v>
      </c>
      <c r="B613" s="12">
        <v>0.98243835400000001</v>
      </c>
      <c r="F613" s="11">
        <v>205</v>
      </c>
      <c r="G613" s="12">
        <v>8.9</v>
      </c>
    </row>
    <row r="614" spans="1:7" x14ac:dyDescent="0.25">
      <c r="A614" s="11">
        <v>-120</v>
      </c>
      <c r="B614" s="12">
        <v>0.98503200000000002</v>
      </c>
      <c r="F614" s="11">
        <v>206</v>
      </c>
      <c r="G614" s="12">
        <v>8.9</v>
      </c>
    </row>
    <row r="615" spans="1:7" x14ac:dyDescent="0.25">
      <c r="A615" s="11">
        <v>-119</v>
      </c>
      <c r="B615" s="12">
        <v>0.98766092599999999</v>
      </c>
      <c r="F615" s="11">
        <v>207</v>
      </c>
      <c r="G615" s="12">
        <v>8.9</v>
      </c>
    </row>
    <row r="616" spans="1:7" x14ac:dyDescent="0.25">
      <c r="A616" s="11">
        <v>-118</v>
      </c>
      <c r="B616" s="12">
        <v>0.990325648</v>
      </c>
      <c r="F616" s="11">
        <v>208</v>
      </c>
      <c r="G616" s="12">
        <v>8.9</v>
      </c>
    </row>
    <row r="617" spans="1:7" x14ac:dyDescent="0.25">
      <c r="A617" s="11">
        <v>-117</v>
      </c>
      <c r="B617" s="12">
        <v>0.99302668199999999</v>
      </c>
      <c r="F617" s="11">
        <v>209</v>
      </c>
      <c r="G617" s="12">
        <v>8.9</v>
      </c>
    </row>
    <row r="618" spans="1:7" x14ac:dyDescent="0.25">
      <c r="A618" s="11">
        <v>-116</v>
      </c>
      <c r="B618" s="12">
        <v>0.99576454400000003</v>
      </c>
      <c r="F618" s="11">
        <v>210</v>
      </c>
      <c r="G618" s="12">
        <v>8.9</v>
      </c>
    </row>
    <row r="619" spans="1:7" x14ac:dyDescent="0.25">
      <c r="A619" s="11">
        <v>-115</v>
      </c>
      <c r="B619" s="12">
        <v>0.99853974999999995</v>
      </c>
      <c r="F619" s="11">
        <v>211</v>
      </c>
      <c r="G619" s="12">
        <v>8.9</v>
      </c>
    </row>
    <row r="620" spans="1:7" x14ac:dyDescent="0.25">
      <c r="A620" s="11">
        <v>-114</v>
      </c>
      <c r="B620" s="12">
        <v>1.001352816</v>
      </c>
      <c r="F620" s="11">
        <v>212</v>
      </c>
      <c r="G620" s="12">
        <v>8.9</v>
      </c>
    </row>
    <row r="621" spans="1:7" x14ac:dyDescent="0.25">
      <c r="A621" s="11">
        <v>-113</v>
      </c>
      <c r="B621" s="12">
        <v>1.0042042579999999</v>
      </c>
      <c r="F621" s="11">
        <v>213</v>
      </c>
      <c r="G621" s="12">
        <v>8.9</v>
      </c>
    </row>
    <row r="622" spans="1:7" x14ac:dyDescent="0.25">
      <c r="A622" s="11">
        <v>-112</v>
      </c>
      <c r="B622" s="12">
        <v>1.0070945920000001</v>
      </c>
      <c r="F622" s="11">
        <v>214</v>
      </c>
      <c r="G622" s="12">
        <v>8.9</v>
      </c>
    </row>
    <row r="623" spans="1:7" x14ac:dyDescent="0.25">
      <c r="A623" s="11">
        <v>-111</v>
      </c>
      <c r="B623" s="12">
        <v>1.0100243339999999</v>
      </c>
      <c r="F623" s="11">
        <v>215</v>
      </c>
      <c r="G623" s="12">
        <v>8.9</v>
      </c>
    </row>
    <row r="624" spans="1:7" x14ac:dyDescent="0.25">
      <c r="A624" s="11">
        <v>-110</v>
      </c>
      <c r="B624" s="12">
        <v>1.012994</v>
      </c>
      <c r="F624" s="11">
        <v>216</v>
      </c>
      <c r="G624" s="12">
        <v>8.9</v>
      </c>
    </row>
    <row r="625" spans="1:7" x14ac:dyDescent="0.25">
      <c r="A625" s="11">
        <v>-109</v>
      </c>
      <c r="B625" s="12">
        <v>1.016004106</v>
      </c>
      <c r="F625" s="11">
        <v>217</v>
      </c>
      <c r="G625" s="12">
        <v>8.9</v>
      </c>
    </row>
    <row r="626" spans="1:7" x14ac:dyDescent="0.25">
      <c r="A626" s="11">
        <v>-108</v>
      </c>
      <c r="B626" s="12">
        <v>1.019055168</v>
      </c>
      <c r="F626" s="11">
        <v>218</v>
      </c>
      <c r="G626" s="12">
        <v>8.9</v>
      </c>
    </row>
    <row r="627" spans="1:7" x14ac:dyDescent="0.25">
      <c r="A627" s="11">
        <v>-107</v>
      </c>
      <c r="B627" s="12">
        <v>1.022147702</v>
      </c>
      <c r="F627" s="11">
        <v>219</v>
      </c>
      <c r="G627" s="12">
        <v>8.9</v>
      </c>
    </row>
    <row r="628" spans="1:7" x14ac:dyDescent="0.25">
      <c r="A628" s="11">
        <v>-106</v>
      </c>
      <c r="B628" s="12">
        <v>1.0252822239999999</v>
      </c>
      <c r="F628" s="11">
        <v>220</v>
      </c>
      <c r="G628" s="12">
        <v>8.9</v>
      </c>
    </row>
    <row r="629" spans="1:7" x14ac:dyDescent="0.25">
      <c r="A629" s="11">
        <v>-105</v>
      </c>
      <c r="B629" s="12">
        <v>1.02845925</v>
      </c>
      <c r="F629" s="11">
        <v>221</v>
      </c>
      <c r="G629" s="12">
        <v>8.9</v>
      </c>
    </row>
    <row r="630" spans="1:7" x14ac:dyDescent="0.25">
      <c r="A630" s="11">
        <v>-104</v>
      </c>
      <c r="B630" s="12">
        <v>1.0316792960000001</v>
      </c>
      <c r="F630" s="11">
        <v>222</v>
      </c>
      <c r="G630" s="12">
        <v>8.9</v>
      </c>
    </row>
    <row r="631" spans="1:7" x14ac:dyDescent="0.25">
      <c r="A631" s="11">
        <v>-103</v>
      </c>
      <c r="B631" s="12">
        <v>1.0349428780000001</v>
      </c>
      <c r="F631" s="11">
        <v>223</v>
      </c>
      <c r="G631" s="12">
        <v>8.9</v>
      </c>
    </row>
    <row r="632" spans="1:7" x14ac:dyDescent="0.25">
      <c r="A632" s="11">
        <v>-102</v>
      </c>
      <c r="B632" s="12">
        <v>1.0382505120000001</v>
      </c>
      <c r="F632" s="11">
        <v>224</v>
      </c>
      <c r="G632" s="12">
        <v>8.9</v>
      </c>
    </row>
    <row r="633" spans="1:7" x14ac:dyDescent="0.25">
      <c r="A633" s="11">
        <v>-101</v>
      </c>
      <c r="B633" s="12">
        <v>1.0416027139999999</v>
      </c>
      <c r="F633" s="11">
        <v>225</v>
      </c>
      <c r="G633" s="12">
        <v>8.9</v>
      </c>
    </row>
    <row r="634" spans="1:7" x14ac:dyDescent="0.25">
      <c r="A634" s="11">
        <v>-100</v>
      </c>
      <c r="B634" s="12">
        <v>1.0449999999999999</v>
      </c>
      <c r="F634" s="11">
        <v>226</v>
      </c>
      <c r="G634" s="12">
        <v>8.9</v>
      </c>
    </row>
    <row r="635" spans="1:7" x14ac:dyDescent="0.25">
      <c r="A635" s="11">
        <v>-99</v>
      </c>
      <c r="B635" s="12">
        <v>1.0485710960000001</v>
      </c>
      <c r="F635" s="11">
        <v>227</v>
      </c>
      <c r="G635" s="12">
        <v>8.9</v>
      </c>
    </row>
    <row r="636" spans="1:7" x14ac:dyDescent="0.25">
      <c r="A636" s="11">
        <v>-98</v>
      </c>
      <c r="B636" s="12">
        <v>1.0524343679999999</v>
      </c>
      <c r="F636" s="11">
        <v>228</v>
      </c>
      <c r="G636" s="12">
        <v>8.9</v>
      </c>
    </row>
    <row r="637" spans="1:7" x14ac:dyDescent="0.25">
      <c r="A637" s="11">
        <v>-97</v>
      </c>
      <c r="B637" s="12">
        <v>1.0565747919999999</v>
      </c>
      <c r="F637" s="11">
        <v>229</v>
      </c>
      <c r="G637" s="12">
        <v>8.9</v>
      </c>
    </row>
    <row r="638" spans="1:7" x14ac:dyDescent="0.25">
      <c r="A638" s="11">
        <v>-96</v>
      </c>
      <c r="B638" s="12">
        <v>1.0609773440000001</v>
      </c>
      <c r="F638" s="11">
        <v>230</v>
      </c>
      <c r="G638" s="12">
        <v>8.9</v>
      </c>
    </row>
    <row r="639" spans="1:7" x14ac:dyDescent="0.25">
      <c r="A639" s="11">
        <v>-95</v>
      </c>
      <c r="B639" s="12">
        <v>1.0656270000000001</v>
      </c>
      <c r="F639" s="11">
        <v>231</v>
      </c>
      <c r="G639" s="12">
        <v>8.9</v>
      </c>
    </row>
    <row r="640" spans="1:7" x14ac:dyDescent="0.25">
      <c r="A640" s="11">
        <v>-94</v>
      </c>
      <c r="B640" s="12">
        <v>1.0705087360000001</v>
      </c>
      <c r="F640" s="11">
        <v>232</v>
      </c>
      <c r="G640" s="12">
        <v>8.9</v>
      </c>
    </row>
    <row r="641" spans="1:7" x14ac:dyDescent="0.25">
      <c r="A641" s="11">
        <v>-93</v>
      </c>
      <c r="B641" s="12">
        <v>1.0756075279999999</v>
      </c>
      <c r="F641" s="11">
        <v>233</v>
      </c>
      <c r="G641" s="12">
        <v>8.9</v>
      </c>
    </row>
    <row r="642" spans="1:7" x14ac:dyDescent="0.25">
      <c r="A642" s="11">
        <v>-92</v>
      </c>
      <c r="B642" s="12">
        <v>1.080908352</v>
      </c>
      <c r="F642" s="11">
        <v>234</v>
      </c>
      <c r="G642" s="12">
        <v>8.9</v>
      </c>
    </row>
    <row r="643" spans="1:7" x14ac:dyDescent="0.25">
      <c r="A643" s="11">
        <v>-91</v>
      </c>
      <c r="B643" s="12">
        <v>1.086396184</v>
      </c>
      <c r="F643" s="11">
        <v>235</v>
      </c>
      <c r="G643" s="12">
        <v>8.9</v>
      </c>
    </row>
    <row r="644" spans="1:7" x14ac:dyDescent="0.25">
      <c r="A644" s="11">
        <v>-90</v>
      </c>
      <c r="B644" s="12">
        <v>1.0920559999999999</v>
      </c>
      <c r="F644" s="11">
        <v>236</v>
      </c>
      <c r="G644" s="12">
        <v>8.9</v>
      </c>
    </row>
    <row r="645" spans="1:7" x14ac:dyDescent="0.25">
      <c r="A645" s="11">
        <v>-89</v>
      </c>
      <c r="B645" s="12">
        <v>1.097872776</v>
      </c>
      <c r="F645" s="11">
        <v>237</v>
      </c>
      <c r="G645" s="12">
        <v>8.9</v>
      </c>
    </row>
    <row r="646" spans="1:7" x14ac:dyDescent="0.25">
      <c r="A646" s="11">
        <v>-88</v>
      </c>
      <c r="B646" s="12">
        <v>1.103831488</v>
      </c>
      <c r="F646" s="11">
        <v>238</v>
      </c>
      <c r="G646" s="12">
        <v>8.9</v>
      </c>
    </row>
    <row r="647" spans="1:7" x14ac:dyDescent="0.25">
      <c r="A647" s="11">
        <v>-87</v>
      </c>
      <c r="B647" s="12">
        <v>1.109917112</v>
      </c>
      <c r="F647" s="11">
        <v>239</v>
      </c>
      <c r="G647" s="12">
        <v>8.9</v>
      </c>
    </row>
    <row r="648" spans="1:7" x14ac:dyDescent="0.25">
      <c r="A648" s="11">
        <v>-86</v>
      </c>
      <c r="B648" s="12">
        <v>1.1161146239999999</v>
      </c>
      <c r="F648" s="11">
        <v>240</v>
      </c>
      <c r="G648" s="12">
        <v>8.9</v>
      </c>
    </row>
    <row r="649" spans="1:7" x14ac:dyDescent="0.25">
      <c r="A649" s="11">
        <v>-85</v>
      </c>
      <c r="B649" s="12">
        <v>1.122409</v>
      </c>
      <c r="F649" s="11">
        <v>241</v>
      </c>
      <c r="G649" s="12">
        <v>8.9</v>
      </c>
    </row>
    <row r="650" spans="1:7" x14ac:dyDescent="0.25">
      <c r="A650" s="11">
        <v>-84</v>
      </c>
      <c r="B650" s="12">
        <v>1.128785216</v>
      </c>
      <c r="F650" s="11">
        <v>242</v>
      </c>
      <c r="G650" s="12">
        <v>8.9</v>
      </c>
    </row>
    <row r="651" spans="1:7" x14ac:dyDescent="0.25">
      <c r="A651" s="11">
        <v>-83</v>
      </c>
      <c r="B651" s="12">
        <v>1.135228248</v>
      </c>
      <c r="F651" s="11">
        <v>243</v>
      </c>
      <c r="G651" s="12">
        <v>8.9</v>
      </c>
    </row>
    <row r="652" spans="1:7" x14ac:dyDescent="0.25">
      <c r="A652" s="11">
        <v>-82</v>
      </c>
      <c r="B652" s="12">
        <v>1.141723072</v>
      </c>
      <c r="F652" s="11">
        <v>244</v>
      </c>
      <c r="G652" s="12">
        <v>8.9</v>
      </c>
    </row>
    <row r="653" spans="1:7" x14ac:dyDescent="0.25">
      <c r="A653" s="11">
        <v>-81</v>
      </c>
      <c r="B653" s="12">
        <v>1.148254664</v>
      </c>
      <c r="F653" s="11">
        <v>245</v>
      </c>
      <c r="G653" s="12">
        <v>8.9</v>
      </c>
    </row>
    <row r="654" spans="1:7" x14ac:dyDescent="0.25">
      <c r="A654" s="11">
        <v>-80</v>
      </c>
      <c r="B654" s="12">
        <v>1.1548080000000001</v>
      </c>
      <c r="F654" s="11">
        <v>246</v>
      </c>
      <c r="G654" s="12">
        <v>8.9</v>
      </c>
    </row>
    <row r="655" spans="1:7" x14ac:dyDescent="0.25">
      <c r="A655" s="11">
        <v>-79</v>
      </c>
      <c r="B655" s="12">
        <v>1.1613680559999999</v>
      </c>
      <c r="F655" s="11">
        <v>247</v>
      </c>
      <c r="G655" s="12">
        <v>8.9</v>
      </c>
    </row>
    <row r="656" spans="1:7" x14ac:dyDescent="0.25">
      <c r="A656" s="11">
        <v>-78</v>
      </c>
      <c r="B656" s="12">
        <v>1.1679198079999999</v>
      </c>
      <c r="F656" s="11">
        <v>248</v>
      </c>
      <c r="G656" s="12">
        <v>8.9</v>
      </c>
    </row>
    <row r="657" spans="1:7" x14ac:dyDescent="0.25">
      <c r="A657" s="11">
        <v>-77</v>
      </c>
      <c r="B657" s="12">
        <v>1.174448232</v>
      </c>
      <c r="F657" s="11">
        <v>249</v>
      </c>
      <c r="G657" s="12">
        <v>8.9</v>
      </c>
    </row>
    <row r="658" spans="1:7" x14ac:dyDescent="0.25">
      <c r="A658" s="11">
        <v>-76</v>
      </c>
      <c r="B658" s="12">
        <v>1.1809383040000001</v>
      </c>
      <c r="F658" s="11">
        <v>250</v>
      </c>
      <c r="G658" s="12">
        <v>8.9</v>
      </c>
    </row>
    <row r="659" spans="1:7" x14ac:dyDescent="0.25">
      <c r="A659" s="11">
        <v>-75</v>
      </c>
      <c r="B659" s="12">
        <v>1.1873750000000001</v>
      </c>
      <c r="F659" s="11">
        <v>251</v>
      </c>
      <c r="G659" s="12">
        <v>8.9</v>
      </c>
    </row>
    <row r="660" spans="1:7" x14ac:dyDescent="0.25">
      <c r="A660" s="11">
        <v>-74</v>
      </c>
      <c r="B660" s="12">
        <v>1.1937432960000001</v>
      </c>
      <c r="F660" s="11">
        <v>252</v>
      </c>
      <c r="G660" s="12">
        <v>8.9</v>
      </c>
    </row>
    <row r="661" spans="1:7" x14ac:dyDescent="0.25">
      <c r="A661" s="11">
        <v>-73</v>
      </c>
      <c r="B661" s="12">
        <v>1.200028168</v>
      </c>
      <c r="F661" s="11">
        <v>253</v>
      </c>
      <c r="G661" s="12">
        <v>8.9</v>
      </c>
    </row>
    <row r="662" spans="1:7" x14ac:dyDescent="0.25">
      <c r="A662" s="11">
        <v>-72</v>
      </c>
      <c r="B662" s="12">
        <v>1.206214592</v>
      </c>
      <c r="F662" s="11">
        <v>254</v>
      </c>
      <c r="G662" s="12">
        <v>8.9</v>
      </c>
    </row>
    <row r="663" spans="1:7" x14ac:dyDescent="0.25">
      <c r="A663" s="11">
        <v>-71</v>
      </c>
      <c r="B663" s="12">
        <v>1.2122875440000001</v>
      </c>
      <c r="F663" s="11">
        <v>255</v>
      </c>
      <c r="G663" s="12">
        <v>8.9</v>
      </c>
    </row>
    <row r="664" spans="1:7" x14ac:dyDescent="0.25">
      <c r="A664" s="11">
        <v>-70</v>
      </c>
      <c r="B664" s="12">
        <v>1.218232</v>
      </c>
      <c r="F664" s="11">
        <v>256</v>
      </c>
      <c r="G664" s="12">
        <v>8.9</v>
      </c>
    </row>
    <row r="665" spans="1:7" x14ac:dyDescent="0.25">
      <c r="A665" s="11">
        <v>-69</v>
      </c>
      <c r="B665" s="12">
        <v>1.224032936</v>
      </c>
      <c r="F665" s="11">
        <v>257</v>
      </c>
      <c r="G665" s="12">
        <v>8.9</v>
      </c>
    </row>
    <row r="666" spans="1:7" x14ac:dyDescent="0.25">
      <c r="A666" s="11">
        <v>-68</v>
      </c>
      <c r="B666" s="12">
        <v>1.2296753279999999</v>
      </c>
      <c r="F666" s="11">
        <v>258</v>
      </c>
      <c r="G666" s="12">
        <v>8.9</v>
      </c>
    </row>
    <row r="667" spans="1:7" x14ac:dyDescent="0.25">
      <c r="A667" s="11">
        <v>-67</v>
      </c>
      <c r="B667" s="12">
        <v>1.2351441519999999</v>
      </c>
      <c r="F667" s="11">
        <v>259</v>
      </c>
      <c r="G667" s="12">
        <v>8.9</v>
      </c>
    </row>
    <row r="668" spans="1:7" x14ac:dyDescent="0.25">
      <c r="A668" s="11">
        <v>-66</v>
      </c>
      <c r="B668" s="12">
        <v>1.240424384</v>
      </c>
      <c r="F668" s="11">
        <v>260</v>
      </c>
      <c r="G668" s="12">
        <v>8.9</v>
      </c>
    </row>
    <row r="669" spans="1:7" x14ac:dyDescent="0.25">
      <c r="A669" s="11">
        <v>-65</v>
      </c>
      <c r="B669" s="12">
        <v>1.245501</v>
      </c>
      <c r="F669" s="11">
        <v>261</v>
      </c>
      <c r="G669" s="12">
        <v>8.9</v>
      </c>
    </row>
    <row r="670" spans="1:7" x14ac:dyDescent="0.25">
      <c r="A670" s="11">
        <v>-64</v>
      </c>
      <c r="B670" s="12">
        <v>1.250358976</v>
      </c>
      <c r="F670" s="11">
        <v>262</v>
      </c>
      <c r="G670" s="12">
        <v>8.9</v>
      </c>
    </row>
    <row r="671" spans="1:7" x14ac:dyDescent="0.25">
      <c r="A671" s="11">
        <v>-63</v>
      </c>
      <c r="B671" s="12">
        <v>1.254983288</v>
      </c>
      <c r="F671" s="11">
        <v>263</v>
      </c>
      <c r="G671" s="12">
        <v>8.9</v>
      </c>
    </row>
    <row r="672" spans="1:7" x14ac:dyDescent="0.25">
      <c r="A672" s="11">
        <v>-62</v>
      </c>
      <c r="B672" s="12">
        <v>1.2593589119999999</v>
      </c>
      <c r="F672" s="11">
        <v>264</v>
      </c>
      <c r="G672" s="12">
        <v>8.9</v>
      </c>
    </row>
    <row r="673" spans="1:7" x14ac:dyDescent="0.25">
      <c r="A673" s="11">
        <v>-61</v>
      </c>
      <c r="B673" s="12">
        <v>1.2634708240000001</v>
      </c>
      <c r="F673" s="11">
        <v>265</v>
      </c>
      <c r="G673" s="12">
        <v>8.9</v>
      </c>
    </row>
    <row r="674" spans="1:7" x14ac:dyDescent="0.25">
      <c r="A674" s="11">
        <v>-60</v>
      </c>
      <c r="B674" s="12">
        <v>1.267304</v>
      </c>
      <c r="F674" s="11">
        <v>266</v>
      </c>
      <c r="G674" s="12">
        <v>8.9</v>
      </c>
    </row>
    <row r="675" spans="1:7" x14ac:dyDescent="0.25">
      <c r="A675" s="11">
        <v>-59</v>
      </c>
      <c r="B675" s="12">
        <v>1.2708434159999999</v>
      </c>
      <c r="F675" s="11">
        <v>267</v>
      </c>
      <c r="G675" s="12">
        <v>8.9</v>
      </c>
    </row>
    <row r="676" spans="1:7" x14ac:dyDescent="0.25">
      <c r="A676" s="11">
        <v>-58</v>
      </c>
      <c r="B676" s="12">
        <v>1.2740740479999999</v>
      </c>
      <c r="F676" s="11">
        <v>268</v>
      </c>
      <c r="G676" s="12">
        <v>8.9</v>
      </c>
    </row>
    <row r="677" spans="1:7" x14ac:dyDescent="0.25">
      <c r="A677" s="11">
        <v>-57</v>
      </c>
      <c r="B677" s="12">
        <v>1.276980872</v>
      </c>
      <c r="F677" s="11">
        <v>269</v>
      </c>
      <c r="G677" s="12">
        <v>8.9</v>
      </c>
    </row>
    <row r="678" spans="1:7" x14ac:dyDescent="0.25">
      <c r="A678" s="11">
        <v>-56</v>
      </c>
      <c r="B678" s="12">
        <v>1.2795488639999999</v>
      </c>
      <c r="F678" s="11">
        <v>270</v>
      </c>
      <c r="G678" s="12">
        <v>8.9</v>
      </c>
    </row>
    <row r="679" spans="1:7" x14ac:dyDescent="0.25">
      <c r="A679" s="11">
        <v>-55</v>
      </c>
      <c r="B679" s="12">
        <v>1.281763</v>
      </c>
      <c r="F679" s="11">
        <v>271</v>
      </c>
      <c r="G679" s="12">
        <v>8.9</v>
      </c>
    </row>
    <row r="680" spans="1:7" x14ac:dyDescent="0.25">
      <c r="A680" s="11">
        <v>-54</v>
      </c>
      <c r="B680" s="12">
        <v>1.2836082559999999</v>
      </c>
      <c r="F680" s="11">
        <v>272</v>
      </c>
      <c r="G680" s="12">
        <v>8.9</v>
      </c>
    </row>
    <row r="681" spans="1:7" x14ac:dyDescent="0.25">
      <c r="A681" s="11">
        <v>-53</v>
      </c>
      <c r="B681" s="12">
        <v>1.2850696079999999</v>
      </c>
      <c r="F681" s="11">
        <v>273</v>
      </c>
      <c r="G681" s="12">
        <v>8.9</v>
      </c>
    </row>
    <row r="682" spans="1:7" x14ac:dyDescent="0.25">
      <c r="A682" s="11">
        <v>-52</v>
      </c>
      <c r="B682" s="12">
        <v>1.286132032</v>
      </c>
      <c r="F682" s="11">
        <v>274</v>
      </c>
      <c r="G682" s="12">
        <v>8.9</v>
      </c>
    </row>
    <row r="683" spans="1:7" x14ac:dyDescent="0.25">
      <c r="A683" s="11">
        <v>-51</v>
      </c>
      <c r="B683" s="12">
        <v>1.286780504</v>
      </c>
      <c r="F683" s="11">
        <v>275</v>
      </c>
      <c r="G683" s="12">
        <v>8.9</v>
      </c>
    </row>
    <row r="684" spans="1:7" x14ac:dyDescent="0.25">
      <c r="A684" s="11">
        <v>-50</v>
      </c>
      <c r="B684" s="12">
        <v>1.2869999999999999</v>
      </c>
      <c r="F684" s="11">
        <v>276</v>
      </c>
      <c r="G684" s="12">
        <v>8.9</v>
      </c>
    </row>
    <row r="685" spans="1:7" x14ac:dyDescent="0.25">
      <c r="A685" s="11">
        <v>-49</v>
      </c>
      <c r="B685" s="12">
        <v>1.2869999999999999</v>
      </c>
      <c r="F685" s="11">
        <v>277</v>
      </c>
      <c r="G685" s="12">
        <v>8.9</v>
      </c>
    </row>
    <row r="686" spans="1:7" x14ac:dyDescent="0.25">
      <c r="A686" s="11">
        <v>-48</v>
      </c>
      <c r="B686" s="12">
        <v>1.2869999999999999</v>
      </c>
      <c r="F686" s="11">
        <v>278</v>
      </c>
      <c r="G686" s="12">
        <v>8.9</v>
      </c>
    </row>
    <row r="687" spans="1:7" x14ac:dyDescent="0.25">
      <c r="A687" s="11">
        <v>-47</v>
      </c>
      <c r="B687" s="12">
        <v>1.2869999999999999</v>
      </c>
      <c r="F687" s="11">
        <v>279</v>
      </c>
      <c r="G687" s="12">
        <v>8.9</v>
      </c>
    </row>
    <row r="688" spans="1:7" x14ac:dyDescent="0.25">
      <c r="A688" s="11">
        <v>-46</v>
      </c>
      <c r="B688" s="12">
        <v>1.2869999999999999</v>
      </c>
      <c r="F688" s="11">
        <v>280</v>
      </c>
      <c r="G688" s="12">
        <v>8.9</v>
      </c>
    </row>
    <row r="689" spans="1:7" x14ac:dyDescent="0.25">
      <c r="A689" s="11">
        <v>-45</v>
      </c>
      <c r="B689" s="12">
        <v>1.2869999999999999</v>
      </c>
      <c r="F689" s="11">
        <v>281</v>
      </c>
      <c r="G689" s="12">
        <v>8.9</v>
      </c>
    </row>
    <row r="690" spans="1:7" x14ac:dyDescent="0.25">
      <c r="A690" s="11">
        <v>-44</v>
      </c>
      <c r="B690" s="12">
        <v>1.2869999999999999</v>
      </c>
      <c r="F690" s="11">
        <v>282</v>
      </c>
      <c r="G690" s="12">
        <v>8.9</v>
      </c>
    </row>
    <row r="691" spans="1:7" x14ac:dyDescent="0.25">
      <c r="A691" s="11">
        <v>-43</v>
      </c>
      <c r="B691" s="12">
        <v>1.2869999999999999</v>
      </c>
      <c r="F691" s="11">
        <v>283</v>
      </c>
      <c r="G691" s="12">
        <v>8.9</v>
      </c>
    </row>
    <row r="692" spans="1:7" x14ac:dyDescent="0.25">
      <c r="A692" s="11">
        <v>-42</v>
      </c>
      <c r="B692" s="12">
        <v>1.2869999999999999</v>
      </c>
      <c r="F692" s="11">
        <v>284</v>
      </c>
      <c r="G692" s="12">
        <v>8.9</v>
      </c>
    </row>
    <row r="693" spans="1:7" x14ac:dyDescent="0.25">
      <c r="A693" s="11">
        <v>-41</v>
      </c>
      <c r="B693" s="12">
        <v>1.2869999999999999</v>
      </c>
      <c r="F693" s="11">
        <v>285</v>
      </c>
      <c r="G693" s="12">
        <v>8.9</v>
      </c>
    </row>
    <row r="694" spans="1:7" x14ac:dyDescent="0.25">
      <c r="A694" s="11">
        <v>-40</v>
      </c>
      <c r="B694" s="12">
        <v>1.2869999999999999</v>
      </c>
      <c r="F694" s="11">
        <v>286</v>
      </c>
      <c r="G694" s="12">
        <v>8.9</v>
      </c>
    </row>
    <row r="695" spans="1:7" x14ac:dyDescent="0.25">
      <c r="A695" s="11">
        <v>-39</v>
      </c>
      <c r="B695" s="12">
        <v>1.2869999999999999</v>
      </c>
      <c r="F695" s="11">
        <v>287</v>
      </c>
      <c r="G695" s="12">
        <v>8.9</v>
      </c>
    </row>
    <row r="696" spans="1:7" x14ac:dyDescent="0.25">
      <c r="A696" s="11">
        <v>-38</v>
      </c>
      <c r="B696" s="12">
        <v>1.2869999999999999</v>
      </c>
      <c r="F696" s="11">
        <v>288</v>
      </c>
      <c r="G696" s="12">
        <v>8.9</v>
      </c>
    </row>
    <row r="697" spans="1:7" x14ac:dyDescent="0.25">
      <c r="A697" s="11">
        <v>-37</v>
      </c>
      <c r="B697" s="12">
        <v>1.2869999999999999</v>
      </c>
      <c r="F697" s="11">
        <v>289</v>
      </c>
      <c r="G697" s="12">
        <v>8.9</v>
      </c>
    </row>
    <row r="698" spans="1:7" x14ac:dyDescent="0.25">
      <c r="A698" s="11">
        <v>-36</v>
      </c>
      <c r="B698" s="12">
        <v>1.2869999999999999</v>
      </c>
      <c r="F698" s="11">
        <v>290</v>
      </c>
      <c r="G698" s="12">
        <v>8.9</v>
      </c>
    </row>
    <row r="699" spans="1:7" x14ac:dyDescent="0.25">
      <c r="A699" s="11">
        <v>-35</v>
      </c>
      <c r="B699" s="12">
        <v>1.2869999999999999</v>
      </c>
      <c r="F699" s="11">
        <v>291</v>
      </c>
      <c r="G699" s="12">
        <v>8.9</v>
      </c>
    </row>
    <row r="700" spans="1:7" x14ac:dyDescent="0.25">
      <c r="A700" s="11">
        <v>-34</v>
      </c>
      <c r="B700" s="12">
        <v>1.2869999999999999</v>
      </c>
      <c r="F700" s="11">
        <v>292</v>
      </c>
      <c r="G700" s="12">
        <v>8.9</v>
      </c>
    </row>
    <row r="701" spans="1:7" x14ac:dyDescent="0.25">
      <c r="A701" s="11">
        <v>-33</v>
      </c>
      <c r="B701" s="12">
        <v>1.2869999999999999</v>
      </c>
      <c r="F701" s="11">
        <v>293</v>
      </c>
      <c r="G701" s="12">
        <v>8.9</v>
      </c>
    </row>
    <row r="702" spans="1:7" x14ac:dyDescent="0.25">
      <c r="A702" s="11">
        <v>-32</v>
      </c>
      <c r="B702" s="12">
        <v>1.2869999999999999</v>
      </c>
      <c r="F702" s="11">
        <v>294</v>
      </c>
      <c r="G702" s="12">
        <v>8.9</v>
      </c>
    </row>
    <row r="703" spans="1:7" x14ac:dyDescent="0.25">
      <c r="A703" s="11">
        <v>-31</v>
      </c>
      <c r="B703" s="12">
        <v>1.2869999999999999</v>
      </c>
      <c r="F703" s="11">
        <v>295</v>
      </c>
      <c r="G703" s="12">
        <v>8.9</v>
      </c>
    </row>
    <row r="704" spans="1:7" x14ac:dyDescent="0.25">
      <c r="A704" s="11">
        <v>-30</v>
      </c>
      <c r="B704" s="12">
        <v>1.2869999999999999</v>
      </c>
      <c r="F704" s="11">
        <v>296</v>
      </c>
      <c r="G704" s="12">
        <v>8.9</v>
      </c>
    </row>
    <row r="705" spans="1:7" x14ac:dyDescent="0.25">
      <c r="A705" s="11">
        <v>-29</v>
      </c>
      <c r="B705" s="12">
        <v>1.2869999999999999</v>
      </c>
      <c r="F705" s="11">
        <v>297</v>
      </c>
      <c r="G705" s="12">
        <v>8.9</v>
      </c>
    </row>
    <row r="706" spans="1:7" x14ac:dyDescent="0.25">
      <c r="A706" s="11">
        <v>-28</v>
      </c>
      <c r="B706" s="12">
        <v>1.2869999999999999</v>
      </c>
      <c r="F706" s="11">
        <v>298</v>
      </c>
      <c r="G706" s="12">
        <v>8.9</v>
      </c>
    </row>
    <row r="707" spans="1:7" x14ac:dyDescent="0.25">
      <c r="A707" s="11">
        <v>-27</v>
      </c>
      <c r="B707" s="12">
        <v>1.2869999999999999</v>
      </c>
      <c r="F707" s="11">
        <v>299</v>
      </c>
      <c r="G707" s="12">
        <v>8.9</v>
      </c>
    </row>
    <row r="708" spans="1:7" x14ac:dyDescent="0.25">
      <c r="A708" s="11">
        <v>-26</v>
      </c>
      <c r="B708" s="12">
        <v>1.2869999999999999</v>
      </c>
      <c r="F708" s="11">
        <v>300</v>
      </c>
      <c r="G708" s="12">
        <v>8.9</v>
      </c>
    </row>
    <row r="709" spans="1:7" x14ac:dyDescent="0.25">
      <c r="A709" s="11">
        <v>-25</v>
      </c>
      <c r="B709" s="12">
        <v>1.2869999999999999</v>
      </c>
      <c r="F709" s="11">
        <v>301</v>
      </c>
      <c r="G709" s="12">
        <v>8.9</v>
      </c>
    </row>
    <row r="710" spans="1:7" x14ac:dyDescent="0.25">
      <c r="A710" s="11">
        <v>-24</v>
      </c>
      <c r="B710" s="12">
        <v>1.2869999999999999</v>
      </c>
      <c r="F710" s="11">
        <v>302</v>
      </c>
      <c r="G710" s="12">
        <v>8.9</v>
      </c>
    </row>
    <row r="711" spans="1:7" x14ac:dyDescent="0.25">
      <c r="A711" s="11">
        <v>-23</v>
      </c>
      <c r="B711" s="12">
        <v>1.2869999999999999</v>
      </c>
      <c r="F711" s="11">
        <v>303</v>
      </c>
      <c r="G711" s="12">
        <v>8.9</v>
      </c>
    </row>
    <row r="712" spans="1:7" x14ac:dyDescent="0.25">
      <c r="A712" s="11">
        <v>-22</v>
      </c>
      <c r="B712" s="12">
        <v>1.2869999999999999</v>
      </c>
      <c r="F712" s="11">
        <v>304</v>
      </c>
      <c r="G712" s="12">
        <v>8.9</v>
      </c>
    </row>
    <row r="713" spans="1:7" x14ac:dyDescent="0.25">
      <c r="A713" s="11">
        <v>-21</v>
      </c>
      <c r="B713" s="12">
        <v>1.2869999999999999</v>
      </c>
      <c r="F713" s="11">
        <v>305</v>
      </c>
      <c r="G713" s="12">
        <v>8.9</v>
      </c>
    </row>
    <row r="714" spans="1:7" x14ac:dyDescent="0.25">
      <c r="A714" s="11">
        <v>-20</v>
      </c>
      <c r="B714" s="12">
        <v>1.2869999999999999</v>
      </c>
      <c r="F714" s="11">
        <v>306</v>
      </c>
      <c r="G714" s="12">
        <v>8.9</v>
      </c>
    </row>
    <row r="715" spans="1:7" x14ac:dyDescent="0.25">
      <c r="A715" s="11">
        <v>-19</v>
      </c>
      <c r="B715" s="12">
        <v>1.2869999999999999</v>
      </c>
      <c r="F715" s="11">
        <v>307</v>
      </c>
      <c r="G715" s="12">
        <v>8.9</v>
      </c>
    </row>
    <row r="716" spans="1:7" x14ac:dyDescent="0.25">
      <c r="A716" s="11">
        <v>-18</v>
      </c>
      <c r="B716" s="12">
        <v>1.2869999999999999</v>
      </c>
      <c r="F716" s="11">
        <v>308</v>
      </c>
      <c r="G716" s="12">
        <v>8.9</v>
      </c>
    </row>
    <row r="717" spans="1:7" x14ac:dyDescent="0.25">
      <c r="A717" s="11">
        <v>-17</v>
      </c>
      <c r="B717" s="12">
        <v>1.2869999999999999</v>
      </c>
      <c r="F717" s="11">
        <v>309</v>
      </c>
      <c r="G717" s="12">
        <v>8.9</v>
      </c>
    </row>
    <row r="718" spans="1:7" x14ac:dyDescent="0.25">
      <c r="A718" s="11">
        <v>-16</v>
      </c>
      <c r="B718" s="12">
        <v>1.2869999999999999</v>
      </c>
      <c r="F718" s="11">
        <v>310</v>
      </c>
      <c r="G718" s="12">
        <v>8.9</v>
      </c>
    </row>
    <row r="719" spans="1:7" x14ac:dyDescent="0.25">
      <c r="A719" s="11">
        <v>-15</v>
      </c>
      <c r="B719" s="12">
        <v>1.2869999999999999</v>
      </c>
      <c r="F719" s="11">
        <v>311</v>
      </c>
      <c r="G719" s="12">
        <v>8.9</v>
      </c>
    </row>
    <row r="720" spans="1:7" x14ac:dyDescent="0.25">
      <c r="A720" s="11">
        <v>-14</v>
      </c>
      <c r="B720" s="12">
        <v>1.2869999999999999</v>
      </c>
      <c r="F720" s="11">
        <v>312</v>
      </c>
      <c r="G720" s="12">
        <v>8.9</v>
      </c>
    </row>
    <row r="721" spans="1:7" x14ac:dyDescent="0.25">
      <c r="A721" s="11">
        <v>-13</v>
      </c>
      <c r="B721" s="12">
        <v>1.2869999999999999</v>
      </c>
      <c r="F721" s="11">
        <v>313</v>
      </c>
      <c r="G721" s="12">
        <v>8.9</v>
      </c>
    </row>
    <row r="722" spans="1:7" x14ac:dyDescent="0.25">
      <c r="A722" s="11">
        <v>-12</v>
      </c>
      <c r="B722" s="12">
        <v>1.2869999999999999</v>
      </c>
      <c r="F722" s="11">
        <v>314</v>
      </c>
      <c r="G722" s="12">
        <v>8.9</v>
      </c>
    </row>
    <row r="723" spans="1:7" x14ac:dyDescent="0.25">
      <c r="A723" s="11">
        <v>-11</v>
      </c>
      <c r="B723" s="12">
        <v>1.2869999999999999</v>
      </c>
      <c r="F723" s="11">
        <v>315</v>
      </c>
      <c r="G723" s="12">
        <v>8.9</v>
      </c>
    </row>
    <row r="724" spans="1:7" x14ac:dyDescent="0.25">
      <c r="A724" s="11">
        <v>-10</v>
      </c>
      <c r="B724" s="12">
        <v>1.2869999999999999</v>
      </c>
      <c r="F724" s="11">
        <v>316</v>
      </c>
      <c r="G724" s="12">
        <v>8.9</v>
      </c>
    </row>
    <row r="725" spans="1:7" x14ac:dyDescent="0.25">
      <c r="A725" s="11">
        <v>-9</v>
      </c>
      <c r="B725" s="12">
        <v>1.2869999999999999</v>
      </c>
      <c r="F725" s="11">
        <v>317</v>
      </c>
      <c r="G725" s="12">
        <v>8.9</v>
      </c>
    </row>
    <row r="726" spans="1:7" x14ac:dyDescent="0.25">
      <c r="A726" s="11">
        <v>-8</v>
      </c>
      <c r="B726" s="12">
        <v>1.2869999999999999</v>
      </c>
      <c r="F726" s="11">
        <v>318</v>
      </c>
      <c r="G726" s="12">
        <v>8.9</v>
      </c>
    </row>
    <row r="727" spans="1:7" x14ac:dyDescent="0.25">
      <c r="A727" s="11">
        <v>-7</v>
      </c>
      <c r="B727" s="12">
        <v>1.2869999999999999</v>
      </c>
      <c r="F727" s="11">
        <v>319</v>
      </c>
      <c r="G727" s="12">
        <v>8.9</v>
      </c>
    </row>
    <row r="728" spans="1:7" x14ac:dyDescent="0.25">
      <c r="A728" s="11">
        <v>-6</v>
      </c>
      <c r="B728" s="12">
        <v>1.2869999999999999</v>
      </c>
      <c r="F728" s="11">
        <v>320</v>
      </c>
      <c r="G728" s="12">
        <v>8.9</v>
      </c>
    </row>
    <row r="729" spans="1:7" x14ac:dyDescent="0.25">
      <c r="A729" s="11">
        <v>-5</v>
      </c>
      <c r="B729" s="12">
        <v>1.2869999999999999</v>
      </c>
      <c r="F729" s="11" t="s">
        <v>108</v>
      </c>
      <c r="G729" s="12">
        <v>2.9928787533829104</v>
      </c>
    </row>
    <row r="730" spans="1:7" x14ac:dyDescent="0.25">
      <c r="A730" s="11">
        <v>-4</v>
      </c>
      <c r="B730" s="12">
        <v>1.2869999999999999</v>
      </c>
    </row>
    <row r="731" spans="1:7" x14ac:dyDescent="0.25">
      <c r="A731" s="11">
        <v>-3</v>
      </c>
      <c r="B731" s="12">
        <v>1.2869999999999999</v>
      </c>
    </row>
    <row r="732" spans="1:7" x14ac:dyDescent="0.25">
      <c r="A732" s="11">
        <v>-2</v>
      </c>
      <c r="B732" s="12">
        <v>1.2869999999999999</v>
      </c>
    </row>
    <row r="733" spans="1:7" x14ac:dyDescent="0.25">
      <c r="A733" s="11">
        <v>-1</v>
      </c>
      <c r="B733" s="12">
        <v>1.2869999999999999</v>
      </c>
    </row>
    <row r="734" spans="1:7" x14ac:dyDescent="0.25">
      <c r="A734" s="11">
        <v>0</v>
      </c>
      <c r="B734" s="12">
        <v>1.2869999999999999</v>
      </c>
    </row>
    <row r="735" spans="1:7" x14ac:dyDescent="0.25">
      <c r="A735" s="11">
        <v>1</v>
      </c>
      <c r="B735" s="12">
        <v>1.2869999999999999</v>
      </c>
    </row>
    <row r="736" spans="1:7" x14ac:dyDescent="0.25">
      <c r="A736" s="11">
        <v>2</v>
      </c>
      <c r="B736" s="12">
        <v>1.2869999999999999</v>
      </c>
    </row>
    <row r="737" spans="1:2" x14ac:dyDescent="0.25">
      <c r="A737" s="11">
        <v>3</v>
      </c>
      <c r="B737" s="12">
        <v>1.2869999999999999</v>
      </c>
    </row>
    <row r="738" spans="1:2" x14ac:dyDescent="0.25">
      <c r="A738" s="11">
        <v>4</v>
      </c>
      <c r="B738" s="12">
        <v>1.2869999999999999</v>
      </c>
    </row>
    <row r="739" spans="1:2" x14ac:dyDescent="0.25">
      <c r="A739" s="11">
        <v>5</v>
      </c>
      <c r="B739" s="12">
        <v>1.2869999999999999</v>
      </c>
    </row>
    <row r="740" spans="1:2" x14ac:dyDescent="0.25">
      <c r="A740" s="11">
        <v>6</v>
      </c>
      <c r="B740" s="12">
        <v>1.2869999999999999</v>
      </c>
    </row>
    <row r="741" spans="1:2" x14ac:dyDescent="0.25">
      <c r="A741" s="11">
        <v>7</v>
      </c>
      <c r="B741" s="12">
        <v>1.2869999999999999</v>
      </c>
    </row>
    <row r="742" spans="1:2" x14ac:dyDescent="0.25">
      <c r="A742" s="11">
        <v>8</v>
      </c>
      <c r="B742" s="12">
        <v>1.2869999999999999</v>
      </c>
    </row>
    <row r="743" spans="1:2" x14ac:dyDescent="0.25">
      <c r="A743" s="11">
        <v>9</v>
      </c>
      <c r="B743" s="12">
        <v>1.2869999999999999</v>
      </c>
    </row>
    <row r="744" spans="1:2" x14ac:dyDescent="0.25">
      <c r="A744" s="11">
        <v>10</v>
      </c>
      <c r="B744" s="12">
        <v>1.2869999999999999</v>
      </c>
    </row>
    <row r="745" spans="1:2" x14ac:dyDescent="0.25">
      <c r="A745" s="11">
        <v>11</v>
      </c>
      <c r="B745" s="12">
        <v>1.2869999999999999</v>
      </c>
    </row>
    <row r="746" spans="1:2" x14ac:dyDescent="0.25">
      <c r="A746" s="11">
        <v>12</v>
      </c>
      <c r="B746" s="12">
        <v>1.2869999999999999</v>
      </c>
    </row>
    <row r="747" spans="1:2" x14ac:dyDescent="0.25">
      <c r="A747" s="11">
        <v>13</v>
      </c>
      <c r="B747" s="12">
        <v>1.2869999999999999</v>
      </c>
    </row>
    <row r="748" spans="1:2" x14ac:dyDescent="0.25">
      <c r="A748" s="11">
        <v>14</v>
      </c>
      <c r="B748" s="12">
        <v>1.2869999999999999</v>
      </c>
    </row>
    <row r="749" spans="1:2" x14ac:dyDescent="0.25">
      <c r="A749" s="11">
        <v>15</v>
      </c>
      <c r="B749" s="12">
        <v>1.2869999999999999</v>
      </c>
    </row>
    <row r="750" spans="1:2" x14ac:dyDescent="0.25">
      <c r="A750" s="11">
        <v>16</v>
      </c>
      <c r="B750" s="12">
        <v>1.2869999999999999</v>
      </c>
    </row>
    <row r="751" spans="1:2" x14ac:dyDescent="0.25">
      <c r="A751" s="11">
        <v>17</v>
      </c>
      <c r="B751" s="12">
        <v>1.2869999999999999</v>
      </c>
    </row>
    <row r="752" spans="1:2" x14ac:dyDescent="0.25">
      <c r="A752" s="11">
        <v>18</v>
      </c>
      <c r="B752" s="12">
        <v>1.2869999999999999</v>
      </c>
    </row>
    <row r="753" spans="1:2" x14ac:dyDescent="0.25">
      <c r="A753" s="11">
        <v>19</v>
      </c>
      <c r="B753" s="12">
        <v>1.2869999999999999</v>
      </c>
    </row>
    <row r="754" spans="1:2" x14ac:dyDescent="0.25">
      <c r="A754" s="11">
        <v>20</v>
      </c>
      <c r="B754" s="12">
        <v>1.2869999999999999</v>
      </c>
    </row>
    <row r="755" spans="1:2" x14ac:dyDescent="0.25">
      <c r="A755" s="11">
        <v>21</v>
      </c>
      <c r="B755" s="12">
        <v>1.2869999999999999</v>
      </c>
    </row>
    <row r="756" spans="1:2" x14ac:dyDescent="0.25">
      <c r="A756" s="11">
        <v>22</v>
      </c>
      <c r="B756" s="12">
        <v>1.2869999999999999</v>
      </c>
    </row>
    <row r="757" spans="1:2" x14ac:dyDescent="0.25">
      <c r="A757" s="11">
        <v>23</v>
      </c>
      <c r="B757" s="12">
        <v>1.2869999999999999</v>
      </c>
    </row>
    <row r="758" spans="1:2" x14ac:dyDescent="0.25">
      <c r="A758" s="11">
        <v>24</v>
      </c>
      <c r="B758" s="12">
        <v>1.2869999999999999</v>
      </c>
    </row>
    <row r="759" spans="1:2" x14ac:dyDescent="0.25">
      <c r="A759" s="11">
        <v>25</v>
      </c>
      <c r="B759" s="12">
        <v>1.2869999999999999</v>
      </c>
    </row>
    <row r="760" spans="1:2" x14ac:dyDescent="0.25">
      <c r="A760" s="11">
        <v>26</v>
      </c>
      <c r="B760" s="12">
        <v>1.2869999999999999</v>
      </c>
    </row>
    <row r="761" spans="1:2" x14ac:dyDescent="0.25">
      <c r="A761" s="11">
        <v>27</v>
      </c>
      <c r="B761" s="12">
        <v>1.2869999999999999</v>
      </c>
    </row>
    <row r="762" spans="1:2" x14ac:dyDescent="0.25">
      <c r="A762" s="11">
        <v>28</v>
      </c>
      <c r="B762" s="12">
        <v>1.2869999999999999</v>
      </c>
    </row>
    <row r="763" spans="1:2" x14ac:dyDescent="0.25">
      <c r="A763" s="11">
        <v>29</v>
      </c>
      <c r="B763" s="12">
        <v>1.2869999999999999</v>
      </c>
    </row>
    <row r="764" spans="1:2" x14ac:dyDescent="0.25">
      <c r="A764" s="11">
        <v>30</v>
      </c>
      <c r="B764" s="12">
        <v>1.2869999999999999</v>
      </c>
    </row>
    <row r="765" spans="1:2" x14ac:dyDescent="0.25">
      <c r="A765" s="11">
        <v>31</v>
      </c>
      <c r="B765" s="12">
        <v>1.2869999999999999</v>
      </c>
    </row>
    <row r="766" spans="1:2" x14ac:dyDescent="0.25">
      <c r="A766" s="11">
        <v>32</v>
      </c>
      <c r="B766" s="12">
        <v>1.2869999999999999</v>
      </c>
    </row>
    <row r="767" spans="1:2" x14ac:dyDescent="0.25">
      <c r="A767" s="11">
        <v>33</v>
      </c>
      <c r="B767" s="12">
        <v>1.2869999999999999</v>
      </c>
    </row>
    <row r="768" spans="1:2" x14ac:dyDescent="0.25">
      <c r="A768" s="11">
        <v>34</v>
      </c>
      <c r="B768" s="12">
        <v>1.2869999999999999</v>
      </c>
    </row>
    <row r="769" spans="1:2" x14ac:dyDescent="0.25">
      <c r="A769" s="11">
        <v>35</v>
      </c>
      <c r="B769" s="12">
        <v>1.2869999999999999</v>
      </c>
    </row>
    <row r="770" spans="1:2" x14ac:dyDescent="0.25">
      <c r="A770" s="11">
        <v>36</v>
      </c>
      <c r="B770" s="12">
        <v>1.2869999999999999</v>
      </c>
    </row>
    <row r="771" spans="1:2" x14ac:dyDescent="0.25">
      <c r="A771" s="11">
        <v>37</v>
      </c>
      <c r="B771" s="12">
        <v>1.2869999999999999</v>
      </c>
    </row>
    <row r="772" spans="1:2" x14ac:dyDescent="0.25">
      <c r="A772" s="11">
        <v>38</v>
      </c>
      <c r="B772" s="12">
        <v>1.2869999999999999</v>
      </c>
    </row>
    <row r="773" spans="1:2" x14ac:dyDescent="0.25">
      <c r="A773" s="11">
        <v>39</v>
      </c>
      <c r="B773" s="12">
        <v>1.2869999999999999</v>
      </c>
    </row>
    <row r="774" spans="1:2" x14ac:dyDescent="0.25">
      <c r="A774" s="11">
        <v>40</v>
      </c>
      <c r="B774" s="12">
        <v>1.2869999999999999</v>
      </c>
    </row>
    <row r="775" spans="1:2" x14ac:dyDescent="0.25">
      <c r="A775" s="11">
        <v>41</v>
      </c>
      <c r="B775" s="12">
        <v>1.2869999999999999</v>
      </c>
    </row>
    <row r="776" spans="1:2" x14ac:dyDescent="0.25">
      <c r="A776" s="11">
        <v>42</v>
      </c>
      <c r="B776" s="12">
        <v>1.2869999999999999</v>
      </c>
    </row>
    <row r="777" spans="1:2" x14ac:dyDescent="0.25">
      <c r="A777" s="11">
        <v>43</v>
      </c>
      <c r="B777" s="12">
        <v>1.2869999999999999</v>
      </c>
    </row>
    <row r="778" spans="1:2" x14ac:dyDescent="0.25">
      <c r="A778" s="11">
        <v>44</v>
      </c>
      <c r="B778" s="12">
        <v>1.2869999999999999</v>
      </c>
    </row>
    <row r="779" spans="1:2" x14ac:dyDescent="0.25">
      <c r="A779" s="11">
        <v>45</v>
      </c>
      <c r="B779" s="12">
        <v>1.2869999999999999</v>
      </c>
    </row>
    <row r="780" spans="1:2" x14ac:dyDescent="0.25">
      <c r="A780" s="11">
        <v>46</v>
      </c>
      <c r="B780" s="12">
        <v>1.2869999999999999</v>
      </c>
    </row>
    <row r="781" spans="1:2" x14ac:dyDescent="0.25">
      <c r="A781" s="11">
        <v>47</v>
      </c>
      <c r="B781" s="12">
        <v>1.2869999999999999</v>
      </c>
    </row>
    <row r="782" spans="1:2" x14ac:dyDescent="0.25">
      <c r="A782" s="11">
        <v>48</v>
      </c>
      <c r="B782" s="12">
        <v>1.2869999999999999</v>
      </c>
    </row>
    <row r="783" spans="1:2" x14ac:dyDescent="0.25">
      <c r="A783" s="11">
        <v>49</v>
      </c>
      <c r="B783" s="12">
        <v>1.2869999999999999</v>
      </c>
    </row>
    <row r="784" spans="1:2" x14ac:dyDescent="0.25">
      <c r="A784" s="11">
        <v>50</v>
      </c>
      <c r="B784" s="12">
        <v>1.2869999999999999</v>
      </c>
    </row>
    <row r="785" spans="1:2" x14ac:dyDescent="0.25">
      <c r="A785" s="11">
        <v>51</v>
      </c>
      <c r="B785" s="12">
        <v>1.2869999999999999</v>
      </c>
    </row>
    <row r="786" spans="1:2" x14ac:dyDescent="0.25">
      <c r="A786" s="11">
        <v>52</v>
      </c>
      <c r="B786" s="12">
        <v>1.2869999999999999</v>
      </c>
    </row>
    <row r="787" spans="1:2" x14ac:dyDescent="0.25">
      <c r="A787" s="11">
        <v>53</v>
      </c>
      <c r="B787" s="12">
        <v>1.2869999999999999</v>
      </c>
    </row>
    <row r="788" spans="1:2" x14ac:dyDescent="0.25">
      <c r="A788" s="11">
        <v>54</v>
      </c>
      <c r="B788" s="12">
        <v>1.2869999999999999</v>
      </c>
    </row>
    <row r="789" spans="1:2" x14ac:dyDescent="0.25">
      <c r="A789" s="11">
        <v>55</v>
      </c>
      <c r="B789" s="12">
        <v>1.2869999999999999</v>
      </c>
    </row>
    <row r="790" spans="1:2" x14ac:dyDescent="0.25">
      <c r="A790" s="11">
        <v>56</v>
      </c>
      <c r="B790" s="12">
        <v>1.2869999999999999</v>
      </c>
    </row>
    <row r="791" spans="1:2" x14ac:dyDescent="0.25">
      <c r="A791" s="11">
        <v>57</v>
      </c>
      <c r="B791" s="12">
        <v>1.2869999999999999</v>
      </c>
    </row>
    <row r="792" spans="1:2" x14ac:dyDescent="0.25">
      <c r="A792" s="11">
        <v>58</v>
      </c>
      <c r="B792" s="12">
        <v>1.2869999999999999</v>
      </c>
    </row>
    <row r="793" spans="1:2" x14ac:dyDescent="0.25">
      <c r="A793" s="11">
        <v>59</v>
      </c>
      <c r="B793" s="12">
        <v>1.2869999999999999</v>
      </c>
    </row>
    <row r="794" spans="1:2" x14ac:dyDescent="0.25">
      <c r="A794" s="11">
        <v>60</v>
      </c>
      <c r="B794" s="12">
        <v>1.2869999999999999</v>
      </c>
    </row>
    <row r="795" spans="1:2" x14ac:dyDescent="0.25">
      <c r="A795" s="11">
        <v>61</v>
      </c>
      <c r="B795" s="12">
        <v>1.2869999999999999</v>
      </c>
    </row>
    <row r="796" spans="1:2" x14ac:dyDescent="0.25">
      <c r="A796" s="11">
        <v>62</v>
      </c>
      <c r="B796" s="12">
        <v>1.2869999999999999</v>
      </c>
    </row>
    <row r="797" spans="1:2" x14ac:dyDescent="0.25">
      <c r="A797" s="11">
        <v>63</v>
      </c>
      <c r="B797" s="12">
        <v>1.2869999999999999</v>
      </c>
    </row>
    <row r="798" spans="1:2" x14ac:dyDescent="0.25">
      <c r="A798" s="11">
        <v>64</v>
      </c>
      <c r="B798" s="12">
        <v>1.2869999999999999</v>
      </c>
    </row>
    <row r="799" spans="1:2" x14ac:dyDescent="0.25">
      <c r="A799" s="11">
        <v>65</v>
      </c>
      <c r="B799" s="12">
        <v>1.2869999999999999</v>
      </c>
    </row>
    <row r="800" spans="1:2" x14ac:dyDescent="0.25">
      <c r="A800" s="11">
        <v>66</v>
      </c>
      <c r="B800" s="12">
        <v>1.2869999999999999</v>
      </c>
    </row>
    <row r="801" spans="1:2" x14ac:dyDescent="0.25">
      <c r="A801" s="11">
        <v>67</v>
      </c>
      <c r="B801" s="12">
        <v>1.2869999999999999</v>
      </c>
    </row>
    <row r="802" spans="1:2" x14ac:dyDescent="0.25">
      <c r="A802" s="11">
        <v>68</v>
      </c>
      <c r="B802" s="12">
        <v>1.2869999999999999</v>
      </c>
    </row>
    <row r="803" spans="1:2" x14ac:dyDescent="0.25">
      <c r="A803" s="11">
        <v>69</v>
      </c>
      <c r="B803" s="12">
        <v>1.2869999999999999</v>
      </c>
    </row>
    <row r="804" spans="1:2" x14ac:dyDescent="0.25">
      <c r="A804" s="11">
        <v>70</v>
      </c>
      <c r="B804" s="12">
        <v>1.2869999999999999</v>
      </c>
    </row>
    <row r="805" spans="1:2" x14ac:dyDescent="0.25">
      <c r="A805" s="11">
        <v>71</v>
      </c>
      <c r="B805" s="12">
        <v>1.2869999999999999</v>
      </c>
    </row>
    <row r="806" spans="1:2" x14ac:dyDescent="0.25">
      <c r="A806" s="11">
        <v>72</v>
      </c>
      <c r="B806" s="12">
        <v>1.2869999999999999</v>
      </c>
    </row>
    <row r="807" spans="1:2" x14ac:dyDescent="0.25">
      <c r="A807" s="11">
        <v>73</v>
      </c>
      <c r="B807" s="12">
        <v>1.2869999999999999</v>
      </c>
    </row>
    <row r="808" spans="1:2" x14ac:dyDescent="0.25">
      <c r="A808" s="11">
        <v>74</v>
      </c>
      <c r="B808" s="12">
        <v>1.2869999999999999</v>
      </c>
    </row>
    <row r="809" spans="1:2" x14ac:dyDescent="0.25">
      <c r="A809" s="11">
        <v>75</v>
      </c>
      <c r="B809" s="12">
        <v>1.2869999999999999</v>
      </c>
    </row>
    <row r="810" spans="1:2" x14ac:dyDescent="0.25">
      <c r="A810" s="11">
        <v>76</v>
      </c>
      <c r="B810" s="12">
        <v>1.2869999999999999</v>
      </c>
    </row>
    <row r="811" spans="1:2" x14ac:dyDescent="0.25">
      <c r="A811" s="11">
        <v>77</v>
      </c>
      <c r="B811" s="12">
        <v>1.2869999999999999</v>
      </c>
    </row>
    <row r="812" spans="1:2" x14ac:dyDescent="0.25">
      <c r="A812" s="11">
        <v>78</v>
      </c>
      <c r="B812" s="12">
        <v>1.2869999999999999</v>
      </c>
    </row>
    <row r="813" spans="1:2" x14ac:dyDescent="0.25">
      <c r="A813" s="11">
        <v>79</v>
      </c>
      <c r="B813" s="12">
        <v>1.2869999999999999</v>
      </c>
    </row>
    <row r="814" spans="1:2" x14ac:dyDescent="0.25">
      <c r="A814" s="11">
        <v>80</v>
      </c>
      <c r="B814" s="12">
        <v>1.2869999999999999</v>
      </c>
    </row>
    <row r="815" spans="1:2" x14ac:dyDescent="0.25">
      <c r="A815" s="11">
        <v>81</v>
      </c>
      <c r="B815" s="12">
        <v>1.2869999999999999</v>
      </c>
    </row>
    <row r="816" spans="1:2" x14ac:dyDescent="0.25">
      <c r="A816" s="11">
        <v>82</v>
      </c>
      <c r="B816" s="12">
        <v>1.2869999999999999</v>
      </c>
    </row>
    <row r="817" spans="1:2" x14ac:dyDescent="0.25">
      <c r="A817" s="11">
        <v>83</v>
      </c>
      <c r="B817" s="12">
        <v>1.2869999999999999</v>
      </c>
    </row>
    <row r="818" spans="1:2" x14ac:dyDescent="0.25">
      <c r="A818" s="11">
        <v>84</v>
      </c>
      <c r="B818" s="12">
        <v>1.2869999999999999</v>
      </c>
    </row>
    <row r="819" spans="1:2" x14ac:dyDescent="0.25">
      <c r="A819" s="11">
        <v>85</v>
      </c>
      <c r="B819" s="12">
        <v>1.2869999999999999</v>
      </c>
    </row>
    <row r="820" spans="1:2" x14ac:dyDescent="0.25">
      <c r="A820" s="11">
        <v>86</v>
      </c>
      <c r="B820" s="12">
        <v>1.2869999999999999</v>
      </c>
    </row>
    <row r="821" spans="1:2" x14ac:dyDescent="0.25">
      <c r="A821" s="11">
        <v>87</v>
      </c>
      <c r="B821" s="12">
        <v>1.2869999999999999</v>
      </c>
    </row>
    <row r="822" spans="1:2" x14ac:dyDescent="0.25">
      <c r="A822" s="11">
        <v>88</v>
      </c>
      <c r="B822" s="12">
        <v>1.2869999999999999</v>
      </c>
    </row>
    <row r="823" spans="1:2" x14ac:dyDescent="0.25">
      <c r="A823" s="11">
        <v>89</v>
      </c>
      <c r="B823" s="12">
        <v>1.2869999999999999</v>
      </c>
    </row>
    <row r="824" spans="1:2" x14ac:dyDescent="0.25">
      <c r="A824" s="11">
        <v>90</v>
      </c>
      <c r="B824" s="12">
        <v>1.2869999999999999</v>
      </c>
    </row>
    <row r="825" spans="1:2" x14ac:dyDescent="0.25">
      <c r="A825" s="11">
        <v>91</v>
      </c>
      <c r="B825" s="12">
        <v>1.2869999999999999</v>
      </c>
    </row>
    <row r="826" spans="1:2" x14ac:dyDescent="0.25">
      <c r="A826" s="11">
        <v>92</v>
      </c>
      <c r="B826" s="12">
        <v>1.2869999999999999</v>
      </c>
    </row>
    <row r="827" spans="1:2" x14ac:dyDescent="0.25">
      <c r="A827" s="11">
        <v>93</v>
      </c>
      <c r="B827" s="12">
        <v>1.2869999999999999</v>
      </c>
    </row>
    <row r="828" spans="1:2" x14ac:dyDescent="0.25">
      <c r="A828" s="11">
        <v>94</v>
      </c>
      <c r="B828" s="12">
        <v>1.2869999999999999</v>
      </c>
    </row>
    <row r="829" spans="1:2" x14ac:dyDescent="0.25">
      <c r="A829" s="11">
        <v>95</v>
      </c>
      <c r="B829" s="12">
        <v>1.2869999999999999</v>
      </c>
    </row>
    <row r="830" spans="1:2" x14ac:dyDescent="0.25">
      <c r="A830" s="11">
        <v>96</v>
      </c>
      <c r="B830" s="12">
        <v>1.2869999999999999</v>
      </c>
    </row>
    <row r="831" spans="1:2" x14ac:dyDescent="0.25">
      <c r="A831" s="11">
        <v>97</v>
      </c>
      <c r="B831" s="12">
        <v>1.2869999999999999</v>
      </c>
    </row>
    <row r="832" spans="1:2" x14ac:dyDescent="0.25">
      <c r="A832" s="11">
        <v>98</v>
      </c>
      <c r="B832" s="12">
        <v>1.2869999999999999</v>
      </c>
    </row>
    <row r="833" spans="1:2" x14ac:dyDescent="0.25">
      <c r="A833" s="11">
        <v>99</v>
      </c>
      <c r="B833" s="12">
        <v>1.2869999999999999</v>
      </c>
    </row>
    <row r="834" spans="1:2" x14ac:dyDescent="0.25">
      <c r="A834" s="11">
        <v>100</v>
      </c>
      <c r="B834" s="12">
        <v>1.2869999999999999</v>
      </c>
    </row>
    <row r="835" spans="1:2" x14ac:dyDescent="0.25">
      <c r="A835" s="11">
        <v>101</v>
      </c>
      <c r="B835" s="12">
        <v>1.2869999999999999</v>
      </c>
    </row>
    <row r="836" spans="1:2" x14ac:dyDescent="0.25">
      <c r="A836" s="11">
        <v>102</v>
      </c>
      <c r="B836" s="12">
        <v>1.2869999999999999</v>
      </c>
    </row>
    <row r="837" spans="1:2" x14ac:dyDescent="0.25">
      <c r="A837" s="11">
        <v>103</v>
      </c>
      <c r="B837" s="12">
        <v>1.2869999999999999</v>
      </c>
    </row>
    <row r="838" spans="1:2" x14ac:dyDescent="0.25">
      <c r="A838" s="11">
        <v>104</v>
      </c>
      <c r="B838" s="12">
        <v>1.2869999999999999</v>
      </c>
    </row>
    <row r="839" spans="1:2" x14ac:dyDescent="0.25">
      <c r="A839" s="11">
        <v>105</v>
      </c>
      <c r="B839" s="12">
        <v>1.2869999999999999</v>
      </c>
    </row>
    <row r="840" spans="1:2" x14ac:dyDescent="0.25">
      <c r="A840" s="11">
        <v>106</v>
      </c>
      <c r="B840" s="12">
        <v>1.2869999999999999</v>
      </c>
    </row>
    <row r="841" spans="1:2" x14ac:dyDescent="0.25">
      <c r="A841" s="11">
        <v>107</v>
      </c>
      <c r="B841" s="12">
        <v>1.2869999999999999</v>
      </c>
    </row>
    <row r="842" spans="1:2" x14ac:dyDescent="0.25">
      <c r="A842" s="11">
        <v>108</v>
      </c>
      <c r="B842" s="12">
        <v>1.2869999999999999</v>
      </c>
    </row>
    <row r="843" spans="1:2" x14ac:dyDescent="0.25">
      <c r="A843" s="11">
        <v>109</v>
      </c>
      <c r="B843" s="12">
        <v>1.2869999999999999</v>
      </c>
    </row>
    <row r="844" spans="1:2" x14ac:dyDescent="0.25">
      <c r="A844" s="11">
        <v>110</v>
      </c>
      <c r="B844" s="12">
        <v>1.2869999999999999</v>
      </c>
    </row>
    <row r="845" spans="1:2" x14ac:dyDescent="0.25">
      <c r="A845" s="11">
        <v>111</v>
      </c>
      <c r="B845" s="12">
        <v>1.2869999999999999</v>
      </c>
    </row>
    <row r="846" spans="1:2" x14ac:dyDescent="0.25">
      <c r="A846" s="11">
        <v>112</v>
      </c>
      <c r="B846" s="12">
        <v>1.2869999999999999</v>
      </c>
    </row>
    <row r="847" spans="1:2" x14ac:dyDescent="0.25">
      <c r="A847" s="11">
        <v>113</v>
      </c>
      <c r="B847" s="12">
        <v>1.2869999999999999</v>
      </c>
    </row>
    <row r="848" spans="1:2" x14ac:dyDescent="0.25">
      <c r="A848" s="11">
        <v>114</v>
      </c>
      <c r="B848" s="12">
        <v>1.2869999999999999</v>
      </c>
    </row>
    <row r="849" spans="1:2" x14ac:dyDescent="0.25">
      <c r="A849" s="11">
        <v>115</v>
      </c>
      <c r="B849" s="12">
        <v>1.2869999999999999</v>
      </c>
    </row>
    <row r="850" spans="1:2" x14ac:dyDescent="0.25">
      <c r="A850" s="11">
        <v>116</v>
      </c>
      <c r="B850" s="12">
        <v>1.2869999999999999</v>
      </c>
    </row>
    <row r="851" spans="1:2" x14ac:dyDescent="0.25">
      <c r="A851" s="11">
        <v>117</v>
      </c>
      <c r="B851" s="12">
        <v>1.2869999999999999</v>
      </c>
    </row>
    <row r="852" spans="1:2" x14ac:dyDescent="0.25">
      <c r="A852" s="11">
        <v>118</v>
      </c>
      <c r="B852" s="12">
        <v>1.2869999999999999</v>
      </c>
    </row>
    <row r="853" spans="1:2" x14ac:dyDescent="0.25">
      <c r="A853" s="11">
        <v>119</v>
      </c>
      <c r="B853" s="12">
        <v>1.2869999999999999</v>
      </c>
    </row>
    <row r="854" spans="1:2" x14ac:dyDescent="0.25">
      <c r="A854" s="11">
        <v>120</v>
      </c>
      <c r="B854" s="12">
        <v>1.2869999999999999</v>
      </c>
    </row>
    <row r="855" spans="1:2" x14ac:dyDescent="0.25">
      <c r="A855" s="11">
        <v>121</v>
      </c>
      <c r="B855" s="12">
        <v>1.2869999999999999</v>
      </c>
    </row>
    <row r="856" spans="1:2" x14ac:dyDescent="0.25">
      <c r="A856" s="11">
        <v>122</v>
      </c>
      <c r="B856" s="12">
        <v>1.2869999999999999</v>
      </c>
    </row>
    <row r="857" spans="1:2" x14ac:dyDescent="0.25">
      <c r="A857" s="11">
        <v>123</v>
      </c>
      <c r="B857" s="12">
        <v>1.2869999999999999</v>
      </c>
    </row>
    <row r="858" spans="1:2" x14ac:dyDescent="0.25">
      <c r="A858" s="11">
        <v>124</v>
      </c>
      <c r="B858" s="12">
        <v>1.2869999999999999</v>
      </c>
    </row>
    <row r="859" spans="1:2" x14ac:dyDescent="0.25">
      <c r="A859" s="11">
        <v>125</v>
      </c>
      <c r="B859" s="12">
        <v>1.2869999999999999</v>
      </c>
    </row>
    <row r="860" spans="1:2" x14ac:dyDescent="0.25">
      <c r="A860" s="11">
        <v>126</v>
      </c>
      <c r="B860" s="12">
        <v>1.2869999999999999</v>
      </c>
    </row>
    <row r="861" spans="1:2" x14ac:dyDescent="0.25">
      <c r="A861" s="11">
        <v>127</v>
      </c>
      <c r="B861" s="12">
        <v>1.2869999999999999</v>
      </c>
    </row>
    <row r="862" spans="1:2" x14ac:dyDescent="0.25">
      <c r="A862" s="11">
        <v>128</v>
      </c>
      <c r="B862" s="12">
        <v>1.2869999999999999</v>
      </c>
    </row>
    <row r="863" spans="1:2" x14ac:dyDescent="0.25">
      <c r="A863" s="11">
        <v>129</v>
      </c>
      <c r="B863" s="12">
        <v>1.2869999999999999</v>
      </c>
    </row>
    <row r="864" spans="1:2" x14ac:dyDescent="0.25">
      <c r="A864" s="11">
        <v>130</v>
      </c>
      <c r="B864" s="12">
        <v>1.2869999999999999</v>
      </c>
    </row>
    <row r="865" spans="1:2" x14ac:dyDescent="0.25">
      <c r="A865" s="11">
        <v>131</v>
      </c>
      <c r="B865" s="12">
        <v>1.2869999999999999</v>
      </c>
    </row>
    <row r="866" spans="1:2" x14ac:dyDescent="0.25">
      <c r="A866" s="11">
        <v>132</v>
      </c>
      <c r="B866" s="12">
        <v>1.2869999999999999</v>
      </c>
    </row>
    <row r="867" spans="1:2" x14ac:dyDescent="0.25">
      <c r="A867" s="11">
        <v>133</v>
      </c>
      <c r="B867" s="12">
        <v>1.2869999999999999</v>
      </c>
    </row>
    <row r="868" spans="1:2" x14ac:dyDescent="0.25">
      <c r="A868" s="11">
        <v>134</v>
      </c>
      <c r="B868" s="12">
        <v>1.2869999999999999</v>
      </c>
    </row>
    <row r="869" spans="1:2" x14ac:dyDescent="0.25">
      <c r="A869" s="11">
        <v>135</v>
      </c>
      <c r="B869" s="12">
        <v>1.2869999999999999</v>
      </c>
    </row>
    <row r="870" spans="1:2" x14ac:dyDescent="0.25">
      <c r="A870" s="11">
        <v>136</v>
      </c>
      <c r="B870" s="12">
        <v>1.2869999999999999</v>
      </c>
    </row>
    <row r="871" spans="1:2" x14ac:dyDescent="0.25">
      <c r="A871" s="11">
        <v>137</v>
      </c>
      <c r="B871" s="12">
        <v>1.2869999999999999</v>
      </c>
    </row>
    <row r="872" spans="1:2" x14ac:dyDescent="0.25">
      <c r="A872" s="11">
        <v>138</v>
      </c>
      <c r="B872" s="12">
        <v>1.2869999999999999</v>
      </c>
    </row>
    <row r="873" spans="1:2" x14ac:dyDescent="0.25">
      <c r="A873" s="11">
        <v>139</v>
      </c>
      <c r="B873" s="12">
        <v>1.2869999999999999</v>
      </c>
    </row>
    <row r="874" spans="1:2" x14ac:dyDescent="0.25">
      <c r="A874" s="11">
        <v>140</v>
      </c>
      <c r="B874" s="12">
        <v>1.2869999999999999</v>
      </c>
    </row>
    <row r="875" spans="1:2" x14ac:dyDescent="0.25">
      <c r="A875" s="11">
        <v>141</v>
      </c>
      <c r="B875" s="12">
        <v>1.2869999999999999</v>
      </c>
    </row>
    <row r="876" spans="1:2" x14ac:dyDescent="0.25">
      <c r="A876" s="11">
        <v>142</v>
      </c>
      <c r="B876" s="12">
        <v>1.2869999999999999</v>
      </c>
    </row>
    <row r="877" spans="1:2" x14ac:dyDescent="0.25">
      <c r="A877" s="11">
        <v>143</v>
      </c>
      <c r="B877" s="12">
        <v>1.2869999999999999</v>
      </c>
    </row>
    <row r="878" spans="1:2" x14ac:dyDescent="0.25">
      <c r="A878" s="11">
        <v>144</v>
      </c>
      <c r="B878" s="12">
        <v>1.2869999999999999</v>
      </c>
    </row>
    <row r="879" spans="1:2" x14ac:dyDescent="0.25">
      <c r="A879" s="11">
        <v>145</v>
      </c>
      <c r="B879" s="12">
        <v>1.2869999999999999</v>
      </c>
    </row>
    <row r="880" spans="1:2" x14ac:dyDescent="0.25">
      <c r="A880" s="11">
        <v>146</v>
      </c>
      <c r="B880" s="12">
        <v>1.2869999999999999</v>
      </c>
    </row>
    <row r="881" spans="1:2" x14ac:dyDescent="0.25">
      <c r="A881" s="11">
        <v>147</v>
      </c>
      <c r="B881" s="12">
        <v>1.2869999999999999</v>
      </c>
    </row>
    <row r="882" spans="1:2" x14ac:dyDescent="0.25">
      <c r="A882" s="11">
        <v>148</v>
      </c>
      <c r="B882" s="12">
        <v>1.2869999999999999</v>
      </c>
    </row>
    <row r="883" spans="1:2" x14ac:dyDescent="0.25">
      <c r="A883" s="11">
        <v>149</v>
      </c>
      <c r="B883" s="12">
        <v>1.2869999999999999</v>
      </c>
    </row>
    <row r="884" spans="1:2" x14ac:dyDescent="0.25">
      <c r="A884" s="11">
        <v>150</v>
      </c>
      <c r="B884" s="12">
        <v>1.2869999999999999</v>
      </c>
    </row>
    <row r="885" spans="1:2" x14ac:dyDescent="0.25">
      <c r="A885" s="11">
        <v>151</v>
      </c>
      <c r="B885" s="12">
        <v>1.2869999999999999</v>
      </c>
    </row>
    <row r="886" spans="1:2" x14ac:dyDescent="0.25">
      <c r="A886" s="11">
        <v>152</v>
      </c>
      <c r="B886" s="12">
        <v>1.2869999999999999</v>
      </c>
    </row>
    <row r="887" spans="1:2" x14ac:dyDescent="0.25">
      <c r="A887" s="11">
        <v>153</v>
      </c>
      <c r="B887" s="12">
        <v>1.2869999999999999</v>
      </c>
    </row>
    <row r="888" spans="1:2" x14ac:dyDescent="0.25">
      <c r="A888" s="11">
        <v>154</v>
      </c>
      <c r="B888" s="12">
        <v>1.2869999999999999</v>
      </c>
    </row>
    <row r="889" spans="1:2" x14ac:dyDescent="0.25">
      <c r="A889" s="11">
        <v>155</v>
      </c>
      <c r="B889" s="12">
        <v>1.2869999999999999</v>
      </c>
    </row>
    <row r="890" spans="1:2" x14ac:dyDescent="0.25">
      <c r="A890" s="11">
        <v>156</v>
      </c>
      <c r="B890" s="12">
        <v>1.2869999999999999</v>
      </c>
    </row>
    <row r="891" spans="1:2" x14ac:dyDescent="0.25">
      <c r="A891" s="11">
        <v>157</v>
      </c>
      <c r="B891" s="12">
        <v>1.2869999999999999</v>
      </c>
    </row>
    <row r="892" spans="1:2" x14ac:dyDescent="0.25">
      <c r="A892" s="11">
        <v>158</v>
      </c>
      <c r="B892" s="12">
        <v>1.2869999999999999</v>
      </c>
    </row>
    <row r="893" spans="1:2" x14ac:dyDescent="0.25">
      <c r="A893" s="11">
        <v>159</v>
      </c>
      <c r="B893" s="12">
        <v>1.2869999999999999</v>
      </c>
    </row>
    <row r="894" spans="1:2" x14ac:dyDescent="0.25">
      <c r="A894" s="11">
        <v>160</v>
      </c>
      <c r="B894" s="12">
        <v>1.2869999999999999</v>
      </c>
    </row>
    <row r="895" spans="1:2" x14ac:dyDescent="0.25">
      <c r="A895" s="11">
        <v>161</v>
      </c>
      <c r="B895" s="12">
        <v>1.2869999999999999</v>
      </c>
    </row>
    <row r="896" spans="1:2" x14ac:dyDescent="0.25">
      <c r="A896" s="11">
        <v>162</v>
      </c>
      <c r="B896" s="12">
        <v>1.2869999999999999</v>
      </c>
    </row>
    <row r="897" spans="1:2" x14ac:dyDescent="0.25">
      <c r="A897" s="11">
        <v>163</v>
      </c>
      <c r="B897" s="12">
        <v>1.2869999999999999</v>
      </c>
    </row>
    <row r="898" spans="1:2" x14ac:dyDescent="0.25">
      <c r="A898" s="11">
        <v>164</v>
      </c>
      <c r="B898" s="12">
        <v>1.2869999999999999</v>
      </c>
    </row>
    <row r="899" spans="1:2" x14ac:dyDescent="0.25">
      <c r="A899" s="11">
        <v>165</v>
      </c>
      <c r="B899" s="12">
        <v>1.2869999999999999</v>
      </c>
    </row>
    <row r="900" spans="1:2" x14ac:dyDescent="0.25">
      <c r="A900" s="11">
        <v>166</v>
      </c>
      <c r="B900" s="12">
        <v>1.2869999999999999</v>
      </c>
    </row>
    <row r="901" spans="1:2" x14ac:dyDescent="0.25">
      <c r="A901" s="11">
        <v>167</v>
      </c>
      <c r="B901" s="12">
        <v>1.2869999999999999</v>
      </c>
    </row>
    <row r="902" spans="1:2" x14ac:dyDescent="0.25">
      <c r="A902" s="11">
        <v>168</v>
      </c>
      <c r="B902" s="12">
        <v>1.2869999999999999</v>
      </c>
    </row>
    <row r="903" spans="1:2" x14ac:dyDescent="0.25">
      <c r="A903" s="11">
        <v>169</v>
      </c>
      <c r="B903" s="12">
        <v>1.2869999999999999</v>
      </c>
    </row>
    <row r="904" spans="1:2" x14ac:dyDescent="0.25">
      <c r="A904" s="11">
        <v>170</v>
      </c>
      <c r="B904" s="12">
        <v>1.2869999999999999</v>
      </c>
    </row>
    <row r="905" spans="1:2" x14ac:dyDescent="0.25">
      <c r="A905" s="11">
        <v>171</v>
      </c>
      <c r="B905" s="12">
        <v>1.2869999999999999</v>
      </c>
    </row>
    <row r="906" spans="1:2" x14ac:dyDescent="0.25">
      <c r="A906" s="11">
        <v>172</v>
      </c>
      <c r="B906" s="12">
        <v>1.2869999999999999</v>
      </c>
    </row>
    <row r="907" spans="1:2" x14ac:dyDescent="0.25">
      <c r="A907" s="11">
        <v>173</v>
      </c>
      <c r="B907" s="12">
        <v>1.2869999999999999</v>
      </c>
    </row>
    <row r="908" spans="1:2" x14ac:dyDescent="0.25">
      <c r="A908" s="11">
        <v>174</v>
      </c>
      <c r="B908" s="12">
        <v>1.2869999999999999</v>
      </c>
    </row>
    <row r="909" spans="1:2" x14ac:dyDescent="0.25">
      <c r="A909" s="11">
        <v>175</v>
      </c>
      <c r="B909" s="12">
        <v>1.2869999999999999</v>
      </c>
    </row>
    <row r="910" spans="1:2" x14ac:dyDescent="0.25">
      <c r="A910" s="11">
        <v>176</v>
      </c>
      <c r="B910" s="12">
        <v>1.2869999999999999</v>
      </c>
    </row>
    <row r="911" spans="1:2" x14ac:dyDescent="0.25">
      <c r="A911" s="11">
        <v>177</v>
      </c>
      <c r="B911" s="12">
        <v>1.2869999999999999</v>
      </c>
    </row>
    <row r="912" spans="1:2" x14ac:dyDescent="0.25">
      <c r="A912" s="11">
        <v>178</v>
      </c>
      <c r="B912" s="12">
        <v>1.2869999999999999</v>
      </c>
    </row>
    <row r="913" spans="1:2" x14ac:dyDescent="0.25">
      <c r="A913" s="11">
        <v>179</v>
      </c>
      <c r="B913" s="12">
        <v>1.2869999999999999</v>
      </c>
    </row>
    <row r="914" spans="1:2" x14ac:dyDescent="0.25">
      <c r="A914" s="11">
        <v>180</v>
      </c>
      <c r="B914" s="12">
        <v>1.2869999999999999</v>
      </c>
    </row>
    <row r="915" spans="1:2" x14ac:dyDescent="0.25">
      <c r="A915" s="11" t="s">
        <v>108</v>
      </c>
      <c r="B915" s="12">
        <v>0.92777098243689093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Distribution of data</vt:lpstr>
      <vt:lpstr>Baseline</vt:lpstr>
      <vt:lpstr>Spline Pre-Adj</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2018-08-24T13:34:43Z</dcterms:created>
  <dcterms:modified xsi:type="dcterms:W3CDTF">2018-08-31T17:24:12Z</dcterms:modified>
</cp:coreProperties>
</file>