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33555" windowHeight="19470" activeTab="1"/>
  </bookViews>
  <sheets>
    <sheet name="Distribution of data" sheetId="1" r:id="rId1"/>
    <sheet name="Baseline" sheetId="2" r:id="rId2"/>
    <sheet name="Spline Pre-Adj" sheetId="4" r:id="rId3"/>
  </sheets>
  <calcPr calcId="145621"/>
  <pivotCaches>
    <pivotCache cacheId="20" r:id="rId4"/>
  </pivotCaches>
</workbook>
</file>

<file path=xl/calcChain.xml><?xml version="1.0" encoding="utf-8"?>
<calcChain xmlns="http://schemas.openxmlformats.org/spreadsheetml/2006/main">
  <c r="S33" i="2" l="1"/>
  <c r="T33" i="2" s="1"/>
  <c r="U33" i="2" s="1"/>
  <c r="S35" i="2"/>
  <c r="T35" i="2" s="1"/>
  <c r="U35" i="2" s="1"/>
  <c r="S36" i="2"/>
  <c r="T36" i="2"/>
  <c r="U36" i="2" s="1"/>
  <c r="S37" i="2"/>
  <c r="T37" i="2" s="1"/>
  <c r="U37" i="2" s="1"/>
  <c r="AC34" i="2"/>
  <c r="AD34" i="2"/>
  <c r="AE34" i="2" s="1"/>
  <c r="AC35" i="2"/>
  <c r="AD35" i="2" s="1"/>
  <c r="AE35" i="2" s="1"/>
  <c r="AC36" i="2"/>
  <c r="AD36" i="2" s="1"/>
  <c r="AE36" i="2" s="1"/>
  <c r="AC42" i="2"/>
  <c r="AD42" i="2"/>
  <c r="AE42" i="2" s="1"/>
  <c r="AC45" i="2"/>
  <c r="AD45" i="2" s="1"/>
  <c r="AE45" i="2" s="1"/>
  <c r="AD44" i="2"/>
  <c r="AE44" i="2" s="1"/>
  <c r="Y33" i="2"/>
  <c r="Z33" i="2" s="1"/>
  <c r="Y41" i="2"/>
  <c r="Z41" i="2" s="1"/>
  <c r="Y42" i="2"/>
  <c r="Z42" i="2" s="1"/>
  <c r="I2" i="1"/>
  <c r="AC44" i="2"/>
  <c r="X45" i="2"/>
  <c r="Y45" i="2" s="1"/>
  <c r="Z45" i="2" s="1"/>
  <c r="X42" i="2"/>
  <c r="X41" i="2"/>
  <c r="X38" i="2"/>
  <c r="Y38" i="2" s="1"/>
  <c r="Z38" i="2" s="1"/>
  <c r="X37" i="2"/>
  <c r="Y37" i="2" s="1"/>
  <c r="Z37" i="2" s="1"/>
  <c r="X34" i="2"/>
  <c r="Y34" i="2" s="1"/>
  <c r="Z34" i="2" s="1"/>
  <c r="X33" i="2"/>
  <c r="X28" i="2"/>
  <c r="Y28" i="2" s="1"/>
  <c r="Z28" i="2" s="1"/>
  <c r="S38" i="2"/>
  <c r="T38" i="2" s="1"/>
  <c r="U38" i="2" s="1"/>
  <c r="S29" i="2"/>
  <c r="T29" i="2" s="1"/>
  <c r="U29" i="2" s="1"/>
  <c r="N29" i="2"/>
  <c r="N30" i="2"/>
  <c r="O30" i="2" s="1"/>
  <c r="N31" i="2"/>
  <c r="O31" i="2" s="1"/>
  <c r="N32" i="2"/>
  <c r="P32" i="2" s="1"/>
  <c r="N33" i="2"/>
  <c r="O33" i="2" s="1"/>
  <c r="N34" i="2"/>
  <c r="N35" i="2"/>
  <c r="P35" i="2" s="1"/>
  <c r="N36" i="2"/>
  <c r="O36" i="2" s="1"/>
  <c r="N37" i="2"/>
  <c r="N38" i="2"/>
  <c r="N39" i="2"/>
  <c r="P39" i="2" s="1"/>
  <c r="N40" i="2"/>
  <c r="P40" i="2" s="1"/>
  <c r="N41" i="2"/>
  <c r="P41" i="2" s="1"/>
  <c r="N42" i="2"/>
  <c r="P42" i="2" s="1"/>
  <c r="N43" i="2"/>
  <c r="P43" i="2" s="1"/>
  <c r="N44" i="2"/>
  <c r="O44" i="2" s="1"/>
  <c r="N45" i="2"/>
  <c r="N46" i="2"/>
  <c r="O46" i="2" s="1"/>
  <c r="N47" i="2"/>
  <c r="O47" i="2" s="1"/>
  <c r="N28" i="2"/>
  <c r="O28" i="2" s="1"/>
  <c r="O34" i="2"/>
  <c r="H29" i="2"/>
  <c r="G31" i="2"/>
  <c r="H31" i="2"/>
  <c r="G32" i="2"/>
  <c r="H32" i="2"/>
  <c r="G33" i="2"/>
  <c r="H36" i="2"/>
  <c r="H37" i="2"/>
  <c r="G39" i="2"/>
  <c r="H39" i="2"/>
  <c r="G40" i="2"/>
  <c r="H40" i="2"/>
  <c r="G41" i="2"/>
  <c r="G43" i="2"/>
  <c r="G44" i="2"/>
  <c r="H44" i="2"/>
  <c r="G45" i="2"/>
  <c r="H45" i="2"/>
  <c r="H47" i="2"/>
  <c r="H28" i="2"/>
  <c r="H27" i="2"/>
  <c r="G27" i="2"/>
  <c r="E29" i="2"/>
  <c r="E30" i="2"/>
  <c r="H30" i="2" s="1"/>
  <c r="E31" i="2"/>
  <c r="E32" i="2"/>
  <c r="E33" i="2"/>
  <c r="H33" i="2" s="1"/>
  <c r="E34" i="2"/>
  <c r="H34" i="2" s="1"/>
  <c r="E35" i="2"/>
  <c r="F35" i="2" s="1"/>
  <c r="E36" i="2"/>
  <c r="E37" i="2"/>
  <c r="E38" i="2"/>
  <c r="H38" i="2" s="1"/>
  <c r="E39" i="2"/>
  <c r="E40" i="2"/>
  <c r="E41" i="2"/>
  <c r="H41" i="2" s="1"/>
  <c r="E42" i="2"/>
  <c r="H42" i="2" s="1"/>
  <c r="E43" i="2"/>
  <c r="F43" i="2" s="1"/>
  <c r="E44" i="2"/>
  <c r="E45" i="2"/>
  <c r="E46" i="2"/>
  <c r="H46" i="2" s="1"/>
  <c r="E47" i="2"/>
  <c r="E28" i="2"/>
  <c r="F46" i="2"/>
  <c r="F30" i="2"/>
  <c r="F31" i="2"/>
  <c r="F38" i="2"/>
  <c r="F39" i="2"/>
  <c r="F40" i="2"/>
  <c r="F41" i="2"/>
  <c r="F42" i="2"/>
  <c r="D43" i="2"/>
  <c r="D44" i="2"/>
  <c r="D45" i="2"/>
  <c r="D46" i="2"/>
  <c r="G46" i="2" s="1"/>
  <c r="D47" i="2"/>
  <c r="G47" i="2" s="1"/>
  <c r="D28" i="2"/>
  <c r="F28" i="2" s="1"/>
  <c r="D29" i="2"/>
  <c r="G29" i="2" s="1"/>
  <c r="D30" i="2"/>
  <c r="G30" i="2" s="1"/>
  <c r="D31" i="2"/>
  <c r="D32" i="2"/>
  <c r="F32" i="2" s="1"/>
  <c r="D33" i="2"/>
  <c r="F33" i="2" s="1"/>
  <c r="D34" i="2"/>
  <c r="G34" i="2" s="1"/>
  <c r="D35" i="2"/>
  <c r="G35" i="2" s="1"/>
  <c r="D36" i="2"/>
  <c r="G36" i="2" s="1"/>
  <c r="D37" i="2"/>
  <c r="G37" i="2" s="1"/>
  <c r="D38" i="2"/>
  <c r="G38" i="2" s="1"/>
  <c r="D39" i="2"/>
  <c r="D40" i="2"/>
  <c r="D41" i="2"/>
  <c r="D42" i="2"/>
  <c r="G42" i="2" s="1"/>
  <c r="E27" i="2"/>
  <c r="D27" i="2"/>
  <c r="A43" i="2"/>
  <c r="AC43" i="2" s="1"/>
  <c r="AD43" i="2" s="1"/>
  <c r="AE43" i="2" s="1"/>
  <c r="A44" i="2"/>
  <c r="X44" i="2" s="1"/>
  <c r="Y44" i="2" s="1"/>
  <c r="Z44" i="2" s="1"/>
  <c r="A45" i="2"/>
  <c r="A46" i="2"/>
  <c r="AC46" i="2" s="1"/>
  <c r="AD46" i="2" s="1"/>
  <c r="AE46" i="2" s="1"/>
  <c r="A47" i="2"/>
  <c r="AC47" i="2" s="1"/>
  <c r="AD47" i="2" s="1"/>
  <c r="AE47" i="2" s="1"/>
  <c r="A29" i="2"/>
  <c r="A30" i="2"/>
  <c r="S30" i="2" s="1"/>
  <c r="T30" i="2" s="1"/>
  <c r="U30" i="2" s="1"/>
  <c r="A31" i="2"/>
  <c r="S31" i="2" s="1"/>
  <c r="T31" i="2" s="1"/>
  <c r="U31" i="2" s="1"/>
  <c r="A32" i="2"/>
  <c r="S32" i="2" s="1"/>
  <c r="T32" i="2" s="1"/>
  <c r="U32" i="2" s="1"/>
  <c r="A33" i="2"/>
  <c r="AC33" i="2" s="1"/>
  <c r="AD33" i="2" s="1"/>
  <c r="AE33" i="2" s="1"/>
  <c r="A34" i="2"/>
  <c r="S34" i="2" s="1"/>
  <c r="T34" i="2" s="1"/>
  <c r="U34" i="2" s="1"/>
  <c r="A35" i="2"/>
  <c r="X35" i="2" s="1"/>
  <c r="Y35" i="2" s="1"/>
  <c r="Z35" i="2" s="1"/>
  <c r="A36" i="2"/>
  <c r="X36" i="2" s="1"/>
  <c r="Y36" i="2" s="1"/>
  <c r="Z36" i="2" s="1"/>
  <c r="A37" i="2"/>
  <c r="AC37" i="2" s="1"/>
  <c r="AD37" i="2" s="1"/>
  <c r="AE37" i="2" s="1"/>
  <c r="A38" i="2"/>
  <c r="AC38" i="2" s="1"/>
  <c r="AD38" i="2" s="1"/>
  <c r="AE38" i="2" s="1"/>
  <c r="A39" i="2"/>
  <c r="AC39" i="2" s="1"/>
  <c r="AD39" i="2" s="1"/>
  <c r="AE39" i="2" s="1"/>
  <c r="A40" i="2"/>
  <c r="X40" i="2" s="1"/>
  <c r="Y40" i="2" s="1"/>
  <c r="Z40" i="2" s="1"/>
  <c r="A41" i="2"/>
  <c r="AC41" i="2" s="1"/>
  <c r="AD41" i="2" s="1"/>
  <c r="AE41" i="2" s="1"/>
  <c r="A42" i="2"/>
  <c r="A28" i="2"/>
  <c r="S28" i="2" s="1"/>
  <c r="T28" i="2" s="1"/>
  <c r="U28" i="2" s="1"/>
  <c r="AP4" i="2"/>
  <c r="AP5" i="2"/>
  <c r="AP6" i="2"/>
  <c r="AP7" i="2"/>
  <c r="AP8" i="2"/>
  <c r="AP9" i="2"/>
  <c r="AP10" i="2"/>
  <c r="AP11" i="2"/>
  <c r="B43" i="2"/>
  <c r="B44" i="2"/>
  <c r="B45" i="2"/>
  <c r="B46" i="2"/>
  <c r="B47" i="2"/>
  <c r="C47" i="2"/>
  <c r="C43" i="2"/>
  <c r="C44" i="2"/>
  <c r="C45" i="2"/>
  <c r="C46" i="2"/>
  <c r="B29" i="2"/>
  <c r="B30" i="2"/>
  <c r="B31" i="2"/>
  <c r="B32" i="2"/>
  <c r="B33" i="2"/>
  <c r="B34" i="2"/>
  <c r="B35" i="2"/>
  <c r="B36" i="2"/>
  <c r="B37" i="2"/>
  <c r="B38" i="2"/>
  <c r="B39" i="2"/>
  <c r="B40" i="2"/>
  <c r="B41" i="2"/>
  <c r="B42" i="2"/>
  <c r="B28" i="2"/>
  <c r="C28" i="2"/>
  <c r="C29" i="2"/>
  <c r="C30" i="2"/>
  <c r="C31" i="2"/>
  <c r="C32" i="2"/>
  <c r="C33" i="2"/>
  <c r="C34" i="2"/>
  <c r="C35" i="2"/>
  <c r="C36" i="2"/>
  <c r="C37" i="2"/>
  <c r="C38" i="2"/>
  <c r="C39" i="2"/>
  <c r="C40" i="2"/>
  <c r="C41" i="2"/>
  <c r="C42" i="2"/>
  <c r="C27" i="2"/>
  <c r="B27" i="2"/>
  <c r="P31" i="2" l="1"/>
  <c r="P33" i="2"/>
  <c r="P30" i="2"/>
  <c r="AC40" i="2"/>
  <c r="AD40" i="2" s="1"/>
  <c r="AE40" i="2" s="1"/>
  <c r="H43" i="2"/>
  <c r="X30" i="2"/>
  <c r="Y30" i="2" s="1"/>
  <c r="Z30" i="2" s="1"/>
  <c r="O42" i="2"/>
  <c r="F34" i="2"/>
  <c r="AC32" i="2"/>
  <c r="AD32" i="2" s="1"/>
  <c r="AE32" i="2" s="1"/>
  <c r="G28" i="2"/>
  <c r="H35" i="2"/>
  <c r="F47" i="2"/>
  <c r="P47" i="2"/>
  <c r="O40" i="2"/>
  <c r="P38" i="2"/>
  <c r="F45" i="2"/>
  <c r="F37" i="2"/>
  <c r="F29" i="2"/>
  <c r="P45" i="2"/>
  <c r="P37" i="2"/>
  <c r="P29" i="2"/>
  <c r="X43" i="2"/>
  <c r="Y43" i="2" s="1"/>
  <c r="Z43" i="2" s="1"/>
  <c r="X39" i="2"/>
  <c r="Y39" i="2" s="1"/>
  <c r="Z39" i="2" s="1"/>
  <c r="F44" i="2"/>
  <c r="F36" i="2"/>
  <c r="O38" i="2"/>
  <c r="P46" i="2"/>
  <c r="O45" i="2"/>
  <c r="O43" i="2"/>
  <c r="O41" i="2"/>
  <c r="O39" i="2"/>
  <c r="O37" i="2"/>
  <c r="P28" i="2"/>
  <c r="O29" i="2"/>
  <c r="P44" i="2"/>
  <c r="O32" i="2"/>
  <c r="P36" i="2"/>
  <c r="O35" i="2"/>
  <c r="P34" i="2"/>
  <c r="AS3" i="2"/>
  <c r="AT3" i="2" s="1"/>
  <c r="AU3" i="2" s="1"/>
  <c r="AS4" i="2"/>
  <c r="AT4" i="2" s="1"/>
  <c r="AU4" i="2" s="1"/>
  <c r="AS5" i="2"/>
  <c r="AT5" i="2" s="1"/>
  <c r="AU5" i="2" s="1"/>
  <c r="AS6" i="2"/>
  <c r="AT6" i="2" s="1"/>
  <c r="AU6" i="2" s="1"/>
  <c r="AS7" i="2"/>
  <c r="AT7" i="2" s="1"/>
  <c r="AU7" i="2" s="1"/>
  <c r="AS8" i="2"/>
  <c r="AT8" i="2" s="1"/>
  <c r="AU8" i="2" s="1"/>
  <c r="AS9" i="2"/>
  <c r="AT9" i="2" s="1"/>
  <c r="AU9" i="2" s="1"/>
  <c r="AS10" i="2"/>
  <c r="AT10" i="2" s="1"/>
  <c r="AU10" i="2" s="1"/>
  <c r="AS11" i="2"/>
  <c r="AT11" i="2" s="1"/>
  <c r="AU11" i="2" s="1"/>
  <c r="AS12" i="2"/>
  <c r="AT12" i="2" s="1"/>
  <c r="AU12" i="2" s="1"/>
  <c r="AS13" i="2"/>
  <c r="AT13" i="2" s="1"/>
  <c r="AU13" i="2" s="1"/>
  <c r="AS14" i="2"/>
  <c r="AT14" i="2" s="1"/>
  <c r="AU14" i="2" s="1"/>
  <c r="AS15" i="2"/>
  <c r="AT15" i="2" s="1"/>
  <c r="AU15" i="2" s="1"/>
  <c r="AS16" i="2"/>
  <c r="AT16" i="2" s="1"/>
  <c r="AU16" i="2" s="1"/>
  <c r="AS17" i="2"/>
  <c r="AT17" i="2" s="1"/>
  <c r="AU17" i="2" s="1"/>
  <c r="AS18" i="2"/>
  <c r="AT18" i="2" s="1"/>
  <c r="AU18" i="2" s="1"/>
  <c r="AS19" i="2"/>
  <c r="AT19" i="2" s="1"/>
  <c r="AU19" i="2" s="1"/>
  <c r="AS20" i="2"/>
  <c r="AT20" i="2" s="1"/>
  <c r="AU20" i="2" s="1"/>
  <c r="AS21" i="2"/>
  <c r="AT21" i="2" s="1"/>
  <c r="AU21" i="2" s="1"/>
  <c r="AS22" i="2"/>
  <c r="AT22" i="2" s="1"/>
  <c r="AU22" i="2" s="1"/>
  <c r="AS23" i="2"/>
  <c r="AT23" i="2" s="1"/>
  <c r="AU23" i="2" s="1"/>
  <c r="AW3" i="2"/>
  <c r="AV3" i="2"/>
  <c r="A10" i="1"/>
  <c r="AX3" i="2" l="1"/>
</calcChain>
</file>

<file path=xl/sharedStrings.xml><?xml version="1.0" encoding="utf-8"?>
<sst xmlns="http://schemas.openxmlformats.org/spreadsheetml/2006/main" count="149" uniqueCount="124">
  <si>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</si>
  <si>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</si>
  <si>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</si>
  <si>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</si>
  <si>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</si>
  <si>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</si>
  <si>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</si>
  <si>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</si>
  <si>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</si>
  <si>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</si>
  <si>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</si>
  <si>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</si>
  <si>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</si>
  <si>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</si>
  <si>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</si>
  <si>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</si>
  <si>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</si>
  <si>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</si>
  <si>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</si>
  <si>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&lt;=80</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</si>
  <si>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</si>
  <si>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</si>
  <si>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</si>
  <si>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</si>
  <si>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</si>
  <si>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</si>
  <si>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</si>
  <si>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</si>
  <si>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</si>
  <si>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</si>
  <si>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</si>
  <si>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</si>
  <si>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</si>
  <si>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</si>
  <si>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</si>
  <si>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</si>
  <si>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</si>
  <si>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</si>
  <si>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</si>
  <si>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</si>
  <si>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</si>
  <si>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</si>
  <si>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</si>
  <si>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</si>
  <si>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</si>
  <si>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</si>
  <si>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</si>
  <si>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</si>
  <si>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</si>
  <si>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</si>
  <si>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</si>
  <si>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</si>
  <si>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</si>
  <si>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</si>
  <si>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</si>
  <si>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</si>
  <si>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</si>
  <si>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</si>
  <si>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</si>
  <si>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</si>
  <si>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</si>
  <si>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</si>
  <si>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</si>
  <si>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</si>
  <si>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00:&lt;= -200</t>
  </si>
  <si>
    <t>&lt;= -200</t>
  </si>
  <si>
    <t>01:-200--175</t>
  </si>
  <si>
    <t>02:-175--150</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</si>
  <si>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</si>
  <si>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</si>
  <si>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</si>
  <si>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</si>
  <si>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</si>
  <si>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</si>
  <si>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</si>
  <si>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</si>
  <si>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</si>
  <si>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</si>
  <si>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</si>
  <si>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</si>
  <si>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</si>
  <si>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</si>
  <si>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</si>
  <si>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</si>
  <si>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</si>
  <si>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</si>
  <si>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</si>
  <si>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</si>
  <si>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</si>
  <si>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</si>
  <si>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</si>
  <si>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</si>
  <si>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</si>
  <si>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</si>
  <si>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999:&gt;= 250</t>
  </si>
  <si>
    <t>&gt;= 250</t>
  </si>
  <si>
    <t>tover</t>
  </si>
  <si>
    <t>cash</t>
  </si>
  <si>
    <t>refi</t>
  </si>
  <si>
    <t>ratio</t>
  </si>
  <si>
    <t>adj</t>
  </si>
  <si>
    <t>Knot</t>
  </si>
  <si>
    <t>incentive</t>
  </si>
  <si>
    <t>x</t>
  </si>
  <si>
    <t>PREPAY_SMM1</t>
  </si>
  <si>
    <t>PREPAY_TRACKING_SMM1</t>
  </si>
  <si>
    <t>adj Knot</t>
  </si>
  <si>
    <t>mdl_smm</t>
  </si>
  <si>
    <t>mdl_cpr</t>
  </si>
  <si>
    <t>turn</t>
  </si>
  <si>
    <t>adj x</t>
  </si>
  <si>
    <t>Row Labels</t>
  </si>
  <si>
    <t>Average of knotValues</t>
  </si>
  <si>
    <t>Grand Total</t>
  </si>
  <si>
    <t>conventional_cashout_incentive</t>
  </si>
  <si>
    <t>spline</t>
  </si>
  <si>
    <t>conventional_turnover_incentive</t>
  </si>
  <si>
    <t>conventional_refinance_himedia_incentive</t>
  </si>
  <si>
    <t>asOf</t>
  </si>
  <si>
    <t>20120101~20130401</t>
  </si>
  <si>
    <t>Ticker</t>
  </si>
  <si>
    <t>All 4</t>
  </si>
  <si>
    <t>Orig Date</t>
  </si>
  <si>
    <t>post HARP</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</si>
</sst>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2" fontId="5" fillId="0" borderId="0" xfId="1" applyNumberFormat="1" applyFont="1"/>
    <xf numFmtId="43" fontId="5" fillId="0" borderId="0" xfId="1" applyFont="1"/>
    <xf numFmtId="2" fontId="5" fillId="0" borderId="0" xfId="0" applyNumberFormat="1" applyFont="1"/>
    <xf numFmtId="164" fontId="5" fillId="0" borderId="0" xfId="0" applyNumberFormat="1" applyFont="1"/>
    <xf numFmtId="0" fontId="5" fillId="0" borderId="0" xfId="0" applyFont="1"/>
    <xf numFmtId="43" fontId="5" fillId="0" borderId="0" xfId="0" applyNumberFormat="1" applyFont="1"/>
    <xf numFmtId="1" fontId="5" fillId="0" borderId="0" xfId="0" applyNumberFormat="1" applyFont="1"/>
    <xf numFmtId="0" fontId="4" fillId="2"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Baseline!$A$33:$A$46</c:f>
              <c:numCache>
                <c:formatCode>0.00</c:formatCode>
                <c:ptCount val="14"/>
                <c:pt idx="0">
                  <c:v>-84.411815504640103</c:v>
                </c:pt>
                <c:pt idx="1">
                  <c:v>-59.1722054905701</c:v>
                </c:pt>
                <c:pt idx="2">
                  <c:v>-34.356061812946898</c:v>
                </c:pt>
                <c:pt idx="3">
                  <c:v>-10.820082845364899</c:v>
                </c:pt>
                <c:pt idx="4">
                  <c:v>13.5555981017785</c:v>
                </c:pt>
                <c:pt idx="5">
                  <c:v>37.537227383588402</c:v>
                </c:pt>
                <c:pt idx="6">
                  <c:v>62.796666444336601</c:v>
                </c:pt>
                <c:pt idx="7">
                  <c:v>86.878109480871103</c:v>
                </c:pt>
                <c:pt idx="8">
                  <c:v>112.144734442329</c:v>
                </c:pt>
                <c:pt idx="9">
                  <c:v>135.92639601254999</c:v>
                </c:pt>
                <c:pt idx="10">
                  <c:v>160.76806584602701</c:v>
                </c:pt>
                <c:pt idx="11">
                  <c:v>184.313697504326</c:v>
                </c:pt>
                <c:pt idx="12">
                  <c:v>209.47667625583099</c:v>
                </c:pt>
                <c:pt idx="13">
                  <c:v>234.09082868668099</c:v>
                </c:pt>
              </c:numCache>
            </c:numRef>
          </c:xVal>
          <c:yVal>
            <c:numRef>
              <c:f>Baseline!$G$33:$G$46</c:f>
              <c:numCache>
                <c:formatCode>0.00</c:formatCode>
                <c:ptCount val="14"/>
                <c:pt idx="0">
                  <c:v>2.9920609738698922</c:v>
                </c:pt>
                <c:pt idx="1">
                  <c:v>3.0077222778625901</c:v>
                </c:pt>
                <c:pt idx="2">
                  <c:v>3.0465129365077614</c:v>
                </c:pt>
                <c:pt idx="3">
                  <c:v>5.269749598696527</c:v>
                </c:pt>
                <c:pt idx="4">
                  <c:v>14.23054850273806</c:v>
                </c:pt>
                <c:pt idx="5">
                  <c:v>23.084291786548029</c:v>
                </c:pt>
                <c:pt idx="6">
                  <c:v>28.8394741376501</c:v>
                </c:pt>
                <c:pt idx="7">
                  <c:v>33.40629617725007</c:v>
                </c:pt>
                <c:pt idx="8">
                  <c:v>35.639810882449964</c:v>
                </c:pt>
                <c:pt idx="9">
                  <c:v>37.643354457432018</c:v>
                </c:pt>
                <c:pt idx="10">
                  <c:v>37.308278788764873</c:v>
                </c:pt>
                <c:pt idx="11">
                  <c:v>37.281343578918879</c:v>
                </c:pt>
                <c:pt idx="12">
                  <c:v>33.998069604528226</c:v>
                </c:pt>
                <c:pt idx="13">
                  <c:v>34.606529816264164</c:v>
                </c:pt>
              </c:numCache>
            </c:numRef>
          </c:yVal>
          <c:smooth val="1"/>
        </c:ser>
        <c:ser>
          <c:idx val="1"/>
          <c:order val="1"/>
          <c:xVal>
            <c:numRef>
              <c:f>Baseline!$A$33:$A$46</c:f>
              <c:numCache>
                <c:formatCode>0.00</c:formatCode>
                <c:ptCount val="14"/>
                <c:pt idx="0">
                  <c:v>-84.411815504640103</c:v>
                </c:pt>
                <c:pt idx="1">
                  <c:v>-59.1722054905701</c:v>
                </c:pt>
                <c:pt idx="2">
                  <c:v>-34.356061812946898</c:v>
                </c:pt>
                <c:pt idx="3">
                  <c:v>-10.820082845364899</c:v>
                </c:pt>
                <c:pt idx="4">
                  <c:v>13.5555981017785</c:v>
                </c:pt>
                <c:pt idx="5">
                  <c:v>37.537227383588402</c:v>
                </c:pt>
                <c:pt idx="6">
                  <c:v>62.796666444336601</c:v>
                </c:pt>
                <c:pt idx="7">
                  <c:v>86.878109480871103</c:v>
                </c:pt>
                <c:pt idx="8">
                  <c:v>112.144734442329</c:v>
                </c:pt>
                <c:pt idx="9">
                  <c:v>135.92639601254999</c:v>
                </c:pt>
                <c:pt idx="10">
                  <c:v>160.76806584602701</c:v>
                </c:pt>
                <c:pt idx="11">
                  <c:v>184.313697504326</c:v>
                </c:pt>
                <c:pt idx="12">
                  <c:v>209.47667625583099</c:v>
                </c:pt>
                <c:pt idx="13">
                  <c:v>234.09082868668099</c:v>
                </c:pt>
              </c:numCache>
            </c:numRef>
          </c:xVal>
          <c:yVal>
            <c:numRef>
              <c:f>Baseline!$H$33:$H$46</c:f>
              <c:numCache>
                <c:formatCode>0.00</c:formatCode>
                <c:ptCount val="14"/>
                <c:pt idx="0">
                  <c:v>4.1003297611683092</c:v>
                </c:pt>
                <c:pt idx="1">
                  <c:v>3.6844929416868011</c:v>
                </c:pt>
                <c:pt idx="2">
                  <c:v>4.2887597306523029</c:v>
                </c:pt>
                <c:pt idx="3">
                  <c:v>7.7023355970588288</c:v>
                </c:pt>
                <c:pt idx="4">
                  <c:v>13.203974644206296</c:v>
                </c:pt>
                <c:pt idx="5">
                  <c:v>20.076986948284148</c:v>
                </c:pt>
                <c:pt idx="6">
                  <c:v>26.265106794887839</c:v>
                </c:pt>
                <c:pt idx="7">
                  <c:v>31.157907778032833</c:v>
                </c:pt>
                <c:pt idx="8">
                  <c:v>34.152560717857639</c:v>
                </c:pt>
                <c:pt idx="9">
                  <c:v>37.297676585438708</c:v>
                </c:pt>
                <c:pt idx="10">
                  <c:v>38.236597446650769</c:v>
                </c:pt>
                <c:pt idx="11">
                  <c:v>39.619443679294974</c:v>
                </c:pt>
                <c:pt idx="12">
                  <c:v>36.951863679543649</c:v>
                </c:pt>
                <c:pt idx="13">
                  <c:v>35.797898318257523</c:v>
                </c:pt>
              </c:numCache>
            </c:numRef>
          </c:yVal>
          <c:smooth val="1"/>
        </c:ser>
        <c:ser>
          <c:idx val="2"/>
          <c:order val="2"/>
          <c:xVal>
            <c:numRef>
              <c:f>Baseline!$A$33:$A$46</c:f>
              <c:numCache>
                <c:formatCode>0.00</c:formatCode>
                <c:ptCount val="14"/>
                <c:pt idx="0">
                  <c:v>-84.411815504640103</c:v>
                </c:pt>
                <c:pt idx="1">
                  <c:v>-59.1722054905701</c:v>
                </c:pt>
                <c:pt idx="2">
                  <c:v>-34.356061812946898</c:v>
                </c:pt>
                <c:pt idx="3">
                  <c:v>-10.820082845364899</c:v>
                </c:pt>
                <c:pt idx="4">
                  <c:v>13.5555981017785</c:v>
                </c:pt>
                <c:pt idx="5">
                  <c:v>37.537227383588402</c:v>
                </c:pt>
                <c:pt idx="6">
                  <c:v>62.796666444336601</c:v>
                </c:pt>
                <c:pt idx="7">
                  <c:v>86.878109480871103</c:v>
                </c:pt>
                <c:pt idx="8">
                  <c:v>112.144734442329</c:v>
                </c:pt>
                <c:pt idx="9">
                  <c:v>135.92639601254999</c:v>
                </c:pt>
                <c:pt idx="10">
                  <c:v>160.76806584602701</c:v>
                </c:pt>
                <c:pt idx="11">
                  <c:v>184.313697504326</c:v>
                </c:pt>
                <c:pt idx="12">
                  <c:v>209.47667625583099</c:v>
                </c:pt>
                <c:pt idx="13">
                  <c:v>234.09082868668099</c:v>
                </c:pt>
              </c:numCache>
            </c:numRef>
          </c:xVal>
          <c:yVal>
            <c:numRef>
              <c:f>Baseline!$O$33:$O$46</c:f>
              <c:numCache>
                <c:formatCode>0.00</c:formatCode>
                <c:ptCount val="14"/>
                <c:pt idx="0">
                  <c:v>2.9994127905868972</c:v>
                </c:pt>
                <c:pt idx="1">
                  <c:v>2.9199195200147354</c:v>
                </c:pt>
                <c:pt idx="2">
                  <c:v>3.0534581017833906</c:v>
                </c:pt>
                <c:pt idx="3">
                  <c:v>5.253664164117799</c:v>
                </c:pt>
                <c:pt idx="4">
                  <c:v>14.211703155790545</c:v>
                </c:pt>
                <c:pt idx="5">
                  <c:v>23.115498924793776</c:v>
                </c:pt>
                <c:pt idx="6">
                  <c:v>28.85992492461973</c:v>
                </c:pt>
                <c:pt idx="7">
                  <c:v>33.334865840124969</c:v>
                </c:pt>
                <c:pt idx="8">
                  <c:v>35.567034007076103</c:v>
                </c:pt>
                <c:pt idx="9">
                  <c:v>37.297676585438708</c:v>
                </c:pt>
                <c:pt idx="10">
                  <c:v>37.448474339969117</c:v>
                </c:pt>
                <c:pt idx="11">
                  <c:v>37.152863709240414</c:v>
                </c:pt>
                <c:pt idx="12">
                  <c:v>33.894824169440327</c:v>
                </c:pt>
                <c:pt idx="13">
                  <c:v>34.59461603898005</c:v>
                </c:pt>
              </c:numCache>
            </c:numRef>
          </c:yVal>
          <c:smooth val="1"/>
        </c:ser>
        <c:dLbls>
          <c:showLegendKey val="0"/>
          <c:showVal val="0"/>
          <c:showCatName val="0"/>
          <c:showSerName val="0"/>
          <c:showPercent val="0"/>
          <c:showBubbleSize val="0"/>
        </c:dLbls>
        <c:axId val="192361600"/>
        <c:axId val="192363136"/>
      </c:scatterChart>
      <c:valAx>
        <c:axId val="192361600"/>
        <c:scaling>
          <c:orientation val="minMax"/>
        </c:scaling>
        <c:delete val="0"/>
        <c:axPos val="b"/>
        <c:numFmt formatCode="0" sourceLinked="0"/>
        <c:majorTickMark val="out"/>
        <c:minorTickMark val="none"/>
        <c:tickLblPos val="nextTo"/>
        <c:crossAx val="192363136"/>
        <c:crosses val="autoZero"/>
        <c:crossBetween val="midCat"/>
      </c:valAx>
      <c:valAx>
        <c:axId val="192363136"/>
        <c:scaling>
          <c:orientation val="minMax"/>
        </c:scaling>
        <c:delete val="0"/>
        <c:axPos val="l"/>
        <c:majorGridlines/>
        <c:numFmt formatCode="0.00" sourceLinked="1"/>
        <c:majorTickMark val="out"/>
        <c:minorTickMark val="none"/>
        <c:tickLblPos val="nextTo"/>
        <c:crossAx val="19236160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Baseline!$AD$27:$AD$31</c:f>
              <c:strCache>
                <c:ptCount val="1"/>
                <c:pt idx="0">
                  <c:v>Knot</c:v>
                </c:pt>
              </c:strCache>
            </c:strRef>
          </c:tx>
          <c:marker>
            <c:symbol val="none"/>
          </c:marker>
          <c:cat>
            <c:numRef>
              <c:f>Baseline!$AC$32:$AC$45</c:f>
              <c:numCache>
                <c:formatCode>0</c:formatCode>
                <c:ptCount val="14"/>
                <c:pt idx="0">
                  <c:v>-109.49499270356399</c:v>
                </c:pt>
                <c:pt idx="1">
                  <c:v>-84.411815504640103</c:v>
                </c:pt>
                <c:pt idx="2">
                  <c:v>-59.1722054905701</c:v>
                </c:pt>
                <c:pt idx="3">
                  <c:v>-34.356061812946898</c:v>
                </c:pt>
                <c:pt idx="4">
                  <c:v>-10.820082845364899</c:v>
                </c:pt>
                <c:pt idx="5">
                  <c:v>13.5555981017785</c:v>
                </c:pt>
                <c:pt idx="6">
                  <c:v>37.537227383588402</c:v>
                </c:pt>
                <c:pt idx="7">
                  <c:v>62.796666444336601</c:v>
                </c:pt>
                <c:pt idx="8">
                  <c:v>86.878109480871103</c:v>
                </c:pt>
                <c:pt idx="9">
                  <c:v>112.144734442329</c:v>
                </c:pt>
                <c:pt idx="10">
                  <c:v>135.92639601254999</c:v>
                </c:pt>
                <c:pt idx="11">
                  <c:v>160.76806584602701</c:v>
                </c:pt>
                <c:pt idx="12">
                  <c:v>184.313697504326</c:v>
                </c:pt>
                <c:pt idx="13">
                  <c:v>209.47667625583099</c:v>
                </c:pt>
              </c:numCache>
            </c:numRef>
          </c:cat>
          <c:val>
            <c:numRef>
              <c:f>Baseline!$AD$32:$AD$45</c:f>
              <c:numCache>
                <c:formatCode>0.000</c:formatCode>
                <c:ptCount val="14"/>
                <c:pt idx="0">
                  <c:v>0</c:v>
                </c:pt>
                <c:pt idx="1">
                  <c:v>0</c:v>
                </c:pt>
                <c:pt idx="2">
                  <c:v>0</c:v>
                </c:pt>
                <c:pt idx="3">
                  <c:v>0.358382524420711</c:v>
                </c:pt>
                <c:pt idx="4">
                  <c:v>1.12945976419159</c:v>
                </c:pt>
                <c:pt idx="5">
                  <c:v>1.66381445856873</c:v>
                </c:pt>
                <c:pt idx="6">
                  <c:v>2.4264029166777901</c:v>
                </c:pt>
                <c:pt idx="7">
                  <c:v>3.3536482047599101</c:v>
                </c:pt>
                <c:pt idx="8">
                  <c:v>4.1191352784208304</c:v>
                </c:pt>
                <c:pt idx="9">
                  <c:v>4.75215670710576</c:v>
                </c:pt>
                <c:pt idx="10">
                  <c:v>5.2241824620250199</c:v>
                </c:pt>
                <c:pt idx="11">
                  <c:v>5.6662697466415004</c:v>
                </c:pt>
                <c:pt idx="12">
                  <c:v>6.0427230019999998</c:v>
                </c:pt>
                <c:pt idx="13">
                  <c:v>6.3657668913125001</c:v>
                </c:pt>
              </c:numCache>
            </c:numRef>
          </c:val>
          <c:smooth val="0"/>
        </c:ser>
        <c:ser>
          <c:idx val="1"/>
          <c:order val="1"/>
          <c:tx>
            <c:strRef>
              <c:f>Baseline!$AE$27:$AE$31</c:f>
              <c:strCache>
                <c:ptCount val="1"/>
                <c:pt idx="0">
                  <c:v>adj Knot</c:v>
                </c:pt>
              </c:strCache>
            </c:strRef>
          </c:tx>
          <c:marker>
            <c:symbol val="none"/>
          </c:marker>
          <c:cat>
            <c:numRef>
              <c:f>Baseline!$AC$32:$AC$45</c:f>
              <c:numCache>
                <c:formatCode>0</c:formatCode>
                <c:ptCount val="14"/>
                <c:pt idx="0">
                  <c:v>-109.49499270356399</c:v>
                </c:pt>
                <c:pt idx="1">
                  <c:v>-84.411815504640103</c:v>
                </c:pt>
                <c:pt idx="2">
                  <c:v>-59.1722054905701</c:v>
                </c:pt>
                <c:pt idx="3">
                  <c:v>-34.356061812946898</c:v>
                </c:pt>
                <c:pt idx="4">
                  <c:v>-10.820082845364899</c:v>
                </c:pt>
                <c:pt idx="5">
                  <c:v>13.5555981017785</c:v>
                </c:pt>
                <c:pt idx="6">
                  <c:v>37.537227383588402</c:v>
                </c:pt>
                <c:pt idx="7">
                  <c:v>62.796666444336601</c:v>
                </c:pt>
                <c:pt idx="8">
                  <c:v>86.878109480871103</c:v>
                </c:pt>
                <c:pt idx="9">
                  <c:v>112.144734442329</c:v>
                </c:pt>
                <c:pt idx="10">
                  <c:v>135.92639601254999</c:v>
                </c:pt>
                <c:pt idx="11">
                  <c:v>160.76806584602701</c:v>
                </c:pt>
                <c:pt idx="12">
                  <c:v>184.313697504326</c:v>
                </c:pt>
                <c:pt idx="13">
                  <c:v>209.47667625583099</c:v>
                </c:pt>
              </c:numCache>
            </c:numRef>
          </c:cat>
          <c:val>
            <c:numRef>
              <c:f>Baseline!$AE$32:$AE$45</c:f>
              <c:numCache>
                <c:formatCode>0.000</c:formatCode>
                <c:ptCount val="14"/>
                <c:pt idx="0">
                  <c:v>0</c:v>
                </c:pt>
                <c:pt idx="1">
                  <c:v>0</c:v>
                </c:pt>
                <c:pt idx="2">
                  <c:v>0</c:v>
                </c:pt>
                <c:pt idx="3">
                  <c:v>0.19352656318718395</c:v>
                </c:pt>
                <c:pt idx="4">
                  <c:v>0.67767585851495393</c:v>
                </c:pt>
                <c:pt idx="5">
                  <c:v>1.996577350282476</c:v>
                </c:pt>
                <c:pt idx="6">
                  <c:v>3.0815317041807933</c:v>
                </c:pt>
                <c:pt idx="7">
                  <c:v>3.8231589534262973</c:v>
                </c:pt>
                <c:pt idx="8">
                  <c:v>4.5310488062629135</c:v>
                </c:pt>
                <c:pt idx="9">
                  <c:v>5.037286109532106</c:v>
                </c:pt>
                <c:pt idx="10">
                  <c:v>5.2241824620250199</c:v>
                </c:pt>
                <c:pt idx="11">
                  <c:v>5.4962816542422557</c:v>
                </c:pt>
                <c:pt idx="12">
                  <c:v>5.4988779318200001</c:v>
                </c:pt>
                <c:pt idx="13">
                  <c:v>5.6018748643550005</c:v>
                </c:pt>
              </c:numCache>
            </c:numRef>
          </c:val>
          <c:smooth val="0"/>
        </c:ser>
        <c:dLbls>
          <c:showLegendKey val="0"/>
          <c:showVal val="0"/>
          <c:showCatName val="0"/>
          <c:showSerName val="0"/>
          <c:showPercent val="0"/>
          <c:showBubbleSize val="0"/>
        </c:dLbls>
        <c:marker val="1"/>
        <c:smooth val="0"/>
        <c:axId val="195580288"/>
        <c:axId val="261763840"/>
      </c:lineChart>
      <c:catAx>
        <c:axId val="195580288"/>
        <c:scaling>
          <c:orientation val="minMax"/>
        </c:scaling>
        <c:delete val="0"/>
        <c:axPos val="b"/>
        <c:numFmt formatCode="0" sourceLinked="1"/>
        <c:majorTickMark val="out"/>
        <c:minorTickMark val="none"/>
        <c:tickLblPos val="nextTo"/>
        <c:crossAx val="261763840"/>
        <c:crosses val="autoZero"/>
        <c:auto val="1"/>
        <c:lblAlgn val="ctr"/>
        <c:lblOffset val="100"/>
        <c:noMultiLvlLbl val="0"/>
      </c:catAx>
      <c:valAx>
        <c:axId val="261763840"/>
        <c:scaling>
          <c:orientation val="minMax"/>
        </c:scaling>
        <c:delete val="0"/>
        <c:axPos val="l"/>
        <c:numFmt formatCode="0" sourceLinked="0"/>
        <c:majorTickMark val="out"/>
        <c:minorTickMark val="none"/>
        <c:tickLblPos val="nextTo"/>
        <c:crossAx val="19558028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Baseline!$Y$27</c:f>
              <c:strCache>
                <c:ptCount val="1"/>
                <c:pt idx="0">
                  <c:v>Knot</c:v>
                </c:pt>
              </c:strCache>
            </c:strRef>
          </c:tx>
          <c:marker>
            <c:symbol val="none"/>
          </c:marker>
          <c:cat>
            <c:numRef>
              <c:f>Baseline!$X$28:$X$45</c:f>
              <c:numCache>
                <c:formatCode>General</c:formatCode>
                <c:ptCount val="18"/>
                <c:pt idx="0" formatCode="0">
                  <c:v>-210.10341047436</c:v>
                </c:pt>
                <c:pt idx="2" formatCode="0">
                  <c:v>-159.827175667197</c:v>
                </c:pt>
                <c:pt idx="5" formatCode="0">
                  <c:v>-84.411815504640103</c:v>
                </c:pt>
                <c:pt idx="6" formatCode="0">
                  <c:v>-59.1722054905701</c:v>
                </c:pt>
                <c:pt idx="7" formatCode="0">
                  <c:v>-34.356061812946898</c:v>
                </c:pt>
                <c:pt idx="8" formatCode="0">
                  <c:v>-10.820082845364899</c:v>
                </c:pt>
                <c:pt idx="9" formatCode="0">
                  <c:v>13.5555981017785</c:v>
                </c:pt>
                <c:pt idx="10" formatCode="0">
                  <c:v>37.537227383588402</c:v>
                </c:pt>
                <c:pt idx="11" formatCode="0">
                  <c:v>62.796666444336601</c:v>
                </c:pt>
                <c:pt idx="12" formatCode="0">
                  <c:v>86.878109480871103</c:v>
                </c:pt>
                <c:pt idx="13" formatCode="0">
                  <c:v>112.144734442329</c:v>
                </c:pt>
                <c:pt idx="14" formatCode="0">
                  <c:v>135.92639601254999</c:v>
                </c:pt>
                <c:pt idx="15" formatCode="0">
                  <c:v>160.76806584602701</c:v>
                </c:pt>
                <c:pt idx="16" formatCode="0">
                  <c:v>184.313697504326</c:v>
                </c:pt>
                <c:pt idx="17" formatCode="0">
                  <c:v>209.47667625583099</c:v>
                </c:pt>
              </c:numCache>
            </c:numRef>
          </c:cat>
          <c:val>
            <c:numRef>
              <c:f>Baseline!$Y$28:$Y$45</c:f>
              <c:numCache>
                <c:formatCode>0.000</c:formatCode>
                <c:ptCount val="18"/>
                <c:pt idx="0">
                  <c:v>0</c:v>
                </c:pt>
                <c:pt idx="2">
                  <c:v>0</c:v>
                </c:pt>
                <c:pt idx="5">
                  <c:v>2.53801265718747E-2</c:v>
                </c:pt>
                <c:pt idx="6">
                  <c:v>0.17428260869565201</c:v>
                </c:pt>
                <c:pt idx="7">
                  <c:v>0.30095486111111103</c:v>
                </c:pt>
                <c:pt idx="8">
                  <c:v>0.50716095652173898</c:v>
                </c:pt>
                <c:pt idx="9">
                  <c:v>0.93625960915717799</c:v>
                </c:pt>
                <c:pt idx="10">
                  <c:v>1.89537379409471</c:v>
                </c:pt>
                <c:pt idx="11">
                  <c:v>3.3799457765415402</c:v>
                </c:pt>
                <c:pt idx="12">
                  <c:v>4.7646640542534699</c:v>
                </c:pt>
                <c:pt idx="13">
                  <c:v>6.2750975705599998</c:v>
                </c:pt>
                <c:pt idx="14">
                  <c:v>7.6782094614435499</c:v>
                </c:pt>
                <c:pt idx="15">
                  <c:v>8.7434835551418502</c:v>
                </c:pt>
                <c:pt idx="16">
                  <c:v>8.8930025521210094</c:v>
                </c:pt>
                <c:pt idx="17">
                  <c:v>8.9</c:v>
                </c:pt>
              </c:numCache>
            </c:numRef>
          </c:val>
          <c:smooth val="0"/>
        </c:ser>
        <c:ser>
          <c:idx val="1"/>
          <c:order val="1"/>
          <c:tx>
            <c:strRef>
              <c:f>Baseline!$Z$27</c:f>
              <c:strCache>
                <c:ptCount val="1"/>
                <c:pt idx="0">
                  <c:v>adj Knot</c:v>
                </c:pt>
              </c:strCache>
            </c:strRef>
          </c:tx>
          <c:marker>
            <c:symbol val="none"/>
          </c:marker>
          <c:cat>
            <c:numRef>
              <c:f>Baseline!$X$28:$X$45</c:f>
              <c:numCache>
                <c:formatCode>General</c:formatCode>
                <c:ptCount val="18"/>
                <c:pt idx="0" formatCode="0">
                  <c:v>-210.10341047436</c:v>
                </c:pt>
                <c:pt idx="2" formatCode="0">
                  <c:v>-159.827175667197</c:v>
                </c:pt>
                <c:pt idx="5" formatCode="0">
                  <c:v>-84.411815504640103</c:v>
                </c:pt>
                <c:pt idx="6" formatCode="0">
                  <c:v>-59.1722054905701</c:v>
                </c:pt>
                <c:pt idx="7" formatCode="0">
                  <c:v>-34.356061812946898</c:v>
                </c:pt>
                <c:pt idx="8" formatCode="0">
                  <c:v>-10.820082845364899</c:v>
                </c:pt>
                <c:pt idx="9" formatCode="0">
                  <c:v>13.5555981017785</c:v>
                </c:pt>
                <c:pt idx="10" formatCode="0">
                  <c:v>37.537227383588402</c:v>
                </c:pt>
                <c:pt idx="11" formatCode="0">
                  <c:v>62.796666444336601</c:v>
                </c:pt>
                <c:pt idx="12" formatCode="0">
                  <c:v>86.878109480871103</c:v>
                </c:pt>
                <c:pt idx="13" formatCode="0">
                  <c:v>112.144734442329</c:v>
                </c:pt>
                <c:pt idx="14" formatCode="0">
                  <c:v>135.92639601254999</c:v>
                </c:pt>
                <c:pt idx="15" formatCode="0">
                  <c:v>160.76806584602701</c:v>
                </c:pt>
                <c:pt idx="16" formatCode="0">
                  <c:v>184.313697504326</c:v>
                </c:pt>
                <c:pt idx="17" formatCode="0">
                  <c:v>209.47667625583099</c:v>
                </c:pt>
              </c:numCache>
            </c:numRef>
          </c:cat>
          <c:val>
            <c:numRef>
              <c:f>Baseline!$Z$28:$Z$45</c:f>
              <c:numCache>
                <c:formatCode>0.000</c:formatCode>
                <c:ptCount val="18"/>
                <c:pt idx="0">
                  <c:v>0</c:v>
                </c:pt>
                <c:pt idx="2">
                  <c:v>0</c:v>
                </c:pt>
                <c:pt idx="5">
                  <c:v>2.53801265718747E-2</c:v>
                </c:pt>
                <c:pt idx="6">
                  <c:v>0.17428260869565201</c:v>
                </c:pt>
                <c:pt idx="7">
                  <c:v>0.30095486111111103</c:v>
                </c:pt>
                <c:pt idx="8">
                  <c:v>0.50716095652173898</c:v>
                </c:pt>
                <c:pt idx="9">
                  <c:v>0.93625960915717799</c:v>
                </c:pt>
                <c:pt idx="10">
                  <c:v>1.89537379409471</c:v>
                </c:pt>
                <c:pt idx="11">
                  <c:v>3.3799457765415402</c:v>
                </c:pt>
                <c:pt idx="12">
                  <c:v>4.7646640542534699</c:v>
                </c:pt>
                <c:pt idx="13">
                  <c:v>6.2750975705599998</c:v>
                </c:pt>
                <c:pt idx="14">
                  <c:v>7.6782094614435499</c:v>
                </c:pt>
                <c:pt idx="15">
                  <c:v>8.7434835551418502</c:v>
                </c:pt>
                <c:pt idx="16">
                  <c:v>8.8930025521210094</c:v>
                </c:pt>
                <c:pt idx="17">
                  <c:v>8.9</c:v>
                </c:pt>
              </c:numCache>
            </c:numRef>
          </c:val>
          <c:smooth val="0"/>
        </c:ser>
        <c:dLbls>
          <c:showLegendKey val="0"/>
          <c:showVal val="0"/>
          <c:showCatName val="0"/>
          <c:showSerName val="0"/>
          <c:showPercent val="0"/>
          <c:showBubbleSize val="0"/>
        </c:dLbls>
        <c:marker val="1"/>
        <c:smooth val="0"/>
        <c:axId val="285868416"/>
        <c:axId val="286763264"/>
      </c:lineChart>
      <c:catAx>
        <c:axId val="285868416"/>
        <c:scaling>
          <c:orientation val="minMax"/>
        </c:scaling>
        <c:delete val="0"/>
        <c:axPos val="b"/>
        <c:numFmt formatCode="0" sourceLinked="1"/>
        <c:majorTickMark val="out"/>
        <c:minorTickMark val="none"/>
        <c:tickLblPos val="nextTo"/>
        <c:crossAx val="286763264"/>
        <c:crosses val="autoZero"/>
        <c:auto val="1"/>
        <c:lblAlgn val="ctr"/>
        <c:lblOffset val="100"/>
        <c:noMultiLvlLbl val="0"/>
      </c:catAx>
      <c:valAx>
        <c:axId val="286763264"/>
        <c:scaling>
          <c:orientation val="minMax"/>
        </c:scaling>
        <c:delete val="0"/>
        <c:axPos val="l"/>
        <c:numFmt formatCode="0" sourceLinked="0"/>
        <c:majorTickMark val="out"/>
        <c:minorTickMark val="none"/>
        <c:tickLblPos val="nextTo"/>
        <c:crossAx val="28586841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Baseline!$T$27</c:f>
              <c:strCache>
                <c:ptCount val="1"/>
                <c:pt idx="0">
                  <c:v>Knot</c:v>
                </c:pt>
              </c:strCache>
            </c:strRef>
          </c:tx>
          <c:marker>
            <c:symbol val="none"/>
          </c:marker>
          <c:cat>
            <c:numRef>
              <c:f>Baseline!$S$28:$S$38</c:f>
              <c:numCache>
                <c:formatCode>0</c:formatCode>
                <c:ptCount val="11"/>
                <c:pt idx="0">
                  <c:v>-210.10341047436</c:v>
                </c:pt>
                <c:pt idx="1">
                  <c:v>-183.49351100933501</c:v>
                </c:pt>
                <c:pt idx="2">
                  <c:v>-159.827175667197</c:v>
                </c:pt>
                <c:pt idx="3">
                  <c:v>-134.65638053091999</c:v>
                </c:pt>
                <c:pt idx="4">
                  <c:v>-109.49499270356399</c:v>
                </c:pt>
                <c:pt idx="5">
                  <c:v>-84.411815504640103</c:v>
                </c:pt>
                <c:pt idx="6">
                  <c:v>-59.1722054905701</c:v>
                </c:pt>
                <c:pt idx="7">
                  <c:v>-34.356061812946898</c:v>
                </c:pt>
                <c:pt idx="8">
                  <c:v>-10.820082845364899</c:v>
                </c:pt>
                <c:pt idx="9">
                  <c:v>13.5555981017785</c:v>
                </c:pt>
                <c:pt idx="10">
                  <c:v>37.537227383588402</c:v>
                </c:pt>
              </c:numCache>
            </c:numRef>
          </c:cat>
          <c:val>
            <c:numRef>
              <c:f>Baseline!$T$28:$T$38</c:f>
              <c:numCache>
                <c:formatCode>0.000</c:formatCode>
                <c:ptCount val="11"/>
                <c:pt idx="0">
                  <c:v>0.83134450000000004</c:v>
                </c:pt>
                <c:pt idx="1">
                  <c:v>0.86903551800000001</c:v>
                </c:pt>
                <c:pt idx="2">
                  <c:v>0.90492420600000001</c:v>
                </c:pt>
                <c:pt idx="3">
                  <c:v>0.95169665599999997</c:v>
                </c:pt>
                <c:pt idx="4">
                  <c:v>1.016004106</c:v>
                </c:pt>
                <c:pt idx="5">
                  <c:v>1.128785216</c:v>
                </c:pt>
                <c:pt idx="6">
                  <c:v>1.2708434159999999</c:v>
                </c:pt>
                <c:pt idx="7">
                  <c:v>1.2869999999999999</c:v>
                </c:pt>
                <c:pt idx="8">
                  <c:v>1.2869999999999999</c:v>
                </c:pt>
                <c:pt idx="9">
                  <c:v>1.2869999999999999</c:v>
                </c:pt>
                <c:pt idx="10">
                  <c:v>1.2869999999999999</c:v>
                </c:pt>
              </c:numCache>
            </c:numRef>
          </c:val>
          <c:smooth val="0"/>
        </c:ser>
        <c:ser>
          <c:idx val="1"/>
          <c:order val="1"/>
          <c:tx>
            <c:strRef>
              <c:f>Baseline!$U$27</c:f>
              <c:strCache>
                <c:ptCount val="1"/>
                <c:pt idx="0">
                  <c:v>adj Knot</c:v>
                </c:pt>
              </c:strCache>
            </c:strRef>
          </c:tx>
          <c:marker>
            <c:symbol val="none"/>
          </c:marker>
          <c:cat>
            <c:numRef>
              <c:f>Baseline!$S$28:$S$38</c:f>
              <c:numCache>
                <c:formatCode>0</c:formatCode>
                <c:ptCount val="11"/>
                <c:pt idx="0">
                  <c:v>-210.10341047436</c:v>
                </c:pt>
                <c:pt idx="1">
                  <c:v>-183.49351100933501</c:v>
                </c:pt>
                <c:pt idx="2">
                  <c:v>-159.827175667197</c:v>
                </c:pt>
                <c:pt idx="3">
                  <c:v>-134.65638053091999</c:v>
                </c:pt>
                <c:pt idx="4">
                  <c:v>-109.49499270356399</c:v>
                </c:pt>
                <c:pt idx="5">
                  <c:v>-84.411815504640103</c:v>
                </c:pt>
                <c:pt idx="6">
                  <c:v>-59.1722054905701</c:v>
                </c:pt>
                <c:pt idx="7">
                  <c:v>-34.356061812946898</c:v>
                </c:pt>
                <c:pt idx="8">
                  <c:v>-10.820082845364899</c:v>
                </c:pt>
                <c:pt idx="9">
                  <c:v>13.5555981017785</c:v>
                </c:pt>
                <c:pt idx="10">
                  <c:v>37.537227383588402</c:v>
                </c:pt>
              </c:numCache>
            </c:numRef>
          </c:cat>
          <c:val>
            <c:numRef>
              <c:f>Baseline!$U$28:$U$38</c:f>
              <c:numCache>
                <c:formatCode>0.000</c:formatCode>
                <c:ptCount val="11"/>
                <c:pt idx="0">
                  <c:v>0.51543359</c:v>
                </c:pt>
                <c:pt idx="1">
                  <c:v>0.53880202115999998</c:v>
                </c:pt>
                <c:pt idx="2">
                  <c:v>0.56105300772</c:v>
                </c:pt>
                <c:pt idx="3">
                  <c:v>0.59005192671999995</c:v>
                </c:pt>
                <c:pt idx="4">
                  <c:v>0.62992254572000006</c:v>
                </c:pt>
                <c:pt idx="5">
                  <c:v>0.69984683392000002</c:v>
                </c:pt>
                <c:pt idx="6">
                  <c:v>0.91500725951999995</c:v>
                </c:pt>
                <c:pt idx="7">
                  <c:v>0.96524999999999994</c:v>
                </c:pt>
                <c:pt idx="8">
                  <c:v>0.96524999999999994</c:v>
                </c:pt>
                <c:pt idx="9">
                  <c:v>0.96524999999999994</c:v>
                </c:pt>
                <c:pt idx="10">
                  <c:v>0.96524999999999994</c:v>
                </c:pt>
              </c:numCache>
            </c:numRef>
          </c:val>
          <c:smooth val="0"/>
        </c:ser>
        <c:dLbls>
          <c:showLegendKey val="0"/>
          <c:showVal val="0"/>
          <c:showCatName val="0"/>
          <c:showSerName val="0"/>
          <c:showPercent val="0"/>
          <c:showBubbleSize val="0"/>
        </c:dLbls>
        <c:marker val="1"/>
        <c:smooth val="0"/>
        <c:axId val="362293888"/>
        <c:axId val="362328448"/>
      </c:lineChart>
      <c:catAx>
        <c:axId val="362293888"/>
        <c:scaling>
          <c:orientation val="minMax"/>
        </c:scaling>
        <c:delete val="0"/>
        <c:axPos val="b"/>
        <c:numFmt formatCode="0" sourceLinked="1"/>
        <c:majorTickMark val="out"/>
        <c:minorTickMark val="none"/>
        <c:tickLblPos val="nextTo"/>
        <c:crossAx val="362328448"/>
        <c:crosses val="autoZero"/>
        <c:auto val="1"/>
        <c:lblAlgn val="ctr"/>
        <c:lblOffset val="100"/>
        <c:noMultiLvlLbl val="0"/>
      </c:catAx>
      <c:valAx>
        <c:axId val="362328448"/>
        <c:scaling>
          <c:orientation val="minMax"/>
        </c:scaling>
        <c:delete val="0"/>
        <c:axPos val="l"/>
        <c:numFmt formatCode="0" sourceLinked="0"/>
        <c:majorTickMark val="out"/>
        <c:minorTickMark val="none"/>
        <c:tickLblPos val="nextTo"/>
        <c:crossAx val="36229388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62</xdr:col>
      <xdr:colOff>0</xdr:colOff>
      <xdr:row>2</xdr:row>
      <xdr:rowOff>11907</xdr:rowOff>
    </xdr:from>
    <xdr:to>
      <xdr:col>91</xdr:col>
      <xdr:colOff>154781</xdr:colOff>
      <xdr:row>32</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52</xdr:col>
      <xdr:colOff>0</xdr:colOff>
      <xdr:row>25</xdr:row>
      <xdr:rowOff>0</xdr:rowOff>
    </xdr:from>
    <xdr:to>
      <xdr:col>61</xdr:col>
      <xdr:colOff>23812</xdr:colOff>
      <xdr:row>46</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49</xdr:row>
      <xdr:rowOff>71437</xdr:rowOff>
    </xdr:from>
    <xdr:to>
      <xdr:col>31</xdr:col>
      <xdr:colOff>404813</xdr:colOff>
      <xdr:row>63</xdr:row>
      <xdr:rowOff>147637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49</xdr:row>
      <xdr:rowOff>71437</xdr:rowOff>
    </xdr:from>
    <xdr:to>
      <xdr:col>26</xdr:col>
      <xdr:colOff>363140</xdr:colOff>
      <xdr:row>63</xdr:row>
      <xdr:rowOff>147637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49</xdr:row>
      <xdr:rowOff>71437</xdr:rowOff>
    </xdr:from>
    <xdr:to>
      <xdr:col>21</xdr:col>
      <xdr:colOff>321468</xdr:colOff>
      <xdr:row>63</xdr:row>
      <xdr:rowOff>147637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
  <sheetViews>
    <sheetView workbookViewId="0">
      <selection activeCell="I8" sqref="I8"/>
    </sheetView>
  </sheetViews>
  <sheetFormatPr defaultRowHeight="15" x14ac:dyDescent="0.25"/>
  <cols>
    <col min="1" max="1" width="13.28515625" bestFit="1" customWidth="1"/>
    <col min="7" max="7" width="1" customWidth="1"/>
    <col min="9" max="9" width="14.28515625" bestFit="1" customWidth="1"/>
  </cols>
  <sheetData>
    <row r="1" spans="1:19" x14ac:dyDescent="0.25">
      <c r="A1" t="s">
        <v>0</v>
      </c>
      <c r="B1" t="s">
        <v>1</v>
      </c>
      <c r="I1" t="s">
        <v>0</v>
      </c>
      <c r="J1" s="1" t="s">
        <v>11</v>
      </c>
      <c r="K1" t="s">
        <v>13</v>
      </c>
      <c r="L1" t="s">
        <v>14</v>
      </c>
      <c r="M1" t="s">
        <v>15</v>
      </c>
      <c r="N1" t="s">
        <v>16</v>
      </c>
      <c r="O1" t="s">
        <v>17</v>
      </c>
      <c r="P1" t="s">
        <v>20</v>
      </c>
      <c r="Q1" t="s">
        <v>118</v>
      </c>
      <c r="R1" t="s">
        <v>120</v>
      </c>
      <c r="S1" t="s">
        <v>122</v>
      </c>
    </row>
    <row r="2" spans="1:19" x14ac:dyDescent="0.25">
      <c r="A2" s="6">
        <v>1096925</v>
      </c>
      <c r="B2" t="s">
        <v>2</v>
      </c>
      <c r="C2" t="s">
        <v>3</v>
      </c>
      <c r="I2" s="6">
        <f>SUM(Baseline!AR3:AR23)</f>
        <v>22217161</v>
      </c>
      <c r="J2" s="1" t="s">
        <v>12</v>
      </c>
      <c r="M2" t="s">
        <v>18</v>
      </c>
      <c r="N2" t="s">
        <v>18</v>
      </c>
      <c r="O2" t="s">
        <v>19</v>
      </c>
      <c r="P2" t="s">
        <v>21</v>
      </c>
      <c r="Q2" t="s">
        <v>119</v>
      </c>
      <c r="R2" t="s">
        <v>121</v>
      </c>
      <c r="S2" t="s">
        <v>123</v>
      </c>
    </row>
    <row r="3" spans="1:19" x14ac:dyDescent="0.25">
      <c r="A3" s="6">
        <v>466351</v>
      </c>
      <c r="B3" t="s">
        <v>4</v>
      </c>
      <c r="J3" s="1"/>
    </row>
    <row r="4" spans="1:19" x14ac:dyDescent="0.25">
      <c r="A4" s="6">
        <v>230769</v>
      </c>
      <c r="B4" t="s">
        <v>5</v>
      </c>
      <c r="J4" s="1"/>
    </row>
    <row r="5" spans="1:19" x14ac:dyDescent="0.25">
      <c r="A5" s="6">
        <v>144409</v>
      </c>
      <c r="B5" t="s">
        <v>6</v>
      </c>
      <c r="J5" s="1"/>
    </row>
    <row r="6" spans="1:19" x14ac:dyDescent="0.25">
      <c r="A6" s="6">
        <v>124596</v>
      </c>
      <c r="B6" t="s">
        <v>7</v>
      </c>
      <c r="J6" s="1"/>
    </row>
    <row r="7" spans="1:19" x14ac:dyDescent="0.25">
      <c r="A7" s="6">
        <v>57525</v>
      </c>
      <c r="B7" t="s">
        <v>8</v>
      </c>
      <c r="J7" s="1"/>
    </row>
    <row r="8" spans="1:19" x14ac:dyDescent="0.25">
      <c r="A8" s="6">
        <v>2</v>
      </c>
      <c r="B8" t="s">
        <v>9</v>
      </c>
      <c r="J8" s="1"/>
    </row>
    <row r="9" spans="1:19" x14ac:dyDescent="0.25">
      <c r="A9" s="6"/>
      <c r="J9" s="1"/>
    </row>
    <row r="10" spans="1:19"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7"/>
  <sheetViews>
    <sheetView tabSelected="1" zoomScale="80" zoomScaleNormal="80" workbookViewId="0">
      <pane xSplit="29100" topLeftCell="AZ1"/>
      <selection activeCell="N53" sqref="N53"/>
      <selection pane="topRight" activeCell="BF66" sqref="BF66"/>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7" width="9.42578125" bestFit="1" customWidth="1"/>
    <col min="48" max="50" width="9.28515625" bestFit="1" customWidth="1"/>
  </cols>
  <sheetData>
    <row r="1" spans="1:50" x14ac:dyDescent="0.25">
      <c r="AS1" s="23" t="s">
        <v>96</v>
      </c>
      <c r="AT1" s="23" t="s">
        <v>97</v>
      </c>
      <c r="AU1" s="23" t="s">
        <v>98</v>
      </c>
      <c r="AV1" s="23"/>
      <c r="AW1" s="23"/>
      <c r="AX1" s="23"/>
    </row>
    <row r="2" spans="1:50" x14ac:dyDescent="0.25">
      <c r="A2" t="s">
        <v>22</v>
      </c>
      <c r="B2" t="s">
        <v>23</v>
      </c>
      <c r="C2" t="s">
        <v>24</v>
      </c>
      <c r="D2" t="s">
        <v>25</v>
      </c>
      <c r="E2" t="s">
        <v>104</v>
      </c>
      <c r="F2" t="s">
        <v>105</v>
      </c>
      <c r="G2" t="s">
        <v>26</v>
      </c>
      <c r="H2" t="s">
        <v>27</v>
      </c>
      <c r="I2" t="s">
        <v>28</v>
      </c>
      <c r="J2" t="s">
        <v>29</v>
      </c>
      <c r="K2" t="s">
        <v>30</v>
      </c>
      <c r="L2" t="s">
        <v>31</v>
      </c>
      <c r="M2" t="s">
        <v>32</v>
      </c>
      <c r="N2" t="s">
        <v>33</v>
      </c>
      <c r="O2" t="s">
        <v>34</v>
      </c>
      <c r="P2" t="s">
        <v>35</v>
      </c>
      <c r="Q2" t="s">
        <v>36</v>
      </c>
      <c r="R2" t="s">
        <v>37</v>
      </c>
      <c r="S2" t="s">
        <v>38</v>
      </c>
      <c r="T2" t="s">
        <v>39</v>
      </c>
      <c r="U2" t="s">
        <v>40</v>
      </c>
      <c r="V2" t="s">
        <v>41</v>
      </c>
      <c r="W2" t="s">
        <v>42</v>
      </c>
      <c r="X2" t="s">
        <v>43</v>
      </c>
      <c r="Y2" t="s">
        <v>44</v>
      </c>
      <c r="Z2" t="s">
        <v>45</v>
      </c>
      <c r="AA2" t="s">
        <v>46</v>
      </c>
      <c r="AB2" s="1" t="s">
        <v>47</v>
      </c>
      <c r="AC2" s="1" t="s">
        <v>48</v>
      </c>
      <c r="AD2" s="1" t="s">
        <v>49</v>
      </c>
      <c r="AE2" t="s">
        <v>50</v>
      </c>
      <c r="AF2" t="s">
        <v>51</v>
      </c>
      <c r="AG2" t="s">
        <v>52</v>
      </c>
      <c r="AH2" t="s">
        <v>53</v>
      </c>
      <c r="AI2" t="s">
        <v>54</v>
      </c>
      <c r="AJ2" t="s">
        <v>55</v>
      </c>
      <c r="AK2" t="s">
        <v>56</v>
      </c>
      <c r="AL2" t="s">
        <v>57</v>
      </c>
      <c r="AM2" t="s">
        <v>58</v>
      </c>
      <c r="AN2" t="s">
        <v>59</v>
      </c>
      <c r="AO2" t="s">
        <v>60</v>
      </c>
      <c r="AP2" t="s">
        <v>61</v>
      </c>
      <c r="AQ2" t="s">
        <v>62</v>
      </c>
      <c r="AR2" t="s">
        <v>63</v>
      </c>
      <c r="AS2" s="32">
        <v>1</v>
      </c>
      <c r="AT2" s="32">
        <v>1</v>
      </c>
      <c r="AU2" s="32">
        <v>1</v>
      </c>
      <c r="AV2" s="23"/>
      <c r="AW2" s="23"/>
      <c r="AX2" s="23"/>
    </row>
    <row r="3" spans="1:50" x14ac:dyDescent="0.25">
      <c r="A3">
        <v>98</v>
      </c>
      <c r="B3" s="4">
        <v>0.99806849014068899</v>
      </c>
      <c r="C3" s="4">
        <v>9.2090314506831902E-2</v>
      </c>
      <c r="D3" s="4">
        <v>2.2933468548503999</v>
      </c>
      <c r="E3" s="4">
        <v>7.6774339106154798E-5</v>
      </c>
      <c r="F3" s="5">
        <v>1.93150985931052E-3</v>
      </c>
      <c r="G3" s="5">
        <v>0</v>
      </c>
      <c r="H3" s="4">
        <v>3.4569556900518399</v>
      </c>
      <c r="I3" s="4">
        <v>3.8259590751899299</v>
      </c>
      <c r="J3" s="4">
        <v>-31.051338579948101</v>
      </c>
      <c r="K3" s="4">
        <v>-210.10341047436</v>
      </c>
      <c r="L3" s="4">
        <v>84.2052232504861</v>
      </c>
      <c r="M3" s="4">
        <v>3.58268974516408</v>
      </c>
      <c r="N3" s="4">
        <v>67.015165830827101</v>
      </c>
      <c r="O3" s="4">
        <v>65.634356763197005</v>
      </c>
      <c r="P3" s="4">
        <v>48707.6822320703</v>
      </c>
      <c r="Q3" s="4">
        <v>46420.823571428497</v>
      </c>
      <c r="R3" s="4">
        <v>624.54182439491001</v>
      </c>
      <c r="S3" s="4">
        <v>0</v>
      </c>
      <c r="T3" s="4">
        <v>0</v>
      </c>
      <c r="U3" s="4">
        <v>0</v>
      </c>
      <c r="V3" s="4">
        <v>0.92203845924872996</v>
      </c>
      <c r="W3" s="4">
        <v>0</v>
      </c>
      <c r="X3" s="4">
        <v>0.43761892080667603</v>
      </c>
      <c r="Y3" s="4">
        <v>0</v>
      </c>
      <c r="Z3" s="5">
        <v>2.4696393573862997E-4</v>
      </c>
      <c r="AA3" s="5">
        <v>3.1533414303768502E-5</v>
      </c>
      <c r="AB3" s="10">
        <v>1.6530021996026701E-3</v>
      </c>
      <c r="AC3" s="10">
        <v>0</v>
      </c>
      <c r="AD3" s="10">
        <v>0</v>
      </c>
      <c r="AE3" s="4">
        <v>1.43376353871507E-2</v>
      </c>
      <c r="AF3" s="4">
        <v>0.97063516122451998</v>
      </c>
      <c r="AG3" s="4">
        <v>1</v>
      </c>
      <c r="AH3" s="4">
        <v>1</v>
      </c>
      <c r="AI3" s="4">
        <v>1</v>
      </c>
      <c r="AJ3" s="4">
        <v>1</v>
      </c>
      <c r="AK3" s="4">
        <v>1</v>
      </c>
      <c r="AL3" s="4">
        <v>1</v>
      </c>
      <c r="AM3" s="4">
        <v>0</v>
      </c>
      <c r="AN3" s="4">
        <v>0</v>
      </c>
      <c r="AO3" s="4" t="s">
        <v>64</v>
      </c>
      <c r="AP3" s="4" t="s">
        <v>65</v>
      </c>
      <c r="AQ3" s="6">
        <v>1299783.06</v>
      </c>
      <c r="AR3" s="4">
        <v>28</v>
      </c>
      <c r="AS3" s="21">
        <f>Z3+AA3+AB3*$AS$2+AC3*$AT$2+AD3*$AU$2</f>
        <v>1.9314995496450685E-3</v>
      </c>
      <c r="AT3" s="21">
        <f t="shared" ref="AT3" si="0">100*(1-(1-AS3)^12)</f>
        <v>2.2933347435819429</v>
      </c>
      <c r="AU3" s="21">
        <f>AT3-D3</f>
        <v>-1.2111268457015711E-5</v>
      </c>
      <c r="AV3" s="21">
        <f>G3-D3</f>
        <v>-2.2933468548503999</v>
      </c>
      <c r="AW3" s="21">
        <f>1-(1-D3/100)^(1/12)</f>
        <v>1.931509859310454E-3</v>
      </c>
      <c r="AX3" s="21">
        <f>AW3-AS3</f>
        <v>1.0309665385505387E-8</v>
      </c>
    </row>
    <row r="4" spans="1:50" x14ac:dyDescent="0.25">
      <c r="A4">
        <v>98</v>
      </c>
      <c r="B4" s="4">
        <v>0.99776067541251701</v>
      </c>
      <c r="C4" s="4">
        <v>0.13796486347098499</v>
      </c>
      <c r="D4" s="4">
        <v>2.6543391160140102</v>
      </c>
      <c r="E4" s="4">
        <v>1.15043484169818E-4</v>
      </c>
      <c r="F4" s="5">
        <v>2.2393245874829299E-3</v>
      </c>
      <c r="G4" s="5">
        <v>0</v>
      </c>
      <c r="H4" s="4">
        <v>3.5058605677569301</v>
      </c>
      <c r="I4" s="4">
        <v>3.80634438795482</v>
      </c>
      <c r="J4" s="4">
        <v>-34.537816424346197</v>
      </c>
      <c r="K4" s="4">
        <v>-183.49351100933501</v>
      </c>
      <c r="L4" s="4">
        <v>66.102854155522806</v>
      </c>
      <c r="M4" s="4">
        <v>4.38317287927772</v>
      </c>
      <c r="N4" s="4">
        <v>65.531612862955001</v>
      </c>
      <c r="O4" s="4">
        <v>64.370228226808706</v>
      </c>
      <c r="P4" s="4">
        <v>72495.236756300103</v>
      </c>
      <c r="Q4" s="4">
        <v>57973.385808383202</v>
      </c>
      <c r="R4" s="4">
        <v>620.14644640318897</v>
      </c>
      <c r="S4" s="4">
        <v>0</v>
      </c>
      <c r="T4" s="4">
        <v>0</v>
      </c>
      <c r="U4" s="4">
        <v>0</v>
      </c>
      <c r="V4" s="4">
        <v>0.96938930194195005</v>
      </c>
      <c r="W4" s="4">
        <v>0</v>
      </c>
      <c r="X4" s="4">
        <v>0.58817711794064398</v>
      </c>
      <c r="Y4" s="4">
        <v>0</v>
      </c>
      <c r="Z4" s="5">
        <v>2.1688997933466301E-4</v>
      </c>
      <c r="AA4" s="5">
        <v>7.6288097483185002E-5</v>
      </c>
      <c r="AB4" s="10">
        <v>1.94613689274522E-3</v>
      </c>
      <c r="AC4" s="10">
        <v>0</v>
      </c>
      <c r="AD4" s="10">
        <v>0</v>
      </c>
      <c r="AE4" s="4">
        <v>1.21809862104522E-2</v>
      </c>
      <c r="AF4" s="4">
        <v>0.93845463837828702</v>
      </c>
      <c r="AG4" s="4">
        <v>1</v>
      </c>
      <c r="AH4" s="4">
        <v>1</v>
      </c>
      <c r="AI4" s="4">
        <v>1</v>
      </c>
      <c r="AJ4" s="4">
        <v>1</v>
      </c>
      <c r="AK4" s="4">
        <v>1</v>
      </c>
      <c r="AL4" s="4">
        <v>1</v>
      </c>
      <c r="AM4" s="4">
        <v>0</v>
      </c>
      <c r="AN4" s="4">
        <v>0</v>
      </c>
      <c r="AO4" s="4" t="s">
        <v>66</v>
      </c>
      <c r="AP4" s="4">
        <f>-200--175</f>
        <v>-25</v>
      </c>
      <c r="AQ4" s="6">
        <v>9681555.4299999997</v>
      </c>
      <c r="AR4" s="4">
        <v>167</v>
      </c>
      <c r="AS4" s="21">
        <f t="shared" ref="AS4:AS23" si="1">Z4+AA4+AB4*$AS$2+AC4*$AT$2+AD4*$AU$2</f>
        <v>2.2393149695630679E-3</v>
      </c>
      <c r="AT4" s="21">
        <f t="shared" ref="AT4:AT23" si="2">100*(1-(1-AS4)^12)</f>
        <v>2.6543278556445671</v>
      </c>
      <c r="AU4" s="21">
        <f t="shared" ref="AU4:AU23" si="3">AT4-D4</f>
        <v>-1.126036944310016E-5</v>
      </c>
      <c r="AV4" s="21"/>
      <c r="AW4" s="21"/>
      <c r="AX4" s="21"/>
    </row>
    <row r="5" spans="1:50" x14ac:dyDescent="0.25">
      <c r="A5">
        <v>98</v>
      </c>
      <c r="B5" s="4">
        <v>0.99761863170120402</v>
      </c>
      <c r="C5" s="4">
        <v>4.32224431748533</v>
      </c>
      <c r="D5" s="4">
        <v>2.8205094337039398</v>
      </c>
      <c r="E5" s="4">
        <v>3.6752590216195501E-3</v>
      </c>
      <c r="F5" s="5">
        <v>2.3813682987950998E-3</v>
      </c>
      <c r="G5" s="5">
        <v>0</v>
      </c>
      <c r="H5" s="4">
        <v>3.5629793287148899</v>
      </c>
      <c r="I5" s="4">
        <v>3.8042961280773202</v>
      </c>
      <c r="J5" s="4">
        <v>-31.577848972060899</v>
      </c>
      <c r="K5" s="4">
        <v>-159.827175667197</v>
      </c>
      <c r="L5" s="4">
        <v>54.142286251669503</v>
      </c>
      <c r="M5" s="4">
        <v>4.7900651209471503</v>
      </c>
      <c r="N5" s="4">
        <v>68.671482772306106</v>
      </c>
      <c r="O5" s="4">
        <v>67.126493105956001</v>
      </c>
      <c r="P5" s="4">
        <v>106752.083911986</v>
      </c>
      <c r="Q5" s="4">
        <v>71270.182581521702</v>
      </c>
      <c r="R5" s="4">
        <v>634.67306418895396</v>
      </c>
      <c r="S5" s="4">
        <v>0</v>
      </c>
      <c r="T5" s="4">
        <v>0</v>
      </c>
      <c r="U5" s="4">
        <v>1.55333154506032E-3</v>
      </c>
      <c r="V5" s="4">
        <v>0.92093816084291202</v>
      </c>
      <c r="W5" s="4">
        <v>0</v>
      </c>
      <c r="X5" s="4">
        <v>0.64684153165692104</v>
      </c>
      <c r="Y5" s="4">
        <v>0</v>
      </c>
      <c r="Z5" s="5">
        <v>2.3880255241718199E-4</v>
      </c>
      <c r="AA5" s="5">
        <v>4.2835960897148497E-5</v>
      </c>
      <c r="AB5" s="10">
        <v>2.0983206125448801E-3</v>
      </c>
      <c r="AC5" s="10">
        <v>0</v>
      </c>
      <c r="AD5" s="10">
        <v>1.3994477763584999E-6</v>
      </c>
      <c r="AE5" s="4">
        <v>1.53621319309477E-2</v>
      </c>
      <c r="AF5" s="4">
        <v>0.91473578198121297</v>
      </c>
      <c r="AG5" s="4">
        <v>0.99837070618134005</v>
      </c>
      <c r="AH5" s="4">
        <v>1</v>
      </c>
      <c r="AI5" s="4">
        <v>1</v>
      </c>
      <c r="AJ5" s="4">
        <v>1</v>
      </c>
      <c r="AK5" s="4">
        <v>1</v>
      </c>
      <c r="AL5" s="4">
        <v>1</v>
      </c>
      <c r="AM5" s="4">
        <v>0</v>
      </c>
      <c r="AN5" s="4">
        <v>0</v>
      </c>
      <c r="AO5" s="4" t="s">
        <v>67</v>
      </c>
      <c r="AP5" s="4">
        <f>-175--150</f>
        <v>-25</v>
      </c>
      <c r="AQ5" s="6">
        <v>52454854.380000003</v>
      </c>
      <c r="AR5" s="4">
        <v>736</v>
      </c>
      <c r="AS5" s="21">
        <f t="shared" si="1"/>
        <v>2.3813585736355693E-3</v>
      </c>
      <c r="AT5" s="21">
        <f t="shared" si="2"/>
        <v>2.8204980655990641</v>
      </c>
      <c r="AU5" s="21">
        <f t="shared" si="3"/>
        <v>-1.13681048756753E-5</v>
      </c>
      <c r="AV5" s="21"/>
      <c r="AW5" s="21"/>
      <c r="AX5" s="21"/>
    </row>
    <row r="6" spans="1:50" x14ac:dyDescent="0.25">
      <c r="A6">
        <v>98</v>
      </c>
      <c r="B6" s="4">
        <v>0.99732882091216202</v>
      </c>
      <c r="C6" s="4">
        <v>1.2749129068456799</v>
      </c>
      <c r="D6" s="4">
        <v>3.15873939769868</v>
      </c>
      <c r="E6" s="4">
        <v>1.06868660033933E-3</v>
      </c>
      <c r="F6" s="5">
        <v>2.6711790878376899E-3</v>
      </c>
      <c r="G6" s="5">
        <v>0</v>
      </c>
      <c r="H6" s="4">
        <v>3.72071873132289</v>
      </c>
      <c r="I6" s="4">
        <v>3.8306517478024298</v>
      </c>
      <c r="J6" s="4">
        <v>-19.908072426251302</v>
      </c>
      <c r="K6" s="4">
        <v>-134.65638053091999</v>
      </c>
      <c r="L6" s="4">
        <v>47.0820829667528</v>
      </c>
      <c r="M6" s="4">
        <v>4.9686064484906396</v>
      </c>
      <c r="N6" s="4">
        <v>71.4703446164593</v>
      </c>
      <c r="O6" s="4">
        <v>69.744362152307005</v>
      </c>
      <c r="P6" s="4">
        <v>133631.29684130399</v>
      </c>
      <c r="Q6" s="4">
        <v>82427.319057798799</v>
      </c>
      <c r="R6" s="4">
        <v>648.51863477500206</v>
      </c>
      <c r="S6" s="4">
        <v>0</v>
      </c>
      <c r="T6" s="4">
        <v>0</v>
      </c>
      <c r="U6" s="4">
        <v>1.82206575880474E-2</v>
      </c>
      <c r="V6" s="4">
        <v>0.88050799465719198</v>
      </c>
      <c r="W6" s="4">
        <v>0</v>
      </c>
      <c r="X6" s="4">
        <v>0.61708959336668701</v>
      </c>
      <c r="Y6" s="4">
        <v>0</v>
      </c>
      <c r="Z6" s="5">
        <v>2.4608811695840498E-4</v>
      </c>
      <c r="AA6" s="5">
        <v>3.8959846606417801E-5</v>
      </c>
      <c r="AB6" s="10">
        <v>2.26802887509877E-3</v>
      </c>
      <c r="AC6" s="10">
        <v>2.88076641542545E-7</v>
      </c>
      <c r="AD6" s="10">
        <v>1.17803087754698E-4</v>
      </c>
      <c r="AE6" s="4">
        <v>1.6631308548506699E-2</v>
      </c>
      <c r="AF6" s="4">
        <v>0.91763825301569502</v>
      </c>
      <c r="AG6" s="4">
        <v>0.99697658396228905</v>
      </c>
      <c r="AH6" s="4">
        <v>0.99918747583682399</v>
      </c>
      <c r="AI6" s="4">
        <v>1</v>
      </c>
      <c r="AJ6" s="4">
        <v>1</v>
      </c>
      <c r="AK6" s="4">
        <v>1</v>
      </c>
      <c r="AL6" s="4">
        <v>1</v>
      </c>
      <c r="AM6" s="4">
        <v>0</v>
      </c>
      <c r="AN6" s="4">
        <v>0</v>
      </c>
      <c r="AO6" s="4" t="s">
        <v>68</v>
      </c>
      <c r="AP6" s="4">
        <f>-150--125</f>
        <v>-25</v>
      </c>
      <c r="AQ6" s="6">
        <v>208211407.94</v>
      </c>
      <c r="AR6" s="4">
        <v>2526</v>
      </c>
      <c r="AS6" s="21">
        <f t="shared" si="1"/>
        <v>2.6711680030598334E-3</v>
      </c>
      <c r="AT6" s="21">
        <f t="shared" si="2"/>
        <v>3.158726481630536</v>
      </c>
      <c r="AU6" s="21">
        <f t="shared" si="3"/>
        <v>-1.2916068143908888E-5</v>
      </c>
      <c r="AV6" s="21"/>
      <c r="AW6" s="21"/>
      <c r="AX6" s="21"/>
    </row>
    <row r="7" spans="1:50" x14ac:dyDescent="0.25">
      <c r="A7">
        <v>98</v>
      </c>
      <c r="B7" s="4">
        <v>0.99685939026689396</v>
      </c>
      <c r="C7" s="4">
        <v>2.75713233372745</v>
      </c>
      <c r="D7" s="4">
        <v>3.7043097514666101</v>
      </c>
      <c r="E7" s="4">
        <v>2.3271668032081002E-3</v>
      </c>
      <c r="F7" s="5">
        <v>3.1406097331059101E-3</v>
      </c>
      <c r="G7" s="5">
        <v>0</v>
      </c>
      <c r="H7" s="4">
        <v>3.8017650801895302</v>
      </c>
      <c r="I7" s="4">
        <v>3.8537820146348798</v>
      </c>
      <c r="J7" s="4">
        <v>-16.944441712382599</v>
      </c>
      <c r="K7" s="4">
        <v>-109.49499270356399</v>
      </c>
      <c r="L7" s="4">
        <v>40.122734745058601</v>
      </c>
      <c r="M7" s="4">
        <v>5.6155596886749404</v>
      </c>
      <c r="N7" s="4">
        <v>73.128263332048206</v>
      </c>
      <c r="O7" s="4">
        <v>71.309159261233404</v>
      </c>
      <c r="P7" s="4">
        <v>165107.93425766399</v>
      </c>
      <c r="Q7" s="4">
        <v>96961.936832608597</v>
      </c>
      <c r="R7" s="4">
        <v>664.99815174322498</v>
      </c>
      <c r="S7" s="4">
        <v>0</v>
      </c>
      <c r="T7" s="4">
        <v>0</v>
      </c>
      <c r="U7" s="4">
        <v>2.6523136544365101E-2</v>
      </c>
      <c r="V7" s="4">
        <v>0.79977421744420296</v>
      </c>
      <c r="W7" s="4">
        <v>0</v>
      </c>
      <c r="X7" s="4">
        <v>0.59916573016409402</v>
      </c>
      <c r="Y7" s="4">
        <v>0</v>
      </c>
      <c r="Z7" s="5">
        <v>2.4879711412435697E-4</v>
      </c>
      <c r="AA7" s="5">
        <v>4.8420358589987897E-5</v>
      </c>
      <c r="AB7" s="10">
        <v>2.4209320479911E-3</v>
      </c>
      <c r="AC7" s="10">
        <v>4.36167891073876E-8</v>
      </c>
      <c r="AD7" s="10">
        <v>4.22405813146784E-4</v>
      </c>
      <c r="AE7" s="4">
        <v>1.5710025384132999E-2</v>
      </c>
      <c r="AF7" s="4">
        <v>0.91627132190279303</v>
      </c>
      <c r="AG7" s="4">
        <v>0.99839815695290801</v>
      </c>
      <c r="AH7" s="4">
        <v>0.99955774982331702</v>
      </c>
      <c r="AI7" s="4">
        <v>0.99993372093267596</v>
      </c>
      <c r="AJ7" s="4">
        <v>1</v>
      </c>
      <c r="AK7" s="4">
        <v>1</v>
      </c>
      <c r="AL7" s="4">
        <v>1</v>
      </c>
      <c r="AM7" s="4">
        <v>0</v>
      </c>
      <c r="AN7" s="4">
        <v>0</v>
      </c>
      <c r="AO7" s="4" t="s">
        <v>69</v>
      </c>
      <c r="AP7" s="4">
        <f>-125--100</f>
        <v>-25</v>
      </c>
      <c r="AQ7" s="6">
        <v>892049818.86000001</v>
      </c>
      <c r="AR7" s="4">
        <v>9200</v>
      </c>
      <c r="AS7" s="21">
        <f t="shared" si="1"/>
        <v>3.1405989506413366E-3</v>
      </c>
      <c r="AT7" s="21">
        <f t="shared" si="2"/>
        <v>3.7042972525531015</v>
      </c>
      <c r="AU7" s="21">
        <f t="shared" si="3"/>
        <v>-1.2498913508629528E-5</v>
      </c>
      <c r="AV7" s="21"/>
      <c r="AW7" s="21"/>
      <c r="AX7" s="21"/>
    </row>
    <row r="8" spans="1:50" x14ac:dyDescent="0.25">
      <c r="A8">
        <v>98</v>
      </c>
      <c r="B8" s="4">
        <v>0.99651709854206505</v>
      </c>
      <c r="C8" s="4">
        <v>2.9920609738697301</v>
      </c>
      <c r="D8" s="4">
        <v>4.1003420222688796</v>
      </c>
      <c r="E8" s="4">
        <v>2.5282456900651302E-3</v>
      </c>
      <c r="F8" s="5">
        <v>3.4829014579348598E-3</v>
      </c>
      <c r="G8" s="5">
        <v>0</v>
      </c>
      <c r="H8" s="4">
        <v>3.8241907814300302</v>
      </c>
      <c r="I8" s="4">
        <v>3.8772391819677101</v>
      </c>
      <c r="J8" s="4">
        <v>-18.7325593551016</v>
      </c>
      <c r="K8" s="4">
        <v>-84.411815504640103</v>
      </c>
      <c r="L8" s="4">
        <v>36.933091591166701</v>
      </c>
      <c r="M8" s="4">
        <v>6.2667886766875602</v>
      </c>
      <c r="N8" s="4">
        <v>73.943831154722005</v>
      </c>
      <c r="O8" s="4">
        <v>72.201542596742399</v>
      </c>
      <c r="P8" s="4">
        <v>166104.26243236501</v>
      </c>
      <c r="Q8" s="4">
        <v>106231.51298322499</v>
      </c>
      <c r="R8" s="4">
        <v>689.51474305899899</v>
      </c>
      <c r="S8" s="4">
        <v>0</v>
      </c>
      <c r="T8" s="4">
        <v>0</v>
      </c>
      <c r="U8" s="4">
        <v>3.9425427828328502E-2</v>
      </c>
      <c r="V8" s="4">
        <v>0.71877498660898298</v>
      </c>
      <c r="W8" s="4">
        <v>0</v>
      </c>
      <c r="X8" s="4">
        <v>0.55214231552550297</v>
      </c>
      <c r="Y8" s="4">
        <v>0</v>
      </c>
      <c r="Z8" s="5">
        <v>2.5585705229495999E-4</v>
      </c>
      <c r="AA8" s="5">
        <v>5.2374979616878702E-5</v>
      </c>
      <c r="AB8" s="10">
        <v>2.4956458471823199E-3</v>
      </c>
      <c r="AC8" s="10">
        <v>1.2493931479157101E-7</v>
      </c>
      <c r="AD8" s="10">
        <v>6.7888802218218599E-4</v>
      </c>
      <c r="AE8" s="4">
        <v>1.2887689248186901E-2</v>
      </c>
      <c r="AF8" s="4">
        <v>0.92985016978461599</v>
      </c>
      <c r="AG8" s="4">
        <v>0.998039304852545</v>
      </c>
      <c r="AH8" s="4">
        <v>0.99973628868889597</v>
      </c>
      <c r="AI8" s="4">
        <v>0.999965484799197</v>
      </c>
      <c r="AJ8" s="4">
        <v>1</v>
      </c>
      <c r="AK8" s="4">
        <v>1</v>
      </c>
      <c r="AL8" s="4">
        <v>1</v>
      </c>
      <c r="AM8" s="4">
        <v>0</v>
      </c>
      <c r="AN8" s="4">
        <v>0</v>
      </c>
      <c r="AO8" s="4" t="s">
        <v>70</v>
      </c>
      <c r="AP8" s="4">
        <f>-100--75</f>
        <v>-25</v>
      </c>
      <c r="AQ8" s="6">
        <v>3926316719.8600001</v>
      </c>
      <c r="AR8" s="4">
        <v>36960</v>
      </c>
      <c r="AS8" s="21">
        <f t="shared" si="1"/>
        <v>3.482890840591136E-3</v>
      </c>
      <c r="AT8" s="21">
        <f t="shared" si="2"/>
        <v>4.1003297611683092</v>
      </c>
      <c r="AU8" s="21">
        <f t="shared" si="3"/>
        <v>-1.2261100570398753E-5</v>
      </c>
      <c r="AV8" s="21"/>
      <c r="AW8" s="21"/>
      <c r="AX8" s="21"/>
    </row>
    <row r="9" spans="1:50" x14ac:dyDescent="0.25">
      <c r="A9">
        <v>98</v>
      </c>
      <c r="B9" s="4">
        <v>0.99687647366722398</v>
      </c>
      <c r="C9" s="4">
        <v>3.00772227786261</v>
      </c>
      <c r="D9" s="4">
        <v>3.6845049977852198</v>
      </c>
      <c r="E9" s="4">
        <v>2.54166629647126E-3</v>
      </c>
      <c r="F9" s="5">
        <v>3.12352633277553E-3</v>
      </c>
      <c r="G9" s="5">
        <v>0</v>
      </c>
      <c r="H9" s="4">
        <v>3.7987733504516399</v>
      </c>
      <c r="I9" s="4">
        <v>3.9120658974070701</v>
      </c>
      <c r="J9" s="4">
        <v>-24.303315774823599</v>
      </c>
      <c r="K9" s="4">
        <v>-59.1722054905701</v>
      </c>
      <c r="L9" s="4">
        <v>31.062557807983701</v>
      </c>
      <c r="M9" s="4">
        <v>5.9580021657933599</v>
      </c>
      <c r="N9" s="4">
        <v>74.3693179080839</v>
      </c>
      <c r="O9" s="4">
        <v>72.679319804639306</v>
      </c>
      <c r="P9" s="4">
        <v>189029.78406932499</v>
      </c>
      <c r="Q9" s="4">
        <v>127097.13784378501</v>
      </c>
      <c r="R9" s="4">
        <v>727.42313616083197</v>
      </c>
      <c r="S9" s="4">
        <v>0</v>
      </c>
      <c r="T9" s="4">
        <v>0</v>
      </c>
      <c r="U9" s="4">
        <v>7.3630733132532905E-2</v>
      </c>
      <c r="V9" s="4">
        <v>0.58373670321534898</v>
      </c>
      <c r="W9" s="4">
        <v>0</v>
      </c>
      <c r="X9" s="4">
        <v>0.52730184132201796</v>
      </c>
      <c r="Y9" s="4">
        <v>0</v>
      </c>
      <c r="Z9" s="5">
        <v>2.4742279462202201E-4</v>
      </c>
      <c r="AA9" s="5">
        <v>4.5071191094598501E-5</v>
      </c>
      <c r="AB9" s="10">
        <v>2.3466593777302799E-3</v>
      </c>
      <c r="AC9" s="10">
        <v>1.17800212832586E-7</v>
      </c>
      <c r="AD9" s="10">
        <v>4.8424477061580901E-4</v>
      </c>
      <c r="AE9" s="4">
        <v>1.17755611922598E-2</v>
      </c>
      <c r="AF9" s="4">
        <v>0.94189801727003397</v>
      </c>
      <c r="AG9" s="4">
        <v>0.99880772573483301</v>
      </c>
      <c r="AH9" s="4">
        <v>0.99983917649857801</v>
      </c>
      <c r="AI9" s="4">
        <v>0.99998589033847296</v>
      </c>
      <c r="AJ9" s="4">
        <v>0.99999997836384702</v>
      </c>
      <c r="AK9" s="4">
        <v>1</v>
      </c>
      <c r="AL9" s="4">
        <v>1</v>
      </c>
      <c r="AM9" s="4">
        <v>0</v>
      </c>
      <c r="AN9" s="4">
        <v>0</v>
      </c>
      <c r="AO9" s="4" t="s">
        <v>71</v>
      </c>
      <c r="AP9" s="4">
        <f>-75--50</f>
        <v>-25</v>
      </c>
      <c r="AQ9" s="6">
        <v>19323213352.080002</v>
      </c>
      <c r="AR9" s="4">
        <v>152035</v>
      </c>
      <c r="AS9" s="21">
        <f t="shared" si="1"/>
        <v>3.1235159342755418E-3</v>
      </c>
      <c r="AT9" s="21">
        <f t="shared" si="2"/>
        <v>3.6844929416868011</v>
      </c>
      <c r="AU9" s="21">
        <f t="shared" si="3"/>
        <v>-1.2056098418700145E-5</v>
      </c>
      <c r="AV9" s="21"/>
      <c r="AW9" s="21"/>
      <c r="AX9" s="21"/>
    </row>
    <row r="10" spans="1:50" x14ac:dyDescent="0.25">
      <c r="A10">
        <v>98</v>
      </c>
      <c r="B10" s="4">
        <v>0.99635377898440902</v>
      </c>
      <c r="C10" s="4">
        <v>3.0465129365078698</v>
      </c>
      <c r="D10" s="4">
        <v>4.2887764747585004</v>
      </c>
      <c r="E10" s="4">
        <v>2.5749156444770998E-3</v>
      </c>
      <c r="F10" s="5">
        <v>3.6462210155903201E-3</v>
      </c>
      <c r="G10" s="5">
        <v>0</v>
      </c>
      <c r="H10" s="4">
        <v>3.8147644463838701</v>
      </c>
      <c r="I10" s="4">
        <v>3.9385800955981201</v>
      </c>
      <c r="J10" s="4">
        <v>-26.9431481923205</v>
      </c>
      <c r="K10" s="4">
        <v>-34.356061812946898</v>
      </c>
      <c r="L10" s="4">
        <v>24.1592810592376</v>
      </c>
      <c r="M10" s="4">
        <v>5.8762243579481597</v>
      </c>
      <c r="N10" s="4">
        <v>72.298182982230799</v>
      </c>
      <c r="O10" s="4">
        <v>70.509368793532303</v>
      </c>
      <c r="P10" s="4">
        <v>229148.32254543999</v>
      </c>
      <c r="Q10" s="4">
        <v>164440.23126567001</v>
      </c>
      <c r="R10" s="4">
        <v>754.61183598082096</v>
      </c>
      <c r="S10" s="4">
        <v>0</v>
      </c>
      <c r="T10" s="4">
        <v>0</v>
      </c>
      <c r="U10" s="4">
        <v>0.13975763263160301</v>
      </c>
      <c r="V10" s="4">
        <v>0.45987101425051502</v>
      </c>
      <c r="W10" s="4">
        <v>0</v>
      </c>
      <c r="X10" s="4">
        <v>0.61722511752062104</v>
      </c>
      <c r="Y10" s="4">
        <v>0</v>
      </c>
      <c r="Z10" s="5">
        <v>2.4573447084066702E-4</v>
      </c>
      <c r="AA10" s="5">
        <v>3.8118663843565801E-5</v>
      </c>
      <c r="AB10" s="10">
        <v>2.2919001305609201E-3</v>
      </c>
      <c r="AC10" s="10">
        <v>1.02161518665692E-7</v>
      </c>
      <c r="AD10" s="10">
        <v>1.07035106331625E-3</v>
      </c>
      <c r="AE10" s="4">
        <v>1.4552107578091399E-2</v>
      </c>
      <c r="AF10" s="4">
        <v>0.91839614989188401</v>
      </c>
      <c r="AG10" s="4">
        <v>0.99898628312063098</v>
      </c>
      <c r="AH10" s="4">
        <v>0.99988081398010498</v>
      </c>
      <c r="AI10" s="4">
        <v>0.99997991041918199</v>
      </c>
      <c r="AJ10" s="4">
        <v>1</v>
      </c>
      <c r="AK10" s="4">
        <v>1</v>
      </c>
      <c r="AL10" s="4">
        <v>1</v>
      </c>
      <c r="AM10" s="4">
        <v>0</v>
      </c>
      <c r="AN10" s="4">
        <v>0</v>
      </c>
      <c r="AO10" s="4" t="s">
        <v>72</v>
      </c>
      <c r="AP10" s="4">
        <f>-50--25</f>
        <v>-25</v>
      </c>
      <c r="AQ10" s="6">
        <v>98157169526.410004</v>
      </c>
      <c r="AR10" s="4">
        <v>596917</v>
      </c>
      <c r="AS10" s="21">
        <f t="shared" si="1"/>
        <v>3.6462064900800685E-3</v>
      </c>
      <c r="AT10" s="21">
        <f t="shared" si="2"/>
        <v>4.2887597306523029</v>
      </c>
      <c r="AU10" s="21">
        <f t="shared" si="3"/>
        <v>-1.6744106197563724E-5</v>
      </c>
      <c r="AV10" s="21"/>
      <c r="AW10" s="21"/>
      <c r="AX10" s="21"/>
    </row>
    <row r="11" spans="1:50" x14ac:dyDescent="0.25">
      <c r="A11">
        <v>98</v>
      </c>
      <c r="B11" s="4">
        <v>0.99334296331094996</v>
      </c>
      <c r="C11" s="4">
        <v>5.2697495986964098</v>
      </c>
      <c r="D11" s="4">
        <v>7.7023516442780604</v>
      </c>
      <c r="E11" s="4">
        <v>4.5012391523114202E-3</v>
      </c>
      <c r="F11" s="5">
        <v>6.6570366890496202E-3</v>
      </c>
      <c r="G11" s="5">
        <v>0</v>
      </c>
      <c r="H11" s="4">
        <v>3.8997694686506899</v>
      </c>
      <c r="I11" s="4">
        <v>3.9244332647140499</v>
      </c>
      <c r="J11" s="4">
        <v>-23.784483790835701</v>
      </c>
      <c r="K11" s="4">
        <v>-10.820082845364899</v>
      </c>
      <c r="L11" s="4">
        <v>19.7978834185236</v>
      </c>
      <c r="M11" s="4">
        <v>6.9226043834368998</v>
      </c>
      <c r="N11" s="4">
        <v>68.570879848725198</v>
      </c>
      <c r="O11" s="4">
        <v>66.568097172252493</v>
      </c>
      <c r="P11" s="4">
        <v>271664.64860427502</v>
      </c>
      <c r="Q11" s="4">
        <v>200930.814350917</v>
      </c>
      <c r="R11" s="4">
        <v>764.99430330183804</v>
      </c>
      <c r="S11" s="4">
        <v>0</v>
      </c>
      <c r="T11" s="4">
        <v>0</v>
      </c>
      <c r="U11" s="4">
        <v>0.15402655290700301</v>
      </c>
      <c r="V11" s="4">
        <v>0.41729222757754902</v>
      </c>
      <c r="W11" s="4">
        <v>0</v>
      </c>
      <c r="X11" s="4">
        <v>0.72158605596955405</v>
      </c>
      <c r="Y11" s="4">
        <v>0</v>
      </c>
      <c r="Z11" s="5">
        <v>2.7101314361881298E-4</v>
      </c>
      <c r="AA11" s="5">
        <v>4.08861317225234E-5</v>
      </c>
      <c r="AB11" s="10">
        <v>2.4542207034484302E-3</v>
      </c>
      <c r="AC11" s="10">
        <v>1.18846957922182E-7</v>
      </c>
      <c r="AD11" s="10">
        <v>3.8907834711051502E-3</v>
      </c>
      <c r="AE11" s="4">
        <v>1.7736577902141899E-2</v>
      </c>
      <c r="AF11" s="4">
        <v>0.85428610346686995</v>
      </c>
      <c r="AG11" s="4">
        <v>0.99868628350294997</v>
      </c>
      <c r="AH11" s="4">
        <v>0.99983323833053805</v>
      </c>
      <c r="AI11" s="4">
        <v>0.99997476209184499</v>
      </c>
      <c r="AJ11" s="4">
        <v>1</v>
      </c>
      <c r="AK11" s="4">
        <v>1</v>
      </c>
      <c r="AL11" s="4">
        <v>1</v>
      </c>
      <c r="AM11" s="4">
        <v>0</v>
      </c>
      <c r="AN11" s="4">
        <v>0</v>
      </c>
      <c r="AO11" s="4" t="s">
        <v>73</v>
      </c>
      <c r="AP11" s="4">
        <f>-25-0</f>
        <v>-25</v>
      </c>
      <c r="AQ11" s="6">
        <v>327656874307.96997</v>
      </c>
      <c r="AR11" s="4">
        <v>1630695</v>
      </c>
      <c r="AS11" s="21">
        <f t="shared" si="1"/>
        <v>6.6570222968528395E-3</v>
      </c>
      <c r="AT11" s="21">
        <f t="shared" si="2"/>
        <v>7.7023355970588288</v>
      </c>
      <c r="AU11" s="21">
        <f t="shared" si="3"/>
        <v>-1.6047219231651866E-5</v>
      </c>
      <c r="AV11" s="21"/>
      <c r="AW11" s="21"/>
      <c r="AX11" s="21"/>
    </row>
    <row r="12" spans="1:50" x14ac:dyDescent="0.25">
      <c r="A12">
        <v>98</v>
      </c>
      <c r="B12" s="4">
        <v>0.98826856256747397</v>
      </c>
      <c r="C12" s="4">
        <v>14.230548502737999</v>
      </c>
      <c r="D12" s="4">
        <v>13.203989254403099</v>
      </c>
      <c r="E12" s="4">
        <v>1.27108004822258E-2</v>
      </c>
      <c r="F12" s="5">
        <v>1.17314374325251E-2</v>
      </c>
      <c r="G12" s="5">
        <v>0</v>
      </c>
      <c r="H12" s="4">
        <v>4.0921059962979101</v>
      </c>
      <c r="I12" s="4">
        <v>3.9055032770448399</v>
      </c>
      <c r="J12" s="4">
        <v>-17.959353876008201</v>
      </c>
      <c r="K12" s="4">
        <v>13.5555981017785</v>
      </c>
      <c r="L12" s="4">
        <v>19.269107310698399</v>
      </c>
      <c r="M12" s="4">
        <v>10.066819657532699</v>
      </c>
      <c r="N12" s="4">
        <v>67.6459690284115</v>
      </c>
      <c r="O12" s="4">
        <v>65.338775536668805</v>
      </c>
      <c r="P12" s="4">
        <v>274763.80297591299</v>
      </c>
      <c r="Q12" s="4">
        <v>206665.961847042</v>
      </c>
      <c r="R12" s="4">
        <v>766.06866919995002</v>
      </c>
      <c r="S12" s="4">
        <v>0</v>
      </c>
      <c r="T12" s="4">
        <v>0</v>
      </c>
      <c r="U12" s="4">
        <v>9.4194070818737999E-2</v>
      </c>
      <c r="V12" s="4">
        <v>0.44876224153058702</v>
      </c>
      <c r="W12" s="4">
        <v>0</v>
      </c>
      <c r="X12" s="4">
        <v>0.75055308834233903</v>
      </c>
      <c r="Y12" s="4">
        <v>0</v>
      </c>
      <c r="Z12" s="5">
        <v>3.2098313494690001E-4</v>
      </c>
      <c r="AA12" s="5">
        <v>5.9362938685287497E-5</v>
      </c>
      <c r="AB12" s="10">
        <v>2.90846800523703E-3</v>
      </c>
      <c r="AC12" s="10">
        <v>5.1754544396216898E-7</v>
      </c>
      <c r="AD12" s="10">
        <v>8.4420919454424592E-3</v>
      </c>
      <c r="AE12" s="4">
        <v>1.6974883448780499E-2</v>
      </c>
      <c r="AF12" s="4">
        <v>0.80684777854922096</v>
      </c>
      <c r="AG12" s="4">
        <v>0.99343142745295498</v>
      </c>
      <c r="AH12" s="4">
        <v>0.99937510847949995</v>
      </c>
      <c r="AI12" s="4">
        <v>0.99986741611721996</v>
      </c>
      <c r="AJ12" s="4">
        <v>1</v>
      </c>
      <c r="AK12" s="4">
        <v>1</v>
      </c>
      <c r="AL12" s="4">
        <v>1</v>
      </c>
      <c r="AM12" s="4">
        <v>0</v>
      </c>
      <c r="AN12" s="4">
        <v>0</v>
      </c>
      <c r="AO12" s="4" t="s">
        <v>74</v>
      </c>
      <c r="AP12" s="4" t="s">
        <v>75</v>
      </c>
      <c r="AQ12" s="6">
        <v>584441833469.18994</v>
      </c>
      <c r="AR12" s="4">
        <v>2827954</v>
      </c>
      <c r="AS12" s="21">
        <f t="shared" si="1"/>
        <v>1.173142356975564E-2</v>
      </c>
      <c r="AT12" s="21">
        <f t="shared" si="2"/>
        <v>13.203974644206296</v>
      </c>
      <c r="AU12" s="21">
        <f t="shared" si="3"/>
        <v>-1.4610196803488407E-5</v>
      </c>
      <c r="AV12" s="21"/>
      <c r="AW12" s="21"/>
      <c r="AX12" s="21"/>
    </row>
    <row r="13" spans="1:50" x14ac:dyDescent="0.25">
      <c r="A13">
        <v>98</v>
      </c>
      <c r="B13" s="4">
        <v>0.98149776432402702</v>
      </c>
      <c r="C13" s="4">
        <v>23.084291786547901</v>
      </c>
      <c r="D13" s="4">
        <v>20.077000175074598</v>
      </c>
      <c r="E13" s="4">
        <v>2.1634221140550199E-2</v>
      </c>
      <c r="F13" s="5">
        <v>1.85022356759727E-2</v>
      </c>
      <c r="G13" s="5">
        <v>0</v>
      </c>
      <c r="H13" s="4">
        <v>4.3013654925065898</v>
      </c>
      <c r="I13" s="4">
        <v>3.8907637991788802</v>
      </c>
      <c r="J13" s="4">
        <v>-12.962708744833099</v>
      </c>
      <c r="K13" s="4">
        <v>37.537227383588402</v>
      </c>
      <c r="L13" s="4">
        <v>19.082686558933901</v>
      </c>
      <c r="M13" s="4">
        <v>13.9034856766751</v>
      </c>
      <c r="N13" s="4">
        <v>66.898750749382202</v>
      </c>
      <c r="O13" s="4">
        <v>64.143027445504202</v>
      </c>
      <c r="P13" s="4">
        <v>279145.35803867801</v>
      </c>
      <c r="Q13" s="4">
        <v>208659.87327086099</v>
      </c>
      <c r="R13" s="4">
        <v>765.43270207992998</v>
      </c>
      <c r="S13" s="4">
        <v>0</v>
      </c>
      <c r="T13" s="4">
        <v>0</v>
      </c>
      <c r="U13" s="4">
        <v>6.0224108817050398E-2</v>
      </c>
      <c r="V13" s="4">
        <v>0.48378460449502098</v>
      </c>
      <c r="W13" s="4">
        <v>0</v>
      </c>
      <c r="X13" s="4">
        <v>0.75792402887058297</v>
      </c>
      <c r="Y13" s="4">
        <v>0</v>
      </c>
      <c r="Z13" s="5">
        <v>3.5648605671181102E-4</v>
      </c>
      <c r="AA13" s="5">
        <v>9.1421628281805099E-5</v>
      </c>
      <c r="AB13" s="10">
        <v>3.28664857185264E-3</v>
      </c>
      <c r="AC13" s="10">
        <v>1.93701444765684E-6</v>
      </c>
      <c r="AD13" s="10">
        <v>1.4765728868666599E-2</v>
      </c>
      <c r="AE13" s="4">
        <v>1.8127673263462402E-2</v>
      </c>
      <c r="AF13" s="4">
        <v>0.762450155597862</v>
      </c>
      <c r="AG13" s="4">
        <v>0.98164697269449397</v>
      </c>
      <c r="AH13" s="4">
        <v>0.99828672103528904</v>
      </c>
      <c r="AI13" s="4">
        <v>0.99972066311890695</v>
      </c>
      <c r="AJ13" s="4">
        <v>1</v>
      </c>
      <c r="AK13" s="4">
        <v>1</v>
      </c>
      <c r="AL13" s="4">
        <v>1</v>
      </c>
      <c r="AM13" s="4">
        <v>0</v>
      </c>
      <c r="AN13" s="4">
        <v>0</v>
      </c>
      <c r="AO13" s="4" t="s">
        <v>76</v>
      </c>
      <c r="AP13" s="4" t="s">
        <v>77</v>
      </c>
      <c r="AQ13" s="6">
        <v>747222899795.72998</v>
      </c>
      <c r="AR13" s="4">
        <v>3581057</v>
      </c>
      <c r="AS13" s="21">
        <f t="shared" si="1"/>
        <v>1.8502222139960511E-2</v>
      </c>
      <c r="AT13" s="21">
        <f t="shared" si="2"/>
        <v>20.076986948284148</v>
      </c>
      <c r="AU13" s="21">
        <f t="shared" si="3"/>
        <v>-1.3226790450460157E-5</v>
      </c>
      <c r="AV13" s="21"/>
      <c r="AW13" s="21"/>
      <c r="AX13" s="21"/>
    </row>
    <row r="14" spans="1:50" x14ac:dyDescent="0.25">
      <c r="A14">
        <v>98</v>
      </c>
      <c r="B14" s="4">
        <v>0.974928459771505</v>
      </c>
      <c r="C14" s="4">
        <v>28.8394741376501</v>
      </c>
      <c r="D14" s="4">
        <v>26.2651195944444</v>
      </c>
      <c r="E14" s="4">
        <v>2.7954496301904799E-2</v>
      </c>
      <c r="F14" s="5">
        <v>2.50715402284943E-2</v>
      </c>
      <c r="G14" s="5">
        <v>0</v>
      </c>
      <c r="H14" s="4">
        <v>4.5960168942200204</v>
      </c>
      <c r="I14" s="4">
        <v>3.9180779066887799</v>
      </c>
      <c r="J14" s="4">
        <v>-9.2438109085772098</v>
      </c>
      <c r="K14" s="4">
        <v>62.796666444336601</v>
      </c>
      <c r="L14" s="4">
        <v>20.299243408289701</v>
      </c>
      <c r="M14" s="4">
        <v>19.677075957872301</v>
      </c>
      <c r="N14" s="4">
        <v>67.019397958764401</v>
      </c>
      <c r="O14" s="4">
        <v>64.363631841432905</v>
      </c>
      <c r="P14" s="4">
        <v>260390.447838672</v>
      </c>
      <c r="Q14" s="4">
        <v>196254.86540785601</v>
      </c>
      <c r="R14" s="4">
        <v>763.12413979975702</v>
      </c>
      <c r="S14" s="4">
        <v>0</v>
      </c>
      <c r="T14" s="4">
        <v>0</v>
      </c>
      <c r="U14" s="4">
        <v>3.5944439698929201E-2</v>
      </c>
      <c r="V14" s="4">
        <v>0.51021172582812302</v>
      </c>
      <c r="W14" s="4">
        <v>0</v>
      </c>
      <c r="X14" s="4">
        <v>0.74362544490431404</v>
      </c>
      <c r="Y14" s="4">
        <v>0</v>
      </c>
      <c r="Z14" s="5">
        <v>3.8391033400297101E-4</v>
      </c>
      <c r="AA14" s="5">
        <v>1.6132670519636001E-4</v>
      </c>
      <c r="AB14" s="10">
        <v>3.7636712459849101E-3</v>
      </c>
      <c r="AC14" s="10">
        <v>3.66868600290948E-6</v>
      </c>
      <c r="AD14" s="10">
        <v>2.07589491542454E-2</v>
      </c>
      <c r="AE14" s="4">
        <v>5.83910841364748E-3</v>
      </c>
      <c r="AF14" s="4">
        <v>0.79667798391682298</v>
      </c>
      <c r="AG14" s="4">
        <v>0.98225322657937997</v>
      </c>
      <c r="AH14" s="4">
        <v>0.99760973738220904</v>
      </c>
      <c r="AI14" s="4">
        <v>0.99963777543878196</v>
      </c>
      <c r="AJ14" s="4">
        <v>1</v>
      </c>
      <c r="AK14" s="4">
        <v>1</v>
      </c>
      <c r="AL14" s="4">
        <v>1</v>
      </c>
      <c r="AM14" s="4">
        <v>0</v>
      </c>
      <c r="AN14" s="4">
        <v>0</v>
      </c>
      <c r="AO14" s="4" t="s">
        <v>78</v>
      </c>
      <c r="AP14" s="4" t="s">
        <v>79</v>
      </c>
      <c r="AQ14" s="6">
        <v>770690893908</v>
      </c>
      <c r="AR14" s="4">
        <v>3926990</v>
      </c>
      <c r="AS14" s="21">
        <f t="shared" si="1"/>
        <v>2.507152612543255E-2</v>
      </c>
      <c r="AT14" s="21">
        <f t="shared" si="2"/>
        <v>26.265106794887839</v>
      </c>
      <c r="AU14" s="21">
        <f t="shared" si="3"/>
        <v>-1.2799556561304826E-5</v>
      </c>
      <c r="AV14" s="21"/>
      <c r="AW14" s="21"/>
      <c r="AX14" s="21"/>
    </row>
    <row r="15" spans="1:50" x14ac:dyDescent="0.25">
      <c r="A15">
        <v>98</v>
      </c>
      <c r="B15" s="4">
        <v>0.96936610894990505</v>
      </c>
      <c r="C15" s="4">
        <v>33.406296177250098</v>
      </c>
      <c r="D15" s="4">
        <v>31.157920296034298</v>
      </c>
      <c r="E15" s="4">
        <v>3.3312511914526097E-2</v>
      </c>
      <c r="F15" s="5">
        <v>3.0633891050094501E-2</v>
      </c>
      <c r="G15" s="5">
        <v>0</v>
      </c>
      <c r="H15" s="4">
        <v>4.7911219957421096</v>
      </c>
      <c r="I15" s="4">
        <v>3.8841703505166998</v>
      </c>
      <c r="J15" s="4">
        <v>-4.6873593246262901</v>
      </c>
      <c r="K15" s="4">
        <v>86.878109480871103</v>
      </c>
      <c r="L15" s="4">
        <v>20.239310961299399</v>
      </c>
      <c r="M15" s="4">
        <v>23.7832211974461</v>
      </c>
      <c r="N15" s="4">
        <v>66.368215484131795</v>
      </c>
      <c r="O15" s="4">
        <v>63.494070790491797</v>
      </c>
      <c r="P15" s="4">
        <v>262190.67623053299</v>
      </c>
      <c r="Q15" s="4">
        <v>196925.55951398201</v>
      </c>
      <c r="R15" s="4">
        <v>761.610473373432</v>
      </c>
      <c r="S15" s="4">
        <v>0</v>
      </c>
      <c r="T15" s="4">
        <v>0</v>
      </c>
      <c r="U15" s="4">
        <v>3.6516799034872302E-2</v>
      </c>
      <c r="V15" s="4">
        <v>0.53617256566191496</v>
      </c>
      <c r="W15" s="4">
        <v>0</v>
      </c>
      <c r="X15" s="4">
        <v>0.74373490386713903</v>
      </c>
      <c r="Y15" s="4">
        <v>0</v>
      </c>
      <c r="Z15" s="5">
        <v>3.9716038732631899E-4</v>
      </c>
      <c r="AA15" s="5">
        <v>2.3615770803305899E-4</v>
      </c>
      <c r="AB15" s="10">
        <v>4.0716784647134201E-3</v>
      </c>
      <c r="AC15" s="10">
        <v>6.1806100488089298E-6</v>
      </c>
      <c r="AD15" s="10">
        <v>2.5922699191130601E-2</v>
      </c>
      <c r="AE15" s="4">
        <v>3.0144263709233998E-3</v>
      </c>
      <c r="AF15" s="4">
        <v>0.79352001567956698</v>
      </c>
      <c r="AG15" s="4">
        <v>0.97934279126256596</v>
      </c>
      <c r="AH15" s="4">
        <v>0.99674261692266497</v>
      </c>
      <c r="AI15" s="4">
        <v>0.99955088273381398</v>
      </c>
      <c r="AJ15" s="4">
        <v>1</v>
      </c>
      <c r="AK15" s="4">
        <v>1</v>
      </c>
      <c r="AL15" s="4">
        <v>1</v>
      </c>
      <c r="AM15" s="4">
        <v>0</v>
      </c>
      <c r="AN15" s="4">
        <v>0</v>
      </c>
      <c r="AO15" s="4" t="s">
        <v>80</v>
      </c>
      <c r="AP15" s="4" t="s">
        <v>81</v>
      </c>
      <c r="AQ15" s="6">
        <v>712885294857.57996</v>
      </c>
      <c r="AR15" s="4">
        <v>3620075</v>
      </c>
      <c r="AS15" s="21">
        <f t="shared" si="1"/>
        <v>3.063387636125221E-2</v>
      </c>
      <c r="AT15" s="21">
        <f t="shared" si="2"/>
        <v>31.157907778032833</v>
      </c>
      <c r="AU15" s="21">
        <f t="shared" si="3"/>
        <v>-1.2518001465622319E-5</v>
      </c>
      <c r="AV15" s="21"/>
      <c r="AW15" s="21"/>
      <c r="AX15" s="21"/>
    </row>
    <row r="16" spans="1:50" x14ac:dyDescent="0.25">
      <c r="A16">
        <v>98</v>
      </c>
      <c r="B16" s="4">
        <v>0.96578005915630205</v>
      </c>
      <c r="C16" s="4">
        <v>35.63981088245</v>
      </c>
      <c r="D16" s="4">
        <v>34.152573032701298</v>
      </c>
      <c r="E16" s="4">
        <v>3.6056803068805397E-2</v>
      </c>
      <c r="F16" s="5">
        <v>3.4219940843697803E-2</v>
      </c>
      <c r="G16" s="5">
        <v>0</v>
      </c>
      <c r="H16" s="4">
        <v>4.95628803382459</v>
      </c>
      <c r="I16" s="4">
        <v>3.8076926102053101</v>
      </c>
      <c r="J16" s="4">
        <v>0.39050218664465802</v>
      </c>
      <c r="K16" s="4">
        <v>112.144734442329</v>
      </c>
      <c r="L16" s="4">
        <v>20.6599596478144</v>
      </c>
      <c r="M16" s="4">
        <v>27.802723163832901</v>
      </c>
      <c r="N16" s="4">
        <v>67.357671709710999</v>
      </c>
      <c r="O16" s="4">
        <v>63.940192150324101</v>
      </c>
      <c r="P16" s="4">
        <v>251518.276416837</v>
      </c>
      <c r="Q16" s="4">
        <v>193033.20717879801</v>
      </c>
      <c r="R16" s="4">
        <v>760.01570742897798</v>
      </c>
      <c r="S16" s="4">
        <v>0</v>
      </c>
      <c r="T16" s="4">
        <v>0</v>
      </c>
      <c r="U16" s="4">
        <v>3.8827873445036097E-2</v>
      </c>
      <c r="V16" s="4">
        <v>0.54406377628779501</v>
      </c>
      <c r="W16" s="4">
        <v>0</v>
      </c>
      <c r="X16" s="4">
        <v>0.724448600521992</v>
      </c>
      <c r="Y16" s="4">
        <v>0</v>
      </c>
      <c r="Z16" s="5">
        <v>4.1009589847938201E-4</v>
      </c>
      <c r="AA16" s="5">
        <v>3.5096381563681599E-4</v>
      </c>
      <c r="AB16" s="10">
        <v>4.3468884153464397E-3</v>
      </c>
      <c r="AC16" s="10">
        <v>1.0464849546239201E-5</v>
      </c>
      <c r="AD16" s="10">
        <v>2.91015128129373E-2</v>
      </c>
      <c r="AE16" s="4">
        <v>5.1522930395440604E-3</v>
      </c>
      <c r="AF16" s="4">
        <v>0.78441536333024797</v>
      </c>
      <c r="AG16" s="4">
        <v>0.97611389241991298</v>
      </c>
      <c r="AH16" s="4">
        <v>0.99567029133782303</v>
      </c>
      <c r="AI16" s="4">
        <v>0.99927908197127902</v>
      </c>
      <c r="AJ16" s="4">
        <v>1</v>
      </c>
      <c r="AK16" s="4">
        <v>1</v>
      </c>
      <c r="AL16" s="4">
        <v>1</v>
      </c>
      <c r="AM16" s="4">
        <v>0</v>
      </c>
      <c r="AN16" s="4">
        <v>0</v>
      </c>
      <c r="AO16" s="4" t="s">
        <v>82</v>
      </c>
      <c r="AP16" s="4" t="s">
        <v>83</v>
      </c>
      <c r="AQ16" s="6">
        <v>574710046405.15002</v>
      </c>
      <c r="AR16" s="4">
        <v>2977260</v>
      </c>
      <c r="AS16" s="21">
        <f t="shared" si="1"/>
        <v>3.4219925791946174E-2</v>
      </c>
      <c r="AT16" s="21">
        <f t="shared" si="2"/>
        <v>34.152560717857639</v>
      </c>
      <c r="AU16" s="21">
        <f t="shared" si="3"/>
        <v>-1.2314843658600694E-5</v>
      </c>
      <c r="AV16" s="21"/>
      <c r="AW16" s="21"/>
      <c r="AX16" s="21"/>
    </row>
    <row r="17" spans="1:50" x14ac:dyDescent="0.25">
      <c r="A17">
        <v>98</v>
      </c>
      <c r="B17" s="4">
        <v>0.96184914354350604</v>
      </c>
      <c r="C17" s="4">
        <v>37.643354457432103</v>
      </c>
      <c r="D17" s="4">
        <v>37.297688479880698</v>
      </c>
      <c r="E17" s="4">
        <v>3.8593851249744397E-2</v>
      </c>
      <c r="F17" s="5">
        <v>3.8150856456493201E-2</v>
      </c>
      <c r="G17" s="5">
        <v>0</v>
      </c>
      <c r="H17" s="4">
        <v>5.0854573587738496</v>
      </c>
      <c r="I17" s="4">
        <v>3.73527397542746</v>
      </c>
      <c r="J17" s="4">
        <v>6.4569427983869101</v>
      </c>
      <c r="K17" s="4">
        <v>135.92639601254999</v>
      </c>
      <c r="L17" s="4">
        <v>19.6189202697886</v>
      </c>
      <c r="M17" s="4">
        <v>30.983887835793301</v>
      </c>
      <c r="N17" s="4">
        <v>67.344642321148299</v>
      </c>
      <c r="O17" s="4">
        <v>63.348267004484498</v>
      </c>
      <c r="P17" s="4">
        <v>263489.46143973398</v>
      </c>
      <c r="Q17" s="4">
        <v>203342.23668228701</v>
      </c>
      <c r="R17" s="4">
        <v>758.42407241227295</v>
      </c>
      <c r="S17" s="4">
        <v>0</v>
      </c>
      <c r="T17" s="4">
        <v>0</v>
      </c>
      <c r="U17" s="4">
        <v>4.34272914217671E-2</v>
      </c>
      <c r="V17" s="4">
        <v>0.54957219346782205</v>
      </c>
      <c r="W17" s="4">
        <v>0</v>
      </c>
      <c r="X17" s="4">
        <v>0.72778021769602597</v>
      </c>
      <c r="Y17" s="4">
        <v>0</v>
      </c>
      <c r="Z17" s="5">
        <v>4.1909082411246002E-4</v>
      </c>
      <c r="AA17" s="5">
        <v>4.70070538669825E-4</v>
      </c>
      <c r="AB17" s="10">
        <v>4.3074938520037097E-3</v>
      </c>
      <c r="AC17" s="10">
        <v>1.46023535050649E-5</v>
      </c>
      <c r="AD17" s="10">
        <v>3.29395836832099E-2</v>
      </c>
      <c r="AE17" s="4">
        <v>1.09227634261091E-2</v>
      </c>
      <c r="AF17" s="4">
        <v>0.76300385441323604</v>
      </c>
      <c r="AG17" s="4">
        <v>0.97215271904343104</v>
      </c>
      <c r="AH17" s="4">
        <v>0.99449152574166899</v>
      </c>
      <c r="AI17" s="4">
        <v>0.99925270246087905</v>
      </c>
      <c r="AJ17" s="4">
        <v>1</v>
      </c>
      <c r="AK17" s="4">
        <v>1</v>
      </c>
      <c r="AL17" s="4">
        <v>1</v>
      </c>
      <c r="AM17" s="4">
        <v>0</v>
      </c>
      <c r="AN17" s="4">
        <v>0</v>
      </c>
      <c r="AO17" s="4" t="s">
        <v>84</v>
      </c>
      <c r="AP17" s="4" t="s">
        <v>85</v>
      </c>
      <c r="AQ17" s="6">
        <v>364521053904.03003</v>
      </c>
      <c r="AR17" s="4">
        <v>1792648</v>
      </c>
      <c r="AS17" s="21">
        <f t="shared" si="1"/>
        <v>3.8150841251500957E-2</v>
      </c>
      <c r="AT17" s="21">
        <f t="shared" si="2"/>
        <v>37.297676585438708</v>
      </c>
      <c r="AU17" s="21">
        <f t="shared" si="3"/>
        <v>-1.189444198956835E-5</v>
      </c>
      <c r="AV17" s="21"/>
      <c r="AW17" s="21"/>
      <c r="AX17" s="21"/>
    </row>
    <row r="18" spans="1:50" x14ac:dyDescent="0.25">
      <c r="A18">
        <v>98</v>
      </c>
      <c r="B18" s="4">
        <v>0.96064057800127201</v>
      </c>
      <c r="C18" s="4">
        <v>37.308278788764802</v>
      </c>
      <c r="D18" s="4">
        <v>38.236609236806999</v>
      </c>
      <c r="E18" s="4">
        <v>3.8164395388718103E-2</v>
      </c>
      <c r="F18" s="5">
        <v>3.9359421998727703E-2</v>
      </c>
      <c r="G18" s="5">
        <v>0</v>
      </c>
      <c r="H18" s="4">
        <v>5.2855985328252304</v>
      </c>
      <c r="I18" s="4">
        <v>3.7024559368443399</v>
      </c>
      <c r="J18" s="4">
        <v>21.181200856229601</v>
      </c>
      <c r="K18" s="4">
        <v>160.76806584602701</v>
      </c>
      <c r="L18" s="4">
        <v>19.601502877350999</v>
      </c>
      <c r="M18" s="4">
        <v>33.659577447728601</v>
      </c>
      <c r="N18" s="4">
        <v>68.637571628862503</v>
      </c>
      <c r="O18" s="4">
        <v>64.320747738158502</v>
      </c>
      <c r="P18" s="4">
        <v>263101.08348506503</v>
      </c>
      <c r="Q18" s="4">
        <v>203543.52715679299</v>
      </c>
      <c r="R18" s="4">
        <v>754.91786686240198</v>
      </c>
      <c r="S18" s="4">
        <v>0</v>
      </c>
      <c r="T18" s="4">
        <v>0</v>
      </c>
      <c r="U18" s="4">
        <v>4.4097438201168099E-2</v>
      </c>
      <c r="V18" s="4">
        <v>0.57795405607390204</v>
      </c>
      <c r="W18" s="4">
        <v>0</v>
      </c>
      <c r="X18" s="4">
        <v>0.73390816114904101</v>
      </c>
      <c r="Y18" s="4">
        <v>0</v>
      </c>
      <c r="Z18" s="5">
        <v>4.2920480648261201E-4</v>
      </c>
      <c r="AA18" s="5">
        <v>7.0972241137921995E-4</v>
      </c>
      <c r="AB18" s="10">
        <v>4.3514434967424596E-3</v>
      </c>
      <c r="AC18" s="10">
        <v>1.6244167243565001E-5</v>
      </c>
      <c r="AD18" s="10">
        <v>3.3852791835306303E-2</v>
      </c>
      <c r="AE18" s="4">
        <v>1.13319640103075E-2</v>
      </c>
      <c r="AF18" s="4">
        <v>0.76945711092303704</v>
      </c>
      <c r="AG18" s="4">
        <v>0.97318185780727395</v>
      </c>
      <c r="AH18" s="4">
        <v>0.99439300015222998</v>
      </c>
      <c r="AI18" s="4">
        <v>0.999149835075684</v>
      </c>
      <c r="AJ18" s="4">
        <v>1</v>
      </c>
      <c r="AK18" s="4">
        <v>1</v>
      </c>
      <c r="AL18" s="4">
        <v>1</v>
      </c>
      <c r="AM18" s="4">
        <v>0</v>
      </c>
      <c r="AN18" s="4">
        <v>0</v>
      </c>
      <c r="AO18" s="4" t="s">
        <v>86</v>
      </c>
      <c r="AP18" s="4" t="s">
        <v>87</v>
      </c>
      <c r="AQ18" s="6">
        <v>158555522610.48999</v>
      </c>
      <c r="AR18" s="4">
        <v>778976</v>
      </c>
      <c r="AS18" s="21">
        <f t="shared" si="1"/>
        <v>3.9359406717154162E-2</v>
      </c>
      <c r="AT18" s="21">
        <f t="shared" si="2"/>
        <v>38.236597446650769</v>
      </c>
      <c r="AU18" s="21">
        <f t="shared" si="3"/>
        <v>-1.1790156229096738E-5</v>
      </c>
      <c r="AV18" s="21"/>
      <c r="AW18" s="21"/>
      <c r="AX18" s="21"/>
    </row>
    <row r="19" spans="1:50" x14ac:dyDescent="0.25">
      <c r="A19">
        <v>98</v>
      </c>
      <c r="B19" s="4">
        <v>0.95882956966506105</v>
      </c>
      <c r="C19" s="4">
        <v>37.2813435789189</v>
      </c>
      <c r="D19" s="4">
        <v>39.619455227601399</v>
      </c>
      <c r="E19" s="4">
        <v>3.8129964814431198E-2</v>
      </c>
      <c r="F19" s="5">
        <v>4.1170430334938897E-2</v>
      </c>
      <c r="G19" s="5">
        <v>0</v>
      </c>
      <c r="H19" s="4">
        <v>5.4479176764502304</v>
      </c>
      <c r="I19" s="4">
        <v>3.6793060836173201</v>
      </c>
      <c r="J19" s="4">
        <v>36.051658766761101</v>
      </c>
      <c r="K19" s="4">
        <v>184.313697504326</v>
      </c>
      <c r="L19" s="4">
        <v>18.3078095887711</v>
      </c>
      <c r="M19" s="4">
        <v>35.8542165338825</v>
      </c>
      <c r="N19" s="4">
        <v>68.779814698635803</v>
      </c>
      <c r="O19" s="4">
        <v>63.935762199163101</v>
      </c>
      <c r="P19" s="4">
        <v>285327.34911450697</v>
      </c>
      <c r="Q19" s="4">
        <v>217825.43986177401</v>
      </c>
      <c r="R19" s="4">
        <v>753.53227183299305</v>
      </c>
      <c r="S19" s="4">
        <v>0</v>
      </c>
      <c r="T19" s="4">
        <v>0</v>
      </c>
      <c r="U19" s="4">
        <v>4.8056833265320502E-2</v>
      </c>
      <c r="V19" s="4">
        <v>0.573877321587006</v>
      </c>
      <c r="W19" s="4">
        <v>0</v>
      </c>
      <c r="X19" s="4">
        <v>0.74297822908052003</v>
      </c>
      <c r="Y19" s="4">
        <v>0</v>
      </c>
      <c r="Z19" s="5">
        <v>4.3881353008132701E-4</v>
      </c>
      <c r="AA19" s="5">
        <v>9.1418706168073095E-4</v>
      </c>
      <c r="AB19" s="10">
        <v>4.18399996244631E-3</v>
      </c>
      <c r="AC19" s="10">
        <v>2.7898942717282499E-5</v>
      </c>
      <c r="AD19" s="10">
        <v>3.5605515555970503E-2</v>
      </c>
      <c r="AE19" s="4">
        <v>1.6435227594707801E-2</v>
      </c>
      <c r="AF19" s="4">
        <v>0.73657635214130701</v>
      </c>
      <c r="AG19" s="4">
        <v>0.96562998707894898</v>
      </c>
      <c r="AH19" s="4">
        <v>0.990268448382982</v>
      </c>
      <c r="AI19" s="4">
        <v>0.99857478930383703</v>
      </c>
      <c r="AJ19" s="4">
        <v>1</v>
      </c>
      <c r="AK19" s="4">
        <v>1</v>
      </c>
      <c r="AL19" s="4">
        <v>1</v>
      </c>
      <c r="AM19" s="4">
        <v>0</v>
      </c>
      <c r="AN19" s="4">
        <v>0</v>
      </c>
      <c r="AO19" s="4" t="s">
        <v>88</v>
      </c>
      <c r="AP19" s="4" t="s">
        <v>89</v>
      </c>
      <c r="AQ19" s="6">
        <v>48694441430.220001</v>
      </c>
      <c r="AR19" s="4">
        <v>223548</v>
      </c>
      <c r="AS19" s="21">
        <f t="shared" si="1"/>
        <v>4.1170415052896155E-2</v>
      </c>
      <c r="AT19" s="21">
        <f t="shared" si="2"/>
        <v>39.619443679294974</v>
      </c>
      <c r="AU19" s="21">
        <f t="shared" si="3"/>
        <v>-1.1548306424913335E-5</v>
      </c>
      <c r="AV19" s="21"/>
      <c r="AW19" s="21"/>
      <c r="AX19" s="21"/>
    </row>
    <row r="20" spans="1:50" x14ac:dyDescent="0.25">
      <c r="A20">
        <v>98</v>
      </c>
      <c r="B20" s="4">
        <v>0.96229009197520698</v>
      </c>
      <c r="C20" s="4">
        <v>33.998069604528197</v>
      </c>
      <c r="D20" s="4">
        <v>36.951875759451198</v>
      </c>
      <c r="E20" s="4">
        <v>3.4031302621204997E-2</v>
      </c>
      <c r="F20" s="5">
        <v>3.7709908024792703E-2</v>
      </c>
      <c r="G20" s="5">
        <v>0</v>
      </c>
      <c r="H20" s="4">
        <v>5.6692933123913498</v>
      </c>
      <c r="I20" s="4">
        <v>3.68016045904325</v>
      </c>
      <c r="J20" s="4">
        <v>57.971358369301903</v>
      </c>
      <c r="K20" s="4">
        <v>209.47667625583099</v>
      </c>
      <c r="L20" s="4">
        <v>19.628480284546299</v>
      </c>
      <c r="M20" s="4">
        <v>37.124703894482501</v>
      </c>
      <c r="N20" s="4">
        <v>71.347138271519199</v>
      </c>
      <c r="O20" s="4">
        <v>65.753368428902405</v>
      </c>
      <c r="P20" s="4">
        <v>274581.61712075397</v>
      </c>
      <c r="Q20" s="4">
        <v>203001.94292841101</v>
      </c>
      <c r="R20" s="4">
        <v>747.79701356976796</v>
      </c>
      <c r="S20" s="4">
        <v>0</v>
      </c>
      <c r="T20" s="4">
        <v>0</v>
      </c>
      <c r="U20" s="4">
        <v>4.1761583978839598E-2</v>
      </c>
      <c r="V20" s="4">
        <v>0.57622509101253805</v>
      </c>
      <c r="W20" s="4">
        <v>0</v>
      </c>
      <c r="X20" s="4">
        <v>0.72145098298069399</v>
      </c>
      <c r="Y20" s="4">
        <v>0</v>
      </c>
      <c r="Z20" s="5">
        <v>4.4848196317003898E-4</v>
      </c>
      <c r="AA20" s="5">
        <v>1.15134509698018E-3</v>
      </c>
      <c r="AB20" s="10">
        <v>4.3530187406011101E-3</v>
      </c>
      <c r="AC20" s="10">
        <v>5.35449431281982E-5</v>
      </c>
      <c r="AD20" s="10">
        <v>3.1703501916493203E-2</v>
      </c>
      <c r="AE20" s="4">
        <v>2.2257897237828402E-2</v>
      </c>
      <c r="AF20" s="4">
        <v>0.70474574084158303</v>
      </c>
      <c r="AG20" s="4">
        <v>0.94604556946717999</v>
      </c>
      <c r="AH20" s="4">
        <v>0.98192147323635204</v>
      </c>
      <c r="AI20" s="4">
        <v>0.99679256479040401</v>
      </c>
      <c r="AJ20" s="4">
        <v>1</v>
      </c>
      <c r="AK20" s="4">
        <v>1</v>
      </c>
      <c r="AL20" s="4">
        <v>1</v>
      </c>
      <c r="AM20" s="4">
        <v>0</v>
      </c>
      <c r="AN20" s="4">
        <v>0</v>
      </c>
      <c r="AO20" s="4" t="s">
        <v>90</v>
      </c>
      <c r="AP20" s="4" t="s">
        <v>91</v>
      </c>
      <c r="AQ20" s="6">
        <v>9672433574.7099991</v>
      </c>
      <c r="AR20" s="4">
        <v>47647</v>
      </c>
      <c r="AS20" s="21">
        <f t="shared" si="1"/>
        <v>3.7709892660372731E-2</v>
      </c>
      <c r="AT20" s="21">
        <f t="shared" si="2"/>
        <v>36.951863679543649</v>
      </c>
      <c r="AU20" s="21">
        <f t="shared" si="3"/>
        <v>-1.2079907548923075E-5</v>
      </c>
      <c r="AV20" s="21"/>
      <c r="AW20" s="21"/>
      <c r="AX20" s="21"/>
    </row>
    <row r="21" spans="1:50" x14ac:dyDescent="0.25">
      <c r="A21">
        <v>98</v>
      </c>
      <c r="B21" s="4">
        <v>0.96374564860143097</v>
      </c>
      <c r="C21" s="4">
        <v>34.606529816264199</v>
      </c>
      <c r="D21" s="4">
        <v>35.797910572090203</v>
      </c>
      <c r="E21" s="4">
        <v>3.47765480914334E-2</v>
      </c>
      <c r="F21" s="5">
        <v>3.6254351398568897E-2</v>
      </c>
      <c r="G21" s="5">
        <v>0</v>
      </c>
      <c r="H21" s="4">
        <v>5.8339386079510902</v>
      </c>
      <c r="I21" s="4">
        <v>3.6733632838989498</v>
      </c>
      <c r="J21" s="4">
        <v>74.859505530958202</v>
      </c>
      <c r="K21" s="4">
        <v>234.09082868668099</v>
      </c>
      <c r="L21" s="4">
        <v>19.3110546027151</v>
      </c>
      <c r="M21" s="4">
        <v>37.518982666769702</v>
      </c>
      <c r="N21" s="4">
        <v>73.738855141870403</v>
      </c>
      <c r="O21" s="4">
        <v>67.068518018189295</v>
      </c>
      <c r="P21" s="4">
        <v>283698.13858968398</v>
      </c>
      <c r="Q21" s="4">
        <v>206436.36208661</v>
      </c>
      <c r="R21" s="4">
        <v>744.02080972882004</v>
      </c>
      <c r="S21" s="4">
        <v>0</v>
      </c>
      <c r="T21" s="4">
        <v>0</v>
      </c>
      <c r="U21" s="4">
        <v>3.9948662067502597E-2</v>
      </c>
      <c r="V21" s="4">
        <v>0.57985751481792802</v>
      </c>
      <c r="W21" s="4">
        <v>0</v>
      </c>
      <c r="X21" s="4">
        <v>0.69584655814616303</v>
      </c>
      <c r="Y21" s="4">
        <v>0</v>
      </c>
      <c r="Z21" s="5">
        <v>4.56455340583456E-4</v>
      </c>
      <c r="AA21" s="5">
        <v>1.52583466402686E-3</v>
      </c>
      <c r="AB21" s="10">
        <v>4.3354416529019901E-3</v>
      </c>
      <c r="AC21" s="10">
        <v>8.77855844516611E-5</v>
      </c>
      <c r="AD21" s="10">
        <v>2.98488188279541E-2</v>
      </c>
      <c r="AE21" s="4">
        <v>3.3306718581628397E-2</v>
      </c>
      <c r="AF21" s="4">
        <v>0.64441777457639005</v>
      </c>
      <c r="AG21" s="4">
        <v>0.91648109802702005</v>
      </c>
      <c r="AH21" s="4">
        <v>0.97021915020515104</v>
      </c>
      <c r="AI21" s="4">
        <v>0.99648925336340199</v>
      </c>
      <c r="AJ21" s="4">
        <v>1</v>
      </c>
      <c r="AK21" s="4">
        <v>1</v>
      </c>
      <c r="AL21" s="4">
        <v>1</v>
      </c>
      <c r="AM21" s="4">
        <v>0</v>
      </c>
      <c r="AN21" s="4">
        <v>0</v>
      </c>
      <c r="AO21" s="4" t="s">
        <v>92</v>
      </c>
      <c r="AP21" s="4" t="s">
        <v>93</v>
      </c>
      <c r="AQ21" s="6">
        <v>1968783585.22</v>
      </c>
      <c r="AR21" s="4">
        <v>9537</v>
      </c>
      <c r="AS21" s="21">
        <f t="shared" si="1"/>
        <v>3.6254336069918069E-2</v>
      </c>
      <c r="AT21" s="21">
        <f t="shared" si="2"/>
        <v>35.797898318257523</v>
      </c>
      <c r="AU21" s="21">
        <f t="shared" si="3"/>
        <v>-1.2253832679220977E-5</v>
      </c>
      <c r="AV21" s="21"/>
      <c r="AW21" s="21"/>
      <c r="AX21" s="21"/>
    </row>
    <row r="22" spans="1:50" x14ac:dyDescent="0.25">
      <c r="A22">
        <v>98</v>
      </c>
      <c r="B22" s="4">
        <v>0.994455618638034</v>
      </c>
      <c r="C22" s="4">
        <v>9.3464518313969602</v>
      </c>
      <c r="D22" s="4">
        <v>6.4540757586065798</v>
      </c>
      <c r="E22" s="4">
        <v>8.1437508665300196E-3</v>
      </c>
      <c r="F22" s="5">
        <v>5.5443813619652999E-3</v>
      </c>
      <c r="G22" s="5">
        <v>0</v>
      </c>
      <c r="H22" s="4">
        <v>5.07045879258028</v>
      </c>
      <c r="I22" s="4">
        <v>3.8715771398614498</v>
      </c>
      <c r="J22" s="4">
        <v>30.3209759406618</v>
      </c>
      <c r="K22" s="4">
        <v>22.163271820568902</v>
      </c>
      <c r="L22" s="4">
        <v>68.510262922813794</v>
      </c>
      <c r="M22" s="4">
        <v>65.745878119189399</v>
      </c>
      <c r="N22" s="4">
        <v>204858.773510809</v>
      </c>
      <c r="O22" s="4">
        <v>152149.07886199999</v>
      </c>
      <c r="P22" s="4">
        <v>521.10781217429803</v>
      </c>
      <c r="Q22" s="4">
        <v>0</v>
      </c>
      <c r="R22" s="4">
        <v>0</v>
      </c>
      <c r="S22" s="4">
        <v>1.78750354556351E-2</v>
      </c>
      <c r="T22" s="4">
        <v>0.96176480863114699</v>
      </c>
      <c r="U22" s="4">
        <v>0</v>
      </c>
      <c r="V22" s="4">
        <v>0.95294809796469104</v>
      </c>
      <c r="W22" s="4">
        <v>0</v>
      </c>
      <c r="X22" s="4">
        <v>3.7915453746150801E-4</v>
      </c>
      <c r="Y22" s="4">
        <v>6.0823387518606101E-4</v>
      </c>
      <c r="Z22" s="5">
        <v>4.5569835053134002E-3</v>
      </c>
      <c r="AA22" s="5">
        <v>0</v>
      </c>
      <c r="AB22" s="10">
        <v>0</v>
      </c>
      <c r="AC22" s="10">
        <v>1.0175269259745399E-2</v>
      </c>
      <c r="AD22" s="10">
        <v>0.788929984242005</v>
      </c>
      <c r="AE22" s="4">
        <v>0.98033617487638902</v>
      </c>
      <c r="AF22" s="4">
        <v>0.99564631589728303</v>
      </c>
      <c r="AG22" s="4">
        <v>0.99962062722905598</v>
      </c>
      <c r="AH22" s="4">
        <v>1</v>
      </c>
      <c r="AI22" s="4">
        <v>1</v>
      </c>
      <c r="AJ22" s="4">
        <v>1</v>
      </c>
      <c r="AK22" s="4">
        <v>0</v>
      </c>
      <c r="AL22" s="4">
        <v>0</v>
      </c>
      <c r="AM22" s="4">
        <v>9999</v>
      </c>
      <c r="AN22" s="4">
        <v>9999</v>
      </c>
      <c r="AO22" s="4">
        <v>993381335.88999999</v>
      </c>
      <c r="AP22" s="4">
        <v>6529</v>
      </c>
      <c r="AQ22" s="6"/>
      <c r="AR22" s="4"/>
      <c r="AS22" s="21">
        <f t="shared" si="1"/>
        <v>0.80366223700706385</v>
      </c>
      <c r="AT22" s="21">
        <f t="shared" si="2"/>
        <v>99.999999671869915</v>
      </c>
      <c r="AU22" s="21">
        <f t="shared" si="3"/>
        <v>93.545923913263337</v>
      </c>
      <c r="AV22" s="21"/>
      <c r="AW22" s="21"/>
      <c r="AX22" s="21"/>
    </row>
    <row r="23" spans="1:50" x14ac:dyDescent="0.25">
      <c r="A23">
        <v>98</v>
      </c>
      <c r="B23" s="4">
        <v>0.96536522153597304</v>
      </c>
      <c r="C23" s="4">
        <v>40.155376225033201</v>
      </c>
      <c r="D23" s="4">
        <v>34.491178693097801</v>
      </c>
      <c r="E23" s="4">
        <v>4.1882523971790202E-2</v>
      </c>
      <c r="F23" s="5">
        <v>3.4634778464026503E-2</v>
      </c>
      <c r="G23" s="5">
        <v>0</v>
      </c>
      <c r="H23" s="4">
        <v>6.0528299601335602</v>
      </c>
      <c r="I23" s="4">
        <v>3.6813875942691201</v>
      </c>
      <c r="J23" s="4">
        <v>97.903875869188596</v>
      </c>
      <c r="K23" s="4">
        <v>266.606085111781</v>
      </c>
      <c r="L23" s="4">
        <v>19.706998788177302</v>
      </c>
      <c r="M23" s="4">
        <v>37.195257996079803</v>
      </c>
      <c r="N23" s="4">
        <v>77.555808515662093</v>
      </c>
      <c r="O23" s="4">
        <v>69.301072072935696</v>
      </c>
      <c r="P23" s="4">
        <v>283929.01048267499</v>
      </c>
      <c r="Q23" s="4">
        <v>202298.855056689</v>
      </c>
      <c r="R23" s="4">
        <v>737.62142202784003</v>
      </c>
      <c r="S23" s="4">
        <v>0</v>
      </c>
      <c r="T23" s="4">
        <v>0</v>
      </c>
      <c r="U23" s="4">
        <v>3.3945458404547803E-2</v>
      </c>
      <c r="V23" s="4">
        <v>0.60587720030887404</v>
      </c>
      <c r="W23" s="4">
        <v>0</v>
      </c>
      <c r="X23" s="4">
        <v>0.68939493555731302</v>
      </c>
      <c r="Y23" s="4">
        <v>0</v>
      </c>
      <c r="Z23" s="5">
        <v>4.6863604361648399E-4</v>
      </c>
      <c r="AA23" s="5">
        <v>1.6635186161412499E-3</v>
      </c>
      <c r="AB23" s="10">
        <v>4.4681418869864098E-3</v>
      </c>
      <c r="AC23" s="10">
        <v>1.30573635533933E-4</v>
      </c>
      <c r="AD23" s="10">
        <v>2.7903892631758999E-2</v>
      </c>
      <c r="AE23" s="4">
        <v>4.9624260451654197E-2</v>
      </c>
      <c r="AF23" s="4">
        <v>0.55533570768481599</v>
      </c>
      <c r="AG23" s="4">
        <v>0.861954286767463</v>
      </c>
      <c r="AH23" s="4">
        <v>0.95911828188981896</v>
      </c>
      <c r="AI23" s="4">
        <v>0.99498917700340905</v>
      </c>
      <c r="AJ23" s="4">
        <v>1</v>
      </c>
      <c r="AK23" s="4">
        <v>1</v>
      </c>
      <c r="AL23" s="4">
        <v>1</v>
      </c>
      <c r="AM23" s="4">
        <v>0</v>
      </c>
      <c r="AN23" s="4">
        <v>0</v>
      </c>
      <c r="AO23" s="4" t="s">
        <v>94</v>
      </c>
      <c r="AP23" s="4" t="s">
        <v>95</v>
      </c>
      <c r="AQ23" s="6">
        <v>446068975.39999998</v>
      </c>
      <c r="AR23" s="4">
        <v>2205</v>
      </c>
      <c r="AS23" s="21">
        <f t="shared" si="1"/>
        <v>3.4634762814037073E-2</v>
      </c>
      <c r="AT23" s="21">
        <f t="shared" si="2"/>
        <v>34.491165949165051</v>
      </c>
      <c r="AU23" s="21">
        <f t="shared" si="3"/>
        <v>-1.2743932749970099E-5</v>
      </c>
      <c r="AV23" s="21"/>
      <c r="AW23" s="21"/>
      <c r="AX23" s="21"/>
    </row>
    <row r="26" spans="1:50" x14ac:dyDescent="0.25">
      <c r="K26" t="s">
        <v>109</v>
      </c>
      <c r="L26" t="s">
        <v>97</v>
      </c>
      <c r="M26" t="s">
        <v>98</v>
      </c>
      <c r="R26" t="s">
        <v>109</v>
      </c>
      <c r="W26" t="s">
        <v>97</v>
      </c>
      <c r="AB26" t="s">
        <v>98</v>
      </c>
    </row>
    <row r="27" spans="1:50" x14ac:dyDescent="0.25">
      <c r="A27" s="4" t="s">
        <v>102</v>
      </c>
      <c r="B27" t="str">
        <f>AQ2</f>
        <v>Balance</v>
      </c>
      <c r="C27" s="2" t="str">
        <f t="shared" ref="C27:C46" si="4">AO2</f>
        <v>groupByColumn</v>
      </c>
      <c r="D27" t="str">
        <f>E2</f>
        <v>PREPAY_SMM1</v>
      </c>
      <c r="E27" t="str">
        <f>F2</f>
        <v>PREPAY_TRACKING_SMM1</v>
      </c>
      <c r="F27" t="s">
        <v>99</v>
      </c>
      <c r="G27" t="str">
        <f>C2</f>
        <v>PREPAY_CPR1</v>
      </c>
      <c r="H27" t="str">
        <f>D2</f>
        <v>PREPAY_TRACKING_CPR1</v>
      </c>
      <c r="K27" t="s">
        <v>100</v>
      </c>
      <c r="L27" t="s">
        <v>100</v>
      </c>
      <c r="M27" t="s">
        <v>100</v>
      </c>
      <c r="N27" t="s">
        <v>107</v>
      </c>
      <c r="O27" t="s">
        <v>108</v>
      </c>
      <c r="P27" t="s">
        <v>99</v>
      </c>
      <c r="R27" t="s">
        <v>103</v>
      </c>
      <c r="T27" t="s">
        <v>101</v>
      </c>
      <c r="U27" t="s">
        <v>106</v>
      </c>
      <c r="W27" t="s">
        <v>103</v>
      </c>
      <c r="X27" t="s">
        <v>110</v>
      </c>
      <c r="Y27" t="s">
        <v>101</v>
      </c>
      <c r="Z27" t="s">
        <v>106</v>
      </c>
      <c r="AB27" t="s">
        <v>103</v>
      </c>
      <c r="AC27" t="s">
        <v>110</v>
      </c>
      <c r="AD27" t="s">
        <v>101</v>
      </c>
      <c r="AE27" t="s">
        <v>106</v>
      </c>
    </row>
    <row r="28" spans="1:50" s="29" customFormat="1" x14ac:dyDescent="0.25">
      <c r="A28" s="25">
        <f>K3</f>
        <v>-210.10341047436</v>
      </c>
      <c r="B28" s="26">
        <f t="shared" ref="B28:B46" si="5">AQ3/1000000000</f>
        <v>1.2997830600000001E-3</v>
      </c>
      <c r="C28" s="27" t="str">
        <f t="shared" si="4"/>
        <v>00:&lt;= -200</v>
      </c>
      <c r="D28" s="28">
        <f t="shared" ref="D28" si="6">E3</f>
        <v>7.6774339106154798E-5</v>
      </c>
      <c r="E28" s="28">
        <f>Z3+AA3+AB3+AC3+AD3</f>
        <v>1.9314995496450685E-3</v>
      </c>
      <c r="F28" s="26">
        <f>D28/E28</f>
        <v>3.9748566920589146E-2</v>
      </c>
      <c r="G28" s="27">
        <f>(1-(1-D28)^12)*100</f>
        <v>9.2090314506942939E-2</v>
      </c>
      <c r="H28" s="27">
        <f>(1-(1-E28)^12)*100</f>
        <v>2.2933347435819429</v>
      </c>
      <c r="K28" s="25">
        <v>0.62</v>
      </c>
      <c r="L28" s="25">
        <v>1</v>
      </c>
      <c r="M28" s="25">
        <v>1</v>
      </c>
      <c r="N28" s="28">
        <f t="shared" ref="N28:N46" si="7">Z3+AA3+AB3*K28+AC3*L28+AD3*M28</f>
        <v>1.3033587137960539E-3</v>
      </c>
      <c r="O28" s="27">
        <f>100*(1-(1-N28)^12)</f>
        <v>1.5528673136256166</v>
      </c>
      <c r="P28" s="30">
        <f t="shared" ref="P28:P47" si="8">D28/N28</f>
        <v>5.8904995450215131E-2</v>
      </c>
      <c r="R28" s="18">
        <v>-300</v>
      </c>
      <c r="S28" s="20">
        <f>A28</f>
        <v>-210.10341047436</v>
      </c>
      <c r="T28" s="17">
        <f>VLOOKUP(ROUNDDOWN(S28,0),'Spline Pre-Adj'!A:B,2,0)</f>
        <v>0.83134450000000004</v>
      </c>
      <c r="U28" s="17">
        <f>T28*K28</f>
        <v>0.51543359</v>
      </c>
      <c r="W28" s="29">
        <v>-300</v>
      </c>
      <c r="X28" s="31">
        <f>A28</f>
        <v>-210.10341047436</v>
      </c>
      <c r="Y28" s="28">
        <f>VLOOKUP(ROUNDDOWN(X28,0),'Spline Pre-Adj'!F:G,2,0)</f>
        <v>0</v>
      </c>
      <c r="Z28" s="28">
        <f>Y28*L28</f>
        <v>0</v>
      </c>
      <c r="AC28" s="31"/>
      <c r="AE28" s="28"/>
    </row>
    <row r="29" spans="1:50" s="29" customFormat="1" x14ac:dyDescent="0.25">
      <c r="A29" s="25">
        <f t="shared" ref="A29:A46" si="9">K4</f>
        <v>-183.49351100933501</v>
      </c>
      <c r="B29" s="26">
        <f t="shared" si="5"/>
        <v>9.6815554300000006E-3</v>
      </c>
      <c r="C29" s="27" t="str">
        <f t="shared" si="4"/>
        <v>01:-200--175</v>
      </c>
      <c r="D29" s="28">
        <f t="shared" ref="D29" si="10">E4</f>
        <v>1.15043484169818E-4</v>
      </c>
      <c r="E29" s="28">
        <f t="shared" ref="E29:E46" si="11">Z4+AA4+AB4+AC4+AD4</f>
        <v>2.2393149695630679E-3</v>
      </c>
      <c r="F29" s="26">
        <f t="shared" ref="F29:F47" si="12">D29/E29</f>
        <v>5.1374409466063239E-2</v>
      </c>
      <c r="G29" s="27">
        <f t="shared" ref="G29:G47" si="13">(1-(1-D29)^12)*100</f>
        <v>0.13796486347087411</v>
      </c>
      <c r="H29" s="27">
        <f t="shared" ref="H29:H47" si="14">(1-(1-E29)^12)*100</f>
        <v>2.6543278556445671</v>
      </c>
      <c r="K29" s="25">
        <v>0.62</v>
      </c>
      <c r="L29" s="25">
        <v>1</v>
      </c>
      <c r="M29" s="25">
        <v>1</v>
      </c>
      <c r="N29" s="28">
        <f t="shared" si="7"/>
        <v>1.4997829503198843E-3</v>
      </c>
      <c r="O29" s="27">
        <f t="shared" ref="O29:O47" si="15">100*(1-(1-N29)^12)</f>
        <v>1.7849678055806617</v>
      </c>
      <c r="P29" s="30">
        <f t="shared" si="8"/>
        <v>7.6706755564383972E-2</v>
      </c>
      <c r="R29" s="18">
        <v>-200</v>
      </c>
      <c r="S29" s="20">
        <f>A29</f>
        <v>-183.49351100933501</v>
      </c>
      <c r="T29" s="17">
        <f>VLOOKUP(ROUNDDOWN(S29,0),'Spline Pre-Adj'!A:B,2,0)</f>
        <v>0.86903551800000001</v>
      </c>
      <c r="U29" s="17">
        <f>T29*K29</f>
        <v>0.53880202115999998</v>
      </c>
      <c r="Y29" s="28"/>
      <c r="Z29" s="28"/>
      <c r="AE29" s="28"/>
    </row>
    <row r="30" spans="1:50" s="29" customFormat="1" x14ac:dyDescent="0.25">
      <c r="A30" s="25">
        <f t="shared" si="9"/>
        <v>-159.827175667197</v>
      </c>
      <c r="B30" s="26">
        <f t="shared" si="5"/>
        <v>5.2454854380000006E-2</v>
      </c>
      <c r="C30" s="27" t="str">
        <f t="shared" si="4"/>
        <v>02:-175--150</v>
      </c>
      <c r="D30" s="28">
        <f t="shared" ref="D30" si="16">E5</f>
        <v>3.6752590216195501E-3</v>
      </c>
      <c r="E30" s="28">
        <f t="shared" si="11"/>
        <v>2.3813585736355693E-3</v>
      </c>
      <c r="F30" s="26">
        <f t="shared" si="12"/>
        <v>1.5433454929085335</v>
      </c>
      <c r="G30" s="27">
        <f t="shared" si="13"/>
        <v>4.322244317485346</v>
      </c>
      <c r="H30" s="27">
        <f t="shared" si="14"/>
        <v>2.8204980655990641</v>
      </c>
      <c r="K30" s="25">
        <v>0.62</v>
      </c>
      <c r="L30" s="25">
        <v>1</v>
      </c>
      <c r="M30" s="25">
        <v>1</v>
      </c>
      <c r="N30" s="28">
        <f t="shared" si="7"/>
        <v>1.5839967408685148E-3</v>
      </c>
      <c r="O30" s="27">
        <f t="shared" si="15"/>
        <v>1.8843235118008894</v>
      </c>
      <c r="P30" s="30">
        <f t="shared" si="8"/>
        <v>2.320244055303033</v>
      </c>
      <c r="R30" s="18"/>
      <c r="S30" s="20">
        <f t="shared" ref="S30:S31" si="17">A30</f>
        <v>-159.827175667197</v>
      </c>
      <c r="T30" s="17">
        <f>VLOOKUP(ROUNDDOWN(S30,0),'Spline Pre-Adj'!A:B,2,0)</f>
        <v>0.90492420600000001</v>
      </c>
      <c r="U30" s="17">
        <f t="shared" ref="U30:U31" si="18">T30*K30</f>
        <v>0.56105300772</v>
      </c>
      <c r="W30" s="29">
        <v>-150</v>
      </c>
      <c r="X30" s="31">
        <f>A30</f>
        <v>-159.827175667197</v>
      </c>
      <c r="Y30" s="28">
        <f>VLOOKUP(ROUNDDOWN(X30,0),'Spline Pre-Adj'!F:G,2,0)</f>
        <v>0</v>
      </c>
      <c r="Z30" s="28">
        <f t="shared" ref="Z30:Z45" si="19">Y30*L30</f>
        <v>0</v>
      </c>
      <c r="AE30" s="28"/>
    </row>
    <row r="31" spans="1:50" s="29" customFormat="1" x14ac:dyDescent="0.25">
      <c r="A31" s="25">
        <f t="shared" si="9"/>
        <v>-134.65638053091999</v>
      </c>
      <c r="B31" s="26">
        <f t="shared" si="5"/>
        <v>0.20821140794000001</v>
      </c>
      <c r="C31" s="27" t="str">
        <f t="shared" si="4"/>
        <v>03:-150--125</v>
      </c>
      <c r="D31" s="28">
        <f t="shared" ref="D31" si="20">E6</f>
        <v>1.06868660033933E-3</v>
      </c>
      <c r="E31" s="28">
        <f t="shared" si="11"/>
        <v>2.6711680030598334E-3</v>
      </c>
      <c r="F31" s="26">
        <f t="shared" si="12"/>
        <v>0.40008213602257336</v>
      </c>
      <c r="G31" s="27">
        <f t="shared" si="13"/>
        <v>1.2749129068455489</v>
      </c>
      <c r="H31" s="27">
        <f t="shared" si="14"/>
        <v>3.158726481630536</v>
      </c>
      <c r="K31" s="25">
        <v>0.62</v>
      </c>
      <c r="L31" s="25">
        <v>1</v>
      </c>
      <c r="M31" s="25">
        <v>1</v>
      </c>
      <c r="N31" s="28">
        <f t="shared" si="7"/>
        <v>1.8093170305223006E-3</v>
      </c>
      <c r="O31" s="27">
        <f t="shared" si="15"/>
        <v>2.1497042687980139</v>
      </c>
      <c r="P31" s="30">
        <f t="shared" si="8"/>
        <v>0.59065745931260549</v>
      </c>
      <c r="R31" s="18"/>
      <c r="S31" s="20">
        <f t="shared" si="17"/>
        <v>-134.65638053091999</v>
      </c>
      <c r="T31" s="17">
        <f>VLOOKUP(ROUNDDOWN(S31,0),'Spline Pre-Adj'!A:B,2,0)</f>
        <v>0.95169665599999997</v>
      </c>
      <c r="U31" s="17">
        <f t="shared" si="18"/>
        <v>0.59005192671999995</v>
      </c>
      <c r="Y31" s="28"/>
      <c r="Z31" s="28"/>
      <c r="AE31" s="28"/>
    </row>
    <row r="32" spans="1:50" s="29" customFormat="1" x14ac:dyDescent="0.25">
      <c r="A32" s="25">
        <f t="shared" si="9"/>
        <v>-109.49499270356399</v>
      </c>
      <c r="B32" s="26">
        <f t="shared" si="5"/>
        <v>0.89204981886000001</v>
      </c>
      <c r="C32" s="27" t="str">
        <f t="shared" si="4"/>
        <v>04:-125--100</v>
      </c>
      <c r="D32" s="28">
        <f t="shared" ref="D32" si="21">E7</f>
        <v>2.3271668032081002E-3</v>
      </c>
      <c r="E32" s="28">
        <f t="shared" si="11"/>
        <v>3.1405989506413366E-3</v>
      </c>
      <c r="F32" s="26">
        <f t="shared" si="12"/>
        <v>0.74099458090084158</v>
      </c>
      <c r="G32" s="27">
        <f t="shared" si="13"/>
        <v>2.7571323337274301</v>
      </c>
      <c r="H32" s="27">
        <f t="shared" si="14"/>
        <v>3.7042972525531015</v>
      </c>
      <c r="K32" s="25">
        <v>0.62</v>
      </c>
      <c r="L32" s="25">
        <v>1</v>
      </c>
      <c r="M32" s="25">
        <v>1</v>
      </c>
      <c r="N32" s="28">
        <f t="shared" si="7"/>
        <v>2.2206447724047182E-3</v>
      </c>
      <c r="O32" s="27">
        <f t="shared" si="15"/>
        <v>2.6324671031327074</v>
      </c>
      <c r="P32" s="30">
        <f t="shared" si="8"/>
        <v>1.0479689647471306</v>
      </c>
      <c r="R32" s="18">
        <v>-100</v>
      </c>
      <c r="S32" s="20">
        <f t="shared" ref="S32:S37" si="22">A32</f>
        <v>-109.49499270356399</v>
      </c>
      <c r="T32" s="17">
        <f>VLOOKUP(ROUNDDOWN(S32,0),'Spline Pre-Adj'!A:B,2,0)</f>
        <v>1.016004106</v>
      </c>
      <c r="U32" s="17">
        <f t="shared" ref="U32:U37" si="23">T32*K32</f>
        <v>0.62992254572000006</v>
      </c>
      <c r="Y32" s="28"/>
      <c r="Z32" s="28"/>
      <c r="AB32" s="29">
        <v>-116</v>
      </c>
      <c r="AC32" s="31">
        <f t="shared" ref="AC32:AC43" si="24">A32</f>
        <v>-109.49499270356399</v>
      </c>
      <c r="AD32" s="28">
        <f>VLOOKUP(ROUNDDOWN(AC32,0),'Spline Pre-Adj'!K:L,2,0)</f>
        <v>0</v>
      </c>
      <c r="AE32" s="28">
        <f t="shared" ref="AE32:AE43" si="25">AD32*M32</f>
        <v>0</v>
      </c>
    </row>
    <row r="33" spans="1:31" x14ac:dyDescent="0.25">
      <c r="A33" s="4">
        <f t="shared" si="9"/>
        <v>-84.411815504640103</v>
      </c>
      <c r="B33" s="3">
        <f t="shared" si="5"/>
        <v>3.92631671986</v>
      </c>
      <c r="C33" s="2" t="str">
        <f t="shared" si="4"/>
        <v>05:-100--75</v>
      </c>
      <c r="D33" s="8">
        <f t="shared" ref="D33" si="26">E8</f>
        <v>2.5282456900651302E-3</v>
      </c>
      <c r="E33" s="8">
        <f t="shared" si="11"/>
        <v>3.482890840591136E-3</v>
      </c>
      <c r="F33" s="3">
        <f t="shared" si="12"/>
        <v>0.72590437248272244</v>
      </c>
      <c r="G33" s="2">
        <f t="shared" si="13"/>
        <v>2.9920609738698922</v>
      </c>
      <c r="H33" s="2">
        <f t="shared" si="14"/>
        <v>4.1003297611683092</v>
      </c>
      <c r="K33" s="4">
        <v>0.62</v>
      </c>
      <c r="L33" s="4">
        <v>1</v>
      </c>
      <c r="M33" s="4">
        <v>1</v>
      </c>
      <c r="N33" s="8">
        <f t="shared" si="7"/>
        <v>2.5345454186618543E-3</v>
      </c>
      <c r="O33" s="2">
        <f t="shared" si="15"/>
        <v>2.9994127905868972</v>
      </c>
      <c r="P33" s="7">
        <f t="shared" si="8"/>
        <v>0.99751445424874252</v>
      </c>
      <c r="S33" s="9">
        <f t="shared" si="22"/>
        <v>-84.411815504640103</v>
      </c>
      <c r="T33" s="8">
        <f>VLOOKUP(ROUNDDOWN(S33,0),'Spline Pre-Adj'!A:B,2,0)</f>
        <v>1.128785216</v>
      </c>
      <c r="U33" s="8">
        <f t="shared" si="23"/>
        <v>0.69984683392000002</v>
      </c>
      <c r="W33">
        <v>-92</v>
      </c>
      <c r="X33" s="9">
        <f t="shared" ref="X33:X45" si="27">A33</f>
        <v>-84.411815504640103</v>
      </c>
      <c r="Y33" s="8">
        <f>VLOOKUP(ROUNDDOWN(X33,0),'Spline Pre-Adj'!F:G,2,0)</f>
        <v>2.53801265718747E-2</v>
      </c>
      <c r="Z33" s="8">
        <f t="shared" si="19"/>
        <v>2.53801265718747E-2</v>
      </c>
      <c r="AC33" s="9">
        <f t="shared" si="24"/>
        <v>-84.411815504640103</v>
      </c>
      <c r="AD33" s="8">
        <f>VLOOKUP(ROUNDDOWN(AC33,0),'Spline Pre-Adj'!K:L,2,0)</f>
        <v>0</v>
      </c>
      <c r="AE33" s="8">
        <f t="shared" si="25"/>
        <v>0</v>
      </c>
    </row>
    <row r="34" spans="1:31" x14ac:dyDescent="0.25">
      <c r="A34" s="4">
        <f t="shared" si="9"/>
        <v>-59.1722054905701</v>
      </c>
      <c r="B34" s="3">
        <f t="shared" si="5"/>
        <v>19.323213352080003</v>
      </c>
      <c r="C34" s="2" t="str">
        <f t="shared" si="4"/>
        <v>06:-75--50</v>
      </c>
      <c r="D34" s="8">
        <f t="shared" ref="D34" si="28">E9</f>
        <v>2.54166629647126E-3</v>
      </c>
      <c r="E34" s="8">
        <f t="shared" si="11"/>
        <v>3.1235159342755418E-3</v>
      </c>
      <c r="F34" s="3">
        <f t="shared" si="12"/>
        <v>0.81371965117276279</v>
      </c>
      <c r="G34" s="2">
        <f t="shared" si="13"/>
        <v>3.0077222778625901</v>
      </c>
      <c r="H34" s="2">
        <f t="shared" si="14"/>
        <v>3.6844929416868011</v>
      </c>
      <c r="K34" s="4">
        <v>0.72</v>
      </c>
      <c r="L34" s="4">
        <v>1</v>
      </c>
      <c r="M34" s="4">
        <v>1</v>
      </c>
      <c r="N34" s="8">
        <f t="shared" si="7"/>
        <v>2.4664513085110636E-3</v>
      </c>
      <c r="O34" s="2">
        <f t="shared" si="15"/>
        <v>2.9199195200147354</v>
      </c>
      <c r="P34" s="7">
        <f t="shared" si="8"/>
        <v>1.0304952251441777</v>
      </c>
      <c r="R34">
        <v>-50</v>
      </c>
      <c r="S34" s="9">
        <f t="shared" si="22"/>
        <v>-59.1722054905701</v>
      </c>
      <c r="T34" s="8">
        <f>VLOOKUP(ROUNDDOWN(S34,0),'Spline Pre-Adj'!A:B,2,0)</f>
        <v>1.2708434159999999</v>
      </c>
      <c r="U34" s="8">
        <f t="shared" si="23"/>
        <v>0.91500725951999995</v>
      </c>
      <c r="W34">
        <v>-69</v>
      </c>
      <c r="X34" s="9">
        <f t="shared" si="27"/>
        <v>-59.1722054905701</v>
      </c>
      <c r="Y34" s="8">
        <f>VLOOKUP(ROUNDDOWN(X34,0),'Spline Pre-Adj'!F:G,2,0)</f>
        <v>0.17428260869565201</v>
      </c>
      <c r="Z34" s="8">
        <f t="shared" si="19"/>
        <v>0.17428260869565201</v>
      </c>
      <c r="AB34">
        <v>-51</v>
      </c>
      <c r="AC34" s="9">
        <f t="shared" si="24"/>
        <v>-59.1722054905701</v>
      </c>
      <c r="AD34" s="8">
        <f>VLOOKUP(ROUNDDOWN(AC34,0),'Spline Pre-Adj'!K:L,2,0)</f>
        <v>0</v>
      </c>
      <c r="AE34" s="8">
        <f t="shared" si="25"/>
        <v>0</v>
      </c>
    </row>
    <row r="35" spans="1:31" x14ac:dyDescent="0.25">
      <c r="A35" s="4">
        <f t="shared" si="9"/>
        <v>-34.356061812946898</v>
      </c>
      <c r="B35" s="3">
        <f t="shared" si="5"/>
        <v>98.157169526410001</v>
      </c>
      <c r="C35" s="2" t="str">
        <f t="shared" si="4"/>
        <v>07:-50--25</v>
      </c>
      <c r="D35" s="8">
        <f t="shared" ref="D35" si="29">E10</f>
        <v>2.5749156444770998E-3</v>
      </c>
      <c r="E35" s="8">
        <f t="shared" si="11"/>
        <v>3.6462064900800685E-3</v>
      </c>
      <c r="F35" s="3">
        <f t="shared" si="12"/>
        <v>0.7061902970888948</v>
      </c>
      <c r="G35" s="2">
        <f t="shared" si="13"/>
        <v>3.0465129365077614</v>
      </c>
      <c r="H35" s="2">
        <f t="shared" si="14"/>
        <v>4.2887597306523029</v>
      </c>
      <c r="K35" s="4">
        <v>0.75</v>
      </c>
      <c r="L35" s="4">
        <v>1</v>
      </c>
      <c r="M35" s="4">
        <v>0.54</v>
      </c>
      <c r="N35" s="8">
        <f t="shared" si="7"/>
        <v>2.5808699683143635E-3</v>
      </c>
      <c r="O35" s="2">
        <f t="shared" si="15"/>
        <v>3.0534581017833906</v>
      </c>
      <c r="P35" s="7">
        <f t="shared" si="8"/>
        <v>0.99769290049077808</v>
      </c>
      <c r="R35">
        <v>-35</v>
      </c>
      <c r="S35" s="9">
        <f t="shared" si="22"/>
        <v>-34.356061812946898</v>
      </c>
      <c r="T35" s="8">
        <f>VLOOKUP(ROUNDDOWN(S35,0),'Spline Pre-Adj'!A:B,2,0)</f>
        <v>1.2869999999999999</v>
      </c>
      <c r="U35" s="8">
        <f t="shared" si="23"/>
        <v>0.96524999999999994</v>
      </c>
      <c r="W35">
        <v>-44</v>
      </c>
      <c r="X35" s="9">
        <f t="shared" si="27"/>
        <v>-34.356061812946898</v>
      </c>
      <c r="Y35" s="8">
        <f>VLOOKUP(ROUNDDOWN(X35,0),'Spline Pre-Adj'!F:G,2,0)</f>
        <v>0.30095486111111103</v>
      </c>
      <c r="Z35" s="8">
        <f t="shared" si="19"/>
        <v>0.30095486111111103</v>
      </c>
      <c r="AC35" s="9">
        <f t="shared" si="24"/>
        <v>-34.356061812946898</v>
      </c>
      <c r="AD35" s="8">
        <f>VLOOKUP(ROUNDDOWN(AC35,0),'Spline Pre-Adj'!K:L,2,0)</f>
        <v>0.358382524420711</v>
      </c>
      <c r="AE35" s="8">
        <f t="shared" si="25"/>
        <v>0.19352656318718395</v>
      </c>
    </row>
    <row r="36" spans="1:31" x14ac:dyDescent="0.25">
      <c r="A36" s="4">
        <f t="shared" si="9"/>
        <v>-10.820082845364899</v>
      </c>
      <c r="B36" s="3">
        <f t="shared" si="5"/>
        <v>327.65687430796999</v>
      </c>
      <c r="C36" s="2" t="str">
        <f t="shared" si="4"/>
        <v>08:-25-0</v>
      </c>
      <c r="D36" s="8">
        <f t="shared" ref="D36" si="30">E11</f>
        <v>4.5012391523114202E-3</v>
      </c>
      <c r="E36" s="8">
        <f t="shared" si="11"/>
        <v>6.6570222968528395E-3</v>
      </c>
      <c r="F36" s="3">
        <f t="shared" si="12"/>
        <v>0.67616404926860718</v>
      </c>
      <c r="G36" s="2">
        <f t="shared" si="13"/>
        <v>5.269749598696527</v>
      </c>
      <c r="H36" s="2">
        <f t="shared" si="14"/>
        <v>7.7023355970588288</v>
      </c>
      <c r="K36" s="4">
        <v>0.75</v>
      </c>
      <c r="L36" s="4">
        <v>1</v>
      </c>
      <c r="M36" s="4">
        <v>0.6</v>
      </c>
      <c r="N36" s="8">
        <f t="shared" si="7"/>
        <v>4.4871537325486717E-3</v>
      </c>
      <c r="O36" s="2">
        <f t="shared" si="15"/>
        <v>5.253664164117799</v>
      </c>
      <c r="P36" s="7">
        <f t="shared" si="8"/>
        <v>1.0031390544211971</v>
      </c>
      <c r="R36">
        <v>0</v>
      </c>
      <c r="S36" s="9">
        <f t="shared" si="22"/>
        <v>-10.820082845364899</v>
      </c>
      <c r="T36" s="8">
        <f>VLOOKUP(ROUNDDOWN(S36,0),'Spline Pre-Adj'!A:B,2,0)</f>
        <v>1.2869999999999999</v>
      </c>
      <c r="U36" s="8">
        <f t="shared" si="23"/>
        <v>0.96524999999999994</v>
      </c>
      <c r="W36">
        <v>-20</v>
      </c>
      <c r="X36" s="9">
        <f t="shared" si="27"/>
        <v>-10.820082845364899</v>
      </c>
      <c r="Y36" s="8">
        <f>VLOOKUP(ROUNDDOWN(X36,0),'Spline Pre-Adj'!F:G,2,0)</f>
        <v>0.50716095652173898</v>
      </c>
      <c r="Z36" s="8">
        <f t="shared" si="19"/>
        <v>0.50716095652173898</v>
      </c>
      <c r="AB36">
        <v>-16</v>
      </c>
      <c r="AC36" s="9">
        <f t="shared" si="24"/>
        <v>-10.820082845364899</v>
      </c>
      <c r="AD36" s="8">
        <f>VLOOKUP(ROUNDDOWN(AC36,0),'Spline Pre-Adj'!K:L,2,0)</f>
        <v>1.12945976419159</v>
      </c>
      <c r="AE36" s="8">
        <f t="shared" si="25"/>
        <v>0.67767585851495393</v>
      </c>
    </row>
    <row r="37" spans="1:31" x14ac:dyDescent="0.25">
      <c r="A37" s="4">
        <f t="shared" si="9"/>
        <v>13.5555981017785</v>
      </c>
      <c r="B37" s="3">
        <f t="shared" si="5"/>
        <v>584.44183346918999</v>
      </c>
      <c r="C37" s="2" t="str">
        <f t="shared" si="4"/>
        <v>09:0-25</v>
      </c>
      <c r="D37" s="8">
        <f t="shared" ref="D37" si="31">E12</f>
        <v>1.27108004822258E-2</v>
      </c>
      <c r="E37" s="8">
        <f t="shared" si="11"/>
        <v>1.173142356975564E-2</v>
      </c>
      <c r="F37" s="3">
        <f t="shared" si="12"/>
        <v>1.0834832112783872</v>
      </c>
      <c r="G37" s="2">
        <f t="shared" si="13"/>
        <v>14.23054850273806</v>
      </c>
      <c r="H37" s="2">
        <f t="shared" si="14"/>
        <v>13.203974644206296</v>
      </c>
      <c r="K37" s="4">
        <v>0.75</v>
      </c>
      <c r="L37" s="4">
        <v>1</v>
      </c>
      <c r="M37" s="4">
        <v>1.2</v>
      </c>
      <c r="N37" s="8">
        <f t="shared" si="7"/>
        <v>1.2692724957534873E-2</v>
      </c>
      <c r="O37" s="2">
        <f t="shared" si="15"/>
        <v>14.211703155790545</v>
      </c>
      <c r="P37" s="7">
        <f t="shared" si="8"/>
        <v>1.001424085430938</v>
      </c>
      <c r="S37" s="9">
        <f t="shared" si="22"/>
        <v>13.5555981017785</v>
      </c>
      <c r="T37" s="8">
        <f>VLOOKUP(ROUNDDOWN(S37,0),'Spline Pre-Adj'!A:B,2,0)</f>
        <v>1.2869999999999999</v>
      </c>
      <c r="U37" s="8">
        <f t="shared" si="23"/>
        <v>0.96524999999999994</v>
      </c>
      <c r="W37">
        <v>5</v>
      </c>
      <c r="X37" s="9">
        <f t="shared" si="27"/>
        <v>13.5555981017785</v>
      </c>
      <c r="Y37" s="8">
        <f>VLOOKUP(ROUNDDOWN(X37,0),'Spline Pre-Adj'!F:G,2,0)</f>
        <v>0.93625960915717799</v>
      </c>
      <c r="Z37" s="8">
        <f t="shared" si="19"/>
        <v>0.93625960915717799</v>
      </c>
      <c r="AB37">
        <v>19</v>
      </c>
      <c r="AC37" s="9">
        <f t="shared" si="24"/>
        <v>13.5555981017785</v>
      </c>
      <c r="AD37" s="8">
        <f>VLOOKUP(ROUNDDOWN(AC37,0),'Spline Pre-Adj'!K:L,2,0)</f>
        <v>1.66381445856873</v>
      </c>
      <c r="AE37" s="8">
        <f t="shared" si="25"/>
        <v>1.996577350282476</v>
      </c>
    </row>
    <row r="38" spans="1:31" x14ac:dyDescent="0.25">
      <c r="A38" s="4">
        <f t="shared" si="9"/>
        <v>37.537227383588402</v>
      </c>
      <c r="B38" s="3">
        <f t="shared" si="5"/>
        <v>747.22289979572997</v>
      </c>
      <c r="C38" s="2" t="str">
        <f t="shared" si="4"/>
        <v>10:25-50</v>
      </c>
      <c r="D38" s="8">
        <f t="shared" ref="D38" si="32">E13</f>
        <v>2.1634221140550199E-2</v>
      </c>
      <c r="E38" s="8">
        <f t="shared" si="11"/>
        <v>1.8502222139960511E-2</v>
      </c>
      <c r="F38" s="3">
        <f t="shared" si="12"/>
        <v>1.1692769104650027</v>
      </c>
      <c r="G38" s="2">
        <f t="shared" si="13"/>
        <v>23.084291786548029</v>
      </c>
      <c r="H38" s="2">
        <f t="shared" si="14"/>
        <v>20.076986948284148</v>
      </c>
      <c r="K38" s="4">
        <v>0.75</v>
      </c>
      <c r="L38" s="4">
        <v>1</v>
      </c>
      <c r="M38" s="4">
        <v>1.27</v>
      </c>
      <c r="N38" s="8">
        <f t="shared" si="7"/>
        <v>2.1667306791537333E-2</v>
      </c>
      <c r="O38" s="2">
        <f t="shared" si="15"/>
        <v>23.115498924793776</v>
      </c>
      <c r="P38" s="7">
        <f t="shared" si="8"/>
        <v>0.99847301506802599</v>
      </c>
      <c r="R38">
        <v>50</v>
      </c>
      <c r="S38" s="9">
        <f>A38</f>
        <v>37.537227383588402</v>
      </c>
      <c r="T38" s="8">
        <f>VLOOKUP(ROUNDDOWN(S38,0),'Spline Pre-Adj'!A:B,2,0)</f>
        <v>1.2869999999999999</v>
      </c>
      <c r="U38" s="8">
        <f>T38*K38</f>
        <v>0.96524999999999994</v>
      </c>
      <c r="W38">
        <v>28</v>
      </c>
      <c r="X38" s="9">
        <f t="shared" si="27"/>
        <v>37.537227383588402</v>
      </c>
      <c r="Y38" s="8">
        <f>VLOOKUP(ROUNDDOWN(X38,0),'Spline Pre-Adj'!F:G,2,0)</f>
        <v>1.89537379409471</v>
      </c>
      <c r="Z38" s="8">
        <f t="shared" si="19"/>
        <v>1.89537379409471</v>
      </c>
      <c r="AC38" s="9">
        <f t="shared" si="24"/>
        <v>37.537227383588402</v>
      </c>
      <c r="AD38" s="8">
        <f>VLOOKUP(ROUNDDOWN(AC38,0),'Spline Pre-Adj'!K:L,2,0)</f>
        <v>2.4264029166777901</v>
      </c>
      <c r="AE38" s="8">
        <f t="shared" si="25"/>
        <v>3.0815317041807933</v>
      </c>
    </row>
    <row r="39" spans="1:31" x14ac:dyDescent="0.25">
      <c r="A39" s="4">
        <f t="shared" si="9"/>
        <v>62.796666444336601</v>
      </c>
      <c r="B39" s="3">
        <f t="shared" si="5"/>
        <v>770.69089390800002</v>
      </c>
      <c r="C39" s="2" t="str">
        <f t="shared" si="4"/>
        <v>11:50-75</v>
      </c>
      <c r="D39" s="8">
        <f t="shared" ref="D39" si="33">E14</f>
        <v>2.7954496301904799E-2</v>
      </c>
      <c r="E39" s="8">
        <f t="shared" si="11"/>
        <v>2.507152612543255E-2</v>
      </c>
      <c r="F39" s="3">
        <f t="shared" si="12"/>
        <v>1.114989816018729</v>
      </c>
      <c r="G39" s="2">
        <f t="shared" si="13"/>
        <v>28.8394741376501</v>
      </c>
      <c r="H39" s="2">
        <f t="shared" si="14"/>
        <v>26.265106794887839</v>
      </c>
      <c r="K39" s="4">
        <v>1</v>
      </c>
      <c r="L39" s="4">
        <v>1</v>
      </c>
      <c r="M39" s="4">
        <v>1.1399999999999999</v>
      </c>
      <c r="N39" s="8">
        <f t="shared" si="7"/>
        <v>2.7977779007026905E-2</v>
      </c>
      <c r="O39" s="2">
        <f t="shared" si="15"/>
        <v>28.85992492461973</v>
      </c>
      <c r="P39" s="7">
        <f t="shared" si="8"/>
        <v>0.99916781438883129</v>
      </c>
      <c r="W39">
        <v>54</v>
      </c>
      <c r="X39" s="9">
        <f t="shared" si="27"/>
        <v>62.796666444336601</v>
      </c>
      <c r="Y39" s="8">
        <f>VLOOKUP(ROUNDDOWN(X39,0),'Spline Pre-Adj'!F:G,2,0)</f>
        <v>3.3799457765415402</v>
      </c>
      <c r="Z39" s="8">
        <f t="shared" si="19"/>
        <v>3.3799457765415402</v>
      </c>
      <c r="AC39" s="9">
        <f t="shared" si="24"/>
        <v>62.796666444336601</v>
      </c>
      <c r="AD39" s="8">
        <f>VLOOKUP(ROUNDDOWN(AC39,0),'Spline Pre-Adj'!K:L,2,0)</f>
        <v>3.3536482047599101</v>
      </c>
      <c r="AE39" s="8">
        <f t="shared" si="25"/>
        <v>3.8231589534262973</v>
      </c>
    </row>
    <row r="40" spans="1:31" x14ac:dyDescent="0.25">
      <c r="A40" s="4">
        <f t="shared" si="9"/>
        <v>86.878109480871103</v>
      </c>
      <c r="B40" s="3">
        <f t="shared" si="5"/>
        <v>712.88529485757999</v>
      </c>
      <c r="C40" s="2" t="str">
        <f t="shared" si="4"/>
        <v>12:75-100</v>
      </c>
      <c r="D40" s="8">
        <f t="shared" ref="D40" si="34">E15</f>
        <v>3.3312511914526097E-2</v>
      </c>
      <c r="E40" s="8">
        <f t="shared" si="11"/>
        <v>3.063387636125221E-2</v>
      </c>
      <c r="F40" s="3">
        <f t="shared" si="12"/>
        <v>1.0874403069884426</v>
      </c>
      <c r="G40" s="2">
        <f t="shared" si="13"/>
        <v>33.40629617725007</v>
      </c>
      <c r="H40" s="2">
        <f t="shared" si="14"/>
        <v>31.157907778032833</v>
      </c>
      <c r="K40" s="4">
        <v>1</v>
      </c>
      <c r="L40" s="4">
        <v>1</v>
      </c>
      <c r="M40" s="4">
        <v>1.1000000000000001</v>
      </c>
      <c r="N40" s="8">
        <f t="shared" si="7"/>
        <v>3.3226146280365271E-2</v>
      </c>
      <c r="O40" s="2">
        <f t="shared" si="15"/>
        <v>33.334865840124969</v>
      </c>
      <c r="P40" s="7">
        <f t="shared" si="8"/>
        <v>1.0025993274523042</v>
      </c>
      <c r="W40">
        <v>79</v>
      </c>
      <c r="X40" s="9">
        <f t="shared" si="27"/>
        <v>86.878109480871103</v>
      </c>
      <c r="Y40" s="8">
        <f>VLOOKUP(ROUNDDOWN(X40,0),'Spline Pre-Adj'!F:G,2,0)</f>
        <v>4.7646640542534699</v>
      </c>
      <c r="Z40" s="8">
        <f t="shared" si="19"/>
        <v>4.7646640542534699</v>
      </c>
      <c r="AB40">
        <v>84</v>
      </c>
      <c r="AC40" s="9">
        <f t="shared" si="24"/>
        <v>86.878109480871103</v>
      </c>
      <c r="AD40" s="8">
        <f>VLOOKUP(ROUNDDOWN(AC40,0),'Spline Pre-Adj'!K:L,2,0)</f>
        <v>4.1191352784208304</v>
      </c>
      <c r="AE40" s="8">
        <f t="shared" si="25"/>
        <v>4.5310488062629135</v>
      </c>
    </row>
    <row r="41" spans="1:31" x14ac:dyDescent="0.25">
      <c r="A41" s="4">
        <f t="shared" si="9"/>
        <v>112.144734442329</v>
      </c>
      <c r="B41" s="3">
        <f t="shared" si="5"/>
        <v>574.71004640515002</v>
      </c>
      <c r="C41" s="2" t="str">
        <f t="shared" si="4"/>
        <v>13:100-125</v>
      </c>
      <c r="D41" s="8">
        <f t="shared" ref="D41" si="35">E16</f>
        <v>3.6056803068805397E-2</v>
      </c>
      <c r="E41" s="8">
        <f t="shared" si="11"/>
        <v>3.4219925791946174E-2</v>
      </c>
      <c r="F41" s="3">
        <f t="shared" si="12"/>
        <v>1.0536785873828967</v>
      </c>
      <c r="G41" s="2">
        <f t="shared" si="13"/>
        <v>35.639810882449964</v>
      </c>
      <c r="H41" s="2">
        <f t="shared" si="14"/>
        <v>34.152560717857639</v>
      </c>
      <c r="K41" s="4">
        <v>1</v>
      </c>
      <c r="L41" s="4">
        <v>1</v>
      </c>
      <c r="M41" s="4">
        <v>1.06</v>
      </c>
      <c r="N41" s="8">
        <f t="shared" si="7"/>
        <v>3.5966016560722416E-2</v>
      </c>
      <c r="O41" s="2">
        <f t="shared" si="15"/>
        <v>35.567034007076103</v>
      </c>
      <c r="P41" s="7">
        <f t="shared" si="8"/>
        <v>1.0025242302808182</v>
      </c>
      <c r="W41">
        <v>103</v>
      </c>
      <c r="X41" s="9">
        <f t="shared" si="27"/>
        <v>112.144734442329</v>
      </c>
      <c r="Y41" s="8">
        <f>VLOOKUP(ROUNDDOWN(X41,0),'Spline Pre-Adj'!F:G,2,0)</f>
        <v>6.2750975705599998</v>
      </c>
      <c r="Z41" s="8">
        <f t="shared" si="19"/>
        <v>6.2750975705599998</v>
      </c>
      <c r="AC41" s="9">
        <f t="shared" si="24"/>
        <v>112.144734442329</v>
      </c>
      <c r="AD41" s="8">
        <f>VLOOKUP(ROUNDDOWN(AC41,0),'Spline Pre-Adj'!K:L,2,0)</f>
        <v>4.75215670710576</v>
      </c>
      <c r="AE41" s="8">
        <f t="shared" si="25"/>
        <v>5.037286109532106</v>
      </c>
    </row>
    <row r="42" spans="1:31" x14ac:dyDescent="0.25">
      <c r="A42" s="4">
        <f t="shared" si="9"/>
        <v>135.92639601254999</v>
      </c>
      <c r="B42" s="3">
        <f t="shared" si="5"/>
        <v>364.52105390403005</v>
      </c>
      <c r="C42" s="2" t="str">
        <f t="shared" si="4"/>
        <v>14:125-150</v>
      </c>
      <c r="D42" s="8">
        <f t="shared" ref="D42" si="36">E17</f>
        <v>3.8593851249744397E-2</v>
      </c>
      <c r="E42" s="8">
        <f t="shared" si="11"/>
        <v>3.8150841251500957E-2</v>
      </c>
      <c r="F42" s="3">
        <f t="shared" si="12"/>
        <v>1.0116120636848607</v>
      </c>
      <c r="G42" s="2">
        <f t="shared" si="13"/>
        <v>37.643354457432018</v>
      </c>
      <c r="H42" s="2">
        <f t="shared" si="14"/>
        <v>37.297676585438708</v>
      </c>
      <c r="K42" s="4">
        <v>1</v>
      </c>
      <c r="L42" s="4">
        <v>1</v>
      </c>
      <c r="M42" s="4">
        <v>1</v>
      </c>
      <c r="N42" s="8">
        <f t="shared" si="7"/>
        <v>3.8150841251500957E-2</v>
      </c>
      <c r="O42" s="2">
        <f t="shared" si="15"/>
        <v>37.297676585438708</v>
      </c>
      <c r="P42" s="7">
        <f t="shared" si="8"/>
        <v>1.0116120636848607</v>
      </c>
      <c r="W42">
        <v>128</v>
      </c>
      <c r="X42" s="9">
        <f t="shared" si="27"/>
        <v>135.92639601254999</v>
      </c>
      <c r="Y42" s="8">
        <f>VLOOKUP(ROUNDDOWN(X42,0),'Spline Pre-Adj'!F:G,2,0)</f>
        <v>7.6782094614435499</v>
      </c>
      <c r="Z42" s="8">
        <f t="shared" si="19"/>
        <v>7.6782094614435499</v>
      </c>
      <c r="AC42" s="9">
        <f t="shared" si="24"/>
        <v>135.92639601254999</v>
      </c>
      <c r="AD42" s="8">
        <f>VLOOKUP(ROUNDDOWN(AC42,0),'Spline Pre-Adj'!K:L,2,0)</f>
        <v>5.2241824620250199</v>
      </c>
      <c r="AE42" s="8">
        <f t="shared" si="25"/>
        <v>5.2241824620250199</v>
      </c>
    </row>
    <row r="43" spans="1:31" x14ac:dyDescent="0.25">
      <c r="A43" s="4">
        <f>K18</f>
        <v>160.76806584602701</v>
      </c>
      <c r="B43" s="3">
        <f t="shared" si="5"/>
        <v>158.55552261048999</v>
      </c>
      <c r="C43" s="2" t="str">
        <f t="shared" si="4"/>
        <v>15:150-175</v>
      </c>
      <c r="D43" s="8">
        <f>E18</f>
        <v>3.8164395388718103E-2</v>
      </c>
      <c r="E43" s="8">
        <f t="shared" si="11"/>
        <v>3.9359406717154162E-2</v>
      </c>
      <c r="F43" s="3">
        <f>D43/E43</f>
        <v>0.96963848217978266</v>
      </c>
      <c r="G43" s="2">
        <f t="shared" si="13"/>
        <v>37.308278788764873</v>
      </c>
      <c r="H43" s="2">
        <f t="shared" si="14"/>
        <v>38.236597446650769</v>
      </c>
      <c r="K43" s="4">
        <v>1</v>
      </c>
      <c r="L43" s="4">
        <v>1</v>
      </c>
      <c r="M43" s="4">
        <v>0.97</v>
      </c>
      <c r="N43" s="8">
        <f t="shared" si="7"/>
        <v>3.8343822962094973E-2</v>
      </c>
      <c r="O43" s="2">
        <f t="shared" si="15"/>
        <v>37.448474339969117</v>
      </c>
      <c r="P43" s="7">
        <f t="shared" si="8"/>
        <v>0.99532056118780221</v>
      </c>
      <c r="W43">
        <v>152</v>
      </c>
      <c r="X43" s="9">
        <f t="shared" si="27"/>
        <v>160.76806584602701</v>
      </c>
      <c r="Y43" s="8">
        <f>VLOOKUP(ROUNDDOWN(X43,0),'Spline Pre-Adj'!F:G,2,0)</f>
        <v>8.7434835551418502</v>
      </c>
      <c r="Z43" s="8">
        <f t="shared" si="19"/>
        <v>8.7434835551418502</v>
      </c>
      <c r="AC43" s="9">
        <f t="shared" si="24"/>
        <v>160.76806584602701</v>
      </c>
      <c r="AD43" s="8">
        <f>VLOOKUP(ROUNDDOWN(AC43,0),'Spline Pre-Adj'!K:L,2,0)</f>
        <v>5.6662697466415004</v>
      </c>
      <c r="AE43" s="8">
        <f t="shared" si="25"/>
        <v>5.4962816542422557</v>
      </c>
    </row>
    <row r="44" spans="1:31" x14ac:dyDescent="0.25">
      <c r="A44" s="4">
        <f t="shared" si="9"/>
        <v>184.313697504326</v>
      </c>
      <c r="B44" s="3">
        <f t="shared" si="5"/>
        <v>48.694441430220003</v>
      </c>
      <c r="C44" s="2" t="str">
        <f t="shared" si="4"/>
        <v>16:175-200</v>
      </c>
      <c r="D44" s="8">
        <f t="shared" ref="D44" si="37">E19</f>
        <v>3.8129964814431198E-2</v>
      </c>
      <c r="E44" s="8">
        <f t="shared" si="11"/>
        <v>4.1170415052896155E-2</v>
      </c>
      <c r="F44" s="3">
        <f t="shared" si="12"/>
        <v>0.92614963355218649</v>
      </c>
      <c r="G44" s="2">
        <f t="shared" si="13"/>
        <v>37.281343578918879</v>
      </c>
      <c r="H44" s="2">
        <f t="shared" si="14"/>
        <v>39.619443679294974</v>
      </c>
      <c r="K44" s="4">
        <v>1</v>
      </c>
      <c r="L44" s="4">
        <v>1</v>
      </c>
      <c r="M44" s="4">
        <v>0.91</v>
      </c>
      <c r="N44" s="8">
        <f t="shared" si="7"/>
        <v>3.796591865285881E-2</v>
      </c>
      <c r="O44" s="2">
        <f t="shared" si="15"/>
        <v>37.152863709240414</v>
      </c>
      <c r="P44" s="7">
        <f t="shared" si="8"/>
        <v>1.0043208795517986</v>
      </c>
      <c r="W44">
        <v>197</v>
      </c>
      <c r="X44" s="9">
        <f t="shared" si="27"/>
        <v>184.313697504326</v>
      </c>
      <c r="Y44" s="8">
        <f>VLOOKUP(ROUNDDOWN(X44,0),'Spline Pre-Adj'!F:G,2,0)</f>
        <v>8.8930025521210094</v>
      </c>
      <c r="Z44" s="8">
        <f t="shared" si="19"/>
        <v>8.8930025521210094</v>
      </c>
      <c r="AB44">
        <v>184</v>
      </c>
      <c r="AC44" s="9">
        <f>A44</f>
        <v>184.313697504326</v>
      </c>
      <c r="AD44" s="8">
        <f>VLOOKUP(ROUNDDOWN(AC44,0),'Spline Pre-Adj'!K:L,2,0)</f>
        <v>6.0427230019999998</v>
      </c>
      <c r="AE44" s="8">
        <f>AD44*M44</f>
        <v>5.4988779318200001</v>
      </c>
    </row>
    <row r="45" spans="1:31" x14ac:dyDescent="0.25">
      <c r="A45" s="4">
        <f t="shared" si="9"/>
        <v>209.47667625583099</v>
      </c>
      <c r="B45" s="3">
        <f t="shared" si="5"/>
        <v>9.6724335747099985</v>
      </c>
      <c r="C45" s="2" t="str">
        <f t="shared" si="4"/>
        <v>17:200-225</v>
      </c>
      <c r="D45" s="8">
        <f t="shared" ref="D45" si="38">E20</f>
        <v>3.4031302621204997E-2</v>
      </c>
      <c r="E45" s="8">
        <f t="shared" si="11"/>
        <v>3.7709892660372731E-2</v>
      </c>
      <c r="F45" s="3">
        <f t="shared" si="12"/>
        <v>0.90245026491328728</v>
      </c>
      <c r="G45" s="2">
        <f t="shared" si="13"/>
        <v>33.998069604528226</v>
      </c>
      <c r="H45" s="2">
        <f t="shared" si="14"/>
        <v>36.951863679543649</v>
      </c>
      <c r="K45" s="4">
        <v>1</v>
      </c>
      <c r="L45" s="4">
        <v>1</v>
      </c>
      <c r="M45" s="4">
        <v>0.88</v>
      </c>
      <c r="N45" s="8">
        <f t="shared" si="7"/>
        <v>3.3905472430393546E-2</v>
      </c>
      <c r="O45" s="2">
        <f t="shared" si="15"/>
        <v>33.894824169440327</v>
      </c>
      <c r="P45" s="7">
        <f t="shared" si="8"/>
        <v>1.0037112059438127</v>
      </c>
      <c r="W45">
        <v>217</v>
      </c>
      <c r="X45" s="9">
        <f t="shared" si="27"/>
        <v>209.47667625583099</v>
      </c>
      <c r="Y45" s="8">
        <f>VLOOKUP(ROUNDDOWN(X45,0),'Spline Pre-Adj'!F:G,2,0)</f>
        <v>8.9</v>
      </c>
      <c r="Z45" s="8">
        <f t="shared" si="19"/>
        <v>8.9</v>
      </c>
      <c r="AC45" s="24">
        <f>A45</f>
        <v>209.47667625583099</v>
      </c>
      <c r="AD45" s="22">
        <f>VLOOKUP(ROUNDDOWN(AC45,0),'Spline Pre-Adj'!K:L,2,0)</f>
        <v>6.3657668913125001</v>
      </c>
      <c r="AE45" s="22">
        <f>AD45*M45</f>
        <v>5.6018748643550005</v>
      </c>
    </row>
    <row r="46" spans="1:31" s="18" customFormat="1" x14ac:dyDescent="0.25">
      <c r="A46" s="14">
        <f t="shared" si="9"/>
        <v>234.09082868668099</v>
      </c>
      <c r="B46" s="15">
        <f t="shared" si="5"/>
        <v>1.96878358522</v>
      </c>
      <c r="C46" s="16" t="str">
        <f t="shared" si="4"/>
        <v>18:225-250</v>
      </c>
      <c r="D46" s="17">
        <f t="shared" ref="D46" si="39">E21</f>
        <v>3.47765480914334E-2</v>
      </c>
      <c r="E46" s="17">
        <f t="shared" si="11"/>
        <v>3.6254336069918069E-2</v>
      </c>
      <c r="F46" s="15">
        <f t="shared" si="12"/>
        <v>0.95923831081516175</v>
      </c>
      <c r="G46" s="16">
        <f t="shared" si="13"/>
        <v>34.606529816264164</v>
      </c>
      <c r="H46" s="16">
        <f t="shared" si="14"/>
        <v>35.797898318257523</v>
      </c>
      <c r="K46" s="14">
        <v>1</v>
      </c>
      <c r="L46" s="14">
        <v>1</v>
      </c>
      <c r="M46" s="14">
        <v>0.95</v>
      </c>
      <c r="N46" s="17">
        <f t="shared" si="7"/>
        <v>3.4761895128520362E-2</v>
      </c>
      <c r="O46" s="16">
        <f t="shared" si="15"/>
        <v>34.59461603898005</v>
      </c>
      <c r="P46" s="19">
        <f t="shared" si="8"/>
        <v>1.0004215237074636</v>
      </c>
      <c r="AC46" s="24">
        <f t="shared" ref="AC46:AC47" si="40">A46</f>
        <v>234.09082868668099</v>
      </c>
      <c r="AD46" s="22">
        <f>VLOOKUP(ROUNDDOWN(AC46,0),'Spline Pre-Adj'!K:L,2,0)</f>
        <v>6.6143319125</v>
      </c>
      <c r="AE46" s="22">
        <f t="shared" ref="AE46:AE47" si="41">AD46*M46</f>
        <v>6.2836153168749993</v>
      </c>
    </row>
    <row r="47" spans="1:31" s="29" customFormat="1" x14ac:dyDescent="0.25">
      <c r="A47" s="25">
        <f>K23</f>
        <v>266.606085111781</v>
      </c>
      <c r="B47" s="26">
        <f>AQ23/1000000000</f>
        <v>0.44606897539999996</v>
      </c>
      <c r="C47" s="27" t="str">
        <f>AO23</f>
        <v>999:&gt;= 250</v>
      </c>
      <c r="D47" s="28">
        <f>E23</f>
        <v>4.1882523971790202E-2</v>
      </c>
      <c r="E47" s="28">
        <f>Z23+AA23+AB23+AC23+AD23</f>
        <v>3.4634762814037073E-2</v>
      </c>
      <c r="F47" s="26">
        <f t="shared" si="12"/>
        <v>1.2092626185046573</v>
      </c>
      <c r="G47" s="27">
        <f t="shared" si="13"/>
        <v>40.155376225033159</v>
      </c>
      <c r="H47" s="27">
        <f t="shared" si="14"/>
        <v>34.491165949165051</v>
      </c>
      <c r="K47" s="25">
        <v>1</v>
      </c>
      <c r="L47" s="25">
        <v>1</v>
      </c>
      <c r="M47" s="25">
        <v>1</v>
      </c>
      <c r="N47" s="28">
        <f>Z23+AA23+AB23*K47+AC23*L47+AD23*M47</f>
        <v>3.4634762814037073E-2</v>
      </c>
      <c r="O47" s="27">
        <f t="shared" si="15"/>
        <v>34.491165949165051</v>
      </c>
      <c r="P47" s="30">
        <f t="shared" si="8"/>
        <v>1.2092626185046573</v>
      </c>
      <c r="AB47" s="29">
        <v>284</v>
      </c>
      <c r="AC47" s="31">
        <f t="shared" si="40"/>
        <v>266.606085111781</v>
      </c>
      <c r="AD47" s="28">
        <f>VLOOKUP(ROUNDDOWN(AC47,0),'Spline Pre-Adj'!K:L,2,0)</f>
        <v>6.8951093694774102</v>
      </c>
      <c r="AE47" s="28">
        <f t="shared" si="41"/>
        <v>6.8951093694774102</v>
      </c>
    </row>
  </sheetData>
  <conditionalFormatting sqref="AQ2:AQ23">
    <cfRule type="dataBar" priority="4">
      <dataBar>
        <cfvo type="min"/>
        <cfvo type="max"/>
        <color rgb="FF638EC6"/>
      </dataBar>
      <extLst>
        <ext xmlns:x14="http://schemas.microsoft.com/office/spreadsheetml/2009/9/main" uri="{B025F937-C7B1-47D3-B67F-A62EFF666E3E}">
          <x14:id>{7F887866-3709-4557-B367-E276FB81D8F0}</x14:id>
        </ext>
      </extLst>
    </cfRule>
  </conditionalFormatting>
  <conditionalFormatting sqref="F33:F46">
    <cfRule type="colorScale" priority="2">
      <colorScale>
        <cfvo type="min"/>
        <cfvo type="num" val="1"/>
        <cfvo type="max"/>
        <color rgb="FFF8696B"/>
        <color theme="0"/>
        <color theme="4"/>
      </colorScale>
    </cfRule>
  </conditionalFormatting>
  <conditionalFormatting sqref="P33:P46">
    <cfRule type="colorScale" priority="1">
      <colorScale>
        <cfvo type="min"/>
        <cfvo type="num" val="1"/>
        <cfvo type="max"/>
        <color rgb="FFF8696B"/>
        <color theme="0"/>
        <color theme="4"/>
      </colorScale>
    </cfRule>
  </conditionalFormatting>
  <conditionalFormatting sqref="B28:B47">
    <cfRule type="dataBar" priority="5">
      <dataBar>
        <cfvo type="min"/>
        <cfvo type="max"/>
        <color rgb="FF638EC6"/>
      </dataBar>
      <extLst>
        <ext xmlns:x14="http://schemas.microsoft.com/office/spreadsheetml/2009/9/main" uri="{B025F937-C7B1-47D3-B67F-A62EFF666E3E}">
          <x14:id>{3BB78279-90DE-4177-B88A-2B785057A913}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AQ2:AQ23</xm:sqref>
        </x14:conditionalFormatting>
        <x14:conditionalFormatting xmlns:xm="http://schemas.microsoft.com/office/excel/2006/main">
          <x14:cfRule type="dataBar" id="{3BB78279-90DE-4177-B88A-2B785057A913}">
            <x14:dataBar minLength="0" maxLength="100" border="1" negativeBarBorderColorSameAsPositive="0">
              <x14:cfvo type="autoMin"/>
              <x14:cfvo type="autoMax"/>
              <x14:borderColor rgb="FF638EC6"/>
              <x14:negativeFillColor rgb="FFFF0000"/>
              <x14:negativeBorderColor rgb="FFFF0000"/>
              <x14:axisColor rgb="FF000000"/>
            </x14:dataBar>
          </x14:cfRule>
          <xm:sqref>B28:B47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I50" sqref="I50"/>
    </sheetView>
  </sheetViews>
  <sheetFormatPr defaultRowHeight="15" x14ac:dyDescent="0.25"/>
  <sheetData>
    <row r="1" spans="1:12" x14ac:dyDescent="0.25">
      <c r="A1" s="13" t="s">
        <v>115</v>
      </c>
      <c r="B1" t="s">
        <v>116</v>
      </c>
      <c r="F1" s="13" t="s">
        <v>115</v>
      </c>
      <c r="G1" t="s">
        <v>114</v>
      </c>
      <c r="K1" s="13" t="s">
        <v>115</v>
      </c>
      <c r="L1" t="s">
        <v>117</v>
      </c>
    </row>
    <row r="3" spans="1:12" x14ac:dyDescent="0.25">
      <c r="A3" s="13" t="s">
        <v>111</v>
      </c>
      <c r="B3" t="s">
        <v>112</v>
      </c>
      <c r="F3" s="13" t="s">
        <v>111</v>
      </c>
      <c r="G3" t="s">
        <v>112</v>
      </c>
      <c r="K3" s="13" t="s">
        <v>111</v>
      </c>
      <c r="L3" t="s">
        <v>112</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113</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113</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113</v>
      </c>
      <c r="B915" s="12">
        <v>0.92777098243689093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Distribution of data</vt:lpstr>
      <vt:lpstr>Baseline</vt:lpstr>
      <vt:lpstr>Spline Pre-Adj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2018-08-27T17:58:01Z</dcterms:modified>
</cp:coreProperties>
</file>