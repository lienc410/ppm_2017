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32355" windowHeight="19185"/>
  </bookViews>
  <sheets>
    <sheet name="grp_by_waols_plot_by_incentive_" sheetId="1" r:id="rId1"/>
  </sheets>
  <calcPr calcId="0"/>
</workbook>
</file>

<file path=xl/calcChain.xml><?xml version="1.0" encoding="utf-8"?>
<calcChain xmlns="http://schemas.openxmlformats.org/spreadsheetml/2006/main">
  <c r="Q40" i="1" l="1"/>
  <c r="Q41" i="1"/>
  <c r="Q42" i="1"/>
  <c r="Q43" i="1"/>
  <c r="Q44" i="1"/>
  <c r="Q45" i="1"/>
  <c r="D49" i="1"/>
  <c r="D48" i="1"/>
  <c r="D47" i="1"/>
  <c r="D46" i="1"/>
  <c r="D45" i="1"/>
  <c r="D44" i="1"/>
  <c r="D43" i="1"/>
  <c r="D42" i="1"/>
  <c r="D41" i="1"/>
  <c r="D40" i="1"/>
  <c r="D39" i="1"/>
  <c r="D38" i="1"/>
  <c r="N39" i="1"/>
  <c r="Q39" i="1" s="1"/>
  <c r="Q38" i="1"/>
  <c r="J39" i="1"/>
  <c r="K39" i="1"/>
  <c r="L39" i="1" s="1"/>
  <c r="K40" i="1"/>
  <c r="K41" i="1"/>
  <c r="K42" i="1"/>
  <c r="K43" i="1"/>
  <c r="L43" i="1" s="1"/>
  <c r="K44" i="1"/>
  <c r="K45" i="1"/>
  <c r="K46" i="1"/>
  <c r="K47" i="1"/>
  <c r="L47" i="1" s="1"/>
  <c r="K48" i="1"/>
  <c r="K49" i="1"/>
  <c r="K38" i="1"/>
  <c r="G39" i="1"/>
  <c r="G40" i="1"/>
  <c r="G41" i="1"/>
  <c r="G42" i="1"/>
  <c r="G43" i="1"/>
  <c r="G44" i="1"/>
  <c r="G45" i="1"/>
  <c r="G46" i="1"/>
  <c r="G47" i="1"/>
  <c r="G48" i="1"/>
  <c r="G49" i="1"/>
  <c r="G38" i="1"/>
  <c r="G37" i="1"/>
  <c r="F39" i="1"/>
  <c r="F40" i="1"/>
  <c r="H40" i="1" s="1"/>
  <c r="F41" i="1"/>
  <c r="H41" i="1" s="1"/>
  <c r="F42" i="1"/>
  <c r="H42" i="1" s="1"/>
  <c r="F43" i="1"/>
  <c r="F44" i="1"/>
  <c r="H44" i="1" s="1"/>
  <c r="F45" i="1"/>
  <c r="L45" i="1" s="1"/>
  <c r="F46" i="1"/>
  <c r="H46" i="1" s="1"/>
  <c r="F47" i="1"/>
  <c r="F48" i="1"/>
  <c r="H48" i="1" s="1"/>
  <c r="F49" i="1"/>
  <c r="H49" i="1" s="1"/>
  <c r="F38" i="1"/>
  <c r="H38" i="1" s="1"/>
  <c r="F37" i="1"/>
  <c r="E39" i="1"/>
  <c r="E40" i="1"/>
  <c r="E41" i="1"/>
  <c r="E42" i="1"/>
  <c r="E43" i="1"/>
  <c r="E44" i="1"/>
  <c r="E45" i="1"/>
  <c r="E46" i="1"/>
  <c r="E47" i="1"/>
  <c r="E48" i="1"/>
  <c r="E49" i="1"/>
  <c r="E38" i="1"/>
  <c r="B48" i="1"/>
  <c r="C48" i="1"/>
  <c r="B49" i="1"/>
  <c r="C4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39" i="1"/>
  <c r="C39" i="1"/>
  <c r="B38" i="1"/>
  <c r="C38" i="1"/>
  <c r="C37" i="1"/>
  <c r="L46" i="1" l="1"/>
  <c r="H47" i="1"/>
  <c r="H39" i="1"/>
  <c r="L44" i="1"/>
  <c r="L38" i="1"/>
  <c r="L42" i="1"/>
  <c r="L49" i="1"/>
  <c r="L41" i="1"/>
  <c r="L48" i="1"/>
  <c r="L40" i="1"/>
  <c r="H45" i="1"/>
  <c r="H43" i="1"/>
</calcChain>
</file>

<file path=xl/sharedStrings.xml><?xml version="1.0" encoding="utf-8"?>
<sst xmlns="http://schemas.openxmlformats.org/spreadsheetml/2006/main" count="67" uniqueCount="63">
  <si>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</si>
  <si>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</si>
  <si>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</si>
  <si>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</si>
  <si>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</si>
  <si>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</si>
  <si>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</si>
  <si>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</si>
  <si>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</si>
  <si>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</si>
  <si>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</si>
  <si>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</si>
  <si>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</si>
  <si>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</si>
  <si>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</si>
  <si>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</si>
  <si>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</si>
  <si>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</si>
  <si>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</si>
  <si>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</si>
  <si>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</si>
  <si>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</si>
  <si>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</si>
  <si>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</si>
  <si>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</si>
  <si>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</si>
  <si>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</si>
  <si>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</si>
  <si>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</si>
  <si>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</si>
  <si>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</si>
  <si>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</si>
  <si>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</si>
  <si>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</si>
  <si>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</si>
  <si>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</si>
  <si>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</si>
  <si>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</si>
  <si>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</si>
  <si>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</si>
  <si>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</si>
  <si>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turn_lohpa_wala_mult</t>
  </si>
  <si>
    <t>turn_hihpa_wala_mult</t>
  </si>
  <si>
    <t>turn_pct_hihpa_wala_mult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</si>
  <si>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</si>
  <si>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</si>
  <si>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</si>
  <si>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</si>
  <si>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</si>
  <si>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</si>
  <si>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</si>
  <si>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</si>
  <si>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</si>
  <si>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</si>
  <si>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</si>
  <si>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</si>
  <si>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</si>
  <si>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</si>
  <si>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adj ratio</t>
  </si>
  <si>
    <t>new mdl</t>
  </si>
  <si>
    <t>knots</t>
  </si>
  <si>
    <t>dev knots</t>
  </si>
  <si>
    <t>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</si>
</sst>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43" fontId="0" fillId="0" borderId="0" xfId="1" applyFont="1"/>
    <xf numFmtId="166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grp_by_waols_plot_by_incentive_!$P$37</c:f>
              <c:strCache>
                <c:ptCount val="1"/>
                <c:pt idx="0">
                  <c:v>knots</c:v>
                </c:pt>
              </c:strCache>
            </c:strRef>
          </c:tx>
          <c:marker>
            <c:symbol val="none"/>
          </c:marker>
          <c:cat>
            <c:numRef>
              <c:f>grp_by_waols_plot_by_incentive_!$O$38:$O$45</c:f>
              <c:numCache>
                <c:formatCode>General</c:formatCode>
                <c:ptCount val="8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450</c:v>
                </c:pt>
                <c:pt idx="6">
                  <c:v>600</c:v>
                </c:pt>
                <c:pt idx="7">
                  <c:v>800</c:v>
                </c:pt>
              </c:numCache>
            </c:numRef>
          </c:cat>
          <c:val>
            <c:numRef>
              <c:f>grp_by_waols_plot_by_incentive_!$P$38:$P$45</c:f>
              <c:numCache>
                <c:formatCode>General</c:formatCode>
                <c:ptCount val="8"/>
                <c:pt idx="0">
                  <c:v>1.744</c:v>
                </c:pt>
                <c:pt idx="1">
                  <c:v>1.1993898620000001</c:v>
                </c:pt>
                <c:pt idx="2">
                  <c:v>1.1797800000000001</c:v>
                </c:pt>
                <c:pt idx="3">
                  <c:v>1.04304</c:v>
                </c:pt>
                <c:pt idx="4">
                  <c:v>0.96621000000000001</c:v>
                </c:pt>
                <c:pt idx="5">
                  <c:v>0.695794464</c:v>
                </c:pt>
                <c:pt idx="6">
                  <c:v>0.44395840800000003</c:v>
                </c:pt>
                <c:pt idx="7">
                  <c:v>0.44395840800000003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grp_by_waols_plot_by_incentive_!$Q$37</c:f>
              <c:strCache>
                <c:ptCount val="1"/>
                <c:pt idx="0">
                  <c:v>dev knots</c:v>
                </c:pt>
              </c:strCache>
            </c:strRef>
          </c:tx>
          <c:marker>
            <c:symbol val="none"/>
          </c:marker>
          <c:cat>
            <c:numRef>
              <c:f>grp_by_waols_plot_by_incentive_!$O$38:$O$45</c:f>
              <c:numCache>
                <c:formatCode>General</c:formatCode>
                <c:ptCount val="8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450</c:v>
                </c:pt>
                <c:pt idx="6">
                  <c:v>600</c:v>
                </c:pt>
                <c:pt idx="7">
                  <c:v>800</c:v>
                </c:pt>
              </c:numCache>
            </c:numRef>
          </c:cat>
          <c:val>
            <c:numRef>
              <c:f>grp_by_waols_plot_by_incentive_!$Q$38:$Q$45</c:f>
              <c:numCache>
                <c:formatCode>General</c:formatCode>
                <c:ptCount val="8"/>
                <c:pt idx="0">
                  <c:v>1.62192</c:v>
                </c:pt>
                <c:pt idx="1">
                  <c:v>1.1154325716600002</c:v>
                </c:pt>
                <c:pt idx="2">
                  <c:v>1.1089932</c:v>
                </c:pt>
                <c:pt idx="3">
                  <c:v>1.04304</c:v>
                </c:pt>
                <c:pt idx="4">
                  <c:v>0.96621000000000001</c:v>
                </c:pt>
                <c:pt idx="5">
                  <c:v>0.695794464</c:v>
                </c:pt>
                <c:pt idx="6">
                  <c:v>0.44395840800000003</c:v>
                </c:pt>
                <c:pt idx="7">
                  <c:v>0.44395840800000003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87840"/>
        <c:axId val="141989376"/>
      </c:lineChart>
      <c:catAx>
        <c:axId val="14198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989376"/>
        <c:crosses val="autoZero"/>
        <c:auto val="1"/>
        <c:lblAlgn val="ctr"/>
        <c:lblOffset val="100"/>
        <c:noMultiLvlLbl val="0"/>
      </c:catAx>
      <c:valAx>
        <c:axId val="14198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987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576262</xdr:colOff>
      <xdr:row>37</xdr:row>
      <xdr:rowOff>23812</xdr:rowOff>
    </xdr:from>
    <xdr:to>
      <xdr:col>30</xdr:col>
      <xdr:colOff>271462</xdr:colOff>
      <xdr:row>51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9"/>
  <sheetViews>
    <sheetView tabSelected="1" topLeftCell="B1" workbookViewId="0">
      <selection activeCell="Q51" sqref="Q51"/>
    </sheetView>
  </sheetViews>
  <sheetFormatPr defaultRowHeight="15" x14ac:dyDescent="0.25"/>
  <cols>
    <col min="5" max="5" width="11" bestFit="1" customWidth="1"/>
  </cols>
  <sheetData>
    <row r="1" spans="1:5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1</v>
      </c>
      <c r="B2">
        <v>85</v>
      </c>
      <c r="C2">
        <v>-100</v>
      </c>
      <c r="D2">
        <v>1.16852475596095E-2</v>
      </c>
      <c r="E2">
        <v>0.56618173417719897</v>
      </c>
      <c r="F2">
        <v>0.14013288610152899</v>
      </c>
      <c r="G2">
        <v>6.5865525593735201</v>
      </c>
      <c r="H2">
        <v>2.0638686934312801E-2</v>
      </c>
      <c r="I2">
        <v>0.55449648661758999</v>
      </c>
      <c r="J2">
        <v>4.0999395040193197E-2</v>
      </c>
      <c r="K2">
        <v>1.5026931016128399E-2</v>
      </c>
      <c r="L2">
        <v>0</v>
      </c>
      <c r="M2">
        <v>0.51015540812087701</v>
      </c>
      <c r="N2">
        <v>0</v>
      </c>
      <c r="O2">
        <v>0</v>
      </c>
      <c r="P2">
        <v>0</v>
      </c>
      <c r="Q2">
        <v>100</v>
      </c>
      <c r="R2">
        <v>52.170944998258499</v>
      </c>
      <c r="S2">
        <v>0</v>
      </c>
      <c r="T2">
        <v>47.829055001741501</v>
      </c>
      <c r="U2">
        <v>0</v>
      </c>
      <c r="V2">
        <v>47.829055001741501</v>
      </c>
      <c r="W2">
        <v>0.50818163847392095</v>
      </c>
      <c r="X2">
        <v>-100</v>
      </c>
      <c r="Y2">
        <v>0</v>
      </c>
      <c r="Z2">
        <v>100</v>
      </c>
      <c r="AA2">
        <v>65.768949987292103</v>
      </c>
      <c r="AB2">
        <v>69.654627168582294</v>
      </c>
      <c r="AC2">
        <v>69.654627168582294</v>
      </c>
      <c r="AD2">
        <v>29.20004066533</v>
      </c>
      <c r="AE2">
        <v>328.431570604238</v>
      </c>
      <c r="AF2">
        <v>3.4303329097361499</v>
      </c>
      <c r="AG2">
        <v>686.20464714354296</v>
      </c>
      <c r="AH2">
        <v>0</v>
      </c>
      <c r="AI2">
        <v>0</v>
      </c>
      <c r="AJ2">
        <v>176.08911953912599</v>
      </c>
      <c r="AK2">
        <v>17.7013708734574</v>
      </c>
      <c r="AL2">
        <v>-36.636248284431403</v>
      </c>
      <c r="AM2">
        <v>3.5585586606798301</v>
      </c>
      <c r="AN2">
        <v>10.741835938738401</v>
      </c>
      <c r="AO2">
        <v>0.9</v>
      </c>
      <c r="AP2">
        <v>1.1101649815371</v>
      </c>
      <c r="AQ2">
        <v>0.96567383425879705</v>
      </c>
      <c r="AR2">
        <v>1.1247062024041501</v>
      </c>
      <c r="AS2">
        <v>0.32601932487854501</v>
      </c>
      <c r="AT2">
        <v>1.0449999999999999</v>
      </c>
      <c r="AU2">
        <v>0.99649203074054604</v>
      </c>
      <c r="AV2">
        <v>1.20244916751669</v>
      </c>
      <c r="AW2">
        <v>0.907649136838097</v>
      </c>
      <c r="AX2">
        <v>1</v>
      </c>
      <c r="AY2">
        <v>0.98070988183393504</v>
      </c>
      <c r="AZ2">
        <v>1</v>
      </c>
      <c r="BA2">
        <v>1</v>
      </c>
      <c r="BB2">
        <v>0.937822228497736</v>
      </c>
      <c r="BC2">
        <v>1</v>
      </c>
      <c r="BD2">
        <v>0.97</v>
      </c>
      <c r="BE2">
        <v>265582.5</v>
      </c>
      <c r="BF2">
        <v>1.33779669606409E-4</v>
      </c>
      <c r="BG2">
        <v>4</v>
      </c>
    </row>
    <row r="3" spans="1:59" s="2" customFormat="1" x14ac:dyDescent="0.25">
      <c r="A3" s="2">
        <v>2</v>
      </c>
      <c r="B3" s="2">
        <v>85</v>
      </c>
      <c r="C3" s="2">
        <v>-75</v>
      </c>
      <c r="D3" s="2">
        <v>0.73443541629931597</v>
      </c>
      <c r="E3" s="2">
        <v>0.791251816962522</v>
      </c>
      <c r="F3" s="2">
        <v>8.4657970268822105</v>
      </c>
      <c r="G3" s="2">
        <v>9.0925162834339801</v>
      </c>
      <c r="H3" s="2">
        <v>0.92819428727340703</v>
      </c>
      <c r="I3" s="2">
        <v>5.68164006632055E-2</v>
      </c>
      <c r="J3" s="2">
        <v>5.0850608029149001E-2</v>
      </c>
      <c r="K3" s="2">
        <v>2.2346600183089701E-2</v>
      </c>
      <c r="L3" s="2">
        <v>0</v>
      </c>
      <c r="M3" s="2">
        <v>0.71805460875028304</v>
      </c>
      <c r="N3" s="2">
        <v>0</v>
      </c>
      <c r="O3" s="2">
        <v>36.942269791541797</v>
      </c>
      <c r="P3" s="2">
        <v>3.8853942439085398</v>
      </c>
      <c r="Q3" s="2">
        <v>59.172335964549703</v>
      </c>
      <c r="R3" s="2">
        <v>48.443433411338802</v>
      </c>
      <c r="S3" s="2">
        <v>34.070526620118599</v>
      </c>
      <c r="T3" s="2">
        <v>17.486039968542599</v>
      </c>
      <c r="U3" s="2">
        <v>0</v>
      </c>
      <c r="V3" s="2">
        <v>51.556566588661198</v>
      </c>
      <c r="W3" s="2">
        <v>0.72924775710452605</v>
      </c>
      <c r="X3" s="2">
        <v>-85.252405516742698</v>
      </c>
      <c r="Y3" s="2">
        <v>26.015661617567499</v>
      </c>
      <c r="Z3" s="2">
        <v>99.833948676377702</v>
      </c>
      <c r="AA3" s="2">
        <v>48.0709164082256</v>
      </c>
      <c r="AB3" s="2">
        <v>62.307394410520502</v>
      </c>
      <c r="AC3" s="2">
        <v>61.615678589605103</v>
      </c>
      <c r="AD3" s="2">
        <v>45.661406010592998</v>
      </c>
      <c r="AE3" s="2">
        <v>302.92651669374698</v>
      </c>
      <c r="AF3" s="2">
        <v>3.5271267266655402</v>
      </c>
      <c r="AG3" s="2">
        <v>759.435318403579</v>
      </c>
      <c r="AH3" s="2">
        <v>13.9456162719818</v>
      </c>
      <c r="AI3" s="2">
        <v>27.828765842253901</v>
      </c>
      <c r="AJ3" s="2">
        <v>176.90555410341901</v>
      </c>
      <c r="AK3" s="2">
        <v>19.1885682670829</v>
      </c>
      <c r="AL3" s="2">
        <v>-20.157957631424001</v>
      </c>
      <c r="AM3" s="2">
        <v>5.6023728553313896</v>
      </c>
      <c r="AN3" s="2">
        <v>24.123475575895402</v>
      </c>
      <c r="AO3" s="2">
        <v>0.9</v>
      </c>
      <c r="AP3" s="2">
        <v>1.2521897641627699</v>
      </c>
      <c r="AQ3" s="2">
        <v>1.1137764626051601</v>
      </c>
      <c r="AR3" s="2">
        <v>1.2145116155006599</v>
      </c>
      <c r="AS3" s="2">
        <v>0.39287548977668602</v>
      </c>
      <c r="AT3" s="2">
        <v>1.1217766512313301</v>
      </c>
      <c r="AU3" s="2">
        <v>1.00377713749908</v>
      </c>
      <c r="AV3" s="2">
        <v>1.2135753597752501</v>
      </c>
      <c r="AW3" s="2">
        <v>0.85283085476500797</v>
      </c>
      <c r="AX3" s="2">
        <v>1</v>
      </c>
      <c r="AY3" s="2">
        <v>1.00763385727877</v>
      </c>
      <c r="AZ3" s="2">
        <v>1</v>
      </c>
      <c r="BA3" s="2">
        <v>1</v>
      </c>
      <c r="BB3" s="2">
        <v>0.93297646343474006</v>
      </c>
      <c r="BC3" s="2">
        <v>1.06649608562478</v>
      </c>
      <c r="BD3" s="2">
        <v>0.98118926604532397</v>
      </c>
      <c r="BE3" s="2">
        <v>3981304513.5</v>
      </c>
      <c r="BF3" s="2">
        <v>7.6958519353977101E-2</v>
      </c>
      <c r="BG3" s="2">
        <v>20313</v>
      </c>
    </row>
    <row r="4" spans="1:59" s="2" customFormat="1" x14ac:dyDescent="0.25">
      <c r="A4" s="2">
        <v>3</v>
      </c>
      <c r="B4" s="2">
        <v>85</v>
      </c>
      <c r="C4" s="2">
        <v>-50</v>
      </c>
      <c r="D4" s="2">
        <v>0.77577593057986705</v>
      </c>
      <c r="E4" s="2">
        <v>0.83839367704206502</v>
      </c>
      <c r="F4" s="2">
        <v>8.9221988562474994</v>
      </c>
      <c r="G4" s="2">
        <v>9.6095310197743196</v>
      </c>
      <c r="H4" s="2">
        <v>0.92531223913434202</v>
      </c>
      <c r="I4" s="2">
        <v>6.2617746462197907E-2</v>
      </c>
      <c r="J4" s="2">
        <v>4.89450259915261E-2</v>
      </c>
      <c r="K4" s="2">
        <v>2.2062571695515201E-2</v>
      </c>
      <c r="L4" s="2">
        <v>0</v>
      </c>
      <c r="M4" s="2">
        <v>0.76738607935502401</v>
      </c>
      <c r="N4" s="2">
        <v>0</v>
      </c>
      <c r="O4" s="2">
        <v>27.692971435562999</v>
      </c>
      <c r="P4" s="2">
        <v>4.7748789055116303</v>
      </c>
      <c r="Q4" s="2">
        <v>67.532149658925306</v>
      </c>
      <c r="R4" s="2">
        <v>48.4140085247192</v>
      </c>
      <c r="S4" s="2">
        <v>34.179277539225303</v>
      </c>
      <c r="T4" s="2">
        <v>17.4067139360555</v>
      </c>
      <c r="U4" s="2">
        <v>0</v>
      </c>
      <c r="V4" s="2">
        <v>51.5859914752808</v>
      </c>
      <c r="W4" s="2">
        <v>0.754915800201306</v>
      </c>
      <c r="X4" s="2">
        <v>-60.909931955936202</v>
      </c>
      <c r="Y4" s="2">
        <v>101.84979238935399</v>
      </c>
      <c r="Z4" s="2">
        <v>99.838894953006104</v>
      </c>
      <c r="AA4" s="2">
        <v>48.720431329528097</v>
      </c>
      <c r="AB4" s="2">
        <v>63.340889258779001</v>
      </c>
      <c r="AC4" s="2">
        <v>62.602443168790799</v>
      </c>
      <c r="AD4" s="2">
        <v>41.178583989526501</v>
      </c>
      <c r="AE4" s="2">
        <v>307.638210490917</v>
      </c>
      <c r="AF4" s="2">
        <v>3.6467407683308202</v>
      </c>
      <c r="AG4" s="2">
        <v>759.12822263121802</v>
      </c>
      <c r="AH4" s="2">
        <v>15.8282483826901</v>
      </c>
      <c r="AI4" s="2">
        <v>28.446167434839399</v>
      </c>
      <c r="AJ4" s="2">
        <v>175.56395410289599</v>
      </c>
      <c r="AK4" s="2">
        <v>21.821349011042599</v>
      </c>
      <c r="AL4" s="2">
        <v>-13.105309263955601</v>
      </c>
      <c r="AM4" s="2">
        <v>5.6676873056196397</v>
      </c>
      <c r="AN4" s="2">
        <v>21.777173997545599</v>
      </c>
      <c r="AO4" s="2">
        <v>0.9</v>
      </c>
      <c r="AP4" s="2">
        <v>1.2495012735740301</v>
      </c>
      <c r="AQ4" s="2">
        <v>1.0795122761606299</v>
      </c>
      <c r="AR4" s="2">
        <v>1.1857849451181699</v>
      </c>
      <c r="AS4" s="2">
        <v>0.404928515340234</v>
      </c>
      <c r="AT4" s="2">
        <v>1.25991916757566</v>
      </c>
      <c r="AU4" s="2">
        <v>1.00337016501086</v>
      </c>
      <c r="AV4" s="2">
        <v>1.21097408473432</v>
      </c>
      <c r="AW4" s="2">
        <v>0.85310923032385599</v>
      </c>
      <c r="AX4" s="2">
        <v>1</v>
      </c>
      <c r="AY4" s="2">
        <v>1.0181777925434801</v>
      </c>
      <c r="AZ4" s="2">
        <v>1</v>
      </c>
      <c r="BA4" s="2">
        <v>1</v>
      </c>
      <c r="BB4" s="2">
        <v>0.93293821108213504</v>
      </c>
      <c r="BC4" s="2">
        <v>1.0498473485840101</v>
      </c>
      <c r="BD4" s="2">
        <v>0.98330983887316203</v>
      </c>
      <c r="BE4" s="2">
        <v>12140110728.9</v>
      </c>
      <c r="BF4" s="2">
        <v>7.6893684428061201E-2</v>
      </c>
      <c r="BG4" s="2">
        <v>55491</v>
      </c>
    </row>
    <row r="5" spans="1:59" x14ac:dyDescent="0.25">
      <c r="A5">
        <v>4</v>
      </c>
      <c r="B5">
        <v>85</v>
      </c>
      <c r="C5">
        <v>-25</v>
      </c>
      <c r="D5">
        <v>0.78999225886032798</v>
      </c>
      <c r="E5">
        <v>0.83453507133607596</v>
      </c>
      <c r="F5">
        <v>9.0786653371424002</v>
      </c>
      <c r="G5">
        <v>9.5673143779938492</v>
      </c>
      <c r="H5">
        <v>0.94662559548943204</v>
      </c>
      <c r="I5">
        <v>4.4542812475747803E-2</v>
      </c>
      <c r="J5">
        <v>4.7712950011121399E-2</v>
      </c>
      <c r="K5">
        <v>2.0803013182819699E-2</v>
      </c>
      <c r="L5">
        <v>0</v>
      </c>
      <c r="M5">
        <v>0.76601910814213503</v>
      </c>
      <c r="N5">
        <v>0</v>
      </c>
      <c r="O5">
        <v>22.392800116636302</v>
      </c>
      <c r="P5">
        <v>5.36619067107278</v>
      </c>
      <c r="Q5">
        <v>72.241009212290905</v>
      </c>
      <c r="R5">
        <v>47.832557697217602</v>
      </c>
      <c r="S5">
        <v>34.313615925065797</v>
      </c>
      <c r="T5">
        <v>17.853826377716601</v>
      </c>
      <c r="U5">
        <v>0</v>
      </c>
      <c r="V5">
        <v>52.167442302782398</v>
      </c>
      <c r="W5">
        <v>0.73984200250432397</v>
      </c>
      <c r="X5">
        <v>-36.485705395919503</v>
      </c>
      <c r="Y5">
        <v>261.52829347135599</v>
      </c>
      <c r="Z5">
        <v>99.812560942847</v>
      </c>
      <c r="AA5">
        <v>48.880944782572598</v>
      </c>
      <c r="AB5">
        <v>63.866656579338603</v>
      </c>
      <c r="AC5">
        <v>63.103452084125799</v>
      </c>
      <c r="AD5">
        <v>38.327984078746901</v>
      </c>
      <c r="AE5">
        <v>310.74191049324298</v>
      </c>
      <c r="AF5">
        <v>3.78289500485988</v>
      </c>
      <c r="AG5">
        <v>758.02945955658504</v>
      </c>
      <c r="AH5">
        <v>17.061071647790701</v>
      </c>
      <c r="AI5">
        <v>28.120596075750399</v>
      </c>
      <c r="AJ5">
        <v>174.992893201935</v>
      </c>
      <c r="AK5">
        <v>24.678122051496501</v>
      </c>
      <c r="AL5">
        <v>-6.53207419957063</v>
      </c>
      <c r="AM5">
        <v>5.8528546978279001</v>
      </c>
      <c r="AN5">
        <v>20.411989858286301</v>
      </c>
      <c r="AO5">
        <v>0.9</v>
      </c>
      <c r="AP5">
        <v>1.2534584201918999</v>
      </c>
      <c r="AQ5">
        <v>1.0484409322167001</v>
      </c>
      <c r="AR5">
        <v>1.1706247707141</v>
      </c>
      <c r="AS5">
        <v>0.42753640438979301</v>
      </c>
      <c r="AT5">
        <v>1.2869999999999999</v>
      </c>
      <c r="AU5">
        <v>1.0031996105727901</v>
      </c>
      <c r="AV5">
        <v>1.2099458295805501</v>
      </c>
      <c r="AW5">
        <v>0.85384454209914995</v>
      </c>
      <c r="AX5">
        <v>1</v>
      </c>
      <c r="AY5">
        <v>1.02763259572286</v>
      </c>
      <c r="AZ5">
        <v>1</v>
      </c>
      <c r="BA5">
        <v>1</v>
      </c>
      <c r="BB5">
        <v>0.93218232500638298</v>
      </c>
      <c r="BC5">
        <v>1.0403070402099499</v>
      </c>
      <c r="BD5">
        <v>0.98465472880269</v>
      </c>
      <c r="BE5">
        <v>27723016198.799999</v>
      </c>
      <c r="BF5">
        <v>7.9194827258020004E-2</v>
      </c>
      <c r="BG5">
        <v>121481</v>
      </c>
    </row>
    <row r="6" spans="1:59" x14ac:dyDescent="0.25">
      <c r="A6">
        <v>5</v>
      </c>
      <c r="B6">
        <v>85</v>
      </c>
      <c r="C6">
        <v>0</v>
      </c>
      <c r="D6">
        <v>0.79957132054064195</v>
      </c>
      <c r="E6">
        <v>0.83686921618702903</v>
      </c>
      <c r="F6">
        <v>9.1839545595209007</v>
      </c>
      <c r="G6">
        <v>9.5928541963181502</v>
      </c>
      <c r="H6">
        <v>0.95543163146049903</v>
      </c>
      <c r="I6">
        <v>3.7297895646386997E-2</v>
      </c>
      <c r="J6">
        <v>4.6647495604665398E-2</v>
      </c>
      <c r="K6">
        <v>2.2147154763655402E-2</v>
      </c>
      <c r="L6" s="1">
        <v>1.9105921167147799E-9</v>
      </c>
      <c r="M6">
        <v>0.768074561559282</v>
      </c>
      <c r="N6" s="1">
        <v>2.3488343663727699E-9</v>
      </c>
      <c r="O6">
        <v>22.3760056883022</v>
      </c>
      <c r="P6">
        <v>5.5622266212223899</v>
      </c>
      <c r="Q6">
        <v>72.061767690475406</v>
      </c>
      <c r="R6">
        <v>46.507739921639299</v>
      </c>
      <c r="S6">
        <v>34.534367364114502</v>
      </c>
      <c r="T6">
        <v>18.957892714246199</v>
      </c>
      <c r="U6">
        <v>0</v>
      </c>
      <c r="V6">
        <v>53.492260078360701</v>
      </c>
      <c r="W6">
        <v>0.82821457553501898</v>
      </c>
      <c r="X6">
        <v>-12.202132294547001</v>
      </c>
      <c r="Y6">
        <v>557.37462824475199</v>
      </c>
      <c r="Z6">
        <v>99.774366723004604</v>
      </c>
      <c r="AA6">
        <v>49.393674788928102</v>
      </c>
      <c r="AB6">
        <v>64.060135803517795</v>
      </c>
      <c r="AC6">
        <v>63.293115813571603</v>
      </c>
      <c r="AD6">
        <v>36.520765713083897</v>
      </c>
      <c r="AE6">
        <v>312.658693532249</v>
      </c>
      <c r="AF6">
        <v>3.9784961228515701</v>
      </c>
      <c r="AG6">
        <v>755.00478933833097</v>
      </c>
      <c r="AH6">
        <v>18.9922125372515</v>
      </c>
      <c r="AI6">
        <v>27.088010396919199</v>
      </c>
      <c r="AJ6">
        <v>174.91660350679899</v>
      </c>
      <c r="AK6">
        <v>26.382839627307298</v>
      </c>
      <c r="AL6">
        <v>3.1620036859875098</v>
      </c>
      <c r="AM6">
        <v>5.9917532626097598</v>
      </c>
      <c r="AN6">
        <v>19.722409500199301</v>
      </c>
      <c r="AO6">
        <v>0.9</v>
      </c>
      <c r="AP6">
        <v>1.25360005845471</v>
      </c>
      <c r="AQ6">
        <v>1.03130388098238</v>
      </c>
      <c r="AR6">
        <v>1.16762913481957</v>
      </c>
      <c r="AS6">
        <v>0.45561983362466602</v>
      </c>
      <c r="AT6">
        <v>1.2869999999999999</v>
      </c>
      <c r="AU6">
        <v>1.00297597233306</v>
      </c>
      <c r="AV6">
        <v>1.2097366722916501</v>
      </c>
      <c r="AW6">
        <v>0.85642285651635697</v>
      </c>
      <c r="AX6">
        <v>1</v>
      </c>
      <c r="AY6">
        <v>1.0404861982818201</v>
      </c>
      <c r="AZ6">
        <v>1</v>
      </c>
      <c r="BA6">
        <v>1</v>
      </c>
      <c r="BB6">
        <v>0.93046006189813102</v>
      </c>
      <c r="BC6">
        <v>1.0402768102389399</v>
      </c>
      <c r="BD6">
        <v>0.98616027462010303</v>
      </c>
      <c r="BE6">
        <v>43350511663.800003</v>
      </c>
      <c r="BF6">
        <v>7.9131990073756098E-2</v>
      </c>
      <c r="BG6">
        <v>199598</v>
      </c>
    </row>
    <row r="7" spans="1:59" x14ac:dyDescent="0.25">
      <c r="A7">
        <v>6</v>
      </c>
      <c r="B7">
        <v>110</v>
      </c>
      <c r="C7">
        <v>-100</v>
      </c>
      <c r="D7">
        <v>2.9822364524256802E-2</v>
      </c>
      <c r="E7">
        <v>0.58912520006351998</v>
      </c>
      <c r="F7">
        <v>0.357281970949475</v>
      </c>
      <c r="G7">
        <v>6.8448763916795103</v>
      </c>
      <c r="H7">
        <v>5.0621437550186797E-2</v>
      </c>
      <c r="I7">
        <v>0.55930283553926297</v>
      </c>
      <c r="J7">
        <v>4.0251802586107499E-2</v>
      </c>
      <c r="K7">
        <v>1.18380546395129E-2</v>
      </c>
      <c r="L7">
        <v>0</v>
      </c>
      <c r="M7">
        <v>0.5370353428379</v>
      </c>
      <c r="N7">
        <v>0</v>
      </c>
      <c r="O7">
        <v>39.239837056058597</v>
      </c>
      <c r="P7">
        <v>0</v>
      </c>
      <c r="Q7">
        <v>60.760162943941403</v>
      </c>
      <c r="R7">
        <v>49.650551487785698</v>
      </c>
      <c r="S7">
        <v>39.317930024495098</v>
      </c>
      <c r="T7">
        <v>11.0315184877192</v>
      </c>
      <c r="U7">
        <v>0</v>
      </c>
      <c r="V7">
        <v>50.349448512214302</v>
      </c>
      <c r="W7">
        <v>0.36194974801372098</v>
      </c>
      <c r="X7">
        <v>-100</v>
      </c>
      <c r="Y7">
        <v>0</v>
      </c>
      <c r="Z7">
        <v>100</v>
      </c>
      <c r="AA7">
        <v>63.9356138023428</v>
      </c>
      <c r="AB7">
        <v>94.370324990567596</v>
      </c>
      <c r="AC7">
        <v>94.370324990567596</v>
      </c>
      <c r="AD7">
        <v>26.5108082940807</v>
      </c>
      <c r="AE7">
        <v>331.378591185434</v>
      </c>
      <c r="AF7">
        <v>3.3359335332629398</v>
      </c>
      <c r="AG7">
        <v>742.67569319721497</v>
      </c>
      <c r="AH7">
        <v>20.631537856984099</v>
      </c>
      <c r="AI7">
        <v>20.049366139742698</v>
      </c>
      <c r="AJ7">
        <v>175.394463894533</v>
      </c>
      <c r="AK7">
        <v>21.271980595479601</v>
      </c>
      <c r="AL7">
        <v>-39.384903388888603</v>
      </c>
      <c r="AM7">
        <v>4.6462768344228396</v>
      </c>
      <c r="AN7">
        <v>9.0775580628335106</v>
      </c>
      <c r="AO7">
        <v>0.9</v>
      </c>
      <c r="AP7">
        <v>1.22539990491299</v>
      </c>
      <c r="AQ7">
        <v>0.89426781432865199</v>
      </c>
      <c r="AR7">
        <v>1.0983483696288601</v>
      </c>
      <c r="AS7">
        <v>0.25651668428334601</v>
      </c>
      <c r="AT7">
        <v>1.0449999999999999</v>
      </c>
      <c r="AU7">
        <v>0.99782796913225602</v>
      </c>
      <c r="AV7">
        <v>1.1848436481807401</v>
      </c>
      <c r="AW7">
        <v>0.88079383031264002</v>
      </c>
      <c r="AX7">
        <v>1</v>
      </c>
      <c r="AY7">
        <v>0.975318984170777</v>
      </c>
      <c r="AZ7">
        <v>1</v>
      </c>
      <c r="BA7">
        <v>1</v>
      </c>
      <c r="BB7">
        <v>0.93454571693412103</v>
      </c>
      <c r="BC7">
        <v>1.0706317067009099</v>
      </c>
      <c r="BD7">
        <v>0.97</v>
      </c>
      <c r="BE7">
        <v>941698.1</v>
      </c>
      <c r="BF7">
        <v>7.2204525096730904E-4</v>
      </c>
      <c r="BG7">
        <v>10</v>
      </c>
    </row>
    <row r="8" spans="1:59" s="2" customFormat="1" x14ac:dyDescent="0.25">
      <c r="A8" s="2">
        <v>7</v>
      </c>
      <c r="B8" s="2">
        <v>110</v>
      </c>
      <c r="C8" s="2">
        <v>-75</v>
      </c>
      <c r="D8" s="2">
        <v>0.75521389194504596</v>
      </c>
      <c r="E8" s="2">
        <v>0.75396036067674399</v>
      </c>
      <c r="F8" s="2">
        <v>8.69545407964549</v>
      </c>
      <c r="G8" s="2">
        <v>8.6816142326571093</v>
      </c>
      <c r="H8" s="2">
        <v>1.00166259571946</v>
      </c>
      <c r="I8" s="2">
        <v>-1.2535312683020401E-3</v>
      </c>
      <c r="J8" s="2">
        <v>5.0364663259695297E-2</v>
      </c>
      <c r="K8" s="2">
        <v>1.6728406868541199E-2</v>
      </c>
      <c r="L8" s="2">
        <v>0</v>
      </c>
      <c r="M8" s="2">
        <v>0.68686729054850704</v>
      </c>
      <c r="N8" s="2">
        <v>0</v>
      </c>
      <c r="O8" s="2">
        <v>29.322955115108002</v>
      </c>
      <c r="P8" s="2">
        <v>4.5717367954600796</v>
      </c>
      <c r="Q8" s="2">
        <v>66.105308089431901</v>
      </c>
      <c r="R8" s="2">
        <v>46.901485688166098</v>
      </c>
      <c r="S8" s="2">
        <v>36.873175660580998</v>
      </c>
      <c r="T8" s="2">
        <v>16.225338651252901</v>
      </c>
      <c r="U8" s="2">
        <v>0</v>
      </c>
      <c r="V8" s="2">
        <v>53.098514311833902</v>
      </c>
      <c r="W8" s="2">
        <v>0.55582140012829095</v>
      </c>
      <c r="X8" s="2">
        <v>-85.114938220277494</v>
      </c>
      <c r="Y8" s="2">
        <v>26.841757084485099</v>
      </c>
      <c r="Z8" s="2">
        <v>99.926671609017703</v>
      </c>
      <c r="AA8" s="2">
        <v>49.649520835704898</v>
      </c>
      <c r="AB8" s="2">
        <v>88.9909948483959</v>
      </c>
      <c r="AC8" s="2">
        <v>88.7801979820387</v>
      </c>
      <c r="AD8" s="2">
        <v>45.070068301533901</v>
      </c>
      <c r="AE8" s="2">
        <v>304.349355213146</v>
      </c>
      <c r="AF8" s="2">
        <v>3.50456197170179</v>
      </c>
      <c r="AG8" s="2">
        <v>763.10254103306602</v>
      </c>
      <c r="AH8" s="2">
        <v>13.6164127131897</v>
      </c>
      <c r="AI8" s="2">
        <v>34.781985316485397</v>
      </c>
      <c r="AJ8" s="2">
        <v>177.09082025548699</v>
      </c>
      <c r="AK8" s="2">
        <v>18.566073000993999</v>
      </c>
      <c r="AL8" s="2">
        <v>-21.819767821627501</v>
      </c>
      <c r="AM8" s="2">
        <v>5.7563479852885902</v>
      </c>
      <c r="AN8" s="2">
        <v>24.6025102237605</v>
      </c>
      <c r="AO8" s="2">
        <v>0.9</v>
      </c>
      <c r="AP8" s="2">
        <v>1.25093237848795</v>
      </c>
      <c r="AQ8" s="2">
        <v>1.1047671852085399</v>
      </c>
      <c r="AR8" s="2">
        <v>1.21261126434032</v>
      </c>
      <c r="AS8" s="2">
        <v>0.42016164134478501</v>
      </c>
      <c r="AT8" s="2">
        <v>1.12253737334873</v>
      </c>
      <c r="AU8" s="2">
        <v>1.00334832773497</v>
      </c>
      <c r="AV8" s="2">
        <v>1.1867653334847199</v>
      </c>
      <c r="AW8" s="2">
        <v>0.85009924888649002</v>
      </c>
      <c r="AX8" s="2">
        <v>1</v>
      </c>
      <c r="AY8" s="2">
        <v>1.0047103367002601</v>
      </c>
      <c r="AZ8" s="2">
        <v>1</v>
      </c>
      <c r="BA8" s="2">
        <v>1</v>
      </c>
      <c r="BB8" s="2">
        <v>0.93097193139461598</v>
      </c>
      <c r="BC8" s="2">
        <v>1.05278131920719</v>
      </c>
      <c r="BD8" s="2">
        <v>0.98201527152730195</v>
      </c>
      <c r="BE8" s="2">
        <v>7115803734</v>
      </c>
      <c r="BF8" s="2">
        <v>7.1823604235358399E-2</v>
      </c>
      <c r="BG8" s="2">
        <v>20871</v>
      </c>
    </row>
    <row r="9" spans="1:59" s="2" customFormat="1" x14ac:dyDescent="0.25">
      <c r="A9" s="2">
        <v>8</v>
      </c>
      <c r="B9" s="2">
        <v>110</v>
      </c>
      <c r="C9" s="2">
        <v>-50</v>
      </c>
      <c r="D9" s="2">
        <v>0.72704013055508798</v>
      </c>
      <c r="E9" s="2">
        <v>0.79750799297989206</v>
      </c>
      <c r="F9" s="2">
        <v>8.3839318975090205</v>
      </c>
      <c r="G9" s="2">
        <v>9.1612847356449691</v>
      </c>
      <c r="H9" s="2">
        <v>0.911639929574247</v>
      </c>
      <c r="I9" s="2">
        <v>7.0467862424804198E-2</v>
      </c>
      <c r="J9" s="2">
        <v>4.8025540677879203E-2</v>
      </c>
      <c r="K9" s="2">
        <v>1.7004342232266399E-2</v>
      </c>
      <c r="L9" s="2">
        <v>0</v>
      </c>
      <c r="M9" s="2">
        <v>0.73247811006974595</v>
      </c>
      <c r="N9" s="2">
        <v>0</v>
      </c>
      <c r="O9" s="2">
        <v>21.5551556919247</v>
      </c>
      <c r="P9" s="2">
        <v>5.2072225955441001</v>
      </c>
      <c r="Q9" s="2">
        <v>73.237621712531293</v>
      </c>
      <c r="R9" s="2">
        <v>46.821779652574797</v>
      </c>
      <c r="S9" s="2">
        <v>36.104711159306298</v>
      </c>
      <c r="T9" s="2">
        <v>17.073509188119001</v>
      </c>
      <c r="U9" s="2">
        <v>0</v>
      </c>
      <c r="V9" s="2">
        <v>53.178220347425203</v>
      </c>
      <c r="W9" s="2">
        <v>0.59101350245762796</v>
      </c>
      <c r="X9" s="2">
        <v>-60.828006922773099</v>
      </c>
      <c r="Y9" s="2">
        <v>96.476911419363503</v>
      </c>
      <c r="Z9" s="2">
        <v>99.912457090842906</v>
      </c>
      <c r="AA9" s="2">
        <v>50.9349079484032</v>
      </c>
      <c r="AB9" s="2">
        <v>90.237552402356101</v>
      </c>
      <c r="AC9" s="2">
        <v>90.012257307048898</v>
      </c>
      <c r="AD9" s="2">
        <v>39.929367410026899</v>
      </c>
      <c r="AE9" s="2">
        <v>310.15481793669301</v>
      </c>
      <c r="AF9" s="2">
        <v>3.6192446475237401</v>
      </c>
      <c r="AG9" s="2">
        <v>761.83698069608101</v>
      </c>
      <c r="AH9" s="2">
        <v>14.9737638961266</v>
      </c>
      <c r="AI9" s="2">
        <v>34.5699331985765</v>
      </c>
      <c r="AJ9" s="2">
        <v>175.534266907236</v>
      </c>
      <c r="AK9" s="2">
        <v>21.720154992888698</v>
      </c>
      <c r="AL9" s="2">
        <v>-15.7207677597979</v>
      </c>
      <c r="AM9" s="2">
        <v>5.8414276073131104</v>
      </c>
      <c r="AN9" s="2">
        <v>21.7438300586285</v>
      </c>
      <c r="AO9" s="2">
        <v>0.9</v>
      </c>
      <c r="AP9" s="2">
        <v>1.24923625565231</v>
      </c>
      <c r="AQ9" s="2">
        <v>1.0656860254378899</v>
      </c>
      <c r="AR9" s="2">
        <v>1.17988916970886</v>
      </c>
      <c r="AS9" s="2">
        <v>0.43397971761278997</v>
      </c>
      <c r="AT9" s="2">
        <v>1.26044334147367</v>
      </c>
      <c r="AU9" s="2">
        <v>1.0027427116823899</v>
      </c>
      <c r="AV9" s="2">
        <v>1.18639523568973</v>
      </c>
      <c r="AW9" s="2">
        <v>0.85144925722925102</v>
      </c>
      <c r="AX9" s="2">
        <v>1</v>
      </c>
      <c r="AY9" s="2">
        <v>1.01438117224616</v>
      </c>
      <c r="AZ9" s="2">
        <v>1</v>
      </c>
      <c r="BA9" s="2">
        <v>1</v>
      </c>
      <c r="BB9" s="2">
        <v>0.93086831354834698</v>
      </c>
      <c r="BC9" s="2">
        <v>1.03879928024546</v>
      </c>
      <c r="BD9" s="2">
        <v>0.98395110932443397</v>
      </c>
      <c r="BE9" s="2">
        <v>22713147039.5</v>
      </c>
      <c r="BF9" s="2">
        <v>7.5755297108854897E-2</v>
      </c>
      <c r="BG9" s="2">
        <v>59103</v>
      </c>
    </row>
    <row r="10" spans="1:59" x14ac:dyDescent="0.25">
      <c r="A10">
        <v>9</v>
      </c>
      <c r="B10">
        <v>110</v>
      </c>
      <c r="C10">
        <v>-25</v>
      </c>
      <c r="D10">
        <v>0.73494327660375103</v>
      </c>
      <c r="E10">
        <v>0.79524526318305999</v>
      </c>
      <c r="F10">
        <v>8.4714165321339898</v>
      </c>
      <c r="G10">
        <v>9.1364181117013903</v>
      </c>
      <c r="H10">
        <v>0.92417183808433701</v>
      </c>
      <c r="I10">
        <v>6.0301986579309103E-2</v>
      </c>
      <c r="J10">
        <v>4.6793247084379097E-2</v>
      </c>
      <c r="K10">
        <v>1.6768314077482301E-2</v>
      </c>
      <c r="L10">
        <v>0</v>
      </c>
      <c r="M10">
        <v>0.73168370202119803</v>
      </c>
      <c r="N10">
        <v>0</v>
      </c>
      <c r="O10">
        <v>17.116857231106099</v>
      </c>
      <c r="P10">
        <v>5.7650108989673203</v>
      </c>
      <c r="Q10">
        <v>77.1181318699266</v>
      </c>
      <c r="R10">
        <v>46.125967404202498</v>
      </c>
      <c r="S10">
        <v>35.453676039739001</v>
      </c>
      <c r="T10">
        <v>18.420356556058501</v>
      </c>
      <c r="U10">
        <v>0</v>
      </c>
      <c r="V10">
        <v>53.874032595797502</v>
      </c>
      <c r="W10">
        <v>0.60340439289972703</v>
      </c>
      <c r="X10">
        <v>-36.494378999377403</v>
      </c>
      <c r="Y10">
        <v>240.62904315319199</v>
      </c>
      <c r="Z10">
        <v>99.912853019575394</v>
      </c>
      <c r="AA10">
        <v>51.368314069784198</v>
      </c>
      <c r="AB10">
        <v>90.923761783412203</v>
      </c>
      <c r="AC10">
        <v>90.689772368318302</v>
      </c>
      <c r="AD10">
        <v>37.078187188950402</v>
      </c>
      <c r="AE10">
        <v>313.34641274537199</v>
      </c>
      <c r="AF10">
        <v>3.75116013274187</v>
      </c>
      <c r="AG10">
        <v>760.43987492408598</v>
      </c>
      <c r="AH10">
        <v>15.5757382532755</v>
      </c>
      <c r="AI10">
        <v>33.830129827382002</v>
      </c>
      <c r="AJ10">
        <v>174.93314978253099</v>
      </c>
      <c r="AK10">
        <v>24.9041869536583</v>
      </c>
      <c r="AL10">
        <v>-9.8222789149894005</v>
      </c>
      <c r="AM10">
        <v>6.0365144806139801</v>
      </c>
      <c r="AN10">
        <v>20.351139821814499</v>
      </c>
      <c r="AO10">
        <v>0.9</v>
      </c>
      <c r="AP10">
        <v>1.25338991605073</v>
      </c>
      <c r="AQ10">
        <v>1.03289479906742</v>
      </c>
      <c r="AR10">
        <v>1.1633007204777099</v>
      </c>
      <c r="AS10">
        <v>0.45755885581142303</v>
      </c>
      <c r="AT10">
        <v>1.2869999999999999</v>
      </c>
      <c r="AU10">
        <v>1.00253178254689</v>
      </c>
      <c r="AV10">
        <v>1.18624129129612</v>
      </c>
      <c r="AW10">
        <v>0.85283708200178099</v>
      </c>
      <c r="AX10">
        <v>1</v>
      </c>
      <c r="AY10">
        <v>1.02365975660203</v>
      </c>
      <c r="AZ10">
        <v>1</v>
      </c>
      <c r="BA10">
        <v>1</v>
      </c>
      <c r="BB10">
        <v>0.92996375762546302</v>
      </c>
      <c r="BC10">
        <v>1.0308103430159901</v>
      </c>
      <c r="BD10">
        <v>0.98513808087760901</v>
      </c>
      <c r="BE10">
        <v>51205051151.400002</v>
      </c>
      <c r="BF10">
        <v>7.6370181230048406E-2</v>
      </c>
      <c r="BG10">
        <v>128570</v>
      </c>
    </row>
    <row r="11" spans="1:59" x14ac:dyDescent="0.25">
      <c r="A11">
        <v>10</v>
      </c>
      <c r="B11">
        <v>110</v>
      </c>
      <c r="C11">
        <v>0</v>
      </c>
      <c r="D11">
        <v>0.80822034881054905</v>
      </c>
      <c r="E11">
        <v>0.79966300328075401</v>
      </c>
      <c r="F11">
        <v>9.27892519708724</v>
      </c>
      <c r="G11">
        <v>9.1849617593903492</v>
      </c>
      <c r="H11">
        <v>1.0107011897445399</v>
      </c>
      <c r="I11">
        <v>-8.5573455297956302E-3</v>
      </c>
      <c r="J11">
        <v>4.5534574928313899E-2</v>
      </c>
      <c r="K11">
        <v>1.8786942194398699E-2</v>
      </c>
      <c r="L11">
        <v>2.9292559437745001E-4</v>
      </c>
      <c r="M11">
        <v>0.73497539246849997</v>
      </c>
      <c r="N11" s="1">
        <v>7.3168095163883394E-5</v>
      </c>
      <c r="O11">
        <v>17.119191616500501</v>
      </c>
      <c r="P11">
        <v>5.7525053989492196</v>
      </c>
      <c r="Q11">
        <v>77.128302984550302</v>
      </c>
      <c r="R11">
        <v>44.3939101014901</v>
      </c>
      <c r="S11">
        <v>35.075324357327702</v>
      </c>
      <c r="T11">
        <v>20.530765541182198</v>
      </c>
      <c r="U11">
        <v>0</v>
      </c>
      <c r="V11">
        <v>55.6060898985099</v>
      </c>
      <c r="W11">
        <v>0.709634924293846</v>
      </c>
      <c r="X11">
        <v>-12.3057885652797</v>
      </c>
      <c r="Y11">
        <v>519.66174885590704</v>
      </c>
      <c r="Z11">
        <v>99.896129523200898</v>
      </c>
      <c r="AA11">
        <v>51.916275781698801</v>
      </c>
      <c r="AB11">
        <v>91.446154722917896</v>
      </c>
      <c r="AC11">
        <v>91.210212569616303</v>
      </c>
      <c r="AD11">
        <v>35.258500992312698</v>
      </c>
      <c r="AE11">
        <v>315.508973804981</v>
      </c>
      <c r="AF11">
        <v>3.9424279712359001</v>
      </c>
      <c r="AG11">
        <v>757.04876036558198</v>
      </c>
      <c r="AH11">
        <v>16.7040567492854</v>
      </c>
      <c r="AI11">
        <v>32.282528434361502</v>
      </c>
      <c r="AJ11">
        <v>174.88513767512401</v>
      </c>
      <c r="AK11">
        <v>26.7493013178842</v>
      </c>
      <c r="AL11">
        <v>-1.2122140866914699</v>
      </c>
      <c r="AM11">
        <v>6.1841579983676702</v>
      </c>
      <c r="AN11">
        <v>19.603888230544399</v>
      </c>
      <c r="AO11">
        <v>0.9</v>
      </c>
      <c r="AP11">
        <v>1.25329809478208</v>
      </c>
      <c r="AQ11">
        <v>1.01495886249934</v>
      </c>
      <c r="AR11">
        <v>1.16059025083482</v>
      </c>
      <c r="AS11">
        <v>0.489621912184875</v>
      </c>
      <c r="AT11">
        <v>1.2869999999999999</v>
      </c>
      <c r="AU11">
        <v>1.0023398311606699</v>
      </c>
      <c r="AV11">
        <v>1.1861083294188399</v>
      </c>
      <c r="AW11">
        <v>0.85591771401582895</v>
      </c>
      <c r="AX11">
        <v>1</v>
      </c>
      <c r="AY11">
        <v>1.03613854840425</v>
      </c>
      <c r="AZ11">
        <v>1</v>
      </c>
      <c r="BA11">
        <v>1</v>
      </c>
      <c r="BB11">
        <v>0.92771208313193698</v>
      </c>
      <c r="BC11">
        <v>1.0308145449096999</v>
      </c>
      <c r="BD11">
        <v>0.98678775286920395</v>
      </c>
      <c r="BE11">
        <v>76584568002.399994</v>
      </c>
      <c r="BF11">
        <v>7.9664899755582302E-2</v>
      </c>
      <c r="BG11">
        <v>207090</v>
      </c>
    </row>
    <row r="12" spans="1:59" x14ac:dyDescent="0.25">
      <c r="A12">
        <v>11</v>
      </c>
      <c r="B12">
        <v>150</v>
      </c>
      <c r="C12">
        <v>-100</v>
      </c>
      <c r="D12">
        <v>1.7837227938396601E-2</v>
      </c>
      <c r="E12">
        <v>0.57897608203848305</v>
      </c>
      <c r="F12">
        <v>0.213836870043005</v>
      </c>
      <c r="G12">
        <v>6.7306868644364704</v>
      </c>
      <c r="H12">
        <v>3.0808229375546101E-2</v>
      </c>
      <c r="I12">
        <v>0.56113885410008602</v>
      </c>
      <c r="J12">
        <v>3.8268734563128202E-2</v>
      </c>
      <c r="K12">
        <v>1.10810976268793E-2</v>
      </c>
      <c r="L12">
        <v>0</v>
      </c>
      <c r="M12">
        <v>0.52962624984847595</v>
      </c>
      <c r="N12">
        <v>0</v>
      </c>
      <c r="O12">
        <v>23.921229944311499</v>
      </c>
      <c r="P12">
        <v>8.4087958485568404</v>
      </c>
      <c r="Q12">
        <v>67.669974207131702</v>
      </c>
      <c r="R12">
        <v>41.502494370429503</v>
      </c>
      <c r="S12">
        <v>33.789061987126097</v>
      </c>
      <c r="T12">
        <v>24.708443642444401</v>
      </c>
      <c r="U12">
        <v>0</v>
      </c>
      <c r="V12">
        <v>58.497505629570497</v>
      </c>
      <c r="W12">
        <v>0.29977935930381799</v>
      </c>
      <c r="X12">
        <v>-100</v>
      </c>
      <c r="Y12">
        <v>0</v>
      </c>
      <c r="Z12">
        <v>100</v>
      </c>
      <c r="AA12">
        <v>67.117286785851505</v>
      </c>
      <c r="AB12">
        <v>118.47546248210401</v>
      </c>
      <c r="AC12">
        <v>118.47546248210401</v>
      </c>
      <c r="AD12">
        <v>28.9120601087455</v>
      </c>
      <c r="AE12">
        <v>330.156171371158</v>
      </c>
      <c r="AF12">
        <v>3.4490487979379298</v>
      </c>
      <c r="AG12">
        <v>733.31004009913499</v>
      </c>
      <c r="AH12">
        <v>17.529093891278201</v>
      </c>
      <c r="AI12">
        <v>43.602331783736197</v>
      </c>
      <c r="AJ12">
        <v>175.902527478244</v>
      </c>
      <c r="AK12">
        <v>17.8593053575967</v>
      </c>
      <c r="AL12">
        <v>-37.905810673405902</v>
      </c>
      <c r="AM12">
        <v>6.1222730081036403</v>
      </c>
      <c r="AN12">
        <v>8.8917578067694496</v>
      </c>
      <c r="AO12">
        <v>0.9</v>
      </c>
      <c r="AP12">
        <v>1.20005543606472</v>
      </c>
      <c r="AQ12">
        <v>0.89082567808401403</v>
      </c>
      <c r="AR12">
        <v>1.0177552846070399</v>
      </c>
      <c r="AS12">
        <v>0.543733781514112</v>
      </c>
      <c r="AT12">
        <v>1.0449999999999999</v>
      </c>
      <c r="AU12">
        <v>0.99583891176191797</v>
      </c>
      <c r="AV12">
        <v>1.1732783723415401</v>
      </c>
      <c r="AW12">
        <v>0.88622745211836595</v>
      </c>
      <c r="AX12">
        <v>1</v>
      </c>
      <c r="AY12">
        <v>0.97391782438563101</v>
      </c>
      <c r="AZ12">
        <v>1</v>
      </c>
      <c r="BA12">
        <v>1</v>
      </c>
      <c r="BB12">
        <v>0.92395324268155798</v>
      </c>
      <c r="BC12">
        <v>1.0430582138997599</v>
      </c>
      <c r="BD12">
        <v>0.99679991929216105</v>
      </c>
      <c r="BE12">
        <v>1409032.9</v>
      </c>
      <c r="BF12">
        <v>4.30787114336987E-4</v>
      </c>
      <c r="BG12">
        <v>12</v>
      </c>
    </row>
    <row r="13" spans="1:59" s="2" customFormat="1" x14ac:dyDescent="0.25">
      <c r="A13" s="2">
        <v>12</v>
      </c>
      <c r="B13" s="2">
        <v>150</v>
      </c>
      <c r="C13" s="2">
        <v>-75</v>
      </c>
      <c r="D13" s="2">
        <v>0.71999598555065203</v>
      </c>
      <c r="E13" s="2">
        <v>0.72996983792847403</v>
      </c>
      <c r="F13" s="2">
        <v>8.3058914575771094</v>
      </c>
      <c r="G13" s="2">
        <v>8.4163715114937894</v>
      </c>
      <c r="H13" s="2">
        <v>0.98633662398144295</v>
      </c>
      <c r="I13" s="2">
        <v>9.9738523778220203E-3</v>
      </c>
      <c r="J13" s="2">
        <v>4.8967704539733703E-2</v>
      </c>
      <c r="K13" s="2">
        <v>1.3733265567809299E-2</v>
      </c>
      <c r="L13" s="2">
        <v>0</v>
      </c>
      <c r="M13" s="2">
        <v>0.66726886782093098</v>
      </c>
      <c r="N13" s="2">
        <v>0</v>
      </c>
      <c r="O13" s="2">
        <v>23.015336833018299</v>
      </c>
      <c r="P13" s="2">
        <v>4.7042863343409902</v>
      </c>
      <c r="Q13" s="2">
        <v>72.280376832640698</v>
      </c>
      <c r="R13" s="2">
        <v>45.327037894355101</v>
      </c>
      <c r="S13" s="2">
        <v>37.657949104787001</v>
      </c>
      <c r="T13" s="2">
        <v>17.015013000857898</v>
      </c>
      <c r="U13" s="2">
        <v>0</v>
      </c>
      <c r="V13" s="2">
        <v>54.672962105644899</v>
      </c>
      <c r="W13" s="2">
        <v>0.464768879249567</v>
      </c>
      <c r="X13" s="2">
        <v>-84.914297773223595</v>
      </c>
      <c r="Y13" s="2">
        <v>25.836410966452402</v>
      </c>
      <c r="Z13" s="2">
        <v>99.950138764840304</v>
      </c>
      <c r="AA13" s="2">
        <v>51.501982750227498</v>
      </c>
      <c r="AB13" s="2">
        <v>118.873698517207</v>
      </c>
      <c r="AC13" s="2">
        <v>118.46909673149899</v>
      </c>
      <c r="AD13" s="2">
        <v>43.054570032191002</v>
      </c>
      <c r="AE13" s="2">
        <v>307.65022842934502</v>
      </c>
      <c r="AF13" s="2">
        <v>3.4879902680274699</v>
      </c>
      <c r="AG13" s="2">
        <v>763.48928777219999</v>
      </c>
      <c r="AH13" s="2">
        <v>11.779178208379101</v>
      </c>
      <c r="AI13" s="2">
        <v>40.9058820600724</v>
      </c>
      <c r="AJ13" s="2">
        <v>177.22775132193399</v>
      </c>
      <c r="AK13" s="2">
        <v>18.120114323539401</v>
      </c>
      <c r="AL13" s="2">
        <v>-23.5265188768883</v>
      </c>
      <c r="AM13" s="2">
        <v>5.90920418700565</v>
      </c>
      <c r="AN13" s="2">
        <v>24.070591283350499</v>
      </c>
      <c r="AO13" s="2">
        <v>0.9</v>
      </c>
      <c r="AP13" s="2">
        <v>1.25072720735993</v>
      </c>
      <c r="AQ13" s="2">
        <v>1.08264319386181</v>
      </c>
      <c r="AR13" s="2">
        <v>1.20696270786143</v>
      </c>
      <c r="AS13" s="2">
        <v>0.44212819765939099</v>
      </c>
      <c r="AT13" s="2">
        <v>1.1236359465441099</v>
      </c>
      <c r="AU13" s="2">
        <v>1.0026653789316999</v>
      </c>
      <c r="AV13" s="2">
        <v>1.17544805252582</v>
      </c>
      <c r="AW13" s="2">
        <v>0.85099559035387495</v>
      </c>
      <c r="AX13" s="2">
        <v>1</v>
      </c>
      <c r="AY13" s="2">
        <v>1.00165682792412</v>
      </c>
      <c r="AZ13" s="2">
        <v>1</v>
      </c>
      <c r="BA13" s="2">
        <v>1</v>
      </c>
      <c r="BB13" s="2">
        <v>0.92892514926266201</v>
      </c>
      <c r="BC13" s="2">
        <v>1.0414276062994301</v>
      </c>
      <c r="BD13" s="2">
        <v>0.98328859956119796</v>
      </c>
      <c r="BE13" s="2">
        <v>17576966390.5</v>
      </c>
      <c r="BF13" s="2">
        <v>7.3426530159720602E-2</v>
      </c>
      <c r="BG13" s="2">
        <v>27833</v>
      </c>
    </row>
    <row r="14" spans="1:59" s="2" customFormat="1" x14ac:dyDescent="0.25">
      <c r="A14" s="2">
        <v>13</v>
      </c>
      <c r="B14" s="2">
        <v>150</v>
      </c>
      <c r="C14" s="2">
        <v>-50</v>
      </c>
      <c r="D14" s="2">
        <v>0.69948104295162705</v>
      </c>
      <c r="E14" s="2">
        <v>0.76836885810301303</v>
      </c>
      <c r="F14" s="2">
        <v>8.0782639013341999</v>
      </c>
      <c r="G14" s="2">
        <v>8.8405780305876398</v>
      </c>
      <c r="H14" s="2">
        <v>0.91034538369832096</v>
      </c>
      <c r="I14" s="2">
        <v>6.8887815151385104E-2</v>
      </c>
      <c r="J14" s="2">
        <v>4.6610332530236602E-2</v>
      </c>
      <c r="K14" s="2">
        <v>1.38185756908983E-2</v>
      </c>
      <c r="L14" s="2">
        <v>0</v>
      </c>
      <c r="M14" s="2">
        <v>0.70793994988187803</v>
      </c>
      <c r="N14" s="2">
        <v>0</v>
      </c>
      <c r="O14" s="2">
        <v>16.620752462089399</v>
      </c>
      <c r="P14" s="2">
        <v>5.2980482057201703</v>
      </c>
      <c r="Q14" s="2">
        <v>78.081199332190394</v>
      </c>
      <c r="R14" s="2">
        <v>45.324928340840401</v>
      </c>
      <c r="S14" s="2">
        <v>36.548159667787502</v>
      </c>
      <c r="T14" s="2">
        <v>18.126911991372101</v>
      </c>
      <c r="U14" s="2">
        <v>0</v>
      </c>
      <c r="V14" s="2">
        <v>54.675071659159599</v>
      </c>
      <c r="W14" s="2">
        <v>0.49520174173304499</v>
      </c>
      <c r="X14" s="2">
        <v>-60.762729303874202</v>
      </c>
      <c r="Y14" s="2">
        <v>90.476192072454893</v>
      </c>
      <c r="Z14" s="2">
        <v>99.955915615700107</v>
      </c>
      <c r="AA14" s="2">
        <v>53.295361913597901</v>
      </c>
      <c r="AB14" s="2">
        <v>120.62170987458001</v>
      </c>
      <c r="AC14" s="2">
        <v>120.159637060525</v>
      </c>
      <c r="AD14" s="2">
        <v>37.6949384628182</v>
      </c>
      <c r="AE14" s="2">
        <v>313.665886077263</v>
      </c>
      <c r="AF14" s="2">
        <v>3.6021936776807602</v>
      </c>
      <c r="AG14" s="2">
        <v>762.10780867197604</v>
      </c>
      <c r="AH14" s="2">
        <v>12.821394971670401</v>
      </c>
      <c r="AI14" s="2">
        <v>40.4261693728564</v>
      </c>
      <c r="AJ14" s="2">
        <v>175.546578652449</v>
      </c>
      <c r="AK14" s="2">
        <v>21.5797659263607</v>
      </c>
      <c r="AL14" s="2">
        <v>-17.6769521556743</v>
      </c>
      <c r="AM14" s="2">
        <v>6.0038101679674396</v>
      </c>
      <c r="AN14" s="2">
        <v>20.924961304809202</v>
      </c>
      <c r="AO14" s="2">
        <v>0.9</v>
      </c>
      <c r="AP14" s="2">
        <v>1.2493190231837299</v>
      </c>
      <c r="AQ14" s="2">
        <v>1.0392209706579201</v>
      </c>
      <c r="AR14" s="2">
        <v>1.16908555349362</v>
      </c>
      <c r="AS14" s="2">
        <v>0.45629388442576702</v>
      </c>
      <c r="AT14" s="2">
        <v>1.2610655243708799</v>
      </c>
      <c r="AU14" s="2">
        <v>1.0018845455615999</v>
      </c>
      <c r="AV14" s="2">
        <v>1.1738989315496999</v>
      </c>
      <c r="AW14" s="2">
        <v>0.85264626307216196</v>
      </c>
      <c r="AX14" s="2">
        <v>1</v>
      </c>
      <c r="AY14" s="2">
        <v>1.01155235407915</v>
      </c>
      <c r="AZ14" s="2">
        <v>1</v>
      </c>
      <c r="BA14" s="2">
        <v>1</v>
      </c>
      <c r="BB14" s="2">
        <v>0.92892240684309302</v>
      </c>
      <c r="BC14" s="2">
        <v>1.0299173544317599</v>
      </c>
      <c r="BD14" s="2">
        <v>0.98446880696875705</v>
      </c>
      <c r="BE14" s="2">
        <v>57889924177.900002</v>
      </c>
      <c r="BF14" s="2">
        <v>7.4178061531473896E-2</v>
      </c>
      <c r="BG14" s="2">
        <v>77556</v>
      </c>
    </row>
    <row r="15" spans="1:59" x14ac:dyDescent="0.25">
      <c r="A15">
        <v>14</v>
      </c>
      <c r="B15">
        <v>150</v>
      </c>
      <c r="C15">
        <v>-25</v>
      </c>
      <c r="D15">
        <v>0.71778306346926601</v>
      </c>
      <c r="E15">
        <v>0.765531006889419</v>
      </c>
      <c r="F15">
        <v>8.2813624341895498</v>
      </c>
      <c r="G15">
        <v>8.8092891077674391</v>
      </c>
      <c r="H15">
        <v>0.93762768197441504</v>
      </c>
      <c r="I15">
        <v>4.7747943420152698E-2</v>
      </c>
      <c r="J15">
        <v>4.5477764413621197E-2</v>
      </c>
      <c r="K15">
        <v>1.4036048159992501E-2</v>
      </c>
      <c r="L15">
        <v>0</v>
      </c>
      <c r="M15">
        <v>0.70601719431580501</v>
      </c>
      <c r="N15">
        <v>0</v>
      </c>
      <c r="O15">
        <v>13.022956621267401</v>
      </c>
      <c r="P15">
        <v>5.6469841663169902</v>
      </c>
      <c r="Q15">
        <v>81.330059212415605</v>
      </c>
      <c r="R15">
        <v>44.6534246402775</v>
      </c>
      <c r="S15">
        <v>35.726119968522099</v>
      </c>
      <c r="T15">
        <v>19.620455391200402</v>
      </c>
      <c r="U15">
        <v>0</v>
      </c>
      <c r="V15">
        <v>55.3465753597225</v>
      </c>
      <c r="W15">
        <v>0.523175947124221</v>
      </c>
      <c r="X15">
        <v>-36.537737976376597</v>
      </c>
      <c r="Y15">
        <v>220.440464371964</v>
      </c>
      <c r="Z15">
        <v>99.948021592837506</v>
      </c>
      <c r="AA15">
        <v>53.847478468490102</v>
      </c>
      <c r="AB15">
        <v>121.443322976926</v>
      </c>
      <c r="AC15">
        <v>120.953605152935</v>
      </c>
      <c r="AD15">
        <v>35.083994138070402</v>
      </c>
      <c r="AE15">
        <v>316.61515963209399</v>
      </c>
      <c r="AF15">
        <v>3.7300988957454102</v>
      </c>
      <c r="AG15">
        <v>760.73213428145004</v>
      </c>
      <c r="AH15">
        <v>13.3192396071035</v>
      </c>
      <c r="AI15">
        <v>39.179502551515199</v>
      </c>
      <c r="AJ15">
        <v>174.8879044194</v>
      </c>
      <c r="AK15">
        <v>25.041146836369698</v>
      </c>
      <c r="AL15">
        <v>-12.125497429151499</v>
      </c>
      <c r="AM15">
        <v>6.2051644291355004</v>
      </c>
      <c r="AN15">
        <v>19.625667347656499</v>
      </c>
      <c r="AO15">
        <v>0.9</v>
      </c>
      <c r="AP15">
        <v>1.2534516946871701</v>
      </c>
      <c r="AQ15">
        <v>1.0072674322322499</v>
      </c>
      <c r="AR15">
        <v>1.1513183553914501</v>
      </c>
      <c r="AS15">
        <v>0.48112078611942199</v>
      </c>
      <c r="AT15">
        <v>1.2869999999999999</v>
      </c>
      <c r="AU15">
        <v>1.0016045831504301</v>
      </c>
      <c r="AV15">
        <v>1.17301584199014</v>
      </c>
      <c r="AW15">
        <v>0.85401174807644997</v>
      </c>
      <c r="AX15">
        <v>1</v>
      </c>
      <c r="AY15">
        <v>1.0208054058994001</v>
      </c>
      <c r="AZ15">
        <v>1</v>
      </c>
      <c r="BA15">
        <v>1</v>
      </c>
      <c r="BB15">
        <v>0.928049452032361</v>
      </c>
      <c r="BC15">
        <v>1.0234413219182801</v>
      </c>
      <c r="BD15">
        <v>0.98545674081533197</v>
      </c>
      <c r="BE15">
        <v>129605433763.3</v>
      </c>
      <c r="BF15">
        <v>7.4647146923910002E-2</v>
      </c>
      <c r="BG15">
        <v>166096</v>
      </c>
    </row>
    <row r="16" spans="1:59" x14ac:dyDescent="0.25">
      <c r="A16">
        <v>15</v>
      </c>
      <c r="B16">
        <v>150</v>
      </c>
      <c r="C16">
        <v>0</v>
      </c>
      <c r="D16">
        <v>0.78897472693212001</v>
      </c>
      <c r="E16">
        <v>0.77916908413730601</v>
      </c>
      <c r="F16">
        <v>9.0674744604910398</v>
      </c>
      <c r="G16">
        <v>8.9595666884598906</v>
      </c>
      <c r="H16">
        <v>1.01258474315067</v>
      </c>
      <c r="I16">
        <v>-9.8056427948136106E-3</v>
      </c>
      <c r="J16">
        <v>4.4297590719914098E-2</v>
      </c>
      <c r="K16">
        <v>1.6025846980966998E-2</v>
      </c>
      <c r="L16">
        <v>5.2757227280954E-3</v>
      </c>
      <c r="M16">
        <v>0.71173759346847498</v>
      </c>
      <c r="N16">
        <v>1.8323302398551701E-3</v>
      </c>
      <c r="O16">
        <v>12.9996374050077</v>
      </c>
      <c r="P16">
        <v>5.6412970033994201</v>
      </c>
      <c r="Q16">
        <v>81.359065591592895</v>
      </c>
      <c r="R16">
        <v>43.105908411913703</v>
      </c>
      <c r="S16">
        <v>34.615243831908401</v>
      </c>
      <c r="T16">
        <v>22.2788477561779</v>
      </c>
      <c r="U16">
        <v>0</v>
      </c>
      <c r="V16">
        <v>56.894091588086297</v>
      </c>
      <c r="W16">
        <v>0.62464164723250004</v>
      </c>
      <c r="X16">
        <v>-12.389961225232801</v>
      </c>
      <c r="Y16">
        <v>477.71724573976297</v>
      </c>
      <c r="Z16">
        <v>99.929064185752296</v>
      </c>
      <c r="AA16">
        <v>54.300050785356198</v>
      </c>
      <c r="AB16">
        <v>121.97079985037099</v>
      </c>
      <c r="AC16">
        <v>121.469662411353</v>
      </c>
      <c r="AD16">
        <v>33.5489713702015</v>
      </c>
      <c r="AE16">
        <v>318.38269628315101</v>
      </c>
      <c r="AF16">
        <v>3.9155718104608899</v>
      </c>
      <c r="AG16">
        <v>757.33482761655102</v>
      </c>
      <c r="AH16">
        <v>13.8557373961137</v>
      </c>
      <c r="AI16">
        <v>37.257604344495597</v>
      </c>
      <c r="AJ16">
        <v>174.87345098042499</v>
      </c>
      <c r="AK16">
        <v>27.1080400230633</v>
      </c>
      <c r="AL16">
        <v>-4.06226932305161</v>
      </c>
      <c r="AM16">
        <v>6.3610636385242696</v>
      </c>
      <c r="AN16">
        <v>19.034576031304301</v>
      </c>
      <c r="AO16">
        <v>0.9</v>
      </c>
      <c r="AP16">
        <v>1.25314864890877</v>
      </c>
      <c r="AQ16">
        <v>0.99201626260688602</v>
      </c>
      <c r="AR16">
        <v>1.1506152437908399</v>
      </c>
      <c r="AS16">
        <v>0.51711214224436997</v>
      </c>
      <c r="AT16">
        <v>1.2869999999999999</v>
      </c>
      <c r="AU16">
        <v>1.00148618250043</v>
      </c>
      <c r="AV16">
        <v>1.1725185416955199</v>
      </c>
      <c r="AW16">
        <v>0.85708309725602705</v>
      </c>
      <c r="AX16">
        <v>1</v>
      </c>
      <c r="AY16">
        <v>1.0332019037425499</v>
      </c>
      <c r="AZ16">
        <v>1</v>
      </c>
      <c r="BA16">
        <v>1</v>
      </c>
      <c r="BB16">
        <v>0.92603768093548799</v>
      </c>
      <c r="BC16">
        <v>1.0233993473290099</v>
      </c>
      <c r="BD16">
        <v>0.98683333339417001</v>
      </c>
      <c r="BE16">
        <v>188441181607.60001</v>
      </c>
      <c r="BF16">
        <v>7.8824106245859102E-2</v>
      </c>
      <c r="BG16">
        <v>264197</v>
      </c>
    </row>
    <row r="17" spans="1:59" x14ac:dyDescent="0.25">
      <c r="A17">
        <v>16</v>
      </c>
      <c r="B17">
        <v>175</v>
      </c>
      <c r="C17">
        <v>-100</v>
      </c>
      <c r="D17">
        <v>6.6044652917625804E-2</v>
      </c>
      <c r="E17">
        <v>0.52125015031478095</v>
      </c>
      <c r="F17">
        <v>0.78966331188364802</v>
      </c>
      <c r="G17">
        <v>6.0787581705773599</v>
      </c>
      <c r="H17">
        <v>0.126704333567562</v>
      </c>
      <c r="I17">
        <v>0.45520549739715599</v>
      </c>
      <c r="J17">
        <v>3.8498145290768698E-2</v>
      </c>
      <c r="K17">
        <v>8.0762742554763792E-3</v>
      </c>
      <c r="L17">
        <v>0</v>
      </c>
      <c r="M17">
        <v>0.47467573076853598</v>
      </c>
      <c r="N17">
        <v>0</v>
      </c>
      <c r="O17">
        <v>8.0482616316020597</v>
      </c>
      <c r="P17">
        <v>15.4482898475841</v>
      </c>
      <c r="Q17">
        <v>76.503448520813805</v>
      </c>
      <c r="R17">
        <v>39.124316402355099</v>
      </c>
      <c r="S17">
        <v>37.991797919597097</v>
      </c>
      <c r="T17">
        <v>22.883885678047701</v>
      </c>
      <c r="U17">
        <v>0</v>
      </c>
      <c r="V17">
        <v>60.875683597644901</v>
      </c>
      <c r="W17">
        <v>0.36139541722448798</v>
      </c>
      <c r="X17">
        <v>-100</v>
      </c>
      <c r="Y17">
        <v>0</v>
      </c>
      <c r="Z17">
        <v>100</v>
      </c>
      <c r="AA17">
        <v>68.604573380106004</v>
      </c>
      <c r="AB17">
        <v>155.304403989962</v>
      </c>
      <c r="AC17">
        <v>155.304403989962</v>
      </c>
      <c r="AD17">
        <v>23.2884634731017</v>
      </c>
      <c r="AE17">
        <v>334.54133671131399</v>
      </c>
      <c r="AF17">
        <v>3.3725404324902901</v>
      </c>
      <c r="AG17">
        <v>735.39376648040502</v>
      </c>
      <c r="AH17">
        <v>18.126565530626099</v>
      </c>
      <c r="AI17">
        <v>38.289792025195197</v>
      </c>
      <c r="AJ17">
        <v>178.37295663806799</v>
      </c>
      <c r="AK17">
        <v>18.003515697471499</v>
      </c>
      <c r="AL17">
        <v>-40.909069687125999</v>
      </c>
      <c r="AM17">
        <v>5.6269898766433801</v>
      </c>
      <c r="AN17">
        <v>9.9164388617063697</v>
      </c>
      <c r="AO17">
        <v>0.9</v>
      </c>
      <c r="AP17">
        <v>1.2593401589945299</v>
      </c>
      <c r="AQ17">
        <v>0.887235050863448</v>
      </c>
      <c r="AR17">
        <v>1.1632453849181801</v>
      </c>
      <c r="AS17">
        <v>0.40731804577381098</v>
      </c>
      <c r="AT17">
        <v>1.0449999999999999</v>
      </c>
      <c r="AU17">
        <v>0.99423441224445197</v>
      </c>
      <c r="AV17">
        <v>1.0610088622284899</v>
      </c>
      <c r="AW17">
        <v>0.88388500849982898</v>
      </c>
      <c r="AX17">
        <v>1</v>
      </c>
      <c r="AY17">
        <v>0.97354906682814202</v>
      </c>
      <c r="AZ17">
        <v>1</v>
      </c>
      <c r="BA17">
        <v>1</v>
      </c>
      <c r="BB17">
        <v>0.92086161132306199</v>
      </c>
      <c r="BC17">
        <v>1.0144868709368799</v>
      </c>
      <c r="BD17">
        <v>0.97</v>
      </c>
      <c r="BE17">
        <v>2015878.8</v>
      </c>
      <c r="BF17">
        <v>2.07812300665029E-3</v>
      </c>
      <c r="BG17">
        <v>13</v>
      </c>
    </row>
    <row r="18" spans="1:59" s="2" customFormat="1" x14ac:dyDescent="0.25">
      <c r="A18" s="2">
        <v>17</v>
      </c>
      <c r="B18" s="2">
        <v>175</v>
      </c>
      <c r="C18" s="2">
        <v>-75</v>
      </c>
      <c r="D18" s="2">
        <v>0.636269932016988</v>
      </c>
      <c r="E18" s="2">
        <v>0.677453580844249</v>
      </c>
      <c r="F18" s="2">
        <v>7.3736317719875801</v>
      </c>
      <c r="G18" s="2">
        <v>7.8332772982504597</v>
      </c>
      <c r="H18" s="2">
        <v>0.93920816127956996</v>
      </c>
      <c r="I18" s="2">
        <v>4.1183648827261402E-2</v>
      </c>
      <c r="J18" s="2">
        <v>4.8200550372645999E-2</v>
      </c>
      <c r="K18" s="2">
        <v>1.3097890831686001E-2</v>
      </c>
      <c r="L18" s="2">
        <v>0</v>
      </c>
      <c r="M18" s="2">
        <v>0.61615513963991697</v>
      </c>
      <c r="N18" s="2">
        <v>0</v>
      </c>
      <c r="O18" s="2">
        <v>21.495930655988602</v>
      </c>
      <c r="P18" s="2">
        <v>4.3118232702875599</v>
      </c>
      <c r="Q18" s="2">
        <v>74.192246073723894</v>
      </c>
      <c r="R18" s="2">
        <v>42.120202260631302</v>
      </c>
      <c r="S18" s="2">
        <v>39.585008699285297</v>
      </c>
      <c r="T18" s="2">
        <v>18.294789040083401</v>
      </c>
      <c r="U18" s="2">
        <v>0</v>
      </c>
      <c r="V18" s="2">
        <v>57.879797739368698</v>
      </c>
      <c r="W18" s="2">
        <v>0.46225035784231</v>
      </c>
      <c r="X18" s="2">
        <v>-84.846480099797105</v>
      </c>
      <c r="Y18" s="2">
        <v>25.719639059575702</v>
      </c>
      <c r="Z18" s="2">
        <v>99.940470223570898</v>
      </c>
      <c r="AA18" s="2">
        <v>51.444424128837198</v>
      </c>
      <c r="AB18" s="2">
        <v>147.61254275404201</v>
      </c>
      <c r="AC18" s="2">
        <v>147.41887353080099</v>
      </c>
      <c r="AD18" s="2">
        <v>41.860404841961703</v>
      </c>
      <c r="AE18" s="2">
        <v>309.44447126024801</v>
      </c>
      <c r="AF18" s="2">
        <v>3.4861605074797</v>
      </c>
      <c r="AG18" s="2">
        <v>764.01021090814504</v>
      </c>
      <c r="AH18" s="2">
        <v>11.3868747716466</v>
      </c>
      <c r="AI18" s="2">
        <v>43.587208208206597</v>
      </c>
      <c r="AJ18" s="2">
        <v>177.33690284310401</v>
      </c>
      <c r="AK18" s="2">
        <v>17.886845075454499</v>
      </c>
      <c r="AL18" s="2">
        <v>-24.384086866863601</v>
      </c>
      <c r="AM18" s="2">
        <v>6.0807266206617898</v>
      </c>
      <c r="AN18" s="2">
        <v>23.885318109184102</v>
      </c>
      <c r="AO18" s="2">
        <v>0.9</v>
      </c>
      <c r="AP18" s="2">
        <v>1.2514263327350501</v>
      </c>
      <c r="AQ18" s="2">
        <v>1.07135456445055</v>
      </c>
      <c r="AR18" s="2">
        <v>1.20468130410602</v>
      </c>
      <c r="AS18" s="2">
        <v>0.47014313434324301</v>
      </c>
      <c r="AT18" s="2">
        <v>1.1241421567840499</v>
      </c>
      <c r="AU18" s="2">
        <v>1.0026566129580401</v>
      </c>
      <c r="AV18" s="2">
        <v>1.0906545870616799</v>
      </c>
      <c r="AW18" s="2">
        <v>0.85099586674755201</v>
      </c>
      <c r="AX18" s="2">
        <v>1</v>
      </c>
      <c r="AY18" s="2">
        <v>0.99996743598231697</v>
      </c>
      <c r="AZ18" s="2">
        <v>1</v>
      </c>
      <c r="BA18" s="2">
        <v>1</v>
      </c>
      <c r="BB18" s="2">
        <v>0.92475626293882096</v>
      </c>
      <c r="BC18" s="2">
        <v>1.0386926751807799</v>
      </c>
      <c r="BD18" s="2">
        <v>0.98335744766023603</v>
      </c>
      <c r="BE18" s="2">
        <v>13747998717.5</v>
      </c>
      <c r="BF18" s="2">
        <v>6.9696608494499698E-2</v>
      </c>
      <c r="BG18" s="2">
        <v>21977</v>
      </c>
    </row>
    <row r="19" spans="1:59" s="2" customFormat="1" x14ac:dyDescent="0.25">
      <c r="A19" s="2">
        <v>18</v>
      </c>
      <c r="B19" s="2">
        <v>175</v>
      </c>
      <c r="C19" s="2">
        <v>-50</v>
      </c>
      <c r="D19" s="2">
        <v>0.69987708956649797</v>
      </c>
      <c r="E19" s="2">
        <v>0.70404131319354402</v>
      </c>
      <c r="F19" s="2">
        <v>8.0826632129456293</v>
      </c>
      <c r="G19" s="2">
        <v>8.1289079985633492</v>
      </c>
      <c r="H19" s="2">
        <v>0.99408525671859105</v>
      </c>
      <c r="I19" s="2">
        <v>4.16422362704585E-3</v>
      </c>
      <c r="J19" s="2">
        <v>4.5705485343814398E-2</v>
      </c>
      <c r="K19" s="2">
        <v>1.22765231575189E-2</v>
      </c>
      <c r="L19" s="2">
        <v>0</v>
      </c>
      <c r="M19" s="2">
        <v>0.64605930469221096</v>
      </c>
      <c r="N19" s="2">
        <v>0</v>
      </c>
      <c r="O19" s="2">
        <v>15.153696092414499</v>
      </c>
      <c r="P19" s="2">
        <v>4.8936937633691597</v>
      </c>
      <c r="Q19" s="2">
        <v>79.952610144216294</v>
      </c>
      <c r="R19" s="2">
        <v>42.186591669661802</v>
      </c>
      <c r="S19" s="2">
        <v>38.002737802104001</v>
      </c>
      <c r="T19" s="2">
        <v>19.810670528234201</v>
      </c>
      <c r="U19" s="2">
        <v>0</v>
      </c>
      <c r="V19" s="2">
        <v>57.813408330338198</v>
      </c>
      <c r="W19" s="2">
        <v>0.45944426161707502</v>
      </c>
      <c r="X19" s="2">
        <v>-60.721256256767099</v>
      </c>
      <c r="Y19" s="2">
        <v>89.617448090938296</v>
      </c>
      <c r="Z19" s="2">
        <v>99.949246337694106</v>
      </c>
      <c r="AA19" s="2">
        <v>53.467090340879999</v>
      </c>
      <c r="AB19" s="2">
        <v>149.747115633238</v>
      </c>
      <c r="AC19" s="2">
        <v>149.56211434008401</v>
      </c>
      <c r="AD19" s="2">
        <v>36.172239019789899</v>
      </c>
      <c r="AE19" s="2">
        <v>315.83396349006802</v>
      </c>
      <c r="AF19" s="2">
        <v>3.6019473232005099</v>
      </c>
      <c r="AG19" s="2">
        <v>762.37504207945994</v>
      </c>
      <c r="AH19" s="2">
        <v>12.4135094946422</v>
      </c>
      <c r="AI19" s="2">
        <v>42.779856995431601</v>
      </c>
      <c r="AJ19" s="2">
        <v>175.65862428656899</v>
      </c>
      <c r="AK19" s="2">
        <v>21.325312186230001</v>
      </c>
      <c r="AL19" s="2">
        <v>-18.618217092333801</v>
      </c>
      <c r="AM19" s="2">
        <v>6.2000145511417202</v>
      </c>
      <c r="AN19" s="2">
        <v>20.5043837981382</v>
      </c>
      <c r="AO19" s="2">
        <v>0.9</v>
      </c>
      <c r="AP19" s="2">
        <v>1.2498898974931301</v>
      </c>
      <c r="AQ19" s="2">
        <v>1.02134290217146</v>
      </c>
      <c r="AR19" s="2">
        <v>1.16148185717507</v>
      </c>
      <c r="AS19" s="2">
        <v>0.48872530695811001</v>
      </c>
      <c r="AT19" s="2">
        <v>1.2610732768563699</v>
      </c>
      <c r="AU19" s="2">
        <v>1.0017990572626201</v>
      </c>
      <c r="AV19" s="2">
        <v>1.0824402056362199</v>
      </c>
      <c r="AW19" s="2">
        <v>0.85286874474678398</v>
      </c>
      <c r="AX19" s="2">
        <v>1</v>
      </c>
      <c r="AY19" s="2">
        <v>1.0099812825777299</v>
      </c>
      <c r="AZ19" s="2">
        <v>1</v>
      </c>
      <c r="BA19" s="2">
        <v>1</v>
      </c>
      <c r="BB19" s="2">
        <v>0.92484256917055996</v>
      </c>
      <c r="BC19" s="2">
        <v>1.02727665296635</v>
      </c>
      <c r="BD19" s="2">
        <v>0.98411011779167901</v>
      </c>
      <c r="BE19" s="2">
        <v>47160014966.099998</v>
      </c>
      <c r="BF19" s="2">
        <v>7.2000754347343598E-2</v>
      </c>
      <c r="BG19" s="2">
        <v>64447</v>
      </c>
    </row>
    <row r="20" spans="1:59" x14ac:dyDescent="0.25">
      <c r="A20">
        <v>19</v>
      </c>
      <c r="B20">
        <v>175</v>
      </c>
      <c r="C20">
        <v>-25</v>
      </c>
      <c r="D20">
        <v>0.705108725495601</v>
      </c>
      <c r="E20">
        <v>0.695277616919735</v>
      </c>
      <c r="F20">
        <v>8.1407584550001992</v>
      </c>
      <c r="G20">
        <v>8.03156007431385</v>
      </c>
      <c r="H20">
        <v>1.0141398318263399</v>
      </c>
      <c r="I20">
        <v>-9.8311085758668194E-3</v>
      </c>
      <c r="J20">
        <v>4.4508784260886398E-2</v>
      </c>
      <c r="K20">
        <v>1.2276850685984201E-2</v>
      </c>
      <c r="L20" s="1">
        <v>1.1050455568765501E-8</v>
      </c>
      <c r="M20">
        <v>0.63849196412128895</v>
      </c>
      <c r="N20" s="1">
        <v>6.8011198164113404E-9</v>
      </c>
      <c r="O20">
        <v>11.5522987063086</v>
      </c>
      <c r="P20">
        <v>5.2622307818322804</v>
      </c>
      <c r="Q20">
        <v>83.185470511859194</v>
      </c>
      <c r="R20">
        <v>41.497262244160197</v>
      </c>
      <c r="S20">
        <v>36.603712276004202</v>
      </c>
      <c r="T20">
        <v>21.899025479835601</v>
      </c>
      <c r="U20">
        <v>0</v>
      </c>
      <c r="V20">
        <v>58.502737755839803</v>
      </c>
      <c r="W20">
        <v>0.47703778076716002</v>
      </c>
      <c r="X20">
        <v>-36.535293338008103</v>
      </c>
      <c r="Y20">
        <v>211.98365614590901</v>
      </c>
      <c r="Z20">
        <v>99.947825780903997</v>
      </c>
      <c r="AA20">
        <v>54.176695264638802</v>
      </c>
      <c r="AB20">
        <v>150.80902160340901</v>
      </c>
      <c r="AC20">
        <v>150.624184487002</v>
      </c>
      <c r="AD20">
        <v>33.395760616706397</v>
      </c>
      <c r="AE20">
        <v>319.05221664698098</v>
      </c>
      <c r="AF20">
        <v>3.7247596022626701</v>
      </c>
      <c r="AG20">
        <v>760.98462714832601</v>
      </c>
      <c r="AH20">
        <v>12.6306070121912</v>
      </c>
      <c r="AI20">
        <v>41.721508875060302</v>
      </c>
      <c r="AJ20">
        <v>174.87322278054199</v>
      </c>
      <c r="AK20">
        <v>24.980706060775901</v>
      </c>
      <c r="AL20">
        <v>-13.324452355570999</v>
      </c>
      <c r="AM20">
        <v>6.4062879150824301</v>
      </c>
      <c r="AN20">
        <v>19.0774599447392</v>
      </c>
      <c r="AO20">
        <v>0.9</v>
      </c>
      <c r="AP20">
        <v>1.2532734594894801</v>
      </c>
      <c r="AQ20">
        <v>0.98520202504215404</v>
      </c>
      <c r="AR20">
        <v>1.13949116418903</v>
      </c>
      <c r="AS20">
        <v>0.51371964882919896</v>
      </c>
      <c r="AT20">
        <v>1.2869999999999999</v>
      </c>
      <c r="AU20">
        <v>1.00148191214888</v>
      </c>
      <c r="AV20">
        <v>1.0784371664630299</v>
      </c>
      <c r="AW20">
        <v>0.85431342903058205</v>
      </c>
      <c r="AX20">
        <v>1</v>
      </c>
      <c r="AY20">
        <v>1.0190153383271501</v>
      </c>
      <c r="AZ20">
        <v>1</v>
      </c>
      <c r="BA20">
        <v>1</v>
      </c>
      <c r="BB20">
        <v>0.92394644091740796</v>
      </c>
      <c r="BC20">
        <v>1.0207941376713601</v>
      </c>
      <c r="BD20">
        <v>0.98503745205603099</v>
      </c>
      <c r="BE20">
        <v>106244548663.7</v>
      </c>
      <c r="BF20">
        <v>7.4262376205353406E-2</v>
      </c>
      <c r="BG20">
        <v>138822</v>
      </c>
    </row>
    <row r="21" spans="1:59" x14ac:dyDescent="0.25">
      <c r="A21">
        <v>20</v>
      </c>
      <c r="B21">
        <v>175</v>
      </c>
      <c r="C21">
        <v>0</v>
      </c>
      <c r="D21">
        <v>0.789664402868134</v>
      </c>
      <c r="E21">
        <v>0.71857812999881698</v>
      </c>
      <c r="F21">
        <v>9.0750596953077007</v>
      </c>
      <c r="G21">
        <v>8.2901760013333305</v>
      </c>
      <c r="H21">
        <v>1.09892629611401</v>
      </c>
      <c r="I21">
        <v>-7.1086272869316999E-2</v>
      </c>
      <c r="J21">
        <v>4.3349926084849902E-2</v>
      </c>
      <c r="K21">
        <v>1.38884478189862E-2</v>
      </c>
      <c r="L21">
        <v>1.27022398182993E-2</v>
      </c>
      <c r="M21">
        <v>0.64256172441929305</v>
      </c>
      <c r="N21">
        <v>6.0757918573886996E-3</v>
      </c>
      <c r="O21">
        <v>11.0806642418667</v>
      </c>
      <c r="P21">
        <v>5.2648074389931399</v>
      </c>
      <c r="Q21">
        <v>83.654528319140198</v>
      </c>
      <c r="R21">
        <v>39.881383777416502</v>
      </c>
      <c r="S21">
        <v>34.852378984805597</v>
      </c>
      <c r="T21">
        <v>25.266052579993001</v>
      </c>
      <c r="U21">
        <v>1.8465778480819799E-4</v>
      </c>
      <c r="V21">
        <v>60.118616222583398</v>
      </c>
      <c r="W21">
        <v>0.55640002122736498</v>
      </c>
      <c r="X21">
        <v>-12.4126791502598</v>
      </c>
      <c r="Y21">
        <v>449.40898322301803</v>
      </c>
      <c r="Z21">
        <v>99.939404232058706</v>
      </c>
      <c r="AA21">
        <v>54.611462826653202</v>
      </c>
      <c r="AB21">
        <v>151.54385051469399</v>
      </c>
      <c r="AC21">
        <v>151.369123542625</v>
      </c>
      <c r="AD21">
        <v>31.997647636759801</v>
      </c>
      <c r="AE21">
        <v>320.58588794189302</v>
      </c>
      <c r="AF21">
        <v>3.8990257400630401</v>
      </c>
      <c r="AG21">
        <v>757.47194245932303</v>
      </c>
      <c r="AH21">
        <v>12.5080270562847</v>
      </c>
      <c r="AI21">
        <v>39.924339830828401</v>
      </c>
      <c r="AJ21">
        <v>174.85970780064</v>
      </c>
      <c r="AK21">
        <v>27.3353698811373</v>
      </c>
      <c r="AL21">
        <v>-5.7952751266189697</v>
      </c>
      <c r="AM21">
        <v>6.5561562712849204</v>
      </c>
      <c r="AN21">
        <v>18.555905060947399</v>
      </c>
      <c r="AO21">
        <v>0.9</v>
      </c>
      <c r="AP21">
        <v>1.25277715616987</v>
      </c>
      <c r="AQ21">
        <v>0.97139188339191596</v>
      </c>
      <c r="AR21">
        <v>1.1404278674638</v>
      </c>
      <c r="AS21">
        <v>0.55000778919390303</v>
      </c>
      <c r="AT21">
        <v>1.2869999999999999</v>
      </c>
      <c r="AU21">
        <v>1.0013946561398299</v>
      </c>
      <c r="AV21">
        <v>1.07545614796359</v>
      </c>
      <c r="AW21">
        <v>0.85770164635319901</v>
      </c>
      <c r="AX21">
        <v>1</v>
      </c>
      <c r="AY21">
        <v>1.0310554225516</v>
      </c>
      <c r="AZ21">
        <v>1</v>
      </c>
      <c r="BA21">
        <v>1</v>
      </c>
      <c r="BB21">
        <v>0.921845798910641</v>
      </c>
      <c r="BC21">
        <v>1.01994519563536</v>
      </c>
      <c r="BD21">
        <v>0.9864384310698</v>
      </c>
      <c r="BE21">
        <v>153228795793.20001</v>
      </c>
      <c r="BF21">
        <v>7.7739097639170696E-2</v>
      </c>
      <c r="BG21">
        <v>218033</v>
      </c>
    </row>
    <row r="22" spans="1:59" x14ac:dyDescent="0.25">
      <c r="A22">
        <v>21</v>
      </c>
      <c r="B22">
        <v>417</v>
      </c>
      <c r="C22">
        <v>-100</v>
      </c>
      <c r="D22">
        <v>3.7452132792173201E-2</v>
      </c>
      <c r="E22">
        <v>0.44067604569791102</v>
      </c>
      <c r="F22">
        <v>0.44850099116653402</v>
      </c>
      <c r="G22">
        <v>5.1618077624922298</v>
      </c>
      <c r="H22">
        <v>8.4987902468942306E-2</v>
      </c>
      <c r="I22">
        <v>0.403223912905738</v>
      </c>
      <c r="J22">
        <v>3.4863508233961497E-2</v>
      </c>
      <c r="K22">
        <v>8.2182671092576008E-3</v>
      </c>
      <c r="L22">
        <v>0</v>
      </c>
      <c r="M22">
        <v>0.39759427035469203</v>
      </c>
      <c r="N22">
        <v>0</v>
      </c>
      <c r="O22">
        <v>23.8516707249196</v>
      </c>
      <c r="P22">
        <v>14.4166275557772</v>
      </c>
      <c r="Q22">
        <v>61.731701719303203</v>
      </c>
      <c r="R22">
        <v>45.780727065253402</v>
      </c>
      <c r="S22">
        <v>46.212148372597099</v>
      </c>
      <c r="T22">
        <v>8.0071245621495297</v>
      </c>
      <c r="U22">
        <v>0</v>
      </c>
      <c r="V22">
        <v>54.219272934746598</v>
      </c>
      <c r="W22">
        <v>0.36518704508792599</v>
      </c>
      <c r="X22">
        <v>-100</v>
      </c>
      <c r="Y22">
        <v>7.8031982260505098E-3</v>
      </c>
      <c r="Z22">
        <v>100</v>
      </c>
      <c r="AA22">
        <v>65.438071232128607</v>
      </c>
      <c r="AB22">
        <v>289.26528891003198</v>
      </c>
      <c r="AC22">
        <v>289.26528891003198</v>
      </c>
      <c r="AD22">
        <v>20.272081178464799</v>
      </c>
      <c r="AE22">
        <v>337.94418773754302</v>
      </c>
      <c r="AF22">
        <v>3.4504769688967198</v>
      </c>
      <c r="AG22">
        <v>714.65361330983205</v>
      </c>
      <c r="AH22">
        <v>22.520771574768201</v>
      </c>
      <c r="AI22">
        <v>50.009786230824901</v>
      </c>
      <c r="AJ22">
        <v>176.38128327263601</v>
      </c>
      <c r="AK22">
        <v>19.082266270571601</v>
      </c>
      <c r="AL22">
        <v>-41.6114519993003</v>
      </c>
      <c r="AM22">
        <v>6.33660636523103</v>
      </c>
      <c r="AN22">
        <v>8.8313314190688708</v>
      </c>
      <c r="AO22">
        <v>0.9</v>
      </c>
      <c r="AP22">
        <v>1.23584036261404</v>
      </c>
      <c r="AQ22">
        <v>0.78657907099812496</v>
      </c>
      <c r="AR22">
        <v>1.00783823909254</v>
      </c>
      <c r="AS22">
        <v>0.61363261571758199</v>
      </c>
      <c r="AT22">
        <v>1.0449999999999999</v>
      </c>
      <c r="AU22">
        <v>0.99725698219173198</v>
      </c>
      <c r="AV22">
        <v>0.86197173468632904</v>
      </c>
      <c r="AW22">
        <v>0.89637454752094903</v>
      </c>
      <c r="AX22">
        <v>1</v>
      </c>
      <c r="AY22">
        <v>0.97329500911550604</v>
      </c>
      <c r="AZ22">
        <v>1</v>
      </c>
      <c r="BA22">
        <v>1</v>
      </c>
      <c r="BB22">
        <v>0.92951494518482902</v>
      </c>
      <c r="BC22">
        <v>1.0429330073048599</v>
      </c>
      <c r="BD22">
        <v>1.02086892721533</v>
      </c>
      <c r="BE22">
        <v>7737401.7999999998</v>
      </c>
      <c r="BF22">
        <v>6.5167282658279099E-4</v>
      </c>
      <c r="BG22">
        <v>29</v>
      </c>
    </row>
    <row r="23" spans="1:59" s="2" customFormat="1" x14ac:dyDescent="0.25">
      <c r="A23" s="2">
        <v>22</v>
      </c>
      <c r="B23" s="2">
        <v>417</v>
      </c>
      <c r="C23" s="2">
        <v>-75</v>
      </c>
      <c r="D23" s="2">
        <v>0.55500653409518197</v>
      </c>
      <c r="E23" s="2">
        <v>0.54290271879032603</v>
      </c>
      <c r="F23" s="2">
        <v>6.4604916871968898</v>
      </c>
      <c r="G23" s="2">
        <v>6.3237797486421998</v>
      </c>
      <c r="H23" s="2">
        <v>1.0222946301168401</v>
      </c>
      <c r="I23" s="2">
        <v>-1.2103815304855801E-2</v>
      </c>
      <c r="J23" s="2">
        <v>4.5997591760896399E-2</v>
      </c>
      <c r="K23" s="2">
        <v>1.0645886668208201E-2</v>
      </c>
      <c r="L23" s="2">
        <v>0</v>
      </c>
      <c r="M23" s="2">
        <v>0.48625924036122098</v>
      </c>
      <c r="N23" s="2">
        <v>0</v>
      </c>
      <c r="O23" s="2">
        <v>14.5615371767655</v>
      </c>
      <c r="P23" s="2">
        <v>3.9639295853989802</v>
      </c>
      <c r="Q23" s="2">
        <v>81.474533237835502</v>
      </c>
      <c r="R23" s="2">
        <v>36.949428170477397</v>
      </c>
      <c r="S23" s="2">
        <v>47.268040451847398</v>
      </c>
      <c r="T23" s="2">
        <v>15.7825313776752</v>
      </c>
      <c r="U23" s="2">
        <v>0</v>
      </c>
      <c r="V23" s="2">
        <v>63.050571829522603</v>
      </c>
      <c r="W23" s="2">
        <v>0.40518039006437401</v>
      </c>
      <c r="X23" s="2">
        <v>-84.753377753391305</v>
      </c>
      <c r="Y23" s="2">
        <v>25.5726744815871</v>
      </c>
      <c r="Z23" s="2">
        <v>99.987939551098506</v>
      </c>
      <c r="AA23" s="2">
        <v>52.780750073581501</v>
      </c>
      <c r="AB23" s="2">
        <v>279.82960064791598</v>
      </c>
      <c r="AC23" s="2">
        <v>277.740617757498</v>
      </c>
      <c r="AD23" s="2">
        <v>38.762684632484699</v>
      </c>
      <c r="AE23" s="2">
        <v>314.36783177485</v>
      </c>
      <c r="AF23" s="2">
        <v>3.4667634035855301</v>
      </c>
      <c r="AG23" s="2">
        <v>764.42210655222698</v>
      </c>
      <c r="AH23" s="2">
        <v>13.7647393528131</v>
      </c>
      <c r="AI23" s="2">
        <v>53.597684591385999</v>
      </c>
      <c r="AJ23" s="2">
        <v>177.60486025923299</v>
      </c>
      <c r="AK23" s="2">
        <v>17.263802316010299</v>
      </c>
      <c r="AL23" s="2">
        <v>-26.827427615261101</v>
      </c>
      <c r="AM23" s="2">
        <v>6.5881835698646896</v>
      </c>
      <c r="AN23" s="2">
        <v>24.007542075859899</v>
      </c>
      <c r="AO23" s="2">
        <v>0.9</v>
      </c>
      <c r="AP23" s="2">
        <v>1.25594580992029</v>
      </c>
      <c r="AQ23" s="2">
        <v>1.0395129720621199</v>
      </c>
      <c r="AR23" s="2">
        <v>1.2002828230960101</v>
      </c>
      <c r="AS23" s="2">
        <v>0.55403927615139703</v>
      </c>
      <c r="AT23" s="2">
        <v>1.12455895268795</v>
      </c>
      <c r="AU23" s="2">
        <v>1.00203396034902</v>
      </c>
      <c r="AV23" s="2">
        <v>0.87242435537490304</v>
      </c>
      <c r="AW23" s="2">
        <v>0.85281465002604495</v>
      </c>
      <c r="AX23" s="2">
        <v>1</v>
      </c>
      <c r="AY23" s="2">
        <v>0.99536499346372598</v>
      </c>
      <c r="AZ23" s="2">
        <v>1</v>
      </c>
      <c r="BA23" s="2">
        <v>1</v>
      </c>
      <c r="BB23" s="2">
        <v>0.91803425662162097</v>
      </c>
      <c r="BC23" s="2">
        <v>1.0262107669181799</v>
      </c>
      <c r="BD23" s="2">
        <v>0.98766176648207105</v>
      </c>
      <c r="BE23" s="2">
        <v>181405743847.89999</v>
      </c>
      <c r="BF23" s="2">
        <v>6.4270579125496094E-2</v>
      </c>
      <c r="BG23" s="2">
        <v>68515</v>
      </c>
    </row>
    <row r="24" spans="1:59" s="2" customFormat="1" x14ac:dyDescent="0.25">
      <c r="A24" s="2">
        <v>23</v>
      </c>
      <c r="B24" s="2">
        <v>417</v>
      </c>
      <c r="C24" s="2">
        <v>-50</v>
      </c>
      <c r="D24" s="2">
        <v>0.57408287729503005</v>
      </c>
      <c r="E24" s="2">
        <v>0.558073772214284</v>
      </c>
      <c r="F24" s="2">
        <v>6.6755867190040403</v>
      </c>
      <c r="G24" s="2">
        <v>6.4951069175380196</v>
      </c>
      <c r="H24" s="2">
        <v>1.0286863599004601</v>
      </c>
      <c r="I24" s="2">
        <v>-1.6009105080745999E-2</v>
      </c>
      <c r="J24" s="2">
        <v>4.3575591968272501E-2</v>
      </c>
      <c r="K24" s="2">
        <v>9.8340829211196103E-3</v>
      </c>
      <c r="L24" s="2">
        <v>0</v>
      </c>
      <c r="M24" s="2">
        <v>0.50466409732489204</v>
      </c>
      <c r="N24" s="2">
        <v>0</v>
      </c>
      <c r="O24" s="2">
        <v>9.7975628391250495</v>
      </c>
      <c r="P24" s="2">
        <v>4.31631289198757</v>
      </c>
      <c r="Q24" s="2">
        <v>85.8861242688874</v>
      </c>
      <c r="R24" s="2">
        <v>37.540821565326901</v>
      </c>
      <c r="S24" s="2">
        <v>44.2555375659066</v>
      </c>
      <c r="T24" s="2">
        <v>18.203640868766399</v>
      </c>
      <c r="U24" s="2">
        <v>0</v>
      </c>
      <c r="V24" s="2">
        <v>62.459178434673099</v>
      </c>
      <c r="W24" s="2">
        <v>0.394431472733344</v>
      </c>
      <c r="X24" s="2">
        <v>-60.8126450796277</v>
      </c>
      <c r="Y24" s="2">
        <v>76.702482923887402</v>
      </c>
      <c r="Z24" s="2">
        <v>99.987046775412495</v>
      </c>
      <c r="AA24" s="2">
        <v>55.395840978412899</v>
      </c>
      <c r="AB24" s="2">
        <v>282.044798009141</v>
      </c>
      <c r="AC24" s="2">
        <v>279.87867253921598</v>
      </c>
      <c r="AD24" s="2">
        <v>32.841495880878099</v>
      </c>
      <c r="AE24" s="2">
        <v>320.97543775594801</v>
      </c>
      <c r="AF24" s="2">
        <v>3.5707588965932202</v>
      </c>
      <c r="AG24" s="2">
        <v>762.72867255761105</v>
      </c>
      <c r="AH24" s="2">
        <v>13.327706477536299</v>
      </c>
      <c r="AI24" s="2">
        <v>51.243192964298302</v>
      </c>
      <c r="AJ24" s="2">
        <v>175.47945667570499</v>
      </c>
      <c r="AK24" s="2">
        <v>21.4709755708956</v>
      </c>
      <c r="AL24" s="2">
        <v>-22.160548613165801</v>
      </c>
      <c r="AM24" s="2">
        <v>6.6780443988120304</v>
      </c>
      <c r="AN24" s="2">
        <v>20.051384183641201</v>
      </c>
      <c r="AO24" s="2">
        <v>0.9</v>
      </c>
      <c r="AP24" s="2">
        <v>1.25337057018251</v>
      </c>
      <c r="AQ24" s="2">
        <v>0.98369769898773496</v>
      </c>
      <c r="AR24" s="2">
        <v>1.1461769217042601</v>
      </c>
      <c r="AS24" s="2">
        <v>0.56800853196154799</v>
      </c>
      <c r="AT24" s="2">
        <v>1.2610397828384401</v>
      </c>
      <c r="AU24" s="2">
        <v>1.0009570650036399</v>
      </c>
      <c r="AV24" s="2">
        <v>0.86970457516111399</v>
      </c>
      <c r="AW24" s="2">
        <v>0.85502469132231895</v>
      </c>
      <c r="AX24" s="2">
        <v>1</v>
      </c>
      <c r="AY24" s="2">
        <v>1.00399426655847</v>
      </c>
      <c r="AZ24" s="2">
        <v>1</v>
      </c>
      <c r="BA24" s="2">
        <v>1</v>
      </c>
      <c r="BB24" s="2">
        <v>0.91880306803492495</v>
      </c>
      <c r="BC24" s="2">
        <v>1.01763561311043</v>
      </c>
      <c r="BD24" s="2">
        <v>0.98890551584206099</v>
      </c>
      <c r="BE24" s="2">
        <v>621031403792.80005</v>
      </c>
      <c r="BF24" s="2">
        <v>6.7008050524674706E-2</v>
      </c>
      <c r="BG24" s="2">
        <v>187996</v>
      </c>
    </row>
    <row r="25" spans="1:59" x14ac:dyDescent="0.25">
      <c r="A25">
        <v>24</v>
      </c>
      <c r="B25">
        <v>417</v>
      </c>
      <c r="C25">
        <v>-25</v>
      </c>
      <c r="D25">
        <v>0.61187896186220003</v>
      </c>
      <c r="E25">
        <v>0.55910956530207201</v>
      </c>
      <c r="F25">
        <v>7.1004174302753</v>
      </c>
      <c r="G25">
        <v>6.5067936791271501</v>
      </c>
      <c r="H25">
        <v>1.0943811371419101</v>
      </c>
      <c r="I25">
        <v>-5.2769396560127697E-2</v>
      </c>
      <c r="J25">
        <v>4.26300387340817E-2</v>
      </c>
      <c r="K25">
        <v>9.7729117670577008E-3</v>
      </c>
      <c r="L25">
        <v>1.12681521653877E-3</v>
      </c>
      <c r="M25">
        <v>0.50486097514040496</v>
      </c>
      <c r="N25">
        <v>7.1882444398864095E-4</v>
      </c>
      <c r="O25">
        <v>6.9189968072296502</v>
      </c>
      <c r="P25">
        <v>4.62920849167193</v>
      </c>
      <c r="Q25">
        <v>88.451794701098393</v>
      </c>
      <c r="R25">
        <v>37.405108451863903</v>
      </c>
      <c r="S25">
        <v>41.863645127655197</v>
      </c>
      <c r="T25">
        <v>20.7312464204809</v>
      </c>
      <c r="U25">
        <v>0</v>
      </c>
      <c r="V25">
        <v>62.594891548136097</v>
      </c>
      <c r="W25">
        <v>0.40147605938333902</v>
      </c>
      <c r="X25">
        <v>-36.643690304467697</v>
      </c>
      <c r="Y25">
        <v>173.63498279368801</v>
      </c>
      <c r="Z25">
        <v>99.985594456408293</v>
      </c>
      <c r="AA25">
        <v>56.2410358396899</v>
      </c>
      <c r="AB25">
        <v>281.10073221710797</v>
      </c>
      <c r="AC25">
        <v>278.91182663720099</v>
      </c>
      <c r="AD25">
        <v>30.535114208265199</v>
      </c>
      <c r="AE25">
        <v>323.56206649804102</v>
      </c>
      <c r="AF25">
        <v>3.6785957989670899</v>
      </c>
      <c r="AG25">
        <v>761.41484678866198</v>
      </c>
      <c r="AH25">
        <v>12.572716291406101</v>
      </c>
      <c r="AI25">
        <v>49.424580253699503</v>
      </c>
      <c r="AJ25">
        <v>174.66753669146701</v>
      </c>
      <c r="AK25">
        <v>25.809819011415001</v>
      </c>
      <c r="AL25">
        <v>-17.5161845990296</v>
      </c>
      <c r="AM25">
        <v>6.9003397516707796</v>
      </c>
      <c r="AN25">
        <v>18.756140321538702</v>
      </c>
      <c r="AO25">
        <v>0.9</v>
      </c>
      <c r="AP25">
        <v>1.25797421246491</v>
      </c>
      <c r="AQ25">
        <v>0.95036241846236502</v>
      </c>
      <c r="AR25">
        <v>1.12718065879326</v>
      </c>
      <c r="AS25">
        <v>0.595414469973368</v>
      </c>
      <c r="AT25">
        <v>1.2869999999999999</v>
      </c>
      <c r="AU25">
        <v>1.0005865774292999</v>
      </c>
      <c r="AV25">
        <v>0.87080720876036899</v>
      </c>
      <c r="AW25">
        <v>0.85655957523233694</v>
      </c>
      <c r="AX25">
        <v>1</v>
      </c>
      <c r="AY25">
        <v>1.01247998295307</v>
      </c>
      <c r="AZ25">
        <v>1</v>
      </c>
      <c r="BA25">
        <v>1</v>
      </c>
      <c r="BB25">
        <v>0.91862664098742297</v>
      </c>
      <c r="BC25">
        <v>1.0124541942530101</v>
      </c>
      <c r="BD25">
        <v>0.99015136526505099</v>
      </c>
      <c r="BE25">
        <v>1327947892161.1001</v>
      </c>
      <c r="BF25">
        <v>6.9930410508338606E-2</v>
      </c>
      <c r="BG25">
        <v>389262</v>
      </c>
    </row>
    <row r="26" spans="1:59" x14ac:dyDescent="0.25">
      <c r="A26">
        <v>25</v>
      </c>
      <c r="B26">
        <v>417</v>
      </c>
      <c r="C26">
        <v>0</v>
      </c>
      <c r="D26">
        <v>0.69893202696313295</v>
      </c>
      <c r="E26">
        <v>0.621390549388813</v>
      </c>
      <c r="F26">
        <v>8.0721650767179103</v>
      </c>
      <c r="G26">
        <v>7.20704879202885</v>
      </c>
      <c r="H26">
        <v>1.1247870242806</v>
      </c>
      <c r="I26">
        <v>-7.7541477574319603E-2</v>
      </c>
      <c r="J26">
        <v>4.13832205413215E-2</v>
      </c>
      <c r="K26">
        <v>1.14024582795155E-2</v>
      </c>
      <c r="L26">
        <v>2.5329773355979E-2</v>
      </c>
      <c r="M26">
        <v>0.51297515011807204</v>
      </c>
      <c r="N26">
        <v>3.0299947093925299E-2</v>
      </c>
      <c r="O26">
        <v>6.5795336103383102</v>
      </c>
      <c r="P26">
        <v>4.7455319859323399</v>
      </c>
      <c r="Q26">
        <v>88.674934403729395</v>
      </c>
      <c r="R26">
        <v>38.013176324316902</v>
      </c>
      <c r="S26">
        <v>37.461336461564201</v>
      </c>
      <c r="T26">
        <v>24.525487214119</v>
      </c>
      <c r="U26">
        <v>0</v>
      </c>
      <c r="V26">
        <v>61.986823675683098</v>
      </c>
      <c r="W26">
        <v>0.47885698562527101</v>
      </c>
      <c r="X26">
        <v>-12.7797457138469</v>
      </c>
      <c r="Y26">
        <v>375.16096011529402</v>
      </c>
      <c r="Z26">
        <v>99.977999291164394</v>
      </c>
      <c r="AA26">
        <v>56.9888286309439</v>
      </c>
      <c r="AB26">
        <v>277.709995727327</v>
      </c>
      <c r="AC26">
        <v>275.527615974291</v>
      </c>
      <c r="AD26">
        <v>29.400292382231999</v>
      </c>
      <c r="AE26">
        <v>324.81415398204001</v>
      </c>
      <c r="AF26">
        <v>3.8491301217170699</v>
      </c>
      <c r="AG26">
        <v>757.938309552791</v>
      </c>
      <c r="AH26">
        <v>10.3551692681178</v>
      </c>
      <c r="AI26">
        <v>45.919619266982899</v>
      </c>
      <c r="AJ26">
        <v>174.79561535622699</v>
      </c>
      <c r="AK26">
        <v>28.379261950943501</v>
      </c>
      <c r="AL26">
        <v>-10.5822444335253</v>
      </c>
      <c r="AM26">
        <v>6.9298579610431004</v>
      </c>
      <c r="AN26">
        <v>18.069794236485301</v>
      </c>
      <c r="AO26">
        <v>0.9</v>
      </c>
      <c r="AP26">
        <v>1.2553313014531</v>
      </c>
      <c r="AQ26">
        <v>0.93984197263337999</v>
      </c>
      <c r="AR26">
        <v>1.12832799031487</v>
      </c>
      <c r="AS26">
        <v>0.61974752293687896</v>
      </c>
      <c r="AT26">
        <v>1.2869999999999999</v>
      </c>
      <c r="AU26">
        <v>1.00042095116999</v>
      </c>
      <c r="AV26">
        <v>0.874791244280402</v>
      </c>
      <c r="AW26">
        <v>0.85989418853226196</v>
      </c>
      <c r="AX26">
        <v>1</v>
      </c>
      <c r="AY26">
        <v>1.0244355568822101</v>
      </c>
      <c r="AZ26">
        <v>1</v>
      </c>
      <c r="BA26">
        <v>1</v>
      </c>
      <c r="BB26">
        <v>0.91941712922161201</v>
      </c>
      <c r="BC26">
        <v>1.01184316049861</v>
      </c>
      <c r="BD26">
        <v>0.99167902754243298</v>
      </c>
      <c r="BE26">
        <v>1683717048538.7</v>
      </c>
      <c r="BF26">
        <v>7.3369532509697993E-2</v>
      </c>
      <c r="BG26">
        <v>592113</v>
      </c>
    </row>
    <row r="27" spans="1:59" x14ac:dyDescent="0.25">
      <c r="A27">
        <v>26</v>
      </c>
      <c r="B27">
        <v>800</v>
      </c>
      <c r="C27">
        <v>-100</v>
      </c>
      <c r="D27">
        <v>2.7650681184387099E-2</v>
      </c>
      <c r="E27">
        <v>0.327166054105542</v>
      </c>
      <c r="F27">
        <v>0.33130402930469099</v>
      </c>
      <c r="G27">
        <v>3.8561125935232798</v>
      </c>
      <c r="H27">
        <v>8.4515740057393499E-2</v>
      </c>
      <c r="I27">
        <v>0.29951537292115499</v>
      </c>
      <c r="J27">
        <v>4.0047328968870803E-2</v>
      </c>
      <c r="K27">
        <v>9.2781174241409296E-3</v>
      </c>
      <c r="L27">
        <v>0</v>
      </c>
      <c r="M27">
        <v>0.277840607712531</v>
      </c>
      <c r="N27">
        <v>0</v>
      </c>
      <c r="O27">
        <v>6.3411410669664701</v>
      </c>
      <c r="P27">
        <v>0</v>
      </c>
      <c r="Q27">
        <v>93.6588589330335</v>
      </c>
      <c r="R27">
        <v>32.040455115811604</v>
      </c>
      <c r="S27">
        <v>67.959544884188404</v>
      </c>
      <c r="T27">
        <v>0</v>
      </c>
      <c r="U27">
        <v>0</v>
      </c>
      <c r="V27">
        <v>67.959544884188404</v>
      </c>
      <c r="W27">
        <v>0.37189529278188199</v>
      </c>
      <c r="X27">
        <v>-100</v>
      </c>
      <c r="Y27">
        <v>0</v>
      </c>
      <c r="Z27">
        <v>100</v>
      </c>
      <c r="AA27">
        <v>61.785947771274103</v>
      </c>
      <c r="AB27">
        <v>563.57535785749099</v>
      </c>
      <c r="AC27">
        <v>563.57535785749099</v>
      </c>
      <c r="AD27">
        <v>23.791184390437099</v>
      </c>
      <c r="AE27">
        <v>333.30466238897998</v>
      </c>
      <c r="AF27">
        <v>3.4356913609532702</v>
      </c>
      <c r="AG27">
        <v>751.81186129219498</v>
      </c>
      <c r="AH27">
        <v>38.089604310207399</v>
      </c>
      <c r="AI27">
        <v>28.031660763095299</v>
      </c>
      <c r="AJ27">
        <v>177.98781321508901</v>
      </c>
      <c r="AK27">
        <v>17.435115396543601</v>
      </c>
      <c r="AL27">
        <v>-36.373082338125599</v>
      </c>
      <c r="AM27">
        <v>6.09613423721167</v>
      </c>
      <c r="AN27">
        <v>11.6944964738595</v>
      </c>
      <c r="AO27">
        <v>0.9</v>
      </c>
      <c r="AP27">
        <v>1.2552293700714201</v>
      </c>
      <c r="AQ27">
        <v>0.85058797040424705</v>
      </c>
      <c r="AR27">
        <v>1.1208412501668901</v>
      </c>
      <c r="AS27">
        <v>0.49802363355635099</v>
      </c>
      <c r="AT27">
        <v>1.0449999999999999</v>
      </c>
      <c r="AU27">
        <v>0.99903357388917102</v>
      </c>
      <c r="AV27">
        <v>0.63810266516492398</v>
      </c>
      <c r="AW27">
        <v>0.87323449493137295</v>
      </c>
      <c r="AX27">
        <v>1</v>
      </c>
      <c r="AY27">
        <v>0.98199314292733697</v>
      </c>
      <c r="AZ27">
        <v>1</v>
      </c>
      <c r="BA27">
        <v>1</v>
      </c>
      <c r="BB27">
        <v>0.91165259165055501</v>
      </c>
      <c r="BC27">
        <v>1.0114140539205401</v>
      </c>
      <c r="BD27">
        <v>0.99035047029673795</v>
      </c>
      <c r="BE27">
        <v>6365948.9000000004</v>
      </c>
      <c r="BF27">
        <v>6.2471847598932501E-4</v>
      </c>
      <c r="BG27">
        <v>12</v>
      </c>
    </row>
    <row r="28" spans="1:59" s="2" customFormat="1" x14ac:dyDescent="0.25">
      <c r="A28" s="2">
        <v>27</v>
      </c>
      <c r="B28" s="2">
        <v>800</v>
      </c>
      <c r="C28" s="2">
        <v>-75</v>
      </c>
      <c r="D28" s="2">
        <v>0.47519275221549201</v>
      </c>
      <c r="E28" s="2">
        <v>0.462132161397803</v>
      </c>
      <c r="F28" s="2">
        <v>5.5556152502878904</v>
      </c>
      <c r="G28" s="2">
        <v>5.4067811839326296</v>
      </c>
      <c r="H28" s="2">
        <v>1.0282615924807901</v>
      </c>
      <c r="I28" s="2">
        <v>-1.30605908176893E-2</v>
      </c>
      <c r="J28" s="2">
        <v>4.4557435253594999E-2</v>
      </c>
      <c r="K28" s="2">
        <v>1.0684356824347501E-2</v>
      </c>
      <c r="L28" s="2">
        <v>0</v>
      </c>
      <c r="M28" s="2">
        <v>0.40689036931986</v>
      </c>
      <c r="N28" s="2">
        <v>0</v>
      </c>
      <c r="O28" s="2">
        <v>17.608513899096799</v>
      </c>
      <c r="P28" s="2">
        <v>3.2770734611997399</v>
      </c>
      <c r="Q28" s="2">
        <v>79.114412639703502</v>
      </c>
      <c r="R28" s="2">
        <v>41.892538084351898</v>
      </c>
      <c r="S28" s="2">
        <v>40.774910756497903</v>
      </c>
      <c r="T28" s="2">
        <v>17.332551159150199</v>
      </c>
      <c r="U28" s="2">
        <v>0</v>
      </c>
      <c r="V28" s="2">
        <v>58.107461915648202</v>
      </c>
      <c r="W28" s="2">
        <v>0.42486634171578203</v>
      </c>
      <c r="X28" s="2">
        <v>-84.732511472028307</v>
      </c>
      <c r="Y28" s="2">
        <v>28.2160547454761</v>
      </c>
      <c r="Z28" s="2">
        <v>99.988907912738597</v>
      </c>
      <c r="AA28" s="2">
        <v>50.249703023101702</v>
      </c>
      <c r="AB28" s="2">
        <v>464.87847078371902</v>
      </c>
      <c r="AC28" s="2">
        <v>463.98457956047201</v>
      </c>
      <c r="AD28" s="2">
        <v>37.158471249098099</v>
      </c>
      <c r="AE28" s="2">
        <v>317.90362322374</v>
      </c>
      <c r="AF28" s="2">
        <v>3.53033024919073</v>
      </c>
      <c r="AG28" s="2">
        <v>764.76648936228605</v>
      </c>
      <c r="AH28" s="2">
        <v>12.6470062939208</v>
      </c>
      <c r="AI28" s="2">
        <v>56.513002834444102</v>
      </c>
      <c r="AJ28" s="2">
        <v>177.64069619769501</v>
      </c>
      <c r="AK28" s="2">
        <v>17.366744634394699</v>
      </c>
      <c r="AL28" s="2">
        <v>-22.790175609412</v>
      </c>
      <c r="AM28" s="2">
        <v>6.8686222435683204</v>
      </c>
      <c r="AN28" s="2">
        <v>23.684459272255001</v>
      </c>
      <c r="AO28" s="2">
        <v>0.9</v>
      </c>
      <c r="AP28" s="2">
        <v>1.26005371171041</v>
      </c>
      <c r="AQ28" s="2">
        <v>1.02689219297264</v>
      </c>
      <c r="AR28" s="2">
        <v>1.19368265349332</v>
      </c>
      <c r="AS28" s="2">
        <v>0.61957517150737296</v>
      </c>
      <c r="AT28" s="2">
        <v>1.1249788762264199</v>
      </c>
      <c r="AU28" s="2">
        <v>1.0032600205022899</v>
      </c>
      <c r="AV28" s="2">
        <v>0.68924426498382796</v>
      </c>
      <c r="AW28" s="2">
        <v>0.85485459827095001</v>
      </c>
      <c r="AX28" s="2">
        <v>1</v>
      </c>
      <c r="AY28" s="2">
        <v>1.00266268619341</v>
      </c>
      <c r="AZ28" s="2">
        <v>1</v>
      </c>
      <c r="BA28" s="2">
        <v>1</v>
      </c>
      <c r="BB28" s="2">
        <v>0.92446029950965702</v>
      </c>
      <c r="BC28" s="2">
        <v>1.03169532501837</v>
      </c>
      <c r="BD28" s="2">
        <v>1.01104382390492</v>
      </c>
      <c r="BE28" s="2">
        <v>46661526960.099998</v>
      </c>
      <c r="BF28" s="2">
        <v>6.1656485739441699E-2</v>
      </c>
      <c r="BG28" s="2">
        <v>29509</v>
      </c>
    </row>
    <row r="29" spans="1:59" s="2" customFormat="1" x14ac:dyDescent="0.25">
      <c r="A29" s="2">
        <v>28</v>
      </c>
      <c r="B29" s="2">
        <v>800</v>
      </c>
      <c r="C29" s="2">
        <v>-50</v>
      </c>
      <c r="D29" s="2">
        <v>0.45693035641762503</v>
      </c>
      <c r="E29" s="2">
        <v>0.475750730974697</v>
      </c>
      <c r="F29" s="2">
        <v>5.3474433328375603</v>
      </c>
      <c r="G29" s="2">
        <v>5.5619690031433704</v>
      </c>
      <c r="H29" s="2">
        <v>0.96044068178620701</v>
      </c>
      <c r="I29" s="2">
        <v>1.8820374557072601E-2</v>
      </c>
      <c r="J29" s="2">
        <v>4.2411792550920598E-2</v>
      </c>
      <c r="K29" s="2">
        <v>9.8171907512854591E-3</v>
      </c>
      <c r="L29" s="2">
        <v>0</v>
      </c>
      <c r="M29" s="2">
        <v>0.42352174767249101</v>
      </c>
      <c r="N29" s="2">
        <v>0</v>
      </c>
      <c r="O29" s="2">
        <v>11.4931631938657</v>
      </c>
      <c r="P29" s="2">
        <v>3.5205014594246702</v>
      </c>
      <c r="Q29" s="2">
        <v>84.986335346709595</v>
      </c>
      <c r="R29" s="2">
        <v>42.339675610051899</v>
      </c>
      <c r="S29" s="2">
        <v>39.896277936129103</v>
      </c>
      <c r="T29" s="2">
        <v>17.764046453818999</v>
      </c>
      <c r="U29" s="2">
        <v>0</v>
      </c>
      <c r="V29" s="2">
        <v>57.660324389948101</v>
      </c>
      <c r="W29" s="2">
        <v>0.40616289649346099</v>
      </c>
      <c r="X29" s="2">
        <v>-60.831667217158802</v>
      </c>
      <c r="Y29" s="2">
        <v>81.783805063009595</v>
      </c>
      <c r="Z29" s="2">
        <v>99.992047467775095</v>
      </c>
      <c r="AA29" s="2">
        <v>52.876331234592797</v>
      </c>
      <c r="AB29" s="2">
        <v>464.476975135896</v>
      </c>
      <c r="AC29" s="2">
        <v>463.56200886485499</v>
      </c>
      <c r="AD29" s="2">
        <v>31.839169182918202</v>
      </c>
      <c r="AE29" s="2">
        <v>323.69123631126598</v>
      </c>
      <c r="AF29" s="2">
        <v>3.6208412261423701</v>
      </c>
      <c r="AG29" s="2">
        <v>762.30557567241794</v>
      </c>
      <c r="AH29" s="2">
        <v>11.786066013336599</v>
      </c>
      <c r="AI29" s="2">
        <v>56.733080544101703</v>
      </c>
      <c r="AJ29" s="2">
        <v>175.65098477680999</v>
      </c>
      <c r="AK29" s="2">
        <v>21.377759431954399</v>
      </c>
      <c r="AL29" s="2">
        <v>-18.9212628685613</v>
      </c>
      <c r="AM29" s="2">
        <v>6.9547110610998901</v>
      </c>
      <c r="AN29" s="2">
        <v>20.132664214656199</v>
      </c>
      <c r="AO29" s="2">
        <v>0.9</v>
      </c>
      <c r="AP29" s="2">
        <v>1.2573205489988699</v>
      </c>
      <c r="AQ29" s="2">
        <v>0.97166790958537996</v>
      </c>
      <c r="AR29" s="2">
        <v>1.1401568833258899</v>
      </c>
      <c r="AS29" s="2">
        <v>0.63239815589885495</v>
      </c>
      <c r="AT29" s="2">
        <v>1.2605682298943199</v>
      </c>
      <c r="AU29" s="2">
        <v>1.00222116900945</v>
      </c>
      <c r="AV29" s="2">
        <v>0.68751864569785304</v>
      </c>
      <c r="AW29" s="2">
        <v>0.85777048165879899</v>
      </c>
      <c r="AX29" s="2">
        <v>1</v>
      </c>
      <c r="AY29" s="2">
        <v>1.0098640929793401</v>
      </c>
      <c r="AZ29" s="2">
        <v>1</v>
      </c>
      <c r="BA29" s="2">
        <v>1</v>
      </c>
      <c r="BB29" s="2">
        <v>0.92504157829306799</v>
      </c>
      <c r="BC29" s="2">
        <v>1.02068769374896</v>
      </c>
      <c r="BD29" s="2">
        <v>1.01699391760007</v>
      </c>
      <c r="BE29" s="2">
        <v>155571649153.5</v>
      </c>
      <c r="BF29" s="2">
        <v>5.9858860247959E-2</v>
      </c>
      <c r="BG29" s="2">
        <v>82511</v>
      </c>
    </row>
    <row r="30" spans="1:59" x14ac:dyDescent="0.25">
      <c r="A30">
        <v>29</v>
      </c>
      <c r="B30">
        <v>800</v>
      </c>
      <c r="C30">
        <v>-25</v>
      </c>
      <c r="D30">
        <v>0.54262099220534699</v>
      </c>
      <c r="E30">
        <v>0.47905663734924298</v>
      </c>
      <c r="F30">
        <v>6.3205954820374197</v>
      </c>
      <c r="G30">
        <v>5.5996056104552903</v>
      </c>
      <c r="H30">
        <v>1.1326865132436601</v>
      </c>
      <c r="I30">
        <v>-6.3564354856103802E-2</v>
      </c>
      <c r="J30">
        <v>4.1303503980663299E-2</v>
      </c>
      <c r="K30">
        <v>9.5475014602740497E-3</v>
      </c>
      <c r="L30">
        <v>3.9943885808454201E-3</v>
      </c>
      <c r="M30">
        <v>0.42054307383739797</v>
      </c>
      <c r="N30">
        <v>3.66816949006196E-3</v>
      </c>
      <c r="O30">
        <v>8.4457035365648707</v>
      </c>
      <c r="P30">
        <v>3.7222700442150298</v>
      </c>
      <c r="Q30">
        <v>87.832026419220099</v>
      </c>
      <c r="R30">
        <v>42.079600841157301</v>
      </c>
      <c r="S30">
        <v>39.236407058828497</v>
      </c>
      <c r="T30">
        <v>18.683696616867302</v>
      </c>
      <c r="U30">
        <v>2.9548314698141698E-4</v>
      </c>
      <c r="V30">
        <v>57.920399158842699</v>
      </c>
      <c r="W30">
        <v>0.40859364585803598</v>
      </c>
      <c r="X30">
        <v>-36.640376824809103</v>
      </c>
      <c r="Y30">
        <v>162.92728864396801</v>
      </c>
      <c r="Z30">
        <v>99.991268562198897</v>
      </c>
      <c r="AA30">
        <v>53.893069652592601</v>
      </c>
      <c r="AB30">
        <v>464.90100703813602</v>
      </c>
      <c r="AC30">
        <v>463.97087269567601</v>
      </c>
      <c r="AD30">
        <v>29.120949784432501</v>
      </c>
      <c r="AE30">
        <v>326.69954434119899</v>
      </c>
      <c r="AF30">
        <v>3.7182659079625702</v>
      </c>
      <c r="AG30">
        <v>760.63931475830202</v>
      </c>
      <c r="AH30">
        <v>10.865073893773101</v>
      </c>
      <c r="AI30">
        <v>56.955747285539204</v>
      </c>
      <c r="AJ30">
        <v>174.605037345277</v>
      </c>
      <c r="AK30">
        <v>25.920259094347799</v>
      </c>
      <c r="AL30">
        <v>-14.4157503908644</v>
      </c>
      <c r="AM30">
        <v>7.15620562559128</v>
      </c>
      <c r="AN30">
        <v>18.572892408451001</v>
      </c>
      <c r="AO30">
        <v>0.9</v>
      </c>
      <c r="AP30">
        <v>1.26083092168556</v>
      </c>
      <c r="AQ30">
        <v>0.93511210555653101</v>
      </c>
      <c r="AR30">
        <v>1.1186708428980101</v>
      </c>
      <c r="AS30">
        <v>0.66009534561980898</v>
      </c>
      <c r="AT30">
        <v>1.2869999999999999</v>
      </c>
      <c r="AU30">
        <v>1.0018572312555201</v>
      </c>
      <c r="AV30">
        <v>0.68634661754739101</v>
      </c>
      <c r="AW30">
        <v>0.85957612111703496</v>
      </c>
      <c r="AX30">
        <v>1</v>
      </c>
      <c r="AY30">
        <v>1.0179978495678399</v>
      </c>
      <c r="AZ30">
        <v>1</v>
      </c>
      <c r="BA30">
        <v>1</v>
      </c>
      <c r="BB30">
        <v>0.92470348109350498</v>
      </c>
      <c r="BC30">
        <v>1.01520226636582</v>
      </c>
      <c r="BD30">
        <v>1.02239734136197</v>
      </c>
      <c r="BE30">
        <v>327806885061</v>
      </c>
      <c r="BF30">
        <v>6.7505845017138494E-2</v>
      </c>
      <c r="BG30">
        <v>164804</v>
      </c>
    </row>
    <row r="31" spans="1:59" x14ac:dyDescent="0.25">
      <c r="A31">
        <v>30</v>
      </c>
      <c r="B31">
        <v>800</v>
      </c>
      <c r="C31">
        <v>0</v>
      </c>
      <c r="D31">
        <v>0.66552207342963898</v>
      </c>
      <c r="E31">
        <v>0.56932183309529005</v>
      </c>
      <c r="F31">
        <v>7.7003268446505801</v>
      </c>
      <c r="G31">
        <v>6.6219461340767101</v>
      </c>
      <c r="H31">
        <v>1.16897339034291</v>
      </c>
      <c r="I31">
        <v>-9.6200240334348694E-2</v>
      </c>
      <c r="J31">
        <v>4.00585728006548E-2</v>
      </c>
      <c r="K31">
        <v>1.09218995903757E-2</v>
      </c>
      <c r="L31">
        <v>2.9555568624654902E-2</v>
      </c>
      <c r="M31">
        <v>0.42581433509063299</v>
      </c>
      <c r="N31">
        <v>6.29714569889709E-2</v>
      </c>
      <c r="O31">
        <v>8.0791730396621197</v>
      </c>
      <c r="P31">
        <v>3.7906612822244798</v>
      </c>
      <c r="Q31">
        <v>88.1301656781134</v>
      </c>
      <c r="R31">
        <v>43.110961795584402</v>
      </c>
      <c r="S31">
        <v>36.082891207698502</v>
      </c>
      <c r="T31">
        <v>20.8061469967171</v>
      </c>
      <c r="U31">
        <v>0</v>
      </c>
      <c r="V31">
        <v>56.889038204415598</v>
      </c>
      <c r="W31">
        <v>0.47698346583915102</v>
      </c>
      <c r="X31">
        <v>-12.789363105525</v>
      </c>
      <c r="Y31">
        <v>342.03897027206898</v>
      </c>
      <c r="Z31">
        <v>99.986452268048396</v>
      </c>
      <c r="AA31">
        <v>54.688862838052103</v>
      </c>
      <c r="AB31">
        <v>465.36390128981901</v>
      </c>
      <c r="AC31">
        <v>464.45527251737002</v>
      </c>
      <c r="AD31">
        <v>27.9895228593901</v>
      </c>
      <c r="AE31">
        <v>327.97893970597499</v>
      </c>
      <c r="AF31">
        <v>3.8807293150145701</v>
      </c>
      <c r="AG31">
        <v>756.69103264512705</v>
      </c>
      <c r="AH31">
        <v>7.61396058141497</v>
      </c>
      <c r="AI31">
        <v>56.0164867358111</v>
      </c>
      <c r="AJ31">
        <v>174.803790566766</v>
      </c>
      <c r="AK31">
        <v>28.642976997419101</v>
      </c>
      <c r="AL31">
        <v>-7.2610778963467801</v>
      </c>
      <c r="AM31">
        <v>7.1850053963001299</v>
      </c>
      <c r="AN31">
        <v>18.122139221424899</v>
      </c>
      <c r="AO31">
        <v>0.9</v>
      </c>
      <c r="AP31">
        <v>1.2588758515209399</v>
      </c>
      <c r="AQ31">
        <v>0.92334432163573399</v>
      </c>
      <c r="AR31">
        <v>1.1182602196064</v>
      </c>
      <c r="AS31">
        <v>0.68423259300591599</v>
      </c>
      <c r="AT31">
        <v>1.2869999999999999</v>
      </c>
      <c r="AU31">
        <v>1.0016974092674</v>
      </c>
      <c r="AV31">
        <v>0.68541323687563505</v>
      </c>
      <c r="AW31">
        <v>0.86348811127747005</v>
      </c>
      <c r="AX31">
        <v>1</v>
      </c>
      <c r="AY31">
        <v>1.02975241597978</v>
      </c>
      <c r="AZ31">
        <v>1</v>
      </c>
      <c r="BA31">
        <v>1</v>
      </c>
      <c r="BB31">
        <v>0.92604425033425997</v>
      </c>
      <c r="BC31">
        <v>1.01454251147139</v>
      </c>
      <c r="BD31">
        <v>1.02795299592804</v>
      </c>
      <c r="BE31">
        <v>408557168460.90002</v>
      </c>
      <c r="BF31">
        <v>7.4086568490893304E-2</v>
      </c>
      <c r="BG31">
        <v>234894</v>
      </c>
    </row>
    <row r="37" spans="2:17" x14ac:dyDescent="0.25">
      <c r="C37" t="str">
        <f>C1</f>
        <v>x</v>
      </c>
      <c r="D37" t="s">
        <v>26</v>
      </c>
      <c r="E37" t="s">
        <v>55</v>
      </c>
      <c r="F37" t="str">
        <f>D1</f>
        <v>actual.smm</v>
      </c>
      <c r="G37" t="str">
        <f>E1</f>
        <v>model.smm</v>
      </c>
      <c r="H37" t="s">
        <v>6</v>
      </c>
      <c r="J37" t="s">
        <v>58</v>
      </c>
      <c r="K37" t="s">
        <v>59</v>
      </c>
      <c r="L37" t="s">
        <v>6</v>
      </c>
      <c r="N37" t="s">
        <v>62</v>
      </c>
      <c r="P37" t="s">
        <v>60</v>
      </c>
      <c r="Q37" t="s">
        <v>61</v>
      </c>
    </row>
    <row r="38" spans="2:17" x14ac:dyDescent="0.25">
      <c r="B38">
        <f>B3</f>
        <v>85</v>
      </c>
      <c r="C38">
        <f>C3</f>
        <v>-75</v>
      </c>
      <c r="D38" s="4">
        <f>AC3</f>
        <v>61.615678589605103</v>
      </c>
      <c r="E38" s="4">
        <f>BE3/1000000000</f>
        <v>3.9813045135</v>
      </c>
      <c r="F38" s="3">
        <f>D3</f>
        <v>0.73443541629931597</v>
      </c>
      <c r="G38" s="3">
        <f>E3</f>
        <v>0.791251816962522</v>
      </c>
      <c r="H38" s="3">
        <f>F38/G38</f>
        <v>0.92819428727340647</v>
      </c>
      <c r="J38">
        <v>0.93</v>
      </c>
      <c r="K38" s="3">
        <f>J3+K3+L3+M3*J38+N3</f>
        <v>0.74098799435000196</v>
      </c>
      <c r="L38" s="3">
        <f>F38/K38</f>
        <v>0.99115697136708136</v>
      </c>
      <c r="N38">
        <v>0.93</v>
      </c>
      <c r="O38">
        <v>0</v>
      </c>
      <c r="P38">
        <v>1.744</v>
      </c>
      <c r="Q38">
        <f>N38*P38</f>
        <v>1.62192</v>
      </c>
    </row>
    <row r="39" spans="2:17" x14ac:dyDescent="0.25">
      <c r="B39">
        <f>B4</f>
        <v>85</v>
      </c>
      <c r="C39">
        <f>C4</f>
        <v>-50</v>
      </c>
      <c r="D39" s="4">
        <f>AC4</f>
        <v>62.602443168790799</v>
      </c>
      <c r="E39" s="4">
        <f t="shared" ref="E39" si="0">BE4/1000000000</f>
        <v>12.1401107289</v>
      </c>
      <c r="F39" s="3">
        <f t="shared" ref="F39" si="1">D4</f>
        <v>0.77577593057986705</v>
      </c>
      <c r="G39" s="3">
        <f t="shared" ref="G39" si="2">E4</f>
        <v>0.83839367704206502</v>
      </c>
      <c r="H39" s="3">
        <f t="shared" ref="H39:H49" si="3">F39/G39</f>
        <v>0.92531223913434135</v>
      </c>
      <c r="J39">
        <f>J38</f>
        <v>0.93</v>
      </c>
      <c r="K39" s="3">
        <f t="shared" ref="K39" si="4">J4+K4+L4+M4*J39+N4</f>
        <v>0.78467665148721366</v>
      </c>
      <c r="L39" s="3">
        <f t="shared" ref="L39:L49" si="5">F39/K39</f>
        <v>0.98865682967566715</v>
      </c>
      <c r="N39">
        <f>J39</f>
        <v>0.93</v>
      </c>
      <c r="O39">
        <v>60</v>
      </c>
      <c r="P39">
        <v>1.1993898620000001</v>
      </c>
      <c r="Q39">
        <f>N39*P39</f>
        <v>1.1154325716600002</v>
      </c>
    </row>
    <row r="40" spans="2:17" x14ac:dyDescent="0.25">
      <c r="B40">
        <f t="shared" ref="B40:C40" si="6">B8</f>
        <v>110</v>
      </c>
      <c r="C40">
        <f t="shared" si="6"/>
        <v>-75</v>
      </c>
      <c r="D40" s="4">
        <f>AC8</f>
        <v>88.7801979820387</v>
      </c>
      <c r="E40" s="4">
        <f>BE8/1000000000</f>
        <v>7.115803734</v>
      </c>
      <c r="F40" s="3">
        <f>D8</f>
        <v>0.75521389194504596</v>
      </c>
      <c r="G40" s="3">
        <f>E8</f>
        <v>0.75396036067674399</v>
      </c>
      <c r="H40" s="3">
        <f t="shared" si="3"/>
        <v>1.0016625957194578</v>
      </c>
      <c r="J40">
        <v>0.95</v>
      </c>
      <c r="K40" s="3">
        <f>J8+K8+L8+M8*J40+N8</f>
        <v>0.71961699614931818</v>
      </c>
      <c r="L40" s="3">
        <f t="shared" si="5"/>
        <v>1.0494664467156936</v>
      </c>
      <c r="N40">
        <v>0.94</v>
      </c>
      <c r="O40">
        <v>120</v>
      </c>
      <c r="P40">
        <v>1.1797800000000001</v>
      </c>
      <c r="Q40">
        <f t="shared" ref="Q40:Q45" si="7">N40*P40</f>
        <v>1.1089932</v>
      </c>
    </row>
    <row r="41" spans="2:17" x14ac:dyDescent="0.25">
      <c r="B41">
        <f t="shared" ref="B41:C41" si="8">B9</f>
        <v>110</v>
      </c>
      <c r="C41">
        <f t="shared" si="8"/>
        <v>-50</v>
      </c>
      <c r="D41" s="4">
        <f>AC9</f>
        <v>90.012257307048898</v>
      </c>
      <c r="E41" s="4">
        <f>BE9/1000000000</f>
        <v>22.713147039500001</v>
      </c>
      <c r="F41" s="3">
        <f>D9</f>
        <v>0.72704013055508798</v>
      </c>
      <c r="G41" s="3">
        <f>E9</f>
        <v>0.79750799297989206</v>
      </c>
      <c r="H41" s="3">
        <f t="shared" si="3"/>
        <v>0.91163992957424711</v>
      </c>
      <c r="J41">
        <v>0.95</v>
      </c>
      <c r="K41" s="3">
        <f>J9+K9+L9+M9*J41+N9</f>
        <v>0.76088408747640424</v>
      </c>
      <c r="L41" s="3">
        <f t="shared" si="5"/>
        <v>0.95552021986218005</v>
      </c>
      <c r="N41">
        <v>1</v>
      </c>
      <c r="O41">
        <v>160</v>
      </c>
      <c r="P41">
        <v>1.04304</v>
      </c>
      <c r="Q41">
        <f t="shared" si="7"/>
        <v>1.04304</v>
      </c>
    </row>
    <row r="42" spans="2:17" x14ac:dyDescent="0.25">
      <c r="B42">
        <f t="shared" ref="B42:C42" si="9">B13</f>
        <v>150</v>
      </c>
      <c r="C42">
        <f t="shared" si="9"/>
        <v>-75</v>
      </c>
      <c r="D42" s="4">
        <f>AC13</f>
        <v>118.46909673149899</v>
      </c>
      <c r="E42" s="4">
        <f>BE13/1000000000</f>
        <v>17.576966390500001</v>
      </c>
      <c r="F42" s="3">
        <f>D13</f>
        <v>0.71999598555065203</v>
      </c>
      <c r="G42" s="3">
        <f>E13</f>
        <v>0.72996983792847403</v>
      </c>
      <c r="H42" s="3">
        <f t="shared" si="3"/>
        <v>0.98633662398144284</v>
      </c>
      <c r="J42">
        <v>0.94</v>
      </c>
      <c r="K42" s="3">
        <f>J13+K13+L13+M13*J42+N13</f>
        <v>0.68993370585921809</v>
      </c>
      <c r="L42" s="3">
        <f t="shared" si="5"/>
        <v>1.0435727076907997</v>
      </c>
      <c r="N42">
        <v>1</v>
      </c>
      <c r="O42">
        <v>200</v>
      </c>
      <c r="P42">
        <v>0.96621000000000001</v>
      </c>
      <c r="Q42">
        <f t="shared" si="7"/>
        <v>0.96621000000000001</v>
      </c>
    </row>
    <row r="43" spans="2:17" x14ac:dyDescent="0.25">
      <c r="B43">
        <f t="shared" ref="B43:C43" si="10">B14</f>
        <v>150</v>
      </c>
      <c r="C43">
        <f t="shared" si="10"/>
        <v>-50</v>
      </c>
      <c r="D43" s="4">
        <f>AC14</f>
        <v>120.159637060525</v>
      </c>
      <c r="E43" s="4">
        <f>BE14/1000000000</f>
        <v>57.889924177899999</v>
      </c>
      <c r="F43" s="3">
        <f>D14</f>
        <v>0.69948104295162705</v>
      </c>
      <c r="G43" s="3">
        <f>E14</f>
        <v>0.76836885810301303</v>
      </c>
      <c r="H43" s="3">
        <f t="shared" si="3"/>
        <v>0.91034538369831952</v>
      </c>
      <c r="J43">
        <v>0.94</v>
      </c>
      <c r="K43" s="3">
        <f>J14+K14+L14+M14*J43+N14</f>
        <v>0.7258924611101002</v>
      </c>
      <c r="L43" s="3">
        <f t="shared" si="5"/>
        <v>0.96361524664675202</v>
      </c>
      <c r="N43">
        <v>1</v>
      </c>
      <c r="O43">
        <v>450</v>
      </c>
      <c r="P43">
        <v>0.695794464</v>
      </c>
      <c r="Q43">
        <f t="shared" si="7"/>
        <v>0.695794464</v>
      </c>
    </row>
    <row r="44" spans="2:17" x14ac:dyDescent="0.25">
      <c r="B44">
        <f t="shared" ref="B44:C44" si="11">B18</f>
        <v>175</v>
      </c>
      <c r="C44">
        <f t="shared" si="11"/>
        <v>-75</v>
      </c>
      <c r="D44" s="4">
        <f>AC18</f>
        <v>147.41887353080099</v>
      </c>
      <c r="E44" s="4">
        <f>BE18/1000000000</f>
        <v>13.7479987175</v>
      </c>
      <c r="F44" s="3">
        <f>D18</f>
        <v>0.636269932016988</v>
      </c>
      <c r="G44" s="3">
        <f>E18</f>
        <v>0.677453580844249</v>
      </c>
      <c r="H44" s="3">
        <f t="shared" si="3"/>
        <v>0.93920816127957052</v>
      </c>
      <c r="J44">
        <v>1</v>
      </c>
      <c r="K44" s="3">
        <f>J18+K18+L18+M18*J44+N18</f>
        <v>0.677453580844249</v>
      </c>
      <c r="L44" s="3">
        <f t="shared" si="5"/>
        <v>0.93920816127957052</v>
      </c>
      <c r="N44">
        <v>1</v>
      </c>
      <c r="O44">
        <v>600</v>
      </c>
      <c r="P44">
        <v>0.44395840800000003</v>
      </c>
      <c r="Q44">
        <f t="shared" si="7"/>
        <v>0.44395840800000003</v>
      </c>
    </row>
    <row r="45" spans="2:17" x14ac:dyDescent="0.25">
      <c r="B45">
        <f t="shared" ref="B45:C45" si="12">B19</f>
        <v>175</v>
      </c>
      <c r="C45">
        <f t="shared" si="12"/>
        <v>-50</v>
      </c>
      <c r="D45" s="4">
        <f>AC19</f>
        <v>149.56211434008401</v>
      </c>
      <c r="E45" s="4">
        <f>BE19/1000000000</f>
        <v>47.1600149661</v>
      </c>
      <c r="F45" s="3">
        <f>D19</f>
        <v>0.69987708956649797</v>
      </c>
      <c r="G45" s="3">
        <f>E19</f>
        <v>0.70404131319354402</v>
      </c>
      <c r="H45" s="3">
        <f t="shared" si="3"/>
        <v>0.99408525671859072</v>
      </c>
      <c r="J45">
        <v>1</v>
      </c>
      <c r="K45" s="3">
        <f>J19+K19+L19+M19*J45+N19</f>
        <v>0.70404131319354424</v>
      </c>
      <c r="L45" s="3">
        <f t="shared" si="5"/>
        <v>0.99408525671859049</v>
      </c>
      <c r="N45">
        <v>1</v>
      </c>
      <c r="O45">
        <v>800</v>
      </c>
      <c r="P45">
        <v>0.44395840800000003</v>
      </c>
      <c r="Q45">
        <f t="shared" si="7"/>
        <v>0.44395840800000003</v>
      </c>
    </row>
    <row r="46" spans="2:17" x14ac:dyDescent="0.25">
      <c r="B46">
        <f t="shared" ref="B46:C46" si="13">B23</f>
        <v>417</v>
      </c>
      <c r="C46">
        <f t="shared" si="13"/>
        <v>-75</v>
      </c>
      <c r="D46" s="4">
        <f>AC23</f>
        <v>277.740617757498</v>
      </c>
      <c r="E46" s="4">
        <f>BE23/1000000000</f>
        <v>181.4057438479</v>
      </c>
      <c r="F46" s="3">
        <f>D23</f>
        <v>0.55500653409518197</v>
      </c>
      <c r="G46" s="3">
        <f>E23</f>
        <v>0.54290271879032603</v>
      </c>
      <c r="H46" s="3">
        <f t="shared" si="3"/>
        <v>1.0222946301168379</v>
      </c>
      <c r="J46">
        <v>1</v>
      </c>
      <c r="K46" s="3">
        <f>J23+K23+L23+M23*J46+N23</f>
        <v>0.54290271879032559</v>
      </c>
      <c r="L46" s="3">
        <f t="shared" si="5"/>
        <v>1.0222946301168387</v>
      </c>
    </row>
    <row r="47" spans="2:17" x14ac:dyDescent="0.25">
      <c r="B47">
        <f t="shared" ref="B47:C47" si="14">B24</f>
        <v>417</v>
      </c>
      <c r="C47">
        <f t="shared" si="14"/>
        <v>-50</v>
      </c>
      <c r="D47" s="4">
        <f>AC24</f>
        <v>279.87867253921598</v>
      </c>
      <c r="E47" s="4">
        <f>BE24/1000000000</f>
        <v>621.03140379280001</v>
      </c>
      <c r="F47" s="3">
        <f>D24</f>
        <v>0.57408287729503005</v>
      </c>
      <c r="G47" s="3">
        <f>E24</f>
        <v>0.558073772214284</v>
      </c>
      <c r="H47" s="3">
        <f t="shared" si="3"/>
        <v>1.0286863599004596</v>
      </c>
      <c r="J47">
        <v>1</v>
      </c>
      <c r="K47" s="3">
        <f>J24+K24+L24+M24*J47+N24</f>
        <v>0.55807377221428411</v>
      </c>
      <c r="L47" s="3">
        <f t="shared" si="5"/>
        <v>1.0286863599004594</v>
      </c>
    </row>
    <row r="48" spans="2:17" x14ac:dyDescent="0.25">
      <c r="B48">
        <f>B28</f>
        <v>800</v>
      </c>
      <c r="C48">
        <f>C28</f>
        <v>-75</v>
      </c>
      <c r="D48" s="4">
        <f>AC28</f>
        <v>463.98457956047201</v>
      </c>
      <c r="E48" s="4">
        <f>BE28/1000000000</f>
        <v>46.661526960099998</v>
      </c>
      <c r="F48" s="3">
        <f>D28</f>
        <v>0.47519275221549201</v>
      </c>
      <c r="G48" s="3">
        <f>E28</f>
        <v>0.462132161397803</v>
      </c>
      <c r="H48" s="3">
        <f t="shared" si="3"/>
        <v>1.028261592480785</v>
      </c>
      <c r="J48">
        <v>1</v>
      </c>
      <c r="K48" s="3">
        <f>J28+K28+L28+M28*J48+N28</f>
        <v>0.4621321613978025</v>
      </c>
      <c r="L48" s="3">
        <f t="shared" si="5"/>
        <v>1.0282615924807861</v>
      </c>
    </row>
    <row r="49" spans="2:12" x14ac:dyDescent="0.25">
      <c r="B49">
        <f>B29</f>
        <v>800</v>
      </c>
      <c r="C49">
        <f>C29</f>
        <v>-50</v>
      </c>
      <c r="D49" s="4">
        <f>AC29</f>
        <v>463.56200886485499</v>
      </c>
      <c r="E49" s="4">
        <f>BE29/1000000000</f>
        <v>155.5716491535</v>
      </c>
      <c r="F49" s="3">
        <f>D29</f>
        <v>0.45693035641762503</v>
      </c>
      <c r="G49" s="3">
        <f>E29</f>
        <v>0.475750730974697</v>
      </c>
      <c r="H49" s="3">
        <f t="shared" si="3"/>
        <v>0.96044068178620845</v>
      </c>
      <c r="J49">
        <v>1</v>
      </c>
      <c r="K49" s="3">
        <f>J29+K29+L29+M29*J49+N29</f>
        <v>0.47575073097469706</v>
      </c>
      <c r="L49" s="3">
        <f t="shared" si="5"/>
        <v>0.96044068178620834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grp_by_waols_plot_by_incentive_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2018-07-05T15:21:16Z</dcterms:created>
  <dcterms:modified xsi:type="dcterms:W3CDTF">2018-07-05T16:45:00Z</dcterms:modified>
</cp:coreProperties>
</file>