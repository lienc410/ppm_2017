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665" yWindow="645" windowWidth="17700" windowHeight="11460" tabRatio="805" firstSheet="1" activeTab="1"/>
  </bookViews>
  <sheets>
    <sheet name="Old" sheetId="1" r:id="rId1"/>
    <sheet name="New Model" sheetId="2" r:id="rId2"/>
  </sheets>
  <calcPr calcId="145621"/>
</workbook>
</file>

<file path=xl/calcChain.xml><?xml version="1.0" encoding="utf-8"?>
<calcChain xmlns="http://schemas.openxmlformats.org/spreadsheetml/2006/main">
  <c r="U55" i="2" l="1"/>
  <c r="R55" i="2"/>
  <c r="U54" i="2" l="1"/>
  <c r="U53" i="2"/>
  <c r="U3" i="2"/>
  <c r="R53" i="2"/>
  <c r="R54" i="2"/>
  <c r="U52" i="2"/>
  <c r="R52" i="2"/>
  <c r="U51" i="2"/>
  <c r="R51" i="2"/>
  <c r="U50" i="2"/>
  <c r="R50" i="2"/>
  <c r="U48" i="2"/>
  <c r="U49" i="2"/>
  <c r="R48" i="2"/>
  <c r="R49" i="2"/>
  <c r="U47" i="2"/>
  <c r="R47" i="2"/>
  <c r="U46" i="2"/>
  <c r="U45" i="2"/>
  <c r="U44" i="2"/>
  <c r="U43" i="2"/>
  <c r="U42" i="2"/>
  <c r="R42" i="2"/>
  <c r="R43" i="2"/>
  <c r="R44" i="2"/>
  <c r="R45" i="2"/>
  <c r="R46" i="2"/>
  <c r="U41" i="2"/>
  <c r="R41" i="2"/>
  <c r="R40" i="2"/>
  <c r="U40" i="2"/>
  <c r="U39" i="2"/>
  <c r="R39" i="2"/>
  <c r="U38" i="2"/>
  <c r="R38" i="2"/>
  <c r="U37" i="2"/>
  <c r="U36" i="2"/>
  <c r="R36" i="2"/>
  <c r="R37" i="2"/>
  <c r="U35" i="2"/>
  <c r="U34" i="2"/>
  <c r="W31" i="2"/>
  <c r="R34" i="2"/>
  <c r="R35" i="2"/>
  <c r="U33" i="2"/>
  <c r="R33" i="2"/>
  <c r="U32" i="2"/>
  <c r="R32" i="2"/>
  <c r="U31" i="2"/>
  <c r="R31" i="2"/>
  <c r="U30" i="2"/>
  <c r="R30" i="2"/>
  <c r="O23" i="2"/>
  <c r="O21" i="2"/>
  <c r="P19" i="2"/>
  <c r="Q19" i="2"/>
  <c r="O19" i="2"/>
  <c r="P18" i="2"/>
  <c r="Q18" i="2"/>
  <c r="Q17" i="2"/>
  <c r="P17" i="2"/>
  <c r="P16" i="2"/>
  <c r="Q16" i="2"/>
  <c r="O16" i="2"/>
  <c r="X13" i="2"/>
  <c r="X10" i="2"/>
  <c r="X12" i="2"/>
  <c r="P15" i="2"/>
  <c r="Q15" i="2"/>
  <c r="O15" i="2"/>
  <c r="P14" i="2"/>
  <c r="Q14" i="2"/>
  <c r="O14" i="2"/>
  <c r="K1" i="2"/>
  <c r="R2" i="2"/>
  <c r="X11" i="2"/>
  <c r="AD3" i="2"/>
  <c r="AD4" i="2"/>
  <c r="AD5" i="2"/>
  <c r="AD6" i="2"/>
  <c r="AD7" i="2"/>
  <c r="AD8" i="2"/>
  <c r="AD9" i="2"/>
  <c r="AD10" i="2"/>
  <c r="AD2" i="2"/>
  <c r="Z10" i="2"/>
  <c r="AA10" i="2"/>
  <c r="W18" i="2"/>
  <c r="X3" i="2"/>
  <c r="X4" i="2"/>
  <c r="X5" i="2"/>
  <c r="X6" i="2"/>
  <c r="X7" i="2"/>
  <c r="X8" i="2"/>
  <c r="X9" i="2"/>
  <c r="X2" i="2"/>
  <c r="Y2" i="2"/>
  <c r="AA21" i="1"/>
  <c r="AA22" i="1"/>
  <c r="AF22" i="1"/>
  <c r="AA23" i="1"/>
  <c r="AF23" i="1"/>
  <c r="AA24" i="1"/>
  <c r="AE24" i="1"/>
  <c r="AA25" i="1"/>
  <c r="AA26" i="1"/>
  <c r="AF26" i="1"/>
  <c r="AA20" i="1"/>
  <c r="AE20" i="1"/>
  <c r="D2" i="2"/>
  <c r="E2" i="2"/>
  <c r="F2" i="2"/>
  <c r="D3" i="2"/>
  <c r="E3" i="2"/>
  <c r="F3" i="2"/>
  <c r="D4" i="2"/>
  <c r="E4" i="2"/>
  <c r="F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D14" i="2"/>
  <c r="E14" i="2"/>
  <c r="F14" i="2"/>
  <c r="D15" i="2"/>
  <c r="E15" i="2"/>
  <c r="F15" i="2"/>
  <c r="D16" i="2"/>
  <c r="E16" i="2"/>
  <c r="D17" i="2"/>
  <c r="E17" i="2"/>
  <c r="D18" i="2"/>
  <c r="E18" i="2"/>
  <c r="D19" i="2"/>
  <c r="E19" i="2"/>
  <c r="F19" i="2"/>
  <c r="D20" i="2"/>
  <c r="E20" i="2"/>
  <c r="K20" i="2"/>
  <c r="D21" i="2"/>
  <c r="E21" i="2"/>
  <c r="F21" i="2"/>
  <c r="D22" i="2"/>
  <c r="E22" i="2"/>
  <c r="K22" i="2"/>
  <c r="D23" i="2"/>
  <c r="E23" i="2"/>
  <c r="K23" i="2"/>
  <c r="D24" i="2"/>
  <c r="E24" i="2"/>
  <c r="K24" i="2"/>
  <c r="D25" i="2"/>
  <c r="E25" i="2"/>
  <c r="D26" i="2"/>
  <c r="E26" i="2"/>
  <c r="F26" i="2"/>
  <c r="D27" i="2"/>
  <c r="E27" i="2"/>
  <c r="K27" i="2"/>
  <c r="D28" i="2"/>
  <c r="E28" i="2"/>
  <c r="K28" i="2"/>
  <c r="D29" i="2"/>
  <c r="E29" i="2"/>
  <c r="F29" i="2"/>
  <c r="D30" i="2"/>
  <c r="E30" i="2"/>
  <c r="F30" i="2"/>
  <c r="D31" i="2"/>
  <c r="E31" i="2"/>
  <c r="K31" i="2"/>
  <c r="D32" i="2"/>
  <c r="E32" i="2"/>
  <c r="D33" i="2"/>
  <c r="E33" i="2"/>
  <c r="F33" i="2"/>
  <c r="D34" i="2"/>
  <c r="E34" i="2"/>
  <c r="F34" i="2"/>
  <c r="G34" i="2"/>
  <c r="H34" i="2"/>
  <c r="D35" i="2"/>
  <c r="E35" i="2"/>
  <c r="F35" i="2"/>
  <c r="D36" i="2"/>
  <c r="E36" i="2"/>
  <c r="F36" i="2"/>
  <c r="D37" i="2"/>
  <c r="E37" i="2"/>
  <c r="D38" i="2"/>
  <c r="E38" i="2"/>
  <c r="F38" i="2"/>
  <c r="G38" i="2"/>
  <c r="H38" i="2"/>
  <c r="D39" i="2"/>
  <c r="E39" i="2"/>
  <c r="K39" i="2"/>
  <c r="D40" i="2"/>
  <c r="E40" i="2"/>
  <c r="K40" i="2"/>
  <c r="D41" i="2"/>
  <c r="E41" i="2"/>
  <c r="D42" i="2"/>
  <c r="E42" i="2"/>
  <c r="F42" i="2"/>
  <c r="D43" i="2"/>
  <c r="E43" i="2"/>
  <c r="D44" i="2"/>
  <c r="E44" i="2"/>
  <c r="K44" i="2"/>
  <c r="D45" i="2"/>
  <c r="E45" i="2"/>
  <c r="D46" i="2"/>
  <c r="E46" i="2"/>
  <c r="F46" i="2"/>
  <c r="D47" i="2"/>
  <c r="E47" i="2"/>
  <c r="F47" i="2"/>
  <c r="D48" i="2"/>
  <c r="E48" i="2"/>
  <c r="F48" i="2"/>
  <c r="D49" i="2"/>
  <c r="E49" i="2"/>
  <c r="K49" i="2"/>
  <c r="D50" i="2"/>
  <c r="E50" i="2"/>
  <c r="K50" i="2"/>
  <c r="D51" i="2"/>
  <c r="E51" i="2"/>
  <c r="F51" i="2"/>
  <c r="D52" i="2"/>
  <c r="E52" i="2"/>
  <c r="F52" i="2"/>
  <c r="D53" i="2"/>
  <c r="E53" i="2"/>
  <c r="K53" i="2"/>
  <c r="D54" i="2"/>
  <c r="E54" i="2"/>
  <c r="F54" i="2"/>
  <c r="D55" i="2"/>
  <c r="E55" i="2"/>
  <c r="F55" i="2"/>
  <c r="D56" i="2"/>
  <c r="E56" i="2"/>
  <c r="F56" i="2"/>
  <c r="D57" i="2"/>
  <c r="E57" i="2"/>
  <c r="D58" i="2"/>
  <c r="E58" i="2"/>
  <c r="K58" i="2"/>
  <c r="D59" i="2"/>
  <c r="E59" i="2"/>
  <c r="F59" i="2"/>
  <c r="D60" i="2"/>
  <c r="E60" i="2"/>
  <c r="F60" i="2"/>
  <c r="D61" i="2"/>
  <c r="E61" i="2"/>
  <c r="K61" i="2"/>
  <c r="D62" i="2"/>
  <c r="E62" i="2"/>
  <c r="F62" i="2"/>
  <c r="D63" i="2"/>
  <c r="E63" i="2"/>
  <c r="K63" i="2"/>
  <c r="D64" i="2"/>
  <c r="E64" i="2"/>
  <c r="D65" i="2"/>
  <c r="E65" i="2"/>
  <c r="F65" i="2"/>
  <c r="D66" i="2"/>
  <c r="E66" i="2"/>
  <c r="F66" i="2"/>
  <c r="D67" i="2"/>
  <c r="E67" i="2"/>
  <c r="D68" i="2"/>
  <c r="E68" i="2"/>
  <c r="K68" i="2"/>
  <c r="D69" i="2"/>
  <c r="E69" i="2"/>
  <c r="K69" i="2"/>
  <c r="D70" i="2"/>
  <c r="E70" i="2"/>
  <c r="F70" i="2"/>
  <c r="D71" i="2"/>
  <c r="E71" i="2"/>
  <c r="F71" i="2"/>
  <c r="D72" i="2"/>
  <c r="E72" i="2"/>
  <c r="D73" i="2"/>
  <c r="E73" i="2"/>
  <c r="F73" i="2"/>
  <c r="D74" i="2"/>
  <c r="E74" i="2"/>
  <c r="F74" i="2"/>
  <c r="D75" i="2"/>
  <c r="E75" i="2"/>
  <c r="D76" i="2"/>
  <c r="E76" i="2"/>
  <c r="K76" i="2"/>
  <c r="D77" i="2"/>
  <c r="E77" i="2"/>
  <c r="F77" i="2"/>
  <c r="D78" i="2"/>
  <c r="E78" i="2"/>
  <c r="F78" i="2"/>
  <c r="G78" i="2"/>
  <c r="H78" i="2"/>
  <c r="D79" i="2"/>
  <c r="E79" i="2"/>
  <c r="F79" i="2"/>
  <c r="D80" i="2"/>
  <c r="E80" i="2"/>
  <c r="K80" i="2"/>
  <c r="D81" i="2"/>
  <c r="E81" i="2"/>
  <c r="D82" i="2"/>
  <c r="E82" i="2"/>
  <c r="F82" i="2"/>
  <c r="D83" i="2"/>
  <c r="E83" i="2"/>
  <c r="F83" i="2"/>
  <c r="D84" i="2"/>
  <c r="E84" i="2"/>
  <c r="F84" i="2"/>
  <c r="D85" i="2"/>
  <c r="E85" i="2"/>
  <c r="K85" i="2"/>
  <c r="D86" i="2"/>
  <c r="E86" i="2"/>
  <c r="K86" i="2"/>
  <c r="D87" i="2"/>
  <c r="E87" i="2"/>
  <c r="F87" i="2"/>
  <c r="D88" i="2"/>
  <c r="E88" i="2"/>
  <c r="K88" i="2"/>
  <c r="D89" i="2"/>
  <c r="E89" i="2"/>
  <c r="K89" i="2"/>
  <c r="D90" i="2"/>
  <c r="E90" i="2"/>
  <c r="K90" i="2"/>
  <c r="D91" i="2"/>
  <c r="E91" i="2"/>
  <c r="F91" i="2"/>
  <c r="D92" i="2"/>
  <c r="E92" i="2"/>
  <c r="F92" i="2"/>
  <c r="D93" i="2"/>
  <c r="E93" i="2"/>
  <c r="F93" i="2"/>
  <c r="D94" i="2"/>
  <c r="E94" i="2"/>
  <c r="D95" i="2"/>
  <c r="E95" i="2"/>
  <c r="F95" i="2"/>
  <c r="D96" i="2"/>
  <c r="E96" i="2"/>
  <c r="K96" i="2"/>
  <c r="D97" i="2"/>
  <c r="E97" i="2"/>
  <c r="K97" i="2"/>
  <c r="D98" i="2"/>
  <c r="E98" i="2"/>
  <c r="F98" i="2"/>
  <c r="D99" i="2"/>
  <c r="E99" i="2"/>
  <c r="K99" i="2"/>
  <c r="D100" i="2"/>
  <c r="E100" i="2"/>
  <c r="D101" i="2"/>
  <c r="E101" i="2"/>
  <c r="K101" i="2"/>
  <c r="D102" i="2"/>
  <c r="E102" i="2"/>
  <c r="F102" i="2"/>
  <c r="D103" i="2"/>
  <c r="E103" i="2"/>
  <c r="D104" i="2"/>
  <c r="E104" i="2"/>
  <c r="F104" i="2"/>
  <c r="D105" i="2"/>
  <c r="E105" i="2"/>
  <c r="D106" i="2"/>
  <c r="E106" i="2"/>
  <c r="D107" i="2"/>
  <c r="E107" i="2"/>
  <c r="D108" i="2"/>
  <c r="E108" i="2"/>
  <c r="K108" i="2"/>
  <c r="D109" i="2"/>
  <c r="E109" i="2"/>
  <c r="D110" i="2"/>
  <c r="E110" i="2"/>
  <c r="F110" i="2"/>
  <c r="D111" i="2"/>
  <c r="E111" i="2"/>
  <c r="D112" i="2"/>
  <c r="E112" i="2"/>
  <c r="F112" i="2"/>
  <c r="D113" i="2"/>
  <c r="E113" i="2"/>
  <c r="K113" i="2"/>
  <c r="D114" i="2"/>
  <c r="E114" i="2"/>
  <c r="F114" i="2"/>
  <c r="D115" i="2"/>
  <c r="E115" i="2"/>
  <c r="F115" i="2"/>
  <c r="D116" i="2"/>
  <c r="E116" i="2"/>
  <c r="K116" i="2"/>
  <c r="D117" i="2"/>
  <c r="E117" i="2"/>
  <c r="D118" i="2"/>
  <c r="E118" i="2"/>
  <c r="F118" i="2"/>
  <c r="G118" i="2"/>
  <c r="H118" i="2"/>
  <c r="D119" i="2"/>
  <c r="E119" i="2"/>
  <c r="F119" i="2"/>
  <c r="D120" i="2"/>
  <c r="E120" i="2"/>
  <c r="F120" i="2"/>
  <c r="G120" i="2"/>
  <c r="H120" i="2"/>
  <c r="D121" i="2"/>
  <c r="E121" i="2"/>
  <c r="F121" i="2"/>
  <c r="D122" i="2"/>
  <c r="E122" i="2"/>
  <c r="K122" i="2"/>
  <c r="D123" i="2"/>
  <c r="E123" i="2"/>
  <c r="F123" i="2"/>
  <c r="D124" i="2"/>
  <c r="E124" i="2"/>
  <c r="K124" i="2"/>
  <c r="D125" i="2"/>
  <c r="E125" i="2"/>
  <c r="D126" i="2"/>
  <c r="E126" i="2"/>
  <c r="F126" i="2"/>
  <c r="G126" i="2"/>
  <c r="H126" i="2"/>
  <c r="D127" i="2"/>
  <c r="E127" i="2"/>
  <c r="D128" i="2"/>
  <c r="E128" i="2"/>
  <c r="F128" i="2"/>
  <c r="D129" i="2"/>
  <c r="E129" i="2"/>
  <c r="D130" i="2"/>
  <c r="E130" i="2"/>
  <c r="F130" i="2"/>
  <c r="D131" i="2"/>
  <c r="E131" i="2"/>
  <c r="K131" i="2"/>
  <c r="D132" i="2"/>
  <c r="E132" i="2"/>
  <c r="K132" i="2"/>
  <c r="D133" i="2"/>
  <c r="E133" i="2"/>
  <c r="D134" i="2"/>
  <c r="E134" i="2"/>
  <c r="K134" i="2"/>
  <c r="D135" i="2"/>
  <c r="E135" i="2"/>
  <c r="K135" i="2"/>
  <c r="D136" i="2"/>
  <c r="E136" i="2"/>
  <c r="K136" i="2"/>
  <c r="D137" i="2"/>
  <c r="E137" i="2"/>
  <c r="D138" i="2"/>
  <c r="E138" i="2"/>
  <c r="K138" i="2"/>
  <c r="D139" i="2"/>
  <c r="E139" i="2"/>
  <c r="D140" i="2"/>
  <c r="E140" i="2"/>
  <c r="K140" i="2"/>
  <c r="D141" i="2"/>
  <c r="E141" i="2"/>
  <c r="F141" i="2"/>
  <c r="D142" i="2"/>
  <c r="E142" i="2"/>
  <c r="K142" i="2"/>
  <c r="D143" i="2"/>
  <c r="E143" i="2"/>
  <c r="D144" i="2"/>
  <c r="E144" i="2"/>
  <c r="K144" i="2"/>
  <c r="D145" i="2"/>
  <c r="E145" i="2"/>
  <c r="D146" i="2"/>
  <c r="E146" i="2"/>
  <c r="D147" i="2"/>
  <c r="E147" i="2"/>
  <c r="D148" i="2"/>
  <c r="E148" i="2"/>
  <c r="D149" i="2"/>
  <c r="E149" i="2"/>
  <c r="F149" i="2"/>
  <c r="K149" i="2"/>
  <c r="D150" i="2"/>
  <c r="E150" i="2"/>
  <c r="K150" i="2"/>
  <c r="D151" i="2"/>
  <c r="E151" i="2"/>
  <c r="F151" i="2"/>
  <c r="D152" i="2"/>
  <c r="E152" i="2"/>
  <c r="D153" i="2"/>
  <c r="E153" i="2"/>
  <c r="D154" i="2"/>
  <c r="E154" i="2"/>
  <c r="K154" i="2"/>
  <c r="D155" i="2"/>
  <c r="E155" i="2"/>
  <c r="K155" i="2"/>
  <c r="D156" i="2"/>
  <c r="E156" i="2"/>
  <c r="K156" i="2"/>
  <c r="D157" i="2"/>
  <c r="E157" i="2"/>
  <c r="D158" i="2"/>
  <c r="E158" i="2"/>
  <c r="D159" i="2"/>
  <c r="E159" i="2"/>
  <c r="F159" i="2"/>
  <c r="D160" i="2"/>
  <c r="E160" i="2"/>
  <c r="K160" i="2"/>
  <c r="D161" i="2"/>
  <c r="E161" i="2"/>
  <c r="F161" i="2"/>
  <c r="D162" i="2"/>
  <c r="E162" i="2"/>
  <c r="F162" i="2"/>
  <c r="D163" i="2"/>
  <c r="E163" i="2"/>
  <c r="D164" i="2"/>
  <c r="E164" i="2"/>
  <c r="F164" i="2"/>
  <c r="D165" i="2"/>
  <c r="E165" i="2"/>
  <c r="F165" i="2"/>
  <c r="D166" i="2"/>
  <c r="E166" i="2"/>
  <c r="D167" i="2"/>
  <c r="E167" i="2"/>
  <c r="K167" i="2"/>
  <c r="D168" i="2"/>
  <c r="E168" i="2"/>
  <c r="F168" i="2"/>
  <c r="D169" i="2"/>
  <c r="E169" i="2"/>
  <c r="F169" i="2"/>
  <c r="D170" i="2"/>
  <c r="E170" i="2"/>
  <c r="K170" i="2"/>
  <c r="D171" i="2"/>
  <c r="E171" i="2"/>
  <c r="D172" i="2"/>
  <c r="E172" i="2"/>
  <c r="F172" i="2"/>
  <c r="D173" i="2"/>
  <c r="E173" i="2"/>
  <c r="D174" i="2"/>
  <c r="E174" i="2"/>
  <c r="K174" i="2"/>
  <c r="D175" i="2"/>
  <c r="E175" i="2"/>
  <c r="F175" i="2"/>
  <c r="D176" i="2"/>
  <c r="E176" i="2"/>
  <c r="F176" i="2"/>
  <c r="D177" i="2"/>
  <c r="E177" i="2"/>
  <c r="F177" i="2"/>
  <c r="D178" i="2"/>
  <c r="E178" i="2"/>
  <c r="F178" i="2"/>
  <c r="D179" i="2"/>
  <c r="E179" i="2"/>
  <c r="F179" i="2"/>
  <c r="D180" i="2"/>
  <c r="E180" i="2"/>
  <c r="F180" i="2"/>
  <c r="D181" i="2"/>
  <c r="E181" i="2"/>
  <c r="F181" i="2"/>
  <c r="D182" i="2"/>
  <c r="E182" i="2"/>
  <c r="F182" i="2"/>
  <c r="D183" i="2"/>
  <c r="E183" i="2"/>
  <c r="F183" i="2"/>
  <c r="D184" i="2"/>
  <c r="E184" i="2"/>
  <c r="F184" i="2"/>
  <c r="D185" i="2"/>
  <c r="E185" i="2"/>
  <c r="F185" i="2"/>
  <c r="D186" i="2"/>
  <c r="E186" i="2"/>
  <c r="F186" i="2"/>
  <c r="D187" i="2"/>
  <c r="E187" i="2"/>
  <c r="F187" i="2"/>
  <c r="E1" i="2"/>
  <c r="F1" i="2"/>
  <c r="D1" i="2"/>
  <c r="Z26" i="1"/>
  <c r="T9" i="1"/>
  <c r="W19" i="2"/>
  <c r="Q9" i="1"/>
  <c r="Q8" i="1"/>
  <c r="Z34" i="1"/>
  <c r="Z25" i="1"/>
  <c r="T8" i="1"/>
  <c r="W6" i="1"/>
  <c r="T7" i="1"/>
  <c r="S15" i="1"/>
  <c r="AA9" i="1"/>
  <c r="W3" i="1"/>
  <c r="W4" i="1"/>
  <c r="T4" i="1"/>
  <c r="W5" i="1"/>
  <c r="W2" i="1"/>
  <c r="T6" i="1"/>
  <c r="Q7" i="1"/>
  <c r="T3" i="1"/>
  <c r="T5" i="1"/>
  <c r="T2" i="1"/>
  <c r="Q6" i="1"/>
  <c r="Q5" i="1"/>
  <c r="N15" i="1"/>
  <c r="N14" i="1"/>
  <c r="Q16" i="1"/>
  <c r="Q17" i="1"/>
  <c r="Q4" i="1"/>
  <c r="Q3" i="1"/>
  <c r="D169" i="1"/>
  <c r="C168" i="1"/>
  <c r="Q13" i="1"/>
  <c r="K14" i="1"/>
  <c r="K28" i="1"/>
  <c r="K42" i="1"/>
  <c r="K56" i="1"/>
  <c r="K70" i="1"/>
  <c r="K84" i="1"/>
  <c r="K98" i="1"/>
  <c r="K112" i="1"/>
  <c r="K126" i="1"/>
  <c r="K140" i="1"/>
  <c r="K154" i="1"/>
  <c r="K168" i="1"/>
  <c r="J168" i="1"/>
  <c r="J154" i="1"/>
  <c r="J140" i="1"/>
  <c r="J126" i="1"/>
  <c r="J112" i="1"/>
  <c r="J98" i="1"/>
  <c r="J84" i="1"/>
  <c r="J70" i="1"/>
  <c r="J56" i="1"/>
  <c r="J42" i="1"/>
  <c r="J28" i="1"/>
  <c r="J1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2" i="1"/>
  <c r="X18" i="2"/>
  <c r="K83" i="2"/>
  <c r="K30" i="2"/>
  <c r="K165" i="2"/>
  <c r="K169" i="2"/>
  <c r="K47" i="2"/>
  <c r="F24" i="2"/>
  <c r="AE23" i="1"/>
  <c r="K93" i="2"/>
  <c r="K129" i="2"/>
  <c r="F129" i="2"/>
  <c r="F63" i="2"/>
  <c r="F17" i="2"/>
  <c r="K17" i="2"/>
  <c r="K121" i="2"/>
  <c r="K15" i="2"/>
  <c r="K29" i="2"/>
  <c r="K19" i="2"/>
  <c r="K117" i="2"/>
  <c r="F117" i="2"/>
  <c r="F107" i="2"/>
  <c r="K107" i="2"/>
  <c r="AF24" i="1"/>
  <c r="K125" i="2"/>
  <c r="F125" i="2"/>
  <c r="F76" i="2"/>
  <c r="F28" i="2"/>
  <c r="AE26" i="1"/>
  <c r="F127" i="2"/>
  <c r="K127" i="2"/>
  <c r="K120" i="2"/>
  <c r="F167" i="2"/>
  <c r="G167" i="2"/>
  <c r="H167" i="2"/>
  <c r="K119" i="2"/>
  <c r="F22" i="2"/>
  <c r="F150" i="2"/>
  <c r="K147" i="2"/>
  <c r="F147" i="2"/>
  <c r="F116" i="2"/>
  <c r="G116" i="2"/>
  <c r="H116" i="2"/>
  <c r="F145" i="2"/>
  <c r="G145" i="2"/>
  <c r="H145" i="2"/>
  <c r="K145" i="2"/>
  <c r="K123" i="2"/>
  <c r="K157" i="2"/>
  <c r="F157" i="2"/>
  <c r="G157" i="2"/>
  <c r="H157" i="2"/>
  <c r="K59" i="2"/>
  <c r="K163" i="2"/>
  <c r="F163" i="2"/>
  <c r="K159" i="2"/>
  <c r="K115" i="2"/>
  <c r="AF20" i="1"/>
  <c r="K21" i="2"/>
  <c r="K103" i="2"/>
  <c r="F103" i="2"/>
  <c r="F155" i="2"/>
  <c r="R11" i="2"/>
  <c r="U11" i="2"/>
  <c r="R9" i="2"/>
  <c r="Y9" i="2"/>
  <c r="K77" i="2"/>
  <c r="F27" i="2"/>
  <c r="K91" i="2"/>
  <c r="G169" i="2"/>
  <c r="H169" i="2"/>
  <c r="F171" i="2"/>
  <c r="G171" i="2"/>
  <c r="H171" i="2"/>
  <c r="K171" i="2"/>
  <c r="K105" i="2"/>
  <c r="F105" i="2"/>
  <c r="K95" i="2"/>
  <c r="F81" i="2"/>
  <c r="K81" i="2"/>
  <c r="F113" i="2"/>
  <c r="F23" i="2"/>
  <c r="R13" i="2"/>
  <c r="U13" i="2"/>
  <c r="G163" i="2"/>
  <c r="H163" i="2"/>
  <c r="F25" i="2"/>
  <c r="K25" i="2"/>
  <c r="U9" i="2"/>
  <c r="K82" i="2"/>
  <c r="F20" i="2"/>
  <c r="G20" i="2"/>
  <c r="H20" i="2"/>
  <c r="K70" i="2"/>
  <c r="K48" i="2"/>
  <c r="F80" i="2"/>
  <c r="G80" i="2"/>
  <c r="H80" i="2"/>
  <c r="K62" i="2"/>
  <c r="G184" i="2"/>
  <c r="H184" i="2"/>
  <c r="G182" i="2"/>
  <c r="H182" i="2"/>
  <c r="G51" i="2"/>
  <c r="H51" i="2"/>
  <c r="G15" i="2"/>
  <c r="H15" i="2"/>
  <c r="K78" i="2"/>
  <c r="K26" i="2"/>
  <c r="F58" i="2"/>
  <c r="K74" i="2"/>
  <c r="K14" i="2"/>
  <c r="F174" i="2"/>
  <c r="AE22" i="1"/>
  <c r="K180" i="2"/>
  <c r="K178" i="2"/>
  <c r="R23" i="2"/>
  <c r="U23" i="2"/>
  <c r="G113" i="2"/>
  <c r="H113" i="2"/>
  <c r="K176" i="2"/>
  <c r="G26" i="2"/>
  <c r="H26" i="2"/>
  <c r="G63" i="2"/>
  <c r="H63" i="2"/>
  <c r="G73" i="2"/>
  <c r="H73" i="2"/>
  <c r="G65" i="2"/>
  <c r="H65" i="2"/>
  <c r="G33" i="2"/>
  <c r="H33" i="2"/>
  <c r="G9" i="2"/>
  <c r="H9" i="2"/>
  <c r="G5" i="2"/>
  <c r="H5" i="2"/>
  <c r="G105" i="2"/>
  <c r="H105" i="2"/>
  <c r="K71" i="2"/>
  <c r="K51" i="2"/>
  <c r="F69" i="2"/>
  <c r="G69" i="2"/>
  <c r="H69" i="2"/>
  <c r="G129" i="2"/>
  <c r="H129" i="2"/>
  <c r="F154" i="2"/>
  <c r="G154" i="2"/>
  <c r="H154" i="2"/>
  <c r="G149" i="2"/>
  <c r="H149" i="2"/>
  <c r="G95" i="2"/>
  <c r="H95" i="2"/>
  <c r="G93" i="2"/>
  <c r="H93" i="2"/>
  <c r="G87" i="2"/>
  <c r="H87" i="2"/>
  <c r="G83" i="2"/>
  <c r="H83" i="2"/>
  <c r="K73" i="2"/>
  <c r="G14" i="2"/>
  <c r="H14" i="2"/>
  <c r="G8" i="2"/>
  <c r="H8" i="2"/>
  <c r="G174" i="2"/>
  <c r="H174" i="2"/>
  <c r="K179" i="2"/>
  <c r="G103" i="2"/>
  <c r="H103" i="2"/>
  <c r="K55" i="2"/>
  <c r="U6" i="1"/>
  <c r="X3" i="1"/>
  <c r="G84" i="2"/>
  <c r="H84" i="2"/>
  <c r="G6" i="2"/>
  <c r="H6" i="2"/>
  <c r="G4" i="2"/>
  <c r="H4" i="2"/>
  <c r="G2" i="2"/>
  <c r="H2" i="2"/>
  <c r="AE9" i="2"/>
  <c r="F61" i="2"/>
  <c r="G61" i="2"/>
  <c r="H61" i="2"/>
  <c r="G147" i="2"/>
  <c r="H147" i="2"/>
  <c r="G155" i="2"/>
  <c r="H155" i="2"/>
  <c r="K36" i="2"/>
  <c r="F108" i="2"/>
  <c r="G108" i="2"/>
  <c r="H108" i="2"/>
  <c r="G81" i="2"/>
  <c r="H81" i="2"/>
  <c r="K84" i="2"/>
  <c r="K118" i="2"/>
  <c r="R3" i="2"/>
  <c r="Y3" i="2"/>
  <c r="R7" i="2"/>
  <c r="U7" i="2"/>
  <c r="K98" i="2"/>
  <c r="K168" i="2"/>
  <c r="F86" i="2"/>
  <c r="G86" i="2"/>
  <c r="H86" i="2"/>
  <c r="F170" i="2"/>
  <c r="G170" i="2"/>
  <c r="H170" i="2"/>
  <c r="F122" i="2"/>
  <c r="G122" i="2"/>
  <c r="H122" i="2"/>
  <c r="K126" i="2"/>
  <c r="F90" i="2"/>
  <c r="G90" i="2"/>
  <c r="H90" i="2"/>
  <c r="F124" i="2"/>
  <c r="G124" i="2"/>
  <c r="H124" i="2"/>
  <c r="X4" i="1"/>
  <c r="G82" i="2"/>
  <c r="H82" i="2"/>
  <c r="AE2" i="2"/>
  <c r="R21" i="2"/>
  <c r="U21" i="2"/>
  <c r="G25" i="2"/>
  <c r="H25" i="2"/>
  <c r="K175" i="2"/>
  <c r="R6" i="2"/>
  <c r="AE6" i="2"/>
  <c r="K34" i="2"/>
  <c r="R8" i="2"/>
  <c r="R20" i="2"/>
  <c r="U20" i="2"/>
  <c r="K104" i="2"/>
  <c r="R10" i="2"/>
  <c r="Y10" i="2"/>
  <c r="G17" i="2"/>
  <c r="H17" i="2"/>
  <c r="W9" i="1"/>
  <c r="AB9" i="1"/>
  <c r="K172" i="2"/>
  <c r="G130" i="2"/>
  <c r="H130" i="2"/>
  <c r="G128" i="2"/>
  <c r="H128" i="2"/>
  <c r="G125" i="2"/>
  <c r="H125" i="2"/>
  <c r="G123" i="2"/>
  <c r="H123" i="2"/>
  <c r="G121" i="2"/>
  <c r="H121" i="2"/>
  <c r="G119" i="2"/>
  <c r="H119" i="2"/>
  <c r="K79" i="2"/>
  <c r="G70" i="2"/>
  <c r="H70" i="2"/>
  <c r="G66" i="2"/>
  <c r="H66" i="2"/>
  <c r="G62" i="2"/>
  <c r="H62" i="2"/>
  <c r="G54" i="2"/>
  <c r="H54" i="2"/>
  <c r="G42" i="2"/>
  <c r="H42" i="2"/>
  <c r="G19" i="2"/>
  <c r="H19" i="2"/>
  <c r="Y11" i="2"/>
  <c r="R25" i="2"/>
  <c r="U25" i="2"/>
  <c r="R4" i="2"/>
  <c r="Y4" i="2"/>
  <c r="G23" i="2"/>
  <c r="H23" i="2"/>
  <c r="R5" i="2"/>
  <c r="AE5" i="2"/>
  <c r="R12" i="2"/>
  <c r="K112" i="2"/>
  <c r="K114" i="2"/>
  <c r="K177" i="2"/>
  <c r="G58" i="2"/>
  <c r="H58" i="2"/>
  <c r="G177" i="2"/>
  <c r="H177" i="2"/>
  <c r="G114" i="2"/>
  <c r="H114" i="2"/>
  <c r="G110" i="2"/>
  <c r="H110" i="2"/>
  <c r="G77" i="2"/>
  <c r="H77" i="2"/>
  <c r="F136" i="2"/>
  <c r="G136" i="2"/>
  <c r="H136" i="2"/>
  <c r="K54" i="2"/>
  <c r="F132" i="2"/>
  <c r="G132" i="2"/>
  <c r="H132" i="2"/>
  <c r="K42" i="2"/>
  <c r="F99" i="2"/>
  <c r="G99" i="2"/>
  <c r="H99" i="2"/>
  <c r="F89" i="2"/>
  <c r="G89" i="2"/>
  <c r="H89" i="2"/>
  <c r="F97" i="2"/>
  <c r="G97" i="2"/>
  <c r="H97" i="2"/>
  <c r="F138" i="2"/>
  <c r="G138" i="2"/>
  <c r="H138" i="2"/>
  <c r="K128" i="2"/>
  <c r="F156" i="2"/>
  <c r="G156" i="2"/>
  <c r="H156" i="2"/>
  <c r="F50" i="2"/>
  <c r="G50" i="2"/>
  <c r="H50" i="2"/>
  <c r="K56" i="2"/>
  <c r="K87" i="2"/>
  <c r="G164" i="2"/>
  <c r="H164" i="2"/>
  <c r="G162" i="2"/>
  <c r="H162" i="2"/>
  <c r="G151" i="2"/>
  <c r="H151" i="2"/>
  <c r="G102" i="2"/>
  <c r="H102" i="2"/>
  <c r="G35" i="2"/>
  <c r="H35" i="2"/>
  <c r="G13" i="2"/>
  <c r="H13" i="2"/>
  <c r="G11" i="2"/>
  <c r="H11" i="2"/>
  <c r="G3" i="2"/>
  <c r="H3" i="2"/>
  <c r="F44" i="2"/>
  <c r="G44" i="2"/>
  <c r="H44" i="2"/>
  <c r="G179" i="2"/>
  <c r="H179" i="2"/>
  <c r="F140" i="2"/>
  <c r="G140" i="2"/>
  <c r="H140" i="2"/>
  <c r="F142" i="2"/>
  <c r="G142" i="2"/>
  <c r="H142" i="2"/>
  <c r="K46" i="2"/>
  <c r="F160" i="2"/>
  <c r="G160" i="2"/>
  <c r="H160" i="2"/>
  <c r="K33" i="2"/>
  <c r="G28" i="2"/>
  <c r="H28" i="2"/>
  <c r="K60" i="2"/>
  <c r="K13" i="2"/>
  <c r="K162" i="2"/>
  <c r="G180" i="2"/>
  <c r="H180" i="2"/>
  <c r="G178" i="2"/>
  <c r="H178" i="2"/>
  <c r="G141" i="2"/>
  <c r="H141" i="2"/>
  <c r="F101" i="2"/>
  <c r="G101" i="2"/>
  <c r="H101" i="2"/>
  <c r="G36" i="2"/>
  <c r="H36" i="2"/>
  <c r="G30" i="2"/>
  <c r="H30" i="2"/>
  <c r="G27" i="2"/>
  <c r="H27" i="2"/>
  <c r="G7" i="2"/>
  <c r="H7" i="2"/>
  <c r="Y13" i="2"/>
  <c r="Y16" i="2"/>
  <c r="K151" i="2"/>
  <c r="K164" i="2"/>
  <c r="K35" i="2"/>
  <c r="K130" i="2"/>
  <c r="K66" i="2"/>
  <c r="K52" i="2"/>
  <c r="K102" i="2"/>
  <c r="G186" i="2"/>
  <c r="H186" i="2"/>
  <c r="G185" i="2"/>
  <c r="H185" i="2"/>
  <c r="G175" i="2"/>
  <c r="H175" i="2"/>
  <c r="G165" i="2"/>
  <c r="H165" i="2"/>
  <c r="F144" i="2"/>
  <c r="G144" i="2"/>
  <c r="H144" i="2"/>
  <c r="G104" i="2"/>
  <c r="H104" i="2"/>
  <c r="G74" i="2"/>
  <c r="H74" i="2"/>
  <c r="G71" i="2"/>
  <c r="H71" i="2"/>
  <c r="G59" i="2"/>
  <c r="H59" i="2"/>
  <c r="G47" i="2"/>
  <c r="H47" i="2"/>
  <c r="G21" i="2"/>
  <c r="H21" i="2"/>
  <c r="K67" i="2"/>
  <c r="F67" i="2"/>
  <c r="G67" i="2"/>
  <c r="H67" i="2"/>
  <c r="K32" i="2"/>
  <c r="F32" i="2"/>
  <c r="G32" i="2"/>
  <c r="H32" i="2"/>
  <c r="R16" i="2"/>
  <c r="K65" i="2"/>
  <c r="F39" i="2"/>
  <c r="G39" i="2"/>
  <c r="H39" i="2"/>
  <c r="K141" i="2"/>
  <c r="F152" i="2"/>
  <c r="G152" i="2"/>
  <c r="H152" i="2"/>
  <c r="K152" i="2"/>
  <c r="F111" i="2"/>
  <c r="G111" i="2"/>
  <c r="H111" i="2"/>
  <c r="K111" i="2"/>
  <c r="F109" i="2"/>
  <c r="G109" i="2"/>
  <c r="H109" i="2"/>
  <c r="K109" i="2"/>
  <c r="R14" i="2"/>
  <c r="U2" i="2"/>
  <c r="K143" i="2"/>
  <c r="F143" i="2"/>
  <c r="G143" i="2"/>
  <c r="H143" i="2"/>
  <c r="K137" i="2"/>
  <c r="F137" i="2"/>
  <c r="G137" i="2"/>
  <c r="H137" i="2"/>
  <c r="F100" i="2"/>
  <c r="K100" i="2"/>
  <c r="F43" i="2"/>
  <c r="G43" i="2"/>
  <c r="H43" i="2"/>
  <c r="K43" i="2"/>
  <c r="F53" i="2"/>
  <c r="G53" i="2"/>
  <c r="H53" i="2"/>
  <c r="K161" i="2"/>
  <c r="F135" i="2"/>
  <c r="G135" i="2"/>
  <c r="H135" i="2"/>
  <c r="F131" i="2"/>
  <c r="G131" i="2"/>
  <c r="H131" i="2"/>
  <c r="K169" i="1"/>
  <c r="F166" i="2"/>
  <c r="G166" i="2"/>
  <c r="H166" i="2"/>
  <c r="K166" i="2"/>
  <c r="G161" i="2"/>
  <c r="H161" i="2"/>
  <c r="F153" i="2"/>
  <c r="G153" i="2"/>
  <c r="H153" i="2"/>
  <c r="K153" i="2"/>
  <c r="F148" i="2"/>
  <c r="G148" i="2"/>
  <c r="H148" i="2"/>
  <c r="K148" i="2"/>
  <c r="K146" i="2"/>
  <c r="F146" i="2"/>
  <c r="G146" i="2"/>
  <c r="H146" i="2"/>
  <c r="F106" i="2"/>
  <c r="G106" i="2"/>
  <c r="H106" i="2"/>
  <c r="K106" i="2"/>
  <c r="G98" i="2"/>
  <c r="H98" i="2"/>
  <c r="K75" i="2"/>
  <c r="F75" i="2"/>
  <c r="G75" i="2"/>
  <c r="H75" i="2"/>
  <c r="K72" i="2"/>
  <c r="F72" i="2"/>
  <c r="G72" i="2"/>
  <c r="H72" i="2"/>
  <c r="X5" i="1"/>
  <c r="U8" i="1"/>
  <c r="U7" i="1"/>
  <c r="W8" i="1"/>
  <c r="X8" i="1"/>
  <c r="X2" i="1"/>
  <c r="F139" i="2"/>
  <c r="G139" i="2"/>
  <c r="H139" i="2"/>
  <c r="K139" i="2"/>
  <c r="F133" i="2"/>
  <c r="G133" i="2"/>
  <c r="H133" i="2"/>
  <c r="K133" i="2"/>
  <c r="F94" i="2"/>
  <c r="G94" i="2"/>
  <c r="H94" i="2"/>
  <c r="K94" i="2"/>
  <c r="K57" i="2"/>
  <c r="F57" i="2"/>
  <c r="K45" i="2"/>
  <c r="F45" i="2"/>
  <c r="G45" i="2"/>
  <c r="H45" i="2"/>
  <c r="K41" i="2"/>
  <c r="F41" i="2"/>
  <c r="G41" i="2"/>
  <c r="H41" i="2"/>
  <c r="K37" i="2"/>
  <c r="F37" i="2"/>
  <c r="G37" i="2"/>
  <c r="H37" i="2"/>
  <c r="AE4" i="2"/>
  <c r="F173" i="2"/>
  <c r="G173" i="2"/>
  <c r="H173" i="2"/>
  <c r="K173" i="2"/>
  <c r="F158" i="2"/>
  <c r="G158" i="2"/>
  <c r="H158" i="2"/>
  <c r="K158" i="2"/>
  <c r="G91" i="2"/>
  <c r="H91" i="2"/>
  <c r="K64" i="2"/>
  <c r="F64" i="2"/>
  <c r="G64" i="2"/>
  <c r="H64" i="2"/>
  <c r="G52" i="2"/>
  <c r="H52" i="2"/>
  <c r="K18" i="2"/>
  <c r="F18" i="2"/>
  <c r="G18" i="2"/>
  <c r="H18" i="2"/>
  <c r="K16" i="2"/>
  <c r="F16" i="2"/>
  <c r="G16" i="2"/>
  <c r="H16" i="2"/>
  <c r="AE25" i="1"/>
  <c r="AF25" i="1"/>
  <c r="AE21" i="1"/>
  <c r="AF21" i="1"/>
  <c r="G117" i="2"/>
  <c r="H117" i="2"/>
  <c r="X6" i="1"/>
  <c r="G187" i="2"/>
  <c r="H187" i="2"/>
  <c r="G176" i="2"/>
  <c r="H176" i="2"/>
  <c r="G46" i="2"/>
  <c r="H46" i="2"/>
  <c r="G168" i="2"/>
  <c r="H168" i="2"/>
  <c r="J169" i="1"/>
  <c r="G183" i="2"/>
  <c r="H183" i="2"/>
  <c r="G79" i="2"/>
  <c r="H79" i="2"/>
  <c r="G57" i="2"/>
  <c r="H57" i="2"/>
  <c r="F49" i="2"/>
  <c r="G49" i="2"/>
  <c r="H49" i="2"/>
  <c r="G10" i="2"/>
  <c r="H10" i="2"/>
  <c r="G172" i="2"/>
  <c r="H172" i="2"/>
  <c r="G1" i="2"/>
  <c r="H1" i="2"/>
  <c r="G181" i="2"/>
  <c r="H181" i="2"/>
  <c r="G159" i="2"/>
  <c r="H159" i="2"/>
  <c r="G115" i="2"/>
  <c r="H115" i="2"/>
  <c r="G112" i="2"/>
  <c r="H112" i="2"/>
  <c r="G60" i="2"/>
  <c r="H60" i="2"/>
  <c r="G56" i="2"/>
  <c r="H56" i="2"/>
  <c r="G24" i="2"/>
  <c r="H24" i="2"/>
  <c r="G29" i="2"/>
  <c r="H29" i="2"/>
  <c r="G22" i="2"/>
  <c r="H22" i="2"/>
  <c r="G12" i="2"/>
  <c r="H12" i="2"/>
  <c r="G100" i="2"/>
  <c r="H100" i="2"/>
  <c r="G92" i="2"/>
  <c r="H92" i="2"/>
  <c r="G55" i="2"/>
  <c r="H55" i="2"/>
  <c r="G150" i="2"/>
  <c r="H150" i="2"/>
  <c r="G127" i="2"/>
  <c r="H127" i="2"/>
  <c r="G107" i="2"/>
  <c r="H107" i="2"/>
  <c r="G76" i="2"/>
  <c r="H76" i="2"/>
  <c r="G48" i="2"/>
  <c r="H48" i="2"/>
  <c r="F134" i="2"/>
  <c r="G134" i="2"/>
  <c r="H134" i="2"/>
  <c r="K110" i="2"/>
  <c r="K92" i="2"/>
  <c r="F85" i="2"/>
  <c r="G85" i="2"/>
  <c r="H85" i="2"/>
  <c r="F68" i="2"/>
  <c r="G68" i="2"/>
  <c r="H68" i="2"/>
  <c r="F40" i="2"/>
  <c r="G40" i="2"/>
  <c r="H40" i="2"/>
  <c r="I52" i="2"/>
  <c r="J52" i="2"/>
  <c r="F31" i="2"/>
  <c r="G31" i="2"/>
  <c r="H31" i="2"/>
  <c r="F96" i="2"/>
  <c r="G96" i="2"/>
  <c r="H96" i="2"/>
  <c r="F88" i="2"/>
  <c r="G88" i="2"/>
  <c r="H88" i="2"/>
  <c r="AF27" i="1"/>
  <c r="Y7" i="2"/>
  <c r="Z9" i="2"/>
  <c r="AE7" i="2"/>
  <c r="AE27" i="1"/>
  <c r="V7" i="2"/>
  <c r="U8" i="2"/>
  <c r="I127" i="2"/>
  <c r="J127" i="2"/>
  <c r="Y8" i="2"/>
  <c r="I148" i="2"/>
  <c r="J148" i="2"/>
  <c r="I187" i="2"/>
  <c r="J187" i="2"/>
  <c r="AE8" i="2"/>
  <c r="I125" i="2"/>
  <c r="J125" i="2"/>
  <c r="U4" i="2"/>
  <c r="V4" i="2"/>
  <c r="V9" i="2"/>
  <c r="R24" i="2"/>
  <c r="U24" i="2"/>
  <c r="U12" i="2"/>
  <c r="Y12" i="2"/>
  <c r="Y14" i="2"/>
  <c r="V8" i="2"/>
  <c r="R19" i="2"/>
  <c r="U19" i="2"/>
  <c r="I57" i="2"/>
  <c r="J57" i="2"/>
  <c r="I128" i="2"/>
  <c r="J128" i="2"/>
  <c r="I163" i="2"/>
  <c r="J163" i="2"/>
  <c r="V5" i="2"/>
  <c r="U5" i="2"/>
  <c r="Y5" i="2"/>
  <c r="R17" i="2"/>
  <c r="AE10" i="2"/>
  <c r="R22" i="2"/>
  <c r="U22" i="2"/>
  <c r="U10" i="2"/>
  <c r="V10" i="2"/>
  <c r="V6" i="2"/>
  <c r="U6" i="2"/>
  <c r="R18" i="2"/>
  <c r="U18" i="2"/>
  <c r="R15" i="2"/>
  <c r="AE3" i="2"/>
  <c r="V3" i="2"/>
  <c r="Y6" i="2"/>
  <c r="I53" i="2"/>
  <c r="J53" i="2"/>
  <c r="I114" i="2"/>
  <c r="J114" i="2"/>
  <c r="I131" i="2"/>
  <c r="J131" i="2"/>
  <c r="I186" i="2"/>
  <c r="J186" i="2"/>
  <c r="I173" i="2"/>
  <c r="I166" i="2"/>
  <c r="J166" i="2"/>
  <c r="I153" i="2"/>
  <c r="J153" i="2"/>
  <c r="I135" i="2"/>
  <c r="J135" i="2"/>
  <c r="I68" i="2"/>
  <c r="J68" i="2"/>
  <c r="I120" i="2"/>
  <c r="J120" i="2"/>
  <c r="I171" i="2"/>
  <c r="J171" i="2"/>
  <c r="I126" i="2"/>
  <c r="J126" i="2"/>
  <c r="U14" i="2"/>
  <c r="R26" i="2"/>
  <c r="U26" i="2"/>
  <c r="I182" i="2"/>
  <c r="J182" i="2"/>
  <c r="I169" i="2"/>
  <c r="J169" i="2"/>
  <c r="I55" i="2"/>
  <c r="J55" i="2"/>
  <c r="I124" i="2"/>
  <c r="J124" i="2"/>
  <c r="I165" i="2"/>
  <c r="J165" i="2"/>
  <c r="I164" i="2"/>
  <c r="J164" i="2"/>
  <c r="I172" i="2"/>
  <c r="J172" i="2"/>
  <c r="R28" i="2"/>
  <c r="U28" i="2"/>
  <c r="V31" i="2"/>
  <c r="U16" i="2"/>
  <c r="I93" i="2"/>
  <c r="J93" i="2"/>
  <c r="I54" i="2"/>
  <c r="J54" i="2"/>
  <c r="I76" i="2"/>
  <c r="I167" i="2"/>
  <c r="J167" i="2"/>
  <c r="I168" i="2"/>
  <c r="J168" i="2"/>
  <c r="I170" i="2"/>
  <c r="J170" i="2"/>
  <c r="Y6" i="1"/>
  <c r="X16" i="2"/>
  <c r="W16" i="2"/>
  <c r="J76" i="2"/>
  <c r="I82" i="2"/>
  <c r="J82" i="2"/>
  <c r="I87" i="2"/>
  <c r="J87" i="2"/>
  <c r="I86" i="2"/>
  <c r="J86" i="2"/>
  <c r="I84" i="2"/>
  <c r="J84" i="2"/>
  <c r="I88" i="2"/>
  <c r="I81" i="2"/>
  <c r="J81" i="2"/>
  <c r="I85" i="2"/>
  <c r="J85" i="2"/>
  <c r="I83" i="2"/>
  <c r="J83" i="2"/>
  <c r="I21" i="2"/>
  <c r="J21" i="2"/>
  <c r="I22" i="2"/>
  <c r="J22" i="2"/>
  <c r="I18" i="2"/>
  <c r="J18" i="2"/>
  <c r="I23" i="2"/>
  <c r="J23" i="2"/>
  <c r="I17" i="2"/>
  <c r="J17" i="2"/>
  <c r="I24" i="2"/>
  <c r="J24" i="2"/>
  <c r="I175" i="2"/>
  <c r="J175" i="2"/>
  <c r="I176" i="2"/>
  <c r="J176" i="2"/>
  <c r="I99" i="2"/>
  <c r="J99" i="2"/>
  <c r="I100" i="2"/>
  <c r="J100" i="2"/>
  <c r="J88" i="2"/>
  <c r="I72" i="2"/>
  <c r="J72" i="2"/>
  <c r="I80" i="2"/>
  <c r="J80" i="2"/>
  <c r="I77" i="2"/>
  <c r="J77" i="2"/>
  <c r="I71" i="2"/>
  <c r="J71" i="2"/>
  <c r="I78" i="2"/>
  <c r="J78" i="2"/>
  <c r="I70" i="2"/>
  <c r="J70" i="2"/>
  <c r="I73" i="2"/>
  <c r="J73" i="2"/>
  <c r="I79" i="2"/>
  <c r="J79" i="2"/>
  <c r="I74" i="2"/>
  <c r="J74" i="2"/>
  <c r="I69" i="2"/>
  <c r="J69" i="2"/>
  <c r="I75" i="2"/>
  <c r="J75" i="2"/>
  <c r="I146" i="2"/>
  <c r="J146" i="2"/>
  <c r="I142" i="2"/>
  <c r="J142" i="2"/>
  <c r="I140" i="2"/>
  <c r="J140" i="2"/>
  <c r="I144" i="2"/>
  <c r="J144" i="2"/>
  <c r="I141" i="2"/>
  <c r="J141" i="2"/>
  <c r="I145" i="2"/>
  <c r="J145" i="2"/>
  <c r="I143" i="2"/>
  <c r="J143" i="2"/>
  <c r="I115" i="2"/>
  <c r="J115" i="2"/>
  <c r="I119" i="2"/>
  <c r="J119" i="2"/>
  <c r="I117" i="2"/>
  <c r="J117" i="2"/>
  <c r="I118" i="2"/>
  <c r="J118" i="2"/>
  <c r="I116" i="2"/>
  <c r="J116" i="2"/>
  <c r="I64" i="2"/>
  <c r="J64" i="2"/>
  <c r="I61" i="2"/>
  <c r="J61" i="2"/>
  <c r="I63" i="2"/>
  <c r="J63" i="2"/>
  <c r="I67" i="2"/>
  <c r="J67" i="2"/>
  <c r="I62" i="2"/>
  <c r="J62" i="2"/>
  <c r="I65" i="2"/>
  <c r="J65" i="2"/>
  <c r="I66" i="2"/>
  <c r="J66" i="2"/>
  <c r="I123" i="2"/>
  <c r="J123" i="2"/>
  <c r="I122" i="2"/>
  <c r="J122" i="2"/>
  <c r="I34" i="2"/>
  <c r="J34" i="2"/>
  <c r="I33" i="2"/>
  <c r="J33" i="2"/>
  <c r="I36" i="2"/>
  <c r="J36" i="2"/>
  <c r="I19" i="2"/>
  <c r="J19" i="2"/>
  <c r="I113" i="2"/>
  <c r="J113" i="2"/>
  <c r="I130" i="2"/>
  <c r="J130" i="2"/>
  <c r="I15" i="2"/>
  <c r="J15" i="2"/>
  <c r="I161" i="2"/>
  <c r="J161" i="2"/>
  <c r="I157" i="2"/>
  <c r="J157" i="2"/>
  <c r="I158" i="2"/>
  <c r="J158" i="2"/>
  <c r="I160" i="2"/>
  <c r="J160" i="2"/>
  <c r="I159" i="2"/>
  <c r="J159" i="2"/>
  <c r="I155" i="2"/>
  <c r="J155" i="2"/>
  <c r="I162" i="2"/>
  <c r="J162" i="2"/>
  <c r="I154" i="2"/>
  <c r="J154" i="2"/>
  <c r="J173" i="2"/>
  <c r="I179" i="2"/>
  <c r="J179" i="2"/>
  <c r="I180" i="2"/>
  <c r="J180" i="2"/>
  <c r="I177" i="2"/>
  <c r="J177" i="2"/>
  <c r="I185" i="2"/>
  <c r="J185" i="2"/>
  <c r="I106" i="2"/>
  <c r="J106" i="2"/>
  <c r="I108" i="2"/>
  <c r="J108" i="2"/>
  <c r="I107" i="2"/>
  <c r="J107" i="2"/>
  <c r="I89" i="2"/>
  <c r="J89" i="2"/>
  <c r="I97" i="2"/>
  <c r="J97" i="2"/>
  <c r="I90" i="2"/>
  <c r="J90" i="2"/>
  <c r="I92" i="2"/>
  <c r="J92" i="2"/>
  <c r="I96" i="2"/>
  <c r="J96" i="2"/>
  <c r="I94" i="2"/>
  <c r="J94" i="2"/>
  <c r="I95" i="2"/>
  <c r="J95" i="2"/>
  <c r="I91" i="2"/>
  <c r="J91" i="2"/>
  <c r="I59" i="2"/>
  <c r="J59" i="2"/>
  <c r="I60" i="2"/>
  <c r="J60" i="2"/>
  <c r="I58" i="2"/>
  <c r="J58" i="2"/>
  <c r="I138" i="2"/>
  <c r="J138" i="2"/>
  <c r="I139" i="2"/>
  <c r="J139" i="2"/>
  <c r="I133" i="2"/>
  <c r="J133" i="2"/>
  <c r="I134" i="2"/>
  <c r="J134" i="2"/>
  <c r="I137" i="2"/>
  <c r="J137" i="2"/>
  <c r="I136" i="2"/>
  <c r="J136" i="2"/>
  <c r="I104" i="2"/>
  <c r="J104" i="2"/>
  <c r="I101" i="2"/>
  <c r="J101" i="2"/>
  <c r="I103" i="2"/>
  <c r="J103" i="2"/>
  <c r="I102" i="2"/>
  <c r="J102" i="2"/>
  <c r="I150" i="2"/>
  <c r="J150" i="2"/>
  <c r="I149" i="2"/>
  <c r="J149" i="2"/>
  <c r="I151" i="2"/>
  <c r="J151" i="2"/>
  <c r="I105" i="2"/>
  <c r="J105" i="2"/>
  <c r="I183" i="2"/>
  <c r="J183" i="2"/>
  <c r="I56" i="2"/>
  <c r="J56" i="2"/>
  <c r="I35" i="2"/>
  <c r="J35" i="2"/>
  <c r="I110" i="2"/>
  <c r="J110" i="2"/>
  <c r="I112" i="2"/>
  <c r="J112" i="2"/>
  <c r="I111" i="2"/>
  <c r="J111" i="2"/>
  <c r="I109" i="2"/>
  <c r="J109" i="2"/>
  <c r="I178" i="2"/>
  <c r="J178" i="2"/>
  <c r="I181" i="2"/>
  <c r="J181" i="2"/>
  <c r="I14" i="2"/>
  <c r="J14" i="2"/>
  <c r="I37" i="2"/>
  <c r="J37" i="2"/>
  <c r="I98" i="2"/>
  <c r="J98" i="2"/>
  <c r="I27" i="2"/>
  <c r="J27" i="2"/>
  <c r="I29" i="2"/>
  <c r="J29" i="2"/>
  <c r="I25" i="2"/>
  <c r="J25" i="2"/>
  <c r="I28" i="2"/>
  <c r="J28" i="2"/>
  <c r="I30" i="2"/>
  <c r="J30" i="2"/>
  <c r="I26" i="2"/>
  <c r="J26" i="2"/>
  <c r="I121" i="2"/>
  <c r="J121" i="2"/>
  <c r="I31" i="2"/>
  <c r="J31" i="2"/>
  <c r="I32" i="2"/>
  <c r="J32" i="2"/>
  <c r="I174" i="2"/>
  <c r="J174" i="2"/>
  <c r="I184" i="2"/>
  <c r="J184" i="2"/>
  <c r="I20" i="2"/>
  <c r="J20" i="2"/>
  <c r="I156" i="2"/>
  <c r="J156" i="2"/>
  <c r="I132" i="2"/>
  <c r="J132" i="2"/>
  <c r="I147" i="2"/>
  <c r="J147" i="2"/>
  <c r="I16" i="2"/>
  <c r="J16" i="2"/>
  <c r="I38" i="2"/>
  <c r="I152" i="2"/>
  <c r="J152" i="2"/>
  <c r="I129" i="2"/>
  <c r="J129" i="2"/>
  <c r="I13" i="2"/>
  <c r="J13" i="2"/>
  <c r="X14" i="2"/>
  <c r="W14" i="2"/>
  <c r="Y15" i="2"/>
  <c r="X15" i="2"/>
  <c r="W15" i="2"/>
  <c r="AA9" i="2"/>
  <c r="AB9" i="2"/>
  <c r="U15" i="2"/>
  <c r="R27" i="2"/>
  <c r="U27" i="2"/>
  <c r="R29" i="2"/>
  <c r="U29" i="2"/>
  <c r="U17" i="2"/>
  <c r="I39" i="2"/>
  <c r="J38" i="2"/>
  <c r="K38" i="2"/>
  <c r="I49" i="2"/>
  <c r="J49" i="2"/>
  <c r="I42" i="2"/>
  <c r="J42" i="2"/>
  <c r="I51" i="2"/>
  <c r="J51" i="2"/>
  <c r="I50" i="2"/>
  <c r="J50" i="2"/>
  <c r="I40" i="2"/>
  <c r="J40" i="2"/>
  <c r="I45" i="2"/>
  <c r="J45" i="2"/>
  <c r="I48" i="2"/>
  <c r="J48" i="2"/>
  <c r="J39" i="2"/>
  <c r="I43" i="2"/>
  <c r="J43" i="2"/>
  <c r="I41" i="2"/>
  <c r="J41" i="2"/>
  <c r="I47" i="2"/>
  <c r="J47" i="2"/>
  <c r="I44" i="2"/>
  <c r="J44" i="2"/>
  <c r="I46" i="2"/>
  <c r="J46" i="2"/>
</calcChain>
</file>

<file path=xl/comments1.xml><?xml version="1.0" encoding="utf-8"?>
<comments xmlns="http://schemas.openxmlformats.org/spreadsheetml/2006/main">
  <authors>
    <author>Chunnip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Chunnip:</t>
        </r>
        <r>
          <rPr>
            <sz val="9"/>
            <color indexed="81"/>
            <rFont val="Tahoma"/>
            <family val="2"/>
          </rPr>
          <t xml:space="preserve">
ETSLSLNS index
</t>
        </r>
      </text>
    </comment>
  </commentList>
</comments>
</file>

<file path=xl/sharedStrings.xml><?xml version="1.0" encoding="utf-8"?>
<sst xmlns="http://schemas.openxmlformats.org/spreadsheetml/2006/main" count="74" uniqueCount="37">
  <si>
    <t>Month</t>
  </si>
  <si>
    <t>% of past 12 month average sales</t>
  </si>
  <si>
    <t>Median</t>
  </si>
  <si>
    <t>Mean</t>
  </si>
  <si>
    <t>YB</t>
  </si>
  <si>
    <t>MBAVNSAP</t>
  </si>
  <si>
    <t xml:space="preserve"> </t>
  </si>
  <si>
    <t>bucket</t>
  </si>
  <si>
    <t>asOf</t>
  </si>
  <si>
    <t>wac</t>
  </si>
  <si>
    <t>bal</t>
  </si>
  <si>
    <t>age</t>
  </si>
  <si>
    <t>cpr</t>
  </si>
  <si>
    <t>'FNCL'</t>
  </si>
  <si>
    <t>'2014-02-01'</t>
  </si>
  <si>
    <t>'2014-03-01'</t>
  </si>
  <si>
    <t>'2014-04-01'</t>
  </si>
  <si>
    <t>'2014-05-01'</t>
  </si>
  <si>
    <t>'2014-06-01'</t>
  </si>
  <si>
    <t>'2014-07-01'</t>
  </si>
  <si>
    <t>'2014-08-01'</t>
  </si>
  <si>
    <t>'FGLMC'</t>
  </si>
  <si>
    <t>value</t>
  </si>
  <si>
    <t>month</t>
  </si>
  <si>
    <t>median</t>
  </si>
  <si>
    <t>mean</t>
  </si>
  <si>
    <t>normalized median</t>
  </si>
  <si>
    <t>avg days</t>
  </si>
  <si>
    <t>2014 days</t>
  </si>
  <si>
    <t>Old model</t>
  </si>
  <si>
    <t>New Miodel</t>
  </si>
  <si>
    <t>Monthly Speed</t>
  </si>
  <si>
    <t>Monthly smm</t>
  </si>
  <si>
    <t>normalized per 21 days</t>
  </si>
  <si>
    <t>FNCL -100 bucket</t>
  </si>
  <si>
    <t>Day count adjusted Multplier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</si>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</sst>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00"/>
    <numFmt numFmtId="168" formatCode="0.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169"/>
  <sheetViews>
    <sheetView topLeftCell="A126" workbookViewId="0">
      <selection activeCell="N13" sqref="N12:N13"/>
    </sheetView>
  </sheetViews>
  <sheetFormatPr defaultRowHeight="15" x14ac:dyDescent="0.25"/>
  <cols>
    <col min="1" max="1" width="10.7109375" style="1" bestFit="1" customWidth="1"/>
    <col min="4" max="4" width="9.140625" style="2"/>
    <col min="8" max="8" width="9.140625" style="2"/>
    <col min="17" max="17" width="21.140625" bestFit="1" customWidth="1"/>
  </cols>
  <sheetData>
    <row r="1" spans="1:28" x14ac:dyDescent="0.25">
      <c r="A1" s="1" t="s">
        <v>0</v>
      </c>
      <c r="D1" s="2" t="s">
        <v>1</v>
      </c>
      <c r="K1" t="s">
        <v>5</v>
      </c>
      <c r="N1" t="s">
        <v>2</v>
      </c>
      <c r="O1" t="s">
        <v>3</v>
      </c>
      <c r="P1" t="s">
        <v>4</v>
      </c>
    </row>
    <row r="2" spans="1:28" x14ac:dyDescent="0.25">
      <c r="A2" s="1">
        <v>36585</v>
      </c>
      <c r="B2">
        <v>0.31</v>
      </c>
      <c r="C2">
        <v>0.43299999999999988</v>
      </c>
      <c r="D2" s="2">
        <v>0.71828538327862546</v>
      </c>
      <c r="E2">
        <f>MONTH(A2)</f>
        <v>2</v>
      </c>
      <c r="H2" s="2">
        <v>0.68432244345640825</v>
      </c>
      <c r="I2">
        <v>1</v>
      </c>
      <c r="M2">
        <v>1</v>
      </c>
      <c r="N2" s="2">
        <v>0.68393782383419677</v>
      </c>
      <c r="O2" s="2">
        <v>0.67947497884141161</v>
      </c>
      <c r="P2" s="2">
        <v>0.66</v>
      </c>
      <c r="S2" s="4">
        <v>3.06</v>
      </c>
      <c r="T2">
        <f t="shared" ref="T2:T9" si="0">S2/N2</f>
        <v>4.4740909090909096</v>
      </c>
      <c r="V2">
        <v>2.71</v>
      </c>
      <c r="W2">
        <f>V2/N2</f>
        <v>3.9623484848484853</v>
      </c>
      <c r="X2" s="4">
        <f>T2-W2</f>
        <v>0.51174242424242422</v>
      </c>
      <c r="Z2">
        <v>2.6</v>
      </c>
      <c r="AA2">
        <v>4.09</v>
      </c>
    </row>
    <row r="3" spans="1:28" x14ac:dyDescent="0.25">
      <c r="A3" s="1">
        <v>36616</v>
      </c>
      <c r="B3">
        <v>0.42</v>
      </c>
      <c r="C3">
        <v>0.43366666666666659</v>
      </c>
      <c r="D3" s="2">
        <v>0.96997690531177849</v>
      </c>
      <c r="E3">
        <f t="shared" ref="E3:E66" si="1">MONTH(A3)</f>
        <v>3</v>
      </c>
      <c r="H3" s="2">
        <v>0.7695480967560473</v>
      </c>
      <c r="I3">
        <v>1</v>
      </c>
      <c r="M3">
        <v>2</v>
      </c>
      <c r="N3" s="2">
        <v>0.71500476060482998</v>
      </c>
      <c r="O3" s="2">
        <v>0.71882417138833266</v>
      </c>
      <c r="P3" s="2">
        <v>0.72</v>
      </c>
      <c r="Q3" s="3">
        <f t="shared" ref="Q3:Q9" si="2">N3/N2-1</f>
        <v>4.5423627247971332E-2</v>
      </c>
      <c r="S3" s="4">
        <v>3</v>
      </c>
      <c r="T3">
        <f t="shared" si="0"/>
        <v>4.1957762595346484</v>
      </c>
      <c r="V3">
        <v>1.92</v>
      </c>
      <c r="W3">
        <f>V3/N3</f>
        <v>2.6852968061021745</v>
      </c>
      <c r="X3" s="4">
        <f>T3-W3</f>
        <v>1.5104794534324739</v>
      </c>
      <c r="Z3">
        <v>2.5</v>
      </c>
      <c r="AA3">
        <v>3.21</v>
      </c>
    </row>
    <row r="4" spans="1:28" x14ac:dyDescent="0.25">
      <c r="A4" s="1">
        <v>36646</v>
      </c>
      <c r="B4">
        <v>0.432</v>
      </c>
      <c r="C4">
        <v>0.43183333333333329</v>
      </c>
      <c r="D4" s="2">
        <v>0.99615680245964655</v>
      </c>
      <c r="E4">
        <f t="shared" si="1"/>
        <v>4</v>
      </c>
      <c r="H4" s="2">
        <v>0.75013319126265321</v>
      </c>
      <c r="I4">
        <v>1</v>
      </c>
      <c r="M4">
        <v>3</v>
      </c>
      <c r="N4" s="2">
        <v>0.97408548177926113</v>
      </c>
      <c r="O4" s="2">
        <v>0.95243075528527776</v>
      </c>
      <c r="P4" s="2">
        <v>1.01</v>
      </c>
      <c r="Q4" s="3">
        <f t="shared" si="2"/>
        <v>0.36234824640226471</v>
      </c>
      <c r="S4" s="4">
        <v>4.0599999999999996</v>
      </c>
      <c r="T4">
        <f t="shared" si="0"/>
        <v>4.1680120235279743</v>
      </c>
      <c r="V4">
        <v>3.51</v>
      </c>
      <c r="W4">
        <f>V4/N4</f>
        <v>3.6033798528530023</v>
      </c>
      <c r="X4" s="4">
        <f>T4-W4</f>
        <v>0.56463217067497196</v>
      </c>
      <c r="Y4" t="s">
        <v>6</v>
      </c>
      <c r="Z4">
        <v>3.6</v>
      </c>
      <c r="AA4">
        <v>6.29</v>
      </c>
    </row>
    <row r="5" spans="1:28" x14ac:dyDescent="0.25">
      <c r="A5" s="1">
        <v>36677</v>
      </c>
      <c r="B5">
        <v>0.48899999999999999</v>
      </c>
      <c r="C5">
        <v>0.43324999999999997</v>
      </c>
      <c r="D5" s="2">
        <v>1.1323813199536858</v>
      </c>
      <c r="E5">
        <f t="shared" si="1"/>
        <v>5</v>
      </c>
      <c r="H5" s="2">
        <v>0.68393782383419677</v>
      </c>
      <c r="I5">
        <v>1</v>
      </c>
      <c r="M5">
        <v>4</v>
      </c>
      <c r="N5" s="2">
        <v>1.0861659115808378</v>
      </c>
      <c r="O5" s="2">
        <v>1.0590188846752022</v>
      </c>
      <c r="P5" s="2">
        <v>1.07</v>
      </c>
      <c r="Q5" s="3">
        <f t="shared" si="2"/>
        <v>0.11506221158008723</v>
      </c>
      <c r="S5" s="4">
        <v>4.62</v>
      </c>
      <c r="T5">
        <f t="shared" si="0"/>
        <v>4.253493826993628</v>
      </c>
      <c r="V5">
        <v>4.3899999999999997</v>
      </c>
      <c r="W5">
        <f>V5/N5</f>
        <v>4.041739805303469</v>
      </c>
      <c r="X5" s="4">
        <f>T5-W5</f>
        <v>0.211754021690159</v>
      </c>
      <c r="Z5">
        <v>4.3</v>
      </c>
      <c r="AA5">
        <v>6.03</v>
      </c>
    </row>
    <row r="6" spans="1:28" x14ac:dyDescent="0.25">
      <c r="A6" s="1">
        <v>36707</v>
      </c>
      <c r="B6">
        <v>0.54100000000000004</v>
      </c>
      <c r="C6">
        <v>0.4316666666666667</v>
      </c>
      <c r="D6" s="2">
        <v>1.2487016733987306</v>
      </c>
      <c r="E6">
        <f t="shared" si="1"/>
        <v>6</v>
      </c>
      <c r="H6" s="2">
        <v>0.67630569489524939</v>
      </c>
      <c r="I6">
        <v>1</v>
      </c>
      <c r="M6">
        <v>5</v>
      </c>
      <c r="N6" s="2">
        <v>1.1655435294605514</v>
      </c>
      <c r="O6" s="2">
        <v>1.1525875488762216</v>
      </c>
      <c r="P6" s="2">
        <v>1.18</v>
      </c>
      <c r="Q6" s="3">
        <f t="shared" si="2"/>
        <v>7.3080564427017602E-2</v>
      </c>
      <c r="S6" s="4">
        <v>5.59</v>
      </c>
      <c r="T6">
        <f t="shared" si="0"/>
        <v>4.7960456720026752</v>
      </c>
      <c r="U6">
        <f>AVERAGE(T2:T6)</f>
        <v>4.3774837382299676</v>
      </c>
      <c r="V6">
        <v>3.95</v>
      </c>
      <c r="W6">
        <f>V6/N6</f>
        <v>3.3889768165314074</v>
      </c>
      <c r="X6" s="4">
        <f>T6-W6</f>
        <v>1.4070688554712678</v>
      </c>
      <c r="Y6" s="4">
        <f>AVERAGE(X2:X6)</f>
        <v>0.84113538510225927</v>
      </c>
      <c r="Z6">
        <v>4.9000000000000004</v>
      </c>
      <c r="AA6">
        <v>6.72</v>
      </c>
    </row>
    <row r="7" spans="1:28" x14ac:dyDescent="0.25">
      <c r="A7" s="1">
        <v>36738</v>
      </c>
      <c r="B7">
        <v>0.49199999999999999</v>
      </c>
      <c r="C7">
        <v>0.42866666666666675</v>
      </c>
      <c r="D7" s="2">
        <v>1.1397683397683396</v>
      </c>
      <c r="E7">
        <f t="shared" si="1"/>
        <v>7</v>
      </c>
      <c r="H7" s="2">
        <v>0.63434628975265028</v>
      </c>
      <c r="I7">
        <v>1</v>
      </c>
      <c r="M7">
        <v>6</v>
      </c>
      <c r="N7" s="2">
        <v>1.2549978287538488</v>
      </c>
      <c r="O7" s="2">
        <v>1.2400199474707345</v>
      </c>
      <c r="P7" s="2">
        <v>1.22</v>
      </c>
      <c r="Q7" s="3">
        <f t="shared" si="2"/>
        <v>7.6748999099758741E-2</v>
      </c>
      <c r="S7" s="4">
        <v>6.4</v>
      </c>
      <c r="T7">
        <f t="shared" si="0"/>
        <v>5.0996104163422231</v>
      </c>
      <c r="U7">
        <f>AVERAGE(T2:T7)</f>
        <v>4.4978381845820108</v>
      </c>
    </row>
    <row r="8" spans="1:28" x14ac:dyDescent="0.25">
      <c r="A8" s="1">
        <v>36769</v>
      </c>
      <c r="B8">
        <v>0.53300000000000003</v>
      </c>
      <c r="C8">
        <v>0.42900000000000005</v>
      </c>
      <c r="D8" s="2">
        <v>1.243390357698289</v>
      </c>
      <c r="E8">
        <f t="shared" si="1"/>
        <v>8</v>
      </c>
      <c r="H8" s="2">
        <v>0.6001852423587527</v>
      </c>
      <c r="I8">
        <v>1</v>
      </c>
      <c r="M8">
        <v>7</v>
      </c>
      <c r="N8" s="2">
        <v>1.1772996596790528</v>
      </c>
      <c r="O8" s="2">
        <v>1.1623840603738631</v>
      </c>
      <c r="P8" s="2">
        <v>1.1399999999999999</v>
      </c>
      <c r="Q8" s="3">
        <f t="shared" si="2"/>
        <v>-6.1910998803835771E-2</v>
      </c>
      <c r="S8">
        <v>6.64</v>
      </c>
      <c r="T8">
        <f t="shared" si="0"/>
        <v>5.6400254135893917</v>
      </c>
      <c r="U8">
        <f>AVERAGE(T2:T8)</f>
        <v>4.6610077887259225</v>
      </c>
      <c r="W8">
        <f>AVERAGE(W2:W6)</f>
        <v>3.5363483531277078</v>
      </c>
      <c r="X8" s="4">
        <f>W8*N7</f>
        <v>4.4381095048925223</v>
      </c>
    </row>
    <row r="9" spans="1:28" x14ac:dyDescent="0.25">
      <c r="A9" s="1">
        <v>36799</v>
      </c>
      <c r="B9">
        <v>0.443</v>
      </c>
      <c r="C9">
        <v>0.42991666666666667</v>
      </c>
      <c r="D9" s="2">
        <v>1.0326340326340326</v>
      </c>
      <c r="E9">
        <f t="shared" si="1"/>
        <v>9</v>
      </c>
      <c r="H9" s="2">
        <v>0.56152927120669038</v>
      </c>
      <c r="I9">
        <v>1</v>
      </c>
      <c r="M9">
        <v>8</v>
      </c>
      <c r="N9" s="2">
        <v>1.2364371935911593</v>
      </c>
      <c r="O9" s="2">
        <v>1.2045395752751349</v>
      </c>
      <c r="P9" s="2">
        <v>1.19</v>
      </c>
      <c r="Q9" s="3">
        <f t="shared" si="2"/>
        <v>5.0231505144771926E-2</v>
      </c>
      <c r="R9" t="s">
        <v>6</v>
      </c>
      <c r="S9">
        <v>6.31</v>
      </c>
      <c r="T9">
        <f t="shared" si="0"/>
        <v>5.1033728463578276</v>
      </c>
      <c r="W9">
        <f>AVERAGE(W4:W6)</f>
        <v>3.6780321582292927</v>
      </c>
      <c r="AA9">
        <f>AVERAGE(AA4:AA6)</f>
        <v>6.3466666666666667</v>
      </c>
      <c r="AB9">
        <f>AA9-W9</f>
        <v>2.6686345084373739</v>
      </c>
    </row>
    <row r="10" spans="1:28" x14ac:dyDescent="0.25">
      <c r="A10" s="1">
        <v>36830</v>
      </c>
      <c r="B10">
        <v>0.434</v>
      </c>
      <c r="C10">
        <v>0.43133333333333335</v>
      </c>
      <c r="D10" s="2">
        <v>1.0094979647218454</v>
      </c>
      <c r="E10">
        <f t="shared" si="1"/>
        <v>10</v>
      </c>
      <c r="H10" s="2">
        <v>0.63433559650824434</v>
      </c>
      <c r="I10">
        <v>1</v>
      </c>
      <c r="M10">
        <v>9</v>
      </c>
      <c r="N10" s="2">
        <v>1.0262687424642727</v>
      </c>
      <c r="O10" s="2">
        <v>1.0068353032699002</v>
      </c>
      <c r="P10" s="2">
        <v>0.99</v>
      </c>
    </row>
    <row r="11" spans="1:28" x14ac:dyDescent="0.25">
      <c r="A11" s="1">
        <v>36860</v>
      </c>
      <c r="B11">
        <v>0.40799999999999997</v>
      </c>
      <c r="C11">
        <v>0.43241666666666667</v>
      </c>
      <c r="D11" s="2">
        <v>0.94590417310664598</v>
      </c>
      <c r="E11">
        <f t="shared" si="1"/>
        <v>11</v>
      </c>
      <c r="H11" s="2">
        <v>0.64790032302722667</v>
      </c>
      <c r="I11">
        <v>1</v>
      </c>
      <c r="M11">
        <v>10</v>
      </c>
      <c r="N11" s="2">
        <v>1.0026053034735176</v>
      </c>
      <c r="O11" s="2">
        <v>0.99725717208246145</v>
      </c>
      <c r="P11" s="2">
        <v>1.07</v>
      </c>
      <c r="U11" t="s">
        <v>6</v>
      </c>
    </row>
    <row r="12" spans="1:28" x14ac:dyDescent="0.25">
      <c r="A12" s="1">
        <v>36891</v>
      </c>
      <c r="B12">
        <v>0.38500000000000001</v>
      </c>
      <c r="C12">
        <v>0.43108333333333332</v>
      </c>
      <c r="D12" s="2">
        <v>0.89034496049335132</v>
      </c>
      <c r="E12">
        <f t="shared" si="1"/>
        <v>12</v>
      </c>
      <c r="H12" s="2">
        <v>0.70875179340028693</v>
      </c>
      <c r="I12">
        <v>1</v>
      </c>
      <c r="M12">
        <v>11</v>
      </c>
      <c r="N12" s="2">
        <v>0.90572095967744692</v>
      </c>
      <c r="O12" s="2">
        <v>0.90962286840363604</v>
      </c>
      <c r="P12" s="2">
        <v>0.92</v>
      </c>
    </row>
    <row r="13" spans="1:28" x14ac:dyDescent="0.25">
      <c r="A13" s="1">
        <v>36922</v>
      </c>
      <c r="B13">
        <v>0.29499999999999998</v>
      </c>
      <c r="C13">
        <v>0.43183333333333329</v>
      </c>
      <c r="D13" s="2">
        <v>0.68432244345640825</v>
      </c>
      <c r="E13">
        <f t="shared" si="1"/>
        <v>1</v>
      </c>
      <c r="H13" s="2">
        <v>0.73187895847994366</v>
      </c>
      <c r="I13">
        <v>1</v>
      </c>
      <c r="M13">
        <v>12</v>
      </c>
      <c r="N13" s="2">
        <v>0.94679451243328572</v>
      </c>
      <c r="O13" s="2">
        <v>0.92705932048126416</v>
      </c>
      <c r="P13" s="2">
        <v>0.83</v>
      </c>
      <c r="Q13" s="3">
        <f>N2/N13</f>
        <v>0.72237197707922851</v>
      </c>
    </row>
    <row r="14" spans="1:28" x14ac:dyDescent="0.25">
      <c r="A14" s="1">
        <v>36950</v>
      </c>
      <c r="B14">
        <v>0.30499999999999999</v>
      </c>
      <c r="C14">
        <v>0.43141666666666662</v>
      </c>
      <c r="D14" s="2">
        <v>0.70629100733307604</v>
      </c>
      <c r="E14">
        <f t="shared" si="1"/>
        <v>2</v>
      </c>
      <c r="H14" s="2">
        <v>0.75</v>
      </c>
      <c r="I14">
        <v>1</v>
      </c>
      <c r="J14" s="2">
        <f>MEDIAN(H2:H14)</f>
        <v>0.68393782383419677</v>
      </c>
      <c r="K14" s="2">
        <f>AVERAGE(H2:H14)</f>
        <v>0.67947497884141161</v>
      </c>
      <c r="M14">
        <v>1</v>
      </c>
      <c r="N14" s="2">
        <f>N2</f>
        <v>0.68393782383419677</v>
      </c>
    </row>
    <row r="15" spans="1:28" x14ac:dyDescent="0.25">
      <c r="A15" s="1">
        <v>36981</v>
      </c>
      <c r="B15">
        <v>0.438</v>
      </c>
      <c r="C15">
        <v>0.43291666666666662</v>
      </c>
      <c r="D15" s="2">
        <v>1.015259802974696</v>
      </c>
      <c r="E15">
        <f t="shared" si="1"/>
        <v>3</v>
      </c>
      <c r="H15" s="2">
        <v>0.71828538327862546</v>
      </c>
      <c r="I15">
        <v>2</v>
      </c>
      <c r="M15">
        <v>1</v>
      </c>
      <c r="N15" s="2">
        <f>N3</f>
        <v>0.71500476060482998</v>
      </c>
      <c r="S15" s="2">
        <f>AVERAGE(N2:N7)</f>
        <v>0.97995588933558775</v>
      </c>
    </row>
    <row r="16" spans="1:28" x14ac:dyDescent="0.25">
      <c r="A16" s="1">
        <v>37011</v>
      </c>
      <c r="B16">
        <v>0.45400000000000001</v>
      </c>
      <c r="C16">
        <v>0.43474999999999997</v>
      </c>
      <c r="D16" s="2">
        <v>1.0487006737247355</v>
      </c>
      <c r="E16">
        <f t="shared" si="1"/>
        <v>4</v>
      </c>
      <c r="H16" s="2">
        <v>0.70629100733307604</v>
      </c>
      <c r="I16">
        <v>2</v>
      </c>
      <c r="M16">
        <v>1</v>
      </c>
      <c r="Q16" s="2">
        <f>(SUM(N11:N13)+SUM(N2:N3))/5</f>
        <v>0.85081267200465549</v>
      </c>
    </row>
    <row r="17" spans="1:32" x14ac:dyDescent="0.25">
      <c r="A17" s="1">
        <v>37042</v>
      </c>
      <c r="B17">
        <v>0.50600000000000001</v>
      </c>
      <c r="C17">
        <v>0.43616666666666665</v>
      </c>
      <c r="D17" s="2">
        <v>1.1638872915468661</v>
      </c>
      <c r="E17">
        <f t="shared" si="1"/>
        <v>5</v>
      </c>
      <c r="H17" s="2">
        <v>0.76728624535315981</v>
      </c>
      <c r="I17">
        <v>2</v>
      </c>
      <c r="M17">
        <v>1</v>
      </c>
      <c r="Q17">
        <f>1/Q16*6</f>
        <v>7.0520811424482046</v>
      </c>
    </row>
    <row r="18" spans="1:32" x14ac:dyDescent="0.25">
      <c r="A18" s="1">
        <v>37072</v>
      </c>
      <c r="B18">
        <v>0.55700000000000005</v>
      </c>
      <c r="C18">
        <v>0.43750000000000006</v>
      </c>
      <c r="D18" s="2">
        <v>1.2770347726404281</v>
      </c>
      <c r="E18">
        <f t="shared" si="1"/>
        <v>6</v>
      </c>
      <c r="H18" s="2">
        <v>0.74454883885835854</v>
      </c>
      <c r="I18">
        <v>2</v>
      </c>
      <c r="M18">
        <v>1</v>
      </c>
      <c r="S18" t="s">
        <v>7</v>
      </c>
      <c r="T18" t="s">
        <v>8</v>
      </c>
      <c r="U18" t="s">
        <v>9</v>
      </c>
      <c r="V18" t="s">
        <v>10</v>
      </c>
      <c r="W18" t="s">
        <v>11</v>
      </c>
      <c r="X18" t="s">
        <v>12</v>
      </c>
      <c r="AB18" t="s">
        <v>30</v>
      </c>
      <c r="AC18" t="s">
        <v>29</v>
      </c>
    </row>
    <row r="19" spans="1:32" x14ac:dyDescent="0.25">
      <c r="A19" s="1">
        <v>37103</v>
      </c>
      <c r="B19">
        <v>0.53500000000000003</v>
      </c>
      <c r="C19">
        <v>0.44108333333333344</v>
      </c>
      <c r="D19" s="2">
        <v>1.2228571428571429</v>
      </c>
      <c r="E19">
        <f t="shared" si="1"/>
        <v>7</v>
      </c>
      <c r="H19" s="2">
        <v>0.73445595854922274</v>
      </c>
      <c r="I19">
        <v>2</v>
      </c>
      <c r="M19">
        <v>1</v>
      </c>
      <c r="S19" t="s">
        <v>13</v>
      </c>
      <c r="T19" t="s">
        <v>14</v>
      </c>
      <c r="U19">
        <v>3.589</v>
      </c>
      <c r="V19">
        <v>147307366940.98999</v>
      </c>
      <c r="W19">
        <v>16.3</v>
      </c>
      <c r="X19">
        <v>3.06</v>
      </c>
      <c r="Y19">
        <v>4.4740909090909096</v>
      </c>
    </row>
    <row r="20" spans="1:32" x14ac:dyDescent="0.25">
      <c r="A20" s="1">
        <v>37134</v>
      </c>
      <c r="B20">
        <v>0.56599999999999995</v>
      </c>
      <c r="C20">
        <v>0.44383333333333336</v>
      </c>
      <c r="D20" s="2">
        <v>1.2832042320045338</v>
      </c>
      <c r="E20">
        <f t="shared" si="1"/>
        <v>8</v>
      </c>
      <c r="H20" s="2">
        <v>0.71034077555816699</v>
      </c>
      <c r="I20">
        <v>2</v>
      </c>
      <c r="M20">
        <v>1</v>
      </c>
      <c r="S20" t="s">
        <v>13</v>
      </c>
      <c r="T20" t="s">
        <v>15</v>
      </c>
      <c r="U20">
        <v>3.589</v>
      </c>
      <c r="V20">
        <v>146677124975.14001</v>
      </c>
      <c r="W20">
        <v>17.3</v>
      </c>
      <c r="X20">
        <v>3</v>
      </c>
      <c r="Y20">
        <v>4.1957762595346484</v>
      </c>
      <c r="AA20" s="3">
        <f>X20/X19-1</f>
        <v>-1.9607843137254943E-2</v>
      </c>
      <c r="AB20" s="3">
        <v>-2.1162340402210766E-2</v>
      </c>
      <c r="AC20" s="3">
        <v>4.5423627247971332E-2</v>
      </c>
      <c r="AE20">
        <f>ABS(AB20-AA20)</f>
        <v>1.5544972649558231E-3</v>
      </c>
      <c r="AF20">
        <f>ABS(AC20-AA20)</f>
        <v>6.5031470385226275E-2</v>
      </c>
    </row>
    <row r="21" spans="1:32" x14ac:dyDescent="0.25">
      <c r="A21" s="1">
        <v>37164</v>
      </c>
      <c r="B21">
        <v>0.42</v>
      </c>
      <c r="C21">
        <v>0.44191666666666657</v>
      </c>
      <c r="D21" s="2">
        <v>0.94630116410063825</v>
      </c>
      <c r="E21">
        <f t="shared" si="1"/>
        <v>9</v>
      </c>
      <c r="H21" s="2">
        <v>0.68260931088156229</v>
      </c>
      <c r="I21">
        <v>2</v>
      </c>
      <c r="M21">
        <v>1</v>
      </c>
      <c r="S21" t="s">
        <v>13</v>
      </c>
      <c r="T21" t="s">
        <v>16</v>
      </c>
      <c r="U21">
        <v>3.589</v>
      </c>
      <c r="V21">
        <v>146062768770.64999</v>
      </c>
      <c r="W21">
        <v>18.3</v>
      </c>
      <c r="X21">
        <v>4.0599999999999996</v>
      </c>
      <c r="Y21">
        <v>4.1680120235279743</v>
      </c>
      <c r="AA21" s="3">
        <f t="shared" ref="AA21:AA26" si="3">X21/X20-1</f>
        <v>0.35333333333333328</v>
      </c>
      <c r="AB21" s="3">
        <v>0.28326892725415687</v>
      </c>
      <c r="AC21" s="3">
        <v>0.36234824640226471</v>
      </c>
      <c r="AE21">
        <f t="shared" ref="AE21:AE26" si="4">ABS(AB21-AA21)</f>
        <v>7.0064406079176411E-2</v>
      </c>
      <c r="AF21">
        <f t="shared" ref="AF21:AF26" si="5">ABS(AC21-AA21)</f>
        <v>9.0149130689314294E-3</v>
      </c>
    </row>
    <row r="22" spans="1:32" x14ac:dyDescent="0.25">
      <c r="A22" s="1">
        <v>37195</v>
      </c>
      <c r="B22">
        <v>0.443</v>
      </c>
      <c r="C22">
        <v>0.4426666666666666</v>
      </c>
      <c r="D22" s="2">
        <v>1.0024514425796722</v>
      </c>
      <c r="E22">
        <f t="shared" si="1"/>
        <v>10</v>
      </c>
      <c r="H22" s="2">
        <v>0.64779091474797756</v>
      </c>
      <c r="I22">
        <v>2</v>
      </c>
      <c r="M22">
        <v>1</v>
      </c>
      <c r="S22" t="s">
        <v>13</v>
      </c>
      <c r="T22" t="s">
        <v>17</v>
      </c>
      <c r="U22">
        <v>3.589</v>
      </c>
      <c r="V22">
        <v>145307626764.72</v>
      </c>
      <c r="W22">
        <v>19.3</v>
      </c>
      <c r="X22">
        <v>4.62</v>
      </c>
      <c r="Y22">
        <v>4.253493826993628</v>
      </c>
      <c r="AA22" s="3">
        <f t="shared" si="3"/>
        <v>0.13793103448275867</v>
      </c>
      <c r="AB22" s="3">
        <v>0.21183883043887475</v>
      </c>
      <c r="AC22" s="3">
        <v>0.11506221158008723</v>
      </c>
      <c r="AE22">
        <f t="shared" si="4"/>
        <v>7.3907795956116074E-2</v>
      </c>
      <c r="AF22">
        <f t="shared" si="5"/>
        <v>2.2868822902671448E-2</v>
      </c>
    </row>
    <row r="23" spans="1:32" x14ac:dyDescent="0.25">
      <c r="A23" s="1">
        <v>37225</v>
      </c>
      <c r="B23">
        <v>0.40500000000000003</v>
      </c>
      <c r="C23">
        <v>0.44241666666666668</v>
      </c>
      <c r="D23" s="2">
        <v>0.91490963855421703</v>
      </c>
      <c r="E23">
        <f t="shared" si="1"/>
        <v>11</v>
      </c>
      <c r="H23" s="2">
        <v>0.63734036083519152</v>
      </c>
      <c r="I23">
        <v>2</v>
      </c>
      <c r="M23">
        <v>1</v>
      </c>
      <c r="S23" t="s">
        <v>13</v>
      </c>
      <c r="T23" t="s">
        <v>18</v>
      </c>
      <c r="U23">
        <v>3.589</v>
      </c>
      <c r="V23">
        <v>144484326573.10001</v>
      </c>
      <c r="W23">
        <v>20.3</v>
      </c>
      <c r="X23">
        <v>5.59</v>
      </c>
      <c r="Y23">
        <v>4.7960456720026752</v>
      </c>
      <c r="AA23" s="3">
        <f t="shared" si="3"/>
        <v>0.2099567099567099</v>
      </c>
      <c r="AB23" s="3">
        <v>4.2898504281950078E-2</v>
      </c>
      <c r="AC23" s="3">
        <v>7.3080564427017602E-2</v>
      </c>
      <c r="AE23">
        <f t="shared" si="4"/>
        <v>0.16705820567475982</v>
      </c>
      <c r="AF23">
        <f t="shared" si="5"/>
        <v>0.13687614552969229</v>
      </c>
    </row>
    <row r="24" spans="1:32" x14ac:dyDescent="0.25">
      <c r="A24" s="1">
        <v>37256</v>
      </c>
      <c r="B24">
        <v>0.40899999999999997</v>
      </c>
      <c r="C24">
        <v>0.44441666666666668</v>
      </c>
      <c r="D24" s="2">
        <v>0.92446788472405339</v>
      </c>
      <c r="E24">
        <f t="shared" si="1"/>
        <v>12</v>
      </c>
      <c r="H24" s="2">
        <v>0.69539810080350617</v>
      </c>
      <c r="I24">
        <v>2</v>
      </c>
      <c r="M24">
        <v>1</v>
      </c>
      <c r="S24" t="s">
        <v>13</v>
      </c>
      <c r="T24" t="s">
        <v>19</v>
      </c>
      <c r="U24">
        <v>3.589</v>
      </c>
      <c r="V24">
        <v>143549401691.39999</v>
      </c>
      <c r="W24">
        <v>21.3</v>
      </c>
      <c r="X24">
        <v>6.4</v>
      </c>
      <c r="Y24">
        <v>5.0996104163422231</v>
      </c>
      <c r="AA24" s="3">
        <f t="shared" si="3"/>
        <v>0.14490161001788926</v>
      </c>
      <c r="AB24" s="3">
        <v>8.0986389369651635E-2</v>
      </c>
      <c r="AC24" s="3">
        <v>7.6748999099758741E-2</v>
      </c>
      <c r="AE24">
        <f t="shared" si="4"/>
        <v>6.3915220648237625E-2</v>
      </c>
      <c r="AF24">
        <f t="shared" si="5"/>
        <v>6.8152610918130518E-2</v>
      </c>
    </row>
    <row r="25" spans="1:32" x14ac:dyDescent="0.25">
      <c r="A25" s="1">
        <v>37287</v>
      </c>
      <c r="B25">
        <v>0.34200000000000003</v>
      </c>
      <c r="C25">
        <v>0.44833333333333331</v>
      </c>
      <c r="D25" s="2">
        <v>0.7695480967560473</v>
      </c>
      <c r="E25">
        <f t="shared" si="1"/>
        <v>1</v>
      </c>
      <c r="H25" s="2">
        <v>0.71172413793103451</v>
      </c>
      <c r="I25">
        <v>2</v>
      </c>
      <c r="M25">
        <v>1</v>
      </c>
      <c r="S25" t="s">
        <v>13</v>
      </c>
      <c r="T25" t="s">
        <v>20</v>
      </c>
      <c r="U25">
        <v>3.589</v>
      </c>
      <c r="V25">
        <v>142509205614.70999</v>
      </c>
      <c r="W25">
        <v>22.3</v>
      </c>
      <c r="X25">
        <v>6.64</v>
      </c>
      <c r="Y25">
        <v>5.6400254135893917</v>
      </c>
      <c r="Z25">
        <f>AVERAGE(Y19:Y25)</f>
        <v>4.6610077887259225</v>
      </c>
      <c r="AA25" s="3">
        <f t="shared" si="3"/>
        <v>3.7499999999999867E-2</v>
      </c>
      <c r="AB25" s="3">
        <v>1.5494671269712823E-2</v>
      </c>
      <c r="AC25" s="3">
        <v>-6.1910998803835771E-2</v>
      </c>
      <c r="AE25">
        <f t="shared" si="4"/>
        <v>2.2005328730287044E-2</v>
      </c>
      <c r="AF25">
        <f t="shared" si="5"/>
        <v>9.9410998803835637E-2</v>
      </c>
    </row>
    <row r="26" spans="1:32" x14ac:dyDescent="0.25">
      <c r="A26" s="1">
        <v>37315</v>
      </c>
      <c r="B26">
        <v>0.34399999999999997</v>
      </c>
      <c r="C26">
        <v>0.45158333333333328</v>
      </c>
      <c r="D26" s="2">
        <v>0.76728624535315981</v>
      </c>
      <c r="E26">
        <f t="shared" si="1"/>
        <v>2</v>
      </c>
      <c r="H26" s="2">
        <v>0.72371871275327782</v>
      </c>
      <c r="I26">
        <v>2</v>
      </c>
      <c r="M26">
        <v>2</v>
      </c>
      <c r="X26">
        <v>6.31</v>
      </c>
      <c r="Y26">
        <v>5.1033728463578276</v>
      </c>
      <c r="Z26">
        <f>AVERAGE(Y19:Y26)</f>
        <v>4.7163034209299104</v>
      </c>
      <c r="AA26" s="3">
        <f t="shared" si="3"/>
        <v>-4.9698795180722954E-2</v>
      </c>
      <c r="AB26" s="3">
        <v>-8.2526888397927323E-2</v>
      </c>
      <c r="AC26" s="3">
        <v>5.0231505144771926E-2</v>
      </c>
      <c r="AE26">
        <f t="shared" si="4"/>
        <v>3.2828093217204368E-2</v>
      </c>
      <c r="AF26">
        <f t="shared" si="5"/>
        <v>9.9930300325494881E-2</v>
      </c>
    </row>
    <row r="27" spans="1:32" x14ac:dyDescent="0.25">
      <c r="A27" s="1">
        <v>37346</v>
      </c>
      <c r="B27">
        <v>0.438</v>
      </c>
      <c r="C27">
        <v>0.45158333333333328</v>
      </c>
      <c r="D27" s="2">
        <v>0.96992064956634072</v>
      </c>
      <c r="E27">
        <f t="shared" si="1"/>
        <v>3</v>
      </c>
      <c r="H27" s="2">
        <v>0.80542563143124413</v>
      </c>
      <c r="I27">
        <v>2</v>
      </c>
      <c r="M27">
        <v>2</v>
      </c>
      <c r="S27" t="s">
        <v>7</v>
      </c>
      <c r="T27" t="s">
        <v>8</v>
      </c>
      <c r="U27" t="s">
        <v>9</v>
      </c>
      <c r="V27" t="s">
        <v>10</v>
      </c>
      <c r="W27" t="s">
        <v>11</v>
      </c>
      <c r="X27" t="s">
        <v>12</v>
      </c>
      <c r="AE27">
        <f>AVERAGE(AE20:AE26)</f>
        <v>6.161907822439102E-2</v>
      </c>
      <c r="AF27">
        <f>AVERAGE(AF20:AF26)</f>
        <v>7.1612180276283216E-2</v>
      </c>
    </row>
    <row r="28" spans="1:32" x14ac:dyDescent="0.25">
      <c r="A28" s="1">
        <v>37376</v>
      </c>
      <c r="B28">
        <v>0.502</v>
      </c>
      <c r="C28">
        <v>0.45558333333333328</v>
      </c>
      <c r="D28" s="2">
        <v>1.1116442147997787</v>
      </c>
      <c r="E28">
        <f t="shared" si="1"/>
        <v>4</v>
      </c>
      <c r="H28" s="2">
        <v>0.77832302112225304</v>
      </c>
      <c r="I28">
        <v>2</v>
      </c>
      <c r="J28" s="2">
        <f>MEDIAN(H15:H28)</f>
        <v>0.71500476060482998</v>
      </c>
      <c r="K28" s="2">
        <f>AVERAGE(H15:H28)</f>
        <v>0.71882417138833266</v>
      </c>
      <c r="M28">
        <v>2</v>
      </c>
      <c r="S28" t="s">
        <v>21</v>
      </c>
      <c r="T28" t="s">
        <v>14</v>
      </c>
      <c r="U28">
        <v>3.6120000000000001</v>
      </c>
      <c r="V28">
        <v>76127198078.389999</v>
      </c>
      <c r="W28">
        <v>15.8</v>
      </c>
      <c r="X28">
        <v>2.99</v>
      </c>
      <c r="Y28">
        <v>4.3717424242424254</v>
      </c>
    </row>
    <row r="29" spans="1:32" x14ac:dyDescent="0.25">
      <c r="A29" s="1">
        <v>37407</v>
      </c>
      <c r="B29">
        <v>0.54300000000000004</v>
      </c>
      <c r="C29">
        <v>0.45866666666666661</v>
      </c>
      <c r="D29" s="2">
        <v>1.1918785439912203</v>
      </c>
      <c r="E29">
        <f t="shared" si="1"/>
        <v>5</v>
      </c>
      <c r="H29" s="2">
        <v>0.96997690531177849</v>
      </c>
      <c r="I29">
        <v>3</v>
      </c>
      <c r="M29">
        <v>2</v>
      </c>
      <c r="S29" t="s">
        <v>21</v>
      </c>
      <c r="T29" t="s">
        <v>15</v>
      </c>
      <c r="U29">
        <v>3.6120000000000001</v>
      </c>
      <c r="V29">
        <v>75805429416.050003</v>
      </c>
      <c r="W29">
        <v>16.8</v>
      </c>
      <c r="X29">
        <v>2.8</v>
      </c>
      <c r="Y29">
        <v>3.916057842232338</v>
      </c>
    </row>
    <row r="30" spans="1:32" x14ac:dyDescent="0.25">
      <c r="A30" s="1">
        <v>37437</v>
      </c>
      <c r="B30">
        <v>0.54200000000000004</v>
      </c>
      <c r="C30">
        <v>0.45741666666666664</v>
      </c>
      <c r="D30" s="2">
        <v>1.1816860465116281</v>
      </c>
      <c r="E30">
        <f t="shared" si="1"/>
        <v>6</v>
      </c>
      <c r="H30" s="2">
        <v>1.015259802974696</v>
      </c>
      <c r="I30">
        <v>3</v>
      </c>
      <c r="M30">
        <v>2</v>
      </c>
      <c r="S30" t="s">
        <v>21</v>
      </c>
      <c r="T30" t="s">
        <v>16</v>
      </c>
      <c r="U30">
        <v>3.6120000000000001</v>
      </c>
      <c r="V30">
        <v>75488827976.669998</v>
      </c>
      <c r="W30">
        <v>17.8</v>
      </c>
      <c r="X30">
        <v>4.0999999999999996</v>
      </c>
      <c r="Y30">
        <v>4.2090761813952451</v>
      </c>
    </row>
    <row r="31" spans="1:32" x14ac:dyDescent="0.25">
      <c r="A31" s="1">
        <v>37468</v>
      </c>
      <c r="B31">
        <v>0.54400000000000004</v>
      </c>
      <c r="C31">
        <v>0.45816666666666661</v>
      </c>
      <c r="D31" s="2">
        <v>1.1892876662415741</v>
      </c>
      <c r="E31">
        <f t="shared" si="1"/>
        <v>7</v>
      </c>
      <c r="H31" s="2">
        <v>0.96992064956634072</v>
      </c>
      <c r="I31">
        <v>3</v>
      </c>
      <c r="M31">
        <v>2</v>
      </c>
      <c r="S31" t="s">
        <v>21</v>
      </c>
      <c r="T31" t="s">
        <v>17</v>
      </c>
      <c r="U31">
        <v>3.6120000000000001</v>
      </c>
      <c r="V31">
        <v>75100006541.899994</v>
      </c>
      <c r="W31">
        <v>18.8</v>
      </c>
      <c r="X31">
        <v>4.59</v>
      </c>
      <c r="Y31">
        <v>4.2258737372079551</v>
      </c>
    </row>
    <row r="32" spans="1:32" x14ac:dyDescent="0.25">
      <c r="A32" s="1">
        <v>37499</v>
      </c>
      <c r="B32">
        <v>0.54900000000000004</v>
      </c>
      <c r="C32">
        <v>0.45675000000000004</v>
      </c>
      <c r="D32" s="2">
        <v>1.198253910512914</v>
      </c>
      <c r="E32">
        <f t="shared" si="1"/>
        <v>8</v>
      </c>
      <c r="H32" s="2">
        <v>0.947759872498672</v>
      </c>
      <c r="I32">
        <v>3</v>
      </c>
      <c r="M32">
        <v>2</v>
      </c>
      <c r="S32" t="s">
        <v>21</v>
      </c>
      <c r="T32" t="s">
        <v>18</v>
      </c>
      <c r="U32">
        <v>3.6120000000000001</v>
      </c>
      <c r="V32">
        <v>74686812695.679993</v>
      </c>
      <c r="W32">
        <v>19.8</v>
      </c>
      <c r="X32">
        <v>5.4</v>
      </c>
      <c r="Y32">
        <v>4.633031597283443</v>
      </c>
    </row>
    <row r="33" spans="1:26" x14ac:dyDescent="0.25">
      <c r="A33" s="1">
        <v>37529</v>
      </c>
      <c r="B33">
        <v>0.45700000000000002</v>
      </c>
      <c r="C33">
        <v>0.45983333333333337</v>
      </c>
      <c r="D33" s="2">
        <v>1.0005473453749316</v>
      </c>
      <c r="E33">
        <f t="shared" si="1"/>
        <v>9</v>
      </c>
      <c r="H33" s="2">
        <v>1.0270793036750483</v>
      </c>
      <c r="I33">
        <v>3</v>
      </c>
      <c r="M33">
        <v>2</v>
      </c>
      <c r="S33" t="s">
        <v>21</v>
      </c>
      <c r="T33" t="s">
        <v>19</v>
      </c>
      <c r="U33">
        <v>3.6120000000000001</v>
      </c>
      <c r="V33">
        <v>74201910231.910004</v>
      </c>
      <c r="W33">
        <v>20.8</v>
      </c>
      <c r="X33">
        <v>6.81</v>
      </c>
      <c r="Y33">
        <v>5.426304208639146</v>
      </c>
    </row>
    <row r="34" spans="1:26" x14ac:dyDescent="0.25">
      <c r="A34" s="1">
        <v>37560</v>
      </c>
      <c r="B34">
        <v>0.48099999999999998</v>
      </c>
      <c r="C34">
        <v>0.46300000000000008</v>
      </c>
      <c r="D34" s="2">
        <v>1.0460311707140266</v>
      </c>
      <c r="E34">
        <f t="shared" si="1"/>
        <v>10</v>
      </c>
      <c r="H34" s="2">
        <v>0.97819405824674377</v>
      </c>
      <c r="I34">
        <v>3</v>
      </c>
      <c r="M34">
        <v>2</v>
      </c>
      <c r="S34" t="s">
        <v>21</v>
      </c>
      <c r="T34" t="s">
        <v>20</v>
      </c>
      <c r="U34">
        <v>3.6120000000000001</v>
      </c>
      <c r="V34">
        <v>73638302619.570007</v>
      </c>
      <c r="W34">
        <v>21.8</v>
      </c>
      <c r="X34">
        <v>6.74</v>
      </c>
      <c r="Y34">
        <v>5.7249655553603169</v>
      </c>
      <c r="Z34">
        <f>AVERAGE(Y28:Y34)</f>
        <v>4.6438645066229816</v>
      </c>
    </row>
    <row r="35" spans="1:26" x14ac:dyDescent="0.25">
      <c r="A35" s="1">
        <v>37590</v>
      </c>
      <c r="B35">
        <v>0.43</v>
      </c>
      <c r="C35">
        <v>0.46508333333333329</v>
      </c>
      <c r="D35" s="2">
        <v>0.9287257019438443</v>
      </c>
      <c r="E35">
        <f t="shared" si="1"/>
        <v>11</v>
      </c>
      <c r="H35" s="2">
        <v>0.94084347579960403</v>
      </c>
      <c r="I35">
        <v>3</v>
      </c>
      <c r="M35">
        <v>2</v>
      </c>
    </row>
    <row r="36" spans="1:26" x14ac:dyDescent="0.25">
      <c r="A36" s="1">
        <v>37621</v>
      </c>
      <c r="B36">
        <v>0.45900000000000002</v>
      </c>
      <c r="C36">
        <v>0.46924999999999994</v>
      </c>
      <c r="D36" s="2">
        <v>0.98691990682673369</v>
      </c>
      <c r="E36">
        <f t="shared" si="1"/>
        <v>12</v>
      </c>
      <c r="H36" s="2">
        <v>0.82096343951043449</v>
      </c>
      <c r="I36">
        <v>3</v>
      </c>
      <c r="M36">
        <v>2</v>
      </c>
    </row>
    <row r="37" spans="1:26" x14ac:dyDescent="0.25">
      <c r="A37" s="1">
        <v>37652</v>
      </c>
      <c r="B37">
        <v>0.35199999999999998</v>
      </c>
      <c r="C37">
        <v>0.47008333333333324</v>
      </c>
      <c r="D37" s="2">
        <v>0.75013319126265321</v>
      </c>
      <c r="E37">
        <f t="shared" si="1"/>
        <v>1</v>
      </c>
      <c r="H37" s="2">
        <v>0.78217821782178198</v>
      </c>
      <c r="I37">
        <v>3</v>
      </c>
      <c r="M37">
        <v>2</v>
      </c>
    </row>
    <row r="38" spans="1:26" x14ac:dyDescent="0.25">
      <c r="A38" s="1">
        <v>37680</v>
      </c>
      <c r="B38">
        <v>0.35</v>
      </c>
      <c r="C38">
        <v>0.4705833333333333</v>
      </c>
      <c r="D38" s="2">
        <v>0.74454883885835854</v>
      </c>
      <c r="E38">
        <f t="shared" si="1"/>
        <v>2</v>
      </c>
      <c r="H38" s="2">
        <v>0.89346069066862599</v>
      </c>
      <c r="I38">
        <v>3</v>
      </c>
      <c r="M38">
        <v>2</v>
      </c>
    </row>
    <row r="39" spans="1:26" x14ac:dyDescent="0.25">
      <c r="A39" s="1">
        <v>37711</v>
      </c>
      <c r="B39">
        <v>0.44600000000000001</v>
      </c>
      <c r="C39">
        <v>0.47124999999999995</v>
      </c>
      <c r="D39" s="2">
        <v>0.947759872498672</v>
      </c>
      <c r="E39">
        <f t="shared" si="1"/>
        <v>3</v>
      </c>
      <c r="H39" s="2">
        <v>1.0050343249427918</v>
      </c>
      <c r="I39">
        <v>3</v>
      </c>
      <c r="M39">
        <v>3</v>
      </c>
    </row>
    <row r="40" spans="1:26" x14ac:dyDescent="0.25">
      <c r="A40" s="1">
        <v>37741</v>
      </c>
      <c r="B40">
        <v>0.51700000000000002</v>
      </c>
      <c r="C40">
        <v>0.47249999999999998</v>
      </c>
      <c r="D40" s="2">
        <v>1.097082228116711</v>
      </c>
      <c r="E40">
        <f t="shared" si="1"/>
        <v>4</v>
      </c>
      <c r="H40" s="2">
        <v>0.99379474940334134</v>
      </c>
      <c r="I40">
        <v>3</v>
      </c>
      <c r="M40">
        <v>3</v>
      </c>
    </row>
    <row r="41" spans="1:26" x14ac:dyDescent="0.25">
      <c r="A41" s="1">
        <v>37772</v>
      </c>
      <c r="B41">
        <v>0.56499999999999995</v>
      </c>
      <c r="C41">
        <v>0.47433333333333333</v>
      </c>
      <c r="D41" s="2">
        <v>1.1957671957671958</v>
      </c>
      <c r="E41">
        <f t="shared" si="1"/>
        <v>5</v>
      </c>
      <c r="H41" s="2">
        <v>1.0023201856148491</v>
      </c>
      <c r="I41">
        <v>3</v>
      </c>
      <c r="M41">
        <v>3</v>
      </c>
    </row>
    <row r="42" spans="1:26" x14ac:dyDescent="0.25">
      <c r="A42" s="1">
        <v>37802</v>
      </c>
      <c r="B42">
        <v>0.60099999999999998</v>
      </c>
      <c r="C42">
        <v>0.47925000000000001</v>
      </c>
      <c r="D42" s="2">
        <v>1.2670414617006325</v>
      </c>
      <c r="E42">
        <f t="shared" si="1"/>
        <v>6</v>
      </c>
      <c r="H42" s="2">
        <v>0.9872448979591838</v>
      </c>
      <c r="I42">
        <v>3</v>
      </c>
      <c r="J42" s="2">
        <f>MEDIAN(H29:H42)</f>
        <v>0.97408548177926113</v>
      </c>
      <c r="K42" s="2">
        <f>AVERAGE(H29:H42)</f>
        <v>0.95243075528527776</v>
      </c>
      <c r="M42">
        <v>3</v>
      </c>
    </row>
    <row r="43" spans="1:26" x14ac:dyDescent="0.25">
      <c r="A43" s="1">
        <v>37833</v>
      </c>
      <c r="B43">
        <v>0.63200000000000001</v>
      </c>
      <c r="C43">
        <v>0.48658333333333331</v>
      </c>
      <c r="D43" s="2">
        <v>1.3187271778821075</v>
      </c>
      <c r="E43">
        <f t="shared" si="1"/>
        <v>7</v>
      </c>
      <c r="H43" s="2">
        <v>0.99615680245964655</v>
      </c>
      <c r="I43">
        <v>4</v>
      </c>
      <c r="M43">
        <v>3</v>
      </c>
    </row>
    <row r="44" spans="1:26" x14ac:dyDescent="0.25">
      <c r="A44" s="1">
        <v>37864</v>
      </c>
      <c r="B44">
        <v>0.64500000000000002</v>
      </c>
      <c r="C44">
        <v>0.49458333333333337</v>
      </c>
      <c r="D44" s="2">
        <v>1.3255694468230863</v>
      </c>
      <c r="E44">
        <f t="shared" si="1"/>
        <v>8</v>
      </c>
      <c r="H44" s="2">
        <v>1.0487006737247355</v>
      </c>
      <c r="I44">
        <v>4</v>
      </c>
      <c r="M44">
        <v>3</v>
      </c>
    </row>
    <row r="45" spans="1:26" x14ac:dyDescent="0.25">
      <c r="A45" s="1">
        <v>37894</v>
      </c>
      <c r="B45">
        <v>0.56599999999999995</v>
      </c>
      <c r="C45">
        <v>0.5036666666666666</v>
      </c>
      <c r="D45" s="2">
        <v>1.1443976411120469</v>
      </c>
      <c r="E45">
        <f t="shared" si="1"/>
        <v>9</v>
      </c>
      <c r="H45" s="2">
        <v>1.1116442147997787</v>
      </c>
      <c r="I45">
        <v>4</v>
      </c>
      <c r="M45">
        <v>3</v>
      </c>
    </row>
    <row r="46" spans="1:26" x14ac:dyDescent="0.25">
      <c r="A46" s="1">
        <v>37925</v>
      </c>
      <c r="B46">
        <v>0.54600000000000004</v>
      </c>
      <c r="C46">
        <v>0.50908333333333333</v>
      </c>
      <c r="D46" s="2">
        <v>1.084050297816016</v>
      </c>
      <c r="E46">
        <f t="shared" si="1"/>
        <v>10</v>
      </c>
      <c r="H46" s="2">
        <v>1.097082228116711</v>
      </c>
      <c r="I46">
        <v>4</v>
      </c>
      <c r="M46">
        <v>3</v>
      </c>
    </row>
    <row r="47" spans="1:26" x14ac:dyDescent="0.25">
      <c r="A47" s="1">
        <v>37955</v>
      </c>
      <c r="B47">
        <v>0.44600000000000001</v>
      </c>
      <c r="C47">
        <v>0.51041666666666663</v>
      </c>
      <c r="D47" s="2">
        <v>0.87608446554264197</v>
      </c>
      <c r="E47">
        <f t="shared" si="1"/>
        <v>11</v>
      </c>
      <c r="H47" s="2">
        <v>1.1563046589282875</v>
      </c>
      <c r="I47">
        <v>4</v>
      </c>
      <c r="M47">
        <v>3</v>
      </c>
    </row>
    <row r="48" spans="1:26" x14ac:dyDescent="0.25">
      <c r="A48" s="1">
        <v>37986</v>
      </c>
      <c r="B48">
        <v>0.51</v>
      </c>
      <c r="C48">
        <v>0.51466666666666672</v>
      </c>
      <c r="D48" s="2">
        <v>0.99918367346938786</v>
      </c>
      <c r="E48">
        <f t="shared" si="1"/>
        <v>12</v>
      </c>
      <c r="H48" s="2">
        <v>1.0934538562472664</v>
      </c>
      <c r="I48">
        <v>4</v>
      </c>
      <c r="M48">
        <v>3</v>
      </c>
    </row>
    <row r="49" spans="1:13" x14ac:dyDescent="0.25">
      <c r="A49" s="1">
        <v>38017</v>
      </c>
      <c r="B49">
        <v>0.35199999999999998</v>
      </c>
      <c r="C49">
        <v>0.51466666666666672</v>
      </c>
      <c r="D49" s="2">
        <v>0.68393782383419677</v>
      </c>
      <c r="E49">
        <f t="shared" si="1"/>
        <v>1</v>
      </c>
      <c r="H49" s="2">
        <v>0.95143706640237868</v>
      </c>
      <c r="I49">
        <v>4</v>
      </c>
      <c r="M49">
        <v>3</v>
      </c>
    </row>
    <row r="50" spans="1:13" x14ac:dyDescent="0.25">
      <c r="A50" s="1">
        <v>38046</v>
      </c>
      <c r="B50">
        <v>0.378</v>
      </c>
      <c r="C50">
        <v>0.51700000000000002</v>
      </c>
      <c r="D50" s="2">
        <v>0.73445595854922274</v>
      </c>
      <c r="E50">
        <f t="shared" si="1"/>
        <v>2</v>
      </c>
      <c r="H50" s="2">
        <v>0.87865707434052742</v>
      </c>
      <c r="I50">
        <v>4</v>
      </c>
      <c r="M50">
        <v>3</v>
      </c>
    </row>
    <row r="51" spans="1:13" x14ac:dyDescent="0.25">
      <c r="A51" s="1">
        <v>38077</v>
      </c>
      <c r="B51">
        <v>0.53100000000000003</v>
      </c>
      <c r="C51">
        <v>0.52408333333333335</v>
      </c>
      <c r="D51" s="2">
        <v>1.0270793036750483</v>
      </c>
      <c r="E51">
        <f t="shared" si="1"/>
        <v>3</v>
      </c>
      <c r="H51" s="2">
        <v>0.92385786802030434</v>
      </c>
      <c r="I51">
        <v>4</v>
      </c>
      <c r="M51">
        <v>3</v>
      </c>
    </row>
    <row r="52" spans="1:13" x14ac:dyDescent="0.25">
      <c r="A52" s="1">
        <v>38107</v>
      </c>
      <c r="B52">
        <v>0.60599999999999998</v>
      </c>
      <c r="C52">
        <v>0.53149999999999997</v>
      </c>
      <c r="D52" s="2">
        <v>1.1563046589282875</v>
      </c>
      <c r="E52">
        <f t="shared" si="1"/>
        <v>4</v>
      </c>
      <c r="H52" s="2">
        <v>1.0287398673544583</v>
      </c>
      <c r="I52">
        <v>4</v>
      </c>
      <c r="M52">
        <v>4</v>
      </c>
    </row>
    <row r="53" spans="1:13" x14ac:dyDescent="0.25">
      <c r="A53" s="1">
        <v>38138</v>
      </c>
      <c r="B53">
        <v>0.623</v>
      </c>
      <c r="C53">
        <v>0.53633333333333344</v>
      </c>
      <c r="D53" s="2">
        <v>1.1721542803386642</v>
      </c>
      <c r="E53">
        <f t="shared" si="1"/>
        <v>5</v>
      </c>
      <c r="H53" s="2">
        <v>1.1994584837545128</v>
      </c>
      <c r="I53">
        <v>4</v>
      </c>
      <c r="M53">
        <v>4</v>
      </c>
    </row>
    <row r="54" spans="1:13" x14ac:dyDescent="0.25">
      <c r="A54" s="1">
        <v>38168</v>
      </c>
      <c r="B54">
        <v>0.72599999999999998</v>
      </c>
      <c r="C54">
        <v>0.54674999999999996</v>
      </c>
      <c r="D54" s="2">
        <v>1.3536357986326908</v>
      </c>
      <c r="E54">
        <f t="shared" si="1"/>
        <v>6</v>
      </c>
      <c r="H54" s="2">
        <v>1.0788779669144091</v>
      </c>
      <c r="I54">
        <v>4</v>
      </c>
      <c r="M54">
        <v>4</v>
      </c>
    </row>
    <row r="55" spans="1:13" x14ac:dyDescent="0.25">
      <c r="A55" s="1">
        <v>38199</v>
      </c>
      <c r="B55">
        <v>0.68100000000000005</v>
      </c>
      <c r="C55">
        <v>0.5508333333333334</v>
      </c>
      <c r="D55" s="2">
        <v>1.245541838134431</v>
      </c>
      <c r="E55">
        <f t="shared" si="1"/>
        <v>7</v>
      </c>
      <c r="H55" s="2">
        <v>1.1103400416377516</v>
      </c>
      <c r="I55">
        <v>4</v>
      </c>
      <c r="M55">
        <v>4</v>
      </c>
    </row>
    <row r="56" spans="1:13" x14ac:dyDescent="0.25">
      <c r="A56" s="1">
        <v>38230</v>
      </c>
      <c r="B56">
        <v>0.67700000000000005</v>
      </c>
      <c r="C56">
        <v>0.55349999999999999</v>
      </c>
      <c r="D56" s="2">
        <v>1.2290468986384266</v>
      </c>
      <c r="E56">
        <f t="shared" si="1"/>
        <v>8</v>
      </c>
      <c r="H56" s="2">
        <v>1.1515535827520609</v>
      </c>
      <c r="I56">
        <v>4</v>
      </c>
      <c r="J56" s="2">
        <f>MEDIAN(H43:H56)</f>
        <v>1.0861659115808378</v>
      </c>
      <c r="K56" s="2">
        <f>AVERAGE(H43:H56)</f>
        <v>1.0590188846752022</v>
      </c>
      <c r="M56">
        <v>4</v>
      </c>
    </row>
    <row r="57" spans="1:13" x14ac:dyDescent="0.25">
      <c r="A57" s="1">
        <v>38260</v>
      </c>
      <c r="B57">
        <v>0.57099999999999995</v>
      </c>
      <c r="C57">
        <v>0.55391666666666672</v>
      </c>
      <c r="D57" s="2">
        <v>1.0316169828364949</v>
      </c>
      <c r="E57">
        <f t="shared" si="1"/>
        <v>9</v>
      </c>
      <c r="H57" s="2">
        <v>1.1323813199536858</v>
      </c>
      <c r="I57">
        <v>5</v>
      </c>
      <c r="M57">
        <v>4</v>
      </c>
    </row>
    <row r="58" spans="1:13" x14ac:dyDescent="0.25">
      <c r="A58" s="1">
        <v>38291</v>
      </c>
      <c r="B58">
        <v>0.55600000000000005</v>
      </c>
      <c r="C58">
        <v>0.55474999999999997</v>
      </c>
      <c r="D58" s="2">
        <v>1.0037610952309313</v>
      </c>
      <c r="E58">
        <f t="shared" si="1"/>
        <v>10</v>
      </c>
      <c r="H58" s="2">
        <v>1.1638872915468661</v>
      </c>
      <c r="I58">
        <v>5</v>
      </c>
      <c r="M58">
        <v>4</v>
      </c>
    </row>
    <row r="59" spans="1:13" x14ac:dyDescent="0.25">
      <c r="A59" s="1">
        <v>38321</v>
      </c>
      <c r="B59">
        <v>0.53100000000000003</v>
      </c>
      <c r="C59">
        <v>0.5618333333333333</v>
      </c>
      <c r="D59" s="2">
        <v>0.95718792248760709</v>
      </c>
      <c r="E59">
        <f t="shared" si="1"/>
        <v>11</v>
      </c>
      <c r="H59" s="2">
        <v>1.1918785439912203</v>
      </c>
      <c r="I59">
        <v>5</v>
      </c>
      <c r="M59">
        <v>4</v>
      </c>
    </row>
    <row r="60" spans="1:13" x14ac:dyDescent="0.25">
      <c r="A60" s="1">
        <v>38352</v>
      </c>
      <c r="B60">
        <v>0.54600000000000004</v>
      </c>
      <c r="C60">
        <v>0.5648333333333333</v>
      </c>
      <c r="D60" s="2">
        <v>0.97181845149807189</v>
      </c>
      <c r="E60">
        <f t="shared" si="1"/>
        <v>12</v>
      </c>
      <c r="H60" s="2">
        <v>1.1957671957671958</v>
      </c>
      <c r="I60">
        <v>5</v>
      </c>
      <c r="M60">
        <v>4</v>
      </c>
    </row>
    <row r="61" spans="1:13" x14ac:dyDescent="0.25">
      <c r="A61" s="1">
        <v>38383</v>
      </c>
      <c r="B61">
        <v>0.38200000000000001</v>
      </c>
      <c r="C61">
        <v>0.56733333333333325</v>
      </c>
      <c r="D61" s="2">
        <v>0.67630569489524939</v>
      </c>
      <c r="E61">
        <f t="shared" si="1"/>
        <v>1</v>
      </c>
      <c r="H61" s="2">
        <v>1.1721542803386642</v>
      </c>
      <c r="I61">
        <v>5</v>
      </c>
      <c r="M61">
        <v>4</v>
      </c>
    </row>
    <row r="62" spans="1:13" x14ac:dyDescent="0.25">
      <c r="A62" s="1">
        <v>38411</v>
      </c>
      <c r="B62">
        <v>0.40300000000000002</v>
      </c>
      <c r="C62">
        <v>0.56941666666666668</v>
      </c>
      <c r="D62" s="2">
        <v>0.71034077555816699</v>
      </c>
      <c r="E62">
        <f t="shared" si="1"/>
        <v>2</v>
      </c>
      <c r="H62" s="2">
        <v>1.1671997673742367</v>
      </c>
      <c r="I62">
        <v>5</v>
      </c>
      <c r="M62">
        <v>4</v>
      </c>
    </row>
    <row r="63" spans="1:13" x14ac:dyDescent="0.25">
      <c r="A63" s="1">
        <v>38442</v>
      </c>
      <c r="B63">
        <v>0.55700000000000005</v>
      </c>
      <c r="C63">
        <v>0.57158333333333333</v>
      </c>
      <c r="D63" s="2">
        <v>0.97819405824674377</v>
      </c>
      <c r="E63">
        <f t="shared" si="1"/>
        <v>3</v>
      </c>
      <c r="H63" s="2">
        <v>1.1008859674192626</v>
      </c>
      <c r="I63">
        <v>5</v>
      </c>
      <c r="M63">
        <v>4</v>
      </c>
    </row>
    <row r="64" spans="1:13" x14ac:dyDescent="0.25">
      <c r="A64" s="1">
        <v>38472</v>
      </c>
      <c r="B64">
        <v>0.625</v>
      </c>
      <c r="C64">
        <v>0.57316666666666671</v>
      </c>
      <c r="D64" s="2">
        <v>1.0934538562472664</v>
      </c>
      <c r="E64">
        <f t="shared" si="1"/>
        <v>4</v>
      </c>
      <c r="H64" s="2">
        <v>0.9965870307167235</v>
      </c>
      <c r="I64">
        <v>5</v>
      </c>
      <c r="M64">
        <v>4</v>
      </c>
    </row>
    <row r="65" spans="1:13" x14ac:dyDescent="0.25">
      <c r="A65" s="1">
        <v>38503</v>
      </c>
      <c r="B65">
        <v>0.66900000000000004</v>
      </c>
      <c r="C65">
        <v>0.57700000000000007</v>
      </c>
      <c r="D65" s="2">
        <v>1.1671997673742367</v>
      </c>
      <c r="E65">
        <f t="shared" si="1"/>
        <v>5</v>
      </c>
      <c r="H65" s="2">
        <v>1.0435908502373759</v>
      </c>
      <c r="I65">
        <v>5</v>
      </c>
      <c r="M65">
        <v>5</v>
      </c>
    </row>
    <row r="66" spans="1:13" x14ac:dyDescent="0.25">
      <c r="A66" s="1">
        <v>38533</v>
      </c>
      <c r="B66">
        <v>0.753</v>
      </c>
      <c r="C66">
        <v>0.57925000000000004</v>
      </c>
      <c r="D66" s="2">
        <v>1.3050259965337954</v>
      </c>
      <c r="E66">
        <f t="shared" si="1"/>
        <v>6</v>
      </c>
      <c r="H66" s="2">
        <v>1.1124260355029585</v>
      </c>
      <c r="I66">
        <v>5</v>
      </c>
      <c r="M66">
        <v>5</v>
      </c>
    </row>
    <row r="67" spans="1:13" x14ac:dyDescent="0.25">
      <c r="A67" s="1">
        <v>38564</v>
      </c>
      <c r="B67">
        <v>0.68899999999999995</v>
      </c>
      <c r="C67">
        <v>0.57991666666666675</v>
      </c>
      <c r="D67" s="2">
        <v>1.1894691411307723</v>
      </c>
      <c r="E67">
        <f t="shared" ref="E67:E130" si="6">MONTH(A67)</f>
        <v>7</v>
      </c>
      <c r="H67" s="2">
        <v>1.1904551480335839</v>
      </c>
      <c r="I67">
        <v>5</v>
      </c>
      <c r="M67">
        <v>5</v>
      </c>
    </row>
    <row r="68" spans="1:13" x14ac:dyDescent="0.25">
      <c r="A68" s="1">
        <v>38595</v>
      </c>
      <c r="B68">
        <v>0.74399999999999999</v>
      </c>
      <c r="C68">
        <v>0.58550000000000002</v>
      </c>
      <c r="D68" s="2">
        <v>1.2829429515735018</v>
      </c>
      <c r="E68">
        <f t="shared" si="6"/>
        <v>8</v>
      </c>
      <c r="H68" s="2">
        <v>1.143553497440897</v>
      </c>
      <c r="I68">
        <v>5</v>
      </c>
      <c r="M68">
        <v>5</v>
      </c>
    </row>
    <row r="69" spans="1:13" x14ac:dyDescent="0.25">
      <c r="A69" s="1">
        <v>38625</v>
      </c>
      <c r="B69">
        <v>0.63</v>
      </c>
      <c r="C69">
        <v>0.5904166666666667</v>
      </c>
      <c r="D69" s="2">
        <v>1.0760034158838598</v>
      </c>
      <c r="E69">
        <f t="shared" si="6"/>
        <v>9</v>
      </c>
      <c r="H69" s="2">
        <v>1.2364305427782889</v>
      </c>
      <c r="I69">
        <v>5</v>
      </c>
      <c r="M69">
        <v>5</v>
      </c>
    </row>
    <row r="70" spans="1:13" x14ac:dyDescent="0.25">
      <c r="A70" s="1">
        <v>38656</v>
      </c>
      <c r="B70">
        <v>0.56499999999999995</v>
      </c>
      <c r="C70">
        <v>0.59116666666666662</v>
      </c>
      <c r="D70" s="2">
        <v>0.95695130557515862</v>
      </c>
      <c r="E70">
        <f t="shared" si="6"/>
        <v>10</v>
      </c>
      <c r="H70" s="2">
        <v>1.2890282131661444</v>
      </c>
      <c r="I70">
        <v>5</v>
      </c>
      <c r="J70" s="2">
        <f>MEDIAN(H57:H70)</f>
        <v>1.1655435294605514</v>
      </c>
      <c r="K70" s="2">
        <f>AVERAGE(H57:H70)</f>
        <v>1.1525875488762216</v>
      </c>
      <c r="M70">
        <v>5</v>
      </c>
    </row>
    <row r="71" spans="1:13" x14ac:dyDescent="0.25">
      <c r="A71" s="1">
        <v>38686</v>
      </c>
      <c r="B71">
        <v>0.53</v>
      </c>
      <c r="C71">
        <v>0.59108333333333329</v>
      </c>
      <c r="D71" s="2">
        <v>0.89653228080067671</v>
      </c>
      <c r="E71">
        <f t="shared" si="6"/>
        <v>11</v>
      </c>
      <c r="H71" s="2">
        <v>1.2487016733987306</v>
      </c>
      <c r="I71">
        <v>6</v>
      </c>
      <c r="M71">
        <v>5</v>
      </c>
    </row>
    <row r="72" spans="1:13" x14ac:dyDescent="0.25">
      <c r="A72" s="1">
        <v>38717</v>
      </c>
      <c r="B72">
        <v>0.52800000000000002</v>
      </c>
      <c r="C72">
        <v>0.58958333333333324</v>
      </c>
      <c r="D72" s="2">
        <v>0.89327505991822931</v>
      </c>
      <c r="E72">
        <f t="shared" si="6"/>
        <v>12</v>
      </c>
      <c r="H72" s="2">
        <v>1.2770347726404281</v>
      </c>
      <c r="I72">
        <v>6</v>
      </c>
      <c r="M72">
        <v>5</v>
      </c>
    </row>
    <row r="73" spans="1:13" x14ac:dyDescent="0.25">
      <c r="A73" s="1">
        <v>38748</v>
      </c>
      <c r="B73">
        <v>0.374</v>
      </c>
      <c r="C73">
        <v>0.58891666666666664</v>
      </c>
      <c r="D73" s="2">
        <v>0.63434628975265028</v>
      </c>
      <c r="E73">
        <f t="shared" si="6"/>
        <v>1</v>
      </c>
      <c r="H73" s="2">
        <v>1.1816860465116281</v>
      </c>
      <c r="I73">
        <v>6</v>
      </c>
      <c r="M73">
        <v>5</v>
      </c>
    </row>
    <row r="74" spans="1:13" x14ac:dyDescent="0.25">
      <c r="A74" s="1">
        <v>38776</v>
      </c>
      <c r="B74">
        <v>0.40200000000000002</v>
      </c>
      <c r="C74">
        <v>0.58883333333333321</v>
      </c>
      <c r="D74" s="2">
        <v>0.68260931088156229</v>
      </c>
      <c r="E74">
        <f t="shared" si="6"/>
        <v>2</v>
      </c>
      <c r="H74" s="2">
        <v>1.2670414617006325</v>
      </c>
      <c r="I74">
        <v>6</v>
      </c>
      <c r="M74">
        <v>5</v>
      </c>
    </row>
    <row r="75" spans="1:13" x14ac:dyDescent="0.25">
      <c r="A75" s="1">
        <v>38807</v>
      </c>
      <c r="B75">
        <v>0.55400000000000005</v>
      </c>
      <c r="C75">
        <v>0.58858333333333335</v>
      </c>
      <c r="D75" s="2">
        <v>0.94084347579960403</v>
      </c>
      <c r="E75">
        <f t="shared" si="6"/>
        <v>3</v>
      </c>
      <c r="H75" s="2">
        <v>1.3536357986326908</v>
      </c>
      <c r="I75">
        <v>6</v>
      </c>
      <c r="M75">
        <v>5</v>
      </c>
    </row>
    <row r="76" spans="1:13" x14ac:dyDescent="0.25">
      <c r="A76" s="1">
        <v>38837</v>
      </c>
      <c r="B76">
        <v>0.56000000000000005</v>
      </c>
      <c r="C76">
        <v>0.58316666666666672</v>
      </c>
      <c r="D76" s="2">
        <v>0.95143706640237868</v>
      </c>
      <c r="E76">
        <f t="shared" si="6"/>
        <v>4</v>
      </c>
      <c r="H76" s="2">
        <v>1.3050259965337954</v>
      </c>
      <c r="I76">
        <v>6</v>
      </c>
      <c r="M76">
        <v>5</v>
      </c>
    </row>
    <row r="77" spans="1:13" x14ac:dyDescent="0.25">
      <c r="A77" s="1">
        <v>38868</v>
      </c>
      <c r="B77">
        <v>0.64200000000000002</v>
      </c>
      <c r="C77">
        <v>0.58091666666666675</v>
      </c>
      <c r="D77" s="2">
        <v>1.1008859674192626</v>
      </c>
      <c r="E77">
        <f t="shared" si="6"/>
        <v>5</v>
      </c>
      <c r="H77" s="2">
        <v>1.2032706928704631</v>
      </c>
      <c r="I77">
        <v>6</v>
      </c>
      <c r="M77">
        <v>5</v>
      </c>
    </row>
    <row r="78" spans="1:13" x14ac:dyDescent="0.25">
      <c r="A78" s="1">
        <v>38898</v>
      </c>
      <c r="B78">
        <v>0.69899999999999995</v>
      </c>
      <c r="C78">
        <v>0.57641666666666669</v>
      </c>
      <c r="D78" s="2">
        <v>1.2032706928704631</v>
      </c>
      <c r="E78">
        <f t="shared" si="6"/>
        <v>6</v>
      </c>
      <c r="H78" s="2">
        <v>1.0680836931252078</v>
      </c>
      <c r="I78">
        <v>6</v>
      </c>
      <c r="M78">
        <v>6</v>
      </c>
    </row>
    <row r="79" spans="1:13" x14ac:dyDescent="0.25">
      <c r="A79" s="1">
        <v>38929</v>
      </c>
      <c r="B79">
        <v>0.60499999999999998</v>
      </c>
      <c r="C79">
        <v>0.56941666666666668</v>
      </c>
      <c r="D79" s="2">
        <v>1.0495879716640162</v>
      </c>
      <c r="E79">
        <f t="shared" si="6"/>
        <v>7</v>
      </c>
      <c r="H79" s="2">
        <v>1.1162174105170128</v>
      </c>
      <c r="I79">
        <v>6</v>
      </c>
      <c r="M79">
        <v>6</v>
      </c>
    </row>
    <row r="80" spans="1:13" x14ac:dyDescent="0.25">
      <c r="A80" s="1">
        <v>38960</v>
      </c>
      <c r="B80">
        <v>0.65400000000000003</v>
      </c>
      <c r="C80">
        <v>0.56191666666666673</v>
      </c>
      <c r="D80" s="2">
        <v>1.14854383140641</v>
      </c>
      <c r="E80">
        <f t="shared" si="6"/>
        <v>8</v>
      </c>
      <c r="H80" s="2">
        <v>1.3045420699925541</v>
      </c>
      <c r="I80">
        <v>6</v>
      </c>
      <c r="M80">
        <v>6</v>
      </c>
    </row>
    <row r="81" spans="1:13" x14ac:dyDescent="0.25">
      <c r="A81" s="1">
        <v>38990</v>
      </c>
      <c r="B81">
        <v>0.52900000000000003</v>
      </c>
      <c r="C81">
        <v>0.55349999999999999</v>
      </c>
      <c r="D81" s="2">
        <v>0.9414207326115972</v>
      </c>
      <c r="E81">
        <f t="shared" si="6"/>
        <v>9</v>
      </c>
      <c r="H81" s="2">
        <v>1.2315720808871493</v>
      </c>
      <c r="I81">
        <v>6</v>
      </c>
      <c r="M81">
        <v>6</v>
      </c>
    </row>
    <row r="82" spans="1:13" x14ac:dyDescent="0.25">
      <c r="A82" s="1">
        <v>39021</v>
      </c>
      <c r="B82">
        <v>0.51800000000000002</v>
      </c>
      <c r="C82">
        <v>0.54958333333333331</v>
      </c>
      <c r="D82" s="2">
        <v>0.93586269196025296</v>
      </c>
      <c r="E82">
        <f t="shared" si="6"/>
        <v>10</v>
      </c>
      <c r="H82" s="2">
        <v>1.3053152039555005</v>
      </c>
      <c r="I82">
        <v>6</v>
      </c>
      <c r="M82">
        <v>6</v>
      </c>
    </row>
    <row r="83" spans="1:13" x14ac:dyDescent="0.25">
      <c r="A83" s="1">
        <v>39051</v>
      </c>
      <c r="B83">
        <v>0.47199999999999998</v>
      </c>
      <c r="C83">
        <v>0.54474999999999996</v>
      </c>
      <c r="D83" s="2">
        <v>0.85883244882486731</v>
      </c>
      <c r="E83">
        <f t="shared" si="6"/>
        <v>11</v>
      </c>
      <c r="H83" s="2">
        <v>1.261293984108967</v>
      </c>
      <c r="I83">
        <v>6</v>
      </c>
      <c r="M83">
        <v>6</v>
      </c>
    </row>
    <row r="84" spans="1:13" x14ac:dyDescent="0.25">
      <c r="A84" s="1">
        <v>39082</v>
      </c>
      <c r="B84">
        <v>0.46899999999999997</v>
      </c>
      <c r="C84">
        <v>0.53983333333333339</v>
      </c>
      <c r="D84" s="2">
        <v>0.86094538779256546</v>
      </c>
      <c r="E84">
        <f t="shared" si="6"/>
        <v>12</v>
      </c>
      <c r="H84" s="2">
        <v>1.2368583797155226</v>
      </c>
      <c r="I84">
        <v>6</v>
      </c>
      <c r="J84" s="2">
        <f>MEDIAN(H71:H84)</f>
        <v>1.2549978287538488</v>
      </c>
      <c r="K84" s="2">
        <f>AVERAGE(H71:H84)</f>
        <v>1.2400199474707345</v>
      </c>
      <c r="M84">
        <v>6</v>
      </c>
    </row>
    <row r="85" spans="1:13" x14ac:dyDescent="0.25">
      <c r="A85" s="1">
        <v>39113</v>
      </c>
      <c r="B85">
        <v>0.32400000000000001</v>
      </c>
      <c r="C85">
        <v>0.53566666666666662</v>
      </c>
      <c r="D85" s="2">
        <v>0.6001852423587527</v>
      </c>
      <c r="E85">
        <f t="shared" si="6"/>
        <v>1</v>
      </c>
      <c r="H85" s="2">
        <v>1.1397683397683396</v>
      </c>
      <c r="I85">
        <v>7</v>
      </c>
      <c r="M85">
        <v>6</v>
      </c>
    </row>
    <row r="86" spans="1:13" x14ac:dyDescent="0.25">
      <c r="A86" s="1">
        <v>39141</v>
      </c>
      <c r="B86">
        <v>0.34699999999999998</v>
      </c>
      <c r="C86">
        <v>0.53108333333333346</v>
      </c>
      <c r="D86" s="2">
        <v>0.64779091474797756</v>
      </c>
      <c r="E86">
        <f t="shared" si="6"/>
        <v>2</v>
      </c>
      <c r="H86" s="2">
        <v>1.2228571428571429</v>
      </c>
      <c r="I86">
        <v>7</v>
      </c>
      <c r="M86">
        <v>6</v>
      </c>
    </row>
    <row r="87" spans="1:13" x14ac:dyDescent="0.25">
      <c r="A87" s="1">
        <v>39172</v>
      </c>
      <c r="B87">
        <v>0.436</v>
      </c>
      <c r="C87">
        <v>0.5212500000000001</v>
      </c>
      <c r="D87" s="2">
        <v>0.82096343951043449</v>
      </c>
      <c r="E87">
        <f t="shared" si="6"/>
        <v>3</v>
      </c>
      <c r="H87" s="2">
        <v>1.1892876662415741</v>
      </c>
      <c r="I87">
        <v>7</v>
      </c>
      <c r="M87">
        <v>6</v>
      </c>
    </row>
    <row r="88" spans="1:13" x14ac:dyDescent="0.25">
      <c r="A88" s="1">
        <v>39202</v>
      </c>
      <c r="B88">
        <v>0.45800000000000002</v>
      </c>
      <c r="C88">
        <v>0.51275000000000004</v>
      </c>
      <c r="D88" s="2">
        <v>0.87865707434052742</v>
      </c>
      <c r="E88">
        <f t="shared" si="6"/>
        <v>4</v>
      </c>
      <c r="H88" s="2">
        <v>1.3187271778821075</v>
      </c>
      <c r="I88">
        <v>7</v>
      </c>
      <c r="M88">
        <v>6</v>
      </c>
    </row>
    <row r="89" spans="1:13" x14ac:dyDescent="0.25">
      <c r="A89" s="1">
        <v>39233</v>
      </c>
      <c r="B89">
        <v>0.51100000000000001</v>
      </c>
      <c r="C89">
        <v>0.50183333333333324</v>
      </c>
      <c r="D89" s="2">
        <v>0.9965870307167235</v>
      </c>
      <c r="E89">
        <f t="shared" si="6"/>
        <v>5</v>
      </c>
      <c r="H89" s="2">
        <v>1.245541838134431</v>
      </c>
      <c r="I89">
        <v>7</v>
      </c>
      <c r="M89">
        <v>6</v>
      </c>
    </row>
    <row r="90" spans="1:13" x14ac:dyDescent="0.25">
      <c r="A90" s="1">
        <v>39263</v>
      </c>
      <c r="B90">
        <v>0.53600000000000003</v>
      </c>
      <c r="C90">
        <v>0.48825000000000002</v>
      </c>
      <c r="D90" s="2">
        <v>1.0680836931252078</v>
      </c>
      <c r="E90">
        <f t="shared" si="6"/>
        <v>6</v>
      </c>
      <c r="H90" s="2">
        <v>1.1894691411307723</v>
      </c>
      <c r="I90">
        <v>7</v>
      </c>
      <c r="M90">
        <v>6</v>
      </c>
    </row>
    <row r="91" spans="1:13" x14ac:dyDescent="0.25">
      <c r="A91" s="1">
        <v>39294</v>
      </c>
      <c r="B91">
        <v>0.499</v>
      </c>
      <c r="C91">
        <v>0.4794166666666666</v>
      </c>
      <c r="D91" s="2">
        <v>1.0220174091141834</v>
      </c>
      <c r="E91">
        <f t="shared" si="6"/>
        <v>7</v>
      </c>
      <c r="H91" s="2">
        <v>1.0495879716640162</v>
      </c>
      <c r="I91">
        <v>7</v>
      </c>
      <c r="M91">
        <v>7</v>
      </c>
    </row>
    <row r="92" spans="1:13" x14ac:dyDescent="0.25">
      <c r="A92" s="1">
        <v>39325</v>
      </c>
      <c r="B92">
        <v>0.51</v>
      </c>
      <c r="C92">
        <v>0.46741666666666659</v>
      </c>
      <c r="D92" s="2">
        <v>1.063792803754563</v>
      </c>
      <c r="E92">
        <f t="shared" si="6"/>
        <v>8</v>
      </c>
      <c r="H92" s="2">
        <v>1.0220174091141834</v>
      </c>
      <c r="I92">
        <v>7</v>
      </c>
      <c r="M92">
        <v>7</v>
      </c>
    </row>
    <row r="93" spans="1:13" x14ac:dyDescent="0.25">
      <c r="A93" s="1">
        <v>39355</v>
      </c>
      <c r="B93">
        <v>0.36499999999999999</v>
      </c>
      <c r="C93">
        <v>0.45374999999999993</v>
      </c>
      <c r="D93" s="2">
        <v>0.78088785879835987</v>
      </c>
      <c r="E93">
        <f t="shared" si="6"/>
        <v>9</v>
      </c>
      <c r="H93" s="2">
        <v>1.1371571072319202</v>
      </c>
      <c r="I93">
        <v>7</v>
      </c>
      <c r="M93">
        <v>7</v>
      </c>
    </row>
    <row r="94" spans="1:13" x14ac:dyDescent="0.25">
      <c r="A94" s="1">
        <v>39386</v>
      </c>
      <c r="B94">
        <v>0.373</v>
      </c>
      <c r="C94">
        <v>0.44166666666666671</v>
      </c>
      <c r="D94" s="2">
        <v>0.8220385674931131</v>
      </c>
      <c r="E94">
        <f t="shared" si="6"/>
        <v>10</v>
      </c>
      <c r="H94" s="2">
        <v>1.3109243697478992</v>
      </c>
      <c r="I94">
        <v>7</v>
      </c>
      <c r="M94">
        <v>7</v>
      </c>
    </row>
    <row r="95" spans="1:13" x14ac:dyDescent="0.25">
      <c r="A95" s="1">
        <v>39416</v>
      </c>
      <c r="B95">
        <v>0.34300000000000003</v>
      </c>
      <c r="C95">
        <v>0.43091666666666667</v>
      </c>
      <c r="D95" s="2">
        <v>0.77660377358490562</v>
      </c>
      <c r="E95">
        <f t="shared" si="6"/>
        <v>11</v>
      </c>
      <c r="H95" s="2">
        <v>0.85732786531405125</v>
      </c>
      <c r="I95">
        <v>7</v>
      </c>
      <c r="M95">
        <v>7</v>
      </c>
    </row>
    <row r="96" spans="1:13" x14ac:dyDescent="0.25">
      <c r="A96" s="1">
        <v>39447</v>
      </c>
      <c r="B96">
        <v>0.32</v>
      </c>
      <c r="C96">
        <v>0.41850000000000009</v>
      </c>
      <c r="D96" s="2">
        <v>0.74260297814736032</v>
      </c>
      <c r="E96">
        <f t="shared" si="6"/>
        <v>12</v>
      </c>
      <c r="H96" s="2">
        <v>1.1512584101669574</v>
      </c>
      <c r="I96">
        <v>7</v>
      </c>
      <c r="M96">
        <v>7</v>
      </c>
    </row>
    <row r="97" spans="1:13" x14ac:dyDescent="0.25">
      <c r="A97" s="1">
        <v>39478</v>
      </c>
      <c r="B97">
        <v>0.23499999999999999</v>
      </c>
      <c r="C97">
        <v>0.41108333333333341</v>
      </c>
      <c r="D97" s="2">
        <v>0.56152927120669038</v>
      </c>
      <c r="E97">
        <f t="shared" si="6"/>
        <v>1</v>
      </c>
      <c r="H97" s="2">
        <v>1.1653116531165313</v>
      </c>
      <c r="I97">
        <v>7</v>
      </c>
      <c r="M97">
        <v>7</v>
      </c>
    </row>
    <row r="98" spans="1:13" x14ac:dyDescent="0.25">
      <c r="A98" s="1">
        <v>39507</v>
      </c>
      <c r="B98">
        <v>0.26200000000000001</v>
      </c>
      <c r="C98">
        <v>0.40400000000000008</v>
      </c>
      <c r="D98" s="2">
        <v>0.63734036083519152</v>
      </c>
      <c r="E98">
        <f t="shared" si="6"/>
        <v>2</v>
      </c>
      <c r="H98" s="2">
        <v>1.2741407528641573</v>
      </c>
      <c r="I98">
        <v>7</v>
      </c>
      <c r="J98" s="2">
        <f>MEDIAN(H85:H98)</f>
        <v>1.1772996596790528</v>
      </c>
      <c r="K98" s="2">
        <f>AVERAGE(H85:H98)</f>
        <v>1.1623840603738631</v>
      </c>
      <c r="M98">
        <v>7</v>
      </c>
    </row>
    <row r="99" spans="1:13" x14ac:dyDescent="0.25">
      <c r="A99" s="1">
        <v>39538</v>
      </c>
      <c r="B99">
        <v>0.316</v>
      </c>
      <c r="C99">
        <v>0.39400000000000007</v>
      </c>
      <c r="D99" s="2">
        <v>0.78217821782178198</v>
      </c>
      <c r="E99">
        <f t="shared" si="6"/>
        <v>3</v>
      </c>
      <c r="H99" s="2">
        <v>1.243390357698289</v>
      </c>
      <c r="I99">
        <v>8</v>
      </c>
      <c r="M99">
        <v>7</v>
      </c>
    </row>
    <row r="100" spans="1:13" x14ac:dyDescent="0.25">
      <c r="A100" s="1">
        <v>39568</v>
      </c>
      <c r="B100">
        <v>0.36399999999999999</v>
      </c>
      <c r="C100">
        <v>0.38616666666666671</v>
      </c>
      <c r="D100" s="2">
        <v>0.92385786802030434</v>
      </c>
      <c r="E100">
        <f t="shared" si="6"/>
        <v>4</v>
      </c>
      <c r="H100" s="2">
        <v>1.2832042320045338</v>
      </c>
      <c r="I100">
        <v>8</v>
      </c>
      <c r="M100">
        <v>7</v>
      </c>
    </row>
    <row r="101" spans="1:13" x14ac:dyDescent="0.25">
      <c r="A101" s="1">
        <v>39599</v>
      </c>
      <c r="B101">
        <v>0.40300000000000002</v>
      </c>
      <c r="C101">
        <v>0.37716666666666665</v>
      </c>
      <c r="D101" s="2">
        <v>1.0435908502373759</v>
      </c>
      <c r="E101">
        <f t="shared" si="6"/>
        <v>5</v>
      </c>
      <c r="H101" s="2">
        <v>1.198253910512914</v>
      </c>
      <c r="I101">
        <v>8</v>
      </c>
      <c r="M101">
        <v>7</v>
      </c>
    </row>
    <row r="102" spans="1:13" x14ac:dyDescent="0.25">
      <c r="A102" s="1">
        <v>39629</v>
      </c>
      <c r="B102">
        <v>0.42099999999999999</v>
      </c>
      <c r="C102">
        <v>0.36758333333333332</v>
      </c>
      <c r="D102" s="2">
        <v>1.1162174105170128</v>
      </c>
      <c r="E102">
        <f t="shared" si="6"/>
        <v>6</v>
      </c>
      <c r="H102" s="2">
        <v>1.3255694468230863</v>
      </c>
      <c r="I102">
        <v>8</v>
      </c>
      <c r="M102">
        <v>7</v>
      </c>
    </row>
    <row r="103" spans="1:13" x14ac:dyDescent="0.25">
      <c r="A103" s="1">
        <v>39660</v>
      </c>
      <c r="B103">
        <v>0.41799999999999998</v>
      </c>
      <c r="C103">
        <v>0.36083333333333328</v>
      </c>
      <c r="D103" s="2">
        <v>1.1371571072319202</v>
      </c>
      <c r="E103">
        <f t="shared" si="6"/>
        <v>7</v>
      </c>
      <c r="H103" s="2">
        <v>1.2290468986384266</v>
      </c>
      <c r="I103">
        <v>8</v>
      </c>
      <c r="M103">
        <v>7</v>
      </c>
    </row>
    <row r="104" spans="1:13" x14ac:dyDescent="0.25">
      <c r="A104" s="1">
        <v>39691</v>
      </c>
      <c r="B104">
        <v>0.40899999999999997</v>
      </c>
      <c r="C104">
        <v>0.35241666666666666</v>
      </c>
      <c r="D104" s="2">
        <v>1.1334872979214781</v>
      </c>
      <c r="E104">
        <f t="shared" si="6"/>
        <v>8</v>
      </c>
      <c r="H104" s="2">
        <v>1.2829429515735018</v>
      </c>
      <c r="I104">
        <v>8</v>
      </c>
      <c r="M104">
        <v>8</v>
      </c>
    </row>
    <row r="105" spans="1:13" x14ac:dyDescent="0.25">
      <c r="A105" s="1">
        <v>39721</v>
      </c>
      <c r="B105">
        <v>0.36899999999999999</v>
      </c>
      <c r="C105">
        <v>0.35274999999999995</v>
      </c>
      <c r="D105" s="2">
        <v>1.0470560416174037</v>
      </c>
      <c r="E105">
        <f t="shared" si="6"/>
        <v>9</v>
      </c>
      <c r="H105" s="2">
        <v>1.14854383140641</v>
      </c>
      <c r="I105">
        <v>8</v>
      </c>
      <c r="M105">
        <v>8</v>
      </c>
    </row>
    <row r="106" spans="1:13" x14ac:dyDescent="0.25">
      <c r="A106" s="1">
        <v>39752</v>
      </c>
      <c r="B106">
        <v>0.34899999999999998</v>
      </c>
      <c r="C106">
        <v>0.35075000000000006</v>
      </c>
      <c r="D106" s="2">
        <v>0.98936924167257267</v>
      </c>
      <c r="E106">
        <f t="shared" si="6"/>
        <v>10</v>
      </c>
      <c r="H106" s="2">
        <v>1.063792803754563</v>
      </c>
      <c r="I106">
        <v>8</v>
      </c>
      <c r="M106">
        <v>8</v>
      </c>
    </row>
    <row r="107" spans="1:13" x14ac:dyDescent="0.25">
      <c r="A107" s="1">
        <v>39782</v>
      </c>
      <c r="B107">
        <v>0.27300000000000002</v>
      </c>
      <c r="C107">
        <v>0.34491666666666659</v>
      </c>
      <c r="D107" s="2">
        <v>0.77833214540270845</v>
      </c>
      <c r="E107">
        <f t="shared" si="6"/>
        <v>11</v>
      </c>
      <c r="H107" s="2">
        <v>1.1334872979214781</v>
      </c>
      <c r="I107">
        <v>8</v>
      </c>
      <c r="M107">
        <v>8</v>
      </c>
    </row>
    <row r="108" spans="1:13" x14ac:dyDescent="0.25">
      <c r="A108" s="1">
        <v>39813</v>
      </c>
      <c r="B108">
        <v>0.30499999999999999</v>
      </c>
      <c r="C108">
        <v>0.34366666666666673</v>
      </c>
      <c r="D108" s="2">
        <v>0.88427156317951217</v>
      </c>
      <c r="E108">
        <f t="shared" si="6"/>
        <v>12</v>
      </c>
      <c r="H108" s="2">
        <v>1.2294840294840297</v>
      </c>
      <c r="I108">
        <v>8</v>
      </c>
      <c r="M108">
        <v>8</v>
      </c>
    </row>
    <row r="109" spans="1:13" x14ac:dyDescent="0.25">
      <c r="A109" s="1">
        <v>39844</v>
      </c>
      <c r="B109">
        <v>0.218</v>
      </c>
      <c r="C109">
        <v>0.34225</v>
      </c>
      <c r="D109" s="2">
        <v>0.63433559650824434</v>
      </c>
      <c r="E109">
        <f t="shared" si="6"/>
        <v>1</v>
      </c>
      <c r="H109" s="2">
        <v>0.93409995577178229</v>
      </c>
      <c r="I109">
        <v>8</v>
      </c>
      <c r="M109">
        <v>8</v>
      </c>
    </row>
    <row r="110" spans="1:13" x14ac:dyDescent="0.25">
      <c r="A110" s="1">
        <v>39872</v>
      </c>
      <c r="B110">
        <v>0.23799999999999999</v>
      </c>
      <c r="C110">
        <v>0.34025</v>
      </c>
      <c r="D110" s="2">
        <v>0.69539810080350617</v>
      </c>
      <c r="E110">
        <f t="shared" si="6"/>
        <v>2</v>
      </c>
      <c r="H110" s="2">
        <v>1.2657978854192278</v>
      </c>
      <c r="I110">
        <v>8</v>
      </c>
      <c r="M110">
        <v>8</v>
      </c>
    </row>
    <row r="111" spans="1:13" x14ac:dyDescent="0.25">
      <c r="A111" s="1">
        <v>39903</v>
      </c>
      <c r="B111">
        <v>0.30399999999999999</v>
      </c>
      <c r="C111">
        <v>0.33925</v>
      </c>
      <c r="D111" s="2">
        <v>0.89346069066862599</v>
      </c>
      <c r="E111">
        <f t="shared" si="6"/>
        <v>3</v>
      </c>
      <c r="H111" s="2">
        <v>1.2769953051643195</v>
      </c>
      <c r="I111">
        <v>8</v>
      </c>
      <c r="M111">
        <v>8</v>
      </c>
    </row>
    <row r="112" spans="1:13" x14ac:dyDescent="0.25">
      <c r="A112" s="1">
        <v>39933</v>
      </c>
      <c r="B112">
        <v>0.34899999999999998</v>
      </c>
      <c r="C112">
        <v>0.33800000000000002</v>
      </c>
      <c r="D112" s="2">
        <v>1.0287398673544583</v>
      </c>
      <c r="E112">
        <f t="shared" si="6"/>
        <v>4</v>
      </c>
      <c r="H112" s="2">
        <v>1.248945147679325</v>
      </c>
      <c r="I112">
        <v>8</v>
      </c>
      <c r="J112" s="2">
        <f>MEDIAN(H99:H112)</f>
        <v>1.2364371935911593</v>
      </c>
      <c r="K112" s="2">
        <f>AVERAGE(H99:H112)</f>
        <v>1.2045395752751349</v>
      </c>
      <c r="M112">
        <v>8</v>
      </c>
    </row>
    <row r="113" spans="1:13" x14ac:dyDescent="0.25">
      <c r="A113" s="1">
        <v>39964</v>
      </c>
      <c r="B113">
        <v>0.376</v>
      </c>
      <c r="C113">
        <v>0.33574999999999999</v>
      </c>
      <c r="D113" s="2">
        <v>1.1124260355029585</v>
      </c>
      <c r="E113">
        <f t="shared" si="6"/>
        <v>5</v>
      </c>
      <c r="H113" s="2">
        <v>1.0326340326340326</v>
      </c>
      <c r="I113">
        <v>9</v>
      </c>
      <c r="M113">
        <v>8</v>
      </c>
    </row>
    <row r="114" spans="1:13" x14ac:dyDescent="0.25">
      <c r="A114" s="1">
        <v>39994</v>
      </c>
      <c r="B114">
        <v>0.438</v>
      </c>
      <c r="C114">
        <v>0.33716666666666667</v>
      </c>
      <c r="D114" s="2">
        <v>1.3045420699925541</v>
      </c>
      <c r="E114">
        <f t="shared" si="6"/>
        <v>6</v>
      </c>
      <c r="H114" s="2">
        <v>0.94630116410063825</v>
      </c>
      <c r="I114">
        <v>9</v>
      </c>
      <c r="M114">
        <v>8</v>
      </c>
    </row>
    <row r="115" spans="1:13" x14ac:dyDescent="0.25">
      <c r="A115" s="1">
        <v>40025</v>
      </c>
      <c r="B115">
        <v>0.442</v>
      </c>
      <c r="C115">
        <v>0.33916666666666662</v>
      </c>
      <c r="D115" s="2">
        <v>1.3109243697478992</v>
      </c>
      <c r="E115">
        <f t="shared" si="6"/>
        <v>7</v>
      </c>
      <c r="H115" s="2">
        <v>1.0005473453749316</v>
      </c>
      <c r="I115">
        <v>9</v>
      </c>
      <c r="M115">
        <v>8</v>
      </c>
    </row>
    <row r="116" spans="1:13" x14ac:dyDescent="0.25">
      <c r="A116" s="1">
        <v>40056</v>
      </c>
      <c r="B116">
        <v>0.41699999999999998</v>
      </c>
      <c r="C116">
        <v>0.33983333333333338</v>
      </c>
      <c r="D116" s="2">
        <v>1.2294840294840297</v>
      </c>
      <c r="E116">
        <f t="shared" si="6"/>
        <v>8</v>
      </c>
      <c r="H116" s="2">
        <v>1.1443976411120469</v>
      </c>
      <c r="I116">
        <v>9</v>
      </c>
      <c r="M116">
        <v>8</v>
      </c>
    </row>
    <row r="117" spans="1:13" x14ac:dyDescent="0.25">
      <c r="A117" s="1">
        <v>40086</v>
      </c>
      <c r="B117">
        <v>0.39200000000000002</v>
      </c>
      <c r="C117">
        <v>0.34175</v>
      </c>
      <c r="D117" s="2">
        <v>1.1535066208925944</v>
      </c>
      <c r="E117">
        <f t="shared" si="6"/>
        <v>9</v>
      </c>
      <c r="H117" s="2">
        <v>1.0316169828364949</v>
      </c>
      <c r="I117">
        <v>9</v>
      </c>
      <c r="M117">
        <v>9</v>
      </c>
    </row>
    <row r="118" spans="1:13" x14ac:dyDescent="0.25">
      <c r="A118" s="1">
        <v>40117</v>
      </c>
      <c r="B118">
        <v>0.41799999999999998</v>
      </c>
      <c r="C118">
        <v>0.34749999999999998</v>
      </c>
      <c r="D118" s="2">
        <v>1.2231163130943672</v>
      </c>
      <c r="E118">
        <f t="shared" si="6"/>
        <v>10</v>
      </c>
      <c r="H118" s="2">
        <v>1.0760034158838598</v>
      </c>
      <c r="I118">
        <v>9</v>
      </c>
      <c r="M118">
        <v>9</v>
      </c>
    </row>
    <row r="119" spans="1:13" x14ac:dyDescent="0.25">
      <c r="A119" s="1">
        <v>40147</v>
      </c>
      <c r="B119">
        <v>0.39500000000000002</v>
      </c>
      <c r="C119">
        <v>0.35766666666666663</v>
      </c>
      <c r="D119" s="2">
        <v>1.1366906474820144</v>
      </c>
      <c r="E119">
        <f t="shared" si="6"/>
        <v>11</v>
      </c>
      <c r="H119" s="2">
        <v>0.9414207326115972</v>
      </c>
      <c r="I119">
        <v>9</v>
      </c>
      <c r="M119">
        <v>9</v>
      </c>
    </row>
    <row r="120" spans="1:13" x14ac:dyDescent="0.25">
      <c r="A120" s="1">
        <v>40178</v>
      </c>
      <c r="B120">
        <v>0.34699999999999998</v>
      </c>
      <c r="C120">
        <v>0.36116666666666664</v>
      </c>
      <c r="D120" s="2">
        <v>0.97017707362534955</v>
      </c>
      <c r="E120">
        <f t="shared" si="6"/>
        <v>12</v>
      </c>
      <c r="H120" s="2">
        <v>0.78088785879835987</v>
      </c>
      <c r="I120">
        <v>9</v>
      </c>
      <c r="M120">
        <v>9</v>
      </c>
    </row>
    <row r="121" spans="1:13" x14ac:dyDescent="0.25">
      <c r="A121" s="1">
        <v>40209</v>
      </c>
      <c r="B121">
        <v>0.23400000000000001</v>
      </c>
      <c r="C121">
        <v>0.36249999999999999</v>
      </c>
      <c r="D121" s="2">
        <v>0.64790032302722667</v>
      </c>
      <c r="E121">
        <f t="shared" si="6"/>
        <v>1</v>
      </c>
      <c r="H121" s="2">
        <v>1.0470560416174037</v>
      </c>
      <c r="I121">
        <v>9</v>
      </c>
      <c r="M121">
        <v>9</v>
      </c>
    </row>
    <row r="122" spans="1:13" x14ac:dyDescent="0.25">
      <c r="A122" s="1">
        <v>40237</v>
      </c>
      <c r="B122">
        <v>0.25800000000000001</v>
      </c>
      <c r="C122">
        <v>0.36416666666666669</v>
      </c>
      <c r="D122" s="2">
        <v>0.71172413793103451</v>
      </c>
      <c r="E122">
        <f t="shared" si="6"/>
        <v>2</v>
      </c>
      <c r="H122" s="2">
        <v>1.1535066208925944</v>
      </c>
      <c r="I122">
        <v>9</v>
      </c>
      <c r="M122">
        <v>9</v>
      </c>
    </row>
    <row r="123" spans="1:13" x14ac:dyDescent="0.25">
      <c r="A123" s="1">
        <v>40268</v>
      </c>
      <c r="B123">
        <v>0.36599999999999999</v>
      </c>
      <c r="C123">
        <v>0.36933333333333329</v>
      </c>
      <c r="D123" s="2">
        <v>1.0050343249427918</v>
      </c>
      <c r="E123">
        <f t="shared" si="6"/>
        <v>3</v>
      </c>
      <c r="H123" s="2">
        <v>0.86425846982275056</v>
      </c>
      <c r="I123">
        <v>9</v>
      </c>
      <c r="M123">
        <v>9</v>
      </c>
    </row>
    <row r="124" spans="1:13" x14ac:dyDescent="0.25">
      <c r="A124" s="1">
        <v>40298</v>
      </c>
      <c r="B124">
        <v>0.443</v>
      </c>
      <c r="C124">
        <v>0.37716666666666665</v>
      </c>
      <c r="D124" s="2">
        <v>1.1994584837545128</v>
      </c>
      <c r="E124">
        <f t="shared" si="6"/>
        <v>4</v>
      </c>
      <c r="H124" s="2">
        <v>1.0685328185328185</v>
      </c>
      <c r="I124">
        <v>9</v>
      </c>
      <c r="M124">
        <v>9</v>
      </c>
    </row>
    <row r="125" spans="1:13" x14ac:dyDescent="0.25">
      <c r="A125" s="1">
        <v>40329</v>
      </c>
      <c r="B125">
        <v>0.44900000000000001</v>
      </c>
      <c r="C125">
        <v>0.38325000000000004</v>
      </c>
      <c r="D125" s="2">
        <v>1.1904551480335839</v>
      </c>
      <c r="E125">
        <f t="shared" si="6"/>
        <v>5</v>
      </c>
      <c r="H125" s="2">
        <v>0.98761061946902662</v>
      </c>
      <c r="I125">
        <v>9</v>
      </c>
      <c r="M125">
        <v>9</v>
      </c>
    </row>
    <row r="126" spans="1:13" x14ac:dyDescent="0.25">
      <c r="A126" s="1">
        <v>40359</v>
      </c>
      <c r="B126">
        <v>0.47199999999999998</v>
      </c>
      <c r="C126">
        <v>0.38608333333333339</v>
      </c>
      <c r="D126" s="2">
        <v>1.2315720808871493</v>
      </c>
      <c r="E126">
        <f t="shared" si="6"/>
        <v>6</v>
      </c>
      <c r="H126" s="2">
        <v>1.0209205020920502</v>
      </c>
      <c r="I126">
        <v>9</v>
      </c>
      <c r="J126" s="2">
        <f>MEDIAN(H113:H126)</f>
        <v>1.0262687424642727</v>
      </c>
      <c r="K126" s="2">
        <f>AVERAGE(H113:H126)</f>
        <v>1.0068353032699002</v>
      </c>
      <c r="M126">
        <v>9</v>
      </c>
    </row>
    <row r="127" spans="1:13" x14ac:dyDescent="0.25">
      <c r="A127" s="1">
        <v>40390</v>
      </c>
      <c r="B127">
        <v>0.33100000000000002</v>
      </c>
      <c r="C127">
        <v>0.37683333333333335</v>
      </c>
      <c r="D127" s="2">
        <v>0.85732786531405125</v>
      </c>
      <c r="E127">
        <f t="shared" si="6"/>
        <v>7</v>
      </c>
      <c r="H127" s="2">
        <v>1.0094979647218454</v>
      </c>
      <c r="I127">
        <v>10</v>
      </c>
      <c r="M127">
        <v>9</v>
      </c>
    </row>
    <row r="128" spans="1:13" x14ac:dyDescent="0.25">
      <c r="A128" s="1">
        <v>40421</v>
      </c>
      <c r="B128">
        <v>0.35199999999999998</v>
      </c>
      <c r="C128">
        <v>0.37141666666666673</v>
      </c>
      <c r="D128" s="2">
        <v>0.93409995577178229</v>
      </c>
      <c r="E128">
        <f t="shared" si="6"/>
        <v>8</v>
      </c>
      <c r="H128" s="2">
        <v>1.0024514425796722</v>
      </c>
      <c r="I128">
        <v>10</v>
      </c>
      <c r="M128">
        <v>9</v>
      </c>
    </row>
    <row r="129" spans="1:13" x14ac:dyDescent="0.25">
      <c r="A129" s="1">
        <v>40451</v>
      </c>
      <c r="B129">
        <v>0.32100000000000001</v>
      </c>
      <c r="C129">
        <v>0.36549999999999994</v>
      </c>
      <c r="D129" s="2">
        <v>0.86425846982275056</v>
      </c>
      <c r="E129">
        <f t="shared" si="6"/>
        <v>9</v>
      </c>
      <c r="H129" s="2">
        <v>1.0460311707140266</v>
      </c>
      <c r="I129">
        <v>10</v>
      </c>
      <c r="M129">
        <v>9</v>
      </c>
    </row>
    <row r="130" spans="1:13" x14ac:dyDescent="0.25">
      <c r="A130" s="1">
        <v>40482</v>
      </c>
      <c r="B130">
        <v>0.307</v>
      </c>
      <c r="C130">
        <v>0.35625000000000001</v>
      </c>
      <c r="D130" s="2">
        <v>0.83994528043775663</v>
      </c>
      <c r="E130">
        <f t="shared" si="6"/>
        <v>10</v>
      </c>
      <c r="H130" s="2">
        <v>1.084050297816016</v>
      </c>
      <c r="I130">
        <v>10</v>
      </c>
      <c r="M130">
        <v>10</v>
      </c>
    </row>
    <row r="131" spans="1:13" x14ac:dyDescent="0.25">
      <c r="A131" s="1">
        <v>40512</v>
      </c>
      <c r="B131">
        <v>0.30399999999999999</v>
      </c>
      <c r="C131">
        <v>0.34866666666666668</v>
      </c>
      <c r="D131" s="2">
        <v>0.85333333333333328</v>
      </c>
      <c r="E131">
        <f t="shared" ref="E131:E168" si="7">MONTH(A131)</f>
        <v>11</v>
      </c>
      <c r="H131" s="2">
        <v>1.0037610952309313</v>
      </c>
      <c r="I131">
        <v>10</v>
      </c>
      <c r="M131">
        <v>10</v>
      </c>
    </row>
    <row r="132" spans="1:13" x14ac:dyDescent="0.25">
      <c r="A132" s="1">
        <v>40543</v>
      </c>
      <c r="B132">
        <v>0.34499999999999997</v>
      </c>
      <c r="C132">
        <v>0.34849999999999998</v>
      </c>
      <c r="D132" s="2">
        <v>0.98948374760994251</v>
      </c>
      <c r="E132">
        <f t="shared" si="7"/>
        <v>12</v>
      </c>
      <c r="H132" s="2">
        <v>0.95695130557515862</v>
      </c>
      <c r="I132">
        <v>10</v>
      </c>
      <c r="M132">
        <v>10</v>
      </c>
    </row>
    <row r="133" spans="1:13" x14ac:dyDescent="0.25">
      <c r="A133" s="1">
        <v>40574</v>
      </c>
      <c r="B133">
        <v>0.247</v>
      </c>
      <c r="C133">
        <v>0.3495833333333333</v>
      </c>
      <c r="D133" s="2">
        <v>0.70875179340028693</v>
      </c>
      <c r="E133">
        <f t="shared" si="7"/>
        <v>1</v>
      </c>
      <c r="H133" s="2">
        <v>0.93586269196025296</v>
      </c>
      <c r="I133">
        <v>10</v>
      </c>
      <c r="M133">
        <v>10</v>
      </c>
    </row>
    <row r="134" spans="1:13" x14ac:dyDescent="0.25">
      <c r="A134" s="1">
        <v>40602</v>
      </c>
      <c r="B134">
        <v>0.253</v>
      </c>
      <c r="C134">
        <v>0.34916666666666663</v>
      </c>
      <c r="D134" s="2">
        <v>0.72371871275327782</v>
      </c>
      <c r="E134">
        <f t="shared" si="7"/>
        <v>2</v>
      </c>
      <c r="H134" s="2">
        <v>0.8220385674931131</v>
      </c>
      <c r="I134">
        <v>10</v>
      </c>
      <c r="M134">
        <v>10</v>
      </c>
    </row>
    <row r="135" spans="1:13" x14ac:dyDescent="0.25">
      <c r="A135" s="1">
        <v>40633</v>
      </c>
      <c r="B135">
        <v>0.34699999999999998</v>
      </c>
      <c r="C135">
        <v>0.3475833333333333</v>
      </c>
      <c r="D135" s="2">
        <v>0.99379474940334134</v>
      </c>
      <c r="E135">
        <f t="shared" si="7"/>
        <v>3</v>
      </c>
      <c r="H135" s="2">
        <v>0.98936924167257267</v>
      </c>
      <c r="I135">
        <v>10</v>
      </c>
      <c r="M135">
        <v>10</v>
      </c>
    </row>
    <row r="136" spans="1:13" x14ac:dyDescent="0.25">
      <c r="A136" s="1">
        <v>40663</v>
      </c>
      <c r="B136">
        <v>0.375</v>
      </c>
      <c r="C136">
        <v>0.34191666666666665</v>
      </c>
      <c r="D136" s="2">
        <v>1.0788779669144091</v>
      </c>
      <c r="E136">
        <f t="shared" si="7"/>
        <v>4</v>
      </c>
      <c r="H136" s="2">
        <v>1.2231163130943672</v>
      </c>
      <c r="I136">
        <v>10</v>
      </c>
      <c r="M136">
        <v>10</v>
      </c>
    </row>
    <row r="137" spans="1:13" x14ac:dyDescent="0.25">
      <c r="A137" s="1">
        <v>40694</v>
      </c>
      <c r="B137">
        <v>0.39100000000000001</v>
      </c>
      <c r="C137">
        <v>0.33708333333333335</v>
      </c>
      <c r="D137" s="2">
        <v>1.143553497440897</v>
      </c>
      <c r="E137">
        <f t="shared" si="7"/>
        <v>5</v>
      </c>
      <c r="H137" s="2">
        <v>0.83994528043775663</v>
      </c>
      <c r="I137">
        <v>10</v>
      </c>
      <c r="M137">
        <v>10</v>
      </c>
    </row>
    <row r="138" spans="1:13" x14ac:dyDescent="0.25">
      <c r="A138" s="1">
        <v>40724</v>
      </c>
      <c r="B138">
        <v>0.44</v>
      </c>
      <c r="C138">
        <v>0.33441666666666664</v>
      </c>
      <c r="D138" s="2">
        <v>1.3053152039555005</v>
      </c>
      <c r="E138">
        <f t="shared" si="7"/>
        <v>6</v>
      </c>
      <c r="H138" s="2">
        <v>0.98187022900763365</v>
      </c>
      <c r="I138">
        <v>10</v>
      </c>
      <c r="M138">
        <v>10</v>
      </c>
    </row>
    <row r="139" spans="1:13" x14ac:dyDescent="0.25">
      <c r="A139" s="1">
        <v>40755</v>
      </c>
      <c r="B139">
        <v>0.38500000000000001</v>
      </c>
      <c r="C139">
        <v>0.3389166666666667</v>
      </c>
      <c r="D139" s="2">
        <v>1.1512584101669574</v>
      </c>
      <c r="E139">
        <f t="shared" si="7"/>
        <v>7</v>
      </c>
      <c r="H139" s="2">
        <v>1.06389564448375</v>
      </c>
      <c r="I139">
        <v>10</v>
      </c>
      <c r="M139">
        <v>10</v>
      </c>
    </row>
    <row r="140" spans="1:13" x14ac:dyDescent="0.25">
      <c r="A140" s="1">
        <v>40786</v>
      </c>
      <c r="B140">
        <v>0.42899999999999999</v>
      </c>
      <c r="C140">
        <v>0.34533333333333333</v>
      </c>
      <c r="D140" s="2">
        <v>1.2657978854192278</v>
      </c>
      <c r="E140">
        <f t="shared" si="7"/>
        <v>8</v>
      </c>
      <c r="H140" s="2">
        <v>1.002759164367363</v>
      </c>
      <c r="I140">
        <v>10</v>
      </c>
      <c r="J140" s="2">
        <f>MEDIAN(H127:H140)</f>
        <v>1.0026053034735176</v>
      </c>
      <c r="K140" s="2">
        <f>AVERAGE(H127:H140)</f>
        <v>0.99725717208246145</v>
      </c>
      <c r="M140">
        <v>10</v>
      </c>
    </row>
    <row r="141" spans="1:13" x14ac:dyDescent="0.25">
      <c r="A141" s="1">
        <v>40816</v>
      </c>
      <c r="B141">
        <v>0.36899999999999999</v>
      </c>
      <c r="C141">
        <v>0.34933333333333333</v>
      </c>
      <c r="D141" s="2">
        <v>1.0685328185328185</v>
      </c>
      <c r="E141">
        <f t="shared" si="7"/>
        <v>9</v>
      </c>
      <c r="H141" s="2">
        <v>0.94590417310664598</v>
      </c>
      <c r="I141">
        <v>11</v>
      </c>
      <c r="M141">
        <v>10</v>
      </c>
    </row>
    <row r="142" spans="1:13" x14ac:dyDescent="0.25">
      <c r="A142" s="1">
        <v>40847</v>
      </c>
      <c r="B142">
        <v>0.34300000000000003</v>
      </c>
      <c r="C142">
        <v>0.35233333333333333</v>
      </c>
      <c r="D142" s="2">
        <v>0.98187022900763365</v>
      </c>
      <c r="E142">
        <f t="shared" si="7"/>
        <v>10</v>
      </c>
      <c r="H142" s="2">
        <v>0.91490963855421703</v>
      </c>
      <c r="I142">
        <v>11</v>
      </c>
      <c r="M142">
        <v>10</v>
      </c>
    </row>
    <row r="143" spans="1:13" x14ac:dyDescent="0.25">
      <c r="A143" s="1">
        <v>40877</v>
      </c>
      <c r="B143">
        <v>0.33500000000000002</v>
      </c>
      <c r="C143">
        <v>0.35491666666666671</v>
      </c>
      <c r="D143" s="2">
        <v>0.95080416272469259</v>
      </c>
      <c r="E143">
        <f t="shared" si="7"/>
        <v>11</v>
      </c>
      <c r="H143" s="2">
        <v>0.9287257019438443</v>
      </c>
      <c r="I143">
        <v>11</v>
      </c>
      <c r="M143">
        <v>11</v>
      </c>
    </row>
    <row r="144" spans="1:13" x14ac:dyDescent="0.25">
      <c r="A144" s="1">
        <v>40908</v>
      </c>
      <c r="B144">
        <v>0.34899999999999998</v>
      </c>
      <c r="C144">
        <v>0.35525000000000001</v>
      </c>
      <c r="D144" s="2">
        <v>0.98332942005165513</v>
      </c>
      <c r="E144">
        <f t="shared" si="7"/>
        <v>12</v>
      </c>
      <c r="H144" s="2">
        <v>0.87608446554264197</v>
      </c>
      <c r="I144">
        <v>11</v>
      </c>
      <c r="M144">
        <v>11</v>
      </c>
    </row>
    <row r="145" spans="1:13" x14ac:dyDescent="0.25">
      <c r="A145" s="1">
        <v>40939</v>
      </c>
      <c r="B145">
        <v>0.26</v>
      </c>
      <c r="C145">
        <v>0.35633333333333334</v>
      </c>
      <c r="D145" s="2">
        <v>0.73187895847994366</v>
      </c>
      <c r="E145">
        <f t="shared" si="7"/>
        <v>1</v>
      </c>
      <c r="H145" s="2">
        <v>0.95718792248760709</v>
      </c>
      <c r="I145">
        <v>11</v>
      </c>
      <c r="M145">
        <v>11</v>
      </c>
    </row>
    <row r="146" spans="1:13" x14ac:dyDescent="0.25">
      <c r="A146" s="1">
        <v>40968</v>
      </c>
      <c r="B146">
        <v>0.28699999999999998</v>
      </c>
      <c r="C146">
        <v>0.35916666666666663</v>
      </c>
      <c r="D146" s="2">
        <v>0.80542563143124413</v>
      </c>
      <c r="E146">
        <f t="shared" si="7"/>
        <v>2</v>
      </c>
      <c r="H146" s="2">
        <v>0.89653228080067671</v>
      </c>
      <c r="I146">
        <v>11</v>
      </c>
      <c r="M146">
        <v>11</v>
      </c>
    </row>
    <row r="147" spans="1:13" x14ac:dyDescent="0.25">
      <c r="A147" s="1">
        <v>40999</v>
      </c>
      <c r="B147">
        <v>0.36</v>
      </c>
      <c r="C147">
        <v>0.36025000000000001</v>
      </c>
      <c r="D147" s="2">
        <v>1.0023201856148491</v>
      </c>
      <c r="E147">
        <f t="shared" si="7"/>
        <v>3</v>
      </c>
      <c r="H147" s="2">
        <v>0.85883244882486731</v>
      </c>
      <c r="I147">
        <v>11</v>
      </c>
      <c r="M147">
        <v>11</v>
      </c>
    </row>
    <row r="148" spans="1:13" x14ac:dyDescent="0.25">
      <c r="A148" s="1">
        <v>41029</v>
      </c>
      <c r="B148">
        <v>0.4</v>
      </c>
      <c r="C148">
        <v>0.36233333333333334</v>
      </c>
      <c r="D148" s="2">
        <v>1.1103400416377516</v>
      </c>
      <c r="E148">
        <f t="shared" si="7"/>
        <v>4</v>
      </c>
      <c r="H148" s="2">
        <v>0.77660377358490562</v>
      </c>
      <c r="I148">
        <v>11</v>
      </c>
      <c r="M148">
        <v>11</v>
      </c>
    </row>
    <row r="149" spans="1:13" x14ac:dyDescent="0.25">
      <c r="A149" s="1">
        <v>41060</v>
      </c>
      <c r="B149">
        <v>0.44800000000000001</v>
      </c>
      <c r="C149">
        <v>0.36708333333333337</v>
      </c>
      <c r="D149" s="2">
        <v>1.2364305427782889</v>
      </c>
      <c r="E149">
        <f t="shared" si="7"/>
        <v>5</v>
      </c>
      <c r="H149" s="2">
        <v>0.77833214540270845</v>
      </c>
      <c r="I149">
        <v>11</v>
      </c>
      <c r="M149">
        <v>11</v>
      </c>
    </row>
    <row r="150" spans="1:13" x14ac:dyDescent="0.25">
      <c r="A150" s="1">
        <v>41090</v>
      </c>
      <c r="B150">
        <v>0.46300000000000002</v>
      </c>
      <c r="C150">
        <v>0.36899999999999994</v>
      </c>
      <c r="D150" s="2">
        <v>1.261293984108967</v>
      </c>
      <c r="E150">
        <f t="shared" si="7"/>
        <v>6</v>
      </c>
      <c r="H150" s="2">
        <v>1.1366906474820144</v>
      </c>
      <c r="I150">
        <v>11</v>
      </c>
      <c r="M150">
        <v>11</v>
      </c>
    </row>
    <row r="151" spans="1:13" x14ac:dyDescent="0.25">
      <c r="A151" s="1">
        <v>41121</v>
      </c>
      <c r="B151">
        <v>0.43</v>
      </c>
      <c r="C151">
        <v>0.37274999999999991</v>
      </c>
      <c r="D151" s="2">
        <v>1.1653116531165313</v>
      </c>
      <c r="E151">
        <f t="shared" si="7"/>
        <v>7</v>
      </c>
      <c r="H151" s="2">
        <v>0.85333333333333328</v>
      </c>
      <c r="I151">
        <v>11</v>
      </c>
      <c r="M151">
        <v>11</v>
      </c>
    </row>
    <row r="152" spans="1:13" x14ac:dyDescent="0.25">
      <c r="A152" s="1">
        <v>41152</v>
      </c>
      <c r="B152">
        <v>0.47599999999999998</v>
      </c>
      <c r="C152">
        <v>0.37666666666666665</v>
      </c>
      <c r="D152" s="2">
        <v>1.2769953051643195</v>
      </c>
      <c r="E152">
        <f t="shared" si="7"/>
        <v>8</v>
      </c>
      <c r="H152" s="2">
        <v>0.95080416272469259</v>
      </c>
      <c r="I152">
        <v>11</v>
      </c>
      <c r="M152">
        <v>11</v>
      </c>
    </row>
    <row r="153" spans="1:13" x14ac:dyDescent="0.25">
      <c r="A153" s="1">
        <v>41182</v>
      </c>
      <c r="B153">
        <v>0.372</v>
      </c>
      <c r="C153">
        <v>0.37691666666666662</v>
      </c>
      <c r="D153" s="2">
        <v>0.98761061946902662</v>
      </c>
      <c r="E153">
        <f t="shared" si="7"/>
        <v>9</v>
      </c>
      <c r="H153" s="2">
        <v>1.0085134250163721</v>
      </c>
      <c r="I153">
        <v>11</v>
      </c>
      <c r="M153">
        <v>11</v>
      </c>
    </row>
    <row r="154" spans="1:13" x14ac:dyDescent="0.25">
      <c r="A154" s="1">
        <v>41213</v>
      </c>
      <c r="B154">
        <v>0.40100000000000002</v>
      </c>
      <c r="C154">
        <v>0.38174999999999998</v>
      </c>
      <c r="D154" s="2">
        <v>1.06389564448375</v>
      </c>
      <c r="E154">
        <f t="shared" si="7"/>
        <v>10</v>
      </c>
      <c r="H154" s="2">
        <v>0.85226603884638019</v>
      </c>
      <c r="I154">
        <v>11</v>
      </c>
      <c r="J154" s="2">
        <f>MEDIAN(H141:H154)</f>
        <v>0.90572095967744692</v>
      </c>
      <c r="K154" s="2">
        <f>AVERAGE(H141:H154)</f>
        <v>0.90962286840363604</v>
      </c>
      <c r="M154">
        <v>11</v>
      </c>
    </row>
    <row r="155" spans="1:13" x14ac:dyDescent="0.25">
      <c r="A155" s="1">
        <v>41243</v>
      </c>
      <c r="B155">
        <v>0.38500000000000001</v>
      </c>
      <c r="C155">
        <v>0.38591666666666663</v>
      </c>
      <c r="D155" s="2">
        <v>1.0085134250163721</v>
      </c>
      <c r="E155">
        <f t="shared" si="7"/>
        <v>11</v>
      </c>
      <c r="H155" s="2">
        <v>0.89034496049335132</v>
      </c>
      <c r="I155">
        <v>12</v>
      </c>
      <c r="M155">
        <v>11</v>
      </c>
    </row>
    <row r="156" spans="1:13" x14ac:dyDescent="0.25">
      <c r="A156" s="1">
        <v>41274</v>
      </c>
      <c r="B156">
        <v>0.374</v>
      </c>
      <c r="C156">
        <v>0.38799999999999996</v>
      </c>
      <c r="D156" s="2">
        <v>0.96912114014251793</v>
      </c>
      <c r="E156">
        <f t="shared" si="7"/>
        <v>12</v>
      </c>
      <c r="H156" s="2">
        <v>0.92446788472405339</v>
      </c>
      <c r="I156">
        <v>12</v>
      </c>
      <c r="M156">
        <v>12</v>
      </c>
    </row>
    <row r="157" spans="1:13" x14ac:dyDescent="0.25">
      <c r="A157" s="1">
        <v>41305</v>
      </c>
      <c r="B157">
        <v>0.29099999999999998</v>
      </c>
      <c r="C157">
        <v>0.39058333333333334</v>
      </c>
      <c r="D157" s="2">
        <v>0.75</v>
      </c>
      <c r="E157">
        <f t="shared" si="7"/>
        <v>1</v>
      </c>
      <c r="H157" s="2">
        <v>0.98691990682673369</v>
      </c>
      <c r="I157">
        <v>12</v>
      </c>
      <c r="M157">
        <v>12</v>
      </c>
    </row>
    <row r="158" spans="1:13" x14ac:dyDescent="0.25">
      <c r="A158" s="1">
        <v>41333</v>
      </c>
      <c r="B158">
        <v>0.30399999999999999</v>
      </c>
      <c r="C158">
        <v>0.39199999999999996</v>
      </c>
      <c r="D158" s="2">
        <v>0.77832302112225304</v>
      </c>
      <c r="E158">
        <f t="shared" si="7"/>
        <v>2</v>
      </c>
      <c r="H158" s="2">
        <v>0.99918367346938786</v>
      </c>
      <c r="I158">
        <v>12</v>
      </c>
      <c r="M158">
        <v>12</v>
      </c>
    </row>
    <row r="159" spans="1:13" x14ac:dyDescent="0.25">
      <c r="A159" s="1">
        <v>41364</v>
      </c>
      <c r="B159">
        <v>0.38700000000000001</v>
      </c>
      <c r="C159">
        <v>0.39424999999999999</v>
      </c>
      <c r="D159" s="2">
        <v>0.9872448979591838</v>
      </c>
      <c r="E159">
        <f t="shared" si="7"/>
        <v>3</v>
      </c>
      <c r="H159" s="2">
        <v>0.97181845149807189</v>
      </c>
      <c r="I159">
        <v>12</v>
      </c>
      <c r="M159">
        <v>12</v>
      </c>
    </row>
    <row r="160" spans="1:13" x14ac:dyDescent="0.25">
      <c r="A160" s="1">
        <v>41394</v>
      </c>
      <c r="B160">
        <v>0.45400000000000001</v>
      </c>
      <c r="C160">
        <v>0.39874999999999994</v>
      </c>
      <c r="D160" s="2">
        <v>1.1515535827520609</v>
      </c>
      <c r="E160">
        <f t="shared" si="7"/>
        <v>4</v>
      </c>
      <c r="H160" s="2">
        <v>0.89327505991822931</v>
      </c>
      <c r="I160">
        <v>12</v>
      </c>
      <c r="M160">
        <v>12</v>
      </c>
    </row>
    <row r="161" spans="1:13" x14ac:dyDescent="0.25">
      <c r="A161" s="1">
        <v>41425</v>
      </c>
      <c r="B161">
        <v>0.51400000000000001</v>
      </c>
      <c r="C161">
        <v>0.40425</v>
      </c>
      <c r="D161" s="2">
        <v>1.2890282131661444</v>
      </c>
      <c r="E161">
        <f t="shared" si="7"/>
        <v>5</v>
      </c>
      <c r="H161" s="2">
        <v>0.86094538779256546</v>
      </c>
      <c r="I161">
        <v>12</v>
      </c>
      <c r="M161">
        <v>12</v>
      </c>
    </row>
    <row r="162" spans="1:13" x14ac:dyDescent="0.25">
      <c r="A162" s="1">
        <v>41455</v>
      </c>
      <c r="B162">
        <v>0.5</v>
      </c>
      <c r="C162">
        <v>0.40733333333333333</v>
      </c>
      <c r="D162" s="2">
        <v>1.2368583797155226</v>
      </c>
      <c r="E162">
        <f t="shared" si="7"/>
        <v>6</v>
      </c>
      <c r="H162" s="2">
        <v>0.74260297814736032</v>
      </c>
      <c r="I162">
        <v>12</v>
      </c>
      <c r="M162">
        <v>12</v>
      </c>
    </row>
    <row r="163" spans="1:13" x14ac:dyDescent="0.25">
      <c r="A163" s="1">
        <v>41486</v>
      </c>
      <c r="B163">
        <v>0.51900000000000002</v>
      </c>
      <c r="C163">
        <v>0.41475000000000001</v>
      </c>
      <c r="D163" s="2">
        <v>1.2741407528641573</v>
      </c>
      <c r="E163">
        <f t="shared" si="7"/>
        <v>7</v>
      </c>
      <c r="H163" s="2">
        <v>0.88427156317951217</v>
      </c>
      <c r="I163">
        <v>12</v>
      </c>
      <c r="M163">
        <v>12</v>
      </c>
    </row>
    <row r="164" spans="1:13" x14ac:dyDescent="0.25">
      <c r="A164" s="1">
        <v>41517</v>
      </c>
      <c r="B164">
        <v>0.51800000000000002</v>
      </c>
      <c r="C164">
        <v>0.41825000000000001</v>
      </c>
      <c r="D164" s="2">
        <v>1.248945147679325</v>
      </c>
      <c r="E164">
        <f t="shared" si="7"/>
        <v>8</v>
      </c>
      <c r="H164" s="2">
        <v>0.97017707362534955</v>
      </c>
      <c r="I164">
        <v>12</v>
      </c>
      <c r="M164">
        <v>12</v>
      </c>
    </row>
    <row r="165" spans="1:13" x14ac:dyDescent="0.25">
      <c r="A165" s="1">
        <v>41547</v>
      </c>
      <c r="B165">
        <v>0.42699999999999999</v>
      </c>
      <c r="C165">
        <v>0.42283333333333334</v>
      </c>
      <c r="D165" s="2">
        <v>1.0209205020920502</v>
      </c>
      <c r="E165">
        <f t="shared" si="7"/>
        <v>9</v>
      </c>
      <c r="H165" s="2">
        <v>0.98948374760994251</v>
      </c>
      <c r="I165">
        <v>12</v>
      </c>
      <c r="M165">
        <v>12</v>
      </c>
    </row>
    <row r="166" spans="1:13" x14ac:dyDescent="0.25">
      <c r="A166" s="1">
        <v>41578</v>
      </c>
      <c r="B166">
        <v>0.42399999999999999</v>
      </c>
      <c r="C166">
        <v>0.42475000000000002</v>
      </c>
      <c r="D166" s="2">
        <v>1.002759164367363</v>
      </c>
      <c r="E166">
        <f t="shared" si="7"/>
        <v>10</v>
      </c>
      <c r="H166" s="2">
        <v>0.98332942005165513</v>
      </c>
      <c r="I166">
        <v>12</v>
      </c>
      <c r="M166">
        <v>12</v>
      </c>
    </row>
    <row r="167" spans="1:13" x14ac:dyDescent="0.25">
      <c r="A167" s="1">
        <v>41608</v>
      </c>
      <c r="B167">
        <v>0.36199999999999999</v>
      </c>
      <c r="C167">
        <v>0.42283333333333334</v>
      </c>
      <c r="D167" s="2">
        <v>0.85226603884638019</v>
      </c>
      <c r="E167">
        <f t="shared" si="7"/>
        <v>11</v>
      </c>
      <c r="H167" s="2">
        <v>0.96912114014251793</v>
      </c>
      <c r="I167">
        <v>12</v>
      </c>
      <c r="M167">
        <v>12</v>
      </c>
    </row>
    <row r="168" spans="1:13" x14ac:dyDescent="0.25">
      <c r="A168" s="1">
        <v>41639</v>
      </c>
      <c r="B168">
        <v>0.38700000000000001</v>
      </c>
      <c r="C168">
        <f>AVERAGE(B157:B168)</f>
        <v>0.42391666666666666</v>
      </c>
      <c r="D168" s="2">
        <v>0.91288923925896726</v>
      </c>
      <c r="E168">
        <f t="shared" si="7"/>
        <v>12</v>
      </c>
      <c r="H168" s="2">
        <v>0.91288923925896726</v>
      </c>
      <c r="I168">
        <v>12</v>
      </c>
      <c r="J168" s="2">
        <f>MEDIAN(H155:H168)</f>
        <v>0.94679451243328572</v>
      </c>
      <c r="K168" s="2">
        <f>AVERAGE(H155:H168)</f>
        <v>0.92705932048126416</v>
      </c>
      <c r="M168">
        <v>12</v>
      </c>
    </row>
    <row r="169" spans="1:13" x14ac:dyDescent="0.25">
      <c r="A169" s="1">
        <v>41670</v>
      </c>
      <c r="B169">
        <v>0.28100000000000003</v>
      </c>
      <c r="D169" s="2">
        <f>B169/C167</f>
        <v>0.66456444619629484</v>
      </c>
      <c r="J169" s="2">
        <f>AVERAGE(J14:J168)</f>
        <v>1.0145718089443552</v>
      </c>
      <c r="K169" s="2">
        <f>AVERAGE(K14:K168)</f>
        <v>1.0008378822019535</v>
      </c>
    </row>
  </sheetData>
  <sortState ref="M2:O13">
    <sortCondition ref="M2:M13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G187"/>
  <sheetViews>
    <sheetView tabSelected="1" topLeftCell="K1" workbookViewId="0">
      <selection activeCell="R10" sqref="R10"/>
    </sheetView>
  </sheetViews>
  <sheetFormatPr defaultRowHeight="15" x14ac:dyDescent="0.25"/>
  <cols>
    <col min="1" max="1" width="14.28515625" customWidth="1"/>
    <col min="3" max="3" width="12.28515625" customWidth="1"/>
    <col min="4" max="4" width="9.7109375" bestFit="1" customWidth="1"/>
    <col min="16" max="17" width="9.140625" style="3"/>
    <col min="18" max="18" width="20.42578125" style="3" bestFit="1" customWidth="1"/>
    <col min="25" max="25" width="12.28515625" customWidth="1"/>
  </cols>
  <sheetData>
    <row r="1" spans="1:33" x14ac:dyDescent="0.25">
      <c r="A1" s="1">
        <v>36191</v>
      </c>
      <c r="B1">
        <v>0.29099999999999998</v>
      </c>
      <c r="C1" s="1">
        <v>36161</v>
      </c>
      <c r="D1" s="5">
        <f>NETWORKDAYS(C1,A1)</f>
        <v>21</v>
      </c>
      <c r="E1">
        <f>MONTH(C1)</f>
        <v>1</v>
      </c>
      <c r="F1">
        <f>VLOOKUP(E1,$L$1:$M$12,2)</f>
        <v>2</v>
      </c>
      <c r="G1" s="5">
        <f t="shared" ref="G1:G64" si="0">D1-F1</f>
        <v>19</v>
      </c>
      <c r="H1">
        <f>B1/G1*21</f>
        <v>0.32163157894736838</v>
      </c>
      <c r="K1" s="3">
        <f>AVERAGE(P2:P13)</f>
        <v>1.0160969729757905</v>
      </c>
      <c r="L1">
        <v>1</v>
      </c>
      <c r="M1">
        <v>2</v>
      </c>
      <c r="O1" t="s">
        <v>23</v>
      </c>
      <c r="P1" s="3" t="s">
        <v>24</v>
      </c>
      <c r="Q1" s="3" t="s">
        <v>25</v>
      </c>
      <c r="R1" s="3" t="s">
        <v>26</v>
      </c>
      <c r="S1" t="s">
        <v>27</v>
      </c>
      <c r="T1" t="s">
        <v>28</v>
      </c>
      <c r="U1" t="s">
        <v>35</v>
      </c>
      <c r="W1" t="s">
        <v>31</v>
      </c>
      <c r="X1" t="s">
        <v>32</v>
      </c>
      <c r="Y1" t="s">
        <v>33</v>
      </c>
      <c r="AC1" t="s">
        <v>34</v>
      </c>
    </row>
    <row r="2" spans="1:33" x14ac:dyDescent="0.25">
      <c r="A2" s="1">
        <v>36219</v>
      </c>
      <c r="B2">
        <v>0.29299999999999998</v>
      </c>
      <c r="C2" s="1">
        <v>36192</v>
      </c>
      <c r="D2" s="5">
        <f t="shared" ref="D2:D65" si="1">NETWORKDAYS(C2,A2)</f>
        <v>20</v>
      </c>
      <c r="E2">
        <f t="shared" ref="E2:E65" si="2">MONTH(C2)</f>
        <v>2</v>
      </c>
      <c r="F2">
        <f t="shared" ref="F2:F11" si="3">VLOOKUP(E2,$L$1:$M$12,2)</f>
        <v>1</v>
      </c>
      <c r="G2" s="5">
        <f t="shared" si="0"/>
        <v>19</v>
      </c>
      <c r="H2">
        <f t="shared" ref="H2:H65" si="4">B2/G2*21</f>
        <v>0.32384210526315788</v>
      </c>
      <c r="L2">
        <v>2</v>
      </c>
      <c r="M2">
        <v>1</v>
      </c>
      <c r="N2">
        <v>201402</v>
      </c>
      <c r="O2">
        <v>1</v>
      </c>
      <c r="P2" s="3">
        <v>0.72418983889105881</v>
      </c>
      <c r="Q2" s="3">
        <v>0.70699129522567772</v>
      </c>
      <c r="R2" s="3">
        <f t="shared" ref="R2:R13" si="5">P2/$K$1</f>
        <v>0.71271724860094954</v>
      </c>
      <c r="S2">
        <v>20.142857142857142</v>
      </c>
      <c r="T2" s="8">
        <v>21</v>
      </c>
      <c r="U2" s="7">
        <f t="shared" ref="U2:U11" si="6">T2/21*R2</f>
        <v>0.71271724860094954</v>
      </c>
      <c r="W2" s="6">
        <v>3.06</v>
      </c>
      <c r="X2">
        <f>1-(1-W2/100)^(1/12)</f>
        <v>2.5864789153648982E-3</v>
      </c>
      <c r="Y2">
        <f>X2/$T2/$R2*21</f>
        <v>3.6290393145979099E-3</v>
      </c>
      <c r="AC2">
        <v>3.48</v>
      </c>
      <c r="AD2">
        <f>1-(1-AC2/100)^(1/12)</f>
        <v>2.9473102308257282E-3</v>
      </c>
      <c r="AE2">
        <f>AD2/$T2/$R2*21</f>
        <v>4.1353148623963316E-3</v>
      </c>
    </row>
    <row r="3" spans="1:33" x14ac:dyDescent="0.25">
      <c r="A3" s="1">
        <v>36250</v>
      </c>
      <c r="B3">
        <v>0.41199999999999998</v>
      </c>
      <c r="C3" s="1">
        <v>36220</v>
      </c>
      <c r="D3" s="5">
        <f t="shared" si="1"/>
        <v>23</v>
      </c>
      <c r="E3">
        <f t="shared" si="2"/>
        <v>3</v>
      </c>
      <c r="F3">
        <f t="shared" si="3"/>
        <v>0</v>
      </c>
      <c r="G3" s="5">
        <f t="shared" si="0"/>
        <v>23</v>
      </c>
      <c r="H3">
        <f t="shared" si="4"/>
        <v>0.37617391304347825</v>
      </c>
      <c r="L3">
        <v>3</v>
      </c>
      <c r="M3">
        <v>0</v>
      </c>
      <c r="N3">
        <v>201403</v>
      </c>
      <c r="O3">
        <v>2</v>
      </c>
      <c r="P3" s="3">
        <v>0.78348158037353177</v>
      </c>
      <c r="Q3" s="3">
        <v>0.7850202577981269</v>
      </c>
      <c r="R3" s="3">
        <f t="shared" si="5"/>
        <v>0.77106969237295331</v>
      </c>
      <c r="S3">
        <v>19.214285714285715</v>
      </c>
      <c r="T3" s="8">
        <v>19</v>
      </c>
      <c r="U3" s="7">
        <f>T3/21*R3</f>
        <v>0.69763448357552915</v>
      </c>
      <c r="V3" s="3">
        <f t="shared" ref="V3:V10" si="7">R3/R2*T3/T2-1</f>
        <v>-2.1162340402210766E-2</v>
      </c>
      <c r="W3" s="6">
        <v>3</v>
      </c>
      <c r="X3">
        <f t="shared" ref="X3:X9" si="8">1-(1-W3/100)^(1/12)</f>
        <v>2.5350486138366879E-3</v>
      </c>
      <c r="Y3">
        <f t="shared" ref="Y3:Y9" si="9">X3/$T3/$R3*21</f>
        <v>3.6337776780241845E-3</v>
      </c>
      <c r="AC3">
        <v>3.21</v>
      </c>
      <c r="AD3">
        <f t="shared" ref="AD3:AD10" si="10">1-(1-AC3/100)^(1/12)</f>
        <v>2.7151824418244486E-3</v>
      </c>
      <c r="AE3">
        <f t="shared" ref="AE3:AE10" si="11">AD3/$T3/$R3*21</f>
        <v>3.8919842779395666E-3</v>
      </c>
    </row>
    <row r="4" spans="1:33" x14ac:dyDescent="0.25">
      <c r="A4" s="1">
        <v>36280</v>
      </c>
      <c r="B4">
        <v>0.45400000000000001</v>
      </c>
      <c r="C4" s="1">
        <v>36251</v>
      </c>
      <c r="D4" s="5">
        <f t="shared" si="1"/>
        <v>22</v>
      </c>
      <c r="E4">
        <f t="shared" si="2"/>
        <v>4</v>
      </c>
      <c r="F4">
        <f t="shared" si="3"/>
        <v>0</v>
      </c>
      <c r="G4" s="5">
        <f t="shared" si="0"/>
        <v>22</v>
      </c>
      <c r="H4">
        <f t="shared" si="4"/>
        <v>0.4333636363636364</v>
      </c>
      <c r="L4">
        <v>4</v>
      </c>
      <c r="M4">
        <v>0</v>
      </c>
      <c r="N4">
        <v>201404</v>
      </c>
      <c r="O4">
        <v>3</v>
      </c>
      <c r="P4" s="3">
        <v>0.90966351315320659</v>
      </c>
      <c r="Q4" s="3">
        <v>0.90240646545793457</v>
      </c>
      <c r="R4" s="3">
        <f t="shared" si="5"/>
        <v>0.89525265535347698</v>
      </c>
      <c r="S4">
        <v>22.142857142857142</v>
      </c>
      <c r="T4" s="8">
        <v>21</v>
      </c>
      <c r="U4" s="7">
        <f t="shared" si="6"/>
        <v>0.89525265535347698</v>
      </c>
      <c r="V4" s="3">
        <f t="shared" si="7"/>
        <v>0.28326892725415687</v>
      </c>
      <c r="W4" s="6">
        <v>4.0599999999999996</v>
      </c>
      <c r="X4">
        <f t="shared" si="8"/>
        <v>3.4479745294568875E-3</v>
      </c>
      <c r="Y4">
        <f t="shared" si="9"/>
        <v>3.85139827158123E-3</v>
      </c>
      <c r="AC4">
        <v>4.0199999999999996</v>
      </c>
      <c r="AD4">
        <f t="shared" si="10"/>
        <v>3.4133570031068539E-3</v>
      </c>
      <c r="AE4">
        <f t="shared" si="11"/>
        <v>3.8127303869980047E-3</v>
      </c>
    </row>
    <row r="5" spans="1:33" x14ac:dyDescent="0.25">
      <c r="A5" s="1">
        <v>36311</v>
      </c>
      <c r="B5">
        <v>0.47199999999999998</v>
      </c>
      <c r="C5" s="1">
        <v>36281</v>
      </c>
      <c r="D5" s="5">
        <f t="shared" si="1"/>
        <v>21</v>
      </c>
      <c r="E5">
        <f t="shared" si="2"/>
        <v>5</v>
      </c>
      <c r="F5">
        <f t="shared" si="3"/>
        <v>1</v>
      </c>
      <c r="G5" s="5">
        <f t="shared" si="0"/>
        <v>20</v>
      </c>
      <c r="H5">
        <f t="shared" si="4"/>
        <v>0.49559999999999998</v>
      </c>
      <c r="L5">
        <v>5</v>
      </c>
      <c r="M5">
        <v>1</v>
      </c>
      <c r="N5">
        <v>201405</v>
      </c>
      <c r="O5">
        <v>4</v>
      </c>
      <c r="P5" s="3">
        <v>1.0522580420601133</v>
      </c>
      <c r="Q5" s="3">
        <v>1.0392916232684373</v>
      </c>
      <c r="R5" s="3">
        <f t="shared" si="5"/>
        <v>1.0355882066830884</v>
      </c>
      <c r="S5">
        <v>21.357142857142858</v>
      </c>
      <c r="T5" s="8">
        <v>22</v>
      </c>
      <c r="U5" s="7">
        <f t="shared" si="6"/>
        <v>1.0849019308108545</v>
      </c>
      <c r="V5" s="3">
        <f t="shared" si="7"/>
        <v>0.21183883043887475</v>
      </c>
      <c r="W5" s="6">
        <v>4.62</v>
      </c>
      <c r="X5">
        <f t="shared" si="8"/>
        <v>3.9340141711349252E-3</v>
      </c>
      <c r="Y5">
        <f t="shared" si="9"/>
        <v>3.6261472667807383E-3</v>
      </c>
      <c r="AC5">
        <v>4.7</v>
      </c>
      <c r="AD5">
        <f t="shared" si="10"/>
        <v>4.0036618335385077E-3</v>
      </c>
      <c r="AE5">
        <f t="shared" si="11"/>
        <v>3.6903444632513239E-3</v>
      </c>
    </row>
    <row r="6" spans="1:33" x14ac:dyDescent="0.25">
      <c r="A6" s="1">
        <v>36341</v>
      </c>
      <c r="B6">
        <v>0.56000000000000005</v>
      </c>
      <c r="C6" s="1">
        <v>36312</v>
      </c>
      <c r="D6" s="5">
        <f t="shared" si="1"/>
        <v>22</v>
      </c>
      <c r="E6">
        <f t="shared" si="2"/>
        <v>6</v>
      </c>
      <c r="F6">
        <f t="shared" si="3"/>
        <v>0</v>
      </c>
      <c r="G6" s="5">
        <f t="shared" si="0"/>
        <v>22</v>
      </c>
      <c r="H6">
        <f t="shared" si="4"/>
        <v>0.53454545454545455</v>
      </c>
      <c r="L6">
        <v>6</v>
      </c>
      <c r="M6">
        <v>0</v>
      </c>
      <c r="N6">
        <v>201406</v>
      </c>
      <c r="O6">
        <v>5</v>
      </c>
      <c r="P6" s="3">
        <v>1.1496554019061525</v>
      </c>
      <c r="Q6" s="3">
        <v>1.1368121891312275</v>
      </c>
      <c r="R6" s="3">
        <f t="shared" si="5"/>
        <v>1.1314426009352399</v>
      </c>
      <c r="S6">
        <v>21.285714285714285</v>
      </c>
      <c r="T6" s="8">
        <v>21</v>
      </c>
      <c r="U6" s="7">
        <f t="shared" si="6"/>
        <v>1.1314426009352399</v>
      </c>
      <c r="V6" s="3">
        <f t="shared" si="7"/>
        <v>4.2898504281950078E-2</v>
      </c>
      <c r="W6" s="6">
        <v>5.59</v>
      </c>
      <c r="X6">
        <f t="shared" si="8"/>
        <v>4.7821278950315182E-3</v>
      </c>
      <c r="Y6">
        <f t="shared" si="9"/>
        <v>4.2265757812889986E-3</v>
      </c>
      <c r="AC6">
        <v>5.31</v>
      </c>
      <c r="AD6">
        <f t="shared" si="10"/>
        <v>4.5364945483714614E-3</v>
      </c>
      <c r="AE6">
        <f t="shared" si="11"/>
        <v>4.0094782931291767E-3</v>
      </c>
      <c r="AG6" t="s">
        <v>6</v>
      </c>
    </row>
    <row r="7" spans="1:33" x14ac:dyDescent="0.25">
      <c r="A7" s="1">
        <v>36372</v>
      </c>
      <c r="B7">
        <v>0.52800000000000002</v>
      </c>
      <c r="C7" s="1">
        <v>36342</v>
      </c>
      <c r="D7" s="5">
        <f t="shared" si="1"/>
        <v>22</v>
      </c>
      <c r="E7">
        <f t="shared" si="2"/>
        <v>7</v>
      </c>
      <c r="F7">
        <f t="shared" si="3"/>
        <v>1</v>
      </c>
      <c r="G7" s="5">
        <f t="shared" si="0"/>
        <v>21</v>
      </c>
      <c r="H7">
        <f t="shared" si="4"/>
        <v>0.52800000000000002</v>
      </c>
      <c r="L7">
        <v>7</v>
      </c>
      <c r="M7">
        <v>1</v>
      </c>
      <c r="N7">
        <v>201407</v>
      </c>
      <c r="O7">
        <v>6</v>
      </c>
      <c r="P7" s="3">
        <v>1.2427618419258477</v>
      </c>
      <c r="Q7" s="3">
        <v>1.2182847967499302</v>
      </c>
      <c r="R7" s="3">
        <f t="shared" si="5"/>
        <v>1.2230740519639927</v>
      </c>
      <c r="S7">
        <v>21.357142857142858</v>
      </c>
      <c r="T7" s="8">
        <v>21</v>
      </c>
      <c r="U7" s="7">
        <f t="shared" si="6"/>
        <v>1.2230740519639927</v>
      </c>
      <c r="V7" s="3">
        <f t="shared" si="7"/>
        <v>8.0986389369651635E-2</v>
      </c>
      <c r="W7" s="6">
        <v>6.4</v>
      </c>
      <c r="X7">
        <f t="shared" si="8"/>
        <v>5.4964889320406884E-3</v>
      </c>
      <c r="Y7">
        <f t="shared" si="9"/>
        <v>4.4939952108496743E-3</v>
      </c>
      <c r="AC7">
        <v>6.1</v>
      </c>
      <c r="AD7">
        <f t="shared" si="10"/>
        <v>5.231252406122322E-3</v>
      </c>
      <c r="AE7">
        <f t="shared" si="11"/>
        <v>4.2771346491425116E-3</v>
      </c>
    </row>
    <row r="8" spans="1:33" x14ac:dyDescent="0.25">
      <c r="A8" s="1">
        <v>36403</v>
      </c>
      <c r="B8">
        <v>0.52900000000000003</v>
      </c>
      <c r="C8" s="1">
        <v>36373</v>
      </c>
      <c r="D8" s="5">
        <f t="shared" si="1"/>
        <v>22</v>
      </c>
      <c r="E8">
        <f t="shared" si="2"/>
        <v>8</v>
      </c>
      <c r="F8">
        <f t="shared" si="3"/>
        <v>0</v>
      </c>
      <c r="G8" s="5">
        <f t="shared" si="0"/>
        <v>22</v>
      </c>
      <c r="H8">
        <f t="shared" si="4"/>
        <v>0.50495454545454543</v>
      </c>
      <c r="L8">
        <v>8</v>
      </c>
      <c r="M8">
        <v>0</v>
      </c>
      <c r="N8">
        <v>201408</v>
      </c>
      <c r="O8">
        <v>7</v>
      </c>
      <c r="P8" s="3">
        <v>1.2046535723088028</v>
      </c>
      <c r="Q8" s="3">
        <v>1.156340003918735</v>
      </c>
      <c r="R8" s="3">
        <f t="shared" si="5"/>
        <v>1.1855694922314317</v>
      </c>
      <c r="S8">
        <v>21.071428571428573</v>
      </c>
      <c r="T8" s="8">
        <v>22</v>
      </c>
      <c r="U8" s="7">
        <f t="shared" si="6"/>
        <v>1.2420251823376904</v>
      </c>
      <c r="V8" s="3">
        <f t="shared" si="7"/>
        <v>1.5494671269712823E-2</v>
      </c>
      <c r="W8" s="6">
        <v>6.64</v>
      </c>
      <c r="X8">
        <f t="shared" si="8"/>
        <v>5.7092398259310784E-3</v>
      </c>
      <c r="Y8">
        <f t="shared" si="9"/>
        <v>4.5967182526729248E-3</v>
      </c>
      <c r="AC8">
        <v>6.16</v>
      </c>
      <c r="AD8">
        <f t="shared" si="10"/>
        <v>5.2842375072554848E-3</v>
      </c>
      <c r="AE8">
        <f t="shared" si="11"/>
        <v>4.2545333076980801E-3</v>
      </c>
    </row>
    <row r="9" spans="1:33" x14ac:dyDescent="0.25">
      <c r="A9" s="1">
        <v>36433</v>
      </c>
      <c r="B9">
        <v>0.432</v>
      </c>
      <c r="C9" s="1">
        <v>36404</v>
      </c>
      <c r="D9" s="5">
        <f t="shared" si="1"/>
        <v>22</v>
      </c>
      <c r="E9">
        <f t="shared" si="2"/>
        <v>9</v>
      </c>
      <c r="F9">
        <f t="shared" si="3"/>
        <v>1</v>
      </c>
      <c r="G9" s="5">
        <f t="shared" si="0"/>
        <v>21</v>
      </c>
      <c r="H9">
        <f t="shared" si="4"/>
        <v>0.432</v>
      </c>
      <c r="L9">
        <v>9</v>
      </c>
      <c r="M9">
        <v>1</v>
      </c>
      <c r="N9">
        <v>201409</v>
      </c>
      <c r="O9">
        <v>8</v>
      </c>
      <c r="P9" s="3">
        <v>1.1578676071691245</v>
      </c>
      <c r="Q9" s="3">
        <v>1.1349180177277085</v>
      </c>
      <c r="R9" s="3">
        <f t="shared" si="5"/>
        <v>1.1395247087274925</v>
      </c>
      <c r="S9">
        <v>22.285714285714285</v>
      </c>
      <c r="T9" s="8">
        <v>21</v>
      </c>
      <c r="U9" s="7">
        <f>T9/21*R9</f>
        <v>1.1395247087274925</v>
      </c>
      <c r="V9" s="3">
        <f t="shared" si="7"/>
        <v>-8.2526888397927323E-2</v>
      </c>
      <c r="W9" s="6">
        <v>6.31</v>
      </c>
      <c r="X9">
        <f t="shared" si="8"/>
        <v>5.4168362479600773E-3</v>
      </c>
      <c r="Y9">
        <f t="shared" si="9"/>
        <v>4.7535926219704882E-3</v>
      </c>
      <c r="Z9">
        <f>AVERAGE(Y7:Y9)</f>
        <v>4.6147686951643627E-3</v>
      </c>
      <c r="AA9">
        <f>AVERAGE(Y2:Y9)</f>
        <v>4.1014055497207687E-3</v>
      </c>
      <c r="AB9">
        <f>100*(1-(1-AA9)^12)</f>
        <v>4.8121684849808277</v>
      </c>
      <c r="AC9">
        <v>5.71</v>
      </c>
      <c r="AD9">
        <f t="shared" si="10"/>
        <v>4.8876038110216014E-3</v>
      </c>
      <c r="AE9">
        <f t="shared" si="11"/>
        <v>4.2891600099479983E-3</v>
      </c>
    </row>
    <row r="10" spans="1:33" x14ac:dyDescent="0.25">
      <c r="A10" s="1">
        <v>36464</v>
      </c>
      <c r="B10">
        <v>0.41699999999999998</v>
      </c>
      <c r="C10" s="1">
        <v>36434</v>
      </c>
      <c r="D10" s="5">
        <f t="shared" si="1"/>
        <v>21</v>
      </c>
      <c r="E10">
        <f t="shared" si="2"/>
        <v>10</v>
      </c>
      <c r="F10">
        <f t="shared" si="3"/>
        <v>1</v>
      </c>
      <c r="G10" s="5">
        <f t="shared" si="0"/>
        <v>20</v>
      </c>
      <c r="H10">
        <f t="shared" si="4"/>
        <v>0.43785000000000002</v>
      </c>
      <c r="L10">
        <v>10</v>
      </c>
      <c r="M10">
        <v>1</v>
      </c>
      <c r="N10">
        <v>201410</v>
      </c>
      <c r="O10">
        <v>9</v>
      </c>
      <c r="P10" s="3">
        <v>1.0561350746378708</v>
      </c>
      <c r="Q10" s="3">
        <v>1.0400121484698621</v>
      </c>
      <c r="R10" s="3">
        <f t="shared" si="5"/>
        <v>1.0394038194453259</v>
      </c>
      <c r="S10">
        <v>20.285714285714285</v>
      </c>
      <c r="T10" s="8">
        <v>21</v>
      </c>
      <c r="U10" s="7">
        <f t="shared" si="6"/>
        <v>1.0394038194453259</v>
      </c>
      <c r="V10" s="3">
        <f t="shared" si="7"/>
        <v>-8.7861973079961908E-2</v>
      </c>
      <c r="W10" s="6">
        <v>5.8449999999999998</v>
      </c>
      <c r="X10">
        <f>1-(1-W10/100)^(1/12)</f>
        <v>5.0064114001449056E-3</v>
      </c>
      <c r="Y10">
        <f>X10/$T10/$R10*21</f>
        <v>4.8166182445015058E-3</v>
      </c>
      <c r="Z10">
        <f>W10+1</f>
        <v>6.8449999999999998</v>
      </c>
      <c r="AA10">
        <f>1-(1-Z10/100)^(1/12)</f>
        <v>5.8913619249767457E-3</v>
      </c>
      <c r="AC10">
        <v>5.38</v>
      </c>
      <c r="AD10">
        <f t="shared" si="10"/>
        <v>4.5978404021125296E-3</v>
      </c>
      <c r="AE10">
        <f t="shared" si="11"/>
        <v>4.4235361811217422E-3</v>
      </c>
    </row>
    <row r="11" spans="1:33" x14ac:dyDescent="0.25">
      <c r="A11" s="1">
        <v>36494</v>
      </c>
      <c r="B11">
        <v>0.39500000000000002</v>
      </c>
      <c r="C11" s="1">
        <v>36465</v>
      </c>
      <c r="D11" s="5">
        <f t="shared" si="1"/>
        <v>22</v>
      </c>
      <c r="E11">
        <f t="shared" si="2"/>
        <v>11</v>
      </c>
      <c r="F11">
        <f t="shared" si="3"/>
        <v>2</v>
      </c>
      <c r="G11" s="5">
        <f t="shared" si="0"/>
        <v>20</v>
      </c>
      <c r="H11">
        <f t="shared" si="4"/>
        <v>0.41475000000000001</v>
      </c>
      <c r="L11">
        <v>11</v>
      </c>
      <c r="M11">
        <v>2</v>
      </c>
      <c r="N11">
        <v>201411</v>
      </c>
      <c r="O11">
        <v>10</v>
      </c>
      <c r="P11" s="3">
        <v>1.0008325147958166</v>
      </c>
      <c r="Q11" s="3">
        <v>0.98644373224167503</v>
      </c>
      <c r="R11" s="3">
        <f t="shared" si="5"/>
        <v>0.98497736083666343</v>
      </c>
      <c r="S11">
        <v>21.214285714285715</v>
      </c>
      <c r="T11" s="8">
        <v>22</v>
      </c>
      <c r="U11" s="7">
        <f t="shared" si="6"/>
        <v>1.0318810446860285</v>
      </c>
      <c r="V11" s="3" t="s">
        <v>6</v>
      </c>
      <c r="W11" s="6">
        <v>5.9320000000000004</v>
      </c>
      <c r="X11">
        <f>1-(1-W11/100)^(1/12)</f>
        <v>5.0830590593546887E-3</v>
      </c>
      <c r="Y11">
        <f>X11/$T11/$R11*21</f>
        <v>4.9260126305559933E-3</v>
      </c>
    </row>
    <row r="12" spans="1:33" x14ac:dyDescent="0.25">
      <c r="A12" s="1">
        <v>36525</v>
      </c>
      <c r="B12">
        <v>0.40100000000000002</v>
      </c>
      <c r="C12" s="1">
        <v>36495</v>
      </c>
      <c r="D12" s="5">
        <f t="shared" si="1"/>
        <v>23</v>
      </c>
      <c r="E12">
        <f t="shared" si="2"/>
        <v>12</v>
      </c>
      <c r="F12">
        <f>VLOOKUP(E12,$L$1:$M$12,2)</f>
        <v>1</v>
      </c>
      <c r="G12" s="5">
        <f t="shared" si="0"/>
        <v>22</v>
      </c>
      <c r="H12">
        <f t="shared" si="4"/>
        <v>0.38277272727272726</v>
      </c>
      <c r="J12" t="s">
        <v>22</v>
      </c>
      <c r="K12" t="s">
        <v>36</v>
      </c>
      <c r="L12">
        <v>12</v>
      </c>
      <c r="M12">
        <v>1</v>
      </c>
      <c r="N12">
        <v>201412</v>
      </c>
      <c r="O12">
        <v>11</v>
      </c>
      <c r="P12" s="3">
        <v>0.97795972891705851</v>
      </c>
      <c r="Q12" s="3">
        <v>0.97927471775593522</v>
      </c>
      <c r="R12" s="3">
        <f t="shared" si="5"/>
        <v>0.96246692483785146</v>
      </c>
      <c r="S12">
        <v>19.5</v>
      </c>
      <c r="T12" s="8">
        <v>18</v>
      </c>
      <c r="U12" s="7">
        <f t="shared" ref="U12:U23" si="12">T12/21*R12</f>
        <v>0.82497164986101545</v>
      </c>
      <c r="W12" s="6">
        <v>5.1639999999999997</v>
      </c>
      <c r="X12">
        <f>1-(1-W12/100)^(1/12)</f>
        <v>4.4086782848732353E-3</v>
      </c>
      <c r="Y12">
        <f>X12/$T12/$R12*21</f>
        <v>5.3440361079268289E-3</v>
      </c>
    </row>
    <row r="13" spans="1:33" x14ac:dyDescent="0.25">
      <c r="A13" s="1">
        <v>36556</v>
      </c>
      <c r="B13">
        <v>0.28599999999999998</v>
      </c>
      <c r="C13" s="1">
        <v>36526</v>
      </c>
      <c r="D13" s="5">
        <f t="shared" si="1"/>
        <v>21</v>
      </c>
      <c r="E13">
        <f t="shared" si="2"/>
        <v>1</v>
      </c>
      <c r="F13">
        <f t="shared" ref="F13:F76" si="13">VLOOKUP(E13,$L$1:$M$12,2)</f>
        <v>2</v>
      </c>
      <c r="G13" s="5">
        <f t="shared" si="0"/>
        <v>19</v>
      </c>
      <c r="H13">
        <f t="shared" si="4"/>
        <v>0.31610526315789472</v>
      </c>
      <c r="I13">
        <f>AVERAGE(H1:H12)</f>
        <v>0.43212366340753067</v>
      </c>
      <c r="J13">
        <f>H13/I13</f>
        <v>0.73151574404704522</v>
      </c>
      <c r="K13">
        <f>E13</f>
        <v>1</v>
      </c>
      <c r="L13">
        <v>1</v>
      </c>
      <c r="N13">
        <v>201501</v>
      </c>
      <c r="O13">
        <v>12</v>
      </c>
      <c r="P13" s="3">
        <v>0.93370495957090183</v>
      </c>
      <c r="Q13" s="3">
        <v>0.92590909869558913</v>
      </c>
      <c r="R13" s="3">
        <f t="shared" si="5"/>
        <v>0.91891323801153402</v>
      </c>
      <c r="S13">
        <v>21</v>
      </c>
      <c r="T13" s="8">
        <v>22</v>
      </c>
      <c r="U13" s="7">
        <f t="shared" si="12"/>
        <v>0.96267101125017851</v>
      </c>
      <c r="W13" s="6">
        <v>6.1719999999999997</v>
      </c>
      <c r="X13">
        <f>1-(1-W13/100)^(1/12)</f>
        <v>5.2948382539300676E-3</v>
      </c>
      <c r="Y13">
        <f>X13/$T13/$R13*21</f>
        <v>5.5001534190313815E-3</v>
      </c>
    </row>
    <row r="14" spans="1:33" x14ac:dyDescent="0.25">
      <c r="A14" s="1">
        <v>36585</v>
      </c>
      <c r="B14">
        <v>0.31</v>
      </c>
      <c r="C14" s="1">
        <v>36557</v>
      </c>
      <c r="D14" s="5">
        <f t="shared" si="1"/>
        <v>21</v>
      </c>
      <c r="E14">
        <f t="shared" si="2"/>
        <v>2</v>
      </c>
      <c r="F14">
        <f t="shared" si="13"/>
        <v>1</v>
      </c>
      <c r="G14" s="5">
        <f t="shared" si="0"/>
        <v>20</v>
      </c>
      <c r="H14">
        <f t="shared" si="4"/>
        <v>0.32550000000000001</v>
      </c>
      <c r="I14">
        <f t="shared" ref="I14:I77" si="14">AVERAGE(H2:H13)</f>
        <v>0.4316631370917412</v>
      </c>
      <c r="J14">
        <f t="shared" ref="J14:J77" si="15">H14/I14</f>
        <v>0.75406021971902049</v>
      </c>
      <c r="K14">
        <f t="shared" ref="K14:K77" si="16">E14</f>
        <v>2</v>
      </c>
      <c r="N14">
        <v>201502</v>
      </c>
      <c r="O14">
        <f t="shared" ref="O14:R16" si="17">O2</f>
        <v>1</v>
      </c>
      <c r="P14" s="3">
        <f t="shared" si="17"/>
        <v>0.72418983889105881</v>
      </c>
      <c r="Q14" s="3">
        <f t="shared" si="17"/>
        <v>0.70699129522567772</v>
      </c>
      <c r="R14" s="3">
        <f t="shared" si="17"/>
        <v>0.71271724860094954</v>
      </c>
      <c r="T14" s="8">
        <v>20</v>
      </c>
      <c r="U14" s="7">
        <f t="shared" si="12"/>
        <v>0.67877833200090432</v>
      </c>
      <c r="W14" s="6">
        <f>100*(1-(1-X14)^12)</f>
        <v>4.3281689564223402</v>
      </c>
      <c r="X14">
        <f>Y14*T14/21*R14</f>
        <v>3.6804004395051848E-3</v>
      </c>
      <c r="Y14">
        <f>AVERAGE(Y12:Y13)</f>
        <v>5.4220947634791052E-3</v>
      </c>
    </row>
    <row r="15" spans="1:33" x14ac:dyDescent="0.25">
      <c r="A15" s="1">
        <v>36616</v>
      </c>
      <c r="B15">
        <v>0.42</v>
      </c>
      <c r="C15" s="1">
        <v>36586</v>
      </c>
      <c r="D15" s="5">
        <f t="shared" si="1"/>
        <v>23</v>
      </c>
      <c r="E15">
        <f t="shared" si="2"/>
        <v>3</v>
      </c>
      <c r="F15">
        <f t="shared" si="13"/>
        <v>0</v>
      </c>
      <c r="G15" s="5">
        <f t="shared" si="0"/>
        <v>23</v>
      </c>
      <c r="H15">
        <f t="shared" si="4"/>
        <v>0.38347826086956516</v>
      </c>
      <c r="I15">
        <f t="shared" si="14"/>
        <v>0.43180129498647807</v>
      </c>
      <c r="J15">
        <f t="shared" si="15"/>
        <v>0.8880896498505727</v>
      </c>
      <c r="K15">
        <f t="shared" si="16"/>
        <v>3</v>
      </c>
      <c r="N15">
        <v>201503</v>
      </c>
      <c r="O15">
        <f t="shared" si="17"/>
        <v>2</v>
      </c>
      <c r="P15" s="3">
        <f t="shared" si="17"/>
        <v>0.78348158037353177</v>
      </c>
      <c r="Q15" s="3">
        <f t="shared" si="17"/>
        <v>0.7850202577981269</v>
      </c>
      <c r="R15" s="3">
        <f t="shared" si="17"/>
        <v>0.77106969237295331</v>
      </c>
      <c r="T15" s="8">
        <v>19</v>
      </c>
      <c r="U15" s="7">
        <f t="shared" si="12"/>
        <v>0.69763448357552915</v>
      </c>
      <c r="W15" s="6">
        <f>100*(1-(1-X15)^12)</f>
        <v>4.4459137527483534</v>
      </c>
      <c r="X15">
        <f>Y15*T15/21*R15</f>
        <v>3.7826402802173266E-3</v>
      </c>
      <c r="Y15">
        <f>Y14</f>
        <v>5.4220947634791052E-3</v>
      </c>
      <c r="AA15" t="s">
        <v>6</v>
      </c>
    </row>
    <row r="16" spans="1:33" x14ac:dyDescent="0.25">
      <c r="A16" s="1">
        <v>36646</v>
      </c>
      <c r="B16">
        <v>0.432</v>
      </c>
      <c r="C16" s="1">
        <v>36617</v>
      </c>
      <c r="D16" s="5">
        <f t="shared" si="1"/>
        <v>20</v>
      </c>
      <c r="E16">
        <f t="shared" si="2"/>
        <v>4</v>
      </c>
      <c r="F16">
        <f t="shared" si="13"/>
        <v>0</v>
      </c>
      <c r="G16" s="5">
        <f t="shared" si="0"/>
        <v>20</v>
      </c>
      <c r="H16">
        <f t="shared" si="4"/>
        <v>0.4536</v>
      </c>
      <c r="I16">
        <f t="shared" si="14"/>
        <v>0.43240999063865204</v>
      </c>
      <c r="J16">
        <f t="shared" si="15"/>
        <v>1.0490044398142864</v>
      </c>
      <c r="K16">
        <f t="shared" si="16"/>
        <v>4</v>
      </c>
      <c r="N16">
        <v>201504</v>
      </c>
      <c r="O16">
        <f t="shared" si="17"/>
        <v>3</v>
      </c>
      <c r="P16" s="3">
        <f t="shared" si="17"/>
        <v>0.90966351315320659</v>
      </c>
      <c r="Q16" s="3">
        <f t="shared" si="17"/>
        <v>0.90240646545793457</v>
      </c>
      <c r="R16" s="3">
        <f t="shared" si="17"/>
        <v>0.89525265535347698</v>
      </c>
      <c r="T16" s="8">
        <v>22</v>
      </c>
      <c r="U16" s="7">
        <f t="shared" si="12"/>
        <v>0.93788373417983306</v>
      </c>
      <c r="W16" s="6">
        <f>100*(1-(1-X16)^12)</f>
        <v>6.0175633516172278</v>
      </c>
      <c r="X16">
        <f>Y16*T16/21*R16</f>
        <v>5.1585044272031283E-3</v>
      </c>
      <c r="Y16">
        <f>Y13</f>
        <v>5.5001534190313815E-3</v>
      </c>
      <c r="Z16" t="s">
        <v>6</v>
      </c>
      <c r="AA16" t="s">
        <v>6</v>
      </c>
    </row>
    <row r="17" spans="1:25" x14ac:dyDescent="0.25">
      <c r="A17" s="1">
        <v>36677</v>
      </c>
      <c r="B17">
        <v>0.48899999999999999</v>
      </c>
      <c r="C17" s="1">
        <v>36647</v>
      </c>
      <c r="D17" s="5">
        <f t="shared" si="1"/>
        <v>23</v>
      </c>
      <c r="E17">
        <f t="shared" si="2"/>
        <v>5</v>
      </c>
      <c r="F17">
        <f t="shared" si="13"/>
        <v>1</v>
      </c>
      <c r="G17" s="5">
        <f t="shared" si="0"/>
        <v>22</v>
      </c>
      <c r="H17">
        <f t="shared" si="4"/>
        <v>0.46677272727272728</v>
      </c>
      <c r="I17">
        <f t="shared" si="14"/>
        <v>0.43409635427501558</v>
      </c>
      <c r="J17">
        <f t="shared" si="15"/>
        <v>1.0752744700016763</v>
      </c>
      <c r="K17">
        <f t="shared" si="16"/>
        <v>5</v>
      </c>
      <c r="N17">
        <v>201505</v>
      </c>
      <c r="O17">
        <v>4</v>
      </c>
      <c r="P17" s="3">
        <f t="shared" ref="P17:R18" si="18">P5</f>
        <v>1.0522580420601133</v>
      </c>
      <c r="Q17" s="3">
        <f t="shared" si="18"/>
        <v>1.0392916232684373</v>
      </c>
      <c r="R17" s="3">
        <f t="shared" si="18"/>
        <v>1.0355882066830884</v>
      </c>
      <c r="T17" s="8">
        <v>22</v>
      </c>
      <c r="U17" s="7">
        <f t="shared" si="12"/>
        <v>1.0849019308108545</v>
      </c>
      <c r="W17" s="6"/>
    </row>
    <row r="18" spans="1:25" x14ac:dyDescent="0.25">
      <c r="A18" s="1">
        <v>36707</v>
      </c>
      <c r="B18">
        <v>0.54100000000000004</v>
      </c>
      <c r="C18" s="1">
        <v>36678</v>
      </c>
      <c r="D18" s="5">
        <f t="shared" si="1"/>
        <v>22</v>
      </c>
      <c r="E18">
        <f t="shared" si="2"/>
        <v>6</v>
      </c>
      <c r="F18">
        <f t="shared" si="13"/>
        <v>0</v>
      </c>
      <c r="G18" s="5">
        <f t="shared" si="0"/>
        <v>22</v>
      </c>
      <c r="H18">
        <f t="shared" si="4"/>
        <v>0.51640909090909093</v>
      </c>
      <c r="I18">
        <f t="shared" si="14"/>
        <v>0.43169408154774286</v>
      </c>
      <c r="J18">
        <f t="shared" si="15"/>
        <v>1.1962385239510842</v>
      </c>
      <c r="K18">
        <f t="shared" si="16"/>
        <v>6</v>
      </c>
      <c r="N18">
        <v>201506</v>
      </c>
      <c r="O18">
        <v>5</v>
      </c>
      <c r="P18" s="3">
        <f t="shared" si="18"/>
        <v>1.1496554019061525</v>
      </c>
      <c r="Q18" s="3">
        <f t="shared" si="18"/>
        <v>1.1368121891312275</v>
      </c>
      <c r="R18" s="3">
        <f t="shared" si="18"/>
        <v>1.1314426009352399</v>
      </c>
      <c r="T18" s="8">
        <v>20</v>
      </c>
      <c r="U18" s="7">
        <f t="shared" si="12"/>
        <v>1.0775643818430856</v>
      </c>
      <c r="W18">
        <f>W10/W9-1</f>
        <v>-7.3692551505546766E-2</v>
      </c>
      <c r="X18">
        <f>W13/W12</f>
        <v>1.1951975213013168</v>
      </c>
      <c r="Y18" t="s">
        <v>6</v>
      </c>
    </row>
    <row r="19" spans="1:25" x14ac:dyDescent="0.25">
      <c r="A19" s="1">
        <v>36738</v>
      </c>
      <c r="B19">
        <v>0.49199999999999999</v>
      </c>
      <c r="C19" s="1">
        <v>36708</v>
      </c>
      <c r="D19" s="5">
        <f t="shared" si="1"/>
        <v>21</v>
      </c>
      <c r="E19">
        <f t="shared" si="2"/>
        <v>7</v>
      </c>
      <c r="F19">
        <f t="shared" si="13"/>
        <v>1</v>
      </c>
      <c r="G19" s="5">
        <f t="shared" si="0"/>
        <v>20</v>
      </c>
      <c r="H19">
        <f t="shared" si="4"/>
        <v>0.51660000000000006</v>
      </c>
      <c r="I19">
        <f t="shared" si="14"/>
        <v>0.43018271791137924</v>
      </c>
      <c r="J19">
        <f t="shared" si="15"/>
        <v>1.2008850623014182</v>
      </c>
      <c r="K19">
        <f t="shared" si="16"/>
        <v>7</v>
      </c>
      <c r="N19">
        <v>201507</v>
      </c>
      <c r="O19">
        <f>O7</f>
        <v>6</v>
      </c>
      <c r="P19" s="3">
        <f t="shared" ref="P19:R20" si="19">P7</f>
        <v>1.2427618419258477</v>
      </c>
      <c r="Q19" s="3">
        <f t="shared" si="19"/>
        <v>1.2182847967499302</v>
      </c>
      <c r="R19" s="3">
        <f t="shared" si="19"/>
        <v>1.2230740519639927</v>
      </c>
      <c r="T19">
        <v>22</v>
      </c>
      <c r="U19" s="7">
        <f t="shared" si="12"/>
        <v>1.2813156734860875</v>
      </c>
      <c r="W19">
        <f>W11/W10</f>
        <v>1.0148845166809239</v>
      </c>
    </row>
    <row r="20" spans="1:25" x14ac:dyDescent="0.25">
      <c r="A20" s="1">
        <v>36769</v>
      </c>
      <c r="B20">
        <v>0.53300000000000003</v>
      </c>
      <c r="C20" s="1">
        <v>36739</v>
      </c>
      <c r="D20" s="5">
        <f t="shared" si="1"/>
        <v>23</v>
      </c>
      <c r="E20">
        <f t="shared" si="2"/>
        <v>8</v>
      </c>
      <c r="F20">
        <f t="shared" si="13"/>
        <v>0</v>
      </c>
      <c r="G20" s="5">
        <f t="shared" si="0"/>
        <v>23</v>
      </c>
      <c r="H20">
        <f t="shared" si="4"/>
        <v>0.48665217391304355</v>
      </c>
      <c r="I20">
        <f t="shared" si="14"/>
        <v>0.42923271791137929</v>
      </c>
      <c r="J20">
        <f t="shared" si="15"/>
        <v>1.1337723188508646</v>
      </c>
      <c r="K20">
        <f t="shared" si="16"/>
        <v>8</v>
      </c>
      <c r="N20">
        <v>201508</v>
      </c>
      <c r="O20">
        <v>7</v>
      </c>
      <c r="R20" s="3">
        <f t="shared" si="19"/>
        <v>1.1855694922314317</v>
      </c>
      <c r="T20" s="8">
        <v>22</v>
      </c>
      <c r="U20" s="7">
        <f t="shared" si="12"/>
        <v>1.2420251823376904</v>
      </c>
      <c r="Y20" t="s">
        <v>6</v>
      </c>
    </row>
    <row r="21" spans="1:25" x14ac:dyDescent="0.25">
      <c r="A21" s="1">
        <v>36799</v>
      </c>
      <c r="B21">
        <v>0.443</v>
      </c>
      <c r="C21" s="1">
        <v>36770</v>
      </c>
      <c r="D21" s="5">
        <f t="shared" si="1"/>
        <v>21</v>
      </c>
      <c r="E21">
        <f t="shared" si="2"/>
        <v>9</v>
      </c>
      <c r="F21">
        <f t="shared" si="13"/>
        <v>1</v>
      </c>
      <c r="G21" s="5">
        <f t="shared" si="0"/>
        <v>20</v>
      </c>
      <c r="H21">
        <f t="shared" si="4"/>
        <v>0.46515000000000001</v>
      </c>
      <c r="I21">
        <f t="shared" si="14"/>
        <v>0.42770752028292081</v>
      </c>
      <c r="J21">
        <f t="shared" si="15"/>
        <v>1.0875422524539939</v>
      </c>
      <c r="K21">
        <f t="shared" si="16"/>
        <v>9</v>
      </c>
      <c r="N21">
        <v>201509</v>
      </c>
      <c r="O21">
        <f>O9</f>
        <v>8</v>
      </c>
      <c r="R21" s="3">
        <f t="shared" ref="R21:R37" si="20">R9</f>
        <v>1.1395247087274925</v>
      </c>
      <c r="S21" t="s">
        <v>6</v>
      </c>
      <c r="T21" s="8">
        <v>21</v>
      </c>
      <c r="U21" s="7">
        <f>T21/21*R21</f>
        <v>1.1395247087274925</v>
      </c>
      <c r="W21">
        <v>5.8038460406830694</v>
      </c>
    </row>
    <row r="22" spans="1:25" x14ac:dyDescent="0.25">
      <c r="A22" s="1">
        <v>36830</v>
      </c>
      <c r="B22">
        <v>0.434</v>
      </c>
      <c r="C22" s="1">
        <v>36800</v>
      </c>
      <c r="D22" s="5">
        <f t="shared" si="1"/>
        <v>22</v>
      </c>
      <c r="E22">
        <f t="shared" si="2"/>
        <v>10</v>
      </c>
      <c r="F22">
        <f t="shared" si="13"/>
        <v>1</v>
      </c>
      <c r="G22" s="5">
        <f t="shared" si="0"/>
        <v>21</v>
      </c>
      <c r="H22">
        <f t="shared" si="4"/>
        <v>0.434</v>
      </c>
      <c r="I22">
        <f t="shared" si="14"/>
        <v>0.43047002028292075</v>
      </c>
      <c r="J22">
        <f t="shared" si="15"/>
        <v>1.0082002916597055</v>
      </c>
      <c r="K22">
        <f t="shared" si="16"/>
        <v>10</v>
      </c>
      <c r="N22">
        <v>201510</v>
      </c>
      <c r="O22">
        <v>9</v>
      </c>
      <c r="R22" s="3">
        <f t="shared" si="20"/>
        <v>1.0394038194453259</v>
      </c>
      <c r="T22" s="8">
        <v>21</v>
      </c>
      <c r="U22" s="7">
        <f t="shared" si="12"/>
        <v>1.0394038194453259</v>
      </c>
      <c r="W22">
        <v>5.9320000000000004</v>
      </c>
    </row>
    <row r="23" spans="1:25" x14ac:dyDescent="0.25">
      <c r="A23" s="1">
        <v>36860</v>
      </c>
      <c r="B23">
        <v>0.40799999999999997</v>
      </c>
      <c r="C23" s="1">
        <v>36831</v>
      </c>
      <c r="D23" s="5">
        <f t="shared" si="1"/>
        <v>22</v>
      </c>
      <c r="E23">
        <f t="shared" si="2"/>
        <v>11</v>
      </c>
      <c r="F23">
        <f t="shared" si="13"/>
        <v>2</v>
      </c>
      <c r="G23" s="5">
        <f t="shared" si="0"/>
        <v>20</v>
      </c>
      <c r="H23">
        <f t="shared" si="4"/>
        <v>0.42839999999999995</v>
      </c>
      <c r="I23">
        <f t="shared" si="14"/>
        <v>0.43014918694958743</v>
      </c>
      <c r="J23">
        <f t="shared" si="15"/>
        <v>0.99593353421869313</v>
      </c>
      <c r="K23">
        <f t="shared" si="16"/>
        <v>11</v>
      </c>
      <c r="N23">
        <v>201511</v>
      </c>
      <c r="O23">
        <f>O11</f>
        <v>10</v>
      </c>
      <c r="R23" s="3">
        <f t="shared" si="20"/>
        <v>0.98497736083666343</v>
      </c>
      <c r="T23" s="8">
        <v>21</v>
      </c>
      <c r="U23" s="7">
        <f t="shared" si="12"/>
        <v>0.98497736083666343</v>
      </c>
    </row>
    <row r="24" spans="1:25" x14ac:dyDescent="0.25">
      <c r="A24" s="1">
        <v>36891</v>
      </c>
      <c r="B24">
        <v>0.38500000000000001</v>
      </c>
      <c r="C24" s="1">
        <v>36861</v>
      </c>
      <c r="D24" s="5">
        <f t="shared" si="1"/>
        <v>21</v>
      </c>
      <c r="E24">
        <f t="shared" si="2"/>
        <v>12</v>
      </c>
      <c r="F24">
        <f t="shared" si="13"/>
        <v>1</v>
      </c>
      <c r="G24" s="5">
        <f t="shared" si="0"/>
        <v>20</v>
      </c>
      <c r="H24">
        <f t="shared" si="4"/>
        <v>0.40425</v>
      </c>
      <c r="I24">
        <f t="shared" si="14"/>
        <v>0.43128668694958744</v>
      </c>
      <c r="J24">
        <f t="shared" si="15"/>
        <v>0.93731156613988476</v>
      </c>
      <c r="K24">
        <f t="shared" si="16"/>
        <v>12</v>
      </c>
      <c r="N24">
        <v>201512</v>
      </c>
      <c r="O24">
        <v>11</v>
      </c>
      <c r="R24" s="3">
        <f t="shared" si="20"/>
        <v>0.96246692483785146</v>
      </c>
      <c r="T24" s="8">
        <v>19</v>
      </c>
      <c r="U24" s="7">
        <f t="shared" ref="U24:U39" si="21">T24/21*R24</f>
        <v>0.87080340818662749</v>
      </c>
      <c r="W24">
        <v>5.1639999999999997</v>
      </c>
    </row>
    <row r="25" spans="1:25" x14ac:dyDescent="0.25">
      <c r="A25" s="1">
        <v>36922</v>
      </c>
      <c r="B25">
        <v>0.29499999999999998</v>
      </c>
      <c r="C25" s="1">
        <v>36892</v>
      </c>
      <c r="D25" s="5">
        <f t="shared" si="1"/>
        <v>23</v>
      </c>
      <c r="E25">
        <f t="shared" si="2"/>
        <v>1</v>
      </c>
      <c r="F25">
        <f t="shared" si="13"/>
        <v>2</v>
      </c>
      <c r="G25" s="5">
        <f t="shared" si="0"/>
        <v>21</v>
      </c>
      <c r="H25">
        <f t="shared" si="4"/>
        <v>0.29499999999999998</v>
      </c>
      <c r="I25">
        <f t="shared" si="14"/>
        <v>0.43307645967686015</v>
      </c>
      <c r="J25">
        <f t="shared" si="15"/>
        <v>0.68117302016395476</v>
      </c>
      <c r="K25">
        <f t="shared" si="16"/>
        <v>1</v>
      </c>
      <c r="N25">
        <v>201601</v>
      </c>
      <c r="O25">
        <v>12</v>
      </c>
      <c r="R25" s="3">
        <f t="shared" si="20"/>
        <v>0.91891323801153402</v>
      </c>
      <c r="T25" s="8">
        <v>22</v>
      </c>
      <c r="U25" s="7">
        <f t="shared" si="21"/>
        <v>0.96267101125017851</v>
      </c>
    </row>
    <row r="26" spans="1:25" x14ac:dyDescent="0.25">
      <c r="A26" s="1">
        <v>36950</v>
      </c>
      <c r="B26">
        <v>0.30499999999999999</v>
      </c>
      <c r="C26" s="1">
        <v>36923</v>
      </c>
      <c r="D26" s="5">
        <f t="shared" si="1"/>
        <v>20</v>
      </c>
      <c r="E26">
        <f t="shared" si="2"/>
        <v>2</v>
      </c>
      <c r="F26">
        <f t="shared" si="13"/>
        <v>1</v>
      </c>
      <c r="G26" s="5">
        <f t="shared" si="0"/>
        <v>19</v>
      </c>
      <c r="H26">
        <f t="shared" si="4"/>
        <v>0.33710526315789469</v>
      </c>
      <c r="I26">
        <f t="shared" si="14"/>
        <v>0.43131768774703555</v>
      </c>
      <c r="J26">
        <f t="shared" si="15"/>
        <v>0.78157069077956354</v>
      </c>
      <c r="K26">
        <f t="shared" si="16"/>
        <v>2</v>
      </c>
      <c r="N26">
        <v>201602</v>
      </c>
      <c r="O26">
        <v>1</v>
      </c>
      <c r="R26" s="3">
        <f t="shared" si="20"/>
        <v>0.71271724860094954</v>
      </c>
      <c r="T26" s="8">
        <v>19</v>
      </c>
      <c r="U26" s="7">
        <f t="shared" si="21"/>
        <v>0.6448394154008591</v>
      </c>
    </row>
    <row r="27" spans="1:25" x14ac:dyDescent="0.25">
      <c r="A27" s="1">
        <v>36981</v>
      </c>
      <c r="B27">
        <v>0.438</v>
      </c>
      <c r="C27" s="1">
        <v>36951</v>
      </c>
      <c r="D27" s="5">
        <f t="shared" si="1"/>
        <v>22</v>
      </c>
      <c r="E27">
        <f t="shared" si="2"/>
        <v>3</v>
      </c>
      <c r="F27">
        <f t="shared" si="13"/>
        <v>0</v>
      </c>
      <c r="G27" s="5">
        <f t="shared" si="0"/>
        <v>22</v>
      </c>
      <c r="H27">
        <f t="shared" si="4"/>
        <v>0.41809090909090907</v>
      </c>
      <c r="I27">
        <f t="shared" si="14"/>
        <v>0.43228479301019346</v>
      </c>
      <c r="J27">
        <f t="shared" si="15"/>
        <v>0.96716543318480863</v>
      </c>
      <c r="K27">
        <f t="shared" si="16"/>
        <v>3</v>
      </c>
      <c r="N27">
        <v>201603</v>
      </c>
      <c r="O27">
        <v>2</v>
      </c>
      <c r="R27" s="3">
        <f t="shared" si="20"/>
        <v>0.77106969237295331</v>
      </c>
      <c r="T27" s="8">
        <v>20</v>
      </c>
      <c r="U27" s="7">
        <f t="shared" si="21"/>
        <v>0.73435208797424123</v>
      </c>
    </row>
    <row r="28" spans="1:25" x14ac:dyDescent="0.25">
      <c r="A28" s="1">
        <v>37011</v>
      </c>
      <c r="B28">
        <v>0.45400000000000001</v>
      </c>
      <c r="C28" s="1">
        <v>36982</v>
      </c>
      <c r="D28" s="5">
        <f t="shared" si="1"/>
        <v>21</v>
      </c>
      <c r="E28">
        <f t="shared" si="2"/>
        <v>4</v>
      </c>
      <c r="F28">
        <f t="shared" si="13"/>
        <v>0</v>
      </c>
      <c r="G28" s="5">
        <f t="shared" si="0"/>
        <v>21</v>
      </c>
      <c r="H28">
        <f t="shared" si="4"/>
        <v>0.45400000000000007</v>
      </c>
      <c r="I28">
        <f t="shared" si="14"/>
        <v>0.43516918036197216</v>
      </c>
      <c r="J28">
        <f t="shared" si="15"/>
        <v>1.0432724110249822</v>
      </c>
      <c r="K28">
        <f t="shared" si="16"/>
        <v>4</v>
      </c>
      <c r="N28">
        <v>201604</v>
      </c>
      <c r="O28">
        <v>3</v>
      </c>
      <c r="R28" s="3">
        <f t="shared" si="20"/>
        <v>0.89525265535347698</v>
      </c>
      <c r="T28" s="8">
        <v>23</v>
      </c>
      <c r="U28" s="7">
        <f t="shared" si="21"/>
        <v>0.98051481300618915</v>
      </c>
    </row>
    <row r="29" spans="1:25" x14ac:dyDescent="0.25">
      <c r="A29" s="1">
        <v>37042</v>
      </c>
      <c r="B29">
        <v>0.50600000000000001</v>
      </c>
      <c r="C29" s="1">
        <v>37012</v>
      </c>
      <c r="D29" s="5">
        <f t="shared" si="1"/>
        <v>23</v>
      </c>
      <c r="E29">
        <f t="shared" si="2"/>
        <v>5</v>
      </c>
      <c r="F29">
        <f t="shared" si="13"/>
        <v>1</v>
      </c>
      <c r="G29" s="5">
        <f t="shared" si="0"/>
        <v>22</v>
      </c>
      <c r="H29">
        <f t="shared" si="4"/>
        <v>0.48299999999999998</v>
      </c>
      <c r="I29">
        <f t="shared" si="14"/>
        <v>0.43520251369530549</v>
      </c>
      <c r="J29">
        <f t="shared" si="15"/>
        <v>1.1098281485068777</v>
      </c>
      <c r="K29">
        <f t="shared" si="16"/>
        <v>5</v>
      </c>
      <c r="N29">
        <v>201605</v>
      </c>
      <c r="O29">
        <v>4</v>
      </c>
      <c r="R29" s="3">
        <f t="shared" si="20"/>
        <v>1.0355882066830884</v>
      </c>
      <c r="T29" s="8">
        <v>21</v>
      </c>
      <c r="U29" s="7">
        <f t="shared" si="21"/>
        <v>1.0355882066830884</v>
      </c>
      <c r="X29" t="s">
        <v>6</v>
      </c>
    </row>
    <row r="30" spans="1:25" x14ac:dyDescent="0.25">
      <c r="A30" s="1">
        <v>37072</v>
      </c>
      <c r="B30">
        <v>0.55700000000000005</v>
      </c>
      <c r="C30" s="1">
        <v>37043</v>
      </c>
      <c r="D30" s="5">
        <f t="shared" si="1"/>
        <v>21</v>
      </c>
      <c r="E30">
        <f t="shared" si="2"/>
        <v>6</v>
      </c>
      <c r="F30">
        <f t="shared" si="13"/>
        <v>0</v>
      </c>
      <c r="G30" s="5">
        <f t="shared" si="0"/>
        <v>21</v>
      </c>
      <c r="H30">
        <f t="shared" si="4"/>
        <v>0.55700000000000005</v>
      </c>
      <c r="I30">
        <f t="shared" si="14"/>
        <v>0.43655478642257811</v>
      </c>
      <c r="J30">
        <f t="shared" si="15"/>
        <v>1.2758994227607274</v>
      </c>
      <c r="K30">
        <f t="shared" si="16"/>
        <v>6</v>
      </c>
      <c r="N30">
        <v>201606</v>
      </c>
      <c r="O30">
        <v>5</v>
      </c>
      <c r="R30" s="3">
        <f t="shared" si="20"/>
        <v>1.1314426009352399</v>
      </c>
      <c r="T30" s="8">
        <v>21</v>
      </c>
      <c r="U30" s="7">
        <f t="shared" si="21"/>
        <v>1.1314426009352399</v>
      </c>
    </row>
    <row r="31" spans="1:25" x14ac:dyDescent="0.25">
      <c r="A31" s="1">
        <v>37103</v>
      </c>
      <c r="B31">
        <v>0.53500000000000003</v>
      </c>
      <c r="C31" s="1">
        <v>37073</v>
      </c>
      <c r="D31" s="5">
        <f t="shared" si="1"/>
        <v>22</v>
      </c>
      <c r="E31">
        <f t="shared" si="2"/>
        <v>7</v>
      </c>
      <c r="F31">
        <f t="shared" si="13"/>
        <v>1</v>
      </c>
      <c r="G31" s="5">
        <f t="shared" si="0"/>
        <v>21</v>
      </c>
      <c r="H31">
        <f t="shared" si="4"/>
        <v>0.53500000000000003</v>
      </c>
      <c r="I31">
        <f t="shared" si="14"/>
        <v>0.43993736218015395</v>
      </c>
      <c r="J31">
        <f t="shared" si="15"/>
        <v>1.2160822107691731</v>
      </c>
      <c r="K31">
        <f t="shared" si="16"/>
        <v>7</v>
      </c>
      <c r="N31">
        <v>201607</v>
      </c>
      <c r="O31">
        <v>6</v>
      </c>
      <c r="R31" s="3">
        <f t="shared" si="20"/>
        <v>1.2230740519639927</v>
      </c>
      <c r="T31" s="8">
        <v>22</v>
      </c>
      <c r="U31" s="7">
        <f t="shared" si="21"/>
        <v>1.2813156734860875</v>
      </c>
      <c r="V31" s="7">
        <f>AVERAGE(U28:U31)</f>
        <v>1.1072153235276512</v>
      </c>
      <c r="W31" s="8">
        <f>AVERAGE(T28:T31)</f>
        <v>21.75</v>
      </c>
    </row>
    <row r="32" spans="1:25" x14ac:dyDescent="0.25">
      <c r="A32" s="1">
        <v>37134</v>
      </c>
      <c r="B32">
        <v>0.56599999999999995</v>
      </c>
      <c r="C32" s="1">
        <v>37104</v>
      </c>
      <c r="D32" s="5">
        <f t="shared" si="1"/>
        <v>23</v>
      </c>
      <c r="E32">
        <f t="shared" si="2"/>
        <v>8</v>
      </c>
      <c r="F32">
        <f t="shared" si="13"/>
        <v>0</v>
      </c>
      <c r="G32" s="5">
        <f t="shared" si="0"/>
        <v>23</v>
      </c>
      <c r="H32">
        <f t="shared" si="4"/>
        <v>0.51678260869565218</v>
      </c>
      <c r="I32">
        <f t="shared" si="14"/>
        <v>0.44147069551348728</v>
      </c>
      <c r="J32">
        <f t="shared" si="15"/>
        <v>1.1705932329088513</v>
      </c>
      <c r="K32">
        <f t="shared" si="16"/>
        <v>8</v>
      </c>
      <c r="N32">
        <v>201608</v>
      </c>
      <c r="O32">
        <v>7</v>
      </c>
      <c r="R32" s="3">
        <f t="shared" si="20"/>
        <v>1.1855694922314317</v>
      </c>
      <c r="T32" s="8">
        <v>20</v>
      </c>
      <c r="U32" s="7">
        <f t="shared" si="21"/>
        <v>1.129113802125173</v>
      </c>
    </row>
    <row r="33" spans="1:22" x14ac:dyDescent="0.25">
      <c r="A33" s="1">
        <v>37164</v>
      </c>
      <c r="B33">
        <v>0.42</v>
      </c>
      <c r="C33" s="1">
        <v>37135</v>
      </c>
      <c r="D33" s="5">
        <f t="shared" si="1"/>
        <v>20</v>
      </c>
      <c r="E33">
        <f t="shared" si="2"/>
        <v>9</v>
      </c>
      <c r="F33">
        <f t="shared" si="13"/>
        <v>1</v>
      </c>
      <c r="G33" s="5">
        <f t="shared" si="0"/>
        <v>19</v>
      </c>
      <c r="H33">
        <f t="shared" si="4"/>
        <v>0.46421052631578946</v>
      </c>
      <c r="I33">
        <f t="shared" si="14"/>
        <v>0.44398156507870473</v>
      </c>
      <c r="J33">
        <f t="shared" si="15"/>
        <v>1.0455626152709714</v>
      </c>
      <c r="K33">
        <f t="shared" si="16"/>
        <v>9</v>
      </c>
      <c r="N33">
        <v>201609</v>
      </c>
      <c r="O33">
        <v>8</v>
      </c>
      <c r="R33" s="3">
        <f t="shared" si="20"/>
        <v>1.1395247087274925</v>
      </c>
      <c r="T33" s="8">
        <v>23</v>
      </c>
      <c r="U33" s="7">
        <f t="shared" si="21"/>
        <v>1.2480508714634442</v>
      </c>
    </row>
    <row r="34" spans="1:22" x14ac:dyDescent="0.25">
      <c r="A34" s="1">
        <v>37195</v>
      </c>
      <c r="B34">
        <v>0.443</v>
      </c>
      <c r="C34" s="1">
        <v>37165</v>
      </c>
      <c r="D34" s="5">
        <f t="shared" si="1"/>
        <v>23</v>
      </c>
      <c r="E34">
        <f t="shared" si="2"/>
        <v>10</v>
      </c>
      <c r="F34">
        <f t="shared" si="13"/>
        <v>1</v>
      </c>
      <c r="G34" s="5">
        <f t="shared" si="0"/>
        <v>22</v>
      </c>
      <c r="H34">
        <f t="shared" si="4"/>
        <v>0.42286363636363639</v>
      </c>
      <c r="I34">
        <f t="shared" si="14"/>
        <v>0.44390327560502046</v>
      </c>
      <c r="J34">
        <f t="shared" si="15"/>
        <v>0.95260309982460034</v>
      </c>
      <c r="K34">
        <f t="shared" si="16"/>
        <v>10</v>
      </c>
      <c r="N34">
        <v>201610</v>
      </c>
      <c r="O34">
        <v>9</v>
      </c>
      <c r="R34" s="3">
        <f t="shared" si="20"/>
        <v>1.0394038194453259</v>
      </c>
      <c r="T34" s="8">
        <v>21</v>
      </c>
      <c r="U34" s="7">
        <f t="shared" si="21"/>
        <v>1.0394038194453259</v>
      </c>
    </row>
    <row r="35" spans="1:22" x14ac:dyDescent="0.25">
      <c r="A35" s="1">
        <v>37225</v>
      </c>
      <c r="B35">
        <v>0.40500000000000003</v>
      </c>
      <c r="C35" s="1">
        <v>37196</v>
      </c>
      <c r="D35" s="5">
        <f t="shared" si="1"/>
        <v>22</v>
      </c>
      <c r="E35">
        <f t="shared" si="2"/>
        <v>11</v>
      </c>
      <c r="F35">
        <f t="shared" si="13"/>
        <v>2</v>
      </c>
      <c r="G35" s="5">
        <f t="shared" si="0"/>
        <v>20</v>
      </c>
      <c r="H35">
        <f t="shared" si="4"/>
        <v>0.42525000000000002</v>
      </c>
      <c r="I35">
        <f t="shared" si="14"/>
        <v>0.44297524530199012</v>
      </c>
      <c r="J35">
        <f t="shared" si="15"/>
        <v>0.95998592361542401</v>
      </c>
      <c r="K35">
        <f t="shared" si="16"/>
        <v>11</v>
      </c>
      <c r="N35">
        <v>201611</v>
      </c>
      <c r="O35">
        <v>10</v>
      </c>
      <c r="R35" s="3">
        <f t="shared" si="20"/>
        <v>0.98497736083666343</v>
      </c>
      <c r="T35" s="8">
        <v>20</v>
      </c>
      <c r="U35" s="7">
        <f t="shared" si="21"/>
        <v>0.93807367698729849</v>
      </c>
    </row>
    <row r="36" spans="1:22" x14ac:dyDescent="0.25">
      <c r="A36" s="1">
        <v>37256</v>
      </c>
      <c r="B36">
        <v>0.40899999999999997</v>
      </c>
      <c r="C36" s="1">
        <v>37226</v>
      </c>
      <c r="D36" s="5">
        <f t="shared" si="1"/>
        <v>21</v>
      </c>
      <c r="E36">
        <f t="shared" si="2"/>
        <v>12</v>
      </c>
      <c r="F36">
        <f t="shared" si="13"/>
        <v>1</v>
      </c>
      <c r="G36" s="5">
        <f t="shared" si="0"/>
        <v>20</v>
      </c>
      <c r="H36">
        <f t="shared" si="4"/>
        <v>0.42945</v>
      </c>
      <c r="I36">
        <f t="shared" si="14"/>
        <v>0.44271274530199012</v>
      </c>
      <c r="J36">
        <f t="shared" si="15"/>
        <v>0.97004209740349101</v>
      </c>
      <c r="K36">
        <f t="shared" si="16"/>
        <v>12</v>
      </c>
      <c r="N36">
        <v>201612</v>
      </c>
      <c r="O36">
        <v>11</v>
      </c>
      <c r="R36" s="3">
        <f t="shared" si="20"/>
        <v>0.96246692483785146</v>
      </c>
      <c r="T36" s="8">
        <v>20</v>
      </c>
      <c r="U36" s="7">
        <f t="shared" si="21"/>
        <v>0.91663516651223942</v>
      </c>
    </row>
    <row r="37" spans="1:22" x14ac:dyDescent="0.25">
      <c r="A37" s="1">
        <v>37287</v>
      </c>
      <c r="B37">
        <v>0.34200000000000003</v>
      </c>
      <c r="C37" s="1">
        <v>37257</v>
      </c>
      <c r="D37" s="5">
        <f t="shared" si="1"/>
        <v>23</v>
      </c>
      <c r="E37">
        <f t="shared" si="2"/>
        <v>1</v>
      </c>
      <c r="F37">
        <f t="shared" si="13"/>
        <v>2</v>
      </c>
      <c r="G37" s="5">
        <f t="shared" si="0"/>
        <v>21</v>
      </c>
      <c r="H37">
        <f t="shared" si="4"/>
        <v>0.34199999999999997</v>
      </c>
      <c r="I37">
        <f t="shared" si="14"/>
        <v>0.44481274530199016</v>
      </c>
      <c r="J37">
        <f t="shared" si="15"/>
        <v>0.76886286108508639</v>
      </c>
      <c r="K37">
        <f t="shared" si="16"/>
        <v>1</v>
      </c>
      <c r="N37">
        <v>201701</v>
      </c>
      <c r="O37">
        <v>12</v>
      </c>
      <c r="R37" s="3">
        <f t="shared" si="20"/>
        <v>0.91891323801153402</v>
      </c>
      <c r="T37" s="8">
        <v>21</v>
      </c>
      <c r="U37" s="7">
        <f t="shared" si="21"/>
        <v>0.91891323801153402</v>
      </c>
    </row>
    <row r="38" spans="1:22" x14ac:dyDescent="0.25">
      <c r="A38" s="1">
        <v>37315</v>
      </c>
      <c r="B38">
        <v>0.34399999999999997</v>
      </c>
      <c r="C38" s="1">
        <v>37288</v>
      </c>
      <c r="D38" s="5">
        <f t="shared" si="1"/>
        <v>20</v>
      </c>
      <c r="E38">
        <f t="shared" si="2"/>
        <v>2</v>
      </c>
      <c r="F38">
        <f t="shared" si="13"/>
        <v>1</v>
      </c>
      <c r="G38" s="5">
        <f t="shared" si="0"/>
        <v>19</v>
      </c>
      <c r="H38">
        <f t="shared" si="4"/>
        <v>0.38021052631578944</v>
      </c>
      <c r="I38">
        <f t="shared" si="14"/>
        <v>0.44872941196865684</v>
      </c>
      <c r="J38">
        <f t="shared" si="15"/>
        <v>0.84730466997413278</v>
      </c>
      <c r="K38">
        <f t="shared" si="16"/>
        <v>2</v>
      </c>
      <c r="N38">
        <v>201702</v>
      </c>
      <c r="O38">
        <v>1</v>
      </c>
      <c r="R38" s="3">
        <f>R26</f>
        <v>0.71271724860094954</v>
      </c>
      <c r="T38" s="8">
        <v>20</v>
      </c>
      <c r="U38" s="7">
        <f t="shared" si="21"/>
        <v>0.67877833200090432</v>
      </c>
    </row>
    <row r="39" spans="1:22" x14ac:dyDescent="0.25">
      <c r="A39" s="1">
        <v>37346</v>
      </c>
      <c r="B39">
        <v>0.438</v>
      </c>
      <c r="C39" s="1">
        <v>37316</v>
      </c>
      <c r="D39" s="5">
        <f t="shared" si="1"/>
        <v>21</v>
      </c>
      <c r="E39">
        <f t="shared" si="2"/>
        <v>3</v>
      </c>
      <c r="F39">
        <f t="shared" si="13"/>
        <v>0</v>
      </c>
      <c r="G39" s="5">
        <f t="shared" si="0"/>
        <v>21</v>
      </c>
      <c r="H39">
        <f t="shared" si="4"/>
        <v>0.43800000000000006</v>
      </c>
      <c r="I39">
        <f t="shared" si="14"/>
        <v>0.45232151723181468</v>
      </c>
      <c r="J39">
        <f t="shared" si="15"/>
        <v>0.96833774939679718</v>
      </c>
      <c r="K39">
        <f t="shared" si="16"/>
        <v>3</v>
      </c>
      <c r="N39">
        <v>201703</v>
      </c>
      <c r="O39">
        <v>2</v>
      </c>
      <c r="R39" s="3">
        <f>R27</f>
        <v>0.77106969237295331</v>
      </c>
      <c r="T39" s="8">
        <v>19</v>
      </c>
      <c r="U39" s="7">
        <f t="shared" si="21"/>
        <v>0.69763448357552915</v>
      </c>
    </row>
    <row r="40" spans="1:22" x14ac:dyDescent="0.25">
      <c r="A40" s="1">
        <v>37376</v>
      </c>
      <c r="B40">
        <v>0.502</v>
      </c>
      <c r="C40" s="1">
        <v>37347</v>
      </c>
      <c r="D40" s="5">
        <f t="shared" si="1"/>
        <v>22</v>
      </c>
      <c r="E40">
        <f t="shared" si="2"/>
        <v>4</v>
      </c>
      <c r="F40">
        <f t="shared" si="13"/>
        <v>0</v>
      </c>
      <c r="G40" s="5">
        <f t="shared" si="0"/>
        <v>22</v>
      </c>
      <c r="H40">
        <f t="shared" si="4"/>
        <v>0.47918181818181815</v>
      </c>
      <c r="I40">
        <f t="shared" si="14"/>
        <v>0.45398060814090563</v>
      </c>
      <c r="J40">
        <f t="shared" si="15"/>
        <v>1.0555116443059405</v>
      </c>
      <c r="K40">
        <f t="shared" si="16"/>
        <v>4</v>
      </c>
      <c r="N40">
        <v>201704</v>
      </c>
      <c r="O40">
        <v>3</v>
      </c>
      <c r="R40" s="3">
        <f>R28</f>
        <v>0.89525265535347698</v>
      </c>
      <c r="T40" s="8">
        <v>23</v>
      </c>
      <c r="U40" s="7">
        <f t="shared" ref="U40:U49" si="22">T40/21*R40</f>
        <v>0.98051481300618915</v>
      </c>
    </row>
    <row r="41" spans="1:22" x14ac:dyDescent="0.25">
      <c r="A41" s="1">
        <v>37407</v>
      </c>
      <c r="B41">
        <v>0.54300000000000004</v>
      </c>
      <c r="C41" s="1">
        <v>37377</v>
      </c>
      <c r="D41" s="5">
        <f t="shared" si="1"/>
        <v>23</v>
      </c>
      <c r="E41">
        <f t="shared" si="2"/>
        <v>5</v>
      </c>
      <c r="F41">
        <f t="shared" si="13"/>
        <v>1</v>
      </c>
      <c r="G41" s="5">
        <f t="shared" si="0"/>
        <v>22</v>
      </c>
      <c r="H41">
        <f t="shared" si="4"/>
        <v>0.5183181818181819</v>
      </c>
      <c r="I41">
        <f t="shared" si="14"/>
        <v>0.45607909298939048</v>
      </c>
      <c r="J41">
        <f t="shared" si="15"/>
        <v>1.136465559999347</v>
      </c>
      <c r="K41">
        <f t="shared" si="16"/>
        <v>5</v>
      </c>
      <c r="N41">
        <v>201705</v>
      </c>
      <c r="O41">
        <v>4</v>
      </c>
      <c r="R41" s="3">
        <f>R29</f>
        <v>1.0355882066830884</v>
      </c>
      <c r="T41" s="8">
        <v>20</v>
      </c>
      <c r="U41" s="7">
        <f t="shared" si="22"/>
        <v>0.98627448255532224</v>
      </c>
      <c r="V41">
        <v>2017</v>
      </c>
    </row>
    <row r="42" spans="1:22" x14ac:dyDescent="0.25">
      <c r="A42" s="1">
        <v>37437</v>
      </c>
      <c r="B42">
        <v>0.54200000000000004</v>
      </c>
      <c r="C42" s="1">
        <v>37408</v>
      </c>
      <c r="D42" s="5">
        <f t="shared" si="1"/>
        <v>20</v>
      </c>
      <c r="E42">
        <f t="shared" si="2"/>
        <v>6</v>
      </c>
      <c r="F42">
        <f t="shared" si="13"/>
        <v>0</v>
      </c>
      <c r="G42" s="5">
        <f t="shared" si="0"/>
        <v>20</v>
      </c>
      <c r="H42">
        <f t="shared" si="4"/>
        <v>0.56910000000000005</v>
      </c>
      <c r="I42">
        <f t="shared" si="14"/>
        <v>0.45902227480757229</v>
      </c>
      <c r="J42">
        <f t="shared" si="15"/>
        <v>1.2398091143584997</v>
      </c>
      <c r="K42">
        <f t="shared" si="16"/>
        <v>6</v>
      </c>
      <c r="N42">
        <v>201706</v>
      </c>
      <c r="O42">
        <v>5</v>
      </c>
      <c r="R42" s="3">
        <f t="shared" ref="R42:R55" si="23">R30</f>
        <v>1.1314426009352399</v>
      </c>
      <c r="T42" s="8">
        <v>22</v>
      </c>
      <c r="U42" s="7">
        <f t="shared" si="22"/>
        <v>1.1853208200273941</v>
      </c>
    </row>
    <row r="43" spans="1:22" x14ac:dyDescent="0.25">
      <c r="A43" s="1">
        <v>37468</v>
      </c>
      <c r="B43">
        <v>0.54400000000000004</v>
      </c>
      <c r="C43" s="1">
        <v>37438</v>
      </c>
      <c r="D43" s="5">
        <f t="shared" si="1"/>
        <v>23</v>
      </c>
      <c r="E43">
        <f t="shared" si="2"/>
        <v>7</v>
      </c>
      <c r="F43">
        <f t="shared" si="13"/>
        <v>1</v>
      </c>
      <c r="G43" s="5">
        <f t="shared" si="0"/>
        <v>22</v>
      </c>
      <c r="H43">
        <f t="shared" si="4"/>
        <v>0.51927272727272733</v>
      </c>
      <c r="I43">
        <f t="shared" si="14"/>
        <v>0.46003060814090563</v>
      </c>
      <c r="J43">
        <f t="shared" si="15"/>
        <v>1.1287786466453469</v>
      </c>
      <c r="K43">
        <f t="shared" si="16"/>
        <v>7</v>
      </c>
      <c r="N43">
        <v>201707</v>
      </c>
      <c r="O43">
        <v>6</v>
      </c>
      <c r="R43" s="3">
        <f t="shared" si="23"/>
        <v>1.2230740519639927</v>
      </c>
      <c r="T43" s="8">
        <v>22</v>
      </c>
      <c r="U43" s="7">
        <f t="shared" si="22"/>
        <v>1.2813156734860875</v>
      </c>
    </row>
    <row r="44" spans="1:22" x14ac:dyDescent="0.25">
      <c r="A44" s="1">
        <v>37499</v>
      </c>
      <c r="B44">
        <v>0.54900000000000004</v>
      </c>
      <c r="C44" s="1">
        <v>37469</v>
      </c>
      <c r="D44" s="5">
        <f t="shared" si="1"/>
        <v>22</v>
      </c>
      <c r="E44">
        <f t="shared" si="2"/>
        <v>8</v>
      </c>
      <c r="F44">
        <f t="shared" si="13"/>
        <v>0</v>
      </c>
      <c r="G44" s="5">
        <f t="shared" si="0"/>
        <v>22</v>
      </c>
      <c r="H44">
        <f t="shared" si="4"/>
        <v>0.52404545454545459</v>
      </c>
      <c r="I44">
        <f t="shared" si="14"/>
        <v>0.45872000208029956</v>
      </c>
      <c r="J44">
        <f t="shared" si="15"/>
        <v>1.142408118610271</v>
      </c>
      <c r="K44">
        <f t="shared" si="16"/>
        <v>8</v>
      </c>
      <c r="N44">
        <v>201708</v>
      </c>
      <c r="O44">
        <v>7</v>
      </c>
      <c r="R44" s="3">
        <f t="shared" si="23"/>
        <v>1.1855694922314317</v>
      </c>
      <c r="T44" s="8">
        <v>20</v>
      </c>
      <c r="U44" s="7">
        <f t="shared" si="22"/>
        <v>1.129113802125173</v>
      </c>
    </row>
    <row r="45" spans="1:22" x14ac:dyDescent="0.25">
      <c r="A45" s="1">
        <v>37529</v>
      </c>
      <c r="B45">
        <v>0.45700000000000002</v>
      </c>
      <c r="C45" s="1">
        <v>37500</v>
      </c>
      <c r="D45" s="5">
        <f t="shared" si="1"/>
        <v>21</v>
      </c>
      <c r="E45">
        <f t="shared" si="2"/>
        <v>9</v>
      </c>
      <c r="F45">
        <f t="shared" si="13"/>
        <v>1</v>
      </c>
      <c r="G45" s="5">
        <f t="shared" si="0"/>
        <v>20</v>
      </c>
      <c r="H45">
        <f t="shared" si="4"/>
        <v>0.47985000000000005</v>
      </c>
      <c r="I45">
        <f t="shared" si="14"/>
        <v>0.45932523923444979</v>
      </c>
      <c r="J45">
        <f t="shared" si="15"/>
        <v>1.0446845916844425</v>
      </c>
      <c r="K45">
        <f t="shared" si="16"/>
        <v>9</v>
      </c>
      <c r="N45">
        <v>201709</v>
      </c>
      <c r="O45">
        <v>8</v>
      </c>
      <c r="R45" s="3">
        <f t="shared" si="23"/>
        <v>1.1395247087274925</v>
      </c>
      <c r="T45" s="8">
        <v>23</v>
      </c>
      <c r="U45" s="7">
        <f t="shared" si="22"/>
        <v>1.2480508714634442</v>
      </c>
    </row>
    <row r="46" spans="1:22" x14ac:dyDescent="0.25">
      <c r="A46" s="1">
        <v>37560</v>
      </c>
      <c r="B46">
        <v>0.48099999999999998</v>
      </c>
      <c r="C46" s="1">
        <v>37530</v>
      </c>
      <c r="D46" s="5">
        <f t="shared" si="1"/>
        <v>23</v>
      </c>
      <c r="E46">
        <f t="shared" si="2"/>
        <v>10</v>
      </c>
      <c r="F46">
        <f t="shared" si="13"/>
        <v>1</v>
      </c>
      <c r="G46" s="5">
        <f t="shared" si="0"/>
        <v>22</v>
      </c>
      <c r="H46">
        <f t="shared" si="4"/>
        <v>0.45913636363636362</v>
      </c>
      <c r="I46">
        <f t="shared" si="14"/>
        <v>0.46062852870813398</v>
      </c>
      <c r="J46">
        <f t="shared" si="15"/>
        <v>0.99676058911080645</v>
      </c>
      <c r="K46">
        <f t="shared" si="16"/>
        <v>10</v>
      </c>
      <c r="N46">
        <v>201710</v>
      </c>
      <c r="O46">
        <v>9</v>
      </c>
      <c r="R46" s="3">
        <f t="shared" si="23"/>
        <v>1.0394038194453259</v>
      </c>
      <c r="T46" s="8">
        <v>20</v>
      </c>
      <c r="U46" s="7">
        <f t="shared" si="22"/>
        <v>0.98990839947173892</v>
      </c>
    </row>
    <row r="47" spans="1:22" x14ac:dyDescent="0.25">
      <c r="A47" s="1">
        <v>37590</v>
      </c>
      <c r="B47">
        <v>0.43</v>
      </c>
      <c r="C47" s="1">
        <v>37561</v>
      </c>
      <c r="D47" s="5">
        <f t="shared" si="1"/>
        <v>21</v>
      </c>
      <c r="E47">
        <f t="shared" si="2"/>
        <v>11</v>
      </c>
      <c r="F47">
        <f t="shared" si="13"/>
        <v>2</v>
      </c>
      <c r="G47" s="5">
        <f t="shared" si="0"/>
        <v>19</v>
      </c>
      <c r="H47">
        <f t="shared" si="4"/>
        <v>0.47526315789473683</v>
      </c>
      <c r="I47">
        <f t="shared" si="14"/>
        <v>0.46365125598086127</v>
      </c>
      <c r="J47">
        <f t="shared" si="15"/>
        <v>1.025044474190651</v>
      </c>
      <c r="K47">
        <f t="shared" si="16"/>
        <v>11</v>
      </c>
      <c r="N47">
        <v>201711</v>
      </c>
      <c r="O47">
        <v>10</v>
      </c>
      <c r="R47" s="3">
        <f t="shared" si="23"/>
        <v>0.98497736083666343</v>
      </c>
      <c r="T47" s="8">
        <v>21</v>
      </c>
      <c r="U47" s="7">
        <f t="shared" si="22"/>
        <v>0.98497736083666343</v>
      </c>
    </row>
    <row r="48" spans="1:22" x14ac:dyDescent="0.25">
      <c r="A48" s="1">
        <v>37621</v>
      </c>
      <c r="B48">
        <v>0.45900000000000002</v>
      </c>
      <c r="C48" s="1">
        <v>37591</v>
      </c>
      <c r="D48" s="5">
        <f t="shared" si="1"/>
        <v>22</v>
      </c>
      <c r="E48">
        <f t="shared" si="2"/>
        <v>12</v>
      </c>
      <c r="F48">
        <f t="shared" si="13"/>
        <v>1</v>
      </c>
      <c r="G48" s="5">
        <f t="shared" si="0"/>
        <v>21</v>
      </c>
      <c r="H48">
        <f t="shared" si="4"/>
        <v>0.45900000000000007</v>
      </c>
      <c r="I48">
        <f t="shared" si="14"/>
        <v>0.4678190191387559</v>
      </c>
      <c r="J48">
        <f t="shared" si="15"/>
        <v>0.98114865198300094</v>
      </c>
      <c r="K48">
        <f t="shared" si="16"/>
        <v>12</v>
      </c>
      <c r="N48">
        <v>201712</v>
      </c>
      <c r="O48">
        <v>11</v>
      </c>
      <c r="R48" s="3">
        <f t="shared" si="23"/>
        <v>0.96246692483785146</v>
      </c>
      <c r="T48" s="8">
        <v>21</v>
      </c>
      <c r="U48" s="7">
        <f t="shared" si="22"/>
        <v>0.96246692483785146</v>
      </c>
    </row>
    <row r="49" spans="1:21" x14ac:dyDescent="0.25">
      <c r="A49" s="1">
        <v>37652</v>
      </c>
      <c r="B49">
        <v>0.35199999999999998</v>
      </c>
      <c r="C49" s="1">
        <v>37622</v>
      </c>
      <c r="D49" s="5">
        <f t="shared" si="1"/>
        <v>23</v>
      </c>
      <c r="E49">
        <f t="shared" si="2"/>
        <v>1</v>
      </c>
      <c r="F49">
        <f t="shared" si="13"/>
        <v>2</v>
      </c>
      <c r="G49" s="5">
        <f t="shared" si="0"/>
        <v>21</v>
      </c>
      <c r="H49">
        <f t="shared" si="4"/>
        <v>0.35200000000000004</v>
      </c>
      <c r="I49">
        <f t="shared" si="14"/>
        <v>0.47028151913875593</v>
      </c>
      <c r="J49">
        <f t="shared" si="15"/>
        <v>0.74848784329146245</v>
      </c>
      <c r="K49">
        <f t="shared" si="16"/>
        <v>1</v>
      </c>
      <c r="N49">
        <v>201801</v>
      </c>
      <c r="O49">
        <v>12</v>
      </c>
      <c r="R49" s="3">
        <f t="shared" si="23"/>
        <v>0.91891323801153402</v>
      </c>
      <c r="T49" s="8">
        <v>20</v>
      </c>
      <c r="U49" s="7">
        <f t="shared" si="22"/>
        <v>0.87515546477288952</v>
      </c>
    </row>
    <row r="50" spans="1:21" x14ac:dyDescent="0.25">
      <c r="A50" s="1">
        <v>37680</v>
      </c>
      <c r="B50">
        <v>0.35</v>
      </c>
      <c r="C50" s="1">
        <v>37653</v>
      </c>
      <c r="D50" s="5">
        <f t="shared" si="1"/>
        <v>20</v>
      </c>
      <c r="E50">
        <f t="shared" si="2"/>
        <v>2</v>
      </c>
      <c r="F50">
        <f t="shared" si="13"/>
        <v>1</v>
      </c>
      <c r="G50" s="5">
        <f t="shared" si="0"/>
        <v>19</v>
      </c>
      <c r="H50">
        <f t="shared" si="4"/>
        <v>0.38684210526315788</v>
      </c>
      <c r="I50">
        <f t="shared" si="14"/>
        <v>0.47111485247208923</v>
      </c>
      <c r="J50">
        <f t="shared" si="15"/>
        <v>0.82112058924331188</v>
      </c>
      <c r="K50">
        <f t="shared" si="16"/>
        <v>2</v>
      </c>
      <c r="N50">
        <v>201802</v>
      </c>
      <c r="O50">
        <v>1</v>
      </c>
      <c r="R50" s="3">
        <f t="shared" si="23"/>
        <v>0.71271724860094954</v>
      </c>
      <c r="T50" s="8">
        <v>21</v>
      </c>
      <c r="U50" s="7">
        <f t="shared" ref="U50:U55" si="24">T50/21*R50</f>
        <v>0.71271724860094954</v>
      </c>
    </row>
    <row r="51" spans="1:21" x14ac:dyDescent="0.25">
      <c r="A51" s="1">
        <v>37711</v>
      </c>
      <c r="B51">
        <v>0.44600000000000001</v>
      </c>
      <c r="C51" s="1">
        <v>37681</v>
      </c>
      <c r="D51" s="5">
        <f t="shared" si="1"/>
        <v>21</v>
      </c>
      <c r="E51">
        <f t="shared" si="2"/>
        <v>3</v>
      </c>
      <c r="F51">
        <f t="shared" si="13"/>
        <v>0</v>
      </c>
      <c r="G51" s="5">
        <f t="shared" si="0"/>
        <v>21</v>
      </c>
      <c r="H51">
        <f t="shared" si="4"/>
        <v>0.44600000000000006</v>
      </c>
      <c r="I51">
        <f t="shared" si="14"/>
        <v>0.47166748405103681</v>
      </c>
      <c r="J51">
        <f t="shared" si="15"/>
        <v>0.94558140020468451</v>
      </c>
      <c r="K51">
        <f t="shared" si="16"/>
        <v>3</v>
      </c>
      <c r="N51">
        <v>201803</v>
      </c>
      <c r="O51">
        <v>2</v>
      </c>
      <c r="R51" s="3">
        <f t="shared" si="23"/>
        <v>0.77106969237295331</v>
      </c>
      <c r="T51" s="8">
        <v>19</v>
      </c>
      <c r="U51" s="7">
        <f t="shared" si="24"/>
        <v>0.69763448357552915</v>
      </c>
    </row>
    <row r="52" spans="1:21" x14ac:dyDescent="0.25">
      <c r="A52" s="1">
        <v>37741</v>
      </c>
      <c r="B52">
        <v>0.51700000000000002</v>
      </c>
      <c r="C52" s="1">
        <v>37712</v>
      </c>
      <c r="D52" s="5">
        <f t="shared" si="1"/>
        <v>22</v>
      </c>
      <c r="E52">
        <f t="shared" si="2"/>
        <v>4</v>
      </c>
      <c r="F52">
        <f t="shared" si="13"/>
        <v>0</v>
      </c>
      <c r="G52" s="5">
        <f t="shared" si="0"/>
        <v>22</v>
      </c>
      <c r="H52">
        <f t="shared" si="4"/>
        <v>0.49349999999999999</v>
      </c>
      <c r="I52">
        <f t="shared" si="14"/>
        <v>0.4723341507177034</v>
      </c>
      <c r="J52">
        <f t="shared" si="15"/>
        <v>1.0448111771086961</v>
      </c>
      <c r="K52">
        <f t="shared" si="16"/>
        <v>4</v>
      </c>
      <c r="N52">
        <v>201804</v>
      </c>
      <c r="O52">
        <v>3</v>
      </c>
      <c r="R52" s="3">
        <f t="shared" si="23"/>
        <v>0.89525265535347698</v>
      </c>
      <c r="T52" s="8">
        <v>22</v>
      </c>
      <c r="U52" s="7">
        <f t="shared" si="24"/>
        <v>0.93788373417983306</v>
      </c>
    </row>
    <row r="53" spans="1:21" x14ac:dyDescent="0.25">
      <c r="A53" s="1">
        <v>37772</v>
      </c>
      <c r="B53">
        <v>0.56499999999999995</v>
      </c>
      <c r="C53" s="1">
        <v>37742</v>
      </c>
      <c r="D53" s="5">
        <f t="shared" si="1"/>
        <v>22</v>
      </c>
      <c r="E53">
        <f t="shared" si="2"/>
        <v>5</v>
      </c>
      <c r="F53">
        <f t="shared" si="13"/>
        <v>1</v>
      </c>
      <c r="G53" s="5">
        <f t="shared" si="0"/>
        <v>21</v>
      </c>
      <c r="H53">
        <f t="shared" si="4"/>
        <v>0.56499999999999995</v>
      </c>
      <c r="I53">
        <f t="shared" si="14"/>
        <v>0.47352733253588525</v>
      </c>
      <c r="J53">
        <f t="shared" si="15"/>
        <v>1.1931729409879051</v>
      </c>
      <c r="K53">
        <f t="shared" si="16"/>
        <v>5</v>
      </c>
      <c r="N53">
        <v>201805</v>
      </c>
      <c r="O53">
        <v>4</v>
      </c>
      <c r="R53" s="3">
        <f t="shared" si="23"/>
        <v>1.0355882066830884</v>
      </c>
      <c r="T53" s="8">
        <v>21</v>
      </c>
      <c r="U53" s="7">
        <f t="shared" si="24"/>
        <v>1.0355882066830884</v>
      </c>
    </row>
    <row r="54" spans="1:21" x14ac:dyDescent="0.25">
      <c r="A54" s="1">
        <v>37802</v>
      </c>
      <c r="B54">
        <v>0.60099999999999998</v>
      </c>
      <c r="C54" s="1">
        <v>37773</v>
      </c>
      <c r="D54" s="5">
        <f t="shared" si="1"/>
        <v>21</v>
      </c>
      <c r="E54">
        <f t="shared" si="2"/>
        <v>6</v>
      </c>
      <c r="F54">
        <f t="shared" si="13"/>
        <v>0</v>
      </c>
      <c r="G54" s="5">
        <f t="shared" si="0"/>
        <v>21</v>
      </c>
      <c r="H54">
        <f t="shared" si="4"/>
        <v>0.60099999999999998</v>
      </c>
      <c r="I54">
        <f t="shared" si="14"/>
        <v>0.47741748405103673</v>
      </c>
      <c r="J54">
        <f t="shared" si="15"/>
        <v>1.258856284232255</v>
      </c>
      <c r="K54">
        <f t="shared" si="16"/>
        <v>6</v>
      </c>
      <c r="N54">
        <v>201806</v>
      </c>
      <c r="O54">
        <v>5</v>
      </c>
      <c r="R54" s="3">
        <f t="shared" si="23"/>
        <v>1.1314426009352399</v>
      </c>
      <c r="T54" s="8">
        <v>22</v>
      </c>
      <c r="U54" s="7">
        <f t="shared" si="24"/>
        <v>1.1853208200273941</v>
      </c>
    </row>
    <row r="55" spans="1:21" x14ac:dyDescent="0.25">
      <c r="A55" s="1">
        <v>37833</v>
      </c>
      <c r="B55">
        <v>0.63200000000000001</v>
      </c>
      <c r="C55" s="1">
        <v>37803</v>
      </c>
      <c r="D55" s="5">
        <f t="shared" si="1"/>
        <v>23</v>
      </c>
      <c r="E55">
        <f t="shared" si="2"/>
        <v>7</v>
      </c>
      <c r="F55">
        <f t="shared" si="13"/>
        <v>1</v>
      </c>
      <c r="G55" s="5">
        <f t="shared" si="0"/>
        <v>22</v>
      </c>
      <c r="H55">
        <f t="shared" si="4"/>
        <v>0.60327272727272729</v>
      </c>
      <c r="I55">
        <f t="shared" si="14"/>
        <v>0.48007581738437</v>
      </c>
      <c r="J55">
        <f t="shared" si="15"/>
        <v>1.2566196951131166</v>
      </c>
      <c r="K55">
        <f t="shared" si="16"/>
        <v>7</v>
      </c>
      <c r="N55">
        <v>201807</v>
      </c>
      <c r="O55">
        <v>6</v>
      </c>
      <c r="R55" s="3">
        <f t="shared" si="23"/>
        <v>1.2230740519639927</v>
      </c>
      <c r="T55" s="8">
        <v>21</v>
      </c>
      <c r="U55" s="7">
        <f t="shared" si="24"/>
        <v>1.2230740519639927</v>
      </c>
    </row>
    <row r="56" spans="1:21" x14ac:dyDescent="0.25">
      <c r="A56" s="1">
        <v>37864</v>
      </c>
      <c r="B56">
        <v>0.64500000000000002</v>
      </c>
      <c r="C56" s="1">
        <v>37834</v>
      </c>
      <c r="D56" s="5">
        <f t="shared" si="1"/>
        <v>21</v>
      </c>
      <c r="E56">
        <f t="shared" si="2"/>
        <v>8</v>
      </c>
      <c r="F56">
        <f t="shared" si="13"/>
        <v>0</v>
      </c>
      <c r="G56" s="5">
        <f t="shared" si="0"/>
        <v>21</v>
      </c>
      <c r="H56">
        <f t="shared" si="4"/>
        <v>0.64500000000000002</v>
      </c>
      <c r="I56">
        <f t="shared" si="14"/>
        <v>0.48707581738437006</v>
      </c>
      <c r="J56">
        <f t="shared" si="15"/>
        <v>1.3242291589504349</v>
      </c>
      <c r="K56">
        <f t="shared" si="16"/>
        <v>8</v>
      </c>
      <c r="N56">
        <v>201808</v>
      </c>
      <c r="O56">
        <v>7</v>
      </c>
      <c r="T56" s="8">
        <v>21</v>
      </c>
    </row>
    <row r="57" spans="1:21" x14ac:dyDescent="0.25">
      <c r="A57" s="1">
        <v>37894</v>
      </c>
      <c r="B57">
        <v>0.56599999999999995</v>
      </c>
      <c r="C57" s="1">
        <v>37865</v>
      </c>
      <c r="D57" s="5">
        <f t="shared" si="1"/>
        <v>22</v>
      </c>
      <c r="E57">
        <f t="shared" si="2"/>
        <v>9</v>
      </c>
      <c r="F57">
        <f t="shared" si="13"/>
        <v>1</v>
      </c>
      <c r="G57" s="5">
        <f t="shared" si="0"/>
        <v>21</v>
      </c>
      <c r="H57">
        <f t="shared" si="4"/>
        <v>0.56599999999999995</v>
      </c>
      <c r="I57">
        <f t="shared" si="14"/>
        <v>0.49715536283891543</v>
      </c>
      <c r="J57">
        <f t="shared" si="15"/>
        <v>1.1384771085802228</v>
      </c>
      <c r="K57">
        <f t="shared" si="16"/>
        <v>9</v>
      </c>
      <c r="N57">
        <v>201809</v>
      </c>
      <c r="O57">
        <v>8</v>
      </c>
      <c r="T57" s="8">
        <v>23</v>
      </c>
    </row>
    <row r="58" spans="1:21" x14ac:dyDescent="0.25">
      <c r="A58" s="1">
        <v>37925</v>
      </c>
      <c r="B58">
        <v>0.54600000000000004</v>
      </c>
      <c r="C58" s="1">
        <v>37895</v>
      </c>
      <c r="D58" s="5">
        <f t="shared" si="1"/>
        <v>23</v>
      </c>
      <c r="E58">
        <f t="shared" si="2"/>
        <v>10</v>
      </c>
      <c r="F58">
        <f t="shared" si="13"/>
        <v>1</v>
      </c>
      <c r="G58" s="5">
        <f t="shared" si="0"/>
        <v>22</v>
      </c>
      <c r="H58">
        <f t="shared" si="4"/>
        <v>0.52118181818181819</v>
      </c>
      <c r="I58">
        <f t="shared" si="14"/>
        <v>0.50433452950558222</v>
      </c>
      <c r="J58">
        <f t="shared" si="15"/>
        <v>1.0334049875441842</v>
      </c>
      <c r="K58">
        <f t="shared" si="16"/>
        <v>10</v>
      </c>
      <c r="N58">
        <v>201810</v>
      </c>
      <c r="O58">
        <v>9</v>
      </c>
      <c r="T58" s="8">
        <v>19</v>
      </c>
    </row>
    <row r="59" spans="1:21" x14ac:dyDescent="0.25">
      <c r="A59" s="1">
        <v>37955</v>
      </c>
      <c r="B59">
        <v>0.44600000000000001</v>
      </c>
      <c r="C59" s="1">
        <v>37926</v>
      </c>
      <c r="D59" s="5">
        <f t="shared" si="1"/>
        <v>20</v>
      </c>
      <c r="E59">
        <f t="shared" si="2"/>
        <v>11</v>
      </c>
      <c r="F59">
        <f t="shared" si="13"/>
        <v>2</v>
      </c>
      <c r="G59" s="5">
        <f t="shared" si="0"/>
        <v>18</v>
      </c>
      <c r="H59">
        <f t="shared" si="4"/>
        <v>0.52033333333333331</v>
      </c>
      <c r="I59">
        <f t="shared" si="14"/>
        <v>0.50950498405103672</v>
      </c>
      <c r="J59">
        <f t="shared" si="15"/>
        <v>1.0212526856875888</v>
      </c>
      <c r="K59">
        <f t="shared" si="16"/>
        <v>11</v>
      </c>
      <c r="N59">
        <v>201811</v>
      </c>
      <c r="O59">
        <v>10</v>
      </c>
      <c r="T59" s="8">
        <v>22</v>
      </c>
    </row>
    <row r="60" spans="1:21" x14ac:dyDescent="0.25">
      <c r="A60" s="1">
        <v>37986</v>
      </c>
      <c r="B60">
        <v>0.51</v>
      </c>
      <c r="C60" s="1">
        <v>37956</v>
      </c>
      <c r="D60" s="5">
        <f t="shared" si="1"/>
        <v>23</v>
      </c>
      <c r="E60">
        <f t="shared" si="2"/>
        <v>12</v>
      </c>
      <c r="F60">
        <f t="shared" si="13"/>
        <v>1</v>
      </c>
      <c r="G60" s="5">
        <f t="shared" si="0"/>
        <v>22</v>
      </c>
      <c r="H60">
        <f t="shared" si="4"/>
        <v>0.48681818181818182</v>
      </c>
      <c r="I60">
        <f t="shared" si="14"/>
        <v>0.51326083200425299</v>
      </c>
      <c r="J60">
        <f t="shared" si="15"/>
        <v>0.94848106744710248</v>
      </c>
      <c r="K60">
        <f t="shared" si="16"/>
        <v>12</v>
      </c>
      <c r="N60">
        <v>201812</v>
      </c>
      <c r="O60">
        <v>11</v>
      </c>
      <c r="T60" s="8">
        <v>20</v>
      </c>
    </row>
    <row r="61" spans="1:21" x14ac:dyDescent="0.25">
      <c r="A61" s="1">
        <v>38017</v>
      </c>
      <c r="B61">
        <v>0.35199999999999998</v>
      </c>
      <c r="C61" s="1">
        <v>37987</v>
      </c>
      <c r="D61" s="5">
        <f t="shared" si="1"/>
        <v>22</v>
      </c>
      <c r="E61">
        <f t="shared" si="2"/>
        <v>1</v>
      </c>
      <c r="F61">
        <f t="shared" si="13"/>
        <v>2</v>
      </c>
      <c r="G61" s="5">
        <f t="shared" si="0"/>
        <v>20</v>
      </c>
      <c r="H61">
        <f t="shared" si="4"/>
        <v>0.36959999999999993</v>
      </c>
      <c r="I61">
        <f t="shared" si="14"/>
        <v>0.51557901382243487</v>
      </c>
      <c r="J61">
        <f t="shared" si="15"/>
        <v>0.7168639337350724</v>
      </c>
      <c r="K61">
        <f t="shared" si="16"/>
        <v>1</v>
      </c>
      <c r="O61">
        <v>12</v>
      </c>
      <c r="T61" s="8">
        <v>20</v>
      </c>
    </row>
    <row r="62" spans="1:21" x14ac:dyDescent="0.25">
      <c r="A62" s="1">
        <v>38046</v>
      </c>
      <c r="B62">
        <v>0.378</v>
      </c>
      <c r="C62" s="1">
        <v>38018</v>
      </c>
      <c r="D62" s="5">
        <f t="shared" si="1"/>
        <v>20</v>
      </c>
      <c r="E62">
        <f t="shared" si="2"/>
        <v>2</v>
      </c>
      <c r="F62">
        <f t="shared" si="13"/>
        <v>1</v>
      </c>
      <c r="G62" s="5">
        <f t="shared" si="0"/>
        <v>19</v>
      </c>
      <c r="H62">
        <f t="shared" si="4"/>
        <v>0.41778947368421054</v>
      </c>
      <c r="I62">
        <f t="shared" si="14"/>
        <v>0.51704568048910149</v>
      </c>
      <c r="J62">
        <f t="shared" si="15"/>
        <v>0.80803203556212067</v>
      </c>
      <c r="K62">
        <f t="shared" si="16"/>
        <v>2</v>
      </c>
    </row>
    <row r="63" spans="1:21" x14ac:dyDescent="0.25">
      <c r="A63" s="1">
        <v>38077</v>
      </c>
      <c r="B63">
        <v>0.53100000000000003</v>
      </c>
      <c r="C63" s="1">
        <v>38047</v>
      </c>
      <c r="D63" s="5">
        <f t="shared" si="1"/>
        <v>23</v>
      </c>
      <c r="E63">
        <f t="shared" si="2"/>
        <v>3</v>
      </c>
      <c r="F63">
        <f t="shared" si="13"/>
        <v>0</v>
      </c>
      <c r="G63" s="5">
        <f t="shared" si="0"/>
        <v>23</v>
      </c>
      <c r="H63">
        <f t="shared" si="4"/>
        <v>0.4848260869565218</v>
      </c>
      <c r="I63">
        <f t="shared" si="14"/>
        <v>0.51962462785752261</v>
      </c>
      <c r="J63">
        <f t="shared" si="15"/>
        <v>0.9330313864366292</v>
      </c>
      <c r="K63">
        <f t="shared" si="16"/>
        <v>3</v>
      </c>
    </row>
    <row r="64" spans="1:21" x14ac:dyDescent="0.25">
      <c r="A64" s="1">
        <v>38107</v>
      </c>
      <c r="B64">
        <v>0.60599999999999998</v>
      </c>
      <c r="C64" s="1">
        <v>38078</v>
      </c>
      <c r="D64" s="5">
        <f t="shared" si="1"/>
        <v>22</v>
      </c>
      <c r="E64">
        <f t="shared" si="2"/>
        <v>4</v>
      </c>
      <c r="F64">
        <f t="shared" si="13"/>
        <v>0</v>
      </c>
      <c r="G64" s="5">
        <f t="shared" si="0"/>
        <v>22</v>
      </c>
      <c r="H64">
        <f t="shared" si="4"/>
        <v>0.57845454545454544</v>
      </c>
      <c r="I64">
        <f t="shared" si="14"/>
        <v>0.52286013510389939</v>
      </c>
      <c r="J64">
        <f t="shared" si="15"/>
        <v>1.106327498728888</v>
      </c>
      <c r="K64">
        <f t="shared" si="16"/>
        <v>4</v>
      </c>
    </row>
    <row r="65" spans="1:11" x14ac:dyDescent="0.25">
      <c r="A65" s="1">
        <v>38138</v>
      </c>
      <c r="B65">
        <v>0.623</v>
      </c>
      <c r="C65" s="1">
        <v>38108</v>
      </c>
      <c r="D65" s="5">
        <f t="shared" si="1"/>
        <v>21</v>
      </c>
      <c r="E65">
        <f t="shared" si="2"/>
        <v>5</v>
      </c>
      <c r="F65">
        <f t="shared" si="13"/>
        <v>1</v>
      </c>
      <c r="G65" s="5">
        <f t="shared" ref="G65:G128" si="25">D65-F65</f>
        <v>20</v>
      </c>
      <c r="H65">
        <f t="shared" si="4"/>
        <v>0.65415000000000001</v>
      </c>
      <c r="I65">
        <f t="shared" si="14"/>
        <v>0.52993968055844498</v>
      </c>
      <c r="J65">
        <f t="shared" si="15"/>
        <v>1.2343857687929001</v>
      </c>
      <c r="K65">
        <f t="shared" si="16"/>
        <v>5</v>
      </c>
    </row>
    <row r="66" spans="1:11" x14ac:dyDescent="0.25">
      <c r="A66" s="1">
        <v>38168</v>
      </c>
      <c r="B66">
        <v>0.72599999999999998</v>
      </c>
      <c r="C66" s="1">
        <v>38139</v>
      </c>
      <c r="D66" s="5">
        <f t="shared" ref="D66:D129" si="26">NETWORKDAYS(C66,A66)</f>
        <v>22</v>
      </c>
      <c r="E66">
        <f t="shared" ref="E66:E129" si="27">MONTH(C66)</f>
        <v>6</v>
      </c>
      <c r="F66">
        <f t="shared" si="13"/>
        <v>0</v>
      </c>
      <c r="G66" s="5">
        <f t="shared" si="25"/>
        <v>22</v>
      </c>
      <c r="H66">
        <f t="shared" ref="H66:H129" si="28">B66/G66*21</f>
        <v>0.69300000000000006</v>
      </c>
      <c r="I66">
        <f t="shared" si="14"/>
        <v>0.53736884722511158</v>
      </c>
      <c r="J66">
        <f t="shared" si="15"/>
        <v>1.2896169987868544</v>
      </c>
      <c r="K66">
        <f t="shared" si="16"/>
        <v>6</v>
      </c>
    </row>
    <row r="67" spans="1:11" x14ac:dyDescent="0.25">
      <c r="A67" s="1">
        <v>38199</v>
      </c>
      <c r="B67">
        <v>0.68100000000000005</v>
      </c>
      <c r="C67" s="1">
        <v>38169</v>
      </c>
      <c r="D67" s="5">
        <f t="shared" si="26"/>
        <v>22</v>
      </c>
      <c r="E67">
        <f t="shared" si="27"/>
        <v>7</v>
      </c>
      <c r="F67">
        <f t="shared" si="13"/>
        <v>1</v>
      </c>
      <c r="G67" s="5">
        <f t="shared" si="25"/>
        <v>21</v>
      </c>
      <c r="H67">
        <f t="shared" si="28"/>
        <v>0.68100000000000005</v>
      </c>
      <c r="I67">
        <f t="shared" si="14"/>
        <v>0.54503551389177829</v>
      </c>
      <c r="J67">
        <f t="shared" si="15"/>
        <v>1.2494598657202707</v>
      </c>
      <c r="K67">
        <f t="shared" si="16"/>
        <v>7</v>
      </c>
    </row>
    <row r="68" spans="1:11" x14ac:dyDescent="0.25">
      <c r="A68" s="1">
        <v>38230</v>
      </c>
      <c r="B68">
        <v>0.67700000000000005</v>
      </c>
      <c r="C68" s="1">
        <v>38200</v>
      </c>
      <c r="D68" s="5">
        <f t="shared" si="26"/>
        <v>22</v>
      </c>
      <c r="E68">
        <f t="shared" si="27"/>
        <v>8</v>
      </c>
      <c r="F68">
        <f t="shared" si="13"/>
        <v>0</v>
      </c>
      <c r="G68" s="5">
        <f t="shared" si="25"/>
        <v>22</v>
      </c>
      <c r="H68">
        <f t="shared" si="28"/>
        <v>0.64622727272727276</v>
      </c>
      <c r="I68">
        <f t="shared" si="14"/>
        <v>0.55151278661905079</v>
      </c>
      <c r="J68">
        <f t="shared" si="15"/>
        <v>1.1717357936320061</v>
      </c>
      <c r="K68">
        <f t="shared" si="16"/>
        <v>8</v>
      </c>
    </row>
    <row r="69" spans="1:11" x14ac:dyDescent="0.25">
      <c r="A69" s="1">
        <v>38260</v>
      </c>
      <c r="B69">
        <v>0.57099999999999995</v>
      </c>
      <c r="C69" s="1">
        <v>38231</v>
      </c>
      <c r="D69" s="5">
        <f t="shared" si="26"/>
        <v>22</v>
      </c>
      <c r="E69">
        <f t="shared" si="27"/>
        <v>9</v>
      </c>
      <c r="F69">
        <f t="shared" si="13"/>
        <v>1</v>
      </c>
      <c r="G69" s="5">
        <f t="shared" si="25"/>
        <v>21</v>
      </c>
      <c r="H69">
        <f t="shared" si="28"/>
        <v>0.57099999999999995</v>
      </c>
      <c r="I69">
        <f t="shared" si="14"/>
        <v>0.55161505934632371</v>
      </c>
      <c r="J69">
        <f t="shared" si="15"/>
        <v>1.0351421527117983</v>
      </c>
      <c r="K69">
        <f t="shared" si="16"/>
        <v>9</v>
      </c>
    </row>
    <row r="70" spans="1:11" x14ac:dyDescent="0.25">
      <c r="A70" s="1">
        <v>38291</v>
      </c>
      <c r="B70">
        <v>0.55600000000000005</v>
      </c>
      <c r="C70" s="1">
        <v>38261</v>
      </c>
      <c r="D70" s="5">
        <f t="shared" si="26"/>
        <v>21</v>
      </c>
      <c r="E70">
        <f t="shared" si="27"/>
        <v>10</v>
      </c>
      <c r="F70">
        <f t="shared" si="13"/>
        <v>1</v>
      </c>
      <c r="G70" s="5">
        <f t="shared" si="25"/>
        <v>20</v>
      </c>
      <c r="H70">
        <f t="shared" si="28"/>
        <v>0.58379999999999999</v>
      </c>
      <c r="I70">
        <f t="shared" si="14"/>
        <v>0.55203172601299022</v>
      </c>
      <c r="J70">
        <f t="shared" si="15"/>
        <v>1.057547913444131</v>
      </c>
      <c r="K70">
        <f t="shared" si="16"/>
        <v>10</v>
      </c>
    </row>
    <row r="71" spans="1:11" x14ac:dyDescent="0.25">
      <c r="A71" s="1">
        <v>38321</v>
      </c>
      <c r="B71">
        <v>0.53100000000000003</v>
      </c>
      <c r="C71" s="1">
        <v>38292</v>
      </c>
      <c r="D71" s="5">
        <f t="shared" si="26"/>
        <v>22</v>
      </c>
      <c r="E71">
        <f t="shared" si="27"/>
        <v>11</v>
      </c>
      <c r="F71">
        <f t="shared" si="13"/>
        <v>2</v>
      </c>
      <c r="G71" s="5">
        <f t="shared" si="25"/>
        <v>20</v>
      </c>
      <c r="H71">
        <f t="shared" si="28"/>
        <v>0.55754999999999999</v>
      </c>
      <c r="I71">
        <f t="shared" si="14"/>
        <v>0.55724990783117212</v>
      </c>
      <c r="J71">
        <f t="shared" si="15"/>
        <v>1.0005385234965687</v>
      </c>
      <c r="K71">
        <f t="shared" si="16"/>
        <v>11</v>
      </c>
    </row>
    <row r="72" spans="1:11" x14ac:dyDescent="0.25">
      <c r="A72" s="1">
        <v>38352</v>
      </c>
      <c r="B72">
        <v>0.54600000000000004</v>
      </c>
      <c r="C72" s="1">
        <v>38322</v>
      </c>
      <c r="D72" s="5">
        <f t="shared" si="26"/>
        <v>23</v>
      </c>
      <c r="E72">
        <f t="shared" si="27"/>
        <v>12</v>
      </c>
      <c r="F72">
        <f t="shared" si="13"/>
        <v>1</v>
      </c>
      <c r="G72" s="5">
        <f t="shared" si="25"/>
        <v>22</v>
      </c>
      <c r="H72">
        <f t="shared" si="28"/>
        <v>0.52118181818181819</v>
      </c>
      <c r="I72">
        <f t="shared" si="14"/>
        <v>0.5603512967200609</v>
      </c>
      <c r="J72">
        <f t="shared" si="15"/>
        <v>0.9300983530019189</v>
      </c>
      <c r="K72">
        <f t="shared" si="16"/>
        <v>12</v>
      </c>
    </row>
    <row r="73" spans="1:11" x14ac:dyDescent="0.25">
      <c r="A73" s="1">
        <v>38383</v>
      </c>
      <c r="B73">
        <v>0.38200000000000001</v>
      </c>
      <c r="C73" s="1">
        <v>38353</v>
      </c>
      <c r="D73" s="5">
        <f t="shared" si="26"/>
        <v>21</v>
      </c>
      <c r="E73">
        <f t="shared" si="27"/>
        <v>1</v>
      </c>
      <c r="F73">
        <f t="shared" si="13"/>
        <v>2</v>
      </c>
      <c r="G73" s="5">
        <f t="shared" si="25"/>
        <v>19</v>
      </c>
      <c r="H73">
        <f t="shared" si="28"/>
        <v>0.42221052631578948</v>
      </c>
      <c r="I73">
        <f t="shared" si="14"/>
        <v>0.5632149330836973</v>
      </c>
      <c r="J73">
        <f t="shared" si="15"/>
        <v>0.74964369997101321</v>
      </c>
      <c r="K73">
        <f t="shared" si="16"/>
        <v>1</v>
      </c>
    </row>
    <row r="74" spans="1:11" x14ac:dyDescent="0.25">
      <c r="A74" s="1">
        <v>38411</v>
      </c>
      <c r="B74">
        <v>0.40300000000000002</v>
      </c>
      <c r="C74" s="1">
        <v>38384</v>
      </c>
      <c r="D74" s="5">
        <f t="shared" si="26"/>
        <v>20</v>
      </c>
      <c r="E74">
        <f t="shared" si="27"/>
        <v>2</v>
      </c>
      <c r="F74">
        <f t="shared" si="13"/>
        <v>1</v>
      </c>
      <c r="G74" s="5">
        <f t="shared" si="25"/>
        <v>19</v>
      </c>
      <c r="H74">
        <f t="shared" si="28"/>
        <v>0.445421052631579</v>
      </c>
      <c r="I74">
        <f t="shared" si="14"/>
        <v>0.56759914361001329</v>
      </c>
      <c r="J74">
        <f t="shared" si="15"/>
        <v>0.78474581515158071</v>
      </c>
      <c r="K74">
        <f t="shared" si="16"/>
        <v>2</v>
      </c>
    </row>
    <row r="75" spans="1:11" x14ac:dyDescent="0.25">
      <c r="A75" s="1">
        <v>38442</v>
      </c>
      <c r="B75">
        <v>0.55700000000000005</v>
      </c>
      <c r="C75" s="1">
        <v>38412</v>
      </c>
      <c r="D75" s="5">
        <f t="shared" si="26"/>
        <v>23</v>
      </c>
      <c r="E75">
        <f t="shared" si="27"/>
        <v>3</v>
      </c>
      <c r="F75">
        <f t="shared" si="13"/>
        <v>0</v>
      </c>
      <c r="G75" s="5">
        <f t="shared" si="25"/>
        <v>23</v>
      </c>
      <c r="H75">
        <f t="shared" si="28"/>
        <v>0.50856521739130445</v>
      </c>
      <c r="I75">
        <f t="shared" si="14"/>
        <v>0.56990177518896057</v>
      </c>
      <c r="J75">
        <f t="shared" si="15"/>
        <v>0.89237345720265748</v>
      </c>
      <c r="K75">
        <f t="shared" si="16"/>
        <v>3</v>
      </c>
    </row>
    <row r="76" spans="1:11" x14ac:dyDescent="0.25">
      <c r="A76" s="1">
        <v>38472</v>
      </c>
      <c r="B76">
        <v>0.625</v>
      </c>
      <c r="C76" s="1">
        <v>38443</v>
      </c>
      <c r="D76" s="5">
        <f t="shared" si="26"/>
        <v>21</v>
      </c>
      <c r="E76">
        <f t="shared" si="27"/>
        <v>4</v>
      </c>
      <c r="F76">
        <f t="shared" si="13"/>
        <v>0</v>
      </c>
      <c r="G76" s="5">
        <f t="shared" si="25"/>
        <v>21</v>
      </c>
      <c r="H76">
        <f t="shared" si="28"/>
        <v>0.625</v>
      </c>
      <c r="I76">
        <f t="shared" si="14"/>
        <v>0.57188003605852578</v>
      </c>
      <c r="J76">
        <f t="shared" si="15"/>
        <v>1.0928865506611913</v>
      </c>
      <c r="K76">
        <f t="shared" si="16"/>
        <v>4</v>
      </c>
    </row>
    <row r="77" spans="1:11" x14ac:dyDescent="0.25">
      <c r="A77" s="1">
        <v>38503</v>
      </c>
      <c r="B77">
        <v>0.66900000000000004</v>
      </c>
      <c r="C77" s="1">
        <v>38473</v>
      </c>
      <c r="D77" s="5">
        <f t="shared" si="26"/>
        <v>22</v>
      </c>
      <c r="E77">
        <f t="shared" si="27"/>
        <v>5</v>
      </c>
      <c r="F77">
        <f t="shared" ref="F77:F140" si="29">VLOOKUP(E77,$L$1:$M$12,2)</f>
        <v>1</v>
      </c>
      <c r="G77" s="5">
        <f t="shared" si="25"/>
        <v>21</v>
      </c>
      <c r="H77">
        <f t="shared" si="28"/>
        <v>0.66900000000000004</v>
      </c>
      <c r="I77">
        <f t="shared" si="14"/>
        <v>0.57575882393731381</v>
      </c>
      <c r="J77">
        <f t="shared" si="15"/>
        <v>1.1619448494511271</v>
      </c>
      <c r="K77">
        <f t="shared" si="16"/>
        <v>5</v>
      </c>
    </row>
    <row r="78" spans="1:11" x14ac:dyDescent="0.25">
      <c r="A78" s="1">
        <v>38533</v>
      </c>
      <c r="B78">
        <v>0.753</v>
      </c>
      <c r="C78" s="1">
        <v>38504</v>
      </c>
      <c r="D78" s="5">
        <f t="shared" si="26"/>
        <v>22</v>
      </c>
      <c r="E78">
        <f t="shared" si="27"/>
        <v>6</v>
      </c>
      <c r="F78">
        <f t="shared" si="29"/>
        <v>0</v>
      </c>
      <c r="G78" s="5">
        <f t="shared" si="25"/>
        <v>22</v>
      </c>
      <c r="H78">
        <f t="shared" si="28"/>
        <v>0.71877272727272723</v>
      </c>
      <c r="I78">
        <f t="shared" ref="I78:I141" si="30">AVERAGE(H66:H77)</f>
        <v>0.5769963239373137</v>
      </c>
      <c r="J78">
        <f t="shared" ref="J78:J141" si="31">H78/I78</f>
        <v>1.2457145694931957</v>
      </c>
      <c r="K78">
        <f t="shared" ref="K78:K141" si="32">E78</f>
        <v>6</v>
      </c>
    </row>
    <row r="79" spans="1:11" x14ac:dyDescent="0.25">
      <c r="A79" s="1">
        <v>38564</v>
      </c>
      <c r="B79">
        <v>0.68899999999999995</v>
      </c>
      <c r="C79" s="1">
        <v>38534</v>
      </c>
      <c r="D79" s="5">
        <f t="shared" si="26"/>
        <v>21</v>
      </c>
      <c r="E79">
        <f t="shared" si="27"/>
        <v>7</v>
      </c>
      <c r="F79">
        <f t="shared" si="29"/>
        <v>1</v>
      </c>
      <c r="G79" s="5">
        <f t="shared" si="25"/>
        <v>20</v>
      </c>
      <c r="H79">
        <f t="shared" si="28"/>
        <v>0.72344999999999993</v>
      </c>
      <c r="I79">
        <f t="shared" si="30"/>
        <v>0.57914405121004098</v>
      </c>
      <c r="J79">
        <f t="shared" si="31"/>
        <v>1.249171080128427</v>
      </c>
      <c r="K79">
        <f t="shared" si="32"/>
        <v>7</v>
      </c>
    </row>
    <row r="80" spans="1:11" x14ac:dyDescent="0.25">
      <c r="A80" s="1">
        <v>38595</v>
      </c>
      <c r="B80">
        <v>0.74399999999999999</v>
      </c>
      <c r="C80" s="1">
        <v>38565</v>
      </c>
      <c r="D80" s="5">
        <f t="shared" si="26"/>
        <v>23</v>
      </c>
      <c r="E80">
        <f t="shared" si="27"/>
        <v>8</v>
      </c>
      <c r="F80">
        <f t="shared" si="29"/>
        <v>0</v>
      </c>
      <c r="G80" s="5">
        <f t="shared" si="25"/>
        <v>23</v>
      </c>
      <c r="H80">
        <f t="shared" si="28"/>
        <v>0.67930434782608695</v>
      </c>
      <c r="I80">
        <f t="shared" si="30"/>
        <v>0.58268155121004084</v>
      </c>
      <c r="J80">
        <f t="shared" si="31"/>
        <v>1.1658243622359277</v>
      </c>
      <c r="K80">
        <f t="shared" si="32"/>
        <v>8</v>
      </c>
    </row>
    <row r="81" spans="1:11" x14ac:dyDescent="0.25">
      <c r="A81" s="1">
        <v>38625</v>
      </c>
      <c r="B81">
        <v>0.63</v>
      </c>
      <c r="C81" s="1">
        <v>38596</v>
      </c>
      <c r="D81" s="5">
        <f t="shared" si="26"/>
        <v>22</v>
      </c>
      <c r="E81">
        <f t="shared" si="27"/>
        <v>9</v>
      </c>
      <c r="F81">
        <f t="shared" si="29"/>
        <v>1</v>
      </c>
      <c r="G81" s="5">
        <f t="shared" si="25"/>
        <v>21</v>
      </c>
      <c r="H81">
        <f t="shared" si="28"/>
        <v>0.63</v>
      </c>
      <c r="I81">
        <f t="shared" si="30"/>
        <v>0.58543797413494203</v>
      </c>
      <c r="J81">
        <f t="shared" si="31"/>
        <v>1.0761174160779439</v>
      </c>
      <c r="K81">
        <f t="shared" si="32"/>
        <v>9</v>
      </c>
    </row>
    <row r="82" spans="1:11" x14ac:dyDescent="0.25">
      <c r="A82" s="1">
        <v>38656</v>
      </c>
      <c r="B82">
        <v>0.56499999999999995</v>
      </c>
      <c r="C82" s="1">
        <v>38626</v>
      </c>
      <c r="D82" s="5">
        <f t="shared" si="26"/>
        <v>21</v>
      </c>
      <c r="E82">
        <f t="shared" si="27"/>
        <v>10</v>
      </c>
      <c r="F82">
        <f t="shared" si="29"/>
        <v>1</v>
      </c>
      <c r="G82" s="5">
        <f t="shared" si="25"/>
        <v>20</v>
      </c>
      <c r="H82">
        <f t="shared" si="28"/>
        <v>0.59324999999999994</v>
      </c>
      <c r="I82">
        <f t="shared" si="30"/>
        <v>0.59035464080160871</v>
      </c>
      <c r="J82">
        <f t="shared" si="31"/>
        <v>1.0049044404808265</v>
      </c>
      <c r="K82">
        <f t="shared" si="32"/>
        <v>10</v>
      </c>
    </row>
    <row r="83" spans="1:11" x14ac:dyDescent="0.25">
      <c r="A83" s="1">
        <v>38686</v>
      </c>
      <c r="B83">
        <v>0.53</v>
      </c>
      <c r="C83" s="1">
        <v>38657</v>
      </c>
      <c r="D83" s="5">
        <f t="shared" si="26"/>
        <v>22</v>
      </c>
      <c r="E83">
        <f t="shared" si="27"/>
        <v>11</v>
      </c>
      <c r="F83">
        <f t="shared" si="29"/>
        <v>2</v>
      </c>
      <c r="G83" s="5">
        <f t="shared" si="25"/>
        <v>20</v>
      </c>
      <c r="H83">
        <f t="shared" si="28"/>
        <v>0.55650000000000011</v>
      </c>
      <c r="I83">
        <f t="shared" si="30"/>
        <v>0.59114214080160876</v>
      </c>
      <c r="J83">
        <f t="shared" si="31"/>
        <v>0.94139795083017974</v>
      </c>
      <c r="K83">
        <f t="shared" si="32"/>
        <v>11</v>
      </c>
    </row>
    <row r="84" spans="1:11" x14ac:dyDescent="0.25">
      <c r="A84" s="1">
        <v>38717</v>
      </c>
      <c r="B84">
        <v>0.52800000000000002</v>
      </c>
      <c r="C84" s="1">
        <v>38687</v>
      </c>
      <c r="D84" s="5">
        <f t="shared" si="26"/>
        <v>22</v>
      </c>
      <c r="E84">
        <f t="shared" si="27"/>
        <v>12</v>
      </c>
      <c r="F84">
        <f t="shared" si="29"/>
        <v>1</v>
      </c>
      <c r="G84" s="5">
        <f t="shared" si="25"/>
        <v>21</v>
      </c>
      <c r="H84">
        <f t="shared" si="28"/>
        <v>0.52800000000000002</v>
      </c>
      <c r="I84">
        <f t="shared" si="30"/>
        <v>0.59105464080160874</v>
      </c>
      <c r="J84">
        <f t="shared" si="31"/>
        <v>0.89331842362984948</v>
      </c>
      <c r="K84">
        <f t="shared" si="32"/>
        <v>12</v>
      </c>
    </row>
    <row r="85" spans="1:11" x14ac:dyDescent="0.25">
      <c r="A85" s="1">
        <v>38748</v>
      </c>
      <c r="B85">
        <v>0.374</v>
      </c>
      <c r="C85" s="1">
        <v>38718</v>
      </c>
      <c r="D85" s="5">
        <f t="shared" si="26"/>
        <v>22</v>
      </c>
      <c r="E85">
        <f t="shared" si="27"/>
        <v>1</v>
      </c>
      <c r="F85">
        <f t="shared" si="29"/>
        <v>2</v>
      </c>
      <c r="G85" s="5">
        <f t="shared" si="25"/>
        <v>20</v>
      </c>
      <c r="H85">
        <f t="shared" si="28"/>
        <v>0.39270000000000005</v>
      </c>
      <c r="I85">
        <f t="shared" si="30"/>
        <v>0.5916228226197906</v>
      </c>
      <c r="J85">
        <f t="shared" si="31"/>
        <v>0.66376749676604463</v>
      </c>
      <c r="K85">
        <f t="shared" si="32"/>
        <v>1</v>
      </c>
    </row>
    <row r="86" spans="1:11" x14ac:dyDescent="0.25">
      <c r="A86" s="1">
        <v>38776</v>
      </c>
      <c r="B86">
        <v>0.40200000000000002</v>
      </c>
      <c r="C86" s="1">
        <v>38749</v>
      </c>
      <c r="D86" s="5">
        <f t="shared" si="26"/>
        <v>20</v>
      </c>
      <c r="E86">
        <f t="shared" si="27"/>
        <v>2</v>
      </c>
      <c r="F86">
        <f t="shared" si="29"/>
        <v>1</v>
      </c>
      <c r="G86" s="5">
        <f t="shared" si="25"/>
        <v>19</v>
      </c>
      <c r="H86">
        <f t="shared" si="28"/>
        <v>0.44431578947368428</v>
      </c>
      <c r="I86">
        <f t="shared" si="30"/>
        <v>0.58916361209347479</v>
      </c>
      <c r="J86">
        <f t="shared" si="31"/>
        <v>0.75414669262227041</v>
      </c>
      <c r="K86">
        <f t="shared" si="32"/>
        <v>2</v>
      </c>
    </row>
    <row r="87" spans="1:11" x14ac:dyDescent="0.25">
      <c r="A87" s="1">
        <v>38807</v>
      </c>
      <c r="B87">
        <v>0.55400000000000005</v>
      </c>
      <c r="C87" s="1">
        <v>38777</v>
      </c>
      <c r="D87" s="5">
        <f t="shared" si="26"/>
        <v>23</v>
      </c>
      <c r="E87">
        <f t="shared" si="27"/>
        <v>3</v>
      </c>
      <c r="F87">
        <f t="shared" si="29"/>
        <v>0</v>
      </c>
      <c r="G87" s="5">
        <f t="shared" si="25"/>
        <v>23</v>
      </c>
      <c r="H87">
        <f t="shared" si="28"/>
        <v>0.50582608695652187</v>
      </c>
      <c r="I87">
        <f t="shared" si="30"/>
        <v>0.58907150683031695</v>
      </c>
      <c r="J87">
        <f t="shared" si="31"/>
        <v>0.85868367607572293</v>
      </c>
      <c r="K87">
        <f t="shared" si="32"/>
        <v>3</v>
      </c>
    </row>
    <row r="88" spans="1:11" x14ac:dyDescent="0.25">
      <c r="A88" s="1">
        <v>38837</v>
      </c>
      <c r="B88">
        <v>0.56000000000000005</v>
      </c>
      <c r="C88" s="1">
        <v>38808</v>
      </c>
      <c r="D88" s="5">
        <f t="shared" si="26"/>
        <v>20</v>
      </c>
      <c r="E88">
        <f t="shared" si="27"/>
        <v>4</v>
      </c>
      <c r="F88">
        <f t="shared" si="29"/>
        <v>0</v>
      </c>
      <c r="G88" s="5">
        <f t="shared" si="25"/>
        <v>20</v>
      </c>
      <c r="H88">
        <f t="shared" si="28"/>
        <v>0.58800000000000008</v>
      </c>
      <c r="I88">
        <f t="shared" si="30"/>
        <v>0.58884324596075166</v>
      </c>
      <c r="J88">
        <f t="shared" si="31"/>
        <v>0.99856796190406205</v>
      </c>
      <c r="K88">
        <f t="shared" si="32"/>
        <v>4</v>
      </c>
    </row>
    <row r="89" spans="1:11" x14ac:dyDescent="0.25">
      <c r="A89" s="1">
        <v>38868</v>
      </c>
      <c r="B89">
        <v>0.64200000000000002</v>
      </c>
      <c r="C89" s="1">
        <v>38838</v>
      </c>
      <c r="D89" s="5">
        <f t="shared" si="26"/>
        <v>23</v>
      </c>
      <c r="E89">
        <f t="shared" si="27"/>
        <v>5</v>
      </c>
      <c r="F89">
        <f t="shared" si="29"/>
        <v>1</v>
      </c>
      <c r="G89" s="5">
        <f t="shared" si="25"/>
        <v>22</v>
      </c>
      <c r="H89">
        <f t="shared" si="28"/>
        <v>0.61281818181818182</v>
      </c>
      <c r="I89">
        <f t="shared" si="30"/>
        <v>0.58575991262741833</v>
      </c>
      <c r="J89">
        <f t="shared" si="31"/>
        <v>1.0461934465084748</v>
      </c>
      <c r="K89">
        <f t="shared" si="32"/>
        <v>5</v>
      </c>
    </row>
    <row r="90" spans="1:11" x14ac:dyDescent="0.25">
      <c r="A90" s="1">
        <v>38898</v>
      </c>
      <c r="B90">
        <v>0.69899999999999995</v>
      </c>
      <c r="C90" s="1">
        <v>38869</v>
      </c>
      <c r="D90" s="5">
        <f t="shared" si="26"/>
        <v>22</v>
      </c>
      <c r="E90">
        <f t="shared" si="27"/>
        <v>6</v>
      </c>
      <c r="F90">
        <f t="shared" si="29"/>
        <v>0</v>
      </c>
      <c r="G90" s="5">
        <f t="shared" si="25"/>
        <v>22</v>
      </c>
      <c r="H90">
        <f t="shared" si="28"/>
        <v>0.66722727272727267</v>
      </c>
      <c r="I90">
        <f t="shared" si="30"/>
        <v>0.5810780944456001</v>
      </c>
      <c r="J90">
        <f t="shared" si="31"/>
        <v>1.1482574874275144</v>
      </c>
      <c r="K90">
        <f t="shared" si="32"/>
        <v>6</v>
      </c>
    </row>
    <row r="91" spans="1:11" x14ac:dyDescent="0.25">
      <c r="A91" s="1">
        <v>38929</v>
      </c>
      <c r="B91">
        <v>0.60499999999999998</v>
      </c>
      <c r="C91" s="1">
        <v>38899</v>
      </c>
      <c r="D91" s="5">
        <f t="shared" si="26"/>
        <v>21</v>
      </c>
      <c r="E91">
        <f t="shared" si="27"/>
        <v>7</v>
      </c>
      <c r="F91">
        <f t="shared" si="29"/>
        <v>1</v>
      </c>
      <c r="G91" s="5">
        <f t="shared" si="25"/>
        <v>20</v>
      </c>
      <c r="H91">
        <f t="shared" si="28"/>
        <v>0.63524999999999998</v>
      </c>
      <c r="I91">
        <f t="shared" si="30"/>
        <v>0.57678263990014556</v>
      </c>
      <c r="J91">
        <f t="shared" si="31"/>
        <v>1.1013680996189075</v>
      </c>
      <c r="K91">
        <f t="shared" si="32"/>
        <v>7</v>
      </c>
    </row>
    <row r="92" spans="1:11" x14ac:dyDescent="0.25">
      <c r="A92" s="1">
        <v>38960</v>
      </c>
      <c r="B92">
        <v>0.65400000000000003</v>
      </c>
      <c r="C92" s="1">
        <v>38930</v>
      </c>
      <c r="D92" s="5">
        <f t="shared" si="26"/>
        <v>23</v>
      </c>
      <c r="E92">
        <f t="shared" si="27"/>
        <v>8</v>
      </c>
      <c r="F92">
        <f t="shared" si="29"/>
        <v>0</v>
      </c>
      <c r="G92" s="5">
        <f t="shared" si="25"/>
        <v>23</v>
      </c>
      <c r="H92">
        <f t="shared" si="28"/>
        <v>0.59713043478260863</v>
      </c>
      <c r="I92">
        <f t="shared" si="30"/>
        <v>0.56943263990014559</v>
      </c>
      <c r="J92">
        <f t="shared" si="31"/>
        <v>1.048641038362887</v>
      </c>
      <c r="K92">
        <f t="shared" si="32"/>
        <v>8</v>
      </c>
    </row>
    <row r="93" spans="1:11" x14ac:dyDescent="0.25">
      <c r="A93" s="1">
        <v>38990</v>
      </c>
      <c r="B93">
        <v>0.52900000000000003</v>
      </c>
      <c r="C93" s="1">
        <v>38961</v>
      </c>
      <c r="D93" s="5">
        <f t="shared" si="26"/>
        <v>21</v>
      </c>
      <c r="E93">
        <f t="shared" si="27"/>
        <v>9</v>
      </c>
      <c r="F93">
        <f t="shared" si="29"/>
        <v>1</v>
      </c>
      <c r="G93" s="5">
        <f t="shared" si="25"/>
        <v>20</v>
      </c>
      <c r="H93">
        <f t="shared" si="28"/>
        <v>0.55545</v>
      </c>
      <c r="I93">
        <f t="shared" si="30"/>
        <v>0.56258481381318914</v>
      </c>
      <c r="J93">
        <f t="shared" si="31"/>
        <v>0.98731779877805537</v>
      </c>
      <c r="K93">
        <f t="shared" si="32"/>
        <v>9</v>
      </c>
    </row>
    <row r="94" spans="1:11" x14ac:dyDescent="0.25">
      <c r="A94" s="1">
        <v>39021</v>
      </c>
      <c r="B94">
        <v>0.51800000000000002</v>
      </c>
      <c r="C94" s="1">
        <v>38991</v>
      </c>
      <c r="D94" s="5">
        <f t="shared" si="26"/>
        <v>22</v>
      </c>
      <c r="E94">
        <f t="shared" si="27"/>
        <v>10</v>
      </c>
      <c r="F94">
        <f t="shared" si="29"/>
        <v>1</v>
      </c>
      <c r="G94" s="5">
        <f t="shared" si="25"/>
        <v>21</v>
      </c>
      <c r="H94">
        <f t="shared" si="28"/>
        <v>0.51800000000000002</v>
      </c>
      <c r="I94">
        <f t="shared" si="30"/>
        <v>0.55637231381318919</v>
      </c>
      <c r="J94">
        <f t="shared" si="31"/>
        <v>0.93103123059773008</v>
      </c>
      <c r="K94">
        <f t="shared" si="32"/>
        <v>10</v>
      </c>
    </row>
    <row r="95" spans="1:11" x14ac:dyDescent="0.25">
      <c r="A95" s="1">
        <v>39051</v>
      </c>
      <c r="B95">
        <v>0.47199999999999998</v>
      </c>
      <c r="C95" s="1">
        <v>39022</v>
      </c>
      <c r="D95" s="5">
        <f t="shared" si="26"/>
        <v>22</v>
      </c>
      <c r="E95">
        <f t="shared" si="27"/>
        <v>11</v>
      </c>
      <c r="F95">
        <f t="shared" si="29"/>
        <v>2</v>
      </c>
      <c r="G95" s="5">
        <f t="shared" si="25"/>
        <v>20</v>
      </c>
      <c r="H95">
        <f t="shared" si="28"/>
        <v>0.49559999999999998</v>
      </c>
      <c r="I95">
        <f t="shared" si="30"/>
        <v>0.55010148047985585</v>
      </c>
      <c r="J95">
        <f t="shared" si="31"/>
        <v>0.90092467951128941</v>
      </c>
      <c r="K95">
        <f t="shared" si="32"/>
        <v>11</v>
      </c>
    </row>
    <row r="96" spans="1:11" x14ac:dyDescent="0.25">
      <c r="A96" s="1">
        <v>39082</v>
      </c>
      <c r="B96">
        <v>0.46899999999999997</v>
      </c>
      <c r="C96" s="1">
        <v>39052</v>
      </c>
      <c r="D96" s="5">
        <f t="shared" si="26"/>
        <v>21</v>
      </c>
      <c r="E96">
        <f t="shared" si="27"/>
        <v>12</v>
      </c>
      <c r="F96">
        <f t="shared" si="29"/>
        <v>1</v>
      </c>
      <c r="G96" s="5">
        <f t="shared" si="25"/>
        <v>20</v>
      </c>
      <c r="H96">
        <f t="shared" si="28"/>
        <v>0.49244999999999994</v>
      </c>
      <c r="I96">
        <f t="shared" si="30"/>
        <v>0.54502648047985569</v>
      </c>
      <c r="J96">
        <f t="shared" si="31"/>
        <v>0.90353408070454477</v>
      </c>
      <c r="K96">
        <f t="shared" si="32"/>
        <v>12</v>
      </c>
    </row>
    <row r="97" spans="1:11" x14ac:dyDescent="0.25">
      <c r="A97" s="1">
        <v>39113</v>
      </c>
      <c r="B97">
        <v>0.32400000000000001</v>
      </c>
      <c r="C97" s="1">
        <v>39083</v>
      </c>
      <c r="D97" s="5">
        <f t="shared" si="26"/>
        <v>23</v>
      </c>
      <c r="E97">
        <f t="shared" si="27"/>
        <v>1</v>
      </c>
      <c r="F97">
        <f t="shared" si="29"/>
        <v>2</v>
      </c>
      <c r="G97" s="5">
        <f t="shared" si="25"/>
        <v>21</v>
      </c>
      <c r="H97">
        <f t="shared" si="28"/>
        <v>0.32400000000000001</v>
      </c>
      <c r="I97">
        <f t="shared" si="30"/>
        <v>0.54206398047985582</v>
      </c>
      <c r="J97">
        <f t="shared" si="31"/>
        <v>0.59771542044387971</v>
      </c>
      <c r="K97">
        <f t="shared" si="32"/>
        <v>1</v>
      </c>
    </row>
    <row r="98" spans="1:11" x14ac:dyDescent="0.25">
      <c r="A98" s="1">
        <v>39141</v>
      </c>
      <c r="B98">
        <v>0.34699999999999998</v>
      </c>
      <c r="C98" s="1">
        <v>39114</v>
      </c>
      <c r="D98" s="5">
        <f t="shared" si="26"/>
        <v>20</v>
      </c>
      <c r="E98">
        <f t="shared" si="27"/>
        <v>2</v>
      </c>
      <c r="F98">
        <f t="shared" si="29"/>
        <v>1</v>
      </c>
      <c r="G98" s="5">
        <f t="shared" si="25"/>
        <v>19</v>
      </c>
      <c r="H98">
        <f t="shared" si="28"/>
        <v>0.38352631578947372</v>
      </c>
      <c r="I98">
        <f t="shared" si="30"/>
        <v>0.53633898047985562</v>
      </c>
      <c r="J98">
        <f t="shared" si="31"/>
        <v>0.71508193464949654</v>
      </c>
      <c r="K98">
        <f t="shared" si="32"/>
        <v>2</v>
      </c>
    </row>
    <row r="99" spans="1:11" x14ac:dyDescent="0.25">
      <c r="A99" s="1">
        <v>39172</v>
      </c>
      <c r="B99">
        <v>0.436</v>
      </c>
      <c r="C99" s="1">
        <v>39142</v>
      </c>
      <c r="D99" s="5">
        <f t="shared" si="26"/>
        <v>22</v>
      </c>
      <c r="E99">
        <f t="shared" si="27"/>
        <v>3</v>
      </c>
      <c r="F99">
        <f t="shared" si="29"/>
        <v>0</v>
      </c>
      <c r="G99" s="5">
        <f t="shared" si="25"/>
        <v>22</v>
      </c>
      <c r="H99">
        <f t="shared" si="28"/>
        <v>0.41618181818181821</v>
      </c>
      <c r="I99">
        <f t="shared" si="30"/>
        <v>0.53127319100617143</v>
      </c>
      <c r="J99">
        <f t="shared" si="31"/>
        <v>0.78336687268863847</v>
      </c>
      <c r="K99">
        <f t="shared" si="32"/>
        <v>3</v>
      </c>
    </row>
    <row r="100" spans="1:11" x14ac:dyDescent="0.25">
      <c r="A100" s="1">
        <v>39202</v>
      </c>
      <c r="B100">
        <v>0.45800000000000002</v>
      </c>
      <c r="C100" s="1">
        <v>39173</v>
      </c>
      <c r="D100" s="5">
        <f t="shared" si="26"/>
        <v>21</v>
      </c>
      <c r="E100">
        <f t="shared" si="27"/>
        <v>4</v>
      </c>
      <c r="F100">
        <f t="shared" si="29"/>
        <v>0</v>
      </c>
      <c r="G100" s="5">
        <f t="shared" si="25"/>
        <v>21</v>
      </c>
      <c r="H100">
        <f t="shared" si="28"/>
        <v>0.45800000000000002</v>
      </c>
      <c r="I100">
        <f t="shared" si="30"/>
        <v>0.5238028352749462</v>
      </c>
      <c r="J100">
        <f t="shared" si="31"/>
        <v>0.87437480127344858</v>
      </c>
      <c r="K100">
        <f t="shared" si="32"/>
        <v>4</v>
      </c>
    </row>
    <row r="101" spans="1:11" x14ac:dyDescent="0.25">
      <c r="A101" s="1">
        <v>39233</v>
      </c>
      <c r="B101">
        <v>0.51100000000000001</v>
      </c>
      <c r="C101" s="1">
        <v>39203</v>
      </c>
      <c r="D101" s="5">
        <f t="shared" si="26"/>
        <v>23</v>
      </c>
      <c r="E101">
        <f t="shared" si="27"/>
        <v>5</v>
      </c>
      <c r="F101">
        <f t="shared" si="29"/>
        <v>1</v>
      </c>
      <c r="G101" s="5">
        <f t="shared" si="25"/>
        <v>22</v>
      </c>
      <c r="H101">
        <f t="shared" si="28"/>
        <v>0.4877727272727273</v>
      </c>
      <c r="I101">
        <f t="shared" si="30"/>
        <v>0.51296950194161284</v>
      </c>
      <c r="J101">
        <f t="shared" si="31"/>
        <v>0.95088056000695054</v>
      </c>
      <c r="K101">
        <f t="shared" si="32"/>
        <v>5</v>
      </c>
    </row>
    <row r="102" spans="1:11" x14ac:dyDescent="0.25">
      <c r="A102" s="1">
        <v>39263</v>
      </c>
      <c r="B102">
        <v>0.53600000000000003</v>
      </c>
      <c r="C102" s="1">
        <v>39234</v>
      </c>
      <c r="D102" s="5">
        <f t="shared" si="26"/>
        <v>21</v>
      </c>
      <c r="E102">
        <f t="shared" si="27"/>
        <v>6</v>
      </c>
      <c r="F102">
        <f t="shared" si="29"/>
        <v>0</v>
      </c>
      <c r="G102" s="5">
        <f t="shared" si="25"/>
        <v>21</v>
      </c>
      <c r="H102">
        <f t="shared" si="28"/>
        <v>0.53600000000000003</v>
      </c>
      <c r="I102">
        <f t="shared" si="30"/>
        <v>0.50254904739615835</v>
      </c>
      <c r="J102">
        <f t="shared" si="31"/>
        <v>1.0665625629521338</v>
      </c>
      <c r="K102">
        <f t="shared" si="32"/>
        <v>6</v>
      </c>
    </row>
    <row r="103" spans="1:11" x14ac:dyDescent="0.25">
      <c r="A103" s="1">
        <v>39294</v>
      </c>
      <c r="B103">
        <v>0.499</v>
      </c>
      <c r="C103" s="1">
        <v>39264</v>
      </c>
      <c r="D103" s="5">
        <f t="shared" si="26"/>
        <v>22</v>
      </c>
      <c r="E103">
        <f t="shared" si="27"/>
        <v>7</v>
      </c>
      <c r="F103">
        <f t="shared" si="29"/>
        <v>1</v>
      </c>
      <c r="G103" s="5">
        <f t="shared" si="25"/>
        <v>21</v>
      </c>
      <c r="H103">
        <f t="shared" si="28"/>
        <v>0.499</v>
      </c>
      <c r="I103">
        <f t="shared" si="30"/>
        <v>0.49161344133555235</v>
      </c>
      <c r="J103">
        <f t="shared" si="31"/>
        <v>1.0150251356927524</v>
      </c>
      <c r="K103">
        <f t="shared" si="32"/>
        <v>7</v>
      </c>
    </row>
    <row r="104" spans="1:11" x14ac:dyDescent="0.25">
      <c r="A104" s="1">
        <v>39325</v>
      </c>
      <c r="B104">
        <v>0.51</v>
      </c>
      <c r="C104" s="1">
        <v>39295</v>
      </c>
      <c r="D104" s="5">
        <f t="shared" si="26"/>
        <v>23</v>
      </c>
      <c r="E104">
        <f t="shared" si="27"/>
        <v>8</v>
      </c>
      <c r="F104">
        <f t="shared" si="29"/>
        <v>0</v>
      </c>
      <c r="G104" s="5">
        <f t="shared" si="25"/>
        <v>23</v>
      </c>
      <c r="H104">
        <f t="shared" si="28"/>
        <v>0.46565217391304353</v>
      </c>
      <c r="I104">
        <f t="shared" si="30"/>
        <v>0.48025927466888557</v>
      </c>
      <c r="J104">
        <f t="shared" si="31"/>
        <v>0.96958496894013568</v>
      </c>
      <c r="K104">
        <f t="shared" si="32"/>
        <v>8</v>
      </c>
    </row>
    <row r="105" spans="1:11" x14ac:dyDescent="0.25">
      <c r="A105" s="1">
        <v>39355</v>
      </c>
      <c r="B105">
        <v>0.36499999999999999</v>
      </c>
      <c r="C105" s="1">
        <v>39326</v>
      </c>
      <c r="D105" s="5">
        <f t="shared" si="26"/>
        <v>20</v>
      </c>
      <c r="E105">
        <f t="shared" si="27"/>
        <v>9</v>
      </c>
      <c r="F105">
        <f t="shared" si="29"/>
        <v>1</v>
      </c>
      <c r="G105" s="5">
        <f t="shared" si="25"/>
        <v>19</v>
      </c>
      <c r="H105">
        <f t="shared" si="28"/>
        <v>0.40342105263157896</v>
      </c>
      <c r="I105">
        <f t="shared" si="30"/>
        <v>0.46930275292975515</v>
      </c>
      <c r="J105">
        <f t="shared" si="31"/>
        <v>0.8596179121326456</v>
      </c>
      <c r="K105">
        <f t="shared" si="32"/>
        <v>9</v>
      </c>
    </row>
    <row r="106" spans="1:11" x14ac:dyDescent="0.25">
      <c r="A106" s="1">
        <v>39386</v>
      </c>
      <c r="B106">
        <v>0.373</v>
      </c>
      <c r="C106" s="1">
        <v>39356</v>
      </c>
      <c r="D106" s="5">
        <f t="shared" si="26"/>
        <v>23</v>
      </c>
      <c r="E106">
        <f t="shared" si="27"/>
        <v>10</v>
      </c>
      <c r="F106">
        <f t="shared" si="29"/>
        <v>1</v>
      </c>
      <c r="G106" s="5">
        <f t="shared" si="25"/>
        <v>22</v>
      </c>
      <c r="H106">
        <f t="shared" si="28"/>
        <v>0.35604545454545455</v>
      </c>
      <c r="I106">
        <f t="shared" si="30"/>
        <v>0.45663367398238686</v>
      </c>
      <c r="J106">
        <f t="shared" si="31"/>
        <v>0.77971791138466906</v>
      </c>
      <c r="K106">
        <f t="shared" si="32"/>
        <v>10</v>
      </c>
    </row>
    <row r="107" spans="1:11" x14ac:dyDescent="0.25">
      <c r="A107" s="1">
        <v>39416</v>
      </c>
      <c r="B107">
        <v>0.34300000000000003</v>
      </c>
      <c r="C107" s="1">
        <v>39387</v>
      </c>
      <c r="D107" s="5">
        <f t="shared" si="26"/>
        <v>22</v>
      </c>
      <c r="E107">
        <f t="shared" si="27"/>
        <v>11</v>
      </c>
      <c r="F107">
        <f t="shared" si="29"/>
        <v>2</v>
      </c>
      <c r="G107" s="5">
        <f t="shared" si="25"/>
        <v>20</v>
      </c>
      <c r="H107">
        <f t="shared" si="28"/>
        <v>0.36015000000000003</v>
      </c>
      <c r="I107">
        <f t="shared" si="30"/>
        <v>0.4431374618611747</v>
      </c>
      <c r="J107">
        <f t="shared" si="31"/>
        <v>0.81272749653656495</v>
      </c>
      <c r="K107">
        <f t="shared" si="32"/>
        <v>11</v>
      </c>
    </row>
    <row r="108" spans="1:11" x14ac:dyDescent="0.25">
      <c r="A108" s="1">
        <v>39447</v>
      </c>
      <c r="B108">
        <v>0.32</v>
      </c>
      <c r="C108" s="1">
        <v>39417</v>
      </c>
      <c r="D108" s="5">
        <f t="shared" si="26"/>
        <v>21</v>
      </c>
      <c r="E108">
        <f t="shared" si="27"/>
        <v>12</v>
      </c>
      <c r="F108">
        <f t="shared" si="29"/>
        <v>1</v>
      </c>
      <c r="G108" s="5">
        <f t="shared" si="25"/>
        <v>20</v>
      </c>
      <c r="H108">
        <f t="shared" si="28"/>
        <v>0.33600000000000002</v>
      </c>
      <c r="I108">
        <f t="shared" si="30"/>
        <v>0.43184996186117469</v>
      </c>
      <c r="J108">
        <f t="shared" si="31"/>
        <v>0.77804800202347313</v>
      </c>
      <c r="K108">
        <f t="shared" si="32"/>
        <v>12</v>
      </c>
    </row>
    <row r="109" spans="1:11" x14ac:dyDescent="0.25">
      <c r="A109" s="1">
        <v>39478</v>
      </c>
      <c r="B109">
        <v>0.23499999999999999</v>
      </c>
      <c r="C109" s="1">
        <v>39448</v>
      </c>
      <c r="D109" s="5">
        <f t="shared" si="26"/>
        <v>23</v>
      </c>
      <c r="E109">
        <f t="shared" si="27"/>
        <v>1</v>
      </c>
      <c r="F109">
        <f t="shared" si="29"/>
        <v>2</v>
      </c>
      <c r="G109" s="5">
        <f t="shared" si="25"/>
        <v>21</v>
      </c>
      <c r="H109">
        <f t="shared" si="28"/>
        <v>0.23499999999999999</v>
      </c>
      <c r="I109">
        <f t="shared" si="30"/>
        <v>0.41881246186117466</v>
      </c>
      <c r="J109">
        <f t="shared" si="31"/>
        <v>0.5611103331445193</v>
      </c>
      <c r="K109">
        <f t="shared" si="32"/>
        <v>1</v>
      </c>
    </row>
    <row r="110" spans="1:11" x14ac:dyDescent="0.25">
      <c r="A110" s="1">
        <v>39507</v>
      </c>
      <c r="B110">
        <v>0.26200000000000001</v>
      </c>
      <c r="C110" s="1">
        <v>39479</v>
      </c>
      <c r="D110" s="5">
        <f t="shared" si="26"/>
        <v>21</v>
      </c>
      <c r="E110">
        <f t="shared" si="27"/>
        <v>2</v>
      </c>
      <c r="F110">
        <f t="shared" si="29"/>
        <v>1</v>
      </c>
      <c r="G110" s="5">
        <f t="shared" si="25"/>
        <v>20</v>
      </c>
      <c r="H110">
        <f t="shared" si="28"/>
        <v>0.27510000000000001</v>
      </c>
      <c r="I110">
        <f t="shared" si="30"/>
        <v>0.41139579519450803</v>
      </c>
      <c r="J110">
        <f t="shared" si="31"/>
        <v>0.66869910488495066</v>
      </c>
      <c r="K110">
        <f t="shared" si="32"/>
        <v>2</v>
      </c>
    </row>
    <row r="111" spans="1:11" x14ac:dyDescent="0.25">
      <c r="A111" s="1">
        <v>39538</v>
      </c>
      <c r="B111">
        <v>0.316</v>
      </c>
      <c r="C111" s="1">
        <v>39508</v>
      </c>
      <c r="D111" s="5">
        <f t="shared" si="26"/>
        <v>21</v>
      </c>
      <c r="E111">
        <f t="shared" si="27"/>
        <v>3</v>
      </c>
      <c r="F111">
        <f t="shared" si="29"/>
        <v>0</v>
      </c>
      <c r="G111" s="5">
        <f t="shared" si="25"/>
        <v>21</v>
      </c>
      <c r="H111">
        <f t="shared" si="28"/>
        <v>0.316</v>
      </c>
      <c r="I111">
        <f t="shared" si="30"/>
        <v>0.40236026887871862</v>
      </c>
      <c r="J111">
        <f t="shared" si="31"/>
        <v>0.78536581377832371</v>
      </c>
      <c r="K111">
        <f t="shared" si="32"/>
        <v>3</v>
      </c>
    </row>
    <row r="112" spans="1:11" x14ac:dyDescent="0.25">
      <c r="A112" s="1">
        <v>39568</v>
      </c>
      <c r="B112">
        <v>0.36399999999999999</v>
      </c>
      <c r="C112" s="1">
        <v>39539</v>
      </c>
      <c r="D112" s="5">
        <f t="shared" si="26"/>
        <v>22</v>
      </c>
      <c r="E112">
        <f t="shared" si="27"/>
        <v>4</v>
      </c>
      <c r="F112">
        <f t="shared" si="29"/>
        <v>0</v>
      </c>
      <c r="G112" s="5">
        <f t="shared" si="25"/>
        <v>22</v>
      </c>
      <c r="H112">
        <f t="shared" si="28"/>
        <v>0.3474545454545454</v>
      </c>
      <c r="I112">
        <f t="shared" si="30"/>
        <v>0.39401178403023368</v>
      </c>
      <c r="J112">
        <f t="shared" si="31"/>
        <v>0.88183795393257625</v>
      </c>
      <c r="K112">
        <f t="shared" si="32"/>
        <v>4</v>
      </c>
    </row>
    <row r="113" spans="1:11" x14ac:dyDescent="0.25">
      <c r="A113" s="1">
        <v>39599</v>
      </c>
      <c r="B113">
        <v>0.40300000000000002</v>
      </c>
      <c r="C113" s="1">
        <v>39569</v>
      </c>
      <c r="D113" s="5">
        <f t="shared" si="26"/>
        <v>22</v>
      </c>
      <c r="E113">
        <f t="shared" si="27"/>
        <v>5</v>
      </c>
      <c r="F113">
        <f t="shared" si="29"/>
        <v>1</v>
      </c>
      <c r="G113" s="5">
        <f t="shared" si="25"/>
        <v>21</v>
      </c>
      <c r="H113">
        <f t="shared" si="28"/>
        <v>0.40300000000000002</v>
      </c>
      <c r="I113">
        <f t="shared" si="30"/>
        <v>0.38479966281811245</v>
      </c>
      <c r="J113">
        <f t="shared" si="31"/>
        <v>1.0472982149947738</v>
      </c>
      <c r="K113">
        <f t="shared" si="32"/>
        <v>5</v>
      </c>
    </row>
    <row r="114" spans="1:11" x14ac:dyDescent="0.25">
      <c r="A114" s="1">
        <v>39629</v>
      </c>
      <c r="B114">
        <v>0.42099999999999999</v>
      </c>
      <c r="C114" s="1">
        <v>39600</v>
      </c>
      <c r="D114" s="5">
        <f t="shared" si="26"/>
        <v>21</v>
      </c>
      <c r="E114">
        <f t="shared" si="27"/>
        <v>6</v>
      </c>
      <c r="F114">
        <f t="shared" si="29"/>
        <v>0</v>
      </c>
      <c r="G114" s="5">
        <f t="shared" si="25"/>
        <v>21</v>
      </c>
      <c r="H114">
        <f t="shared" si="28"/>
        <v>0.42099999999999999</v>
      </c>
      <c r="I114">
        <f t="shared" si="30"/>
        <v>0.3777352688787185</v>
      </c>
      <c r="J114">
        <f t="shared" si="31"/>
        <v>1.1145371763926357</v>
      </c>
      <c r="K114">
        <f t="shared" si="32"/>
        <v>6</v>
      </c>
    </row>
    <row r="115" spans="1:11" x14ac:dyDescent="0.25">
      <c r="A115" s="1">
        <v>39660</v>
      </c>
      <c r="B115">
        <v>0.41799999999999998</v>
      </c>
      <c r="C115" s="1">
        <v>39630</v>
      </c>
      <c r="D115" s="5">
        <f t="shared" si="26"/>
        <v>23</v>
      </c>
      <c r="E115">
        <f t="shared" si="27"/>
        <v>7</v>
      </c>
      <c r="F115">
        <f t="shared" si="29"/>
        <v>1</v>
      </c>
      <c r="G115" s="5">
        <f t="shared" si="25"/>
        <v>22</v>
      </c>
      <c r="H115">
        <f t="shared" si="28"/>
        <v>0.39899999999999997</v>
      </c>
      <c r="I115">
        <f t="shared" si="30"/>
        <v>0.36815193554538522</v>
      </c>
      <c r="J115">
        <f t="shared" si="31"/>
        <v>1.0837916671792476</v>
      </c>
      <c r="K115">
        <f t="shared" si="32"/>
        <v>7</v>
      </c>
    </row>
    <row r="116" spans="1:11" x14ac:dyDescent="0.25">
      <c r="A116" s="1">
        <v>39691</v>
      </c>
      <c r="B116">
        <v>0.40899999999999997</v>
      </c>
      <c r="C116" s="1">
        <v>39661</v>
      </c>
      <c r="D116" s="5">
        <f t="shared" si="26"/>
        <v>21</v>
      </c>
      <c r="E116">
        <f t="shared" si="27"/>
        <v>8</v>
      </c>
      <c r="F116">
        <f t="shared" si="29"/>
        <v>0</v>
      </c>
      <c r="G116" s="5">
        <f t="shared" si="25"/>
        <v>21</v>
      </c>
      <c r="H116">
        <f t="shared" si="28"/>
        <v>0.40899999999999992</v>
      </c>
      <c r="I116">
        <f t="shared" si="30"/>
        <v>0.35981860221205181</v>
      </c>
      <c r="J116">
        <f t="shared" si="31"/>
        <v>1.1366838664971637</v>
      </c>
      <c r="K116">
        <f t="shared" si="32"/>
        <v>8</v>
      </c>
    </row>
    <row r="117" spans="1:11" x14ac:dyDescent="0.25">
      <c r="A117" s="1">
        <v>39721</v>
      </c>
      <c r="B117">
        <v>0.36899999999999999</v>
      </c>
      <c r="C117" s="1">
        <v>39692</v>
      </c>
      <c r="D117" s="5">
        <f t="shared" si="26"/>
        <v>22</v>
      </c>
      <c r="E117">
        <f t="shared" si="27"/>
        <v>9</v>
      </c>
      <c r="F117">
        <f t="shared" si="29"/>
        <v>1</v>
      </c>
      <c r="G117" s="5">
        <f t="shared" si="25"/>
        <v>21</v>
      </c>
      <c r="H117">
        <f t="shared" si="28"/>
        <v>0.36899999999999999</v>
      </c>
      <c r="I117">
        <f t="shared" si="30"/>
        <v>0.35509758771929828</v>
      </c>
      <c r="J117">
        <f t="shared" si="31"/>
        <v>1.0391509623312098</v>
      </c>
      <c r="K117">
        <f t="shared" si="32"/>
        <v>9</v>
      </c>
    </row>
    <row r="118" spans="1:11" x14ac:dyDescent="0.25">
      <c r="A118" s="1">
        <v>39752</v>
      </c>
      <c r="B118">
        <v>0.34899999999999998</v>
      </c>
      <c r="C118" s="1">
        <v>39722</v>
      </c>
      <c r="D118" s="5">
        <f t="shared" si="26"/>
        <v>23</v>
      </c>
      <c r="E118">
        <f t="shared" si="27"/>
        <v>10</v>
      </c>
      <c r="F118">
        <f t="shared" si="29"/>
        <v>1</v>
      </c>
      <c r="G118" s="5">
        <f t="shared" si="25"/>
        <v>22</v>
      </c>
      <c r="H118">
        <f t="shared" si="28"/>
        <v>0.33313636363636356</v>
      </c>
      <c r="I118">
        <f t="shared" si="30"/>
        <v>0.35222916666666665</v>
      </c>
      <c r="J118">
        <f t="shared" si="31"/>
        <v>0.94579437242239617</v>
      </c>
      <c r="K118">
        <f t="shared" si="32"/>
        <v>10</v>
      </c>
    </row>
    <row r="119" spans="1:11" x14ac:dyDescent="0.25">
      <c r="A119" s="1">
        <v>39782</v>
      </c>
      <c r="B119">
        <v>0.27300000000000002</v>
      </c>
      <c r="C119" s="1">
        <v>39753</v>
      </c>
      <c r="D119" s="5">
        <f t="shared" si="26"/>
        <v>20</v>
      </c>
      <c r="E119">
        <f t="shared" si="27"/>
        <v>11</v>
      </c>
      <c r="F119">
        <f t="shared" si="29"/>
        <v>2</v>
      </c>
      <c r="G119" s="5">
        <f t="shared" si="25"/>
        <v>18</v>
      </c>
      <c r="H119">
        <f t="shared" si="28"/>
        <v>0.31850000000000006</v>
      </c>
      <c r="I119">
        <f t="shared" si="30"/>
        <v>0.35032007575757573</v>
      </c>
      <c r="J119">
        <f t="shared" si="31"/>
        <v>0.90916856338089114</v>
      </c>
      <c r="K119">
        <f t="shared" si="32"/>
        <v>11</v>
      </c>
    </row>
    <row r="120" spans="1:11" x14ac:dyDescent="0.25">
      <c r="A120" s="1">
        <v>39813</v>
      </c>
      <c r="B120">
        <v>0.30499999999999999</v>
      </c>
      <c r="C120" s="1">
        <v>39783</v>
      </c>
      <c r="D120" s="5">
        <f t="shared" si="26"/>
        <v>23</v>
      </c>
      <c r="E120">
        <f t="shared" si="27"/>
        <v>12</v>
      </c>
      <c r="F120">
        <f t="shared" si="29"/>
        <v>1</v>
      </c>
      <c r="G120" s="5">
        <f t="shared" si="25"/>
        <v>22</v>
      </c>
      <c r="H120">
        <f t="shared" si="28"/>
        <v>0.29113636363636364</v>
      </c>
      <c r="I120">
        <f t="shared" si="30"/>
        <v>0.34684924242424242</v>
      </c>
      <c r="J120">
        <f t="shared" si="31"/>
        <v>0.83937436795743503</v>
      </c>
      <c r="K120">
        <f t="shared" si="32"/>
        <v>12</v>
      </c>
    </row>
    <row r="121" spans="1:11" x14ac:dyDescent="0.25">
      <c r="A121" s="1">
        <v>39844</v>
      </c>
      <c r="B121">
        <v>0.218</v>
      </c>
      <c r="C121" s="1">
        <v>39814</v>
      </c>
      <c r="D121" s="5">
        <f t="shared" si="26"/>
        <v>22</v>
      </c>
      <c r="E121">
        <f t="shared" si="27"/>
        <v>1</v>
      </c>
      <c r="F121">
        <f t="shared" si="29"/>
        <v>2</v>
      </c>
      <c r="G121" s="5">
        <f t="shared" si="25"/>
        <v>20</v>
      </c>
      <c r="H121">
        <f t="shared" si="28"/>
        <v>0.22889999999999999</v>
      </c>
      <c r="I121">
        <f t="shared" si="30"/>
        <v>0.343110606060606</v>
      </c>
      <c r="J121">
        <f t="shared" si="31"/>
        <v>0.66713181101597252</v>
      </c>
      <c r="K121">
        <f t="shared" si="32"/>
        <v>1</v>
      </c>
    </row>
    <row r="122" spans="1:11" x14ac:dyDescent="0.25">
      <c r="A122" s="1">
        <v>39872</v>
      </c>
      <c r="B122">
        <v>0.23799999999999999</v>
      </c>
      <c r="C122" s="1">
        <v>39845</v>
      </c>
      <c r="D122" s="5">
        <f t="shared" si="26"/>
        <v>20</v>
      </c>
      <c r="E122">
        <f t="shared" si="27"/>
        <v>2</v>
      </c>
      <c r="F122">
        <f t="shared" si="29"/>
        <v>1</v>
      </c>
      <c r="G122" s="5">
        <f t="shared" si="25"/>
        <v>19</v>
      </c>
      <c r="H122">
        <f t="shared" si="28"/>
        <v>0.26305263157894737</v>
      </c>
      <c r="I122">
        <f t="shared" si="30"/>
        <v>0.34260227272727267</v>
      </c>
      <c r="J122">
        <f t="shared" si="31"/>
        <v>0.76780760817763016</v>
      </c>
      <c r="K122">
        <f t="shared" si="32"/>
        <v>2</v>
      </c>
    </row>
    <row r="123" spans="1:11" x14ac:dyDescent="0.25">
      <c r="A123" s="1">
        <v>39903</v>
      </c>
      <c r="B123">
        <v>0.30399999999999999</v>
      </c>
      <c r="C123" s="1">
        <v>39873</v>
      </c>
      <c r="D123" s="5">
        <f t="shared" si="26"/>
        <v>22</v>
      </c>
      <c r="E123">
        <f t="shared" si="27"/>
        <v>3</v>
      </c>
      <c r="F123">
        <f t="shared" si="29"/>
        <v>0</v>
      </c>
      <c r="G123" s="5">
        <f t="shared" si="25"/>
        <v>22</v>
      </c>
      <c r="H123">
        <f t="shared" si="28"/>
        <v>0.29018181818181815</v>
      </c>
      <c r="I123">
        <f t="shared" si="30"/>
        <v>0.34159832535885165</v>
      </c>
      <c r="J123">
        <f t="shared" si="31"/>
        <v>0.84948255491879221</v>
      </c>
      <c r="K123">
        <f t="shared" si="32"/>
        <v>3</v>
      </c>
    </row>
    <row r="124" spans="1:11" x14ac:dyDescent="0.25">
      <c r="A124" s="1">
        <v>39933</v>
      </c>
      <c r="B124">
        <v>0.34899999999999998</v>
      </c>
      <c r="C124" s="1">
        <v>39904</v>
      </c>
      <c r="D124" s="5">
        <f t="shared" si="26"/>
        <v>22</v>
      </c>
      <c r="E124">
        <f t="shared" si="27"/>
        <v>4</v>
      </c>
      <c r="F124">
        <f t="shared" si="29"/>
        <v>0</v>
      </c>
      <c r="G124" s="5">
        <f t="shared" si="25"/>
        <v>22</v>
      </c>
      <c r="H124">
        <f t="shared" si="28"/>
        <v>0.33313636363636356</v>
      </c>
      <c r="I124">
        <f t="shared" si="30"/>
        <v>0.33944681020733652</v>
      </c>
      <c r="J124">
        <f t="shared" si="31"/>
        <v>0.98140961593623899</v>
      </c>
      <c r="K124">
        <f t="shared" si="32"/>
        <v>4</v>
      </c>
    </row>
    <row r="125" spans="1:11" x14ac:dyDescent="0.25">
      <c r="A125" s="1">
        <v>39964</v>
      </c>
      <c r="B125">
        <v>0.376</v>
      </c>
      <c r="C125" s="1">
        <v>39934</v>
      </c>
      <c r="D125" s="5">
        <f t="shared" si="26"/>
        <v>21</v>
      </c>
      <c r="E125">
        <f t="shared" si="27"/>
        <v>5</v>
      </c>
      <c r="F125">
        <f t="shared" si="29"/>
        <v>1</v>
      </c>
      <c r="G125" s="5">
        <f t="shared" si="25"/>
        <v>20</v>
      </c>
      <c r="H125">
        <f t="shared" si="28"/>
        <v>0.39480000000000004</v>
      </c>
      <c r="I125">
        <f t="shared" si="30"/>
        <v>0.33825362838915468</v>
      </c>
      <c r="J125">
        <f t="shared" si="31"/>
        <v>1.1671715152920392</v>
      </c>
      <c r="K125">
        <f t="shared" si="32"/>
        <v>5</v>
      </c>
    </row>
    <row r="126" spans="1:11" x14ac:dyDescent="0.25">
      <c r="A126" s="1">
        <v>39994</v>
      </c>
      <c r="B126">
        <v>0.438</v>
      </c>
      <c r="C126" s="1">
        <v>39965</v>
      </c>
      <c r="D126" s="5">
        <f t="shared" si="26"/>
        <v>22</v>
      </c>
      <c r="E126">
        <f t="shared" si="27"/>
        <v>6</v>
      </c>
      <c r="F126">
        <f t="shared" si="29"/>
        <v>0</v>
      </c>
      <c r="G126" s="5">
        <f t="shared" si="25"/>
        <v>22</v>
      </c>
      <c r="H126">
        <f t="shared" si="28"/>
        <v>0.41809090909090907</v>
      </c>
      <c r="I126">
        <f t="shared" si="30"/>
        <v>0.33757029505582131</v>
      </c>
      <c r="J126">
        <f t="shared" si="31"/>
        <v>1.2385299157373213</v>
      </c>
      <c r="K126">
        <f t="shared" si="32"/>
        <v>6</v>
      </c>
    </row>
    <row r="127" spans="1:11" x14ac:dyDescent="0.25">
      <c r="A127" s="1">
        <v>40025</v>
      </c>
      <c r="B127">
        <v>0.442</v>
      </c>
      <c r="C127" s="1">
        <v>39995</v>
      </c>
      <c r="D127" s="5">
        <f t="shared" si="26"/>
        <v>23</v>
      </c>
      <c r="E127">
        <f t="shared" si="27"/>
        <v>7</v>
      </c>
      <c r="F127">
        <f t="shared" si="29"/>
        <v>1</v>
      </c>
      <c r="G127" s="5">
        <f t="shared" si="25"/>
        <v>22</v>
      </c>
      <c r="H127">
        <f t="shared" si="28"/>
        <v>0.4219090909090909</v>
      </c>
      <c r="I127">
        <f t="shared" si="30"/>
        <v>0.3373278708133971</v>
      </c>
      <c r="J127">
        <f t="shared" si="31"/>
        <v>1.2507389024563653</v>
      </c>
      <c r="K127">
        <f t="shared" si="32"/>
        <v>7</v>
      </c>
    </row>
    <row r="128" spans="1:11" x14ac:dyDescent="0.25">
      <c r="A128" s="1">
        <v>40056</v>
      </c>
      <c r="B128">
        <v>0.41699999999999998</v>
      </c>
      <c r="C128" s="1">
        <v>40026</v>
      </c>
      <c r="D128" s="5">
        <f t="shared" si="26"/>
        <v>21</v>
      </c>
      <c r="E128">
        <f t="shared" si="27"/>
        <v>8</v>
      </c>
      <c r="F128">
        <f t="shared" si="29"/>
        <v>0</v>
      </c>
      <c r="G128" s="5">
        <f t="shared" si="25"/>
        <v>21</v>
      </c>
      <c r="H128">
        <f t="shared" si="28"/>
        <v>0.41700000000000004</v>
      </c>
      <c r="I128">
        <f t="shared" si="30"/>
        <v>0.33923696172248802</v>
      </c>
      <c r="J128">
        <f t="shared" si="31"/>
        <v>1.2292292617015179</v>
      </c>
      <c r="K128">
        <f t="shared" si="32"/>
        <v>8</v>
      </c>
    </row>
    <row r="129" spans="1:11" x14ac:dyDescent="0.25">
      <c r="A129" s="1">
        <v>40086</v>
      </c>
      <c r="B129">
        <v>0.39200000000000002</v>
      </c>
      <c r="C129" s="1">
        <v>40057</v>
      </c>
      <c r="D129" s="5">
        <f t="shared" si="26"/>
        <v>22</v>
      </c>
      <c r="E129">
        <f t="shared" si="27"/>
        <v>9</v>
      </c>
      <c r="F129">
        <f t="shared" si="29"/>
        <v>1</v>
      </c>
      <c r="G129" s="5">
        <f t="shared" ref="G129:G186" si="33">D129-F129</f>
        <v>21</v>
      </c>
      <c r="H129">
        <f t="shared" si="28"/>
        <v>0.39200000000000002</v>
      </c>
      <c r="I129">
        <f t="shared" si="30"/>
        <v>0.33990362838915472</v>
      </c>
      <c r="J129">
        <f t="shared" si="31"/>
        <v>1.1532680655918162</v>
      </c>
      <c r="K129">
        <f t="shared" si="32"/>
        <v>9</v>
      </c>
    </row>
    <row r="130" spans="1:11" x14ac:dyDescent="0.25">
      <c r="A130" s="1">
        <v>40117</v>
      </c>
      <c r="B130">
        <v>0.41799999999999998</v>
      </c>
      <c r="C130" s="1">
        <v>40087</v>
      </c>
      <c r="D130" s="5">
        <f t="shared" ref="D130:D187" si="34">NETWORKDAYS(C130,A130)</f>
        <v>22</v>
      </c>
      <c r="E130">
        <f t="shared" ref="E130:E187" si="35">MONTH(C130)</f>
        <v>10</v>
      </c>
      <c r="F130">
        <f t="shared" si="29"/>
        <v>1</v>
      </c>
      <c r="G130" s="5">
        <f t="shared" si="33"/>
        <v>21</v>
      </c>
      <c r="H130">
        <f t="shared" ref="H130:H187" si="36">B130/G130*21</f>
        <v>0.41799999999999998</v>
      </c>
      <c r="I130">
        <f t="shared" si="30"/>
        <v>0.34182029505582134</v>
      </c>
      <c r="J130">
        <f t="shared" si="31"/>
        <v>1.2228647802546013</v>
      </c>
      <c r="K130">
        <f t="shared" si="32"/>
        <v>10</v>
      </c>
    </row>
    <row r="131" spans="1:11" x14ac:dyDescent="0.25">
      <c r="A131" s="1">
        <v>40147</v>
      </c>
      <c r="B131">
        <v>0.39500000000000002</v>
      </c>
      <c r="C131" s="1">
        <v>40118</v>
      </c>
      <c r="D131" s="5">
        <f t="shared" si="34"/>
        <v>21</v>
      </c>
      <c r="E131">
        <f t="shared" si="35"/>
        <v>11</v>
      </c>
      <c r="F131">
        <f t="shared" si="29"/>
        <v>2</v>
      </c>
      <c r="G131" s="5">
        <f t="shared" si="33"/>
        <v>19</v>
      </c>
      <c r="H131">
        <f t="shared" si="36"/>
        <v>0.43657894736842107</v>
      </c>
      <c r="I131">
        <f t="shared" si="30"/>
        <v>0.348892264752791</v>
      </c>
      <c r="J131">
        <f t="shared" si="31"/>
        <v>1.2513288240361558</v>
      </c>
      <c r="K131">
        <f t="shared" si="32"/>
        <v>11</v>
      </c>
    </row>
    <row r="132" spans="1:11" x14ac:dyDescent="0.25">
      <c r="A132" s="1">
        <v>40178</v>
      </c>
      <c r="B132">
        <v>0.34699999999999998</v>
      </c>
      <c r="C132" s="1">
        <v>40148</v>
      </c>
      <c r="D132" s="5">
        <f t="shared" si="34"/>
        <v>23</v>
      </c>
      <c r="E132">
        <f t="shared" si="35"/>
        <v>12</v>
      </c>
      <c r="F132">
        <f t="shared" si="29"/>
        <v>1</v>
      </c>
      <c r="G132" s="5">
        <f t="shared" si="33"/>
        <v>22</v>
      </c>
      <c r="H132">
        <f t="shared" si="36"/>
        <v>0.3312272727272727</v>
      </c>
      <c r="I132">
        <f t="shared" si="30"/>
        <v>0.35873217703349286</v>
      </c>
      <c r="J132">
        <f t="shared" si="31"/>
        <v>0.92332746804685939</v>
      </c>
      <c r="K132">
        <f t="shared" si="32"/>
        <v>12</v>
      </c>
    </row>
    <row r="133" spans="1:11" x14ac:dyDescent="0.25">
      <c r="A133" s="1">
        <v>40209</v>
      </c>
      <c r="B133">
        <v>0.23400000000000001</v>
      </c>
      <c r="C133" s="1">
        <v>40179</v>
      </c>
      <c r="D133" s="5">
        <f t="shared" si="34"/>
        <v>21</v>
      </c>
      <c r="E133">
        <f t="shared" si="35"/>
        <v>1</v>
      </c>
      <c r="F133">
        <f t="shared" si="29"/>
        <v>2</v>
      </c>
      <c r="G133" s="5">
        <f t="shared" si="33"/>
        <v>19</v>
      </c>
      <c r="H133">
        <f t="shared" si="36"/>
        <v>0.25863157894736843</v>
      </c>
      <c r="I133">
        <f t="shared" si="30"/>
        <v>0.36207308612440192</v>
      </c>
      <c r="J133">
        <f t="shared" si="31"/>
        <v>0.71430766013496838</v>
      </c>
      <c r="K133">
        <f t="shared" si="32"/>
        <v>1</v>
      </c>
    </row>
    <row r="134" spans="1:11" x14ac:dyDescent="0.25">
      <c r="A134" s="1">
        <v>40237</v>
      </c>
      <c r="B134">
        <v>0.25800000000000001</v>
      </c>
      <c r="C134" s="1">
        <v>40210</v>
      </c>
      <c r="D134" s="5">
        <f t="shared" si="34"/>
        <v>20</v>
      </c>
      <c r="E134">
        <f t="shared" si="35"/>
        <v>2</v>
      </c>
      <c r="F134">
        <f t="shared" si="29"/>
        <v>1</v>
      </c>
      <c r="G134" s="5">
        <f t="shared" si="33"/>
        <v>19</v>
      </c>
      <c r="H134">
        <f t="shared" si="36"/>
        <v>0.28515789473684211</v>
      </c>
      <c r="I134">
        <f t="shared" si="30"/>
        <v>0.36455071770334929</v>
      </c>
      <c r="J134">
        <f t="shared" si="31"/>
        <v>0.78221734559548295</v>
      </c>
      <c r="K134">
        <f t="shared" si="32"/>
        <v>2</v>
      </c>
    </row>
    <row r="135" spans="1:11" x14ac:dyDescent="0.25">
      <c r="A135" s="1">
        <v>40268</v>
      </c>
      <c r="B135">
        <v>0.36599999999999999</v>
      </c>
      <c r="C135" s="1">
        <v>40238</v>
      </c>
      <c r="D135" s="5">
        <f t="shared" si="34"/>
        <v>23</v>
      </c>
      <c r="E135">
        <f t="shared" si="35"/>
        <v>3</v>
      </c>
      <c r="F135">
        <f t="shared" si="29"/>
        <v>0</v>
      </c>
      <c r="G135" s="5">
        <f t="shared" si="33"/>
        <v>23</v>
      </c>
      <c r="H135">
        <f t="shared" si="36"/>
        <v>0.33417391304347827</v>
      </c>
      <c r="I135">
        <f t="shared" si="30"/>
        <v>0.36639282296650716</v>
      </c>
      <c r="J135">
        <f t="shared" si="31"/>
        <v>0.91206457140135055</v>
      </c>
      <c r="K135">
        <f t="shared" si="32"/>
        <v>3</v>
      </c>
    </row>
    <row r="136" spans="1:11" x14ac:dyDescent="0.25">
      <c r="A136" s="1">
        <v>40298</v>
      </c>
      <c r="B136">
        <v>0.443</v>
      </c>
      <c r="C136" s="1">
        <v>40269</v>
      </c>
      <c r="D136" s="5">
        <f t="shared" si="34"/>
        <v>22</v>
      </c>
      <c r="E136">
        <f t="shared" si="35"/>
        <v>4</v>
      </c>
      <c r="F136">
        <f t="shared" si="29"/>
        <v>0</v>
      </c>
      <c r="G136" s="5">
        <f t="shared" si="33"/>
        <v>22</v>
      </c>
      <c r="H136">
        <f t="shared" si="36"/>
        <v>0.42286363636363639</v>
      </c>
      <c r="I136">
        <f t="shared" si="30"/>
        <v>0.37005883087164548</v>
      </c>
      <c r="J136">
        <f t="shared" si="31"/>
        <v>1.1426930019954211</v>
      </c>
      <c r="K136">
        <f t="shared" si="32"/>
        <v>4</v>
      </c>
    </row>
    <row r="137" spans="1:11" x14ac:dyDescent="0.25">
      <c r="A137" s="1">
        <v>40329</v>
      </c>
      <c r="B137">
        <v>0.44900000000000001</v>
      </c>
      <c r="C137" s="1">
        <v>40299</v>
      </c>
      <c r="D137" s="5">
        <f t="shared" si="34"/>
        <v>21</v>
      </c>
      <c r="E137">
        <f t="shared" si="35"/>
        <v>5</v>
      </c>
      <c r="F137">
        <f t="shared" si="29"/>
        <v>1</v>
      </c>
      <c r="G137" s="5">
        <f t="shared" si="33"/>
        <v>20</v>
      </c>
      <c r="H137">
        <f t="shared" si="36"/>
        <v>0.47145000000000004</v>
      </c>
      <c r="I137">
        <f t="shared" si="30"/>
        <v>0.37753610359891826</v>
      </c>
      <c r="J137">
        <f t="shared" si="31"/>
        <v>1.2487547429393739</v>
      </c>
      <c r="K137">
        <f t="shared" si="32"/>
        <v>5</v>
      </c>
    </row>
    <row r="138" spans="1:11" x14ac:dyDescent="0.25">
      <c r="A138" s="1">
        <v>40359</v>
      </c>
      <c r="B138">
        <v>0.47199999999999998</v>
      </c>
      <c r="C138" s="1">
        <v>40330</v>
      </c>
      <c r="D138" s="5">
        <f t="shared" si="34"/>
        <v>22</v>
      </c>
      <c r="E138">
        <f t="shared" si="35"/>
        <v>6</v>
      </c>
      <c r="F138">
        <f t="shared" si="29"/>
        <v>0</v>
      </c>
      <c r="G138" s="5">
        <f t="shared" si="33"/>
        <v>22</v>
      </c>
      <c r="H138">
        <f t="shared" si="36"/>
        <v>0.45054545454545447</v>
      </c>
      <c r="I138">
        <f t="shared" si="30"/>
        <v>0.38392360359891825</v>
      </c>
      <c r="J138">
        <f t="shared" si="31"/>
        <v>1.1735289269063423</v>
      </c>
      <c r="K138">
        <f t="shared" si="32"/>
        <v>6</v>
      </c>
    </row>
    <row r="139" spans="1:11" x14ac:dyDescent="0.25">
      <c r="A139" s="1">
        <v>40390</v>
      </c>
      <c r="B139">
        <v>0.33100000000000002</v>
      </c>
      <c r="C139" s="1">
        <v>40360</v>
      </c>
      <c r="D139" s="5">
        <f t="shared" si="34"/>
        <v>22</v>
      </c>
      <c r="E139">
        <f t="shared" si="35"/>
        <v>7</v>
      </c>
      <c r="F139">
        <f t="shared" si="29"/>
        <v>1</v>
      </c>
      <c r="G139" s="5">
        <f t="shared" si="33"/>
        <v>21</v>
      </c>
      <c r="H139">
        <f t="shared" si="36"/>
        <v>0.33100000000000002</v>
      </c>
      <c r="I139">
        <f t="shared" si="30"/>
        <v>0.38662814905346377</v>
      </c>
      <c r="J139">
        <f t="shared" si="31"/>
        <v>0.85611976471539486</v>
      </c>
      <c r="K139">
        <f t="shared" si="32"/>
        <v>7</v>
      </c>
    </row>
    <row r="140" spans="1:11" x14ac:dyDescent="0.25">
      <c r="A140" s="1">
        <v>40421</v>
      </c>
      <c r="B140">
        <v>0.35199999999999998</v>
      </c>
      <c r="C140" s="1">
        <v>40391</v>
      </c>
      <c r="D140" s="5">
        <f t="shared" si="34"/>
        <v>22</v>
      </c>
      <c r="E140">
        <f t="shared" si="35"/>
        <v>8</v>
      </c>
      <c r="F140">
        <f t="shared" si="29"/>
        <v>0</v>
      </c>
      <c r="G140" s="5">
        <f t="shared" si="33"/>
        <v>22</v>
      </c>
      <c r="H140">
        <f t="shared" si="36"/>
        <v>0.33600000000000002</v>
      </c>
      <c r="I140">
        <f t="shared" si="30"/>
        <v>0.3790523914777062</v>
      </c>
      <c r="J140">
        <f t="shared" si="31"/>
        <v>0.88642100024782911</v>
      </c>
      <c r="K140">
        <f t="shared" si="32"/>
        <v>8</v>
      </c>
    </row>
    <row r="141" spans="1:11" x14ac:dyDescent="0.25">
      <c r="A141" s="1">
        <v>40451</v>
      </c>
      <c r="B141">
        <v>0.32100000000000001</v>
      </c>
      <c r="C141" s="1">
        <v>40422</v>
      </c>
      <c r="D141" s="5">
        <f t="shared" si="34"/>
        <v>22</v>
      </c>
      <c r="E141">
        <f t="shared" si="35"/>
        <v>9</v>
      </c>
      <c r="F141">
        <f t="shared" ref="F141:F187" si="37">VLOOKUP(E141,$L$1:$M$12,2)</f>
        <v>1</v>
      </c>
      <c r="G141" s="5">
        <f t="shared" si="33"/>
        <v>21</v>
      </c>
      <c r="H141">
        <f t="shared" si="36"/>
        <v>0.32100000000000001</v>
      </c>
      <c r="I141">
        <f t="shared" si="30"/>
        <v>0.37230239147770616</v>
      </c>
      <c r="J141">
        <f t="shared" si="31"/>
        <v>0.86220235848047677</v>
      </c>
      <c r="K141">
        <f t="shared" si="32"/>
        <v>9</v>
      </c>
    </row>
    <row r="142" spans="1:11" x14ac:dyDescent="0.25">
      <c r="A142" s="1">
        <v>40482</v>
      </c>
      <c r="B142">
        <v>0.307</v>
      </c>
      <c r="C142" s="1">
        <v>40452</v>
      </c>
      <c r="D142" s="5">
        <f t="shared" si="34"/>
        <v>21</v>
      </c>
      <c r="E142">
        <f t="shared" si="35"/>
        <v>10</v>
      </c>
      <c r="F142">
        <f t="shared" si="37"/>
        <v>1</v>
      </c>
      <c r="G142" s="5">
        <f t="shared" si="33"/>
        <v>20</v>
      </c>
      <c r="H142">
        <f t="shared" si="36"/>
        <v>0.32234999999999997</v>
      </c>
      <c r="I142">
        <f t="shared" ref="I142:I187" si="38">AVERAGE(H130:H141)</f>
        <v>0.36638572481103943</v>
      </c>
      <c r="J142">
        <f t="shared" ref="J142:J187" si="39">H142/I142</f>
        <v>0.87981047887782604</v>
      </c>
      <c r="K142">
        <f t="shared" ref="K142:K180" si="40">E142</f>
        <v>10</v>
      </c>
    </row>
    <row r="143" spans="1:11" x14ac:dyDescent="0.25">
      <c r="A143" s="1">
        <v>40512</v>
      </c>
      <c r="B143">
        <v>0.30399999999999999</v>
      </c>
      <c r="C143" s="1">
        <v>40483</v>
      </c>
      <c r="D143" s="5">
        <f t="shared" si="34"/>
        <v>22</v>
      </c>
      <c r="E143">
        <f t="shared" si="35"/>
        <v>11</v>
      </c>
      <c r="F143">
        <f t="shared" si="37"/>
        <v>2</v>
      </c>
      <c r="G143" s="5">
        <f t="shared" si="33"/>
        <v>20</v>
      </c>
      <c r="H143">
        <f t="shared" si="36"/>
        <v>0.31919999999999998</v>
      </c>
      <c r="I143">
        <f t="shared" si="38"/>
        <v>0.35841489147770611</v>
      </c>
      <c r="J143">
        <f t="shared" si="39"/>
        <v>0.89058799617385498</v>
      </c>
      <c r="K143">
        <f t="shared" si="40"/>
        <v>11</v>
      </c>
    </row>
    <row r="144" spans="1:11" x14ac:dyDescent="0.25">
      <c r="A144" s="1">
        <v>40543</v>
      </c>
      <c r="B144">
        <v>0.34499999999999997</v>
      </c>
      <c r="C144" s="1">
        <v>40513</v>
      </c>
      <c r="D144" s="5">
        <f t="shared" si="34"/>
        <v>23</v>
      </c>
      <c r="E144">
        <f t="shared" si="35"/>
        <v>12</v>
      </c>
      <c r="F144">
        <f t="shared" si="37"/>
        <v>1</v>
      </c>
      <c r="G144" s="5">
        <f t="shared" si="33"/>
        <v>22</v>
      </c>
      <c r="H144">
        <f t="shared" si="36"/>
        <v>0.32931818181818184</v>
      </c>
      <c r="I144">
        <f t="shared" si="38"/>
        <v>0.34863331253033775</v>
      </c>
      <c r="J144">
        <f t="shared" si="39"/>
        <v>0.94459757568211411</v>
      </c>
      <c r="K144">
        <f t="shared" si="40"/>
        <v>12</v>
      </c>
    </row>
    <row r="145" spans="1:11" x14ac:dyDescent="0.25">
      <c r="A145" s="1">
        <v>40574</v>
      </c>
      <c r="B145">
        <v>0.247</v>
      </c>
      <c r="C145" s="1">
        <v>40544</v>
      </c>
      <c r="D145" s="5">
        <f t="shared" si="34"/>
        <v>21</v>
      </c>
      <c r="E145">
        <f t="shared" si="35"/>
        <v>1</v>
      </c>
      <c r="F145">
        <f t="shared" si="37"/>
        <v>2</v>
      </c>
      <c r="G145" s="5">
        <f t="shared" si="33"/>
        <v>19</v>
      </c>
      <c r="H145">
        <f t="shared" si="36"/>
        <v>0.27299999999999996</v>
      </c>
      <c r="I145">
        <f t="shared" si="38"/>
        <v>0.3484742216212468</v>
      </c>
      <c r="J145">
        <f t="shared" si="39"/>
        <v>0.78341519418535632</v>
      </c>
      <c r="K145">
        <f t="shared" si="40"/>
        <v>1</v>
      </c>
    </row>
    <row r="146" spans="1:11" x14ac:dyDescent="0.25">
      <c r="A146" s="1">
        <v>40602</v>
      </c>
      <c r="B146">
        <v>0.253</v>
      </c>
      <c r="C146" s="1">
        <v>40575</v>
      </c>
      <c r="D146" s="5">
        <f t="shared" si="34"/>
        <v>20</v>
      </c>
      <c r="E146">
        <f t="shared" si="35"/>
        <v>2</v>
      </c>
      <c r="F146">
        <f t="shared" si="37"/>
        <v>1</v>
      </c>
      <c r="G146" s="5">
        <f t="shared" si="33"/>
        <v>19</v>
      </c>
      <c r="H146">
        <f t="shared" si="36"/>
        <v>0.27963157894736845</v>
      </c>
      <c r="I146">
        <f t="shared" si="38"/>
        <v>0.34967159004229936</v>
      </c>
      <c r="J146">
        <f t="shared" si="39"/>
        <v>0.79969773613447337</v>
      </c>
      <c r="K146">
        <f t="shared" si="40"/>
        <v>2</v>
      </c>
    </row>
    <row r="147" spans="1:11" x14ac:dyDescent="0.25">
      <c r="A147" s="1">
        <v>40633</v>
      </c>
      <c r="B147">
        <v>0.34699999999999998</v>
      </c>
      <c r="C147" s="1">
        <v>40603</v>
      </c>
      <c r="D147" s="5">
        <f t="shared" si="34"/>
        <v>23</v>
      </c>
      <c r="E147">
        <f t="shared" si="35"/>
        <v>3</v>
      </c>
      <c r="F147">
        <f t="shared" si="37"/>
        <v>0</v>
      </c>
      <c r="G147" s="5">
        <f t="shared" si="33"/>
        <v>23</v>
      </c>
      <c r="H147">
        <f t="shared" si="36"/>
        <v>0.3168260869565217</v>
      </c>
      <c r="I147">
        <f t="shared" si="38"/>
        <v>0.34921106372650995</v>
      </c>
      <c r="J147">
        <f t="shared" si="39"/>
        <v>0.90726245490506263</v>
      </c>
      <c r="K147">
        <f t="shared" si="40"/>
        <v>3</v>
      </c>
    </row>
    <row r="148" spans="1:11" x14ac:dyDescent="0.25">
      <c r="A148" s="1">
        <v>40663</v>
      </c>
      <c r="B148">
        <v>0.375</v>
      </c>
      <c r="C148" s="1">
        <v>40634</v>
      </c>
      <c r="D148" s="5">
        <f t="shared" si="34"/>
        <v>21</v>
      </c>
      <c r="E148">
        <f t="shared" si="35"/>
        <v>4</v>
      </c>
      <c r="F148">
        <f t="shared" si="37"/>
        <v>0</v>
      </c>
      <c r="G148" s="5">
        <f t="shared" si="33"/>
        <v>21</v>
      </c>
      <c r="H148">
        <f t="shared" si="36"/>
        <v>0.375</v>
      </c>
      <c r="I148">
        <f t="shared" si="38"/>
        <v>0.34776541155259694</v>
      </c>
      <c r="J148">
        <f t="shared" si="39"/>
        <v>1.0783131028638369</v>
      </c>
      <c r="K148">
        <f t="shared" si="40"/>
        <v>4</v>
      </c>
    </row>
    <row r="149" spans="1:11" x14ac:dyDescent="0.25">
      <c r="A149" s="1">
        <v>40694</v>
      </c>
      <c r="B149">
        <v>0.39100000000000001</v>
      </c>
      <c r="C149" s="1">
        <v>40664</v>
      </c>
      <c r="D149" s="5">
        <f t="shared" si="34"/>
        <v>22</v>
      </c>
      <c r="E149">
        <f t="shared" si="35"/>
        <v>5</v>
      </c>
      <c r="F149">
        <f t="shared" si="37"/>
        <v>1</v>
      </c>
      <c r="G149" s="5">
        <f t="shared" si="33"/>
        <v>21</v>
      </c>
      <c r="H149">
        <f t="shared" si="36"/>
        <v>0.39100000000000001</v>
      </c>
      <c r="I149">
        <f t="shared" si="38"/>
        <v>0.34377677518896049</v>
      </c>
      <c r="J149">
        <f t="shared" si="39"/>
        <v>1.1373659543611776</v>
      </c>
      <c r="K149">
        <f t="shared" si="40"/>
        <v>5</v>
      </c>
    </row>
    <row r="150" spans="1:11" x14ac:dyDescent="0.25">
      <c r="A150" s="1">
        <v>40724</v>
      </c>
      <c r="B150">
        <v>0.44</v>
      </c>
      <c r="C150" s="1">
        <v>40695</v>
      </c>
      <c r="D150" s="5">
        <f t="shared" si="34"/>
        <v>22</v>
      </c>
      <c r="E150">
        <f t="shared" si="35"/>
        <v>6</v>
      </c>
      <c r="F150">
        <f t="shared" si="37"/>
        <v>0</v>
      </c>
      <c r="G150" s="5">
        <f t="shared" si="33"/>
        <v>22</v>
      </c>
      <c r="H150">
        <f t="shared" si="36"/>
        <v>0.42</v>
      </c>
      <c r="I150">
        <f t="shared" si="38"/>
        <v>0.33707260852229393</v>
      </c>
      <c r="J150">
        <f t="shared" si="39"/>
        <v>1.2460223387514482</v>
      </c>
      <c r="K150">
        <f t="shared" si="40"/>
        <v>6</v>
      </c>
    </row>
    <row r="151" spans="1:11" x14ac:dyDescent="0.25">
      <c r="A151" s="1">
        <v>40755</v>
      </c>
      <c r="B151">
        <v>0.38500000000000001</v>
      </c>
      <c r="C151" s="1">
        <v>40725</v>
      </c>
      <c r="D151" s="5">
        <f t="shared" si="34"/>
        <v>21</v>
      </c>
      <c r="E151">
        <f t="shared" si="35"/>
        <v>7</v>
      </c>
      <c r="F151">
        <f t="shared" si="37"/>
        <v>1</v>
      </c>
      <c r="G151" s="5">
        <f t="shared" si="33"/>
        <v>20</v>
      </c>
      <c r="H151">
        <f t="shared" si="36"/>
        <v>0.40425</v>
      </c>
      <c r="I151">
        <f t="shared" si="38"/>
        <v>0.33452715397683935</v>
      </c>
      <c r="J151">
        <f t="shared" si="39"/>
        <v>1.2084220823161873</v>
      </c>
      <c r="K151">
        <f t="shared" si="40"/>
        <v>7</v>
      </c>
    </row>
    <row r="152" spans="1:11" x14ac:dyDescent="0.25">
      <c r="A152" s="1">
        <v>40786</v>
      </c>
      <c r="B152">
        <v>0.42899999999999999</v>
      </c>
      <c r="C152" s="1">
        <v>40756</v>
      </c>
      <c r="D152" s="5">
        <f t="shared" si="34"/>
        <v>23</v>
      </c>
      <c r="E152">
        <f t="shared" si="35"/>
        <v>8</v>
      </c>
      <c r="F152">
        <f t="shared" si="37"/>
        <v>0</v>
      </c>
      <c r="G152" s="5">
        <f t="shared" si="33"/>
        <v>23</v>
      </c>
      <c r="H152">
        <f t="shared" si="36"/>
        <v>0.39169565217391306</v>
      </c>
      <c r="I152">
        <f t="shared" si="38"/>
        <v>0.34063132064350604</v>
      </c>
      <c r="J152">
        <f t="shared" si="39"/>
        <v>1.1499108521023214</v>
      </c>
      <c r="K152">
        <f t="shared" si="40"/>
        <v>8</v>
      </c>
    </row>
    <row r="153" spans="1:11" x14ac:dyDescent="0.25">
      <c r="A153" s="1">
        <v>40816</v>
      </c>
      <c r="B153">
        <v>0.36899999999999999</v>
      </c>
      <c r="C153" s="1">
        <v>40787</v>
      </c>
      <c r="D153" s="5">
        <f t="shared" si="34"/>
        <v>22</v>
      </c>
      <c r="E153">
        <f t="shared" si="35"/>
        <v>9</v>
      </c>
      <c r="F153">
        <f t="shared" si="37"/>
        <v>1</v>
      </c>
      <c r="G153" s="5">
        <f t="shared" si="33"/>
        <v>21</v>
      </c>
      <c r="H153">
        <f t="shared" si="36"/>
        <v>0.36899999999999999</v>
      </c>
      <c r="I153">
        <f t="shared" si="38"/>
        <v>0.3452726249913321</v>
      </c>
      <c r="J153">
        <f t="shared" si="39"/>
        <v>1.0687206957379363</v>
      </c>
      <c r="K153">
        <f t="shared" si="40"/>
        <v>9</v>
      </c>
    </row>
    <row r="154" spans="1:11" x14ac:dyDescent="0.25">
      <c r="A154" s="1">
        <v>40847</v>
      </c>
      <c r="B154">
        <v>0.34300000000000003</v>
      </c>
      <c r="C154" s="1">
        <v>40817</v>
      </c>
      <c r="D154" s="5">
        <f t="shared" si="34"/>
        <v>21</v>
      </c>
      <c r="E154">
        <f t="shared" si="35"/>
        <v>10</v>
      </c>
      <c r="F154">
        <f t="shared" si="37"/>
        <v>1</v>
      </c>
      <c r="G154" s="5">
        <f t="shared" si="33"/>
        <v>20</v>
      </c>
      <c r="H154">
        <f t="shared" si="36"/>
        <v>0.36015000000000003</v>
      </c>
      <c r="I154">
        <f t="shared" si="38"/>
        <v>0.3492726249913321</v>
      </c>
      <c r="J154">
        <f t="shared" si="39"/>
        <v>1.0311429360057573</v>
      </c>
      <c r="K154">
        <f t="shared" si="40"/>
        <v>10</v>
      </c>
    </row>
    <row r="155" spans="1:11" x14ac:dyDescent="0.25">
      <c r="A155" s="1">
        <v>40877</v>
      </c>
      <c r="B155">
        <v>0.33500000000000002</v>
      </c>
      <c r="C155" s="1">
        <v>40848</v>
      </c>
      <c r="D155" s="5">
        <f t="shared" si="34"/>
        <v>22</v>
      </c>
      <c r="E155">
        <f t="shared" si="35"/>
        <v>11</v>
      </c>
      <c r="F155">
        <f t="shared" si="37"/>
        <v>2</v>
      </c>
      <c r="G155" s="5">
        <f t="shared" si="33"/>
        <v>20</v>
      </c>
      <c r="H155">
        <f t="shared" si="36"/>
        <v>0.35175000000000001</v>
      </c>
      <c r="I155">
        <f t="shared" si="38"/>
        <v>0.35242262499133209</v>
      </c>
      <c r="J155">
        <f t="shared" si="39"/>
        <v>0.99809142505720616</v>
      </c>
      <c r="K155">
        <f t="shared" si="40"/>
        <v>11</v>
      </c>
    </row>
    <row r="156" spans="1:11" x14ac:dyDescent="0.25">
      <c r="A156" s="1">
        <v>40908</v>
      </c>
      <c r="B156">
        <v>0.34899999999999998</v>
      </c>
      <c r="C156" s="1">
        <v>40878</v>
      </c>
      <c r="D156" s="5">
        <f t="shared" si="34"/>
        <v>22</v>
      </c>
      <c r="E156">
        <f t="shared" si="35"/>
        <v>12</v>
      </c>
      <c r="F156">
        <f t="shared" si="37"/>
        <v>1</v>
      </c>
      <c r="G156" s="5">
        <f t="shared" si="33"/>
        <v>21</v>
      </c>
      <c r="H156">
        <f t="shared" si="36"/>
        <v>0.34899999999999998</v>
      </c>
      <c r="I156">
        <f t="shared" si="38"/>
        <v>0.3551351249913321</v>
      </c>
      <c r="J156">
        <f t="shared" si="39"/>
        <v>0.98272453339702215</v>
      </c>
      <c r="K156">
        <f t="shared" si="40"/>
        <v>12</v>
      </c>
    </row>
    <row r="157" spans="1:11" x14ac:dyDescent="0.25">
      <c r="A157" s="1">
        <v>40939</v>
      </c>
      <c r="B157">
        <v>0.26</v>
      </c>
      <c r="C157" s="1">
        <v>40909</v>
      </c>
      <c r="D157" s="5">
        <f t="shared" si="34"/>
        <v>22</v>
      </c>
      <c r="E157">
        <f t="shared" si="35"/>
        <v>1</v>
      </c>
      <c r="F157">
        <f t="shared" si="37"/>
        <v>2</v>
      </c>
      <c r="G157" s="5">
        <f t="shared" si="33"/>
        <v>20</v>
      </c>
      <c r="H157">
        <f t="shared" si="36"/>
        <v>0.27300000000000002</v>
      </c>
      <c r="I157">
        <f t="shared" si="38"/>
        <v>0.35677527650648361</v>
      </c>
      <c r="J157">
        <f t="shared" si="39"/>
        <v>0.76518755075518485</v>
      </c>
      <c r="K157">
        <f t="shared" si="40"/>
        <v>1</v>
      </c>
    </row>
    <row r="158" spans="1:11" x14ac:dyDescent="0.25">
      <c r="A158" s="1">
        <v>40968</v>
      </c>
      <c r="B158">
        <v>0.28699999999999998</v>
      </c>
      <c r="C158" s="1">
        <v>40940</v>
      </c>
      <c r="D158" s="5">
        <f t="shared" si="34"/>
        <v>21</v>
      </c>
      <c r="E158">
        <f t="shared" si="35"/>
        <v>2</v>
      </c>
      <c r="F158">
        <f t="shared" si="37"/>
        <v>1</v>
      </c>
      <c r="G158" s="5">
        <f t="shared" si="33"/>
        <v>20</v>
      </c>
      <c r="H158">
        <f t="shared" si="36"/>
        <v>0.30134999999999995</v>
      </c>
      <c r="I158">
        <f t="shared" si="38"/>
        <v>0.35677527650648361</v>
      </c>
      <c r="J158">
        <f t="shared" si="39"/>
        <v>0.84464933487206917</v>
      </c>
      <c r="K158">
        <f t="shared" si="40"/>
        <v>2</v>
      </c>
    </row>
    <row r="159" spans="1:11" x14ac:dyDescent="0.25">
      <c r="A159" s="1">
        <v>40999</v>
      </c>
      <c r="B159">
        <v>0.36</v>
      </c>
      <c r="C159" s="1">
        <v>40969</v>
      </c>
      <c r="D159" s="5">
        <f t="shared" si="34"/>
        <v>22</v>
      </c>
      <c r="E159">
        <f t="shared" si="35"/>
        <v>3</v>
      </c>
      <c r="F159">
        <f t="shared" si="37"/>
        <v>0</v>
      </c>
      <c r="G159" s="5">
        <f t="shared" si="33"/>
        <v>22</v>
      </c>
      <c r="H159">
        <f t="shared" si="36"/>
        <v>0.34363636363636357</v>
      </c>
      <c r="I159">
        <f t="shared" si="38"/>
        <v>0.35858514492753629</v>
      </c>
      <c r="J159">
        <f t="shared" si="39"/>
        <v>0.95831176638900195</v>
      </c>
      <c r="K159">
        <f t="shared" si="40"/>
        <v>3</v>
      </c>
    </row>
    <row r="160" spans="1:11" x14ac:dyDescent="0.25">
      <c r="A160" s="1">
        <v>41029</v>
      </c>
      <c r="B160">
        <v>0.4</v>
      </c>
      <c r="C160" s="1">
        <v>41000</v>
      </c>
      <c r="D160" s="5">
        <f t="shared" si="34"/>
        <v>21</v>
      </c>
      <c r="E160">
        <f t="shared" si="35"/>
        <v>4</v>
      </c>
      <c r="F160">
        <f t="shared" si="37"/>
        <v>0</v>
      </c>
      <c r="G160" s="5">
        <f t="shared" si="33"/>
        <v>21</v>
      </c>
      <c r="H160">
        <f t="shared" si="36"/>
        <v>0.4</v>
      </c>
      <c r="I160">
        <f t="shared" si="38"/>
        <v>0.36081933465085636</v>
      </c>
      <c r="J160">
        <f t="shared" si="39"/>
        <v>1.1085880427861674</v>
      </c>
      <c r="K160">
        <f t="shared" si="40"/>
        <v>4</v>
      </c>
    </row>
    <row r="161" spans="1:11" x14ac:dyDescent="0.25">
      <c r="A161" s="1">
        <v>41060</v>
      </c>
      <c r="B161">
        <v>0.44800000000000001</v>
      </c>
      <c r="C161" s="1">
        <v>41030</v>
      </c>
      <c r="D161" s="5">
        <f t="shared" si="34"/>
        <v>23</v>
      </c>
      <c r="E161">
        <f t="shared" si="35"/>
        <v>5</v>
      </c>
      <c r="F161">
        <f t="shared" si="37"/>
        <v>1</v>
      </c>
      <c r="G161" s="5">
        <f t="shared" si="33"/>
        <v>22</v>
      </c>
      <c r="H161">
        <f t="shared" si="36"/>
        <v>0.42763636363636365</v>
      </c>
      <c r="I161">
        <f t="shared" si="38"/>
        <v>0.36290266798418974</v>
      </c>
      <c r="J161">
        <f t="shared" si="39"/>
        <v>1.1783775688719766</v>
      </c>
      <c r="K161">
        <f t="shared" si="40"/>
        <v>5</v>
      </c>
    </row>
    <row r="162" spans="1:11" x14ac:dyDescent="0.25">
      <c r="A162" s="1">
        <v>41090</v>
      </c>
      <c r="B162">
        <v>0.46300000000000002</v>
      </c>
      <c r="C162" s="1">
        <v>41061</v>
      </c>
      <c r="D162" s="5">
        <f t="shared" si="34"/>
        <v>21</v>
      </c>
      <c r="E162">
        <f t="shared" si="35"/>
        <v>6</v>
      </c>
      <c r="F162">
        <f t="shared" si="37"/>
        <v>0</v>
      </c>
      <c r="G162" s="5">
        <f t="shared" si="33"/>
        <v>21</v>
      </c>
      <c r="H162">
        <f t="shared" si="36"/>
        <v>0.46300000000000002</v>
      </c>
      <c r="I162">
        <f t="shared" si="38"/>
        <v>0.36595569828722002</v>
      </c>
      <c r="J162">
        <f t="shared" si="39"/>
        <v>1.265180463556042</v>
      </c>
      <c r="K162">
        <f t="shared" si="40"/>
        <v>6</v>
      </c>
    </row>
    <row r="163" spans="1:11" x14ac:dyDescent="0.25">
      <c r="A163" s="1">
        <v>41121</v>
      </c>
      <c r="B163">
        <v>0.43</v>
      </c>
      <c r="C163" s="1">
        <v>41091</v>
      </c>
      <c r="D163" s="5">
        <f t="shared" si="34"/>
        <v>22</v>
      </c>
      <c r="E163">
        <f t="shared" si="35"/>
        <v>7</v>
      </c>
      <c r="F163">
        <f t="shared" si="37"/>
        <v>1</v>
      </c>
      <c r="G163" s="5">
        <f t="shared" si="33"/>
        <v>21</v>
      </c>
      <c r="H163">
        <f t="shared" si="36"/>
        <v>0.42999999999999994</v>
      </c>
      <c r="I163">
        <f t="shared" si="38"/>
        <v>0.36953903162055335</v>
      </c>
      <c r="J163">
        <f t="shared" si="39"/>
        <v>1.1636118601986503</v>
      </c>
      <c r="K163">
        <f t="shared" si="40"/>
        <v>7</v>
      </c>
    </row>
    <row r="164" spans="1:11" x14ac:dyDescent="0.25">
      <c r="A164" s="1">
        <v>41152</v>
      </c>
      <c r="B164">
        <v>0.47599999999999998</v>
      </c>
      <c r="C164" s="1">
        <v>41122</v>
      </c>
      <c r="D164" s="5">
        <f t="shared" si="34"/>
        <v>23</v>
      </c>
      <c r="E164">
        <f t="shared" si="35"/>
        <v>8</v>
      </c>
      <c r="F164">
        <f t="shared" si="37"/>
        <v>0</v>
      </c>
      <c r="G164" s="5">
        <f t="shared" si="33"/>
        <v>23</v>
      </c>
      <c r="H164">
        <f t="shared" si="36"/>
        <v>0.43460869565217386</v>
      </c>
      <c r="I164">
        <f t="shared" si="38"/>
        <v>0.37168486495388664</v>
      </c>
      <c r="J164">
        <f t="shared" si="39"/>
        <v>1.1692934973451068</v>
      </c>
      <c r="K164">
        <f t="shared" si="40"/>
        <v>8</v>
      </c>
    </row>
    <row r="165" spans="1:11" x14ac:dyDescent="0.25">
      <c r="A165" s="1">
        <v>41182</v>
      </c>
      <c r="B165">
        <v>0.372</v>
      </c>
      <c r="C165" s="1">
        <v>41153</v>
      </c>
      <c r="D165" s="5">
        <f t="shared" si="34"/>
        <v>20</v>
      </c>
      <c r="E165">
        <f t="shared" si="35"/>
        <v>9</v>
      </c>
      <c r="F165">
        <f t="shared" si="37"/>
        <v>1</v>
      </c>
      <c r="G165" s="5">
        <f t="shared" si="33"/>
        <v>19</v>
      </c>
      <c r="H165">
        <f t="shared" si="36"/>
        <v>0.41115789473684211</v>
      </c>
      <c r="I165">
        <f t="shared" si="38"/>
        <v>0.37526095191040842</v>
      </c>
      <c r="J165">
        <f t="shared" si="39"/>
        <v>1.0956586147417862</v>
      </c>
      <c r="K165">
        <f t="shared" si="40"/>
        <v>9</v>
      </c>
    </row>
    <row r="166" spans="1:11" x14ac:dyDescent="0.25">
      <c r="A166" s="1">
        <v>41213</v>
      </c>
      <c r="B166">
        <v>0.40100000000000002</v>
      </c>
      <c r="C166" s="1">
        <v>41183</v>
      </c>
      <c r="D166" s="5">
        <f t="shared" si="34"/>
        <v>23</v>
      </c>
      <c r="E166">
        <f t="shared" si="35"/>
        <v>10</v>
      </c>
      <c r="F166">
        <f t="shared" si="37"/>
        <v>1</v>
      </c>
      <c r="G166" s="5">
        <f t="shared" si="33"/>
        <v>22</v>
      </c>
      <c r="H166">
        <f t="shared" si="36"/>
        <v>0.38277272727272726</v>
      </c>
      <c r="I166">
        <f t="shared" si="38"/>
        <v>0.37877410980514531</v>
      </c>
      <c r="J166">
        <f t="shared" si="39"/>
        <v>1.0105567338528998</v>
      </c>
      <c r="K166">
        <f t="shared" si="40"/>
        <v>10</v>
      </c>
    </row>
    <row r="167" spans="1:11" x14ac:dyDescent="0.25">
      <c r="A167" s="1">
        <v>41243</v>
      </c>
      <c r="B167">
        <v>0.38500000000000001</v>
      </c>
      <c r="C167" s="1">
        <v>41214</v>
      </c>
      <c r="D167" s="5">
        <f t="shared" si="34"/>
        <v>22</v>
      </c>
      <c r="E167">
        <f t="shared" si="35"/>
        <v>11</v>
      </c>
      <c r="F167">
        <f t="shared" si="37"/>
        <v>2</v>
      </c>
      <c r="G167" s="5">
        <f t="shared" si="33"/>
        <v>20</v>
      </c>
      <c r="H167">
        <f t="shared" si="36"/>
        <v>0.40425</v>
      </c>
      <c r="I167">
        <f t="shared" si="38"/>
        <v>0.38065933707787258</v>
      </c>
      <c r="J167">
        <f t="shared" si="39"/>
        <v>1.0619731624166135</v>
      </c>
      <c r="K167">
        <f t="shared" si="40"/>
        <v>11</v>
      </c>
    </row>
    <row r="168" spans="1:11" x14ac:dyDescent="0.25">
      <c r="A168" s="1">
        <v>41274</v>
      </c>
      <c r="B168">
        <v>0.374</v>
      </c>
      <c r="C168" s="1">
        <v>41244</v>
      </c>
      <c r="D168" s="5">
        <f t="shared" si="34"/>
        <v>21</v>
      </c>
      <c r="E168">
        <f t="shared" si="35"/>
        <v>12</v>
      </c>
      <c r="F168">
        <f t="shared" si="37"/>
        <v>1</v>
      </c>
      <c r="G168" s="5">
        <f t="shared" si="33"/>
        <v>20</v>
      </c>
      <c r="H168">
        <f t="shared" si="36"/>
        <v>0.39270000000000005</v>
      </c>
      <c r="I168">
        <f t="shared" si="38"/>
        <v>0.3850343370778726</v>
      </c>
      <c r="J168">
        <f t="shared" si="39"/>
        <v>1.0199090371531645</v>
      </c>
      <c r="K168">
        <f t="shared" si="40"/>
        <v>12</v>
      </c>
    </row>
    <row r="169" spans="1:11" x14ac:dyDescent="0.25">
      <c r="A169" s="1">
        <v>41305</v>
      </c>
      <c r="B169">
        <v>0.29099999999999998</v>
      </c>
      <c r="C169" s="1">
        <v>41275</v>
      </c>
      <c r="D169" s="5">
        <f t="shared" si="34"/>
        <v>23</v>
      </c>
      <c r="E169">
        <f t="shared" si="35"/>
        <v>1</v>
      </c>
      <c r="F169">
        <f t="shared" si="37"/>
        <v>2</v>
      </c>
      <c r="G169" s="5">
        <f t="shared" si="33"/>
        <v>21</v>
      </c>
      <c r="H169">
        <f t="shared" si="36"/>
        <v>0.29099999999999998</v>
      </c>
      <c r="I169">
        <f t="shared" si="38"/>
        <v>0.38867600374453931</v>
      </c>
      <c r="J169">
        <f t="shared" si="39"/>
        <v>0.74869556441992824</v>
      </c>
      <c r="K169">
        <f t="shared" si="40"/>
        <v>1</v>
      </c>
    </row>
    <row r="170" spans="1:11" x14ac:dyDescent="0.25">
      <c r="A170" s="1">
        <v>41333</v>
      </c>
      <c r="B170">
        <v>0.30399999999999999</v>
      </c>
      <c r="C170" s="1">
        <v>41306</v>
      </c>
      <c r="D170" s="5">
        <f t="shared" si="34"/>
        <v>20</v>
      </c>
      <c r="E170">
        <f t="shared" si="35"/>
        <v>2</v>
      </c>
      <c r="F170">
        <f t="shared" si="37"/>
        <v>1</v>
      </c>
      <c r="G170" s="5">
        <f t="shared" si="33"/>
        <v>19</v>
      </c>
      <c r="H170">
        <f t="shared" si="36"/>
        <v>0.33600000000000002</v>
      </c>
      <c r="I170">
        <f t="shared" si="38"/>
        <v>0.3901760037445392</v>
      </c>
      <c r="J170">
        <f t="shared" si="39"/>
        <v>0.86114983180767324</v>
      </c>
      <c r="K170">
        <f t="shared" si="40"/>
        <v>2</v>
      </c>
    </row>
    <row r="171" spans="1:11" x14ac:dyDescent="0.25">
      <c r="A171" s="1">
        <v>41364</v>
      </c>
      <c r="B171">
        <v>0.38700000000000001</v>
      </c>
      <c r="C171" s="1">
        <v>41334</v>
      </c>
      <c r="D171" s="5">
        <f t="shared" si="34"/>
        <v>21</v>
      </c>
      <c r="E171">
        <f t="shared" si="35"/>
        <v>3</v>
      </c>
      <c r="F171">
        <f t="shared" si="37"/>
        <v>0</v>
      </c>
      <c r="G171" s="5">
        <f t="shared" si="33"/>
        <v>21</v>
      </c>
      <c r="H171">
        <f t="shared" si="36"/>
        <v>0.38700000000000001</v>
      </c>
      <c r="I171">
        <f t="shared" si="38"/>
        <v>0.3930635037445393</v>
      </c>
      <c r="J171">
        <f t="shared" si="39"/>
        <v>0.98457372997804427</v>
      </c>
      <c r="K171">
        <f t="shared" si="40"/>
        <v>3</v>
      </c>
    </row>
    <row r="172" spans="1:11" x14ac:dyDescent="0.25">
      <c r="A172" s="1">
        <v>41394</v>
      </c>
      <c r="B172">
        <v>0.45400000000000001</v>
      </c>
      <c r="C172" s="1">
        <v>41365</v>
      </c>
      <c r="D172" s="5">
        <f t="shared" si="34"/>
        <v>22</v>
      </c>
      <c r="E172">
        <f t="shared" si="35"/>
        <v>4</v>
      </c>
      <c r="F172">
        <f t="shared" si="37"/>
        <v>0</v>
      </c>
      <c r="G172" s="5">
        <f t="shared" si="33"/>
        <v>22</v>
      </c>
      <c r="H172">
        <f t="shared" si="36"/>
        <v>0.4333636363636364</v>
      </c>
      <c r="I172">
        <f t="shared" si="38"/>
        <v>0.39667714010817567</v>
      </c>
      <c r="J172">
        <f t="shared" si="39"/>
        <v>1.0924845234223886</v>
      </c>
      <c r="K172">
        <f t="shared" si="40"/>
        <v>4</v>
      </c>
    </row>
    <row r="173" spans="1:11" x14ac:dyDescent="0.25">
      <c r="A173" s="1">
        <v>41425</v>
      </c>
      <c r="B173">
        <v>0.51400000000000001</v>
      </c>
      <c r="C173" s="1">
        <v>41395</v>
      </c>
      <c r="D173" s="5">
        <f t="shared" si="34"/>
        <v>23</v>
      </c>
      <c r="E173">
        <f t="shared" si="35"/>
        <v>5</v>
      </c>
      <c r="F173">
        <f t="shared" si="37"/>
        <v>1</v>
      </c>
      <c r="G173" s="5">
        <f t="shared" si="33"/>
        <v>22</v>
      </c>
      <c r="H173">
        <f t="shared" si="36"/>
        <v>0.49063636363636365</v>
      </c>
      <c r="I173">
        <f t="shared" si="38"/>
        <v>0.39945744313847859</v>
      </c>
      <c r="J173">
        <f t="shared" si="39"/>
        <v>1.2282569071225853</v>
      </c>
      <c r="K173">
        <f t="shared" si="40"/>
        <v>5</v>
      </c>
    </row>
    <row r="174" spans="1:11" x14ac:dyDescent="0.25">
      <c r="A174" s="1">
        <v>41455</v>
      </c>
      <c r="B174">
        <v>0.5</v>
      </c>
      <c r="C174" s="1">
        <v>41426</v>
      </c>
      <c r="D174" s="5">
        <f t="shared" si="34"/>
        <v>20</v>
      </c>
      <c r="E174">
        <f t="shared" si="35"/>
        <v>6</v>
      </c>
      <c r="F174">
        <f t="shared" si="37"/>
        <v>0</v>
      </c>
      <c r="G174" s="5">
        <f t="shared" si="33"/>
        <v>20</v>
      </c>
      <c r="H174">
        <f t="shared" si="36"/>
        <v>0.52500000000000002</v>
      </c>
      <c r="I174">
        <f t="shared" si="38"/>
        <v>0.40470744313847867</v>
      </c>
      <c r="J174">
        <f t="shared" si="39"/>
        <v>1.2972333691929676</v>
      </c>
      <c r="K174">
        <f t="shared" si="40"/>
        <v>6</v>
      </c>
    </row>
    <row r="175" spans="1:11" x14ac:dyDescent="0.25">
      <c r="A175" s="1">
        <v>41486</v>
      </c>
      <c r="B175">
        <v>0.51900000000000002</v>
      </c>
      <c r="C175" s="1">
        <v>41456</v>
      </c>
      <c r="D175" s="5">
        <f t="shared" si="34"/>
        <v>23</v>
      </c>
      <c r="E175">
        <f t="shared" si="35"/>
        <v>7</v>
      </c>
      <c r="F175">
        <f t="shared" si="37"/>
        <v>1</v>
      </c>
      <c r="G175" s="5">
        <f t="shared" si="33"/>
        <v>22</v>
      </c>
      <c r="H175">
        <f t="shared" si="36"/>
        <v>0.49540909090909097</v>
      </c>
      <c r="I175">
        <f t="shared" si="38"/>
        <v>0.40987410980514527</v>
      </c>
      <c r="J175">
        <f t="shared" si="39"/>
        <v>1.2086859820070341</v>
      </c>
      <c r="K175">
        <f t="shared" si="40"/>
        <v>7</v>
      </c>
    </row>
    <row r="176" spans="1:11" x14ac:dyDescent="0.25">
      <c r="A176" s="1">
        <v>41517</v>
      </c>
      <c r="B176">
        <v>0.51800000000000002</v>
      </c>
      <c r="C176" s="1">
        <v>41487</v>
      </c>
      <c r="D176" s="5">
        <f t="shared" si="34"/>
        <v>22</v>
      </c>
      <c r="E176">
        <f t="shared" si="35"/>
        <v>8</v>
      </c>
      <c r="F176">
        <f t="shared" si="37"/>
        <v>0</v>
      </c>
      <c r="G176" s="5">
        <f t="shared" si="33"/>
        <v>22</v>
      </c>
      <c r="H176">
        <f t="shared" si="36"/>
        <v>0.49445454545454548</v>
      </c>
      <c r="I176">
        <f t="shared" si="38"/>
        <v>0.41532486738090291</v>
      </c>
      <c r="J176">
        <f t="shared" si="39"/>
        <v>1.1905247778026042</v>
      </c>
      <c r="K176">
        <f t="shared" si="40"/>
        <v>8</v>
      </c>
    </row>
    <row r="177" spans="1:12" x14ac:dyDescent="0.25">
      <c r="A177" s="1">
        <v>41547</v>
      </c>
      <c r="B177">
        <v>0.42699999999999999</v>
      </c>
      <c r="C177" s="1">
        <v>41518</v>
      </c>
      <c r="D177" s="5">
        <f t="shared" si="34"/>
        <v>21</v>
      </c>
      <c r="E177">
        <f t="shared" si="35"/>
        <v>9</v>
      </c>
      <c r="F177">
        <f t="shared" si="37"/>
        <v>1</v>
      </c>
      <c r="G177" s="5">
        <f t="shared" si="33"/>
        <v>20</v>
      </c>
      <c r="H177">
        <f t="shared" si="36"/>
        <v>0.44835000000000003</v>
      </c>
      <c r="I177">
        <f t="shared" si="38"/>
        <v>0.42031202153110053</v>
      </c>
      <c r="J177">
        <f t="shared" si="39"/>
        <v>1.06670753400477</v>
      </c>
      <c r="K177">
        <f t="shared" si="40"/>
        <v>9</v>
      </c>
    </row>
    <row r="178" spans="1:12" x14ac:dyDescent="0.25">
      <c r="A178" s="1">
        <v>41578</v>
      </c>
      <c r="B178">
        <v>0.42399999999999999</v>
      </c>
      <c r="C178" s="1">
        <v>41548</v>
      </c>
      <c r="D178" s="5">
        <f t="shared" si="34"/>
        <v>23</v>
      </c>
      <c r="E178">
        <f t="shared" si="35"/>
        <v>10</v>
      </c>
      <c r="F178">
        <f t="shared" si="37"/>
        <v>1</v>
      </c>
      <c r="G178" s="5">
        <f t="shared" si="33"/>
        <v>22</v>
      </c>
      <c r="H178">
        <f t="shared" si="36"/>
        <v>0.40472727272727271</v>
      </c>
      <c r="I178">
        <f t="shared" si="38"/>
        <v>0.42341136363636372</v>
      </c>
      <c r="J178">
        <f t="shared" si="39"/>
        <v>0.95587248592331742</v>
      </c>
      <c r="K178">
        <f t="shared" si="40"/>
        <v>10</v>
      </c>
    </row>
    <row r="179" spans="1:12" x14ac:dyDescent="0.25">
      <c r="A179" s="1">
        <v>41608</v>
      </c>
      <c r="B179">
        <v>0.36199999999999999</v>
      </c>
      <c r="C179" s="1">
        <v>41579</v>
      </c>
      <c r="D179" s="5">
        <f t="shared" si="34"/>
        <v>21</v>
      </c>
      <c r="E179">
        <f t="shared" si="35"/>
        <v>11</v>
      </c>
      <c r="F179">
        <f t="shared" si="37"/>
        <v>2</v>
      </c>
      <c r="G179" s="5">
        <f t="shared" si="33"/>
        <v>19</v>
      </c>
      <c r="H179">
        <f t="shared" si="36"/>
        <v>0.40010526315789469</v>
      </c>
      <c r="I179">
        <f t="shared" si="38"/>
        <v>0.42524090909090911</v>
      </c>
      <c r="J179">
        <f t="shared" si="39"/>
        <v>0.94089080943141135</v>
      </c>
      <c r="K179">
        <f t="shared" si="40"/>
        <v>11</v>
      </c>
      <c r="L179" t="s">
        <v>6</v>
      </c>
    </row>
    <row r="180" spans="1:12" x14ac:dyDescent="0.25">
      <c r="A180" s="1">
        <v>41639</v>
      </c>
      <c r="B180">
        <v>0.38700000000000001</v>
      </c>
      <c r="C180" s="1">
        <v>41609</v>
      </c>
      <c r="D180" s="5">
        <f t="shared" si="34"/>
        <v>22</v>
      </c>
      <c r="E180">
        <f t="shared" si="35"/>
        <v>12</v>
      </c>
      <c r="F180">
        <f t="shared" si="37"/>
        <v>1</v>
      </c>
      <c r="G180" s="5">
        <f t="shared" si="33"/>
        <v>21</v>
      </c>
      <c r="H180">
        <f t="shared" si="36"/>
        <v>0.38700000000000001</v>
      </c>
      <c r="I180">
        <f>AVERAGE(H168:H179)</f>
        <v>0.42489551435406708</v>
      </c>
      <c r="J180">
        <f>H180/I180</f>
        <v>0.91081215716838893</v>
      </c>
      <c r="K180">
        <f t="shared" si="40"/>
        <v>12</v>
      </c>
    </row>
    <row r="181" spans="1:12" x14ac:dyDescent="0.25">
      <c r="A181" s="1">
        <v>41670</v>
      </c>
      <c r="B181">
        <v>0.28100000000000003</v>
      </c>
      <c r="C181" s="1">
        <v>41640</v>
      </c>
      <c r="D181" s="5">
        <f t="shared" si="34"/>
        <v>23</v>
      </c>
      <c r="E181">
        <f t="shared" si="35"/>
        <v>1</v>
      </c>
      <c r="F181">
        <f t="shared" si="37"/>
        <v>2</v>
      </c>
      <c r="G181" s="5">
        <f t="shared" si="33"/>
        <v>21</v>
      </c>
      <c r="H181">
        <f t="shared" si="36"/>
        <v>0.28100000000000003</v>
      </c>
      <c r="I181">
        <f t="shared" si="38"/>
        <v>0.42442051435406691</v>
      </c>
      <c r="J181">
        <f t="shared" si="39"/>
        <v>0.66207921270643311</v>
      </c>
    </row>
    <row r="182" spans="1:12" x14ac:dyDescent="0.25">
      <c r="A182" s="1">
        <v>41698</v>
      </c>
      <c r="B182">
        <v>0.28199999999999997</v>
      </c>
      <c r="C182" s="1">
        <v>41671</v>
      </c>
      <c r="D182" s="5">
        <f t="shared" si="34"/>
        <v>20</v>
      </c>
      <c r="E182">
        <f t="shared" si="35"/>
        <v>2</v>
      </c>
      <c r="F182">
        <f t="shared" si="37"/>
        <v>1</v>
      </c>
      <c r="G182" s="5">
        <f t="shared" si="33"/>
        <v>19</v>
      </c>
      <c r="H182">
        <f t="shared" si="36"/>
        <v>0.31168421052631573</v>
      </c>
      <c r="I182">
        <f t="shared" si="38"/>
        <v>0.42358718102073367</v>
      </c>
      <c r="J182">
        <f t="shared" si="39"/>
        <v>0.73582068696044767</v>
      </c>
    </row>
    <row r="183" spans="1:12" x14ac:dyDescent="0.25">
      <c r="A183" s="1">
        <v>41729</v>
      </c>
      <c r="B183">
        <v>0.35499999999999998</v>
      </c>
      <c r="C183" s="1">
        <v>41699</v>
      </c>
      <c r="D183" s="5">
        <f t="shared" si="34"/>
        <v>21</v>
      </c>
      <c r="E183">
        <f t="shared" si="35"/>
        <v>3</v>
      </c>
      <c r="F183">
        <f t="shared" si="37"/>
        <v>0</v>
      </c>
      <c r="G183" s="5">
        <f t="shared" si="33"/>
        <v>21</v>
      </c>
      <c r="H183">
        <f t="shared" si="36"/>
        <v>0.35499999999999998</v>
      </c>
      <c r="I183">
        <f t="shared" si="38"/>
        <v>0.42156086523125996</v>
      </c>
      <c r="J183">
        <f t="shared" si="39"/>
        <v>0.84210852875362141</v>
      </c>
    </row>
    <row r="184" spans="1:12" x14ac:dyDescent="0.25">
      <c r="A184" s="1">
        <v>41759</v>
      </c>
      <c r="B184">
        <v>0.42199999999999999</v>
      </c>
      <c r="C184" s="1">
        <v>41730</v>
      </c>
      <c r="D184" s="5">
        <f t="shared" si="34"/>
        <v>22</v>
      </c>
      <c r="E184">
        <f t="shared" si="35"/>
        <v>4</v>
      </c>
      <c r="F184">
        <f t="shared" si="37"/>
        <v>0</v>
      </c>
      <c r="G184" s="5">
        <f t="shared" si="33"/>
        <v>22</v>
      </c>
      <c r="H184">
        <f t="shared" si="36"/>
        <v>0.4028181818181818</v>
      </c>
      <c r="I184">
        <f t="shared" si="38"/>
        <v>0.41889419856459326</v>
      </c>
      <c r="J184">
        <f t="shared" si="39"/>
        <v>0.96162272764459744</v>
      </c>
    </row>
    <row r="185" spans="1:12" x14ac:dyDescent="0.25">
      <c r="A185" s="1">
        <v>41790</v>
      </c>
      <c r="B185">
        <v>0.47299999999999998</v>
      </c>
      <c r="C185" s="1">
        <v>41760</v>
      </c>
      <c r="D185" s="5">
        <f t="shared" si="34"/>
        <v>22</v>
      </c>
      <c r="E185">
        <f t="shared" si="35"/>
        <v>5</v>
      </c>
      <c r="F185">
        <f t="shared" si="37"/>
        <v>1</v>
      </c>
      <c r="G185" s="5">
        <f t="shared" si="33"/>
        <v>21</v>
      </c>
      <c r="H185">
        <f t="shared" si="36"/>
        <v>0.47299999999999998</v>
      </c>
      <c r="I185">
        <f t="shared" si="38"/>
        <v>0.41634874401913874</v>
      </c>
      <c r="J185">
        <f t="shared" si="39"/>
        <v>1.1360668353025152</v>
      </c>
    </row>
    <row r="186" spans="1:12" x14ac:dyDescent="0.25">
      <c r="A186" s="1">
        <v>41820</v>
      </c>
      <c r="B186">
        <v>0.50600000000000001</v>
      </c>
      <c r="C186" s="1">
        <v>41791</v>
      </c>
      <c r="D186" s="5">
        <f t="shared" si="34"/>
        <v>21</v>
      </c>
      <c r="E186">
        <f t="shared" si="35"/>
        <v>6</v>
      </c>
      <c r="F186">
        <f t="shared" si="37"/>
        <v>0</v>
      </c>
      <c r="G186" s="5">
        <f t="shared" si="33"/>
        <v>21</v>
      </c>
      <c r="H186">
        <f t="shared" si="36"/>
        <v>0.50600000000000001</v>
      </c>
      <c r="I186">
        <f t="shared" si="38"/>
        <v>0.41487904704944173</v>
      </c>
      <c r="J186">
        <f t="shared" si="39"/>
        <v>1.2196325738756801</v>
      </c>
    </row>
    <row r="187" spans="1:12" x14ac:dyDescent="0.25">
      <c r="A187" s="1">
        <v>41851</v>
      </c>
      <c r="B187">
        <v>0.49399999999999999</v>
      </c>
      <c r="C187" s="1">
        <v>41821</v>
      </c>
      <c r="D187" s="5">
        <f t="shared" si="34"/>
        <v>23</v>
      </c>
      <c r="E187">
        <f t="shared" si="35"/>
        <v>7</v>
      </c>
      <c r="F187">
        <f t="shared" si="37"/>
        <v>1</v>
      </c>
      <c r="G187" s="5">
        <f>D187-F187</f>
        <v>22</v>
      </c>
      <c r="H187">
        <f t="shared" si="36"/>
        <v>0.47154545454545449</v>
      </c>
      <c r="I187">
        <f t="shared" si="38"/>
        <v>0.41329571371610846</v>
      </c>
      <c r="J187">
        <f t="shared" si="39"/>
        <v>1.1409396199771809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 Model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Chunnip Lee</cp:lastModifiedBy>
  <dcterms:created xsi:type="dcterms:W3CDTF">2014-02-14T14:49:53Z</dcterms:created>
  <dcterms:modified xsi:type="dcterms:W3CDTF">2018-07-05T14:46:52Z</dcterms:modified>
</cp:coreProperties>
</file>