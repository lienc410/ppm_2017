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95" yWindow="1170" windowWidth="42270" windowHeight="14865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" r:id="rId4"/>
  </pivotCaches>
</workbook>
</file>

<file path=xl/calcChain.xml><?xml version="1.0" encoding="utf-8"?>
<calcChain xmlns="http://schemas.openxmlformats.org/spreadsheetml/2006/main">
  <c r="AD20" i="4" l="1"/>
  <c r="X20" i="4"/>
  <c r="R20" i="4"/>
  <c r="O18" i="4"/>
  <c r="F20" i="4"/>
  <c r="AB17" i="4"/>
  <c r="AA17" i="4"/>
  <c r="AC17" i="4" s="1"/>
  <c r="V17" i="4"/>
  <c r="U17" i="4"/>
  <c r="W17" i="4" s="1"/>
  <c r="P17" i="4"/>
  <c r="O17" i="4"/>
  <c r="Q17" i="4" s="1"/>
  <c r="J17" i="4"/>
  <c r="I17" i="4"/>
  <c r="K17" i="4" s="1"/>
  <c r="D17" i="4"/>
  <c r="C17" i="4"/>
  <c r="E17" i="4" s="1"/>
  <c r="C18" i="4"/>
  <c r="AH21" i="4" l="1"/>
  <c r="AG21" i="4"/>
  <c r="AI21" i="4" s="1"/>
  <c r="AI20" i="4"/>
  <c r="AH20" i="4"/>
  <c r="AG20" i="4"/>
  <c r="AH19" i="4"/>
  <c r="AI19" i="4" s="1"/>
  <c r="AG19" i="4"/>
  <c r="AH18" i="4"/>
  <c r="AG18" i="4"/>
  <c r="AI18" i="4" s="1"/>
  <c r="AL46" i="1"/>
  <c r="AM46" i="1"/>
  <c r="AN46" i="1"/>
  <c r="AL47" i="1"/>
  <c r="AM47" i="1"/>
  <c r="AN47" i="1"/>
  <c r="AL48" i="1"/>
  <c r="AM48" i="1"/>
  <c r="AN48" i="1"/>
  <c r="AL49" i="1"/>
  <c r="AM49" i="1"/>
  <c r="AN49" i="1"/>
  <c r="AL50" i="1"/>
  <c r="AM50" i="1"/>
  <c r="AN50" i="1"/>
  <c r="AL51" i="1"/>
  <c r="AM51" i="1"/>
  <c r="AN51" i="1"/>
  <c r="AL52" i="1"/>
  <c r="AM52" i="1"/>
  <c r="AN52" i="1"/>
  <c r="AL53" i="1"/>
  <c r="AM53" i="1"/>
  <c r="AN53" i="1"/>
  <c r="AL54" i="1"/>
  <c r="AM54" i="1"/>
  <c r="AN54" i="1"/>
  <c r="AB21" i="4" l="1"/>
  <c r="AA21" i="4"/>
  <c r="AC21" i="4" s="1"/>
  <c r="AB20" i="4"/>
  <c r="AA20" i="4"/>
  <c r="AB19" i="4"/>
  <c r="AA19" i="4"/>
  <c r="AB18" i="4"/>
  <c r="AA18" i="4"/>
  <c r="AC18" i="4" s="1"/>
  <c r="V21" i="4"/>
  <c r="U21" i="4"/>
  <c r="W21" i="4" s="1"/>
  <c r="V20" i="4"/>
  <c r="U20" i="4"/>
  <c r="V19" i="4"/>
  <c r="U19" i="4"/>
  <c r="V18" i="4"/>
  <c r="U18" i="4"/>
  <c r="W18" i="4" s="1"/>
  <c r="P21" i="4"/>
  <c r="O21" i="4"/>
  <c r="Q21" i="4" s="1"/>
  <c r="P20" i="4"/>
  <c r="O20" i="4"/>
  <c r="P19" i="4"/>
  <c r="O19" i="4"/>
  <c r="P18" i="4"/>
  <c r="Q18" i="4"/>
  <c r="J21" i="4"/>
  <c r="I21" i="4"/>
  <c r="K21" i="4" s="1"/>
  <c r="J20" i="4"/>
  <c r="I20" i="4"/>
  <c r="J19" i="4"/>
  <c r="I19" i="4"/>
  <c r="K19" i="4" s="1"/>
  <c r="J18" i="4"/>
  <c r="I18" i="4"/>
  <c r="D18" i="4"/>
  <c r="D19" i="4"/>
  <c r="D20" i="4"/>
  <c r="D21" i="4"/>
  <c r="E18" i="4"/>
  <c r="C19" i="4"/>
  <c r="C20" i="4"/>
  <c r="C21" i="4"/>
  <c r="E21" i="4" s="1"/>
  <c r="A21" i="4"/>
  <c r="A18" i="4"/>
  <c r="A19" i="4"/>
  <c r="A20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E19" i="4" l="1"/>
  <c r="Q19" i="4"/>
  <c r="W19" i="4"/>
  <c r="AC19" i="4"/>
  <c r="E20" i="4"/>
  <c r="Q20" i="4"/>
  <c r="W20" i="4"/>
  <c r="AC20" i="4"/>
  <c r="K20" i="4"/>
  <c r="K18" i="4"/>
  <c r="L20" i="4" s="1"/>
</calcChain>
</file>

<file path=xl/sharedStrings.xml><?xml version="1.0" encoding="utf-8"?>
<sst xmlns="http://schemas.openxmlformats.org/spreadsheetml/2006/main" count="157" uniqueCount="54">
  <si>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</si>
  <si>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</si>
  <si>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</si>
  <si>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</si>
  <si>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</si>
  <si>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</si>
  <si>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</si>
  <si>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</si>
  <si>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</si>
  <si>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</si>
  <si>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</si>
  <si>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</si>
  <si>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</si>
  <si>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</si>
  <si>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</si>
  <si>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</si>
  <si>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</si>
  <si>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</si>
  <si>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</si>
  <si>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</si>
  <si>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</si>
  <si>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</si>
  <si>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</si>
  <si>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</si>
  <si>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</si>
  <si>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</si>
  <si>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</si>
  <si>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</si>
  <si>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</si>
  <si>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</si>
  <si>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</si>
  <si>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</si>
  <si>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</si>
  <si>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</si>
  <si>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</si>
  <si>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</si>
  <si>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</si>
  <si>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</si>
  <si>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</si>
  <si>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</si>
  <si>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</si>
  <si>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</si>
  <si>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</si>
  <si>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</si>
  <si>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</si>
  <si>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</si>
  <si>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</si>
  <si>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</si>
  <si>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</si>
  <si>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</si>
  <si>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</si>
  <si>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</si>
  <si>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aggregate</t>
  </si>
  <si>
    <t>200 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</si>
</sst>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11" fontId="0" fillId="0" borderId="0" xfId="0" applyNumberFormat="1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  <xf numFmtId="0" fontId="0" fillId="35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Analysis!$A$18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(Analysis!$C$18,Analysis!$I$18,Analysis!$O$18,Analysis!$U$18,Analysis!$AA$18)</c:f>
              <c:numCache>
                <c:formatCode>_(* #,##0.00_);_(* \(#,##0.00\);_(* "-"??_);_(@_)</c:formatCode>
                <c:ptCount val="5"/>
                <c:pt idx="0">
                  <c:v>8.7588561871538175</c:v>
                </c:pt>
                <c:pt idx="1">
                  <c:v>7.666293124468937</c:v>
                </c:pt>
                <c:pt idx="2">
                  <c:v>8.5675067916609944</c:v>
                </c:pt>
                <c:pt idx="3">
                  <c:v>6.7860173260783974</c:v>
                </c:pt>
                <c:pt idx="4">
                  <c:v>5.5371244960777606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Analysis!$A$19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(Analysis!$C$19,Analysis!$I$19,Analysis!$O$19,Analysis!$U$19,Analysis!$AA$19)</c:f>
              <c:numCache>
                <c:formatCode>_(* #,##0.00_);_(* \(#,##0.00\);_(* "-"??_);_(@_)</c:formatCode>
                <c:ptCount val="5"/>
                <c:pt idx="0">
                  <c:v>8.8247395080245266</c:v>
                </c:pt>
                <c:pt idx="1">
                  <c:v>8.6631357164313467</c:v>
                </c:pt>
                <c:pt idx="2">
                  <c:v>8.0486040970754065</c:v>
                </c:pt>
                <c:pt idx="3">
                  <c:v>8.155747829119619</c:v>
                </c:pt>
                <c:pt idx="4">
                  <c:v>6.558319164989701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Analysis!$A$20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(Analysis!$C$20,Analysis!$I$20,Analysis!$O$20,Analysis!$U$20,Analysis!$AA$20)</c:f>
              <c:numCache>
                <c:formatCode>_(* #,##0.00_);_(* \(#,##0.00\);_(* "-"??_);_(@_)</c:formatCode>
                <c:ptCount val="5"/>
                <c:pt idx="0">
                  <c:v>9.4107873577290562</c:v>
                </c:pt>
                <c:pt idx="1">
                  <c:v>8.9975341728277485</c:v>
                </c:pt>
                <c:pt idx="2">
                  <c:v>9.0118410693269428</c:v>
                </c:pt>
                <c:pt idx="3">
                  <c:v>8.8155633304505479</c:v>
                </c:pt>
                <c:pt idx="4">
                  <c:v>7.7391459369218989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(Analysis!$C$21,Analysis!$I$21,Analysis!$O$21,Analysis!$U$21,Analysis!$AA$21)</c:f>
              <c:numCache>
                <c:formatCode>_(* #,##0.00_);_(* \(#,##0.00\);_(* "-"??_);_(@_)</c:formatCode>
                <c:ptCount val="5"/>
                <c:pt idx="0">
                  <c:v>9.4630623469689201</c:v>
                </c:pt>
                <c:pt idx="1">
                  <c:v>9.9740949025583614</c:v>
                </c:pt>
                <c:pt idx="2">
                  <c:v>9.884441601138505</c:v>
                </c:pt>
                <c:pt idx="3">
                  <c:v>9.5259634316378623</c:v>
                </c:pt>
                <c:pt idx="4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70432"/>
        <c:axId val="132645248"/>
      </c:lineChart>
      <c:catAx>
        <c:axId val="132770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32645248"/>
        <c:crosses val="autoZero"/>
        <c:auto val="1"/>
        <c:lblAlgn val="ctr"/>
        <c:lblOffset val="100"/>
        <c:noMultiLvlLbl val="0"/>
      </c:catAx>
      <c:valAx>
        <c:axId val="13264524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2770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Analysis!$C$18:$C$21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Analysis!$D$18:$D$21</c:f>
              <c:numCache>
                <c:formatCode>_(* #,##0.00_);_(* \(#,##0.00\);_(* "-"??_);_(@_)</c:formatCode>
                <c:ptCount val="4"/>
                <c:pt idx="0">
                  <c:v>8.0196002928901393</c:v>
                </c:pt>
                <c:pt idx="1">
                  <c:v>8.5133998647350388</c:v>
                </c:pt>
                <c:pt idx="2">
                  <c:v>9.4347364729267973</c:v>
                </c:pt>
                <c:pt idx="3">
                  <c:v>9.8627692933359601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66496"/>
        <c:axId val="132668032"/>
      </c:lineChart>
      <c:catAx>
        <c:axId val="13266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668032"/>
        <c:crosses val="autoZero"/>
        <c:auto val="1"/>
        <c:lblAlgn val="ctr"/>
        <c:lblOffset val="100"/>
        <c:noMultiLvlLbl val="0"/>
      </c:catAx>
      <c:valAx>
        <c:axId val="1326680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2666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Analysis!$I$18:$I$21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Analysis!$J$18:$J$21</c:f>
              <c:numCache>
                <c:formatCode>_(* #,##0.00_);_(* \(#,##0.00\);_(* "-"??_);_(@_)</c:formatCode>
                <c:ptCount val="4"/>
                <c:pt idx="0">
                  <c:v>7.2357043072027727</c:v>
                </c:pt>
                <c:pt idx="1">
                  <c:v>7.7283005924223218</c:v>
                </c:pt>
                <c:pt idx="2">
                  <c:v>8.7949407349768975</c:v>
                </c:pt>
                <c:pt idx="3">
                  <c:v>9.3325604079103837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92992"/>
        <c:axId val="132698880"/>
      </c:lineChart>
      <c:catAx>
        <c:axId val="13269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698880"/>
        <c:crosses val="autoZero"/>
        <c:auto val="1"/>
        <c:lblAlgn val="ctr"/>
        <c:lblOffset val="100"/>
        <c:noMultiLvlLbl val="0"/>
      </c:catAx>
      <c:valAx>
        <c:axId val="1326988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2692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Analysis!$O$18:$O$21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Analysis!$P$18:$P$21</c:f>
              <c:numCache>
                <c:formatCode>_(* #,##0.00_);_(* \(#,##0.00\);_(* "-"??_);_(@_)</c:formatCode>
                <c:ptCount val="4"/>
                <c:pt idx="0">
                  <c:v>6.5365540657353893</c:v>
                </c:pt>
                <c:pt idx="1">
                  <c:v>7.0706840345185267</c:v>
                </c:pt>
                <c:pt idx="2">
                  <c:v>8.2301002184556715</c:v>
                </c:pt>
                <c:pt idx="3">
                  <c:v>8.8463189679220182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30048"/>
        <c:axId val="133331584"/>
      </c:lineChart>
      <c:catAx>
        <c:axId val="1333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331584"/>
        <c:crosses val="autoZero"/>
        <c:auto val="1"/>
        <c:lblAlgn val="ctr"/>
        <c:lblOffset val="100"/>
        <c:noMultiLvlLbl val="0"/>
      </c:catAx>
      <c:valAx>
        <c:axId val="1333315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30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Analysis!$U$18:$U$21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Analysis!$V$18:$V$21</c:f>
              <c:numCache>
                <c:formatCode>_(* #,##0.00_);_(* \(#,##0.00\);_(* "-"??_);_(@_)</c:formatCode>
                <c:ptCount val="4"/>
                <c:pt idx="0">
                  <c:v>6.0166389421437261</c:v>
                </c:pt>
                <c:pt idx="1">
                  <c:v>6.593953187334356</c:v>
                </c:pt>
                <c:pt idx="2">
                  <c:v>7.7931505619998731</c:v>
                </c:pt>
                <c:pt idx="3">
                  <c:v>8.4680205589434117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60640"/>
        <c:axId val="133366528"/>
      </c:lineChart>
      <c:catAx>
        <c:axId val="13336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366528"/>
        <c:crosses val="autoZero"/>
        <c:auto val="1"/>
        <c:lblAlgn val="ctr"/>
        <c:lblOffset val="100"/>
        <c:noMultiLvlLbl val="0"/>
      </c:catAx>
      <c:valAx>
        <c:axId val="1333665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60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Analysis!$AA$18:$AA$21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Analysis!$AB$18:$AB$21</c:f>
              <c:numCache>
                <c:formatCode>_(* #,##0.00_);_(* \(#,##0.00\);_(* "-"??_);_(@_)</c:formatCode>
                <c:ptCount val="4"/>
                <c:pt idx="0">
                  <c:v>5.2906255942595015</c:v>
                </c:pt>
                <c:pt idx="1">
                  <c:v>6.1264276494745751</c:v>
                </c:pt>
                <c:pt idx="2">
                  <c:v>7.5826950795479071</c:v>
                </c:pt>
                <c:pt idx="3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91488"/>
        <c:axId val="133393024"/>
      </c:lineChart>
      <c:catAx>
        <c:axId val="13339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393024"/>
        <c:crosses val="autoZero"/>
        <c:auto val="1"/>
        <c:lblAlgn val="ctr"/>
        <c:lblOffset val="100"/>
        <c:noMultiLvlLbl val="0"/>
      </c:catAx>
      <c:valAx>
        <c:axId val="1333930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91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Analysis!$A$18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(Analysis!$D$18,Analysis!$J$18,Analysis!$P$18,Analysis!$V$18,Analysis!$AB$18)</c:f>
              <c:numCache>
                <c:formatCode>_(* #,##0.00_);_(* \(#,##0.00\);_(* "-"??_);_(@_)</c:formatCode>
                <c:ptCount val="5"/>
                <c:pt idx="0">
                  <c:v>8.0196002928901393</c:v>
                </c:pt>
                <c:pt idx="1">
                  <c:v>7.2357043072027727</c:v>
                </c:pt>
                <c:pt idx="2">
                  <c:v>6.5365540657353893</c:v>
                </c:pt>
                <c:pt idx="3">
                  <c:v>6.0166389421437261</c:v>
                </c:pt>
                <c:pt idx="4">
                  <c:v>5.2906255942595015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Analysis!$A$19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(Analysis!$D$19,Analysis!$J$19,Analysis!$P$19,Analysis!$V$19,Analysis!$AB$19)</c:f>
              <c:numCache>
                <c:formatCode>_(* #,##0.00_);_(* \(#,##0.00\);_(* "-"??_);_(@_)</c:formatCode>
                <c:ptCount val="5"/>
                <c:pt idx="0">
                  <c:v>8.5133998647350388</c:v>
                </c:pt>
                <c:pt idx="1">
                  <c:v>7.7283005924223218</c:v>
                </c:pt>
                <c:pt idx="2">
                  <c:v>7.0706840345185267</c:v>
                </c:pt>
                <c:pt idx="3">
                  <c:v>6.593953187334356</c:v>
                </c:pt>
                <c:pt idx="4">
                  <c:v>6.1264276494745751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Analysis!$A$20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(Analysis!$D$20,Analysis!$J$20,Analysis!$P$20,Analysis!$V$20,Analysis!$AB$20)</c:f>
              <c:numCache>
                <c:formatCode>_(* #,##0.00_);_(* \(#,##0.00\);_(* "-"??_);_(@_)</c:formatCode>
                <c:ptCount val="5"/>
                <c:pt idx="0">
                  <c:v>9.4347364729267973</c:v>
                </c:pt>
                <c:pt idx="1">
                  <c:v>8.7949407349768975</c:v>
                </c:pt>
                <c:pt idx="2">
                  <c:v>8.2301002184556715</c:v>
                </c:pt>
                <c:pt idx="3">
                  <c:v>7.7931505619998731</c:v>
                </c:pt>
                <c:pt idx="4">
                  <c:v>7.5826950795479071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Analysis!$A$21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(Analysis!$D$21,Analysis!$J$21,Analysis!$P$21,Analysis!$V$21,Analysis!$AB$21)</c:f>
              <c:numCache>
                <c:formatCode>_(* #,##0.00_);_(* \(#,##0.00\);_(* "-"??_);_(@_)</c:formatCode>
                <c:ptCount val="5"/>
                <c:pt idx="0">
                  <c:v>9.8627692933359601</c:v>
                </c:pt>
                <c:pt idx="1">
                  <c:v>9.3325604079103837</c:v>
                </c:pt>
                <c:pt idx="2">
                  <c:v>8.8463189679220182</c:v>
                </c:pt>
                <c:pt idx="3">
                  <c:v>8.4680205589434117</c:v>
                </c:pt>
                <c:pt idx="4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27968"/>
        <c:axId val="133429504"/>
      </c:lineChart>
      <c:catAx>
        <c:axId val="133427968"/>
        <c:scaling>
          <c:orientation val="minMax"/>
        </c:scaling>
        <c:delete val="0"/>
        <c:axPos val="b"/>
        <c:majorTickMark val="out"/>
        <c:minorTickMark val="none"/>
        <c:tickLblPos val="nextTo"/>
        <c:crossAx val="133429504"/>
        <c:crosses val="autoZero"/>
        <c:auto val="1"/>
        <c:lblAlgn val="ctr"/>
        <c:lblOffset val="100"/>
        <c:noMultiLvlLbl val="0"/>
      </c:catAx>
      <c:valAx>
        <c:axId val="13342950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33427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Analysis!$AG$15:$AG$16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Analysis!$AG$18:$AG$21</c:f>
              <c:numCache>
                <c:formatCode>_(* #,##0.00_);_(* \(#,##0.00\);_(* "-"??_);_(@_)</c:formatCode>
                <c:ptCount val="4"/>
                <c:pt idx="0">
                  <c:v>5.2651154391612938</c:v>
                </c:pt>
                <c:pt idx="1">
                  <c:v>6.3882609630946057</c:v>
                </c:pt>
                <c:pt idx="2">
                  <c:v>7.5605686208800478</c:v>
                </c:pt>
                <c:pt idx="3">
                  <c:v>8.5383919409659619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Analysis!$AH$15:$AH$16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Analysis!$A$18:$A$21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Analysis!$AH$18:$AH$21</c:f>
              <c:numCache>
                <c:formatCode>_(* #,##0.00_);_(* \(#,##0.00\);_(* "-"??_);_(@_)</c:formatCode>
                <c:ptCount val="4"/>
                <c:pt idx="0">
                  <c:v>5.2740519666239161</c:v>
                </c:pt>
                <c:pt idx="1">
                  <c:v>6.1176829095727081</c:v>
                </c:pt>
                <c:pt idx="2">
                  <c:v>7.576696716778331</c:v>
                </c:pt>
                <c:pt idx="3">
                  <c:v>8.4778228264560376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07712"/>
        <c:axId val="133521792"/>
      </c:lineChart>
      <c:catAx>
        <c:axId val="13350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521792"/>
        <c:crosses val="autoZero"/>
        <c:auto val="1"/>
        <c:lblAlgn val="ctr"/>
        <c:lblOffset val="100"/>
        <c:noMultiLvlLbl val="0"/>
      </c:catAx>
      <c:valAx>
        <c:axId val="133521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507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26</xdr:row>
      <xdr:rowOff>133350</xdr:rowOff>
    </xdr:from>
    <xdr:to>
      <xdr:col>7</xdr:col>
      <xdr:colOff>138112</xdr:colOff>
      <xdr:row>41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42</xdr:row>
      <xdr:rowOff>161925</xdr:rowOff>
    </xdr:from>
    <xdr:to>
      <xdr:col>7</xdr:col>
      <xdr:colOff>128587</xdr:colOff>
      <xdr:row>57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42</xdr:row>
      <xdr:rowOff>171450</xdr:rowOff>
    </xdr:from>
    <xdr:to>
      <xdr:col>13</xdr:col>
      <xdr:colOff>785812</xdr:colOff>
      <xdr:row>57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42</xdr:row>
      <xdr:rowOff>180975</xdr:rowOff>
    </xdr:from>
    <xdr:to>
      <xdr:col>20</xdr:col>
      <xdr:colOff>452437</xdr:colOff>
      <xdr:row>57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43</xdr:row>
      <xdr:rowOff>0</xdr:rowOff>
    </xdr:from>
    <xdr:to>
      <xdr:col>27</xdr:col>
      <xdr:colOff>490537</xdr:colOff>
      <xdr:row>57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43</xdr:row>
      <xdr:rowOff>66675</xdr:rowOff>
    </xdr:from>
    <xdr:to>
      <xdr:col>34</xdr:col>
      <xdr:colOff>200025</xdr:colOff>
      <xdr:row>57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26</xdr:row>
      <xdr:rowOff>123825</xdr:rowOff>
    </xdr:from>
    <xdr:to>
      <xdr:col>13</xdr:col>
      <xdr:colOff>785812</xdr:colOff>
      <xdr:row>41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33337</xdr:colOff>
      <xdr:row>59</xdr:row>
      <xdr:rowOff>57150</xdr:rowOff>
    </xdr:from>
    <xdr:to>
      <xdr:col>34</xdr:col>
      <xdr:colOff>471487</xdr:colOff>
      <xdr:row>73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6.580645833332" createdVersion="4" refreshedVersion="4" minRefreshableVersion="3" recordCount="54">
  <cacheSource type="worksheet">
    <worksheetSource ref="B1:AN55" sheet="Tracking_aggData_by_incentive_2"/>
  </cacheSource>
  <cacheFields count="39">
    <cacheField name="waolsBucket" numFmtId="0">
      <sharedItems containsBlank="1" containsMixedTypes="1" containsNumber="1" containsInteger="1" minValue="85" maxValue="200" count="7">
        <n v="110"/>
        <n v="150"/>
        <n v="175"/>
        <n v="200"/>
        <n v="85"/>
        <s v="200 CLS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9154506430659303" maxValue="0.86157441815248603"/>
    </cacheField>
    <cacheField name="track.err" numFmtId="0">
      <sharedItems containsString="0" containsBlank="1" containsNumber="1" minValue="-1.7837848944336701" maxValue="0.579500098665643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8553545652288798" maxValue="0.70895725670690202"/>
    </cacheField>
    <cacheField name="refi.smm" numFmtId="0">
      <sharedItems containsString="0" containsBlank="1" containsNumber="1" minValue="2.9528327006597501E-6" maxValue="0.174967209188034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2.948090843432695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60.50554027350699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9458258674"/>
    </cacheField>
    <cacheField name="media_effect" numFmtId="0">
      <sharedItems containsString="0" containsBlank="1" containsNumber="1" minValue="20.9" maxValue="31.262326518027798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4906162597987699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5.1167910922909741"/>
    </cacheField>
    <cacheField name="model w/o refi" numFmtId="0">
      <sharedItems containsString="0" containsBlank="1" containsNumber="1" minValue="0.39153797628785453" maxValue="0.8289115441534245"/>
    </cacheField>
    <cacheField name="Ratio w/o refi" numFmtId="0">
      <sharedItems containsString="0" containsBlank="1" containsNumber="1" minValue="0" maxValue="5.11688720894501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n v="0"/>
    <n v="0.52169952276127896"/>
    <n v="0.52169952276127896"/>
    <n v="4.63679339383231E-2"/>
    <n v="7.0095480037455603E-3"/>
    <n v="4.63679339383231E-2"/>
    <n v="0.4219492494973540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2169466537774556"/>
    <n v="0"/>
  </r>
  <r>
    <x v="0"/>
    <x v="1"/>
    <n v="0"/>
    <n v="0.579500098665643"/>
    <n v="0.579500098665643"/>
    <n v="4.8825977875538502E-2"/>
    <n v="7.0621007871939402E-3"/>
    <n v="4.8825977875538502E-2"/>
    <n v="0.47478128445790402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57949534099617528"/>
    <n v="0"/>
  </r>
  <r>
    <x v="0"/>
    <x v="2"/>
    <n v="0.80176924152882501"/>
    <n v="0.54706694481752904"/>
    <n v="-0.25470229671129602"/>
    <n v="4.8826038693448502E-2"/>
    <n v="5.90533291641125E-3"/>
    <n v="4.8826038693448502E-2"/>
    <n v="0.44350490347350102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4655779317762481"/>
    <n v="0.54706231377680925"/>
    <n v="1.4655903383173479"/>
  </r>
  <r>
    <x v="0"/>
    <x v="3"/>
    <n v="0.25237078541822899"/>
    <n v="0.55387477788238304"/>
    <n v="0.30150399246415499"/>
    <n v="4.8616782253292599E-2"/>
    <n v="1.23485300185101E-2"/>
    <n v="4.8616782253292599E-2"/>
    <n v="0.44428820186484902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5564592484805416"/>
    <n v="0.55387029638994423"/>
    <n v="0.45564961158442602"/>
  </r>
  <r>
    <x v="0"/>
    <x v="4"/>
    <n v="0.78584576868868605"/>
    <n v="0.58843688263321903"/>
    <n v="-0.197408886055467"/>
    <n v="4.8309876020482402E-2"/>
    <n v="1.0654983856745201E-2"/>
    <n v="4.8309876020482402E-2"/>
    <n v="0.48115766799870302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3354801370914657"/>
    <n v="0.58843240389641305"/>
    <n v="1.3354903018342705"/>
  </r>
  <r>
    <x v="0"/>
    <x v="5"/>
    <n v="0.66247028344860104"/>
    <n v="0.62394834819357603"/>
    <n v="-3.8521935255024099E-2"/>
    <n v="4.8263871639751002E-2"/>
    <n v="1.3406272639541099E-2"/>
    <n v="4.8263871639751002E-2"/>
    <n v="0.51400981642204202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617389810655831"/>
    <n v="0.6239438323410843"/>
    <n v="1.061746665501865"/>
  </r>
  <r>
    <x v="0"/>
    <x v="6"/>
    <n v="0.75228695771266696"/>
    <n v="0.66803124058603203"/>
    <n v="-8.4255717126634905E-2"/>
    <n v="4.83975426975383E-2"/>
    <n v="1.40277843127187E-2"/>
    <n v="4.83975426975383E-2"/>
    <n v="0.55632483174540504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1261254145131319"/>
    <n v="0.66714770145320057"/>
    <n v="1.1276168022073876"/>
  </r>
  <r>
    <x v="0"/>
    <x v="7"/>
    <n v="0.78261799640429697"/>
    <n v="0.76422993277402596"/>
    <n v="-1.8388063630270401E-2"/>
    <n v="4.87590885353478E-2"/>
    <n v="1.5075200404070401E-2"/>
    <n v="4.87590885353478E-2"/>
    <n v="0.62828614479809097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1.0240609047639961"/>
    <n v="0.74087952227285669"/>
    <n v="1.0563363851701499"/>
  </r>
  <r>
    <x v="0"/>
    <x v="8"/>
    <n v="0.87178375675221098"/>
    <n v="0.81310860491459602"/>
    <n v="-5.8675151837614702E-2"/>
    <n v="4.9485138753192201E-2"/>
    <n v="1.83533129715002E-2"/>
    <n v="4.9485138753192201E-2"/>
    <n v="0.63786453048891201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721615187478897"/>
    <n v="0.75518812096679677"/>
    <n v="1.1543928361004245"/>
  </r>
  <r>
    <x v="1"/>
    <x v="0"/>
    <n v="0"/>
    <n v="0.41157295711028002"/>
    <n v="0.41157295711028002"/>
    <n v="5.2374562962963001E-2"/>
    <n v="6.6130836168570297E-4"/>
    <n v="5.2374562962963001E-2"/>
    <n v="0.30615788469233701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1156831897994839"/>
    <n v="0"/>
  </r>
  <r>
    <x v="1"/>
    <x v="1"/>
    <n v="3.0158558698900298E-3"/>
    <n v="0.42422359354725298"/>
    <n v="0.42120773767736303"/>
    <n v="4.8630407047420797E-2"/>
    <n v="1.7276102316230899E-3"/>
    <n v="4.8630407047420797E-2"/>
    <n v="0.32523061777169499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7.109118671765018E-3"/>
    <n v="0.42421904209815969"/>
    <n v="7.1091949455493637E-3"/>
  </r>
  <r>
    <x v="1"/>
    <x v="2"/>
    <n v="1.4011899431400699E-2"/>
    <n v="0.48301323170816501"/>
    <n v="0.46900133227676499"/>
    <n v="4.8585020112481198E-2"/>
    <n v="7.0348562869350598E-3"/>
    <n v="4.8585020112481198E-2"/>
    <n v="0.37880308040712501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900934904380972E-2"/>
    <n v="0.4830079769190217"/>
    <n v="2.9009664645248401E-2"/>
  </r>
  <r>
    <x v="1"/>
    <x v="3"/>
    <n v="0.35037417787806702"/>
    <n v="0.51058740521128798"/>
    <n v="0.16021322733322099"/>
    <n v="4.8323393376962301E-2"/>
    <n v="1.0485796320760601E-2"/>
    <n v="4.8323393376962301E-2"/>
    <n v="0.40344938547761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8621782343627813"/>
    <n v="0.51058196855230398"/>
    <n v="0.68622513025971599"/>
  </r>
  <r>
    <x v="1"/>
    <x v="4"/>
    <n v="0.71376871313629697"/>
    <n v="0.53512506981140495"/>
    <n v="-0.17864364332489199"/>
    <n v="4.8312030645874499E-2"/>
    <n v="9.6760258073164997E-3"/>
    <n v="4.8312030645874499E-2"/>
    <n v="0.42881960684165299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3338353095433404"/>
    <n v="0.53511969394071834"/>
    <n v="1.3338487093980318"/>
  </r>
  <r>
    <x v="1"/>
    <x v="5"/>
    <n v="0.74363181723453298"/>
    <n v="0.56174775270754196"/>
    <n v="-0.18188406452699099"/>
    <n v="4.8159461999574701E-2"/>
    <n v="1.0876871701301E-2"/>
    <n v="4.8159461999574701E-2"/>
    <n v="0.45454657203404403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3237824515546994"/>
    <n v="0.56174236773449526"/>
    <n v="1.3237951415941744"/>
  </r>
  <r>
    <x v="1"/>
    <x v="6"/>
    <n v="0.69681138195660197"/>
    <n v="0.60922850779021998"/>
    <n v="-8.7582874166381802E-2"/>
    <n v="4.83628969264569E-2"/>
    <n v="1.1897032527530001E-2"/>
    <n v="4.83628969264569E-2"/>
    <n v="0.49552278541495898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1437603018349563"/>
    <n v="0.60414561179540316"/>
    <n v="1.1533831717916716"/>
  </r>
  <r>
    <x v="1"/>
    <x v="7"/>
    <n v="0.78391795670064501"/>
    <n v="0.713160117971397"/>
    <n v="-7.0757838729248193E-2"/>
    <n v="4.8766924029624403E-2"/>
    <n v="1.250086823555E-2"/>
    <n v="4.8766924029624403E-2"/>
    <n v="0.56227090502139498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1.099217324337374"/>
    <n v="0.67230562131619442"/>
    <n v="1.1660142825608739"/>
  </r>
  <r>
    <x v="1"/>
    <x v="8"/>
    <n v="0.86356101428058196"/>
    <n v="0.76888964813571803"/>
    <n v="-9.46713661448636E-2"/>
    <n v="4.9582621902595103E-2"/>
    <n v="1.5224202316597E-2"/>
    <n v="4.9582621902595103E-2"/>
    <n v="0.57282254810575195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1.1231273777380253"/>
    <n v="0.68721199422753876"/>
    <n v="1.2566151661122686"/>
  </r>
  <r>
    <x v="2"/>
    <x v="1"/>
    <n v="0"/>
    <n v="0.43959256930486001"/>
    <n v="0.43959256930486001"/>
    <n v="4.8567768974877801E-2"/>
    <n v="3.2702461795712698E-3"/>
    <n v="4.8567768974877801E-2"/>
    <n v="0.33918011947246501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43958590360179134"/>
    <n v="0"/>
  </r>
  <r>
    <x v="2"/>
    <x v="2"/>
    <n v="2.59566697283704E-2"/>
    <n v="0.46259007435092903"/>
    <n v="0.43663340462255901"/>
    <n v="4.7934321340072701E-2"/>
    <n v="7.44715668120684E-3"/>
    <n v="4.7934321340072701E-2"/>
    <n v="0.35926795254461602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5.6111601107721155E-2"/>
    <n v="0.46258375190596762"/>
    <n v="5.611236802291919E-2"/>
  </r>
  <r>
    <x v="2"/>
    <x v="3"/>
    <n v="0.45182697437541902"/>
    <n v="0.47344758623885702"/>
    <n v="2.16206118634387E-2"/>
    <n v="4.8351167836982401E-2"/>
    <n v="8.5568914610602807E-3"/>
    <n v="4.8351167836982401E-2"/>
    <n v="0.36818226299055401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95433367390211965"/>
    <n v="0.47344149012557885"/>
    <n v="0.9543459620650766"/>
  </r>
  <r>
    <x v="2"/>
    <x v="4"/>
    <n v="0.55552322521742603"/>
    <n v="0.49543236230774501"/>
    <n v="-6.0090862909680298E-2"/>
    <n v="4.82700513509133E-2"/>
    <n v="8.3288565171176897E-3"/>
    <n v="4.82700513509133E-2"/>
    <n v="0.39055729835209901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1.1212897410047564"/>
    <n v="0.49542625757104314"/>
    <n v="1.1213035577504995"/>
  </r>
  <r>
    <x v="2"/>
    <x v="5"/>
    <n v="0.58389240736353099"/>
    <n v="0.5157688994031"/>
    <n v="-6.8123507960430194E-2"/>
    <n v="4.8117572214494198E-2"/>
    <n v="8.6552039642488806E-3"/>
    <n v="4.8117572214494198E-2"/>
    <n v="0.41087243739558799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1.1320814574885583"/>
    <n v="0.51576278578882484"/>
    <n v="1.1320948766602197"/>
  </r>
  <r>
    <x v="2"/>
    <x v="6"/>
    <n v="0.706459051979482"/>
    <n v="0.566838223720594"/>
    <n v="-0.139620828258888"/>
    <n v="4.8337096283761198E-2"/>
    <n v="9.7600375946156007E-3"/>
    <n v="4.8337096283761198E-2"/>
    <n v="0.44993817040165901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2463151255793046"/>
    <n v="0.55637240056379755"/>
    <n v="1.2697593397220905"/>
  </r>
  <r>
    <x v="2"/>
    <x v="7"/>
    <n v="0.76609999648758498"/>
    <n v="0.67385078505998097"/>
    <n v="-9.2249211427603797E-2"/>
    <n v="4.8750457210168102E-2"/>
    <n v="1.0541613951804901E-2"/>
    <n v="4.8750457210168102E-2"/>
    <n v="0.51085960733477198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1.1368985737983412"/>
    <n v="0.61890213570691388"/>
    <n v="1.2378370541774601"/>
  </r>
  <r>
    <x v="2"/>
    <x v="8"/>
    <n v="0.83075719071396603"/>
    <n v="0.73463636360985296"/>
    <n v="-9.6120827104113696E-2"/>
    <n v="4.9610069137206697E-2"/>
    <n v="1.27583999404617E-2"/>
    <n v="4.9610069137206697E-2"/>
    <n v="0.52085266213880799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1.1308413684176957"/>
    <n v="0.6328312003536829"/>
    <n v="1.3127626928787082"/>
  </r>
  <r>
    <x v="3"/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153797628785453"/>
    <n v="0"/>
  </r>
  <r>
    <x v="3"/>
    <x v="1"/>
    <n v="7.3962218421947E-5"/>
    <n v="0.41667660798495398"/>
    <n v="0.416602645766532"/>
    <n v="4.7760158202091299E-2"/>
    <n v="2.8927834655613498E-3"/>
    <n v="4.7760158202091299E-2"/>
    <n v="0.3182567458151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750508908966097E-4"/>
    <n v="0.41666984568484428"/>
    <n v="1.7750796989012173E-4"/>
  </r>
  <r>
    <x v="3"/>
    <x v="2"/>
    <n v="2.2170798696812399"/>
    <n v="0.43329497524757699"/>
    <n v="-1.7837848944336701"/>
    <n v="4.79690871429952E-2"/>
    <n v="1.07620635196815E-2"/>
    <n v="4.79690871429952E-2"/>
    <n v="0.326586598340623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5.1167910922909741"/>
    <n v="0.43328683614629643"/>
    <n v="5.1168872089450179"/>
  </r>
  <r>
    <x v="3"/>
    <x v="3"/>
    <n v="0.41364190189466499"/>
    <n v="0.42411109538821401"/>
    <n v="1.0469193493548501E-2"/>
    <n v="4.8397763501454402E-2"/>
    <n v="6.3025099187786603E-3"/>
    <n v="4.8397763501454402E-2"/>
    <n v="0.32100334415857901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753149738184379"/>
    <n v="0.42410138108026685"/>
    <n v="0.97533731401921031"/>
  </r>
  <r>
    <x v="3"/>
    <x v="4"/>
    <n v="0.41371681785979397"/>
    <n v="0.44036145088434597"/>
    <n v="2.6644633024552E-2"/>
    <n v="4.8348265967077503E-2"/>
    <n v="5.9611014674706697E-3"/>
    <n v="4.8348265967077503E-2"/>
    <n v="0.33769437534761998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3949372050836077"/>
    <n v="0.44035200874924546"/>
    <n v="0.93951386536170278"/>
  </r>
  <r>
    <x v="3"/>
    <x v="5"/>
    <n v="0.47356911269068602"/>
    <n v="0.45195227584777298"/>
    <n v="-2.1616836842912299E-2"/>
    <n v="4.80807306663898E-2"/>
    <n v="6.6391731348292198E-3"/>
    <n v="4.80807306663898E-2"/>
    <n v="0.34881760201989298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47829910364682"/>
    <n v="0.45161823648750105"/>
    <n v="1.048604937599309"/>
  </r>
  <r>
    <x v="3"/>
    <x v="6"/>
    <n v="0.56367766448916701"/>
    <n v="0.525458644196937"/>
    <n v="-3.8219020292229698E-2"/>
    <n v="4.8369426714607297E-2"/>
    <n v="7.5976344827189696E-3"/>
    <n v="4.8369426714607297E-2"/>
    <n v="0.382778433014846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727345923686162"/>
    <n v="0.48711492092678071"/>
    <n v="1.1571759358484004"/>
  </r>
  <r>
    <x v="3"/>
    <x v="7"/>
    <n v="0.66900422532126103"/>
    <n v="0.65497845529856502"/>
    <n v="-1.4025770022696201E-2"/>
    <n v="4.8816888104872502E-2"/>
    <n v="8.1984497320323705E-3"/>
    <n v="4.8816888104872502E-2"/>
    <n v="0.43868403800198502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1.0214140937144298"/>
    <n v="0.54451626394376207"/>
    <n v="1.2286211994401623"/>
  </r>
  <r>
    <x v="3"/>
    <x v="8"/>
    <n v="0.76103014545249004"/>
    <n v="0.73580284343676705"/>
    <n v="-2.5227302015722899E-2"/>
    <n v="4.9536037223324197E-2"/>
    <n v="1.0011113072660499E-2"/>
    <n v="4.9536037223324197E-2"/>
    <n v="0.45345226252443499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342854097952272"/>
    <n v="0.56253545004374406"/>
    <n v="1.3528572206308254"/>
  </r>
  <r>
    <x v="4"/>
    <x v="0"/>
    <n v="8.0000000000000004E-4"/>
    <n v="0.53226576780800605"/>
    <n v="0.53146576780800703"/>
    <n v="5.1949714062499999E-2"/>
    <n v="9.9256774362153194E-4"/>
    <n v="5.1949714062499999E-2"/>
    <n v="0.427370757360783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03008550210895E-3"/>
    <n v="0.5322627532294042"/>
    <n v="1.5030170628061994E-3"/>
  </r>
  <r>
    <x v="4"/>
    <x v="1"/>
    <n v="7.5213920846779205E-4"/>
    <n v="0.53804625000385098"/>
    <n v="0.53729411079538303"/>
    <n v="4.8249027111232502E-2"/>
    <n v="1.5834711428251299E-3"/>
    <n v="4.8249027111232502E-2"/>
    <n v="0.43996177180585999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979080951914613E-3"/>
    <n v="0.53804329717115029"/>
    <n v="1.3979157670438154E-3"/>
  </r>
  <r>
    <x v="4"/>
    <x v="2"/>
    <n v="9.6399666998062006E-3"/>
    <n v="0.56744294864167499"/>
    <n v="0.55780298194186895"/>
    <n v="4.9368286832847698E-2"/>
    <n v="8.5463896581082499E-3"/>
    <n v="4.9368286832847698E-2"/>
    <n v="0.46015640720951201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988433326878084E-2"/>
    <n v="0.56743937053331517"/>
    <n v="1.6988540451019381E-2"/>
  </r>
  <r>
    <x v="4"/>
    <x v="3"/>
    <n v="0.14115249188214901"/>
    <n v="0.60969184690285905"/>
    <n v="0.46853935502071098"/>
    <n v="4.8804531330933099E-2"/>
    <n v="1.7513520548055699E-2"/>
    <n v="4.8804531330933099E-2"/>
    <n v="0.49456576074035402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3151448161752858"/>
    <n v="0.60968834395027549"/>
    <n v="0.23151581177950323"/>
  </r>
  <r>
    <x v="4"/>
    <x v="4"/>
    <n v="0.90706868060088996"/>
    <n v="0.65352592888619498"/>
    <n v="-0.25354275171469498"/>
    <n v="4.8376106392566398E-2"/>
    <n v="1.7488354049582999E-2"/>
    <n v="4.8376106392566398E-2"/>
    <n v="0.539281789895802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879612736204794"/>
    <n v="0.65352235673051773"/>
    <n v="1.3879688602220581"/>
  </r>
  <r>
    <x v="4"/>
    <x v="5"/>
    <n v="0.76095870642797703"/>
    <n v="0.69420153039031296"/>
    <n v="-6.6757176037663707E-2"/>
    <n v="4.8319816271105799E-2"/>
    <n v="1.8583312724752301E-2"/>
    <n v="4.8319816271105799E-2"/>
    <n v="0.57897494182520703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961639712896196"/>
    <n v="0.69419788709217034"/>
    <n v="1.096169724191256"/>
  </r>
  <r>
    <x v="4"/>
    <x v="6"/>
    <n v="0.76693221991233096"/>
    <n v="0.73873840643627298"/>
    <n v="-2.81938134760579E-2"/>
    <n v="4.8436428503806903E-2"/>
    <n v="1.9960504762415E-2"/>
    <n v="4.8436428503806903E-2"/>
    <n v="0.6218980733766029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381648134582131"/>
    <n v="0.73873143514663142"/>
    <n v="1.0381746104524467"/>
  </r>
  <r>
    <x v="4"/>
    <x v="7"/>
    <n v="0.82024288045910798"/>
    <n v="0.82242816207136404"/>
    <n v="2.18528161225673E-3"/>
    <n v="4.8746607503963403E-2"/>
    <n v="1.9833526613671999E-2"/>
    <n v="4.8746607503963403E-2"/>
    <n v="0.69724211906765798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9734289058541936"/>
    <n v="0.81456886068925594"/>
    <n v="1.0069656723251745"/>
  </r>
  <r>
    <x v="4"/>
    <x v="8"/>
    <n v="0.82501349307622196"/>
    <n v="0.86157441815248603"/>
    <n v="3.65609250762641E-2"/>
    <n v="4.93965245078603E-2"/>
    <n v="2.1161238430802001E-2"/>
    <n v="4.93965245078603E-2"/>
    <n v="0.70895725670690202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5756498300557324"/>
    <n v="0.8289115441534245"/>
    <n v="0.99529738594582651"/>
  </r>
  <r>
    <x v="5"/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153797628785453"/>
    <n v="0"/>
  </r>
  <r>
    <x v="5"/>
    <x v="1"/>
    <n v="8.3070512702419598E-5"/>
    <n v="0.41531166226899002"/>
    <n v="0.41522859175628801"/>
    <n v="4.7503394634327401E-2"/>
    <n v="2.8308870411924598E-3"/>
    <n v="4.7503394634327401E-2"/>
    <n v="0.31746728602494301"/>
    <n v="6.6999341993046804E-6"/>
    <n v="70.299600995245399"/>
    <n v="0"/>
    <n v="29.700399004754601"/>
    <n v="29.700399004754601"/>
    <n v="70.299600995245399"/>
    <n v="0"/>
    <n v="0"/>
    <n v="70.299600995245399"/>
    <n v="0"/>
    <n v="-187.15584486506799"/>
    <n v="0"/>
    <n v="100"/>
    <n v="46.121844705762598"/>
    <n v="243.50385299835301"/>
    <n v="52.601085752808203"/>
    <n v="2.6092300569669402"/>
    <n v="707.18455661182395"/>
    <n v="70.299600995245399"/>
    <n v="0"/>
    <n v="169.63870086598899"/>
    <n v="111.864405633354"/>
    <n v="26.188322485309499"/>
    <n v="-105.170919729771"/>
    <n v="2616359.7999999998"/>
    <n v="2.7136021011998702E-6"/>
    <n v="11"/>
    <n v="2.0001969665040683E-4"/>
    <n v="0.41530496233479069"/>
    <n v="2.0002292348111599E-4"/>
  </r>
  <r>
    <x v="5"/>
    <x v="2"/>
    <n v="1.9543836054744901"/>
    <n v="0.42218889328513398"/>
    <n v="-1.53219471218935"/>
    <n v="4.7999997169353797E-2"/>
    <n v="6.6697007311355598E-3"/>
    <n v="4.7999997169353797E-2"/>
    <n v="0.319510426562579"/>
    <n v="8.7716527116215099E-6"/>
    <n v="68.0139576221287"/>
    <n v="0"/>
    <n v="31.9860423778713"/>
    <n v="38.275324367466901"/>
    <n v="41.053632862910398"/>
    <n v="20.671042769622701"/>
    <n v="0"/>
    <n v="41.053632862910398"/>
    <n v="0.20768095035445799"/>
    <n v="-159.33734126531499"/>
    <n v="0"/>
    <n v="92.948090843432695"/>
    <n v="46.1659754918117"/>
    <n v="319.23488833775002"/>
    <n v="53.770641711403002"/>
    <n v="2.8619029216295302"/>
    <n v="733.54916458050695"/>
    <n v="20.272289611751599"/>
    <n v="0"/>
    <n v="172.78365303438301"/>
    <n v="112.01072860932599"/>
    <n v="25.457513185117399"/>
    <n v="-81.945817168238804"/>
    <n v="13752342.5"/>
    <n v="0.14906162597987699"/>
    <n v="45"/>
    <n v="4.6291686886100925"/>
    <n v="0.42218012163242236"/>
    <n v="4.6292648690269322"/>
  </r>
  <r>
    <x v="5"/>
    <x v="3"/>
    <n v="0.46740023923449098"/>
    <n v="0.41871709865520601"/>
    <n v="-4.8683140579285598E-2"/>
    <n v="4.8406801955255402E-2"/>
    <n v="6.1826395904064002E-3"/>
    <n v="4.8406801955255402E-2"/>
    <n v="0.31571074553919198"/>
    <n v="1.0109615096522699E-5"/>
    <n v="75.188735243903594"/>
    <n v="0.63646834406755304"/>
    <n v="24.174796412028901"/>
    <n v="30.959552494419199"/>
    <n v="47.6995555932927"/>
    <n v="21.3408919122882"/>
    <n v="0"/>
    <n v="47.6995555932927"/>
    <n v="0.21385427031028301"/>
    <n v="-133.038305597841"/>
    <n v="5.5011033621081102E-3"/>
    <n v="99.344690488478406"/>
    <n v="44.863831979382397"/>
    <n v="360.50554027350699"/>
    <n v="54.713686824450598"/>
    <n v="3.1492361234255899"/>
    <n v="763.90527236703497"/>
    <n v="5.6987748287106204"/>
    <n v="0"/>
    <n v="172.606649131534"/>
    <n v="111.92983726966099"/>
    <n v="24.3647396226282"/>
    <n v="-48.867772043419002"/>
    <n v="294627708.89999998"/>
    <n v="5.9233242507912898E-2"/>
    <n v="635"/>
    <n v="1.1162673813313109"/>
    <n v="0.4187069890401095"/>
    <n v="1.1162943334335338"/>
  </r>
  <r>
    <x v="5"/>
    <x v="4"/>
    <n v="0.387231372448883"/>
    <n v="0.43786069669111299"/>
    <n v="5.06293242422301E-2"/>
    <n v="4.8342409921782799E-2"/>
    <n v="5.8735189076994897E-3"/>
    <n v="4.8342409921782799E-2"/>
    <n v="0.33529276318215701"/>
    <n v="9.5947576907883205E-6"/>
    <n v="63.942585658414004"/>
    <n v="1.65845795754868"/>
    <n v="34.398956384037298"/>
    <n v="26.474668068635399"/>
    <n v="54.4777342239163"/>
    <n v="19.0475977074483"/>
    <n v="0"/>
    <n v="54.4777342239163"/>
    <n v="0.21131610933598199"/>
    <n v="-108.362530620434"/>
    <n v="9.2491970317092206E-2"/>
    <n v="99.955486352777399"/>
    <n v="43.838315291209398"/>
    <n v="320.19850307150398"/>
    <n v="54.558035443285"/>
    <n v="3.27418013645589"/>
    <n v="773.09567334178405"/>
    <n v="3.9807535633229101"/>
    <n v="0"/>
    <n v="172.20059869903901"/>
    <n v="111.93610804872"/>
    <n v="24.812910748692701"/>
    <n v="-34.345348382165497"/>
    <n v="4149295138.0999999"/>
    <n v="4.88911611158281E-2"/>
    <n v="3641"/>
    <n v="0.88437116045163966"/>
    <n v="0.43785110193342219"/>
    <n v="0.88439053993237127"/>
  </r>
  <r>
    <x v="5"/>
    <x v="5"/>
    <n v="0.44971809654934097"/>
    <n v="0.45050069483078597"/>
    <n v="7.8259828144523302E-4"/>
    <n v="4.80618251738828E-2"/>
    <n v="6.6152307730302498E-3"/>
    <n v="4.80618251738828E-2"/>
    <n v="0.34741972166499602"/>
    <n v="3.4209204499418899E-4"/>
    <n v="30.544284154157001"/>
    <n v="3.0185099474703998"/>
    <n v="66.437205898372596"/>
    <n v="28.267597772140402"/>
    <n v="54.880574688511501"/>
    <n v="16.851827539348101"/>
    <n v="0"/>
    <n v="54.880574688511501"/>
    <n v="0.24232713099259701"/>
    <n v="-83.850326465728102"/>
    <n v="0.60394376056149401"/>
    <n v="99.978106676380705"/>
    <n v="44.934478475069298"/>
    <n v="311.91449544422898"/>
    <n v="53.905883040862903"/>
    <n v="3.32399392505299"/>
    <n v="772.70274827386197"/>
    <n v="2.2270665420219902"/>
    <n v="0"/>
    <n v="171.88411981023299"/>
    <n v="111.935686425491"/>
    <n v="25.4096584354592"/>
    <n v="-30.140624842023598"/>
    <n v="39584778453.400002"/>
    <n v="4.9194151853057498E-2"/>
    <n v="11607"/>
    <n v="0.99826282558401169"/>
    <n v="0.45015860278579178"/>
    <n v="0.99902144214566879"/>
  </r>
  <r>
    <x v="5"/>
    <x v="6"/>
    <n v="0.54860955538455503"/>
    <n v="0.52468646924638596"/>
    <n v="-2.3923086138169399E-2"/>
    <n v="4.8357691805300897E-2"/>
    <n v="7.5832623294039298E-3"/>
    <n v="4.8357691805300897E-2"/>
    <n v="0.38160617954300802"/>
    <n v="3.8781643763371801E-2"/>
    <n v="10.4493775905697"/>
    <n v="4.0045601354458"/>
    <n v="85.546062273984504"/>
    <n v="26.2567975350693"/>
    <n v="56.1503405180679"/>
    <n v="17.592861946862701"/>
    <n v="0"/>
    <n v="56.1503405180679"/>
    <n v="0.28248271260632202"/>
    <n v="-60.1246713911518"/>
    <n v="40.2763608593039"/>
    <n v="99.988543090606598"/>
    <n v="44.8045508975232"/>
    <n v="305.18102875392901"/>
    <n v="54.5692169536552"/>
    <n v="3.4062939212174701"/>
    <n v="771.831847945665"/>
    <n v="2.2609730121413598"/>
    <n v="0"/>
    <n v="172.264154190868"/>
    <n v="112.028994830394"/>
    <n v="26.621869527526201"/>
    <n v="-25.297533503461899"/>
    <n v="239658949035.39999"/>
    <n v="5.0234056795208197E-2"/>
    <n v="31692"/>
    <n v="1.0455950125272528"/>
    <n v="0.48590482548301417"/>
    <n v="1.1290473496310911"/>
  </r>
  <r>
    <x v="5"/>
    <x v="7"/>
    <n v="0.65299658229660296"/>
    <n v="0.65444113732129605"/>
    <n v="1.4445550246936099E-3"/>
    <n v="4.8803178348837503E-2"/>
    <n v="8.1758125871748098E-3"/>
    <n v="4.8803178348837503E-2"/>
    <n v="0.43731315263198001"/>
    <n v="0.111345815404466"/>
    <n v="5.3633716177943098"/>
    <n v="4.4694637963104498"/>
    <n v="90.167164585895193"/>
    <n v="26.555378024330999"/>
    <n v="54.831648519268199"/>
    <n v="18.612973456400798"/>
    <n v="0"/>
    <n v="54.831648519268199"/>
    <n v="0.30414916242978801"/>
    <n v="-36.612613878095402"/>
    <n v="163.655253434858"/>
    <n v="99.984014167309198"/>
    <n v="44.982346243262697"/>
    <n v="303.23966443185202"/>
    <n v="55.5819996642117"/>
    <n v="3.5375302850731898"/>
    <n v="769.15648787100395"/>
    <n v="4.0420310788272502"/>
    <n v="0"/>
    <n v="173.09200776851901"/>
    <n v="112.209458258674"/>
    <n v="29.6331783403032"/>
    <n v="-17.7489376771906"/>
    <n v="531757141872.79999"/>
    <n v="5.8418242650235999E-2"/>
    <n v="67823"/>
    <n v="0.99779268914755903"/>
    <n v="0.54309532191683008"/>
    <n v="1.2023609041445642"/>
  </r>
  <r>
    <x v="5"/>
    <x v="8"/>
    <n v="0.74099835094550404"/>
    <n v="0.73552227748914401"/>
    <n v="-5.4760734563596798E-3"/>
    <n v="4.9500109759036098E-2"/>
    <n v="9.9599412863900401E-3"/>
    <n v="4.9500109759036098E-2"/>
    <n v="0.45159490749664699"/>
    <n v="0.17496720918803499"/>
    <n v="4.6179883674418898"/>
    <n v="4.6161998640538702"/>
    <n v="90.765811768504193"/>
    <n v="25.1268564676603"/>
    <n v="54.4797024990376"/>
    <n v="20.393441033302199"/>
    <n v="0"/>
    <n v="54.4797024990376"/>
    <n v="0.35944260154694502"/>
    <n v="-14.424782095121"/>
    <n v="530.87724426468503"/>
    <n v="99.975386573002694"/>
    <n v="45.510467396263699"/>
    <n v="286.33867543694998"/>
    <n v="57.1935904304042"/>
    <n v="3.72825299480286"/>
    <n v="765.80457686620605"/>
    <n v="7.5775129905999403"/>
    <n v="0"/>
    <n v="171.89841827020999"/>
    <n v="112.130404214687"/>
    <n v="31.262326518027798"/>
    <n v="-11.0211245309543"/>
    <n v="526951442369.70001"/>
    <n v="6.2072844431541999E-2"/>
    <n v="88880"/>
    <n v="1.0074451496901682"/>
    <n v="0.56055506830110902"/>
    <n v="1.321901081353648"/>
  </r>
  <r>
    <x v="6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2" firstHeaderRow="1" firstDataRow="3" firstDataCol="1"/>
  <pivotFields count="39">
    <pivotField axis="axisCol" showAll="0" defaultSubtotal="0">
      <items count="7">
        <item x="4"/>
        <item x="0"/>
        <item x="1"/>
        <item x="2"/>
        <item x="3"/>
        <item x="5"/>
        <item x="6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6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1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"/>
  <sheetViews>
    <sheetView workbookViewId="0">
      <selection activeCell="Y1" sqref="Y1:Y1048576"/>
    </sheetView>
  </sheetViews>
  <sheetFormatPr defaultRowHeight="15" x14ac:dyDescent="0.25"/>
  <cols>
    <col min="25" max="25" width="9.140625" style="18"/>
  </cols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18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4" t="s">
        <v>45</v>
      </c>
      <c r="AM1" s="4" t="s">
        <v>46</v>
      </c>
      <c r="AN1" s="4" t="s">
        <v>47</v>
      </c>
    </row>
    <row r="2" spans="1:40" x14ac:dyDescent="0.25">
      <c r="A2">
        <v>1</v>
      </c>
      <c r="B2">
        <v>110</v>
      </c>
      <c r="C2">
        <v>-200</v>
      </c>
      <c r="D2">
        <v>0</v>
      </c>
      <c r="E2">
        <v>0.52169952276127896</v>
      </c>
      <c r="F2">
        <v>0.52169952276127896</v>
      </c>
      <c r="G2">
        <v>4.63679339383231E-2</v>
      </c>
      <c r="H2">
        <v>7.0095480037455603E-3</v>
      </c>
      <c r="I2">
        <v>4.63679339383231E-2</v>
      </c>
      <c r="J2">
        <v>0.42194924949735402</v>
      </c>
      <c r="K2" s="1">
        <v>4.8573835333944901E-6</v>
      </c>
      <c r="L2">
        <v>0</v>
      </c>
      <c r="M2">
        <v>0</v>
      </c>
      <c r="N2">
        <v>100</v>
      </c>
      <c r="O2">
        <v>100</v>
      </c>
      <c r="P2">
        <v>0</v>
      </c>
      <c r="Q2">
        <v>0</v>
      </c>
      <c r="R2">
        <v>0</v>
      </c>
      <c r="S2">
        <v>0</v>
      </c>
      <c r="T2">
        <v>0</v>
      </c>
      <c r="U2">
        <v>-207.20459285984401</v>
      </c>
      <c r="V2">
        <v>0</v>
      </c>
      <c r="W2">
        <v>100</v>
      </c>
      <c r="X2">
        <v>69.034099070848399</v>
      </c>
      <c r="Y2" s="18">
        <v>93.667049464276602</v>
      </c>
      <c r="Z2">
        <v>49.998468904423603</v>
      </c>
      <c r="AA2">
        <v>2.5</v>
      </c>
      <c r="AB2">
        <v>647</v>
      </c>
      <c r="AC2">
        <v>0</v>
      </c>
      <c r="AD2">
        <v>0</v>
      </c>
      <c r="AE2">
        <v>168.031419440147</v>
      </c>
      <c r="AF2">
        <v>111.599770264516</v>
      </c>
      <c r="AG2">
        <v>24.7665912739647</v>
      </c>
      <c r="AH2">
        <v>-110.7</v>
      </c>
      <c r="AI2">
        <v>281105.90000000002</v>
      </c>
      <c r="AJ2">
        <v>0</v>
      </c>
      <c r="AK2">
        <v>3</v>
      </c>
      <c r="AL2" s="4">
        <f>D2/E2</f>
        <v>0</v>
      </c>
      <c r="AM2" s="5">
        <f>E2-K2</f>
        <v>0.52169466537774556</v>
      </c>
      <c r="AN2" s="5">
        <f>D2/(E2-K2)</f>
        <v>0</v>
      </c>
    </row>
    <row r="3" spans="1:40" x14ac:dyDescent="0.25">
      <c r="A3">
        <v>2</v>
      </c>
      <c r="B3">
        <v>110</v>
      </c>
      <c r="C3">
        <v>-175</v>
      </c>
      <c r="D3">
        <v>0</v>
      </c>
      <c r="E3">
        <v>0.579500098665643</v>
      </c>
      <c r="F3">
        <v>0.579500098665643</v>
      </c>
      <c r="G3">
        <v>4.8825977875538502E-2</v>
      </c>
      <c r="H3">
        <v>7.0621007871939402E-3</v>
      </c>
      <c r="I3">
        <v>4.8825977875538502E-2</v>
      </c>
      <c r="J3">
        <v>0.47478128445790402</v>
      </c>
      <c r="K3" s="1">
        <v>4.7576694677021104E-6</v>
      </c>
      <c r="L3">
        <v>17.796536668190399</v>
      </c>
      <c r="M3">
        <v>0</v>
      </c>
      <c r="N3">
        <v>82.203463331809601</v>
      </c>
      <c r="O3">
        <v>82.203463331809601</v>
      </c>
      <c r="P3">
        <v>17.796536668190399</v>
      </c>
      <c r="Q3">
        <v>0</v>
      </c>
      <c r="R3">
        <v>0</v>
      </c>
      <c r="S3">
        <v>17.796536668190399</v>
      </c>
      <c r="T3">
        <v>5.3389610004571098E-2</v>
      </c>
      <c r="U3">
        <v>-187.85595102234799</v>
      </c>
      <c r="V3">
        <v>0</v>
      </c>
      <c r="W3">
        <v>100</v>
      </c>
      <c r="X3">
        <v>63.328055328524499</v>
      </c>
      <c r="Y3" s="18">
        <v>90.624981691238403</v>
      </c>
      <c r="Z3">
        <v>55.701480454207697</v>
      </c>
      <c r="AA3">
        <v>2.5533896100045701</v>
      </c>
      <c r="AB3">
        <v>662.48298690132594</v>
      </c>
      <c r="AC3">
        <v>0</v>
      </c>
      <c r="AD3">
        <v>0</v>
      </c>
      <c r="AE3">
        <v>172.987487515748</v>
      </c>
      <c r="AF3">
        <v>112.11597718783599</v>
      </c>
      <c r="AG3">
        <v>25.3284846496245</v>
      </c>
      <c r="AH3">
        <v>-106.944930763012</v>
      </c>
      <c r="AI3">
        <v>451969.4</v>
      </c>
      <c r="AJ3">
        <v>0</v>
      </c>
      <c r="AK3">
        <v>5</v>
      </c>
      <c r="AL3" s="4">
        <f t="shared" ref="AL3:AL23" si="0">D3/E3</f>
        <v>0</v>
      </c>
      <c r="AM3" s="5">
        <f t="shared" ref="AM3:AM23" si="1">E3-K3</f>
        <v>0.57949534099617528</v>
      </c>
      <c r="AN3" s="5">
        <f t="shared" ref="AN3:AN23" si="2">D3/(E3-K3)</f>
        <v>0</v>
      </c>
    </row>
    <row r="4" spans="1:40" x14ac:dyDescent="0.25">
      <c r="A4">
        <v>3</v>
      </c>
      <c r="B4">
        <v>110</v>
      </c>
      <c r="C4">
        <v>-150</v>
      </c>
      <c r="D4">
        <v>0.80176924152882501</v>
      </c>
      <c r="E4">
        <v>0.54706694481752904</v>
      </c>
      <c r="F4">
        <v>-0.25470229671129602</v>
      </c>
      <c r="G4">
        <v>4.8826038693448502E-2</v>
      </c>
      <c r="H4">
        <v>5.90533291641125E-3</v>
      </c>
      <c r="I4">
        <v>4.8826038693448502E-2</v>
      </c>
      <c r="J4">
        <v>0.44350490347350102</v>
      </c>
      <c r="K4" s="1">
        <v>4.6310407197566996E-6</v>
      </c>
      <c r="L4">
        <v>57.830990067897297</v>
      </c>
      <c r="M4">
        <v>0</v>
      </c>
      <c r="N4">
        <v>42.169009932102703</v>
      </c>
      <c r="O4">
        <v>49.010422149699998</v>
      </c>
      <c r="P4">
        <v>41.707540237676703</v>
      </c>
      <c r="Q4">
        <v>9.2820376126232897</v>
      </c>
      <c r="R4">
        <v>0</v>
      </c>
      <c r="S4">
        <v>41.707540237676703</v>
      </c>
      <c r="T4">
        <v>8.9880487320662297E-2</v>
      </c>
      <c r="U4">
        <v>-159.03651918454599</v>
      </c>
      <c r="V4">
        <v>0</v>
      </c>
      <c r="W4">
        <v>100</v>
      </c>
      <c r="X4">
        <v>60.509717753423899</v>
      </c>
      <c r="Y4" s="18">
        <v>87.122493776337507</v>
      </c>
      <c r="Z4">
        <v>55.643546372113697</v>
      </c>
      <c r="AA4">
        <v>2.8455322114736199</v>
      </c>
      <c r="AB4">
        <v>723.18690189669303</v>
      </c>
      <c r="AC4">
        <v>5.8011329727239298</v>
      </c>
      <c r="AD4">
        <v>0</v>
      </c>
      <c r="AE4">
        <v>172.85268779200601</v>
      </c>
      <c r="AF4">
        <v>112.034770238642</v>
      </c>
      <c r="AG4">
        <v>26.372850506749501</v>
      </c>
      <c r="AH4">
        <v>-82.086953698355401</v>
      </c>
      <c r="AI4">
        <v>3028281.2</v>
      </c>
      <c r="AJ4">
        <v>3.2879311436662097E-2</v>
      </c>
      <c r="AK4">
        <v>34</v>
      </c>
      <c r="AL4" s="4">
        <f t="shared" si="0"/>
        <v>1.4655779317762481</v>
      </c>
      <c r="AM4" s="5">
        <f t="shared" si="1"/>
        <v>0.54706231377680925</v>
      </c>
      <c r="AN4" s="5">
        <f t="shared" si="2"/>
        <v>1.4655903383173479</v>
      </c>
    </row>
    <row r="5" spans="1:40" x14ac:dyDescent="0.25">
      <c r="A5">
        <v>4</v>
      </c>
      <c r="B5">
        <v>110</v>
      </c>
      <c r="C5">
        <v>-125</v>
      </c>
      <c r="D5">
        <v>0.25237078541822899</v>
      </c>
      <c r="E5">
        <v>0.55387477788238304</v>
      </c>
      <c r="F5">
        <v>0.30150399246415499</v>
      </c>
      <c r="G5">
        <v>4.8616782253292599E-2</v>
      </c>
      <c r="H5">
        <v>1.23485300185101E-2</v>
      </c>
      <c r="I5">
        <v>4.8616782253292599E-2</v>
      </c>
      <c r="J5">
        <v>0.44428820186484902</v>
      </c>
      <c r="K5" s="1">
        <v>4.4814924388677803E-6</v>
      </c>
      <c r="L5">
        <v>84.008434706145593</v>
      </c>
      <c r="M5">
        <v>0</v>
      </c>
      <c r="N5">
        <v>15.9915652938544</v>
      </c>
      <c r="O5">
        <v>33.6009496469647</v>
      </c>
      <c r="P5">
        <v>48.787248476217201</v>
      </c>
      <c r="Q5">
        <v>17.611801876818198</v>
      </c>
      <c r="R5">
        <v>0</v>
      </c>
      <c r="S5">
        <v>48.787248476217201</v>
      </c>
      <c r="T5">
        <v>0.45294671009222698</v>
      </c>
      <c r="U5">
        <v>-132.54226861597999</v>
      </c>
      <c r="V5">
        <v>0</v>
      </c>
      <c r="W5">
        <v>100</v>
      </c>
      <c r="X5">
        <v>49.018061667763597</v>
      </c>
      <c r="Y5" s="18">
        <v>86.123752790886002</v>
      </c>
      <c r="Z5">
        <v>55.2046453354642</v>
      </c>
      <c r="AA5">
        <v>3.1780868009415202</v>
      </c>
      <c r="AB5">
        <v>770.84983199836904</v>
      </c>
      <c r="AC5">
        <v>23.083586315136301</v>
      </c>
      <c r="AD5">
        <v>0</v>
      </c>
      <c r="AE5">
        <v>173.10434369219101</v>
      </c>
      <c r="AF5">
        <v>111.964832762949</v>
      </c>
      <c r="AG5">
        <v>24.1604648980835</v>
      </c>
      <c r="AH5">
        <v>-44.472551593368202</v>
      </c>
      <c r="AI5">
        <v>39035811.600000001</v>
      </c>
      <c r="AJ5">
        <v>2.9490900091469201E-2</v>
      </c>
      <c r="AK5">
        <v>289</v>
      </c>
      <c r="AL5" s="4">
        <f t="shared" si="0"/>
        <v>0.45564592484805416</v>
      </c>
      <c r="AM5" s="5">
        <f t="shared" si="1"/>
        <v>0.55387029638994423</v>
      </c>
      <c r="AN5" s="5">
        <f t="shared" si="2"/>
        <v>0.45564961158442602</v>
      </c>
    </row>
    <row r="6" spans="1:40" x14ac:dyDescent="0.25">
      <c r="A6">
        <v>5</v>
      </c>
      <c r="B6">
        <v>110</v>
      </c>
      <c r="C6">
        <v>-100</v>
      </c>
      <c r="D6">
        <v>0.78584576868868605</v>
      </c>
      <c r="E6">
        <v>0.58843688263321903</v>
      </c>
      <c r="F6">
        <v>-0.197408886055467</v>
      </c>
      <c r="G6">
        <v>4.8309876020482402E-2</v>
      </c>
      <c r="H6">
        <v>1.0654983856745201E-2</v>
      </c>
      <c r="I6">
        <v>4.8309876020482402E-2</v>
      </c>
      <c r="J6">
        <v>0.48115766799870302</v>
      </c>
      <c r="K6" s="1">
        <v>4.4787368060152804E-6</v>
      </c>
      <c r="L6">
        <v>74.356331581869199</v>
      </c>
      <c r="M6">
        <v>0.85800957763434604</v>
      </c>
      <c r="N6">
        <v>24.785658840496499</v>
      </c>
      <c r="O6">
        <v>31.856813095054399</v>
      </c>
      <c r="P6">
        <v>49.924814966646998</v>
      </c>
      <c r="Q6">
        <v>18.218371938298599</v>
      </c>
      <c r="R6">
        <v>0</v>
      </c>
      <c r="S6">
        <v>49.924814966646998</v>
      </c>
      <c r="T6">
        <v>0.40320447740593301</v>
      </c>
      <c r="U6">
        <v>-109.10618208425799</v>
      </c>
      <c r="V6">
        <v>9.87795815265698E-3</v>
      </c>
      <c r="W6">
        <v>100</v>
      </c>
      <c r="X6">
        <v>46.855817068907903</v>
      </c>
      <c r="Y6" s="18">
        <v>86.6548829896022</v>
      </c>
      <c r="Z6">
        <v>54.477160914831501</v>
      </c>
      <c r="AA6">
        <v>3.2885903486232602</v>
      </c>
      <c r="AB6">
        <v>769.82801561745498</v>
      </c>
      <c r="AC6">
        <v>18.099820478759298</v>
      </c>
      <c r="AD6">
        <v>0</v>
      </c>
      <c r="AE6">
        <v>172.17428033824501</v>
      </c>
      <c r="AF6">
        <v>111.967523211451</v>
      </c>
      <c r="AG6">
        <v>25.323958848695099</v>
      </c>
      <c r="AH6">
        <v>-33.570690494040697</v>
      </c>
      <c r="AI6">
        <v>392191752.60000002</v>
      </c>
      <c r="AJ6">
        <v>8.2967304490871599E-2</v>
      </c>
      <c r="AK6">
        <v>1627</v>
      </c>
      <c r="AL6" s="4">
        <f t="shared" si="0"/>
        <v>1.3354801370914657</v>
      </c>
      <c r="AM6" s="5">
        <f t="shared" si="1"/>
        <v>0.58843240389641305</v>
      </c>
      <c r="AN6" s="5">
        <f t="shared" si="2"/>
        <v>1.3354903018342705</v>
      </c>
    </row>
    <row r="7" spans="1:40" x14ac:dyDescent="0.25">
      <c r="A7">
        <v>6</v>
      </c>
      <c r="B7">
        <v>110</v>
      </c>
      <c r="C7">
        <v>-75</v>
      </c>
      <c r="D7">
        <v>0.66247028344860104</v>
      </c>
      <c r="E7">
        <v>0.62394834819357603</v>
      </c>
      <c r="F7">
        <v>-3.8521935255024099E-2</v>
      </c>
      <c r="G7">
        <v>4.8263871639751002E-2</v>
      </c>
      <c r="H7">
        <v>1.3406272639541099E-2</v>
      </c>
      <c r="I7">
        <v>4.8263871639751002E-2</v>
      </c>
      <c r="J7">
        <v>0.51400981642204202</v>
      </c>
      <c r="K7" s="1">
        <v>4.5158524917522203E-6</v>
      </c>
      <c r="L7">
        <v>50.099919860744102</v>
      </c>
      <c r="M7">
        <v>3.0672600061806499</v>
      </c>
      <c r="N7">
        <v>46.832820133075302</v>
      </c>
      <c r="O7">
        <v>37.184844854034303</v>
      </c>
      <c r="P7">
        <v>45.263147563231101</v>
      </c>
      <c r="Q7">
        <v>17.552007582734699</v>
      </c>
      <c r="R7">
        <v>0</v>
      </c>
      <c r="S7">
        <v>45.263147563231101</v>
      </c>
      <c r="T7">
        <v>0.51905823419326003</v>
      </c>
      <c r="U7">
        <v>-84.552756442767304</v>
      </c>
      <c r="V7">
        <v>0.83255626185293596</v>
      </c>
      <c r="W7">
        <v>99.901808393574896</v>
      </c>
      <c r="X7">
        <v>46.001376737472498</v>
      </c>
      <c r="Y7" s="18">
        <v>87.232573069225296</v>
      </c>
      <c r="Z7">
        <v>54.364122242127998</v>
      </c>
      <c r="AA7">
        <v>3.3796586685926902</v>
      </c>
      <c r="AB7">
        <v>769.55341853910704</v>
      </c>
      <c r="AC7">
        <v>13.6194261854166</v>
      </c>
      <c r="AD7">
        <v>0</v>
      </c>
      <c r="AE7">
        <v>172.09760711766</v>
      </c>
      <c r="AF7">
        <v>111.993728340388</v>
      </c>
      <c r="AG7">
        <v>26.308694989560301</v>
      </c>
      <c r="AH7">
        <v>-25.297059812794799</v>
      </c>
      <c r="AI7">
        <v>2144100766.4000001</v>
      </c>
      <c r="AJ7">
        <v>6.21342916391429E-2</v>
      </c>
      <c r="AK7">
        <v>4854</v>
      </c>
      <c r="AL7" s="4">
        <f t="shared" si="0"/>
        <v>1.0617389810655831</v>
      </c>
      <c r="AM7" s="5">
        <f t="shared" si="1"/>
        <v>0.6239438323410843</v>
      </c>
      <c r="AN7" s="5">
        <f t="shared" si="2"/>
        <v>1.061746665501865</v>
      </c>
    </row>
    <row r="8" spans="1:40" x14ac:dyDescent="0.25">
      <c r="A8">
        <v>7</v>
      </c>
      <c r="B8">
        <v>110</v>
      </c>
      <c r="C8">
        <v>-50</v>
      </c>
      <c r="D8">
        <v>0.75228695771266696</v>
      </c>
      <c r="E8">
        <v>0.66803124058603203</v>
      </c>
      <c r="F8">
        <v>-8.4255717126634905E-2</v>
      </c>
      <c r="G8">
        <v>4.83975426975383E-2</v>
      </c>
      <c r="H8">
        <v>1.40277843127187E-2</v>
      </c>
      <c r="I8">
        <v>4.83975426975383E-2</v>
      </c>
      <c r="J8">
        <v>0.55632483174540504</v>
      </c>
      <c r="K8">
        <v>8.8353913283144303E-4</v>
      </c>
      <c r="L8">
        <v>24.271223211319001</v>
      </c>
      <c r="M8">
        <v>5.0317585834765897</v>
      </c>
      <c r="N8">
        <v>70.697018205204401</v>
      </c>
      <c r="O8">
        <v>37.7242021039877</v>
      </c>
      <c r="P8">
        <v>43.701056467934798</v>
      </c>
      <c r="Q8">
        <v>18.574741428077498</v>
      </c>
      <c r="R8">
        <v>0</v>
      </c>
      <c r="S8">
        <v>43.701056467934798</v>
      </c>
      <c r="T8">
        <v>0.54783242542936095</v>
      </c>
      <c r="U8">
        <v>-60.155596818898402</v>
      </c>
      <c r="V8">
        <v>41.256730490566902</v>
      </c>
      <c r="W8">
        <v>99.927709154440905</v>
      </c>
      <c r="X8">
        <v>44.833403669037899</v>
      </c>
      <c r="Y8" s="18">
        <v>87.415126533997807</v>
      </c>
      <c r="Z8">
        <v>54.662113964449098</v>
      </c>
      <c r="AA8">
        <v>3.4650275317386598</v>
      </c>
      <c r="AB8">
        <v>769.27382011176599</v>
      </c>
      <c r="AC8">
        <v>12.448164205848901</v>
      </c>
      <c r="AD8">
        <v>0</v>
      </c>
      <c r="AE8">
        <v>172.16096401258599</v>
      </c>
      <c r="AF8">
        <v>112.02862658801401</v>
      </c>
      <c r="AG8">
        <v>26.939713077399201</v>
      </c>
      <c r="AH8">
        <v>-19.792475279049899</v>
      </c>
      <c r="AI8">
        <v>9870188707.6000004</v>
      </c>
      <c r="AJ8">
        <v>7.7739479357627303E-2</v>
      </c>
      <c r="AK8">
        <v>13617</v>
      </c>
      <c r="AL8" s="4">
        <f t="shared" si="0"/>
        <v>1.1261254145131319</v>
      </c>
      <c r="AM8" s="5">
        <f t="shared" si="1"/>
        <v>0.66714770145320057</v>
      </c>
      <c r="AN8" s="5">
        <f t="shared" si="2"/>
        <v>1.1276168022073876</v>
      </c>
    </row>
    <row r="9" spans="1:40" x14ac:dyDescent="0.25">
      <c r="A9">
        <v>8</v>
      </c>
      <c r="B9">
        <v>110</v>
      </c>
      <c r="C9">
        <v>-25</v>
      </c>
      <c r="D9">
        <v>0.78261799640429697</v>
      </c>
      <c r="E9">
        <v>0.76422993277402596</v>
      </c>
      <c r="F9">
        <v>-1.8388063630270401E-2</v>
      </c>
      <c r="G9">
        <v>4.87590885353478E-2</v>
      </c>
      <c r="H9">
        <v>1.5075200404070401E-2</v>
      </c>
      <c r="I9">
        <v>4.87590885353478E-2</v>
      </c>
      <c r="J9">
        <v>0.62828614479809097</v>
      </c>
      <c r="K9">
        <v>2.3350410501169299E-2</v>
      </c>
      <c r="L9">
        <v>16.4140791946175</v>
      </c>
      <c r="M9">
        <v>5.6362434331480404</v>
      </c>
      <c r="N9">
        <v>77.949677372234504</v>
      </c>
      <c r="O9">
        <v>34.871236644142598</v>
      </c>
      <c r="P9">
        <v>45.935205718038901</v>
      </c>
      <c r="Q9">
        <v>19.1935576378185</v>
      </c>
      <c r="R9">
        <v>0</v>
      </c>
      <c r="S9">
        <v>45.935205718038901</v>
      </c>
      <c r="T9">
        <v>0.58927435706989495</v>
      </c>
      <c r="U9">
        <v>-36.465225330140903</v>
      </c>
      <c r="V9">
        <v>175.51275015863399</v>
      </c>
      <c r="W9">
        <v>99.905811539072602</v>
      </c>
      <c r="X9">
        <v>44.213916563529402</v>
      </c>
      <c r="Y9" s="18">
        <v>87.421914873900704</v>
      </c>
      <c r="Z9">
        <v>55.482292648199099</v>
      </c>
      <c r="AA9">
        <v>3.5988541613759901</v>
      </c>
      <c r="AB9">
        <v>766.56300917793897</v>
      </c>
      <c r="AC9">
        <v>17.120929045888399</v>
      </c>
      <c r="AD9">
        <v>0</v>
      </c>
      <c r="AE9">
        <v>172.76898784933601</v>
      </c>
      <c r="AF9">
        <v>112.171340821207</v>
      </c>
      <c r="AG9">
        <v>29.3616042501679</v>
      </c>
      <c r="AH9">
        <v>-11.474915461483601</v>
      </c>
      <c r="AI9">
        <v>22538638913.799999</v>
      </c>
      <c r="AJ9">
        <v>7.1546799049604606E-2</v>
      </c>
      <c r="AK9">
        <v>29256</v>
      </c>
      <c r="AL9" s="4">
        <f t="shared" si="0"/>
        <v>1.0240609047639961</v>
      </c>
      <c r="AM9" s="5">
        <f t="shared" si="1"/>
        <v>0.74087952227285669</v>
      </c>
      <c r="AN9" s="5">
        <f t="shared" si="2"/>
        <v>1.0563363851701499</v>
      </c>
    </row>
    <row r="10" spans="1:40" x14ac:dyDescent="0.25">
      <c r="A10">
        <v>9</v>
      </c>
      <c r="B10">
        <v>110</v>
      </c>
      <c r="C10">
        <v>0</v>
      </c>
      <c r="D10">
        <v>0.87178375675221098</v>
      </c>
      <c r="E10">
        <v>0.81310860491459602</v>
      </c>
      <c r="F10">
        <v>-5.8675151837614702E-2</v>
      </c>
      <c r="G10">
        <v>4.9485138753192201E-2</v>
      </c>
      <c r="H10">
        <v>1.83533129715002E-2</v>
      </c>
      <c r="I10">
        <v>4.9485138753192201E-2</v>
      </c>
      <c r="J10">
        <v>0.63786453048891201</v>
      </c>
      <c r="K10">
        <v>5.7920483947799299E-2</v>
      </c>
      <c r="L10">
        <v>14.031786508676401</v>
      </c>
      <c r="M10">
        <v>5.3741273248709902</v>
      </c>
      <c r="N10">
        <v>80.594086166452598</v>
      </c>
      <c r="O10">
        <v>30.310516154201601</v>
      </c>
      <c r="P10">
        <v>50.068340196433503</v>
      </c>
      <c r="Q10">
        <v>19.621143649364999</v>
      </c>
      <c r="R10">
        <v>0</v>
      </c>
      <c r="S10">
        <v>50.068340196433503</v>
      </c>
      <c r="T10">
        <v>0.69829929431724702</v>
      </c>
      <c r="U10">
        <v>-12.249196932098499</v>
      </c>
      <c r="V10">
        <v>596.17131428688106</v>
      </c>
      <c r="W10">
        <v>99.890882334087394</v>
      </c>
      <c r="X10">
        <v>44.065614364044997</v>
      </c>
      <c r="Y10" s="18">
        <v>87.419564735907002</v>
      </c>
      <c r="Z10">
        <v>57.157106784774903</v>
      </c>
      <c r="AA10">
        <v>3.80225893574486</v>
      </c>
      <c r="AB10">
        <v>763.30566466459095</v>
      </c>
      <c r="AC10">
        <v>22.503739665169899</v>
      </c>
      <c r="AD10">
        <v>0</v>
      </c>
      <c r="AE10">
        <v>171.33504213793299</v>
      </c>
      <c r="AF10">
        <v>112.075980099201</v>
      </c>
      <c r="AG10">
        <v>31.050414920165501</v>
      </c>
      <c r="AH10">
        <v>-4.5168701772823097</v>
      </c>
      <c r="AI10">
        <v>32534589612.5</v>
      </c>
      <c r="AJ10">
        <v>7.9223993900239001E-2</v>
      </c>
      <c r="AK10">
        <v>49889</v>
      </c>
      <c r="AL10" s="4">
        <f t="shared" si="0"/>
        <v>1.0721615187478897</v>
      </c>
      <c r="AM10" s="5">
        <f t="shared" si="1"/>
        <v>0.75518812096679677</v>
      </c>
      <c r="AN10" s="5">
        <f t="shared" si="2"/>
        <v>1.1543928361004245</v>
      </c>
    </row>
    <row r="11" spans="1:40" x14ac:dyDescent="0.25">
      <c r="A11">
        <v>10</v>
      </c>
      <c r="B11">
        <v>150</v>
      </c>
      <c r="C11">
        <v>-200</v>
      </c>
      <c r="D11">
        <v>0</v>
      </c>
      <c r="E11">
        <v>0.41157295711028002</v>
      </c>
      <c r="F11">
        <v>0.41157295711028002</v>
      </c>
      <c r="G11">
        <v>5.2374562962963001E-2</v>
      </c>
      <c r="H11">
        <v>6.6130836168570297E-4</v>
      </c>
      <c r="I11">
        <v>5.2374562962963001E-2</v>
      </c>
      <c r="J11">
        <v>0.30615788469233701</v>
      </c>
      <c r="K11" s="1">
        <v>4.6381303316231602E-6</v>
      </c>
      <c r="L11">
        <v>100</v>
      </c>
      <c r="M11">
        <v>0</v>
      </c>
      <c r="N11">
        <v>0</v>
      </c>
      <c r="O11">
        <v>0</v>
      </c>
      <c r="P11">
        <v>100</v>
      </c>
      <c r="Q11">
        <v>0</v>
      </c>
      <c r="R11">
        <v>0</v>
      </c>
      <c r="S11">
        <v>100</v>
      </c>
      <c r="T11">
        <v>0</v>
      </c>
      <c r="U11">
        <v>-202.1</v>
      </c>
      <c r="V11">
        <v>0</v>
      </c>
      <c r="W11">
        <v>100</v>
      </c>
      <c r="X11">
        <v>41.5</v>
      </c>
      <c r="Y11" s="18">
        <v>128.80000000000001</v>
      </c>
      <c r="Z11">
        <v>64</v>
      </c>
      <c r="AA11">
        <v>2.6</v>
      </c>
      <c r="AB11">
        <v>778</v>
      </c>
      <c r="AC11">
        <v>100</v>
      </c>
      <c r="AD11">
        <v>0</v>
      </c>
      <c r="AE11">
        <v>179.2</v>
      </c>
      <c r="AF11">
        <v>112.2</v>
      </c>
      <c r="AG11">
        <v>20.9</v>
      </c>
      <c r="AH11">
        <v>-107</v>
      </c>
      <c r="AI11">
        <v>128882.9</v>
      </c>
      <c r="AJ11" t="s">
        <v>36</v>
      </c>
      <c r="AK11">
        <v>1</v>
      </c>
      <c r="AL11" s="4">
        <f t="shared" si="0"/>
        <v>0</v>
      </c>
      <c r="AM11" s="5">
        <f t="shared" si="1"/>
        <v>0.41156831897994839</v>
      </c>
      <c r="AN11" s="5">
        <f t="shared" si="2"/>
        <v>0</v>
      </c>
    </row>
    <row r="12" spans="1:40" x14ac:dyDescent="0.25">
      <c r="A12">
        <v>11</v>
      </c>
      <c r="B12">
        <v>150</v>
      </c>
      <c r="C12">
        <v>-175</v>
      </c>
      <c r="D12">
        <v>3.0158558698900298E-3</v>
      </c>
      <c r="E12">
        <v>0.42422359354725298</v>
      </c>
      <c r="F12">
        <v>0.42120773767736303</v>
      </c>
      <c r="G12">
        <v>4.8630407047420797E-2</v>
      </c>
      <c r="H12">
        <v>1.7276102316230899E-3</v>
      </c>
      <c r="I12">
        <v>4.8630407047420797E-2</v>
      </c>
      <c r="J12">
        <v>0.32523061777169499</v>
      </c>
      <c r="K12" s="1">
        <v>4.5514490932628202E-6</v>
      </c>
      <c r="L12">
        <v>88.576303523143807</v>
      </c>
      <c r="M12">
        <v>0</v>
      </c>
      <c r="N12">
        <v>11.4236964768562</v>
      </c>
      <c r="O12">
        <v>11.4236964768562</v>
      </c>
      <c r="P12">
        <v>88.576303523143807</v>
      </c>
      <c r="Q12">
        <v>0</v>
      </c>
      <c r="R12">
        <v>0</v>
      </c>
      <c r="S12">
        <v>88.576303523143807</v>
      </c>
      <c r="T12">
        <v>2.64679679540081E-2</v>
      </c>
      <c r="U12">
        <v>-186.03614616698599</v>
      </c>
      <c r="V12">
        <v>0</v>
      </c>
      <c r="W12">
        <v>100</v>
      </c>
      <c r="X12">
        <v>48.6466334602164</v>
      </c>
      <c r="Y12" s="18">
        <v>129.30280914065699</v>
      </c>
      <c r="Z12">
        <v>55.1954912753624</v>
      </c>
      <c r="AA12">
        <v>2.6062216154924802</v>
      </c>
      <c r="AB12">
        <v>771.394646733586</v>
      </c>
      <c r="AC12">
        <v>79.753647538474496</v>
      </c>
      <c r="AD12">
        <v>0</v>
      </c>
      <c r="AE12">
        <v>171.86805111117599</v>
      </c>
      <c r="AF12">
        <v>111.958665939696</v>
      </c>
      <c r="AG12">
        <v>25.509406906328</v>
      </c>
      <c r="AH12">
        <v>-106.862025066144</v>
      </c>
      <c r="AI12">
        <v>1158048.1000000001</v>
      </c>
      <c r="AJ12" s="1">
        <v>8.7999999999999998E-5</v>
      </c>
      <c r="AK12">
        <v>9</v>
      </c>
      <c r="AL12" s="4">
        <f t="shared" si="0"/>
        <v>7.109118671765018E-3</v>
      </c>
      <c r="AM12" s="5">
        <f t="shared" si="1"/>
        <v>0.42421904209815969</v>
      </c>
      <c r="AN12" s="5">
        <f t="shared" si="2"/>
        <v>7.1091949455493637E-3</v>
      </c>
    </row>
    <row r="13" spans="1:40" x14ac:dyDescent="0.25">
      <c r="A13">
        <v>12</v>
      </c>
      <c r="B13">
        <v>150</v>
      </c>
      <c r="C13">
        <v>-150</v>
      </c>
      <c r="D13">
        <v>1.4011899431400699E-2</v>
      </c>
      <c r="E13">
        <v>0.48301323170816501</v>
      </c>
      <c r="F13">
        <v>0.46900133227676499</v>
      </c>
      <c r="G13">
        <v>4.8585020112481198E-2</v>
      </c>
      <c r="H13">
        <v>7.0348562869350598E-3</v>
      </c>
      <c r="I13">
        <v>4.8585020112481198E-2</v>
      </c>
      <c r="J13">
        <v>0.37880308040712501</v>
      </c>
      <c r="K13" s="1">
        <v>5.25478914331619E-6</v>
      </c>
      <c r="L13">
        <v>46.245221253371199</v>
      </c>
      <c r="M13">
        <v>0</v>
      </c>
      <c r="N13">
        <v>53.754778746628801</v>
      </c>
      <c r="O13">
        <v>51.6517079900064</v>
      </c>
      <c r="P13">
        <v>33.645855523879</v>
      </c>
      <c r="Q13">
        <v>14.702436486114699</v>
      </c>
      <c r="R13">
        <v>0</v>
      </c>
      <c r="S13">
        <v>33.645855523879</v>
      </c>
      <c r="T13">
        <v>0.186571316806347</v>
      </c>
      <c r="U13">
        <v>-160.11096525009199</v>
      </c>
      <c r="V13">
        <v>0</v>
      </c>
      <c r="W13">
        <v>100</v>
      </c>
      <c r="X13">
        <v>57.741150102339901</v>
      </c>
      <c r="Y13" s="18">
        <v>116.886829500019</v>
      </c>
      <c r="Z13">
        <v>55.094196456430097</v>
      </c>
      <c r="AA13">
        <v>2.743851515757</v>
      </c>
      <c r="AB13">
        <v>740.64837394070105</v>
      </c>
      <c r="AC13">
        <v>21.347281791713201</v>
      </c>
      <c r="AD13">
        <v>0</v>
      </c>
      <c r="AE13">
        <v>173.01221755506299</v>
      </c>
      <c r="AF13">
        <v>112.01504481361199</v>
      </c>
      <c r="AG13">
        <v>25.3650229063342</v>
      </c>
      <c r="AH13">
        <v>-99.439555009017994</v>
      </c>
      <c r="AI13">
        <v>6808924.5</v>
      </c>
      <c r="AJ13">
        <v>7.9337144618607004E-4</v>
      </c>
      <c r="AK13">
        <v>56</v>
      </c>
      <c r="AL13" s="4">
        <f t="shared" si="0"/>
        <v>2.900934904380972E-2</v>
      </c>
      <c r="AM13" s="5">
        <f t="shared" si="1"/>
        <v>0.4830079769190217</v>
      </c>
      <c r="AN13" s="5">
        <f t="shared" si="2"/>
        <v>2.9009664645248401E-2</v>
      </c>
    </row>
    <row r="14" spans="1:40" x14ac:dyDescent="0.25">
      <c r="A14">
        <v>13</v>
      </c>
      <c r="B14">
        <v>150</v>
      </c>
      <c r="C14">
        <v>-125</v>
      </c>
      <c r="D14">
        <v>0.35037417787806702</v>
      </c>
      <c r="E14">
        <v>0.51058740521128798</v>
      </c>
      <c r="F14">
        <v>0.16021322733322099</v>
      </c>
      <c r="G14">
        <v>4.8323393376962301E-2</v>
      </c>
      <c r="H14">
        <v>1.0485796320760601E-2</v>
      </c>
      <c r="I14">
        <v>4.8323393376962301E-2</v>
      </c>
      <c r="J14">
        <v>0.40344938547761899</v>
      </c>
      <c r="K14" s="1">
        <v>5.43665898395387E-6</v>
      </c>
      <c r="L14">
        <v>69.897877135231099</v>
      </c>
      <c r="M14">
        <v>0.66289910022544196</v>
      </c>
      <c r="N14">
        <v>29.439223764543399</v>
      </c>
      <c r="O14">
        <v>38.216127598591697</v>
      </c>
      <c r="P14">
        <v>37.411662969834097</v>
      </c>
      <c r="Q14">
        <v>24.372209431574198</v>
      </c>
      <c r="R14">
        <v>0</v>
      </c>
      <c r="S14">
        <v>37.411662969834097</v>
      </c>
      <c r="T14">
        <v>0.368590236933729</v>
      </c>
      <c r="U14">
        <v>-133.44991956317801</v>
      </c>
      <c r="V14">
        <v>0</v>
      </c>
      <c r="W14">
        <v>100</v>
      </c>
      <c r="X14">
        <v>51.374661584888301</v>
      </c>
      <c r="Y14" s="18">
        <v>115.794912570253</v>
      </c>
      <c r="Z14">
        <v>54.515062057575797</v>
      </c>
      <c r="AA14">
        <v>3.07293876931125</v>
      </c>
      <c r="AB14">
        <v>761.16819877731803</v>
      </c>
      <c r="AC14">
        <v>8.3101131079493999</v>
      </c>
      <c r="AD14">
        <v>0</v>
      </c>
      <c r="AE14">
        <v>173.00087146882399</v>
      </c>
      <c r="AF14">
        <v>111.997955975756</v>
      </c>
      <c r="AG14">
        <v>25.2777879225346</v>
      </c>
      <c r="AH14">
        <v>-60.634587742803397</v>
      </c>
      <c r="AI14">
        <v>70532001</v>
      </c>
      <c r="AJ14">
        <v>5.4546957042708601E-2</v>
      </c>
      <c r="AK14">
        <v>424</v>
      </c>
      <c r="AL14" s="4">
        <f t="shared" si="0"/>
        <v>0.68621782343627813</v>
      </c>
      <c r="AM14" s="5">
        <f t="shared" si="1"/>
        <v>0.51058196855230398</v>
      </c>
      <c r="AN14" s="5">
        <f t="shared" si="2"/>
        <v>0.68622513025971599</v>
      </c>
    </row>
    <row r="15" spans="1:40" x14ac:dyDescent="0.25">
      <c r="A15">
        <v>14</v>
      </c>
      <c r="B15">
        <v>150</v>
      </c>
      <c r="C15">
        <v>-100</v>
      </c>
      <c r="D15">
        <v>0.71376871313629697</v>
      </c>
      <c r="E15">
        <v>0.53512506981140495</v>
      </c>
      <c r="F15">
        <v>-0.17864364332489199</v>
      </c>
      <c r="G15">
        <v>4.8312030645874499E-2</v>
      </c>
      <c r="H15">
        <v>9.6760258073164997E-3</v>
      </c>
      <c r="I15">
        <v>4.8312030645874499E-2</v>
      </c>
      <c r="J15">
        <v>0.42881960684165299</v>
      </c>
      <c r="K15" s="1">
        <v>5.3758706865613798E-6</v>
      </c>
      <c r="L15">
        <v>65.766596402811601</v>
      </c>
      <c r="M15">
        <v>1.33825016870159</v>
      </c>
      <c r="N15">
        <v>32.8951534284869</v>
      </c>
      <c r="O15">
        <v>31.713459239175901</v>
      </c>
      <c r="P15">
        <v>47.899341252539998</v>
      </c>
      <c r="Q15">
        <v>20.387199508283999</v>
      </c>
      <c r="R15">
        <v>0</v>
      </c>
      <c r="S15">
        <v>47.899341252539998</v>
      </c>
      <c r="T15">
        <v>0.36153481687246802</v>
      </c>
      <c r="U15">
        <v>-108.753633329943</v>
      </c>
      <c r="V15">
        <v>2.47741933424778E-2</v>
      </c>
      <c r="W15">
        <v>99.850998832568607</v>
      </c>
      <c r="X15">
        <v>46.577556001674502</v>
      </c>
      <c r="Y15" s="18">
        <v>116.056006127031</v>
      </c>
      <c r="Z15">
        <v>54.4831442003699</v>
      </c>
      <c r="AA15">
        <v>3.2520953952006302</v>
      </c>
      <c r="AB15">
        <v>770.58928828171202</v>
      </c>
      <c r="AC15">
        <v>9.7707823356016892</v>
      </c>
      <c r="AD15">
        <v>0</v>
      </c>
      <c r="AE15">
        <v>172.135014310278</v>
      </c>
      <c r="AF15">
        <v>111.953747465798</v>
      </c>
      <c r="AG15">
        <v>25.266862876201898</v>
      </c>
      <c r="AH15">
        <v>-37.544938745641403</v>
      </c>
      <c r="AI15">
        <v>731421249.10000002</v>
      </c>
      <c r="AJ15">
        <v>6.4145393123455102E-2</v>
      </c>
      <c r="AK15">
        <v>2032</v>
      </c>
      <c r="AL15" s="4">
        <f t="shared" si="0"/>
        <v>1.3338353095433404</v>
      </c>
      <c r="AM15" s="5">
        <f t="shared" si="1"/>
        <v>0.53511969394071834</v>
      </c>
      <c r="AN15" s="5">
        <f t="shared" si="2"/>
        <v>1.3338487093980318</v>
      </c>
    </row>
    <row r="16" spans="1:40" x14ac:dyDescent="0.25">
      <c r="A16">
        <v>15</v>
      </c>
      <c r="B16">
        <v>150</v>
      </c>
      <c r="C16">
        <v>-75</v>
      </c>
      <c r="D16">
        <v>0.74363181723453298</v>
      </c>
      <c r="E16">
        <v>0.56174775270754196</v>
      </c>
      <c r="F16">
        <v>-0.18188406452699099</v>
      </c>
      <c r="G16">
        <v>4.8159461999574701E-2</v>
      </c>
      <c r="H16">
        <v>1.0876871701301E-2</v>
      </c>
      <c r="I16">
        <v>4.8159461999574701E-2</v>
      </c>
      <c r="J16">
        <v>0.45454657203404403</v>
      </c>
      <c r="K16" s="1">
        <v>5.3849730466912E-6</v>
      </c>
      <c r="L16">
        <v>41.437734737139003</v>
      </c>
      <c r="M16">
        <v>3.3278236258922198</v>
      </c>
      <c r="N16">
        <v>55.234441636968803</v>
      </c>
      <c r="O16">
        <v>34.572157702928202</v>
      </c>
      <c r="P16">
        <v>45.604409935071999</v>
      </c>
      <c r="Q16">
        <v>19.823432361999799</v>
      </c>
      <c r="R16">
        <v>0</v>
      </c>
      <c r="S16">
        <v>45.604409935071999</v>
      </c>
      <c r="T16">
        <v>0.412806127398817</v>
      </c>
      <c r="U16">
        <v>-84.197318220663405</v>
      </c>
      <c r="V16">
        <v>0.76758663734605204</v>
      </c>
      <c r="W16">
        <v>99.934946028726202</v>
      </c>
      <c r="X16">
        <v>46.3666586460091</v>
      </c>
      <c r="Y16" s="18">
        <v>116.626708220068</v>
      </c>
      <c r="Z16">
        <v>54.126577897129401</v>
      </c>
      <c r="AA16">
        <v>3.3467199975127602</v>
      </c>
      <c r="AB16">
        <v>771.37683899306501</v>
      </c>
      <c r="AC16">
        <v>7.8834644809988301</v>
      </c>
      <c r="AD16">
        <v>0</v>
      </c>
      <c r="AE16">
        <v>171.870815478282</v>
      </c>
      <c r="AF16">
        <v>111.963237351462</v>
      </c>
      <c r="AG16">
        <v>25.986938191055501</v>
      </c>
      <c r="AH16">
        <v>-28.005481032138899</v>
      </c>
      <c r="AI16">
        <v>4734935979.6000004</v>
      </c>
      <c r="AJ16">
        <v>7.0698471397528495E-2</v>
      </c>
      <c r="AK16">
        <v>5846</v>
      </c>
      <c r="AL16" s="4">
        <f t="shared" si="0"/>
        <v>1.3237824515546994</v>
      </c>
      <c r="AM16" s="5">
        <f t="shared" si="1"/>
        <v>0.56174236773449526</v>
      </c>
      <c r="AN16" s="5">
        <f t="shared" si="2"/>
        <v>1.3237951415941744</v>
      </c>
    </row>
    <row r="17" spans="1:40" x14ac:dyDescent="0.25">
      <c r="A17">
        <v>16</v>
      </c>
      <c r="B17">
        <v>150</v>
      </c>
      <c r="C17">
        <v>-50</v>
      </c>
      <c r="D17">
        <v>0.69681138195660197</v>
      </c>
      <c r="E17">
        <v>0.60922850779021998</v>
      </c>
      <c r="F17">
        <v>-8.7582874166381802E-2</v>
      </c>
      <c r="G17">
        <v>4.83628969264569E-2</v>
      </c>
      <c r="H17">
        <v>1.1897032527530001E-2</v>
      </c>
      <c r="I17">
        <v>4.83628969264569E-2</v>
      </c>
      <c r="J17">
        <v>0.49552278541495898</v>
      </c>
      <c r="K17">
        <v>5.08289599481685E-3</v>
      </c>
      <c r="L17">
        <v>18.440368687485801</v>
      </c>
      <c r="M17">
        <v>5.0943298925529996</v>
      </c>
      <c r="N17">
        <v>76.465301419961193</v>
      </c>
      <c r="O17">
        <v>35.0946832471679</v>
      </c>
      <c r="P17">
        <v>44.003311004257803</v>
      </c>
      <c r="Q17">
        <v>20.9020057485743</v>
      </c>
      <c r="R17">
        <v>0</v>
      </c>
      <c r="S17">
        <v>44.003311004257803</v>
      </c>
      <c r="T17">
        <v>0.45540641428786699</v>
      </c>
      <c r="U17">
        <v>-60.127089348989301</v>
      </c>
      <c r="V17">
        <v>39.434236918698801</v>
      </c>
      <c r="W17">
        <v>99.962803509938993</v>
      </c>
      <c r="X17">
        <v>45.793067435976901</v>
      </c>
      <c r="Y17" s="18">
        <v>116.91968312745</v>
      </c>
      <c r="Z17">
        <v>54.582529595901697</v>
      </c>
      <c r="AA17">
        <v>3.4358833003244298</v>
      </c>
      <c r="AB17">
        <v>770.73962104159602</v>
      </c>
      <c r="AC17">
        <v>7.4796759656448897</v>
      </c>
      <c r="AD17">
        <v>0</v>
      </c>
      <c r="AE17">
        <v>172.15594309893501</v>
      </c>
      <c r="AF17">
        <v>112.02548921518201</v>
      </c>
      <c r="AG17">
        <v>26.824447736100598</v>
      </c>
      <c r="AH17">
        <v>-22.082344076666601</v>
      </c>
      <c r="AI17">
        <v>23474302159.900002</v>
      </c>
      <c r="AJ17">
        <v>7.3236694493439503E-2</v>
      </c>
      <c r="AK17">
        <v>16353</v>
      </c>
      <c r="AL17" s="4">
        <f t="shared" si="0"/>
        <v>1.1437603018349563</v>
      </c>
      <c r="AM17" s="5">
        <f t="shared" si="1"/>
        <v>0.60414561179540316</v>
      </c>
      <c r="AN17" s="5">
        <f t="shared" si="2"/>
        <v>1.1533831717916716</v>
      </c>
    </row>
    <row r="18" spans="1:40" x14ac:dyDescent="0.25">
      <c r="A18">
        <v>17</v>
      </c>
      <c r="B18">
        <v>150</v>
      </c>
      <c r="C18">
        <v>-25</v>
      </c>
      <c r="D18">
        <v>0.78391795670064501</v>
      </c>
      <c r="E18">
        <v>0.713160117971397</v>
      </c>
      <c r="F18">
        <v>-7.0757838729248193E-2</v>
      </c>
      <c r="G18">
        <v>4.8766924029624403E-2</v>
      </c>
      <c r="H18">
        <v>1.250086823555E-2</v>
      </c>
      <c r="I18">
        <v>4.8766924029624403E-2</v>
      </c>
      <c r="J18">
        <v>0.56227090502139498</v>
      </c>
      <c r="K18">
        <v>4.0854496655202598E-2</v>
      </c>
      <c r="L18">
        <v>11.6648481802043</v>
      </c>
      <c r="M18">
        <v>5.5920946075474802</v>
      </c>
      <c r="N18">
        <v>82.743057212248303</v>
      </c>
      <c r="O18">
        <v>32.7615088612257</v>
      </c>
      <c r="P18">
        <v>45.772348155242099</v>
      </c>
      <c r="Q18">
        <v>21.466142983532201</v>
      </c>
      <c r="R18">
        <v>0</v>
      </c>
      <c r="S18">
        <v>45.772348155242099</v>
      </c>
      <c r="T18">
        <v>0.47913078443106799</v>
      </c>
      <c r="U18">
        <v>-36.446221315988097</v>
      </c>
      <c r="V18">
        <v>171.871412975868</v>
      </c>
      <c r="W18">
        <v>99.953429424805293</v>
      </c>
      <c r="X18">
        <v>45.188287646918603</v>
      </c>
      <c r="Y18" s="18">
        <v>116.825983934901</v>
      </c>
      <c r="Z18">
        <v>55.499201478865402</v>
      </c>
      <c r="AA18">
        <v>3.5730702445146698</v>
      </c>
      <c r="AB18">
        <v>767.74927412951195</v>
      </c>
      <c r="AC18">
        <v>11.515645648920501</v>
      </c>
      <c r="AD18">
        <v>0</v>
      </c>
      <c r="AE18">
        <v>172.80645561047501</v>
      </c>
      <c r="AF18">
        <v>112.174652423713</v>
      </c>
      <c r="AG18">
        <v>29.348992363849199</v>
      </c>
      <c r="AH18">
        <v>-13.8766695837274</v>
      </c>
      <c r="AI18">
        <v>53937995797.300003</v>
      </c>
      <c r="AJ18">
        <v>7.6671943448201496E-2</v>
      </c>
      <c r="AK18">
        <v>36146</v>
      </c>
      <c r="AL18" s="4">
        <f t="shared" si="0"/>
        <v>1.099217324337374</v>
      </c>
      <c r="AM18" s="5">
        <f t="shared" si="1"/>
        <v>0.67230562131619442</v>
      </c>
      <c r="AN18" s="5">
        <f t="shared" si="2"/>
        <v>1.1660142825608739</v>
      </c>
    </row>
    <row r="19" spans="1:40" x14ac:dyDescent="0.25">
      <c r="A19">
        <v>18</v>
      </c>
      <c r="B19">
        <v>150</v>
      </c>
      <c r="C19">
        <v>0</v>
      </c>
      <c r="D19">
        <v>0.86356101428058196</v>
      </c>
      <c r="E19">
        <v>0.76888964813571803</v>
      </c>
      <c r="F19">
        <v>-9.46713661448636E-2</v>
      </c>
      <c r="G19">
        <v>4.9582621902595103E-2</v>
      </c>
      <c r="H19">
        <v>1.5224202316597E-2</v>
      </c>
      <c r="I19">
        <v>4.9582621902595103E-2</v>
      </c>
      <c r="J19">
        <v>0.57282254810575195</v>
      </c>
      <c r="K19">
        <v>8.1677653908179298E-2</v>
      </c>
      <c r="L19">
        <v>10.1972072401575</v>
      </c>
      <c r="M19">
        <v>5.4071835171754197</v>
      </c>
      <c r="N19">
        <v>84.395609242667106</v>
      </c>
      <c r="O19">
        <v>28.910715000072301</v>
      </c>
      <c r="P19">
        <v>49.089295490720403</v>
      </c>
      <c r="Q19">
        <v>21.9999895092073</v>
      </c>
      <c r="R19">
        <v>0</v>
      </c>
      <c r="S19">
        <v>49.089295490720403</v>
      </c>
      <c r="T19">
        <v>0.56737673620283402</v>
      </c>
      <c r="U19">
        <v>-12.356503194380901</v>
      </c>
      <c r="V19">
        <v>587.65131550649903</v>
      </c>
      <c r="W19">
        <v>99.9212977241896</v>
      </c>
      <c r="X19">
        <v>45.020719940601403</v>
      </c>
      <c r="Y19" s="18">
        <v>116.45020484824001</v>
      </c>
      <c r="Z19">
        <v>57.382517279721398</v>
      </c>
      <c r="AA19">
        <v>3.7794444205474602</v>
      </c>
      <c r="AB19">
        <v>764.24239043899695</v>
      </c>
      <c r="AC19">
        <v>16.5859758941865</v>
      </c>
      <c r="AD19">
        <v>0</v>
      </c>
      <c r="AE19">
        <v>171.28134257186599</v>
      </c>
      <c r="AF19">
        <v>112.07413651488</v>
      </c>
      <c r="AG19">
        <v>31.107588501896899</v>
      </c>
      <c r="AH19">
        <v>-7.3996050338241197</v>
      </c>
      <c r="AI19">
        <v>75485525496.5</v>
      </c>
      <c r="AJ19">
        <v>8.0039515535107394E-2</v>
      </c>
      <c r="AK19">
        <v>63968</v>
      </c>
      <c r="AL19" s="4">
        <f t="shared" si="0"/>
        <v>1.1231273777380253</v>
      </c>
      <c r="AM19" s="5">
        <f t="shared" si="1"/>
        <v>0.68721199422753876</v>
      </c>
      <c r="AN19" s="5">
        <f t="shared" si="2"/>
        <v>1.2566151661122686</v>
      </c>
    </row>
    <row r="20" spans="1:40" x14ac:dyDescent="0.25">
      <c r="A20">
        <v>19</v>
      </c>
      <c r="B20">
        <v>175</v>
      </c>
      <c r="C20">
        <v>-175</v>
      </c>
      <c r="D20">
        <v>0</v>
      </c>
      <c r="E20">
        <v>0.43959256930486001</v>
      </c>
      <c r="F20">
        <v>0.43959256930486001</v>
      </c>
      <c r="G20">
        <v>4.8567768974877801E-2</v>
      </c>
      <c r="H20">
        <v>3.2702461795712698E-3</v>
      </c>
      <c r="I20">
        <v>4.8567768974877801E-2</v>
      </c>
      <c r="J20">
        <v>0.33918011947246501</v>
      </c>
      <c r="K20" s="1">
        <v>6.6657030686496998E-6</v>
      </c>
      <c r="L20">
        <v>48.979135589346797</v>
      </c>
      <c r="M20">
        <v>0</v>
      </c>
      <c r="N20">
        <v>51.020864410653203</v>
      </c>
      <c r="O20">
        <v>51.020864410653203</v>
      </c>
      <c r="P20">
        <v>48.979135589346797</v>
      </c>
      <c r="Q20">
        <v>0</v>
      </c>
      <c r="R20">
        <v>0</v>
      </c>
      <c r="S20">
        <v>48.979135589346797</v>
      </c>
      <c r="T20">
        <v>0</v>
      </c>
      <c r="U20">
        <v>-177.66122950851701</v>
      </c>
      <c r="V20">
        <v>0</v>
      </c>
      <c r="W20">
        <v>100</v>
      </c>
      <c r="X20">
        <v>54.934821170572199</v>
      </c>
      <c r="Y20" s="18">
        <v>140.70818927140701</v>
      </c>
      <c r="Z20">
        <v>54.979582711786897</v>
      </c>
      <c r="AA20">
        <v>2.7489791355893498</v>
      </c>
      <c r="AB20">
        <v>725.26475406310999</v>
      </c>
      <c r="AC20">
        <v>0</v>
      </c>
      <c r="AD20">
        <v>0</v>
      </c>
      <c r="AE20">
        <v>179.2</v>
      </c>
      <c r="AF20">
        <v>112.2</v>
      </c>
      <c r="AG20">
        <v>20.9</v>
      </c>
      <c r="AH20">
        <v>-139.822816714986</v>
      </c>
      <c r="AI20">
        <v>281354.7</v>
      </c>
      <c r="AJ20">
        <v>0</v>
      </c>
      <c r="AK20">
        <v>2</v>
      </c>
      <c r="AL20" s="4">
        <f t="shared" si="0"/>
        <v>0</v>
      </c>
      <c r="AM20" s="5">
        <f t="shared" si="1"/>
        <v>0.43958590360179134</v>
      </c>
      <c r="AN20" s="5">
        <f t="shared" si="2"/>
        <v>0</v>
      </c>
    </row>
    <row r="21" spans="1:40" x14ac:dyDescent="0.25">
      <c r="A21">
        <v>20</v>
      </c>
      <c r="B21">
        <v>175</v>
      </c>
      <c r="C21">
        <v>-150</v>
      </c>
      <c r="D21">
        <v>2.59566697283704E-2</v>
      </c>
      <c r="E21">
        <v>0.46259007435092903</v>
      </c>
      <c r="F21">
        <v>0.43663340462255901</v>
      </c>
      <c r="G21">
        <v>4.7934321340072701E-2</v>
      </c>
      <c r="H21">
        <v>7.44715668120684E-3</v>
      </c>
      <c r="I21">
        <v>4.7934321340072701E-2</v>
      </c>
      <c r="J21">
        <v>0.35926795254461602</v>
      </c>
      <c r="K21" s="1">
        <v>6.3224449613780704E-6</v>
      </c>
      <c r="L21">
        <v>30.6106979569883</v>
      </c>
      <c r="M21">
        <v>0</v>
      </c>
      <c r="N21">
        <v>69.389302043011696</v>
      </c>
      <c r="O21">
        <v>72.238820254136797</v>
      </c>
      <c r="P21">
        <v>8.9600223335973794</v>
      </c>
      <c r="Q21">
        <v>18.801157412265901</v>
      </c>
      <c r="R21">
        <v>0</v>
      </c>
      <c r="S21">
        <v>8.9600223335973794</v>
      </c>
      <c r="T21">
        <v>0.18251793655925999</v>
      </c>
      <c r="U21">
        <v>-158.94860082406601</v>
      </c>
      <c r="V21">
        <v>0</v>
      </c>
      <c r="W21">
        <v>100</v>
      </c>
      <c r="X21">
        <v>62.286342111046302</v>
      </c>
      <c r="Y21" s="18">
        <v>144.36661463770801</v>
      </c>
      <c r="Z21">
        <v>53.616387664459701</v>
      </c>
      <c r="AA21">
        <v>2.74709194722608</v>
      </c>
      <c r="AB21">
        <v>730.93115818480999</v>
      </c>
      <c r="AC21">
        <v>0</v>
      </c>
      <c r="AD21">
        <v>0</v>
      </c>
      <c r="AE21">
        <v>174.68971241524301</v>
      </c>
      <c r="AF21">
        <v>112.126250969292</v>
      </c>
      <c r="AG21">
        <v>24.650110094639299</v>
      </c>
      <c r="AH21">
        <v>-111.844393864116</v>
      </c>
      <c r="AI21">
        <v>3149335.9</v>
      </c>
      <c r="AJ21">
        <v>1.6164865332322499E-3</v>
      </c>
      <c r="AK21">
        <v>22</v>
      </c>
      <c r="AL21" s="4">
        <f t="shared" si="0"/>
        <v>5.6111601107721155E-2</v>
      </c>
      <c r="AM21" s="5">
        <f t="shared" si="1"/>
        <v>0.46258375190596762</v>
      </c>
      <c r="AN21" s="5">
        <f t="shared" si="2"/>
        <v>5.611236802291919E-2</v>
      </c>
    </row>
    <row r="22" spans="1:40" x14ac:dyDescent="0.25">
      <c r="A22">
        <v>21</v>
      </c>
      <c r="B22">
        <v>175</v>
      </c>
      <c r="C22">
        <v>-125</v>
      </c>
      <c r="D22">
        <v>0.45182697437541902</v>
      </c>
      <c r="E22">
        <v>0.47344758623885702</v>
      </c>
      <c r="F22">
        <v>2.16206118634387E-2</v>
      </c>
      <c r="G22">
        <v>4.8351167836982401E-2</v>
      </c>
      <c r="H22">
        <v>8.5568914610602807E-3</v>
      </c>
      <c r="I22">
        <v>4.8351167836982401E-2</v>
      </c>
      <c r="J22">
        <v>0.36818226299055401</v>
      </c>
      <c r="K22" s="1">
        <v>6.0961132781480301E-6</v>
      </c>
      <c r="L22">
        <v>69.846575803443102</v>
      </c>
      <c r="M22">
        <v>0</v>
      </c>
      <c r="N22">
        <v>30.153424196556902</v>
      </c>
      <c r="O22">
        <v>38.240059512625699</v>
      </c>
      <c r="P22">
        <v>41.542447593804802</v>
      </c>
      <c r="Q22">
        <v>20.217492893569499</v>
      </c>
      <c r="R22">
        <v>0</v>
      </c>
      <c r="S22">
        <v>41.542447593804802</v>
      </c>
      <c r="T22">
        <v>0.29671783005007601</v>
      </c>
      <c r="U22">
        <v>-133.883733438495</v>
      </c>
      <c r="V22">
        <v>0</v>
      </c>
      <c r="W22">
        <v>100</v>
      </c>
      <c r="X22">
        <v>48.416406393874198</v>
      </c>
      <c r="Y22" s="18">
        <v>144.22877278352601</v>
      </c>
      <c r="Z22">
        <v>54.577546132023002</v>
      </c>
      <c r="AA22">
        <v>3.0588141616299702</v>
      </c>
      <c r="AB22">
        <v>761.29183912032204</v>
      </c>
      <c r="AC22">
        <v>10.8818916373137</v>
      </c>
      <c r="AD22">
        <v>0</v>
      </c>
      <c r="AE22">
        <v>173.02703334146</v>
      </c>
      <c r="AF22">
        <v>112.00210198195499</v>
      </c>
      <c r="AG22">
        <v>25.3769187736854</v>
      </c>
      <c r="AH22">
        <v>-63.713750820979897</v>
      </c>
      <c r="AI22">
        <v>38724152.600000001</v>
      </c>
      <c r="AJ22">
        <v>6.64616289985209E-2</v>
      </c>
      <c r="AK22">
        <v>227</v>
      </c>
      <c r="AL22" s="4">
        <f t="shared" si="0"/>
        <v>0.95433367390211965</v>
      </c>
      <c r="AM22" s="5">
        <f t="shared" si="1"/>
        <v>0.47344149012557885</v>
      </c>
      <c r="AN22" s="5">
        <f t="shared" si="2"/>
        <v>0.9543459620650766</v>
      </c>
    </row>
    <row r="23" spans="1:40" x14ac:dyDescent="0.25">
      <c r="A23">
        <v>22</v>
      </c>
      <c r="B23">
        <v>175</v>
      </c>
      <c r="C23">
        <v>-100</v>
      </c>
      <c r="D23">
        <v>0.55552322521742603</v>
      </c>
      <c r="E23">
        <v>0.49543236230774501</v>
      </c>
      <c r="F23">
        <v>-6.0090862909680298E-2</v>
      </c>
      <c r="G23">
        <v>4.82700513509133E-2</v>
      </c>
      <c r="H23">
        <v>8.3288565171176897E-3</v>
      </c>
      <c r="I23">
        <v>4.82700513509133E-2</v>
      </c>
      <c r="J23">
        <v>0.39055729835209901</v>
      </c>
      <c r="K23" s="1">
        <v>6.1047367018836402E-6</v>
      </c>
      <c r="L23">
        <v>64.483020693846498</v>
      </c>
      <c r="M23">
        <v>0.99895046095241802</v>
      </c>
      <c r="N23">
        <v>34.518028845201101</v>
      </c>
      <c r="O23">
        <v>29.504838727619301</v>
      </c>
      <c r="P23">
        <v>50.249553414148203</v>
      </c>
      <c r="Q23">
        <v>20.2456078582324</v>
      </c>
      <c r="R23">
        <v>0</v>
      </c>
      <c r="S23">
        <v>50.249553414148203</v>
      </c>
      <c r="T23">
        <v>0.30983761664139198</v>
      </c>
      <c r="U23">
        <v>-108.67345474702699</v>
      </c>
      <c r="V23">
        <v>6.5081209616206399E-3</v>
      </c>
      <c r="W23">
        <v>100</v>
      </c>
      <c r="X23">
        <v>45.095290456265197</v>
      </c>
      <c r="Y23" s="18">
        <v>144.608423954139</v>
      </c>
      <c r="Z23">
        <v>54.388984547619202</v>
      </c>
      <c r="AA23">
        <v>3.2503326431551098</v>
      </c>
      <c r="AB23">
        <v>770.35268068152698</v>
      </c>
      <c r="AC23">
        <v>8.9574481606804994</v>
      </c>
      <c r="AD23">
        <v>0</v>
      </c>
      <c r="AE23">
        <v>172.12663012117201</v>
      </c>
      <c r="AF23">
        <v>111.949079575517</v>
      </c>
      <c r="AG23">
        <v>25.135660425512</v>
      </c>
      <c r="AH23">
        <v>-37.751683836786498</v>
      </c>
      <c r="AI23">
        <v>424766759.30000001</v>
      </c>
      <c r="AJ23">
        <v>6.9344802879145295E-2</v>
      </c>
      <c r="AK23">
        <v>1294</v>
      </c>
      <c r="AL23" s="4">
        <f t="shared" si="0"/>
        <v>1.1212897410047564</v>
      </c>
      <c r="AM23" s="5">
        <f t="shared" si="1"/>
        <v>0.49542625757104314</v>
      </c>
      <c r="AN23" s="5">
        <f t="shared" si="2"/>
        <v>1.1213035577504995</v>
      </c>
    </row>
    <row r="24" spans="1:40" x14ac:dyDescent="0.25">
      <c r="A24">
        <v>23</v>
      </c>
      <c r="B24">
        <v>175</v>
      </c>
      <c r="C24">
        <v>-75</v>
      </c>
      <c r="D24">
        <v>0.58389240736353099</v>
      </c>
      <c r="E24">
        <v>0.5157688994031</v>
      </c>
      <c r="F24">
        <v>-6.8123507960430194E-2</v>
      </c>
      <c r="G24">
        <v>4.8117572214494198E-2</v>
      </c>
      <c r="H24">
        <v>8.6552039642488806E-3</v>
      </c>
      <c r="I24">
        <v>4.8117572214494198E-2</v>
      </c>
      <c r="J24">
        <v>0.41087243739558799</v>
      </c>
      <c r="K24" s="1">
        <v>6.1136142751148098E-6</v>
      </c>
      <c r="L24">
        <v>36.8742173373602</v>
      </c>
      <c r="M24">
        <v>2.9465557061363401</v>
      </c>
      <c r="N24">
        <v>60.179226956503399</v>
      </c>
      <c r="O24">
        <v>30.170386038573401</v>
      </c>
      <c r="P24">
        <v>50.461892827685901</v>
      </c>
      <c r="Q24">
        <v>19.367721133740599</v>
      </c>
      <c r="R24">
        <v>0</v>
      </c>
      <c r="S24">
        <v>50.461892827685901</v>
      </c>
      <c r="T24">
        <v>0.32139446440105401</v>
      </c>
      <c r="U24">
        <v>-84.080065125103204</v>
      </c>
      <c r="V24">
        <v>0.557604444866863</v>
      </c>
      <c r="W24">
        <v>99.907774249126703</v>
      </c>
      <c r="X24">
        <v>46.231740673797603</v>
      </c>
      <c r="Y24" s="18">
        <v>144.690140600642</v>
      </c>
      <c r="Z24">
        <v>54.032148105238299</v>
      </c>
      <c r="AA24">
        <v>3.3337738042340601</v>
      </c>
      <c r="AB24">
        <v>770.28041042718201</v>
      </c>
      <c r="AC24">
        <v>6.0526830150739004</v>
      </c>
      <c r="AD24">
        <v>0</v>
      </c>
      <c r="AE24">
        <v>171.894687875465</v>
      </c>
      <c r="AF24">
        <v>111.955365274893</v>
      </c>
      <c r="AG24">
        <v>25.815614475140801</v>
      </c>
      <c r="AH24">
        <v>-29.442093795889001</v>
      </c>
      <c r="AI24">
        <v>3117240112.1999998</v>
      </c>
      <c r="AJ24">
        <v>5.8715392769896797E-2</v>
      </c>
      <c r="AK24">
        <v>4362</v>
      </c>
      <c r="AL24" s="4">
        <f>D24/E24</f>
        <v>1.1320814574885583</v>
      </c>
      <c r="AM24" s="5">
        <f>E24-K24</f>
        <v>0.51576278578882484</v>
      </c>
      <c r="AN24" s="5">
        <f>D24/(E24-K24)</f>
        <v>1.1320948766602197</v>
      </c>
    </row>
    <row r="25" spans="1:40" x14ac:dyDescent="0.25">
      <c r="A25">
        <v>24</v>
      </c>
      <c r="B25">
        <v>175</v>
      </c>
      <c r="C25">
        <v>-50</v>
      </c>
      <c r="D25">
        <v>0.706459051979482</v>
      </c>
      <c r="E25">
        <v>0.566838223720594</v>
      </c>
      <c r="F25">
        <v>-0.139620828258888</v>
      </c>
      <c r="G25">
        <v>4.8337096283761198E-2</v>
      </c>
      <c r="H25">
        <v>9.7600375946156007E-3</v>
      </c>
      <c r="I25">
        <v>4.8337096283761198E-2</v>
      </c>
      <c r="J25">
        <v>0.44993817040165901</v>
      </c>
      <c r="K25">
        <v>1.04658231567964E-2</v>
      </c>
      <c r="L25">
        <v>16.0323624315151</v>
      </c>
      <c r="M25">
        <v>4.4193643732682402</v>
      </c>
      <c r="N25">
        <v>79.548273195216694</v>
      </c>
      <c r="O25">
        <v>30.304914229523</v>
      </c>
      <c r="P25">
        <v>49.186188472590501</v>
      </c>
      <c r="Q25">
        <v>20.508897297886499</v>
      </c>
      <c r="R25">
        <v>0</v>
      </c>
      <c r="S25">
        <v>49.186188472590501</v>
      </c>
      <c r="T25">
        <v>0.37020673347730898</v>
      </c>
      <c r="U25">
        <v>-60.109777251195403</v>
      </c>
      <c r="V25">
        <v>38.273862658217197</v>
      </c>
      <c r="W25">
        <v>99.947430721518003</v>
      </c>
      <c r="X25">
        <v>45.917052340003103</v>
      </c>
      <c r="Y25" s="18">
        <v>144.58518224548899</v>
      </c>
      <c r="Z25">
        <v>54.522920972909503</v>
      </c>
      <c r="AA25">
        <v>3.4241815706358798</v>
      </c>
      <c r="AB25">
        <v>771.02776761714904</v>
      </c>
      <c r="AC25">
        <v>6.0539222447816501</v>
      </c>
      <c r="AD25">
        <v>0</v>
      </c>
      <c r="AE25">
        <v>172.23767833956799</v>
      </c>
      <c r="AF25">
        <v>112.03070298256399</v>
      </c>
      <c r="AG25">
        <v>26.767031131458701</v>
      </c>
      <c r="AH25">
        <v>-23.142829940499901</v>
      </c>
      <c r="AI25">
        <v>16067322671.9</v>
      </c>
      <c r="AJ25">
        <v>6.3881024892799801E-2</v>
      </c>
      <c r="AK25">
        <v>12566</v>
      </c>
      <c r="AL25" s="4">
        <f t="shared" ref="AL25:AL45" si="3">D25/E25</f>
        <v>1.2463151255793046</v>
      </c>
      <c r="AM25" s="5">
        <f t="shared" ref="AM25:AM45" si="4">E25-K25</f>
        <v>0.55637240056379755</v>
      </c>
      <c r="AN25" s="5">
        <f t="shared" ref="AN25:AN45" si="5">D25/(E25-K25)</f>
        <v>1.2697593397220905</v>
      </c>
    </row>
    <row r="26" spans="1:40" x14ac:dyDescent="0.25">
      <c r="A26">
        <v>25</v>
      </c>
      <c r="B26">
        <v>175</v>
      </c>
      <c r="C26">
        <v>-25</v>
      </c>
      <c r="D26">
        <v>0.76609999648758498</v>
      </c>
      <c r="E26">
        <v>0.67385078505998097</v>
      </c>
      <c r="F26">
        <v>-9.2249211427603797E-2</v>
      </c>
      <c r="G26">
        <v>4.8750457210168102E-2</v>
      </c>
      <c r="H26">
        <v>1.0541613951804901E-2</v>
      </c>
      <c r="I26">
        <v>4.8750457210168102E-2</v>
      </c>
      <c r="J26">
        <v>0.51085960733477198</v>
      </c>
      <c r="K26">
        <v>5.4948649353067099E-2</v>
      </c>
      <c r="L26">
        <v>9.8306097699977197</v>
      </c>
      <c r="M26">
        <v>4.8598199219006899</v>
      </c>
      <c r="N26">
        <v>85.309570308101598</v>
      </c>
      <c r="O26">
        <v>28.794880093272301</v>
      </c>
      <c r="P26">
        <v>49.645564382829903</v>
      </c>
      <c r="Q26">
        <v>21.559555523897799</v>
      </c>
      <c r="R26">
        <v>0</v>
      </c>
      <c r="S26">
        <v>49.645564382829903</v>
      </c>
      <c r="T26">
        <v>0.39958047117286299</v>
      </c>
      <c r="U26">
        <v>-36.4536246924065</v>
      </c>
      <c r="V26">
        <v>174.78464128883101</v>
      </c>
      <c r="W26">
        <v>99.951849676374096</v>
      </c>
      <c r="X26">
        <v>45.4808475650484</v>
      </c>
      <c r="Y26" s="18">
        <v>144.59774371146801</v>
      </c>
      <c r="Z26">
        <v>55.460650851675197</v>
      </c>
      <c r="AA26">
        <v>3.5664371462277602</v>
      </c>
      <c r="AB26">
        <v>768.18349625970598</v>
      </c>
      <c r="AC26">
        <v>9.6843836227838196</v>
      </c>
      <c r="AD26">
        <v>0</v>
      </c>
      <c r="AE26">
        <v>172.84484174374401</v>
      </c>
      <c r="AF26">
        <v>112.17339848610401</v>
      </c>
      <c r="AG26">
        <v>29.2259070682158</v>
      </c>
      <c r="AH26">
        <v>-14.6169178032149</v>
      </c>
      <c r="AI26">
        <v>38072425699.599998</v>
      </c>
      <c r="AJ26">
        <v>7.8574306442267705E-2</v>
      </c>
      <c r="AK26">
        <v>27514</v>
      </c>
      <c r="AL26" s="4">
        <f t="shared" si="3"/>
        <v>1.1368985737983412</v>
      </c>
      <c r="AM26" s="5">
        <f t="shared" si="4"/>
        <v>0.61890213570691388</v>
      </c>
      <c r="AN26" s="5">
        <f t="shared" si="5"/>
        <v>1.2378370541774601</v>
      </c>
    </row>
    <row r="27" spans="1:40" x14ac:dyDescent="0.25">
      <c r="A27">
        <v>26</v>
      </c>
      <c r="B27">
        <v>175</v>
      </c>
      <c r="C27">
        <v>0</v>
      </c>
      <c r="D27">
        <v>0.83075719071396603</v>
      </c>
      <c r="E27">
        <v>0.73463636360985296</v>
      </c>
      <c r="F27">
        <v>-9.6120827104113696E-2</v>
      </c>
      <c r="G27">
        <v>4.9610069137206697E-2</v>
      </c>
      <c r="H27">
        <v>1.27583999404617E-2</v>
      </c>
      <c r="I27">
        <v>4.9610069137206697E-2</v>
      </c>
      <c r="J27">
        <v>0.52085266213880799</v>
      </c>
      <c r="K27">
        <v>0.10180516325617001</v>
      </c>
      <c r="L27">
        <v>8.1137928576943601</v>
      </c>
      <c r="M27">
        <v>4.8008241503761298</v>
      </c>
      <c r="N27">
        <v>87.085382991929507</v>
      </c>
      <c r="O27">
        <v>25.232813448948399</v>
      </c>
      <c r="P27">
        <v>51.986281849834903</v>
      </c>
      <c r="Q27">
        <v>22.780904701216699</v>
      </c>
      <c r="R27">
        <v>0</v>
      </c>
      <c r="S27">
        <v>51.986281849834903</v>
      </c>
      <c r="T27">
        <v>0.46982384919265902</v>
      </c>
      <c r="U27">
        <v>-12.3776246549109</v>
      </c>
      <c r="V27">
        <v>587.53625068774204</v>
      </c>
      <c r="W27">
        <v>99.925538339617205</v>
      </c>
      <c r="X27">
        <v>45.310049788236803</v>
      </c>
      <c r="Y27" s="18">
        <v>144.37843432385301</v>
      </c>
      <c r="Z27">
        <v>57.446477873213802</v>
      </c>
      <c r="AA27">
        <v>3.7683374152697402</v>
      </c>
      <c r="AB27">
        <v>764.619153926482</v>
      </c>
      <c r="AC27">
        <v>14.468395931949599</v>
      </c>
      <c r="AD27">
        <v>0</v>
      </c>
      <c r="AE27">
        <v>171.42338791614199</v>
      </c>
      <c r="AF27">
        <v>112.08590325201</v>
      </c>
      <c r="AG27">
        <v>31.023627418161801</v>
      </c>
      <c r="AH27">
        <v>-8.3379737277496204</v>
      </c>
      <c r="AI27">
        <v>53559789764.400002</v>
      </c>
      <c r="AJ27">
        <v>7.9936269974080695E-2</v>
      </c>
      <c r="AK27">
        <v>47424</v>
      </c>
      <c r="AL27" s="4">
        <f t="shared" si="3"/>
        <v>1.1308413684176957</v>
      </c>
      <c r="AM27" s="5">
        <f t="shared" si="4"/>
        <v>0.6328312003536829</v>
      </c>
      <c r="AN27" s="5">
        <f t="shared" si="5"/>
        <v>1.3127626928787082</v>
      </c>
    </row>
    <row r="28" spans="1:40" x14ac:dyDescent="0.25">
      <c r="A28">
        <v>27</v>
      </c>
      <c r="B28">
        <v>200</v>
      </c>
      <c r="C28">
        <v>-200</v>
      </c>
      <c r="D28">
        <v>0</v>
      </c>
      <c r="E28">
        <v>0.39154506430659303</v>
      </c>
      <c r="F28">
        <v>0.39154506430659303</v>
      </c>
      <c r="G28">
        <v>5.2374562962963001E-2</v>
      </c>
      <c r="H28">
        <v>1.2533938390408301E-3</v>
      </c>
      <c r="I28">
        <v>5.2374562962963001E-2</v>
      </c>
      <c r="J28">
        <v>0.28553545652288798</v>
      </c>
      <c r="K28" s="1">
        <v>7.08801873852613E-6</v>
      </c>
      <c r="L28">
        <v>100</v>
      </c>
      <c r="M28">
        <v>0</v>
      </c>
      <c r="N28">
        <v>0</v>
      </c>
      <c r="O28">
        <v>0</v>
      </c>
      <c r="P28">
        <v>100</v>
      </c>
      <c r="Q28">
        <v>0</v>
      </c>
      <c r="R28">
        <v>0</v>
      </c>
      <c r="S28">
        <v>100</v>
      </c>
      <c r="T28">
        <v>0</v>
      </c>
      <c r="U28">
        <v>-202.1</v>
      </c>
      <c r="V28">
        <v>0</v>
      </c>
      <c r="W28">
        <v>100</v>
      </c>
      <c r="X28">
        <v>33.200000000000003</v>
      </c>
      <c r="Y28" s="18">
        <v>256.60000000000002</v>
      </c>
      <c r="Z28">
        <v>64</v>
      </c>
      <c r="AA28">
        <v>2.6</v>
      </c>
      <c r="AB28">
        <v>726</v>
      </c>
      <c r="AC28">
        <v>100</v>
      </c>
      <c r="AD28">
        <v>0</v>
      </c>
      <c r="AE28">
        <v>179.2</v>
      </c>
      <c r="AF28">
        <v>112.2</v>
      </c>
      <c r="AG28">
        <v>20.9</v>
      </c>
      <c r="AH28">
        <v>-107</v>
      </c>
      <c r="AI28">
        <v>256666.2</v>
      </c>
      <c r="AJ28" t="s">
        <v>36</v>
      </c>
      <c r="AK28">
        <v>1</v>
      </c>
      <c r="AL28" s="4">
        <f t="shared" si="3"/>
        <v>0</v>
      </c>
      <c r="AM28" s="5">
        <f t="shared" si="4"/>
        <v>0.39153797628785453</v>
      </c>
      <c r="AN28" s="5">
        <f t="shared" si="5"/>
        <v>0</v>
      </c>
    </row>
    <row r="29" spans="1:40" x14ac:dyDescent="0.25">
      <c r="A29">
        <v>28</v>
      </c>
      <c r="B29">
        <v>200</v>
      </c>
      <c r="C29">
        <v>-175</v>
      </c>
      <c r="D29" s="1">
        <v>7.3962218421947E-5</v>
      </c>
      <c r="E29">
        <v>0.41667660798495398</v>
      </c>
      <c r="F29">
        <v>0.416602645766532</v>
      </c>
      <c r="G29">
        <v>4.7760158202091299E-2</v>
      </c>
      <c r="H29">
        <v>2.8927834655613498E-3</v>
      </c>
      <c r="I29">
        <v>4.7760158202091299E-2</v>
      </c>
      <c r="J29">
        <v>0.3182567458151</v>
      </c>
      <c r="K29" s="1">
        <v>6.76230010971825E-6</v>
      </c>
      <c r="L29">
        <v>68.072842230738203</v>
      </c>
      <c r="M29">
        <v>0</v>
      </c>
      <c r="N29">
        <v>31.9271577692618</v>
      </c>
      <c r="O29">
        <v>31.9271577692618</v>
      </c>
      <c r="P29">
        <v>68.072842230738203</v>
      </c>
      <c r="Q29">
        <v>0</v>
      </c>
      <c r="R29">
        <v>0</v>
      </c>
      <c r="S29">
        <v>68.072842230738203</v>
      </c>
      <c r="T29">
        <v>0</v>
      </c>
      <c r="U29">
        <v>-186.37678124629201</v>
      </c>
      <c r="V29">
        <v>0</v>
      </c>
      <c r="W29">
        <v>100</v>
      </c>
      <c r="X29">
        <v>46.372032680914899</v>
      </c>
      <c r="Y29" s="18">
        <v>234.46317358054799</v>
      </c>
      <c r="Z29">
        <v>53.192991388194301</v>
      </c>
      <c r="AA29">
        <v>2.6246638224836101</v>
      </c>
      <c r="AB29">
        <v>708.69797251993305</v>
      </c>
      <c r="AC29">
        <v>62.591577620473899</v>
      </c>
      <c r="AD29">
        <v>0</v>
      </c>
      <c r="AE29">
        <v>170.68705272253999</v>
      </c>
      <c r="AF29">
        <v>111.901201990459</v>
      </c>
      <c r="AG29">
        <v>25.608482589307101</v>
      </c>
      <c r="AH29">
        <v>-105.83271587085</v>
      </c>
      <c r="AI29">
        <v>2938559.1</v>
      </c>
      <c r="AJ29" s="1">
        <v>2.4961508830135298E-6</v>
      </c>
      <c r="AK29">
        <v>13</v>
      </c>
      <c r="AL29" s="4">
        <f t="shared" si="3"/>
        <v>1.7750508908966097E-4</v>
      </c>
      <c r="AM29" s="5">
        <f t="shared" si="4"/>
        <v>0.41666984568484428</v>
      </c>
      <c r="AN29" s="5">
        <f t="shared" si="5"/>
        <v>1.7750796989012173E-4</v>
      </c>
    </row>
    <row r="30" spans="1:40" x14ac:dyDescent="0.25">
      <c r="A30">
        <v>29</v>
      </c>
      <c r="B30">
        <v>200</v>
      </c>
      <c r="C30">
        <v>-150</v>
      </c>
      <c r="D30">
        <v>2.2170798696812399</v>
      </c>
      <c r="E30">
        <v>0.43329497524757699</v>
      </c>
      <c r="F30">
        <v>-1.7837848944336701</v>
      </c>
      <c r="G30">
        <v>4.79690871429952E-2</v>
      </c>
      <c r="H30">
        <v>1.07620635196815E-2</v>
      </c>
      <c r="I30">
        <v>4.79690871429952E-2</v>
      </c>
      <c r="J30">
        <v>0.32658659834062398</v>
      </c>
      <c r="K30" s="1">
        <v>8.1391012805753803E-6</v>
      </c>
      <c r="L30">
        <v>57.986424465708303</v>
      </c>
      <c r="M30">
        <v>0</v>
      </c>
      <c r="N30">
        <v>42.013575534291697</v>
      </c>
      <c r="O30">
        <v>48.266435619322998</v>
      </c>
      <c r="P30">
        <v>37.618241571372501</v>
      </c>
      <c r="Q30">
        <v>14.1153228093045</v>
      </c>
      <c r="R30">
        <v>0</v>
      </c>
      <c r="S30">
        <v>37.618241571372501</v>
      </c>
      <c r="T30">
        <v>0.33922127949292302</v>
      </c>
      <c r="U30">
        <v>-159.66477637488501</v>
      </c>
      <c r="V30">
        <v>0</v>
      </c>
      <c r="W30">
        <v>95.184569289696498</v>
      </c>
      <c r="X30">
        <v>49.738880065120298</v>
      </c>
      <c r="Y30" s="18">
        <v>269.992054430363</v>
      </c>
      <c r="Z30">
        <v>53.693014528642301</v>
      </c>
      <c r="AA30">
        <v>2.8422657210725699</v>
      </c>
      <c r="AB30">
        <v>730.01609015782003</v>
      </c>
      <c r="AC30">
        <v>13.8430322622185</v>
      </c>
      <c r="AD30">
        <v>0</v>
      </c>
      <c r="AE30">
        <v>172.666932967321</v>
      </c>
      <c r="AF30">
        <v>111.995424074978</v>
      </c>
      <c r="AG30">
        <v>25.393043352127499</v>
      </c>
      <c r="AH30">
        <v>-86.006953900532494</v>
      </c>
      <c r="AI30">
        <v>20139479.899999999</v>
      </c>
      <c r="AJ30">
        <v>0.12503485203294101</v>
      </c>
      <c r="AK30">
        <v>81</v>
      </c>
      <c r="AL30" s="4">
        <f t="shared" si="3"/>
        <v>5.1167910922909741</v>
      </c>
      <c r="AM30" s="5">
        <f t="shared" si="4"/>
        <v>0.43328683614629643</v>
      </c>
      <c r="AN30" s="5">
        <f t="shared" si="5"/>
        <v>5.1168872089450179</v>
      </c>
    </row>
    <row r="31" spans="1:40" x14ac:dyDescent="0.25">
      <c r="A31">
        <v>30</v>
      </c>
      <c r="B31">
        <v>200</v>
      </c>
      <c r="C31">
        <v>-125</v>
      </c>
      <c r="D31">
        <v>0.41364190189466499</v>
      </c>
      <c r="E31">
        <v>0.42411109538821401</v>
      </c>
      <c r="F31">
        <v>1.0469193493548501E-2</v>
      </c>
      <c r="G31">
        <v>4.8397763501454402E-2</v>
      </c>
      <c r="H31">
        <v>6.3025099187786603E-3</v>
      </c>
      <c r="I31">
        <v>4.8397763501454402E-2</v>
      </c>
      <c r="J31">
        <v>0.32100334415857901</v>
      </c>
      <c r="K31" s="1">
        <v>9.7143079471379406E-6</v>
      </c>
      <c r="L31">
        <v>74.007087830461003</v>
      </c>
      <c r="M31">
        <v>0.55940062530903101</v>
      </c>
      <c r="N31">
        <v>25.433511544230001</v>
      </c>
      <c r="O31">
        <v>34.442461349076702</v>
      </c>
      <c r="P31">
        <v>45.874151992181503</v>
      </c>
      <c r="Q31">
        <v>19.683386658741799</v>
      </c>
      <c r="R31">
        <v>0</v>
      </c>
      <c r="S31">
        <v>45.874151992181503</v>
      </c>
      <c r="T31">
        <v>0.21634945063816799</v>
      </c>
      <c r="U31">
        <v>-133.22913224031601</v>
      </c>
      <c r="V31">
        <v>4.8349940563992503E-3</v>
      </c>
      <c r="W31">
        <v>99.424039618100394</v>
      </c>
      <c r="X31">
        <v>45.691390199147399</v>
      </c>
      <c r="Y31" s="18">
        <v>336.94012688623002</v>
      </c>
      <c r="Z31">
        <v>54.691600131581801</v>
      </c>
      <c r="AA31">
        <v>3.13565099442134</v>
      </c>
      <c r="AB31">
        <v>763.60805431731899</v>
      </c>
      <c r="AC31">
        <v>5.1076754349936397</v>
      </c>
      <c r="AD31">
        <v>0</v>
      </c>
      <c r="AE31">
        <v>172.67518289510301</v>
      </c>
      <c r="AF31">
        <v>111.944329933547</v>
      </c>
      <c r="AG31">
        <v>24.535689906641</v>
      </c>
      <c r="AH31">
        <v>-50.682051112685798</v>
      </c>
      <c r="AI31">
        <v>335218091.5</v>
      </c>
      <c r="AJ31">
        <v>5.3160905521352601E-2</v>
      </c>
      <c r="AK31">
        <v>789</v>
      </c>
      <c r="AL31" s="4">
        <f t="shared" si="3"/>
        <v>0.9753149738184379</v>
      </c>
      <c r="AM31" s="5">
        <f t="shared" si="4"/>
        <v>0.42410138108026685</v>
      </c>
      <c r="AN31" s="5">
        <f t="shared" si="5"/>
        <v>0.97533731401921031</v>
      </c>
    </row>
    <row r="32" spans="1:40" x14ac:dyDescent="0.25">
      <c r="A32">
        <v>31</v>
      </c>
      <c r="B32">
        <v>200</v>
      </c>
      <c r="C32">
        <v>-100</v>
      </c>
      <c r="D32">
        <v>0.41371681785979397</v>
      </c>
      <c r="E32">
        <v>0.44036145088434597</v>
      </c>
      <c r="F32">
        <v>2.6644633024552E-2</v>
      </c>
      <c r="G32">
        <v>4.8348265967077503E-2</v>
      </c>
      <c r="H32">
        <v>5.9611014674706697E-3</v>
      </c>
      <c r="I32">
        <v>4.8348265967077503E-2</v>
      </c>
      <c r="J32">
        <v>0.33769437534761998</v>
      </c>
      <c r="K32" s="1">
        <v>9.4421351005022495E-6</v>
      </c>
      <c r="L32">
        <v>63.349753893862399</v>
      </c>
      <c r="M32">
        <v>1.6618452454332799</v>
      </c>
      <c r="N32">
        <v>34.988400860704402</v>
      </c>
      <c r="O32">
        <v>27.735645554027201</v>
      </c>
      <c r="P32">
        <v>53.161058762932598</v>
      </c>
      <c r="Q32">
        <v>19.103295683040098</v>
      </c>
      <c r="R32">
        <v>0</v>
      </c>
      <c r="S32">
        <v>53.161058762932598</v>
      </c>
      <c r="T32">
        <v>0.214467415046248</v>
      </c>
      <c r="U32">
        <v>-108.394980917027</v>
      </c>
      <c r="V32">
        <v>8.7907487637100004E-2</v>
      </c>
      <c r="W32">
        <v>99.957848410457501</v>
      </c>
      <c r="X32">
        <v>43.911659093918303</v>
      </c>
      <c r="Y32" s="18">
        <v>311.87579933083498</v>
      </c>
      <c r="Z32">
        <v>54.571086340005799</v>
      </c>
      <c r="AA32">
        <v>3.2683814459140401</v>
      </c>
      <c r="AB32">
        <v>772.61018940960503</v>
      </c>
      <c r="AC32">
        <v>3.87160616852817</v>
      </c>
      <c r="AD32">
        <v>0</v>
      </c>
      <c r="AE32">
        <v>172.22306858005399</v>
      </c>
      <c r="AF32">
        <v>111.941075916644</v>
      </c>
      <c r="AG32">
        <v>24.894704136701598</v>
      </c>
      <c r="AH32">
        <v>-35.041601766716902</v>
      </c>
      <c r="AI32">
        <v>4381810081.3000002</v>
      </c>
      <c r="AJ32">
        <v>6.0151417550216101E-2</v>
      </c>
      <c r="AK32">
        <v>4350</v>
      </c>
      <c r="AL32" s="4">
        <f t="shared" si="3"/>
        <v>0.93949372050836077</v>
      </c>
      <c r="AM32" s="5">
        <f t="shared" si="4"/>
        <v>0.44035200874924546</v>
      </c>
      <c r="AN32" s="5">
        <f t="shared" si="5"/>
        <v>0.93951386536170278</v>
      </c>
    </row>
    <row r="33" spans="1:40" x14ac:dyDescent="0.25">
      <c r="A33">
        <v>32</v>
      </c>
      <c r="B33">
        <v>200</v>
      </c>
      <c r="C33">
        <v>-75</v>
      </c>
      <c r="D33">
        <v>0.47356911269068602</v>
      </c>
      <c r="E33">
        <v>0.45195227584777298</v>
      </c>
      <c r="F33">
        <v>-2.1616836842912299E-2</v>
      </c>
      <c r="G33">
        <v>4.80807306663898E-2</v>
      </c>
      <c r="H33">
        <v>6.6391731348292198E-3</v>
      </c>
      <c r="I33">
        <v>4.80807306663898E-2</v>
      </c>
      <c r="J33">
        <v>0.34881760201989298</v>
      </c>
      <c r="K33">
        <v>3.3403936027191398E-4</v>
      </c>
      <c r="L33">
        <v>30.700335935249701</v>
      </c>
      <c r="M33">
        <v>3.06213153237195</v>
      </c>
      <c r="N33">
        <v>66.237532532378395</v>
      </c>
      <c r="O33">
        <v>28.4472100777569</v>
      </c>
      <c r="P33">
        <v>54.561912123919598</v>
      </c>
      <c r="Q33">
        <v>16.990877798323599</v>
      </c>
      <c r="R33">
        <v>0</v>
      </c>
      <c r="S33">
        <v>54.561912123919598</v>
      </c>
      <c r="T33">
        <v>0.24320138156227</v>
      </c>
      <c r="U33">
        <v>-83.849086539708594</v>
      </c>
      <c r="V33">
        <v>0.61747857520537097</v>
      </c>
      <c r="W33">
        <v>99.978631958914093</v>
      </c>
      <c r="X33">
        <v>44.765685517860597</v>
      </c>
      <c r="Y33" s="18">
        <v>308.16149435118302</v>
      </c>
      <c r="Z33">
        <v>53.949456235292097</v>
      </c>
      <c r="AA33">
        <v>3.3238001824335499</v>
      </c>
      <c r="AB33">
        <v>772.44877703282305</v>
      </c>
      <c r="AC33">
        <v>2.26634301590085</v>
      </c>
      <c r="AD33">
        <v>0</v>
      </c>
      <c r="AE33">
        <v>171.911635516481</v>
      </c>
      <c r="AF33">
        <v>111.93787382558401</v>
      </c>
      <c r="AG33">
        <v>25.438281179927301</v>
      </c>
      <c r="AH33">
        <v>-30.224769602035401</v>
      </c>
      <c r="AI33">
        <v>40557876203.900002</v>
      </c>
      <c r="AJ33">
        <v>6.8182001372595696E-2</v>
      </c>
      <c r="AK33">
        <v>14150</v>
      </c>
      <c r="AL33" s="4">
        <f t="shared" si="3"/>
        <v>1.047829910364682</v>
      </c>
      <c r="AM33" s="5">
        <f t="shared" si="4"/>
        <v>0.45161823648750105</v>
      </c>
      <c r="AN33" s="5">
        <f t="shared" si="5"/>
        <v>1.048604937599309</v>
      </c>
    </row>
    <row r="34" spans="1:40" x14ac:dyDescent="0.25">
      <c r="A34">
        <v>33</v>
      </c>
      <c r="B34">
        <v>200</v>
      </c>
      <c r="C34">
        <v>-50</v>
      </c>
      <c r="D34">
        <v>0.56367766448916701</v>
      </c>
      <c r="E34">
        <v>0.525458644196937</v>
      </c>
      <c r="F34">
        <v>-3.8219020292229698E-2</v>
      </c>
      <c r="G34">
        <v>4.8369426714607297E-2</v>
      </c>
      <c r="H34">
        <v>7.5976344827189696E-3</v>
      </c>
      <c r="I34">
        <v>4.8369426714607297E-2</v>
      </c>
      <c r="J34">
        <v>0.38277843301484699</v>
      </c>
      <c r="K34">
        <v>3.8343723270156303E-2</v>
      </c>
      <c r="L34">
        <v>10.6002750926292</v>
      </c>
      <c r="M34">
        <v>4.0936595437086103</v>
      </c>
      <c r="N34">
        <v>85.306065363662199</v>
      </c>
      <c r="O34">
        <v>26.442929998780201</v>
      </c>
      <c r="P34">
        <v>55.9149862782049</v>
      </c>
      <c r="Q34">
        <v>17.642083723014899</v>
      </c>
      <c r="R34">
        <v>0</v>
      </c>
      <c r="S34">
        <v>55.9149862782049</v>
      </c>
      <c r="T34">
        <v>0.28313032949268802</v>
      </c>
      <c r="U34">
        <v>-60.1268373636455</v>
      </c>
      <c r="V34">
        <v>40.220828184632097</v>
      </c>
      <c r="W34">
        <v>99.987552217089899</v>
      </c>
      <c r="X34">
        <v>44.642133858742802</v>
      </c>
      <c r="Y34" s="18">
        <v>302.64444640542098</v>
      </c>
      <c r="Z34">
        <v>54.596400389046799</v>
      </c>
      <c r="AA34">
        <v>3.4066129669655298</v>
      </c>
      <c r="AB34">
        <v>771.73681571055795</v>
      </c>
      <c r="AC34">
        <v>2.2985852945959802</v>
      </c>
      <c r="AD34">
        <v>0</v>
      </c>
      <c r="AE34">
        <v>172.27953774105501</v>
      </c>
      <c r="AF34">
        <v>112.030007480807</v>
      </c>
      <c r="AG34">
        <v>26.635491927992401</v>
      </c>
      <c r="AH34">
        <v>-25.311372266754201</v>
      </c>
      <c r="AI34">
        <v>243551740603.89999</v>
      </c>
      <c r="AJ34">
        <v>6.3676017167258903E-2</v>
      </c>
      <c r="AK34">
        <v>39108</v>
      </c>
      <c r="AL34" s="4">
        <f t="shared" si="3"/>
        <v>1.0727345923686162</v>
      </c>
      <c r="AM34" s="5">
        <f t="shared" si="4"/>
        <v>0.48711492092678071</v>
      </c>
      <c r="AN34" s="5">
        <f t="shared" si="5"/>
        <v>1.1571759358484004</v>
      </c>
    </row>
    <row r="35" spans="1:40" x14ac:dyDescent="0.25">
      <c r="A35">
        <v>34</v>
      </c>
      <c r="B35">
        <v>200</v>
      </c>
      <c r="C35">
        <v>-25</v>
      </c>
      <c r="D35">
        <v>0.66900422532126103</v>
      </c>
      <c r="E35">
        <v>0.65497845529856502</v>
      </c>
      <c r="F35">
        <v>-1.4025770022696201E-2</v>
      </c>
      <c r="G35">
        <v>4.8816888104872502E-2</v>
      </c>
      <c r="H35">
        <v>8.1984497320323705E-3</v>
      </c>
      <c r="I35">
        <v>4.8816888104872502E-2</v>
      </c>
      <c r="J35">
        <v>0.43868403800198502</v>
      </c>
      <c r="K35">
        <v>0.11046219135480299</v>
      </c>
      <c r="L35">
        <v>5.5347786308647802</v>
      </c>
      <c r="M35">
        <v>4.5653467161332397</v>
      </c>
      <c r="N35">
        <v>89.899874653002001</v>
      </c>
      <c r="O35">
        <v>26.7960769780838</v>
      </c>
      <c r="P35">
        <v>54.641556123533299</v>
      </c>
      <c r="Q35">
        <v>18.562366898382901</v>
      </c>
      <c r="R35">
        <v>0</v>
      </c>
      <c r="S35">
        <v>54.641556123533299</v>
      </c>
      <c r="T35">
        <v>0.30505768527044802</v>
      </c>
      <c r="U35">
        <v>-36.609340851118503</v>
      </c>
      <c r="V35">
        <v>164.06680803307501</v>
      </c>
      <c r="W35">
        <v>99.982372934702795</v>
      </c>
      <c r="X35">
        <v>44.808867227962402</v>
      </c>
      <c r="Y35" s="18">
        <v>300.75009063454399</v>
      </c>
      <c r="Z35">
        <v>55.613760315105999</v>
      </c>
      <c r="AA35">
        <v>3.5385703570492502</v>
      </c>
      <c r="AB35">
        <v>769.06736957018995</v>
      </c>
      <c r="AC35">
        <v>4.0917845303728102</v>
      </c>
      <c r="AD35">
        <v>0</v>
      </c>
      <c r="AE35">
        <v>173.09208165930201</v>
      </c>
      <c r="AF35">
        <v>112.208743425252</v>
      </c>
      <c r="AG35">
        <v>29.632123521064202</v>
      </c>
      <c r="AH35">
        <v>-17.7423361981716</v>
      </c>
      <c r="AI35">
        <v>540234429640.20001</v>
      </c>
      <c r="AJ35">
        <v>7.0662158097894001E-2</v>
      </c>
      <c r="AK35">
        <v>83881</v>
      </c>
      <c r="AL35" s="4">
        <f t="shared" si="3"/>
        <v>1.0214140937144298</v>
      </c>
      <c r="AM35" s="5">
        <f t="shared" si="4"/>
        <v>0.54451626394376207</v>
      </c>
      <c r="AN35" s="5">
        <f t="shared" si="5"/>
        <v>1.2286211994401623</v>
      </c>
    </row>
    <row r="36" spans="1:40" x14ac:dyDescent="0.25">
      <c r="A36">
        <v>35</v>
      </c>
      <c r="B36">
        <v>200</v>
      </c>
      <c r="C36">
        <v>0</v>
      </c>
      <c r="D36">
        <v>0.76103014545249004</v>
      </c>
      <c r="E36">
        <v>0.73580284343676705</v>
      </c>
      <c r="F36">
        <v>-2.5227302015722899E-2</v>
      </c>
      <c r="G36">
        <v>4.9536037223324197E-2</v>
      </c>
      <c r="H36">
        <v>1.0011113072660499E-2</v>
      </c>
      <c r="I36">
        <v>4.9536037223324197E-2</v>
      </c>
      <c r="J36">
        <v>0.45345226252443499</v>
      </c>
      <c r="K36">
        <v>0.17326739339302299</v>
      </c>
      <c r="L36">
        <v>4.8478567000475703</v>
      </c>
      <c r="M36">
        <v>4.7734852889912203</v>
      </c>
      <c r="N36">
        <v>90.378658010961203</v>
      </c>
      <c r="O36">
        <v>25.4872692592125</v>
      </c>
      <c r="P36">
        <v>54.222796372016198</v>
      </c>
      <c r="Q36">
        <v>20.289934368771299</v>
      </c>
      <c r="R36">
        <v>0</v>
      </c>
      <c r="S36">
        <v>54.222796372016198</v>
      </c>
      <c r="T36">
        <v>0.36112453942106898</v>
      </c>
      <c r="U36">
        <v>-14.366106306862701</v>
      </c>
      <c r="V36">
        <v>533.43774912150002</v>
      </c>
      <c r="W36">
        <v>99.972589232536095</v>
      </c>
      <c r="X36">
        <v>45.280678579065501</v>
      </c>
      <c r="Y36" s="18">
        <v>282.91318211037702</v>
      </c>
      <c r="Z36">
        <v>57.275813180675698</v>
      </c>
      <c r="AA36">
        <v>3.7305263026641802</v>
      </c>
      <c r="AB36">
        <v>765.67275497978699</v>
      </c>
      <c r="AC36">
        <v>7.64474510400865</v>
      </c>
      <c r="AD36">
        <v>0</v>
      </c>
      <c r="AE36">
        <v>171.863708573487</v>
      </c>
      <c r="AF36">
        <v>112.127003603603</v>
      </c>
      <c r="AG36">
        <v>31.2585844880705</v>
      </c>
      <c r="AH36">
        <v>-11.116264703170801</v>
      </c>
      <c r="AI36">
        <v>540376511070.20001</v>
      </c>
      <c r="AJ36">
        <v>7.6032973835876094E-2</v>
      </c>
      <c r="AK36">
        <v>116654</v>
      </c>
      <c r="AL36" s="4">
        <f t="shared" si="3"/>
        <v>1.0342854097952272</v>
      </c>
      <c r="AM36" s="5">
        <f t="shared" si="4"/>
        <v>0.56253545004374406</v>
      </c>
      <c r="AN36" s="5">
        <f t="shared" si="5"/>
        <v>1.3528572206308254</v>
      </c>
    </row>
    <row r="37" spans="1:40" x14ac:dyDescent="0.25">
      <c r="A37">
        <v>36</v>
      </c>
      <c r="B37">
        <v>85</v>
      </c>
      <c r="C37">
        <v>-200</v>
      </c>
      <c r="D37" s="1">
        <v>8.0000000000000004E-4</v>
      </c>
      <c r="E37">
        <v>0.53226576780800605</v>
      </c>
      <c r="F37">
        <v>0.53146576780800703</v>
      </c>
      <c r="G37">
        <v>5.1949714062499999E-2</v>
      </c>
      <c r="H37">
        <v>9.9256774362153194E-4</v>
      </c>
      <c r="I37">
        <v>5.1949714062499999E-2</v>
      </c>
      <c r="J37">
        <v>0.427370757360783</v>
      </c>
      <c r="K37" s="1">
        <v>3.0145786018786401E-6</v>
      </c>
      <c r="L37">
        <v>100</v>
      </c>
      <c r="M37">
        <v>0</v>
      </c>
      <c r="N37">
        <v>0</v>
      </c>
      <c r="O37">
        <v>0</v>
      </c>
      <c r="P37">
        <v>100</v>
      </c>
      <c r="Q37">
        <v>0</v>
      </c>
      <c r="R37">
        <v>0</v>
      </c>
      <c r="S37">
        <v>100</v>
      </c>
      <c r="T37">
        <v>0</v>
      </c>
      <c r="U37">
        <v>-202.1</v>
      </c>
      <c r="V37">
        <v>0</v>
      </c>
      <c r="W37">
        <v>100</v>
      </c>
      <c r="X37">
        <v>26.3</v>
      </c>
      <c r="Y37" s="18">
        <v>58.8</v>
      </c>
      <c r="Z37">
        <v>63</v>
      </c>
      <c r="AA37">
        <v>2.6</v>
      </c>
      <c r="AB37">
        <v>728</v>
      </c>
      <c r="AC37">
        <v>100</v>
      </c>
      <c r="AD37">
        <v>0</v>
      </c>
      <c r="AE37">
        <v>179.2</v>
      </c>
      <c r="AF37">
        <v>112.2</v>
      </c>
      <c r="AG37">
        <v>20.9</v>
      </c>
      <c r="AH37">
        <v>-100</v>
      </c>
      <c r="AI37">
        <v>58820.3</v>
      </c>
      <c r="AJ37" t="s">
        <v>36</v>
      </c>
      <c r="AK37">
        <v>1</v>
      </c>
      <c r="AL37" s="4">
        <f t="shared" si="3"/>
        <v>1.503008550210895E-3</v>
      </c>
      <c r="AM37" s="5">
        <f t="shared" si="4"/>
        <v>0.5322627532294042</v>
      </c>
      <c r="AN37" s="5">
        <f t="shared" si="5"/>
        <v>1.5030170628061994E-3</v>
      </c>
    </row>
    <row r="38" spans="1:40" x14ac:dyDescent="0.25">
      <c r="A38">
        <v>37</v>
      </c>
      <c r="B38">
        <v>85</v>
      </c>
      <c r="C38">
        <v>-175</v>
      </c>
      <c r="D38">
        <v>7.5213920846779205E-4</v>
      </c>
      <c r="E38">
        <v>0.53804625000385098</v>
      </c>
      <c r="F38">
        <v>0.53729411079538303</v>
      </c>
      <c r="G38">
        <v>4.8249027111232502E-2</v>
      </c>
      <c r="H38">
        <v>1.5834711428251299E-3</v>
      </c>
      <c r="I38">
        <v>4.8249027111232502E-2</v>
      </c>
      <c r="J38">
        <v>0.43996177180585999</v>
      </c>
      <c r="K38" s="1">
        <v>2.9528327006597501E-6</v>
      </c>
      <c r="L38">
        <v>100</v>
      </c>
      <c r="M38">
        <v>0</v>
      </c>
      <c r="N38">
        <v>0</v>
      </c>
      <c r="O38">
        <v>0</v>
      </c>
      <c r="P38">
        <v>100</v>
      </c>
      <c r="Q38">
        <v>0</v>
      </c>
      <c r="R38">
        <v>0</v>
      </c>
      <c r="S38">
        <v>100</v>
      </c>
      <c r="T38">
        <v>2.7443399480281301E-2</v>
      </c>
      <c r="U38">
        <v>-187.01434429778101</v>
      </c>
      <c r="V38">
        <v>0</v>
      </c>
      <c r="W38">
        <v>100</v>
      </c>
      <c r="X38">
        <v>30.375699025757701</v>
      </c>
      <c r="Y38" s="18">
        <v>61.1005372610067</v>
      </c>
      <c r="Z38">
        <v>54.3403074712379</v>
      </c>
      <c r="AA38">
        <v>2.6274433994802799</v>
      </c>
      <c r="AB38">
        <v>734.99806686747195</v>
      </c>
      <c r="AC38">
        <v>86.278300259859293</v>
      </c>
      <c r="AD38">
        <v>0</v>
      </c>
      <c r="AE38">
        <v>171.268256731626</v>
      </c>
      <c r="AF38">
        <v>111.93892386090199</v>
      </c>
      <c r="AG38">
        <v>25.886510259787698</v>
      </c>
      <c r="AH38">
        <v>-96.569575064964795</v>
      </c>
      <c r="AI38">
        <v>488533.5</v>
      </c>
      <c r="AJ38" s="1">
        <v>4.5961940777125603E-6</v>
      </c>
      <c r="AK38">
        <v>8</v>
      </c>
      <c r="AL38" s="4">
        <f t="shared" si="3"/>
        <v>1.3979080951914613E-3</v>
      </c>
      <c r="AM38" s="5">
        <f t="shared" si="4"/>
        <v>0.53804329717115029</v>
      </c>
      <c r="AN38" s="5">
        <f t="shared" si="5"/>
        <v>1.3979157670438154E-3</v>
      </c>
    </row>
    <row r="39" spans="1:40" x14ac:dyDescent="0.25">
      <c r="A39">
        <v>38</v>
      </c>
      <c r="B39">
        <v>85</v>
      </c>
      <c r="C39">
        <v>-150</v>
      </c>
      <c r="D39">
        <v>9.6399666998062006E-3</v>
      </c>
      <c r="E39">
        <v>0.56744294864167499</v>
      </c>
      <c r="F39">
        <v>0.55780298194186895</v>
      </c>
      <c r="G39">
        <v>4.9368286832847698E-2</v>
      </c>
      <c r="H39">
        <v>8.5463896581082499E-3</v>
      </c>
      <c r="I39">
        <v>4.9368286832847698E-2</v>
      </c>
      <c r="J39">
        <v>0.46015640720951201</v>
      </c>
      <c r="K39" s="1">
        <v>3.57810835985759E-6</v>
      </c>
      <c r="L39">
        <v>84.536686256406</v>
      </c>
      <c r="M39">
        <v>0</v>
      </c>
      <c r="N39">
        <v>15.463313743594</v>
      </c>
      <c r="O39">
        <v>45.189572525705202</v>
      </c>
      <c r="P39">
        <v>34.305358895601103</v>
      </c>
      <c r="Q39">
        <v>20.505068578693699</v>
      </c>
      <c r="R39">
        <v>0</v>
      </c>
      <c r="S39">
        <v>34.305358895601103</v>
      </c>
      <c r="T39">
        <v>0.30206504853913402</v>
      </c>
      <c r="U39">
        <v>-160.03852834944701</v>
      </c>
      <c r="V39">
        <v>0</v>
      </c>
      <c r="W39">
        <v>100</v>
      </c>
      <c r="X39">
        <v>47.199015875660798</v>
      </c>
      <c r="Y39" s="18">
        <v>58.415630955625701</v>
      </c>
      <c r="Z39">
        <v>56.793581206482898</v>
      </c>
      <c r="AA39">
        <v>2.8777102457363499</v>
      </c>
      <c r="AB39">
        <v>765.28844342686398</v>
      </c>
      <c r="AC39">
        <v>12.519851009153101</v>
      </c>
      <c r="AD39">
        <v>0</v>
      </c>
      <c r="AE39">
        <v>171.70443441704001</v>
      </c>
      <c r="AF39">
        <v>111.932469452001</v>
      </c>
      <c r="AG39">
        <v>25.255095769421999</v>
      </c>
      <c r="AH39">
        <v>-85.274189704206094</v>
      </c>
      <c r="AI39">
        <v>4838230.0999999996</v>
      </c>
      <c r="AJ39">
        <v>2.7651780543365298E-4</v>
      </c>
      <c r="AK39">
        <v>79</v>
      </c>
      <c r="AL39" s="4">
        <f t="shared" si="3"/>
        <v>1.6988433326878084E-2</v>
      </c>
      <c r="AM39" s="5">
        <f t="shared" si="4"/>
        <v>0.56743937053331517</v>
      </c>
      <c r="AN39" s="5">
        <f t="shared" si="5"/>
        <v>1.6988540451019381E-2</v>
      </c>
    </row>
    <row r="40" spans="1:40" x14ac:dyDescent="0.25">
      <c r="A40">
        <v>39</v>
      </c>
      <c r="B40">
        <v>85</v>
      </c>
      <c r="C40">
        <v>-125</v>
      </c>
      <c r="D40">
        <v>0.14115249188214901</v>
      </c>
      <c r="E40">
        <v>0.60969184690285905</v>
      </c>
      <c r="F40">
        <v>0.46853935502071098</v>
      </c>
      <c r="G40">
        <v>4.8804531330933099E-2</v>
      </c>
      <c r="H40">
        <v>1.7513520548055699E-2</v>
      </c>
      <c r="I40">
        <v>4.8804531330933099E-2</v>
      </c>
      <c r="J40">
        <v>0.49456576074035402</v>
      </c>
      <c r="K40" s="1">
        <v>3.5029525835228902E-6</v>
      </c>
      <c r="L40">
        <v>90.001226913255394</v>
      </c>
      <c r="M40">
        <v>0</v>
      </c>
      <c r="N40">
        <v>9.9987730867446096</v>
      </c>
      <c r="O40">
        <v>37.6714377780932</v>
      </c>
      <c r="P40">
        <v>44.905550722260898</v>
      </c>
      <c r="Q40">
        <v>17.423011499645899</v>
      </c>
      <c r="R40">
        <v>0</v>
      </c>
      <c r="S40">
        <v>44.905550722260898</v>
      </c>
      <c r="T40">
        <v>0.690470002645034</v>
      </c>
      <c r="U40">
        <v>-133.12080055489301</v>
      </c>
      <c r="V40">
        <v>0</v>
      </c>
      <c r="W40">
        <v>100</v>
      </c>
      <c r="X40">
        <v>47.410320721498501</v>
      </c>
      <c r="Y40" s="18">
        <v>58.711937733355597</v>
      </c>
      <c r="Z40">
        <v>55.589670983048002</v>
      </c>
      <c r="AA40">
        <v>3.1564457737434699</v>
      </c>
      <c r="AB40">
        <v>768.37130457085902</v>
      </c>
      <c r="AC40">
        <v>23.113455991075</v>
      </c>
      <c r="AD40">
        <v>0</v>
      </c>
      <c r="AE40">
        <v>172.79743428782501</v>
      </c>
      <c r="AF40">
        <v>111.990249351918</v>
      </c>
      <c r="AG40">
        <v>25.108658814666999</v>
      </c>
      <c r="AH40">
        <v>-48.731555049428302</v>
      </c>
      <c r="AI40">
        <v>40793430</v>
      </c>
      <c r="AJ40">
        <v>1.63432249347094E-2</v>
      </c>
      <c r="AK40">
        <v>426</v>
      </c>
      <c r="AL40" s="4">
        <f t="shared" si="3"/>
        <v>0.23151448161752858</v>
      </c>
      <c r="AM40" s="5">
        <f t="shared" si="4"/>
        <v>0.60968834395027549</v>
      </c>
      <c r="AN40" s="5">
        <f t="shared" si="5"/>
        <v>0.23151581177950323</v>
      </c>
    </row>
    <row r="41" spans="1:40" x14ac:dyDescent="0.25">
      <c r="A41">
        <v>40</v>
      </c>
      <c r="B41">
        <v>85</v>
      </c>
      <c r="C41">
        <v>-100</v>
      </c>
      <c r="D41">
        <v>0.90706868060088996</v>
      </c>
      <c r="E41">
        <v>0.65352592888619498</v>
      </c>
      <c r="F41">
        <v>-0.25354275171469498</v>
      </c>
      <c r="G41">
        <v>4.8376106392566398E-2</v>
      </c>
      <c r="H41">
        <v>1.7488354049582999E-2</v>
      </c>
      <c r="I41">
        <v>4.8376106392566398E-2</v>
      </c>
      <c r="J41">
        <v>0.539281789895802</v>
      </c>
      <c r="K41" s="1">
        <v>3.5721556772686999E-6</v>
      </c>
      <c r="L41">
        <v>80.917392809808206</v>
      </c>
      <c r="M41">
        <v>0.41989199133710797</v>
      </c>
      <c r="N41">
        <v>18.662715198854698</v>
      </c>
      <c r="O41">
        <v>37.757924733796202</v>
      </c>
      <c r="P41">
        <v>44.740803778108898</v>
      </c>
      <c r="Q41">
        <v>17.501271488095</v>
      </c>
      <c r="R41">
        <v>0</v>
      </c>
      <c r="S41">
        <v>44.740803778108898</v>
      </c>
      <c r="T41">
        <v>0.68504521675443997</v>
      </c>
      <c r="U41">
        <v>-109.163904269113</v>
      </c>
      <c r="V41">
        <v>2.8742042902109199E-2</v>
      </c>
      <c r="W41">
        <v>99.763497444347806</v>
      </c>
      <c r="X41">
        <v>46.954982549606001</v>
      </c>
      <c r="Y41" s="18">
        <v>59.750874453629102</v>
      </c>
      <c r="Z41">
        <v>54.625054713048797</v>
      </c>
      <c r="AA41">
        <v>3.3131996670323498</v>
      </c>
      <c r="AB41">
        <v>766.40042409415196</v>
      </c>
      <c r="AC41">
        <v>18.0264700895099</v>
      </c>
      <c r="AD41">
        <v>0</v>
      </c>
      <c r="AE41">
        <v>172.22083352425199</v>
      </c>
      <c r="AF41">
        <v>111.98486918781001</v>
      </c>
      <c r="AG41">
        <v>25.6685831280084</v>
      </c>
      <c r="AH41">
        <v>-32.211756358000798</v>
      </c>
      <c r="AI41">
        <v>292461448.5</v>
      </c>
      <c r="AJ41">
        <v>8.2752552046808606E-2</v>
      </c>
      <c r="AK41">
        <v>1776</v>
      </c>
      <c r="AL41" s="4">
        <f t="shared" si="3"/>
        <v>1.3879612736204794</v>
      </c>
      <c r="AM41" s="5">
        <f t="shared" si="4"/>
        <v>0.65352235673051773</v>
      </c>
      <c r="AN41" s="5">
        <f t="shared" si="5"/>
        <v>1.3879688602220581</v>
      </c>
    </row>
    <row r="42" spans="1:40" x14ac:dyDescent="0.25">
      <c r="A42">
        <v>41</v>
      </c>
      <c r="B42">
        <v>85</v>
      </c>
      <c r="C42">
        <v>-75</v>
      </c>
      <c r="D42">
        <v>0.76095870642797703</v>
      </c>
      <c r="E42">
        <v>0.69420153039031296</v>
      </c>
      <c r="F42">
        <v>-6.6757176037663707E-2</v>
      </c>
      <c r="G42">
        <v>4.8319816271105799E-2</v>
      </c>
      <c r="H42">
        <v>1.8583312724752301E-2</v>
      </c>
      <c r="I42">
        <v>4.8319816271105799E-2</v>
      </c>
      <c r="J42">
        <v>0.57897494182520703</v>
      </c>
      <c r="K42" s="1">
        <v>3.6432981426265699E-6</v>
      </c>
      <c r="L42">
        <v>58.648727997411697</v>
      </c>
      <c r="M42">
        <v>2.0224149644622398</v>
      </c>
      <c r="N42">
        <v>39.328857038126003</v>
      </c>
      <c r="O42">
        <v>40.973885927819502</v>
      </c>
      <c r="P42">
        <v>40.060149488570602</v>
      </c>
      <c r="Q42">
        <v>18.9659645836099</v>
      </c>
      <c r="R42">
        <v>0</v>
      </c>
      <c r="S42">
        <v>40.060149488570602</v>
      </c>
      <c r="T42">
        <v>0.73618946474736102</v>
      </c>
      <c r="U42">
        <v>-84.715076817155094</v>
      </c>
      <c r="V42">
        <v>0.88425165945157702</v>
      </c>
      <c r="W42">
        <v>99.827574314644394</v>
      </c>
      <c r="X42">
        <v>45.456370910382397</v>
      </c>
      <c r="Y42" s="18">
        <v>60.769939254552099</v>
      </c>
      <c r="Z42">
        <v>54.4914306966973</v>
      </c>
      <c r="AA42">
        <v>3.4142877394780702</v>
      </c>
      <c r="AB42">
        <v>765.78828990433794</v>
      </c>
      <c r="AC42">
        <v>13.794965083123699</v>
      </c>
      <c r="AD42">
        <v>0</v>
      </c>
      <c r="AE42">
        <v>172.14494554989301</v>
      </c>
      <c r="AF42">
        <v>112.012714523887</v>
      </c>
      <c r="AG42">
        <v>26.7253979007344</v>
      </c>
      <c r="AH42">
        <v>-22.771077717510298</v>
      </c>
      <c r="AI42">
        <v>1362747447.2</v>
      </c>
      <c r="AJ42">
        <v>6.4555039854858096E-2</v>
      </c>
      <c r="AK42">
        <v>4934</v>
      </c>
      <c r="AL42" s="4">
        <f t="shared" si="3"/>
        <v>1.0961639712896196</v>
      </c>
      <c r="AM42" s="5">
        <f t="shared" si="4"/>
        <v>0.69419788709217034</v>
      </c>
      <c r="AN42" s="5">
        <f t="shared" si="5"/>
        <v>1.096169724191256</v>
      </c>
    </row>
    <row r="43" spans="1:40" x14ac:dyDescent="0.25">
      <c r="A43">
        <v>42</v>
      </c>
      <c r="B43">
        <v>85</v>
      </c>
      <c r="C43">
        <v>-50</v>
      </c>
      <c r="D43">
        <v>0.76693221991233096</v>
      </c>
      <c r="E43">
        <v>0.73873840643627298</v>
      </c>
      <c r="F43">
        <v>-2.81938134760579E-2</v>
      </c>
      <c r="G43">
        <v>4.8436428503806903E-2</v>
      </c>
      <c r="H43">
        <v>1.9960504762415E-2</v>
      </c>
      <c r="I43">
        <v>4.8436428503806903E-2</v>
      </c>
      <c r="J43">
        <v>0.62189807337660297</v>
      </c>
      <c r="K43" s="1">
        <v>6.9712896415428402E-6</v>
      </c>
      <c r="L43">
        <v>32.213785392876296</v>
      </c>
      <c r="M43">
        <v>4.0655286116554796</v>
      </c>
      <c r="N43">
        <v>63.720685995468202</v>
      </c>
      <c r="O43">
        <v>40.527241304550998</v>
      </c>
      <c r="P43">
        <v>39.680707367690403</v>
      </c>
      <c r="Q43">
        <v>19.7920513277586</v>
      </c>
      <c r="R43">
        <v>0</v>
      </c>
      <c r="S43">
        <v>39.680707367690403</v>
      </c>
      <c r="T43">
        <v>0.79686923514841501</v>
      </c>
      <c r="U43">
        <v>-60.256100896367002</v>
      </c>
      <c r="V43">
        <v>42.597235861731797</v>
      </c>
      <c r="W43">
        <v>99.866005323585796</v>
      </c>
      <c r="X43">
        <v>43.3033716722178</v>
      </c>
      <c r="Y43" s="18">
        <v>61.6769879913263</v>
      </c>
      <c r="Z43">
        <v>54.751453529952997</v>
      </c>
      <c r="AA43">
        <v>3.49995936520002</v>
      </c>
      <c r="AB43">
        <v>766.51563823501203</v>
      </c>
      <c r="AC43">
        <v>13.4235247082197</v>
      </c>
      <c r="AD43">
        <v>0</v>
      </c>
      <c r="AE43">
        <v>172.14628594883399</v>
      </c>
      <c r="AF43">
        <v>112.031471687435</v>
      </c>
      <c r="AG43">
        <v>27.165402627006799</v>
      </c>
      <c r="AH43">
        <v>-16.7301479362355</v>
      </c>
      <c r="AI43">
        <v>5414954180.1000004</v>
      </c>
      <c r="AJ43">
        <v>7.2395992185729993E-2</v>
      </c>
      <c r="AK43">
        <v>12917</v>
      </c>
      <c r="AL43" s="4">
        <f t="shared" si="3"/>
        <v>1.0381648134582131</v>
      </c>
      <c r="AM43" s="5">
        <f t="shared" si="4"/>
        <v>0.73873143514663142</v>
      </c>
      <c r="AN43" s="5">
        <f t="shared" si="5"/>
        <v>1.0381746104524467</v>
      </c>
    </row>
    <row r="44" spans="1:40" x14ac:dyDescent="0.25">
      <c r="A44">
        <v>43</v>
      </c>
      <c r="B44">
        <v>85</v>
      </c>
      <c r="C44">
        <v>-25</v>
      </c>
      <c r="D44">
        <v>0.82024288045910798</v>
      </c>
      <c r="E44">
        <v>0.82242816207136404</v>
      </c>
      <c r="F44">
        <v>2.18528161225673E-3</v>
      </c>
      <c r="G44">
        <v>4.8746607503963403E-2</v>
      </c>
      <c r="H44">
        <v>1.9833526613671999E-2</v>
      </c>
      <c r="I44">
        <v>4.8746607503963403E-2</v>
      </c>
      <c r="J44">
        <v>0.69724211906765798</v>
      </c>
      <c r="K44">
        <v>7.8593013821080995E-3</v>
      </c>
      <c r="L44">
        <v>22.425253448136498</v>
      </c>
      <c r="M44">
        <v>5.1251744834420396</v>
      </c>
      <c r="N44">
        <v>72.449572068421404</v>
      </c>
      <c r="O44">
        <v>38.099501198178601</v>
      </c>
      <c r="P44">
        <v>42.657715464400603</v>
      </c>
      <c r="Q44">
        <v>19.2427833374208</v>
      </c>
      <c r="R44">
        <v>0</v>
      </c>
      <c r="S44">
        <v>42.657715464400603</v>
      </c>
      <c r="T44">
        <v>0.79039047639828197</v>
      </c>
      <c r="U44">
        <v>-36.417066423795802</v>
      </c>
      <c r="V44">
        <v>185.69905208359</v>
      </c>
      <c r="W44">
        <v>99.830364067113095</v>
      </c>
      <c r="X44">
        <v>42.6054046072882</v>
      </c>
      <c r="Y44" s="18">
        <v>61.902917210939698</v>
      </c>
      <c r="Z44">
        <v>55.4543189067575</v>
      </c>
      <c r="AA44">
        <v>3.6352381281817698</v>
      </c>
      <c r="AB44">
        <v>764.06892953525403</v>
      </c>
      <c r="AC44">
        <v>18.3608101900561</v>
      </c>
      <c r="AD44">
        <v>0</v>
      </c>
      <c r="AE44">
        <v>172.65669128835901</v>
      </c>
      <c r="AF44">
        <v>112.156261106209</v>
      </c>
      <c r="AG44">
        <v>29.2606176628762</v>
      </c>
      <c r="AH44">
        <v>-8.1881607295432204</v>
      </c>
      <c r="AI44">
        <v>12558200935</v>
      </c>
      <c r="AJ44">
        <v>8.19881714091905E-2</v>
      </c>
      <c r="AK44">
        <v>27872</v>
      </c>
      <c r="AL44" s="4">
        <f t="shared" si="3"/>
        <v>0.99734289058541936</v>
      </c>
      <c r="AM44" s="5">
        <f t="shared" si="4"/>
        <v>0.81456886068925594</v>
      </c>
      <c r="AN44" s="5">
        <f t="shared" si="5"/>
        <v>1.0069656723251745</v>
      </c>
    </row>
    <row r="45" spans="1:40" x14ac:dyDescent="0.25">
      <c r="A45">
        <v>44</v>
      </c>
      <c r="B45">
        <v>85</v>
      </c>
      <c r="C45">
        <v>0</v>
      </c>
      <c r="D45">
        <v>0.82501349307622196</v>
      </c>
      <c r="E45">
        <v>0.86157441815248603</v>
      </c>
      <c r="F45">
        <v>3.65609250762641E-2</v>
      </c>
      <c r="G45">
        <v>4.93965245078603E-2</v>
      </c>
      <c r="H45">
        <v>2.1161238430802001E-2</v>
      </c>
      <c r="I45">
        <v>4.93965245078603E-2</v>
      </c>
      <c r="J45">
        <v>0.70895725670690202</v>
      </c>
      <c r="K45">
        <v>3.2662873999061502E-2</v>
      </c>
      <c r="L45">
        <v>19.537962157881299</v>
      </c>
      <c r="M45">
        <v>5.5501925171908404</v>
      </c>
      <c r="N45">
        <v>74.911845324927896</v>
      </c>
      <c r="O45">
        <v>33.573063315869199</v>
      </c>
      <c r="P45">
        <v>47.743112674918798</v>
      </c>
      <c r="Q45">
        <v>18.6838240092119</v>
      </c>
      <c r="R45">
        <v>0</v>
      </c>
      <c r="S45">
        <v>47.743112674918798</v>
      </c>
      <c r="T45">
        <v>0.82352015779479704</v>
      </c>
      <c r="U45">
        <v>-12.135709342727299</v>
      </c>
      <c r="V45">
        <v>610.18664213930799</v>
      </c>
      <c r="W45">
        <v>99.794974294620005</v>
      </c>
      <c r="X45">
        <v>42.284064141918002</v>
      </c>
      <c r="Y45" s="18">
        <v>61.607393500710899</v>
      </c>
      <c r="Z45">
        <v>56.951775177585503</v>
      </c>
      <c r="AA45">
        <v>3.83527945019312</v>
      </c>
      <c r="AB45">
        <v>761.17357587880201</v>
      </c>
      <c r="AC45">
        <v>25.154324635066502</v>
      </c>
      <c r="AD45">
        <v>0</v>
      </c>
      <c r="AE45">
        <v>171.46038315133501</v>
      </c>
      <c r="AF45">
        <v>112.08185642535599</v>
      </c>
      <c r="AG45">
        <v>30.864216657301299</v>
      </c>
      <c r="AH45">
        <v>-0.11372950533618501</v>
      </c>
      <c r="AI45">
        <v>19368821291.700001</v>
      </c>
      <c r="AJ45">
        <v>7.7014135703379005E-2</v>
      </c>
      <c r="AK45">
        <v>47319</v>
      </c>
      <c r="AL45" s="4">
        <f t="shared" si="3"/>
        <v>0.95756498300557324</v>
      </c>
      <c r="AM45" s="5">
        <f t="shared" si="4"/>
        <v>0.8289115441534245</v>
      </c>
      <c r="AN45" s="5">
        <f t="shared" si="5"/>
        <v>0.99529738594582651</v>
      </c>
    </row>
    <row r="46" spans="1:40" x14ac:dyDescent="0.25">
      <c r="A46" s="4">
        <v>1</v>
      </c>
      <c r="B46" s="4" t="s">
        <v>53</v>
      </c>
      <c r="C46" s="4">
        <v>-200</v>
      </c>
      <c r="D46" s="4">
        <v>0</v>
      </c>
      <c r="E46" s="4">
        <v>0.39154506430659303</v>
      </c>
      <c r="F46" s="4">
        <v>0.39154506430659303</v>
      </c>
      <c r="G46" s="4">
        <v>5.2374562962963001E-2</v>
      </c>
      <c r="H46" s="4">
        <v>1.2533938390408301E-3</v>
      </c>
      <c r="I46" s="4">
        <v>5.2374562962963001E-2</v>
      </c>
      <c r="J46" s="4">
        <v>0.28553545652288798</v>
      </c>
      <c r="K46" s="5">
        <v>7.08801873852613E-6</v>
      </c>
      <c r="L46" s="4">
        <v>100</v>
      </c>
      <c r="M46" s="4">
        <v>0</v>
      </c>
      <c r="N46" s="4">
        <v>0</v>
      </c>
      <c r="O46" s="4">
        <v>0</v>
      </c>
      <c r="P46" s="4">
        <v>100</v>
      </c>
      <c r="Q46" s="4">
        <v>0</v>
      </c>
      <c r="R46" s="4">
        <v>0</v>
      </c>
      <c r="S46" s="4">
        <v>100</v>
      </c>
      <c r="T46" s="4">
        <v>0</v>
      </c>
      <c r="U46" s="4">
        <v>-202.1</v>
      </c>
      <c r="V46" s="4">
        <v>0</v>
      </c>
      <c r="W46" s="4">
        <v>100</v>
      </c>
      <c r="X46" s="4">
        <v>33.200000000000003</v>
      </c>
      <c r="Y46" s="18">
        <v>256.60000000000002</v>
      </c>
      <c r="Z46" s="4">
        <v>64</v>
      </c>
      <c r="AA46" s="4">
        <v>2.6</v>
      </c>
      <c r="AB46" s="4">
        <v>726</v>
      </c>
      <c r="AC46" s="4">
        <v>100</v>
      </c>
      <c r="AD46" s="4">
        <v>0</v>
      </c>
      <c r="AE46" s="4">
        <v>179.2</v>
      </c>
      <c r="AF46" s="4">
        <v>112.2</v>
      </c>
      <c r="AG46" s="4">
        <v>20.9</v>
      </c>
      <c r="AH46" s="4">
        <v>-107</v>
      </c>
      <c r="AI46" s="4">
        <v>256666.2</v>
      </c>
      <c r="AJ46" s="4" t="s">
        <v>36</v>
      </c>
      <c r="AK46" s="4">
        <v>1</v>
      </c>
      <c r="AL46" s="4">
        <f t="shared" ref="AL46:AL54" si="6">D46/E46</f>
        <v>0</v>
      </c>
      <c r="AM46" s="5">
        <f t="shared" ref="AM46:AM54" si="7">E46-K46</f>
        <v>0.39153797628785453</v>
      </c>
      <c r="AN46" s="5">
        <f t="shared" ref="AN46:AN54" si="8">D46/(E46-K46)</f>
        <v>0</v>
      </c>
    </row>
    <row r="47" spans="1:40" x14ac:dyDescent="0.25">
      <c r="A47" s="4">
        <v>2</v>
      </c>
      <c r="B47" s="4" t="s">
        <v>53</v>
      </c>
      <c r="C47" s="4">
        <v>-175</v>
      </c>
      <c r="D47" s="5">
        <v>8.3070512702419598E-5</v>
      </c>
      <c r="E47" s="4">
        <v>0.41531166226899002</v>
      </c>
      <c r="F47" s="4">
        <v>0.41522859175628801</v>
      </c>
      <c r="G47" s="4">
        <v>4.7503394634327401E-2</v>
      </c>
      <c r="H47" s="4">
        <v>2.8308870411924598E-3</v>
      </c>
      <c r="I47" s="4">
        <v>4.7503394634327401E-2</v>
      </c>
      <c r="J47" s="4">
        <v>0.31746728602494301</v>
      </c>
      <c r="K47" s="5">
        <v>6.6999341993046804E-6</v>
      </c>
      <c r="L47" s="4">
        <v>70.299600995245399</v>
      </c>
      <c r="M47" s="4">
        <v>0</v>
      </c>
      <c r="N47" s="4">
        <v>29.700399004754601</v>
      </c>
      <c r="O47" s="4">
        <v>29.700399004754601</v>
      </c>
      <c r="P47" s="4">
        <v>70.299600995245399</v>
      </c>
      <c r="Q47" s="4">
        <v>0</v>
      </c>
      <c r="R47" s="4">
        <v>0</v>
      </c>
      <c r="S47" s="4">
        <v>70.299600995245399</v>
      </c>
      <c r="T47" s="4">
        <v>0</v>
      </c>
      <c r="U47" s="4">
        <v>-187.15584486506799</v>
      </c>
      <c r="V47" s="4">
        <v>0</v>
      </c>
      <c r="W47" s="4">
        <v>100</v>
      </c>
      <c r="X47" s="4">
        <v>46.121844705762598</v>
      </c>
      <c r="Y47" s="18">
        <v>243.50385299835301</v>
      </c>
      <c r="Z47" s="4">
        <v>52.601085752808203</v>
      </c>
      <c r="AA47" s="4">
        <v>2.6092300569669402</v>
      </c>
      <c r="AB47" s="4">
        <v>707.18455661182395</v>
      </c>
      <c r="AC47" s="4">
        <v>70.299600995245399</v>
      </c>
      <c r="AD47" s="4">
        <v>0</v>
      </c>
      <c r="AE47" s="4">
        <v>169.63870086598899</v>
      </c>
      <c r="AF47" s="4">
        <v>111.864405633354</v>
      </c>
      <c r="AG47" s="4">
        <v>26.188322485309499</v>
      </c>
      <c r="AH47" s="4">
        <v>-105.170919729771</v>
      </c>
      <c r="AI47" s="4">
        <v>2616359.7999999998</v>
      </c>
      <c r="AJ47" s="5">
        <v>2.7136021011998702E-6</v>
      </c>
      <c r="AK47" s="4">
        <v>11</v>
      </c>
      <c r="AL47" s="4">
        <f t="shared" si="6"/>
        <v>2.0001969665040683E-4</v>
      </c>
      <c r="AM47" s="5">
        <f t="shared" si="7"/>
        <v>0.41530496233479069</v>
      </c>
      <c r="AN47" s="5">
        <f t="shared" si="8"/>
        <v>2.0002292348111599E-4</v>
      </c>
    </row>
    <row r="48" spans="1:40" x14ac:dyDescent="0.25">
      <c r="A48" s="4">
        <v>3</v>
      </c>
      <c r="B48" s="4" t="s">
        <v>53</v>
      </c>
      <c r="C48" s="4">
        <v>-150</v>
      </c>
      <c r="D48" s="4">
        <v>1.9543836054744901</v>
      </c>
      <c r="E48" s="4">
        <v>0.42218889328513398</v>
      </c>
      <c r="F48" s="4">
        <v>-1.53219471218935</v>
      </c>
      <c r="G48" s="4">
        <v>4.7999997169353797E-2</v>
      </c>
      <c r="H48" s="4">
        <v>6.6697007311355598E-3</v>
      </c>
      <c r="I48" s="4">
        <v>4.7999997169353797E-2</v>
      </c>
      <c r="J48" s="4">
        <v>0.319510426562579</v>
      </c>
      <c r="K48" s="5">
        <v>8.7716527116215099E-6</v>
      </c>
      <c r="L48" s="4">
        <v>68.0139576221287</v>
      </c>
      <c r="M48" s="4">
        <v>0</v>
      </c>
      <c r="N48" s="4">
        <v>31.9860423778713</v>
      </c>
      <c r="O48" s="4">
        <v>38.275324367466901</v>
      </c>
      <c r="P48" s="4">
        <v>41.053632862910398</v>
      </c>
      <c r="Q48" s="4">
        <v>20.671042769622701</v>
      </c>
      <c r="R48" s="4">
        <v>0</v>
      </c>
      <c r="S48" s="4">
        <v>41.053632862910398</v>
      </c>
      <c r="T48" s="4">
        <v>0.20768095035445799</v>
      </c>
      <c r="U48" s="4">
        <v>-159.33734126531499</v>
      </c>
      <c r="V48" s="4">
        <v>0</v>
      </c>
      <c r="W48" s="4">
        <v>92.948090843432695</v>
      </c>
      <c r="X48" s="4">
        <v>46.1659754918117</v>
      </c>
      <c r="Y48" s="18">
        <v>319.23488833775002</v>
      </c>
      <c r="Z48" s="4">
        <v>53.770641711403002</v>
      </c>
      <c r="AA48" s="4">
        <v>2.8619029216295302</v>
      </c>
      <c r="AB48" s="4">
        <v>733.54916458050695</v>
      </c>
      <c r="AC48" s="4">
        <v>20.272289611751599</v>
      </c>
      <c r="AD48" s="4">
        <v>0</v>
      </c>
      <c r="AE48" s="4">
        <v>172.78365303438301</v>
      </c>
      <c r="AF48" s="4">
        <v>112.01072860932599</v>
      </c>
      <c r="AG48" s="4">
        <v>25.457513185117399</v>
      </c>
      <c r="AH48" s="4">
        <v>-81.945817168238804</v>
      </c>
      <c r="AI48" s="4">
        <v>13752342.5</v>
      </c>
      <c r="AJ48" s="4">
        <v>0.14906162597987699</v>
      </c>
      <c r="AK48" s="4">
        <v>45</v>
      </c>
      <c r="AL48" s="4">
        <f t="shared" si="6"/>
        <v>4.6291686886100925</v>
      </c>
      <c r="AM48" s="5">
        <f t="shared" si="7"/>
        <v>0.42218012163242236</v>
      </c>
      <c r="AN48" s="5">
        <f t="shared" si="8"/>
        <v>4.6292648690269322</v>
      </c>
    </row>
    <row r="49" spans="1:40" x14ac:dyDescent="0.25">
      <c r="A49" s="4">
        <v>4</v>
      </c>
      <c r="B49" s="4" t="s">
        <v>53</v>
      </c>
      <c r="C49" s="4">
        <v>-125</v>
      </c>
      <c r="D49" s="4">
        <v>0.46740023923449098</v>
      </c>
      <c r="E49" s="4">
        <v>0.41871709865520601</v>
      </c>
      <c r="F49" s="4">
        <v>-4.8683140579285598E-2</v>
      </c>
      <c r="G49" s="4">
        <v>4.8406801955255402E-2</v>
      </c>
      <c r="H49" s="4">
        <v>6.1826395904064002E-3</v>
      </c>
      <c r="I49" s="4">
        <v>4.8406801955255402E-2</v>
      </c>
      <c r="J49" s="4">
        <v>0.31571074553919198</v>
      </c>
      <c r="K49" s="5">
        <v>1.0109615096522699E-5</v>
      </c>
      <c r="L49" s="4">
        <v>75.188735243903594</v>
      </c>
      <c r="M49" s="4">
        <v>0.63646834406755304</v>
      </c>
      <c r="N49" s="4">
        <v>24.174796412028901</v>
      </c>
      <c r="O49" s="4">
        <v>30.959552494419199</v>
      </c>
      <c r="P49" s="4">
        <v>47.6995555932927</v>
      </c>
      <c r="Q49" s="4">
        <v>21.3408919122882</v>
      </c>
      <c r="R49" s="4">
        <v>0</v>
      </c>
      <c r="S49" s="4">
        <v>47.6995555932927</v>
      </c>
      <c r="T49" s="4">
        <v>0.21385427031028301</v>
      </c>
      <c r="U49" s="4">
        <v>-133.038305597841</v>
      </c>
      <c r="V49" s="4">
        <v>5.5011033621081102E-3</v>
      </c>
      <c r="W49" s="4">
        <v>99.344690488478406</v>
      </c>
      <c r="X49" s="4">
        <v>44.863831979382397</v>
      </c>
      <c r="Y49" s="18">
        <v>360.50554027350699</v>
      </c>
      <c r="Z49" s="4">
        <v>54.713686824450598</v>
      </c>
      <c r="AA49" s="4">
        <v>3.1492361234255899</v>
      </c>
      <c r="AB49" s="4">
        <v>763.90527236703497</v>
      </c>
      <c r="AC49" s="4">
        <v>5.6987748287106204</v>
      </c>
      <c r="AD49" s="4">
        <v>0</v>
      </c>
      <c r="AE49" s="4">
        <v>172.606649131534</v>
      </c>
      <c r="AF49" s="4">
        <v>111.92983726966099</v>
      </c>
      <c r="AG49" s="4">
        <v>24.3647396226282</v>
      </c>
      <c r="AH49" s="4">
        <v>-48.867772043419002</v>
      </c>
      <c r="AI49" s="4">
        <v>294627708.89999998</v>
      </c>
      <c r="AJ49" s="4">
        <v>5.9233242507912898E-2</v>
      </c>
      <c r="AK49" s="4">
        <v>635</v>
      </c>
      <c r="AL49" s="4">
        <f t="shared" si="6"/>
        <v>1.1162673813313109</v>
      </c>
      <c r="AM49" s="5">
        <f t="shared" si="7"/>
        <v>0.4187069890401095</v>
      </c>
      <c r="AN49" s="5">
        <f t="shared" si="8"/>
        <v>1.1162943334335338</v>
      </c>
    </row>
    <row r="50" spans="1:40" x14ac:dyDescent="0.25">
      <c r="A50" s="4">
        <v>5</v>
      </c>
      <c r="B50" s="4" t="s">
        <v>53</v>
      </c>
      <c r="C50" s="4">
        <v>-100</v>
      </c>
      <c r="D50" s="4">
        <v>0.387231372448883</v>
      </c>
      <c r="E50" s="4">
        <v>0.43786069669111299</v>
      </c>
      <c r="F50" s="4">
        <v>5.06293242422301E-2</v>
      </c>
      <c r="G50" s="4">
        <v>4.8342409921782799E-2</v>
      </c>
      <c r="H50" s="4">
        <v>5.8735189076994897E-3</v>
      </c>
      <c r="I50" s="4">
        <v>4.8342409921782799E-2</v>
      </c>
      <c r="J50" s="4">
        <v>0.33529276318215701</v>
      </c>
      <c r="K50" s="5">
        <v>9.5947576907883205E-6</v>
      </c>
      <c r="L50" s="4">
        <v>63.942585658414004</v>
      </c>
      <c r="M50" s="4">
        <v>1.65845795754868</v>
      </c>
      <c r="N50" s="4">
        <v>34.398956384037298</v>
      </c>
      <c r="O50" s="4">
        <v>26.474668068635399</v>
      </c>
      <c r="P50" s="4">
        <v>54.4777342239163</v>
      </c>
      <c r="Q50" s="4">
        <v>19.0475977074483</v>
      </c>
      <c r="R50" s="4">
        <v>0</v>
      </c>
      <c r="S50" s="4">
        <v>54.4777342239163</v>
      </c>
      <c r="T50" s="4">
        <v>0.21131610933598199</v>
      </c>
      <c r="U50" s="4">
        <v>-108.362530620434</v>
      </c>
      <c r="V50" s="4">
        <v>9.2491970317092206E-2</v>
      </c>
      <c r="W50" s="4">
        <v>99.955486352777399</v>
      </c>
      <c r="X50" s="4">
        <v>43.838315291209398</v>
      </c>
      <c r="Y50" s="18">
        <v>320.19850307150398</v>
      </c>
      <c r="Z50" s="4">
        <v>54.558035443285</v>
      </c>
      <c r="AA50" s="4">
        <v>3.27418013645589</v>
      </c>
      <c r="AB50" s="4">
        <v>773.09567334178405</v>
      </c>
      <c r="AC50" s="4">
        <v>3.9807535633229101</v>
      </c>
      <c r="AD50" s="4">
        <v>0</v>
      </c>
      <c r="AE50" s="4">
        <v>172.20059869903901</v>
      </c>
      <c r="AF50" s="4">
        <v>111.93610804872</v>
      </c>
      <c r="AG50" s="4">
        <v>24.812910748692701</v>
      </c>
      <c r="AH50" s="4">
        <v>-34.345348382165497</v>
      </c>
      <c r="AI50" s="4">
        <v>4149295138.0999999</v>
      </c>
      <c r="AJ50" s="4">
        <v>4.88911611158281E-2</v>
      </c>
      <c r="AK50" s="4">
        <v>3641</v>
      </c>
      <c r="AL50" s="4">
        <f t="shared" si="6"/>
        <v>0.88437116045163966</v>
      </c>
      <c r="AM50" s="5">
        <f t="shared" si="7"/>
        <v>0.43785110193342219</v>
      </c>
      <c r="AN50" s="5">
        <f t="shared" si="8"/>
        <v>0.88439053993237127</v>
      </c>
    </row>
    <row r="51" spans="1:40" x14ac:dyDescent="0.25">
      <c r="A51" s="4">
        <v>6</v>
      </c>
      <c r="B51" s="4" t="s">
        <v>53</v>
      </c>
      <c r="C51" s="4">
        <v>-75</v>
      </c>
      <c r="D51" s="4">
        <v>0.44971809654934097</v>
      </c>
      <c r="E51" s="4">
        <v>0.45050069483078597</v>
      </c>
      <c r="F51" s="4">
        <v>7.8259828144523302E-4</v>
      </c>
      <c r="G51" s="4">
        <v>4.80618251738828E-2</v>
      </c>
      <c r="H51" s="4">
        <v>6.6152307730302498E-3</v>
      </c>
      <c r="I51" s="4">
        <v>4.80618251738828E-2</v>
      </c>
      <c r="J51" s="4">
        <v>0.34741972166499602</v>
      </c>
      <c r="K51" s="4">
        <v>3.4209204499418899E-4</v>
      </c>
      <c r="L51" s="4">
        <v>30.544284154157001</v>
      </c>
      <c r="M51" s="4">
        <v>3.0185099474703998</v>
      </c>
      <c r="N51" s="4">
        <v>66.437205898372596</v>
      </c>
      <c r="O51" s="4">
        <v>28.267597772140402</v>
      </c>
      <c r="P51" s="4">
        <v>54.880574688511501</v>
      </c>
      <c r="Q51" s="4">
        <v>16.851827539348101</v>
      </c>
      <c r="R51" s="4">
        <v>0</v>
      </c>
      <c r="S51" s="4">
        <v>54.880574688511501</v>
      </c>
      <c r="T51" s="4">
        <v>0.24232713099259701</v>
      </c>
      <c r="U51" s="4">
        <v>-83.850326465728102</v>
      </c>
      <c r="V51" s="4">
        <v>0.60394376056149401</v>
      </c>
      <c r="W51" s="4">
        <v>99.978106676380705</v>
      </c>
      <c r="X51" s="4">
        <v>44.934478475069298</v>
      </c>
      <c r="Y51" s="18">
        <v>311.91449544422898</v>
      </c>
      <c r="Z51" s="4">
        <v>53.905883040862903</v>
      </c>
      <c r="AA51" s="4">
        <v>3.32399392505299</v>
      </c>
      <c r="AB51" s="4">
        <v>772.70274827386197</v>
      </c>
      <c r="AC51" s="4">
        <v>2.2270665420219902</v>
      </c>
      <c r="AD51" s="4">
        <v>0</v>
      </c>
      <c r="AE51" s="4">
        <v>171.88411981023299</v>
      </c>
      <c r="AF51" s="4">
        <v>111.935686425491</v>
      </c>
      <c r="AG51" s="4">
        <v>25.4096584354592</v>
      </c>
      <c r="AH51" s="4">
        <v>-30.140624842023598</v>
      </c>
      <c r="AI51" s="4">
        <v>39584778453.400002</v>
      </c>
      <c r="AJ51" s="4">
        <v>4.9194151853057498E-2</v>
      </c>
      <c r="AK51" s="4">
        <v>11607</v>
      </c>
      <c r="AL51" s="4">
        <f t="shared" si="6"/>
        <v>0.99826282558401169</v>
      </c>
      <c r="AM51" s="5">
        <f t="shared" si="7"/>
        <v>0.45015860278579178</v>
      </c>
      <c r="AN51" s="5">
        <f t="shared" si="8"/>
        <v>0.99902144214566879</v>
      </c>
    </row>
    <row r="52" spans="1:40" x14ac:dyDescent="0.25">
      <c r="A52" s="4">
        <v>7</v>
      </c>
      <c r="B52" s="4" t="s">
        <v>53</v>
      </c>
      <c r="C52" s="4">
        <v>-50</v>
      </c>
      <c r="D52" s="4">
        <v>0.54860955538455503</v>
      </c>
      <c r="E52" s="4">
        <v>0.52468646924638596</v>
      </c>
      <c r="F52" s="4">
        <v>-2.3923086138169399E-2</v>
      </c>
      <c r="G52" s="4">
        <v>4.8357691805300897E-2</v>
      </c>
      <c r="H52" s="4">
        <v>7.5832623294039298E-3</v>
      </c>
      <c r="I52" s="4">
        <v>4.8357691805300897E-2</v>
      </c>
      <c r="J52" s="4">
        <v>0.38160617954300802</v>
      </c>
      <c r="K52" s="4">
        <v>3.8781643763371801E-2</v>
      </c>
      <c r="L52" s="4">
        <v>10.4493775905697</v>
      </c>
      <c r="M52" s="4">
        <v>4.0045601354458</v>
      </c>
      <c r="N52" s="4">
        <v>85.546062273984504</v>
      </c>
      <c r="O52" s="4">
        <v>26.2567975350693</v>
      </c>
      <c r="P52" s="4">
        <v>56.1503405180679</v>
      </c>
      <c r="Q52" s="4">
        <v>17.592861946862701</v>
      </c>
      <c r="R52" s="4">
        <v>0</v>
      </c>
      <c r="S52" s="4">
        <v>56.1503405180679</v>
      </c>
      <c r="T52" s="4">
        <v>0.28248271260632202</v>
      </c>
      <c r="U52" s="4">
        <v>-60.1246713911518</v>
      </c>
      <c r="V52" s="4">
        <v>40.2763608593039</v>
      </c>
      <c r="W52" s="4">
        <v>99.988543090606598</v>
      </c>
      <c r="X52" s="4">
        <v>44.8045508975232</v>
      </c>
      <c r="Y52" s="18">
        <v>305.18102875392901</v>
      </c>
      <c r="Z52" s="4">
        <v>54.5692169536552</v>
      </c>
      <c r="AA52" s="4">
        <v>3.4062939212174701</v>
      </c>
      <c r="AB52" s="4">
        <v>771.831847945665</v>
      </c>
      <c r="AC52" s="4">
        <v>2.2609730121413598</v>
      </c>
      <c r="AD52" s="4">
        <v>0</v>
      </c>
      <c r="AE52" s="4">
        <v>172.264154190868</v>
      </c>
      <c r="AF52" s="4">
        <v>112.028994830394</v>
      </c>
      <c r="AG52" s="4">
        <v>26.621869527526201</v>
      </c>
      <c r="AH52" s="4">
        <v>-25.297533503461899</v>
      </c>
      <c r="AI52" s="4">
        <v>239658949035.39999</v>
      </c>
      <c r="AJ52" s="4">
        <v>5.0234056795208197E-2</v>
      </c>
      <c r="AK52" s="4">
        <v>31692</v>
      </c>
      <c r="AL52" s="4">
        <f t="shared" si="6"/>
        <v>1.0455950125272528</v>
      </c>
      <c r="AM52" s="5">
        <f t="shared" si="7"/>
        <v>0.48590482548301417</v>
      </c>
      <c r="AN52" s="5">
        <f t="shared" si="8"/>
        <v>1.1290473496310911</v>
      </c>
    </row>
    <row r="53" spans="1:40" x14ac:dyDescent="0.25">
      <c r="A53" s="4">
        <v>8</v>
      </c>
      <c r="B53" s="4" t="s">
        <v>53</v>
      </c>
      <c r="C53" s="4">
        <v>-25</v>
      </c>
      <c r="D53" s="4">
        <v>0.65299658229660296</v>
      </c>
      <c r="E53" s="4">
        <v>0.65444113732129605</v>
      </c>
      <c r="F53" s="4">
        <v>1.4445550246936099E-3</v>
      </c>
      <c r="G53" s="4">
        <v>4.8803178348837503E-2</v>
      </c>
      <c r="H53" s="4">
        <v>8.1758125871748098E-3</v>
      </c>
      <c r="I53" s="4">
        <v>4.8803178348837503E-2</v>
      </c>
      <c r="J53" s="4">
        <v>0.43731315263198001</v>
      </c>
      <c r="K53" s="4">
        <v>0.111345815404466</v>
      </c>
      <c r="L53" s="4">
        <v>5.3633716177943098</v>
      </c>
      <c r="M53" s="4">
        <v>4.4694637963104498</v>
      </c>
      <c r="N53" s="4">
        <v>90.167164585895193</v>
      </c>
      <c r="O53" s="4">
        <v>26.555378024330999</v>
      </c>
      <c r="P53" s="4">
        <v>54.831648519268199</v>
      </c>
      <c r="Q53" s="4">
        <v>18.612973456400798</v>
      </c>
      <c r="R53" s="4">
        <v>0</v>
      </c>
      <c r="S53" s="4">
        <v>54.831648519268199</v>
      </c>
      <c r="T53" s="4">
        <v>0.30414916242978801</v>
      </c>
      <c r="U53" s="4">
        <v>-36.612613878095402</v>
      </c>
      <c r="V53" s="4">
        <v>163.655253434858</v>
      </c>
      <c r="W53" s="4">
        <v>99.984014167309198</v>
      </c>
      <c r="X53" s="4">
        <v>44.982346243262697</v>
      </c>
      <c r="Y53" s="18">
        <v>303.23966443185202</v>
      </c>
      <c r="Z53" s="4">
        <v>55.5819996642117</v>
      </c>
      <c r="AA53" s="4">
        <v>3.5375302850731898</v>
      </c>
      <c r="AB53" s="4">
        <v>769.15648787100395</v>
      </c>
      <c r="AC53" s="4">
        <v>4.0420310788272502</v>
      </c>
      <c r="AD53" s="4">
        <v>0</v>
      </c>
      <c r="AE53" s="4">
        <v>173.09200776851901</v>
      </c>
      <c r="AF53" s="4">
        <v>112.209458258674</v>
      </c>
      <c r="AG53" s="4">
        <v>29.6331783403032</v>
      </c>
      <c r="AH53" s="4">
        <v>-17.7489376771906</v>
      </c>
      <c r="AI53" s="4">
        <v>531757141872.79999</v>
      </c>
      <c r="AJ53" s="4">
        <v>5.8418242650235999E-2</v>
      </c>
      <c r="AK53" s="4">
        <v>67823</v>
      </c>
      <c r="AL53" s="4">
        <f t="shared" si="6"/>
        <v>0.99779268914755903</v>
      </c>
      <c r="AM53" s="5">
        <f t="shared" si="7"/>
        <v>0.54309532191683008</v>
      </c>
      <c r="AN53" s="5">
        <f t="shared" si="8"/>
        <v>1.2023609041445642</v>
      </c>
    </row>
    <row r="54" spans="1:40" x14ac:dyDescent="0.25">
      <c r="A54" s="4">
        <v>9</v>
      </c>
      <c r="B54" s="4" t="s">
        <v>53</v>
      </c>
      <c r="C54" s="4">
        <v>0</v>
      </c>
      <c r="D54" s="4">
        <v>0.74099835094550404</v>
      </c>
      <c r="E54" s="4">
        <v>0.73552227748914401</v>
      </c>
      <c r="F54" s="4">
        <v>-5.4760734563596798E-3</v>
      </c>
      <c r="G54" s="4">
        <v>4.9500109759036098E-2</v>
      </c>
      <c r="H54" s="4">
        <v>9.9599412863900401E-3</v>
      </c>
      <c r="I54" s="4">
        <v>4.9500109759036098E-2</v>
      </c>
      <c r="J54" s="4">
        <v>0.45159490749664699</v>
      </c>
      <c r="K54" s="4">
        <v>0.17496720918803499</v>
      </c>
      <c r="L54" s="4">
        <v>4.6179883674418898</v>
      </c>
      <c r="M54" s="4">
        <v>4.6161998640538702</v>
      </c>
      <c r="N54" s="4">
        <v>90.765811768504193</v>
      </c>
      <c r="O54" s="4">
        <v>25.1268564676603</v>
      </c>
      <c r="P54" s="4">
        <v>54.4797024990376</v>
      </c>
      <c r="Q54" s="4">
        <v>20.393441033302199</v>
      </c>
      <c r="R54" s="4">
        <v>0</v>
      </c>
      <c r="S54" s="4">
        <v>54.4797024990376</v>
      </c>
      <c r="T54" s="4">
        <v>0.35944260154694502</v>
      </c>
      <c r="U54" s="4">
        <v>-14.424782095121</v>
      </c>
      <c r="V54" s="4">
        <v>530.87724426468503</v>
      </c>
      <c r="W54" s="4">
        <v>99.975386573002694</v>
      </c>
      <c r="X54" s="4">
        <v>45.510467396263699</v>
      </c>
      <c r="Y54" s="18">
        <v>286.33867543694998</v>
      </c>
      <c r="Z54" s="4">
        <v>57.1935904304042</v>
      </c>
      <c r="AA54" s="4">
        <v>3.72825299480286</v>
      </c>
      <c r="AB54" s="4">
        <v>765.80457686620605</v>
      </c>
      <c r="AC54" s="4">
        <v>7.5775129905999403</v>
      </c>
      <c r="AD54" s="4">
        <v>0</v>
      </c>
      <c r="AE54" s="4">
        <v>171.89841827020999</v>
      </c>
      <c r="AF54" s="4">
        <v>112.130404214687</v>
      </c>
      <c r="AG54" s="4">
        <v>31.262326518027798</v>
      </c>
      <c r="AH54" s="4">
        <v>-11.0211245309543</v>
      </c>
      <c r="AI54" s="4">
        <v>526951442369.70001</v>
      </c>
      <c r="AJ54" s="4">
        <v>6.2072844431541999E-2</v>
      </c>
      <c r="AK54" s="4">
        <v>88880</v>
      </c>
      <c r="AL54" s="4">
        <f t="shared" si="6"/>
        <v>1.0074451496901682</v>
      </c>
      <c r="AM54" s="5">
        <f t="shared" si="7"/>
        <v>0.56055506830110902</v>
      </c>
      <c r="AN54" s="5">
        <f t="shared" si="8"/>
        <v>1.321901081353648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topLeftCell="O1" workbookViewId="0">
      <selection activeCell="S66" sqref="S66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7" x14ac:dyDescent="0.25">
      <c r="B2" s="6" t="s">
        <v>37</v>
      </c>
      <c r="E2" s="11"/>
      <c r="J2" s="11"/>
    </row>
    <row r="3" spans="1:37" x14ac:dyDescent="0.25">
      <c r="B3" s="4">
        <v>85</v>
      </c>
      <c r="H3" s="4">
        <v>110</v>
      </c>
      <c r="N3" s="4">
        <v>150</v>
      </c>
      <c r="T3" s="4">
        <v>175</v>
      </c>
      <c r="Z3" s="4">
        <v>200</v>
      </c>
      <c r="AF3" s="4" t="s">
        <v>53</v>
      </c>
    </row>
    <row r="4" spans="1:37" x14ac:dyDescent="0.25">
      <c r="A4" s="6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39</v>
      </c>
      <c r="U4" s="4" t="s">
        <v>40</v>
      </c>
      <c r="V4" s="4" t="s">
        <v>41</v>
      </c>
      <c r="W4" s="4" t="s">
        <v>42</v>
      </c>
      <c r="X4" s="4" t="s">
        <v>43</v>
      </c>
      <c r="Y4" s="4" t="s">
        <v>44</v>
      </c>
      <c r="Z4" s="4" t="s">
        <v>39</v>
      </c>
      <c r="AA4" s="4" t="s">
        <v>40</v>
      </c>
      <c r="AB4" s="4" t="s">
        <v>41</v>
      </c>
      <c r="AC4" s="4" t="s">
        <v>42</v>
      </c>
      <c r="AD4" s="4" t="s">
        <v>43</v>
      </c>
      <c r="AE4" s="4" t="s">
        <v>44</v>
      </c>
      <c r="AF4" s="4" t="s">
        <v>39</v>
      </c>
      <c r="AG4" s="4" t="s">
        <v>40</v>
      </c>
      <c r="AH4" s="4" t="s">
        <v>41</v>
      </c>
      <c r="AI4" s="4" t="s">
        <v>42</v>
      </c>
      <c r="AJ4" s="4" t="s">
        <v>43</v>
      </c>
      <c r="AK4" s="4" t="s">
        <v>44</v>
      </c>
    </row>
    <row r="5" spans="1:37" x14ac:dyDescent="0.25">
      <c r="A5" s="7">
        <v>-175</v>
      </c>
      <c r="B5" s="8">
        <v>488533.5</v>
      </c>
      <c r="C5" s="12">
        <v>7.5213920846779205E-4</v>
      </c>
      <c r="D5" s="12">
        <v>0.53804625000385098</v>
      </c>
      <c r="E5" s="12">
        <v>0.53804329717115029</v>
      </c>
      <c r="F5" s="12">
        <v>1.3979080951914613E-3</v>
      </c>
      <c r="G5" s="12">
        <v>1.3979157670438154E-3</v>
      </c>
      <c r="H5" s="8">
        <v>451969.4</v>
      </c>
      <c r="I5" s="12">
        <v>0</v>
      </c>
      <c r="J5" s="12">
        <v>0.579500098665643</v>
      </c>
      <c r="K5" s="12">
        <v>0.57949534099617528</v>
      </c>
      <c r="L5" s="12">
        <v>0</v>
      </c>
      <c r="M5" s="12">
        <v>0</v>
      </c>
      <c r="N5" s="8">
        <v>1158048.1000000001</v>
      </c>
      <c r="O5" s="12">
        <v>3.0158558698900298E-3</v>
      </c>
      <c r="P5" s="12">
        <v>0.42422359354725298</v>
      </c>
      <c r="Q5" s="12">
        <v>0.42421904209815969</v>
      </c>
      <c r="R5" s="12">
        <v>7.109118671765018E-3</v>
      </c>
      <c r="S5" s="12">
        <v>7.1091949455493637E-3</v>
      </c>
      <c r="T5" s="8">
        <v>281354.7</v>
      </c>
      <c r="U5" s="12">
        <v>0</v>
      </c>
      <c r="V5" s="12">
        <v>0.43959256930486001</v>
      </c>
      <c r="W5" s="12">
        <v>0.43958590360179134</v>
      </c>
      <c r="X5" s="12">
        <v>0</v>
      </c>
      <c r="Y5" s="12">
        <v>0</v>
      </c>
      <c r="Z5" s="8">
        <v>2938559.1</v>
      </c>
      <c r="AA5" s="12">
        <v>7.3962218421947E-5</v>
      </c>
      <c r="AB5" s="12">
        <v>0.41667660798495398</v>
      </c>
      <c r="AC5" s="12">
        <v>0.41666984568484428</v>
      </c>
      <c r="AD5" s="12">
        <v>1.7750508908966097E-4</v>
      </c>
      <c r="AE5" s="12">
        <v>1.7750796989012173E-4</v>
      </c>
      <c r="AF5" s="8">
        <v>2616359.7999999998</v>
      </c>
      <c r="AG5" s="12">
        <v>8.3070512702419598E-5</v>
      </c>
      <c r="AH5" s="12">
        <v>0.41531166226899002</v>
      </c>
      <c r="AI5" s="12">
        <v>0.41530496233479069</v>
      </c>
      <c r="AJ5" s="12">
        <v>2.0001969665040683E-4</v>
      </c>
      <c r="AK5" s="12">
        <v>2.0002292348111599E-4</v>
      </c>
    </row>
    <row r="6" spans="1:37" x14ac:dyDescent="0.25">
      <c r="A6" s="7">
        <v>-150</v>
      </c>
      <c r="B6" s="8">
        <v>4838230.0999999996</v>
      </c>
      <c r="C6" s="12">
        <v>9.6399666998062006E-3</v>
      </c>
      <c r="D6" s="12">
        <v>0.56744294864167499</v>
      </c>
      <c r="E6" s="12">
        <v>0.56743937053331517</v>
      </c>
      <c r="F6" s="12">
        <v>1.6988433326878084E-2</v>
      </c>
      <c r="G6" s="12">
        <v>1.6988540451019381E-2</v>
      </c>
      <c r="H6" s="8">
        <v>3028281.2</v>
      </c>
      <c r="I6" s="12">
        <v>0.80176924152882501</v>
      </c>
      <c r="J6" s="12">
        <v>0.54706694481752904</v>
      </c>
      <c r="K6" s="12">
        <v>0.54706231377680925</v>
      </c>
      <c r="L6" s="12">
        <v>1.4655779317762481</v>
      </c>
      <c r="M6" s="12">
        <v>1.4655903383173479</v>
      </c>
      <c r="N6" s="8">
        <v>6808924.5</v>
      </c>
      <c r="O6" s="12">
        <v>1.4011899431400699E-2</v>
      </c>
      <c r="P6" s="12">
        <v>0.48301323170816501</v>
      </c>
      <c r="Q6" s="12">
        <v>0.4830079769190217</v>
      </c>
      <c r="R6" s="12">
        <v>2.900934904380972E-2</v>
      </c>
      <c r="S6" s="12">
        <v>2.9009664645248401E-2</v>
      </c>
      <c r="T6" s="8">
        <v>3149335.9</v>
      </c>
      <c r="U6" s="12">
        <v>2.59566697283704E-2</v>
      </c>
      <c r="V6" s="12">
        <v>0.46259007435092903</v>
      </c>
      <c r="W6" s="12">
        <v>0.46258375190596762</v>
      </c>
      <c r="X6" s="12">
        <v>5.6111601107721155E-2</v>
      </c>
      <c r="Y6" s="12">
        <v>5.611236802291919E-2</v>
      </c>
      <c r="Z6" s="8">
        <v>20139479.899999999</v>
      </c>
      <c r="AA6" s="12">
        <v>2.2170798696812399</v>
      </c>
      <c r="AB6" s="12">
        <v>0.43329497524757699</v>
      </c>
      <c r="AC6" s="12">
        <v>0.43328683614629643</v>
      </c>
      <c r="AD6" s="12">
        <v>5.1167910922909741</v>
      </c>
      <c r="AE6" s="12">
        <v>5.1168872089450179</v>
      </c>
      <c r="AF6" s="8">
        <v>13752342.5</v>
      </c>
      <c r="AG6" s="12">
        <v>1.9543836054744901</v>
      </c>
      <c r="AH6" s="12">
        <v>0.42218889328513398</v>
      </c>
      <c r="AI6" s="12">
        <v>0.42218012163242236</v>
      </c>
      <c r="AJ6" s="12">
        <v>4.6291686886100925</v>
      </c>
      <c r="AK6" s="12">
        <v>4.6292648690269322</v>
      </c>
    </row>
    <row r="7" spans="1:37" x14ac:dyDescent="0.25">
      <c r="A7" s="7">
        <v>-125</v>
      </c>
      <c r="B7" s="8">
        <v>40793430</v>
      </c>
      <c r="C7" s="12">
        <v>0.14115249188214901</v>
      </c>
      <c r="D7" s="12">
        <v>0.60969184690285905</v>
      </c>
      <c r="E7" s="12">
        <v>0.60968834395027549</v>
      </c>
      <c r="F7" s="12">
        <v>0.23151448161752858</v>
      </c>
      <c r="G7" s="12">
        <v>0.23151581177950323</v>
      </c>
      <c r="H7" s="8">
        <v>39035811.600000001</v>
      </c>
      <c r="I7" s="12">
        <v>0.25237078541822899</v>
      </c>
      <c r="J7" s="12">
        <v>0.55387477788238304</v>
      </c>
      <c r="K7" s="12">
        <v>0.55387029638994423</v>
      </c>
      <c r="L7" s="12">
        <v>0.45564592484805416</v>
      </c>
      <c r="M7" s="12">
        <v>0.45564961158442602</v>
      </c>
      <c r="N7" s="8">
        <v>70532001</v>
      </c>
      <c r="O7" s="12">
        <v>0.35037417787806702</v>
      </c>
      <c r="P7" s="12">
        <v>0.51058740521128798</v>
      </c>
      <c r="Q7" s="12">
        <v>0.51058196855230398</v>
      </c>
      <c r="R7" s="12">
        <v>0.68621782343627813</v>
      </c>
      <c r="S7" s="12">
        <v>0.68622513025971599</v>
      </c>
      <c r="T7" s="8">
        <v>38724152.600000001</v>
      </c>
      <c r="U7" s="12">
        <v>0.45182697437541902</v>
      </c>
      <c r="V7" s="12">
        <v>0.47344758623885702</v>
      </c>
      <c r="W7" s="12">
        <v>0.47344149012557885</v>
      </c>
      <c r="X7" s="12">
        <v>0.95433367390211965</v>
      </c>
      <c r="Y7" s="12">
        <v>0.9543459620650766</v>
      </c>
      <c r="Z7" s="8">
        <v>335218091.5</v>
      </c>
      <c r="AA7" s="12">
        <v>0.41364190189466499</v>
      </c>
      <c r="AB7" s="12">
        <v>0.42411109538821401</v>
      </c>
      <c r="AC7" s="12">
        <v>0.42410138108026685</v>
      </c>
      <c r="AD7" s="12">
        <v>0.9753149738184379</v>
      </c>
      <c r="AE7" s="12">
        <v>0.97533731401921031</v>
      </c>
      <c r="AF7" s="8">
        <v>294627708.89999998</v>
      </c>
      <c r="AG7" s="12">
        <v>0.46740023923449098</v>
      </c>
      <c r="AH7" s="12">
        <v>0.41871709865520601</v>
      </c>
      <c r="AI7" s="12">
        <v>0.4187069890401095</v>
      </c>
      <c r="AJ7" s="12">
        <v>1.1162673813313109</v>
      </c>
      <c r="AK7" s="12">
        <v>1.1162943334335338</v>
      </c>
    </row>
    <row r="8" spans="1:37" x14ac:dyDescent="0.25">
      <c r="A8" s="7">
        <v>-100</v>
      </c>
      <c r="B8" s="8">
        <v>292461448.5</v>
      </c>
      <c r="C8" s="12">
        <v>0.90706868060088996</v>
      </c>
      <c r="D8" s="12">
        <v>0.65352592888619498</v>
      </c>
      <c r="E8" s="12">
        <v>0.65352235673051773</v>
      </c>
      <c r="F8" s="12">
        <v>1.3879612736204794</v>
      </c>
      <c r="G8" s="12">
        <v>1.3879688602220581</v>
      </c>
      <c r="H8" s="8">
        <v>392191752.60000002</v>
      </c>
      <c r="I8" s="12">
        <v>0.78584576868868605</v>
      </c>
      <c r="J8" s="12">
        <v>0.58843688263321903</v>
      </c>
      <c r="K8" s="12">
        <v>0.58843240389641305</v>
      </c>
      <c r="L8" s="12">
        <v>1.3354801370914657</v>
      </c>
      <c r="M8" s="12">
        <v>1.3354903018342705</v>
      </c>
      <c r="N8" s="8">
        <v>731421249.10000002</v>
      </c>
      <c r="O8" s="12">
        <v>0.71376871313629697</v>
      </c>
      <c r="P8" s="12">
        <v>0.53512506981140495</v>
      </c>
      <c r="Q8" s="12">
        <v>0.53511969394071834</v>
      </c>
      <c r="R8" s="12">
        <v>1.3338353095433404</v>
      </c>
      <c r="S8" s="12">
        <v>1.3338487093980318</v>
      </c>
      <c r="T8" s="8">
        <v>424766759.30000001</v>
      </c>
      <c r="U8" s="12">
        <v>0.55552322521742603</v>
      </c>
      <c r="V8" s="12">
        <v>0.49543236230774501</v>
      </c>
      <c r="W8" s="12">
        <v>0.49542625757104314</v>
      </c>
      <c r="X8" s="12">
        <v>1.1212897410047564</v>
      </c>
      <c r="Y8" s="12">
        <v>1.1213035577504995</v>
      </c>
      <c r="Z8" s="8">
        <v>4381810081.3000002</v>
      </c>
      <c r="AA8" s="12">
        <v>0.41371681785979397</v>
      </c>
      <c r="AB8" s="12">
        <v>0.44036145088434597</v>
      </c>
      <c r="AC8" s="12">
        <v>0.44035200874924546</v>
      </c>
      <c r="AD8" s="12">
        <v>0.93949372050836077</v>
      </c>
      <c r="AE8" s="12">
        <v>0.93951386536170278</v>
      </c>
      <c r="AF8" s="8">
        <v>4149295138.0999999</v>
      </c>
      <c r="AG8" s="12">
        <v>0.387231372448883</v>
      </c>
      <c r="AH8" s="12">
        <v>0.43786069669111299</v>
      </c>
      <c r="AI8" s="12">
        <v>0.43785110193342219</v>
      </c>
      <c r="AJ8" s="12">
        <v>0.88437116045163966</v>
      </c>
      <c r="AK8" s="12">
        <v>0.88439053993237127</v>
      </c>
    </row>
    <row r="9" spans="1:37" x14ac:dyDescent="0.25">
      <c r="A9" s="9">
        <v>-75</v>
      </c>
      <c r="B9" s="10">
        <v>1362747447.2</v>
      </c>
      <c r="C9" s="13">
        <v>0.76095870642797703</v>
      </c>
      <c r="D9" s="13">
        <v>0.69420153039031296</v>
      </c>
      <c r="E9" s="13">
        <v>0.69419788709217034</v>
      </c>
      <c r="F9" s="13">
        <v>1.0961639712896196</v>
      </c>
      <c r="G9" s="13">
        <v>1.096169724191256</v>
      </c>
      <c r="H9" s="10">
        <v>2144100766.4000001</v>
      </c>
      <c r="I9" s="13">
        <v>0.66247028344860104</v>
      </c>
      <c r="J9" s="13">
        <v>0.62394834819357603</v>
      </c>
      <c r="K9" s="13">
        <v>0.6239438323410843</v>
      </c>
      <c r="L9" s="13">
        <v>1.0617389810655831</v>
      </c>
      <c r="M9" s="13">
        <v>1.061746665501865</v>
      </c>
      <c r="N9" s="10">
        <v>4734935979.6000004</v>
      </c>
      <c r="O9" s="13">
        <v>0.74363181723453298</v>
      </c>
      <c r="P9" s="13">
        <v>0.56174775270754196</v>
      </c>
      <c r="Q9" s="13">
        <v>0.56174236773449526</v>
      </c>
      <c r="R9" s="13">
        <v>1.3237824515546994</v>
      </c>
      <c r="S9" s="13">
        <v>1.3237951415941744</v>
      </c>
      <c r="T9" s="10">
        <v>3117240112.1999998</v>
      </c>
      <c r="U9" s="13">
        <v>0.58389240736353099</v>
      </c>
      <c r="V9" s="13">
        <v>0.5157688994031</v>
      </c>
      <c r="W9" s="13">
        <v>0.51576278578882484</v>
      </c>
      <c r="X9" s="13">
        <v>1.1320814574885583</v>
      </c>
      <c r="Y9" s="13">
        <v>1.1320948766602197</v>
      </c>
      <c r="Z9" s="10">
        <v>40557876203.900002</v>
      </c>
      <c r="AA9" s="13">
        <v>0.47356911269068602</v>
      </c>
      <c r="AB9" s="13">
        <v>0.45195227584777298</v>
      </c>
      <c r="AC9" s="13">
        <v>0.45161823648750105</v>
      </c>
      <c r="AD9" s="13">
        <v>1.047829910364682</v>
      </c>
      <c r="AE9" s="13">
        <v>1.048604937599309</v>
      </c>
      <c r="AF9" s="10">
        <v>39584778453.400002</v>
      </c>
      <c r="AG9" s="13">
        <v>0.44971809654934097</v>
      </c>
      <c r="AH9" s="13">
        <v>0.45050069483078597</v>
      </c>
      <c r="AI9" s="13">
        <v>0.45015860278579178</v>
      </c>
      <c r="AJ9" s="13">
        <v>0.99826282558401169</v>
      </c>
      <c r="AK9" s="13">
        <v>0.99902144214566879</v>
      </c>
    </row>
    <row r="10" spans="1:37" x14ac:dyDescent="0.25">
      <c r="A10" s="7">
        <v>-50</v>
      </c>
      <c r="B10" s="8">
        <v>5414954180.1000004</v>
      </c>
      <c r="C10" s="12">
        <v>0.76693221991233096</v>
      </c>
      <c r="D10" s="12">
        <v>0.73873840643627298</v>
      </c>
      <c r="E10" s="12">
        <v>0.73873143514663142</v>
      </c>
      <c r="F10" s="12">
        <v>1.0381648134582131</v>
      </c>
      <c r="G10" s="12">
        <v>1.0381746104524467</v>
      </c>
      <c r="H10" s="8">
        <v>9870188707.6000004</v>
      </c>
      <c r="I10" s="12">
        <v>0.75228695771266696</v>
      </c>
      <c r="J10" s="12">
        <v>0.66803124058603203</v>
      </c>
      <c r="K10" s="12">
        <v>0.66714770145320057</v>
      </c>
      <c r="L10" s="12">
        <v>1.1261254145131319</v>
      </c>
      <c r="M10" s="12">
        <v>1.1276168022073876</v>
      </c>
      <c r="N10" s="8">
        <v>23474302159.900002</v>
      </c>
      <c r="O10" s="12">
        <v>0.69681138195660197</v>
      </c>
      <c r="P10" s="12">
        <v>0.60922850779021998</v>
      </c>
      <c r="Q10" s="12">
        <v>0.60414561179540316</v>
      </c>
      <c r="R10" s="12">
        <v>1.1437603018349563</v>
      </c>
      <c r="S10" s="12">
        <v>1.1533831717916716</v>
      </c>
      <c r="T10" s="8">
        <v>16067322671.9</v>
      </c>
      <c r="U10" s="12">
        <v>0.706459051979482</v>
      </c>
      <c r="V10" s="12">
        <v>0.566838223720594</v>
      </c>
      <c r="W10" s="12">
        <v>0.55637240056379755</v>
      </c>
      <c r="X10" s="12">
        <v>1.2463151255793046</v>
      </c>
      <c r="Y10" s="12">
        <v>1.2697593397220905</v>
      </c>
      <c r="Z10" s="8">
        <v>243551740603.89999</v>
      </c>
      <c r="AA10" s="12">
        <v>0.56367766448916701</v>
      </c>
      <c r="AB10" s="12">
        <v>0.525458644196937</v>
      </c>
      <c r="AC10" s="12">
        <v>0.48711492092678071</v>
      </c>
      <c r="AD10" s="12">
        <v>1.0727345923686162</v>
      </c>
      <c r="AE10" s="12">
        <v>1.1571759358484004</v>
      </c>
      <c r="AF10" s="8">
        <v>239658949035.39999</v>
      </c>
      <c r="AG10" s="12">
        <v>0.54860955538455503</v>
      </c>
      <c r="AH10" s="12">
        <v>0.52468646924638596</v>
      </c>
      <c r="AI10" s="12">
        <v>0.48590482548301417</v>
      </c>
      <c r="AJ10" s="12">
        <v>1.0455950125272528</v>
      </c>
      <c r="AK10" s="12">
        <v>1.1290473496310911</v>
      </c>
    </row>
    <row r="11" spans="1:37" x14ac:dyDescent="0.25">
      <c r="A11" s="7">
        <v>-25</v>
      </c>
      <c r="B11" s="8">
        <v>12558200935</v>
      </c>
      <c r="C11" s="12">
        <v>0.82024288045910798</v>
      </c>
      <c r="D11" s="12">
        <v>0.82242816207136404</v>
      </c>
      <c r="E11" s="12">
        <v>0.81456886068925594</v>
      </c>
      <c r="F11" s="12">
        <v>0.99734289058541936</v>
      </c>
      <c r="G11" s="12">
        <v>1.0069656723251745</v>
      </c>
      <c r="H11" s="8">
        <v>22538638913.799999</v>
      </c>
      <c r="I11" s="12">
        <v>0.78261799640429697</v>
      </c>
      <c r="J11" s="12">
        <v>0.76422993277402596</v>
      </c>
      <c r="K11" s="12">
        <v>0.74087952227285669</v>
      </c>
      <c r="L11" s="12">
        <v>1.0240609047639961</v>
      </c>
      <c r="M11" s="12">
        <v>1.0563363851701499</v>
      </c>
      <c r="N11" s="8">
        <v>53937995797.300003</v>
      </c>
      <c r="O11" s="12">
        <v>0.78391795670064501</v>
      </c>
      <c r="P11" s="12">
        <v>0.713160117971397</v>
      </c>
      <c r="Q11" s="12">
        <v>0.67230562131619442</v>
      </c>
      <c r="R11" s="12">
        <v>1.099217324337374</v>
      </c>
      <c r="S11" s="12">
        <v>1.1660142825608739</v>
      </c>
      <c r="T11" s="8">
        <v>38072425699.599998</v>
      </c>
      <c r="U11" s="12">
        <v>0.76609999648758498</v>
      </c>
      <c r="V11" s="12">
        <v>0.67385078505998097</v>
      </c>
      <c r="W11" s="12">
        <v>0.61890213570691388</v>
      </c>
      <c r="X11" s="12">
        <v>1.1368985737983412</v>
      </c>
      <c r="Y11" s="12">
        <v>1.2378370541774601</v>
      </c>
      <c r="Z11" s="8">
        <v>540234429640.20001</v>
      </c>
      <c r="AA11" s="12">
        <v>0.66900422532126103</v>
      </c>
      <c r="AB11" s="12">
        <v>0.65497845529856502</v>
      </c>
      <c r="AC11" s="12">
        <v>0.54451626394376207</v>
      </c>
      <c r="AD11" s="12">
        <v>1.0214140937144298</v>
      </c>
      <c r="AE11" s="12">
        <v>1.2286211994401623</v>
      </c>
      <c r="AF11" s="8">
        <v>531757141872.79999</v>
      </c>
      <c r="AG11" s="12">
        <v>0.65299658229660296</v>
      </c>
      <c r="AH11" s="12">
        <v>0.65444113732129605</v>
      </c>
      <c r="AI11" s="12">
        <v>0.54309532191683008</v>
      </c>
      <c r="AJ11" s="12">
        <v>0.99779268914755903</v>
      </c>
      <c r="AK11" s="12">
        <v>1.2023609041445642</v>
      </c>
    </row>
    <row r="12" spans="1:37" x14ac:dyDescent="0.25">
      <c r="A12" s="7">
        <v>0</v>
      </c>
      <c r="B12" s="8">
        <v>19368821291.700001</v>
      </c>
      <c r="C12" s="12">
        <v>0.82501349307622196</v>
      </c>
      <c r="D12" s="12">
        <v>0.86157441815248603</v>
      </c>
      <c r="E12" s="12">
        <v>0.8289115441534245</v>
      </c>
      <c r="F12" s="12">
        <v>0.95756498300557324</v>
      </c>
      <c r="G12" s="12">
        <v>0.99529738594582651</v>
      </c>
      <c r="H12" s="8">
        <v>32534589612.5</v>
      </c>
      <c r="I12" s="12">
        <v>0.87178375675221098</v>
      </c>
      <c r="J12" s="12">
        <v>0.81310860491459602</v>
      </c>
      <c r="K12" s="12">
        <v>0.75518812096679677</v>
      </c>
      <c r="L12" s="12">
        <v>1.0721615187478897</v>
      </c>
      <c r="M12" s="12">
        <v>1.1543928361004245</v>
      </c>
      <c r="N12" s="8">
        <v>75485525496.5</v>
      </c>
      <c r="O12" s="12">
        <v>0.86356101428058196</v>
      </c>
      <c r="P12" s="12">
        <v>0.76888964813571803</v>
      </c>
      <c r="Q12" s="12">
        <v>0.68721199422753876</v>
      </c>
      <c r="R12" s="12">
        <v>1.1231273777380253</v>
      </c>
      <c r="S12" s="12">
        <v>1.2566151661122686</v>
      </c>
      <c r="T12" s="8">
        <v>53559789764.400002</v>
      </c>
      <c r="U12" s="12">
        <v>0.83075719071396603</v>
      </c>
      <c r="V12" s="12">
        <v>0.73463636360985296</v>
      </c>
      <c r="W12" s="12">
        <v>0.6328312003536829</v>
      </c>
      <c r="X12" s="12">
        <v>1.1308413684176957</v>
      </c>
      <c r="Y12" s="12">
        <v>1.3127626928787082</v>
      </c>
      <c r="Z12" s="8">
        <v>540376511070.20001</v>
      </c>
      <c r="AA12" s="12">
        <v>0.76103014545249004</v>
      </c>
      <c r="AB12" s="12">
        <v>0.73580284343676705</v>
      </c>
      <c r="AC12" s="12">
        <v>0.56253545004374406</v>
      </c>
      <c r="AD12" s="12">
        <v>1.0342854097952272</v>
      </c>
      <c r="AE12" s="12">
        <v>1.3528572206308254</v>
      </c>
      <c r="AF12" s="8">
        <v>526951442369.70001</v>
      </c>
      <c r="AG12" s="12">
        <v>0.74099835094550404</v>
      </c>
      <c r="AH12" s="12">
        <v>0.73552227748914401</v>
      </c>
      <c r="AI12" s="12">
        <v>0.56055506830110902</v>
      </c>
      <c r="AJ12" s="12">
        <v>1.0074451496901682</v>
      </c>
      <c r="AK12" s="12">
        <v>1.321901081353648</v>
      </c>
    </row>
    <row r="14" spans="1:3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24" spans="1:3" x14ac:dyDescent="0.25">
      <c r="A24" s="4"/>
      <c r="C24" s="4"/>
    </row>
    <row r="25" spans="1:3" x14ac:dyDescent="0.25">
      <c r="A25" s="4"/>
      <c r="C25" s="4"/>
    </row>
    <row r="26" spans="1:3" x14ac:dyDescent="0.25">
      <c r="A26" s="4"/>
      <c r="C26" s="4"/>
    </row>
    <row r="27" spans="1:3" x14ac:dyDescent="0.25">
      <c r="A27" s="4"/>
      <c r="C27" s="4"/>
    </row>
    <row r="28" spans="1:3" x14ac:dyDescent="0.25">
      <c r="A28" s="4"/>
      <c r="C28" s="4"/>
    </row>
    <row r="29" spans="1:3" x14ac:dyDescent="0.25">
      <c r="A29" s="4"/>
      <c r="C29" s="4"/>
    </row>
    <row r="30" spans="1:3" x14ac:dyDescent="0.25">
      <c r="A30" s="4"/>
      <c r="C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"/>
  <sheetViews>
    <sheetView tabSelected="1" topLeftCell="A8" workbookViewId="0">
      <selection activeCell="G21" sqref="G21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2"/>
      <c r="B1" s="2">
        <v>85</v>
      </c>
      <c r="C1" s="2"/>
      <c r="D1" s="2"/>
      <c r="E1" s="2"/>
      <c r="F1" s="2"/>
      <c r="G1" s="2"/>
      <c r="H1" s="2">
        <v>110</v>
      </c>
      <c r="I1" s="2"/>
      <c r="J1" s="2"/>
      <c r="K1" s="2"/>
      <c r="L1" s="2"/>
      <c r="M1" s="2"/>
      <c r="N1" s="2">
        <v>150</v>
      </c>
      <c r="O1" s="2"/>
      <c r="P1" s="2"/>
      <c r="Q1" s="2"/>
      <c r="R1" s="2"/>
      <c r="S1" s="2"/>
      <c r="T1" s="2">
        <v>175</v>
      </c>
      <c r="U1" s="2"/>
      <c r="V1" s="2"/>
      <c r="W1" s="2"/>
      <c r="X1" s="2"/>
      <c r="Y1" s="2"/>
      <c r="Z1" s="2">
        <v>200</v>
      </c>
      <c r="AA1" s="2"/>
      <c r="AB1" s="2"/>
      <c r="AC1" s="2"/>
      <c r="AD1" s="2"/>
      <c r="AE1" s="2"/>
      <c r="AF1" s="2" t="s">
        <v>53</v>
      </c>
      <c r="AG1" s="2"/>
      <c r="AH1" s="2"/>
      <c r="AI1" s="2"/>
      <c r="AJ1" s="2"/>
      <c r="AK1" s="2"/>
    </row>
    <row r="2" spans="1:37" x14ac:dyDescent="0.25">
      <c r="A2" s="15" t="s">
        <v>38</v>
      </c>
      <c r="B2" s="15" t="s">
        <v>39</v>
      </c>
      <c r="C2" s="15" t="s">
        <v>40</v>
      </c>
      <c r="D2" s="15" t="s">
        <v>41</v>
      </c>
      <c r="E2" s="15" t="s">
        <v>42</v>
      </c>
      <c r="F2" s="15" t="s">
        <v>43</v>
      </c>
      <c r="G2" s="15" t="s">
        <v>44</v>
      </c>
      <c r="H2" s="15" t="s">
        <v>39</v>
      </c>
      <c r="I2" s="15" t="s">
        <v>40</v>
      </c>
      <c r="J2" s="15" t="s">
        <v>41</v>
      </c>
      <c r="K2" s="15" t="s">
        <v>42</v>
      </c>
      <c r="L2" s="15" t="s">
        <v>43</v>
      </c>
      <c r="M2" s="15" t="s">
        <v>44</v>
      </c>
      <c r="N2" s="15" t="s">
        <v>39</v>
      </c>
      <c r="O2" s="15" t="s">
        <v>40</v>
      </c>
      <c r="P2" s="15" t="s">
        <v>41</v>
      </c>
      <c r="Q2" s="15" t="s">
        <v>42</v>
      </c>
      <c r="R2" s="15" t="s">
        <v>43</v>
      </c>
      <c r="S2" s="15" t="s">
        <v>44</v>
      </c>
      <c r="T2" s="15" t="s">
        <v>39</v>
      </c>
      <c r="U2" s="15" t="s">
        <v>40</v>
      </c>
      <c r="V2" s="15" t="s">
        <v>41</v>
      </c>
      <c r="W2" s="15" t="s">
        <v>42</v>
      </c>
      <c r="X2" s="15" t="s">
        <v>43</v>
      </c>
      <c r="Y2" s="15" t="s">
        <v>44</v>
      </c>
      <c r="Z2" s="15" t="s">
        <v>39</v>
      </c>
      <c r="AA2" s="15" t="s">
        <v>40</v>
      </c>
      <c r="AB2" s="15" t="s">
        <v>41</v>
      </c>
      <c r="AC2" s="15" t="s">
        <v>42</v>
      </c>
      <c r="AD2" s="15" t="s">
        <v>43</v>
      </c>
      <c r="AE2" s="15" t="s">
        <v>44</v>
      </c>
      <c r="AF2" s="15" t="s">
        <v>39</v>
      </c>
      <c r="AG2" s="15" t="s">
        <v>40</v>
      </c>
      <c r="AH2" s="15" t="s">
        <v>41</v>
      </c>
      <c r="AI2" s="15" t="s">
        <v>42</v>
      </c>
      <c r="AJ2" s="15" t="s">
        <v>43</v>
      </c>
      <c r="AK2" s="15" t="s">
        <v>44</v>
      </c>
    </row>
    <row r="3" spans="1:37" x14ac:dyDescent="0.25">
      <c r="A3" s="7">
        <v>-175</v>
      </c>
      <c r="B3" s="8">
        <v>488533.5</v>
      </c>
      <c r="C3" s="12">
        <v>7.5213920846779205E-4</v>
      </c>
      <c r="D3" s="12">
        <v>0.53804625000385098</v>
      </c>
      <c r="E3" s="12">
        <v>0.53804329717115029</v>
      </c>
      <c r="F3" s="12">
        <v>1.3979080951914613E-3</v>
      </c>
      <c r="G3" s="12">
        <v>1.3979157670438154E-3</v>
      </c>
      <c r="H3" s="8">
        <v>451969.4</v>
      </c>
      <c r="I3" s="12">
        <v>0</v>
      </c>
      <c r="J3" s="12">
        <v>0.579500098665643</v>
      </c>
      <c r="K3" s="12">
        <v>0.57949534099617528</v>
      </c>
      <c r="L3" s="12">
        <v>0</v>
      </c>
      <c r="M3" s="12">
        <v>0</v>
      </c>
      <c r="N3" s="8">
        <v>1158048.1000000001</v>
      </c>
      <c r="O3" s="12">
        <v>3.0158558698900298E-3</v>
      </c>
      <c r="P3" s="12">
        <v>0.42422359354725298</v>
      </c>
      <c r="Q3" s="12">
        <v>0.42421904209815969</v>
      </c>
      <c r="R3" s="12">
        <v>7.109118671765018E-3</v>
      </c>
      <c r="S3" s="12">
        <v>7.1091949455493637E-3</v>
      </c>
      <c r="T3" s="8">
        <v>281354.7</v>
      </c>
      <c r="U3" s="12">
        <v>0</v>
      </c>
      <c r="V3" s="12">
        <v>0.43959256930486001</v>
      </c>
      <c r="W3" s="12">
        <v>0.43958590360179134</v>
      </c>
      <c r="X3" s="12">
        <v>0</v>
      </c>
      <c r="Y3" s="12">
        <v>0</v>
      </c>
      <c r="Z3" s="8">
        <v>2938559.1</v>
      </c>
      <c r="AA3" s="12">
        <v>7.3962218421947E-5</v>
      </c>
      <c r="AB3" s="12">
        <v>0.41667660798495398</v>
      </c>
      <c r="AC3" s="12">
        <v>0.41666984568484428</v>
      </c>
      <c r="AD3" s="12">
        <v>1.7750508908966097E-4</v>
      </c>
      <c r="AE3" s="12">
        <v>1.7750796989012173E-4</v>
      </c>
      <c r="AF3" s="8">
        <v>2616359.7999999998</v>
      </c>
      <c r="AG3" s="12">
        <v>8.3070512702419598E-5</v>
      </c>
      <c r="AH3" s="12">
        <v>0.41531166226899002</v>
      </c>
      <c r="AI3" s="12">
        <v>0.41530496233479069</v>
      </c>
      <c r="AJ3" s="12">
        <v>2.0001969665040683E-4</v>
      </c>
      <c r="AK3" s="12">
        <v>2.0002292348111599E-4</v>
      </c>
    </row>
    <row r="4" spans="1:37" x14ac:dyDescent="0.25">
      <c r="A4" s="7">
        <v>-150</v>
      </c>
      <c r="B4" s="8">
        <v>4838230.0999999996</v>
      </c>
      <c r="C4" s="12">
        <v>9.6399666998062006E-3</v>
      </c>
      <c r="D4" s="12">
        <v>0.56744294864167499</v>
      </c>
      <c r="E4" s="12">
        <v>0.56743937053331517</v>
      </c>
      <c r="F4" s="12">
        <v>1.6988433326878084E-2</v>
      </c>
      <c r="G4" s="12">
        <v>1.6988540451019381E-2</v>
      </c>
      <c r="H4" s="8">
        <v>3028281.2</v>
      </c>
      <c r="I4" s="12">
        <v>0.80176924152882501</v>
      </c>
      <c r="J4" s="12">
        <v>0.54706694481752904</v>
      </c>
      <c r="K4" s="12">
        <v>0.54706231377680925</v>
      </c>
      <c r="L4" s="12">
        <v>1.4655779317762481</v>
      </c>
      <c r="M4" s="12">
        <v>1.4655903383173479</v>
      </c>
      <c r="N4" s="8">
        <v>6808924.5</v>
      </c>
      <c r="O4" s="12">
        <v>1.4011899431400699E-2</v>
      </c>
      <c r="P4" s="12">
        <v>0.48301323170816501</v>
      </c>
      <c r="Q4" s="12">
        <v>0.4830079769190217</v>
      </c>
      <c r="R4" s="12">
        <v>2.900934904380972E-2</v>
      </c>
      <c r="S4" s="12">
        <v>2.9009664645248401E-2</v>
      </c>
      <c r="T4" s="8">
        <v>3149335.9</v>
      </c>
      <c r="U4" s="12">
        <v>2.59566697283704E-2</v>
      </c>
      <c r="V4" s="12">
        <v>0.46259007435092903</v>
      </c>
      <c r="W4" s="12">
        <v>0.46258375190596762</v>
      </c>
      <c r="X4" s="12">
        <v>5.6111601107721155E-2</v>
      </c>
      <c r="Y4" s="12">
        <v>5.611236802291919E-2</v>
      </c>
      <c r="Z4" s="8">
        <v>20139479.899999999</v>
      </c>
      <c r="AA4" s="12">
        <v>2.2170798696812399</v>
      </c>
      <c r="AB4" s="12">
        <v>0.43329497524757699</v>
      </c>
      <c r="AC4" s="12">
        <v>0.43328683614629643</v>
      </c>
      <c r="AD4" s="12">
        <v>5.1167910922909741</v>
      </c>
      <c r="AE4" s="12">
        <v>5.1168872089450179</v>
      </c>
      <c r="AF4" s="8">
        <v>13752342.5</v>
      </c>
      <c r="AG4" s="12">
        <v>1.9543836054744901</v>
      </c>
      <c r="AH4" s="12">
        <v>0.42218889328513398</v>
      </c>
      <c r="AI4" s="12">
        <v>0.42218012163242236</v>
      </c>
      <c r="AJ4" s="12">
        <v>4.6291686886100925</v>
      </c>
      <c r="AK4" s="12">
        <v>4.6292648690269322</v>
      </c>
    </row>
    <row r="5" spans="1:37" x14ac:dyDescent="0.25">
      <c r="A5" s="7">
        <v>-125</v>
      </c>
      <c r="B5" s="8">
        <v>40793430</v>
      </c>
      <c r="C5" s="12">
        <v>0.14115249188214901</v>
      </c>
      <c r="D5" s="12">
        <v>0.60969184690285905</v>
      </c>
      <c r="E5" s="12">
        <v>0.60968834395027549</v>
      </c>
      <c r="F5" s="12">
        <v>0.23151448161752858</v>
      </c>
      <c r="G5" s="12">
        <v>0.23151581177950323</v>
      </c>
      <c r="H5" s="8">
        <v>39035811.600000001</v>
      </c>
      <c r="I5" s="12">
        <v>0.25237078541822899</v>
      </c>
      <c r="J5" s="12">
        <v>0.55387477788238304</v>
      </c>
      <c r="K5" s="12">
        <v>0.55387029638994423</v>
      </c>
      <c r="L5" s="12">
        <v>0.45564592484805416</v>
      </c>
      <c r="M5" s="12">
        <v>0.45564961158442602</v>
      </c>
      <c r="N5" s="8">
        <v>70532001</v>
      </c>
      <c r="O5" s="12">
        <v>0.35037417787806702</v>
      </c>
      <c r="P5" s="12">
        <v>0.51058740521128798</v>
      </c>
      <c r="Q5" s="12">
        <v>0.51058196855230398</v>
      </c>
      <c r="R5" s="12">
        <v>0.68621782343627813</v>
      </c>
      <c r="S5" s="12">
        <v>0.68622513025971599</v>
      </c>
      <c r="T5" s="8">
        <v>38724152.600000001</v>
      </c>
      <c r="U5" s="12">
        <v>0.45182697437541902</v>
      </c>
      <c r="V5" s="12">
        <v>0.47344758623885702</v>
      </c>
      <c r="W5" s="12">
        <v>0.47344149012557885</v>
      </c>
      <c r="X5" s="12">
        <v>0.95433367390211965</v>
      </c>
      <c r="Y5" s="12">
        <v>0.9543459620650766</v>
      </c>
      <c r="Z5" s="8">
        <v>335218091.5</v>
      </c>
      <c r="AA5" s="12">
        <v>0.41364190189466499</v>
      </c>
      <c r="AB5" s="12">
        <v>0.42411109538821401</v>
      </c>
      <c r="AC5" s="12">
        <v>0.42410138108026685</v>
      </c>
      <c r="AD5" s="12">
        <v>0.9753149738184379</v>
      </c>
      <c r="AE5" s="12">
        <v>0.97533731401921031</v>
      </c>
      <c r="AF5" s="8">
        <v>294627708.89999998</v>
      </c>
      <c r="AG5" s="12">
        <v>0.46740023923449098</v>
      </c>
      <c r="AH5" s="12">
        <v>0.41871709865520601</v>
      </c>
      <c r="AI5" s="12">
        <v>0.4187069890401095</v>
      </c>
      <c r="AJ5" s="12">
        <v>1.1162673813313109</v>
      </c>
      <c r="AK5" s="12">
        <v>1.1162943334335338</v>
      </c>
    </row>
    <row r="6" spans="1:37" x14ac:dyDescent="0.25">
      <c r="A6" s="7">
        <v>-100</v>
      </c>
      <c r="B6" s="8">
        <v>292461448.5</v>
      </c>
      <c r="C6" s="12">
        <v>0.90706868060088996</v>
      </c>
      <c r="D6" s="12">
        <v>0.65352592888619498</v>
      </c>
      <c r="E6" s="12">
        <v>0.65352235673051773</v>
      </c>
      <c r="F6" s="12">
        <v>1.3879612736204794</v>
      </c>
      <c r="G6" s="12">
        <v>1.3879688602220581</v>
      </c>
      <c r="H6" s="8">
        <v>392191752.60000002</v>
      </c>
      <c r="I6" s="12">
        <v>0.78584576868868605</v>
      </c>
      <c r="J6" s="12">
        <v>0.58843688263321903</v>
      </c>
      <c r="K6" s="12">
        <v>0.58843240389641305</v>
      </c>
      <c r="L6" s="12">
        <v>1.3354801370914657</v>
      </c>
      <c r="M6" s="12">
        <v>1.3354903018342705</v>
      </c>
      <c r="N6" s="8">
        <v>731421249.10000002</v>
      </c>
      <c r="O6" s="12">
        <v>0.71376871313629697</v>
      </c>
      <c r="P6" s="12">
        <v>0.53512506981140495</v>
      </c>
      <c r="Q6" s="12">
        <v>0.53511969394071834</v>
      </c>
      <c r="R6" s="12">
        <v>1.3338353095433404</v>
      </c>
      <c r="S6" s="12">
        <v>1.3338487093980318</v>
      </c>
      <c r="T6" s="8">
        <v>424766759.30000001</v>
      </c>
      <c r="U6" s="12">
        <v>0.55552322521742603</v>
      </c>
      <c r="V6" s="12">
        <v>0.49543236230774501</v>
      </c>
      <c r="W6" s="12">
        <v>0.49542625757104314</v>
      </c>
      <c r="X6" s="12">
        <v>1.1212897410047564</v>
      </c>
      <c r="Y6" s="12">
        <v>1.1213035577504995</v>
      </c>
      <c r="Z6" s="8">
        <v>4381810081.3000002</v>
      </c>
      <c r="AA6" s="12">
        <v>0.41371681785979397</v>
      </c>
      <c r="AB6" s="12">
        <v>0.44036145088434597</v>
      </c>
      <c r="AC6" s="12">
        <v>0.44035200874924546</v>
      </c>
      <c r="AD6" s="12">
        <v>0.93949372050836077</v>
      </c>
      <c r="AE6" s="12">
        <v>0.93951386536170278</v>
      </c>
      <c r="AF6" s="8">
        <v>4149295138.0999999</v>
      </c>
      <c r="AG6" s="12">
        <v>0.387231372448883</v>
      </c>
      <c r="AH6" s="12">
        <v>0.43786069669111299</v>
      </c>
      <c r="AI6" s="12">
        <v>0.43785110193342219</v>
      </c>
      <c r="AJ6" s="12">
        <v>0.88437116045163966</v>
      </c>
      <c r="AK6" s="12">
        <v>0.88439053993237127</v>
      </c>
    </row>
    <row r="7" spans="1:37" x14ac:dyDescent="0.25">
      <c r="A7" s="9">
        <v>-75</v>
      </c>
      <c r="B7" s="10">
        <v>1362747447.2</v>
      </c>
      <c r="C7" s="13">
        <v>0.76095870642797703</v>
      </c>
      <c r="D7" s="13">
        <v>0.69420153039031296</v>
      </c>
      <c r="E7" s="13">
        <v>0.69419788709217034</v>
      </c>
      <c r="F7" s="13">
        <v>1.0961639712896196</v>
      </c>
      <c r="G7" s="13">
        <v>1.096169724191256</v>
      </c>
      <c r="H7" s="10">
        <v>2144100766.4000001</v>
      </c>
      <c r="I7" s="13">
        <v>0.66247028344860104</v>
      </c>
      <c r="J7" s="13">
        <v>0.62394834819357603</v>
      </c>
      <c r="K7" s="13">
        <v>0.6239438323410843</v>
      </c>
      <c r="L7" s="13">
        <v>1.0617389810655831</v>
      </c>
      <c r="M7" s="13">
        <v>1.061746665501865</v>
      </c>
      <c r="N7" s="10">
        <v>4734935979.6000004</v>
      </c>
      <c r="O7" s="13">
        <v>0.74363181723453298</v>
      </c>
      <c r="P7" s="13">
        <v>0.56174775270754196</v>
      </c>
      <c r="Q7" s="13">
        <v>0.56174236773449526</v>
      </c>
      <c r="R7" s="13">
        <v>1.3237824515546994</v>
      </c>
      <c r="S7" s="13">
        <v>1.3237951415941744</v>
      </c>
      <c r="T7" s="10">
        <v>3117240112.1999998</v>
      </c>
      <c r="U7" s="13">
        <v>0.58389240736353099</v>
      </c>
      <c r="V7" s="13">
        <v>0.5157688994031</v>
      </c>
      <c r="W7" s="13">
        <v>0.51576278578882484</v>
      </c>
      <c r="X7" s="13">
        <v>1.1320814574885583</v>
      </c>
      <c r="Y7" s="13">
        <v>1.1320948766602197</v>
      </c>
      <c r="Z7" s="10">
        <v>40557876203.900002</v>
      </c>
      <c r="AA7" s="13">
        <v>0.47356911269068602</v>
      </c>
      <c r="AB7" s="13">
        <v>0.45195227584777298</v>
      </c>
      <c r="AC7" s="13">
        <v>0.45161823648750105</v>
      </c>
      <c r="AD7" s="13">
        <v>1.047829910364682</v>
      </c>
      <c r="AE7" s="13">
        <v>1.048604937599309</v>
      </c>
      <c r="AF7" s="10">
        <v>39584778453.400002</v>
      </c>
      <c r="AG7" s="13">
        <v>0.44971809654934097</v>
      </c>
      <c r="AH7" s="13">
        <v>0.45050069483078597</v>
      </c>
      <c r="AI7" s="13">
        <v>0.45015860278579178</v>
      </c>
      <c r="AJ7" s="13">
        <v>0.99826282558401169</v>
      </c>
      <c r="AK7" s="13">
        <v>0.99902144214566879</v>
      </c>
    </row>
    <row r="8" spans="1:37" x14ac:dyDescent="0.25">
      <c r="A8" s="7">
        <v>-50</v>
      </c>
      <c r="B8" s="8">
        <v>5414954180.1000004</v>
      </c>
      <c r="C8" s="12">
        <v>0.76693221991233096</v>
      </c>
      <c r="D8" s="12">
        <v>0.73873840643627298</v>
      </c>
      <c r="E8" s="12">
        <v>0.73873143514663142</v>
      </c>
      <c r="F8" s="12">
        <v>1.0381648134582131</v>
      </c>
      <c r="G8" s="12">
        <v>1.0381746104524467</v>
      </c>
      <c r="H8" s="8">
        <v>9870188707.6000004</v>
      </c>
      <c r="I8" s="12">
        <v>0.75228695771266696</v>
      </c>
      <c r="J8" s="12">
        <v>0.66803124058603203</v>
      </c>
      <c r="K8" s="12">
        <v>0.66714770145320057</v>
      </c>
      <c r="L8" s="12">
        <v>1.1261254145131319</v>
      </c>
      <c r="M8" s="12">
        <v>1.1276168022073876</v>
      </c>
      <c r="N8" s="8">
        <v>23474302159.900002</v>
      </c>
      <c r="O8" s="12">
        <v>0.69681138195660197</v>
      </c>
      <c r="P8" s="12">
        <v>0.60922850779021998</v>
      </c>
      <c r="Q8" s="12">
        <v>0.60414561179540316</v>
      </c>
      <c r="R8" s="12">
        <v>1.1437603018349563</v>
      </c>
      <c r="S8" s="12">
        <v>1.1533831717916716</v>
      </c>
      <c r="T8" s="8">
        <v>16067322671.9</v>
      </c>
      <c r="U8" s="12">
        <v>0.706459051979482</v>
      </c>
      <c r="V8" s="12">
        <v>0.566838223720594</v>
      </c>
      <c r="W8" s="12">
        <v>0.55637240056379755</v>
      </c>
      <c r="X8" s="12">
        <v>1.2463151255793046</v>
      </c>
      <c r="Y8" s="12">
        <v>1.2697593397220905</v>
      </c>
      <c r="Z8" s="8">
        <v>243551740603.89999</v>
      </c>
      <c r="AA8" s="12">
        <v>0.56367766448916701</v>
      </c>
      <c r="AB8" s="12">
        <v>0.525458644196937</v>
      </c>
      <c r="AC8" s="12">
        <v>0.48711492092678071</v>
      </c>
      <c r="AD8" s="12">
        <v>1.0727345923686162</v>
      </c>
      <c r="AE8" s="12">
        <v>1.1571759358484004</v>
      </c>
      <c r="AF8" s="8">
        <v>239658949035.39999</v>
      </c>
      <c r="AG8" s="12">
        <v>0.54860955538455503</v>
      </c>
      <c r="AH8" s="12">
        <v>0.52468646924638596</v>
      </c>
      <c r="AI8" s="12">
        <v>0.48590482548301417</v>
      </c>
      <c r="AJ8" s="12">
        <v>1.0455950125272528</v>
      </c>
      <c r="AK8" s="12">
        <v>1.1290473496310911</v>
      </c>
    </row>
    <row r="9" spans="1:37" x14ac:dyDescent="0.25">
      <c r="A9" s="7">
        <v>-25</v>
      </c>
      <c r="B9" s="8">
        <v>12558200935</v>
      </c>
      <c r="C9" s="12">
        <v>0.82024288045910798</v>
      </c>
      <c r="D9" s="12">
        <v>0.82242816207136404</v>
      </c>
      <c r="E9" s="12">
        <v>0.81456886068925594</v>
      </c>
      <c r="F9" s="12">
        <v>0.99734289058541936</v>
      </c>
      <c r="G9" s="12">
        <v>1.0069656723251745</v>
      </c>
      <c r="H9" s="8">
        <v>22538638913.799999</v>
      </c>
      <c r="I9" s="12">
        <v>0.78261799640429697</v>
      </c>
      <c r="J9" s="12">
        <v>0.76422993277402596</v>
      </c>
      <c r="K9" s="12">
        <v>0.74087952227285669</v>
      </c>
      <c r="L9" s="12">
        <v>1.0240609047639961</v>
      </c>
      <c r="M9" s="12">
        <v>1.0563363851701499</v>
      </c>
      <c r="N9" s="8">
        <v>53937995797.300003</v>
      </c>
      <c r="O9" s="12">
        <v>0.78391795670064501</v>
      </c>
      <c r="P9" s="12">
        <v>0.713160117971397</v>
      </c>
      <c r="Q9" s="12">
        <v>0.67230562131619442</v>
      </c>
      <c r="R9" s="12">
        <v>1.099217324337374</v>
      </c>
      <c r="S9" s="12">
        <v>1.1660142825608739</v>
      </c>
      <c r="T9" s="8">
        <v>38072425699.599998</v>
      </c>
      <c r="U9" s="12">
        <v>0.76609999648758498</v>
      </c>
      <c r="V9" s="12">
        <v>0.67385078505998097</v>
      </c>
      <c r="W9" s="12">
        <v>0.61890213570691388</v>
      </c>
      <c r="X9" s="12">
        <v>1.1368985737983412</v>
      </c>
      <c r="Y9" s="12">
        <v>1.2378370541774601</v>
      </c>
      <c r="Z9" s="8">
        <v>540234429640.20001</v>
      </c>
      <c r="AA9" s="12">
        <v>0.66900422532126103</v>
      </c>
      <c r="AB9" s="12">
        <v>0.65497845529856502</v>
      </c>
      <c r="AC9" s="12">
        <v>0.54451626394376207</v>
      </c>
      <c r="AD9" s="12">
        <v>1.0214140937144298</v>
      </c>
      <c r="AE9" s="12">
        <v>1.2286211994401623</v>
      </c>
      <c r="AF9" s="8">
        <v>531757141872.79999</v>
      </c>
      <c r="AG9" s="12">
        <v>0.65299658229660296</v>
      </c>
      <c r="AH9" s="12">
        <v>0.65444113732129605</v>
      </c>
      <c r="AI9" s="12">
        <v>0.54309532191683008</v>
      </c>
      <c r="AJ9" s="12">
        <v>0.99779268914755903</v>
      </c>
      <c r="AK9" s="12">
        <v>1.2023609041445642</v>
      </c>
    </row>
    <row r="10" spans="1:37" x14ac:dyDescent="0.25">
      <c r="A10" s="7">
        <v>0</v>
      </c>
      <c r="B10" s="8">
        <v>19368821291.700001</v>
      </c>
      <c r="C10" s="12">
        <v>0.82501349307622196</v>
      </c>
      <c r="D10" s="12">
        <v>0.86157441815248603</v>
      </c>
      <c r="E10" s="12">
        <v>0.8289115441534245</v>
      </c>
      <c r="F10" s="12">
        <v>0.95756498300557324</v>
      </c>
      <c r="G10" s="12">
        <v>0.99529738594582651</v>
      </c>
      <c r="H10" s="8">
        <v>32534589612.5</v>
      </c>
      <c r="I10" s="12">
        <v>0.87178375675221098</v>
      </c>
      <c r="J10" s="12">
        <v>0.81310860491459602</v>
      </c>
      <c r="K10" s="12">
        <v>0.75518812096679677</v>
      </c>
      <c r="L10" s="12">
        <v>1.0721615187478897</v>
      </c>
      <c r="M10" s="12">
        <v>1.1543928361004245</v>
      </c>
      <c r="N10" s="8">
        <v>75485525496.5</v>
      </c>
      <c r="O10" s="12">
        <v>0.86356101428058196</v>
      </c>
      <c r="P10" s="12">
        <v>0.76888964813571803</v>
      </c>
      <c r="Q10" s="12">
        <v>0.68721199422753876</v>
      </c>
      <c r="R10" s="12">
        <v>1.1231273777380253</v>
      </c>
      <c r="S10" s="12">
        <v>1.2566151661122686</v>
      </c>
      <c r="T10" s="8">
        <v>53559789764.400002</v>
      </c>
      <c r="U10" s="12">
        <v>0.83075719071396603</v>
      </c>
      <c r="V10" s="12">
        <v>0.73463636360985296</v>
      </c>
      <c r="W10" s="12">
        <v>0.6328312003536829</v>
      </c>
      <c r="X10" s="12">
        <v>1.1308413684176957</v>
      </c>
      <c r="Y10" s="12">
        <v>1.3127626928787082</v>
      </c>
      <c r="Z10" s="8">
        <v>540376511070.20001</v>
      </c>
      <c r="AA10" s="12">
        <v>0.76103014545249004</v>
      </c>
      <c r="AB10" s="12">
        <v>0.73580284343676705</v>
      </c>
      <c r="AC10" s="12">
        <v>0.56253545004374406</v>
      </c>
      <c r="AD10" s="12">
        <v>1.0342854097952272</v>
      </c>
      <c r="AE10" s="12">
        <v>1.3528572206308254</v>
      </c>
      <c r="AF10" s="8">
        <v>526951442369.70001</v>
      </c>
      <c r="AG10" s="12">
        <v>0.74099835094550404</v>
      </c>
      <c r="AH10" s="12">
        <v>0.73552227748914401</v>
      </c>
      <c r="AI10" s="12">
        <v>0.56055506830110902</v>
      </c>
      <c r="AJ10" s="12">
        <v>1.0074451496901682</v>
      </c>
      <c r="AK10" s="12">
        <v>1.321901081353648</v>
      </c>
    </row>
    <row r="15" spans="1:37" x14ac:dyDescent="0.25">
      <c r="C15">
        <v>85</v>
      </c>
      <c r="D15" s="4">
        <v>85</v>
      </c>
      <c r="E15" s="4">
        <v>85</v>
      </c>
      <c r="I15" s="4">
        <v>110</v>
      </c>
      <c r="J15" s="4">
        <v>110</v>
      </c>
      <c r="K15" s="4">
        <v>110</v>
      </c>
      <c r="O15" s="4">
        <v>150</v>
      </c>
      <c r="P15" s="4">
        <v>150</v>
      </c>
      <c r="Q15" s="4">
        <v>150</v>
      </c>
      <c r="U15" s="4">
        <v>175</v>
      </c>
      <c r="V15" s="4">
        <v>175</v>
      </c>
      <c r="W15" s="4">
        <v>175</v>
      </c>
      <c r="AA15" s="4" t="s">
        <v>51</v>
      </c>
      <c r="AB15" s="4" t="s">
        <v>51</v>
      </c>
      <c r="AC15" s="4" t="s">
        <v>51</v>
      </c>
      <c r="AG15" s="4" t="s">
        <v>51</v>
      </c>
      <c r="AH15" s="4" t="s">
        <v>51</v>
      </c>
      <c r="AI15" s="4" t="s">
        <v>51</v>
      </c>
    </row>
    <row r="16" spans="1:37" x14ac:dyDescent="0.25">
      <c r="C16" s="4" t="s">
        <v>48</v>
      </c>
      <c r="D16" s="4" t="s">
        <v>49</v>
      </c>
      <c r="E16" s="4" t="s">
        <v>50</v>
      </c>
      <c r="I16" s="4" t="s">
        <v>48</v>
      </c>
      <c r="J16" s="4" t="s">
        <v>49</v>
      </c>
      <c r="K16" s="4" t="s">
        <v>50</v>
      </c>
      <c r="O16" s="4" t="s">
        <v>48</v>
      </c>
      <c r="P16" s="4" t="s">
        <v>49</v>
      </c>
      <c r="Q16" s="4" t="s">
        <v>50</v>
      </c>
      <c r="U16" s="4" t="s">
        <v>48</v>
      </c>
      <c r="V16" s="4" t="s">
        <v>49</v>
      </c>
      <c r="W16" s="4" t="s">
        <v>50</v>
      </c>
      <c r="AA16" s="4" t="s">
        <v>48</v>
      </c>
      <c r="AB16" s="4" t="s">
        <v>49</v>
      </c>
      <c r="AC16" s="4" t="s">
        <v>50</v>
      </c>
      <c r="AG16" s="4" t="s">
        <v>48</v>
      </c>
      <c r="AH16" s="4" t="s">
        <v>49</v>
      </c>
      <c r="AI16" s="4" t="s">
        <v>50</v>
      </c>
    </row>
    <row r="17" spans="1:35" s="4" customFormat="1" x14ac:dyDescent="0.25">
      <c r="C17" s="3">
        <f>100*(1-(1-C6/100)^12)</f>
        <v>10.357882183132183</v>
      </c>
      <c r="D17" s="3">
        <f>100*(1-(1-D6/100)^12)</f>
        <v>7.5664789427335011</v>
      </c>
      <c r="E17" s="3">
        <f t="shared" ref="E17" si="0">C17/D17</f>
        <v>1.3689170698187718</v>
      </c>
      <c r="I17" s="3">
        <f>100*(1-(1-I6/100)^12)</f>
        <v>9.033054080252489</v>
      </c>
      <c r="J17" s="3">
        <f>100*(1-(1-J6/100)^12)</f>
        <v>6.8371360629916111</v>
      </c>
      <c r="K17" s="3">
        <f t="shared" ref="K17" si="1">I17/J17</f>
        <v>1.3211751231845525</v>
      </c>
      <c r="O17" s="3">
        <f>100*(1-(1-O6/100)^12)</f>
        <v>8.2368502168833846</v>
      </c>
      <c r="P17" s="3">
        <f>100*(1-(1-P6/100)^12)</f>
        <v>6.2358349892813631</v>
      </c>
      <c r="Q17" s="3">
        <f t="shared" ref="Q17" si="2">O17/P17</f>
        <v>1.3208897013858645</v>
      </c>
      <c r="U17" s="3">
        <f>100*(1-(1-U6/100)^12)</f>
        <v>6.4663236130557795</v>
      </c>
      <c r="V17" s="3">
        <f>100*(1-(1-V6/100)^12)</f>
        <v>5.7858349517861063</v>
      </c>
      <c r="W17" s="3">
        <f t="shared" ref="W17" si="3">U17/V17</f>
        <v>1.1176128712519884</v>
      </c>
      <c r="AA17" s="3">
        <f>100*(1-(1-AA6/100)^12)</f>
        <v>4.8531786221960633</v>
      </c>
      <c r="AB17" s="3">
        <f>100*(1-(1-AB6/100)^12)</f>
        <v>5.1582115803469941</v>
      </c>
      <c r="AC17" s="3">
        <f t="shared" ref="AC17" si="4">AA17/AB17</f>
        <v>0.94086458971300846</v>
      </c>
    </row>
    <row r="18" spans="1:35" x14ac:dyDescent="0.25">
      <c r="A18" s="14">
        <f>A7</f>
        <v>-75</v>
      </c>
      <c r="B18" s="14"/>
      <c r="C18" s="3">
        <f>100*(1-(1-C7/100)^12)</f>
        <v>8.7588561871538175</v>
      </c>
      <c r="D18" s="3">
        <f>100*(1-(1-D7/100)^12)</f>
        <v>8.0196002928901393</v>
      </c>
      <c r="E18" s="3">
        <f t="shared" ref="E18:E21" si="5">C18/D18</f>
        <v>1.0921811396160321</v>
      </c>
      <c r="F18" s="14"/>
      <c r="G18" s="14"/>
      <c r="H18" s="14"/>
      <c r="I18" s="3">
        <f>100*(1-(1-I7/100)^12)</f>
        <v>7.666293124468937</v>
      </c>
      <c r="J18" s="3">
        <f>100*(1-(1-J7/100)^12)</f>
        <v>7.2357043072027727</v>
      </c>
      <c r="K18" s="3">
        <f t="shared" ref="K18:K21" si="6">I18/J18</f>
        <v>1.0595089018269492</v>
      </c>
      <c r="L18" s="14"/>
      <c r="M18" s="14"/>
      <c r="N18" s="14"/>
      <c r="O18" s="3">
        <f>100*(1-(1-O7/100)^12)</f>
        <v>8.5675067916609944</v>
      </c>
      <c r="P18" s="3">
        <f>100*(1-(1-P7/100)^12)</f>
        <v>6.5365540657353893</v>
      </c>
      <c r="Q18" s="3">
        <f t="shared" ref="Q18:Q21" si="7">O18/P18</f>
        <v>1.3107069421443107</v>
      </c>
      <c r="R18" s="14"/>
      <c r="S18" s="14"/>
      <c r="T18" s="14"/>
      <c r="U18" s="3">
        <f>100*(1-(1-U7/100)^12)</f>
        <v>6.7860173260783974</v>
      </c>
      <c r="V18" s="3">
        <f>100*(1-(1-V7/100)^12)</f>
        <v>6.0166389421437261</v>
      </c>
      <c r="W18" s="3">
        <f t="shared" ref="W18:W21" si="8">U18/V18</f>
        <v>1.1278751128882833</v>
      </c>
      <c r="X18" s="14"/>
      <c r="Y18" s="14"/>
      <c r="Z18" s="14"/>
      <c r="AA18" s="3">
        <f>100*(1-(1-AA7/100)^12)</f>
        <v>5.5371244960777606</v>
      </c>
      <c r="AB18" s="3">
        <f>100*(1-(1-AB7/100)^12)</f>
        <v>5.2906255942595015</v>
      </c>
      <c r="AC18" s="3">
        <f t="shared" ref="AC18:AC21" si="9">AA18/AB18</f>
        <v>1.0465916359845455</v>
      </c>
      <c r="AG18" s="3">
        <f t="shared" ref="AG18:AH18" si="10">100*(1-(1-AG7/100)^12)</f>
        <v>5.2651154391612938</v>
      </c>
      <c r="AH18" s="3">
        <f t="shared" si="10"/>
        <v>5.2740519666239161</v>
      </c>
      <c r="AI18" s="3">
        <f t="shared" ref="AI18:AI21" si="11">AG18/AH18</f>
        <v>0.998305567044243</v>
      </c>
    </row>
    <row r="19" spans="1:35" x14ac:dyDescent="0.25">
      <c r="A19" s="4">
        <f>A8</f>
        <v>-50</v>
      </c>
      <c r="C19" s="16">
        <f>100*(1-(1-C8/100)^12)</f>
        <v>8.8247395080245266</v>
      </c>
      <c r="D19" s="16">
        <f>100*(1-(1-D8/100)^12)</f>
        <v>8.5133998647350388</v>
      </c>
      <c r="E19" s="16">
        <f t="shared" si="5"/>
        <v>1.0365705415270281</v>
      </c>
      <c r="I19" s="16">
        <f>100*(1-(1-I8/100)^12)</f>
        <v>8.6631357164313467</v>
      </c>
      <c r="J19" s="16">
        <f>100*(1-(1-J8/100)^12)</f>
        <v>7.7283005924223218</v>
      </c>
      <c r="K19" s="16">
        <f t="shared" si="6"/>
        <v>1.1209625729265293</v>
      </c>
      <c r="O19" s="16">
        <f>100*(1-(1-O8/100)^12)</f>
        <v>8.0486040970754065</v>
      </c>
      <c r="P19" s="16">
        <f>100*(1-(1-P8/100)^12)</f>
        <v>7.0706840345185267</v>
      </c>
      <c r="Q19" s="16">
        <f t="shared" si="7"/>
        <v>1.1383062880172201</v>
      </c>
      <c r="U19" s="16">
        <f>100*(1-(1-U8/100)^12)</f>
        <v>8.155747829119619</v>
      </c>
      <c r="V19" s="16">
        <f>100*(1-(1-V8/100)^12)</f>
        <v>6.593953187334356</v>
      </c>
      <c r="W19" s="16">
        <f t="shared" si="8"/>
        <v>1.236852552242129</v>
      </c>
      <c r="AA19" s="16">
        <f>100*(1-(1-AA8/100)^12)</f>
        <v>6.558319164989701</v>
      </c>
      <c r="AB19" s="16">
        <f>100*(1-(1-AB8/100)^12)</f>
        <v>6.1264276494745751</v>
      </c>
      <c r="AC19" s="16">
        <f t="shared" si="9"/>
        <v>1.070496468778533</v>
      </c>
      <c r="AG19" s="16">
        <f t="shared" ref="AG19:AH19" si="12">100*(1-(1-AG8/100)^12)</f>
        <v>6.3882609630946057</v>
      </c>
      <c r="AH19" s="16">
        <f t="shared" si="12"/>
        <v>6.1176829095727081</v>
      </c>
      <c r="AI19" s="16">
        <f t="shared" si="11"/>
        <v>1.0442288457119129</v>
      </c>
    </row>
    <row r="20" spans="1:35" x14ac:dyDescent="0.25">
      <c r="A20" s="4">
        <f>A9</f>
        <v>-25</v>
      </c>
      <c r="C20" s="16">
        <f>100*(1-(1-C9/100)^12)</f>
        <v>9.4107873577290562</v>
      </c>
      <c r="D20" s="16">
        <f>100*(1-(1-D9/100)^12)</f>
        <v>9.4347364729267973</v>
      </c>
      <c r="E20" s="16">
        <f t="shared" si="5"/>
        <v>0.9974616021055317</v>
      </c>
      <c r="F20" s="17">
        <f>AVERAGE(E18:E20)</f>
        <v>1.0420710944161973</v>
      </c>
      <c r="G20">
        <v>60</v>
      </c>
      <c r="I20" s="16">
        <f>100*(1-(1-I9/100)^12)</f>
        <v>8.9975341728277485</v>
      </c>
      <c r="J20" s="16">
        <f>100*(1-(1-J9/100)^12)</f>
        <v>8.7949407349768975</v>
      </c>
      <c r="K20" s="16">
        <f t="shared" si="6"/>
        <v>1.0230352249043759</v>
      </c>
      <c r="L20" s="17">
        <f>AVERAGE(K18:K20)</f>
        <v>1.067835566552618</v>
      </c>
      <c r="M20">
        <v>86</v>
      </c>
      <c r="O20" s="16">
        <f>100*(1-(1-O9/100)^12)</f>
        <v>9.0118410693269428</v>
      </c>
      <c r="P20" s="16">
        <f>100*(1-(1-P9/100)^12)</f>
        <v>8.2301002184556715</v>
      </c>
      <c r="Q20" s="16">
        <f t="shared" si="7"/>
        <v>1.0949855809918632</v>
      </c>
      <c r="R20" s="17">
        <f>AVERAGE(Q19:Q20)</f>
        <v>1.1166459345045416</v>
      </c>
      <c r="S20">
        <v>115</v>
      </c>
      <c r="U20" s="16">
        <f>100*(1-(1-U9/100)^12)</f>
        <v>8.8155633304505479</v>
      </c>
      <c r="V20" s="16">
        <f>100*(1-(1-V9/100)^12)</f>
        <v>7.7931505619998731</v>
      </c>
      <c r="W20" s="16">
        <f t="shared" si="8"/>
        <v>1.1311937656428781</v>
      </c>
      <c r="X20" s="17">
        <f>AVERAGE(W18:W20)</f>
        <v>1.1653071435910969</v>
      </c>
      <c r="Y20">
        <v>145</v>
      </c>
      <c r="AA20" s="16">
        <f>100*(1-(1-AA9/100)^12)</f>
        <v>7.7391459369218989</v>
      </c>
      <c r="AB20" s="16">
        <f>100*(1-(1-AB9/100)^12)</f>
        <v>7.5826950795479071</v>
      </c>
      <c r="AC20" s="16">
        <f t="shared" si="9"/>
        <v>1.0206326188423391</v>
      </c>
      <c r="AD20" s="17">
        <f>AVERAGE(AC18:AC20)</f>
        <v>1.0459069078684726</v>
      </c>
      <c r="AE20">
        <v>300</v>
      </c>
      <c r="AG20" s="16">
        <f t="shared" ref="AG20:AH20" si="13">100*(1-(1-AG9/100)^12)</f>
        <v>7.5605686208800478</v>
      </c>
      <c r="AH20" s="16">
        <f t="shared" si="13"/>
        <v>7.576696716778331</v>
      </c>
      <c r="AI20" s="16">
        <f t="shared" si="11"/>
        <v>0.99787135522231374</v>
      </c>
    </row>
    <row r="21" spans="1:35" x14ac:dyDescent="0.25">
      <c r="A21" s="4">
        <f>A10</f>
        <v>0</v>
      </c>
      <c r="C21" s="16">
        <f>100*(1-(1-C10/100)^12)</f>
        <v>9.4630623469689201</v>
      </c>
      <c r="D21" s="16">
        <f>100*(1-(1-D10/100)^12)</f>
        <v>9.8627692933359601</v>
      </c>
      <c r="E21" s="16">
        <f t="shared" si="5"/>
        <v>0.95947315257215715</v>
      </c>
      <c r="I21" s="16">
        <f>100*(1-(1-I10/100)^12)</f>
        <v>9.9740949025583614</v>
      </c>
      <c r="J21" s="16">
        <f>100*(1-(1-J10/100)^12)</f>
        <v>9.3325604079103837</v>
      </c>
      <c r="K21" s="16">
        <f t="shared" si="6"/>
        <v>1.0687415314348467</v>
      </c>
      <c r="O21" s="16">
        <f>100*(1-(1-O10/100)^12)</f>
        <v>9.884441601138505</v>
      </c>
      <c r="P21" s="16">
        <f>100*(1-(1-P10/100)^12)</f>
        <v>8.8463189679220182</v>
      </c>
      <c r="Q21" s="16">
        <f t="shared" si="7"/>
        <v>1.1173508028571957</v>
      </c>
      <c r="U21" s="16">
        <f>100*(1-(1-U10/100)^12)</f>
        <v>9.5259634316378623</v>
      </c>
      <c r="V21" s="16">
        <f>100*(1-(1-V10/100)^12)</f>
        <v>8.4680205589434117</v>
      </c>
      <c r="W21" s="16">
        <f t="shared" si="8"/>
        <v>1.1249339046038469</v>
      </c>
      <c r="AA21" s="16">
        <f>100*(1-(1-AA10/100)^12)</f>
        <v>8.7596443631480003</v>
      </c>
      <c r="AB21" s="16">
        <f>100*(1-(1-AB10/100)^12)</f>
        <v>8.4809269709940622</v>
      </c>
      <c r="AC21" s="16">
        <f t="shared" si="9"/>
        <v>1.0328640245467495</v>
      </c>
      <c r="AG21" s="16">
        <f t="shared" ref="AG21:AH21" si="14">100*(1-(1-AG10/100)^12)</f>
        <v>8.5383919409659619</v>
      </c>
      <c r="AH21" s="16">
        <f t="shared" si="14"/>
        <v>8.4778228264560376</v>
      </c>
      <c r="AI21" s="16">
        <f t="shared" si="11"/>
        <v>1.0071444185317144</v>
      </c>
    </row>
    <row r="25" spans="1:35" x14ac:dyDescent="0.25">
      <c r="AA25" t="s">
        <v>52</v>
      </c>
    </row>
    <row r="26" spans="1:35" x14ac:dyDescent="0.25">
      <c r="AA26" t="s">
        <v>48</v>
      </c>
      <c r="AB26" t="s">
        <v>49</v>
      </c>
      <c r="AC26" t="s">
        <v>50</v>
      </c>
    </row>
    <row r="28" spans="1:35" x14ac:dyDescent="0.25">
      <c r="AA28">
        <v>8.3234031164895327E-4</v>
      </c>
      <c r="AB28">
        <v>5.0171944553333283</v>
      </c>
      <c r="AC28">
        <v>1.658975586972052E-4</v>
      </c>
    </row>
    <row r="29" spans="1:35" x14ac:dyDescent="0.25">
      <c r="AA29">
        <v>5.035874756203734</v>
      </c>
      <c r="AB29">
        <v>5.0318912428115832</v>
      </c>
      <c r="AC29">
        <v>1.0007916533168004</v>
      </c>
    </row>
    <row r="30" spans="1:35" x14ac:dyDescent="0.25">
      <c r="AA30">
        <v>5.2872553912460187</v>
      </c>
      <c r="AB30">
        <v>5.4873704297452317</v>
      </c>
      <c r="AC30">
        <v>0.96353170593068493</v>
      </c>
    </row>
    <row r="31" spans="1:35" x14ac:dyDescent="0.25">
      <c r="AA31">
        <v>6.0332952582431982</v>
      </c>
      <c r="AB31">
        <v>6.1019365767326983</v>
      </c>
      <c r="AC31">
        <v>0.98875089610874745</v>
      </c>
    </row>
    <row r="32" spans="1:35" x14ac:dyDescent="0.25">
      <c r="AA32">
        <v>7.13148657579403</v>
      </c>
      <c r="AB32">
        <v>7.1548929850146701</v>
      </c>
      <c r="AC32">
        <v>0.99672861505131338</v>
      </c>
    </row>
    <row r="33" spans="27:29" x14ac:dyDescent="0.25">
      <c r="AA33">
        <v>8.4830646159108554</v>
      </c>
      <c r="AB33">
        <v>8.6711186518600059</v>
      </c>
      <c r="AC33">
        <v>0.97831259800500925</v>
      </c>
    </row>
    <row r="34" spans="27:29" x14ac:dyDescent="0.25">
      <c r="AA34">
        <v>9.6447846042579961</v>
      </c>
      <c r="AB34">
        <v>9.6422294778083621</v>
      </c>
      <c r="AC34">
        <v>1.0002649933249892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Chunnip Lee</cp:lastModifiedBy>
  <dcterms:created xsi:type="dcterms:W3CDTF">2018-04-26T15:06:17Z</dcterms:created>
  <dcterms:modified xsi:type="dcterms:W3CDTF">2018-04-26T18:30:27Z</dcterms:modified>
</cp:coreProperties>
</file>