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grp_by_hpa_cum_plot_by_incentiv" sheetId="1" r:id="rId1"/>
  </sheets>
  <calcPr calcId="145621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1" i="1"/>
  <c r="J39" i="1"/>
  <c r="A31" i="1"/>
  <c r="B31" i="1"/>
  <c r="C31" i="1"/>
  <c r="D31" i="1"/>
  <c r="E31" i="1"/>
  <c r="F31" i="1" s="1"/>
  <c r="J31" i="1"/>
  <c r="E33" i="1"/>
  <c r="E34" i="1"/>
  <c r="E35" i="1"/>
  <c r="E36" i="1"/>
  <c r="E32" i="1"/>
  <c r="A51" i="1"/>
  <c r="A50" i="1"/>
  <c r="A49" i="1"/>
  <c r="A48" i="1"/>
  <c r="A47" i="1"/>
  <c r="L31" i="1" l="1"/>
  <c r="A33" i="1"/>
  <c r="A34" i="1"/>
  <c r="A35" i="1"/>
  <c r="A36" i="1"/>
  <c r="A32" i="1"/>
  <c r="H51" i="1"/>
  <c r="J33" i="1"/>
  <c r="H49" i="1"/>
  <c r="H50" i="1"/>
  <c r="H47" i="1"/>
  <c r="E51" i="1"/>
  <c r="E50" i="1"/>
  <c r="E49" i="1"/>
  <c r="E48" i="1"/>
  <c r="E47" i="1"/>
  <c r="B51" i="1"/>
  <c r="B50" i="1"/>
  <c r="B49" i="1"/>
  <c r="B48" i="1"/>
  <c r="B47" i="1"/>
  <c r="B33" i="1"/>
  <c r="B34" i="1"/>
  <c r="B35" i="1"/>
  <c r="B36" i="1"/>
  <c r="B32" i="1"/>
  <c r="C48" i="1"/>
  <c r="D48" i="1"/>
  <c r="I48" i="1"/>
  <c r="K48" i="1" s="1"/>
  <c r="C49" i="1"/>
  <c r="D49" i="1"/>
  <c r="I49" i="1"/>
  <c r="C50" i="1"/>
  <c r="D50" i="1"/>
  <c r="I50" i="1"/>
  <c r="C51" i="1"/>
  <c r="D51" i="1"/>
  <c r="I51" i="1"/>
  <c r="I47" i="1"/>
  <c r="D47" i="1"/>
  <c r="C47" i="1"/>
  <c r="J34" i="1"/>
  <c r="J35" i="1"/>
  <c r="J32" i="1"/>
  <c r="D33" i="1"/>
  <c r="D34" i="1"/>
  <c r="D35" i="1"/>
  <c r="D36" i="1"/>
  <c r="D32" i="1"/>
  <c r="C33" i="1"/>
  <c r="C34" i="1"/>
  <c r="C35" i="1"/>
  <c r="C36" i="1"/>
  <c r="C32" i="1"/>
  <c r="F47" i="1" l="1"/>
  <c r="F34" i="1"/>
  <c r="J49" i="1"/>
  <c r="F33" i="1"/>
  <c r="F50" i="1"/>
  <c r="F49" i="1"/>
  <c r="F48" i="1"/>
  <c r="F35" i="1"/>
  <c r="L33" i="1"/>
  <c r="J36" i="1"/>
  <c r="H48" i="1"/>
  <c r="J48" i="1" s="1"/>
  <c r="J50" i="1"/>
  <c r="J47" i="1"/>
  <c r="J51" i="1"/>
  <c r="K51" i="1"/>
  <c r="L51" i="1" s="1"/>
  <c r="L48" i="1"/>
  <c r="F51" i="1"/>
  <c r="L32" i="1"/>
  <c r="L36" i="1"/>
  <c r="F32" i="1"/>
  <c r="F36" i="1"/>
  <c r="L35" i="1"/>
  <c r="L34" i="1"/>
  <c r="K49" i="1"/>
  <c r="L49" i="1" s="1"/>
  <c r="K50" i="1"/>
  <c r="L50" i="1" s="1"/>
  <c r="K47" i="1"/>
  <c r="L47" i="1" s="1"/>
</calcChain>
</file>

<file path=xl/sharedStrings.xml><?xml version="1.0" encoding="utf-8"?>
<sst xmlns="http://schemas.openxmlformats.org/spreadsheetml/2006/main" count="135" uniqueCount="66">
  <si>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</si>
  <si>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</si>
  <si>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</si>
  <si>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</si>
  <si>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</si>
  <si>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</si>
  <si>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</si>
  <si>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</si>
  <si>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</si>
  <si>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</si>
  <si>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</si>
  <si>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</si>
  <si>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</si>
  <si>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</si>
  <si>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</si>
  <si>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</si>
  <si>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</si>
  <si>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</si>
  <si>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</si>
  <si>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</si>
  <si>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</si>
  <si>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</si>
  <si>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</si>
  <si>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</si>
  <si>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</si>
  <si>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</si>
  <si>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</si>
  <si>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</si>
  <si>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</si>
  <si>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</si>
  <si>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</si>
  <si>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</si>
  <si>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</si>
  <si>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</si>
  <si>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</si>
  <si>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</si>
  <si>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</si>
  <si>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</si>
  <si>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</si>
  <si>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</si>
  <si>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</si>
  <si>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</si>
  <si>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</si>
  <si>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</si>
  <si>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</si>
  <si>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</si>
  <si>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</si>
  <si>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</si>
  <si>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</si>
  <si>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</si>
  <si>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</si>
  <si>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</si>
  <si>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</si>
  <si>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</si>
  <si>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</si>
  <si>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</si>
  <si>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WALA 48+</t>
  </si>
  <si>
    <t>WALA 12-48</t>
  </si>
  <si>
    <t>act</t>
  </si>
  <si>
    <t>mdl</t>
  </si>
  <si>
    <t>Ratio</t>
  </si>
  <si>
    <t>Dev</t>
  </si>
  <si>
    <t>Dev Knots</t>
  </si>
  <si>
    <t>Prod  Knots</t>
  </si>
  <si>
    <t>Inc.</t>
  </si>
  <si>
    <t>baselineConstant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</si>
</sst>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000_);_(* \(#,##0.0000\);_(* &quot;-&quot;??_);_(@_)"/>
    <numFmt numFmtId="170" formatCode="_(* #,##0.0000000000_);_(* \(#,##0.000000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3" fontId="0" fillId="0" borderId="0" xfId="1" applyFont="1"/>
    <xf numFmtId="164" fontId="18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43" fontId="18" fillId="0" borderId="0" xfId="0" applyNumberFormat="1" applyFont="1"/>
    <xf numFmtId="164" fontId="18" fillId="0" borderId="0" xfId="0" applyNumberFormat="1" applyFont="1"/>
    <xf numFmtId="11" fontId="0" fillId="0" borderId="0" xfId="0" applyNumberFormat="1"/>
    <xf numFmtId="2" fontId="0" fillId="0" borderId="0" xfId="1" applyNumberFormat="1" applyFont="1"/>
    <xf numFmtId="170" fontId="18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tabSelected="1" workbookViewId="0">
      <selection activeCell="J35" sqref="J35"/>
    </sheetView>
  </sheetViews>
  <sheetFormatPr defaultRowHeight="15" x14ac:dyDescent="0.25"/>
  <cols>
    <col min="1" max="1" width="9.28515625" bestFit="1" customWidth="1"/>
    <col min="2" max="2" width="12" bestFit="1" customWidth="1"/>
    <col min="3" max="9" width="9.28515625" bestFit="1" customWidth="1"/>
    <col min="10" max="10" width="14.140625" bestFit="1" customWidth="1"/>
    <col min="11" max="54" width="9.28515625" bestFit="1" customWidth="1"/>
    <col min="55" max="55" width="12" bestFit="1" customWidth="1"/>
    <col min="56" max="57" width="9.28515625" bestFit="1" customWidth="1"/>
  </cols>
  <sheetData>
    <row r="1" spans="1:57" x14ac:dyDescent="0.25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22</v>
      </c>
      <c r="B2">
        <v>30</v>
      </c>
      <c r="C2">
        <v>-75</v>
      </c>
      <c r="D2">
        <v>0.52557880863928297</v>
      </c>
      <c r="E2">
        <v>0.49613004903806501</v>
      </c>
      <c r="F2">
        <v>6.1277884226380097</v>
      </c>
      <c r="G2">
        <v>5.7937617562943204</v>
      </c>
      <c r="H2">
        <v>1.0593569360660899</v>
      </c>
      <c r="I2">
        <v>-2.9448759601218299E-2</v>
      </c>
      <c r="J2">
        <v>4.6353649582888602E-2</v>
      </c>
      <c r="K2">
        <v>6.5325863602065E-3</v>
      </c>
      <c r="L2">
        <v>0</v>
      </c>
      <c r="M2">
        <v>0.44324381309496902</v>
      </c>
      <c r="N2">
        <v>0</v>
      </c>
      <c r="O2">
        <v>0</v>
      </c>
      <c r="P2">
        <v>5.0065174462415598</v>
      </c>
      <c r="Q2">
        <v>94.993482553758398</v>
      </c>
      <c r="R2">
        <v>31.644179921227199</v>
      </c>
      <c r="S2">
        <v>51.508920461781102</v>
      </c>
      <c r="T2">
        <v>16.846899616991699</v>
      </c>
      <c r="U2">
        <v>0</v>
      </c>
      <c r="V2">
        <v>68.355820078772794</v>
      </c>
      <c r="W2">
        <v>0.31705586266990399</v>
      </c>
      <c r="X2">
        <v>-79.927402854998903</v>
      </c>
      <c r="Y2">
        <v>21.9938336876004</v>
      </c>
      <c r="Z2">
        <v>100</v>
      </c>
      <c r="AA2">
        <v>45.526373246111397</v>
      </c>
      <c r="AB2">
        <v>300.40313585988599</v>
      </c>
      <c r="AC2">
        <v>298.56621016972701</v>
      </c>
      <c r="AD2">
        <v>40.6468120466538</v>
      </c>
      <c r="AE2">
        <v>310.80299794622903</v>
      </c>
      <c r="AF2">
        <v>3.3056849921585099</v>
      </c>
      <c r="AG2">
        <v>782.76403351396402</v>
      </c>
      <c r="AH2">
        <v>0.80857818664882797</v>
      </c>
      <c r="AI2">
        <v>56.103114042793599</v>
      </c>
      <c r="AJ2">
        <v>173.74838351020901</v>
      </c>
      <c r="AK2">
        <v>20.463760424310699</v>
      </c>
      <c r="AL2">
        <v>-52.542223613474697</v>
      </c>
      <c r="AM2">
        <v>8.0216645083597093</v>
      </c>
      <c r="AN2">
        <v>29.495693315131501</v>
      </c>
      <c r="AO2">
        <v>0.9</v>
      </c>
      <c r="AP2">
        <v>1.2900068613556701</v>
      </c>
      <c r="AQ2">
        <v>1.1742451631984401</v>
      </c>
      <c r="AR2">
        <v>1.15534777611221</v>
      </c>
      <c r="AS2">
        <v>1.00707082416793</v>
      </c>
      <c r="AT2">
        <v>0.85811253197742299</v>
      </c>
      <c r="AU2">
        <v>0.83440377114317099</v>
      </c>
      <c r="AV2">
        <v>1</v>
      </c>
      <c r="AW2">
        <v>0.94786292303472797</v>
      </c>
      <c r="AX2">
        <v>1</v>
      </c>
      <c r="AY2">
        <v>1</v>
      </c>
      <c r="AZ2">
        <v>0.91113743389759505</v>
      </c>
      <c r="BA2">
        <v>1</v>
      </c>
      <c r="BB2">
        <v>0.99479311261708203</v>
      </c>
      <c r="BC2">
        <v>2220201435.3000002</v>
      </c>
      <c r="BD2">
        <v>7.2236270389007207E-2</v>
      </c>
      <c r="BE2">
        <v>1110</v>
      </c>
    </row>
    <row r="3" spans="1:57" x14ac:dyDescent="0.25">
      <c r="A3">
        <v>23</v>
      </c>
      <c r="B3">
        <v>30</v>
      </c>
      <c r="C3">
        <v>-50</v>
      </c>
      <c r="D3">
        <v>0.64956954972844405</v>
      </c>
      <c r="E3">
        <v>0.57547222647707097</v>
      </c>
      <c r="F3">
        <v>7.5222963378691903</v>
      </c>
      <c r="G3">
        <v>6.6912345786024101</v>
      </c>
      <c r="H3">
        <v>1.12875916480798</v>
      </c>
      <c r="I3">
        <v>-7.4097323251373498E-2</v>
      </c>
      <c r="J3">
        <v>4.6035118642912098E-2</v>
      </c>
      <c r="K3">
        <v>6.8728564586792197E-3</v>
      </c>
      <c r="L3">
        <v>0</v>
      </c>
      <c r="M3">
        <v>0.52256425137547902</v>
      </c>
      <c r="N3">
        <v>0</v>
      </c>
      <c r="O3">
        <v>0</v>
      </c>
      <c r="P3">
        <v>6.2407353592285499</v>
      </c>
      <c r="Q3">
        <v>93.759264640771406</v>
      </c>
      <c r="R3">
        <v>38.534725736961299</v>
      </c>
      <c r="S3">
        <v>43.718365402236103</v>
      </c>
      <c r="T3">
        <v>17.746908860802701</v>
      </c>
      <c r="U3">
        <v>0</v>
      </c>
      <c r="V3">
        <v>61.465274263038701</v>
      </c>
      <c r="W3">
        <v>0.33078167038595102</v>
      </c>
      <c r="X3">
        <v>-58.357422404878001</v>
      </c>
      <c r="Y3">
        <v>104.24638567853999</v>
      </c>
      <c r="Z3">
        <v>100</v>
      </c>
      <c r="AA3">
        <v>47.3502618586107</v>
      </c>
      <c r="AB3">
        <v>295.34391880670302</v>
      </c>
      <c r="AC3">
        <v>293.357226343994</v>
      </c>
      <c r="AD3">
        <v>40.634433761261498</v>
      </c>
      <c r="AE3">
        <v>311.58271712611901</v>
      </c>
      <c r="AF3">
        <v>3.4909427726408802</v>
      </c>
      <c r="AG3">
        <v>781.89129573294099</v>
      </c>
      <c r="AH3">
        <v>1.45321992121263</v>
      </c>
      <c r="AI3">
        <v>55.787485635332303</v>
      </c>
      <c r="AJ3">
        <v>173.50298003128</v>
      </c>
      <c r="AK3">
        <v>21.454855953223301</v>
      </c>
      <c r="AL3">
        <v>-36.052195711519197</v>
      </c>
      <c r="AM3">
        <v>8.0784012570423194</v>
      </c>
      <c r="AN3">
        <v>29.732824440274999</v>
      </c>
      <c r="AO3">
        <v>0.9</v>
      </c>
      <c r="AP3">
        <v>1.29001822929493</v>
      </c>
      <c r="AQ3">
        <v>1.1740102158215799</v>
      </c>
      <c r="AR3">
        <v>1.2700207438065501</v>
      </c>
      <c r="AS3">
        <v>1.00700894878386</v>
      </c>
      <c r="AT3">
        <v>0.86356884081678698</v>
      </c>
      <c r="AU3">
        <v>0.83616495775112198</v>
      </c>
      <c r="AV3">
        <v>1</v>
      </c>
      <c r="AW3">
        <v>0.97632580865514995</v>
      </c>
      <c r="AX3">
        <v>1</v>
      </c>
      <c r="AY3">
        <v>1</v>
      </c>
      <c r="AZ3">
        <v>0.92009514345804999</v>
      </c>
      <c r="BA3">
        <v>1</v>
      </c>
      <c r="BB3">
        <v>0.99722684782117199</v>
      </c>
      <c r="BC3">
        <v>25137496975.900002</v>
      </c>
      <c r="BD3">
        <v>8.9014287372300702E-2</v>
      </c>
      <c r="BE3">
        <v>4907</v>
      </c>
    </row>
    <row r="4" spans="1:57" x14ac:dyDescent="0.25">
      <c r="A4">
        <v>24</v>
      </c>
      <c r="B4">
        <v>30</v>
      </c>
      <c r="C4">
        <v>-25</v>
      </c>
      <c r="D4">
        <v>0.79270067173598202</v>
      </c>
      <c r="E4">
        <v>0.61787099245414601</v>
      </c>
      <c r="F4">
        <v>9.1084464708693709</v>
      </c>
      <c r="G4">
        <v>7.1676052498734197</v>
      </c>
      <c r="H4">
        <v>1.28295498804277</v>
      </c>
      <c r="I4">
        <v>-0.17482967928183599</v>
      </c>
      <c r="J4">
        <v>4.4986071077168198E-2</v>
      </c>
      <c r="K4">
        <v>8.2372937197333403E-3</v>
      </c>
      <c r="L4">
        <v>1.70066549312359E-2</v>
      </c>
      <c r="M4">
        <v>0.53898680804561006</v>
      </c>
      <c r="N4">
        <v>8.6541646803982696E-3</v>
      </c>
      <c r="O4">
        <v>0</v>
      </c>
      <c r="P4">
        <v>6.3822993828293999</v>
      </c>
      <c r="Q4">
        <v>93.617700617170598</v>
      </c>
      <c r="R4">
        <v>37.132984157880102</v>
      </c>
      <c r="S4">
        <v>42.745359499132597</v>
      </c>
      <c r="T4">
        <v>20.121656342987301</v>
      </c>
      <c r="U4">
        <v>0</v>
      </c>
      <c r="V4">
        <v>62.867015842119898</v>
      </c>
      <c r="W4">
        <v>0.41838200054768498</v>
      </c>
      <c r="X4">
        <v>-36.241809802488397</v>
      </c>
      <c r="Y4">
        <v>269.03625154840302</v>
      </c>
      <c r="Z4">
        <v>100</v>
      </c>
      <c r="AA4">
        <v>48.797116057716202</v>
      </c>
      <c r="AB4">
        <v>290.58645609199499</v>
      </c>
      <c r="AC4">
        <v>288.55100990680103</v>
      </c>
      <c r="AD4">
        <v>38.561265557160098</v>
      </c>
      <c r="AE4">
        <v>314.07267129615099</v>
      </c>
      <c r="AF4">
        <v>3.6583729152422002</v>
      </c>
      <c r="AG4">
        <v>781.25188623628196</v>
      </c>
      <c r="AH4">
        <v>2.97063320217549</v>
      </c>
      <c r="AI4">
        <v>47.7801785366659</v>
      </c>
      <c r="AJ4">
        <v>173.96283341148401</v>
      </c>
      <c r="AK4">
        <v>23.649620512800599</v>
      </c>
      <c r="AL4">
        <v>-26.908105639075</v>
      </c>
      <c r="AM4">
        <v>8.3631015372526694</v>
      </c>
      <c r="AN4">
        <v>28.956369671494599</v>
      </c>
      <c r="AO4">
        <v>0.9</v>
      </c>
      <c r="AP4">
        <v>1.2900436057926501</v>
      </c>
      <c r="AQ4">
        <v>1.1555855403964299</v>
      </c>
      <c r="AR4">
        <v>1.2869999999999999</v>
      </c>
      <c r="AS4">
        <v>1.00695232134252</v>
      </c>
      <c r="AT4">
        <v>0.86865482419163897</v>
      </c>
      <c r="AU4">
        <v>0.83740697469243497</v>
      </c>
      <c r="AV4">
        <v>1</v>
      </c>
      <c r="AW4">
        <v>0.99679658297569496</v>
      </c>
      <c r="AX4">
        <v>1</v>
      </c>
      <c r="AY4">
        <v>1</v>
      </c>
      <c r="AZ4">
        <v>0.91827287940524405</v>
      </c>
      <c r="BA4">
        <v>1</v>
      </c>
      <c r="BB4">
        <v>0.99887913538449602</v>
      </c>
      <c r="BC4">
        <v>58293562619.599998</v>
      </c>
      <c r="BD4">
        <v>8.0378795341943005E-2</v>
      </c>
      <c r="BE4">
        <v>14071</v>
      </c>
    </row>
    <row r="5" spans="1:57" x14ac:dyDescent="0.25">
      <c r="A5">
        <v>25</v>
      </c>
      <c r="B5">
        <v>30</v>
      </c>
      <c r="C5">
        <v>0</v>
      </c>
      <c r="D5">
        <v>0.84994472599764104</v>
      </c>
      <c r="E5">
        <v>0.68052620826559596</v>
      </c>
      <c r="F5">
        <v>9.7358019943486092</v>
      </c>
      <c r="G5">
        <v>7.8674865484189596</v>
      </c>
      <c r="H5">
        <v>1.2489522308976599</v>
      </c>
      <c r="I5">
        <v>-0.169418517732045</v>
      </c>
      <c r="J5">
        <v>4.2871838256757402E-2</v>
      </c>
      <c r="K5">
        <v>9.1070942368648208E-3</v>
      </c>
      <c r="L5">
        <v>3.8284461974092798E-2</v>
      </c>
      <c r="M5">
        <v>0.51385053954586002</v>
      </c>
      <c r="N5">
        <v>7.6412274252021503E-2</v>
      </c>
      <c r="O5">
        <v>0</v>
      </c>
      <c r="P5">
        <v>6.6667515579763998</v>
      </c>
      <c r="Q5">
        <v>93.333248442023603</v>
      </c>
      <c r="R5">
        <v>41.018877603759798</v>
      </c>
      <c r="S5">
        <v>37.682176926537998</v>
      </c>
      <c r="T5">
        <v>21.2989454697023</v>
      </c>
      <c r="U5">
        <v>0</v>
      </c>
      <c r="V5">
        <v>58.981122396240202</v>
      </c>
      <c r="W5">
        <v>0.49535343983214702</v>
      </c>
      <c r="X5">
        <v>-11.729858686700499</v>
      </c>
      <c r="Y5">
        <v>542.61767688037401</v>
      </c>
      <c r="Z5">
        <v>100</v>
      </c>
      <c r="AA5">
        <v>51.078039408790701</v>
      </c>
      <c r="AB5">
        <v>290.10188837449903</v>
      </c>
      <c r="AC5">
        <v>288.00601470151503</v>
      </c>
      <c r="AD5">
        <v>34.0744789284809</v>
      </c>
      <c r="AE5">
        <v>319.02535187004202</v>
      </c>
      <c r="AF5">
        <v>3.8065071873324201</v>
      </c>
      <c r="AG5">
        <v>780.57240793645894</v>
      </c>
      <c r="AH5">
        <v>2.6303570067758502</v>
      </c>
      <c r="AI5">
        <v>45.223571875363803</v>
      </c>
      <c r="AJ5">
        <v>175.39844986096</v>
      </c>
      <c r="AK5">
        <v>26.880864991213102</v>
      </c>
      <c r="AL5">
        <v>-23.873996461563699</v>
      </c>
      <c r="AM5">
        <v>8.7340447022566696</v>
      </c>
      <c r="AN5">
        <v>26.404659273135401</v>
      </c>
      <c r="AO5">
        <v>0.9</v>
      </c>
      <c r="AP5">
        <v>1.29012851635284</v>
      </c>
      <c r="AQ5">
        <v>1.1172983675517401</v>
      </c>
      <c r="AR5">
        <v>1.2869999999999999</v>
      </c>
      <c r="AS5">
        <v>1.00685186468522</v>
      </c>
      <c r="AT5">
        <v>0.86910550861212199</v>
      </c>
      <c r="AU5">
        <v>0.83875686303462005</v>
      </c>
      <c r="AV5">
        <v>1</v>
      </c>
      <c r="AW5">
        <v>1.0020843635421599</v>
      </c>
      <c r="AX5">
        <v>1</v>
      </c>
      <c r="AY5">
        <v>1</v>
      </c>
      <c r="AZ5">
        <v>0.92332454088488802</v>
      </c>
      <c r="BA5">
        <v>1</v>
      </c>
      <c r="BB5">
        <v>0.99525292291540601</v>
      </c>
      <c r="BC5">
        <v>91635842240</v>
      </c>
      <c r="BD5">
        <v>7.6765050798014003E-2</v>
      </c>
      <c r="BE5">
        <v>24630</v>
      </c>
    </row>
    <row r="6" spans="1:57" x14ac:dyDescent="0.25">
      <c r="A6">
        <v>26</v>
      </c>
      <c r="B6">
        <v>30</v>
      </c>
      <c r="C6">
        <v>25</v>
      </c>
      <c r="D6">
        <v>1.0265207526286899</v>
      </c>
      <c r="E6">
        <v>0.83232394081956396</v>
      </c>
      <c r="F6">
        <v>11.6460339110692</v>
      </c>
      <c r="G6">
        <v>9.54311446183981</v>
      </c>
      <c r="H6">
        <v>1.23331878645459</v>
      </c>
      <c r="I6">
        <v>-0.19419681180912099</v>
      </c>
      <c r="J6">
        <v>4.2579466735611901E-2</v>
      </c>
      <c r="K6">
        <v>1.13095939680207E-2</v>
      </c>
      <c r="L6">
        <v>4.1084320689384897E-2</v>
      </c>
      <c r="M6">
        <v>0.52098783963054796</v>
      </c>
      <c r="N6">
        <v>0.216362719795998</v>
      </c>
      <c r="O6">
        <v>0</v>
      </c>
      <c r="P6">
        <v>7.2092103265334</v>
      </c>
      <c r="Q6">
        <v>92.790789673466605</v>
      </c>
      <c r="R6">
        <v>50.0268546958945</v>
      </c>
      <c r="S6">
        <v>29.151737154491499</v>
      </c>
      <c r="T6">
        <v>20.821408149614001</v>
      </c>
      <c r="U6">
        <v>0</v>
      </c>
      <c r="V6">
        <v>49.9731453041055</v>
      </c>
      <c r="W6">
        <v>0.61956025007474202</v>
      </c>
      <c r="X6">
        <v>12.723857395383</v>
      </c>
      <c r="Y6">
        <v>942.17512263682897</v>
      </c>
      <c r="Z6">
        <v>100</v>
      </c>
      <c r="AA6">
        <v>52.446028409379402</v>
      </c>
      <c r="AB6">
        <v>284.94976422351499</v>
      </c>
      <c r="AC6">
        <v>282.82429946809401</v>
      </c>
      <c r="AD6">
        <v>33.294088075485099</v>
      </c>
      <c r="AE6">
        <v>319.77413231824499</v>
      </c>
      <c r="AF6">
        <v>3.9898052418200902</v>
      </c>
      <c r="AG6">
        <v>779.89471652791701</v>
      </c>
      <c r="AH6">
        <v>2.41048688475863</v>
      </c>
      <c r="AI6">
        <v>44.446837252366798</v>
      </c>
      <c r="AJ6">
        <v>174.67173902962401</v>
      </c>
      <c r="AK6">
        <v>29.332159208998</v>
      </c>
      <c r="AL6">
        <v>-18.6607887734462</v>
      </c>
      <c r="AM6">
        <v>8.7979023510594399</v>
      </c>
      <c r="AN6">
        <v>25.933456397665498</v>
      </c>
      <c r="AO6">
        <v>0.9</v>
      </c>
      <c r="AP6">
        <v>1.2901521723084599</v>
      </c>
      <c r="AQ6">
        <v>1.11118311462996</v>
      </c>
      <c r="AR6">
        <v>1.2869999999999999</v>
      </c>
      <c r="AS6">
        <v>1.0067908815823099</v>
      </c>
      <c r="AT6">
        <v>0.874646586657432</v>
      </c>
      <c r="AU6">
        <v>0.84010037349371902</v>
      </c>
      <c r="AV6">
        <v>1</v>
      </c>
      <c r="AW6">
        <v>1.01298076544232</v>
      </c>
      <c r="AX6">
        <v>1</v>
      </c>
      <c r="AY6">
        <v>1</v>
      </c>
      <c r="AZ6">
        <v>0.93503491110466297</v>
      </c>
      <c r="BA6">
        <v>1</v>
      </c>
      <c r="BB6">
        <v>0.99352293496044397</v>
      </c>
      <c r="BC6">
        <v>104574586174.2</v>
      </c>
      <c r="BD6">
        <v>7.9267648623544698E-2</v>
      </c>
      <c r="BE6">
        <v>27792</v>
      </c>
    </row>
    <row r="7" spans="1:57" x14ac:dyDescent="0.25">
      <c r="A7">
        <v>27</v>
      </c>
      <c r="B7">
        <v>30</v>
      </c>
      <c r="C7">
        <v>50</v>
      </c>
      <c r="D7">
        <v>1.2100236893846501</v>
      </c>
      <c r="E7">
        <v>1.0575686959631401</v>
      </c>
      <c r="F7">
        <v>13.591876164578</v>
      </c>
      <c r="G7">
        <v>11.9780599336867</v>
      </c>
      <c r="H7">
        <v>1.14415611392759</v>
      </c>
      <c r="I7">
        <v>-0.152454993421511</v>
      </c>
      <c r="J7">
        <v>4.3765366468809297E-2</v>
      </c>
      <c r="K7">
        <v>1.2845931636771699E-2</v>
      </c>
      <c r="L7">
        <v>4.4260040978963799E-2</v>
      </c>
      <c r="M7">
        <v>0.55425111601247301</v>
      </c>
      <c r="N7">
        <v>0.40244624086612601</v>
      </c>
      <c r="O7">
        <v>0</v>
      </c>
      <c r="P7">
        <v>7.88441054448018</v>
      </c>
      <c r="Q7">
        <v>92.115589455519796</v>
      </c>
      <c r="R7">
        <v>55.972440535306703</v>
      </c>
      <c r="S7">
        <v>23.822854095676298</v>
      </c>
      <c r="T7">
        <v>20.204705369016999</v>
      </c>
      <c r="U7">
        <v>0</v>
      </c>
      <c r="V7">
        <v>44.027559464693297</v>
      </c>
      <c r="W7">
        <v>0.66872993021345295</v>
      </c>
      <c r="X7">
        <v>36.955576033153598</v>
      </c>
      <c r="Y7">
        <v>1537.2828150446401</v>
      </c>
      <c r="Z7">
        <v>100</v>
      </c>
      <c r="AA7">
        <v>52.585953155881903</v>
      </c>
      <c r="AB7">
        <v>277.51639522975898</v>
      </c>
      <c r="AC7">
        <v>275.39147344613002</v>
      </c>
      <c r="AD7">
        <v>35.631994081551802</v>
      </c>
      <c r="AE7">
        <v>316.93292650951003</v>
      </c>
      <c r="AF7">
        <v>4.17990090021528</v>
      </c>
      <c r="AG7">
        <v>779.23352968038898</v>
      </c>
      <c r="AH7">
        <v>2.58811694746514</v>
      </c>
      <c r="AI7">
        <v>45.195155834327601</v>
      </c>
      <c r="AJ7">
        <v>174.23106089029301</v>
      </c>
      <c r="AK7">
        <v>31.264792523773199</v>
      </c>
      <c r="AL7">
        <v>-14.9758972715026</v>
      </c>
      <c r="AM7">
        <v>8.4775662434359695</v>
      </c>
      <c r="AN7">
        <v>26.951444658139302</v>
      </c>
      <c r="AO7">
        <v>0.9</v>
      </c>
      <c r="AP7">
        <v>1.29016043190967</v>
      </c>
      <c r="AQ7">
        <v>1.1335134683764101</v>
      </c>
      <c r="AR7">
        <v>1.2869999999999999</v>
      </c>
      <c r="AS7">
        <v>1.00680240041583</v>
      </c>
      <c r="AT7">
        <v>0.88288335578379595</v>
      </c>
      <c r="AU7">
        <v>0.84143822192106998</v>
      </c>
      <c r="AV7">
        <v>1</v>
      </c>
      <c r="AW7">
        <v>1.0203624381354199</v>
      </c>
      <c r="AX7">
        <v>1</v>
      </c>
      <c r="AY7">
        <v>1</v>
      </c>
      <c r="AZ7">
        <v>0.94276417269589896</v>
      </c>
      <c r="BA7">
        <v>1</v>
      </c>
      <c r="BB7">
        <v>0.99397627903844299</v>
      </c>
      <c r="BC7">
        <v>114818113080.60001</v>
      </c>
      <c r="BD7">
        <v>8.4637360964494507E-2</v>
      </c>
      <c r="BE7">
        <v>23130</v>
      </c>
    </row>
    <row r="8" spans="1:57" x14ac:dyDescent="0.25">
      <c r="A8">
        <v>28</v>
      </c>
      <c r="B8">
        <v>30</v>
      </c>
      <c r="C8">
        <v>75</v>
      </c>
      <c r="D8">
        <v>1.48205896550056</v>
      </c>
      <c r="E8">
        <v>1.3284076661623301</v>
      </c>
      <c r="F8">
        <v>16.404303372083199</v>
      </c>
      <c r="G8">
        <v>14.826274963844201</v>
      </c>
      <c r="H8">
        <v>1.1156657728286901</v>
      </c>
      <c r="I8">
        <v>-0.153651299338223</v>
      </c>
      <c r="J8">
        <v>4.5725928571080598E-2</v>
      </c>
      <c r="K8">
        <v>1.8576161386439801E-2</v>
      </c>
      <c r="L8">
        <v>4.6429677387020502E-2</v>
      </c>
      <c r="M8">
        <v>0.59946193866049502</v>
      </c>
      <c r="N8">
        <v>0.61821396015729602</v>
      </c>
      <c r="O8">
        <v>0</v>
      </c>
      <c r="P8">
        <v>8.6125052323733904</v>
      </c>
      <c r="Q8">
        <v>91.387494767626606</v>
      </c>
      <c r="R8">
        <v>55.507450034881302</v>
      </c>
      <c r="S8">
        <v>23.066513763335401</v>
      </c>
      <c r="T8">
        <v>21.426036201783401</v>
      </c>
      <c r="U8">
        <v>0</v>
      </c>
      <c r="V8">
        <v>44.492549965118698</v>
      </c>
      <c r="W8">
        <v>0.91435059767623705</v>
      </c>
      <c r="X8">
        <v>60.8192008873852</v>
      </c>
      <c r="Y8">
        <v>2394.70998873178</v>
      </c>
      <c r="Z8">
        <v>100</v>
      </c>
      <c r="AA8">
        <v>51.852360054717302</v>
      </c>
      <c r="AB8">
        <v>268.73064838443401</v>
      </c>
      <c r="AC8">
        <v>266.67135636320597</v>
      </c>
      <c r="AD8">
        <v>39.620289122878702</v>
      </c>
      <c r="AE8">
        <v>312.36215783648601</v>
      </c>
      <c r="AF8">
        <v>4.3953499403478604</v>
      </c>
      <c r="AG8">
        <v>778.23210484728997</v>
      </c>
      <c r="AH8">
        <v>4.3698585442945701</v>
      </c>
      <c r="AI8">
        <v>45.988288355909702</v>
      </c>
      <c r="AJ8">
        <v>173.99890033663999</v>
      </c>
      <c r="AK8">
        <v>32.1940099374685</v>
      </c>
      <c r="AL8">
        <v>-7.1435893010484204</v>
      </c>
      <c r="AM8">
        <v>8.1064821582063704</v>
      </c>
      <c r="AN8">
        <v>29.1971127421054</v>
      </c>
      <c r="AO8">
        <v>0.9</v>
      </c>
      <c r="AP8">
        <v>1.2901109054959199</v>
      </c>
      <c r="AQ8">
        <v>1.16930771422847</v>
      </c>
      <c r="AR8">
        <v>1.2869999999999999</v>
      </c>
      <c r="AS8">
        <v>1.0068685842392699</v>
      </c>
      <c r="AT8">
        <v>0.89278970290611703</v>
      </c>
      <c r="AU8">
        <v>0.84338263068672004</v>
      </c>
      <c r="AV8">
        <v>1</v>
      </c>
      <c r="AW8">
        <v>1.0353425383520301</v>
      </c>
      <c r="AX8">
        <v>1</v>
      </c>
      <c r="AY8">
        <v>1</v>
      </c>
      <c r="AZ8">
        <v>0.94215968504534597</v>
      </c>
      <c r="BA8">
        <v>1</v>
      </c>
      <c r="BB8">
        <v>0.99791431952183896</v>
      </c>
      <c r="BC8">
        <v>65597553835.599998</v>
      </c>
      <c r="BD8">
        <v>9.1351782504250398E-2</v>
      </c>
      <c r="BE8">
        <v>14587</v>
      </c>
    </row>
    <row r="9" spans="1:57" x14ac:dyDescent="0.25">
      <c r="A9">
        <v>29</v>
      </c>
      <c r="B9">
        <v>30</v>
      </c>
      <c r="C9">
        <v>100</v>
      </c>
      <c r="D9">
        <v>1.5765141944216601</v>
      </c>
      <c r="E9">
        <v>1.6548680660128501</v>
      </c>
      <c r="F9">
        <v>17.3610281257737</v>
      </c>
      <c r="G9">
        <v>18.1470365479428</v>
      </c>
      <c r="H9">
        <v>0.95265249647364603</v>
      </c>
      <c r="I9">
        <v>7.8353871591195001E-2</v>
      </c>
      <c r="J9">
        <v>4.7055412596150502E-2</v>
      </c>
      <c r="K9">
        <v>2.32254546240846E-2</v>
      </c>
      <c r="L9">
        <v>4.7838455641731101E-2</v>
      </c>
      <c r="M9">
        <v>0.62829333693117095</v>
      </c>
      <c r="N9">
        <v>0.90845540621971699</v>
      </c>
      <c r="O9">
        <v>0</v>
      </c>
      <c r="P9">
        <v>8.7885558339063898</v>
      </c>
      <c r="Q9">
        <v>91.2114441660936</v>
      </c>
      <c r="R9">
        <v>47.784231631168197</v>
      </c>
      <c r="S9">
        <v>26.974968058163199</v>
      </c>
      <c r="T9">
        <v>25.2408003106687</v>
      </c>
      <c r="U9">
        <v>0</v>
      </c>
      <c r="V9">
        <v>52.215768368831803</v>
      </c>
      <c r="W9">
        <v>1.1220349535779699</v>
      </c>
      <c r="X9">
        <v>83.264625886779598</v>
      </c>
      <c r="Y9">
        <v>3214.44826845222</v>
      </c>
      <c r="Z9">
        <v>100</v>
      </c>
      <c r="AA9">
        <v>51.313672858908703</v>
      </c>
      <c r="AB9">
        <v>261.40827441898603</v>
      </c>
      <c r="AC9">
        <v>259.46464546846897</v>
      </c>
      <c r="AD9">
        <v>42.108768507778798</v>
      </c>
      <c r="AE9">
        <v>309.60749890398</v>
      </c>
      <c r="AF9">
        <v>4.5822347604703202</v>
      </c>
      <c r="AG9">
        <v>776.82722142733701</v>
      </c>
      <c r="AH9">
        <v>9.1697007564995303</v>
      </c>
      <c r="AI9">
        <v>45.315046230044999</v>
      </c>
      <c r="AJ9">
        <v>174.37243424631899</v>
      </c>
      <c r="AK9">
        <v>33.896385178181198</v>
      </c>
      <c r="AL9">
        <v>4.8959633772228104</v>
      </c>
      <c r="AM9">
        <v>8.0113925263351895</v>
      </c>
      <c r="AN9">
        <v>31.0395844342892</v>
      </c>
      <c r="AO9">
        <v>0.9</v>
      </c>
      <c r="AP9">
        <v>1.2900892392223999</v>
      </c>
      <c r="AQ9">
        <v>1.19028582607744</v>
      </c>
      <c r="AR9">
        <v>1.2869999999999999</v>
      </c>
      <c r="AS9">
        <v>1.0069108354640099</v>
      </c>
      <c r="AT9">
        <v>0.90118523625468905</v>
      </c>
      <c r="AU9">
        <v>0.846101319045508</v>
      </c>
      <c r="AV9">
        <v>1</v>
      </c>
      <c r="AW9">
        <v>1.0535407023233501</v>
      </c>
      <c r="AX9">
        <v>1</v>
      </c>
      <c r="AY9">
        <v>1</v>
      </c>
      <c r="AZ9">
        <v>0.932119501120519</v>
      </c>
      <c r="BA9">
        <v>1</v>
      </c>
      <c r="BB9">
        <v>1.00517238198144</v>
      </c>
      <c r="BC9">
        <v>22386867836.799999</v>
      </c>
      <c r="BD9">
        <v>9.7916538757497507E-2</v>
      </c>
      <c r="BE9">
        <v>8080</v>
      </c>
    </row>
    <row r="10" spans="1:57" x14ac:dyDescent="0.25">
      <c r="A10">
        <v>30</v>
      </c>
      <c r="B10">
        <v>30</v>
      </c>
      <c r="C10">
        <v>125</v>
      </c>
      <c r="D10">
        <v>1.7196368330543801</v>
      </c>
      <c r="E10">
        <v>1.6133956057529</v>
      </c>
      <c r="F10">
        <v>18.791585502665502</v>
      </c>
      <c r="G10">
        <v>17.731862572887501</v>
      </c>
      <c r="H10">
        <v>1.06584945869609</v>
      </c>
      <c r="I10">
        <v>-0.106241227301479</v>
      </c>
      <c r="J10">
        <v>4.78166512482135E-2</v>
      </c>
      <c r="K10">
        <v>2.8622769072673401E-2</v>
      </c>
      <c r="L10">
        <v>4.8461894763153802E-2</v>
      </c>
      <c r="M10">
        <v>0.64696941731791902</v>
      </c>
      <c r="N10">
        <v>0.84152487335093995</v>
      </c>
      <c r="O10">
        <v>0</v>
      </c>
      <c r="P10">
        <v>7.4568440613857101</v>
      </c>
      <c r="Q10">
        <v>92.543155938614305</v>
      </c>
      <c r="R10">
        <v>34.305317507206198</v>
      </c>
      <c r="S10">
        <v>37.316172170942998</v>
      </c>
      <c r="T10">
        <v>28.378510321850801</v>
      </c>
      <c r="U10">
        <v>0</v>
      </c>
      <c r="V10">
        <v>65.694682492793802</v>
      </c>
      <c r="W10">
        <v>1.3656315812591</v>
      </c>
      <c r="X10">
        <v>106.728952665299</v>
      </c>
      <c r="Y10">
        <v>4179.2816510430503</v>
      </c>
      <c r="Z10">
        <v>100</v>
      </c>
      <c r="AA10">
        <v>50.993422822286</v>
      </c>
      <c r="AB10">
        <v>254.064789291816</v>
      </c>
      <c r="AC10">
        <v>252.48170528764001</v>
      </c>
      <c r="AD10">
        <v>43.230106666664902</v>
      </c>
      <c r="AE10">
        <v>308.39287957388598</v>
      </c>
      <c r="AF10">
        <v>4.7935658662315799</v>
      </c>
      <c r="AG10">
        <v>774.76457674189999</v>
      </c>
      <c r="AH10">
        <v>23.366634347146501</v>
      </c>
      <c r="AI10">
        <v>40.4834050948608</v>
      </c>
      <c r="AJ10">
        <v>174.45421176468099</v>
      </c>
      <c r="AK10">
        <v>34.784303181239203</v>
      </c>
      <c r="AL10">
        <v>24.1033385250064</v>
      </c>
      <c r="AM10">
        <v>8.0084426829993198</v>
      </c>
      <c r="AN10">
        <v>32.002230050063297</v>
      </c>
      <c r="AO10">
        <v>0.9</v>
      </c>
      <c r="AP10">
        <v>1.2900714393061501</v>
      </c>
      <c r="AQ10">
        <v>1.1988294720861701</v>
      </c>
      <c r="AR10">
        <v>1.2869999999999999</v>
      </c>
      <c r="AS10">
        <v>1.0069288435638599</v>
      </c>
      <c r="AT10">
        <v>0.90936738643363002</v>
      </c>
      <c r="AU10">
        <v>0.84993044029366804</v>
      </c>
      <c r="AV10">
        <v>1</v>
      </c>
      <c r="AW10">
        <v>1.0705153371445699</v>
      </c>
      <c r="AX10">
        <v>1</v>
      </c>
      <c r="AY10">
        <v>1</v>
      </c>
      <c r="AZ10">
        <v>0.91459691275936805</v>
      </c>
      <c r="BA10">
        <v>1</v>
      </c>
      <c r="BB10">
        <v>1.01976580191108</v>
      </c>
      <c r="BC10">
        <v>2380104020.4000001</v>
      </c>
      <c r="BD10">
        <v>0.113841469791136</v>
      </c>
      <c r="BE10">
        <v>2656</v>
      </c>
    </row>
    <row r="11" spans="1:57" x14ac:dyDescent="0.25">
      <c r="A11">
        <v>31</v>
      </c>
      <c r="B11">
        <v>30</v>
      </c>
      <c r="C11">
        <v>150</v>
      </c>
      <c r="D11">
        <v>1.70000529613477</v>
      </c>
      <c r="E11">
        <v>1.5167932534855499</v>
      </c>
      <c r="F11">
        <v>18.596714594470299</v>
      </c>
      <c r="G11">
        <v>16.757296510333799</v>
      </c>
      <c r="H11">
        <v>1.1207890674804899</v>
      </c>
      <c r="I11">
        <v>-0.18321204264921501</v>
      </c>
      <c r="J11">
        <v>4.7676023987507199E-2</v>
      </c>
      <c r="K11">
        <v>4.2383475289624599E-2</v>
      </c>
      <c r="L11">
        <v>4.8501766131791198E-2</v>
      </c>
      <c r="M11">
        <v>0.67299511529146805</v>
      </c>
      <c r="N11">
        <v>0.705236872785163</v>
      </c>
      <c r="O11">
        <v>0</v>
      </c>
      <c r="P11">
        <v>4.9836658084420904</v>
      </c>
      <c r="Q11">
        <v>95.016334191557902</v>
      </c>
      <c r="R11">
        <v>19.9041572578946</v>
      </c>
      <c r="S11">
        <v>57.0565854048264</v>
      </c>
      <c r="T11">
        <v>23.039257337279</v>
      </c>
      <c r="U11">
        <v>0</v>
      </c>
      <c r="V11">
        <v>80.095842742105404</v>
      </c>
      <c r="W11">
        <v>1.9943190589826301</v>
      </c>
      <c r="X11">
        <v>133.587634953399</v>
      </c>
      <c r="Y11">
        <v>5385.3758999621696</v>
      </c>
      <c r="Z11">
        <v>100</v>
      </c>
      <c r="AA11">
        <v>51.877377247632502</v>
      </c>
      <c r="AB11">
        <v>249.68244255353201</v>
      </c>
      <c r="AC11">
        <v>248.86436704805101</v>
      </c>
      <c r="AD11">
        <v>44.0078880672216</v>
      </c>
      <c r="AE11">
        <v>308.20866388741302</v>
      </c>
      <c r="AF11">
        <v>5.0640363279159502</v>
      </c>
      <c r="AG11">
        <v>774.17275981346199</v>
      </c>
      <c r="AH11">
        <v>48.725194789239502</v>
      </c>
      <c r="AI11">
        <v>37.457518559796199</v>
      </c>
      <c r="AJ11">
        <v>174.15598298002499</v>
      </c>
      <c r="AK11">
        <v>33.849012432584097</v>
      </c>
      <c r="AL11">
        <v>48.335911236312199</v>
      </c>
      <c r="AM11">
        <v>7.7903715448052697</v>
      </c>
      <c r="AN11">
        <v>31.743679459452299</v>
      </c>
      <c r="AO11">
        <v>0.9</v>
      </c>
      <c r="AP11">
        <v>1.2899461538889001</v>
      </c>
      <c r="AQ11">
        <v>1.2042632536250799</v>
      </c>
      <c r="AR11">
        <v>1.2869999999999999</v>
      </c>
      <c r="AS11">
        <v>1.0068918023448299</v>
      </c>
      <c r="AT11">
        <v>0.913046808606363</v>
      </c>
      <c r="AU11">
        <v>0.85097662005851704</v>
      </c>
      <c r="AV11">
        <v>1</v>
      </c>
      <c r="AW11">
        <v>1.0786239612784201</v>
      </c>
      <c r="AX11">
        <v>1</v>
      </c>
      <c r="AY11">
        <v>1</v>
      </c>
      <c r="AZ11">
        <v>0.89587540443526303</v>
      </c>
      <c r="BA11">
        <v>1</v>
      </c>
      <c r="BB11">
        <v>1.0459845587363199</v>
      </c>
      <c r="BC11">
        <v>212283325.30000001</v>
      </c>
      <c r="BD11">
        <v>0.13049548031932201</v>
      </c>
      <c r="BE11">
        <v>546</v>
      </c>
    </row>
    <row r="15" spans="1:57" x14ac:dyDescent="0.25">
      <c r="A15" t="s">
        <v>56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24</v>
      </c>
      <c r="AA15" t="s">
        <v>25</v>
      </c>
      <c r="AB15" t="s">
        <v>26</v>
      </c>
      <c r="AC15" t="s">
        <v>27</v>
      </c>
      <c r="AD15" t="s">
        <v>28</v>
      </c>
      <c r="AE15" t="s">
        <v>29</v>
      </c>
      <c r="AF15" t="s">
        <v>30</v>
      </c>
      <c r="AG15" t="s">
        <v>31</v>
      </c>
      <c r="AH15" t="s">
        <v>32</v>
      </c>
      <c r="AI15" t="s">
        <v>33</v>
      </c>
      <c r="AJ15" t="s">
        <v>34</v>
      </c>
      <c r="AK15" t="s">
        <v>35</v>
      </c>
      <c r="AL15" t="s">
        <v>36</v>
      </c>
      <c r="AM15" t="s">
        <v>37</v>
      </c>
      <c r="AN15" t="s">
        <v>38</v>
      </c>
      <c r="AO15" t="s">
        <v>39</v>
      </c>
      <c r="AP15" t="s">
        <v>40</v>
      </c>
      <c r="AQ15" t="s">
        <v>41</v>
      </c>
      <c r="AR15" t="s">
        <v>42</v>
      </c>
      <c r="AS15" t="s">
        <v>43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</row>
    <row r="25" spans="1:18" x14ac:dyDescent="0.25">
      <c r="I25" s="7"/>
    </row>
    <row r="29" spans="1:18" x14ac:dyDescent="0.25">
      <c r="E29">
        <v>1</v>
      </c>
    </row>
    <row r="30" spans="1:18" x14ac:dyDescent="0.25">
      <c r="A30" t="s">
        <v>64</v>
      </c>
      <c r="B30" t="s">
        <v>53</v>
      </c>
      <c r="D30" t="s">
        <v>58</v>
      </c>
      <c r="E30" t="s">
        <v>59</v>
      </c>
      <c r="F30" t="s">
        <v>6</v>
      </c>
      <c r="H30" t="s">
        <v>63</v>
      </c>
      <c r="I30" t="s">
        <v>60</v>
      </c>
      <c r="J30" t="s">
        <v>62</v>
      </c>
      <c r="K30" t="s">
        <v>61</v>
      </c>
      <c r="L30" t="s">
        <v>60</v>
      </c>
    </row>
    <row r="31" spans="1:18" x14ac:dyDescent="0.25">
      <c r="A31" s="8">
        <f>X4</f>
        <v>-36.241809802488397</v>
      </c>
      <c r="B31" s="1">
        <f>BC4/1000000000</f>
        <v>58.293562619599996</v>
      </c>
      <c r="C31">
        <f>C4</f>
        <v>-25</v>
      </c>
      <c r="D31" s="1">
        <f>D4</f>
        <v>0.79270067173598202</v>
      </c>
      <c r="E31" s="1">
        <f>J4+K4+L4*$E$29+M4+N4</f>
        <v>0.61787099245414578</v>
      </c>
      <c r="F31" s="1">
        <f>D31/E31</f>
        <v>1.2829549880427684</v>
      </c>
      <c r="H31">
        <v>2.36085041324655</v>
      </c>
      <c r="I31">
        <v>1</v>
      </c>
      <c r="J31" s="2">
        <f>H31*I31</f>
        <v>2.36085041324655</v>
      </c>
      <c r="K31" s="1">
        <f>J4+K4+L4*I31*$I$39+M4+N4</f>
        <v>0.67739428471347141</v>
      </c>
      <c r="L31" s="1">
        <f>D31/K31</f>
        <v>1.1702204899341357</v>
      </c>
    </row>
    <row r="32" spans="1:18" x14ac:dyDescent="0.25">
      <c r="A32" s="8">
        <f>X5</f>
        <v>-11.729858686700499</v>
      </c>
      <c r="B32" s="1">
        <f>BC5/1000000000</f>
        <v>91.635842240000002</v>
      </c>
      <c r="C32">
        <f>C5</f>
        <v>0</v>
      </c>
      <c r="D32" s="1">
        <f>D5</f>
        <v>0.84994472599764104</v>
      </c>
      <c r="E32" s="1">
        <f>J5+K5+L5*$E$29+M5+N5</f>
        <v>0.68052620826559651</v>
      </c>
      <c r="F32" s="1">
        <f>D32/E32</f>
        <v>1.2489522308976582</v>
      </c>
      <c r="H32">
        <v>2.5499999999999998</v>
      </c>
      <c r="I32">
        <v>1.1000000000000001</v>
      </c>
      <c r="J32" s="2">
        <f>H32*I32</f>
        <v>2.8050000000000002</v>
      </c>
      <c r="K32" s="1">
        <f t="shared" ref="K32:K36" si="0">J5+K5+L5*I32*$I$39+M5+N5</f>
        <v>0.83174983306326311</v>
      </c>
      <c r="L32" s="1">
        <f>D32/K32</f>
        <v>1.021875439237983</v>
      </c>
      <c r="P32" s="6"/>
      <c r="Q32" s="1"/>
      <c r="R32" s="1"/>
    </row>
    <row r="33" spans="1:18" x14ac:dyDescent="0.25">
      <c r="A33" s="8">
        <f>X6</f>
        <v>12.723857395383</v>
      </c>
      <c r="B33" s="1">
        <f>BC6/1000000000</f>
        <v>104.57458617419999</v>
      </c>
      <c r="C33">
        <f>C6</f>
        <v>25</v>
      </c>
      <c r="D33" s="1">
        <f>D6</f>
        <v>1.0265207526286899</v>
      </c>
      <c r="E33" s="1">
        <f>J6+K6+L6*$E$29+M6+N6</f>
        <v>0.8323239408195634</v>
      </c>
      <c r="F33" s="1">
        <f t="shared" ref="F33:F36" si="1">D33/E33</f>
        <v>1.2333187864545947</v>
      </c>
      <c r="H33">
        <v>2.7643932628223098</v>
      </c>
      <c r="I33">
        <v>1.05</v>
      </c>
      <c r="J33" s="2">
        <f t="shared" ref="J33:J36" si="2">H33*I33</f>
        <v>2.9026129259634255</v>
      </c>
      <c r="K33" s="1">
        <f t="shared" si="0"/>
        <v>0.98536303538752212</v>
      </c>
      <c r="L33" s="1">
        <f t="shared" ref="L33:L36" si="3">D33/K33</f>
        <v>1.0417690899324037</v>
      </c>
      <c r="P33" s="6"/>
      <c r="Q33" s="1"/>
      <c r="R33" s="1"/>
    </row>
    <row r="34" spans="1:18" x14ac:dyDescent="0.25">
      <c r="A34" s="8">
        <f>X7</f>
        <v>36.955576033153598</v>
      </c>
      <c r="B34" s="1">
        <f>BC7/1000000000</f>
        <v>114.8181130806</v>
      </c>
      <c r="C34">
        <f>C7</f>
        <v>50</v>
      </c>
      <c r="D34" s="1">
        <f>D7</f>
        <v>1.2100236893846501</v>
      </c>
      <c r="E34" s="1">
        <f>J7+K7+L7*$E$29+M7+N7</f>
        <v>1.0575686959631438</v>
      </c>
      <c r="F34" s="1">
        <f t="shared" si="1"/>
        <v>1.1441561139275811</v>
      </c>
      <c r="H34">
        <v>2.9235665517913998</v>
      </c>
      <c r="I34">
        <v>1</v>
      </c>
      <c r="J34" s="2">
        <f t="shared" si="2"/>
        <v>2.9235665517913998</v>
      </c>
      <c r="K34" s="1">
        <f t="shared" si="0"/>
        <v>1.2124788393895172</v>
      </c>
      <c r="L34" s="1">
        <f t="shared" si="3"/>
        <v>0.99797509867792555</v>
      </c>
      <c r="P34" s="6"/>
      <c r="Q34" s="1"/>
      <c r="R34" s="1"/>
    </row>
    <row r="35" spans="1:18" x14ac:dyDescent="0.25">
      <c r="A35" s="8">
        <f>X8</f>
        <v>60.8192008873852</v>
      </c>
      <c r="B35" s="1">
        <f>BC8/1000000000</f>
        <v>65.597553835599996</v>
      </c>
      <c r="C35">
        <f>C8</f>
        <v>75</v>
      </c>
      <c r="D35" s="1">
        <f>D8</f>
        <v>1.48205896550056</v>
      </c>
      <c r="E35" s="1">
        <f>J8+K8+L8*$E$29+M8+N8</f>
        <v>1.3284076661623319</v>
      </c>
      <c r="F35" s="1">
        <f t="shared" si="1"/>
        <v>1.1156657728286943</v>
      </c>
      <c r="H35">
        <v>3.0290838155926898</v>
      </c>
      <c r="I35">
        <v>0.98</v>
      </c>
      <c r="J35" s="2">
        <f t="shared" si="2"/>
        <v>2.9685021392808357</v>
      </c>
      <c r="K35" s="1">
        <f t="shared" si="0"/>
        <v>1.4867328660520718</v>
      </c>
      <c r="L35" s="1">
        <f t="shared" si="3"/>
        <v>0.9968562606919944</v>
      </c>
      <c r="P35" s="6"/>
      <c r="Q35" s="1"/>
      <c r="R35" s="1"/>
    </row>
    <row r="36" spans="1:18" x14ac:dyDescent="0.25">
      <c r="A36" s="8">
        <f>X9</f>
        <v>83.264625886779598</v>
      </c>
      <c r="B36" s="1">
        <f>BC9/1000000000</f>
        <v>22.3868678368</v>
      </c>
      <c r="C36">
        <f>C9</f>
        <v>100</v>
      </c>
      <c r="D36" s="1">
        <f>D9</f>
        <v>1.5765141944216601</v>
      </c>
      <c r="E36" s="1">
        <f>J9+K9+L9*$E$29+M9+N9</f>
        <v>1.6548680660128543</v>
      </c>
      <c r="F36" s="1">
        <f t="shared" si="1"/>
        <v>0.95265249647364603</v>
      </c>
      <c r="H36">
        <v>3.07</v>
      </c>
      <c r="I36">
        <v>0.98</v>
      </c>
      <c r="J36" s="2">
        <f t="shared" si="2"/>
        <v>3.0085999999999999</v>
      </c>
      <c r="K36" s="1">
        <f t="shared" si="0"/>
        <v>1.8179971997511573</v>
      </c>
      <c r="L36" s="1">
        <f t="shared" si="3"/>
        <v>0.86717085957967877</v>
      </c>
      <c r="P36" s="6"/>
      <c r="Q36" s="1"/>
      <c r="R36" s="1"/>
    </row>
    <row r="37" spans="1:18" x14ac:dyDescent="0.25">
      <c r="J37" s="3"/>
      <c r="Q37" s="1"/>
      <c r="R37" s="1"/>
    </row>
    <row r="38" spans="1:18" x14ac:dyDescent="0.25">
      <c r="H38" t="s">
        <v>65</v>
      </c>
      <c r="J38" s="3"/>
      <c r="Q38" s="1"/>
      <c r="R38" s="1"/>
    </row>
    <row r="39" spans="1:18" x14ac:dyDescent="0.25">
      <c r="H39">
        <v>1.252937E-4</v>
      </c>
      <c r="I39">
        <v>4.5</v>
      </c>
      <c r="J39" s="9">
        <f t="shared" ref="J39" si="4">H39*I39</f>
        <v>5.6382165000000005E-4</v>
      </c>
      <c r="Q39" s="1"/>
      <c r="R39" s="1"/>
    </row>
    <row r="40" spans="1:18" x14ac:dyDescent="0.25">
      <c r="J40" s="3"/>
      <c r="Q40" s="1"/>
      <c r="R40" s="1"/>
    </row>
    <row r="41" spans="1:18" x14ac:dyDescent="0.25">
      <c r="J41" s="3"/>
      <c r="Q41" s="1"/>
      <c r="R41" s="1"/>
    </row>
    <row r="42" spans="1:18" x14ac:dyDescent="0.25">
      <c r="J42" s="3"/>
      <c r="Q42" s="1"/>
      <c r="R42" s="1"/>
    </row>
    <row r="43" spans="1:18" x14ac:dyDescent="0.25">
      <c r="J43" s="3"/>
      <c r="Q43" s="1"/>
      <c r="R43" s="1"/>
    </row>
    <row r="44" spans="1:18" x14ac:dyDescent="0.25">
      <c r="J44" s="3"/>
      <c r="Q44" s="1"/>
      <c r="R44" s="1"/>
    </row>
    <row r="45" spans="1:18" x14ac:dyDescent="0.25">
      <c r="J45" s="3"/>
      <c r="Q45" s="1"/>
      <c r="R45" s="1"/>
    </row>
    <row r="46" spans="1:18" x14ac:dyDescent="0.25">
      <c r="A46" t="s">
        <v>64</v>
      </c>
      <c r="B46" t="s">
        <v>53</v>
      </c>
      <c r="D46" t="s">
        <v>58</v>
      </c>
      <c r="E46" t="s">
        <v>59</v>
      </c>
      <c r="F46" t="s">
        <v>6</v>
      </c>
      <c r="H46" t="s">
        <v>63</v>
      </c>
      <c r="I46" t="s">
        <v>60</v>
      </c>
      <c r="J46" s="3" t="s">
        <v>62</v>
      </c>
      <c r="K46" t="s">
        <v>61</v>
      </c>
      <c r="L46" t="s">
        <v>60</v>
      </c>
      <c r="Q46" s="1"/>
      <c r="R46" s="1"/>
    </row>
    <row r="47" spans="1:18" x14ac:dyDescent="0.25">
      <c r="A47">
        <f>X20</f>
        <v>0</v>
      </c>
      <c r="B47" s="1">
        <f>BC20/1000000000</f>
        <v>0</v>
      </c>
      <c r="C47">
        <f>C20</f>
        <v>0</v>
      </c>
      <c r="D47" s="1">
        <f>D20</f>
        <v>0</v>
      </c>
      <c r="E47" s="1">
        <f>J20+K20+L20+M20+N20*$E$29</f>
        <v>0</v>
      </c>
      <c r="F47" s="1" t="e">
        <f>D47/E47</f>
        <v>#DIV/0!</v>
      </c>
      <c r="H47">
        <f>H32</f>
        <v>2.5499999999999998</v>
      </c>
      <c r="I47">
        <f>I32</f>
        <v>1.1000000000000001</v>
      </c>
      <c r="J47" s="4">
        <f>H47*I47</f>
        <v>2.8050000000000002</v>
      </c>
      <c r="K47" s="1">
        <f>J20+K20+L20+M20+N20*I47</f>
        <v>0</v>
      </c>
      <c r="L47" s="1" t="e">
        <f>D47/K47</f>
        <v>#DIV/0!</v>
      </c>
      <c r="P47" s="5"/>
      <c r="Q47" s="1"/>
      <c r="R47" s="1"/>
    </row>
    <row r="48" spans="1:18" x14ac:dyDescent="0.25">
      <c r="A48">
        <f>X21</f>
        <v>0</v>
      </c>
      <c r="B48" s="1">
        <f>BC21/1000000000</f>
        <v>0</v>
      </c>
      <c r="C48">
        <f t="shared" ref="C48:D48" si="5">C21</f>
        <v>0</v>
      </c>
      <c r="D48" s="1">
        <f t="shared" si="5"/>
        <v>0</v>
      </c>
      <c r="E48" s="1">
        <f>J21+K21+L21+M21+N21*$E$29</f>
        <v>0</v>
      </c>
      <c r="F48" s="1" t="e">
        <f t="shared" ref="F48:F51" si="6">D48/E48</f>
        <v>#DIV/0!</v>
      </c>
      <c r="H48">
        <f t="shared" ref="H48:H51" si="7">H33</f>
        <v>2.7643932628223098</v>
      </c>
      <c r="I48">
        <f t="shared" ref="I48:I51" si="8">I33</f>
        <v>1.05</v>
      </c>
      <c r="J48" s="4">
        <f t="shared" ref="J48:J51" si="9">H48*I48</f>
        <v>2.9026129259634255</v>
      </c>
      <c r="K48" s="1">
        <f>J21+K21+L21+M21+N21*I48</f>
        <v>0</v>
      </c>
      <c r="L48" s="1" t="e">
        <f t="shared" ref="L48:L51" si="10">D48/K48</f>
        <v>#DIV/0!</v>
      </c>
      <c r="P48" s="5"/>
      <c r="Q48" s="1"/>
      <c r="R48" s="1"/>
    </row>
    <row r="49" spans="1:18" x14ac:dyDescent="0.25">
      <c r="A49">
        <f>X22</f>
        <v>0</v>
      </c>
      <c r="B49" s="1">
        <f>BC22/1000000000</f>
        <v>0</v>
      </c>
      <c r="C49">
        <f t="shared" ref="C49:D49" si="11">C22</f>
        <v>0</v>
      </c>
      <c r="D49" s="1">
        <f t="shared" si="11"/>
        <v>0</v>
      </c>
      <c r="E49" s="1">
        <f>J22+K22+L22+M22+N22*$E$29</f>
        <v>0</v>
      </c>
      <c r="F49" s="1" t="e">
        <f t="shared" si="6"/>
        <v>#DIV/0!</v>
      </c>
      <c r="H49">
        <f t="shared" si="7"/>
        <v>2.9235665517913998</v>
      </c>
      <c r="I49">
        <f t="shared" si="8"/>
        <v>1</v>
      </c>
      <c r="J49" s="4">
        <f t="shared" si="9"/>
        <v>2.9235665517913998</v>
      </c>
      <c r="K49" s="1">
        <f>J22+K22+L22+M22+N22*I49</f>
        <v>0</v>
      </c>
      <c r="L49" s="1" t="e">
        <f t="shared" si="10"/>
        <v>#DIV/0!</v>
      </c>
      <c r="P49" s="5"/>
      <c r="Q49" s="1"/>
      <c r="R49" s="1"/>
    </row>
    <row r="50" spans="1:18" x14ac:dyDescent="0.25">
      <c r="A50">
        <f>X23</f>
        <v>0</v>
      </c>
      <c r="B50" s="1">
        <f>BC23/1000000000</f>
        <v>0</v>
      </c>
      <c r="C50">
        <f t="shared" ref="C50:D50" si="12">C23</f>
        <v>0</v>
      </c>
      <c r="D50" s="1">
        <f t="shared" si="12"/>
        <v>0</v>
      </c>
      <c r="E50" s="1">
        <f>J23+K23+L23+M23+N23*$E$29</f>
        <v>0</v>
      </c>
      <c r="F50" s="1" t="e">
        <f t="shared" si="6"/>
        <v>#DIV/0!</v>
      </c>
      <c r="H50">
        <f t="shared" si="7"/>
        <v>3.0290838155926898</v>
      </c>
      <c r="I50">
        <f t="shared" si="8"/>
        <v>0.98</v>
      </c>
      <c r="J50" s="4">
        <f t="shared" si="9"/>
        <v>2.9685021392808357</v>
      </c>
      <c r="K50" s="1">
        <f>J23+K23+L23+M23+N23*I50</f>
        <v>0</v>
      </c>
      <c r="L50" s="1" t="e">
        <f t="shared" si="10"/>
        <v>#DIV/0!</v>
      </c>
      <c r="P50" s="5"/>
      <c r="Q50" s="1"/>
      <c r="R50" s="1"/>
    </row>
    <row r="51" spans="1:18" x14ac:dyDescent="0.25">
      <c r="A51">
        <f>X24</f>
        <v>0</v>
      </c>
      <c r="B51" s="1">
        <f>BC24/1000000000</f>
        <v>0</v>
      </c>
      <c r="C51">
        <f t="shared" ref="C51:D51" si="13">C24</f>
        <v>0</v>
      </c>
      <c r="D51" s="1">
        <f t="shared" si="13"/>
        <v>0</v>
      </c>
      <c r="E51" s="1">
        <f>J24+K24+L24+M24+N24*$E$29</f>
        <v>0</v>
      </c>
      <c r="F51" s="1" t="e">
        <f t="shared" si="6"/>
        <v>#DIV/0!</v>
      </c>
      <c r="H51">
        <f t="shared" si="7"/>
        <v>3.07</v>
      </c>
      <c r="I51">
        <f t="shared" si="8"/>
        <v>0.98</v>
      </c>
      <c r="J51" s="4">
        <f t="shared" si="9"/>
        <v>3.0085999999999999</v>
      </c>
      <c r="K51" s="1">
        <f>J24+K24+L24+M24+N24*I51</f>
        <v>0</v>
      </c>
      <c r="L51" s="1" t="e">
        <f t="shared" si="10"/>
        <v>#DIV/0!</v>
      </c>
      <c r="P51" s="5"/>
      <c r="Q51" s="1"/>
      <c r="R51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2018-05-30T18:23:31Z</dcterms:created>
  <dcterms:modified xsi:type="dcterms:W3CDTF">2018-05-31T13:36:17Z</dcterms:modified>
</cp:coreProperties>
</file>