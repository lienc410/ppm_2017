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31635" windowHeight="19470"/>
  </bookViews>
  <sheets>
    <sheet name="grp_by_hpa_cum_plot_by_incentiv" sheetId="1" r:id="rId1"/>
  </sheets>
  <calcPr calcId="145621"/>
</workbook>
</file>

<file path=xl/calcChain.xml><?xml version="1.0" encoding="utf-8"?>
<calcChain xmlns="http://schemas.openxmlformats.org/spreadsheetml/2006/main">
  <c r="I48" i="1" l="1"/>
  <c r="K48" i="1" s="1"/>
  <c r="I49" i="1"/>
  <c r="K49" i="1" s="1"/>
  <c r="I50" i="1"/>
  <c r="K50" i="1" s="1"/>
  <c r="I51" i="1"/>
  <c r="K51" i="1" s="1"/>
  <c r="I52" i="1"/>
  <c r="K52" i="1"/>
  <c r="K47" i="1"/>
  <c r="J48" i="1"/>
  <c r="I47" i="1"/>
  <c r="J47" i="1" s="1"/>
  <c r="H48" i="1"/>
  <c r="H49" i="1"/>
  <c r="H50" i="1"/>
  <c r="H51" i="1"/>
  <c r="H52" i="1"/>
  <c r="H47" i="1"/>
  <c r="A47" i="1"/>
  <c r="B47" i="1"/>
  <c r="C47" i="1"/>
  <c r="D47" i="1"/>
  <c r="E47" i="1"/>
  <c r="F47" i="1"/>
  <c r="A48" i="1"/>
  <c r="B48" i="1"/>
  <c r="C48" i="1"/>
  <c r="D48" i="1"/>
  <c r="E48" i="1"/>
  <c r="F48" i="1"/>
  <c r="J39" i="1"/>
  <c r="K32" i="1"/>
  <c r="K33" i="1"/>
  <c r="K34" i="1"/>
  <c r="K35" i="1"/>
  <c r="K36" i="1"/>
  <c r="K31" i="1"/>
  <c r="A31" i="1"/>
  <c r="B31" i="1"/>
  <c r="C31" i="1"/>
  <c r="D31" i="1"/>
  <c r="E31" i="1"/>
  <c r="F31" i="1" s="1"/>
  <c r="J31" i="1"/>
  <c r="E33" i="1"/>
  <c r="E34" i="1"/>
  <c r="E35" i="1"/>
  <c r="E36" i="1"/>
  <c r="E32" i="1"/>
  <c r="A52" i="1"/>
  <c r="A51" i="1"/>
  <c r="A50" i="1"/>
  <c r="A49" i="1"/>
  <c r="J51" i="1" l="1"/>
  <c r="J50" i="1"/>
  <c r="J49" i="1"/>
  <c r="J52" i="1"/>
  <c r="L47" i="1"/>
  <c r="L48" i="1"/>
  <c r="L31" i="1"/>
  <c r="A33" i="1"/>
  <c r="A34" i="1"/>
  <c r="A35" i="1"/>
  <c r="A36" i="1"/>
  <c r="A32" i="1"/>
  <c r="J33" i="1"/>
  <c r="E52" i="1"/>
  <c r="E51" i="1"/>
  <c r="E50" i="1"/>
  <c r="E49" i="1"/>
  <c r="B52" i="1"/>
  <c r="B51" i="1"/>
  <c r="B50" i="1"/>
  <c r="B49" i="1"/>
  <c r="B33" i="1"/>
  <c r="B34" i="1"/>
  <c r="B35" i="1"/>
  <c r="B36" i="1"/>
  <c r="B32" i="1"/>
  <c r="C50" i="1"/>
  <c r="D50" i="1"/>
  <c r="C51" i="1"/>
  <c r="D51" i="1"/>
  <c r="C52" i="1"/>
  <c r="D52" i="1"/>
  <c r="D49" i="1"/>
  <c r="C49" i="1"/>
  <c r="J34" i="1"/>
  <c r="J35" i="1"/>
  <c r="J32" i="1"/>
  <c r="D33" i="1"/>
  <c r="D34" i="1"/>
  <c r="D35" i="1"/>
  <c r="D36" i="1"/>
  <c r="D32" i="1"/>
  <c r="C33" i="1"/>
  <c r="C34" i="1"/>
  <c r="C35" i="1"/>
  <c r="C36" i="1"/>
  <c r="C32" i="1"/>
  <c r="F49" i="1" l="1"/>
  <c r="F34" i="1"/>
  <c r="F33" i="1"/>
  <c r="F52" i="1"/>
  <c r="F51" i="1"/>
  <c r="F50" i="1"/>
  <c r="F35" i="1"/>
  <c r="L33" i="1"/>
  <c r="J36" i="1"/>
  <c r="L50" i="1"/>
  <c r="L32" i="1"/>
  <c r="L36" i="1"/>
  <c r="F32" i="1"/>
  <c r="F36" i="1"/>
  <c r="L35" i="1"/>
  <c r="L34" i="1"/>
  <c r="L51" i="1"/>
  <c r="L52" i="1"/>
  <c r="L49" i="1"/>
</calcChain>
</file>

<file path=xl/sharedStrings.xml><?xml version="1.0" encoding="utf-8"?>
<sst xmlns="http://schemas.openxmlformats.org/spreadsheetml/2006/main" count="135" uniqueCount="66">
  <si>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</si>
  <si>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</si>
  <si>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</si>
  <si>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</si>
  <si>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</si>
  <si>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</si>
  <si>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</si>
  <si>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</si>
  <si>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</si>
  <si>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</si>
  <si>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</si>
  <si>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</si>
  <si>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</si>
  <si>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</si>
  <si>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</si>
  <si>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</si>
  <si>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</si>
  <si>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</si>
  <si>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</si>
  <si>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</si>
  <si>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</si>
  <si>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</si>
  <si>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</si>
  <si>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</si>
  <si>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</si>
  <si>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</si>
  <si>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</si>
  <si>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</si>
  <si>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</si>
  <si>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</si>
  <si>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</si>
  <si>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</si>
  <si>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</si>
  <si>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</si>
  <si>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</si>
  <si>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media_effect</t>
  </si>
  <si>
    <t>sato</t>
  </si>
  <si>
    <t>hpa_annual</t>
  </si>
  <si>
    <t>hpa_cum</t>
  </si>
  <si>
    <t>turn_cai_mult</t>
  </si>
  <si>
    <t>turn_hpa_annual_mult</t>
  </si>
  <si>
    <t>turn_wala_mult</t>
  </si>
  <si>
    <t>turn_incentive_mult</t>
  </si>
  <si>
    <t>turn_cltv_mult</t>
  </si>
  <si>
    <t>turn_acls_mult</t>
  </si>
  <si>
    <t>turn_fico_mult</t>
  </si>
  <si>
    <t>turn_tax_mult</t>
  </si>
  <si>
    <t>turn_sato_mult</t>
  </si>
  <si>
    <t>turn_pct_HARPed_mult</t>
  </si>
  <si>
    <t>turn_HARP_eligible_mult</t>
  </si>
  <si>
    <t>turn_pct_purchase_mult</t>
  </si>
  <si>
    <t>turn_pct_inv_mult</t>
  </si>
  <si>
    <t>turn_pct_second_lien_mult</t>
  </si>
  <si>
    <t>bal</t>
  </si>
  <si>
    <t>std</t>
  </si>
  <si>
    <t>n</t>
  </si>
  <si>
    <t>WALA 48+</t>
  </si>
  <si>
    <t>WALA 12-48</t>
  </si>
  <si>
    <t>act</t>
  </si>
  <si>
    <t>mdl</t>
  </si>
  <si>
    <t>Ratio</t>
  </si>
  <si>
    <t>Dev</t>
  </si>
  <si>
    <t>Dev Knots</t>
  </si>
  <si>
    <t>Prod  Knots</t>
  </si>
  <si>
    <t>Inc.</t>
  </si>
  <si>
    <t>baselineConstant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</si>
</sst>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000_);_(* \(#,##0.0000\);_(* &quot;-&quot;??_);_(@_)"/>
    <numFmt numFmtId="170" formatCode="_(* #,##0.0000000000_);_(* \(#,##0.000000000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43" fontId="0" fillId="0" borderId="0" xfId="1" applyFont="1"/>
    <xf numFmtId="164" fontId="18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43" fontId="18" fillId="0" borderId="0" xfId="0" applyNumberFormat="1" applyFont="1"/>
    <xf numFmtId="164" fontId="18" fillId="0" borderId="0" xfId="0" applyNumberFormat="1" applyFont="1"/>
    <xf numFmtId="2" fontId="0" fillId="0" borderId="0" xfId="1" applyNumberFormat="1" applyFont="1"/>
    <xf numFmtId="170" fontId="18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52"/>
  <sheetViews>
    <sheetView tabSelected="1" workbookViewId="0">
      <selection activeCell="J39" sqref="J39"/>
    </sheetView>
  </sheetViews>
  <sheetFormatPr defaultRowHeight="15" x14ac:dyDescent="0.25"/>
  <cols>
    <col min="1" max="1" width="9.28515625" bestFit="1" customWidth="1"/>
    <col min="2" max="2" width="12" bestFit="1" customWidth="1"/>
    <col min="3" max="9" width="9.28515625" bestFit="1" customWidth="1"/>
    <col min="10" max="10" width="14.140625" bestFit="1" customWidth="1"/>
    <col min="11" max="54" width="9.28515625" bestFit="1" customWidth="1"/>
    <col min="55" max="55" width="12" bestFit="1" customWidth="1"/>
    <col min="56" max="57" width="9.28515625" bestFit="1" customWidth="1"/>
  </cols>
  <sheetData>
    <row r="1" spans="1:57" x14ac:dyDescent="0.25">
      <c r="A1" t="s">
        <v>57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x14ac:dyDescent="0.25">
      <c r="A2">
        <v>22</v>
      </c>
      <c r="B2">
        <v>30</v>
      </c>
      <c r="C2">
        <v>-75</v>
      </c>
      <c r="D2">
        <v>0.52557880863928297</v>
      </c>
      <c r="E2">
        <v>0.49613004903806501</v>
      </c>
      <c r="F2">
        <v>6.1277884226380097</v>
      </c>
      <c r="G2">
        <v>5.7937617562943204</v>
      </c>
      <c r="H2">
        <v>1.0593569360660899</v>
      </c>
      <c r="I2">
        <v>-2.9448759601218299E-2</v>
      </c>
      <c r="J2">
        <v>4.6353649582888602E-2</v>
      </c>
      <c r="K2">
        <v>6.5325863602065E-3</v>
      </c>
      <c r="L2">
        <v>0</v>
      </c>
      <c r="M2">
        <v>0.44324381309496902</v>
      </c>
      <c r="N2">
        <v>0</v>
      </c>
      <c r="O2">
        <v>0</v>
      </c>
      <c r="P2">
        <v>5.0065174462415598</v>
      </c>
      <c r="Q2">
        <v>94.993482553758398</v>
      </c>
      <c r="R2">
        <v>31.644179921227199</v>
      </c>
      <c r="S2">
        <v>51.508920461781102</v>
      </c>
      <c r="T2">
        <v>16.846899616991699</v>
      </c>
      <c r="U2">
        <v>0</v>
      </c>
      <c r="V2">
        <v>68.355820078772794</v>
      </c>
      <c r="W2">
        <v>0.31705586266990399</v>
      </c>
      <c r="X2">
        <v>-79.927402854998903</v>
      </c>
      <c r="Y2">
        <v>21.9938336876004</v>
      </c>
      <c r="Z2">
        <v>100</v>
      </c>
      <c r="AA2">
        <v>45.526373246111397</v>
      </c>
      <c r="AB2">
        <v>300.40313585988599</v>
      </c>
      <c r="AC2">
        <v>298.56621016972701</v>
      </c>
      <c r="AD2">
        <v>40.6468120466538</v>
      </c>
      <c r="AE2">
        <v>310.80299794622903</v>
      </c>
      <c r="AF2">
        <v>3.3056849921585099</v>
      </c>
      <c r="AG2">
        <v>782.76403351396402</v>
      </c>
      <c r="AH2">
        <v>0.80857818664882797</v>
      </c>
      <c r="AI2">
        <v>56.103114042793599</v>
      </c>
      <c r="AJ2">
        <v>173.74838351020901</v>
      </c>
      <c r="AK2">
        <v>20.463760424310699</v>
      </c>
      <c r="AL2">
        <v>-52.542223613474697</v>
      </c>
      <c r="AM2">
        <v>8.0216645083597093</v>
      </c>
      <c r="AN2">
        <v>29.495693315131501</v>
      </c>
      <c r="AO2">
        <v>0.9</v>
      </c>
      <c r="AP2">
        <v>1.2900068613556701</v>
      </c>
      <c r="AQ2">
        <v>1.1742451631984401</v>
      </c>
      <c r="AR2">
        <v>1.15534777611221</v>
      </c>
      <c r="AS2">
        <v>1.00707082416793</v>
      </c>
      <c r="AT2">
        <v>0.85811253197742299</v>
      </c>
      <c r="AU2">
        <v>0.83440377114317099</v>
      </c>
      <c r="AV2">
        <v>1</v>
      </c>
      <c r="AW2">
        <v>0.94786292303472797</v>
      </c>
      <c r="AX2">
        <v>1</v>
      </c>
      <c r="AY2">
        <v>1</v>
      </c>
      <c r="AZ2">
        <v>0.91113743389759505</v>
      </c>
      <c r="BA2">
        <v>1</v>
      </c>
      <c r="BB2">
        <v>0.99479311261708203</v>
      </c>
      <c r="BC2">
        <v>2220201435.3000002</v>
      </c>
      <c r="BD2">
        <v>7.2236270389007207E-2</v>
      </c>
      <c r="BE2">
        <v>1110</v>
      </c>
    </row>
    <row r="3" spans="1:57" x14ac:dyDescent="0.25">
      <c r="A3">
        <v>23</v>
      </c>
      <c r="B3">
        <v>30</v>
      </c>
      <c r="C3">
        <v>-50</v>
      </c>
      <c r="D3">
        <v>0.64956954972844405</v>
      </c>
      <c r="E3">
        <v>0.57547222647707097</v>
      </c>
      <c r="F3">
        <v>7.5222963378691903</v>
      </c>
      <c r="G3">
        <v>6.6912345786024101</v>
      </c>
      <c r="H3">
        <v>1.12875916480798</v>
      </c>
      <c r="I3">
        <v>-7.4097323251373498E-2</v>
      </c>
      <c r="J3">
        <v>4.6035118642912098E-2</v>
      </c>
      <c r="K3">
        <v>6.8728564586792197E-3</v>
      </c>
      <c r="L3">
        <v>0</v>
      </c>
      <c r="M3">
        <v>0.52256425137547902</v>
      </c>
      <c r="N3">
        <v>0</v>
      </c>
      <c r="O3">
        <v>0</v>
      </c>
      <c r="P3">
        <v>6.2407353592285499</v>
      </c>
      <c r="Q3">
        <v>93.759264640771406</v>
      </c>
      <c r="R3">
        <v>38.534725736961299</v>
      </c>
      <c r="S3">
        <v>43.718365402236103</v>
      </c>
      <c r="T3">
        <v>17.746908860802701</v>
      </c>
      <c r="U3">
        <v>0</v>
      </c>
      <c r="V3">
        <v>61.465274263038701</v>
      </c>
      <c r="W3">
        <v>0.33078167038595102</v>
      </c>
      <c r="X3">
        <v>-58.357422404878001</v>
      </c>
      <c r="Y3">
        <v>104.24638567853999</v>
      </c>
      <c r="Z3">
        <v>100</v>
      </c>
      <c r="AA3">
        <v>47.3502618586107</v>
      </c>
      <c r="AB3">
        <v>295.34391880670302</v>
      </c>
      <c r="AC3">
        <v>293.357226343994</v>
      </c>
      <c r="AD3">
        <v>40.634433761261498</v>
      </c>
      <c r="AE3">
        <v>311.58271712611901</v>
      </c>
      <c r="AF3">
        <v>3.4909427726408802</v>
      </c>
      <c r="AG3">
        <v>781.89129573294099</v>
      </c>
      <c r="AH3">
        <v>1.45321992121263</v>
      </c>
      <c r="AI3">
        <v>55.787485635332303</v>
      </c>
      <c r="AJ3">
        <v>173.50298003128</v>
      </c>
      <c r="AK3">
        <v>21.454855953223301</v>
      </c>
      <c r="AL3">
        <v>-36.052195711519197</v>
      </c>
      <c r="AM3">
        <v>8.0784012570423194</v>
      </c>
      <c r="AN3">
        <v>29.732824440274999</v>
      </c>
      <c r="AO3">
        <v>0.9</v>
      </c>
      <c r="AP3">
        <v>1.29001822929493</v>
      </c>
      <c r="AQ3">
        <v>1.1740102158215799</v>
      </c>
      <c r="AR3">
        <v>1.2700207438065501</v>
      </c>
      <c r="AS3">
        <v>1.00700894878386</v>
      </c>
      <c r="AT3">
        <v>0.86356884081678698</v>
      </c>
      <c r="AU3">
        <v>0.83616495775112198</v>
      </c>
      <c r="AV3">
        <v>1</v>
      </c>
      <c r="AW3">
        <v>0.97632580865514995</v>
      </c>
      <c r="AX3">
        <v>1</v>
      </c>
      <c r="AY3">
        <v>1</v>
      </c>
      <c r="AZ3">
        <v>0.92009514345804999</v>
      </c>
      <c r="BA3">
        <v>1</v>
      </c>
      <c r="BB3">
        <v>0.99722684782117199</v>
      </c>
      <c r="BC3">
        <v>25137496975.900002</v>
      </c>
      <c r="BD3">
        <v>8.9014287372300702E-2</v>
      </c>
      <c r="BE3">
        <v>4907</v>
      </c>
    </row>
    <row r="4" spans="1:57" x14ac:dyDescent="0.25">
      <c r="A4">
        <v>24</v>
      </c>
      <c r="B4">
        <v>30</v>
      </c>
      <c r="C4">
        <v>-25</v>
      </c>
      <c r="D4">
        <v>0.79270067173598202</v>
      </c>
      <c r="E4">
        <v>0.64795752081198599</v>
      </c>
      <c r="F4">
        <v>9.1084464708693709</v>
      </c>
      <c r="G4">
        <v>7.5042885603962297</v>
      </c>
      <c r="H4">
        <v>1.22338370383079</v>
      </c>
      <c r="I4">
        <v>-0.14474315092399601</v>
      </c>
      <c r="J4">
        <v>4.4986071077168198E-2</v>
      </c>
      <c r="K4">
        <v>8.2372937197333403E-3</v>
      </c>
      <c r="L4">
        <v>4.7093183289075899E-2</v>
      </c>
      <c r="M4">
        <v>0.53898680804561006</v>
      </c>
      <c r="N4">
        <v>8.6541646803982696E-3</v>
      </c>
      <c r="O4">
        <v>0</v>
      </c>
      <c r="P4">
        <v>6.3822993828293999</v>
      </c>
      <c r="Q4">
        <v>93.617700617170598</v>
      </c>
      <c r="R4">
        <v>37.132984157880102</v>
      </c>
      <c r="S4">
        <v>42.745359499132597</v>
      </c>
      <c r="T4">
        <v>20.121656342987301</v>
      </c>
      <c r="U4">
        <v>0</v>
      </c>
      <c r="V4">
        <v>62.867015842119898</v>
      </c>
      <c r="W4">
        <v>0.41838200054768498</v>
      </c>
      <c r="X4">
        <v>-36.241809802488397</v>
      </c>
      <c r="Y4">
        <v>269.03625154840302</v>
      </c>
      <c r="Z4">
        <v>100</v>
      </c>
      <c r="AA4">
        <v>48.797116057716202</v>
      </c>
      <c r="AB4">
        <v>290.58645609199499</v>
      </c>
      <c r="AC4">
        <v>288.55100990680103</v>
      </c>
      <c r="AD4">
        <v>38.561265557160098</v>
      </c>
      <c r="AE4">
        <v>314.07267129615099</v>
      </c>
      <c r="AF4">
        <v>3.6583729152422002</v>
      </c>
      <c r="AG4">
        <v>781.25188623628196</v>
      </c>
      <c r="AH4">
        <v>2.97063320217549</v>
      </c>
      <c r="AI4">
        <v>47.7801785366659</v>
      </c>
      <c r="AJ4">
        <v>173.96283341148401</v>
      </c>
      <c r="AK4">
        <v>23.649620512800599</v>
      </c>
      <c r="AL4">
        <v>-26.908105639075</v>
      </c>
      <c r="AM4">
        <v>8.3631015372526694</v>
      </c>
      <c r="AN4">
        <v>28.956369671494599</v>
      </c>
      <c r="AO4">
        <v>0.9</v>
      </c>
      <c r="AP4">
        <v>1.2900436057926501</v>
      </c>
      <c r="AQ4">
        <v>1.1555855403964299</v>
      </c>
      <c r="AR4">
        <v>1.2869999999999999</v>
      </c>
      <c r="AS4">
        <v>1.00695232134252</v>
      </c>
      <c r="AT4">
        <v>0.86865482419163897</v>
      </c>
      <c r="AU4">
        <v>0.83740697469243497</v>
      </c>
      <c r="AV4">
        <v>1</v>
      </c>
      <c r="AW4">
        <v>0.99679658297569496</v>
      </c>
      <c r="AX4">
        <v>1</v>
      </c>
      <c r="AY4">
        <v>1</v>
      </c>
      <c r="AZ4">
        <v>0.91827287940524405</v>
      </c>
      <c r="BA4">
        <v>1</v>
      </c>
      <c r="BB4">
        <v>0.99887913538449602</v>
      </c>
      <c r="BC4">
        <v>58293562619.599998</v>
      </c>
      <c r="BD4">
        <v>8.0378795341943005E-2</v>
      </c>
      <c r="BE4">
        <v>14071</v>
      </c>
    </row>
    <row r="5" spans="1:57" x14ac:dyDescent="0.25">
      <c r="A5">
        <v>25</v>
      </c>
      <c r="B5">
        <v>30</v>
      </c>
      <c r="C5">
        <v>0</v>
      </c>
      <c r="D5">
        <v>0.84994472599764104</v>
      </c>
      <c r="E5">
        <v>0.82170400032819801</v>
      </c>
      <c r="F5">
        <v>9.7358019943486092</v>
      </c>
      <c r="G5">
        <v>9.4268008239589491</v>
      </c>
      <c r="H5">
        <v>1.03436848994062</v>
      </c>
      <c r="I5">
        <v>-2.8240725669443401E-2</v>
      </c>
      <c r="J5">
        <v>4.2871838256757402E-2</v>
      </c>
      <c r="K5">
        <v>9.1070942368648208E-3</v>
      </c>
      <c r="L5">
        <v>0.179462254036694</v>
      </c>
      <c r="M5">
        <v>0.51385053954586002</v>
      </c>
      <c r="N5">
        <v>7.6412274252021503E-2</v>
      </c>
      <c r="O5">
        <v>0</v>
      </c>
      <c r="P5">
        <v>6.6667515579763998</v>
      </c>
      <c r="Q5">
        <v>93.333248442023603</v>
      </c>
      <c r="R5">
        <v>41.018877603759798</v>
      </c>
      <c r="S5">
        <v>37.682176926537998</v>
      </c>
      <c r="T5">
        <v>21.2989454697023</v>
      </c>
      <c r="U5">
        <v>0</v>
      </c>
      <c r="V5">
        <v>58.981122396240202</v>
      </c>
      <c r="W5">
        <v>0.49535343983214702</v>
      </c>
      <c r="X5">
        <v>-11.729858686700499</v>
      </c>
      <c r="Y5">
        <v>542.61767688037401</v>
      </c>
      <c r="Z5">
        <v>100</v>
      </c>
      <c r="AA5">
        <v>51.078039408790701</v>
      </c>
      <c r="AB5">
        <v>290.10188837449903</v>
      </c>
      <c r="AC5">
        <v>288.00601470151503</v>
      </c>
      <c r="AD5">
        <v>34.0744789284809</v>
      </c>
      <c r="AE5">
        <v>319.02535187004202</v>
      </c>
      <c r="AF5">
        <v>3.8065071873324201</v>
      </c>
      <c r="AG5">
        <v>780.57240793645894</v>
      </c>
      <c r="AH5">
        <v>2.6303570067758502</v>
      </c>
      <c r="AI5">
        <v>45.223571875363803</v>
      </c>
      <c r="AJ5">
        <v>175.39844986096</v>
      </c>
      <c r="AK5">
        <v>26.880864991213102</v>
      </c>
      <c r="AL5">
        <v>-23.873996461563699</v>
      </c>
      <c r="AM5">
        <v>8.7340447022566696</v>
      </c>
      <c r="AN5">
        <v>26.404659273135401</v>
      </c>
      <c r="AO5">
        <v>0.9</v>
      </c>
      <c r="AP5">
        <v>1.29012851635284</v>
      </c>
      <c r="AQ5">
        <v>1.1172983675517401</v>
      </c>
      <c r="AR5">
        <v>1.2869999999999999</v>
      </c>
      <c r="AS5">
        <v>1.00685186468522</v>
      </c>
      <c r="AT5">
        <v>0.86910550861212199</v>
      </c>
      <c r="AU5">
        <v>0.83875686303462005</v>
      </c>
      <c r="AV5">
        <v>1</v>
      </c>
      <c r="AW5">
        <v>1.0020843635421599</v>
      </c>
      <c r="AX5">
        <v>1</v>
      </c>
      <c r="AY5">
        <v>1</v>
      </c>
      <c r="AZ5">
        <v>0.92332454088488802</v>
      </c>
      <c r="BA5">
        <v>1</v>
      </c>
      <c r="BB5">
        <v>0.99525292291540601</v>
      </c>
      <c r="BC5">
        <v>91635842240</v>
      </c>
      <c r="BD5">
        <v>7.6765050798014003E-2</v>
      </c>
      <c r="BE5">
        <v>24630</v>
      </c>
    </row>
    <row r="6" spans="1:57" x14ac:dyDescent="0.25">
      <c r="A6">
        <v>26</v>
      </c>
      <c r="B6">
        <v>30</v>
      </c>
      <c r="C6">
        <v>25</v>
      </c>
      <c r="D6">
        <v>1.0265207526286899</v>
      </c>
      <c r="E6">
        <v>0.99326933477880197</v>
      </c>
      <c r="F6">
        <v>11.6460339110692</v>
      </c>
      <c r="G6">
        <v>11.289171117346299</v>
      </c>
      <c r="H6">
        <v>1.0334767385699</v>
      </c>
      <c r="I6">
        <v>-3.3251417849883599E-2</v>
      </c>
      <c r="J6">
        <v>4.2579466735611901E-2</v>
      </c>
      <c r="K6">
        <v>1.13095939680207E-2</v>
      </c>
      <c r="L6">
        <v>0.20202971464862299</v>
      </c>
      <c r="M6">
        <v>0.52098783963054796</v>
      </c>
      <c r="N6">
        <v>0.216362719795998</v>
      </c>
      <c r="O6">
        <v>0</v>
      </c>
      <c r="P6">
        <v>7.2092103265334</v>
      </c>
      <c r="Q6">
        <v>92.790789673466605</v>
      </c>
      <c r="R6">
        <v>50.0268546958945</v>
      </c>
      <c r="S6">
        <v>29.151737154491499</v>
      </c>
      <c r="T6">
        <v>20.821408149614001</v>
      </c>
      <c r="U6">
        <v>0</v>
      </c>
      <c r="V6">
        <v>49.9731453041055</v>
      </c>
      <c r="W6">
        <v>0.61956025007474202</v>
      </c>
      <c r="X6">
        <v>12.723857395383</v>
      </c>
      <c r="Y6">
        <v>942.17512263682897</v>
      </c>
      <c r="Z6">
        <v>100</v>
      </c>
      <c r="AA6">
        <v>52.446028409379402</v>
      </c>
      <c r="AB6">
        <v>284.94976422351499</v>
      </c>
      <c r="AC6">
        <v>282.82429946809401</v>
      </c>
      <c r="AD6">
        <v>33.294088075485099</v>
      </c>
      <c r="AE6">
        <v>319.77413231824499</v>
      </c>
      <c r="AF6">
        <v>3.9898052418200902</v>
      </c>
      <c r="AG6">
        <v>779.89471652791701</v>
      </c>
      <c r="AH6">
        <v>2.41048688475863</v>
      </c>
      <c r="AI6">
        <v>44.446837252366798</v>
      </c>
      <c r="AJ6">
        <v>174.67173902962401</v>
      </c>
      <c r="AK6">
        <v>29.332159208998</v>
      </c>
      <c r="AL6">
        <v>-18.6607887734462</v>
      </c>
      <c r="AM6">
        <v>8.7979023510594399</v>
      </c>
      <c r="AN6">
        <v>25.933456397665498</v>
      </c>
      <c r="AO6">
        <v>0.9</v>
      </c>
      <c r="AP6">
        <v>1.2901521723084599</v>
      </c>
      <c r="AQ6">
        <v>1.11118311462996</v>
      </c>
      <c r="AR6">
        <v>1.2869999999999999</v>
      </c>
      <c r="AS6">
        <v>1.0067908815823099</v>
      </c>
      <c r="AT6">
        <v>0.874646586657432</v>
      </c>
      <c r="AU6">
        <v>0.84010037349371902</v>
      </c>
      <c r="AV6">
        <v>1</v>
      </c>
      <c r="AW6">
        <v>1.01298076544232</v>
      </c>
      <c r="AX6">
        <v>1</v>
      </c>
      <c r="AY6">
        <v>1</v>
      </c>
      <c r="AZ6">
        <v>0.93503491110466297</v>
      </c>
      <c r="BA6">
        <v>1</v>
      </c>
      <c r="BB6">
        <v>0.99352293496044397</v>
      </c>
      <c r="BC6">
        <v>104574586174.2</v>
      </c>
      <c r="BD6">
        <v>7.9267648623544698E-2</v>
      </c>
      <c r="BE6">
        <v>27792</v>
      </c>
    </row>
    <row r="7" spans="1:57" x14ac:dyDescent="0.25">
      <c r="A7">
        <v>27</v>
      </c>
      <c r="B7">
        <v>30</v>
      </c>
      <c r="C7">
        <v>50</v>
      </c>
      <c r="D7">
        <v>1.2100236893846501</v>
      </c>
      <c r="E7">
        <v>1.22005024408949</v>
      </c>
      <c r="F7">
        <v>13.591876164578</v>
      </c>
      <c r="G7">
        <v>13.697055943235799</v>
      </c>
      <c r="H7">
        <v>0.99178185099063598</v>
      </c>
      <c r="I7">
        <v>1.0026554704839E-2</v>
      </c>
      <c r="J7">
        <v>4.3765366468809297E-2</v>
      </c>
      <c r="K7">
        <v>1.2845931636771699E-2</v>
      </c>
      <c r="L7">
        <v>0.20674158910531401</v>
      </c>
      <c r="M7">
        <v>0.55425111601247301</v>
      </c>
      <c r="N7">
        <v>0.40244624086612601</v>
      </c>
      <c r="O7">
        <v>0</v>
      </c>
      <c r="P7">
        <v>7.88441054448018</v>
      </c>
      <c r="Q7">
        <v>92.115589455519796</v>
      </c>
      <c r="R7">
        <v>55.972440535306703</v>
      </c>
      <c r="S7">
        <v>23.822854095676298</v>
      </c>
      <c r="T7">
        <v>20.204705369016999</v>
      </c>
      <c r="U7">
        <v>0</v>
      </c>
      <c r="V7">
        <v>44.027559464693297</v>
      </c>
      <c r="W7">
        <v>0.66872993021345295</v>
      </c>
      <c r="X7">
        <v>36.955576033153598</v>
      </c>
      <c r="Y7">
        <v>1537.2828150446401</v>
      </c>
      <c r="Z7">
        <v>100</v>
      </c>
      <c r="AA7">
        <v>52.585953155881903</v>
      </c>
      <c r="AB7">
        <v>277.51639522975898</v>
      </c>
      <c r="AC7">
        <v>275.39147344613002</v>
      </c>
      <c r="AD7">
        <v>35.631994081551802</v>
      </c>
      <c r="AE7">
        <v>316.93292650951003</v>
      </c>
      <c r="AF7">
        <v>4.17990090021528</v>
      </c>
      <c r="AG7">
        <v>779.23352968038898</v>
      </c>
      <c r="AH7">
        <v>2.58811694746514</v>
      </c>
      <c r="AI7">
        <v>45.195155834327601</v>
      </c>
      <c r="AJ7">
        <v>174.23106089029301</v>
      </c>
      <c r="AK7">
        <v>31.264792523773199</v>
      </c>
      <c r="AL7">
        <v>-14.9758972715026</v>
      </c>
      <c r="AM7">
        <v>8.4775662434359695</v>
      </c>
      <c r="AN7">
        <v>26.951444658139302</v>
      </c>
      <c r="AO7">
        <v>0.9</v>
      </c>
      <c r="AP7">
        <v>1.29016043190967</v>
      </c>
      <c r="AQ7">
        <v>1.1335134683764101</v>
      </c>
      <c r="AR7">
        <v>1.2869999999999999</v>
      </c>
      <c r="AS7">
        <v>1.00680240041583</v>
      </c>
      <c r="AT7">
        <v>0.88288335578379595</v>
      </c>
      <c r="AU7">
        <v>0.84143822192106998</v>
      </c>
      <c r="AV7">
        <v>1</v>
      </c>
      <c r="AW7">
        <v>1.0203624381354199</v>
      </c>
      <c r="AX7">
        <v>1</v>
      </c>
      <c r="AY7">
        <v>1</v>
      </c>
      <c r="AZ7">
        <v>0.94276417269589896</v>
      </c>
      <c r="BA7">
        <v>1</v>
      </c>
      <c r="BB7">
        <v>0.99397627903844299</v>
      </c>
      <c r="BC7">
        <v>114818113080.60001</v>
      </c>
      <c r="BD7">
        <v>8.4637360964494507E-2</v>
      </c>
      <c r="BE7">
        <v>23130</v>
      </c>
    </row>
    <row r="8" spans="1:57" x14ac:dyDescent="0.25">
      <c r="A8">
        <v>28</v>
      </c>
      <c r="B8">
        <v>30</v>
      </c>
      <c r="C8">
        <v>75</v>
      </c>
      <c r="D8">
        <v>1.48205896550056</v>
      </c>
      <c r="E8">
        <v>1.4902314525921401</v>
      </c>
      <c r="F8">
        <v>16.404303372083199</v>
      </c>
      <c r="G8">
        <v>16.487480888195702</v>
      </c>
      <c r="H8">
        <v>0.99451596121033903</v>
      </c>
      <c r="I8">
        <v>8.1724870915884599E-3</v>
      </c>
      <c r="J8">
        <v>4.5725928571080598E-2</v>
      </c>
      <c r="K8">
        <v>1.8576161386439801E-2</v>
      </c>
      <c r="L8">
        <v>0.20825346381683199</v>
      </c>
      <c r="M8">
        <v>0.59946193866049502</v>
      </c>
      <c r="N8">
        <v>0.61821396015729602</v>
      </c>
      <c r="O8">
        <v>0</v>
      </c>
      <c r="P8">
        <v>8.6125052323733904</v>
      </c>
      <c r="Q8">
        <v>91.387494767626606</v>
      </c>
      <c r="R8">
        <v>55.507450034881302</v>
      </c>
      <c r="S8">
        <v>23.066513763335401</v>
      </c>
      <c r="T8">
        <v>21.426036201783401</v>
      </c>
      <c r="U8">
        <v>0</v>
      </c>
      <c r="V8">
        <v>44.492549965118698</v>
      </c>
      <c r="W8">
        <v>0.91435059767623705</v>
      </c>
      <c r="X8">
        <v>60.8192008873852</v>
      </c>
      <c r="Y8">
        <v>2394.70998873178</v>
      </c>
      <c r="Z8">
        <v>100</v>
      </c>
      <c r="AA8">
        <v>51.852360054717302</v>
      </c>
      <c r="AB8">
        <v>268.73064838443401</v>
      </c>
      <c r="AC8">
        <v>266.67135636320597</v>
      </c>
      <c r="AD8">
        <v>39.620289122878702</v>
      </c>
      <c r="AE8">
        <v>312.36215783648601</v>
      </c>
      <c r="AF8">
        <v>4.3953499403478604</v>
      </c>
      <c r="AG8">
        <v>778.23210484728997</v>
      </c>
      <c r="AH8">
        <v>4.3698585442945701</v>
      </c>
      <c r="AI8">
        <v>45.988288355909702</v>
      </c>
      <c r="AJ8">
        <v>173.99890033663999</v>
      </c>
      <c r="AK8">
        <v>32.1940099374685</v>
      </c>
      <c r="AL8">
        <v>-7.1435893010484204</v>
      </c>
      <c r="AM8">
        <v>8.1064821582063704</v>
      </c>
      <c r="AN8">
        <v>29.1971127421054</v>
      </c>
      <c r="AO8">
        <v>0.9</v>
      </c>
      <c r="AP8">
        <v>1.2901109054959199</v>
      </c>
      <c r="AQ8">
        <v>1.16930771422847</v>
      </c>
      <c r="AR8">
        <v>1.2869999999999999</v>
      </c>
      <c r="AS8">
        <v>1.0068685842392699</v>
      </c>
      <c r="AT8">
        <v>0.89278970290611703</v>
      </c>
      <c r="AU8">
        <v>0.84338263068672004</v>
      </c>
      <c r="AV8">
        <v>1</v>
      </c>
      <c r="AW8">
        <v>1.0353425383520301</v>
      </c>
      <c r="AX8">
        <v>1</v>
      </c>
      <c r="AY8">
        <v>1</v>
      </c>
      <c r="AZ8">
        <v>0.94215968504534597</v>
      </c>
      <c r="BA8">
        <v>1</v>
      </c>
      <c r="BB8">
        <v>0.99791431952183896</v>
      </c>
      <c r="BC8">
        <v>65597553835.599998</v>
      </c>
      <c r="BD8">
        <v>9.1351782504250398E-2</v>
      </c>
      <c r="BE8">
        <v>14587</v>
      </c>
    </row>
    <row r="9" spans="1:57" x14ac:dyDescent="0.25">
      <c r="A9">
        <v>29</v>
      </c>
      <c r="B9">
        <v>30</v>
      </c>
      <c r="C9">
        <v>100</v>
      </c>
      <c r="D9">
        <v>1.5765141944216601</v>
      </c>
      <c r="E9">
        <v>1.8180563663288201</v>
      </c>
      <c r="F9">
        <v>17.3610281257737</v>
      </c>
      <c r="G9">
        <v>19.762109376718001</v>
      </c>
      <c r="H9">
        <v>0.86714263848985895</v>
      </c>
      <c r="I9">
        <v>0.24154217190716201</v>
      </c>
      <c r="J9">
        <v>4.7055412596150502E-2</v>
      </c>
      <c r="K9">
        <v>2.32254546240846E-2</v>
      </c>
      <c r="L9">
        <v>0.21102675595769799</v>
      </c>
      <c r="M9">
        <v>0.62829333693117095</v>
      </c>
      <c r="N9">
        <v>0.90845540621971699</v>
      </c>
      <c r="O9">
        <v>0</v>
      </c>
      <c r="P9">
        <v>8.7885558339063898</v>
      </c>
      <c r="Q9">
        <v>91.2114441660936</v>
      </c>
      <c r="R9">
        <v>47.784231631168197</v>
      </c>
      <c r="S9">
        <v>26.974968058163199</v>
      </c>
      <c r="T9">
        <v>25.2408003106687</v>
      </c>
      <c r="U9">
        <v>0</v>
      </c>
      <c r="V9">
        <v>52.215768368831803</v>
      </c>
      <c r="W9">
        <v>1.1220349535779699</v>
      </c>
      <c r="X9">
        <v>83.264625886779598</v>
      </c>
      <c r="Y9">
        <v>3214.44826845222</v>
      </c>
      <c r="Z9">
        <v>100</v>
      </c>
      <c r="AA9">
        <v>51.313672858908703</v>
      </c>
      <c r="AB9">
        <v>261.40827441898603</v>
      </c>
      <c r="AC9">
        <v>259.46464546846897</v>
      </c>
      <c r="AD9">
        <v>42.108768507778798</v>
      </c>
      <c r="AE9">
        <v>309.60749890398</v>
      </c>
      <c r="AF9">
        <v>4.5822347604703202</v>
      </c>
      <c r="AG9">
        <v>776.82722142733701</v>
      </c>
      <c r="AH9">
        <v>9.1697007564995303</v>
      </c>
      <c r="AI9">
        <v>45.315046230044999</v>
      </c>
      <c r="AJ9">
        <v>174.37243424631899</v>
      </c>
      <c r="AK9">
        <v>33.896385178181198</v>
      </c>
      <c r="AL9">
        <v>4.8959633772228104</v>
      </c>
      <c r="AM9">
        <v>8.0113925263351895</v>
      </c>
      <c r="AN9">
        <v>31.0395844342892</v>
      </c>
      <c r="AO9">
        <v>0.9</v>
      </c>
      <c r="AP9">
        <v>1.2900892392223999</v>
      </c>
      <c r="AQ9">
        <v>1.19028582607744</v>
      </c>
      <c r="AR9">
        <v>1.2869999999999999</v>
      </c>
      <c r="AS9">
        <v>1.0069108354640099</v>
      </c>
      <c r="AT9">
        <v>0.90118523625468905</v>
      </c>
      <c r="AU9">
        <v>0.846101319045508</v>
      </c>
      <c r="AV9">
        <v>1</v>
      </c>
      <c r="AW9">
        <v>1.0535407023233501</v>
      </c>
      <c r="AX9">
        <v>1</v>
      </c>
      <c r="AY9">
        <v>1</v>
      </c>
      <c r="AZ9">
        <v>0.932119501120519</v>
      </c>
      <c r="BA9">
        <v>1</v>
      </c>
      <c r="BB9">
        <v>1.00517238198144</v>
      </c>
      <c r="BC9">
        <v>22386867836.799999</v>
      </c>
      <c r="BD9">
        <v>9.7916538757497507E-2</v>
      </c>
      <c r="BE9">
        <v>8080</v>
      </c>
    </row>
    <row r="10" spans="1:57" x14ac:dyDescent="0.25">
      <c r="A10">
        <v>30</v>
      </c>
      <c r="B10">
        <v>30</v>
      </c>
      <c r="C10">
        <v>125</v>
      </c>
      <c r="D10">
        <v>1.7196368330543801</v>
      </c>
      <c r="E10">
        <v>1.7786258012776801</v>
      </c>
      <c r="F10">
        <v>18.791585502665502</v>
      </c>
      <c r="G10">
        <v>19.3745648250725</v>
      </c>
      <c r="H10">
        <v>0.96683452574401996</v>
      </c>
      <c r="I10">
        <v>5.89889682232973E-2</v>
      </c>
      <c r="J10">
        <v>4.78166512482135E-2</v>
      </c>
      <c r="K10">
        <v>2.8622769072673401E-2</v>
      </c>
      <c r="L10">
        <v>0.21369209028792999</v>
      </c>
      <c r="M10">
        <v>0.64696941731791902</v>
      </c>
      <c r="N10">
        <v>0.84152487335093995</v>
      </c>
      <c r="O10">
        <v>0</v>
      </c>
      <c r="P10">
        <v>7.4568440613857101</v>
      </c>
      <c r="Q10">
        <v>92.543155938614305</v>
      </c>
      <c r="R10">
        <v>34.305317507206198</v>
      </c>
      <c r="S10">
        <v>37.316172170942998</v>
      </c>
      <c r="T10">
        <v>28.378510321850801</v>
      </c>
      <c r="U10">
        <v>0</v>
      </c>
      <c r="V10">
        <v>65.694682492793802</v>
      </c>
      <c r="W10">
        <v>1.3656315812591</v>
      </c>
      <c r="X10">
        <v>106.728952665299</v>
      </c>
      <c r="Y10">
        <v>4179.2816510430503</v>
      </c>
      <c r="Z10">
        <v>100</v>
      </c>
      <c r="AA10">
        <v>50.993422822286</v>
      </c>
      <c r="AB10">
        <v>254.064789291816</v>
      </c>
      <c r="AC10">
        <v>252.48170528764001</v>
      </c>
      <c r="AD10">
        <v>43.230106666664902</v>
      </c>
      <c r="AE10">
        <v>308.39287957388598</v>
      </c>
      <c r="AF10">
        <v>4.7935658662315799</v>
      </c>
      <c r="AG10">
        <v>774.76457674189999</v>
      </c>
      <c r="AH10">
        <v>23.366634347146501</v>
      </c>
      <c r="AI10">
        <v>40.4834050948608</v>
      </c>
      <c r="AJ10">
        <v>174.45421176468099</v>
      </c>
      <c r="AK10">
        <v>34.784303181239203</v>
      </c>
      <c r="AL10">
        <v>24.1033385250064</v>
      </c>
      <c r="AM10">
        <v>8.0084426829993198</v>
      </c>
      <c r="AN10">
        <v>32.002230050063297</v>
      </c>
      <c r="AO10">
        <v>0.9</v>
      </c>
      <c r="AP10">
        <v>1.2900714393061501</v>
      </c>
      <c r="AQ10">
        <v>1.1988294720861701</v>
      </c>
      <c r="AR10">
        <v>1.2869999999999999</v>
      </c>
      <c r="AS10">
        <v>1.0069288435638599</v>
      </c>
      <c r="AT10">
        <v>0.90936738643363002</v>
      </c>
      <c r="AU10">
        <v>0.84993044029366804</v>
      </c>
      <c r="AV10">
        <v>1</v>
      </c>
      <c r="AW10">
        <v>1.0705153371445699</v>
      </c>
      <c r="AX10">
        <v>1</v>
      </c>
      <c r="AY10">
        <v>1</v>
      </c>
      <c r="AZ10">
        <v>0.91459691275936805</v>
      </c>
      <c r="BA10">
        <v>1</v>
      </c>
      <c r="BB10">
        <v>1.01976580191108</v>
      </c>
      <c r="BC10">
        <v>2380104020.4000001</v>
      </c>
      <c r="BD10">
        <v>0.113841469791136</v>
      </c>
      <c r="BE10">
        <v>2656</v>
      </c>
    </row>
    <row r="11" spans="1:57" x14ac:dyDescent="0.25">
      <c r="A11">
        <v>31</v>
      </c>
      <c r="B11">
        <v>30</v>
      </c>
      <c r="C11">
        <v>150</v>
      </c>
      <c r="D11">
        <v>1.70000529613477</v>
      </c>
      <c r="E11">
        <v>1.6849572778872499</v>
      </c>
      <c r="F11">
        <v>18.596714594470299</v>
      </c>
      <c r="G11">
        <v>18.4470515130349</v>
      </c>
      <c r="H11">
        <v>1.00893080106244</v>
      </c>
      <c r="I11">
        <v>-1.5048018247516099E-2</v>
      </c>
      <c r="J11">
        <v>4.7676023987507199E-2</v>
      </c>
      <c r="K11">
        <v>4.2383475289624599E-2</v>
      </c>
      <c r="L11">
        <v>0.21666579053349</v>
      </c>
      <c r="M11">
        <v>0.67299511529146805</v>
      </c>
      <c r="N11">
        <v>0.705236872785163</v>
      </c>
      <c r="O11">
        <v>0</v>
      </c>
      <c r="P11">
        <v>4.9836658084420904</v>
      </c>
      <c r="Q11">
        <v>95.016334191557902</v>
      </c>
      <c r="R11">
        <v>19.9041572578946</v>
      </c>
      <c r="S11">
        <v>57.0565854048264</v>
      </c>
      <c r="T11">
        <v>23.039257337279</v>
      </c>
      <c r="U11">
        <v>0</v>
      </c>
      <c r="V11">
        <v>80.095842742105404</v>
      </c>
      <c r="W11">
        <v>1.9943190589826301</v>
      </c>
      <c r="X11">
        <v>133.587634953399</v>
      </c>
      <c r="Y11">
        <v>5385.3758999621696</v>
      </c>
      <c r="Z11">
        <v>100</v>
      </c>
      <c r="AA11">
        <v>51.877377247632502</v>
      </c>
      <c r="AB11">
        <v>249.68244255353201</v>
      </c>
      <c r="AC11">
        <v>248.86436704805101</v>
      </c>
      <c r="AD11">
        <v>44.0078880672216</v>
      </c>
      <c r="AE11">
        <v>308.20866388741302</v>
      </c>
      <c r="AF11">
        <v>5.0640363279159502</v>
      </c>
      <c r="AG11">
        <v>774.17275981346199</v>
      </c>
      <c r="AH11">
        <v>48.725194789239502</v>
      </c>
      <c r="AI11">
        <v>37.457518559796199</v>
      </c>
      <c r="AJ11">
        <v>174.15598298002499</v>
      </c>
      <c r="AK11">
        <v>33.849012432584097</v>
      </c>
      <c r="AL11">
        <v>48.335911236312199</v>
      </c>
      <c r="AM11">
        <v>7.7903715448052697</v>
      </c>
      <c r="AN11">
        <v>31.743679459452299</v>
      </c>
      <c r="AO11">
        <v>0.9</v>
      </c>
      <c r="AP11">
        <v>1.2899461538889001</v>
      </c>
      <c r="AQ11">
        <v>1.2042632536250799</v>
      </c>
      <c r="AR11">
        <v>1.2869999999999999</v>
      </c>
      <c r="AS11">
        <v>1.0068918023448299</v>
      </c>
      <c r="AT11">
        <v>0.913046808606363</v>
      </c>
      <c r="AU11">
        <v>0.85097662005851704</v>
      </c>
      <c r="AV11">
        <v>1</v>
      </c>
      <c r="AW11">
        <v>1.0786239612784201</v>
      </c>
      <c r="AX11">
        <v>1</v>
      </c>
      <c r="AY11">
        <v>1</v>
      </c>
      <c r="AZ11">
        <v>0.89587540443526303</v>
      </c>
      <c r="BA11">
        <v>1</v>
      </c>
      <c r="BB11">
        <v>1.0459845587363199</v>
      </c>
      <c r="BC11">
        <v>212283325.30000001</v>
      </c>
      <c r="BD11">
        <v>0.13049548031932201</v>
      </c>
      <c r="BE11">
        <v>546</v>
      </c>
    </row>
    <row r="15" spans="1:57" x14ac:dyDescent="0.25">
      <c r="A15" t="s">
        <v>56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11</v>
      </c>
      <c r="N15" t="s">
        <v>12</v>
      </c>
      <c r="O15" t="s">
        <v>13</v>
      </c>
      <c r="P15" t="s">
        <v>14</v>
      </c>
      <c r="Q15" t="s">
        <v>15</v>
      </c>
      <c r="R15" t="s">
        <v>16</v>
      </c>
      <c r="S15" t="s">
        <v>17</v>
      </c>
      <c r="T15" t="s">
        <v>18</v>
      </c>
      <c r="U15" t="s">
        <v>19</v>
      </c>
      <c r="V15" t="s">
        <v>20</v>
      </c>
      <c r="W15" t="s">
        <v>21</v>
      </c>
      <c r="X15" t="s">
        <v>22</v>
      </c>
      <c r="Y15" t="s">
        <v>23</v>
      </c>
      <c r="Z15" t="s">
        <v>24</v>
      </c>
      <c r="AA15" t="s">
        <v>25</v>
      </c>
      <c r="AB15" t="s">
        <v>26</v>
      </c>
      <c r="AC15" t="s">
        <v>27</v>
      </c>
      <c r="AD15" t="s">
        <v>28</v>
      </c>
      <c r="AE15" t="s">
        <v>29</v>
      </c>
      <c r="AF15" t="s">
        <v>30</v>
      </c>
      <c r="AG15" t="s">
        <v>31</v>
      </c>
      <c r="AH15" t="s">
        <v>32</v>
      </c>
      <c r="AI15" t="s">
        <v>33</v>
      </c>
      <c r="AJ15" t="s">
        <v>34</v>
      </c>
      <c r="AK15" t="s">
        <v>35</v>
      </c>
      <c r="AL15" t="s">
        <v>36</v>
      </c>
      <c r="AM15" t="s">
        <v>37</v>
      </c>
      <c r="AN15" t="s">
        <v>38</v>
      </c>
      <c r="AO15" t="s">
        <v>39</v>
      </c>
      <c r="AP15" t="s">
        <v>40</v>
      </c>
      <c r="AQ15" t="s">
        <v>41</v>
      </c>
      <c r="AR15" t="s">
        <v>42</v>
      </c>
      <c r="AS15" t="s">
        <v>43</v>
      </c>
      <c r="AT15" t="s">
        <v>44</v>
      </c>
      <c r="AU15" t="s">
        <v>45</v>
      </c>
      <c r="AV15" t="s">
        <v>46</v>
      </c>
      <c r="AW15" t="s">
        <v>47</v>
      </c>
      <c r="AX15" t="s">
        <v>48</v>
      </c>
      <c r="AY15" t="s">
        <v>49</v>
      </c>
      <c r="AZ15" t="s">
        <v>50</v>
      </c>
      <c r="BA15" t="s">
        <v>51</v>
      </c>
      <c r="BB15" t="s">
        <v>52</v>
      </c>
      <c r="BC15" t="s">
        <v>53</v>
      </c>
      <c r="BD15" t="s">
        <v>54</v>
      </c>
      <c r="BE15" t="s">
        <v>55</v>
      </c>
    </row>
    <row r="16" spans="1:57" x14ac:dyDescent="0.25">
      <c r="A16">
        <v>23</v>
      </c>
      <c r="B16">
        <v>30</v>
      </c>
      <c r="C16">
        <v>-75</v>
      </c>
      <c r="D16">
        <v>0.57752261908257296</v>
      </c>
      <c r="E16">
        <v>0.56611319690157202</v>
      </c>
      <c r="F16">
        <v>6.7143231956423097</v>
      </c>
      <c r="G16">
        <v>6.58577990545235</v>
      </c>
      <c r="H16">
        <v>1.0201539590376001</v>
      </c>
      <c r="I16">
        <v>-1.1409422181001E-2</v>
      </c>
      <c r="J16">
        <v>5.5815731778749003E-2</v>
      </c>
      <c r="K16">
        <v>7.9830650796019094E-3</v>
      </c>
      <c r="L16">
        <v>0</v>
      </c>
      <c r="M16">
        <v>0.50231440004322103</v>
      </c>
      <c r="N16">
        <v>0</v>
      </c>
      <c r="O16">
        <v>0</v>
      </c>
      <c r="P16">
        <v>5.3333713806054499</v>
      </c>
      <c r="Q16">
        <v>94.666628619394601</v>
      </c>
      <c r="R16">
        <v>25.312835180076299</v>
      </c>
      <c r="S16">
        <v>56.925603495119397</v>
      </c>
      <c r="T16">
        <v>17.761561324804401</v>
      </c>
      <c r="U16">
        <v>0</v>
      </c>
      <c r="V16">
        <v>74.687164819923794</v>
      </c>
      <c r="W16">
        <v>0.32418051160927802</v>
      </c>
      <c r="X16">
        <v>-83.930320548446502</v>
      </c>
      <c r="Y16">
        <v>41.250949894744203</v>
      </c>
      <c r="Z16">
        <v>100</v>
      </c>
      <c r="AA16">
        <v>40.8134080272009</v>
      </c>
      <c r="AB16">
        <v>278.89015762523798</v>
      </c>
      <c r="AC16">
        <v>277.04213791976701</v>
      </c>
      <c r="AD16">
        <v>60.088239879612402</v>
      </c>
      <c r="AE16">
        <v>289.35092561239401</v>
      </c>
      <c r="AF16">
        <v>3.3316104105651201</v>
      </c>
      <c r="AG16">
        <v>783.075629906892</v>
      </c>
      <c r="AH16">
        <v>1.62653446366146</v>
      </c>
      <c r="AI16">
        <v>60.614071571539398</v>
      </c>
      <c r="AJ16">
        <v>177.35115922086899</v>
      </c>
      <c r="AK16">
        <v>17.978061799884401</v>
      </c>
      <c r="AL16">
        <v>-33.437182035796802</v>
      </c>
      <c r="AM16">
        <v>7.2818163936211198</v>
      </c>
      <c r="AN16">
        <v>42.9068975692755</v>
      </c>
      <c r="AO16">
        <v>0.9</v>
      </c>
      <c r="AP16">
        <v>1.2866053014626999</v>
      </c>
      <c r="AQ16">
        <v>1.25070567861354</v>
      </c>
      <c r="AR16">
        <v>1.1296299555296201</v>
      </c>
      <c r="AS16">
        <v>1.00722822500249</v>
      </c>
      <c r="AT16">
        <v>0.88211135068228996</v>
      </c>
      <c r="AU16">
        <v>0.83383934574252905</v>
      </c>
      <c r="AV16">
        <v>1</v>
      </c>
      <c r="AW16">
        <v>0.98261365105816101</v>
      </c>
      <c r="AX16">
        <v>1</v>
      </c>
      <c r="AY16">
        <v>1</v>
      </c>
      <c r="AZ16">
        <v>0.90290668573409905</v>
      </c>
      <c r="BA16">
        <v>1</v>
      </c>
      <c r="BB16">
        <v>1.0039431470973399</v>
      </c>
      <c r="BC16">
        <v>32787531512.599998</v>
      </c>
      <c r="BD16">
        <v>6.9091717778155995E-2</v>
      </c>
      <c r="BE16">
        <v>5584</v>
      </c>
    </row>
    <row r="17" spans="1:57" x14ac:dyDescent="0.25">
      <c r="A17">
        <v>24</v>
      </c>
      <c r="B17">
        <v>30</v>
      </c>
      <c r="C17">
        <v>-50</v>
      </c>
      <c r="D17">
        <v>0.61557865586159199</v>
      </c>
      <c r="E17">
        <v>0.61258431636615895</v>
      </c>
      <c r="F17">
        <v>7.1419068556412899</v>
      </c>
      <c r="G17">
        <v>7.1083287879644699</v>
      </c>
      <c r="H17">
        <v>1.0048880446584001</v>
      </c>
      <c r="I17">
        <v>-2.99433949543356E-3</v>
      </c>
      <c r="J17">
        <v>5.42718654218712E-2</v>
      </c>
      <c r="K17">
        <v>7.4553879219112296E-3</v>
      </c>
      <c r="L17">
        <v>0</v>
      </c>
      <c r="M17">
        <v>0.55085706302237603</v>
      </c>
      <c r="N17">
        <v>0</v>
      </c>
      <c r="O17">
        <v>0</v>
      </c>
      <c r="P17">
        <v>5.37519727191453</v>
      </c>
      <c r="Q17">
        <v>94.624802728085498</v>
      </c>
      <c r="R17">
        <v>23.9632763025045</v>
      </c>
      <c r="S17">
        <v>57.887899883619298</v>
      </c>
      <c r="T17">
        <v>18.148823813876302</v>
      </c>
      <c r="U17">
        <v>0</v>
      </c>
      <c r="V17">
        <v>76.036723697495503</v>
      </c>
      <c r="W17">
        <v>0.29733506603711002</v>
      </c>
      <c r="X17">
        <v>-60.365022994462201</v>
      </c>
      <c r="Y17">
        <v>93.512178307237207</v>
      </c>
      <c r="Z17">
        <v>100</v>
      </c>
      <c r="AA17">
        <v>41.136501181438398</v>
      </c>
      <c r="AB17">
        <v>280.436016306944</v>
      </c>
      <c r="AC17">
        <v>278.54972739071098</v>
      </c>
      <c r="AD17">
        <v>56.976342588749702</v>
      </c>
      <c r="AE17">
        <v>292.78036635071697</v>
      </c>
      <c r="AF17">
        <v>3.39684814575326</v>
      </c>
      <c r="AG17">
        <v>782.959161851874</v>
      </c>
      <c r="AH17">
        <v>2.4293464227380599</v>
      </c>
      <c r="AI17">
        <v>60.696219119433103</v>
      </c>
      <c r="AJ17">
        <v>174.536052430035</v>
      </c>
      <c r="AK17">
        <v>24.2111676395809</v>
      </c>
      <c r="AL17">
        <v>-28.047100122439598</v>
      </c>
      <c r="AM17">
        <v>7.6889032858566102</v>
      </c>
      <c r="AN17">
        <v>42.635247727930903</v>
      </c>
      <c r="AO17">
        <v>0.9</v>
      </c>
      <c r="AP17">
        <v>1.28823114212239</v>
      </c>
      <c r="AQ17">
        <v>1.24704889960669</v>
      </c>
      <c r="AR17">
        <v>1.2620304754037199</v>
      </c>
      <c r="AS17">
        <v>1.00721956127594</v>
      </c>
      <c r="AT17">
        <v>0.88030218780637504</v>
      </c>
      <c r="AU17">
        <v>0.83407837824111497</v>
      </c>
      <c r="AV17">
        <v>1</v>
      </c>
      <c r="AW17">
        <v>0.99301918187993998</v>
      </c>
      <c r="AX17">
        <v>1</v>
      </c>
      <c r="AY17">
        <v>1</v>
      </c>
      <c r="AZ17">
        <v>0.90115225919325603</v>
      </c>
      <c r="BA17">
        <v>1</v>
      </c>
      <c r="BB17">
        <v>1.0042273588807</v>
      </c>
      <c r="BC17">
        <v>118134836845.5</v>
      </c>
      <c r="BD17">
        <v>7.3230515766327303E-2</v>
      </c>
      <c r="BE17">
        <v>15221</v>
      </c>
    </row>
    <row r="18" spans="1:57" x14ac:dyDescent="0.25">
      <c r="A18">
        <v>25</v>
      </c>
      <c r="B18">
        <v>30</v>
      </c>
      <c r="C18">
        <v>-25</v>
      </c>
      <c r="D18">
        <v>0.70086602963474198</v>
      </c>
      <c r="E18">
        <v>0.68334288539223298</v>
      </c>
      <c r="F18">
        <v>8.0936475810275805</v>
      </c>
      <c r="G18">
        <v>7.89883593755994</v>
      </c>
      <c r="H18">
        <v>1.0256432672631901</v>
      </c>
      <c r="I18">
        <v>-1.7523144242509298E-2</v>
      </c>
      <c r="J18">
        <v>5.4425580061138103E-2</v>
      </c>
      <c r="K18">
        <v>7.2883209053368203E-3</v>
      </c>
      <c r="L18">
        <v>3.6693457267634802E-2</v>
      </c>
      <c r="M18">
        <v>0.57862560327847201</v>
      </c>
      <c r="N18">
        <v>6.3099238796512098E-3</v>
      </c>
      <c r="O18">
        <v>0</v>
      </c>
      <c r="P18">
        <v>5.6775977406873102</v>
      </c>
      <c r="Q18">
        <v>94.322402259312696</v>
      </c>
      <c r="R18">
        <v>25.160255479503299</v>
      </c>
      <c r="S18">
        <v>56.018156868062597</v>
      </c>
      <c r="T18">
        <v>18.821587652434001</v>
      </c>
      <c r="U18">
        <v>0</v>
      </c>
      <c r="V18">
        <v>74.839744520496694</v>
      </c>
      <c r="W18">
        <v>0.28824271424147802</v>
      </c>
      <c r="X18">
        <v>-36.777295326887398</v>
      </c>
      <c r="Y18">
        <v>229.86332859009801</v>
      </c>
      <c r="Z18">
        <v>100</v>
      </c>
      <c r="AA18">
        <v>41.369635564938001</v>
      </c>
      <c r="AB18">
        <v>276.582901273863</v>
      </c>
      <c r="AC18">
        <v>274.67226447729502</v>
      </c>
      <c r="AD18">
        <v>57.341516328711101</v>
      </c>
      <c r="AE18">
        <v>292.47935549122502</v>
      </c>
      <c r="AF18">
        <v>3.5156961513605798</v>
      </c>
      <c r="AG18">
        <v>782.74935228865797</v>
      </c>
      <c r="AH18">
        <v>3.6008871006926499</v>
      </c>
      <c r="AI18">
        <v>58.099474615188797</v>
      </c>
      <c r="AJ18">
        <v>174.563829192078</v>
      </c>
      <c r="AK18">
        <v>28.655635948132101</v>
      </c>
      <c r="AL18">
        <v>-21.653696286171702</v>
      </c>
      <c r="AM18">
        <v>7.8001893679726901</v>
      </c>
      <c r="AN18">
        <v>43.677877330741701</v>
      </c>
      <c r="AO18">
        <v>0.9</v>
      </c>
      <c r="AP18">
        <v>1.2884625350691199</v>
      </c>
      <c r="AQ18">
        <v>1.2474384964010199</v>
      </c>
      <c r="AR18">
        <v>1.2869999999999999</v>
      </c>
      <c r="AS18">
        <v>1.00721397957383</v>
      </c>
      <c r="AT18">
        <v>0.884594492894482</v>
      </c>
      <c r="AU18">
        <v>0.83449189904306698</v>
      </c>
      <c r="AV18">
        <v>1</v>
      </c>
      <c r="AW18">
        <v>1.00664897591769</v>
      </c>
      <c r="AX18">
        <v>1</v>
      </c>
      <c r="AY18">
        <v>1</v>
      </c>
      <c r="AZ18">
        <v>0.902708332123354</v>
      </c>
      <c r="BA18">
        <v>1</v>
      </c>
      <c r="BB18">
        <v>1.00499163576275</v>
      </c>
      <c r="BC18">
        <v>256024862501.79999</v>
      </c>
      <c r="BD18">
        <v>7.6217330824472407E-2</v>
      </c>
      <c r="BE18">
        <v>32484</v>
      </c>
    </row>
    <row r="19" spans="1:57" x14ac:dyDescent="0.25">
      <c r="A19">
        <v>26</v>
      </c>
      <c r="B19">
        <v>30</v>
      </c>
      <c r="C19">
        <v>0</v>
      </c>
      <c r="D19">
        <v>0.79195303125626604</v>
      </c>
      <c r="E19">
        <v>0.88922824172124404</v>
      </c>
      <c r="F19">
        <v>9.1002264682889695</v>
      </c>
      <c r="G19">
        <v>10.164023035564901</v>
      </c>
      <c r="H19">
        <v>0.89060715134655799</v>
      </c>
      <c r="I19">
        <v>9.7275210464978404E-2</v>
      </c>
      <c r="J19">
        <v>5.55149307049701E-2</v>
      </c>
      <c r="K19">
        <v>8.2194834255501694E-3</v>
      </c>
      <c r="L19">
        <v>0.17206273766411301</v>
      </c>
      <c r="M19">
        <v>0.59165907709642696</v>
      </c>
      <c r="N19">
        <v>6.1772012830184603E-2</v>
      </c>
      <c r="O19">
        <v>0</v>
      </c>
      <c r="P19">
        <v>5.9268845735860198</v>
      </c>
      <c r="Q19">
        <v>94.073115426414006</v>
      </c>
      <c r="R19">
        <v>24.279350834742502</v>
      </c>
      <c r="S19">
        <v>55.625201158091897</v>
      </c>
      <c r="T19">
        <v>20.0954480071657</v>
      </c>
      <c r="U19">
        <v>0</v>
      </c>
      <c r="V19">
        <v>75.720649165257498</v>
      </c>
      <c r="W19">
        <v>0.32125648565946802</v>
      </c>
      <c r="X19">
        <v>-13.1670902011619</v>
      </c>
      <c r="Y19">
        <v>645.40821711179501</v>
      </c>
      <c r="Z19">
        <v>100</v>
      </c>
      <c r="AA19">
        <v>41.585892439977002</v>
      </c>
      <c r="AB19">
        <v>269.02773593996801</v>
      </c>
      <c r="AC19">
        <v>267.11473211844202</v>
      </c>
      <c r="AD19">
        <v>59.388768350790599</v>
      </c>
      <c r="AE19">
        <v>290.21111220901798</v>
      </c>
      <c r="AF19">
        <v>3.7109655806986002</v>
      </c>
      <c r="AG19">
        <v>782.55901851840304</v>
      </c>
      <c r="AH19">
        <v>6.7635774329270104</v>
      </c>
      <c r="AI19">
        <v>50.733634137462602</v>
      </c>
      <c r="AJ19">
        <v>174.33906575031</v>
      </c>
      <c r="AK19">
        <v>30.096704414965899</v>
      </c>
      <c r="AL19">
        <v>-14.5305196363981</v>
      </c>
      <c r="AM19">
        <v>7.6964532241123296</v>
      </c>
      <c r="AN19">
        <v>44.7620038708057</v>
      </c>
      <c r="AO19">
        <v>0.9</v>
      </c>
      <c r="AP19">
        <v>1.2873480615538999</v>
      </c>
      <c r="AQ19">
        <v>1.2495517092404</v>
      </c>
      <c r="AR19">
        <v>1.2869999999999999</v>
      </c>
      <c r="AS19">
        <v>1.0072085435784099</v>
      </c>
      <c r="AT19">
        <v>0.89319180594193104</v>
      </c>
      <c r="AU19">
        <v>0.83483755153249795</v>
      </c>
      <c r="AV19">
        <v>1</v>
      </c>
      <c r="AW19">
        <v>1.0208318325155299</v>
      </c>
      <c r="AX19">
        <v>1</v>
      </c>
      <c r="AY19">
        <v>1</v>
      </c>
      <c r="AZ19">
        <v>0.90156315608516502</v>
      </c>
      <c r="BA19">
        <v>1</v>
      </c>
      <c r="BB19">
        <v>1.0081041675939599</v>
      </c>
      <c r="BC19">
        <v>268942051345.79999</v>
      </c>
      <c r="BD19">
        <v>7.6287568959223798E-2</v>
      </c>
      <c r="BE19">
        <v>49714</v>
      </c>
    </row>
    <row r="20" spans="1:57" x14ac:dyDescent="0.25">
      <c r="A20">
        <v>27</v>
      </c>
      <c r="B20">
        <v>30</v>
      </c>
      <c r="C20">
        <v>25</v>
      </c>
      <c r="D20">
        <v>0.89953113202329205</v>
      </c>
      <c r="E20">
        <v>1.0436166924916199</v>
      </c>
      <c r="F20">
        <v>10.2760239243971</v>
      </c>
      <c r="G20">
        <v>11.8289992769687</v>
      </c>
      <c r="H20">
        <v>0.861936320581144</v>
      </c>
      <c r="I20">
        <v>0.14408556046833099</v>
      </c>
      <c r="J20">
        <v>5.8382002635255399E-2</v>
      </c>
      <c r="K20">
        <v>1.00482420360356E-2</v>
      </c>
      <c r="L20">
        <v>0.20082762603729701</v>
      </c>
      <c r="M20">
        <v>0.60140746655546196</v>
      </c>
      <c r="N20">
        <v>0.17295135522757299</v>
      </c>
      <c r="O20">
        <v>0</v>
      </c>
      <c r="P20">
        <v>6.1653406332809597</v>
      </c>
      <c r="Q20">
        <v>93.834659366718995</v>
      </c>
      <c r="R20">
        <v>25.007890809023898</v>
      </c>
      <c r="S20">
        <v>54.717304355367197</v>
      </c>
      <c r="T20">
        <v>20.274804835608901</v>
      </c>
      <c r="U20">
        <v>0</v>
      </c>
      <c r="V20">
        <v>74.992109190976095</v>
      </c>
      <c r="W20">
        <v>0.38705900322314202</v>
      </c>
      <c r="X20">
        <v>11.336212893648501</v>
      </c>
      <c r="Y20">
        <v>1434.5216231189099</v>
      </c>
      <c r="Z20">
        <v>100</v>
      </c>
      <c r="AA20">
        <v>41.226002714669796</v>
      </c>
      <c r="AB20">
        <v>260.38377421413099</v>
      </c>
      <c r="AC20">
        <v>258.49186578765602</v>
      </c>
      <c r="AD20">
        <v>64.592811723676206</v>
      </c>
      <c r="AE20">
        <v>284.23304845310503</v>
      </c>
      <c r="AF20">
        <v>3.9252855480963098</v>
      </c>
      <c r="AG20">
        <v>782.55961699211196</v>
      </c>
      <c r="AH20">
        <v>10.4000484534692</v>
      </c>
      <c r="AI20">
        <v>48.443253012496001</v>
      </c>
      <c r="AJ20">
        <v>174.75086060515</v>
      </c>
      <c r="AK20">
        <v>31.035681125041201</v>
      </c>
      <c r="AL20">
        <v>-13.2149137940677</v>
      </c>
      <c r="AM20">
        <v>7.3059503135120902</v>
      </c>
      <c r="AN20">
        <v>46.452188334287598</v>
      </c>
      <c r="AO20">
        <v>0.9</v>
      </c>
      <c r="AP20">
        <v>1.2841489654240199</v>
      </c>
      <c r="AQ20">
        <v>1.2545794608729</v>
      </c>
      <c r="AR20">
        <v>1.2869999999999999</v>
      </c>
      <c r="AS20">
        <v>1.00721777514383</v>
      </c>
      <c r="AT20">
        <v>0.90341590032790597</v>
      </c>
      <c r="AU20">
        <v>0.83482425922824799</v>
      </c>
      <c r="AV20">
        <v>1</v>
      </c>
      <c r="AW20">
        <v>1.02180797101124</v>
      </c>
      <c r="AX20">
        <v>1</v>
      </c>
      <c r="AY20">
        <v>1</v>
      </c>
      <c r="AZ20">
        <v>0.90251025805173102</v>
      </c>
      <c r="BA20">
        <v>1</v>
      </c>
      <c r="BB20">
        <v>1.0097202748129099</v>
      </c>
      <c r="BC20">
        <v>198964096424.5</v>
      </c>
      <c r="BD20">
        <v>8.2018108494861006E-2</v>
      </c>
      <c r="BE20">
        <v>47726</v>
      </c>
    </row>
    <row r="21" spans="1:57" x14ac:dyDescent="0.25">
      <c r="A21">
        <v>28</v>
      </c>
      <c r="B21">
        <v>30</v>
      </c>
      <c r="C21">
        <v>50</v>
      </c>
      <c r="D21">
        <v>1.06866119554949</v>
      </c>
      <c r="E21">
        <v>1.1912320363925799</v>
      </c>
      <c r="F21">
        <v>12.096405298709</v>
      </c>
      <c r="G21">
        <v>13.394432895186201</v>
      </c>
      <c r="H21">
        <v>0.89710582229279201</v>
      </c>
      <c r="I21">
        <v>0.122570840843097</v>
      </c>
      <c r="J21">
        <v>6.1922876410436201E-2</v>
      </c>
      <c r="K21">
        <v>1.53131377229151E-2</v>
      </c>
      <c r="L21">
        <v>0.20644942042881301</v>
      </c>
      <c r="M21">
        <v>0.60825419296963601</v>
      </c>
      <c r="N21">
        <v>0.29929240886078301</v>
      </c>
      <c r="O21">
        <v>0</v>
      </c>
      <c r="P21">
        <v>6.8118563234283203</v>
      </c>
      <c r="Q21">
        <v>93.188143676571698</v>
      </c>
      <c r="R21">
        <v>27.328111766140299</v>
      </c>
      <c r="S21">
        <v>51.148597973239397</v>
      </c>
      <c r="T21">
        <v>21.5232902606203</v>
      </c>
      <c r="U21">
        <v>0</v>
      </c>
      <c r="V21">
        <v>72.671888233859704</v>
      </c>
      <c r="W21">
        <v>0.58029913061928495</v>
      </c>
      <c r="X21">
        <v>36.966451240574003</v>
      </c>
      <c r="Y21">
        <v>2929.8023584991402</v>
      </c>
      <c r="Z21">
        <v>100</v>
      </c>
      <c r="AA21">
        <v>41.402860704971097</v>
      </c>
      <c r="AB21">
        <v>249.96823435057999</v>
      </c>
      <c r="AC21">
        <v>248.114499268066</v>
      </c>
      <c r="AD21">
        <v>71.118656484044607</v>
      </c>
      <c r="AE21">
        <v>277.34309210849898</v>
      </c>
      <c r="AF21">
        <v>4.2235378602724101</v>
      </c>
      <c r="AG21">
        <v>781.66931012916496</v>
      </c>
      <c r="AH21">
        <v>16.548574508352001</v>
      </c>
      <c r="AI21">
        <v>47.700416965297002</v>
      </c>
      <c r="AJ21">
        <v>174.70575101738899</v>
      </c>
      <c r="AK21">
        <v>29.745524467318798</v>
      </c>
      <c r="AL21">
        <v>-12.7794485961431</v>
      </c>
      <c r="AM21">
        <v>6.6041773620448696</v>
      </c>
      <c r="AN21">
        <v>45.8235290807403</v>
      </c>
      <c r="AO21">
        <v>0.9</v>
      </c>
      <c r="AP21">
        <v>1.27799526130811</v>
      </c>
      <c r="AQ21">
        <v>1.25744779886569</v>
      </c>
      <c r="AR21">
        <v>1.2869999999999999</v>
      </c>
      <c r="AS21">
        <v>1.0072125664782601</v>
      </c>
      <c r="AT21">
        <v>0.91610730101785498</v>
      </c>
      <c r="AU21">
        <v>0.83655964012384498</v>
      </c>
      <c r="AV21">
        <v>1</v>
      </c>
      <c r="AW21">
        <v>1.0216474834442699</v>
      </c>
      <c r="AX21">
        <v>1</v>
      </c>
      <c r="AY21">
        <v>1</v>
      </c>
      <c r="AZ21">
        <v>0.90552654529598198</v>
      </c>
      <c r="BA21">
        <v>1</v>
      </c>
      <c r="BB21">
        <v>1.01103412551654</v>
      </c>
      <c r="BC21">
        <v>116705262936.3</v>
      </c>
      <c r="BD21">
        <v>8.5046556657703803E-2</v>
      </c>
      <c r="BE21">
        <v>39346</v>
      </c>
    </row>
    <row r="22" spans="1:57" x14ac:dyDescent="0.25">
      <c r="A22">
        <v>29</v>
      </c>
      <c r="B22">
        <v>30</v>
      </c>
      <c r="C22">
        <v>75</v>
      </c>
      <c r="D22">
        <v>1.2351974746632299</v>
      </c>
      <c r="E22">
        <v>1.3262181863312299</v>
      </c>
      <c r="F22">
        <v>13.8557296790307</v>
      </c>
      <c r="G22">
        <v>14.803592579627599</v>
      </c>
      <c r="H22">
        <v>0.93136822235880001</v>
      </c>
      <c r="I22">
        <v>9.1020711667999396E-2</v>
      </c>
      <c r="J22">
        <v>6.5123255206162703E-2</v>
      </c>
      <c r="K22">
        <v>2.0702175479458601E-2</v>
      </c>
      <c r="L22">
        <v>0.20814167216745399</v>
      </c>
      <c r="M22">
        <v>0.61063183268559296</v>
      </c>
      <c r="N22">
        <v>0.42161925079255702</v>
      </c>
      <c r="O22">
        <v>0</v>
      </c>
      <c r="P22">
        <v>7.0805997832673402</v>
      </c>
      <c r="Q22">
        <v>92.919400216732697</v>
      </c>
      <c r="R22">
        <v>27.8017339836281</v>
      </c>
      <c r="S22">
        <v>50.178286126963897</v>
      </c>
      <c r="T22">
        <v>22.019979889407999</v>
      </c>
      <c r="U22">
        <v>0</v>
      </c>
      <c r="V22">
        <v>72.198266016371903</v>
      </c>
      <c r="W22">
        <v>0.76904692870041702</v>
      </c>
      <c r="X22">
        <v>61.659819332867002</v>
      </c>
      <c r="Y22">
        <v>4503.6984033205599</v>
      </c>
      <c r="Z22">
        <v>100</v>
      </c>
      <c r="AA22">
        <v>40.986393785420397</v>
      </c>
      <c r="AB22">
        <v>243.66542342385199</v>
      </c>
      <c r="AC22">
        <v>241.85404949546401</v>
      </c>
      <c r="AD22">
        <v>76.786284209482602</v>
      </c>
      <c r="AE22">
        <v>271.12960053256199</v>
      </c>
      <c r="AF22">
        <v>4.4509634200053396</v>
      </c>
      <c r="AG22">
        <v>781.03583168682906</v>
      </c>
      <c r="AH22">
        <v>20.1543195504523</v>
      </c>
      <c r="AI22">
        <v>45.175973739251397</v>
      </c>
      <c r="AJ22">
        <v>174.81228339736799</v>
      </c>
      <c r="AK22">
        <v>30.281005804182399</v>
      </c>
      <c r="AL22">
        <v>-11.6294818800857</v>
      </c>
      <c r="AM22">
        <v>6.11643629245778</v>
      </c>
      <c r="AN22">
        <v>45.901058591793998</v>
      </c>
      <c r="AO22">
        <v>0.9</v>
      </c>
      <c r="AP22">
        <v>1.2725307235757499</v>
      </c>
      <c r="AQ22">
        <v>1.2593890762859701</v>
      </c>
      <c r="AR22">
        <v>1.2869999999999999</v>
      </c>
      <c r="AS22">
        <v>1.0072225587625701</v>
      </c>
      <c r="AT22">
        <v>0.924131275939022</v>
      </c>
      <c r="AU22">
        <v>0.837796366993386</v>
      </c>
      <c r="AV22">
        <v>1</v>
      </c>
      <c r="AW22">
        <v>1.0244324641768801</v>
      </c>
      <c r="AX22">
        <v>1</v>
      </c>
      <c r="AY22">
        <v>1</v>
      </c>
      <c r="AZ22">
        <v>0.90614225417871697</v>
      </c>
      <c r="BA22">
        <v>1</v>
      </c>
      <c r="BB22">
        <v>1.0122792555448401</v>
      </c>
      <c r="BC22">
        <v>89096621119.699997</v>
      </c>
      <c r="BD22">
        <v>9.2432336572690205E-2</v>
      </c>
      <c r="BE22">
        <v>38229</v>
      </c>
    </row>
    <row r="23" spans="1:57" x14ac:dyDescent="0.25">
      <c r="A23">
        <v>30</v>
      </c>
      <c r="B23">
        <v>30</v>
      </c>
      <c r="C23">
        <v>100</v>
      </c>
      <c r="D23">
        <v>1.41874214344476</v>
      </c>
      <c r="E23">
        <v>1.6105066102362999</v>
      </c>
      <c r="F23">
        <v>15.757302785442899</v>
      </c>
      <c r="G23">
        <v>17.702869520074302</v>
      </c>
      <c r="H23">
        <v>0.88092910294642501</v>
      </c>
      <c r="I23">
        <v>0.19176446679154899</v>
      </c>
      <c r="J23">
        <v>6.7870968561876896E-2</v>
      </c>
      <c r="K23">
        <v>2.8221635215831001E-2</v>
      </c>
      <c r="L23">
        <v>0.21128406356460699</v>
      </c>
      <c r="M23">
        <v>0.63055604209862104</v>
      </c>
      <c r="N23">
        <v>0.67257390079536905</v>
      </c>
      <c r="O23">
        <v>0</v>
      </c>
      <c r="P23">
        <v>8.1391095094367891</v>
      </c>
      <c r="Q23">
        <v>91.860890490563193</v>
      </c>
      <c r="R23">
        <v>29.744128173171699</v>
      </c>
      <c r="S23">
        <v>46.273071645781599</v>
      </c>
      <c r="T23">
        <v>23.982800181046699</v>
      </c>
      <c r="U23">
        <v>0</v>
      </c>
      <c r="V23">
        <v>70.255871826828297</v>
      </c>
      <c r="W23">
        <v>1.0088184167249501</v>
      </c>
      <c r="X23">
        <v>87.468522028976395</v>
      </c>
      <c r="Y23">
        <v>6449.6634933987798</v>
      </c>
      <c r="Z23">
        <v>100</v>
      </c>
      <c r="AA23">
        <v>40.620161379208298</v>
      </c>
      <c r="AB23">
        <v>239.216373985953</v>
      </c>
      <c r="AC23">
        <v>237.453991435441</v>
      </c>
      <c r="AD23">
        <v>81.653134390092106</v>
      </c>
      <c r="AE23">
        <v>265.98690410540399</v>
      </c>
      <c r="AF23">
        <v>4.7182648538162999</v>
      </c>
      <c r="AG23">
        <v>779.87883545809098</v>
      </c>
      <c r="AH23">
        <v>18.886003984513302</v>
      </c>
      <c r="AI23">
        <v>45.830681363477296</v>
      </c>
      <c r="AJ23">
        <v>174.03971604771999</v>
      </c>
      <c r="AK23">
        <v>29.943841404168399</v>
      </c>
      <c r="AL23">
        <v>-9.1248336549191702</v>
      </c>
      <c r="AM23">
        <v>5.80120463550133</v>
      </c>
      <c r="AN23">
        <v>46.330617980191299</v>
      </c>
      <c r="AO23">
        <v>0.9</v>
      </c>
      <c r="AP23">
        <v>1.2692310036061201</v>
      </c>
      <c r="AQ23">
        <v>1.26073367836337</v>
      </c>
      <c r="AR23">
        <v>1.2869999999999999</v>
      </c>
      <c r="AS23">
        <v>1.0072329189140099</v>
      </c>
      <c r="AT23">
        <v>0.93011023832054096</v>
      </c>
      <c r="AU23">
        <v>0.84007364973389598</v>
      </c>
      <c r="AV23">
        <v>1</v>
      </c>
      <c r="AW23">
        <v>1.02940207985038</v>
      </c>
      <c r="AX23">
        <v>1</v>
      </c>
      <c r="AY23">
        <v>1</v>
      </c>
      <c r="AZ23">
        <v>0.90866736662512304</v>
      </c>
      <c r="BA23">
        <v>1</v>
      </c>
      <c r="BB23">
        <v>1.01335644611555</v>
      </c>
      <c r="BC23">
        <v>73568162678.699997</v>
      </c>
      <c r="BD23">
        <v>9.3195420573691706E-2</v>
      </c>
      <c r="BE23">
        <v>34630</v>
      </c>
    </row>
    <row r="24" spans="1:57" x14ac:dyDescent="0.25">
      <c r="A24">
        <v>31</v>
      </c>
      <c r="B24">
        <v>30</v>
      </c>
      <c r="C24">
        <v>125</v>
      </c>
      <c r="D24">
        <v>1.4986338118398099</v>
      </c>
      <c r="E24">
        <v>1.6787993846857701</v>
      </c>
      <c r="F24">
        <v>16.5729188838122</v>
      </c>
      <c r="G24">
        <v>18.385734257465799</v>
      </c>
      <c r="H24">
        <v>0.89268189249445395</v>
      </c>
      <c r="I24">
        <v>0.180165572845951</v>
      </c>
      <c r="J24">
        <v>7.0390934607560698E-2</v>
      </c>
      <c r="K24">
        <v>3.41411814021685E-2</v>
      </c>
      <c r="L24">
        <v>0.21385183415861</v>
      </c>
      <c r="M24">
        <v>0.63876682707839005</v>
      </c>
      <c r="N24">
        <v>0.72164860743903603</v>
      </c>
      <c r="O24">
        <v>0</v>
      </c>
      <c r="P24">
        <v>8.8018265892921903</v>
      </c>
      <c r="Q24">
        <v>91.198173410707795</v>
      </c>
      <c r="R24">
        <v>28.648254842182599</v>
      </c>
      <c r="S24">
        <v>45.784894551880797</v>
      </c>
      <c r="T24">
        <v>25.566850605936601</v>
      </c>
      <c r="U24">
        <v>0</v>
      </c>
      <c r="V24">
        <v>71.351745157817405</v>
      </c>
      <c r="W24">
        <v>1.19808497634402</v>
      </c>
      <c r="X24">
        <v>110.09665193477301</v>
      </c>
      <c r="Y24">
        <v>7927.3506173629103</v>
      </c>
      <c r="Z24">
        <v>100</v>
      </c>
      <c r="AA24">
        <v>40.3456304960376</v>
      </c>
      <c r="AB24">
        <v>235.32063947182601</v>
      </c>
      <c r="AC24">
        <v>233.59613723816099</v>
      </c>
      <c r="AD24">
        <v>86.591524298921996</v>
      </c>
      <c r="AE24">
        <v>261.015079911557</v>
      </c>
      <c r="AF24">
        <v>4.8782003173927801</v>
      </c>
      <c r="AG24">
        <v>778.92196255716499</v>
      </c>
      <c r="AH24">
        <v>19.216152997038201</v>
      </c>
      <c r="AI24">
        <v>44.628212882997197</v>
      </c>
      <c r="AJ24">
        <v>174.505794826163</v>
      </c>
      <c r="AK24">
        <v>32.365784217396303</v>
      </c>
      <c r="AL24">
        <v>-5.0991275285762097</v>
      </c>
      <c r="AM24">
        <v>5.5116612766379403</v>
      </c>
      <c r="AN24">
        <v>47.256509909801999</v>
      </c>
      <c r="AO24">
        <v>0.9</v>
      </c>
      <c r="AP24">
        <v>1.2647083162914401</v>
      </c>
      <c r="AQ24">
        <v>1.2624235830678501</v>
      </c>
      <c r="AR24">
        <v>1.2869999999999999</v>
      </c>
      <c r="AS24">
        <v>1.0072415545153801</v>
      </c>
      <c r="AT24">
        <v>0.93521148824675604</v>
      </c>
      <c r="AU24">
        <v>0.84195639232493302</v>
      </c>
      <c r="AV24">
        <v>1</v>
      </c>
      <c r="AW24">
        <v>1.0370186980412099</v>
      </c>
      <c r="AX24">
        <v>1</v>
      </c>
      <c r="AY24">
        <v>1</v>
      </c>
      <c r="AZ24">
        <v>0.90724273129483701</v>
      </c>
      <c r="BA24">
        <v>1</v>
      </c>
      <c r="BB24">
        <v>1.01535754538159</v>
      </c>
      <c r="BC24">
        <v>51508928034.5</v>
      </c>
      <c r="BD24">
        <v>9.4905369954560406E-2</v>
      </c>
      <c r="BE24">
        <v>26334</v>
      </c>
    </row>
    <row r="25" spans="1:57" x14ac:dyDescent="0.25">
      <c r="A25">
        <v>32</v>
      </c>
      <c r="B25">
        <v>30</v>
      </c>
      <c r="C25">
        <v>150</v>
      </c>
      <c r="D25">
        <v>1.7539241039692199</v>
      </c>
      <c r="E25">
        <v>1.6983214548705801</v>
      </c>
      <c r="F25">
        <v>19.130910059752299</v>
      </c>
      <c r="G25">
        <v>18.5799801326704</v>
      </c>
      <c r="H25">
        <v>1.03273976722085</v>
      </c>
      <c r="I25">
        <v>-5.5602649098633501E-2</v>
      </c>
      <c r="J25">
        <v>7.2078936769482002E-2</v>
      </c>
      <c r="K25">
        <v>4.9999566383749701E-2</v>
      </c>
      <c r="L25">
        <v>0.21668792990507599</v>
      </c>
      <c r="M25">
        <v>0.66448213462412797</v>
      </c>
      <c r="N25">
        <v>0.69507288718814697</v>
      </c>
      <c r="O25">
        <v>0</v>
      </c>
      <c r="P25">
        <v>10.246177197292299</v>
      </c>
      <c r="Q25">
        <v>89.753822802707703</v>
      </c>
      <c r="R25">
        <v>27.932734132848299</v>
      </c>
      <c r="S25">
        <v>44.454753474645599</v>
      </c>
      <c r="T25">
        <v>27.612512392506101</v>
      </c>
      <c r="U25">
        <v>0</v>
      </c>
      <c r="V25">
        <v>72.067265867151704</v>
      </c>
      <c r="W25">
        <v>1.7304882113303399</v>
      </c>
      <c r="X25">
        <v>135.89866394627501</v>
      </c>
      <c r="Y25">
        <v>10118.854214351901</v>
      </c>
      <c r="Z25">
        <v>100</v>
      </c>
      <c r="AA25">
        <v>41.084936219124501</v>
      </c>
      <c r="AB25">
        <v>230.89406806363201</v>
      </c>
      <c r="AC25">
        <v>229.224979313972</v>
      </c>
      <c r="AD25">
        <v>90.008973555247493</v>
      </c>
      <c r="AE25">
        <v>257.80629072426399</v>
      </c>
      <c r="AF25">
        <v>5.14199013936393</v>
      </c>
      <c r="AG25">
        <v>777.40977145859495</v>
      </c>
      <c r="AH25">
        <v>22.6995556243564</v>
      </c>
      <c r="AI25">
        <v>37.440182403380099</v>
      </c>
      <c r="AJ25">
        <v>174.293177858782</v>
      </c>
      <c r="AK25">
        <v>31.9815735823015</v>
      </c>
      <c r="AL25">
        <v>12.3163311876999</v>
      </c>
      <c r="AM25">
        <v>5.2221567318148097</v>
      </c>
      <c r="AN25">
        <v>46.739977555706098</v>
      </c>
      <c r="AO25">
        <v>0.9</v>
      </c>
      <c r="AP25">
        <v>1.2612031811820099</v>
      </c>
      <c r="AQ25">
        <v>1.2628250147348901</v>
      </c>
      <c r="AR25">
        <v>1.2869999999999999</v>
      </c>
      <c r="AS25">
        <v>1.0072228376787</v>
      </c>
      <c r="AT25">
        <v>0.94070928279996802</v>
      </c>
      <c r="AU25">
        <v>0.84485127568916096</v>
      </c>
      <c r="AV25">
        <v>1</v>
      </c>
      <c r="AW25">
        <v>1.0610201390715099</v>
      </c>
      <c r="AX25">
        <v>1</v>
      </c>
      <c r="AY25">
        <v>1</v>
      </c>
      <c r="AZ25">
        <v>0.90631255437270297</v>
      </c>
      <c r="BA25">
        <v>1</v>
      </c>
      <c r="BB25">
        <v>1.01915670117671</v>
      </c>
      <c r="BC25">
        <v>18248422089.5</v>
      </c>
      <c r="BD25">
        <v>0.105172371632027</v>
      </c>
      <c r="BE25">
        <v>12183</v>
      </c>
    </row>
    <row r="29" spans="1:57" x14ac:dyDescent="0.25">
      <c r="E29">
        <v>1</v>
      </c>
    </row>
    <row r="30" spans="1:57" x14ac:dyDescent="0.25">
      <c r="A30" t="s">
        <v>64</v>
      </c>
      <c r="B30" t="s">
        <v>53</v>
      </c>
      <c r="D30" t="s">
        <v>58</v>
      </c>
      <c r="E30" t="s">
        <v>59</v>
      </c>
      <c r="F30" t="s">
        <v>6</v>
      </c>
      <c r="H30" t="s">
        <v>63</v>
      </c>
      <c r="I30" t="s">
        <v>60</v>
      </c>
      <c r="J30" t="s">
        <v>62</v>
      </c>
      <c r="K30" t="s">
        <v>61</v>
      </c>
      <c r="L30" t="s">
        <v>60</v>
      </c>
    </row>
    <row r="31" spans="1:57" x14ac:dyDescent="0.25">
      <c r="A31" s="7">
        <f>X4</f>
        <v>-36.241809802488397</v>
      </c>
      <c r="B31" s="1">
        <f>BC4/1000000000</f>
        <v>58.293562619599996</v>
      </c>
      <c r="C31">
        <f>C4</f>
        <v>-25</v>
      </c>
      <c r="D31" s="1">
        <f>D4</f>
        <v>0.79270067173598202</v>
      </c>
      <c r="E31" s="1">
        <f>J4+K4+L4*$E$29+M4+N4</f>
        <v>0.64795752081198577</v>
      </c>
      <c r="F31" s="1">
        <f>D31/E31</f>
        <v>1.223383703830788</v>
      </c>
      <c r="H31">
        <v>2.36085041324655</v>
      </c>
      <c r="I31">
        <v>1</v>
      </c>
      <c r="J31" s="2">
        <f>H31*I31</f>
        <v>2.36085041324655</v>
      </c>
      <c r="K31" s="1">
        <f>J4+K4+L4*I31*$I$39+M4+N4</f>
        <v>0.61970161083854025</v>
      </c>
      <c r="L31" s="1">
        <f>D31/K31</f>
        <v>1.2791650979627931</v>
      </c>
    </row>
    <row r="32" spans="1:57" x14ac:dyDescent="0.25">
      <c r="A32" s="7">
        <f>X5</f>
        <v>-11.729858686700499</v>
      </c>
      <c r="B32" s="1">
        <f>BC5/1000000000</f>
        <v>91.635842240000002</v>
      </c>
      <c r="C32">
        <f>C5</f>
        <v>0</v>
      </c>
      <c r="D32" s="1">
        <f>D5</f>
        <v>0.84994472599764104</v>
      </c>
      <c r="E32" s="1">
        <f>J5+K5+L5*$E$29+M5+N5</f>
        <v>0.82170400032819768</v>
      </c>
      <c r="F32" s="1">
        <f>D32/E32</f>
        <v>1.0343684899406158</v>
      </c>
      <c r="H32">
        <v>2.5499999999999998</v>
      </c>
      <c r="I32">
        <v>1</v>
      </c>
      <c r="J32" s="2">
        <f>H32*I32</f>
        <v>2.5499999999999998</v>
      </c>
      <c r="K32" s="1">
        <f t="shared" ref="K32:K36" si="0">J5+K5+L5*I32*$I$39+M5+N5</f>
        <v>0.71402664790618131</v>
      </c>
      <c r="L32" s="1">
        <f>D32/K32</f>
        <v>1.1903543495050601</v>
      </c>
      <c r="P32" s="6"/>
      <c r="Q32" s="1"/>
      <c r="R32" s="1"/>
    </row>
    <row r="33" spans="1:18" x14ac:dyDescent="0.25">
      <c r="A33" s="7">
        <f>X6</f>
        <v>12.723857395383</v>
      </c>
      <c r="B33" s="1">
        <f>BC6/1000000000</f>
        <v>104.57458617419999</v>
      </c>
      <c r="C33">
        <f>C6</f>
        <v>25</v>
      </c>
      <c r="D33" s="1">
        <f>D6</f>
        <v>1.0265207526286899</v>
      </c>
      <c r="E33" s="1">
        <f>J6+K6+L6*$E$29+M6+N6</f>
        <v>0.99326933477880153</v>
      </c>
      <c r="F33" s="1">
        <f t="shared" ref="F33:F36" si="1">D33/E33</f>
        <v>1.0334767385699</v>
      </c>
      <c r="H33">
        <v>2.7643932628223098</v>
      </c>
      <c r="I33">
        <v>1</v>
      </c>
      <c r="J33" s="2">
        <f t="shared" ref="J33:J36" si="2">H33*I33</f>
        <v>2.7643932628223098</v>
      </c>
      <c r="K33" s="1">
        <f t="shared" si="0"/>
        <v>0.87205150598962777</v>
      </c>
      <c r="L33" s="1">
        <f t="shared" ref="L33:L36" si="3">D33/K33</f>
        <v>1.1771331688301669</v>
      </c>
      <c r="P33" s="6"/>
      <c r="Q33" s="1"/>
      <c r="R33" s="1"/>
    </row>
    <row r="34" spans="1:18" x14ac:dyDescent="0.25">
      <c r="A34" s="7">
        <f>X7</f>
        <v>36.955576033153598</v>
      </c>
      <c r="B34" s="1">
        <f>BC7/1000000000</f>
        <v>114.8181130806</v>
      </c>
      <c r="C34">
        <f>C7</f>
        <v>50</v>
      </c>
      <c r="D34" s="1">
        <f>D7</f>
        <v>1.2100236893846501</v>
      </c>
      <c r="E34" s="1">
        <f>J7+K7+L7*$E$29+M7+N7</f>
        <v>1.220050244089494</v>
      </c>
      <c r="F34" s="1">
        <f t="shared" si="1"/>
        <v>0.99178185099063143</v>
      </c>
      <c r="H34">
        <v>2.9235665517913998</v>
      </c>
      <c r="I34">
        <v>1</v>
      </c>
      <c r="J34" s="2">
        <f t="shared" si="2"/>
        <v>2.9235665517913998</v>
      </c>
      <c r="K34" s="1">
        <f t="shared" si="0"/>
        <v>1.0960052906263056</v>
      </c>
      <c r="L34" s="1">
        <f t="shared" si="3"/>
        <v>1.1040308835491017</v>
      </c>
      <c r="P34" s="6"/>
      <c r="Q34" s="1"/>
      <c r="R34" s="1"/>
    </row>
    <row r="35" spans="1:18" x14ac:dyDescent="0.25">
      <c r="A35" s="7">
        <f>X8</f>
        <v>60.8192008873852</v>
      </c>
      <c r="B35" s="1">
        <f>BC8/1000000000</f>
        <v>65.597553835599996</v>
      </c>
      <c r="C35">
        <f>C8</f>
        <v>75</v>
      </c>
      <c r="D35" s="1">
        <f>D8</f>
        <v>1.48205896550056</v>
      </c>
      <c r="E35" s="1">
        <f>J8+K8+L8*$E$29+M8+N8</f>
        <v>1.4902314525921434</v>
      </c>
      <c r="F35" s="1">
        <f t="shared" si="1"/>
        <v>0.99451596121034225</v>
      </c>
      <c r="H35">
        <v>3.0290838155926898</v>
      </c>
      <c r="I35">
        <v>1</v>
      </c>
      <c r="J35" s="2">
        <f t="shared" si="2"/>
        <v>3.0290838155926898</v>
      </c>
      <c r="K35" s="1">
        <f t="shared" si="0"/>
        <v>1.3652793743020442</v>
      </c>
      <c r="L35" s="1">
        <f t="shared" si="3"/>
        <v>1.0855353075689844</v>
      </c>
      <c r="P35" s="6"/>
      <c r="Q35" s="1"/>
      <c r="R35" s="1"/>
    </row>
    <row r="36" spans="1:18" x14ac:dyDescent="0.25">
      <c r="A36" s="7">
        <f>X9</f>
        <v>83.264625886779598</v>
      </c>
      <c r="B36" s="1">
        <f>BC9/1000000000</f>
        <v>22.3868678368</v>
      </c>
      <c r="C36">
        <f>C9</f>
        <v>100</v>
      </c>
      <c r="D36" s="1">
        <f>D9</f>
        <v>1.5765141944216601</v>
      </c>
      <c r="E36" s="1">
        <f>J9+K9+L9*$E$29+M9+N9</f>
        <v>1.8180563663288209</v>
      </c>
      <c r="F36" s="1">
        <f t="shared" si="1"/>
        <v>0.8671426384898594</v>
      </c>
      <c r="H36">
        <v>3.07</v>
      </c>
      <c r="I36">
        <v>1</v>
      </c>
      <c r="J36" s="2">
        <f t="shared" si="2"/>
        <v>3.07</v>
      </c>
      <c r="K36" s="1">
        <f t="shared" si="0"/>
        <v>1.6914403127542021</v>
      </c>
      <c r="L36" s="1">
        <f t="shared" si="3"/>
        <v>0.93205428683120017</v>
      </c>
      <c r="P36" s="6"/>
      <c r="Q36" s="1"/>
      <c r="R36" s="1"/>
    </row>
    <row r="37" spans="1:18" x14ac:dyDescent="0.25">
      <c r="J37" s="3"/>
      <c r="Q37" s="1"/>
      <c r="R37" s="1"/>
    </row>
    <row r="38" spans="1:18" x14ac:dyDescent="0.25">
      <c r="H38" t="s">
        <v>65</v>
      </c>
      <c r="J38" s="3"/>
      <c r="Q38" s="1"/>
      <c r="R38" s="1"/>
    </row>
    <row r="39" spans="1:18" x14ac:dyDescent="0.25">
      <c r="H39">
        <v>5.6382165000000005E-4</v>
      </c>
      <c r="I39">
        <v>0.4</v>
      </c>
      <c r="J39" s="8">
        <f t="shared" ref="J39" si="4">H39*I39</f>
        <v>2.2552866000000003E-4</v>
      </c>
      <c r="Q39" s="1"/>
      <c r="R39" s="1"/>
    </row>
    <row r="40" spans="1:18" x14ac:dyDescent="0.25">
      <c r="J40" s="3"/>
      <c r="Q40" s="1"/>
      <c r="R40" s="1"/>
    </row>
    <row r="41" spans="1:18" x14ac:dyDescent="0.25">
      <c r="J41" s="3"/>
      <c r="Q41" s="1"/>
      <c r="R41" s="1"/>
    </row>
    <row r="42" spans="1:18" x14ac:dyDescent="0.25">
      <c r="J42" s="3"/>
      <c r="Q42" s="1"/>
      <c r="R42" s="1"/>
    </row>
    <row r="43" spans="1:18" x14ac:dyDescent="0.25">
      <c r="J43" s="3"/>
      <c r="Q43" s="1"/>
      <c r="R43" s="1"/>
    </row>
    <row r="44" spans="1:18" x14ac:dyDescent="0.25">
      <c r="J44" s="3"/>
      <c r="Q44" s="1"/>
      <c r="R44" s="1"/>
    </row>
    <row r="45" spans="1:18" x14ac:dyDescent="0.25">
      <c r="J45" s="3"/>
      <c r="Q45" s="1"/>
      <c r="R45" s="1"/>
    </row>
    <row r="46" spans="1:18" x14ac:dyDescent="0.25">
      <c r="A46" t="s">
        <v>64</v>
      </c>
      <c r="B46" t="s">
        <v>53</v>
      </c>
      <c r="D46" t="s">
        <v>58</v>
      </c>
      <c r="E46" t="s">
        <v>59</v>
      </c>
      <c r="F46" t="s">
        <v>6</v>
      </c>
      <c r="H46" t="s">
        <v>63</v>
      </c>
      <c r="I46" t="s">
        <v>60</v>
      </c>
      <c r="J46" s="3" t="s">
        <v>62</v>
      </c>
      <c r="K46" t="s">
        <v>61</v>
      </c>
      <c r="L46" t="s">
        <v>60</v>
      </c>
      <c r="Q46" s="1"/>
      <c r="R46" s="1"/>
    </row>
    <row r="47" spans="1:18" x14ac:dyDescent="0.25">
      <c r="A47">
        <f>X18</f>
        <v>-36.777295326887398</v>
      </c>
      <c r="B47" s="1">
        <f>BC18/1000000000</f>
        <v>256.02486250179999</v>
      </c>
      <c r="C47">
        <f>C18</f>
        <v>-25</v>
      </c>
      <c r="D47" s="1">
        <f>D18</f>
        <v>0.70086602963474198</v>
      </c>
      <c r="E47" s="1">
        <f>J18+K18+L18+M18+N18*$E$29</f>
        <v>0.68334288539223298</v>
      </c>
      <c r="F47" s="1">
        <f>D47/E47</f>
        <v>1.025643267263185</v>
      </c>
      <c r="H47">
        <f>H31</f>
        <v>2.36085041324655</v>
      </c>
      <c r="I47">
        <f>I31</f>
        <v>1</v>
      </c>
      <c r="J47" s="4">
        <f>H47*I47</f>
        <v>2.36085041324655</v>
      </c>
      <c r="K47" s="1">
        <f>J18+K18+L18*I47*$I$39+M18+N18</f>
        <v>0.66132681103165203</v>
      </c>
      <c r="L47" s="1">
        <f>D47/K47</f>
        <v>1.0597877145513122</v>
      </c>
      <c r="Q47" s="1"/>
      <c r="R47" s="1"/>
    </row>
    <row r="48" spans="1:18" x14ac:dyDescent="0.25">
      <c r="A48">
        <f>X19</f>
        <v>-13.1670902011619</v>
      </c>
      <c r="B48" s="1">
        <f>BC19/1000000000</f>
        <v>268.9420513458</v>
      </c>
      <c r="C48">
        <f>C19</f>
        <v>0</v>
      </c>
      <c r="D48" s="1">
        <f>D19</f>
        <v>0.79195303125626604</v>
      </c>
      <c r="E48" s="1">
        <f>J19+K19+L19+M19+N19*$E$29</f>
        <v>0.88922824172124493</v>
      </c>
      <c r="F48" s="1">
        <f>D48/E48</f>
        <v>0.89060715134655755</v>
      </c>
      <c r="H48">
        <f t="shared" ref="H48:I52" si="5">H32</f>
        <v>2.5499999999999998</v>
      </c>
      <c r="I48">
        <f t="shared" si="5"/>
        <v>1</v>
      </c>
      <c r="J48" s="4">
        <f t="shared" ref="J48:J52" si="6">H48*I48</f>
        <v>2.5499999999999998</v>
      </c>
      <c r="K48" s="1">
        <f t="shared" ref="K48:K52" si="7">J19+K19+L19*I48*$I$39+M19+N19</f>
        <v>0.78599059912277702</v>
      </c>
      <c r="L48" s="1">
        <f>D48/K48</f>
        <v>1.0075858822486472</v>
      </c>
      <c r="Q48" s="1"/>
      <c r="R48" s="1"/>
    </row>
    <row r="49" spans="1:18" x14ac:dyDescent="0.25">
      <c r="A49">
        <f>X20</f>
        <v>11.336212893648501</v>
      </c>
      <c r="B49" s="1">
        <f>BC20/1000000000</f>
        <v>198.96409642450001</v>
      </c>
      <c r="C49">
        <f>C20</f>
        <v>25</v>
      </c>
      <c r="D49" s="1">
        <f>D20</f>
        <v>0.89953113202329205</v>
      </c>
      <c r="E49" s="1">
        <f>J20+K20+L20+M20+N20*$E$29</f>
        <v>1.0436166924916228</v>
      </c>
      <c r="F49" s="1">
        <f>D49/E49</f>
        <v>0.86193632058114344</v>
      </c>
      <c r="H49">
        <f t="shared" si="5"/>
        <v>2.7643932628223098</v>
      </c>
      <c r="I49">
        <f t="shared" si="5"/>
        <v>1</v>
      </c>
      <c r="J49" s="4">
        <f t="shared" si="6"/>
        <v>2.7643932628223098</v>
      </c>
      <c r="K49" s="1">
        <f t="shared" si="7"/>
        <v>0.92312011686924478</v>
      </c>
      <c r="L49" s="1">
        <f>D49/K49</f>
        <v>0.97444646215060871</v>
      </c>
      <c r="P49" s="5"/>
      <c r="Q49" s="1"/>
      <c r="R49" s="1"/>
    </row>
    <row r="50" spans="1:18" x14ac:dyDescent="0.25">
      <c r="A50">
        <f>X21</f>
        <v>36.966451240574003</v>
      </c>
      <c r="B50" s="1">
        <f>BC21/1000000000</f>
        <v>116.7052629363</v>
      </c>
      <c r="C50">
        <f t="shared" ref="C50:D50" si="8">C21</f>
        <v>50</v>
      </c>
      <c r="D50" s="1">
        <f t="shared" si="8"/>
        <v>1.06866119554949</v>
      </c>
      <c r="E50" s="1">
        <f>J21+K21+L21+M21+N21*$E$29</f>
        <v>1.1912320363925835</v>
      </c>
      <c r="F50" s="1">
        <f t="shared" ref="F50:F52" si="9">D50/E50</f>
        <v>0.89710582229279556</v>
      </c>
      <c r="H50">
        <f t="shared" si="5"/>
        <v>2.9235665517913998</v>
      </c>
      <c r="I50">
        <f t="shared" si="5"/>
        <v>1</v>
      </c>
      <c r="J50" s="4">
        <f t="shared" si="6"/>
        <v>2.9235665517913998</v>
      </c>
      <c r="K50" s="1">
        <f t="shared" si="7"/>
        <v>1.0673623841352955</v>
      </c>
      <c r="L50" s="1">
        <f t="shared" ref="L50:L52" si="10">D50/K50</f>
        <v>1.0012168420336891</v>
      </c>
      <c r="P50" s="5"/>
      <c r="Q50" s="1"/>
      <c r="R50" s="1"/>
    </row>
    <row r="51" spans="1:18" x14ac:dyDescent="0.25">
      <c r="A51">
        <f>X22</f>
        <v>61.659819332867002</v>
      </c>
      <c r="B51" s="1">
        <f>BC22/1000000000</f>
        <v>89.096621119700004</v>
      </c>
      <c r="C51">
        <f t="shared" ref="C51:D51" si="11">C22</f>
        <v>75</v>
      </c>
      <c r="D51" s="1">
        <f t="shared" si="11"/>
        <v>1.2351974746632299</v>
      </c>
      <c r="E51" s="1">
        <f>J22+K22+L22+M22+N22*$E$29</f>
        <v>1.3262181863312255</v>
      </c>
      <c r="F51" s="1">
        <f t="shared" si="9"/>
        <v>0.93136822235880357</v>
      </c>
      <c r="H51">
        <f t="shared" si="5"/>
        <v>3.0290838155926898</v>
      </c>
      <c r="I51">
        <f t="shared" si="5"/>
        <v>1</v>
      </c>
      <c r="J51" s="4">
        <f t="shared" si="6"/>
        <v>3.0290838155926898</v>
      </c>
      <c r="K51" s="1">
        <f t="shared" si="7"/>
        <v>1.2013331830307528</v>
      </c>
      <c r="L51" s="1">
        <f t="shared" si="10"/>
        <v>1.0281889255294219</v>
      </c>
      <c r="P51" s="5"/>
      <c r="Q51" s="1"/>
      <c r="R51" s="1"/>
    </row>
    <row r="52" spans="1:18" x14ac:dyDescent="0.25">
      <c r="A52">
        <f>X23</f>
        <v>87.468522028976395</v>
      </c>
      <c r="B52" s="1">
        <f>BC23/1000000000</f>
        <v>73.568162678699991</v>
      </c>
      <c r="C52">
        <f t="shared" ref="C52:D52" si="12">C23</f>
        <v>100</v>
      </c>
      <c r="D52" s="1">
        <f t="shared" si="12"/>
        <v>1.41874214344476</v>
      </c>
      <c r="E52" s="1">
        <f>J23+K23+L23+M23+N23*$E$29</f>
        <v>1.610506610236305</v>
      </c>
      <c r="F52" s="1">
        <f t="shared" si="9"/>
        <v>0.88092910294642757</v>
      </c>
      <c r="H52">
        <f t="shared" si="5"/>
        <v>3.07</v>
      </c>
      <c r="I52">
        <f t="shared" si="5"/>
        <v>1</v>
      </c>
      <c r="J52" s="4">
        <f t="shared" si="6"/>
        <v>3.07</v>
      </c>
      <c r="K52" s="1">
        <f t="shared" si="7"/>
        <v>1.4837361720975408</v>
      </c>
      <c r="L52" s="1">
        <f t="shared" si="10"/>
        <v>0.95619569713603503</v>
      </c>
      <c r="P52" s="5"/>
      <c r="Q52" s="1"/>
      <c r="R52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grp_by_hpa_cum_plot_by_incentiv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2018-05-30T18:23:31Z</dcterms:created>
  <dcterms:modified xsi:type="dcterms:W3CDTF">2018-05-31T13:57:14Z</dcterms:modified>
</cp:coreProperties>
</file>