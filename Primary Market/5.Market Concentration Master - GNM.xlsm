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CurrentMonth">Report!$U$9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equal'!$C$3:$D$105</definedName>
    <definedName name="PivotTable11">'Pivot equal'!$G$3:$H$105</definedName>
    <definedName name="PivotTable12">'Pivot equal'!$K$3:$L$105</definedName>
    <definedName name="_xlnm.Print_Area" localSheetId="0">Report!$B$1:$Q$62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'Input-equal'!$N$3:$O$103</definedName>
    <definedName name="Query_from_Agency_5" localSheetId="6" hidden="1">'Input-equal'!$H$3:$I$105</definedName>
    <definedName name="Query_from_Agency_6" localSheetId="6" hidden="1">'Input-equal'!$B$3:$E$1053</definedName>
    <definedName name="Query_from_Agency_7" localSheetId="6" hidden="1">'Input-equal'!#REF!</definedName>
    <definedName name="Query_from_Agency_8" localSheetId="6" hidden="1">'Input-equal'!$K$3:$L$4</definedName>
    <definedName name="Query_from_Agency_8" localSheetId="1" hidden="1">'Result Combine'!$C$3:$D$103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'Input-lag'!$B$3:$E$1403</definedName>
  </definedNames>
  <calcPr calcId="145621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E4" i="17" l="1"/>
  <c r="E5" i="17"/>
  <c r="E6" i="17"/>
  <c r="E7" i="17"/>
  <c r="E8" i="17"/>
  <c r="E9" i="17"/>
  <c r="E10" i="17"/>
  <c r="E11" i="17"/>
  <c r="E12" i="17"/>
  <c r="E13" i="17"/>
  <c r="E14" i="17"/>
  <c r="M14" i="17" s="1"/>
  <c r="E15" i="17"/>
  <c r="E16" i="17"/>
  <c r="E17" i="17"/>
  <c r="E18" i="17"/>
  <c r="E19" i="17"/>
  <c r="E20" i="17"/>
  <c r="E21" i="17"/>
  <c r="E22" i="17"/>
  <c r="E23" i="17"/>
  <c r="M23" i="17" s="1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M46" i="17" s="1"/>
  <c r="E47" i="17"/>
  <c r="M47" i="17" s="1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M95" i="17" s="1"/>
  <c r="E96" i="17"/>
  <c r="E97" i="17"/>
  <c r="E98" i="17"/>
  <c r="E99" i="17"/>
  <c r="E100" i="17"/>
  <c r="E101" i="17"/>
  <c r="E102" i="17"/>
  <c r="E103" i="17"/>
  <c r="F13" i="17"/>
  <c r="J13" i="17" s="1"/>
  <c r="F60" i="17"/>
  <c r="J60" i="17" s="1"/>
  <c r="F69" i="17"/>
  <c r="J69" i="17" s="1"/>
  <c r="G17" i="17"/>
  <c r="K17" i="17" s="1"/>
  <c r="G73" i="17"/>
  <c r="K73" i="17" s="1"/>
  <c r="G81" i="17"/>
  <c r="K81" i="17" s="1"/>
  <c r="H13" i="17"/>
  <c r="L13" i="17" s="1"/>
  <c r="H37" i="17"/>
  <c r="L37" i="17" s="1"/>
  <c r="H44" i="17"/>
  <c r="L44" i="17" s="1"/>
  <c r="H69" i="17"/>
  <c r="L69" i="17" s="1"/>
  <c r="H93" i="17"/>
  <c r="L93" i="17" s="1"/>
  <c r="H100" i="17"/>
  <c r="L100" i="17" s="1"/>
  <c r="I4" i="17"/>
  <c r="I5" i="17"/>
  <c r="I6" i="17"/>
  <c r="I7" i="17"/>
  <c r="I8" i="17"/>
  <c r="I9" i="17"/>
  <c r="M9" i="17" s="1"/>
  <c r="I10" i="17"/>
  <c r="M10" i="17" s="1"/>
  <c r="I11" i="17"/>
  <c r="I12" i="17"/>
  <c r="I13" i="17"/>
  <c r="I14" i="17"/>
  <c r="I15" i="17"/>
  <c r="I16" i="17"/>
  <c r="I17" i="17"/>
  <c r="M17" i="17" s="1"/>
  <c r="I18" i="17"/>
  <c r="M18" i="17" s="1"/>
  <c r="I19" i="17"/>
  <c r="I20" i="17"/>
  <c r="I21" i="17"/>
  <c r="I22" i="17"/>
  <c r="M22" i="17" s="1"/>
  <c r="I23" i="17"/>
  <c r="I24" i="17"/>
  <c r="I25" i="17"/>
  <c r="M25" i="17" s="1"/>
  <c r="I26" i="17"/>
  <c r="M26" i="17" s="1"/>
  <c r="I27" i="17"/>
  <c r="I28" i="17"/>
  <c r="I29" i="17"/>
  <c r="I30" i="17"/>
  <c r="I31" i="17"/>
  <c r="M31" i="17" s="1"/>
  <c r="I32" i="17"/>
  <c r="I33" i="17"/>
  <c r="I34" i="17"/>
  <c r="M34" i="17" s="1"/>
  <c r="I35" i="17"/>
  <c r="I36" i="17"/>
  <c r="I37" i="17"/>
  <c r="I38" i="17"/>
  <c r="M38" i="17" s="1"/>
  <c r="I39" i="17"/>
  <c r="I40" i="17"/>
  <c r="I41" i="17"/>
  <c r="I42" i="17"/>
  <c r="I43" i="17"/>
  <c r="I44" i="17"/>
  <c r="I45" i="17"/>
  <c r="I46" i="17"/>
  <c r="I47" i="17"/>
  <c r="I48" i="17"/>
  <c r="I49" i="17"/>
  <c r="M49" i="17" s="1"/>
  <c r="I50" i="17"/>
  <c r="M50" i="17" s="1"/>
  <c r="I51" i="17"/>
  <c r="M51" i="17" s="1"/>
  <c r="I52" i="17"/>
  <c r="I53" i="17"/>
  <c r="I54" i="17"/>
  <c r="I55" i="17"/>
  <c r="I56" i="17"/>
  <c r="I57" i="17"/>
  <c r="M57" i="17" s="1"/>
  <c r="I58" i="17"/>
  <c r="M58" i="17" s="1"/>
  <c r="I59" i="17"/>
  <c r="I60" i="17"/>
  <c r="I61" i="17"/>
  <c r="I62" i="17"/>
  <c r="I63" i="17"/>
  <c r="I64" i="17"/>
  <c r="I65" i="17"/>
  <c r="M65" i="17" s="1"/>
  <c r="I66" i="17"/>
  <c r="M66" i="17" s="1"/>
  <c r="I67" i="17"/>
  <c r="M67" i="17" s="1"/>
  <c r="I68" i="17"/>
  <c r="I69" i="17"/>
  <c r="I70" i="17"/>
  <c r="I71" i="17"/>
  <c r="I72" i="17"/>
  <c r="I73" i="17"/>
  <c r="M73" i="17" s="1"/>
  <c r="I74" i="17"/>
  <c r="M74" i="17" s="1"/>
  <c r="I75" i="17"/>
  <c r="I76" i="17"/>
  <c r="M76" i="17" s="1"/>
  <c r="I77" i="17"/>
  <c r="I78" i="17"/>
  <c r="M78" i="17" s="1"/>
  <c r="I79" i="17"/>
  <c r="I80" i="17"/>
  <c r="I81" i="17"/>
  <c r="M81" i="17" s="1"/>
  <c r="I82" i="17"/>
  <c r="M82" i="17" s="1"/>
  <c r="I83" i="17"/>
  <c r="I84" i="17"/>
  <c r="I85" i="17"/>
  <c r="I86" i="17"/>
  <c r="I87" i="17"/>
  <c r="M87" i="17" s="1"/>
  <c r="I88" i="17"/>
  <c r="I89" i="17"/>
  <c r="M89" i="17" s="1"/>
  <c r="I90" i="17"/>
  <c r="M90" i="17" s="1"/>
  <c r="I91" i="17"/>
  <c r="M91" i="17" s="1"/>
  <c r="I92" i="17"/>
  <c r="M92" i="17" s="1"/>
  <c r="I93" i="17"/>
  <c r="I94" i="17"/>
  <c r="I95" i="17"/>
  <c r="I96" i="17"/>
  <c r="I97" i="17"/>
  <c r="M97" i="17" s="1"/>
  <c r="I98" i="17"/>
  <c r="M98" i="17" s="1"/>
  <c r="I99" i="17"/>
  <c r="I100" i="17"/>
  <c r="M100" i="17" s="1"/>
  <c r="I101" i="17"/>
  <c r="I102" i="17"/>
  <c r="I103" i="17"/>
  <c r="M4" i="17"/>
  <c r="M5" i="17"/>
  <c r="M12" i="17"/>
  <c r="M13" i="17"/>
  <c r="M20" i="17"/>
  <c r="M21" i="17"/>
  <c r="M28" i="17"/>
  <c r="M29" i="17"/>
  <c r="M33" i="17"/>
  <c r="M36" i="17"/>
  <c r="M37" i="17"/>
  <c r="M41" i="17"/>
  <c r="M42" i="17"/>
  <c r="M44" i="17"/>
  <c r="M45" i="17"/>
  <c r="M52" i="17"/>
  <c r="M53" i="17"/>
  <c r="M60" i="17"/>
  <c r="M61" i="17"/>
  <c r="M68" i="17"/>
  <c r="M69" i="17"/>
  <c r="M77" i="17"/>
  <c r="M84" i="17"/>
  <c r="M85" i="17"/>
  <c r="M86" i="17"/>
  <c r="M93" i="17"/>
  <c r="M101" i="17"/>
  <c r="M102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P4" i="9"/>
  <c r="F4" i="17" s="1"/>
  <c r="J4" i="17" s="1"/>
  <c r="P5" i="9"/>
  <c r="F5" i="17" s="1"/>
  <c r="J5" i="17" s="1"/>
  <c r="P6" i="9"/>
  <c r="F6" i="17" s="1"/>
  <c r="P7" i="9"/>
  <c r="F7" i="17" s="1"/>
  <c r="P8" i="9"/>
  <c r="P9" i="9"/>
  <c r="P10" i="9"/>
  <c r="U10" i="9" s="1"/>
  <c r="P11" i="9"/>
  <c r="P12" i="9"/>
  <c r="U12" i="9" s="1"/>
  <c r="P13" i="9"/>
  <c r="P14" i="9"/>
  <c r="F14" i="17" s="1"/>
  <c r="P15" i="9"/>
  <c r="F15" i="17" s="1"/>
  <c r="P16" i="9"/>
  <c r="P17" i="9"/>
  <c r="P18" i="9"/>
  <c r="U18" i="9" s="1"/>
  <c r="P19" i="9"/>
  <c r="P20" i="9"/>
  <c r="F20" i="17" s="1"/>
  <c r="J20" i="17" s="1"/>
  <c r="P21" i="9"/>
  <c r="F21" i="17" s="1"/>
  <c r="J21" i="17" s="1"/>
  <c r="P22" i="9"/>
  <c r="F22" i="17" s="1"/>
  <c r="P23" i="9"/>
  <c r="F23" i="17" s="1"/>
  <c r="P24" i="9"/>
  <c r="P25" i="9"/>
  <c r="P26" i="9"/>
  <c r="U26" i="9" s="1"/>
  <c r="P27" i="9"/>
  <c r="P28" i="9"/>
  <c r="U28" i="9" s="1"/>
  <c r="P29" i="9"/>
  <c r="F29" i="17" s="1"/>
  <c r="J29" i="17" s="1"/>
  <c r="P30" i="9"/>
  <c r="F30" i="17" s="1"/>
  <c r="P31" i="9"/>
  <c r="F31" i="17" s="1"/>
  <c r="P32" i="9"/>
  <c r="P33" i="9"/>
  <c r="P34" i="9"/>
  <c r="U34" i="9" s="1"/>
  <c r="P35" i="9"/>
  <c r="P36" i="9"/>
  <c r="F36" i="17" s="1"/>
  <c r="J36" i="17" s="1"/>
  <c r="P37" i="9"/>
  <c r="F37" i="17" s="1"/>
  <c r="J37" i="17" s="1"/>
  <c r="P38" i="9"/>
  <c r="F38" i="17" s="1"/>
  <c r="P39" i="9"/>
  <c r="F39" i="17" s="1"/>
  <c r="P40" i="9"/>
  <c r="P41" i="9"/>
  <c r="P42" i="9"/>
  <c r="U42" i="9" s="1"/>
  <c r="P43" i="9"/>
  <c r="P44" i="9"/>
  <c r="F44" i="17" s="1"/>
  <c r="J44" i="17" s="1"/>
  <c r="P45" i="9"/>
  <c r="F45" i="17" s="1"/>
  <c r="J45" i="17" s="1"/>
  <c r="P46" i="9"/>
  <c r="F46" i="17" s="1"/>
  <c r="J46" i="17" s="1"/>
  <c r="P47" i="9"/>
  <c r="F47" i="17" s="1"/>
  <c r="P48" i="9"/>
  <c r="P49" i="9"/>
  <c r="P50" i="9"/>
  <c r="U50" i="9" s="1"/>
  <c r="P51" i="9"/>
  <c r="P52" i="9"/>
  <c r="F52" i="17" s="1"/>
  <c r="J52" i="17" s="1"/>
  <c r="P53" i="9"/>
  <c r="F53" i="17" s="1"/>
  <c r="J53" i="17" s="1"/>
  <c r="P54" i="9"/>
  <c r="F54" i="17" s="1"/>
  <c r="P55" i="9"/>
  <c r="F55" i="17" s="1"/>
  <c r="P56" i="9"/>
  <c r="P57" i="9"/>
  <c r="P58" i="9"/>
  <c r="U58" i="9" s="1"/>
  <c r="P59" i="9"/>
  <c r="P60" i="9"/>
  <c r="P61" i="9"/>
  <c r="F61" i="17" s="1"/>
  <c r="J61" i="17" s="1"/>
  <c r="P62" i="9"/>
  <c r="F62" i="17" s="1"/>
  <c r="P63" i="9"/>
  <c r="F63" i="17" s="1"/>
  <c r="P64" i="9"/>
  <c r="P65" i="9"/>
  <c r="P66" i="9"/>
  <c r="U66" i="9" s="1"/>
  <c r="P67" i="9"/>
  <c r="P68" i="9"/>
  <c r="F68" i="17" s="1"/>
  <c r="J68" i="17" s="1"/>
  <c r="P69" i="9"/>
  <c r="P70" i="9"/>
  <c r="F70" i="17" s="1"/>
  <c r="P71" i="9"/>
  <c r="F71" i="17" s="1"/>
  <c r="P72" i="9"/>
  <c r="P73" i="9"/>
  <c r="P74" i="9"/>
  <c r="U74" i="9" s="1"/>
  <c r="P75" i="9"/>
  <c r="P76" i="9"/>
  <c r="F76" i="17" s="1"/>
  <c r="J76" i="17" s="1"/>
  <c r="P77" i="9"/>
  <c r="F77" i="17" s="1"/>
  <c r="J77" i="17" s="1"/>
  <c r="P78" i="9"/>
  <c r="F78" i="17" s="1"/>
  <c r="P79" i="9"/>
  <c r="F79" i="17" s="1"/>
  <c r="P80" i="9"/>
  <c r="P81" i="9"/>
  <c r="P82" i="9"/>
  <c r="U82" i="9" s="1"/>
  <c r="P83" i="9"/>
  <c r="P84" i="9"/>
  <c r="F84" i="17" s="1"/>
  <c r="J84" i="17" s="1"/>
  <c r="P85" i="9"/>
  <c r="F85" i="17" s="1"/>
  <c r="J85" i="17" s="1"/>
  <c r="P86" i="9"/>
  <c r="F86" i="17" s="1"/>
  <c r="P87" i="9"/>
  <c r="U87" i="9" s="1"/>
  <c r="P88" i="9"/>
  <c r="P89" i="9"/>
  <c r="P90" i="9"/>
  <c r="U90" i="9" s="1"/>
  <c r="P91" i="9"/>
  <c r="P92" i="9"/>
  <c r="F92" i="17" s="1"/>
  <c r="J92" i="17" s="1"/>
  <c r="P93" i="9"/>
  <c r="F93" i="17" s="1"/>
  <c r="J93" i="17" s="1"/>
  <c r="P94" i="9"/>
  <c r="F94" i="17" s="1"/>
  <c r="P95" i="9"/>
  <c r="F95" i="17" s="1"/>
  <c r="P96" i="9"/>
  <c r="P97" i="9"/>
  <c r="P98" i="9"/>
  <c r="U98" i="9" s="1"/>
  <c r="P99" i="9"/>
  <c r="P100" i="9"/>
  <c r="F100" i="17" s="1"/>
  <c r="J100" i="17" s="1"/>
  <c r="P101" i="9"/>
  <c r="F101" i="17" s="1"/>
  <c r="J101" i="17" s="1"/>
  <c r="P102" i="9"/>
  <c r="F102" i="17" s="1"/>
  <c r="P103" i="9"/>
  <c r="F103" i="17" s="1"/>
  <c r="Q4" i="9"/>
  <c r="Q5" i="9"/>
  <c r="Q6" i="9"/>
  <c r="V6" i="9" s="1"/>
  <c r="Q7" i="9"/>
  <c r="Q8" i="9"/>
  <c r="G8" i="17" s="1"/>
  <c r="Q9" i="9"/>
  <c r="G9" i="17" s="1"/>
  <c r="K9" i="17" s="1"/>
  <c r="Q10" i="9"/>
  <c r="G10" i="17" s="1"/>
  <c r="Q11" i="9"/>
  <c r="G11" i="17" s="1"/>
  <c r="Q12" i="9"/>
  <c r="Q13" i="9"/>
  <c r="Q14" i="9"/>
  <c r="V14" i="9" s="1"/>
  <c r="Q15" i="9"/>
  <c r="Q16" i="9"/>
  <c r="G16" i="17" s="1"/>
  <c r="Q17" i="9"/>
  <c r="Q18" i="9"/>
  <c r="G18" i="17" s="1"/>
  <c r="Q19" i="9"/>
  <c r="G19" i="17" s="1"/>
  <c r="Q20" i="9"/>
  <c r="Q21" i="9"/>
  <c r="Q22" i="9"/>
  <c r="V22" i="9" s="1"/>
  <c r="Q23" i="9"/>
  <c r="Q24" i="9"/>
  <c r="G24" i="17" s="1"/>
  <c r="Q25" i="9"/>
  <c r="G25" i="17" s="1"/>
  <c r="K25" i="17" s="1"/>
  <c r="Q26" i="9"/>
  <c r="G26" i="17" s="1"/>
  <c r="Q27" i="9"/>
  <c r="G27" i="17" s="1"/>
  <c r="K27" i="17" s="1"/>
  <c r="Q28" i="9"/>
  <c r="Q29" i="9"/>
  <c r="Q30" i="9"/>
  <c r="V30" i="9" s="1"/>
  <c r="Q31" i="9"/>
  <c r="Q32" i="9"/>
  <c r="G32" i="17" s="1"/>
  <c r="K32" i="17" s="1"/>
  <c r="Q33" i="9"/>
  <c r="G33" i="17" s="1"/>
  <c r="K33" i="17" s="1"/>
  <c r="Q34" i="9"/>
  <c r="G34" i="17" s="1"/>
  <c r="Q35" i="9"/>
  <c r="G35" i="17" s="1"/>
  <c r="Q36" i="9"/>
  <c r="Q37" i="9"/>
  <c r="Q38" i="9"/>
  <c r="V38" i="9" s="1"/>
  <c r="Q39" i="9"/>
  <c r="Q40" i="9"/>
  <c r="G40" i="17" s="1"/>
  <c r="Q41" i="9"/>
  <c r="G41" i="17" s="1"/>
  <c r="K41" i="17" s="1"/>
  <c r="Q42" i="9"/>
  <c r="G42" i="17" s="1"/>
  <c r="Q43" i="9"/>
  <c r="G43" i="17" s="1"/>
  <c r="Q44" i="9"/>
  <c r="Q45" i="9"/>
  <c r="Q46" i="9"/>
  <c r="V46" i="9" s="1"/>
  <c r="Q47" i="9"/>
  <c r="Q48" i="9"/>
  <c r="G48" i="17" s="1"/>
  <c r="Q49" i="9"/>
  <c r="G49" i="17" s="1"/>
  <c r="K49" i="17" s="1"/>
  <c r="Q50" i="9"/>
  <c r="G50" i="17" s="1"/>
  <c r="Q51" i="9"/>
  <c r="V51" i="9" s="1"/>
  <c r="Q52" i="9"/>
  <c r="Q53" i="9"/>
  <c r="Q54" i="9"/>
  <c r="V54" i="9" s="1"/>
  <c r="Q55" i="9"/>
  <c r="Q56" i="9"/>
  <c r="G56" i="17" s="1"/>
  <c r="Q57" i="9"/>
  <c r="G57" i="17" s="1"/>
  <c r="K57" i="17" s="1"/>
  <c r="Q58" i="9"/>
  <c r="G58" i="17" s="1"/>
  <c r="Q59" i="9"/>
  <c r="G59" i="17" s="1"/>
  <c r="Q60" i="9"/>
  <c r="Q61" i="9"/>
  <c r="Q62" i="9"/>
  <c r="V62" i="9" s="1"/>
  <c r="Q63" i="9"/>
  <c r="Q64" i="9"/>
  <c r="G64" i="17" s="1"/>
  <c r="Q65" i="9"/>
  <c r="G65" i="17" s="1"/>
  <c r="K65" i="17" s="1"/>
  <c r="Q66" i="9"/>
  <c r="G66" i="17" s="1"/>
  <c r="Q67" i="9"/>
  <c r="G67" i="17" s="1"/>
  <c r="Q68" i="9"/>
  <c r="Q69" i="9"/>
  <c r="Q70" i="9"/>
  <c r="V70" i="9" s="1"/>
  <c r="Q71" i="9"/>
  <c r="Q72" i="9"/>
  <c r="G72" i="17" s="1"/>
  <c r="Q73" i="9"/>
  <c r="Q74" i="9"/>
  <c r="G74" i="17" s="1"/>
  <c r="Q75" i="9"/>
  <c r="G75" i="17" s="1"/>
  <c r="Q76" i="9"/>
  <c r="Q77" i="9"/>
  <c r="Q78" i="9"/>
  <c r="V78" i="9" s="1"/>
  <c r="Q79" i="9"/>
  <c r="Q80" i="9"/>
  <c r="G80" i="17" s="1"/>
  <c r="Q81" i="9"/>
  <c r="Q82" i="9"/>
  <c r="G82" i="17" s="1"/>
  <c r="K82" i="17" s="1"/>
  <c r="Q83" i="9"/>
  <c r="G83" i="17" s="1"/>
  <c r="Q84" i="9"/>
  <c r="Q85" i="9"/>
  <c r="Q86" i="9"/>
  <c r="V86" i="9" s="1"/>
  <c r="Q87" i="9"/>
  <c r="Q88" i="9"/>
  <c r="G88" i="17" s="1"/>
  <c r="Q89" i="9"/>
  <c r="G89" i="17" s="1"/>
  <c r="K89" i="17" s="1"/>
  <c r="Q90" i="9"/>
  <c r="G90" i="17" s="1"/>
  <c r="K90" i="17" s="1"/>
  <c r="Q91" i="9"/>
  <c r="G91" i="17" s="1"/>
  <c r="K91" i="17" s="1"/>
  <c r="Q92" i="9"/>
  <c r="Q93" i="9"/>
  <c r="Q94" i="9"/>
  <c r="V94" i="9" s="1"/>
  <c r="Q95" i="9"/>
  <c r="Q96" i="9"/>
  <c r="G96" i="17" s="1"/>
  <c r="K96" i="17" s="1"/>
  <c r="Q97" i="9"/>
  <c r="G97" i="17" s="1"/>
  <c r="K97" i="17" s="1"/>
  <c r="Q98" i="9"/>
  <c r="G98" i="17" s="1"/>
  <c r="K98" i="17" s="1"/>
  <c r="Q99" i="9"/>
  <c r="G99" i="17" s="1"/>
  <c r="Q100" i="9"/>
  <c r="Q101" i="9"/>
  <c r="Q102" i="9"/>
  <c r="V102" i="9" s="1"/>
  <c r="Q103" i="9"/>
  <c r="R4" i="9"/>
  <c r="H4" i="17" s="1"/>
  <c r="L4" i="17" s="1"/>
  <c r="R5" i="9"/>
  <c r="H5" i="17" s="1"/>
  <c r="L5" i="17" s="1"/>
  <c r="R6" i="9"/>
  <c r="H6" i="17" s="1"/>
  <c r="R7" i="9"/>
  <c r="H7" i="17" s="1"/>
  <c r="R8" i="9"/>
  <c r="R9" i="9"/>
  <c r="R10" i="9"/>
  <c r="W10" i="9" s="1"/>
  <c r="R11" i="9"/>
  <c r="R12" i="9"/>
  <c r="H12" i="17" s="1"/>
  <c r="L12" i="17" s="1"/>
  <c r="R13" i="9"/>
  <c r="R14" i="9"/>
  <c r="H14" i="17" s="1"/>
  <c r="R15" i="9"/>
  <c r="H15" i="17" s="1"/>
  <c r="R16" i="9"/>
  <c r="R17" i="9"/>
  <c r="R18" i="9"/>
  <c r="W18" i="9" s="1"/>
  <c r="R19" i="9"/>
  <c r="R20" i="9"/>
  <c r="H20" i="17" s="1"/>
  <c r="L20" i="17" s="1"/>
  <c r="R21" i="9"/>
  <c r="H21" i="17" s="1"/>
  <c r="L21" i="17" s="1"/>
  <c r="R22" i="9"/>
  <c r="H22" i="17" s="1"/>
  <c r="R23" i="9"/>
  <c r="H23" i="17" s="1"/>
  <c r="R24" i="9"/>
  <c r="R25" i="9"/>
  <c r="R26" i="9"/>
  <c r="W26" i="9" s="1"/>
  <c r="R27" i="9"/>
  <c r="R28" i="9"/>
  <c r="H28" i="17" s="1"/>
  <c r="L28" i="17" s="1"/>
  <c r="R29" i="9"/>
  <c r="H29" i="17" s="1"/>
  <c r="L29" i="17" s="1"/>
  <c r="R30" i="9"/>
  <c r="H30" i="17" s="1"/>
  <c r="R31" i="9"/>
  <c r="H31" i="17" s="1"/>
  <c r="R32" i="9"/>
  <c r="R33" i="9"/>
  <c r="R34" i="9"/>
  <c r="W34" i="9" s="1"/>
  <c r="R35" i="9"/>
  <c r="R36" i="9"/>
  <c r="H36" i="17" s="1"/>
  <c r="L36" i="17" s="1"/>
  <c r="R37" i="9"/>
  <c r="R38" i="9"/>
  <c r="H38" i="17" s="1"/>
  <c r="R39" i="9"/>
  <c r="H39" i="17" s="1"/>
  <c r="R40" i="9"/>
  <c r="R41" i="9"/>
  <c r="R42" i="9"/>
  <c r="W42" i="9" s="1"/>
  <c r="R43" i="9"/>
  <c r="R44" i="9"/>
  <c r="R45" i="9"/>
  <c r="H45" i="17" s="1"/>
  <c r="L45" i="17" s="1"/>
  <c r="R46" i="9"/>
  <c r="H46" i="17" s="1"/>
  <c r="R47" i="9"/>
  <c r="H47" i="17" s="1"/>
  <c r="R48" i="9"/>
  <c r="R49" i="9"/>
  <c r="R50" i="9"/>
  <c r="W50" i="9" s="1"/>
  <c r="R51" i="9"/>
  <c r="R52" i="9"/>
  <c r="H52" i="17" s="1"/>
  <c r="L52" i="17" s="1"/>
  <c r="R53" i="9"/>
  <c r="H53" i="17" s="1"/>
  <c r="L53" i="17" s="1"/>
  <c r="R54" i="9"/>
  <c r="H54" i="17" s="1"/>
  <c r="R55" i="9"/>
  <c r="H55" i="17" s="1"/>
  <c r="L55" i="17" s="1"/>
  <c r="R56" i="9"/>
  <c r="R57" i="9"/>
  <c r="R58" i="9"/>
  <c r="W58" i="9" s="1"/>
  <c r="R59" i="9"/>
  <c r="R60" i="9"/>
  <c r="W60" i="9" s="1"/>
  <c r="R61" i="9"/>
  <c r="H61" i="17" s="1"/>
  <c r="L61" i="17" s="1"/>
  <c r="R62" i="9"/>
  <c r="H62" i="17" s="1"/>
  <c r="R63" i="9"/>
  <c r="H63" i="17" s="1"/>
  <c r="R64" i="9"/>
  <c r="R65" i="9"/>
  <c r="R66" i="9"/>
  <c r="W66" i="9" s="1"/>
  <c r="R67" i="9"/>
  <c r="R68" i="9"/>
  <c r="H68" i="17" s="1"/>
  <c r="L68" i="17" s="1"/>
  <c r="R69" i="9"/>
  <c r="R70" i="9"/>
  <c r="H70" i="17" s="1"/>
  <c r="R71" i="9"/>
  <c r="H71" i="17" s="1"/>
  <c r="R72" i="9"/>
  <c r="R73" i="9"/>
  <c r="R74" i="9"/>
  <c r="W74" i="9" s="1"/>
  <c r="R75" i="9"/>
  <c r="R76" i="9"/>
  <c r="H76" i="17" s="1"/>
  <c r="L76" i="17" s="1"/>
  <c r="R77" i="9"/>
  <c r="H77" i="17" s="1"/>
  <c r="L77" i="17" s="1"/>
  <c r="R78" i="9"/>
  <c r="H78" i="17" s="1"/>
  <c r="R79" i="9"/>
  <c r="W79" i="9" s="1"/>
  <c r="R80" i="9"/>
  <c r="R81" i="9"/>
  <c r="R82" i="9"/>
  <c r="W82" i="9" s="1"/>
  <c r="R83" i="9"/>
  <c r="R84" i="9"/>
  <c r="H84" i="17" s="1"/>
  <c r="L84" i="17" s="1"/>
  <c r="R85" i="9"/>
  <c r="H85" i="17" s="1"/>
  <c r="L85" i="17" s="1"/>
  <c r="R86" i="9"/>
  <c r="H86" i="17" s="1"/>
  <c r="R87" i="9"/>
  <c r="H87" i="17" s="1"/>
  <c r="R88" i="9"/>
  <c r="R89" i="9"/>
  <c r="R90" i="9"/>
  <c r="W90" i="9" s="1"/>
  <c r="R91" i="9"/>
  <c r="R92" i="9"/>
  <c r="H92" i="17" s="1"/>
  <c r="L92" i="17" s="1"/>
  <c r="R93" i="9"/>
  <c r="W93" i="9" s="1"/>
  <c r="R94" i="9"/>
  <c r="H94" i="17" s="1"/>
  <c r="R95" i="9"/>
  <c r="H95" i="17" s="1"/>
  <c r="R96" i="9"/>
  <c r="R97" i="9"/>
  <c r="R98" i="9"/>
  <c r="W98" i="9" s="1"/>
  <c r="R99" i="9"/>
  <c r="R100" i="9"/>
  <c r="W100" i="9" s="1"/>
  <c r="R101" i="9"/>
  <c r="H101" i="17" s="1"/>
  <c r="L101" i="17" s="1"/>
  <c r="R102" i="9"/>
  <c r="H102" i="17" s="1"/>
  <c r="R103" i="9"/>
  <c r="H103" i="17" s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T4" i="9"/>
  <c r="T5" i="9"/>
  <c r="T6" i="9"/>
  <c r="T7" i="9"/>
  <c r="T8" i="9"/>
  <c r="X8" i="9" s="1"/>
  <c r="T9" i="9"/>
  <c r="T10" i="9"/>
  <c r="X10" i="9" s="1"/>
  <c r="T11" i="9"/>
  <c r="X11" i="9" s="1"/>
  <c r="T12" i="9"/>
  <c r="T13" i="9"/>
  <c r="T14" i="9"/>
  <c r="T15" i="9"/>
  <c r="T16" i="9"/>
  <c r="X16" i="9" s="1"/>
  <c r="T17" i="9"/>
  <c r="T18" i="9"/>
  <c r="X18" i="9" s="1"/>
  <c r="T19" i="9"/>
  <c r="X19" i="9" s="1"/>
  <c r="T20" i="9"/>
  <c r="T21" i="9"/>
  <c r="T22" i="9"/>
  <c r="X22" i="9" s="1"/>
  <c r="T23" i="9"/>
  <c r="X23" i="9" s="1"/>
  <c r="T24" i="9"/>
  <c r="X24" i="9" s="1"/>
  <c r="T25" i="9"/>
  <c r="T26" i="9"/>
  <c r="X26" i="9" s="1"/>
  <c r="T27" i="9"/>
  <c r="X27" i="9" s="1"/>
  <c r="T28" i="9"/>
  <c r="T29" i="9"/>
  <c r="T30" i="9"/>
  <c r="X30" i="9" s="1"/>
  <c r="T31" i="9"/>
  <c r="T32" i="9"/>
  <c r="X32" i="9" s="1"/>
  <c r="T33" i="9"/>
  <c r="T34" i="9"/>
  <c r="X34" i="9" s="1"/>
  <c r="T35" i="9"/>
  <c r="X35" i="9" s="1"/>
  <c r="T36" i="9"/>
  <c r="T37" i="9"/>
  <c r="T38" i="9"/>
  <c r="T39" i="9"/>
  <c r="T40" i="9"/>
  <c r="X40" i="9" s="1"/>
  <c r="T41" i="9"/>
  <c r="T42" i="9"/>
  <c r="X42" i="9" s="1"/>
  <c r="T43" i="9"/>
  <c r="X43" i="9" s="1"/>
  <c r="T44" i="9"/>
  <c r="T45" i="9"/>
  <c r="T46" i="9"/>
  <c r="T47" i="9"/>
  <c r="X47" i="9" s="1"/>
  <c r="T48" i="9"/>
  <c r="X48" i="9" s="1"/>
  <c r="T49" i="9"/>
  <c r="T50" i="9"/>
  <c r="X50" i="9" s="1"/>
  <c r="T51" i="9"/>
  <c r="X51" i="9" s="1"/>
  <c r="T52" i="9"/>
  <c r="T53" i="9"/>
  <c r="T54" i="9"/>
  <c r="T55" i="9"/>
  <c r="X55" i="9" s="1"/>
  <c r="T56" i="9"/>
  <c r="X56" i="9" s="1"/>
  <c r="T57" i="9"/>
  <c r="T58" i="9"/>
  <c r="X58" i="9" s="1"/>
  <c r="T59" i="9"/>
  <c r="X59" i="9" s="1"/>
  <c r="T60" i="9"/>
  <c r="T61" i="9"/>
  <c r="T62" i="9"/>
  <c r="T63" i="9"/>
  <c r="X63" i="9" s="1"/>
  <c r="T64" i="9"/>
  <c r="X64" i="9" s="1"/>
  <c r="T65" i="9"/>
  <c r="T66" i="9"/>
  <c r="X66" i="9" s="1"/>
  <c r="T67" i="9"/>
  <c r="X67" i="9" s="1"/>
  <c r="T68" i="9"/>
  <c r="T69" i="9"/>
  <c r="T70" i="9"/>
  <c r="T71" i="9"/>
  <c r="T72" i="9"/>
  <c r="X72" i="9" s="1"/>
  <c r="T73" i="9"/>
  <c r="T74" i="9"/>
  <c r="X74" i="9" s="1"/>
  <c r="T75" i="9"/>
  <c r="X75" i="9" s="1"/>
  <c r="T76" i="9"/>
  <c r="T77" i="9"/>
  <c r="T78" i="9"/>
  <c r="T79" i="9"/>
  <c r="T80" i="9"/>
  <c r="X80" i="9" s="1"/>
  <c r="T81" i="9"/>
  <c r="T82" i="9"/>
  <c r="X82" i="9" s="1"/>
  <c r="T83" i="9"/>
  <c r="X83" i="9" s="1"/>
  <c r="T84" i="9"/>
  <c r="T85" i="9"/>
  <c r="T86" i="9"/>
  <c r="X86" i="9" s="1"/>
  <c r="T87" i="9"/>
  <c r="X87" i="9" s="1"/>
  <c r="T88" i="9"/>
  <c r="X88" i="9" s="1"/>
  <c r="T89" i="9"/>
  <c r="T90" i="9"/>
  <c r="X90" i="9" s="1"/>
  <c r="T91" i="9"/>
  <c r="X91" i="9" s="1"/>
  <c r="T92" i="9"/>
  <c r="T93" i="9"/>
  <c r="T94" i="9"/>
  <c r="X94" i="9" s="1"/>
  <c r="T95" i="9"/>
  <c r="T96" i="9"/>
  <c r="X96" i="9" s="1"/>
  <c r="T97" i="9"/>
  <c r="T98" i="9"/>
  <c r="X98" i="9" s="1"/>
  <c r="T99" i="9"/>
  <c r="X99" i="9" s="1"/>
  <c r="T100" i="9"/>
  <c r="T101" i="9"/>
  <c r="T102" i="9"/>
  <c r="T103" i="9"/>
  <c r="U4" i="9"/>
  <c r="U5" i="9"/>
  <c r="U13" i="9"/>
  <c r="U14" i="9"/>
  <c r="U20" i="9"/>
  <c r="U21" i="9"/>
  <c r="U29" i="9"/>
  <c r="U30" i="9"/>
  <c r="U37" i="9"/>
  <c r="U39" i="9"/>
  <c r="U45" i="9"/>
  <c r="U46" i="9"/>
  <c r="U47" i="9"/>
  <c r="U53" i="9"/>
  <c r="U55" i="9"/>
  <c r="U60" i="9"/>
  <c r="U61" i="9"/>
  <c r="U62" i="9"/>
  <c r="U68" i="9"/>
  <c r="U69" i="9"/>
  <c r="U76" i="9"/>
  <c r="U77" i="9"/>
  <c r="U78" i="9"/>
  <c r="U85" i="9"/>
  <c r="U93" i="9"/>
  <c r="U94" i="9"/>
  <c r="U101" i="9"/>
  <c r="U103" i="9"/>
  <c r="V9" i="9"/>
  <c r="V10" i="9"/>
  <c r="V11" i="9"/>
  <c r="V17" i="9"/>
  <c r="V24" i="9"/>
  <c r="V25" i="9"/>
  <c r="V26" i="9"/>
  <c r="V27" i="9"/>
  <c r="V32" i="9"/>
  <c r="V33" i="9"/>
  <c r="V41" i="9"/>
  <c r="V42" i="9"/>
  <c r="V48" i="9"/>
  <c r="V49" i="9"/>
  <c r="V57" i="9"/>
  <c r="V58" i="9"/>
  <c r="V65" i="9"/>
  <c r="V67" i="9"/>
  <c r="V73" i="9"/>
  <c r="V74" i="9"/>
  <c r="V75" i="9"/>
  <c r="V81" i="9"/>
  <c r="V83" i="9"/>
  <c r="V88" i="9"/>
  <c r="V96" i="9"/>
  <c r="V97" i="9"/>
  <c r="W4" i="9"/>
  <c r="W5" i="9"/>
  <c r="W13" i="9"/>
  <c r="W21" i="9"/>
  <c r="W22" i="9"/>
  <c r="W23" i="9"/>
  <c r="W37" i="9"/>
  <c r="W38" i="9"/>
  <c r="W44" i="9"/>
  <c r="W45" i="9"/>
  <c r="W54" i="9"/>
  <c r="W55" i="9"/>
  <c r="W61" i="9"/>
  <c r="W68" i="9"/>
  <c r="W69" i="9"/>
  <c r="W77" i="9"/>
  <c r="W85" i="9"/>
  <c r="W86" i="9"/>
  <c r="W87" i="9"/>
  <c r="W101" i="9"/>
  <c r="X4" i="9"/>
  <c r="X5" i="9"/>
  <c r="X6" i="9"/>
  <c r="X7" i="9"/>
  <c r="X9" i="9"/>
  <c r="X12" i="9"/>
  <c r="X13" i="9"/>
  <c r="X14" i="9"/>
  <c r="X15" i="9"/>
  <c r="X17" i="9"/>
  <c r="X20" i="9"/>
  <c r="X21" i="9"/>
  <c r="X25" i="9"/>
  <c r="X28" i="9"/>
  <c r="X29" i="9"/>
  <c r="X31" i="9"/>
  <c r="X33" i="9"/>
  <c r="X36" i="9"/>
  <c r="X37" i="9"/>
  <c r="X38" i="9"/>
  <c r="X39" i="9"/>
  <c r="X41" i="9"/>
  <c r="X44" i="9"/>
  <c r="X45" i="9"/>
  <c r="X46" i="9"/>
  <c r="X49" i="9"/>
  <c r="X52" i="9"/>
  <c r="X53" i="9"/>
  <c r="X54" i="9"/>
  <c r="X57" i="9"/>
  <c r="X60" i="9"/>
  <c r="X61" i="9"/>
  <c r="X62" i="9"/>
  <c r="X65" i="9"/>
  <c r="X68" i="9"/>
  <c r="X69" i="9"/>
  <c r="X70" i="9"/>
  <c r="X71" i="9"/>
  <c r="X73" i="9"/>
  <c r="X76" i="9"/>
  <c r="X77" i="9"/>
  <c r="X78" i="9"/>
  <c r="X79" i="9"/>
  <c r="X81" i="9"/>
  <c r="X84" i="9"/>
  <c r="X85" i="9"/>
  <c r="X89" i="9"/>
  <c r="X92" i="9"/>
  <c r="X93" i="9"/>
  <c r="X95" i="9"/>
  <c r="X97" i="9"/>
  <c r="X100" i="9"/>
  <c r="X101" i="9"/>
  <c r="X102" i="9"/>
  <c r="X103" i="9"/>
  <c r="M103" i="17" l="1"/>
  <c r="M71" i="17"/>
  <c r="M55" i="17"/>
  <c r="M39" i="17"/>
  <c r="M7" i="17"/>
  <c r="G51" i="17"/>
  <c r="F28" i="17"/>
  <c r="J28" i="17" s="1"/>
  <c r="M75" i="17"/>
  <c r="M59" i="17"/>
  <c r="M43" i="17"/>
  <c r="M27" i="17"/>
  <c r="M11" i="17"/>
  <c r="W76" i="9"/>
  <c r="W12" i="9"/>
  <c r="V40" i="9"/>
  <c r="U63" i="9"/>
  <c r="M70" i="17"/>
  <c r="M54" i="17"/>
  <c r="M6" i="17"/>
  <c r="W29" i="9"/>
  <c r="V90" i="9"/>
  <c r="V56" i="9"/>
  <c r="U100" i="9"/>
  <c r="H60" i="17"/>
  <c r="L60" i="17" s="1"/>
  <c r="F12" i="17"/>
  <c r="J12" i="17" s="1"/>
  <c r="L103" i="17"/>
  <c r="M79" i="17"/>
  <c r="M63" i="17"/>
  <c r="M15" i="17"/>
  <c r="F87" i="17"/>
  <c r="J87" i="17" s="1"/>
  <c r="M99" i="17"/>
  <c r="M83" i="17"/>
  <c r="M35" i="17"/>
  <c r="M19" i="17"/>
  <c r="W36" i="9"/>
  <c r="V91" i="9"/>
  <c r="V19" i="9"/>
  <c r="U84" i="9"/>
  <c r="M94" i="17"/>
  <c r="M62" i="17"/>
  <c r="M30" i="17"/>
  <c r="W71" i="9"/>
  <c r="W53" i="9"/>
  <c r="W7" i="9"/>
  <c r="V35" i="9"/>
  <c r="U79" i="9"/>
  <c r="U7" i="9"/>
  <c r="W92" i="9"/>
  <c r="W70" i="9"/>
  <c r="W52" i="9"/>
  <c r="W28" i="9"/>
  <c r="W6" i="9"/>
  <c r="V89" i="9"/>
  <c r="V72" i="9"/>
  <c r="V16" i="9"/>
  <c r="U95" i="9"/>
  <c r="U44" i="9"/>
  <c r="U23" i="9"/>
  <c r="M72" i="17"/>
  <c r="M48" i="17"/>
  <c r="M24" i="17"/>
  <c r="M16" i="17"/>
  <c r="L87" i="17"/>
  <c r="L71" i="17"/>
  <c r="L39" i="17"/>
  <c r="L23" i="17"/>
  <c r="L7" i="17"/>
  <c r="J23" i="17"/>
  <c r="W39" i="9"/>
  <c r="V99" i="9"/>
  <c r="V64" i="9"/>
  <c r="U92" i="9"/>
  <c r="U36" i="9"/>
  <c r="U15" i="9"/>
  <c r="L94" i="17"/>
  <c r="L78" i="17"/>
  <c r="L62" i="17"/>
  <c r="L46" i="17"/>
  <c r="L38" i="17"/>
  <c r="L30" i="17"/>
  <c r="L22" i="17"/>
  <c r="L14" i="17"/>
  <c r="L6" i="17"/>
  <c r="K74" i="17"/>
  <c r="K66" i="17"/>
  <c r="K58" i="17"/>
  <c r="K50" i="17"/>
  <c r="K42" i="17"/>
  <c r="K34" i="17"/>
  <c r="K26" i="17"/>
  <c r="K18" i="17"/>
  <c r="K10" i="17"/>
  <c r="J102" i="17"/>
  <c r="J94" i="17"/>
  <c r="J86" i="17"/>
  <c r="J78" i="17"/>
  <c r="J70" i="17"/>
  <c r="J62" i="17"/>
  <c r="J54" i="17"/>
  <c r="J38" i="17"/>
  <c r="J30" i="17"/>
  <c r="J22" i="17"/>
  <c r="J14" i="17"/>
  <c r="J6" i="17"/>
  <c r="L95" i="17"/>
  <c r="L63" i="17"/>
  <c r="L47" i="17"/>
  <c r="L31" i="17"/>
  <c r="L15" i="17"/>
  <c r="J63" i="17"/>
  <c r="W103" i="9"/>
  <c r="V43" i="9"/>
  <c r="U71" i="9"/>
  <c r="L102" i="17"/>
  <c r="L86" i="17"/>
  <c r="L70" i="17"/>
  <c r="L54" i="17"/>
  <c r="W102" i="9"/>
  <c r="W84" i="9"/>
  <c r="W20" i="9"/>
  <c r="V80" i="9"/>
  <c r="V59" i="9"/>
  <c r="V8" i="9"/>
  <c r="U52" i="9"/>
  <c r="U31" i="9"/>
  <c r="K51" i="17"/>
  <c r="K99" i="17"/>
  <c r="K83" i="17"/>
  <c r="K75" i="17"/>
  <c r="K67" i="17"/>
  <c r="K59" i="17"/>
  <c r="K43" i="17"/>
  <c r="K35" i="17"/>
  <c r="K19" i="17"/>
  <c r="K11" i="17"/>
  <c r="J103" i="17"/>
  <c r="J95" i="17"/>
  <c r="J79" i="17"/>
  <c r="J71" i="17"/>
  <c r="J55" i="17"/>
  <c r="J47" i="17"/>
  <c r="J39" i="17"/>
  <c r="J31" i="17"/>
  <c r="J15" i="17"/>
  <c r="J7" i="17"/>
  <c r="H79" i="17"/>
  <c r="L79" i="17" s="1"/>
  <c r="W95" i="9"/>
  <c r="W63" i="9"/>
  <c r="W47" i="9"/>
  <c r="W31" i="9"/>
  <c r="W15" i="9"/>
  <c r="W94" i="9"/>
  <c r="W78" i="9"/>
  <c r="W62" i="9"/>
  <c r="W46" i="9"/>
  <c r="W30" i="9"/>
  <c r="W14" i="9"/>
  <c r="V98" i="9"/>
  <c r="V82" i="9"/>
  <c r="V66" i="9"/>
  <c r="V50" i="9"/>
  <c r="V34" i="9"/>
  <c r="V18" i="9"/>
  <c r="U102" i="9"/>
  <c r="U86" i="9"/>
  <c r="U70" i="9"/>
  <c r="U54" i="9"/>
  <c r="U38" i="9"/>
  <c r="U22" i="9"/>
  <c r="U6" i="9"/>
  <c r="W89" i="9"/>
  <c r="H89" i="17"/>
  <c r="L89" i="17" s="1"/>
  <c r="W57" i="9"/>
  <c r="H57" i="17"/>
  <c r="L57" i="17" s="1"/>
  <c r="W17" i="9"/>
  <c r="H17" i="17"/>
  <c r="L17" i="17" s="1"/>
  <c r="V69" i="9"/>
  <c r="G69" i="17"/>
  <c r="K69" i="17" s="1"/>
  <c r="V45" i="9"/>
  <c r="G45" i="17"/>
  <c r="K45" i="17" s="1"/>
  <c r="V29" i="9"/>
  <c r="G29" i="17"/>
  <c r="K29" i="17" s="1"/>
  <c r="U97" i="9"/>
  <c r="F97" i="17"/>
  <c r="J97" i="17" s="1"/>
  <c r="U65" i="9"/>
  <c r="F65" i="17"/>
  <c r="J65" i="17" s="1"/>
  <c r="U17" i="9"/>
  <c r="F17" i="17"/>
  <c r="J17" i="17" s="1"/>
  <c r="W72" i="9"/>
  <c r="H72" i="17"/>
  <c r="W48" i="9"/>
  <c r="H48" i="17"/>
  <c r="L48" i="17" s="1"/>
  <c r="W24" i="9"/>
  <c r="H24" i="17"/>
  <c r="L24" i="17" s="1"/>
  <c r="V100" i="9"/>
  <c r="G100" i="17"/>
  <c r="K100" i="17" s="1"/>
  <c r="V76" i="9"/>
  <c r="G76" i="17"/>
  <c r="K76" i="17" s="1"/>
  <c r="V28" i="9"/>
  <c r="G28" i="17"/>
  <c r="K28" i="17" s="1"/>
  <c r="V4" i="9"/>
  <c r="G4" i="17"/>
  <c r="K4" i="17" s="1"/>
  <c r="U80" i="9"/>
  <c r="F80" i="17"/>
  <c r="J80" i="17" s="1"/>
  <c r="U72" i="9"/>
  <c r="F72" i="17"/>
  <c r="U48" i="9"/>
  <c r="F48" i="17"/>
  <c r="J48" i="17" s="1"/>
  <c r="U24" i="9"/>
  <c r="F24" i="17"/>
  <c r="J24" i="17" s="1"/>
  <c r="M96" i="17"/>
  <c r="K72" i="17"/>
  <c r="K48" i="17"/>
  <c r="K40" i="17"/>
  <c r="L59" i="17"/>
  <c r="W73" i="9"/>
  <c r="H73" i="17"/>
  <c r="L73" i="17" s="1"/>
  <c r="W41" i="9"/>
  <c r="H41" i="17"/>
  <c r="L41" i="17" s="1"/>
  <c r="W9" i="9"/>
  <c r="H9" i="17"/>
  <c r="L9" i="17" s="1"/>
  <c r="V93" i="9"/>
  <c r="G93" i="17"/>
  <c r="K93" i="17" s="1"/>
  <c r="V53" i="9"/>
  <c r="G53" i="17"/>
  <c r="K53" i="17" s="1"/>
  <c r="V5" i="9"/>
  <c r="G5" i="17"/>
  <c r="K5" i="17" s="1"/>
  <c r="U73" i="9"/>
  <c r="F73" i="17"/>
  <c r="J73" i="17" s="1"/>
  <c r="U49" i="9"/>
  <c r="F49" i="17"/>
  <c r="J49" i="17" s="1"/>
  <c r="U25" i="9"/>
  <c r="F25" i="17"/>
  <c r="J25" i="17" s="1"/>
  <c r="W96" i="9"/>
  <c r="H96" i="17"/>
  <c r="L96" i="17" s="1"/>
  <c r="W64" i="9"/>
  <c r="H64" i="17"/>
  <c r="W8" i="9"/>
  <c r="H8" i="17"/>
  <c r="V36" i="9"/>
  <c r="G36" i="17"/>
  <c r="K36" i="17" s="1"/>
  <c r="W99" i="9"/>
  <c r="H99" i="17"/>
  <c r="L99" i="17" s="1"/>
  <c r="W91" i="9"/>
  <c r="H91" i="17"/>
  <c r="W83" i="9"/>
  <c r="H83" i="17"/>
  <c r="L83" i="17" s="1"/>
  <c r="W75" i="9"/>
  <c r="H75" i="17"/>
  <c r="L75" i="17" s="1"/>
  <c r="W67" i="9"/>
  <c r="H67" i="17"/>
  <c r="L67" i="17" s="1"/>
  <c r="W59" i="9"/>
  <c r="H59" i="17"/>
  <c r="W51" i="9"/>
  <c r="H51" i="17"/>
  <c r="W43" i="9"/>
  <c r="H43" i="17"/>
  <c r="L43" i="17" s="1"/>
  <c r="W35" i="9"/>
  <c r="H35" i="17"/>
  <c r="L35" i="17" s="1"/>
  <c r="W27" i="9"/>
  <c r="H27" i="17"/>
  <c r="L27" i="17" s="1"/>
  <c r="W19" i="9"/>
  <c r="H19" i="17"/>
  <c r="W11" i="9"/>
  <c r="H11" i="17"/>
  <c r="L11" i="17" s="1"/>
  <c r="V103" i="9"/>
  <c r="G103" i="17"/>
  <c r="K103" i="17" s="1"/>
  <c r="V95" i="9"/>
  <c r="G95" i="17"/>
  <c r="K95" i="17" s="1"/>
  <c r="V87" i="9"/>
  <c r="G87" i="17"/>
  <c r="K87" i="17" s="1"/>
  <c r="V79" i="9"/>
  <c r="G79" i="17"/>
  <c r="K79" i="17" s="1"/>
  <c r="V71" i="9"/>
  <c r="G71" i="17"/>
  <c r="K71" i="17" s="1"/>
  <c r="V63" i="9"/>
  <c r="G63" i="17"/>
  <c r="K63" i="17" s="1"/>
  <c r="V55" i="9"/>
  <c r="G55" i="17"/>
  <c r="K55" i="17" s="1"/>
  <c r="V47" i="9"/>
  <c r="G47" i="17"/>
  <c r="K47" i="17" s="1"/>
  <c r="V39" i="9"/>
  <c r="G39" i="17"/>
  <c r="K39" i="17" s="1"/>
  <c r="V31" i="9"/>
  <c r="G31" i="17"/>
  <c r="K31" i="17" s="1"/>
  <c r="V23" i="9"/>
  <c r="G23" i="17"/>
  <c r="K23" i="17" s="1"/>
  <c r="V15" i="9"/>
  <c r="G15" i="17"/>
  <c r="K15" i="17" s="1"/>
  <c r="V7" i="9"/>
  <c r="G7" i="17"/>
  <c r="K7" i="17" s="1"/>
  <c r="U99" i="9"/>
  <c r="F99" i="17"/>
  <c r="U91" i="9"/>
  <c r="F91" i="17"/>
  <c r="J91" i="17" s="1"/>
  <c r="U83" i="9"/>
  <c r="F83" i="17"/>
  <c r="U75" i="9"/>
  <c r="F75" i="17"/>
  <c r="J75" i="17" s="1"/>
  <c r="U67" i="9"/>
  <c r="F67" i="17"/>
  <c r="J67" i="17" s="1"/>
  <c r="U59" i="9"/>
  <c r="F59" i="17"/>
  <c r="U51" i="9"/>
  <c r="F51" i="17"/>
  <c r="U43" i="9"/>
  <c r="F43" i="17"/>
  <c r="J43" i="17" s="1"/>
  <c r="U35" i="9"/>
  <c r="F35" i="17"/>
  <c r="J35" i="17" s="1"/>
  <c r="U27" i="9"/>
  <c r="F27" i="17"/>
  <c r="U19" i="9"/>
  <c r="F19" i="17"/>
  <c r="J19" i="17" s="1"/>
  <c r="U11" i="9"/>
  <c r="F11" i="17"/>
  <c r="J11" i="17" s="1"/>
  <c r="K80" i="17"/>
  <c r="K16" i="17"/>
  <c r="K56" i="17"/>
  <c r="W97" i="9"/>
  <c r="H97" i="17"/>
  <c r="L97" i="17" s="1"/>
  <c r="W65" i="9"/>
  <c r="H65" i="17"/>
  <c r="L65" i="17" s="1"/>
  <c r="W33" i="9"/>
  <c r="H33" i="17"/>
  <c r="L33" i="17" s="1"/>
  <c r="V101" i="9"/>
  <c r="G101" i="17"/>
  <c r="K101" i="17" s="1"/>
  <c r="V77" i="9"/>
  <c r="G77" i="17"/>
  <c r="K77" i="17" s="1"/>
  <c r="V61" i="9"/>
  <c r="G61" i="17"/>
  <c r="K61" i="17" s="1"/>
  <c r="V21" i="9"/>
  <c r="G21" i="17"/>
  <c r="K21" i="17" s="1"/>
  <c r="U81" i="9"/>
  <c r="F81" i="17"/>
  <c r="J81" i="17" s="1"/>
  <c r="U41" i="9"/>
  <c r="F41" i="17"/>
  <c r="J41" i="17" s="1"/>
  <c r="U33" i="9"/>
  <c r="F33" i="17"/>
  <c r="J33" i="17" s="1"/>
  <c r="J72" i="17"/>
  <c r="W80" i="9"/>
  <c r="H80" i="17"/>
  <c r="L80" i="17" s="1"/>
  <c r="W56" i="9"/>
  <c r="H56" i="17"/>
  <c r="L56" i="17" s="1"/>
  <c r="W32" i="9"/>
  <c r="H32" i="17"/>
  <c r="L32" i="17" s="1"/>
  <c r="V84" i="9"/>
  <c r="G84" i="17"/>
  <c r="K84" i="17" s="1"/>
  <c r="V60" i="9"/>
  <c r="G60" i="17"/>
  <c r="K60" i="17" s="1"/>
  <c r="V52" i="9"/>
  <c r="G52" i="17"/>
  <c r="K52" i="17" s="1"/>
  <c r="V12" i="9"/>
  <c r="G12" i="17"/>
  <c r="K12" i="17" s="1"/>
  <c r="U88" i="9"/>
  <c r="F88" i="17"/>
  <c r="J88" i="17" s="1"/>
  <c r="U64" i="9"/>
  <c r="F64" i="17"/>
  <c r="J64" i="17" s="1"/>
  <c r="U40" i="9"/>
  <c r="F40" i="17"/>
  <c r="J40" i="17" s="1"/>
  <c r="U16" i="9"/>
  <c r="F16" i="17"/>
  <c r="J16" i="17" s="1"/>
  <c r="M88" i="17"/>
  <c r="M64" i="17"/>
  <c r="M40" i="17"/>
  <c r="K88" i="17"/>
  <c r="K24" i="17"/>
  <c r="W81" i="9"/>
  <c r="H81" i="17"/>
  <c r="L81" i="17" s="1"/>
  <c r="W49" i="9"/>
  <c r="H49" i="17"/>
  <c r="L49" i="17" s="1"/>
  <c r="W25" i="9"/>
  <c r="H25" i="17"/>
  <c r="L25" i="17" s="1"/>
  <c r="V85" i="9"/>
  <c r="G85" i="17"/>
  <c r="K85" i="17" s="1"/>
  <c r="V37" i="9"/>
  <c r="G37" i="17"/>
  <c r="K37" i="17" s="1"/>
  <c r="V13" i="9"/>
  <c r="G13" i="17"/>
  <c r="K13" i="17" s="1"/>
  <c r="U89" i="9"/>
  <c r="F89" i="17"/>
  <c r="J89" i="17" s="1"/>
  <c r="U57" i="9"/>
  <c r="F57" i="17"/>
  <c r="J57" i="17" s="1"/>
  <c r="U9" i="9"/>
  <c r="F9" i="17"/>
  <c r="J9" i="17" s="1"/>
  <c r="W88" i="9"/>
  <c r="H88" i="17"/>
  <c r="L88" i="17" s="1"/>
  <c r="W40" i="9"/>
  <c r="H40" i="17"/>
  <c r="W16" i="9"/>
  <c r="H16" i="17"/>
  <c r="V92" i="9"/>
  <c r="G92" i="17"/>
  <c r="K92" i="17" s="1"/>
  <c r="V68" i="9"/>
  <c r="G68" i="17"/>
  <c r="K68" i="17" s="1"/>
  <c r="V44" i="9"/>
  <c r="G44" i="17"/>
  <c r="K44" i="17" s="1"/>
  <c r="V20" i="9"/>
  <c r="G20" i="17"/>
  <c r="K20" i="17" s="1"/>
  <c r="U96" i="9"/>
  <c r="F96" i="17"/>
  <c r="J96" i="17" s="1"/>
  <c r="U56" i="9"/>
  <c r="F56" i="17"/>
  <c r="J56" i="17" s="1"/>
  <c r="U32" i="9"/>
  <c r="F32" i="17"/>
  <c r="J32" i="17" s="1"/>
  <c r="U8" i="9"/>
  <c r="F8" i="17"/>
  <c r="J8" i="17" s="1"/>
  <c r="M80" i="17"/>
  <c r="M56" i="17"/>
  <c r="M32" i="17"/>
  <c r="M8" i="17"/>
  <c r="K8" i="17"/>
  <c r="K64" i="17"/>
  <c r="L51" i="17"/>
  <c r="J27" i="17"/>
  <c r="H98" i="17"/>
  <c r="L98" i="17" s="1"/>
  <c r="H90" i="17"/>
  <c r="L90" i="17" s="1"/>
  <c r="H82" i="17"/>
  <c r="L82" i="17" s="1"/>
  <c r="H74" i="17"/>
  <c r="H66" i="17"/>
  <c r="L66" i="17" s="1"/>
  <c r="H58" i="17"/>
  <c r="L58" i="17" s="1"/>
  <c r="H50" i="17"/>
  <c r="H42" i="17"/>
  <c r="L42" i="17" s="1"/>
  <c r="H34" i="17"/>
  <c r="L34" i="17" s="1"/>
  <c r="H26" i="17"/>
  <c r="L26" i="17" s="1"/>
  <c r="H18" i="17"/>
  <c r="L18" i="17" s="1"/>
  <c r="H10" i="17"/>
  <c r="G102" i="17"/>
  <c r="K102" i="17" s="1"/>
  <c r="G94" i="17"/>
  <c r="K94" i="17" s="1"/>
  <c r="G86" i="17"/>
  <c r="K86" i="17" s="1"/>
  <c r="G78" i="17"/>
  <c r="K78" i="17" s="1"/>
  <c r="G70" i="17"/>
  <c r="K70" i="17" s="1"/>
  <c r="G62" i="17"/>
  <c r="K62" i="17" s="1"/>
  <c r="G54" i="17"/>
  <c r="K54" i="17" s="1"/>
  <c r="G46" i="17"/>
  <c r="K46" i="17" s="1"/>
  <c r="G38" i="17"/>
  <c r="K38" i="17" s="1"/>
  <c r="G30" i="17"/>
  <c r="K30" i="17" s="1"/>
  <c r="G22" i="17"/>
  <c r="K22" i="17" s="1"/>
  <c r="G14" i="17"/>
  <c r="K14" i="17" s="1"/>
  <c r="G6" i="17"/>
  <c r="K6" i="17" s="1"/>
  <c r="F98" i="17"/>
  <c r="J98" i="17" s="1"/>
  <c r="F90" i="17"/>
  <c r="J90" i="17" s="1"/>
  <c r="F82" i="17"/>
  <c r="J82" i="17" s="1"/>
  <c r="F74" i="17"/>
  <c r="J74" i="17" s="1"/>
  <c r="F66" i="17"/>
  <c r="J66" i="17" s="1"/>
  <c r="F58" i="17"/>
  <c r="J58" i="17" s="1"/>
  <c r="F50" i="17"/>
  <c r="J50" i="17" s="1"/>
  <c r="F42" i="17"/>
  <c r="J42" i="17" s="1"/>
  <c r="F34" i="17"/>
  <c r="J34" i="17" s="1"/>
  <c r="F26" i="17"/>
  <c r="J26" i="17" s="1"/>
  <c r="F18" i="17"/>
  <c r="J18" i="17" s="1"/>
  <c r="F10" i="17"/>
  <c r="J10" i="17" s="1"/>
  <c r="L91" i="17"/>
  <c r="L19" i="17"/>
  <c r="J83" i="17"/>
  <c r="J59" i="17"/>
  <c r="L74" i="17"/>
  <c r="L50" i="17"/>
  <c r="L10" i="17"/>
  <c r="J99" i="17"/>
  <c r="J51" i="17"/>
  <c r="L72" i="17"/>
  <c r="L64" i="17"/>
  <c r="L40" i="17"/>
  <c r="L16" i="17"/>
  <c r="L8" i="17"/>
  <c r="U11" i="16"/>
  <c r="U4" i="16" l="1"/>
  <c r="U9" i="16" l="1"/>
  <c r="I39" i="16" s="1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F5" i="7" s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F16" i="7"/>
  <c r="E15" i="7"/>
  <c r="E31" i="7"/>
  <c r="G79" i="7"/>
  <c r="F44" i="7" l="1"/>
  <c r="F12" i="7"/>
  <c r="G58" i="7"/>
  <c r="E52" i="7"/>
  <c r="F50" i="7"/>
  <c r="F27" i="7"/>
  <c r="E21" i="7"/>
  <c r="K73" i="7"/>
  <c r="F57" i="7"/>
  <c r="K57" i="7"/>
  <c r="K11" i="7"/>
  <c r="K41" i="7"/>
  <c r="F89" i="7"/>
  <c r="E95" i="7"/>
  <c r="H4" i="7"/>
  <c r="K7" i="7"/>
  <c r="F20" i="7"/>
  <c r="E93" i="7"/>
  <c r="F86" i="7"/>
  <c r="K53" i="7"/>
  <c r="F79" i="7"/>
  <c r="G91" i="7"/>
  <c r="G83" i="7"/>
  <c r="K67" i="7"/>
  <c r="G59" i="7"/>
  <c r="E43" i="7"/>
  <c r="G29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F78" i="7"/>
  <c r="K37" i="7"/>
  <c r="E55" i="7"/>
  <c r="E45" i="7"/>
  <c r="F32" i="7"/>
  <c r="F56" i="7"/>
  <c r="D10" i="7"/>
  <c r="K85" i="7"/>
  <c r="K27" i="7"/>
  <c r="F51" i="7"/>
  <c r="H83" i="7"/>
  <c r="E51" i="7"/>
  <c r="G98" i="7"/>
  <c r="H35" i="7"/>
  <c r="F67" i="7"/>
  <c r="G74" i="7"/>
  <c r="K91" i="7"/>
  <c r="K59" i="7"/>
  <c r="K43" i="7"/>
  <c r="K29" i="7"/>
  <c r="E39" i="7"/>
  <c r="F74" i="7"/>
  <c r="E77" i="7"/>
  <c r="E29" i="7"/>
  <c r="F62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F21" i="7"/>
  <c r="F58" i="7"/>
  <c r="F98" i="7"/>
  <c r="F80" i="7"/>
  <c r="G20" i="7"/>
  <c r="G51" i="7"/>
  <c r="G21" i="7"/>
  <c r="F66" i="7"/>
  <c r="G12" i="7"/>
  <c r="K93" i="7"/>
  <c r="K77" i="7"/>
  <c r="K61" i="7"/>
  <c r="K45" i="7"/>
  <c r="K31" i="7"/>
  <c r="K15" i="7"/>
  <c r="F64" i="7"/>
  <c r="F48" i="7"/>
  <c r="F26" i="7"/>
  <c r="D80" i="7"/>
  <c r="F9" i="7"/>
  <c r="E47" i="7"/>
  <c r="D55" i="7"/>
  <c r="F95" i="7"/>
  <c r="G42" i="7"/>
  <c r="F100" i="7"/>
  <c r="E92" i="7"/>
  <c r="E84" i="7"/>
  <c r="G76" i="7"/>
  <c r="E68" i="7"/>
  <c r="E60" i="7"/>
  <c r="H52" i="7"/>
  <c r="H44" i="7"/>
  <c r="E36" i="7"/>
  <c r="F30" i="7"/>
  <c r="G22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F28" i="7"/>
  <c r="D48" i="7"/>
  <c r="F87" i="7"/>
  <c r="D39" i="7"/>
  <c r="L39" i="7" s="1"/>
  <c r="F94" i="7"/>
  <c r="F22" i="7"/>
  <c r="G82" i="7"/>
  <c r="G34" i="7"/>
  <c r="G99" i="7"/>
  <c r="E91" i="7"/>
  <c r="E83" i="7"/>
  <c r="F75" i="7"/>
  <c r="G67" i="7"/>
  <c r="E59" i="7"/>
  <c r="F43" i="7"/>
  <c r="G35" i="7"/>
  <c r="F29" i="7"/>
  <c r="E13" i="7"/>
  <c r="G5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71" i="7"/>
  <c r="M71" i="7" s="1"/>
  <c r="F47" i="7"/>
  <c r="F18" i="7"/>
  <c r="M18" i="7" s="1"/>
  <c r="E17" i="7"/>
  <c r="F34" i="7"/>
  <c r="D72" i="7"/>
  <c r="F90" i="7"/>
  <c r="E30" i="7"/>
  <c r="F84" i="7"/>
  <c r="F46" i="7"/>
  <c r="F17" i="7"/>
  <c r="G66" i="7"/>
  <c r="G28" i="7"/>
  <c r="F97" i="7"/>
  <c r="F81" i="7"/>
  <c r="E73" i="7"/>
  <c r="F65" i="7"/>
  <c r="F49" i="7"/>
  <c r="F41" i="7"/>
  <c r="G33" i="7"/>
  <c r="F19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D40" i="7"/>
  <c r="E25" i="7"/>
  <c r="F42" i="7"/>
  <c r="E63" i="7"/>
  <c r="F82" i="7"/>
  <c r="D63" i="7"/>
  <c r="F63" i="7"/>
  <c r="G90" i="7"/>
  <c r="G50" i="7"/>
  <c r="E4" i="7"/>
  <c r="K96" i="7"/>
  <c r="K88" i="7"/>
  <c r="K80" i="7"/>
  <c r="K72" i="7"/>
  <c r="K64" i="7"/>
  <c r="K56" i="7"/>
  <c r="K48" i="7"/>
  <c r="K40" i="7"/>
  <c r="K26" i="7"/>
  <c r="K18" i="7"/>
  <c r="K10" i="7"/>
  <c r="G36" i="7"/>
  <c r="H68" i="7"/>
  <c r="G100" i="7"/>
  <c r="E100" i="7"/>
  <c r="E76" i="7"/>
  <c r="F59" i="7"/>
  <c r="F91" i="7"/>
  <c r="E99" i="7"/>
  <c r="E75" i="7"/>
  <c r="E22" i="7"/>
  <c r="F96" i="7"/>
  <c r="F60" i="7"/>
  <c r="F36" i="7"/>
  <c r="H30" i="7"/>
  <c r="O30" i="7" s="1"/>
  <c r="G60" i="7"/>
  <c r="F76" i="7"/>
  <c r="F52" i="7"/>
  <c r="F14" i="7"/>
  <c r="G52" i="7"/>
  <c r="D64" i="7"/>
  <c r="M64" i="7" s="1"/>
  <c r="H84" i="7"/>
  <c r="E14" i="7"/>
  <c r="F92" i="7"/>
  <c r="G75" i="7"/>
  <c r="G43" i="7"/>
  <c r="G13" i="7"/>
  <c r="H6" i="7"/>
  <c r="F13" i="7"/>
  <c r="E35" i="7"/>
  <c r="F88" i="7"/>
  <c r="F68" i="7"/>
  <c r="F6" i="7"/>
  <c r="H92" i="7"/>
  <c r="E44" i="7"/>
  <c r="D26" i="7"/>
  <c r="G81" i="7"/>
  <c r="G49" i="7"/>
  <c r="G19" i="7"/>
  <c r="D9" i="7"/>
  <c r="E89" i="7"/>
  <c r="E57" i="7"/>
  <c r="E41" i="7"/>
  <c r="E27" i="7"/>
  <c r="G95" i="7"/>
  <c r="G63" i="7"/>
  <c r="N63" i="7" s="1"/>
  <c r="G47" i="7"/>
  <c r="G17" i="7"/>
  <c r="G7" i="7"/>
  <c r="F7" i="7"/>
  <c r="G15" i="7"/>
  <c r="F15" i="7"/>
  <c r="D15" i="7"/>
  <c r="D23" i="7"/>
  <c r="G23" i="7"/>
  <c r="F23" i="7"/>
  <c r="G31" i="7"/>
  <c r="F31" i="7"/>
  <c r="D37" i="7"/>
  <c r="G37" i="7"/>
  <c r="F37" i="7"/>
  <c r="D45" i="7"/>
  <c r="G45" i="7"/>
  <c r="F45" i="7"/>
  <c r="D53" i="7"/>
  <c r="G53" i="7"/>
  <c r="N53" i="7" s="1"/>
  <c r="F53" i="7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E23" i="7"/>
  <c r="E7" i="7"/>
  <c r="G97" i="7"/>
  <c r="G65" i="7"/>
  <c r="D8" i="7"/>
  <c r="E8" i="7"/>
  <c r="G8" i="7"/>
  <c r="D16" i="7"/>
  <c r="M16" i="7" s="1"/>
  <c r="E16" i="7"/>
  <c r="G16" i="7"/>
  <c r="D24" i="7"/>
  <c r="E24" i="7"/>
  <c r="G24" i="7"/>
  <c r="E32" i="7"/>
  <c r="G32" i="7"/>
  <c r="D38" i="7"/>
  <c r="E38" i="7"/>
  <c r="G38" i="7"/>
  <c r="E46" i="7"/>
  <c r="G46" i="7"/>
  <c r="E54" i="7"/>
  <c r="G54" i="7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M55" i="7" s="1"/>
  <c r="F39" i="7"/>
  <c r="M39" i="7" s="1"/>
  <c r="F25" i="7"/>
  <c r="F33" i="7"/>
  <c r="H33" i="7"/>
  <c r="F73" i="7"/>
  <c r="H73" i="7"/>
  <c r="I9" i="7"/>
  <c r="E9" i="7"/>
  <c r="F70" i="7"/>
  <c r="F38" i="7"/>
  <c r="F24" i="7"/>
  <c r="F8" i="7"/>
  <c r="G89" i="7"/>
  <c r="G73" i="7"/>
  <c r="G57" i="7"/>
  <c r="G41" i="7"/>
  <c r="G27" i="7"/>
  <c r="F11" i="7"/>
  <c r="H11" i="7"/>
  <c r="E71" i="7"/>
  <c r="I71" i="7"/>
  <c r="D79" i="7"/>
  <c r="N79" i="7" s="1"/>
  <c r="E79" i="7"/>
  <c r="L79" i="7" s="1"/>
  <c r="E87" i="7"/>
  <c r="I87" i="7"/>
  <c r="F54" i="7"/>
  <c r="G11" i="7"/>
  <c r="E97" i="7"/>
  <c r="E81" i="7"/>
  <c r="E65" i="7"/>
  <c r="E49" i="7"/>
  <c r="E33" i="7"/>
  <c r="E19" i="7"/>
  <c r="G87" i="7"/>
  <c r="G71" i="7"/>
  <c r="G55" i="7"/>
  <c r="G39" i="7"/>
  <c r="G25" i="7"/>
  <c r="G9" i="7"/>
  <c r="E98" i="7"/>
  <c r="E90" i="7"/>
  <c r="E82" i="7"/>
  <c r="E74" i="7"/>
  <c r="E66" i="7"/>
  <c r="E58" i="7"/>
  <c r="E50" i="7"/>
  <c r="E42" i="7"/>
  <c r="E34" i="7"/>
  <c r="E28" i="7"/>
  <c r="E20" i="7"/>
  <c r="E12" i="7"/>
  <c r="G96" i="7"/>
  <c r="N96" i="7" s="1"/>
  <c r="G88" i="7"/>
  <c r="N88" i="7" s="1"/>
  <c r="G80" i="7"/>
  <c r="G72" i="7"/>
  <c r="G64" i="7"/>
  <c r="N64" i="7" s="1"/>
  <c r="G56" i="7"/>
  <c r="N56" i="7" s="1"/>
  <c r="G48" i="7"/>
  <c r="G40" i="7"/>
  <c r="G26" i="7"/>
  <c r="N26" i="7" s="1"/>
  <c r="G18" i="7"/>
  <c r="G10" i="7"/>
  <c r="E96" i="7"/>
  <c r="L96" i="7" s="1"/>
  <c r="E88" i="7"/>
  <c r="E80" i="7"/>
  <c r="E72" i="7"/>
  <c r="E64" i="7"/>
  <c r="E56" i="7"/>
  <c r="L56" i="7" s="1"/>
  <c r="E48" i="7"/>
  <c r="E40" i="7"/>
  <c r="E26" i="7"/>
  <c r="E18" i="7"/>
  <c r="E10" i="7"/>
  <c r="L10" i="7" s="1"/>
  <c r="F99" i="7"/>
  <c r="F83" i="7"/>
  <c r="F35" i="7"/>
  <c r="F4" i="7"/>
  <c r="G4" i="7"/>
  <c r="G92" i="7"/>
  <c r="G84" i="7"/>
  <c r="G68" i="7"/>
  <c r="G44" i="7"/>
  <c r="G30" i="7"/>
  <c r="G14" i="7"/>
  <c r="G6" i="7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L32" i="7" s="1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M29" i="7" s="1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L72" i="7"/>
  <c r="O10" i="7" l="1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AsOf &lt;= '2015-09-01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servicerName in ('N/A') and AsOf &lt;= '2015-09-01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servicerName in ('REMAINING') and AsOf &lt;= '2015-09-01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gnm.MappedServicerDist m join gnm.Sec b on b.issueID = m.issueId and b.issueDate = m.asOf where servicerName not in ('N/A' ,'REMAINING', 'OTHER ISSUERS') and rpb&gt;0 and collateralType = 'LOAN' and couponType = 'FIX' and AsOf &lt;= '2015-09-01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AsOf &lt;= '2015-09-01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<sst xmlns="http://schemas.openxmlformats.org/spreadsheetml/2006/main" count="2576" uniqueCount="118">
  <si>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</si>
  <si>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</si>
  <si>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</si>
  <si>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</si>
  <si>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</si>
  <si>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</si>
  <si>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</si>
  <si>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</si>
  <si>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</si>
  <si>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</si>
  <si>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</si>
  <si>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</si>
  <si>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</si>
  <si>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</si>
  <si>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</si>
  <si>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</si>
  <si>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</si>
  <si>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</si>
  <si>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</si>
  <si>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</si>
  <si>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</si>
  <si>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</si>
  <si>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</si>
  <si>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</si>
  <si>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</si>
  <si>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</si>
  <si>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SUNTRUST</t>
  </si>
  <si>
    <t>AMTRUST</t>
  </si>
  <si>
    <t>FIFTH THIRD</t>
  </si>
  <si>
    <t>RBS</t>
  </si>
  <si>
    <t>NY COMMUNITY</t>
  </si>
  <si>
    <t>TD BANK, N.A.</t>
  </si>
  <si>
    <t>QUICKEN</t>
  </si>
  <si>
    <t>NYCB MORTGAGE COMPANY, LLC</t>
  </si>
  <si>
    <t>FRANKLIN AMERICAN MORTGAGE COMPANY</t>
  </si>
  <si>
    <t>PENNYMAC CORP.</t>
  </si>
  <si>
    <t>PROVIDENT FUNDING</t>
  </si>
  <si>
    <t>NATIONSTAR</t>
  </si>
  <si>
    <t>GREEN TREE SERVICING, LLC</t>
  </si>
  <si>
    <t>ROUNDPOINT MORTGAGE SERVICING CORPORATIO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</si>
  <si>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</si>
  <si>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</si>
  <si>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</si>
  <si>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</si>
  <si>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</si>
  <si>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</si>
  <si>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</si>
  <si>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</si>
  <si>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</si>
  <si>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</si>
  <si>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</si>
  <si>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</si>
  <si>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</si>
  <si>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</si>
  <si>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</si>
  <si>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</si>
  <si>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</si>
  <si>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</si>
  <si>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</si>
  <si>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</si>
  <si>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</si>
  <si>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</si>
  <si>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</si>
  <si>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</si>
  <si>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</si>
  <si>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</si>
  <si>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</si>
  <si>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</si>
  <si>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</si>
  <si>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</si>
  <si>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</si>
  <si>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</si>
  <si>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</si>
  <si>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</si>
  <si>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</si>
  <si>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</si>
  <si>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</si>
  <si>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</si>
  <si>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</si>
  <si>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</si>
  <si>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</si>
  <si>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</si>
  <si>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</si>
  <si>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</si>
  <si>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</si>
  <si>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</si>
  <si>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</si>
  <si>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</si>
  <si>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</si>
  <si>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</si>
  <si>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</si>
  <si>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</si>
  <si>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</si>
  <si>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</si>
  <si>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</si>
  <si>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</si>
  <si>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</si>
  <si>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</si>
  <si>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</si>
  <si>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</si>
  <si>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MIDFIRST</t>
  </si>
  <si>
    <t>TAYLOR BEAN WHITAKER</t>
  </si>
  <si>
    <t>FIRST HORIZON HOME LOAN CORPORATION</t>
  </si>
  <si>
    <t>PRUDENTIAL HUNTOON PAIGE ASSOCIATES, LTD</t>
  </si>
  <si>
    <t>BB&amp;T</t>
  </si>
  <si>
    <t>DBA FREEDOM HOME MORTGAGE CORP</t>
  </si>
  <si>
    <t>PENNYMAC LOAN SERVICES, LLC</t>
  </si>
  <si>
    <t>M&amp;T BANK</t>
  </si>
  <si>
    <t>STONEGATE MORTGAGE CORPORATION</t>
  </si>
  <si>
    <t>PACIFIC UNION FINANCIAL LLC</t>
  </si>
  <si>
    <t>SUN WEST MORTGAGE CO INC</t>
  </si>
  <si>
    <t>ROUNDPOINT MORTGAGE SERVICING CORPORATION</t>
  </si>
  <si>
    <t>STEARNS LENDING INC DBA FPF WHOLESALE CU</t>
  </si>
  <si>
    <t>CMG MORTGAGE INC</t>
  </si>
  <si>
    <t>AMERIHOME MORTGAGE CORPORATION</t>
  </si>
  <si>
    <t>CALIBER HOME LOANS INC</t>
  </si>
  <si>
    <t>Report Month</t>
  </si>
  <si>
    <t>DITECH FINANCIAL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</si>
</sst>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4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  <xf numFmtId="14" fontId="134" fillId="0" borderId="0" xfId="0" applyNumberFormat="1" applyFont="1"/>
    <xf numFmtId="0" fontId="134" fillId="0" borderId="0" xfId="0" applyFont="1"/>
    <xf numFmtId="0" fontId="134" fillId="0" borderId="0" xfId="0" applyNumberFormat="1" applyFont="1"/>
    <xf numFmtId="9" fontId="134" fillId="0" borderId="0" xfId="2" applyFont="1"/>
    <xf numFmtId="0" fontId="134" fillId="0" borderId="0" xfId="2" applyNumberFormat="1" applyFon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Ginnie 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Combine'!$D$4:$D$103</c:f>
              <c:numCache>
                <c:formatCode>General</c:formatCode>
                <c:ptCount val="100"/>
                <c:pt idx="0">
                  <c:v>39778277970.419998</c:v>
                </c:pt>
                <c:pt idx="1">
                  <c:v>43626236360.260002</c:v>
                </c:pt>
                <c:pt idx="2">
                  <c:v>45637571448.949997</c:v>
                </c:pt>
                <c:pt idx="3">
                  <c:v>41476436391.800003</c:v>
                </c:pt>
                <c:pt idx="4">
                  <c:v>40489330126.019997</c:v>
                </c:pt>
                <c:pt idx="5">
                  <c:v>40527156414.769997</c:v>
                </c:pt>
                <c:pt idx="6">
                  <c:v>31578317075.630001</c:v>
                </c:pt>
                <c:pt idx="7">
                  <c:v>24217653446.099998</c:v>
                </c:pt>
                <c:pt idx="8">
                  <c:v>27262435401.509998</c:v>
                </c:pt>
                <c:pt idx="9">
                  <c:v>27829117697.049999</c:v>
                </c:pt>
                <c:pt idx="10">
                  <c:v>26555705393.77</c:v>
                </c:pt>
                <c:pt idx="11">
                  <c:v>29868572336.75</c:v>
                </c:pt>
                <c:pt idx="12">
                  <c:v>27533853996.610001</c:v>
                </c:pt>
                <c:pt idx="13">
                  <c:v>30530354411.009998</c:v>
                </c:pt>
                <c:pt idx="14">
                  <c:v>27413380042.200001</c:v>
                </c:pt>
                <c:pt idx="15">
                  <c:v>25728881993.799999</c:v>
                </c:pt>
                <c:pt idx="16">
                  <c:v>24207116913.740002</c:v>
                </c:pt>
                <c:pt idx="17">
                  <c:v>21999258156.419998</c:v>
                </c:pt>
                <c:pt idx="18">
                  <c:v>17047395223.98</c:v>
                </c:pt>
                <c:pt idx="19">
                  <c:v>20222239011.169998</c:v>
                </c:pt>
                <c:pt idx="20">
                  <c:v>21920064130.419998</c:v>
                </c:pt>
                <c:pt idx="21">
                  <c:v>21441669551.299999</c:v>
                </c:pt>
                <c:pt idx="22">
                  <c:v>24425721819.209999</c:v>
                </c:pt>
                <c:pt idx="23">
                  <c:v>26884500047.799999</c:v>
                </c:pt>
                <c:pt idx="24">
                  <c:v>30246465328.040001</c:v>
                </c:pt>
                <c:pt idx="25">
                  <c:v>34072165757.150002</c:v>
                </c:pt>
                <c:pt idx="26">
                  <c:v>37282597413.379997</c:v>
                </c:pt>
                <c:pt idx="27">
                  <c:v>40070305738.699997</c:v>
                </c:pt>
                <c:pt idx="28">
                  <c:v>40349366950.739998</c:v>
                </c:pt>
                <c:pt idx="29">
                  <c:v>39207819015.68</c:v>
                </c:pt>
                <c:pt idx="30">
                  <c:v>35969757043.540001</c:v>
                </c:pt>
                <c:pt idx="31">
                  <c:v>38063936628.589996</c:v>
                </c:pt>
                <c:pt idx="32">
                  <c:v>37478642030.029999</c:v>
                </c:pt>
                <c:pt idx="33">
                  <c:v>40588469160.410004</c:v>
                </c:pt>
                <c:pt idx="34">
                  <c:v>40377783920.790001</c:v>
                </c:pt>
                <c:pt idx="35">
                  <c:v>35764476169.269997</c:v>
                </c:pt>
                <c:pt idx="36">
                  <c:v>37945487987.889999</c:v>
                </c:pt>
                <c:pt idx="37">
                  <c:v>38079955996.330002</c:v>
                </c:pt>
                <c:pt idx="38">
                  <c:v>30326222816.41</c:v>
                </c:pt>
                <c:pt idx="39">
                  <c:v>32958680494.32</c:v>
                </c:pt>
                <c:pt idx="40">
                  <c:v>34838750444.559998</c:v>
                </c:pt>
                <c:pt idx="41">
                  <c:v>34798488088.949997</c:v>
                </c:pt>
                <c:pt idx="42">
                  <c:v>27983123127.27</c:v>
                </c:pt>
                <c:pt idx="43">
                  <c:v>26640859908.990002</c:v>
                </c:pt>
                <c:pt idx="44">
                  <c:v>28523030041.060001</c:v>
                </c:pt>
                <c:pt idx="45">
                  <c:v>26358158006.09</c:v>
                </c:pt>
                <c:pt idx="46">
                  <c:v>26639873770.48</c:v>
                </c:pt>
                <c:pt idx="47">
                  <c:v>24221879848.880001</c:v>
                </c:pt>
                <c:pt idx="48">
                  <c:v>26226574830.610001</c:v>
                </c:pt>
                <c:pt idx="49">
                  <c:v>25591163515.669998</c:v>
                </c:pt>
                <c:pt idx="50">
                  <c:v>25330543474.389999</c:v>
                </c:pt>
                <c:pt idx="51">
                  <c:v>24713045702.759998</c:v>
                </c:pt>
                <c:pt idx="52">
                  <c:v>23342277364.419998</c:v>
                </c:pt>
                <c:pt idx="53">
                  <c:v>23651545297.040001</c:v>
                </c:pt>
                <c:pt idx="54">
                  <c:v>22391126216.799999</c:v>
                </c:pt>
                <c:pt idx="55">
                  <c:v>24115689304.939999</c:v>
                </c:pt>
                <c:pt idx="56">
                  <c:v>32407281630.84</c:v>
                </c:pt>
                <c:pt idx="57">
                  <c:v>31794172427.73</c:v>
                </c:pt>
                <c:pt idx="58">
                  <c:v>32277101439.200001</c:v>
                </c:pt>
                <c:pt idx="59">
                  <c:v>33311732208.549999</c:v>
                </c:pt>
                <c:pt idx="60">
                  <c:v>32890725671.939999</c:v>
                </c:pt>
                <c:pt idx="61">
                  <c:v>32321115494.889999</c:v>
                </c:pt>
                <c:pt idx="62">
                  <c:v>34861046615.690002</c:v>
                </c:pt>
                <c:pt idx="63">
                  <c:v>32712631431.27</c:v>
                </c:pt>
                <c:pt idx="64">
                  <c:v>32543181394.959999</c:v>
                </c:pt>
                <c:pt idx="65">
                  <c:v>31107880094.700001</c:v>
                </c:pt>
                <c:pt idx="66">
                  <c:v>22158381362.720001</c:v>
                </c:pt>
                <c:pt idx="67">
                  <c:v>27524482427.09</c:v>
                </c:pt>
                <c:pt idx="68">
                  <c:v>35986611903.889999</c:v>
                </c:pt>
                <c:pt idx="69">
                  <c:v>40973315070.910004</c:v>
                </c:pt>
                <c:pt idx="70">
                  <c:v>34146479465.68</c:v>
                </c:pt>
                <c:pt idx="71">
                  <c:v>36816079871.599998</c:v>
                </c:pt>
                <c:pt idx="72">
                  <c:v>38844969127.540001</c:v>
                </c:pt>
                <c:pt idx="73">
                  <c:v>43301220344.230003</c:v>
                </c:pt>
                <c:pt idx="74">
                  <c:v>35593081340.43</c:v>
                </c:pt>
                <c:pt idx="75">
                  <c:v>34505511131.800003</c:v>
                </c:pt>
                <c:pt idx="76">
                  <c:v>28092224611.080002</c:v>
                </c:pt>
                <c:pt idx="77">
                  <c:v>29879289402.48</c:v>
                </c:pt>
                <c:pt idx="78">
                  <c:v>25259384716.610001</c:v>
                </c:pt>
                <c:pt idx="79">
                  <c:v>28783371110.040001</c:v>
                </c:pt>
                <c:pt idx="80">
                  <c:v>32031899669.07</c:v>
                </c:pt>
                <c:pt idx="81">
                  <c:v>29840076180.630001</c:v>
                </c:pt>
                <c:pt idx="82">
                  <c:v>31543550642.98</c:v>
                </c:pt>
                <c:pt idx="83">
                  <c:v>29055254325.32</c:v>
                </c:pt>
                <c:pt idx="84">
                  <c:v>30154595836.880001</c:v>
                </c:pt>
                <c:pt idx="85">
                  <c:v>23353487150.25</c:v>
                </c:pt>
                <c:pt idx="86">
                  <c:v>20540122319.009998</c:v>
                </c:pt>
                <c:pt idx="87">
                  <c:v>16282064822.610001</c:v>
                </c:pt>
                <c:pt idx="88">
                  <c:v>12940973043.82</c:v>
                </c:pt>
                <c:pt idx="89">
                  <c:v>13369802473.17</c:v>
                </c:pt>
                <c:pt idx="90">
                  <c:v>12894178971.040001</c:v>
                </c:pt>
                <c:pt idx="91">
                  <c:v>11306432081.23</c:v>
                </c:pt>
                <c:pt idx="92">
                  <c:v>11035046591.9</c:v>
                </c:pt>
                <c:pt idx="93">
                  <c:v>9677077155.4500008</c:v>
                </c:pt>
                <c:pt idx="94">
                  <c:v>10881683753.610001</c:v>
                </c:pt>
                <c:pt idx="95">
                  <c:v>8101112006.8299999</c:v>
                </c:pt>
                <c:pt idx="96">
                  <c:v>7089655690.1199999</c:v>
                </c:pt>
                <c:pt idx="97">
                  <c:v>6493191731.1199999</c:v>
                </c:pt>
                <c:pt idx="98">
                  <c:v>5928159958.2299995</c:v>
                </c:pt>
                <c:pt idx="99">
                  <c:v>7303999840.6899996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313664"/>
        <c:axId val="389298816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Combine'!$C$4:$C$103</c:f>
              <c:numCache>
                <c:formatCode>m/d/yyyy</c:formatCode>
                <c:ptCount val="100"/>
                <c:pt idx="0">
                  <c:v>42248</c:v>
                </c:pt>
                <c:pt idx="1">
                  <c:v>42217</c:v>
                </c:pt>
                <c:pt idx="2">
                  <c:v>42186</c:v>
                </c:pt>
                <c:pt idx="3">
                  <c:v>42156</c:v>
                </c:pt>
                <c:pt idx="4">
                  <c:v>42125</c:v>
                </c:pt>
                <c:pt idx="5">
                  <c:v>42095</c:v>
                </c:pt>
                <c:pt idx="6">
                  <c:v>42064</c:v>
                </c:pt>
                <c:pt idx="7">
                  <c:v>42036</c:v>
                </c:pt>
                <c:pt idx="8">
                  <c:v>42005</c:v>
                </c:pt>
                <c:pt idx="9">
                  <c:v>41974</c:v>
                </c:pt>
                <c:pt idx="10">
                  <c:v>41944</c:v>
                </c:pt>
                <c:pt idx="11">
                  <c:v>41913</c:v>
                </c:pt>
                <c:pt idx="12">
                  <c:v>41883</c:v>
                </c:pt>
                <c:pt idx="13">
                  <c:v>41852</c:v>
                </c:pt>
                <c:pt idx="14">
                  <c:v>41821</c:v>
                </c:pt>
                <c:pt idx="15">
                  <c:v>41791</c:v>
                </c:pt>
                <c:pt idx="16">
                  <c:v>41760</c:v>
                </c:pt>
                <c:pt idx="17">
                  <c:v>41730</c:v>
                </c:pt>
                <c:pt idx="18">
                  <c:v>41699</c:v>
                </c:pt>
                <c:pt idx="19">
                  <c:v>41671</c:v>
                </c:pt>
                <c:pt idx="20">
                  <c:v>41640</c:v>
                </c:pt>
                <c:pt idx="21">
                  <c:v>41609</c:v>
                </c:pt>
                <c:pt idx="22">
                  <c:v>41579</c:v>
                </c:pt>
                <c:pt idx="23">
                  <c:v>41548</c:v>
                </c:pt>
                <c:pt idx="24">
                  <c:v>41518</c:v>
                </c:pt>
                <c:pt idx="25">
                  <c:v>41487</c:v>
                </c:pt>
                <c:pt idx="26">
                  <c:v>41456</c:v>
                </c:pt>
                <c:pt idx="27">
                  <c:v>41426</c:v>
                </c:pt>
                <c:pt idx="28">
                  <c:v>41395</c:v>
                </c:pt>
                <c:pt idx="29">
                  <c:v>41365</c:v>
                </c:pt>
                <c:pt idx="30">
                  <c:v>41334</c:v>
                </c:pt>
                <c:pt idx="31">
                  <c:v>41306</c:v>
                </c:pt>
                <c:pt idx="32">
                  <c:v>41275</c:v>
                </c:pt>
                <c:pt idx="33">
                  <c:v>41244</c:v>
                </c:pt>
                <c:pt idx="34">
                  <c:v>41214</c:v>
                </c:pt>
                <c:pt idx="35">
                  <c:v>41183</c:v>
                </c:pt>
                <c:pt idx="36">
                  <c:v>41153</c:v>
                </c:pt>
                <c:pt idx="37">
                  <c:v>41122</c:v>
                </c:pt>
                <c:pt idx="38">
                  <c:v>41091</c:v>
                </c:pt>
                <c:pt idx="39">
                  <c:v>41061</c:v>
                </c:pt>
                <c:pt idx="40">
                  <c:v>41030</c:v>
                </c:pt>
                <c:pt idx="41">
                  <c:v>41000</c:v>
                </c:pt>
                <c:pt idx="42">
                  <c:v>40969</c:v>
                </c:pt>
                <c:pt idx="43">
                  <c:v>40940</c:v>
                </c:pt>
                <c:pt idx="44">
                  <c:v>40909</c:v>
                </c:pt>
                <c:pt idx="45">
                  <c:v>40878</c:v>
                </c:pt>
                <c:pt idx="46">
                  <c:v>40848</c:v>
                </c:pt>
                <c:pt idx="47">
                  <c:v>40817</c:v>
                </c:pt>
                <c:pt idx="48">
                  <c:v>40787</c:v>
                </c:pt>
                <c:pt idx="49">
                  <c:v>40756</c:v>
                </c:pt>
                <c:pt idx="50">
                  <c:v>40725</c:v>
                </c:pt>
                <c:pt idx="51">
                  <c:v>40695</c:v>
                </c:pt>
                <c:pt idx="52">
                  <c:v>40664</c:v>
                </c:pt>
                <c:pt idx="53">
                  <c:v>40634</c:v>
                </c:pt>
                <c:pt idx="54">
                  <c:v>40603</c:v>
                </c:pt>
                <c:pt idx="55">
                  <c:v>40575</c:v>
                </c:pt>
                <c:pt idx="56">
                  <c:v>40544</c:v>
                </c:pt>
                <c:pt idx="57">
                  <c:v>40513</c:v>
                </c:pt>
                <c:pt idx="58">
                  <c:v>40483</c:v>
                </c:pt>
                <c:pt idx="59">
                  <c:v>40452</c:v>
                </c:pt>
                <c:pt idx="60">
                  <c:v>40422</c:v>
                </c:pt>
                <c:pt idx="61">
                  <c:v>40391</c:v>
                </c:pt>
                <c:pt idx="62">
                  <c:v>40360</c:v>
                </c:pt>
                <c:pt idx="63">
                  <c:v>40330</c:v>
                </c:pt>
                <c:pt idx="64">
                  <c:v>40299</c:v>
                </c:pt>
                <c:pt idx="65">
                  <c:v>40269</c:v>
                </c:pt>
                <c:pt idx="66">
                  <c:v>40238</c:v>
                </c:pt>
                <c:pt idx="67">
                  <c:v>40210</c:v>
                </c:pt>
                <c:pt idx="68">
                  <c:v>40179</c:v>
                </c:pt>
                <c:pt idx="69">
                  <c:v>40148</c:v>
                </c:pt>
                <c:pt idx="70">
                  <c:v>40118</c:v>
                </c:pt>
                <c:pt idx="71">
                  <c:v>40087</c:v>
                </c:pt>
                <c:pt idx="72">
                  <c:v>40057</c:v>
                </c:pt>
                <c:pt idx="73">
                  <c:v>40026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39203</c:v>
                </c:pt>
                <c:pt idx="96">
                  <c:v>39173</c:v>
                </c:pt>
                <c:pt idx="97">
                  <c:v>39142</c:v>
                </c:pt>
                <c:pt idx="98">
                  <c:v>39114</c:v>
                </c:pt>
                <c:pt idx="99">
                  <c:v>39083</c:v>
                </c:pt>
              </c:numCache>
            </c:numRef>
          </c:cat>
          <c:val>
            <c:numRef>
              <c:f>'Result Combine'!$J$4:$J$103</c:f>
              <c:numCache>
                <c:formatCode>0%</c:formatCode>
                <c:ptCount val="100"/>
                <c:pt idx="0">
                  <c:v>0.43313150196074429</c:v>
                </c:pt>
                <c:pt idx="1">
                  <c:v>0.5048984500685616</c:v>
                </c:pt>
                <c:pt idx="2">
                  <c:v>0.5254331863761279</c:v>
                </c:pt>
                <c:pt idx="3">
                  <c:v>0.48199264355079297</c:v>
                </c:pt>
                <c:pt idx="4">
                  <c:v>0.47022305295104888</c:v>
                </c:pt>
                <c:pt idx="5">
                  <c:v>0.47157546646413195</c:v>
                </c:pt>
                <c:pt idx="6">
                  <c:v>0.49630675325395968</c:v>
                </c:pt>
                <c:pt idx="7">
                  <c:v>0.51613649947009765</c:v>
                </c:pt>
                <c:pt idx="8">
                  <c:v>0.49506629715305805</c:v>
                </c:pt>
                <c:pt idx="9">
                  <c:v>0.49595929277639583</c:v>
                </c:pt>
                <c:pt idx="10">
                  <c:v>0.49928740318344411</c:v>
                </c:pt>
                <c:pt idx="11">
                  <c:v>0.52868899208217857</c:v>
                </c:pt>
                <c:pt idx="12">
                  <c:v>0.50133800245361704</c:v>
                </c:pt>
                <c:pt idx="13">
                  <c:v>0.52952792030314255</c:v>
                </c:pt>
                <c:pt idx="14">
                  <c:v>0.47661071318556952</c:v>
                </c:pt>
                <c:pt idx="15">
                  <c:v>0.51320203204833592</c:v>
                </c:pt>
                <c:pt idx="16">
                  <c:v>0.51098005289300408</c:v>
                </c:pt>
                <c:pt idx="17">
                  <c:v>0.51365651755499442</c:v>
                </c:pt>
                <c:pt idx="18">
                  <c:v>0.52446242572961466</c:v>
                </c:pt>
                <c:pt idx="19">
                  <c:v>0.57703498808784326</c:v>
                </c:pt>
                <c:pt idx="20">
                  <c:v>0.54041316057468258</c:v>
                </c:pt>
                <c:pt idx="21">
                  <c:v>0.54080683873317847</c:v>
                </c:pt>
                <c:pt idx="22">
                  <c:v>0.58610240248748635</c:v>
                </c:pt>
                <c:pt idx="23">
                  <c:v>0.58344510089759249</c:v>
                </c:pt>
                <c:pt idx="24">
                  <c:v>0.58772457177930815</c:v>
                </c:pt>
                <c:pt idx="25">
                  <c:v>0.61366336551536382</c:v>
                </c:pt>
                <c:pt idx="26">
                  <c:v>0.63563353217834617</c:v>
                </c:pt>
                <c:pt idx="27">
                  <c:v>0.61250921756895627</c:v>
                </c:pt>
                <c:pt idx="28">
                  <c:v>0.62241806744180928</c:v>
                </c:pt>
                <c:pt idx="29">
                  <c:v>0.63688764171359813</c:v>
                </c:pt>
                <c:pt idx="30">
                  <c:v>0.6212656758918359</c:v>
                </c:pt>
                <c:pt idx="31">
                  <c:v>0.6423773080426588</c:v>
                </c:pt>
                <c:pt idx="32">
                  <c:v>0.63782662317903804</c:v>
                </c:pt>
                <c:pt idx="33">
                  <c:v>0.61894181514793134</c:v>
                </c:pt>
                <c:pt idx="34">
                  <c:v>0.6711966274220369</c:v>
                </c:pt>
                <c:pt idx="35">
                  <c:v>0.66742002864870187</c:v>
                </c:pt>
                <c:pt idx="36">
                  <c:v>0.684660381409543</c:v>
                </c:pt>
                <c:pt idx="37">
                  <c:v>0.7148155855060172</c:v>
                </c:pt>
                <c:pt idx="38">
                  <c:v>0.69975364230876269</c:v>
                </c:pt>
                <c:pt idx="39">
                  <c:v>0.70751663384032315</c:v>
                </c:pt>
                <c:pt idx="40">
                  <c:v>0.74168579546442304</c:v>
                </c:pt>
                <c:pt idx="41">
                  <c:v>0.73297865836100551</c:v>
                </c:pt>
                <c:pt idx="42">
                  <c:v>0.71385405950821834</c:v>
                </c:pt>
                <c:pt idx="43">
                  <c:v>0.71488454081556085</c:v>
                </c:pt>
                <c:pt idx="44">
                  <c:v>0.72642101932519643</c:v>
                </c:pt>
                <c:pt idx="45">
                  <c:v>0.72205615092271158</c:v>
                </c:pt>
                <c:pt idx="46">
                  <c:v>0.74687040754403333</c:v>
                </c:pt>
                <c:pt idx="47">
                  <c:v>0.75461974855370983</c:v>
                </c:pt>
                <c:pt idx="48">
                  <c:v>0.78108671634585458</c:v>
                </c:pt>
                <c:pt idx="49">
                  <c:v>0.7934310429725846</c:v>
                </c:pt>
                <c:pt idx="50">
                  <c:v>0.79373567179273397</c:v>
                </c:pt>
                <c:pt idx="51">
                  <c:v>0.80269707144411406</c:v>
                </c:pt>
                <c:pt idx="52">
                  <c:v>0.7900818052899633</c:v>
                </c:pt>
                <c:pt idx="53">
                  <c:v>0.79206603548117915</c:v>
                </c:pt>
                <c:pt idx="54">
                  <c:v>0.80743715472270705</c:v>
                </c:pt>
                <c:pt idx="55">
                  <c:v>0.82457031538081005</c:v>
                </c:pt>
                <c:pt idx="56">
                  <c:v>0.85248417311063163</c:v>
                </c:pt>
                <c:pt idx="57">
                  <c:v>0.82811353666046084</c:v>
                </c:pt>
                <c:pt idx="58">
                  <c:v>0.8298179305335992</c:v>
                </c:pt>
                <c:pt idx="59">
                  <c:v>0.83233596469965387</c:v>
                </c:pt>
                <c:pt idx="60">
                  <c:v>0.84045744445989023</c:v>
                </c:pt>
                <c:pt idx="61">
                  <c:v>0.84734994231773841</c:v>
                </c:pt>
                <c:pt idx="62">
                  <c:v>0.84476735345678333</c:v>
                </c:pt>
                <c:pt idx="63">
                  <c:v>0.8559015089879306</c:v>
                </c:pt>
                <c:pt idx="64">
                  <c:v>0.85997407745280463</c:v>
                </c:pt>
                <c:pt idx="65">
                  <c:v>0.86313693120395663</c:v>
                </c:pt>
                <c:pt idx="66">
                  <c:v>0.83654271816335435</c:v>
                </c:pt>
                <c:pt idx="67">
                  <c:v>0.86097390370749405</c:v>
                </c:pt>
                <c:pt idx="68">
                  <c:v>0.87121580882114025</c:v>
                </c:pt>
                <c:pt idx="69">
                  <c:v>0.84260073810115621</c:v>
                </c:pt>
                <c:pt idx="70">
                  <c:v>0.84282500404604666</c:v>
                </c:pt>
                <c:pt idx="71">
                  <c:v>0.85591931378951902</c:v>
                </c:pt>
                <c:pt idx="72">
                  <c:v>0.87445686852631466</c:v>
                </c:pt>
                <c:pt idx="73">
                  <c:v>0.86294554226297226</c:v>
                </c:pt>
                <c:pt idx="74">
                  <c:v>0.87356398001967328</c:v>
                </c:pt>
                <c:pt idx="75">
                  <c:v>0.90708718877300232</c:v>
                </c:pt>
                <c:pt idx="76">
                  <c:v>0.87572369731541222</c:v>
                </c:pt>
                <c:pt idx="77">
                  <c:v>0.8371833945058208</c:v>
                </c:pt>
                <c:pt idx="78">
                  <c:v>0.83003051397341421</c:v>
                </c:pt>
                <c:pt idx="79">
                  <c:v>0.8510933296129799</c:v>
                </c:pt>
                <c:pt idx="80">
                  <c:v>0.8454369849771779</c:v>
                </c:pt>
                <c:pt idx="81">
                  <c:v>0.84586644859688509</c:v>
                </c:pt>
                <c:pt idx="82">
                  <c:v>0.84190945343751933</c:v>
                </c:pt>
                <c:pt idx="83">
                  <c:v>0.84596212835281381</c:v>
                </c:pt>
                <c:pt idx="84">
                  <c:v>0.85668659826988636</c:v>
                </c:pt>
                <c:pt idx="85">
                  <c:v>0.84534675784419899</c:v>
                </c:pt>
                <c:pt idx="86">
                  <c:v>0.86838940982166979</c:v>
                </c:pt>
                <c:pt idx="87">
                  <c:v>0.84747864701217179</c:v>
                </c:pt>
                <c:pt idx="88">
                  <c:v>0.84693381219382502</c:v>
                </c:pt>
                <c:pt idx="89">
                  <c:v>0.86584692567453214</c:v>
                </c:pt>
                <c:pt idx="90">
                  <c:v>0.85103502637476747</c:v>
                </c:pt>
                <c:pt idx="91">
                  <c:v>0.83570656234217433</c:v>
                </c:pt>
                <c:pt idx="92">
                  <c:v>0.8452042323632919</c:v>
                </c:pt>
                <c:pt idx="93">
                  <c:v>0.84430357576290949</c:v>
                </c:pt>
                <c:pt idx="94">
                  <c:v>0.84998343009293564</c:v>
                </c:pt>
                <c:pt idx="95">
                  <c:v>0.81804754353263298</c:v>
                </c:pt>
                <c:pt idx="96">
                  <c:v>0.81141998581635366</c:v>
                </c:pt>
                <c:pt idx="97">
                  <c:v>0.80650736207610985</c:v>
                </c:pt>
                <c:pt idx="98">
                  <c:v>0.81299583062347114</c:v>
                </c:pt>
                <c:pt idx="99">
                  <c:v>0.81021879602491187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Combine'!$C$4:$C$103</c:f>
              <c:numCache>
                <c:formatCode>m/d/yyyy</c:formatCode>
                <c:ptCount val="100"/>
                <c:pt idx="0">
                  <c:v>42248</c:v>
                </c:pt>
                <c:pt idx="1">
                  <c:v>42217</c:v>
                </c:pt>
                <c:pt idx="2">
                  <c:v>42186</c:v>
                </c:pt>
                <c:pt idx="3">
                  <c:v>42156</c:v>
                </c:pt>
                <c:pt idx="4">
                  <c:v>42125</c:v>
                </c:pt>
                <c:pt idx="5">
                  <c:v>42095</c:v>
                </c:pt>
                <c:pt idx="6">
                  <c:v>42064</c:v>
                </c:pt>
                <c:pt idx="7">
                  <c:v>42036</c:v>
                </c:pt>
                <c:pt idx="8">
                  <c:v>42005</c:v>
                </c:pt>
                <c:pt idx="9">
                  <c:v>41974</c:v>
                </c:pt>
                <c:pt idx="10">
                  <c:v>41944</c:v>
                </c:pt>
                <c:pt idx="11">
                  <c:v>41913</c:v>
                </c:pt>
                <c:pt idx="12">
                  <c:v>41883</c:v>
                </c:pt>
                <c:pt idx="13">
                  <c:v>41852</c:v>
                </c:pt>
                <c:pt idx="14">
                  <c:v>41821</c:v>
                </c:pt>
                <c:pt idx="15">
                  <c:v>41791</c:v>
                </c:pt>
                <c:pt idx="16">
                  <c:v>41760</c:v>
                </c:pt>
                <c:pt idx="17">
                  <c:v>41730</c:v>
                </c:pt>
                <c:pt idx="18">
                  <c:v>41699</c:v>
                </c:pt>
                <c:pt idx="19">
                  <c:v>41671</c:v>
                </c:pt>
                <c:pt idx="20">
                  <c:v>41640</c:v>
                </c:pt>
                <c:pt idx="21">
                  <c:v>41609</c:v>
                </c:pt>
                <c:pt idx="22">
                  <c:v>41579</c:v>
                </c:pt>
                <c:pt idx="23">
                  <c:v>41548</c:v>
                </c:pt>
                <c:pt idx="24">
                  <c:v>41518</c:v>
                </c:pt>
                <c:pt idx="25">
                  <c:v>41487</c:v>
                </c:pt>
                <c:pt idx="26">
                  <c:v>41456</c:v>
                </c:pt>
                <c:pt idx="27">
                  <c:v>41426</c:v>
                </c:pt>
                <c:pt idx="28">
                  <c:v>41395</c:v>
                </c:pt>
                <c:pt idx="29">
                  <c:v>41365</c:v>
                </c:pt>
                <c:pt idx="30">
                  <c:v>41334</c:v>
                </c:pt>
                <c:pt idx="31">
                  <c:v>41306</c:v>
                </c:pt>
                <c:pt idx="32">
                  <c:v>41275</c:v>
                </c:pt>
                <c:pt idx="33">
                  <c:v>41244</c:v>
                </c:pt>
                <c:pt idx="34">
                  <c:v>41214</c:v>
                </c:pt>
                <c:pt idx="35">
                  <c:v>41183</c:v>
                </c:pt>
                <c:pt idx="36">
                  <c:v>41153</c:v>
                </c:pt>
                <c:pt idx="37">
                  <c:v>41122</c:v>
                </c:pt>
                <c:pt idx="38">
                  <c:v>41091</c:v>
                </c:pt>
                <c:pt idx="39">
                  <c:v>41061</c:v>
                </c:pt>
                <c:pt idx="40">
                  <c:v>41030</c:v>
                </c:pt>
                <c:pt idx="41">
                  <c:v>41000</c:v>
                </c:pt>
                <c:pt idx="42">
                  <c:v>40969</c:v>
                </c:pt>
                <c:pt idx="43">
                  <c:v>40940</c:v>
                </c:pt>
                <c:pt idx="44">
                  <c:v>40909</c:v>
                </c:pt>
                <c:pt idx="45">
                  <c:v>40878</c:v>
                </c:pt>
                <c:pt idx="46">
                  <c:v>40848</c:v>
                </c:pt>
                <c:pt idx="47">
                  <c:v>40817</c:v>
                </c:pt>
                <c:pt idx="48">
                  <c:v>40787</c:v>
                </c:pt>
                <c:pt idx="49">
                  <c:v>40756</c:v>
                </c:pt>
                <c:pt idx="50">
                  <c:v>40725</c:v>
                </c:pt>
                <c:pt idx="51">
                  <c:v>40695</c:v>
                </c:pt>
                <c:pt idx="52">
                  <c:v>40664</c:v>
                </c:pt>
                <c:pt idx="53">
                  <c:v>40634</c:v>
                </c:pt>
                <c:pt idx="54">
                  <c:v>40603</c:v>
                </c:pt>
                <c:pt idx="55">
                  <c:v>40575</c:v>
                </c:pt>
                <c:pt idx="56">
                  <c:v>40544</c:v>
                </c:pt>
                <c:pt idx="57">
                  <c:v>40513</c:v>
                </c:pt>
                <c:pt idx="58">
                  <c:v>40483</c:v>
                </c:pt>
                <c:pt idx="59">
                  <c:v>40452</c:v>
                </c:pt>
                <c:pt idx="60">
                  <c:v>40422</c:v>
                </c:pt>
                <c:pt idx="61">
                  <c:v>40391</c:v>
                </c:pt>
                <c:pt idx="62">
                  <c:v>40360</c:v>
                </c:pt>
                <c:pt idx="63">
                  <c:v>40330</c:v>
                </c:pt>
                <c:pt idx="64">
                  <c:v>40299</c:v>
                </c:pt>
                <c:pt idx="65">
                  <c:v>40269</c:v>
                </c:pt>
                <c:pt idx="66">
                  <c:v>40238</c:v>
                </c:pt>
                <c:pt idx="67">
                  <c:v>40210</c:v>
                </c:pt>
                <c:pt idx="68">
                  <c:v>40179</c:v>
                </c:pt>
                <c:pt idx="69">
                  <c:v>40148</c:v>
                </c:pt>
                <c:pt idx="70">
                  <c:v>40118</c:v>
                </c:pt>
                <c:pt idx="71">
                  <c:v>40087</c:v>
                </c:pt>
                <c:pt idx="72">
                  <c:v>40057</c:v>
                </c:pt>
                <c:pt idx="73">
                  <c:v>40026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39203</c:v>
                </c:pt>
                <c:pt idx="96">
                  <c:v>39173</c:v>
                </c:pt>
                <c:pt idx="97">
                  <c:v>39142</c:v>
                </c:pt>
                <c:pt idx="98">
                  <c:v>39114</c:v>
                </c:pt>
                <c:pt idx="99">
                  <c:v>39083</c:v>
                </c:pt>
              </c:numCache>
            </c:numRef>
          </c:cat>
          <c:val>
            <c:numRef>
              <c:f>'Result Combine'!$K$4:$K$103</c:f>
              <c:numCache>
                <c:formatCode>0%</c:formatCode>
                <c:ptCount val="100"/>
                <c:pt idx="0">
                  <c:v>0.30988429388915173</c:v>
                </c:pt>
                <c:pt idx="1">
                  <c:v>0.36801007091651666</c:v>
                </c:pt>
                <c:pt idx="2">
                  <c:v>0.38675141875206176</c:v>
                </c:pt>
                <c:pt idx="3">
                  <c:v>0.34665693493553335</c:v>
                </c:pt>
                <c:pt idx="4">
                  <c:v>0.342545460755523</c:v>
                </c:pt>
                <c:pt idx="5">
                  <c:v>0.34381649769787037</c:v>
                </c:pt>
                <c:pt idx="6">
                  <c:v>0.3560773529795736</c:v>
                </c:pt>
                <c:pt idx="7">
                  <c:v>0.39046656726243723</c:v>
                </c:pt>
                <c:pt idx="8">
                  <c:v>0.37397471004572463</c:v>
                </c:pt>
                <c:pt idx="9">
                  <c:v>0.3696874516431608</c:v>
                </c:pt>
                <c:pt idx="10">
                  <c:v>0.34685654249692488</c:v>
                </c:pt>
                <c:pt idx="11">
                  <c:v>0.38292644471752851</c:v>
                </c:pt>
                <c:pt idx="12">
                  <c:v>0.36320118039527821</c:v>
                </c:pt>
                <c:pt idx="13">
                  <c:v>0.39401330993006467</c:v>
                </c:pt>
                <c:pt idx="14">
                  <c:v>0.34126089720963959</c:v>
                </c:pt>
                <c:pt idx="15">
                  <c:v>0.39838311926301251</c:v>
                </c:pt>
                <c:pt idx="16">
                  <c:v>0.39316550907216485</c:v>
                </c:pt>
                <c:pt idx="17">
                  <c:v>0.39763177476269607</c:v>
                </c:pt>
                <c:pt idx="18">
                  <c:v>0.39540106962020116</c:v>
                </c:pt>
                <c:pt idx="19">
                  <c:v>0.4487648803486744</c:v>
                </c:pt>
                <c:pt idx="20">
                  <c:v>0.42512208819123787</c:v>
                </c:pt>
                <c:pt idx="21">
                  <c:v>0.43163554423488792</c:v>
                </c:pt>
                <c:pt idx="22">
                  <c:v>0.47493392168810011</c:v>
                </c:pt>
                <c:pt idx="23">
                  <c:v>0.46548323330543256</c:v>
                </c:pt>
                <c:pt idx="24">
                  <c:v>0.47609763610329109</c:v>
                </c:pt>
                <c:pt idx="25">
                  <c:v>0.50388953361490352</c:v>
                </c:pt>
                <c:pt idx="26">
                  <c:v>0.5084280724890492</c:v>
                </c:pt>
                <c:pt idx="27">
                  <c:v>0.49742088343313579</c:v>
                </c:pt>
                <c:pt idx="28">
                  <c:v>0.5172833664810994</c:v>
                </c:pt>
                <c:pt idx="29">
                  <c:v>0.51579772043663774</c:v>
                </c:pt>
                <c:pt idx="30">
                  <c:v>0.50747415777995319</c:v>
                </c:pt>
                <c:pt idx="31">
                  <c:v>0.53215310491310952</c:v>
                </c:pt>
                <c:pt idx="32">
                  <c:v>0.52371190120076749</c:v>
                </c:pt>
                <c:pt idx="33">
                  <c:v>0.50114066468168639</c:v>
                </c:pt>
                <c:pt idx="34">
                  <c:v>0.55208749786691735</c:v>
                </c:pt>
                <c:pt idx="35">
                  <c:v>0.54553119453359078</c:v>
                </c:pt>
                <c:pt idx="36">
                  <c:v>0.57258583392481377</c:v>
                </c:pt>
                <c:pt idx="37">
                  <c:v>0.60058140281081551</c:v>
                </c:pt>
                <c:pt idx="38">
                  <c:v>0.59432382582367449</c:v>
                </c:pt>
                <c:pt idx="39">
                  <c:v>0.61453435448304905</c:v>
                </c:pt>
                <c:pt idx="40">
                  <c:v>0.65206526135977527</c:v>
                </c:pt>
                <c:pt idx="41">
                  <c:v>0.64575591468830529</c:v>
                </c:pt>
                <c:pt idx="42">
                  <c:v>0.606597407453355</c:v>
                </c:pt>
                <c:pt idx="43">
                  <c:v>0.60199231916226881</c:v>
                </c:pt>
                <c:pt idx="44">
                  <c:v>0.61209325712406615</c:v>
                </c:pt>
                <c:pt idx="45">
                  <c:v>0.59866253417913906</c:v>
                </c:pt>
                <c:pt idx="46">
                  <c:v>0.64005654563215197</c:v>
                </c:pt>
                <c:pt idx="47">
                  <c:v>0.63428286362176789</c:v>
                </c:pt>
                <c:pt idx="48">
                  <c:v>0.66324591742296601</c:v>
                </c:pt>
                <c:pt idx="49">
                  <c:v>0.71454013331254584</c:v>
                </c:pt>
                <c:pt idx="50">
                  <c:v>0.71169320549661574</c:v>
                </c:pt>
                <c:pt idx="51">
                  <c:v>0.7147174340683301</c:v>
                </c:pt>
                <c:pt idx="52">
                  <c:v>0.71258462614122475</c:v>
                </c:pt>
                <c:pt idx="53">
                  <c:v>0.71643010415732256</c:v>
                </c:pt>
                <c:pt idx="54">
                  <c:v>0.72598821609354336</c:v>
                </c:pt>
                <c:pt idx="55">
                  <c:v>0.74846261449191076</c:v>
                </c:pt>
                <c:pt idx="56">
                  <c:v>0.76603928208576888</c:v>
                </c:pt>
                <c:pt idx="57">
                  <c:v>0.73211782804475112</c:v>
                </c:pt>
                <c:pt idx="58">
                  <c:v>0.7322601434546846</c:v>
                </c:pt>
                <c:pt idx="59">
                  <c:v>0.73220092340468801</c:v>
                </c:pt>
                <c:pt idx="60">
                  <c:v>0.75589339840714942</c:v>
                </c:pt>
                <c:pt idx="61">
                  <c:v>0.77649564456795739</c:v>
                </c:pt>
                <c:pt idx="62">
                  <c:v>0.78210025014965689</c:v>
                </c:pt>
                <c:pt idx="63">
                  <c:v>0.78645242615021282</c:v>
                </c:pt>
                <c:pt idx="64">
                  <c:v>0.79152112817185316</c:v>
                </c:pt>
                <c:pt idx="65">
                  <c:v>0.79612955673053043</c:v>
                </c:pt>
                <c:pt idx="66">
                  <c:v>0.75452768126144787</c:v>
                </c:pt>
                <c:pt idx="67">
                  <c:v>0.78309076512828713</c:v>
                </c:pt>
                <c:pt idx="68">
                  <c:v>0.80056407963362075</c:v>
                </c:pt>
                <c:pt idx="69">
                  <c:v>0.7526628904363406</c:v>
                </c:pt>
                <c:pt idx="70">
                  <c:v>0.738843251499678</c:v>
                </c:pt>
                <c:pt idx="71">
                  <c:v>0.76624142908548099</c:v>
                </c:pt>
                <c:pt idx="72">
                  <c:v>0.75701233256668687</c:v>
                </c:pt>
                <c:pt idx="73">
                  <c:v>0.75582032285889333</c:v>
                </c:pt>
                <c:pt idx="74">
                  <c:v>0.75334154321818725</c:v>
                </c:pt>
                <c:pt idx="75">
                  <c:v>0.78864247041746227</c:v>
                </c:pt>
                <c:pt idx="76">
                  <c:v>0.72260235143476537</c:v>
                </c:pt>
                <c:pt idx="77">
                  <c:v>0.69438066032145784</c:v>
                </c:pt>
                <c:pt idx="78">
                  <c:v>0.67405567659310139</c:v>
                </c:pt>
                <c:pt idx="79">
                  <c:v>0.69275673813567717</c:v>
                </c:pt>
                <c:pt idx="80">
                  <c:v>0.67004455147393216</c:v>
                </c:pt>
                <c:pt idx="81">
                  <c:v>0.68969972997754891</c:v>
                </c:pt>
                <c:pt idx="82">
                  <c:v>0.69099167109713955</c:v>
                </c:pt>
                <c:pt idx="83">
                  <c:v>0.70902511152715963</c:v>
                </c:pt>
                <c:pt idx="84">
                  <c:v>0.70265033809692978</c:v>
                </c:pt>
                <c:pt idx="85">
                  <c:v>0.67710035280151837</c:v>
                </c:pt>
                <c:pt idx="86">
                  <c:v>0.70671662346943864</c:v>
                </c:pt>
                <c:pt idx="87">
                  <c:v>0.69423488361644092</c:v>
                </c:pt>
                <c:pt idx="88">
                  <c:v>0.68515603802252456</c:v>
                </c:pt>
                <c:pt idx="89">
                  <c:v>0.71771164440059632</c:v>
                </c:pt>
                <c:pt idx="90">
                  <c:v>0.66666929198568925</c:v>
                </c:pt>
                <c:pt idx="91">
                  <c:v>0.63492533976191734</c:v>
                </c:pt>
                <c:pt idx="92">
                  <c:v>0.64909631714085192</c:v>
                </c:pt>
                <c:pt idx="93">
                  <c:v>0.67469257536227512</c:v>
                </c:pt>
                <c:pt idx="94">
                  <c:v>0.64703110586394474</c:v>
                </c:pt>
                <c:pt idx="95">
                  <c:v>0.64233096224850128</c:v>
                </c:pt>
                <c:pt idx="96">
                  <c:v>0.60766522703686909</c:v>
                </c:pt>
                <c:pt idx="97">
                  <c:v>0.59834289466758994</c:v>
                </c:pt>
                <c:pt idx="98">
                  <c:v>0.62542316191093461</c:v>
                </c:pt>
                <c:pt idx="99">
                  <c:v>0.64009747370946446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Combine'!$C$4:$C$103</c:f>
              <c:numCache>
                <c:formatCode>m/d/yyyy</c:formatCode>
                <c:ptCount val="100"/>
                <c:pt idx="0">
                  <c:v>42248</c:v>
                </c:pt>
                <c:pt idx="1">
                  <c:v>42217</c:v>
                </c:pt>
                <c:pt idx="2">
                  <c:v>42186</c:v>
                </c:pt>
                <c:pt idx="3">
                  <c:v>42156</c:v>
                </c:pt>
                <c:pt idx="4">
                  <c:v>42125</c:v>
                </c:pt>
                <c:pt idx="5">
                  <c:v>42095</c:v>
                </c:pt>
                <c:pt idx="6">
                  <c:v>42064</c:v>
                </c:pt>
                <c:pt idx="7">
                  <c:v>42036</c:v>
                </c:pt>
                <c:pt idx="8">
                  <c:v>42005</c:v>
                </c:pt>
                <c:pt idx="9">
                  <c:v>41974</c:v>
                </c:pt>
                <c:pt idx="10">
                  <c:v>41944</c:v>
                </c:pt>
                <c:pt idx="11">
                  <c:v>41913</c:v>
                </c:pt>
                <c:pt idx="12">
                  <c:v>41883</c:v>
                </c:pt>
                <c:pt idx="13">
                  <c:v>41852</c:v>
                </c:pt>
                <c:pt idx="14">
                  <c:v>41821</c:v>
                </c:pt>
                <c:pt idx="15">
                  <c:v>41791</c:v>
                </c:pt>
                <c:pt idx="16">
                  <c:v>41760</c:v>
                </c:pt>
                <c:pt idx="17">
                  <c:v>41730</c:v>
                </c:pt>
                <c:pt idx="18">
                  <c:v>41699</c:v>
                </c:pt>
                <c:pt idx="19">
                  <c:v>41671</c:v>
                </c:pt>
                <c:pt idx="20">
                  <c:v>41640</c:v>
                </c:pt>
                <c:pt idx="21">
                  <c:v>41609</c:v>
                </c:pt>
                <c:pt idx="22">
                  <c:v>41579</c:v>
                </c:pt>
                <c:pt idx="23">
                  <c:v>41548</c:v>
                </c:pt>
                <c:pt idx="24">
                  <c:v>41518</c:v>
                </c:pt>
                <c:pt idx="25">
                  <c:v>41487</c:v>
                </c:pt>
                <c:pt idx="26">
                  <c:v>41456</c:v>
                </c:pt>
                <c:pt idx="27">
                  <c:v>41426</c:v>
                </c:pt>
                <c:pt idx="28">
                  <c:v>41395</c:v>
                </c:pt>
                <c:pt idx="29">
                  <c:v>41365</c:v>
                </c:pt>
                <c:pt idx="30">
                  <c:v>41334</c:v>
                </c:pt>
                <c:pt idx="31">
                  <c:v>41306</c:v>
                </c:pt>
                <c:pt idx="32">
                  <c:v>41275</c:v>
                </c:pt>
                <c:pt idx="33">
                  <c:v>41244</c:v>
                </c:pt>
                <c:pt idx="34">
                  <c:v>41214</c:v>
                </c:pt>
                <c:pt idx="35">
                  <c:v>41183</c:v>
                </c:pt>
                <c:pt idx="36">
                  <c:v>41153</c:v>
                </c:pt>
                <c:pt idx="37">
                  <c:v>41122</c:v>
                </c:pt>
                <c:pt idx="38">
                  <c:v>41091</c:v>
                </c:pt>
                <c:pt idx="39">
                  <c:v>41061</c:v>
                </c:pt>
                <c:pt idx="40">
                  <c:v>41030</c:v>
                </c:pt>
                <c:pt idx="41">
                  <c:v>41000</c:v>
                </c:pt>
                <c:pt idx="42">
                  <c:v>40969</c:v>
                </c:pt>
                <c:pt idx="43">
                  <c:v>40940</c:v>
                </c:pt>
                <c:pt idx="44">
                  <c:v>40909</c:v>
                </c:pt>
                <c:pt idx="45">
                  <c:v>40878</c:v>
                </c:pt>
                <c:pt idx="46">
                  <c:v>40848</c:v>
                </c:pt>
                <c:pt idx="47">
                  <c:v>40817</c:v>
                </c:pt>
                <c:pt idx="48">
                  <c:v>40787</c:v>
                </c:pt>
                <c:pt idx="49">
                  <c:v>40756</c:v>
                </c:pt>
                <c:pt idx="50">
                  <c:v>40725</c:v>
                </c:pt>
                <c:pt idx="51">
                  <c:v>40695</c:v>
                </c:pt>
                <c:pt idx="52">
                  <c:v>40664</c:v>
                </c:pt>
                <c:pt idx="53">
                  <c:v>40634</c:v>
                </c:pt>
                <c:pt idx="54">
                  <c:v>40603</c:v>
                </c:pt>
                <c:pt idx="55">
                  <c:v>40575</c:v>
                </c:pt>
                <c:pt idx="56">
                  <c:v>40544</c:v>
                </c:pt>
                <c:pt idx="57">
                  <c:v>40513</c:v>
                </c:pt>
                <c:pt idx="58">
                  <c:v>40483</c:v>
                </c:pt>
                <c:pt idx="59">
                  <c:v>40452</c:v>
                </c:pt>
                <c:pt idx="60">
                  <c:v>40422</c:v>
                </c:pt>
                <c:pt idx="61">
                  <c:v>40391</c:v>
                </c:pt>
                <c:pt idx="62">
                  <c:v>40360</c:v>
                </c:pt>
                <c:pt idx="63">
                  <c:v>40330</c:v>
                </c:pt>
                <c:pt idx="64">
                  <c:v>40299</c:v>
                </c:pt>
                <c:pt idx="65">
                  <c:v>40269</c:v>
                </c:pt>
                <c:pt idx="66">
                  <c:v>40238</c:v>
                </c:pt>
                <c:pt idx="67">
                  <c:v>40210</c:v>
                </c:pt>
                <c:pt idx="68">
                  <c:v>40179</c:v>
                </c:pt>
                <c:pt idx="69">
                  <c:v>40148</c:v>
                </c:pt>
                <c:pt idx="70">
                  <c:v>40118</c:v>
                </c:pt>
                <c:pt idx="71">
                  <c:v>40087</c:v>
                </c:pt>
                <c:pt idx="72">
                  <c:v>40057</c:v>
                </c:pt>
                <c:pt idx="73">
                  <c:v>40026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39203</c:v>
                </c:pt>
                <c:pt idx="96">
                  <c:v>39173</c:v>
                </c:pt>
                <c:pt idx="97">
                  <c:v>39142</c:v>
                </c:pt>
                <c:pt idx="98">
                  <c:v>39114</c:v>
                </c:pt>
                <c:pt idx="99">
                  <c:v>39083</c:v>
                </c:pt>
              </c:numCache>
            </c:numRef>
          </c:cat>
          <c:val>
            <c:numRef>
              <c:f>'Result Combine'!$L$4:$L$103</c:f>
              <c:numCache>
                <c:formatCode>0%</c:formatCode>
                <c:ptCount val="100"/>
                <c:pt idx="0" formatCode="0.0%">
                  <c:v>9.7175990937427362E-2</c:v>
                </c:pt>
                <c:pt idx="1">
                  <c:v>0.13706575880441965</c:v>
                </c:pt>
                <c:pt idx="2">
                  <c:v>0.14665684075141536</c:v>
                </c:pt>
                <c:pt idx="3">
                  <c:v>0.13216165142465627</c:v>
                </c:pt>
                <c:pt idx="4">
                  <c:v>0.13051098591167118</c:v>
                </c:pt>
                <c:pt idx="5">
                  <c:v>0.13190242256996351</c:v>
                </c:pt>
                <c:pt idx="6">
                  <c:v>0.14313426531834345</c:v>
                </c:pt>
                <c:pt idx="7">
                  <c:v>0.16770412665823517</c:v>
                </c:pt>
                <c:pt idx="8">
                  <c:v>0.14322474324702961</c:v>
                </c:pt>
                <c:pt idx="9">
                  <c:v>0.1548384021264452</c:v>
                </c:pt>
                <c:pt idx="10">
                  <c:v>0.15103751552203029</c:v>
                </c:pt>
                <c:pt idx="11">
                  <c:v>0.1642441217615222</c:v>
                </c:pt>
                <c:pt idx="12">
                  <c:v>0.16756545687167684</c:v>
                </c:pt>
                <c:pt idx="13">
                  <c:v>0.20696332277398438</c:v>
                </c:pt>
                <c:pt idx="14">
                  <c:v>0.17232159799076321</c:v>
                </c:pt>
                <c:pt idx="15">
                  <c:v>0.23330728273760615</c:v>
                </c:pt>
                <c:pt idx="16">
                  <c:v>0.22122038575772859</c:v>
                </c:pt>
                <c:pt idx="17">
                  <c:v>0.20207123955735312</c:v>
                </c:pt>
                <c:pt idx="18">
                  <c:v>0.18894136609909684</c:v>
                </c:pt>
                <c:pt idx="19">
                  <c:v>0.24604668109113237</c:v>
                </c:pt>
                <c:pt idx="20">
                  <c:v>0.21897764837187222</c:v>
                </c:pt>
                <c:pt idx="21">
                  <c:v>0.22065948956400847</c:v>
                </c:pt>
                <c:pt idx="22">
                  <c:v>0.26465641541106683</c:v>
                </c:pt>
                <c:pt idx="23">
                  <c:v>0.23386267273155029</c:v>
                </c:pt>
                <c:pt idx="24">
                  <c:v>0.24028842596666367</c:v>
                </c:pt>
                <c:pt idx="25">
                  <c:v>0.2603576613053557</c:v>
                </c:pt>
                <c:pt idx="26">
                  <c:v>0.27187042281320173</c:v>
                </c:pt>
                <c:pt idx="27">
                  <c:v>0.27206029782451269</c:v>
                </c:pt>
                <c:pt idx="28">
                  <c:v>0.28473623992009855</c:v>
                </c:pt>
                <c:pt idx="29">
                  <c:v>0.28769409362527809</c:v>
                </c:pt>
                <c:pt idx="30">
                  <c:v>0.26600219763809535</c:v>
                </c:pt>
                <c:pt idx="31">
                  <c:v>0.30191690641446156</c:v>
                </c:pt>
                <c:pt idx="32">
                  <c:v>0.32908903492254221</c:v>
                </c:pt>
                <c:pt idx="33">
                  <c:v>0.28864856147241924</c:v>
                </c:pt>
                <c:pt idx="34">
                  <c:v>0.35365685912538342</c:v>
                </c:pt>
                <c:pt idx="35">
                  <c:v>0.33887574576511353</c:v>
                </c:pt>
                <c:pt idx="36">
                  <c:v>0.37535884447014084</c:v>
                </c:pt>
                <c:pt idx="37">
                  <c:v>0.40799638517800141</c:v>
                </c:pt>
                <c:pt idx="38">
                  <c:v>0.39950886178459588</c:v>
                </c:pt>
                <c:pt idx="39">
                  <c:v>0.37843344426423575</c:v>
                </c:pt>
                <c:pt idx="40">
                  <c:v>0.4267444456261057</c:v>
                </c:pt>
                <c:pt idx="41">
                  <c:v>0.42181340033652326</c:v>
                </c:pt>
                <c:pt idx="42">
                  <c:v>0.37117446173433272</c:v>
                </c:pt>
                <c:pt idx="43">
                  <c:v>0.38335027832842888</c:v>
                </c:pt>
                <c:pt idx="44">
                  <c:v>0.39559492932892726</c:v>
                </c:pt>
                <c:pt idx="45">
                  <c:v>0.36924447419775319</c:v>
                </c:pt>
                <c:pt idx="46">
                  <c:v>0.35934934120814016</c:v>
                </c:pt>
                <c:pt idx="47">
                  <c:v>0.35429330412754106</c:v>
                </c:pt>
                <c:pt idx="48">
                  <c:v>0.36206079330448132</c:v>
                </c:pt>
                <c:pt idx="49">
                  <c:v>0.36089961377819746</c:v>
                </c:pt>
                <c:pt idx="50">
                  <c:v>0.32729651029643575</c:v>
                </c:pt>
                <c:pt idx="51">
                  <c:v>0.32521697705889813</c:v>
                </c:pt>
                <c:pt idx="52">
                  <c:v>0.32070107823414629</c:v>
                </c:pt>
                <c:pt idx="53">
                  <c:v>0.31657846578029186</c:v>
                </c:pt>
                <c:pt idx="54">
                  <c:v>0.3189811963379991</c:v>
                </c:pt>
                <c:pt idx="55">
                  <c:v>0.33532318497209629</c:v>
                </c:pt>
                <c:pt idx="56">
                  <c:v>0.34533307259902751</c:v>
                </c:pt>
                <c:pt idx="57">
                  <c:v>0.35216008836023677</c:v>
                </c:pt>
                <c:pt idx="58">
                  <c:v>0.29276963636032793</c:v>
                </c:pt>
                <c:pt idx="59">
                  <c:v>0.29372028391452698</c:v>
                </c:pt>
                <c:pt idx="60">
                  <c:v>0.31476559227765299</c:v>
                </c:pt>
                <c:pt idx="61">
                  <c:v>0.31470330669429203</c:v>
                </c:pt>
                <c:pt idx="62">
                  <c:v>0.31777989823386521</c:v>
                </c:pt>
                <c:pt idx="63">
                  <c:v>0.31321217963608561</c:v>
                </c:pt>
                <c:pt idx="64">
                  <c:v>0.34312870439149407</c:v>
                </c:pt>
                <c:pt idx="65">
                  <c:v>0.37825278748598301</c:v>
                </c:pt>
                <c:pt idx="66">
                  <c:v>0.2977060417507969</c:v>
                </c:pt>
                <c:pt idx="67">
                  <c:v>0.34775868035575547</c:v>
                </c:pt>
                <c:pt idx="68">
                  <c:v>0.3761002753862186</c:v>
                </c:pt>
                <c:pt idx="69">
                  <c:v>0.28851264676855087</c:v>
                </c:pt>
                <c:pt idx="70">
                  <c:v>0.29742822617358655</c:v>
                </c:pt>
                <c:pt idx="71">
                  <c:v>0.30557933259397485</c:v>
                </c:pt>
                <c:pt idx="72">
                  <c:v>0.27156250342058241</c:v>
                </c:pt>
                <c:pt idx="73">
                  <c:v>0.27179795806466855</c:v>
                </c:pt>
                <c:pt idx="74">
                  <c:v>0.30637464096493588</c:v>
                </c:pt>
                <c:pt idx="75">
                  <c:v>0.28517531260162737</c:v>
                </c:pt>
                <c:pt idx="76">
                  <c:v>0.26543694156136566</c:v>
                </c:pt>
                <c:pt idx="77">
                  <c:v>0.25642922760619785</c:v>
                </c:pt>
                <c:pt idx="78">
                  <c:v>0.24060343976841117</c:v>
                </c:pt>
                <c:pt idx="79">
                  <c:v>0.23923380326108126</c:v>
                </c:pt>
                <c:pt idx="80">
                  <c:v>0.24240631616199856</c:v>
                </c:pt>
                <c:pt idx="81">
                  <c:v>0.22706861756801811</c:v>
                </c:pt>
                <c:pt idx="82">
                  <c:v>0.2019767615646616</c:v>
                </c:pt>
                <c:pt idx="83">
                  <c:v>0.23480530015442783</c:v>
                </c:pt>
                <c:pt idx="84">
                  <c:v>0.22666112129550542</c:v>
                </c:pt>
                <c:pt idx="85">
                  <c:v>0.21160845334342704</c:v>
                </c:pt>
                <c:pt idx="86">
                  <c:v>0.22509366357039509</c:v>
                </c:pt>
                <c:pt idx="87">
                  <c:v>0.21865452563093971</c:v>
                </c:pt>
                <c:pt idx="88">
                  <c:v>0.19186602988063037</c:v>
                </c:pt>
                <c:pt idx="89">
                  <c:v>0.20072480844914847</c:v>
                </c:pt>
                <c:pt idx="90">
                  <c:v>0.20247212558035627</c:v>
                </c:pt>
                <c:pt idx="91">
                  <c:v>0.18159430750205674</c:v>
                </c:pt>
                <c:pt idx="92">
                  <c:v>0.17606373759727634</c:v>
                </c:pt>
                <c:pt idx="93">
                  <c:v>0.21703297326994753</c:v>
                </c:pt>
                <c:pt idx="94">
                  <c:v>0.20211594477925912</c:v>
                </c:pt>
                <c:pt idx="95">
                  <c:v>0.18857490726359954</c:v>
                </c:pt>
                <c:pt idx="96">
                  <c:v>0.19550941886806056</c:v>
                </c:pt>
                <c:pt idx="97">
                  <c:v>0.17497763675831349</c:v>
                </c:pt>
                <c:pt idx="98">
                  <c:v>0.27345937805868908</c:v>
                </c:pt>
                <c:pt idx="99">
                  <c:v>0.24873797409726819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95104"/>
        <c:axId val="389296896"/>
      </c:lineChart>
      <c:dateAx>
        <c:axId val="38929510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389296896"/>
        <c:crosses val="autoZero"/>
        <c:auto val="1"/>
        <c:lblOffset val="100"/>
        <c:baseTimeUnit val="months"/>
        <c:majorUnit val="2"/>
        <c:majorTimeUnit val="months"/>
      </c:dateAx>
      <c:valAx>
        <c:axId val="38929689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89295104"/>
        <c:crosses val="autoZero"/>
        <c:crossBetween val="between"/>
      </c:valAx>
      <c:valAx>
        <c:axId val="389298816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89313664"/>
        <c:crosses val="max"/>
        <c:crossBetween val="between"/>
        <c:dispUnits>
          <c:builtInUnit val="billions"/>
        </c:dispUnits>
      </c:valAx>
      <c:catAx>
        <c:axId val="389313664"/>
        <c:scaling>
          <c:orientation val="minMax"/>
        </c:scaling>
        <c:delete val="1"/>
        <c:axPos val="b"/>
        <c:majorTickMark val="out"/>
        <c:minorTickMark val="none"/>
        <c:tickLblPos val="nextTo"/>
        <c:crossAx val="389298816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9.7175990937427362E-2</c:v>
                </c:pt>
                <c:pt idx="1">
                  <c:v>7.5855125442177138E-2</c:v>
                </c:pt>
                <c:pt idx="2">
                  <c:v>5.3598889054861931E-2</c:v>
                </c:pt>
                <c:pt idx="3">
                  <c:v>4.6617315331220224E-2</c:v>
                </c:pt>
                <c:pt idx="4">
                  <c:v>3.6636973123465068E-2</c:v>
                </c:pt>
                <c:pt idx="5">
                  <c:v>3.0515067250840668E-2</c:v>
                </c:pt>
                <c:pt idx="6">
                  <c:v>2.4747747542063998E-2</c:v>
                </c:pt>
                <c:pt idx="7">
                  <c:v>2.4002166012565555E-2</c:v>
                </c:pt>
                <c:pt idx="8">
                  <c:v>2.2759403143424738E-2</c:v>
                </c:pt>
                <c:pt idx="9">
                  <c:v>2.1222824122697596E-2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0.13706575880441965</c:v>
                </c:pt>
                <c:pt idx="1">
                  <c:v>8.7748404396101459E-2</c:v>
                </c:pt>
                <c:pt idx="2">
                  <c:v>6.0084417157005882E-2</c:v>
                </c:pt>
                <c:pt idx="3">
                  <c:v>4.3837972749400884E-2</c:v>
                </c:pt>
                <c:pt idx="4">
                  <c:v>3.9273517809588765E-2</c:v>
                </c:pt>
                <c:pt idx="5">
                  <c:v>3.3253769196590718E-2</c:v>
                </c:pt>
                <c:pt idx="6">
                  <c:v>2.9631262414778148E-2</c:v>
                </c:pt>
                <c:pt idx="7">
                  <c:v>2.8647248678972493E-2</c:v>
                </c:pt>
                <c:pt idx="8">
                  <c:v>2.5936723511651015E-2</c:v>
                </c:pt>
                <c:pt idx="9">
                  <c:v>1.9419375350052566E-2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343104"/>
        <c:axId val="389021696"/>
      </c:barChart>
      <c:catAx>
        <c:axId val="38934310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89021696"/>
        <c:crosses val="autoZero"/>
        <c:auto val="1"/>
        <c:lblAlgn val="ctr"/>
        <c:lblOffset val="100"/>
        <c:noMultiLvlLbl val="0"/>
      </c:catAx>
      <c:valAx>
        <c:axId val="38902169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3893431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181696"/>
        <c:axId val="399183232"/>
      </c:lineChart>
      <c:dateAx>
        <c:axId val="39918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9183232"/>
        <c:crosses val="autoZero"/>
        <c:auto val="1"/>
        <c:lblOffset val="100"/>
        <c:baseTimeUnit val="months"/>
      </c:dateAx>
      <c:valAx>
        <c:axId val="3991832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99181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205120"/>
        <c:axId val="399206656"/>
      </c:lineChart>
      <c:dateAx>
        <c:axId val="399205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9206656"/>
        <c:crosses val="autoZero"/>
        <c:auto val="1"/>
        <c:lblOffset val="100"/>
        <c:baseTimeUnit val="months"/>
      </c:dateAx>
      <c:valAx>
        <c:axId val="39920665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99205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246464"/>
        <c:axId val="399248000"/>
      </c:lineChart>
      <c:dateAx>
        <c:axId val="399246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9248000"/>
        <c:crosses val="autoZero"/>
        <c:auto val="1"/>
        <c:lblOffset val="100"/>
        <c:baseTimeUnit val="months"/>
      </c:dateAx>
      <c:valAx>
        <c:axId val="3992480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99246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257176</xdr:colOff>
      <xdr:row>5</xdr:row>
      <xdr:rowOff>85726</xdr:rowOff>
    </xdr:from>
    <xdr:to>
      <xdr:col>23</xdr:col>
      <xdr:colOff>28576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3644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Sources:Ginnie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6</xdr:col>
      <xdr:colOff>314325</xdr:colOff>
      <xdr:row>59</xdr:row>
      <xdr:rowOff>38100</xdr:rowOff>
    </xdr:to>
    <xdr:sp macro="" textlink="">
      <xdr:nvSpPr>
        <xdr:cNvPr id="7" name="TextBox 6"/>
        <xdr:cNvSpPr txBox="1"/>
      </xdr:nvSpPr>
      <xdr:spPr>
        <a:xfrm>
          <a:off x="3067050" y="9429749"/>
          <a:ext cx="2657475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twoCellAnchor>
    <xdr:from>
      <xdr:col>2</xdr:col>
      <xdr:colOff>0</xdr:colOff>
      <xdr:row>58</xdr:row>
      <xdr:rowOff>114299</xdr:rowOff>
    </xdr:from>
    <xdr:to>
      <xdr:col>6</xdr:col>
      <xdr:colOff>904875</xdr:colOff>
      <xdr:row>62</xdr:row>
      <xdr:rowOff>28575</xdr:rowOff>
    </xdr:to>
    <xdr:sp macro="" textlink="">
      <xdr:nvSpPr>
        <xdr:cNvPr id="9" name="TextBox 8"/>
        <xdr:cNvSpPr txBox="1"/>
      </xdr:nvSpPr>
      <xdr:spPr>
        <a:xfrm>
          <a:off x="1219200" y="9534524"/>
          <a:ext cx="5095875" cy="561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Note:</a:t>
          </a:r>
          <a:r>
            <a:rPr lang="en-US" sz="1000" b="1" baseline="0"/>
            <a:t> </a:t>
          </a:r>
          <a:r>
            <a:rPr lang="en-US" sz="1000" baseline="0"/>
            <a:t>Calculation includes all GNMA fixed rate products.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79.67379270833" createdVersion="4" refreshedVersion="4" minRefreshableVersion="3" recordCount="105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9-02T00:00:00" count="105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</sharedItems>
    </cacheField>
    <cacheField name="TotalBalance" numFmtId="0">
      <sharedItems containsSemiMixedTypes="0" containsString="0" containsNumber="1" minValue="107482362.75" maxValue="15536484394.24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0">
  <r>
    <x v="0"/>
    <n v="1816782123.1800001"/>
    <s v="WELLS FARGO"/>
    <x v="0"/>
  </r>
  <r>
    <x v="0"/>
    <n v="1336543623.8900001"/>
    <s v="BANK OF AMERICA"/>
    <x v="1"/>
  </r>
  <r>
    <x v="0"/>
    <n v="607687193.74000001"/>
    <s v="CWB"/>
    <x v="2"/>
  </r>
  <r>
    <x v="0"/>
    <n v="496043083.19"/>
    <s v="CHASE"/>
    <x v="3"/>
  </r>
  <r>
    <x v="0"/>
    <n v="418215822"/>
    <s v="MIDFIRST"/>
    <x v="4"/>
  </r>
  <r>
    <x v="0"/>
    <n v="366854872.81"/>
    <s v="CITI"/>
    <x v="5"/>
  </r>
  <r>
    <x v="0"/>
    <n v="252333072.41999999"/>
    <s v="PNC"/>
    <x v="6"/>
  </r>
  <r>
    <x v="0"/>
    <n v="245840427.65000001"/>
    <s v="US BANK"/>
    <x v="7"/>
  </r>
  <r>
    <x v="0"/>
    <n v="221974897.47999999"/>
    <s v="TAYLOR BEAN WHITAKER"/>
    <x v="8"/>
  </r>
  <r>
    <x v="0"/>
    <n v="155562840.72999999"/>
    <s v="SUNTRUST"/>
    <x v="9"/>
  </r>
  <r>
    <x v="1"/>
    <n v="1621110935.21"/>
    <s v="WELLS FARGO"/>
    <x v="0"/>
  </r>
  <r>
    <x v="1"/>
    <n v="869974601.39999998"/>
    <s v="BANK OF AMERICA"/>
    <x v="1"/>
  </r>
  <r>
    <x v="1"/>
    <n v="570923079.46000004"/>
    <s v="CHASE"/>
    <x v="2"/>
  </r>
  <r>
    <x v="1"/>
    <n v="377190566.31999999"/>
    <s v="CWB"/>
    <x v="3"/>
  </r>
  <r>
    <x v="1"/>
    <n v="268409363"/>
    <s v="MIDFIRST"/>
    <x v="4"/>
  </r>
  <r>
    <x v="1"/>
    <n v="265814723.13999999"/>
    <s v="TAYLOR BEAN WHITAKER"/>
    <x v="5"/>
  </r>
  <r>
    <x v="1"/>
    <n v="262487581.16"/>
    <s v="US BANK"/>
    <x v="6"/>
  </r>
  <r>
    <x v="1"/>
    <n v="240883899.58000001"/>
    <s v="PNC"/>
    <x v="7"/>
  </r>
  <r>
    <x v="1"/>
    <n v="226406026.94999999"/>
    <s v="CITI"/>
    <x v="8"/>
  </r>
  <r>
    <x v="1"/>
    <n v="116368553.09"/>
    <s v="ALLY"/>
    <x v="9"/>
  </r>
  <r>
    <x v="2"/>
    <n v="1136163344.1300001"/>
    <s v="WELLS FARGO"/>
    <x v="0"/>
  </r>
  <r>
    <x v="2"/>
    <n v="1086310630.5599999"/>
    <s v="BANK OF AMERICA"/>
    <x v="1"/>
  </r>
  <r>
    <x v="2"/>
    <n v="616257064"/>
    <s v="MIDFIRST"/>
    <x v="2"/>
  </r>
  <r>
    <x v="2"/>
    <n v="527836553.68000001"/>
    <s v="CHASE"/>
    <x v="3"/>
  </r>
  <r>
    <x v="2"/>
    <n v="518587543.66000003"/>
    <s v="CITI"/>
    <x v="4"/>
  </r>
  <r>
    <x v="2"/>
    <n v="475430933.06"/>
    <s v="CWB"/>
    <x v="5"/>
  </r>
  <r>
    <x v="2"/>
    <n v="328710504.68000001"/>
    <s v="TAYLOR BEAN WHITAKER"/>
    <x v="6"/>
  </r>
  <r>
    <x v="2"/>
    <n v="220919756.88999999"/>
    <s v="PNC"/>
    <x v="7"/>
  </r>
  <r>
    <x v="2"/>
    <n v="219108241.11000001"/>
    <s v="US BANK"/>
    <x v="8"/>
  </r>
  <r>
    <x v="2"/>
    <n v="107482362.75"/>
    <s v="FLAGSTAR"/>
    <x v="9"/>
  </r>
  <r>
    <x v="3"/>
    <n v="1386094463.95"/>
    <s v="BANK OF AMERICA"/>
    <x v="0"/>
  </r>
  <r>
    <x v="3"/>
    <n v="1054161043.52"/>
    <s v="WELLS FARGO"/>
    <x v="1"/>
  </r>
  <r>
    <x v="3"/>
    <n v="697228581.84000003"/>
    <s v="CWB"/>
    <x v="2"/>
  </r>
  <r>
    <x v="3"/>
    <n v="610609457.89999998"/>
    <s v="CHASE"/>
    <x v="3"/>
  </r>
  <r>
    <x v="3"/>
    <n v="560043687.34000003"/>
    <s v="CITI"/>
    <x v="4"/>
  </r>
  <r>
    <x v="3"/>
    <n v="549494004"/>
    <s v="MIDFIRST"/>
    <x v="5"/>
  </r>
  <r>
    <x v="3"/>
    <n v="300885844.23000002"/>
    <s v="TAYLOR BEAN WHITAKER"/>
    <x v="6"/>
  </r>
  <r>
    <x v="3"/>
    <n v="240388245.47"/>
    <s v="PNC"/>
    <x v="7"/>
  </r>
  <r>
    <x v="3"/>
    <n v="235387471.34999999"/>
    <s v="US BANK"/>
    <x v="8"/>
  </r>
  <r>
    <x v="3"/>
    <n v="118395519.92"/>
    <s v="ALLY"/>
    <x v="9"/>
  </r>
  <r>
    <x v="4"/>
    <n v="1527666445.4200001"/>
    <s v="BANK OF AMERICA"/>
    <x v="0"/>
  </r>
  <r>
    <x v="4"/>
    <n v="1325103193.3800001"/>
    <s v="WELLS FARGO"/>
    <x v="1"/>
  </r>
  <r>
    <x v="4"/>
    <n v="940698389.69000006"/>
    <s v="CHASE"/>
    <x v="2"/>
  </r>
  <r>
    <x v="4"/>
    <n v="787882452.95000005"/>
    <s v="CWB"/>
    <x v="3"/>
  </r>
  <r>
    <x v="4"/>
    <n v="622244589.19000006"/>
    <s v="CITI"/>
    <x v="4"/>
  </r>
  <r>
    <x v="4"/>
    <n v="483605043.64999998"/>
    <s v="TAYLOR BEAN WHITAKER"/>
    <x v="5"/>
  </r>
  <r>
    <x v="4"/>
    <n v="323658105"/>
    <s v="MIDFIRST"/>
    <x v="6"/>
  </r>
  <r>
    <x v="4"/>
    <n v="261976006.90000001"/>
    <s v="US BANK"/>
    <x v="7"/>
  </r>
  <r>
    <x v="4"/>
    <n v="189718991.81999999"/>
    <s v="PNC"/>
    <x v="8"/>
  </r>
  <r>
    <x v="4"/>
    <n v="164541559.06999999"/>
    <s v="ALLY"/>
    <x v="9"/>
  </r>
  <r>
    <x v="5"/>
    <n v="1823409047.55"/>
    <s v="BANK OF AMERICA"/>
    <x v="0"/>
  </r>
  <r>
    <x v="5"/>
    <n v="1348539445.8800001"/>
    <s v="WELLS FARGO"/>
    <x v="1"/>
  </r>
  <r>
    <x v="5"/>
    <n v="1199564655"/>
    <s v="CWB"/>
    <x v="2"/>
  </r>
  <r>
    <x v="5"/>
    <n v="899505175.19000006"/>
    <s v="CHASE"/>
    <x v="3"/>
  </r>
  <r>
    <x v="5"/>
    <n v="631116059.47000003"/>
    <s v="CITI"/>
    <x v="4"/>
  </r>
  <r>
    <x v="5"/>
    <n v="585337435.99000001"/>
    <s v="TAYLOR BEAN WHITAKER"/>
    <x v="5"/>
  </r>
  <r>
    <x v="5"/>
    <n v="317233120.64999998"/>
    <s v="PNC"/>
    <x v="6"/>
  </r>
  <r>
    <x v="5"/>
    <n v="311961958"/>
    <s v="MIDFIRST"/>
    <x v="7"/>
  </r>
  <r>
    <x v="5"/>
    <n v="296721791.93000001"/>
    <s v="US BANK"/>
    <x v="8"/>
  </r>
  <r>
    <x v="5"/>
    <n v="211183790.52000001"/>
    <s v="ALLY"/>
    <x v="9"/>
  </r>
  <r>
    <x v="6"/>
    <n v="2191372591.8000002"/>
    <s v="BANK OF AMERICA"/>
    <x v="0"/>
  </r>
  <r>
    <x v="6"/>
    <n v="1506940443.8699999"/>
    <s v="CWB"/>
    <x v="1"/>
  </r>
  <r>
    <x v="6"/>
    <n v="1282290225.9100001"/>
    <s v="WELLS FARGO"/>
    <x v="2"/>
  </r>
  <r>
    <x v="6"/>
    <n v="894683434.65999997"/>
    <s v="CHASE"/>
    <x v="3"/>
  </r>
  <r>
    <x v="6"/>
    <n v="561034731.88999999"/>
    <s v="CITI"/>
    <x v="4"/>
  </r>
  <r>
    <x v="6"/>
    <n v="556119596"/>
    <s v="MIDFIRST"/>
    <x v="5"/>
  </r>
  <r>
    <x v="6"/>
    <n v="474830478.36000001"/>
    <s v="TAYLOR BEAN WHITAKER"/>
    <x v="6"/>
  </r>
  <r>
    <x v="6"/>
    <n v="291874608.01999998"/>
    <s v="US BANK"/>
    <x v="7"/>
  </r>
  <r>
    <x v="6"/>
    <n v="280538657.69999999"/>
    <s v="PNC"/>
    <x v="8"/>
  </r>
  <r>
    <x v="6"/>
    <n v="218796800.81999999"/>
    <s v="PHH"/>
    <x v="9"/>
  </r>
  <r>
    <x v="7"/>
    <n v="2199361792.6500001"/>
    <s v="BANK OF AMERICA"/>
    <x v="0"/>
  </r>
  <r>
    <x v="7"/>
    <n v="1547835971.8900001"/>
    <s v="WELLS FARGO"/>
    <x v="1"/>
  </r>
  <r>
    <x v="7"/>
    <n v="1419998549.7"/>
    <s v="CWB"/>
    <x v="2"/>
  </r>
  <r>
    <x v="7"/>
    <n v="1086376333.4400001"/>
    <s v="CHASE"/>
    <x v="3"/>
  </r>
  <r>
    <x v="7"/>
    <n v="787215225.08000004"/>
    <s v="TAYLOR BEAN WHITAKER"/>
    <x v="4"/>
  </r>
  <r>
    <x v="7"/>
    <n v="672076746.57000005"/>
    <s v="CITI"/>
    <x v="5"/>
  </r>
  <r>
    <x v="7"/>
    <n v="445623149"/>
    <s v="MIDFIRST"/>
    <x v="6"/>
  </r>
  <r>
    <x v="7"/>
    <n v="421912504.26999998"/>
    <s v="US BANK"/>
    <x v="7"/>
  </r>
  <r>
    <x v="7"/>
    <n v="364355555.85000002"/>
    <s v="PNC"/>
    <x v="8"/>
  </r>
  <r>
    <x v="7"/>
    <n v="304495053.63"/>
    <s v="ALLY"/>
    <x v="9"/>
  </r>
  <r>
    <x v="8"/>
    <n v="2100244827.6099999"/>
    <s v="BANK OF AMERICA"/>
    <x v="0"/>
  </r>
  <r>
    <x v="8"/>
    <n v="1378080317.3099999"/>
    <s v="CWB"/>
    <x v="1"/>
  </r>
  <r>
    <x v="8"/>
    <n v="1243355958.8499999"/>
    <s v="CHASE"/>
    <x v="2"/>
  </r>
  <r>
    <x v="8"/>
    <n v="1175104294.3900001"/>
    <s v="WELLS FARGO"/>
    <x v="3"/>
  </r>
  <r>
    <x v="8"/>
    <n v="632266709.83000004"/>
    <s v="CITI"/>
    <x v="4"/>
  </r>
  <r>
    <x v="8"/>
    <n v="533379577.56"/>
    <s v="TAYLOR BEAN WHITAKER"/>
    <x v="5"/>
  </r>
  <r>
    <x v="8"/>
    <n v="399818823.14999998"/>
    <s v="US BANK"/>
    <x v="6"/>
  </r>
  <r>
    <x v="8"/>
    <n v="270795396"/>
    <s v="MIDFIRST"/>
    <x v="7"/>
  </r>
  <r>
    <x v="8"/>
    <n v="238964204.69"/>
    <s v="PNC"/>
    <x v="8"/>
  </r>
  <r>
    <x v="8"/>
    <n v="198380735.88999999"/>
    <s v="ALLY"/>
    <x v="9"/>
  </r>
  <r>
    <x v="9"/>
    <n v="1942871547.53"/>
    <s v="WELLS FARGO"/>
    <x v="0"/>
  </r>
  <r>
    <x v="9"/>
    <n v="1934718748.54"/>
    <s v="BANK OF AMERICA"/>
    <x v="1"/>
  </r>
  <r>
    <x v="9"/>
    <n v="1370898651.8699999"/>
    <s v="CHASE"/>
    <x v="2"/>
  </r>
  <r>
    <x v="9"/>
    <n v="1331945377.22"/>
    <s v="CWB"/>
    <x v="3"/>
  </r>
  <r>
    <x v="9"/>
    <n v="582373777.12"/>
    <s v="TAYLOR BEAN WHITAKER"/>
    <x v="4"/>
  </r>
  <r>
    <x v="9"/>
    <n v="568043753.41999996"/>
    <s v="CITI"/>
    <x v="5"/>
  </r>
  <r>
    <x v="9"/>
    <n v="462361139.27999997"/>
    <s v="PNC"/>
    <x v="6"/>
  </r>
  <r>
    <x v="9"/>
    <n v="420992160"/>
    <s v="MIDFIRST"/>
    <x v="7"/>
  </r>
  <r>
    <x v="9"/>
    <n v="409658048.44"/>
    <s v="US BANK"/>
    <x v="8"/>
  </r>
  <r>
    <x v="9"/>
    <n v="303004880.38"/>
    <s v="ALLY"/>
    <x v="9"/>
  </r>
  <r>
    <x v="10"/>
    <n v="2053183704.1099999"/>
    <s v="WELLS FARGO"/>
    <x v="0"/>
  </r>
  <r>
    <x v="10"/>
    <n v="1939608135.73"/>
    <s v="BANK OF AMERICA"/>
    <x v="1"/>
  </r>
  <r>
    <x v="10"/>
    <n v="1556421780.53"/>
    <s v="CHASE"/>
    <x v="2"/>
  </r>
  <r>
    <x v="10"/>
    <n v="1016642708.3"/>
    <s v="CWB"/>
    <x v="3"/>
  </r>
  <r>
    <x v="10"/>
    <n v="612883902"/>
    <s v="MIDFIRST"/>
    <x v="4"/>
  </r>
  <r>
    <x v="10"/>
    <n v="578508117.63999999"/>
    <s v="TAYLOR BEAN WHITAKER"/>
    <x v="5"/>
  </r>
  <r>
    <x v="10"/>
    <n v="518725321.77999997"/>
    <s v="PNC"/>
    <x v="6"/>
  </r>
  <r>
    <x v="10"/>
    <n v="466556979.43000001"/>
    <s v="US BANK"/>
    <x v="7"/>
  </r>
  <r>
    <x v="10"/>
    <n v="413592821.22000003"/>
    <s v="CITI"/>
    <x v="8"/>
  </r>
  <r>
    <x v="10"/>
    <n v="292736016.22000003"/>
    <s v="ALLY"/>
    <x v="9"/>
  </r>
  <r>
    <x v="11"/>
    <n v="2610711823.8800001"/>
    <s v="BANK OF AMERICA"/>
    <x v="0"/>
  </r>
  <r>
    <x v="11"/>
    <n v="2342574638.27"/>
    <s v="WELLS FARGO"/>
    <x v="1"/>
  </r>
  <r>
    <x v="11"/>
    <n v="1454465093.1800001"/>
    <s v="CHASE"/>
    <x v="2"/>
  </r>
  <r>
    <x v="11"/>
    <n v="1371045833.03"/>
    <s v="CWB"/>
    <x v="3"/>
  </r>
  <r>
    <x v="11"/>
    <n v="817355777"/>
    <s v="MIDFIRST"/>
    <x v="4"/>
  </r>
  <r>
    <x v="11"/>
    <n v="743659618.86000001"/>
    <s v="TAYLOR BEAN WHITAKER"/>
    <x v="5"/>
  </r>
  <r>
    <x v="11"/>
    <n v="490867676.63"/>
    <s v="PNC"/>
    <x v="6"/>
  </r>
  <r>
    <x v="11"/>
    <n v="431103145.98000002"/>
    <s v="US BANK"/>
    <x v="7"/>
  </r>
  <r>
    <x v="11"/>
    <n v="367933545.91000003"/>
    <s v="CITI"/>
    <x v="8"/>
  </r>
  <r>
    <x v="11"/>
    <n v="343680787.95999998"/>
    <s v="FLAGSTAR"/>
    <x v="9"/>
  </r>
  <r>
    <x v="12"/>
    <n v="2683651040.4299998"/>
    <s v="BANK OF AMERICA"/>
    <x v="0"/>
  </r>
  <r>
    <x v="12"/>
    <n v="2649963805.1799998"/>
    <s v="WELLS FARGO"/>
    <x v="1"/>
  </r>
  <r>
    <x v="12"/>
    <n v="2091632053.6300001"/>
    <s v="CHASE"/>
    <x v="2"/>
  </r>
  <r>
    <x v="12"/>
    <n v="1494660889.1199999"/>
    <s v="CWB"/>
    <x v="3"/>
  </r>
  <r>
    <x v="12"/>
    <n v="675755129.97000003"/>
    <s v="TAYLOR BEAN WHITAKER"/>
    <x v="4"/>
  </r>
  <r>
    <x v="12"/>
    <n v="480153762.08999997"/>
    <s v="US BANK"/>
    <x v="5"/>
  </r>
  <r>
    <x v="12"/>
    <n v="408178424.07999998"/>
    <s v="PNC"/>
    <x v="6"/>
  </r>
  <r>
    <x v="12"/>
    <n v="371098259.77999997"/>
    <s v="ALLY"/>
    <x v="7"/>
  </r>
  <r>
    <x v="12"/>
    <n v="369592569.22000003"/>
    <s v="CITI"/>
    <x v="8"/>
  </r>
  <r>
    <x v="12"/>
    <n v="351516434.76999998"/>
    <s v="FLAGSTAR"/>
    <x v="9"/>
  </r>
  <r>
    <x v="13"/>
    <n v="2482933120.71"/>
    <s v="BANK OF AMERICA"/>
    <x v="0"/>
  </r>
  <r>
    <x v="13"/>
    <n v="2342887388.9699998"/>
    <s v="WELLS FARGO"/>
    <x v="1"/>
  </r>
  <r>
    <x v="13"/>
    <n v="2295374356.52"/>
    <s v="CHASE"/>
    <x v="2"/>
  </r>
  <r>
    <x v="13"/>
    <n v="1058053803.87"/>
    <s v="CWB"/>
    <x v="3"/>
  </r>
  <r>
    <x v="13"/>
    <n v="687337148.78999996"/>
    <s v="TAYLOR BEAN WHITAKER"/>
    <x v="4"/>
  </r>
  <r>
    <x v="13"/>
    <n v="569022928.28999996"/>
    <s v="US BANK"/>
    <x v="5"/>
  </r>
  <r>
    <x v="13"/>
    <n v="440499976.63"/>
    <s v="FLAGSTAR"/>
    <x v="6"/>
  </r>
  <r>
    <x v="13"/>
    <n v="397705776.72000003"/>
    <s v="PNC"/>
    <x v="7"/>
  </r>
  <r>
    <x v="13"/>
    <n v="365876666"/>
    <s v="ALLY"/>
    <x v="8"/>
  </r>
  <r>
    <x v="13"/>
    <n v="320456467"/>
    <s v="MIDFIRST"/>
    <x v="9"/>
  </r>
  <r>
    <x v="14"/>
    <n v="3560147160.0799999"/>
    <s v="CHASE"/>
    <x v="0"/>
  </r>
  <r>
    <x v="14"/>
    <n v="2946816172.1900001"/>
    <s v="BANK OF AMERICA"/>
    <x v="1"/>
  </r>
  <r>
    <x v="14"/>
    <n v="2664076243.4000001"/>
    <s v="WELLS FARGO"/>
    <x v="2"/>
  </r>
  <r>
    <x v="14"/>
    <n v="1125059373.74"/>
    <s v="CWB"/>
    <x v="3"/>
  </r>
  <r>
    <x v="14"/>
    <n v="1007478427.75"/>
    <s v="TAYLOR BEAN WHITAKER"/>
    <x v="4"/>
  </r>
  <r>
    <x v="14"/>
    <n v="576344011.66999996"/>
    <s v="CITI"/>
    <x v="5"/>
  </r>
  <r>
    <x v="14"/>
    <n v="552472426.05999994"/>
    <s v="ALLY"/>
    <x v="6"/>
  </r>
  <r>
    <x v="14"/>
    <n v="514261207.12"/>
    <s v="US BANK"/>
    <x v="7"/>
  </r>
  <r>
    <x v="14"/>
    <n v="447323590.42000002"/>
    <s v="PNC"/>
    <x v="8"/>
  </r>
  <r>
    <x v="14"/>
    <n v="404723654"/>
    <s v="MIDFIRST"/>
    <x v="9"/>
  </r>
  <r>
    <x v="15"/>
    <n v="4623451382.9700003"/>
    <s v="BANK OF AMERICA"/>
    <x v="0"/>
  </r>
  <r>
    <x v="15"/>
    <n v="3787928131.5500002"/>
    <s v="WELLS FARGO"/>
    <x v="1"/>
  </r>
  <r>
    <x v="15"/>
    <n v="2994465303.77"/>
    <s v="CHASE"/>
    <x v="2"/>
  </r>
  <r>
    <x v="15"/>
    <n v="1728165057.1099999"/>
    <s v="CWB"/>
    <x v="3"/>
  </r>
  <r>
    <x v="15"/>
    <n v="1382036015.54"/>
    <s v="TAYLOR BEAN WHITAKER"/>
    <x v="4"/>
  </r>
  <r>
    <x v="15"/>
    <n v="806015108.05999994"/>
    <s v="ALLY"/>
    <x v="5"/>
  </r>
  <r>
    <x v="15"/>
    <n v="736329443.12"/>
    <s v="CITI"/>
    <x v="6"/>
  </r>
  <r>
    <x v="15"/>
    <n v="704745365.10000002"/>
    <s v="PNC"/>
    <x v="7"/>
  </r>
  <r>
    <x v="15"/>
    <n v="701477024.63"/>
    <s v="US BANK"/>
    <x v="8"/>
  </r>
  <r>
    <x v="15"/>
    <n v="372211866.42000002"/>
    <s v="SUNTRUST"/>
    <x v="9"/>
  </r>
  <r>
    <x v="16"/>
    <n v="4941795296.04"/>
    <s v="BANK OF AMERICA"/>
    <x v="0"/>
  </r>
  <r>
    <x v="16"/>
    <n v="4417231196.7200003"/>
    <s v="WELLS FARGO"/>
    <x v="1"/>
  </r>
  <r>
    <x v="16"/>
    <n v="3285812126.3600001"/>
    <s v="CHASE"/>
    <x v="2"/>
  </r>
  <r>
    <x v="16"/>
    <n v="2106155444.54"/>
    <s v="CWB"/>
    <x v="3"/>
  </r>
  <r>
    <x v="16"/>
    <n v="1061660324.92"/>
    <s v="TAYLOR BEAN WHITAKER"/>
    <x v="4"/>
  </r>
  <r>
    <x v="16"/>
    <n v="1014106846"/>
    <s v="FLAGSTAR"/>
    <x v="5"/>
  </r>
  <r>
    <x v="16"/>
    <n v="946553665.57000005"/>
    <s v="ALLY"/>
    <x v="6"/>
  </r>
  <r>
    <x v="16"/>
    <n v="761565205"/>
    <s v="NATIONSTAR"/>
    <x v="7"/>
  </r>
  <r>
    <x v="16"/>
    <n v="614927338.54999995"/>
    <s v="CITI"/>
    <x v="8"/>
  </r>
  <r>
    <x v="16"/>
    <n v="591987203.12"/>
    <s v="US BANK"/>
    <x v="9"/>
  </r>
  <r>
    <x v="17"/>
    <n v="6834874504.6000004"/>
    <s v="BANK OF AMERICA"/>
    <x v="0"/>
  </r>
  <r>
    <x v="17"/>
    <n v="5428603347.0299997"/>
    <s v="WELLS FARGO"/>
    <x v="1"/>
  </r>
  <r>
    <x v="17"/>
    <n v="4452423353.6099997"/>
    <s v="CHASE"/>
    <x v="2"/>
  </r>
  <r>
    <x v="17"/>
    <n v="3107028470.5599999"/>
    <s v="CWB"/>
    <x v="3"/>
  </r>
  <r>
    <x v="17"/>
    <n v="1365207284.1600001"/>
    <s v="CITI"/>
    <x v="4"/>
  </r>
  <r>
    <x v="17"/>
    <n v="1227959985.3599999"/>
    <s v="TAYLOR BEAN WHITAKER"/>
    <x v="5"/>
  </r>
  <r>
    <x v="17"/>
    <n v="1214350468.5899999"/>
    <s v="ALLY"/>
    <x v="6"/>
  </r>
  <r>
    <x v="17"/>
    <n v="779603948.83000004"/>
    <s v="FLAGSTAR"/>
    <x v="7"/>
  </r>
  <r>
    <x v="17"/>
    <n v="752162102.57000005"/>
    <s v="PNC"/>
    <x v="8"/>
  </r>
  <r>
    <x v="17"/>
    <n v="670824664.38999999"/>
    <s v="SUNTRUST"/>
    <x v="9"/>
  </r>
  <r>
    <x v="18"/>
    <n v="6822327712.9200001"/>
    <s v="BANK OF AMERICA"/>
    <x v="0"/>
  </r>
  <r>
    <x v="18"/>
    <n v="5337927402.8800001"/>
    <s v="WELLS FARGO"/>
    <x v="1"/>
  </r>
  <r>
    <x v="18"/>
    <n v="3732386096.5500002"/>
    <s v="CHASE"/>
    <x v="2"/>
  </r>
  <r>
    <x v="18"/>
    <n v="3481999997.29"/>
    <s v="CWB"/>
    <x v="3"/>
  </r>
  <r>
    <x v="18"/>
    <n v="1226263728.8199999"/>
    <s v="ALLY"/>
    <x v="4"/>
  </r>
  <r>
    <x v="18"/>
    <n v="1133337594.4000001"/>
    <s v="TAYLOR BEAN WHITAKER"/>
    <x v="5"/>
  </r>
  <r>
    <x v="18"/>
    <n v="834821325.55999994"/>
    <s v="CITI"/>
    <x v="6"/>
  </r>
  <r>
    <x v="18"/>
    <n v="701718957.09000003"/>
    <s v="FLAGSTAR"/>
    <x v="7"/>
  </r>
  <r>
    <x v="18"/>
    <n v="662250677.78999996"/>
    <s v="US BANK"/>
    <x v="8"/>
  </r>
  <r>
    <x v="18"/>
    <n v="646611295.58000004"/>
    <s v="PNC"/>
    <x v="9"/>
  </r>
  <r>
    <x v="19"/>
    <n v="6371064207.1199999"/>
    <s v="WELLS FARGO"/>
    <x v="0"/>
  </r>
  <r>
    <x v="19"/>
    <n v="6044302161.9200001"/>
    <s v="BANK OF AMERICA"/>
    <x v="1"/>
  </r>
  <r>
    <x v="19"/>
    <n v="4575744461.9300003"/>
    <s v="CHASE"/>
    <x v="2"/>
  </r>
  <r>
    <x v="19"/>
    <n v="3306271591.9499998"/>
    <s v="CWB"/>
    <x v="3"/>
  </r>
  <r>
    <x v="19"/>
    <n v="1498948348.21"/>
    <s v="ALLY"/>
    <x v="4"/>
  </r>
  <r>
    <x v="19"/>
    <n v="1168814499.1400001"/>
    <s v="TAYLOR BEAN WHITAKER"/>
    <x v="5"/>
  </r>
  <r>
    <x v="19"/>
    <n v="1163029698.1199999"/>
    <s v="CITI"/>
    <x v="6"/>
  </r>
  <r>
    <x v="19"/>
    <n v="960866535.97000003"/>
    <s v="FLAGSTAR"/>
    <x v="7"/>
  </r>
  <r>
    <x v="19"/>
    <n v="735477127"/>
    <s v="MIDFIRST"/>
    <x v="8"/>
  </r>
  <r>
    <x v="19"/>
    <n v="732294849.95000005"/>
    <s v="FIRST HORIZON HOME LOAN CORPORATION"/>
    <x v="9"/>
  </r>
  <r>
    <x v="20"/>
    <n v="6775744846.46"/>
    <s v="BANK OF AMERICA"/>
    <x v="0"/>
  </r>
  <r>
    <x v="20"/>
    <n v="5340158620.7799997"/>
    <s v="WELLS FARGO"/>
    <x v="1"/>
  </r>
  <r>
    <x v="20"/>
    <n v="3726180638.1199999"/>
    <s v="CHASE"/>
    <x v="2"/>
  </r>
  <r>
    <x v="20"/>
    <n v="3403868589.4099998"/>
    <s v="CWB"/>
    <x v="3"/>
  </r>
  <r>
    <x v="20"/>
    <n v="1334739789.52"/>
    <s v="TAYLOR BEAN WHITAKER"/>
    <x v="4"/>
  </r>
  <r>
    <x v="20"/>
    <n v="1284933326.3"/>
    <s v="ALLY"/>
    <x v="5"/>
  </r>
  <r>
    <x v="20"/>
    <n v="1194798308.22"/>
    <s v="CITI"/>
    <x v="6"/>
  </r>
  <r>
    <x v="20"/>
    <n v="752032690.84000003"/>
    <s v="FLAGSTAR"/>
    <x v="7"/>
  </r>
  <r>
    <x v="20"/>
    <n v="750285787.12"/>
    <s v="US BANK"/>
    <x v="8"/>
  </r>
  <r>
    <x v="20"/>
    <n v="677976668"/>
    <s v="MIDFIRST"/>
    <x v="9"/>
  </r>
  <r>
    <x v="21"/>
    <n v="7764734798.4499998"/>
    <s v="BANK OF AMERICA"/>
    <x v="0"/>
  </r>
  <r>
    <x v="21"/>
    <n v="5446629178.8800001"/>
    <s v="WELLS FARGO"/>
    <x v="1"/>
  </r>
  <r>
    <x v="21"/>
    <n v="3404917043.8200002"/>
    <s v="CWB"/>
    <x v="2"/>
  </r>
  <r>
    <x v="21"/>
    <n v="3199205806.8899999"/>
    <s v="CHASE"/>
    <x v="3"/>
  </r>
  <r>
    <x v="21"/>
    <n v="1647313018.5799999"/>
    <s v="TAYLOR BEAN WHITAKER"/>
    <x v="4"/>
  </r>
  <r>
    <x v="21"/>
    <n v="1516420659.4300001"/>
    <s v="CITI"/>
    <x v="5"/>
  </r>
  <r>
    <x v="21"/>
    <n v="1194782493.28"/>
    <s v="ALLY"/>
    <x v="6"/>
  </r>
  <r>
    <x v="21"/>
    <n v="1110079535.5699999"/>
    <s v="FLAGSTAR"/>
    <x v="7"/>
  </r>
  <r>
    <x v="21"/>
    <n v="916913157"/>
    <s v="MIDFIRST"/>
    <x v="8"/>
  </r>
  <r>
    <x v="21"/>
    <n v="879956987.40999997"/>
    <s v="US BANK"/>
    <x v="9"/>
  </r>
  <r>
    <x v="22"/>
    <n v="6885955341.3299999"/>
    <s v="WELLS FARGO"/>
    <x v="0"/>
  </r>
  <r>
    <x v="22"/>
    <n v="6054298249.8100004"/>
    <s v="BANK OF AMERICA"/>
    <x v="1"/>
  </r>
  <r>
    <x v="22"/>
    <n v="3302691170.6199999"/>
    <s v="CHASE"/>
    <x v="2"/>
  </r>
  <r>
    <x v="22"/>
    <n v="2531423978.4400001"/>
    <s v="CWB"/>
    <x v="3"/>
  </r>
  <r>
    <x v="22"/>
    <n v="1165505542.54"/>
    <s v="TAYLOR BEAN WHITAKER"/>
    <x v="4"/>
  </r>
  <r>
    <x v="22"/>
    <n v="1076757393.6300001"/>
    <s v="CITI"/>
    <x v="5"/>
  </r>
  <r>
    <x v="22"/>
    <n v="1033438340.9299999"/>
    <s v="ALLY"/>
    <x v="6"/>
  </r>
  <r>
    <x v="22"/>
    <n v="895810315.16999996"/>
    <s v="US BANK"/>
    <x v="7"/>
  </r>
  <r>
    <x v="22"/>
    <n v="790297152"/>
    <s v="MIDFIRST"/>
    <x v="8"/>
  </r>
  <r>
    <x v="22"/>
    <n v="761157671.05999994"/>
    <s v="SUNTRUST"/>
    <x v="9"/>
  </r>
  <r>
    <x v="23"/>
    <n v="6077494849.25"/>
    <s v="WELLS FARGO"/>
    <x v="0"/>
  </r>
  <r>
    <x v="23"/>
    <n v="4515954434.1499996"/>
    <s v="CHASE"/>
    <x v="1"/>
  </r>
  <r>
    <x v="23"/>
    <n v="3525985223.3000002"/>
    <s v="BANK OF AMERICA"/>
    <x v="2"/>
  </r>
  <r>
    <x v="23"/>
    <n v="1769490401.8699999"/>
    <s v="CWB"/>
    <x v="3"/>
  </r>
  <r>
    <x v="23"/>
    <n v="1137306746.9100001"/>
    <s v="ALLY"/>
    <x v="4"/>
  </r>
  <r>
    <x v="23"/>
    <n v="1076432546.29"/>
    <s v="US BANK"/>
    <x v="5"/>
  </r>
  <r>
    <x v="23"/>
    <n v="992898883.14999998"/>
    <s v="TAYLOR BEAN WHITAKER"/>
    <x v="6"/>
  </r>
  <r>
    <x v="23"/>
    <n v="647947092.61000001"/>
    <s v="CITI"/>
    <x v="7"/>
  </r>
  <r>
    <x v="23"/>
    <n v="628857688.45000005"/>
    <s v="SUNTRUST"/>
    <x v="8"/>
  </r>
  <r>
    <x v="23"/>
    <n v="593692213"/>
    <s v="MIDFIRST"/>
    <x v="9"/>
  </r>
  <r>
    <x v="24"/>
    <n v="7661923102.8999996"/>
    <s v="BANK OF AMERICA"/>
    <x v="0"/>
  </r>
  <r>
    <x v="24"/>
    <n v="5329288411.1099997"/>
    <s v="WELLS FARGO"/>
    <x v="1"/>
  </r>
  <r>
    <x v="24"/>
    <n v="3559349638.54"/>
    <s v="CHASE"/>
    <x v="2"/>
  </r>
  <r>
    <x v="24"/>
    <n v="2926117508.6799998"/>
    <s v="CWB"/>
    <x v="3"/>
  </r>
  <r>
    <x v="24"/>
    <n v="1270922044"/>
    <s v="NATIONSTAR"/>
    <x v="4"/>
  </r>
  <r>
    <x v="24"/>
    <n v="1250582494.02"/>
    <s v="TAYLOR BEAN WHITAKER"/>
    <x v="5"/>
  </r>
  <r>
    <x v="24"/>
    <n v="786228931.70000005"/>
    <s v="FLAGSTAR"/>
    <x v="6"/>
  </r>
  <r>
    <x v="24"/>
    <n v="785758033.70000005"/>
    <s v="PNC"/>
    <x v="7"/>
  </r>
  <r>
    <x v="24"/>
    <n v="733986679.58000004"/>
    <s v="US BANK"/>
    <x v="8"/>
  </r>
  <r>
    <x v="24"/>
    <n v="710288083.15999997"/>
    <s v="ALLY"/>
    <x v="9"/>
  </r>
  <r>
    <x v="25"/>
    <n v="7456714182.4200001"/>
    <s v="WELLS FARGO"/>
    <x v="0"/>
  </r>
  <r>
    <x v="25"/>
    <n v="6945836066.8100004"/>
    <s v="BANK OF AMERICA"/>
    <x v="1"/>
  </r>
  <r>
    <x v="25"/>
    <n v="3045112523.0799999"/>
    <s v="CHASE"/>
    <x v="2"/>
  </r>
  <r>
    <x v="25"/>
    <n v="1725419126.0899999"/>
    <s v="CITI"/>
    <x v="3"/>
  </r>
  <r>
    <x v="25"/>
    <n v="1126425662.5999999"/>
    <s v="TAYLOR BEAN WHITAKER"/>
    <x v="4"/>
  </r>
  <r>
    <x v="25"/>
    <n v="1036033162.27"/>
    <s v="ALLY"/>
    <x v="5"/>
  </r>
  <r>
    <x v="25"/>
    <n v="972865493.75"/>
    <s v="US BANK"/>
    <x v="6"/>
  </r>
  <r>
    <x v="25"/>
    <n v="952538993.27999997"/>
    <s v="FLAGSTAR"/>
    <x v="7"/>
  </r>
  <r>
    <x v="25"/>
    <n v="722946586"/>
    <s v="PNC"/>
    <x v="8"/>
  </r>
  <r>
    <x v="25"/>
    <n v="617135005.92999995"/>
    <s v="SUNTRUST"/>
    <x v="9"/>
  </r>
  <r>
    <x v="26"/>
    <n v="9840119923.4899998"/>
    <s v="BANK OF AMERICA"/>
    <x v="0"/>
  </r>
  <r>
    <x v="26"/>
    <n v="9171903853.8999996"/>
    <s v="WELLS FARGO"/>
    <x v="1"/>
  </r>
  <r>
    <x v="26"/>
    <n v="4011374777.8200002"/>
    <s v="CHASE"/>
    <x v="2"/>
  </r>
  <r>
    <x v="26"/>
    <n v="2753477519.96"/>
    <s v="CITI"/>
    <x v="3"/>
  </r>
  <r>
    <x v="26"/>
    <n v="1435635466.8299999"/>
    <s v="ALLY"/>
    <x v="4"/>
  </r>
  <r>
    <x v="26"/>
    <n v="1073284536.02"/>
    <s v="TAYLOR BEAN WHITAKER"/>
    <x v="5"/>
  </r>
  <r>
    <x v="26"/>
    <n v="1009418750.71"/>
    <s v="US BANK"/>
    <x v="6"/>
  </r>
  <r>
    <x v="26"/>
    <n v="905034160.61000001"/>
    <s v="FLAGSTAR"/>
    <x v="7"/>
  </r>
  <r>
    <x v="26"/>
    <n v="701533269.99000001"/>
    <s v="PNC"/>
    <x v="8"/>
  </r>
  <r>
    <x v="26"/>
    <n v="397724830.38999999"/>
    <s v="SUNTRUST"/>
    <x v="9"/>
  </r>
  <r>
    <x v="27"/>
    <n v="10904817516.51"/>
    <s v="BANK OF AMERICA"/>
    <x v="0"/>
  </r>
  <r>
    <x v="27"/>
    <n v="8231869956.6099997"/>
    <s v="WELLS FARGO"/>
    <x v="1"/>
  </r>
  <r>
    <x v="27"/>
    <n v="3390079181.54"/>
    <s v="CHASE"/>
    <x v="2"/>
  </r>
  <r>
    <x v="27"/>
    <n v="2789020064.4099998"/>
    <s v="ALLY"/>
    <x v="3"/>
  </r>
  <r>
    <x v="27"/>
    <n v="1497960105.8199999"/>
    <s v="TAYLOR BEAN WHITAKER"/>
    <x v="4"/>
  </r>
  <r>
    <x v="27"/>
    <n v="1168438734.6300001"/>
    <s v="CITI"/>
    <x v="5"/>
  </r>
  <r>
    <x v="27"/>
    <n v="1108205576.6400001"/>
    <s v="FLAGSTAR"/>
    <x v="6"/>
  </r>
  <r>
    <x v="27"/>
    <n v="761589073.5"/>
    <s v="PNC"/>
    <x v="7"/>
  </r>
  <r>
    <x v="27"/>
    <n v="693189857.25"/>
    <s v="US BANK"/>
    <x v="8"/>
  </r>
  <r>
    <x v="27"/>
    <n v="547663730"/>
    <s v="PRUDENTIAL HUNTOON PAIGE ASSOCIATES, LTD"/>
    <x v="9"/>
  </r>
  <r>
    <x v="28"/>
    <n v="10840958471.42"/>
    <s v="BANK OF AMERICA"/>
    <x v="0"/>
  </r>
  <r>
    <x v="28"/>
    <n v="10201806008.49"/>
    <s v="WELLS FARGO"/>
    <x v="1"/>
  </r>
  <r>
    <x v="28"/>
    <n v="3319862124.77"/>
    <s v="CHASE"/>
    <x v="2"/>
  </r>
  <r>
    <x v="28"/>
    <n v="2286882416.7199998"/>
    <s v="ALLY"/>
    <x v="3"/>
  </r>
  <r>
    <x v="28"/>
    <n v="1679335900.29"/>
    <s v="CITI"/>
    <x v="4"/>
  </r>
  <r>
    <x v="28"/>
    <n v="1379630616.9000001"/>
    <s v="TAYLOR BEAN WHITAKER"/>
    <x v="5"/>
  </r>
  <r>
    <x v="28"/>
    <n v="1003560926.35"/>
    <s v="US BANK"/>
    <x v="6"/>
  </r>
  <r>
    <x v="28"/>
    <n v="911945310.42999995"/>
    <s v="FLAGSTAR"/>
    <x v="7"/>
  </r>
  <r>
    <x v="28"/>
    <n v="766537825"/>
    <s v="NATIONSTAR"/>
    <x v="8"/>
  </r>
  <r>
    <x v="28"/>
    <n v="763827714.04999995"/>
    <s v="PNC"/>
    <x v="9"/>
  </r>
  <r>
    <x v="29"/>
    <n v="12232694325.1"/>
    <s v="BANK OF AMERICA"/>
    <x v="0"/>
  </r>
  <r>
    <x v="29"/>
    <n v="11354294966.4"/>
    <s v="WELLS FARGO"/>
    <x v="1"/>
  </r>
  <r>
    <x v="29"/>
    <n v="3830445787.1700001"/>
    <s v="CHASE"/>
    <x v="2"/>
  </r>
  <r>
    <x v="29"/>
    <n v="2783177351.5599999"/>
    <s v="ALLY"/>
    <x v="3"/>
  </r>
  <r>
    <x v="29"/>
    <n v="2403543415.1700001"/>
    <s v="CITI"/>
    <x v="4"/>
  </r>
  <r>
    <x v="29"/>
    <n v="1478806984.6600001"/>
    <s v="TAYLOR BEAN WHITAKER"/>
    <x v="5"/>
  </r>
  <r>
    <x v="29"/>
    <n v="1235742158.22"/>
    <s v="US BANK"/>
    <x v="6"/>
  </r>
  <r>
    <x v="29"/>
    <n v="970165322.98000002"/>
    <s v="FLAGSTAR"/>
    <x v="7"/>
  </r>
  <r>
    <x v="29"/>
    <n v="924990104.25999999"/>
    <s v="PNC"/>
    <x v="8"/>
  </r>
  <r>
    <x v="29"/>
    <n v="655090446.74000001"/>
    <s v="SUNTRUST"/>
    <x v="9"/>
  </r>
  <r>
    <x v="30"/>
    <n v="14499431718.969999"/>
    <s v="BANK OF AMERICA"/>
    <x v="0"/>
  </r>
  <r>
    <x v="30"/>
    <n v="11214465320.32"/>
    <s v="WELLS FARGO"/>
    <x v="1"/>
  </r>
  <r>
    <x v="30"/>
    <n v="4283127941.4499998"/>
    <s v="CHASE"/>
    <x v="2"/>
  </r>
  <r>
    <x v="30"/>
    <n v="2359737703.02"/>
    <s v="ALLY"/>
    <x v="3"/>
  </r>
  <r>
    <x v="30"/>
    <n v="1686850981.6199999"/>
    <s v="CITI"/>
    <x v="4"/>
  </r>
  <r>
    <x v="30"/>
    <n v="1380151289.53"/>
    <s v="TAYLOR BEAN WHITAKER"/>
    <x v="5"/>
  </r>
  <r>
    <x v="30"/>
    <n v="1033649015.61"/>
    <s v="US BANK"/>
    <x v="6"/>
  </r>
  <r>
    <x v="30"/>
    <n v="902247705.23000002"/>
    <s v="FLAGSTAR"/>
    <x v="7"/>
  </r>
  <r>
    <x v="30"/>
    <n v="828096252.44000006"/>
    <s v="PNC"/>
    <x v="8"/>
  </r>
  <r>
    <x v="30"/>
    <n v="756892867"/>
    <s v="NATIONSTAR"/>
    <x v="9"/>
  </r>
  <r>
    <x v="31"/>
    <n v="11769183271.27"/>
    <s v="BANK OF AMERICA"/>
    <x v="0"/>
  </r>
  <r>
    <x v="31"/>
    <n v="11376824458.200001"/>
    <s v="WELLS FARGO"/>
    <x v="1"/>
  </r>
  <r>
    <x v="31"/>
    <n v="4488136042.5"/>
    <s v="CHASE"/>
    <x v="2"/>
  </r>
  <r>
    <x v="31"/>
    <n v="3058613090.6999998"/>
    <s v="NATIONSTAR"/>
    <x v="3"/>
  </r>
  <r>
    <x v="31"/>
    <n v="2035185478.0899999"/>
    <s v="ALLY"/>
    <x v="4"/>
  </r>
  <r>
    <x v="31"/>
    <n v="1254264532.1900001"/>
    <s v="US BANK"/>
    <x v="5"/>
  </r>
  <r>
    <x v="31"/>
    <n v="1041546480.64"/>
    <s v="CITI"/>
    <x v="6"/>
  </r>
  <r>
    <x v="31"/>
    <n v="817916670.22000003"/>
    <s v="SUNTRUST"/>
    <x v="7"/>
  </r>
  <r>
    <x v="31"/>
    <n v="803887389.88999999"/>
    <s v="FLAGSTAR"/>
    <x v="8"/>
  </r>
  <r>
    <x v="31"/>
    <n v="721037656.89999998"/>
    <s v="PHH"/>
    <x v="9"/>
  </r>
  <r>
    <x v="32"/>
    <n v="10548837061.57"/>
    <s v="BANK OF AMERICA"/>
    <x v="0"/>
  </r>
  <r>
    <x v="32"/>
    <n v="10011305878.389999"/>
    <s v="WELLS FARGO"/>
    <x v="1"/>
  </r>
  <r>
    <x v="32"/>
    <n v="4333414325.4399996"/>
    <s v="CHASE"/>
    <x v="2"/>
  </r>
  <r>
    <x v="32"/>
    <n v="2395749865.0999999"/>
    <s v="NATIONSTAR"/>
    <x v="3"/>
  </r>
  <r>
    <x v="32"/>
    <n v="2116813557.22"/>
    <s v="ALLY"/>
    <x v="4"/>
  </r>
  <r>
    <x v="32"/>
    <n v="1348060871.71"/>
    <s v="US BANK"/>
    <x v="5"/>
  </r>
  <r>
    <x v="32"/>
    <n v="874812512.83000004"/>
    <s v="CITI"/>
    <x v="6"/>
  </r>
  <r>
    <x v="32"/>
    <n v="854925690.01999998"/>
    <s v="FLAGSTAR"/>
    <x v="7"/>
  </r>
  <r>
    <x v="32"/>
    <n v="751260534.66999996"/>
    <s v="SUNTRUST"/>
    <x v="8"/>
  </r>
  <r>
    <x v="32"/>
    <n v="733069764.32000005"/>
    <s v="FIFTH THIRD"/>
    <x v="9"/>
  </r>
  <r>
    <x v="33"/>
    <n v="11250233115.889999"/>
    <s v="BANK OF AMERICA"/>
    <x v="0"/>
  </r>
  <r>
    <x v="33"/>
    <n v="9900655361.5599995"/>
    <s v="WELLS FARGO"/>
    <x v="1"/>
  </r>
  <r>
    <x v="33"/>
    <n v="3493083347.9400001"/>
    <s v="CHASE"/>
    <x v="2"/>
  </r>
  <r>
    <x v="33"/>
    <n v="1914730168.24"/>
    <s v="ALLY"/>
    <x v="3"/>
  </r>
  <r>
    <x v="33"/>
    <n v="1651303660.51"/>
    <s v="US BANK"/>
    <x v="4"/>
  </r>
  <r>
    <x v="33"/>
    <n v="1073313561.91"/>
    <s v="NATIONSTAR"/>
    <x v="5"/>
  </r>
  <r>
    <x v="33"/>
    <n v="649265034.55999994"/>
    <s v="FLAGSTAR"/>
    <x v="6"/>
  </r>
  <r>
    <x v="33"/>
    <n v="541185999.19000006"/>
    <s v="SUNTRUST"/>
    <x v="7"/>
  </r>
  <r>
    <x v="33"/>
    <n v="540630578.84000003"/>
    <s v="PHH"/>
    <x v="8"/>
  </r>
  <r>
    <x v="33"/>
    <n v="497192991.48000002"/>
    <s v="CITI"/>
    <x v="9"/>
  </r>
  <r>
    <x v="34"/>
    <n v="10156126817.549999"/>
    <s v="WELLS FARGO"/>
    <x v="0"/>
  </r>
  <r>
    <x v="34"/>
    <n v="7903283970.2799997"/>
    <s v="BANK OF AMERICA"/>
    <x v="1"/>
  </r>
  <r>
    <x v="34"/>
    <n v="4229127390.04"/>
    <s v="CHASE"/>
    <x v="2"/>
  </r>
  <r>
    <x v="34"/>
    <n v="1894766427.04"/>
    <s v="ALLY"/>
    <x v="3"/>
  </r>
  <r>
    <x v="34"/>
    <n v="1045591310.78"/>
    <s v="NATIONSTAR"/>
    <x v="4"/>
  </r>
  <r>
    <x v="34"/>
    <n v="929481277.40999997"/>
    <s v="US BANK"/>
    <x v="5"/>
  </r>
  <r>
    <x v="34"/>
    <n v="803071891.69000006"/>
    <s v="FLAGSTAR"/>
    <x v="6"/>
  </r>
  <r>
    <x v="34"/>
    <n v="666855634.77999997"/>
    <s v="PHH"/>
    <x v="7"/>
  </r>
  <r>
    <x v="34"/>
    <n v="622357981.45000005"/>
    <s v="SUNTRUST"/>
    <x v="8"/>
  </r>
  <r>
    <x v="34"/>
    <n v="528843992.80000001"/>
    <s v="FIFTH THIRD"/>
    <x v="9"/>
  </r>
  <r>
    <x v="35"/>
    <n v="11821319577.99"/>
    <s v="BANK OF AMERICA"/>
    <x v="0"/>
  </r>
  <r>
    <x v="35"/>
    <n v="11106775406.790001"/>
    <s v="WELLS FARGO"/>
    <x v="1"/>
  </r>
  <r>
    <x v="35"/>
    <n v="5159207722.5799999"/>
    <s v="CHASE"/>
    <x v="2"/>
  </r>
  <r>
    <x v="35"/>
    <n v="1724937315.96"/>
    <s v="ALLY"/>
    <x v="3"/>
  </r>
  <r>
    <x v="35"/>
    <n v="1026853728.71"/>
    <s v="US BANK"/>
    <x v="4"/>
  </r>
  <r>
    <x v="35"/>
    <n v="950970204"/>
    <s v="NATIONSTAR"/>
    <x v="5"/>
  </r>
  <r>
    <x v="35"/>
    <n v="945095393.87"/>
    <s v="PHH"/>
    <x v="6"/>
  </r>
  <r>
    <x v="35"/>
    <n v="813656142.58000004"/>
    <s v="FLAGSTAR"/>
    <x v="7"/>
  </r>
  <r>
    <x v="35"/>
    <n v="492584166.88999999"/>
    <s v="SUNTRUST"/>
    <x v="8"/>
  </r>
  <r>
    <x v="35"/>
    <n v="482745861.82999998"/>
    <s v="FIFTH THIRD"/>
    <x v="9"/>
  </r>
  <r>
    <x v="36"/>
    <n v="13534574647.27"/>
    <s v="BANK OF AMERICA"/>
    <x v="0"/>
  </r>
  <r>
    <x v="36"/>
    <n v="8891094099.8700008"/>
    <s v="WELLS FARGO"/>
    <x v="1"/>
  </r>
  <r>
    <x v="36"/>
    <n v="3640382716.3200002"/>
    <s v="CHASE"/>
    <x v="2"/>
  </r>
  <r>
    <x v="36"/>
    <n v="1778566471.8900001"/>
    <s v="ALLY"/>
    <x v="3"/>
  </r>
  <r>
    <x v="36"/>
    <n v="964970902.62"/>
    <s v="US BANK"/>
    <x v="4"/>
  </r>
  <r>
    <x v="36"/>
    <n v="702577792.37"/>
    <s v="PHH"/>
    <x v="5"/>
  </r>
  <r>
    <x v="36"/>
    <n v="588382633.11000001"/>
    <s v="FLAGSTAR"/>
    <x v="6"/>
  </r>
  <r>
    <x v="36"/>
    <n v="429883284.86000001"/>
    <s v="SUNTRUST"/>
    <x v="7"/>
  </r>
  <r>
    <x v="36"/>
    <n v="412856334.39999998"/>
    <s v="FREEDOM"/>
    <x v="8"/>
  </r>
  <r>
    <x v="36"/>
    <n v="408816313.87"/>
    <s v="NATIONSTAR"/>
    <x v="9"/>
  </r>
  <r>
    <x v="37"/>
    <n v="9571877686.3199997"/>
    <s v="BANK OF AMERICA"/>
    <x v="0"/>
  </r>
  <r>
    <x v="37"/>
    <n v="7009957861.2600002"/>
    <s v="WELLS FARGO"/>
    <x v="1"/>
  </r>
  <r>
    <x v="37"/>
    <n v="2986366988.96"/>
    <s v="CHASE"/>
    <x v="2"/>
  </r>
  <r>
    <x v="37"/>
    <n v="1171995949.4100001"/>
    <s v="ALLY"/>
    <x v="3"/>
  </r>
  <r>
    <x v="37"/>
    <n v="813969517.63999999"/>
    <s v="US BANK"/>
    <x v="4"/>
  </r>
  <r>
    <x v="37"/>
    <n v="575085100.59000003"/>
    <s v="PHH"/>
    <x v="5"/>
  </r>
  <r>
    <x v="37"/>
    <n v="542856482.74000001"/>
    <s v="NATIONSTAR"/>
    <x v="6"/>
  </r>
  <r>
    <x v="37"/>
    <n v="391151365.38999999"/>
    <s v="FLAGSTAR"/>
    <x v="7"/>
  </r>
  <r>
    <x v="37"/>
    <n v="360317722.80000001"/>
    <s v="CITI"/>
    <x v="8"/>
  </r>
  <r>
    <x v="37"/>
    <n v="274282407.67000002"/>
    <s v="SUNTRUST"/>
    <x v="9"/>
  </r>
  <r>
    <x v="38"/>
    <n v="6596684007.1000004"/>
    <s v="WELLS FARGO"/>
    <x v="0"/>
  </r>
  <r>
    <x v="38"/>
    <n v="6472069307.6199999"/>
    <s v="BANK OF AMERICA"/>
    <x v="1"/>
  </r>
  <r>
    <x v="38"/>
    <n v="2453444911.8800001"/>
    <s v="CHASE"/>
    <x v="2"/>
  </r>
  <r>
    <x v="38"/>
    <n v="604639181.76999998"/>
    <s v="ALLY"/>
    <x v="3"/>
  </r>
  <r>
    <x v="38"/>
    <n v="592274701.75"/>
    <s v="US BANK"/>
    <x v="4"/>
  </r>
  <r>
    <x v="38"/>
    <n v="554730453.46000004"/>
    <s v="PHH"/>
    <x v="5"/>
  </r>
  <r>
    <x v="38"/>
    <n v="365559027.10000002"/>
    <s v="NATIONSTAR"/>
    <x v="6"/>
  </r>
  <r>
    <x v="38"/>
    <n v="356937103.83999997"/>
    <s v="CITI"/>
    <x v="7"/>
  </r>
  <r>
    <x v="38"/>
    <n v="272498723.47000003"/>
    <s v="BB&amp;T"/>
    <x v="8"/>
  </r>
  <r>
    <x v="38"/>
    <n v="267595157.28"/>
    <s v="FLAGSTAR"/>
    <x v="9"/>
  </r>
  <r>
    <x v="39"/>
    <n v="11766642358.6"/>
    <s v="BANK OF AMERICA"/>
    <x v="0"/>
  </r>
  <r>
    <x v="39"/>
    <n v="8290793092.5900002"/>
    <s v="WELLS FARGO"/>
    <x v="1"/>
  </r>
  <r>
    <x v="39"/>
    <n v="3139007348.25"/>
    <s v="CHASE"/>
    <x v="2"/>
  </r>
  <r>
    <x v="39"/>
    <n v="815687726.90999997"/>
    <s v="US BANK"/>
    <x v="3"/>
  </r>
  <r>
    <x v="39"/>
    <n v="753772264.26999998"/>
    <s v="PHH"/>
    <x v="4"/>
  </r>
  <r>
    <x v="39"/>
    <n v="748345371.95000005"/>
    <s v="ALLY"/>
    <x v="5"/>
  </r>
  <r>
    <x v="39"/>
    <n v="376997317.48000002"/>
    <s v="NATIONSTAR"/>
    <x v="6"/>
  </r>
  <r>
    <x v="39"/>
    <n v="336742035.24000001"/>
    <s v="SUNTRUST"/>
    <x v="7"/>
  </r>
  <r>
    <x v="39"/>
    <n v="323795989.54000002"/>
    <s v="PNC"/>
    <x v="8"/>
  </r>
  <r>
    <x v="39"/>
    <n v="298576656.37"/>
    <s v="BB&amp;T"/>
    <x v="9"/>
  </r>
  <r>
    <x v="40"/>
    <n v="11166499668.83"/>
    <s v="BANK OF AMERICA"/>
    <x v="0"/>
  </r>
  <r>
    <x v="40"/>
    <n v="9302544959.0599995"/>
    <s v="WELLS FARGO"/>
    <x v="1"/>
  </r>
  <r>
    <x v="40"/>
    <n v="3428287759.0599999"/>
    <s v="CHASE"/>
    <x v="2"/>
  </r>
  <r>
    <x v="40"/>
    <n v="969831152.08000004"/>
    <s v="ALLY"/>
    <x v="3"/>
  </r>
  <r>
    <x v="40"/>
    <n v="891452113.00999999"/>
    <s v="US BANK"/>
    <x v="4"/>
  </r>
  <r>
    <x v="40"/>
    <n v="882152691.83000004"/>
    <s v="PHH"/>
    <x v="5"/>
  </r>
  <r>
    <x v="40"/>
    <n v="372565627.99000001"/>
    <s v="SUNTRUST"/>
    <x v="6"/>
  </r>
  <r>
    <x v="40"/>
    <n v="365974002.43000001"/>
    <s v="BB&amp;T"/>
    <x v="7"/>
  </r>
  <r>
    <x v="40"/>
    <n v="310279725.27999997"/>
    <s v="NATIONSTAR"/>
    <x v="8"/>
  </r>
  <r>
    <x v="40"/>
    <n v="296704697.94"/>
    <s v="PNC"/>
    <x v="9"/>
  </r>
  <r>
    <x v="41"/>
    <n v="10245994592.219999"/>
    <s v="BANK OF AMERICA"/>
    <x v="0"/>
  </r>
  <r>
    <x v="41"/>
    <n v="9498319404.9200001"/>
    <s v="WELLS FARGO"/>
    <x v="1"/>
  </r>
  <r>
    <x v="41"/>
    <n v="3497307421.0799999"/>
    <s v="CHASE"/>
    <x v="2"/>
  </r>
  <r>
    <x v="41"/>
    <n v="1347140443.1199999"/>
    <s v="ALLY"/>
    <x v="3"/>
  </r>
  <r>
    <x v="41"/>
    <n v="1138166493.54"/>
    <s v="US BANK"/>
    <x v="4"/>
  </r>
  <r>
    <x v="41"/>
    <n v="814127661.30999994"/>
    <s v="PHH"/>
    <x v="5"/>
  </r>
  <r>
    <x v="41"/>
    <n v="420459196.05000001"/>
    <s v="NATIONSTAR"/>
    <x v="6"/>
  </r>
  <r>
    <x v="41"/>
    <n v="371789062.98000002"/>
    <s v="SUNTRUST"/>
    <x v="7"/>
  </r>
  <r>
    <x v="41"/>
    <n v="343441962.49000001"/>
    <s v="BB&amp;T"/>
    <x v="8"/>
  </r>
  <r>
    <x v="41"/>
    <n v="322044367.27999997"/>
    <s v="PNC"/>
    <x v="9"/>
  </r>
  <r>
    <x v="42"/>
    <n v="11078139845.860001"/>
    <s v="WELLS FARGO"/>
    <x v="0"/>
  </r>
  <r>
    <x v="42"/>
    <n v="10783429242.02"/>
    <s v="BANK OF AMERICA"/>
    <x v="1"/>
  </r>
  <r>
    <x v="42"/>
    <n v="2800939976.8000002"/>
    <s v="CHASE"/>
    <x v="2"/>
  </r>
  <r>
    <x v="42"/>
    <n v="1362875318.2"/>
    <s v="ALLY"/>
    <x v="3"/>
  </r>
  <r>
    <x v="42"/>
    <n v="1239448895.73"/>
    <s v="US BANK"/>
    <x v="4"/>
  </r>
  <r>
    <x v="42"/>
    <n v="752974986.41999996"/>
    <s v="PHH"/>
    <x v="5"/>
  </r>
  <r>
    <x v="42"/>
    <n v="447512787.55000001"/>
    <s v="NATIONSTAR"/>
    <x v="6"/>
  </r>
  <r>
    <x v="42"/>
    <n v="332101067.66000003"/>
    <s v="FLAGSTAR"/>
    <x v="7"/>
  </r>
  <r>
    <x v="42"/>
    <n v="329344468.70999998"/>
    <s v="METLIFE"/>
    <x v="8"/>
  </r>
  <r>
    <x v="42"/>
    <n v="322707499.31999999"/>
    <s v="SUNTRUST"/>
    <x v="9"/>
  </r>
  <r>
    <x v="43"/>
    <n v="10171561922.290001"/>
    <s v="BANK OF AMERICA"/>
    <x v="0"/>
  </r>
  <r>
    <x v="43"/>
    <n v="9550338694.2700005"/>
    <s v="WELLS FARGO"/>
    <x v="1"/>
  </r>
  <r>
    <x v="43"/>
    <n v="2570331926.04"/>
    <s v="CHASE"/>
    <x v="2"/>
  </r>
  <r>
    <x v="43"/>
    <n v="1455539996.6099999"/>
    <s v="ALLY"/>
    <x v="3"/>
  </r>
  <r>
    <x v="43"/>
    <n v="1349432870.1500001"/>
    <s v="US BANK"/>
    <x v="4"/>
  </r>
  <r>
    <x v="43"/>
    <n v="655199068.88999999"/>
    <s v="PHH"/>
    <x v="5"/>
  </r>
  <r>
    <x v="43"/>
    <n v="470472734.94"/>
    <s v="FLAGSTAR"/>
    <x v="6"/>
  </r>
  <r>
    <x v="43"/>
    <n v="439047096.98000002"/>
    <s v="SUNTRUST"/>
    <x v="7"/>
  </r>
  <r>
    <x v="43"/>
    <n v="420823599.52999997"/>
    <s v="NATIONSTAR"/>
    <x v="8"/>
  </r>
  <r>
    <x v="43"/>
    <n v="304547440.54000002"/>
    <s v="CITI"/>
    <x v="9"/>
  </r>
  <r>
    <x v="44"/>
    <n v="10352868746.57"/>
    <s v="WELLS FARGO"/>
    <x v="0"/>
  </r>
  <r>
    <x v="44"/>
    <n v="8958109334.6299992"/>
    <s v="BANK OF AMERICA"/>
    <x v="1"/>
  </r>
  <r>
    <x v="44"/>
    <n v="2647347440.21"/>
    <s v="CHASE"/>
    <x v="2"/>
  </r>
  <r>
    <x v="44"/>
    <n v="1637896727.54"/>
    <s v="ALLY"/>
    <x v="3"/>
  </r>
  <r>
    <x v="44"/>
    <n v="1265660155.29"/>
    <s v="US BANK"/>
    <x v="4"/>
  </r>
  <r>
    <x v="44"/>
    <n v="925920041.42999995"/>
    <s v="PHH"/>
    <x v="5"/>
  </r>
  <r>
    <x v="44"/>
    <n v="866695910.67999995"/>
    <s v="FLAGSTAR"/>
    <x v="6"/>
  </r>
  <r>
    <x v="44"/>
    <n v="346572111.54000002"/>
    <s v="SUNTRUST"/>
    <x v="7"/>
  </r>
  <r>
    <x v="44"/>
    <n v="338350374.83999997"/>
    <s v="CITI"/>
    <x v="8"/>
  </r>
  <r>
    <x v="44"/>
    <n v="303834401.94"/>
    <s v="FIFTH THIRD"/>
    <x v="9"/>
  </r>
  <r>
    <x v="45"/>
    <n v="9784331441.9799995"/>
    <s v="BANK OF AMERICA"/>
    <x v="0"/>
  </r>
  <r>
    <x v="45"/>
    <n v="9694766233.9400005"/>
    <s v="WELLS FARGO"/>
    <x v="1"/>
  </r>
  <r>
    <x v="45"/>
    <n v="1978334271.0999999"/>
    <s v="CHASE"/>
    <x v="2"/>
  </r>
  <r>
    <x v="45"/>
    <n v="1500074508.27"/>
    <s v="CITI"/>
    <x v="3"/>
  </r>
  <r>
    <x v="45"/>
    <n v="1433374628.02"/>
    <s v="US BANK"/>
    <x v="4"/>
  </r>
  <r>
    <x v="45"/>
    <n v="1294824250.4200001"/>
    <s v="ALLY"/>
    <x v="5"/>
  </r>
  <r>
    <x v="45"/>
    <n v="1050556462.1900001"/>
    <s v="PHH"/>
    <x v="6"/>
  </r>
  <r>
    <x v="45"/>
    <n v="335872685.36000001"/>
    <s v="NATIONSTAR"/>
    <x v="7"/>
  </r>
  <r>
    <x v="45"/>
    <n v="331443465.35000002"/>
    <s v="METLIFE"/>
    <x v="8"/>
  </r>
  <r>
    <x v="45"/>
    <n v="322974816.99000001"/>
    <s v="DBA FREEDOM HOME MORTGAGE CORP"/>
    <x v="9"/>
  </r>
  <r>
    <x v="46"/>
    <n v="9449755251.1200008"/>
    <s v="BANK OF AMERICA"/>
    <x v="0"/>
  </r>
  <r>
    <x v="46"/>
    <n v="9426168566.3199997"/>
    <s v="WELLS FARGO"/>
    <x v="1"/>
  </r>
  <r>
    <x v="46"/>
    <n v="1979944390.26"/>
    <s v="CHASE"/>
    <x v="2"/>
  </r>
  <r>
    <x v="46"/>
    <n v="1631053384.3"/>
    <s v="PHH"/>
    <x v="3"/>
  </r>
  <r>
    <x v="46"/>
    <n v="1148313338.1700001"/>
    <s v="US BANK"/>
    <x v="4"/>
  </r>
  <r>
    <x v="46"/>
    <n v="983765087.01999998"/>
    <s v="ALLY"/>
    <x v="5"/>
  </r>
  <r>
    <x v="46"/>
    <n v="824298715.08000004"/>
    <s v="FLAGSTAR"/>
    <x v="6"/>
  </r>
  <r>
    <x v="46"/>
    <n v="502715959.76999998"/>
    <s v="METLIFE"/>
    <x v="7"/>
  </r>
  <r>
    <x v="46"/>
    <n v="477716620.51999998"/>
    <s v="CITI"/>
    <x v="8"/>
  </r>
  <r>
    <x v="46"/>
    <n v="360386207.33999997"/>
    <s v="DBA FREEDOM HOME MORTGAGE CORP"/>
    <x v="9"/>
  </r>
  <r>
    <x v="47"/>
    <n v="11196638571.49"/>
    <s v="WELLS FARGO"/>
    <x v="0"/>
  </r>
  <r>
    <x v="47"/>
    <n v="7361046437.6000004"/>
    <s v="BANK OF AMERICA"/>
    <x v="1"/>
  </r>
  <r>
    <x v="47"/>
    <n v="2306715354.8200002"/>
    <s v="CHASE"/>
    <x v="2"/>
  </r>
  <r>
    <x v="47"/>
    <n v="1286757113.47"/>
    <s v="US BANK"/>
    <x v="3"/>
  </r>
  <r>
    <x v="47"/>
    <n v="1125922984.8900001"/>
    <s v="PHH"/>
    <x v="4"/>
  </r>
  <r>
    <x v="47"/>
    <n v="885410229.37"/>
    <s v="ALLY"/>
    <x v="5"/>
  </r>
  <r>
    <x v="47"/>
    <n v="597692283.73000002"/>
    <s v="METLIFE"/>
    <x v="6"/>
  </r>
  <r>
    <x v="47"/>
    <n v="559653849.83000004"/>
    <s v="CITI"/>
    <x v="7"/>
  </r>
  <r>
    <x v="47"/>
    <n v="544279623.12"/>
    <s v="FLAGSTAR"/>
    <x v="8"/>
  </r>
  <r>
    <x v="47"/>
    <n v="465068126"/>
    <s v="PRUDENTIAL HUNTOON PAIGE ASSOCIATES, LTD"/>
    <x v="9"/>
  </r>
  <r>
    <x v="48"/>
    <n v="11191306140.16"/>
    <s v="WELLS FARGO"/>
    <x v="0"/>
  </r>
  <r>
    <x v="48"/>
    <n v="9319595229.7099991"/>
    <s v="BANK OF AMERICA"/>
    <x v="1"/>
  </r>
  <r>
    <x v="48"/>
    <n v="1851001705.04"/>
    <s v="CHASE"/>
    <x v="2"/>
  </r>
  <r>
    <x v="48"/>
    <n v="1331286404.53"/>
    <s v="PHH"/>
    <x v="3"/>
  </r>
  <r>
    <x v="48"/>
    <n v="1132061275.4000001"/>
    <s v="US BANK"/>
    <x v="4"/>
  </r>
  <r>
    <x v="48"/>
    <n v="850078336.94000006"/>
    <s v="ALLY"/>
    <x v="5"/>
  </r>
  <r>
    <x v="48"/>
    <n v="569248880.77999997"/>
    <s v="METLIFE"/>
    <x v="6"/>
  </r>
  <r>
    <x v="48"/>
    <n v="569094714.59000003"/>
    <s v="FLAGSTAR"/>
    <x v="7"/>
  </r>
  <r>
    <x v="48"/>
    <n v="478842165.73000002"/>
    <s v="CITI"/>
    <x v="8"/>
  </r>
  <r>
    <x v="48"/>
    <n v="334179830.94999999"/>
    <s v="FIFTH THIRD"/>
    <x v="9"/>
  </r>
  <r>
    <x v="49"/>
    <n v="8086549745.5299997"/>
    <s v="WELLS FARGO"/>
    <x v="0"/>
  </r>
  <r>
    <x v="49"/>
    <n v="6689822178.4700003"/>
    <s v="BANK OF AMERICA"/>
    <x v="1"/>
  </r>
  <r>
    <x v="49"/>
    <n v="1372185497.1700001"/>
    <s v="CHASE"/>
    <x v="2"/>
  </r>
  <r>
    <x v="49"/>
    <n v="1023295271.24"/>
    <s v="PHH"/>
    <x v="3"/>
  </r>
  <r>
    <x v="49"/>
    <n v="877839175.03999996"/>
    <s v="US BANK"/>
    <x v="4"/>
  </r>
  <r>
    <x v="49"/>
    <n v="586572474.48000002"/>
    <s v="ALLY"/>
    <x v="5"/>
  </r>
  <r>
    <x v="49"/>
    <n v="401390903.76999998"/>
    <s v="METLIFE"/>
    <x v="6"/>
  </r>
  <r>
    <x v="49"/>
    <n v="400450698.25"/>
    <s v="FLAGSTAR"/>
    <x v="7"/>
  </r>
  <r>
    <x v="49"/>
    <n v="225131348.52000001"/>
    <s v="FIFTH THIRD"/>
    <x v="8"/>
  </r>
  <r>
    <x v="49"/>
    <n v="221844243.33000001"/>
    <s v="PNC"/>
    <x v="9"/>
  </r>
  <r>
    <x v="50"/>
    <n v="7142348227.9899998"/>
    <s v="WELLS FARGO"/>
    <x v="0"/>
  </r>
  <r>
    <x v="50"/>
    <n v="6007798721.3000002"/>
    <s v="BANK OF AMERICA"/>
    <x v="1"/>
  </r>
  <r>
    <x v="50"/>
    <n v="1753403082.3800001"/>
    <s v="CHASE"/>
    <x v="2"/>
  </r>
  <r>
    <x v="50"/>
    <n v="734838771.58000004"/>
    <s v="US BANK"/>
    <x v="3"/>
  </r>
  <r>
    <x v="50"/>
    <n v="617304975.21000004"/>
    <s v="PHH"/>
    <x v="4"/>
  </r>
  <r>
    <x v="50"/>
    <n v="461329605.54000002"/>
    <s v="ALLY"/>
    <x v="5"/>
  </r>
  <r>
    <x v="50"/>
    <n v="361728307.54000002"/>
    <s v="METLIFE"/>
    <x v="6"/>
  </r>
  <r>
    <x v="50"/>
    <n v="356086663.95999998"/>
    <s v="FLAGSTAR"/>
    <x v="7"/>
  </r>
  <r>
    <x v="50"/>
    <n v="332945590.33999997"/>
    <s v="CITI"/>
    <x v="8"/>
  </r>
  <r>
    <x v="50"/>
    <n v="311643297.69"/>
    <s v="BB&amp;T"/>
    <x v="9"/>
  </r>
  <r>
    <x v="51"/>
    <n v="7487569923.4700003"/>
    <s v="WELLS FARGO"/>
    <x v="0"/>
  </r>
  <r>
    <x v="51"/>
    <n v="6126395282.5699997"/>
    <s v="BANK OF AMERICA"/>
    <x v="1"/>
  </r>
  <r>
    <x v="51"/>
    <n v="1880752425.6500001"/>
    <s v="CHASE"/>
    <x v="2"/>
  </r>
  <r>
    <x v="51"/>
    <n v="752376209.79999995"/>
    <s v="US BANK"/>
    <x v="3"/>
  </r>
  <r>
    <x v="51"/>
    <n v="697585219.14999998"/>
    <s v="PHH"/>
    <x v="4"/>
  </r>
  <r>
    <x v="51"/>
    <n v="429929592.63"/>
    <s v="METLIFE"/>
    <x v="5"/>
  </r>
  <r>
    <x v="51"/>
    <n v="428753507.79000002"/>
    <s v="ALLY"/>
    <x v="6"/>
  </r>
  <r>
    <x v="51"/>
    <n v="408263075"/>
    <s v="FLAGSTAR"/>
    <x v="7"/>
  </r>
  <r>
    <x v="51"/>
    <n v="265559087.28"/>
    <s v="PNC"/>
    <x v="8"/>
  </r>
  <r>
    <x v="51"/>
    <n v="256401393.09"/>
    <s v="CITI"/>
    <x v="9"/>
  </r>
  <r>
    <x v="52"/>
    <n v="7485893519.21"/>
    <s v="WELLS FARGO"/>
    <x v="0"/>
  </r>
  <r>
    <x v="52"/>
    <n v="5762927882.6199999"/>
    <s v="BANK OF AMERICA"/>
    <x v="1"/>
  </r>
  <r>
    <x v="52"/>
    <n v="2174406852.29"/>
    <s v="CHASE"/>
    <x v="2"/>
  </r>
  <r>
    <x v="52"/>
    <n v="608161197.64999998"/>
    <s v="PHH"/>
    <x v="3"/>
  </r>
  <r>
    <x v="52"/>
    <n v="601958537.24000001"/>
    <s v="US BANK"/>
    <x v="4"/>
  </r>
  <r>
    <x v="52"/>
    <n v="459316864.63"/>
    <s v="ALLY"/>
    <x v="5"/>
  </r>
  <r>
    <x v="52"/>
    <n v="443605192.85000002"/>
    <s v="METLIFE"/>
    <x v="6"/>
  </r>
  <r>
    <x v="52"/>
    <n v="408283252.47000003"/>
    <s v="FLAGSTAR"/>
    <x v="7"/>
  </r>
  <r>
    <x v="52"/>
    <n v="253253246.61000001"/>
    <s v="PNC"/>
    <x v="8"/>
  </r>
  <r>
    <x v="52"/>
    <n v="244502094.09"/>
    <s v="SUNTRUST"/>
    <x v="9"/>
  </r>
  <r>
    <x v="53"/>
    <n v="8037102017.3699999"/>
    <s v="WELLS FARGO"/>
    <x v="0"/>
  </r>
  <r>
    <x v="53"/>
    <n v="5798004838.9200001"/>
    <s v="BANK OF AMERICA"/>
    <x v="1"/>
  </r>
  <r>
    <x v="53"/>
    <n v="2263476542.2399998"/>
    <s v="CHASE"/>
    <x v="2"/>
  </r>
  <r>
    <x v="53"/>
    <n v="894123593.24000001"/>
    <s v="PHH"/>
    <x v="3"/>
  </r>
  <r>
    <x v="53"/>
    <n v="670137620.91999996"/>
    <s v="US BANK"/>
    <x v="4"/>
  </r>
  <r>
    <x v="53"/>
    <n v="643649975.04999995"/>
    <s v="ALLY"/>
    <x v="5"/>
  </r>
  <r>
    <x v="53"/>
    <n v="434092831.55000001"/>
    <s v="FLAGSTAR"/>
    <x v="6"/>
  </r>
  <r>
    <x v="53"/>
    <n v="419168284.22000003"/>
    <s v="METLIFE"/>
    <x v="7"/>
  </r>
  <r>
    <x v="53"/>
    <n v="395675688.74000001"/>
    <s v="QUICKEN"/>
    <x v="8"/>
  </r>
  <r>
    <x v="53"/>
    <n v="281658019.81999999"/>
    <s v="PNC"/>
    <x v="9"/>
  </r>
  <r>
    <x v="54"/>
    <n v="8290598483.0799999"/>
    <s v="WELLS FARGO"/>
    <x v="0"/>
  </r>
  <r>
    <x v="54"/>
    <n v="5592657271.3999996"/>
    <s v="BANK OF AMERICA"/>
    <x v="1"/>
  </r>
  <r>
    <x v="54"/>
    <n v="2409116702.98"/>
    <s v="CHASE"/>
    <x v="2"/>
  </r>
  <r>
    <x v="54"/>
    <n v="982541083.70000005"/>
    <s v="PHH"/>
    <x v="3"/>
  </r>
  <r>
    <x v="54"/>
    <n v="752662141.10000002"/>
    <s v="US BANK"/>
    <x v="4"/>
  </r>
  <r>
    <x v="54"/>
    <n v="639291452.46000004"/>
    <s v="FLAGSTAR"/>
    <x v="5"/>
  </r>
  <r>
    <x v="54"/>
    <n v="429162120.43000001"/>
    <s v="METLIFE"/>
    <x v="6"/>
  </r>
  <r>
    <x v="54"/>
    <n v="356883684.76999998"/>
    <s v="ALLY"/>
    <x v="7"/>
  </r>
  <r>
    <x v="54"/>
    <n v="351568051.57999998"/>
    <s v="QUICKEN"/>
    <x v="8"/>
  </r>
  <r>
    <x v="54"/>
    <n v="301274950.01999998"/>
    <s v="BB&amp;T"/>
    <x v="9"/>
  </r>
  <r>
    <x v="55"/>
    <n v="9235841028.9400005"/>
    <s v="WELLS FARGO"/>
    <x v="0"/>
  </r>
  <r>
    <x v="55"/>
    <n v="4847625834.8699999"/>
    <s v="BANK OF AMERICA"/>
    <x v="1"/>
  </r>
  <r>
    <x v="55"/>
    <n v="2608663203.9699998"/>
    <s v="CHASE"/>
    <x v="2"/>
  </r>
  <r>
    <x v="55"/>
    <n v="921897702.82000005"/>
    <s v="PHH"/>
    <x v="3"/>
  </r>
  <r>
    <x v="55"/>
    <n v="671885619.50999999"/>
    <s v="US BANK"/>
    <x v="4"/>
  </r>
  <r>
    <x v="55"/>
    <n v="550835285.99000001"/>
    <s v="FLAGSTAR"/>
    <x v="5"/>
  </r>
  <r>
    <x v="55"/>
    <n v="469759629.55000001"/>
    <s v="ALLY"/>
    <x v="6"/>
  </r>
  <r>
    <x v="55"/>
    <n v="365122445.68000001"/>
    <s v="METLIFE"/>
    <x v="7"/>
  </r>
  <r>
    <x v="55"/>
    <n v="345690365.74000001"/>
    <s v="QUICKEN"/>
    <x v="8"/>
  </r>
  <r>
    <x v="55"/>
    <n v="287502442.05000001"/>
    <s v="PNC"/>
    <x v="9"/>
  </r>
  <r>
    <x v="56"/>
    <n v="9495614488.8299999"/>
    <s v="WELLS FARGO"/>
    <x v="0"/>
  </r>
  <r>
    <x v="56"/>
    <n v="3819074881.2800002"/>
    <s v="BANK OF AMERICA"/>
    <x v="1"/>
  </r>
  <r>
    <x v="56"/>
    <n v="2310406503.02"/>
    <s v="CHASE"/>
    <x v="2"/>
  </r>
  <r>
    <x v="56"/>
    <n v="909837417.96000004"/>
    <s v="PHH"/>
    <x v="3"/>
  </r>
  <r>
    <x v="56"/>
    <n v="859735393.29999995"/>
    <s v="US BANK"/>
    <x v="4"/>
  </r>
  <r>
    <x v="56"/>
    <n v="815209919.17999995"/>
    <s v="FLAGSTAR"/>
    <x v="5"/>
  </r>
  <r>
    <x v="56"/>
    <n v="745770035.08000004"/>
    <s v="ALLY"/>
    <x v="6"/>
  </r>
  <r>
    <x v="56"/>
    <n v="583086867.67999995"/>
    <s v="QUICKEN"/>
    <x v="7"/>
  </r>
  <r>
    <x v="56"/>
    <n v="570242348.27999997"/>
    <s v="METLIFE"/>
    <x v="8"/>
  </r>
  <r>
    <x v="56"/>
    <n v="376251360.82999998"/>
    <s v="CITI"/>
    <x v="9"/>
  </r>
  <r>
    <x v="57"/>
    <n v="8581649843.8400002"/>
    <s v="WELLS FARGO"/>
    <x v="0"/>
  </r>
  <r>
    <x v="57"/>
    <n v="2901359176.8800001"/>
    <s v="BANK OF AMERICA"/>
    <x v="1"/>
  </r>
  <r>
    <x v="57"/>
    <n v="2340701401.02"/>
    <s v="CHASE"/>
    <x v="2"/>
  </r>
  <r>
    <x v="57"/>
    <n v="773678191.63"/>
    <s v="QUICKEN"/>
    <x v="3"/>
  </r>
  <r>
    <x v="57"/>
    <n v="766134699.48000002"/>
    <s v="US BANK"/>
    <x v="4"/>
  </r>
  <r>
    <x v="57"/>
    <n v="716608001.79999995"/>
    <s v="PHH"/>
    <x v="5"/>
  </r>
  <r>
    <x v="57"/>
    <n v="665851667.19000006"/>
    <s v="ALLY"/>
    <x v="6"/>
  </r>
  <r>
    <x v="57"/>
    <n v="575989274.98000002"/>
    <s v="FLAGSTAR"/>
    <x v="7"/>
  </r>
  <r>
    <x v="57"/>
    <n v="553888321.10000002"/>
    <s v="METLIFE"/>
    <x v="8"/>
  </r>
  <r>
    <x v="57"/>
    <n v="402448303.13999999"/>
    <s v="CITI"/>
    <x v="9"/>
  </r>
  <r>
    <x v="58"/>
    <n v="9573021089.2900009"/>
    <s v="WELLS FARGO"/>
    <x v="0"/>
  </r>
  <r>
    <x v="58"/>
    <n v="2997364955.0799999"/>
    <s v="BANK OF AMERICA"/>
    <x v="1"/>
  </r>
  <r>
    <x v="58"/>
    <n v="2561965154.0100002"/>
    <s v="CHASE"/>
    <x v="2"/>
  </r>
  <r>
    <x v="58"/>
    <n v="1051028358.3099999"/>
    <s v="QUICKEN"/>
    <x v="3"/>
  </r>
  <r>
    <x v="58"/>
    <n v="867646024.91999996"/>
    <s v="US BANK"/>
    <x v="4"/>
  </r>
  <r>
    <x v="58"/>
    <n v="738294116.20000005"/>
    <s v="FLAGSTAR"/>
    <x v="5"/>
  </r>
  <r>
    <x v="58"/>
    <n v="713339419.13999999"/>
    <s v="PHH"/>
    <x v="6"/>
  </r>
  <r>
    <x v="58"/>
    <n v="574793038.98000002"/>
    <s v="ALLY"/>
    <x v="7"/>
  </r>
  <r>
    <x v="58"/>
    <n v="456250769.62"/>
    <s v="METLIFE"/>
    <x v="8"/>
  </r>
  <r>
    <x v="58"/>
    <n v="362830454.32999998"/>
    <s v="BB&amp;T"/>
    <x v="9"/>
  </r>
  <r>
    <x v="59"/>
    <n v="9732604193.7800007"/>
    <s v="WELLS FARGO"/>
    <x v="0"/>
  </r>
  <r>
    <x v="59"/>
    <n v="2454782079.79"/>
    <s v="CHASE"/>
    <x v="1"/>
  </r>
  <r>
    <x v="59"/>
    <n v="1519718894"/>
    <s v="BANK OF AMERICA"/>
    <x v="2"/>
  </r>
  <r>
    <x v="59"/>
    <n v="1078410493"/>
    <s v="US BANK"/>
    <x v="3"/>
  </r>
  <r>
    <x v="59"/>
    <n v="994126007.64999998"/>
    <s v="QUICKEN"/>
    <x v="4"/>
  </r>
  <r>
    <x v="59"/>
    <n v="840304742.00999999"/>
    <s v="PHH"/>
    <x v="5"/>
  </r>
  <r>
    <x v="59"/>
    <n v="835490170.02999997"/>
    <s v="ALLY"/>
    <x v="6"/>
  </r>
  <r>
    <x v="59"/>
    <n v="732189860.03999996"/>
    <s v="FLAGSTAR"/>
    <x v="7"/>
  </r>
  <r>
    <x v="59"/>
    <n v="500515827.91000003"/>
    <s v="METLIFE"/>
    <x v="8"/>
  </r>
  <r>
    <x v="59"/>
    <n v="343927847.07999998"/>
    <s v="BB&amp;T"/>
    <x v="9"/>
  </r>
  <r>
    <x v="60"/>
    <n v="11283566053.34"/>
    <s v="WELLS FARGO"/>
    <x v="0"/>
  </r>
  <r>
    <x v="60"/>
    <n v="2561295128.6999998"/>
    <s v="CHASE"/>
    <x v="1"/>
  </r>
  <r>
    <x v="60"/>
    <n v="1241687556.9000001"/>
    <s v="US BANK"/>
    <x v="2"/>
  </r>
  <r>
    <x v="60"/>
    <n v="1202878437.99"/>
    <s v="BANK OF AMERICA"/>
    <x v="3"/>
  </r>
  <r>
    <x v="60"/>
    <n v="1169327183.95"/>
    <s v="QUICKEN"/>
    <x v="4"/>
  </r>
  <r>
    <x v="60"/>
    <n v="825952840.24000001"/>
    <s v="PHH"/>
    <x v="5"/>
  </r>
  <r>
    <x v="60"/>
    <n v="724148026.90999997"/>
    <s v="FLAGSTAR"/>
    <x v="6"/>
  </r>
  <r>
    <x v="60"/>
    <n v="708192190.95000005"/>
    <s v="ALLY"/>
    <x v="7"/>
  </r>
  <r>
    <x v="60"/>
    <n v="505384698.86000001"/>
    <s v="BB&amp;T"/>
    <x v="8"/>
  </r>
  <r>
    <x v="60"/>
    <n v="497296438.82999998"/>
    <s v="METLIFE"/>
    <x v="9"/>
  </r>
  <r>
    <x v="61"/>
    <n v="10212781061.02"/>
    <s v="WELLS FARGO"/>
    <x v="0"/>
  </r>
  <r>
    <x v="61"/>
    <n v="2386808467.02"/>
    <s v="CHASE"/>
    <x v="1"/>
  </r>
  <r>
    <x v="61"/>
    <n v="1495556112.8399999"/>
    <s v="US BANK"/>
    <x v="2"/>
  </r>
  <r>
    <x v="61"/>
    <n v="1150669253.3299999"/>
    <s v="QUICKEN"/>
    <x v="3"/>
  </r>
  <r>
    <x v="61"/>
    <n v="791778146.88"/>
    <s v="FLAGSTAR"/>
    <x v="4"/>
  </r>
  <r>
    <x v="61"/>
    <n v="767796362.38999999"/>
    <s v="PHH"/>
    <x v="5"/>
  </r>
  <r>
    <x v="61"/>
    <n v="746921744.39999998"/>
    <s v="BANK OF AMERICA"/>
    <x v="6"/>
  </r>
  <r>
    <x v="61"/>
    <n v="532293545.26999998"/>
    <s v="ALLY"/>
    <x v="7"/>
  </r>
  <r>
    <x v="61"/>
    <n v="490426869.00999999"/>
    <s v="BB&amp;T"/>
    <x v="8"/>
  </r>
  <r>
    <x v="61"/>
    <n v="470107340.81"/>
    <s v="METLIFE"/>
    <x v="9"/>
  </r>
  <r>
    <x v="62"/>
    <n v="10386620664.41"/>
    <s v="WELLS FARGO"/>
    <x v="0"/>
  </r>
  <r>
    <x v="62"/>
    <n v="3025021312.1799998"/>
    <s v="CHASE"/>
    <x v="1"/>
  </r>
  <r>
    <x v="62"/>
    <n v="1388444116.9000001"/>
    <s v="US BANK"/>
    <x v="2"/>
  </r>
  <r>
    <x v="62"/>
    <n v="1246037232.02"/>
    <s v="QUICKEN"/>
    <x v="3"/>
  </r>
  <r>
    <x v="62"/>
    <n v="928366615.94000006"/>
    <s v="FLAGSTAR"/>
    <x v="4"/>
  </r>
  <r>
    <x v="62"/>
    <n v="872712001.54999995"/>
    <s v="BANK OF AMERICA"/>
    <x v="5"/>
  </r>
  <r>
    <x v="62"/>
    <n v="786087364.27999997"/>
    <s v="PHH"/>
    <x v="6"/>
  </r>
  <r>
    <x v="62"/>
    <n v="497836190.08999997"/>
    <s v="ALLY"/>
    <x v="7"/>
  </r>
  <r>
    <x v="62"/>
    <n v="453592101.39999998"/>
    <s v="DBA FREEDOM HOME MORTGAGE CORP"/>
    <x v="8"/>
  </r>
  <r>
    <x v="62"/>
    <n v="391148443.35000002"/>
    <s v="BB&amp;T"/>
    <x v="9"/>
  </r>
  <r>
    <x v="63"/>
    <n v="14678468587.370001"/>
    <s v="WELLS FARGO"/>
    <x v="0"/>
  </r>
  <r>
    <x v="63"/>
    <n v="3279782580.3499999"/>
    <s v="CHASE"/>
    <x v="1"/>
  </r>
  <r>
    <x v="63"/>
    <n v="1788024057.5599999"/>
    <s v="QUICKEN"/>
    <x v="2"/>
  </r>
  <r>
    <x v="63"/>
    <n v="1623946588.1600001"/>
    <s v="US BANK"/>
    <x v="3"/>
  </r>
  <r>
    <x v="63"/>
    <n v="1101107692.21"/>
    <s v="FLAGSTAR"/>
    <x v="4"/>
  </r>
  <r>
    <x v="63"/>
    <n v="676710285.07000005"/>
    <s v="BANK OF AMERICA"/>
    <x v="5"/>
  </r>
  <r>
    <x v="63"/>
    <n v="618156934.75"/>
    <s v="DBA FREEDOM HOME MORTGAGE CORP"/>
    <x v="6"/>
  </r>
  <r>
    <x v="63"/>
    <n v="609027301.90999997"/>
    <s v="PHH"/>
    <x v="7"/>
  </r>
  <r>
    <x v="63"/>
    <n v="569748972.45000005"/>
    <s v="USAA"/>
    <x v="8"/>
  </r>
  <r>
    <x v="63"/>
    <n v="561576112.60000002"/>
    <s v="FRANKLIN AMERICAN MORTGAGE COMPANY"/>
    <x v="9"/>
  </r>
  <r>
    <x v="64"/>
    <n v="14867243244.77"/>
    <s v="WELLS FARGO"/>
    <x v="0"/>
  </r>
  <r>
    <x v="64"/>
    <n v="3475990122.7399998"/>
    <s v="CHASE"/>
    <x v="1"/>
  </r>
  <r>
    <x v="64"/>
    <n v="1636856120.0699999"/>
    <s v="US BANK"/>
    <x v="2"/>
  </r>
  <r>
    <x v="64"/>
    <n v="1533887121.8499999"/>
    <s v="QUICKEN"/>
    <x v="3"/>
  </r>
  <r>
    <x v="64"/>
    <n v="1203162304.6500001"/>
    <s v="FLAGSTAR"/>
    <x v="4"/>
  </r>
  <r>
    <x v="64"/>
    <n v="797397738.61000001"/>
    <s v="BANK OF AMERICA"/>
    <x v="5"/>
  </r>
  <r>
    <x v="64"/>
    <n v="663623792.21000004"/>
    <s v="USAA"/>
    <x v="6"/>
  </r>
  <r>
    <x v="64"/>
    <n v="617874894.47000003"/>
    <s v="DBA FREEDOM HOME MORTGAGE CORP"/>
    <x v="7"/>
  </r>
  <r>
    <x v="64"/>
    <n v="557253106.67999995"/>
    <s v="FRANKLIN AMERICAN MORTGAGE COMPANY"/>
    <x v="8"/>
  </r>
  <r>
    <x v="64"/>
    <n v="486117890.41000003"/>
    <s v="PHH"/>
    <x v="9"/>
  </r>
  <r>
    <x v="65"/>
    <n v="12472666977.870001"/>
    <s v="WELLS FARGO"/>
    <x v="0"/>
  </r>
  <r>
    <x v="65"/>
    <n v="4129047027.5900002"/>
    <s v="CHASE"/>
    <x v="1"/>
  </r>
  <r>
    <x v="65"/>
    <n v="1654303007.46"/>
    <s v="US BANK"/>
    <x v="2"/>
  </r>
  <r>
    <x v="65"/>
    <n v="1032213747.79"/>
    <s v="FLAGSTAR"/>
    <x v="3"/>
  </r>
  <r>
    <x v="65"/>
    <n v="966010681.48000002"/>
    <s v="QUICKEN"/>
    <x v="4"/>
  </r>
  <r>
    <x v="65"/>
    <n v="723782638.42999995"/>
    <s v="USAA"/>
    <x v="5"/>
  </r>
  <r>
    <x v="65"/>
    <n v="638652801.38"/>
    <s v="BANK OF AMERICA"/>
    <x v="6"/>
  </r>
  <r>
    <x v="65"/>
    <n v="612221707.07000005"/>
    <s v="PENNYMAC LOAN SERVICES, LLC"/>
    <x v="7"/>
  </r>
  <r>
    <x v="65"/>
    <n v="545917402.63999999"/>
    <s v="BB&amp;T"/>
    <x v="8"/>
  </r>
  <r>
    <x v="65"/>
    <n v="543998687.45000005"/>
    <s v="DBA FREEDOM HOME MORTGAGE CORP"/>
    <x v="9"/>
  </r>
  <r>
    <x v="66"/>
    <n v="12115594759.610001"/>
    <s v="WELLS FARGO"/>
    <x v="0"/>
  </r>
  <r>
    <x v="66"/>
    <n v="2680981349.2399998"/>
    <s v="CHASE"/>
    <x v="1"/>
  </r>
  <r>
    <x v="66"/>
    <n v="1498448140.76"/>
    <s v="US BANK"/>
    <x v="2"/>
  </r>
  <r>
    <x v="66"/>
    <n v="867414598.09000003"/>
    <s v="FLAGSTAR"/>
    <x v="3"/>
  </r>
  <r>
    <x v="66"/>
    <n v="861157919.33000004"/>
    <s v="BANK OF AMERICA"/>
    <x v="4"/>
  </r>
  <r>
    <x v="66"/>
    <n v="833624076.48000002"/>
    <s v="QUICKEN"/>
    <x v="5"/>
  </r>
  <r>
    <x v="66"/>
    <n v="648686305.75"/>
    <s v="DBA FREEDOM HOME MORTGAGE CORP"/>
    <x v="6"/>
  </r>
  <r>
    <x v="66"/>
    <n v="647523112.40999997"/>
    <s v="PENNYMAC LOAN SERVICES, LLC"/>
    <x v="7"/>
  </r>
  <r>
    <x v="66"/>
    <n v="596162590.98000002"/>
    <s v="USAA"/>
    <x v="8"/>
  </r>
  <r>
    <x v="66"/>
    <n v="471292020.60000002"/>
    <s v="FRANKLIN AMERICAN MORTGAGE COMPANY"/>
    <x v="9"/>
  </r>
  <r>
    <x v="67"/>
    <n v="15536484394.24"/>
    <s v="WELLS FARGO"/>
    <x v="0"/>
  </r>
  <r>
    <x v="67"/>
    <n v="3610770531.3699999"/>
    <s v="CHASE"/>
    <x v="1"/>
  </r>
  <r>
    <x v="67"/>
    <n v="1448198788.1400001"/>
    <s v="US BANK"/>
    <x v="2"/>
  </r>
  <r>
    <x v="67"/>
    <n v="1241206979.5"/>
    <s v="FLAGSTAR"/>
    <x v="3"/>
  </r>
  <r>
    <x v="67"/>
    <n v="1033452698"/>
    <s v="QUICKEN"/>
    <x v="4"/>
  </r>
  <r>
    <x v="67"/>
    <n v="940599642.59000003"/>
    <s v="FRANKLIN AMERICAN MORTGAGE COMPANY"/>
    <x v="5"/>
  </r>
  <r>
    <x v="67"/>
    <n v="911244053.24000001"/>
    <s v="PENNYMAC LOAN SERVICES, LLC"/>
    <x v="6"/>
  </r>
  <r>
    <x v="67"/>
    <n v="883257447.82000005"/>
    <s v="BANK OF AMERICA"/>
    <x v="7"/>
  </r>
  <r>
    <x v="67"/>
    <n v="873613684.47000003"/>
    <s v="DBA FREEDOM HOME MORTGAGE CORP"/>
    <x v="8"/>
  </r>
  <r>
    <x v="67"/>
    <n v="741317822.19000006"/>
    <s v="USAA"/>
    <x v="9"/>
  </r>
  <r>
    <x v="68"/>
    <n v="14243174523.99"/>
    <s v="WELLS FARGO"/>
    <x v="0"/>
  </r>
  <r>
    <x v="68"/>
    <n v="3530525371.5100002"/>
    <s v="CHASE"/>
    <x v="1"/>
  </r>
  <r>
    <x v="68"/>
    <n v="1626024510.22"/>
    <s v="US BANK"/>
    <x v="2"/>
  </r>
  <r>
    <x v="68"/>
    <n v="1318828499.48"/>
    <s v="QUICKEN"/>
    <x v="3"/>
  </r>
  <r>
    <x v="68"/>
    <n v="1008495978.03"/>
    <s v="FLAGSTAR"/>
    <x v="4"/>
  </r>
  <r>
    <x v="68"/>
    <n v="963210624.91999996"/>
    <s v="BANK OF AMERICA"/>
    <x v="5"/>
  </r>
  <r>
    <x v="68"/>
    <n v="954341251.76999998"/>
    <s v="DBA FREEDOM HOME MORTGAGE CORP"/>
    <x v="6"/>
  </r>
  <r>
    <x v="68"/>
    <n v="885925502.97000003"/>
    <s v="FRANKLIN AMERICAN MORTGAGE COMPANY"/>
    <x v="7"/>
  </r>
  <r>
    <x v="68"/>
    <n v="850069761.46000004"/>
    <s v="PENNYMAC LOAN SERVICES, LLC"/>
    <x v="8"/>
  </r>
  <r>
    <x v="68"/>
    <n v="599176254.21000004"/>
    <s v="USAA"/>
    <x v="9"/>
  </r>
  <r>
    <x v="69"/>
    <n v="12119713533.76"/>
    <s v="WELLS FARGO"/>
    <x v="0"/>
  </r>
  <r>
    <x v="69"/>
    <n v="3647960504.6300001"/>
    <s v="CHASE"/>
    <x v="1"/>
  </r>
  <r>
    <x v="69"/>
    <n v="1320822642.8"/>
    <s v="US BANK"/>
    <x v="2"/>
  </r>
  <r>
    <x v="69"/>
    <n v="1213010804.3299999"/>
    <s v="PENNYMAC LOAN SERVICES, LLC"/>
    <x v="3"/>
  </r>
  <r>
    <x v="69"/>
    <n v="1209129920.97"/>
    <s v="FLAGSTAR"/>
    <x v="4"/>
  </r>
  <r>
    <x v="69"/>
    <n v="1147683633.0899999"/>
    <s v="QUICKEN"/>
    <x v="5"/>
  </r>
  <r>
    <x v="69"/>
    <n v="1063797140.58"/>
    <s v="DBA FREEDOM HOME MORTGAGE CORP"/>
    <x v="6"/>
  </r>
  <r>
    <x v="69"/>
    <n v="769766685.66999996"/>
    <s v="FRANKLIN AMERICAN MORTGAGE COMPANY"/>
    <x v="7"/>
  </r>
  <r>
    <x v="69"/>
    <n v="735677902.50999999"/>
    <s v="BANK OF AMERICA"/>
    <x v="8"/>
  </r>
  <r>
    <x v="69"/>
    <n v="642364941.15999997"/>
    <s v="USAA"/>
    <x v="9"/>
  </r>
  <r>
    <x v="70"/>
    <n v="14279880239.870001"/>
    <s v="WELLS FARGO"/>
    <x v="0"/>
  </r>
  <r>
    <x v="70"/>
    <n v="3867768341.0599999"/>
    <s v="CHASE"/>
    <x v="1"/>
  </r>
  <r>
    <x v="70"/>
    <n v="1410120185.45"/>
    <s v="DBA FREEDOM HOME MORTGAGE CORP"/>
    <x v="2"/>
  </r>
  <r>
    <x v="70"/>
    <n v="1388371101.05"/>
    <s v="QUICKEN"/>
    <x v="3"/>
  </r>
  <r>
    <x v="70"/>
    <n v="1345929826.8099999"/>
    <s v="US BANK"/>
    <x v="4"/>
  </r>
  <r>
    <x v="70"/>
    <n v="1141247243.5699999"/>
    <s v="PENNYMAC LOAN SERVICES, LLC"/>
    <x v="5"/>
  </r>
  <r>
    <x v="70"/>
    <n v="1122261747.9300001"/>
    <s v="FLAGSTAR"/>
    <x v="6"/>
  </r>
  <r>
    <x v="70"/>
    <n v="1101156705.0699999"/>
    <s v="BANK OF AMERICA"/>
    <x v="7"/>
  </r>
  <r>
    <x v="70"/>
    <n v="756950622.17999995"/>
    <s v="USAA"/>
    <x v="8"/>
  </r>
  <r>
    <x v="70"/>
    <n v="687746377.41999996"/>
    <s v="FRANKLIN AMERICAN MORTGAGE COMPANY"/>
    <x v="9"/>
  </r>
  <r>
    <x v="71"/>
    <n v="11715803235.52"/>
    <s v="WELLS FARGO"/>
    <x v="0"/>
  </r>
  <r>
    <x v="71"/>
    <n v="4603155104.75"/>
    <s v="CHASE"/>
    <x v="1"/>
  </r>
  <r>
    <x v="71"/>
    <n v="1426030210.0899999"/>
    <s v="US BANK"/>
    <x v="2"/>
  </r>
  <r>
    <x v="71"/>
    <n v="1333008346.5999999"/>
    <s v="QUICKEN"/>
    <x v="3"/>
  </r>
  <r>
    <x v="71"/>
    <n v="1262535516.5"/>
    <s v="PENNYMAC LOAN SERVICES, LLC"/>
    <x v="4"/>
  </r>
  <r>
    <x v="71"/>
    <n v="1195233760.3199999"/>
    <s v="DBA FREEDOM HOME MORTGAGE CORP"/>
    <x v="5"/>
  </r>
  <r>
    <x v="71"/>
    <n v="1060890323.79"/>
    <s v="FLAGSTAR"/>
    <x v="6"/>
  </r>
  <r>
    <x v="71"/>
    <n v="1050570358.36"/>
    <s v="BANK OF AMERICA"/>
    <x v="7"/>
  </r>
  <r>
    <x v="71"/>
    <n v="777947751"/>
    <s v="PRUDENTIAL HUNTOON PAIGE ASSOCIATES, LTD"/>
    <x v="8"/>
  </r>
  <r>
    <x v="71"/>
    <n v="696726169.28999996"/>
    <s v="FIFTH THIRD"/>
    <x v="9"/>
  </r>
  <r>
    <x v="72"/>
    <n v="12333810135.870001"/>
    <s v="WELLS FARGO"/>
    <x v="0"/>
  </r>
  <r>
    <x v="72"/>
    <n v="3406595229.4200001"/>
    <s v="CHASE"/>
    <x v="1"/>
  </r>
  <r>
    <x v="72"/>
    <n v="1358811877.3299999"/>
    <s v="DBA FREEDOM HOME MORTGAGE CORP"/>
    <x v="2"/>
  </r>
  <r>
    <x v="72"/>
    <n v="1278250980.23"/>
    <s v="QUICKEN"/>
    <x v="3"/>
  </r>
  <r>
    <x v="72"/>
    <n v="1250542649.1199999"/>
    <s v="PENNYMAC LOAN SERVICES, LLC"/>
    <x v="4"/>
  </r>
  <r>
    <x v="72"/>
    <n v="1098609814.0599999"/>
    <s v="US BANK"/>
    <x v="5"/>
  </r>
  <r>
    <x v="72"/>
    <n v="1056753409.04"/>
    <s v="FLAGSTAR"/>
    <x v="6"/>
  </r>
  <r>
    <x v="72"/>
    <n v="905677367.41999996"/>
    <s v="BANK OF AMERICA"/>
    <x v="7"/>
  </r>
  <r>
    <x v="72"/>
    <n v="628292826.95000005"/>
    <s v="FRANKLIN AMERICAN MORTGAGE COMPANY"/>
    <x v="8"/>
  </r>
  <r>
    <x v="72"/>
    <n v="587531397.90999997"/>
    <s v="FIFTH THIRD"/>
    <x v="9"/>
  </r>
  <r>
    <x v="73"/>
    <n v="11492145992.860001"/>
    <s v="WELLS FARGO"/>
    <x v="0"/>
  </r>
  <r>
    <x v="73"/>
    <n v="4297785616.7799997"/>
    <s v="CHASE"/>
    <x v="1"/>
  </r>
  <r>
    <x v="73"/>
    <n v="1522817944.51"/>
    <s v="DBA FREEDOM HOME MORTGAGE CORP"/>
    <x v="2"/>
  </r>
  <r>
    <x v="73"/>
    <n v="1508469793.8099999"/>
    <s v="QUICKEN"/>
    <x v="3"/>
  </r>
  <r>
    <x v="73"/>
    <n v="1434622714.1600001"/>
    <s v="US BANK"/>
    <x v="4"/>
  </r>
  <r>
    <x v="73"/>
    <n v="1221634377.97"/>
    <s v="PENNYMAC LOAN SERVICES, LLC"/>
    <x v="5"/>
  </r>
  <r>
    <x v="73"/>
    <n v="1051446865.35"/>
    <s v="FLAGSTAR"/>
    <x v="6"/>
  </r>
  <r>
    <x v="73"/>
    <n v="726387958.42999995"/>
    <s v="BANK OF AMERICA"/>
    <x v="7"/>
  </r>
  <r>
    <x v="73"/>
    <n v="605117600.45000005"/>
    <s v="FRANKLIN AMERICAN MORTGAGE COMPANY"/>
    <x v="8"/>
  </r>
  <r>
    <x v="73"/>
    <n v="590980280.65999997"/>
    <s v="USAA"/>
    <x v="9"/>
  </r>
  <r>
    <x v="74"/>
    <n v="9568034422.0900002"/>
    <s v="WELLS FARGO"/>
    <x v="0"/>
  </r>
  <r>
    <x v="74"/>
    <n v="4541262709.5900002"/>
    <s v="CHASE"/>
    <x v="1"/>
  </r>
  <r>
    <x v="74"/>
    <n v="1531102982.5999999"/>
    <s v="QUICKEN"/>
    <x v="2"/>
  </r>
  <r>
    <x v="74"/>
    <n v="1390934944.3399999"/>
    <s v="DBA FREEDOM HOME MORTGAGE CORP"/>
    <x v="3"/>
  </r>
  <r>
    <x v="74"/>
    <n v="1222387102.5999999"/>
    <s v="US BANK"/>
    <x v="4"/>
  </r>
  <r>
    <x v="74"/>
    <n v="1185296820.3"/>
    <s v="PENNYMAC LOAN SERVICES, LLC"/>
    <x v="5"/>
  </r>
  <r>
    <x v="74"/>
    <n v="968502735.75"/>
    <s v="FLAGSTAR"/>
    <x v="6"/>
  </r>
  <r>
    <x v="74"/>
    <n v="766459786.45000005"/>
    <s v="BANK OF AMERICA"/>
    <x v="7"/>
  </r>
  <r>
    <x v="74"/>
    <n v="678345069.05999994"/>
    <s v="FIFTH THIRD"/>
    <x v="8"/>
  </r>
  <r>
    <x v="74"/>
    <n v="494448848.54000002"/>
    <s v="USAA"/>
    <x v="9"/>
  </r>
  <r>
    <x v="75"/>
    <n v="11279857954.74"/>
    <s v="WELLS FARGO"/>
    <x v="0"/>
  </r>
  <r>
    <x v="75"/>
    <n v="4195492989.2800002"/>
    <s v="CHASE"/>
    <x v="1"/>
  </r>
  <r>
    <x v="75"/>
    <n v="1797450747.04"/>
    <s v="QUICKEN"/>
    <x v="2"/>
  </r>
  <r>
    <x v="75"/>
    <n v="1648217309.1500001"/>
    <s v="US BANK"/>
    <x v="3"/>
  </r>
  <r>
    <x v="75"/>
    <n v="1302284671.3699999"/>
    <s v="DBA FREEDOM HOME MORTGAGE CORP"/>
    <x v="4"/>
  </r>
  <r>
    <x v="75"/>
    <n v="1297895003.49"/>
    <s v="PENNYMAC LOAN SERVICES, LLC"/>
    <x v="5"/>
  </r>
  <r>
    <x v="75"/>
    <n v="1086522366.0599999"/>
    <s v="BANK OF AMERICA"/>
    <x v="6"/>
  </r>
  <r>
    <x v="75"/>
    <n v="918488192.34000003"/>
    <s v="FLAGSTAR"/>
    <x v="7"/>
  </r>
  <r>
    <x v="75"/>
    <n v="860474327.73000002"/>
    <s v="FIFTH THIRD"/>
    <x v="8"/>
  </r>
  <r>
    <x v="75"/>
    <n v="584291828.42999995"/>
    <s v="USAA"/>
    <x v="9"/>
  </r>
  <r>
    <x v="76"/>
    <n v="11488927028.709999"/>
    <s v="WELLS FARGO"/>
    <x v="0"/>
  </r>
  <r>
    <x v="76"/>
    <n v="4738173677.5200005"/>
    <s v="CHASE"/>
    <x v="1"/>
  </r>
  <r>
    <x v="76"/>
    <n v="1755678401.27"/>
    <s v="QUICKEN"/>
    <x v="2"/>
  </r>
  <r>
    <x v="76"/>
    <n v="1596995131.97"/>
    <s v="US BANK"/>
    <x v="3"/>
  </r>
  <r>
    <x v="76"/>
    <n v="1292282132.1900001"/>
    <s v="PENNYMAC LOAN SERVICES, LLC"/>
    <x v="4"/>
  </r>
  <r>
    <x v="76"/>
    <n v="1035640548.02"/>
    <s v="BANK OF AMERICA"/>
    <x v="5"/>
  </r>
  <r>
    <x v="76"/>
    <n v="931298107.47000003"/>
    <s v="DBA FREEDOM HOME MORTGAGE CORP"/>
    <x v="6"/>
  </r>
  <r>
    <x v="76"/>
    <n v="906812377.44000006"/>
    <s v="FLAGSTAR"/>
    <x v="7"/>
  </r>
  <r>
    <x v="76"/>
    <n v="710435857.17999995"/>
    <s v="FIFTH THIRD"/>
    <x v="8"/>
  </r>
  <r>
    <x v="76"/>
    <n v="657931738.21000004"/>
    <s v="USAA"/>
    <x v="9"/>
  </r>
  <r>
    <x v="77"/>
    <n v="10901539313.190001"/>
    <s v="WELLS FARGO"/>
    <x v="0"/>
  </r>
  <r>
    <x v="77"/>
    <n v="4730381051.3400002"/>
    <s v="CHASE"/>
    <x v="1"/>
  </r>
  <r>
    <x v="77"/>
    <n v="1580686262.49"/>
    <s v="PENNYMAC LOAN SERVICES, LLC"/>
    <x v="2"/>
  </r>
  <r>
    <x v="77"/>
    <n v="1376326862.25"/>
    <s v="QUICKEN"/>
    <x v="3"/>
  </r>
  <r>
    <x v="77"/>
    <n v="1342873390.71"/>
    <s v="BANK OF AMERICA"/>
    <x v="4"/>
  </r>
  <r>
    <x v="77"/>
    <n v="1216785434.53"/>
    <s v="US BANK"/>
    <x v="5"/>
  </r>
  <r>
    <x v="77"/>
    <n v="989690722.12"/>
    <s v="DBA FREEDOM HOME MORTGAGE CORP"/>
    <x v="6"/>
  </r>
  <r>
    <x v="77"/>
    <n v="866478125.78999996"/>
    <s v="FLAGSTAR"/>
    <x v="7"/>
  </r>
  <r>
    <x v="77"/>
    <n v="774315018.16999996"/>
    <s v="FIFTH THIRD"/>
    <x v="8"/>
  </r>
  <r>
    <x v="77"/>
    <n v="764355435.16999996"/>
    <s v="USAA"/>
    <x v="9"/>
  </r>
  <r>
    <x v="78"/>
    <n v="10136035522.35"/>
    <s v="WELLS FARGO"/>
    <x v="0"/>
  </r>
  <r>
    <x v="78"/>
    <n v="4465855112.6400003"/>
    <s v="CHASE"/>
    <x v="1"/>
  </r>
  <r>
    <x v="78"/>
    <n v="1643145346.3900001"/>
    <s v="BANK OF AMERICA"/>
    <x v="2"/>
  </r>
  <r>
    <x v="78"/>
    <n v="1497063712.9400001"/>
    <s v="PENNYMAC LOAN SERVICES, LLC"/>
    <x v="3"/>
  </r>
  <r>
    <x v="78"/>
    <n v="1213419445.95"/>
    <s v="US BANK"/>
    <x v="4"/>
  </r>
  <r>
    <x v="78"/>
    <n v="1175656245.8800001"/>
    <s v="QUICKEN"/>
    <x v="5"/>
  </r>
  <r>
    <x v="78"/>
    <n v="1000607956.98"/>
    <s v="M&amp;T BANK"/>
    <x v="6"/>
  </r>
  <r>
    <x v="78"/>
    <n v="917539108.76999998"/>
    <s v="USAA"/>
    <x v="7"/>
  </r>
  <r>
    <x v="78"/>
    <n v="860237870.13"/>
    <s v="DBA FREEDOM HOME MORTGAGE CORP"/>
    <x v="8"/>
  </r>
  <r>
    <x v="78"/>
    <n v="788508760.62"/>
    <s v="FIFTH THIRD"/>
    <x v="9"/>
  </r>
  <r>
    <x v="79"/>
    <n v="8870949392.1399994"/>
    <s v="WELLS FARGO"/>
    <x v="0"/>
  </r>
  <r>
    <x v="79"/>
    <n v="3980782790.2600002"/>
    <s v="CHASE"/>
    <x v="1"/>
  </r>
  <r>
    <x v="79"/>
    <n v="1522616013.21"/>
    <s v="BANK OF AMERICA"/>
    <x v="2"/>
  </r>
  <r>
    <x v="79"/>
    <n v="1468817888.6099999"/>
    <s v="PENNYMAC LOAN SERVICES, LLC"/>
    <x v="3"/>
  </r>
  <r>
    <x v="79"/>
    <n v="1325441628.4000001"/>
    <s v="US BANK"/>
    <x v="4"/>
  </r>
  <r>
    <x v="79"/>
    <n v="940900321.38999999"/>
    <s v="QUICKEN"/>
    <x v="5"/>
  </r>
  <r>
    <x v="79"/>
    <n v="925588421.05999994"/>
    <s v="USAA"/>
    <x v="6"/>
  </r>
  <r>
    <x v="79"/>
    <n v="741313532.32000005"/>
    <s v="FLAGSTAR"/>
    <x v="7"/>
  </r>
  <r>
    <x v="79"/>
    <n v="599862075.03999996"/>
    <s v="DBA FREEDOM HOME MORTGAGE CORP"/>
    <x v="8"/>
  </r>
  <r>
    <x v="79"/>
    <n v="532567846.5"/>
    <s v="NATIONSTAR"/>
    <x v="9"/>
  </r>
  <r>
    <x v="80"/>
    <n v="7267875544.7299995"/>
    <s v="WELLS FARGO"/>
    <x v="0"/>
  </r>
  <r>
    <x v="80"/>
    <n v="3471777396.3299999"/>
    <s v="CHASE"/>
    <x v="1"/>
  </r>
  <r>
    <x v="80"/>
    <n v="1341424820.1500001"/>
    <s v="BANK OF AMERICA"/>
    <x v="2"/>
  </r>
  <r>
    <x v="80"/>
    <n v="1172147863.8399999"/>
    <s v="PENNYMAC LOAN SERVICES, LLC"/>
    <x v="3"/>
  </r>
  <r>
    <x v="80"/>
    <n v="1147045018.1099999"/>
    <s v="US BANK"/>
    <x v="4"/>
  </r>
  <r>
    <x v="80"/>
    <n v="782389323.86000001"/>
    <s v="QUICKEN"/>
    <x v="5"/>
  </r>
  <r>
    <x v="80"/>
    <n v="683770829.99000001"/>
    <s v="USAA"/>
    <x v="6"/>
  </r>
  <r>
    <x v="80"/>
    <n v="670423511.88"/>
    <s v="NATIONSTAR"/>
    <x v="7"/>
  </r>
  <r>
    <x v="80"/>
    <n v="641375462.87"/>
    <s v="FLAGSTAR"/>
    <x v="8"/>
  </r>
  <r>
    <x v="80"/>
    <n v="598361111"/>
    <s v="PRUDENTIAL HUNTOON PAIGE ASSOCIATES, LTD"/>
    <x v="9"/>
  </r>
  <r>
    <x v="81"/>
    <n v="6287281036.2299995"/>
    <s v="WELLS FARGO"/>
    <x v="0"/>
  </r>
  <r>
    <x v="81"/>
    <n v="3182328797.0799999"/>
    <s v="CHASE"/>
    <x v="1"/>
  </r>
  <r>
    <x v="81"/>
    <n v="1258315006.4100001"/>
    <s v="PENNYMAC LOAN SERVICES, LLC"/>
    <x v="2"/>
  </r>
  <r>
    <x v="81"/>
    <n v="974102458.21000004"/>
    <s v="US BANK"/>
    <x v="3"/>
  </r>
  <r>
    <x v="81"/>
    <n v="812256710.12"/>
    <s v="BANK OF AMERICA"/>
    <x v="4"/>
  </r>
  <r>
    <x v="81"/>
    <n v="779301985.91999996"/>
    <s v="QUICKEN"/>
    <x v="5"/>
  </r>
  <r>
    <x v="81"/>
    <n v="754718398.10000002"/>
    <s v="NATIONSTAR"/>
    <x v="6"/>
  </r>
  <r>
    <x v="81"/>
    <n v="615656843.39999998"/>
    <s v="FLAGSTAR"/>
    <x v="7"/>
  </r>
  <r>
    <x v="81"/>
    <n v="539416375.85000002"/>
    <s v="USAA"/>
    <x v="8"/>
  </r>
  <r>
    <x v="81"/>
    <n v="482252231.64999998"/>
    <s v="CMG MORTGAGE INC"/>
    <x v="9"/>
  </r>
  <r>
    <x v="82"/>
    <n v="6464423980.5"/>
    <s v="WELLS FARGO"/>
    <x v="0"/>
  </r>
  <r>
    <x v="82"/>
    <n v="2463325497.46"/>
    <s v="CHASE"/>
    <x v="1"/>
  </r>
  <r>
    <x v="82"/>
    <n v="1076163316.6600001"/>
    <s v="PENNYMAC LOAN SERVICES, LLC"/>
    <x v="2"/>
  </r>
  <r>
    <x v="82"/>
    <n v="799622429.14999998"/>
    <s v="US BANK"/>
    <x v="3"/>
  </r>
  <r>
    <x v="82"/>
    <n v="797068629.88999999"/>
    <s v="QUICKEN"/>
    <x v="4"/>
  </r>
  <r>
    <x v="82"/>
    <n v="668737119.49000001"/>
    <s v="BANK OF AMERICA"/>
    <x v="5"/>
  </r>
  <r>
    <x v="82"/>
    <n v="639144067.30999994"/>
    <s v="FLAGSTAR"/>
    <x v="6"/>
  </r>
  <r>
    <x v="82"/>
    <n v="516460274.13"/>
    <s v="DBA FREEDOM HOME MORTGAGE CORP"/>
    <x v="7"/>
  </r>
  <r>
    <x v="82"/>
    <n v="449112516.25"/>
    <s v="BB&amp;T"/>
    <x v="8"/>
  </r>
  <r>
    <x v="82"/>
    <n v="441916409.88999999"/>
    <s v="USAA"/>
    <x v="9"/>
  </r>
  <r>
    <x v="83"/>
    <n v="4731307858.5900002"/>
    <s v="WELLS FARGO"/>
    <x v="0"/>
  </r>
  <r>
    <x v="83"/>
    <n v="1724480336.5599999"/>
    <s v="CHASE"/>
    <x v="1"/>
  </r>
  <r>
    <x v="83"/>
    <n v="1113262611.8599999"/>
    <s v="PENNYMAC LOAN SERVICES, LLC"/>
    <x v="2"/>
  </r>
  <r>
    <x v="83"/>
    <n v="870228630.88999999"/>
    <s v="QUICKEN"/>
    <x v="3"/>
  </r>
  <r>
    <x v="83"/>
    <n v="815707268.17999995"/>
    <s v="BANK OF AMERICA"/>
    <x v="4"/>
  </r>
  <r>
    <x v="83"/>
    <n v="558729588.00999999"/>
    <s v="DBA FREEDOM HOME MORTGAGE CORP"/>
    <x v="5"/>
  </r>
  <r>
    <x v="83"/>
    <n v="513276919.01999998"/>
    <s v="US BANK"/>
    <x v="6"/>
  </r>
  <r>
    <x v="83"/>
    <n v="461977965.93000001"/>
    <s v="FLAGSTAR"/>
    <x v="7"/>
  </r>
  <r>
    <x v="83"/>
    <n v="410582199.24000001"/>
    <s v="NATIONSTAR"/>
    <x v="8"/>
  </r>
  <r>
    <x v="83"/>
    <n v="396248148.92000002"/>
    <s v="USAA"/>
    <x v="9"/>
  </r>
  <r>
    <x v="84"/>
    <n v="4800004095.4399996"/>
    <s v="WELLS FARGO"/>
    <x v="0"/>
  </r>
  <r>
    <x v="84"/>
    <n v="1862401712.6600001"/>
    <s v="CHASE"/>
    <x v="1"/>
  </r>
  <r>
    <x v="84"/>
    <n v="1066458116.17"/>
    <s v="PENNYMAC LOAN SERVICES, LLC"/>
    <x v="2"/>
  </r>
  <r>
    <x v="84"/>
    <n v="802516246.95000005"/>
    <s v="QUICKEN"/>
    <x v="3"/>
  </r>
  <r>
    <x v="84"/>
    <n v="787323265.19000006"/>
    <s v="BANK OF AMERICA"/>
    <x v="4"/>
  </r>
  <r>
    <x v="84"/>
    <n v="719029877.03999996"/>
    <s v="DBA FREEDOM HOME MORTGAGE CORP"/>
    <x v="5"/>
  </r>
  <r>
    <x v="84"/>
    <n v="608692529.63"/>
    <s v="US BANK"/>
    <x v="6"/>
  </r>
  <r>
    <x v="84"/>
    <n v="511331717.36000001"/>
    <s v="FLAGSTAR"/>
    <x v="7"/>
  </r>
  <r>
    <x v="84"/>
    <n v="353889252.02999997"/>
    <s v="STONEGATE MORTGAGE CORPORATION"/>
    <x v="8"/>
  </r>
  <r>
    <x v="84"/>
    <n v="334244324.25"/>
    <s v="NATIONSTAR"/>
    <x v="9"/>
  </r>
  <r>
    <x v="85"/>
    <n v="4975614792.9300003"/>
    <s v="WELLS FARGO"/>
    <x v="0"/>
  </r>
  <r>
    <x v="85"/>
    <n v="1533271487.3800001"/>
    <s v="CHASE"/>
    <x v="1"/>
  </r>
  <r>
    <x v="85"/>
    <n v="929692115.90999997"/>
    <s v="US BANK"/>
    <x v="2"/>
  </r>
  <r>
    <x v="85"/>
    <n v="865514313.89999998"/>
    <s v="PENNYMAC LOAN SERVICES, LLC"/>
    <x v="3"/>
  </r>
  <r>
    <x v="85"/>
    <n v="770937960.11000001"/>
    <s v="DBA FREEDOM HOME MORTGAGE CORP"/>
    <x v="4"/>
  </r>
  <r>
    <x v="85"/>
    <n v="757958069.71000004"/>
    <s v="BANK OF AMERICA"/>
    <x v="5"/>
  </r>
  <r>
    <x v="85"/>
    <n v="708551293.49000001"/>
    <s v="QUICKEN"/>
    <x v="6"/>
  </r>
  <r>
    <x v="85"/>
    <n v="402849410.14999998"/>
    <s v="USAA"/>
    <x v="7"/>
  </r>
  <r>
    <x v="85"/>
    <n v="394848037.62"/>
    <s v="FLAGSTAR"/>
    <x v="8"/>
  </r>
  <r>
    <x v="85"/>
    <n v="329701965.72000003"/>
    <s v="NATIONSTAR"/>
    <x v="9"/>
  </r>
  <r>
    <x v="86"/>
    <n v="3220958142.0500002"/>
    <s v="WELLS FARGO"/>
    <x v="0"/>
  </r>
  <r>
    <x v="86"/>
    <n v="1089146163.8"/>
    <s v="CHASE"/>
    <x v="1"/>
  </r>
  <r>
    <x v="86"/>
    <n v="1022805617.8200001"/>
    <s v="PENNYMAC LOAN SERVICES, LLC"/>
    <x v="2"/>
  </r>
  <r>
    <x v="86"/>
    <n v="712356474.03999996"/>
    <s v="FREEDOM"/>
    <x v="3"/>
  </r>
  <r>
    <x v="86"/>
    <n v="695291908.09000003"/>
    <s v="QUICKEN"/>
    <x v="4"/>
  </r>
  <r>
    <x v="86"/>
    <n v="563502069.10000002"/>
    <s v="BANK OF AMERICA"/>
    <x v="5"/>
  </r>
  <r>
    <x v="86"/>
    <n v="480247030.62"/>
    <s v="US BANK"/>
    <x v="6"/>
  </r>
  <r>
    <x v="86"/>
    <n v="431135901.98000002"/>
    <s v="FLAGSTAR"/>
    <x v="7"/>
  </r>
  <r>
    <x v="86"/>
    <n v="381263288.63"/>
    <s v="NATIONSTAR"/>
    <x v="8"/>
  </r>
  <r>
    <x v="86"/>
    <n v="344011655.41000003"/>
    <s v="USAA"/>
    <x v="9"/>
  </r>
  <r>
    <x v="87"/>
    <n v="4445417365.0100002"/>
    <s v="WELLS FARGO"/>
    <x v="0"/>
  </r>
  <r>
    <x v="87"/>
    <n v="1289246266.5"/>
    <s v="PENNYMAC LOAN SERVICES, LLC"/>
    <x v="1"/>
  </r>
  <r>
    <x v="87"/>
    <n v="1181772643.3199999"/>
    <s v="CHASE"/>
    <x v="2"/>
  </r>
  <r>
    <x v="87"/>
    <n v="939936270.5"/>
    <s v="FREEDOM"/>
    <x v="3"/>
  </r>
  <r>
    <x v="87"/>
    <n v="891231518.87"/>
    <s v="QUICKEN"/>
    <x v="4"/>
  </r>
  <r>
    <x v="87"/>
    <n v="577555244.13"/>
    <s v="US BANK"/>
    <x v="5"/>
  </r>
  <r>
    <x v="87"/>
    <n v="560402271.94000006"/>
    <s v="BANK OF AMERICA"/>
    <x v="6"/>
  </r>
  <r>
    <x v="87"/>
    <n v="540535444.28999996"/>
    <s v="FLAGSTAR"/>
    <x v="7"/>
  </r>
  <r>
    <x v="87"/>
    <n v="478836948.66000003"/>
    <s v="NATIONSTAR"/>
    <x v="8"/>
  </r>
  <r>
    <x v="87"/>
    <n v="395128360.19999999"/>
    <s v="PINGORA LOAN SERVICING, INC."/>
    <x v="9"/>
  </r>
  <r>
    <x v="88"/>
    <n v="5355107741.7399998"/>
    <s v="WELLS FARGO"/>
    <x v="0"/>
  </r>
  <r>
    <x v="88"/>
    <n v="1357591642.0799999"/>
    <s v="PENNYMAC LOAN SERVICES, LLC"/>
    <x v="1"/>
  </r>
  <r>
    <x v="88"/>
    <n v="1184891022.47"/>
    <s v="CHASE"/>
    <x v="2"/>
  </r>
  <r>
    <x v="88"/>
    <n v="964743791.53999996"/>
    <s v="QUICKEN"/>
    <x v="3"/>
  </r>
  <r>
    <x v="88"/>
    <n v="655069246.73000002"/>
    <s v="US BANK"/>
    <x v="4"/>
  </r>
  <r>
    <x v="88"/>
    <n v="646605506.82000005"/>
    <s v="PINGORA LOAN SERVICING, INC."/>
    <x v="5"/>
  </r>
  <r>
    <x v="88"/>
    <n v="624382026.03999996"/>
    <s v="DBA FREEDOM HOME MORTGAGE CORP"/>
    <x v="6"/>
  </r>
  <r>
    <x v="88"/>
    <n v="594617651.25"/>
    <s v="BANK OF AMERICA"/>
    <x v="7"/>
  </r>
  <r>
    <x v="88"/>
    <n v="515014397.62"/>
    <s v="FLAGSTAR"/>
    <x v="8"/>
  </r>
  <r>
    <x v="88"/>
    <n v="471330854.68000001"/>
    <s v="NATIONSTAR"/>
    <x v="9"/>
  </r>
  <r>
    <x v="89"/>
    <n v="6002735545.8500004"/>
    <s v="WELLS FARGO"/>
    <x v="0"/>
  </r>
  <r>
    <x v="89"/>
    <n v="1326631431.48"/>
    <s v="PENNYMAC LOAN SERVICES, LLC"/>
    <x v="1"/>
  </r>
  <r>
    <x v="89"/>
    <n v="1080807363.3299999"/>
    <s v="FREEDOM"/>
    <x v="2"/>
  </r>
  <r>
    <x v="89"/>
    <n v="993878458.38999999"/>
    <s v="QUICKEN"/>
    <x v="3"/>
  </r>
  <r>
    <x v="89"/>
    <n v="845899464.78999996"/>
    <s v="CHASE"/>
    <x v="4"/>
  </r>
  <r>
    <x v="89"/>
    <n v="769198130.64999998"/>
    <s v="US BANK"/>
    <x v="5"/>
  </r>
  <r>
    <x v="89"/>
    <n v="608138021.98000002"/>
    <s v="PINGORA LOAN SERVICING, INC."/>
    <x v="6"/>
  </r>
  <r>
    <x v="89"/>
    <n v="546000521.87"/>
    <s v="FLAGSTAR"/>
    <x v="7"/>
  </r>
  <r>
    <x v="89"/>
    <n v="539540337.66999996"/>
    <s v="USAA"/>
    <x v="8"/>
  </r>
  <r>
    <x v="89"/>
    <n v="491285245.54000002"/>
    <s v="SUNTRUST"/>
    <x v="9"/>
  </r>
  <r>
    <x v="90"/>
    <n v="4723917455.1999998"/>
    <s v="WELLS FARGO"/>
    <x v="0"/>
  </r>
  <r>
    <x v="90"/>
    <n v="1670155620.8699999"/>
    <s v="PENNYMAC LOAN SERVICES, LLC"/>
    <x v="1"/>
  </r>
  <r>
    <x v="90"/>
    <n v="1027789952.87"/>
    <s v="QUICKEN"/>
    <x v="2"/>
  </r>
  <r>
    <x v="90"/>
    <n v="1023157972.13"/>
    <s v="US BANK"/>
    <x v="3"/>
  </r>
  <r>
    <x v="90"/>
    <n v="910093667.67999995"/>
    <s v="CHASE"/>
    <x v="4"/>
  </r>
  <r>
    <x v="90"/>
    <n v="877802032.32000005"/>
    <s v="PINGORA LOAN SERVICING, INC."/>
    <x v="5"/>
  </r>
  <r>
    <x v="90"/>
    <n v="791978650.03999996"/>
    <s v="USAA"/>
    <x v="6"/>
  </r>
  <r>
    <x v="90"/>
    <n v="698183951.72000003"/>
    <s v="DBA FREEDOM HOME MORTGAGE CORP"/>
    <x v="7"/>
  </r>
  <r>
    <x v="90"/>
    <n v="691950470.26999998"/>
    <s v="FREEDOM"/>
    <x v="8"/>
  </r>
  <r>
    <x v="90"/>
    <n v="650480839.63999999"/>
    <s v="FLAGSTAR"/>
    <x v="9"/>
  </r>
  <r>
    <x v="91"/>
    <n v="6318663594.3699999"/>
    <s v="WELLS FARGO"/>
    <x v="0"/>
  </r>
  <r>
    <x v="91"/>
    <n v="1699898385.21"/>
    <s v="FREEDOM"/>
    <x v="1"/>
  </r>
  <r>
    <x v="91"/>
    <n v="1635145941.8399999"/>
    <s v="PENNYMAC LOAN SERVICES, LLC"/>
    <x v="2"/>
  </r>
  <r>
    <x v="91"/>
    <n v="1320321847.8299999"/>
    <s v="US BANK"/>
    <x v="3"/>
  </r>
  <r>
    <x v="91"/>
    <n v="1055336225.5700001"/>
    <s v="CHASE"/>
    <x v="4"/>
  </r>
  <r>
    <x v="91"/>
    <n v="981734208.25999999"/>
    <s v="QUICKEN"/>
    <x v="5"/>
  </r>
  <r>
    <x v="91"/>
    <n v="975030866.97000003"/>
    <s v="USAA"/>
    <x v="6"/>
  </r>
  <r>
    <x v="91"/>
    <n v="881794092.59000003"/>
    <s v="PINGORA LOAN SERVICING, INC."/>
    <x v="7"/>
  </r>
  <r>
    <x v="91"/>
    <n v="689850035.39999998"/>
    <s v="FLAGSTAR"/>
    <x v="8"/>
  </r>
  <r>
    <x v="91"/>
    <n v="608899879.34000003"/>
    <s v="PACIFIC UNION FINANCIAL LLC"/>
    <x v="9"/>
  </r>
  <r>
    <x v="92"/>
    <n v="4613722824.3800001"/>
    <s v="WELLS FARGO"/>
    <x v="0"/>
  </r>
  <r>
    <x v="92"/>
    <n v="1556373390.77"/>
    <s v="PENNYMAC LOAN SERVICES, LLC"/>
    <x v="1"/>
  </r>
  <r>
    <x v="92"/>
    <n v="1415728775.98"/>
    <s v="CHASE"/>
    <x v="2"/>
  </r>
  <r>
    <x v="92"/>
    <n v="1383444647.1400001"/>
    <s v="FREEDOM"/>
    <x v="3"/>
  </r>
  <r>
    <x v="92"/>
    <n v="1031058634.13"/>
    <s v="US BANK"/>
    <x v="4"/>
  </r>
  <r>
    <x v="92"/>
    <n v="960697697.27999997"/>
    <s v="PINGORA LOAN SERVICING, INC."/>
    <x v="5"/>
  </r>
  <r>
    <x v="92"/>
    <n v="911284632.14999998"/>
    <s v="QUICKEN"/>
    <x v="6"/>
  </r>
  <r>
    <x v="92"/>
    <n v="726301542.14999998"/>
    <s v="USAA"/>
    <x v="7"/>
  </r>
  <r>
    <x v="92"/>
    <n v="723572045.92999995"/>
    <s v="FLAGSTAR"/>
    <x v="8"/>
  </r>
  <r>
    <x v="92"/>
    <n v="481583172.60000002"/>
    <s v="PACIFIC UNION FINANCIAL LLC"/>
    <x v="9"/>
  </r>
  <r>
    <x v="93"/>
    <n v="4905737431.7200003"/>
    <s v="WELLS FARGO"/>
    <x v="0"/>
  </r>
  <r>
    <x v="93"/>
    <n v="1778992721.8800001"/>
    <s v="PENNYMAC LOAN SERVICES, LLC"/>
    <x v="1"/>
  </r>
  <r>
    <x v="93"/>
    <n v="1702449370.6600001"/>
    <s v="FREEDOM"/>
    <x v="2"/>
  </r>
  <r>
    <x v="93"/>
    <n v="1640922646.6199999"/>
    <s v="CHASE"/>
    <x v="3"/>
  </r>
  <r>
    <x v="93"/>
    <n v="1409364042.8199999"/>
    <s v="PINGORA LOAN SERVICING, INC."/>
    <x v="4"/>
  </r>
  <r>
    <x v="93"/>
    <n v="1199448917.1400001"/>
    <s v="US BANK"/>
    <x v="5"/>
  </r>
  <r>
    <x v="93"/>
    <n v="1091284686.5"/>
    <s v="QUICKEN"/>
    <x v="6"/>
  </r>
  <r>
    <x v="93"/>
    <n v="775537759.84000003"/>
    <s v="USAA"/>
    <x v="7"/>
  </r>
  <r>
    <x v="93"/>
    <n v="717643687.88"/>
    <s v="FLAGSTAR"/>
    <x v="8"/>
  </r>
  <r>
    <x v="93"/>
    <n v="569804138.59000003"/>
    <s v="STONEGATE MORTGAGE CORPORATION"/>
    <x v="9"/>
  </r>
  <r>
    <x v="94"/>
    <n v="4010907765.6100001"/>
    <s v="WELLS FARGO"/>
    <x v="0"/>
  </r>
  <r>
    <x v="94"/>
    <n v="1481928390.0599999"/>
    <s v="FREEDOM"/>
    <x v="1"/>
  </r>
  <r>
    <x v="94"/>
    <n v="1318877643.8399999"/>
    <s v="PENNYMAC LOAN SERVICES, LLC"/>
    <x v="2"/>
  </r>
  <r>
    <x v="94"/>
    <n v="1268946997.46"/>
    <s v="QUICKEN"/>
    <x v="3"/>
  </r>
  <r>
    <x v="94"/>
    <n v="1130359359.48"/>
    <s v="CHASE"/>
    <x v="4"/>
  </r>
  <r>
    <x v="94"/>
    <n v="1040007439.1900001"/>
    <s v="US BANK"/>
    <x v="5"/>
  </r>
  <r>
    <x v="94"/>
    <n v="1029313038.71"/>
    <s v="PINGORA LOAN SERVICING, INC."/>
    <x v="6"/>
  </r>
  <r>
    <x v="94"/>
    <n v="682912583.20000005"/>
    <s v="PACIFIC UNION FINANCIAL LLC"/>
    <x v="7"/>
  </r>
  <r>
    <x v="94"/>
    <n v="656362470.60000002"/>
    <s v="FLAGSTAR"/>
    <x v="8"/>
  </r>
  <r>
    <x v="94"/>
    <n v="639313497.61000001"/>
    <s v="USAA"/>
    <x v="9"/>
  </r>
  <r>
    <x v="95"/>
    <n v="4309016116.8000002"/>
    <s v="WELLS FARGO"/>
    <x v="0"/>
  </r>
  <r>
    <x v="95"/>
    <n v="1701533056"/>
    <s v="QUICKEN"/>
    <x v="1"/>
  </r>
  <r>
    <x v="95"/>
    <n v="1622968081.75"/>
    <s v="PENNYMAC LOAN SERVICES, LLC"/>
    <x v="2"/>
  </r>
  <r>
    <x v="95"/>
    <n v="1593404499.52"/>
    <s v="FREEDOM"/>
    <x v="3"/>
  </r>
  <r>
    <x v="95"/>
    <n v="1061153848.83"/>
    <s v="US BANK"/>
    <x v="4"/>
  </r>
  <r>
    <x v="95"/>
    <n v="1041623721.72"/>
    <s v="CHASE"/>
    <x v="5"/>
  </r>
  <r>
    <x v="95"/>
    <n v="783384788.52999997"/>
    <s v="PINGORA LOAN SERVICING, INC."/>
    <x v="6"/>
  </r>
  <r>
    <x v="95"/>
    <n v="595284777.33000004"/>
    <s v="PACIFIC UNION FINANCIAL LLC"/>
    <x v="7"/>
  </r>
  <r>
    <x v="95"/>
    <n v="555021260.59000003"/>
    <s v="FLAGSTAR"/>
    <x v="8"/>
  </r>
  <r>
    <x v="95"/>
    <n v="538719380.54999995"/>
    <s v="USAA"/>
    <x v="9"/>
  </r>
  <r>
    <x v="96"/>
    <n v="3904655310.6700001"/>
    <s v="WELLS FARGO"/>
    <x v="0"/>
  </r>
  <r>
    <x v="96"/>
    <n v="1879668236.21"/>
    <s v="FREEDOM"/>
    <x v="1"/>
  </r>
  <r>
    <x v="96"/>
    <n v="1625033492.25"/>
    <s v="PENNYMAC LOAN SERVICES, LLC"/>
    <x v="2"/>
  </r>
  <r>
    <x v="96"/>
    <n v="1608075629.5699999"/>
    <s v="QUICKEN"/>
    <x v="3"/>
  </r>
  <r>
    <x v="96"/>
    <n v="1178028705.72"/>
    <s v="US BANK"/>
    <x v="4"/>
  </r>
  <r>
    <x v="96"/>
    <n v="896080600.24000001"/>
    <s v="PINGORA LOAN SERVICING, INC."/>
    <x v="5"/>
  </r>
  <r>
    <x v="96"/>
    <n v="742919383.65999997"/>
    <s v="PACIFIC UNION FINANCIAL LLC"/>
    <x v="6"/>
  </r>
  <r>
    <x v="96"/>
    <n v="567421630.83000004"/>
    <s v="SUN WEST MORTGAGE CO INC"/>
    <x v="7"/>
  </r>
  <r>
    <x v="96"/>
    <n v="556752715.63"/>
    <s v="ROUNDPOINT MORTGAGE SERVICING CORPORATION"/>
    <x v="8"/>
  </r>
  <r>
    <x v="96"/>
    <n v="538077240.82000005"/>
    <s v="CHASE"/>
    <x v="9"/>
  </r>
  <r>
    <x v="97"/>
    <n v="4061400420.8899999"/>
    <s v="WELLS FARGO"/>
    <x v="0"/>
  </r>
  <r>
    <x v="97"/>
    <n v="1709595700.75"/>
    <s v="FREEDOM"/>
    <x v="1"/>
  </r>
  <r>
    <x v="97"/>
    <n v="1276651700.3800001"/>
    <s v="QUICKEN"/>
    <x v="2"/>
  </r>
  <r>
    <x v="97"/>
    <n v="1254494476.75"/>
    <s v="PENNYMAC LOAN SERVICES, LLC"/>
    <x v="3"/>
  </r>
  <r>
    <x v="97"/>
    <n v="1154041709.48"/>
    <s v="US BANK"/>
    <x v="4"/>
  </r>
  <r>
    <x v="97"/>
    <n v="801913745.34000003"/>
    <s v="PINGORA LOAN SERVICING, INC."/>
    <x v="5"/>
  </r>
  <r>
    <x v="97"/>
    <n v="773346642.21000004"/>
    <s v="CHASE"/>
    <x v="6"/>
  </r>
  <r>
    <x v="97"/>
    <n v="509205711.77999997"/>
    <s v="USAA"/>
    <x v="7"/>
  </r>
  <r>
    <x v="97"/>
    <n v="495007211.51999998"/>
    <s v="PACIFIC UNION FINANCIAL LLC"/>
    <x v="8"/>
  </r>
  <r>
    <x v="97"/>
    <n v="463957555.94999999"/>
    <s v="SUN WEST MORTGAGE CO INC"/>
    <x v="9"/>
  </r>
  <r>
    <x v="98"/>
    <n v="4519939214.6099997"/>
    <s v="WELLS FARGO"/>
    <x v="0"/>
  </r>
  <r>
    <x v="98"/>
    <n v="2184165727.7399998"/>
    <s v="PENNYMAC LOAN SERVICES, LLC"/>
    <x v="1"/>
  </r>
  <r>
    <x v="98"/>
    <n v="1951357567.9100001"/>
    <s v="FREEDOM"/>
    <x v="2"/>
  </r>
  <r>
    <x v="98"/>
    <n v="1395752227.78"/>
    <s v="QUICKEN"/>
    <x v="3"/>
  </r>
  <r>
    <x v="98"/>
    <n v="1193108817.8"/>
    <s v="US BANK"/>
    <x v="4"/>
  </r>
  <r>
    <x v="98"/>
    <n v="1150073844.3399999"/>
    <s v="PINGORA LOAN SERVICING, INC."/>
    <x v="5"/>
  </r>
  <r>
    <x v="98"/>
    <n v="1121598716.0999999"/>
    <s v="CHASE"/>
    <x v="6"/>
  </r>
  <r>
    <x v="98"/>
    <n v="740711037.30999994"/>
    <s v="STEARNS LENDING INC DBA FPF WHOLESALE CU"/>
    <x v="7"/>
  </r>
  <r>
    <x v="98"/>
    <n v="711619802.50999999"/>
    <s v="SUN WEST MORTGAGE CO INC"/>
    <x v="8"/>
  </r>
  <r>
    <x v="98"/>
    <n v="704205064.92999995"/>
    <s v="PACIFIC UNION FINANCIAL LLC"/>
    <x v="9"/>
  </r>
  <r>
    <x v="99"/>
    <n v="5345630110.9799995"/>
    <s v="WELLS FARGO"/>
    <x v="0"/>
  </r>
  <r>
    <x v="99"/>
    <n v="2768969803.9499998"/>
    <s v="FREEDOM"/>
    <x v="1"/>
  </r>
  <r>
    <x v="99"/>
    <n v="2695906594.3299999"/>
    <s v="PENNYMAC LOAN SERVICES, LLC"/>
    <x v="2"/>
  </r>
  <r>
    <x v="99"/>
    <n v="1578591042.45"/>
    <s v="QUICKEN"/>
    <x v="3"/>
  </r>
  <r>
    <x v="99"/>
    <n v="1544807428.47"/>
    <s v="PINGORA LOAN SERVICING, INC."/>
    <x v="4"/>
  </r>
  <r>
    <x v="99"/>
    <n v="1199028717.3499999"/>
    <s v="US BANK"/>
    <x v="5"/>
  </r>
  <r>
    <x v="99"/>
    <n v="1061581290.74"/>
    <s v="PACIFIC UNION FINANCIAL LLC"/>
    <x v="6"/>
  </r>
  <r>
    <x v="99"/>
    <n v="1004138741.78"/>
    <s v="CHASE"/>
    <x v="7"/>
  </r>
  <r>
    <x v="99"/>
    <n v="994538230.60000002"/>
    <s v="GREEN TREE SERVICING, LLC"/>
    <x v="8"/>
  </r>
  <r>
    <x v="99"/>
    <n v="918420730.11000001"/>
    <s v="STEARNS LENDING INC DBA FPF WHOLESALE CU"/>
    <x v="9"/>
  </r>
  <r>
    <x v="100"/>
    <n v="5284302393.6499996"/>
    <s v="WELLS FARGO"/>
    <x v="0"/>
  </r>
  <r>
    <x v="100"/>
    <n v="2759129427.4200001"/>
    <s v="PENNYMAC LOAN SERVICES, LLC"/>
    <x v="1"/>
  </r>
  <r>
    <x v="100"/>
    <n v="2307737488.4499998"/>
    <s v="FREEDOM"/>
    <x v="2"/>
  </r>
  <r>
    <x v="100"/>
    <n v="1962171206.3499999"/>
    <s v="QUICKEN"/>
    <x v="3"/>
  </r>
  <r>
    <x v="100"/>
    <n v="1556095727.8299999"/>
    <s v="PINGORA LOAN SERVICING, INC."/>
    <x v="4"/>
  </r>
  <r>
    <x v="100"/>
    <n v="1235239041.9300001"/>
    <s v="US BANK"/>
    <x v="5"/>
  </r>
  <r>
    <x v="100"/>
    <n v="1088099243.8800001"/>
    <s v="PACIFIC UNION FINANCIAL LLC"/>
    <x v="6"/>
  </r>
  <r>
    <x v="100"/>
    <n v="1086294345.46"/>
    <s v="CHASE"/>
    <x v="7"/>
  </r>
  <r>
    <x v="100"/>
    <n v="925774557.82000005"/>
    <s v="SUN WEST MORTGAGE CO INC"/>
    <x v="8"/>
  </r>
  <r>
    <x v="100"/>
    <n v="834172991.00999999"/>
    <s v="GREEN TREE SERVICING, LLC"/>
    <x v="9"/>
  </r>
  <r>
    <x v="101"/>
    <n v="5481594328.75"/>
    <s v="WELLS FARGO"/>
    <x v="0"/>
  </r>
  <r>
    <x v="101"/>
    <n v="3177987197.46"/>
    <s v="PENNYMAC LOAN SERVICES, LLC"/>
    <x v="1"/>
  </r>
  <r>
    <x v="101"/>
    <n v="2270460975.3400002"/>
    <s v="FREEDOM"/>
    <x v="2"/>
  </r>
  <r>
    <x v="101"/>
    <n v="1886311419.0699999"/>
    <s v="QUICKEN"/>
    <x v="3"/>
  </r>
  <r>
    <x v="101"/>
    <n v="1561740391.01"/>
    <s v="PINGORA LOAN SERVICING, INC."/>
    <x v="4"/>
  </r>
  <r>
    <x v="101"/>
    <n v="1377875054.01"/>
    <s v="US BANK"/>
    <x v="5"/>
  </r>
  <r>
    <x v="101"/>
    <n v="1282498346.24"/>
    <s v="CHASE"/>
    <x v="6"/>
  </r>
  <r>
    <x v="101"/>
    <n v="1176922491.25"/>
    <s v="GREEN TREE SERVICING, LLC"/>
    <x v="7"/>
  </r>
  <r>
    <x v="101"/>
    <n v="904657191.88999999"/>
    <s v="PACIFIC UNION FINANCIAL LLC"/>
    <x v="8"/>
  </r>
  <r>
    <x v="101"/>
    <n v="871289826.52999997"/>
    <s v="AMERIHOME MORTGAGE CORPORATION"/>
    <x v="9"/>
  </r>
  <r>
    <x v="102"/>
    <n v="6693062048.2700005"/>
    <s v="WELLS FARGO"/>
    <x v="0"/>
  </r>
  <r>
    <x v="102"/>
    <n v="4389526848.6400003"/>
    <s v="PENNYMAC LOAN SERVICES, LLC"/>
    <x v="1"/>
  </r>
  <r>
    <x v="102"/>
    <n v="2793460572.6799998"/>
    <s v="FREEDOM"/>
    <x v="2"/>
  </r>
  <r>
    <x v="102"/>
    <n v="2148343380.27"/>
    <s v="QUICKEN"/>
    <x v="3"/>
  </r>
  <r>
    <x v="102"/>
    <n v="1626002656.4200001"/>
    <s v="US BANK"/>
    <x v="4"/>
  </r>
  <r>
    <x v="102"/>
    <n v="1579855736.54"/>
    <s v="PINGORA LOAN SERVICING, INC."/>
    <x v="5"/>
  </r>
  <r>
    <x v="102"/>
    <n v="1483706914.55"/>
    <s v="CHASE"/>
    <x v="6"/>
  </r>
  <r>
    <x v="102"/>
    <n v="1375072415.3399999"/>
    <s v="GREEN TREE SERVICING, LLC"/>
    <x v="7"/>
  </r>
  <r>
    <x v="102"/>
    <n v="998871575.23000002"/>
    <s v="AMERIHOME MORTGAGE CORPORATION"/>
    <x v="8"/>
  </r>
  <r>
    <x v="102"/>
    <n v="891592436.95000005"/>
    <s v="CALIBER HOME LOANS INC"/>
    <x v="9"/>
  </r>
  <r>
    <x v="103"/>
    <n v="5979663190.5"/>
    <s v="WELLS FARGO"/>
    <x v="0"/>
  </r>
  <r>
    <x v="103"/>
    <n v="3828132630.4200001"/>
    <s v="PENNYMAC LOAN SERVICES, LLC"/>
    <x v="1"/>
  </r>
  <r>
    <x v="103"/>
    <n v="2621256984.46"/>
    <s v="FREEDOM"/>
    <x v="2"/>
  </r>
  <r>
    <x v="103"/>
    <n v="1912485760.72"/>
    <s v="QUICKEN"/>
    <x v="3"/>
  </r>
  <r>
    <x v="103"/>
    <n v="1713355770.6600001"/>
    <s v="US BANK"/>
    <x v="4"/>
  </r>
  <r>
    <x v="103"/>
    <n v="1450736794.8399999"/>
    <s v="PINGORA LOAN SERVICING, INC."/>
    <x v="5"/>
  </r>
  <r>
    <x v="103"/>
    <n v="1292700457.76"/>
    <s v="CHASE"/>
    <x v="6"/>
  </r>
  <r>
    <x v="103"/>
    <n v="1249771641.9400001"/>
    <s v="GREEN TREE SERVICING, LLC"/>
    <x v="7"/>
  </r>
  <r>
    <x v="103"/>
    <n v="1131521630.3299999"/>
    <s v="AMERIHOME MORTGAGE CORPORATION"/>
    <x v="8"/>
  </r>
  <r>
    <x v="103"/>
    <n v="847194258.99000001"/>
    <s v="CALIBER HOME LOANS INC"/>
    <x v="9"/>
  </r>
  <r>
    <x v="104"/>
    <n v="3865493579.5599999"/>
    <s v="WELLS FARGO"/>
    <x v="0"/>
  </r>
  <r>
    <x v="104"/>
    <n v="3017386265.3200002"/>
    <s v="PENNYMAC LOAN SERVICES, LLC"/>
    <x v="1"/>
  </r>
  <r>
    <x v="104"/>
    <n v="2132071507.73"/>
    <s v="FREEDOM"/>
    <x v="2"/>
  </r>
  <r>
    <x v="104"/>
    <n v="1854356527.48"/>
    <s v="QUICKEN"/>
    <x v="3"/>
  </r>
  <r>
    <x v="104"/>
    <n v="1457355700.9000001"/>
    <s v="PINGORA LOAN SERVICING, INC."/>
    <x v="4"/>
  </r>
  <r>
    <x v="104"/>
    <n v="1213836827.3900001"/>
    <s v="US BANK"/>
    <x v="5"/>
  </r>
  <r>
    <x v="104"/>
    <n v="984422780.87"/>
    <s v="DITECH FINANCIAL LLC"/>
    <x v="6"/>
  </r>
  <r>
    <x v="104"/>
    <n v="954764831.53999996"/>
    <s v="AMERIHOME MORTGAGE CORPORATION"/>
    <x v="7"/>
  </r>
  <r>
    <x v="104"/>
    <n v="905329864.67999995"/>
    <s v="CALIBER HOME LOANS INC"/>
    <x v="8"/>
  </r>
  <r>
    <x v="104"/>
    <n v="844207397.26999998"/>
    <s v="CHASE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9" firstHeaderRow="1" firstDataRow="1" firstDataCol="1" rowPageCount="1" colPageCount="1"/>
  <pivotFields count="4">
    <pivotField axis="axisRow" numFmtId="14" showAll="0">
      <items count="1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9" firstHeaderRow="1" firstDataRow="1" firstDataCol="1" rowPageCount="1" colPageCount="1"/>
  <pivotFields count="4">
    <pivotField axis="axisRow" numFmtId="14" showAll="0">
      <items count="1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9" firstHeaderRow="1" firstDataRow="1" firstDataCol="1"/>
  <pivotFields count="4">
    <pivotField axis="axisRow" numFmtId="14" showAll="0">
      <items count="1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t="default"/>
      </items>
    </pivotField>
    <pivotField dataField="1" showAll="0"/>
    <pivotField showAll="0"/>
    <pivotField showAll="0"/>
  </pivotFields>
  <rowFields count="1">
    <field x="0"/>
  </rowFields>
  <rowItems count="1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103" tableType="queryTable" totalsRowShown="0" headerRowDxfId="40" dataDxfId="39">
  <tableColumns count="12">
    <tableColumn id="2" uniqueName="2" name="asOf" queryTableFieldId="57" dataDxfId="38"/>
    <tableColumn id="3" uniqueName="3" name="TotalBalance" queryTableFieldId="58" dataDxfId="37"/>
    <tableColumn id="1" uniqueName="1" name="Total Amount" queryTableFieldId="60" dataDxfId="36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35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34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33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32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31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0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9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28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27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103" tableType="queryTable" totalsRowShown="0" headerRowDxfId="26" dataDxfId="25">
  <tableColumns count="11">
    <tableColumn id="2" uniqueName="2" name="asOf" queryTableFieldId="57" dataDxfId="24"/>
    <tableColumn id="3" uniqueName="3" name="TotalBalance" queryTableFieldId="58" dataDxfId="23"/>
    <tableColumn id="1" uniqueName="1" name="Top 10 Amount" queryTableFieldId="60" dataDxfId="22">
      <calculatedColumnFormula>VLOOKUP($N4,'Pivot equal'!C:D,2,0)</calculatedColumnFormula>
    </tableColumn>
    <tableColumn id="4" uniqueName="4" name="Top 5 Amount" queryTableFieldId="61" dataDxfId="21">
      <calculatedColumnFormula>VLOOKUP(N4,'Pivot equal'!G:H,2,0)</calculatedColumnFormula>
    </tableColumn>
    <tableColumn id="5" uniqueName="5" name="Top 1 Amount" queryTableFieldId="62" dataDxfId="20">
      <calculatedColumnFormula>VLOOKUP(N4,'Pivot equal'!K:L,2,0)</calculatedColumnFormula>
    </tableColumn>
    <tableColumn id="6" uniqueName="6" name="Remaining Amount" queryTableFieldId="63" dataDxfId="19">
      <calculatedColumnFormula>VLOOKUP(N4,CurrentMtgRatesDataTable9[],2,0)</calculatedColumnFormula>
    </tableColumn>
    <tableColumn id="7" uniqueName="7" name="N/A Amount" queryTableFieldId="64" dataDxfId="18">
      <calculatedColumnFormula>VLOOKUP(N4,CurrentMtgRatesDataTable93[],2,0)</calculatedColumnFormula>
    </tableColumn>
    <tableColumn id="8" uniqueName="8" name="Top 10" queryTableFieldId="65" dataDxfId="17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6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5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4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5" tableType="queryTable" totalsRowShown="0" headerRowDxfId="13" dataDxfId="12">
  <tableColumns count="2">
    <tableColumn id="2" uniqueName="2" name="asOf" queryTableFieldId="57" dataDxfId="11"/>
    <tableColumn id="3" uniqueName="3" name="TotalBalance" queryTableFieldId="58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053" tableType="queryTable" totalsRowShown="0" headerRowDxfId="9" dataDxfId="8">
  <tableColumns count="4">
    <tableColumn id="2" uniqueName="2" name="asOf" queryTableFieldId="57" dataDxfId="7"/>
    <tableColumn id="3" uniqueName="3" name="TotalBalance" queryTableFieldId="58" dataDxfId="6"/>
    <tableColumn id="1" uniqueName="1" name="servicerName" queryTableFieldId="60" dataDxfId="5"/>
    <tableColumn id="4" uniqueName="4" name="Rank" queryTableFieldId="61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4" tableType="queryTable" insertRow="1" totalsRowShown="0" headerRowDxfId="3" dataDxfId="2">
  <tableColumns count="2">
    <tableColumn id="2" uniqueName="2" name="asOf" queryTableFieldId="57" dataDxfId="1"/>
    <tableColumn id="3" uniqueName="3" name="TotalBalance" queryTableFieldId="58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zoomScaleNormal="100" workbookViewId="0">
      <selection activeCell="U10" sqref="U10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61</v>
      </c>
      <c r="U1" s="13" t="s">
        <v>62</v>
      </c>
      <c r="V1" s="17" t="s">
        <v>63</v>
      </c>
      <c r="W1" s="13" t="s">
        <v>64</v>
      </c>
    </row>
    <row r="2" spans="3:23">
      <c r="T2" s="12" t="s">
        <v>65</v>
      </c>
      <c r="U2" s="14">
        <v>42279</v>
      </c>
    </row>
    <row r="3" spans="3:23">
      <c r="T3" s="12" t="s">
        <v>86</v>
      </c>
      <c r="U3" s="40" t="s">
        <v>97</v>
      </c>
    </row>
    <row r="4" spans="3:23">
      <c r="T4" s="12" t="s">
        <v>66</v>
      </c>
      <c r="U4" s="13" t="str">
        <f>PDFReportDir&amp;"Market Concentration  - GNM " &amp; TEXT(CurrentCloseDate, "yyyy-mm-dd") &amp; ".pdf"</f>
        <v>S:\IT\Production\Daily Reports\Primary Market\tmp\Market Concentration  - GNM 2015-10-02.pdf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81</v>
      </c>
      <c r="U9" s="31">
        <f>IF(DAY(CurrentCloseDate)&lt;32,(CurrentCloseDate-DAY(CurrentCloseDate))-DAY((CurrentCloseDate-DAY(CurrentCloseDate)))+1,CurrentCloseDate-DAY(CurrentCloseDate)+1)</f>
        <v>42248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82</v>
      </c>
      <c r="U10" s="32">
        <f>(U9-1)-DAY((U9-1))+1</f>
        <v>42217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  <c r="T11" s="26" t="s">
        <v>116</v>
      </c>
      <c r="U11" s="32">
        <f>IF(DAY(CurrentCloseDate)&lt;5,U10,CurrentMonth)</f>
        <v>42217</v>
      </c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94</v>
      </c>
      <c r="U12" s="32">
        <v>38869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39" spans="3:11" ht="15">
      <c r="H39" s="57" t="s">
        <v>98</v>
      </c>
      <c r="I39" s="58">
        <f>U9</f>
        <v>42248</v>
      </c>
    </row>
    <row r="40" spans="3:11">
      <c r="D40" s="20"/>
      <c r="E40" s="21" t="s">
        <v>75</v>
      </c>
      <c r="F40" s="22" t="s">
        <v>76</v>
      </c>
      <c r="G40" s="22" t="s">
        <v>77</v>
      </c>
      <c r="H40" s="22" t="s">
        <v>78</v>
      </c>
      <c r="I40" s="22" t="s">
        <v>79</v>
      </c>
    </row>
    <row r="41" spans="3:11">
      <c r="D41" s="23" t="s">
        <v>72</v>
      </c>
      <c r="E41" s="33">
        <f>'Result Combine'!$J$4</f>
        <v>0.43313150196074429</v>
      </c>
      <c r="F41" s="27">
        <f>'Result Combine'!$J$4-'Result Combine'!$J$5</f>
        <v>-7.1766948107817308E-2</v>
      </c>
      <c r="G41" s="27">
        <f>'Result Combine'!$J$4-'Result Combine'!$J$7</f>
        <v>-4.8861141590048673E-2</v>
      </c>
      <c r="H41" s="27">
        <f>'Result Combine'!$J$4-'Result Combine'!$J$10</f>
        <v>-6.3175251293215384E-2</v>
      </c>
      <c r="I41" s="27">
        <f>'Result Combine'!$J$4-'Result Combine'!$J$16</f>
        <v>-6.8206500492872746E-2</v>
      </c>
    </row>
    <row r="42" spans="3:11">
      <c r="D42" s="23" t="s">
        <v>73</v>
      </c>
      <c r="E42" s="33">
        <f>'Result Combine'!$K$4</f>
        <v>0.30988429388915173</v>
      </c>
      <c r="F42" s="27">
        <f>'Result Combine'!$K$4-'Result Combine'!$K$5</f>
        <v>-5.8125777027364933E-2</v>
      </c>
      <c r="G42" s="27">
        <f>'Result Combine'!$K$4-'Result Combine'!$K$7</f>
        <v>-3.6772641046381616E-2</v>
      </c>
      <c r="H42" s="27">
        <f>'Result Combine'!$K$4-'Result Combine'!$K$10</f>
        <v>-4.6193059090421873E-2</v>
      </c>
      <c r="I42" s="27">
        <f>'Result Combine'!$K$4-'Result Combine'!$K$16</f>
        <v>-5.3316886506126482E-2</v>
      </c>
    </row>
    <row r="43" spans="3:11">
      <c r="D43" s="23" t="s">
        <v>74</v>
      </c>
      <c r="E43" s="33">
        <f>'Result Combine'!$L$4</f>
        <v>9.7175990937427362E-2</v>
      </c>
      <c r="F43" s="27">
        <f>'Result Combine'!$L$4-'Result Combine'!$L$5</f>
        <v>-3.988976786699229E-2</v>
      </c>
      <c r="G43" s="27">
        <f>'Result Combine'!$L$4-'Result Combine'!$L$7</f>
        <v>-3.4985660487228912E-2</v>
      </c>
      <c r="H43" s="27">
        <f>'Result Combine'!$L$4-'Result Combine'!$L$10</f>
        <v>-4.5958274380916084E-2</v>
      </c>
      <c r="I43" s="27">
        <f>'Result Combine'!$L$4-'Result Combine'!$L$16</f>
        <v>-7.0389465934249482E-2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84</v>
      </c>
      <c r="E47" s="57" t="s">
        <v>98</v>
      </c>
      <c r="F47" s="58">
        <f>U9</f>
        <v>42248</v>
      </c>
      <c r="H47" s="15" t="s">
        <v>85</v>
      </c>
      <c r="J47" s="57" t="s">
        <v>98</v>
      </c>
      <c r="K47" s="58">
        <f>U10</f>
        <v>42217</v>
      </c>
    </row>
    <row r="48" spans="3:11">
      <c r="C48" s="50" t="s">
        <v>3</v>
      </c>
      <c r="D48" s="51" t="s">
        <v>83</v>
      </c>
      <c r="E48" s="51" t="s">
        <v>80</v>
      </c>
      <c r="F48" s="52" t="s">
        <v>96</v>
      </c>
      <c r="H48" s="50" t="s">
        <v>3</v>
      </c>
      <c r="I48" s="51" t="s">
        <v>83</v>
      </c>
      <c r="J48" s="51" t="s">
        <v>80</v>
      </c>
      <c r="K48" s="52" t="s">
        <v>96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WELLS FARGO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9.7175990937427362E-2</v>
      </c>
      <c r="F49" s="55">
        <f t="array" ref="F49">VLOOKUP(C49&amp;$U$9,IF({1,0},CurrentMtgRatesDataTable82[Rank]&amp;CurrentMtgRatesDataTable82[asOf],CurrentMtgRatesDataTable82[TotalBalance]),2,0)/1000000</f>
        <v>3865.4935795599999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WELLS FARGO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0.13706575880441965</v>
      </c>
      <c r="K49" s="56">
        <f t="array" ref="K49">VLOOKUP(C49&amp;$U$10,IF({1,0},CurrentMtgRatesDataTable82[Rank]&amp;CurrentMtgRatesDataTable82[asOf],CurrentMtgRatesDataTable82[TotalBalance]),2,0)/1000000</f>
        <v>5979.6631905000004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PENNYMAC LOAN SERVICES, LLC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7.5855125442177138E-2</v>
      </c>
      <c r="F50" s="55">
        <f t="array" ref="F50">VLOOKUP(C50&amp;$U$9,IF({1,0},CurrentMtgRatesDataTable82[Rank]&amp;CurrentMtgRatesDataTable82[asOf],CurrentMtgRatesDataTable82[TotalBalance]),2,0)/1000000</f>
        <v>3017.3862653200003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PENNYMAC LOAN SERVICES, LLC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8.7748404396101459E-2</v>
      </c>
      <c r="K50" s="56">
        <f t="array" ref="K50">VLOOKUP(C50&amp;$U$10,IF({1,0},CurrentMtgRatesDataTable82[Rank]&amp;CurrentMtgRatesDataTable82[asOf],CurrentMtgRatesDataTable82[TotalBalance]),2,0)/1000000</f>
        <v>3828.1326304200002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FREEDOM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5.3598889054861931E-2</v>
      </c>
      <c r="F51" s="55">
        <f t="array" ref="F51">VLOOKUP(C51&amp;$U$9,IF({1,0},CurrentMtgRatesDataTable82[Rank]&amp;CurrentMtgRatesDataTable82[asOf],CurrentMtgRatesDataTable82[TotalBalance]),2,0)/1000000</f>
        <v>2132.0715077300001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FREEDOM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6.0084417157005882E-2</v>
      </c>
      <c r="K51" s="56">
        <f t="array" ref="K51">VLOOKUP(C51&amp;$U$10,IF({1,0},CurrentMtgRatesDataTable82[Rank]&amp;CurrentMtgRatesDataTable82[asOf],CurrentMtgRatesDataTable82[TotalBalance]),2,0)/1000000</f>
        <v>2621.2569844600002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QUICKEN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4.6617315331220224E-2</v>
      </c>
      <c r="F52" s="55">
        <f t="array" ref="F52">VLOOKUP(C52&amp;$U$9,IF({1,0},CurrentMtgRatesDataTable82[Rank]&amp;CurrentMtgRatesDataTable82[asOf],CurrentMtgRatesDataTable82[TotalBalance]),2,0)/1000000</f>
        <v>1854.3565274800001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QUICKEN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4.3837972749400884E-2</v>
      </c>
      <c r="K52" s="56">
        <f t="array" ref="K52">VLOOKUP(C52&amp;$U$10,IF({1,0},CurrentMtgRatesDataTable82[Rank]&amp;CurrentMtgRatesDataTable82[asOf],CurrentMtgRatesDataTable82[TotalBalance]),2,0)/1000000</f>
        <v>1912.4857607199999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PINGORA LOAN SERVICING, INC.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3.6636973123465068E-2</v>
      </c>
      <c r="F53" s="55">
        <f t="array" ref="F53">VLOOKUP(C53&amp;$U$9,IF({1,0},CurrentMtgRatesDataTable82[Rank]&amp;CurrentMtgRatesDataTable82[asOf],CurrentMtgRatesDataTable82[TotalBalance]),2,0)/1000000</f>
        <v>1457.3557009000001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US BANK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3.9273517809588765E-2</v>
      </c>
      <c r="K53" s="56">
        <f t="array" ref="K53">VLOOKUP(C53&amp;$U$10,IF({1,0},CurrentMtgRatesDataTable82[Rank]&amp;CurrentMtgRatesDataTable82[asOf],CurrentMtgRatesDataTable82[TotalBalance]),2,0)/1000000</f>
        <v>1713.3557706600002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US BANK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3.0515067250840668E-2</v>
      </c>
      <c r="F54" s="55">
        <f t="array" ref="F54">VLOOKUP(C54&amp;$U$9,IF({1,0},CurrentMtgRatesDataTable82[Rank]&amp;CurrentMtgRatesDataTable82[asOf],CurrentMtgRatesDataTable82[TotalBalance]),2,0)/1000000</f>
        <v>1213.8368273900001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PINGORA LOAN SERVICING, INC.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3.3253769196590718E-2</v>
      </c>
      <c r="K54" s="56">
        <f t="array" ref="K54">VLOOKUP(C54&amp;$U$10,IF({1,0},CurrentMtgRatesDataTable82[Rank]&amp;CurrentMtgRatesDataTable82[asOf],CurrentMtgRatesDataTable82[TotalBalance]),2,0)/1000000</f>
        <v>1450.7367948399999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DITECH FINANCIAL LLC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2.4747747542063998E-2</v>
      </c>
      <c r="F55" s="55">
        <f t="array" ref="F55">VLOOKUP(C55&amp;$U$9,IF({1,0},CurrentMtgRatesDataTable82[Rank]&amp;CurrentMtgRatesDataTable82[asOf],CurrentMtgRatesDataTable82[TotalBalance]),2,0)/1000000</f>
        <v>984.42278087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CHASE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2.9631262414778148E-2</v>
      </c>
      <c r="K55" s="56">
        <f t="array" ref="K55">VLOOKUP(C55&amp;$U$10,IF({1,0},CurrentMtgRatesDataTable82[Rank]&amp;CurrentMtgRatesDataTable82[asOf],CurrentMtgRatesDataTable82[TotalBalance]),2,0)/1000000</f>
        <v>1292.7004577600001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AMERIHOME MORTGAGE CORPORATION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2.4002166012565555E-2</v>
      </c>
      <c r="F56" s="55">
        <f t="array" ref="F56">VLOOKUP(C56&amp;$U$9,IF({1,0},CurrentMtgRatesDataTable82[Rank]&amp;CurrentMtgRatesDataTable82[asOf],CurrentMtgRatesDataTable82[TotalBalance]),2,0)/1000000</f>
        <v>954.76483153999993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GREEN TREE SERVICING, LLC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2.8647248678972493E-2</v>
      </c>
      <c r="K56" s="56">
        <f t="array" ref="K56">VLOOKUP(C56&amp;$U$10,IF({1,0},CurrentMtgRatesDataTable82[Rank]&amp;CurrentMtgRatesDataTable82[asOf],CurrentMtgRatesDataTable82[TotalBalance]),2,0)/1000000</f>
        <v>1249.7716419400001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CALIBER HOME LOANS INC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2.2759403143424738E-2</v>
      </c>
      <c r="F57" s="55">
        <f t="array" ref="F57">VLOOKUP(C57&amp;$U$9,IF({1,0},CurrentMtgRatesDataTable82[Rank]&amp;CurrentMtgRatesDataTable82[asOf],CurrentMtgRatesDataTable82[TotalBalance]),2,0)/1000000</f>
        <v>905.3298646799999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AMERIHOME MORTGAGE CORPORATION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2.5936723511651015E-2</v>
      </c>
      <c r="K57" s="56">
        <f t="array" ref="K57">VLOOKUP(C57&amp;$U$10,IF({1,0},CurrentMtgRatesDataTable82[Rank]&amp;CurrentMtgRatesDataTable82[asOf],CurrentMtgRatesDataTable82[TotalBalance]),2,0)/1000000</f>
        <v>1131.5216303299999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CHASE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2.1222824122697596E-2</v>
      </c>
      <c r="F58" s="55">
        <f t="array" ref="F58">VLOOKUP(C58&amp;$U$9,IF({1,0},CurrentMtgRatesDataTable82[Rank]&amp;CurrentMtgRatesDataTable82[asOf],CurrentMtgRatesDataTable82[TotalBalance]),2,0)/1000000</f>
        <v>844.20739727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CALIBER HOME LOANS INC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1.9419375350052566E-2</v>
      </c>
      <c r="K58" s="56">
        <f t="array" ref="K58">VLOOKUP(C58&amp;$U$10,IF({1,0},CurrentMtgRatesDataTable82[Rank]&amp;CurrentMtgRatesDataTable82[asOf],CurrentMtgRatesDataTable82[TotalBalance]),2,0)/1000000</f>
        <v>847.19425898999998</v>
      </c>
    </row>
    <row r="84" spans="16:17">
      <c r="P84" s="28" t="s">
        <v>71</v>
      </c>
      <c r="Q84" s="29" t="s">
        <v>67</v>
      </c>
    </row>
    <row r="85" spans="16:17">
      <c r="Q85" s="29" t="s">
        <v>68</v>
      </c>
    </row>
    <row r="86" spans="16:17">
      <c r="Q86" s="29" t="s">
        <v>69</v>
      </c>
    </row>
    <row r="87" spans="16:17">
      <c r="Q87" s="30" t="s">
        <v>70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- Ginnie Mae&amp;R&amp;"-,Bold"&amp;10&amp;K2E398A
As of 10/02/2015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103"/>
  <sheetViews>
    <sheetView workbookViewId="0">
      <selection activeCell="E4" sqref="E4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93</v>
      </c>
      <c r="F3" s="17" t="s">
        <v>87</v>
      </c>
      <c r="G3" s="17" t="s">
        <v>88</v>
      </c>
      <c r="H3" s="17" t="s">
        <v>89</v>
      </c>
      <c r="I3" s="17" t="s">
        <v>91</v>
      </c>
      <c r="J3" s="17" t="s">
        <v>48</v>
      </c>
      <c r="K3" s="17" t="s">
        <v>49</v>
      </c>
      <c r="L3" s="17" t="s">
        <v>50</v>
      </c>
      <c r="M3" s="17" t="s">
        <v>92</v>
      </c>
      <c r="N3" s="43" t="s">
        <v>99</v>
      </c>
    </row>
    <row r="4" spans="3:14">
      <c r="C4" s="37">
        <v>42248</v>
      </c>
      <c r="D4" s="16">
        <v>39778277970.419998</v>
      </c>
      <c r="E4" s="17">
        <f>IF(C4&lt;=DateToChangeLag,VLOOKUP(C4,'Result-lag'!$C$4:$H$100,2,0),VLOOKUP(C4,CurrentMtgRatesDataTable8[],2,0))</f>
        <v>39778277970.419998</v>
      </c>
      <c r="F4" s="17">
        <f>IF($C4&lt;=DateToChangeLag,VLOOKUP($C4,'Result-lag'!$C$4:$I$100,3,0),VLOOKUP($C4,CurrentMtgRatesDataTable8[],3,0))</f>
        <v>17229225282.740002</v>
      </c>
      <c r="G4" s="17">
        <f>IF($C4&lt;=DateToChangeLag,VLOOKUP($C4,'Result-lag'!$C$4:$I$100,4,0),VLOOKUP($C4,CurrentMtgRatesDataTable8[],4,0))</f>
        <v>12326663580.99</v>
      </c>
      <c r="H4" s="43">
        <f>IF($C4&lt;=DateToChangeLag,VLOOKUP($C4,'Result-lag'!$C$4:$I$100,5,0),VLOOKUP($C4,CurrentMtgRatesDataTable8[],5,0))</f>
        <v>3865493579.5599999</v>
      </c>
      <c r="I4" s="43">
        <f>IF($C4&lt;=DateToChangeLag,VLOOKUP($C4,'Result-lag'!$C$4:$I$100,6,0),VLOOKUP($C4,CurrentMtgRatesDataTable8[],6,0))</f>
        <v>4664401764</v>
      </c>
      <c r="J4" s="44">
        <f>CurrentMtgRatesDataTable934[[#This Row],[Top 10 Amount]]/CurrentMtgRatesDataTable934[[#This Row],[Total Amount]]</f>
        <v>0.43313150196074429</v>
      </c>
      <c r="K4" s="44">
        <f>CurrentMtgRatesDataTable934[[#This Row],[Top 5 Amount]]/CurrentMtgRatesDataTable934[[#This Row],[Total Amount]]</f>
        <v>0.30988429388915173</v>
      </c>
      <c r="L4" s="45">
        <f>CurrentMtgRatesDataTable934[[#This Row],[Top 1 Amount]]/CurrentMtgRatesDataTable934[[#This Row],[Total Amount]]</f>
        <v>9.7175990937427362E-2</v>
      </c>
      <c r="M4" s="44">
        <f>CurrentMtgRatesDataTable934[[#This Row],[N/A Amount]]/CurrentMtgRatesDataTable934[[#This Row],[Total Amount]]</f>
        <v>0.11726002235362103</v>
      </c>
      <c r="N4" s="48">
        <f t="shared" ref="N4:N35" si="0">IF(C4&lt;=DateToChangeLag,1,0)</f>
        <v>0</v>
      </c>
    </row>
    <row r="5" spans="3:14">
      <c r="C5" s="37">
        <v>42217</v>
      </c>
      <c r="D5" s="16">
        <v>43626236360.260002</v>
      </c>
      <c r="E5" s="17">
        <f>IF(C5&lt;=DateToChangeLag,VLOOKUP(C5,'Result-lag'!$C$4:$H$100,2,0),VLOOKUP(C5,CurrentMtgRatesDataTable8[],2,0))</f>
        <v>43626236360.260002</v>
      </c>
      <c r="F5" s="17">
        <f>IF($C5&lt;=DateToChangeLag,VLOOKUP($C5,'Result-lag'!$C$4:$I$100,3,0),VLOOKUP($C5,CurrentMtgRatesDataTable8[],3,0))</f>
        <v>22026819120.619999</v>
      </c>
      <c r="G5" s="17">
        <f>IF($C5&lt;=DateToChangeLag,VLOOKUP($C5,'Result-lag'!$C$4:$I$100,4,0),VLOOKUP($C5,CurrentMtgRatesDataTable8[],4,0))</f>
        <v>16054894336.76</v>
      </c>
      <c r="H5" s="43">
        <f>IF($C5&lt;=DateToChangeLag,VLOOKUP($C5,'Result-lag'!$C$4:$I$100,5,0),VLOOKUP($C5,CurrentMtgRatesDataTable8[],5,0))</f>
        <v>5979663190.5</v>
      </c>
      <c r="I5" s="43">
        <f>IF($C5&lt;=DateToChangeLag,VLOOKUP($C5,'Result-lag'!$C$4:$I$100,6,0),VLOOKUP($C5,CurrentMtgRatesDataTable8[],6,0))</f>
        <v>821543.31</v>
      </c>
      <c r="J5" s="44">
        <f>CurrentMtgRatesDataTable934[[#This Row],[Top 10 Amount]]/CurrentMtgRatesDataTable934[[#This Row],[Total Amount]]</f>
        <v>0.5048984500685616</v>
      </c>
      <c r="K5" s="44">
        <f>CurrentMtgRatesDataTable934[[#This Row],[Top 5 Amount]]/CurrentMtgRatesDataTable934[[#This Row],[Total Amount]]</f>
        <v>0.36801007091651666</v>
      </c>
      <c r="L5" s="44">
        <f>CurrentMtgRatesDataTable934[[#This Row],[Top 1 Amount]]/CurrentMtgRatesDataTable934[[#This Row],[Total Amount]]</f>
        <v>0.13706575880441965</v>
      </c>
      <c r="M5" s="44">
        <f>CurrentMtgRatesDataTable934[[#This Row],[N/A Amount]]/CurrentMtgRatesDataTable934[[#This Row],[Total Amount]]</f>
        <v>1.8831404644118237E-5</v>
      </c>
      <c r="N5" s="48">
        <f t="shared" si="0"/>
        <v>0</v>
      </c>
    </row>
    <row r="6" spans="3:14">
      <c r="C6" s="37">
        <v>42186</v>
      </c>
      <c r="D6" s="16">
        <v>45637571448.949997</v>
      </c>
      <c r="E6" s="17">
        <f>IF(C6&lt;=DateToChangeLag,VLOOKUP(C6,'Result-lag'!$C$4:$H$100,2,0),VLOOKUP(C6,CurrentMtgRatesDataTable8[],2,0))</f>
        <v>45637571448.949997</v>
      </c>
      <c r="F6" s="17">
        <f>IF($C6&lt;=DateToChangeLag,VLOOKUP($C6,'Result-lag'!$C$4:$I$100,3,0),VLOOKUP($C6,CurrentMtgRatesDataTable8[],3,0))</f>
        <v>23979494584.889999</v>
      </c>
      <c r="G6" s="17">
        <f>IF($C6&lt;=DateToChangeLag,VLOOKUP($C6,'Result-lag'!$C$4:$I$100,4,0),VLOOKUP($C6,CurrentMtgRatesDataTable8[],4,0))</f>
        <v>17650395506.279999</v>
      </c>
      <c r="H6" s="43">
        <f>IF($C6&lt;=DateToChangeLag,VLOOKUP($C6,'Result-lag'!$C$4:$I$100,5,0),VLOOKUP($C6,CurrentMtgRatesDataTable8[],5,0))</f>
        <v>6693062048.2700005</v>
      </c>
      <c r="I6" s="43">
        <f>IF($C6&lt;=DateToChangeLag,VLOOKUP($C6,'Result-lag'!$C$4:$I$100,6,0),VLOOKUP($C6,CurrentMtgRatesDataTable8[],6,0))</f>
        <v>6138549.8899999997</v>
      </c>
      <c r="J6" s="44">
        <f>CurrentMtgRatesDataTable934[[#This Row],[Top 10 Amount]]/CurrentMtgRatesDataTable934[[#This Row],[Total Amount]]</f>
        <v>0.5254331863761279</v>
      </c>
      <c r="K6" s="44">
        <f>CurrentMtgRatesDataTable934[[#This Row],[Top 5 Amount]]/CurrentMtgRatesDataTable934[[#This Row],[Total Amount]]</f>
        <v>0.38675141875206176</v>
      </c>
      <c r="L6" s="44">
        <f>CurrentMtgRatesDataTable934[[#This Row],[Top 1 Amount]]/CurrentMtgRatesDataTable934[[#This Row],[Total Amount]]</f>
        <v>0.14665684075141536</v>
      </c>
      <c r="M6" s="44">
        <f>CurrentMtgRatesDataTable934[[#This Row],[N/A Amount]]/CurrentMtgRatesDataTable934[[#This Row],[Total Amount]]</f>
        <v>1.3450649749990656E-4</v>
      </c>
      <c r="N6" s="48">
        <f t="shared" si="0"/>
        <v>0</v>
      </c>
    </row>
    <row r="7" spans="3:14">
      <c r="C7" s="37">
        <v>42156</v>
      </c>
      <c r="D7" s="16">
        <v>41476436391.800003</v>
      </c>
      <c r="E7" s="17">
        <f>IF(C7&lt;=DateToChangeLag,VLOOKUP(C7,'Result-lag'!$C$4:$H$100,2,0),VLOOKUP(C7,CurrentMtgRatesDataTable8[],2,0))</f>
        <v>41476436391.800003</v>
      </c>
      <c r="F7" s="17">
        <f>IF($C7&lt;=DateToChangeLag,VLOOKUP($C7,'Result-lag'!$C$4:$I$100,3,0),VLOOKUP($C7,CurrentMtgRatesDataTable8[],3,0))</f>
        <v>19991337221.549995</v>
      </c>
      <c r="G7" s="17">
        <f>IF($C7&lt;=DateToChangeLag,VLOOKUP($C7,'Result-lag'!$C$4:$I$100,4,0),VLOOKUP($C7,CurrentMtgRatesDataTable8[],4,0))</f>
        <v>14378094311.630001</v>
      </c>
      <c r="H7" s="43">
        <f>IF($C7&lt;=DateToChangeLag,VLOOKUP($C7,'Result-lag'!$C$4:$I$100,5,0),VLOOKUP($C7,CurrentMtgRatesDataTable8[],5,0))</f>
        <v>5481594328.75</v>
      </c>
      <c r="I7" s="43">
        <f>IF($C7&lt;=DateToChangeLag,VLOOKUP($C7,'Result-lag'!$C$4:$I$100,6,0),VLOOKUP($C7,CurrentMtgRatesDataTable8[],6,0))</f>
        <v>363766.98</v>
      </c>
      <c r="J7" s="44">
        <f>CurrentMtgRatesDataTable934[[#This Row],[Top 10 Amount]]/CurrentMtgRatesDataTable934[[#This Row],[Total Amount]]</f>
        <v>0.48199264355079297</v>
      </c>
      <c r="K7" s="44">
        <f>CurrentMtgRatesDataTable934[[#This Row],[Top 5 Amount]]/CurrentMtgRatesDataTable934[[#This Row],[Total Amount]]</f>
        <v>0.34665693493553335</v>
      </c>
      <c r="L7" s="44">
        <f>CurrentMtgRatesDataTable934[[#This Row],[Top 1 Amount]]/CurrentMtgRatesDataTable934[[#This Row],[Total Amount]]</f>
        <v>0.13216165142465627</v>
      </c>
      <c r="M7" s="44">
        <f>CurrentMtgRatesDataTable934[[#This Row],[N/A Amount]]/CurrentMtgRatesDataTable934[[#This Row],[Total Amount]]</f>
        <v>8.7704492392677602E-6</v>
      </c>
      <c r="N7" s="48">
        <f t="shared" si="0"/>
        <v>0</v>
      </c>
    </row>
    <row r="8" spans="3:14">
      <c r="C8" s="37">
        <v>42125</v>
      </c>
      <c r="D8" s="16">
        <v>40489330126.019997</v>
      </c>
      <c r="E8" s="17">
        <f>IF(C8&lt;=DateToChangeLag,VLOOKUP(C8,'Result-lag'!$C$4:$H$100,2,0),VLOOKUP(C8,CurrentMtgRatesDataTable8[],2,0))</f>
        <v>40489330126.019997</v>
      </c>
      <c r="F8" s="17">
        <f>IF($C8&lt;=DateToChangeLag,VLOOKUP($C8,'Result-lag'!$C$4:$I$100,3,0),VLOOKUP($C8,CurrentMtgRatesDataTable8[],3,0))</f>
        <v>19039016423.799999</v>
      </c>
      <c r="G8" s="17">
        <f>IF($C8&lt;=DateToChangeLag,VLOOKUP($C8,'Result-lag'!$C$4:$I$100,4,0),VLOOKUP($C8,CurrentMtgRatesDataTable8[],4,0))</f>
        <v>13869436243.699999</v>
      </c>
      <c r="H8" s="43">
        <f>IF($C8&lt;=DateToChangeLag,VLOOKUP($C8,'Result-lag'!$C$4:$I$100,5,0),VLOOKUP($C8,CurrentMtgRatesDataTable8[],5,0))</f>
        <v>5284302393.6499996</v>
      </c>
      <c r="I8" s="43">
        <f>IF($C8&lt;=DateToChangeLag,VLOOKUP($C8,'Result-lag'!$C$4:$I$100,6,0),VLOOKUP($C8,CurrentMtgRatesDataTable8[],6,0))</f>
        <v>15591.66</v>
      </c>
      <c r="J8" s="44">
        <f>CurrentMtgRatesDataTable934[[#This Row],[Top 10 Amount]]/CurrentMtgRatesDataTable934[[#This Row],[Total Amount]]</f>
        <v>0.47022305295104888</v>
      </c>
      <c r="K8" s="44">
        <f>CurrentMtgRatesDataTable934[[#This Row],[Top 5 Amount]]/CurrentMtgRatesDataTable934[[#This Row],[Total Amount]]</f>
        <v>0.342545460755523</v>
      </c>
      <c r="L8" s="44">
        <f>CurrentMtgRatesDataTable934[[#This Row],[Top 1 Amount]]/CurrentMtgRatesDataTable934[[#This Row],[Total Amount]]</f>
        <v>0.13051098591167118</v>
      </c>
      <c r="M8" s="44">
        <f>CurrentMtgRatesDataTable934[[#This Row],[N/A Amount]]/CurrentMtgRatesDataTable934[[#This Row],[Total Amount]]</f>
        <v>3.8508071018888505E-7</v>
      </c>
      <c r="N8" s="48">
        <f t="shared" si="0"/>
        <v>0</v>
      </c>
    </row>
    <row r="9" spans="3:14">
      <c r="C9" s="37">
        <v>42095</v>
      </c>
      <c r="D9" s="16">
        <v>40527156414.769997</v>
      </c>
      <c r="E9" s="17">
        <f>IF(C9&lt;=DateToChangeLag,VLOOKUP(C9,'Result-lag'!$C$4:$H$100,2,0),VLOOKUP(C9,CurrentMtgRatesDataTable8[],2,0))</f>
        <v>40527156414.769997</v>
      </c>
      <c r="F9" s="17">
        <f>IF($C9&lt;=DateToChangeLag,VLOOKUP($C9,'Result-lag'!$C$4:$I$100,3,0),VLOOKUP($C9,CurrentMtgRatesDataTable8[],3,0))</f>
        <v>19111612690.759998</v>
      </c>
      <c r="G9" s="17">
        <f>IF($C9&lt;=DateToChangeLag,VLOOKUP($C9,'Result-lag'!$C$4:$I$100,4,0),VLOOKUP($C9,CurrentMtgRatesDataTable8[],4,0))</f>
        <v>13933904980.18</v>
      </c>
      <c r="H9" s="43">
        <f>IF($C9&lt;=DateToChangeLag,VLOOKUP($C9,'Result-lag'!$C$4:$I$100,5,0),VLOOKUP($C9,CurrentMtgRatesDataTable8[],5,0))</f>
        <v>5345630110.9799995</v>
      </c>
      <c r="I9" s="43">
        <f>IF($C9&lt;=DateToChangeLag,VLOOKUP($C9,'Result-lag'!$C$4:$I$100,6,0),VLOOKUP($C9,CurrentMtgRatesDataTable8[],6,0))</f>
        <v>5314494.28</v>
      </c>
      <c r="J9" s="44">
        <f>CurrentMtgRatesDataTable934[[#This Row],[Top 10 Amount]]/CurrentMtgRatesDataTable934[[#This Row],[Total Amount]]</f>
        <v>0.47157546646413195</v>
      </c>
      <c r="K9" s="44">
        <f>CurrentMtgRatesDataTable934[[#This Row],[Top 5 Amount]]/CurrentMtgRatesDataTable934[[#This Row],[Total Amount]]</f>
        <v>0.34381649769787037</v>
      </c>
      <c r="L9" s="44">
        <f>CurrentMtgRatesDataTable934[[#This Row],[Top 1 Amount]]/CurrentMtgRatesDataTable934[[#This Row],[Total Amount]]</f>
        <v>0.13190242256996351</v>
      </c>
      <c r="M9" s="44">
        <f>CurrentMtgRatesDataTable934[[#This Row],[N/A Amount]]/CurrentMtgRatesDataTable934[[#This Row],[Total Amount]]</f>
        <v>1.311341517675084E-4</v>
      </c>
      <c r="N9" s="48">
        <f t="shared" si="0"/>
        <v>0</v>
      </c>
    </row>
    <row r="10" spans="3:14">
      <c r="C10" s="37">
        <v>42064</v>
      </c>
      <c r="D10" s="16">
        <v>31578317075.630001</v>
      </c>
      <c r="E10" s="17">
        <f>IF(C10&lt;=DateToChangeLag,VLOOKUP(C10,'Result-lag'!$C$4:$H$100,2,0),VLOOKUP(C10,CurrentMtgRatesDataTable8[],2,0))</f>
        <v>31578317075.630001</v>
      </c>
      <c r="F10" s="17">
        <f>IF($C10&lt;=DateToChangeLag,VLOOKUP($C10,'Result-lag'!$C$4:$I$100,3,0),VLOOKUP($C10,CurrentMtgRatesDataTable8[],3,0))</f>
        <v>15672532021.030001</v>
      </c>
      <c r="G10" s="17">
        <f>IF($C10&lt;=DateToChangeLag,VLOOKUP($C10,'Result-lag'!$C$4:$I$100,4,0),VLOOKUP($C10,CurrentMtgRatesDataTable8[],4,0))</f>
        <v>11244323555.84</v>
      </c>
      <c r="H10" s="43">
        <f>IF($C10&lt;=DateToChangeLag,VLOOKUP($C10,'Result-lag'!$C$4:$I$100,5,0),VLOOKUP($C10,CurrentMtgRatesDataTable8[],5,0))</f>
        <v>4519939214.6099997</v>
      </c>
      <c r="I10" s="43">
        <f>IF($C10&lt;=DateToChangeLag,VLOOKUP($C10,'Result-lag'!$C$4:$I$100,6,0),VLOOKUP($C10,CurrentMtgRatesDataTable8[],6,0))</f>
        <v>983996.58</v>
      </c>
      <c r="J10" s="44">
        <f>CurrentMtgRatesDataTable934[[#This Row],[Top 10 Amount]]/CurrentMtgRatesDataTable934[[#This Row],[Total Amount]]</f>
        <v>0.49630675325395968</v>
      </c>
      <c r="K10" s="44">
        <f>CurrentMtgRatesDataTable934[[#This Row],[Top 5 Amount]]/CurrentMtgRatesDataTable934[[#This Row],[Total Amount]]</f>
        <v>0.3560773529795736</v>
      </c>
      <c r="L10" s="44">
        <f>CurrentMtgRatesDataTable934[[#This Row],[Top 1 Amount]]/CurrentMtgRatesDataTable934[[#This Row],[Total Amount]]</f>
        <v>0.14313426531834345</v>
      </c>
      <c r="M10" s="44">
        <f>CurrentMtgRatesDataTable934[[#This Row],[N/A Amount]]/CurrentMtgRatesDataTable934[[#This Row],[Total Amount]]</f>
        <v>3.1160513641158591E-5</v>
      </c>
      <c r="N10" s="48">
        <f t="shared" si="0"/>
        <v>0</v>
      </c>
    </row>
    <row r="11" spans="3:14">
      <c r="C11" s="37">
        <v>42036</v>
      </c>
      <c r="D11" s="16">
        <v>24217653446.099998</v>
      </c>
      <c r="E11" s="17">
        <f>IF(C11&lt;=DateToChangeLag,VLOOKUP(C11,'Result-lag'!$C$4:$H$100,2,0),VLOOKUP(C11,CurrentMtgRatesDataTable8[],2,0))</f>
        <v>24217653446.099998</v>
      </c>
      <c r="F11" s="17">
        <f>IF($C11&lt;=DateToChangeLag,VLOOKUP($C11,'Result-lag'!$C$4:$I$100,3,0),VLOOKUP($C11,CurrentMtgRatesDataTable8[],3,0))</f>
        <v>12499614875.050001</v>
      </c>
      <c r="G11" s="17">
        <f>IF($C11&lt;=DateToChangeLag,VLOOKUP($C11,'Result-lag'!$C$4:$I$100,4,0),VLOOKUP($C11,CurrentMtgRatesDataTable8[],4,0))</f>
        <v>9456184008.25</v>
      </c>
      <c r="H11" s="43">
        <f>IF($C11&lt;=DateToChangeLag,VLOOKUP($C11,'Result-lag'!$C$4:$I$100,5,0),VLOOKUP($C11,CurrentMtgRatesDataTable8[],5,0))</f>
        <v>4061400420.8899999</v>
      </c>
      <c r="I11" s="43">
        <f>IF($C11&lt;=DateToChangeLag,VLOOKUP($C11,'Result-lag'!$C$4:$I$100,6,0),VLOOKUP($C11,CurrentMtgRatesDataTable8[],6,0))</f>
        <v>225370.97</v>
      </c>
      <c r="J11" s="44">
        <f>CurrentMtgRatesDataTable934[[#This Row],[Top 10 Amount]]/CurrentMtgRatesDataTable934[[#This Row],[Total Amount]]</f>
        <v>0.51613649947009765</v>
      </c>
      <c r="K11" s="44">
        <f>CurrentMtgRatesDataTable934[[#This Row],[Top 5 Amount]]/CurrentMtgRatesDataTable934[[#This Row],[Total Amount]]</f>
        <v>0.39046656726243723</v>
      </c>
      <c r="L11" s="44">
        <f>CurrentMtgRatesDataTable934[[#This Row],[Top 1 Amount]]/CurrentMtgRatesDataTable934[[#This Row],[Total Amount]]</f>
        <v>0.16770412665823517</v>
      </c>
      <c r="M11" s="44">
        <f>CurrentMtgRatesDataTable934[[#This Row],[N/A Amount]]/CurrentMtgRatesDataTable934[[#This Row],[Total Amount]]</f>
        <v>9.3060614027530251E-6</v>
      </c>
      <c r="N11" s="48">
        <f t="shared" si="0"/>
        <v>0</v>
      </c>
    </row>
    <row r="12" spans="3:14">
      <c r="C12" s="37">
        <v>42005</v>
      </c>
      <c r="D12" s="16">
        <v>27262435401.509998</v>
      </c>
      <c r="E12" s="17">
        <f>IF(C12&lt;=DateToChangeLag,VLOOKUP(C12,'Result-lag'!$C$4:$H$100,2,0),VLOOKUP(C12,CurrentMtgRatesDataTable8[],2,0))</f>
        <v>27262435401.509998</v>
      </c>
      <c r="F12" s="17">
        <f>IF($C12&lt;=DateToChangeLag,VLOOKUP($C12,'Result-lag'!$C$4:$I$100,3,0),VLOOKUP($C12,CurrentMtgRatesDataTable8[],3,0))</f>
        <v>13496712945.599998</v>
      </c>
      <c r="G12" s="17">
        <f>IF($C12&lt;=DateToChangeLag,VLOOKUP($C12,'Result-lag'!$C$4:$I$100,4,0),VLOOKUP($C12,CurrentMtgRatesDataTable8[],4,0))</f>
        <v>10195461374.42</v>
      </c>
      <c r="H12" s="43">
        <f>IF($C12&lt;=DateToChangeLag,VLOOKUP($C12,'Result-lag'!$C$4:$I$100,5,0),VLOOKUP($C12,CurrentMtgRatesDataTable8[],5,0))</f>
        <v>3904655310.6700001</v>
      </c>
      <c r="I12" s="43">
        <f>IF($C12&lt;=DateToChangeLag,VLOOKUP($C12,'Result-lag'!$C$4:$I$100,6,0),VLOOKUP($C12,CurrentMtgRatesDataTable8[],6,0))</f>
        <v>2721098.09</v>
      </c>
      <c r="J12" s="44">
        <f>CurrentMtgRatesDataTable934[[#This Row],[Top 10 Amount]]/CurrentMtgRatesDataTable934[[#This Row],[Total Amount]]</f>
        <v>0.49506629715305805</v>
      </c>
      <c r="K12" s="44">
        <f>CurrentMtgRatesDataTable934[[#This Row],[Top 5 Amount]]/CurrentMtgRatesDataTable934[[#This Row],[Total Amount]]</f>
        <v>0.37397471004572463</v>
      </c>
      <c r="L12" s="44">
        <f>CurrentMtgRatesDataTable934[[#This Row],[Top 1 Amount]]/CurrentMtgRatesDataTable934[[#This Row],[Total Amount]]</f>
        <v>0.14322474324702961</v>
      </c>
      <c r="M12" s="44">
        <f>CurrentMtgRatesDataTable934[[#This Row],[N/A Amount]]/CurrentMtgRatesDataTable934[[#This Row],[Total Amount]]</f>
        <v>9.9811262270768549E-5</v>
      </c>
      <c r="N12" s="48">
        <f t="shared" si="0"/>
        <v>0</v>
      </c>
    </row>
    <row r="13" spans="3:14">
      <c r="C13" s="37">
        <v>41974</v>
      </c>
      <c r="D13" s="16">
        <v>27829117697.049999</v>
      </c>
      <c r="E13" s="17">
        <f>IF(C13&lt;=DateToChangeLag,VLOOKUP(C13,'Result-lag'!$C$4:$H$100,2,0),VLOOKUP(C13,CurrentMtgRatesDataTable8[],2,0))</f>
        <v>27829117697.049999</v>
      </c>
      <c r="F13" s="17">
        <f>IF($C13&lt;=DateToChangeLag,VLOOKUP($C13,'Result-lag'!$C$4:$I$100,3,0),VLOOKUP($C13,CurrentMtgRatesDataTable8[],3,0))</f>
        <v>13802109531.619999</v>
      </c>
      <c r="G13" s="17">
        <f>IF($C13&lt;=DateToChangeLag,VLOOKUP($C13,'Result-lag'!$C$4:$I$100,4,0),VLOOKUP($C13,CurrentMtgRatesDataTable8[],4,0))</f>
        <v>10288075602.900002</v>
      </c>
      <c r="H13" s="43">
        <f>IF($C13&lt;=DateToChangeLag,VLOOKUP($C13,'Result-lag'!$C$4:$I$100,5,0),VLOOKUP($C13,CurrentMtgRatesDataTable8[],5,0))</f>
        <v>4309016116.8000002</v>
      </c>
      <c r="I13" s="43">
        <f>IF($C13&lt;=DateToChangeLag,VLOOKUP($C13,'Result-lag'!$C$4:$I$100,6,0),VLOOKUP($C13,CurrentMtgRatesDataTable8[],6,0))</f>
        <v>2213171.4300000002</v>
      </c>
      <c r="J13" s="44">
        <f>CurrentMtgRatesDataTable934[[#This Row],[Top 10 Amount]]/CurrentMtgRatesDataTable934[[#This Row],[Total Amount]]</f>
        <v>0.49595929277639583</v>
      </c>
      <c r="K13" s="44">
        <f>CurrentMtgRatesDataTable934[[#This Row],[Top 5 Amount]]/CurrentMtgRatesDataTable934[[#This Row],[Total Amount]]</f>
        <v>0.3696874516431608</v>
      </c>
      <c r="L13" s="44">
        <f>CurrentMtgRatesDataTable934[[#This Row],[Top 1 Amount]]/CurrentMtgRatesDataTable934[[#This Row],[Total Amount]]</f>
        <v>0.1548384021264452</v>
      </c>
      <c r="M13" s="44">
        <f>CurrentMtgRatesDataTable934[[#This Row],[N/A Amount]]/CurrentMtgRatesDataTable934[[#This Row],[Total Amount]]</f>
        <v>7.9527186384159259E-5</v>
      </c>
      <c r="N13" s="48">
        <f t="shared" si="0"/>
        <v>0</v>
      </c>
    </row>
    <row r="14" spans="3:14">
      <c r="C14" s="37">
        <v>41944</v>
      </c>
      <c r="D14" s="16">
        <v>26555705393.77</v>
      </c>
      <c r="E14" s="17">
        <f>IF(C14&lt;=DateToChangeLag,VLOOKUP(C14,'Result-lag'!$C$4:$H$100,2,0),VLOOKUP(C14,CurrentMtgRatesDataTable8[],2,0))</f>
        <v>26555705393.77</v>
      </c>
      <c r="F14" s="17">
        <f>IF($C14&lt;=DateToChangeLag,VLOOKUP($C14,'Result-lag'!$C$4:$I$100,3,0),VLOOKUP($C14,CurrentMtgRatesDataTable8[],3,0))</f>
        <v>13258929185.760004</v>
      </c>
      <c r="G14" s="17">
        <f>IF($C14&lt;=DateToChangeLag,VLOOKUP($C14,'Result-lag'!$C$4:$I$100,4,0),VLOOKUP($C14,CurrentMtgRatesDataTable8[],4,0))</f>
        <v>9211020156.4500008</v>
      </c>
      <c r="H14" s="43">
        <f>IF($C14&lt;=DateToChangeLag,VLOOKUP($C14,'Result-lag'!$C$4:$I$100,5,0),VLOOKUP($C14,CurrentMtgRatesDataTable8[],5,0))</f>
        <v>4010907765.6100001</v>
      </c>
      <c r="I14" s="43">
        <f>IF($C14&lt;=DateToChangeLag,VLOOKUP($C14,'Result-lag'!$C$4:$I$100,6,0),VLOOKUP($C14,CurrentMtgRatesDataTable8[],6,0))</f>
        <v>2780416.69</v>
      </c>
      <c r="J14" s="44">
        <f>CurrentMtgRatesDataTable934[[#This Row],[Top 10 Amount]]/CurrentMtgRatesDataTable934[[#This Row],[Total Amount]]</f>
        <v>0.49928740318344411</v>
      </c>
      <c r="K14" s="44">
        <f>CurrentMtgRatesDataTable934[[#This Row],[Top 5 Amount]]/CurrentMtgRatesDataTable934[[#This Row],[Total Amount]]</f>
        <v>0.34685654249692488</v>
      </c>
      <c r="L14" s="44">
        <f>CurrentMtgRatesDataTable934[[#This Row],[Top 1 Amount]]/CurrentMtgRatesDataTable934[[#This Row],[Total Amount]]</f>
        <v>0.15103751552203029</v>
      </c>
      <c r="M14" s="44">
        <f>CurrentMtgRatesDataTable934[[#This Row],[N/A Amount]]/CurrentMtgRatesDataTable934[[#This Row],[Total Amount]]</f>
        <v>1.0470129295274863E-4</v>
      </c>
      <c r="N14" s="48">
        <f t="shared" si="0"/>
        <v>0</v>
      </c>
    </row>
    <row r="15" spans="3:14">
      <c r="C15" s="37">
        <v>41913</v>
      </c>
      <c r="D15" s="16">
        <v>29868572336.75</v>
      </c>
      <c r="E15" s="17">
        <f>IF(C15&lt;=DateToChangeLag,VLOOKUP(C15,'Result-lag'!$C$4:$H$100,2,0),VLOOKUP(C15,CurrentMtgRatesDataTable8[],2,0))</f>
        <v>29868572336.75</v>
      </c>
      <c r="F15" s="17">
        <f>IF($C15&lt;=DateToChangeLag,VLOOKUP($C15,'Result-lag'!$C$4:$I$100,3,0),VLOOKUP($C15,CurrentMtgRatesDataTable8[],3,0))</f>
        <v>15791185403.65</v>
      </c>
      <c r="G15" s="17">
        <f>IF($C15&lt;=DateToChangeLag,VLOOKUP($C15,'Result-lag'!$C$4:$I$100,4,0),VLOOKUP($C15,CurrentMtgRatesDataTable8[],4,0))</f>
        <v>11437466213.700001</v>
      </c>
      <c r="H15" s="43">
        <f>IF($C15&lt;=DateToChangeLag,VLOOKUP($C15,'Result-lag'!$C$4:$I$100,5,0),VLOOKUP($C15,CurrentMtgRatesDataTable8[],5,0))</f>
        <v>4905737431.7200003</v>
      </c>
      <c r="I15" s="43">
        <f>IF($C15&lt;=DateToChangeLag,VLOOKUP($C15,'Result-lag'!$C$4:$I$100,6,0),VLOOKUP($C15,CurrentMtgRatesDataTable8[],6,0))</f>
        <v>3777700.79</v>
      </c>
      <c r="J15" s="44">
        <f>CurrentMtgRatesDataTable934[[#This Row],[Top 10 Amount]]/CurrentMtgRatesDataTable934[[#This Row],[Total Amount]]</f>
        <v>0.52868899208217857</v>
      </c>
      <c r="K15" s="44">
        <f>CurrentMtgRatesDataTable934[[#This Row],[Top 5 Amount]]/CurrentMtgRatesDataTable934[[#This Row],[Total Amount]]</f>
        <v>0.38292644471752851</v>
      </c>
      <c r="L15" s="44">
        <f>CurrentMtgRatesDataTable934[[#This Row],[Top 1 Amount]]/CurrentMtgRatesDataTable934[[#This Row],[Total Amount]]</f>
        <v>0.1642441217615222</v>
      </c>
      <c r="M15" s="44">
        <f>CurrentMtgRatesDataTable934[[#This Row],[N/A Amount]]/CurrentMtgRatesDataTable934[[#This Row],[Total Amount]]</f>
        <v>1.2647744751268053E-4</v>
      </c>
      <c r="N15" s="48">
        <f t="shared" si="0"/>
        <v>0</v>
      </c>
    </row>
    <row r="16" spans="3:14">
      <c r="C16" s="37">
        <v>41883</v>
      </c>
      <c r="D16" s="16">
        <v>27533853996.610001</v>
      </c>
      <c r="E16" s="17">
        <f>IF(C16&lt;=DateToChangeLag,VLOOKUP(C16,'Result-lag'!$C$4:$H$100,2,0),VLOOKUP(C16,CurrentMtgRatesDataTable8[],2,0))</f>
        <v>27533853996.610001</v>
      </c>
      <c r="F16" s="17">
        <f>IF($C16&lt;=DateToChangeLag,VLOOKUP($C16,'Result-lag'!$C$4:$I$100,3,0),VLOOKUP($C16,CurrentMtgRatesDataTable8[],3,0))</f>
        <v>13803767362.509998</v>
      </c>
      <c r="G16" s="17">
        <f>IF($C16&lt;=DateToChangeLag,VLOOKUP($C16,'Result-lag'!$C$4:$I$100,4,0),VLOOKUP($C16,CurrentMtgRatesDataTable8[],4,0))</f>
        <v>10000328272.400002</v>
      </c>
      <c r="H16" s="43">
        <f>IF($C16&lt;=DateToChangeLag,VLOOKUP($C16,'Result-lag'!$C$4:$I$100,5,0),VLOOKUP($C16,CurrentMtgRatesDataTable8[],5,0))</f>
        <v>4613722824.3800001</v>
      </c>
      <c r="I16" s="43">
        <f>IF($C16&lt;=DateToChangeLag,VLOOKUP($C16,'Result-lag'!$C$4:$I$100,6,0),VLOOKUP($C16,CurrentMtgRatesDataTable8[],6,0))</f>
        <v>1278264.72</v>
      </c>
      <c r="J16" s="44">
        <f>CurrentMtgRatesDataTable934[[#This Row],[Top 10 Amount]]/CurrentMtgRatesDataTable934[[#This Row],[Total Amount]]</f>
        <v>0.50133800245361704</v>
      </c>
      <c r="K16" s="44">
        <f>CurrentMtgRatesDataTable934[[#This Row],[Top 5 Amount]]/CurrentMtgRatesDataTable934[[#This Row],[Total Amount]]</f>
        <v>0.36320118039527821</v>
      </c>
      <c r="L16" s="44">
        <f>CurrentMtgRatesDataTable934[[#This Row],[Top 1 Amount]]/CurrentMtgRatesDataTable934[[#This Row],[Total Amount]]</f>
        <v>0.16756545687167684</v>
      </c>
      <c r="M16" s="44">
        <f>CurrentMtgRatesDataTable934[[#This Row],[N/A Amount]]/CurrentMtgRatesDataTable934[[#This Row],[Total Amount]]</f>
        <v>4.6425201504932122E-5</v>
      </c>
      <c r="N16" s="48">
        <f t="shared" si="0"/>
        <v>0</v>
      </c>
    </row>
    <row r="17" spans="3:14">
      <c r="C17" s="37">
        <v>41852</v>
      </c>
      <c r="D17" s="16">
        <v>30530354411.009998</v>
      </c>
      <c r="E17" s="17">
        <f>IF(C17&lt;=DateToChangeLag,VLOOKUP(C17,'Result-lag'!$C$4:$H$100,2,0),VLOOKUP(C17,CurrentMtgRatesDataTable8[],2,0))</f>
        <v>30530354411.009998</v>
      </c>
      <c r="F17" s="17">
        <f>IF($C17&lt;=DateToChangeLag,VLOOKUP($C17,'Result-lag'!$C$4:$I$100,3,0),VLOOKUP($C17,CurrentMtgRatesDataTable8[],3,0))</f>
        <v>16166675077.379999</v>
      </c>
      <c r="G17" s="17">
        <f>IF($C17&lt;=DateToChangeLag,VLOOKUP($C17,'Result-lag'!$C$4:$I$100,4,0),VLOOKUP($C17,CurrentMtgRatesDataTable8[],4,0))</f>
        <v>12029365994.82</v>
      </c>
      <c r="H17" s="43">
        <f>IF($C17&lt;=DateToChangeLag,VLOOKUP($C17,'Result-lag'!$C$4:$I$100,5,0),VLOOKUP($C17,CurrentMtgRatesDataTable8[],5,0))</f>
        <v>6318663594.3699999</v>
      </c>
      <c r="I17" s="43">
        <f>IF($C17&lt;=DateToChangeLag,VLOOKUP($C17,'Result-lag'!$C$4:$I$100,6,0),VLOOKUP($C17,CurrentMtgRatesDataTable8[],6,0))</f>
        <v>1497479.6</v>
      </c>
      <c r="J17" s="44">
        <f>CurrentMtgRatesDataTable934[[#This Row],[Top 10 Amount]]/CurrentMtgRatesDataTable934[[#This Row],[Total Amount]]</f>
        <v>0.52952792030314255</v>
      </c>
      <c r="K17" s="44">
        <f>CurrentMtgRatesDataTable934[[#This Row],[Top 5 Amount]]/CurrentMtgRatesDataTable934[[#This Row],[Total Amount]]</f>
        <v>0.39401330993006467</v>
      </c>
      <c r="L17" s="44">
        <f>CurrentMtgRatesDataTable934[[#This Row],[Top 1 Amount]]/CurrentMtgRatesDataTable934[[#This Row],[Total Amount]]</f>
        <v>0.20696332277398438</v>
      </c>
      <c r="M17" s="44">
        <f>CurrentMtgRatesDataTable934[[#This Row],[N/A Amount]]/CurrentMtgRatesDataTable934[[#This Row],[Total Amount]]</f>
        <v>4.9048877056598207E-5</v>
      </c>
      <c r="N17" s="48">
        <f t="shared" si="0"/>
        <v>0</v>
      </c>
    </row>
    <row r="18" spans="3:14">
      <c r="C18" s="37">
        <v>41821</v>
      </c>
      <c r="D18" s="16">
        <v>27413380042.200001</v>
      </c>
      <c r="E18" s="17">
        <f>IF(C18&lt;=DateToChangeLag,VLOOKUP(C18,'Result-lag'!$C$4:$H$100,2,0),VLOOKUP(C18,CurrentMtgRatesDataTable8[],2,0))</f>
        <v>27413380042.200001</v>
      </c>
      <c r="F18" s="17">
        <f>IF($C18&lt;=DateToChangeLag,VLOOKUP($C18,'Result-lag'!$C$4:$I$100,3,0),VLOOKUP($C18,CurrentMtgRatesDataTable8[],3,0))</f>
        <v>13065510612.74</v>
      </c>
      <c r="G18" s="17">
        <f>IF($C18&lt;=DateToChangeLag,VLOOKUP($C18,'Result-lag'!$C$4:$I$100,4,0),VLOOKUP($C18,CurrentMtgRatesDataTable8[],4,0))</f>
        <v>9355114668.75</v>
      </c>
      <c r="H18" s="43">
        <f>IF($C18&lt;=DateToChangeLag,VLOOKUP($C18,'Result-lag'!$C$4:$I$100,5,0),VLOOKUP($C18,CurrentMtgRatesDataTable8[],5,0))</f>
        <v>4723917455.1999998</v>
      </c>
      <c r="I18" s="43">
        <f>IF($C18&lt;=DateToChangeLag,VLOOKUP($C18,'Result-lag'!$C$4:$I$100,6,0),VLOOKUP($C18,CurrentMtgRatesDataTable8[],6,0))</f>
        <v>1047984.72</v>
      </c>
      <c r="J18" s="44">
        <f>CurrentMtgRatesDataTable934[[#This Row],[Top 10 Amount]]/CurrentMtgRatesDataTable934[[#This Row],[Total Amount]]</f>
        <v>0.47661071318556952</v>
      </c>
      <c r="K18" s="44">
        <f>CurrentMtgRatesDataTable934[[#This Row],[Top 5 Amount]]/CurrentMtgRatesDataTable934[[#This Row],[Total Amount]]</f>
        <v>0.34126089720963959</v>
      </c>
      <c r="L18" s="44">
        <f>CurrentMtgRatesDataTable934[[#This Row],[Top 1 Amount]]/CurrentMtgRatesDataTable934[[#This Row],[Total Amount]]</f>
        <v>0.17232159799076321</v>
      </c>
      <c r="M18" s="44">
        <f>CurrentMtgRatesDataTable934[[#This Row],[N/A Amount]]/CurrentMtgRatesDataTable934[[#This Row],[Total Amount]]</f>
        <v>3.8228949454125625E-5</v>
      </c>
      <c r="N18" s="48">
        <f t="shared" si="0"/>
        <v>0</v>
      </c>
    </row>
    <row r="19" spans="3:14">
      <c r="C19" s="37">
        <v>41791</v>
      </c>
      <c r="D19" s="16">
        <v>25728881993.799999</v>
      </c>
      <c r="E19" s="17">
        <f>IF(C19&lt;=DateToChangeLag,VLOOKUP(C19,'Result-lag'!$C$4:$H$100,2,0),VLOOKUP(C19,CurrentMtgRatesDataTable8[],2,0))</f>
        <v>25728881993.799999</v>
      </c>
      <c r="F19" s="17">
        <f>IF($C19&lt;=DateToChangeLag,VLOOKUP($C19,'Result-lag'!$C$4:$I$100,3,0),VLOOKUP($C19,CurrentMtgRatesDataTable8[],3,0))</f>
        <v>13204114521.550001</v>
      </c>
      <c r="G19" s="17">
        <f>IF($C19&lt;=DateToChangeLag,VLOOKUP($C19,'Result-lag'!$C$4:$I$100,4,0),VLOOKUP($C19,CurrentMtgRatesDataTable8[],4,0))</f>
        <v>10249952263.84</v>
      </c>
      <c r="H19" s="43">
        <f>IF($C19&lt;=DateToChangeLag,VLOOKUP($C19,'Result-lag'!$C$4:$I$100,5,0),VLOOKUP($C19,CurrentMtgRatesDataTable8[],5,0))</f>
        <v>6002735545.8500004</v>
      </c>
      <c r="I19" s="43">
        <f>IF($C19&lt;=DateToChangeLag,VLOOKUP($C19,'Result-lag'!$C$4:$I$100,6,0),VLOOKUP($C19,CurrentMtgRatesDataTable8[],6,0))</f>
        <v>82102.63</v>
      </c>
      <c r="J19" s="44">
        <f>CurrentMtgRatesDataTable934[[#This Row],[Top 10 Amount]]/CurrentMtgRatesDataTable934[[#This Row],[Total Amount]]</f>
        <v>0.51320203204833592</v>
      </c>
      <c r="K19" s="44">
        <f>CurrentMtgRatesDataTable934[[#This Row],[Top 5 Amount]]/CurrentMtgRatesDataTable934[[#This Row],[Total Amount]]</f>
        <v>0.39838311926301251</v>
      </c>
      <c r="L19" s="44">
        <f>CurrentMtgRatesDataTable934[[#This Row],[Top 1 Amount]]/CurrentMtgRatesDataTable934[[#This Row],[Total Amount]]</f>
        <v>0.23330728273760615</v>
      </c>
      <c r="M19" s="44">
        <f>CurrentMtgRatesDataTable934[[#This Row],[N/A Amount]]/CurrentMtgRatesDataTable934[[#This Row],[Total Amount]]</f>
        <v>3.1910686993622433E-6</v>
      </c>
      <c r="N19" s="48">
        <f t="shared" si="0"/>
        <v>0</v>
      </c>
    </row>
    <row r="20" spans="3:14">
      <c r="C20" s="37">
        <v>41760</v>
      </c>
      <c r="D20" s="16">
        <v>24207116913.740002</v>
      </c>
      <c r="E20" s="17">
        <f>IF(C20&lt;=DateToChangeLag,VLOOKUP(C20,'Result-lag'!$C$4:$H$100,2,0),VLOOKUP(C20,CurrentMtgRatesDataTable8[],2,0))</f>
        <v>24207116913.740002</v>
      </c>
      <c r="F20" s="17">
        <f>IF($C20&lt;=DateToChangeLag,VLOOKUP($C20,'Result-lag'!$C$4:$I$100,3,0),VLOOKUP($C20,CurrentMtgRatesDataTable8[],3,0))</f>
        <v>12369353880.969999</v>
      </c>
      <c r="G20" s="17">
        <f>IF($C20&lt;=DateToChangeLag,VLOOKUP($C20,'Result-lag'!$C$4:$I$100,4,0),VLOOKUP($C20,CurrentMtgRatesDataTable8[],4,0))</f>
        <v>9517403444.5599995</v>
      </c>
      <c r="H20" s="43">
        <f>IF($C20&lt;=DateToChangeLag,VLOOKUP($C20,'Result-lag'!$C$4:$I$100,5,0),VLOOKUP($C20,CurrentMtgRatesDataTable8[],5,0))</f>
        <v>5355107741.7399998</v>
      </c>
      <c r="I20" s="43">
        <f>IF($C20&lt;=DateToChangeLag,VLOOKUP($C20,'Result-lag'!$C$4:$I$100,6,0),VLOOKUP($C20,CurrentMtgRatesDataTable8[],6,0))</f>
        <v>1136383.83</v>
      </c>
      <c r="J20" s="44">
        <f>CurrentMtgRatesDataTable934[[#This Row],[Top 10 Amount]]/CurrentMtgRatesDataTable934[[#This Row],[Total Amount]]</f>
        <v>0.51098005289300408</v>
      </c>
      <c r="K20" s="44">
        <f>CurrentMtgRatesDataTable934[[#This Row],[Top 5 Amount]]/CurrentMtgRatesDataTable934[[#This Row],[Total Amount]]</f>
        <v>0.39316550907216485</v>
      </c>
      <c r="L20" s="44">
        <f>CurrentMtgRatesDataTable934[[#This Row],[Top 1 Amount]]/CurrentMtgRatesDataTable934[[#This Row],[Total Amount]]</f>
        <v>0.22122038575772859</v>
      </c>
      <c r="M20" s="44">
        <f>CurrentMtgRatesDataTable934[[#This Row],[N/A Amount]]/CurrentMtgRatesDataTable934[[#This Row],[Total Amount]]</f>
        <v>4.6944203807888687E-5</v>
      </c>
      <c r="N20" s="48">
        <f t="shared" si="0"/>
        <v>0</v>
      </c>
    </row>
    <row r="21" spans="3:14">
      <c r="C21" s="37">
        <v>41730</v>
      </c>
      <c r="D21" s="16">
        <v>21999258156.419998</v>
      </c>
      <c r="E21" s="17">
        <f>IF(C21&lt;=DateToChangeLag,VLOOKUP(C21,'Result-lag'!$C$4:$H$100,2,0),VLOOKUP(C21,CurrentMtgRatesDataTable8[],2,0))</f>
        <v>21999258156.419998</v>
      </c>
      <c r="F21" s="17">
        <f>IF($C21&lt;=DateToChangeLag,VLOOKUP($C21,'Result-lag'!$C$4:$I$100,3,0),VLOOKUP($C21,CurrentMtgRatesDataTable8[],3,0))</f>
        <v>11300062333.420002</v>
      </c>
      <c r="G21" s="17">
        <f>IF($C21&lt;=DateToChangeLag,VLOOKUP($C21,'Result-lag'!$C$4:$I$100,4,0),VLOOKUP($C21,CurrentMtgRatesDataTable8[],4,0))</f>
        <v>8747604064.2000008</v>
      </c>
      <c r="H21" s="43">
        <f>IF($C21&lt;=DateToChangeLag,VLOOKUP($C21,'Result-lag'!$C$4:$I$100,5,0),VLOOKUP($C21,CurrentMtgRatesDataTable8[],5,0))</f>
        <v>4445417365.0100002</v>
      </c>
      <c r="I21" s="43">
        <f>IF($C21&lt;=DateToChangeLag,VLOOKUP($C21,'Result-lag'!$C$4:$I$100,6,0),VLOOKUP($C21,CurrentMtgRatesDataTable8[],6,0))</f>
        <v>262231.59000000003</v>
      </c>
      <c r="J21" s="44">
        <f>CurrentMtgRatesDataTable934[[#This Row],[Top 10 Amount]]/CurrentMtgRatesDataTable934[[#This Row],[Total Amount]]</f>
        <v>0.51365651755499442</v>
      </c>
      <c r="K21" s="44">
        <f>CurrentMtgRatesDataTable934[[#This Row],[Top 5 Amount]]/CurrentMtgRatesDataTable934[[#This Row],[Total Amount]]</f>
        <v>0.39763177476269607</v>
      </c>
      <c r="L21" s="44">
        <f>CurrentMtgRatesDataTable934[[#This Row],[Top 1 Amount]]/CurrentMtgRatesDataTable934[[#This Row],[Total Amount]]</f>
        <v>0.20207123955735312</v>
      </c>
      <c r="M21" s="44">
        <f>CurrentMtgRatesDataTable934[[#This Row],[N/A Amount]]/CurrentMtgRatesDataTable934[[#This Row],[Total Amount]]</f>
        <v>1.1920019672275791E-5</v>
      </c>
      <c r="N21" s="48">
        <f t="shared" si="0"/>
        <v>0</v>
      </c>
    </row>
    <row r="22" spans="3:14">
      <c r="C22" s="37">
        <v>41699</v>
      </c>
      <c r="D22" s="16">
        <v>17047395223.98</v>
      </c>
      <c r="E22" s="17">
        <f>IF(C22&lt;=DateToChangeLag,VLOOKUP(C22,'Result-lag'!$C$4:$H$100,2,0),VLOOKUP(C22,CurrentMtgRatesDataTable8[],2,0))</f>
        <v>17047395223.98</v>
      </c>
      <c r="F22" s="17">
        <f>IF($C22&lt;=DateToChangeLag,VLOOKUP($C22,'Result-lag'!$C$4:$I$100,3,0),VLOOKUP($C22,CurrentMtgRatesDataTable8[],3,0))</f>
        <v>8940718251.539999</v>
      </c>
      <c r="G22" s="17">
        <f>IF($C22&lt;=DateToChangeLag,VLOOKUP($C22,'Result-lag'!$C$4:$I$100,4,0),VLOOKUP($C22,CurrentMtgRatesDataTable8[],4,0))</f>
        <v>6740558305.8000002</v>
      </c>
      <c r="H22" s="43">
        <f>IF($C22&lt;=DateToChangeLag,VLOOKUP($C22,'Result-lag'!$C$4:$I$100,5,0),VLOOKUP($C22,CurrentMtgRatesDataTable8[],5,0))</f>
        <v>3220958142.0500002</v>
      </c>
      <c r="I22" s="43">
        <f>IF($C22&lt;=DateToChangeLag,VLOOKUP($C22,'Result-lag'!$C$4:$I$100,6,0),VLOOKUP($C22,CurrentMtgRatesDataTable8[],6,0))</f>
        <v>1145344.71</v>
      </c>
      <c r="J22" s="44">
        <f>CurrentMtgRatesDataTable934[[#This Row],[Top 10 Amount]]/CurrentMtgRatesDataTable934[[#This Row],[Total Amount]]</f>
        <v>0.52446242572961466</v>
      </c>
      <c r="K22" s="44">
        <f>CurrentMtgRatesDataTable934[[#This Row],[Top 5 Amount]]/CurrentMtgRatesDataTable934[[#This Row],[Total Amount]]</f>
        <v>0.39540106962020116</v>
      </c>
      <c r="L22" s="44">
        <f>CurrentMtgRatesDataTable934[[#This Row],[Top 1 Amount]]/CurrentMtgRatesDataTable934[[#This Row],[Total Amount]]</f>
        <v>0.18894136609909684</v>
      </c>
      <c r="M22" s="44">
        <f>CurrentMtgRatesDataTable934[[#This Row],[N/A Amount]]/CurrentMtgRatesDataTable934[[#This Row],[Total Amount]]</f>
        <v>6.7185906993514285E-5</v>
      </c>
      <c r="N22" s="48">
        <f t="shared" si="0"/>
        <v>0</v>
      </c>
    </row>
    <row r="23" spans="3:14">
      <c r="C23" s="37">
        <v>41671</v>
      </c>
      <c r="D23" s="16">
        <v>20222239011.169998</v>
      </c>
      <c r="E23" s="17">
        <f>IF(C23&lt;=DateToChangeLag,VLOOKUP(C23,'Result-lag'!$C$4:$H$100,2,0),VLOOKUP(C23,CurrentMtgRatesDataTable8[],2,0))</f>
        <v>20222239011.169998</v>
      </c>
      <c r="F23" s="17">
        <f>IF($C23&lt;=DateToChangeLag,VLOOKUP($C23,'Result-lag'!$C$4:$I$100,3,0),VLOOKUP($C23,CurrentMtgRatesDataTable8[],3,0))</f>
        <v>11668939446.919998</v>
      </c>
      <c r="G23" s="17">
        <f>IF($C23&lt;=DateToChangeLag,VLOOKUP($C23,'Result-lag'!$C$4:$I$100,4,0),VLOOKUP($C23,CurrentMtgRatesDataTable8[],4,0))</f>
        <v>9075030670.2299995</v>
      </c>
      <c r="H23" s="43">
        <f>IF($C23&lt;=DateToChangeLag,VLOOKUP($C23,'Result-lag'!$C$4:$I$100,5,0),VLOOKUP($C23,CurrentMtgRatesDataTable8[],5,0))</f>
        <v>4975614792.9300003</v>
      </c>
      <c r="I23" s="43">
        <f>IF($C23&lt;=DateToChangeLag,VLOOKUP($C23,'Result-lag'!$C$4:$I$100,6,0),VLOOKUP($C23,CurrentMtgRatesDataTable8[],6,0))</f>
        <v>36521.199999999997</v>
      </c>
      <c r="J23" s="44">
        <f>CurrentMtgRatesDataTable934[[#This Row],[Top 10 Amount]]/CurrentMtgRatesDataTable934[[#This Row],[Total Amount]]</f>
        <v>0.57703498808784326</v>
      </c>
      <c r="K23" s="44">
        <f>CurrentMtgRatesDataTable934[[#This Row],[Top 5 Amount]]/CurrentMtgRatesDataTable934[[#This Row],[Total Amount]]</f>
        <v>0.4487648803486744</v>
      </c>
      <c r="L23" s="44">
        <f>CurrentMtgRatesDataTable934[[#This Row],[Top 1 Amount]]/CurrentMtgRatesDataTable934[[#This Row],[Total Amount]]</f>
        <v>0.24604668109113237</v>
      </c>
      <c r="M23" s="44">
        <f>CurrentMtgRatesDataTable934[[#This Row],[N/A Amount]]/CurrentMtgRatesDataTable934[[#This Row],[Total Amount]]</f>
        <v>1.8059919072179432E-6</v>
      </c>
      <c r="N23" s="48">
        <f t="shared" si="0"/>
        <v>0</v>
      </c>
    </row>
    <row r="24" spans="3:14">
      <c r="C24" s="37">
        <v>41640</v>
      </c>
      <c r="D24" s="16">
        <v>21920064130.419998</v>
      </c>
      <c r="E24" s="17">
        <f>IF(C24&lt;=DateToChangeLag,VLOOKUP(C24,'Result-lag'!$C$4:$H$100,2,0),VLOOKUP(C24,CurrentMtgRatesDataTable8[],2,0))</f>
        <v>21920064130.419998</v>
      </c>
      <c r="F24" s="17">
        <f>IF($C24&lt;=DateToChangeLag,VLOOKUP($C24,'Result-lag'!$C$4:$I$100,3,0),VLOOKUP($C24,CurrentMtgRatesDataTable8[],3,0))</f>
        <v>11845891136.720001</v>
      </c>
      <c r="G24" s="17">
        <f>IF($C24&lt;=DateToChangeLag,VLOOKUP($C24,'Result-lag'!$C$4:$I$100,4,0),VLOOKUP($C24,CurrentMtgRatesDataTable8[],4,0))</f>
        <v>9318703436.4099998</v>
      </c>
      <c r="H24" s="43">
        <f>IF($C24&lt;=DateToChangeLag,VLOOKUP($C24,'Result-lag'!$C$4:$I$100,5,0),VLOOKUP($C24,CurrentMtgRatesDataTable8[],5,0))</f>
        <v>4800004095.4399996</v>
      </c>
      <c r="I24" s="43">
        <f>IF($C24&lt;=DateToChangeLag,VLOOKUP($C24,'Result-lag'!$C$4:$I$100,6,0),VLOOKUP($C24,CurrentMtgRatesDataTable8[],6,0))</f>
        <v>101926.61</v>
      </c>
      <c r="J24" s="44">
        <f>CurrentMtgRatesDataTable934[[#This Row],[Top 10 Amount]]/CurrentMtgRatesDataTable934[[#This Row],[Total Amount]]</f>
        <v>0.54041316057468258</v>
      </c>
      <c r="K24" s="44">
        <f>CurrentMtgRatesDataTable934[[#This Row],[Top 5 Amount]]/CurrentMtgRatesDataTable934[[#This Row],[Total Amount]]</f>
        <v>0.42512208819123787</v>
      </c>
      <c r="L24" s="44">
        <f>CurrentMtgRatesDataTable934[[#This Row],[Top 1 Amount]]/CurrentMtgRatesDataTable934[[#This Row],[Total Amount]]</f>
        <v>0.21897764837187222</v>
      </c>
      <c r="M24" s="44">
        <f>CurrentMtgRatesDataTable934[[#This Row],[N/A Amount]]/CurrentMtgRatesDataTable934[[#This Row],[Total Amount]]</f>
        <v>4.6499229835075779E-6</v>
      </c>
      <c r="N24" s="48">
        <f t="shared" si="0"/>
        <v>0</v>
      </c>
    </row>
    <row r="25" spans="3:14">
      <c r="C25" s="37">
        <v>41609</v>
      </c>
      <c r="D25" s="16">
        <v>21441669551.299999</v>
      </c>
      <c r="E25" s="17">
        <f>IF(C25&lt;=DateToChangeLag,VLOOKUP(C25,'Result-lag'!$C$4:$H$100,2,0),VLOOKUP(C25,CurrentMtgRatesDataTable8[],2,0))</f>
        <v>21441669551.299999</v>
      </c>
      <c r="F25" s="17">
        <f>IF($C25&lt;=DateToChangeLag,VLOOKUP($C25,'Result-lag'!$C$4:$I$100,3,0),VLOOKUP($C25,CurrentMtgRatesDataTable8[],3,0))</f>
        <v>11595801527.200001</v>
      </c>
      <c r="G25" s="17">
        <f>IF($C25&lt;=DateToChangeLag,VLOOKUP($C25,'Result-lag'!$C$4:$I$100,4,0),VLOOKUP($C25,CurrentMtgRatesDataTable8[],4,0))</f>
        <v>9254986706.0799999</v>
      </c>
      <c r="H25" s="43">
        <f>IF($C25&lt;=DateToChangeLag,VLOOKUP($C25,'Result-lag'!$C$4:$I$100,5,0),VLOOKUP($C25,CurrentMtgRatesDataTable8[],5,0))</f>
        <v>4731307858.5900002</v>
      </c>
      <c r="I25" s="43">
        <f>IF($C25&lt;=DateToChangeLag,VLOOKUP($C25,'Result-lag'!$C$4:$I$100,6,0),VLOOKUP($C25,CurrentMtgRatesDataTable8[],6,0))</f>
        <v>69070.8</v>
      </c>
      <c r="J25" s="44">
        <f>CurrentMtgRatesDataTable934[[#This Row],[Top 10 Amount]]/CurrentMtgRatesDataTable934[[#This Row],[Total Amount]]</f>
        <v>0.54080683873317847</v>
      </c>
      <c r="K25" s="44">
        <f>CurrentMtgRatesDataTable934[[#This Row],[Top 5 Amount]]/CurrentMtgRatesDataTable934[[#This Row],[Total Amount]]</f>
        <v>0.43163554423488792</v>
      </c>
      <c r="L25" s="44">
        <f>CurrentMtgRatesDataTable934[[#This Row],[Top 1 Amount]]/CurrentMtgRatesDataTable934[[#This Row],[Total Amount]]</f>
        <v>0.22065948956400847</v>
      </c>
      <c r="M25" s="44">
        <f>CurrentMtgRatesDataTable934[[#This Row],[N/A Amount]]/CurrentMtgRatesDataTable934[[#This Row],[Total Amount]]</f>
        <v>3.2213349727615904E-6</v>
      </c>
      <c r="N25" s="48">
        <f t="shared" si="0"/>
        <v>0</v>
      </c>
    </row>
    <row r="26" spans="3:14">
      <c r="C26" s="37">
        <v>41579</v>
      </c>
      <c r="D26" s="16">
        <v>24425721819.209999</v>
      </c>
      <c r="E26" s="17">
        <f>IF(C26&lt;=DateToChangeLag,VLOOKUP(C26,'Result-lag'!$C$4:$H$100,2,0),VLOOKUP(C26,CurrentMtgRatesDataTable8[],2,0))</f>
        <v>24425721819.209999</v>
      </c>
      <c r="F26" s="17">
        <f>IF($C26&lt;=DateToChangeLag,VLOOKUP($C26,'Result-lag'!$C$4:$I$100,3,0),VLOOKUP($C26,CurrentMtgRatesDataTable8[],3,0))</f>
        <v>14315974240.729996</v>
      </c>
      <c r="G26" s="17">
        <f>IF($C26&lt;=DateToChangeLag,VLOOKUP($C26,'Result-lag'!$C$4:$I$100,4,0),VLOOKUP($C26,CurrentMtgRatesDataTable8[],4,0))</f>
        <v>11600603853.66</v>
      </c>
      <c r="H26" s="43">
        <f>IF($C26&lt;=DateToChangeLag,VLOOKUP($C26,'Result-lag'!$C$4:$I$100,5,0),VLOOKUP($C26,CurrentMtgRatesDataTable8[],5,0))</f>
        <v>6464423980.5</v>
      </c>
      <c r="I26" s="43">
        <f>IF($C26&lt;=DateToChangeLag,VLOOKUP($C26,'Result-lag'!$C$4:$I$100,6,0),VLOOKUP($C26,CurrentMtgRatesDataTable8[],6,0))</f>
        <v>2558893.7599999998</v>
      </c>
      <c r="J26" s="44">
        <f>CurrentMtgRatesDataTable934[[#This Row],[Top 10 Amount]]/CurrentMtgRatesDataTable934[[#This Row],[Total Amount]]</f>
        <v>0.58610240248748635</v>
      </c>
      <c r="K26" s="44">
        <f>CurrentMtgRatesDataTable934[[#This Row],[Top 5 Amount]]/CurrentMtgRatesDataTable934[[#This Row],[Total Amount]]</f>
        <v>0.47493392168810011</v>
      </c>
      <c r="L26" s="44">
        <f>CurrentMtgRatesDataTable934[[#This Row],[Top 1 Amount]]/CurrentMtgRatesDataTable934[[#This Row],[Total Amount]]</f>
        <v>0.26465641541106683</v>
      </c>
      <c r="M26" s="44">
        <f>CurrentMtgRatesDataTable934[[#This Row],[N/A Amount]]/CurrentMtgRatesDataTable934[[#This Row],[Total Amount]]</f>
        <v>1.0476225754718605E-4</v>
      </c>
      <c r="N26" s="48">
        <f t="shared" si="0"/>
        <v>0</v>
      </c>
    </row>
    <row r="27" spans="3:14">
      <c r="C27" s="37">
        <v>41548</v>
      </c>
      <c r="D27" s="16">
        <v>26884500047.799999</v>
      </c>
      <c r="E27" s="17">
        <f>IF(C27&lt;=DateToChangeLag,VLOOKUP(C27,'Result-lag'!$C$4:$H$100,2,0),VLOOKUP(C27,CurrentMtgRatesDataTable8[],2,0))</f>
        <v>26884500047.799999</v>
      </c>
      <c r="F27" s="17">
        <f>IF($C27&lt;=DateToChangeLag,VLOOKUP($C27,'Result-lag'!$C$4:$I$100,3,0),VLOOKUP($C27,CurrentMtgRatesDataTable8[],3,0))</f>
        <v>15685629842.970001</v>
      </c>
      <c r="G27" s="17">
        <f>IF($C27&lt;=DateToChangeLag,VLOOKUP($C27,'Result-lag'!$C$4:$I$100,4,0),VLOOKUP($C27,CurrentMtgRatesDataTable8[],4,0))</f>
        <v>12514284008.049999</v>
      </c>
      <c r="H27" s="43">
        <f>IF($C27&lt;=DateToChangeLag,VLOOKUP($C27,'Result-lag'!$C$4:$I$100,5,0),VLOOKUP($C27,CurrentMtgRatesDataTable8[],5,0))</f>
        <v>6287281036.2299995</v>
      </c>
      <c r="I27" s="43">
        <f>IF($C27&lt;=DateToChangeLag,VLOOKUP($C27,'Result-lag'!$C$4:$I$100,6,0),VLOOKUP($C27,CurrentMtgRatesDataTable8[],6,0))</f>
        <v>158895.63</v>
      </c>
      <c r="J27" s="44">
        <f>CurrentMtgRatesDataTable934[[#This Row],[Top 10 Amount]]/CurrentMtgRatesDataTable934[[#This Row],[Total Amount]]</f>
        <v>0.58344510089759249</v>
      </c>
      <c r="K27" s="44">
        <f>CurrentMtgRatesDataTable934[[#This Row],[Top 5 Amount]]/CurrentMtgRatesDataTable934[[#This Row],[Total Amount]]</f>
        <v>0.46548323330543256</v>
      </c>
      <c r="L27" s="44">
        <f>CurrentMtgRatesDataTable934[[#This Row],[Top 1 Amount]]/CurrentMtgRatesDataTable934[[#This Row],[Total Amount]]</f>
        <v>0.23386267273155029</v>
      </c>
      <c r="M27" s="44">
        <f>CurrentMtgRatesDataTable934[[#This Row],[N/A Amount]]/CurrentMtgRatesDataTable934[[#This Row],[Total Amount]]</f>
        <v>5.9103062998191292E-6</v>
      </c>
      <c r="N27" s="48">
        <f t="shared" si="0"/>
        <v>0</v>
      </c>
    </row>
    <row r="28" spans="3:14">
      <c r="C28" s="37">
        <v>41518</v>
      </c>
      <c r="D28" s="16">
        <v>30246465328.040001</v>
      </c>
      <c r="E28" s="17">
        <f>IF(C28&lt;=DateToChangeLag,VLOOKUP(C28,'Result-lag'!$C$4:$H$100,2,0),VLOOKUP(C28,CurrentMtgRatesDataTable8[],2,0))</f>
        <v>30246465328.040001</v>
      </c>
      <c r="F28" s="17">
        <f>IF($C28&lt;=DateToChangeLag,VLOOKUP($C28,'Result-lag'!$C$4:$I$100,3,0),VLOOKUP($C28,CurrentMtgRatesDataTable8[],3,0))</f>
        <v>17776590882.760002</v>
      </c>
      <c r="G28" s="17">
        <f>IF($C28&lt;=DateToChangeLag,VLOOKUP($C28,'Result-lag'!$C$4:$I$100,4,0),VLOOKUP($C28,CurrentMtgRatesDataTable8[],4,0))</f>
        <v>14400270643.16</v>
      </c>
      <c r="H28" s="43">
        <f>IF($C28&lt;=DateToChangeLag,VLOOKUP($C28,'Result-lag'!$C$4:$I$100,5,0),VLOOKUP($C28,CurrentMtgRatesDataTable8[],5,0))</f>
        <v>7267875544.7299995</v>
      </c>
      <c r="I28" s="43">
        <f>IF($C28&lt;=DateToChangeLag,VLOOKUP($C28,'Result-lag'!$C$4:$I$100,6,0),VLOOKUP($C28,CurrentMtgRatesDataTable8[],6,0))</f>
        <v>715052.98</v>
      </c>
      <c r="J28" s="44">
        <f>CurrentMtgRatesDataTable934[[#This Row],[Top 10 Amount]]/CurrentMtgRatesDataTable934[[#This Row],[Total Amount]]</f>
        <v>0.58772457177930815</v>
      </c>
      <c r="K28" s="44">
        <f>CurrentMtgRatesDataTable934[[#This Row],[Top 5 Amount]]/CurrentMtgRatesDataTable934[[#This Row],[Total Amount]]</f>
        <v>0.47609763610329109</v>
      </c>
      <c r="L28" s="44">
        <f>CurrentMtgRatesDataTable934[[#This Row],[Top 1 Amount]]/CurrentMtgRatesDataTable934[[#This Row],[Total Amount]]</f>
        <v>0.24028842596666367</v>
      </c>
      <c r="M28" s="44">
        <f>CurrentMtgRatesDataTable934[[#This Row],[N/A Amount]]/CurrentMtgRatesDataTable934[[#This Row],[Total Amount]]</f>
        <v>2.3640877446169214E-5</v>
      </c>
      <c r="N28" s="48">
        <f t="shared" si="0"/>
        <v>0</v>
      </c>
    </row>
    <row r="29" spans="3:14">
      <c r="C29" s="37">
        <v>41487</v>
      </c>
      <c r="D29" s="16">
        <v>34072165757.150002</v>
      </c>
      <c r="E29" s="17">
        <f>IF(C29&lt;=DateToChangeLag,VLOOKUP(C29,'Result-lag'!$C$4:$H$100,2,0),VLOOKUP(C29,CurrentMtgRatesDataTable8[],2,0))</f>
        <v>34072165757.150002</v>
      </c>
      <c r="F29" s="17">
        <f>IF($C29&lt;=DateToChangeLag,VLOOKUP($C29,'Result-lag'!$C$4:$I$100,3,0),VLOOKUP($C29,CurrentMtgRatesDataTable8[],3,0))</f>
        <v>20908839908.930004</v>
      </c>
      <c r="G29" s="17">
        <f>IF($C29&lt;=DateToChangeLag,VLOOKUP($C29,'Result-lag'!$C$4:$I$100,4,0),VLOOKUP($C29,CurrentMtgRatesDataTable8[],4,0))</f>
        <v>17168607712.619999</v>
      </c>
      <c r="H29" s="43">
        <f>IF($C29&lt;=DateToChangeLag,VLOOKUP($C29,'Result-lag'!$C$4:$I$100,5,0),VLOOKUP($C29,CurrentMtgRatesDataTable8[],5,0))</f>
        <v>8870949392.1399994</v>
      </c>
      <c r="I29" s="43">
        <f>IF($C29&lt;=DateToChangeLag,VLOOKUP($C29,'Result-lag'!$C$4:$I$100,6,0),VLOOKUP($C29,CurrentMtgRatesDataTable8[],6,0))</f>
        <v>42386.54</v>
      </c>
      <c r="J29" s="44">
        <f>CurrentMtgRatesDataTable934[[#This Row],[Top 10 Amount]]/CurrentMtgRatesDataTable934[[#This Row],[Total Amount]]</f>
        <v>0.61366336551536382</v>
      </c>
      <c r="K29" s="44">
        <f>CurrentMtgRatesDataTable934[[#This Row],[Top 5 Amount]]/CurrentMtgRatesDataTable934[[#This Row],[Total Amount]]</f>
        <v>0.50388953361490352</v>
      </c>
      <c r="L29" s="44">
        <f>CurrentMtgRatesDataTable934[[#This Row],[Top 1 Amount]]/CurrentMtgRatesDataTable934[[#This Row],[Total Amount]]</f>
        <v>0.2603576613053557</v>
      </c>
      <c r="M29" s="44">
        <f>CurrentMtgRatesDataTable934[[#This Row],[N/A Amount]]/CurrentMtgRatesDataTable934[[#This Row],[Total Amount]]</f>
        <v>1.2440224757683694E-6</v>
      </c>
      <c r="N29" s="48">
        <f t="shared" si="0"/>
        <v>0</v>
      </c>
    </row>
    <row r="30" spans="3:14">
      <c r="C30" s="37">
        <v>41456</v>
      </c>
      <c r="D30" s="16">
        <v>37282597413.379997</v>
      </c>
      <c r="E30" s="17">
        <f>IF(C30&lt;=DateToChangeLag,VLOOKUP(C30,'Result-lag'!$C$4:$H$100,2,0),VLOOKUP(C30,CurrentMtgRatesDataTable8[],2,0))</f>
        <v>37282597413.379997</v>
      </c>
      <c r="F30" s="17">
        <f>IF($C30&lt;=DateToChangeLag,VLOOKUP($C30,'Result-lag'!$C$4:$I$100,3,0),VLOOKUP($C30,CurrentMtgRatesDataTable8[],3,0))</f>
        <v>23698069082.650002</v>
      </c>
      <c r="G30" s="17">
        <f>IF($C30&lt;=DateToChangeLag,VLOOKUP($C30,'Result-lag'!$C$4:$I$100,4,0),VLOOKUP($C30,CurrentMtgRatesDataTable8[],4,0))</f>
        <v>18955519140.270004</v>
      </c>
      <c r="H30" s="43">
        <f>IF($C30&lt;=DateToChangeLag,VLOOKUP($C30,'Result-lag'!$C$4:$I$100,5,0),VLOOKUP($C30,CurrentMtgRatesDataTable8[],5,0))</f>
        <v>10136035522.35</v>
      </c>
      <c r="I30" s="43">
        <f>IF($C30&lt;=DateToChangeLag,VLOOKUP($C30,'Result-lag'!$C$4:$I$100,6,0),VLOOKUP($C30,CurrentMtgRatesDataTable8[],6,0))</f>
        <v>98553.86</v>
      </c>
      <c r="J30" s="44">
        <f>CurrentMtgRatesDataTable934[[#This Row],[Top 10 Amount]]/CurrentMtgRatesDataTable934[[#This Row],[Total Amount]]</f>
        <v>0.63563353217834617</v>
      </c>
      <c r="K30" s="44">
        <f>CurrentMtgRatesDataTable934[[#This Row],[Top 5 Amount]]/CurrentMtgRatesDataTable934[[#This Row],[Total Amount]]</f>
        <v>0.5084280724890492</v>
      </c>
      <c r="L30" s="44">
        <f>CurrentMtgRatesDataTable934[[#This Row],[Top 1 Amount]]/CurrentMtgRatesDataTable934[[#This Row],[Total Amount]]</f>
        <v>0.27187042281320173</v>
      </c>
      <c r="M30" s="44">
        <f>CurrentMtgRatesDataTable934[[#This Row],[N/A Amount]]/CurrentMtgRatesDataTable934[[#This Row],[Total Amount]]</f>
        <v>2.6434279486286794E-6</v>
      </c>
      <c r="N30" s="48">
        <f t="shared" si="0"/>
        <v>0</v>
      </c>
    </row>
    <row r="31" spans="3:14">
      <c r="C31" s="37">
        <v>41426</v>
      </c>
      <c r="D31" s="16">
        <v>40070305738.699997</v>
      </c>
      <c r="E31" s="17">
        <f>IF(C31&lt;=DateToChangeLag,VLOOKUP(C31,'Result-lag'!$C$4:$H$100,2,0),VLOOKUP(C31,CurrentMtgRatesDataTable8[],2,0))</f>
        <v>40070305738.699997</v>
      </c>
      <c r="F31" s="17">
        <f>IF($C31&lt;=DateToChangeLag,VLOOKUP($C31,'Result-lag'!$C$4:$I$100,3,0),VLOOKUP($C31,CurrentMtgRatesDataTable8[],3,0))</f>
        <v>24543431615.759995</v>
      </c>
      <c r="G31" s="17">
        <f>IF($C31&lt;=DateToChangeLag,VLOOKUP($C31,'Result-lag'!$C$4:$I$100,4,0),VLOOKUP($C31,CurrentMtgRatesDataTable8[],4,0))</f>
        <v>19931806879.980003</v>
      </c>
      <c r="H31" s="43">
        <f>IF($C31&lt;=DateToChangeLag,VLOOKUP($C31,'Result-lag'!$C$4:$I$100,5,0),VLOOKUP($C31,CurrentMtgRatesDataTable8[],5,0))</f>
        <v>10901539313.190001</v>
      </c>
      <c r="I31" s="43">
        <f>IF($C31&lt;=DateToChangeLag,VLOOKUP($C31,'Result-lag'!$C$4:$I$100,6,0),VLOOKUP($C31,CurrentMtgRatesDataTable8[],6,0))</f>
        <v>41436.800000000003</v>
      </c>
      <c r="J31" s="44">
        <f>CurrentMtgRatesDataTable934[[#This Row],[Top 10 Amount]]/CurrentMtgRatesDataTable934[[#This Row],[Total Amount]]</f>
        <v>0.61250921756895627</v>
      </c>
      <c r="K31" s="44">
        <f>CurrentMtgRatesDataTable934[[#This Row],[Top 5 Amount]]/CurrentMtgRatesDataTable934[[#This Row],[Total Amount]]</f>
        <v>0.49742088343313579</v>
      </c>
      <c r="L31" s="44">
        <f>CurrentMtgRatesDataTable934[[#This Row],[Top 1 Amount]]/CurrentMtgRatesDataTable934[[#This Row],[Total Amount]]</f>
        <v>0.27206029782451269</v>
      </c>
      <c r="M31" s="44">
        <f>CurrentMtgRatesDataTable934[[#This Row],[N/A Amount]]/CurrentMtgRatesDataTable934[[#This Row],[Total Amount]]</f>
        <v>1.0341024166426622E-6</v>
      </c>
      <c r="N31" s="48">
        <f t="shared" si="0"/>
        <v>0</v>
      </c>
    </row>
    <row r="32" spans="3:14">
      <c r="C32" s="37">
        <v>41395</v>
      </c>
      <c r="D32" s="16">
        <v>40349366950.739998</v>
      </c>
      <c r="E32" s="17">
        <f>IF(C32&lt;=DateToChangeLag,VLOOKUP(C32,'Result-lag'!$C$4:$H$100,2,0),VLOOKUP(C32,CurrentMtgRatesDataTable8[],2,0))</f>
        <v>40349366950.739998</v>
      </c>
      <c r="F32" s="17">
        <f>IF($C32&lt;=DateToChangeLag,VLOOKUP($C32,'Result-lag'!$C$4:$I$100,3,0),VLOOKUP($C32,CurrentMtgRatesDataTable8[],3,0))</f>
        <v>25114174999.98</v>
      </c>
      <c r="G32" s="17">
        <f>IF($C32&lt;=DateToChangeLag,VLOOKUP($C32,'Result-lag'!$C$4:$I$100,4,0),VLOOKUP($C32,CurrentMtgRatesDataTable8[],4,0))</f>
        <v>20872056371.66</v>
      </c>
      <c r="H32" s="43">
        <f>IF($C32&lt;=DateToChangeLag,VLOOKUP($C32,'Result-lag'!$C$4:$I$100,5,0),VLOOKUP($C32,CurrentMtgRatesDataTable8[],5,0))</f>
        <v>11488927028.709999</v>
      </c>
      <c r="I32" s="43" t="e">
        <f>IF($C32&lt;=DateToChangeLag,VLOOKUP($C32,'Result-lag'!$C$4:$I$100,6,0),VLOOKUP($C32,CurrentMtgRatesDataTable8[],6,0))</f>
        <v>#N/A</v>
      </c>
      <c r="J32" s="44">
        <f>CurrentMtgRatesDataTable934[[#This Row],[Top 10 Amount]]/CurrentMtgRatesDataTable934[[#This Row],[Total Amount]]</f>
        <v>0.62241806744180928</v>
      </c>
      <c r="K32" s="44">
        <f>CurrentMtgRatesDataTable934[[#This Row],[Top 5 Amount]]/CurrentMtgRatesDataTable934[[#This Row],[Total Amount]]</f>
        <v>0.5172833664810994</v>
      </c>
      <c r="L32" s="44">
        <f>CurrentMtgRatesDataTable934[[#This Row],[Top 1 Amount]]/CurrentMtgRatesDataTable934[[#This Row],[Total Amount]]</f>
        <v>0.28473623992009855</v>
      </c>
      <c r="M32" s="44" t="e">
        <f>CurrentMtgRatesDataTable934[[#This Row],[N/A Amount]]/CurrentMtgRatesDataTable934[[#This Row],[Total Amount]]</f>
        <v>#N/A</v>
      </c>
      <c r="N32" s="48">
        <f t="shared" si="0"/>
        <v>0</v>
      </c>
    </row>
    <row r="33" spans="3:14">
      <c r="C33" s="37">
        <v>41365</v>
      </c>
      <c r="D33" s="16">
        <v>39207819015.68</v>
      </c>
      <c r="E33" s="17">
        <f>IF(C33&lt;=DateToChangeLag,VLOOKUP(C33,'Result-lag'!$C$4:$H$100,2,0),VLOOKUP(C33,CurrentMtgRatesDataTable8[],2,0))</f>
        <v>39207819015.68</v>
      </c>
      <c r="F33" s="17">
        <f>IF($C33&lt;=DateToChangeLag,VLOOKUP($C33,'Result-lag'!$C$4:$I$100,3,0),VLOOKUP($C33,CurrentMtgRatesDataTable8[],3,0))</f>
        <v>24970975389.630005</v>
      </c>
      <c r="G33" s="17">
        <f>IF($C33&lt;=DateToChangeLag,VLOOKUP($C33,'Result-lag'!$C$4:$I$100,4,0),VLOOKUP($C33,CurrentMtgRatesDataTable8[],4,0))</f>
        <v>20223303671.580002</v>
      </c>
      <c r="H33" s="43">
        <f>IF($C33&lt;=DateToChangeLag,VLOOKUP($C33,'Result-lag'!$C$4:$I$100,5,0),VLOOKUP($C33,CurrentMtgRatesDataTable8[],5,0))</f>
        <v>11279857954.74</v>
      </c>
      <c r="I33" s="43">
        <f>IF($C33&lt;=DateToChangeLag,VLOOKUP($C33,'Result-lag'!$C$4:$I$100,6,0),VLOOKUP($C33,CurrentMtgRatesDataTable8[],6,0))</f>
        <v>156145.66</v>
      </c>
      <c r="J33" s="44">
        <f>CurrentMtgRatesDataTable934[[#This Row],[Top 10 Amount]]/CurrentMtgRatesDataTable934[[#This Row],[Total Amount]]</f>
        <v>0.63688764171359813</v>
      </c>
      <c r="K33" s="44">
        <f>CurrentMtgRatesDataTable934[[#This Row],[Top 5 Amount]]/CurrentMtgRatesDataTable934[[#This Row],[Total Amount]]</f>
        <v>0.51579772043663774</v>
      </c>
      <c r="L33" s="44">
        <f>CurrentMtgRatesDataTable934[[#This Row],[Top 1 Amount]]/CurrentMtgRatesDataTable934[[#This Row],[Total Amount]]</f>
        <v>0.28769409362527809</v>
      </c>
      <c r="M33" s="44">
        <f>CurrentMtgRatesDataTable934[[#This Row],[N/A Amount]]/CurrentMtgRatesDataTable934[[#This Row],[Total Amount]]</f>
        <v>3.9825132823010178E-6</v>
      </c>
      <c r="N33" s="48">
        <f t="shared" si="0"/>
        <v>0</v>
      </c>
    </row>
    <row r="34" spans="3:14">
      <c r="C34" s="37">
        <v>41334</v>
      </c>
      <c r="D34" s="16">
        <v>35969757043.540001</v>
      </c>
      <c r="E34" s="17">
        <f>IF(C34&lt;=DateToChangeLag,VLOOKUP(C34,'Result-lag'!$C$4:$H$100,2,0),VLOOKUP(C34,CurrentMtgRatesDataTable8[],2,0))</f>
        <v>35969757043.540001</v>
      </c>
      <c r="F34" s="17">
        <f>IF($C34&lt;=DateToChangeLag,VLOOKUP($C34,'Result-lag'!$C$4:$I$100,3,0),VLOOKUP($C34,CurrentMtgRatesDataTable8[],3,0))</f>
        <v>22346775421.320004</v>
      </c>
      <c r="G34" s="17">
        <f>IF($C34&lt;=DateToChangeLag,VLOOKUP($C34,'Result-lag'!$C$4:$I$100,4,0),VLOOKUP($C34,CurrentMtgRatesDataTable8[],4,0))</f>
        <v>18253722161.220001</v>
      </c>
      <c r="H34" s="43">
        <f>IF($C34&lt;=DateToChangeLag,VLOOKUP($C34,'Result-lag'!$C$4:$I$100,5,0),VLOOKUP($C34,CurrentMtgRatesDataTable8[],5,0))</f>
        <v>9568034422.0900002</v>
      </c>
      <c r="I34" s="43">
        <f>IF($C34&lt;=DateToChangeLag,VLOOKUP($C34,'Result-lag'!$C$4:$I$100,6,0),VLOOKUP($C34,CurrentMtgRatesDataTable8[],6,0))</f>
        <v>1097501.01</v>
      </c>
      <c r="J34" s="44">
        <f>CurrentMtgRatesDataTable934[[#This Row],[Top 10 Amount]]/CurrentMtgRatesDataTable934[[#This Row],[Total Amount]]</f>
        <v>0.6212656758918359</v>
      </c>
      <c r="K34" s="44">
        <f>CurrentMtgRatesDataTable934[[#This Row],[Top 5 Amount]]/CurrentMtgRatesDataTable934[[#This Row],[Total Amount]]</f>
        <v>0.50747415777995319</v>
      </c>
      <c r="L34" s="44">
        <f>CurrentMtgRatesDataTable934[[#This Row],[Top 1 Amount]]/CurrentMtgRatesDataTable934[[#This Row],[Total Amount]]</f>
        <v>0.26600219763809535</v>
      </c>
      <c r="M34" s="44">
        <f>CurrentMtgRatesDataTable934[[#This Row],[N/A Amount]]/CurrentMtgRatesDataTable934[[#This Row],[Total Amount]]</f>
        <v>3.0511771560522842E-5</v>
      </c>
      <c r="N34" s="48">
        <f t="shared" si="0"/>
        <v>0</v>
      </c>
    </row>
    <row r="35" spans="3:14">
      <c r="C35" s="37">
        <v>41306</v>
      </c>
      <c r="D35" s="16">
        <v>38063936628.589996</v>
      </c>
      <c r="E35" s="17">
        <f>IF(C35&lt;=DateToChangeLag,VLOOKUP(C35,'Result-lag'!$C$4:$H$100,2,0),VLOOKUP(C35,CurrentMtgRatesDataTable8[],2,0))</f>
        <v>38063936628.589996</v>
      </c>
      <c r="F35" s="17">
        <f>IF($C35&lt;=DateToChangeLag,VLOOKUP($C35,'Result-lag'!$C$4:$I$100,3,0),VLOOKUP($C35,CurrentMtgRatesDataTable8[],3,0))</f>
        <v>24451409144.98</v>
      </c>
      <c r="G35" s="17">
        <f>IF($C35&lt;=DateToChangeLag,VLOOKUP($C35,'Result-lag'!$C$4:$I$100,4,0),VLOOKUP($C35,CurrentMtgRatesDataTable8[],4,0))</f>
        <v>20255842062.120003</v>
      </c>
      <c r="H35" s="43">
        <f>IF($C35&lt;=DateToChangeLag,VLOOKUP($C35,'Result-lag'!$C$4:$I$100,5,0),VLOOKUP($C35,CurrentMtgRatesDataTable8[],5,0))</f>
        <v>11492145992.860001</v>
      </c>
      <c r="I35" s="43">
        <f>IF($C35&lt;=DateToChangeLag,VLOOKUP($C35,'Result-lag'!$C$4:$I$100,6,0),VLOOKUP($C35,CurrentMtgRatesDataTable8[],6,0))</f>
        <v>2766460.86</v>
      </c>
      <c r="J35" s="44">
        <f>CurrentMtgRatesDataTable934[[#This Row],[Top 10 Amount]]/CurrentMtgRatesDataTable934[[#This Row],[Total Amount]]</f>
        <v>0.6423773080426588</v>
      </c>
      <c r="K35" s="44">
        <f>CurrentMtgRatesDataTable934[[#This Row],[Top 5 Amount]]/CurrentMtgRatesDataTable934[[#This Row],[Total Amount]]</f>
        <v>0.53215310491310952</v>
      </c>
      <c r="L35" s="44">
        <f>CurrentMtgRatesDataTable934[[#This Row],[Top 1 Amount]]/CurrentMtgRatesDataTable934[[#This Row],[Total Amount]]</f>
        <v>0.30191690641446156</v>
      </c>
      <c r="M35" s="44">
        <f>CurrentMtgRatesDataTable934[[#This Row],[N/A Amount]]/CurrentMtgRatesDataTable934[[#This Row],[Total Amount]]</f>
        <v>7.2679315515728832E-5</v>
      </c>
      <c r="N35" s="48">
        <f t="shared" si="0"/>
        <v>0</v>
      </c>
    </row>
    <row r="36" spans="3:14">
      <c r="C36" s="37">
        <v>41275</v>
      </c>
      <c r="D36" s="16">
        <v>37478642030.029999</v>
      </c>
      <c r="E36" s="17">
        <f>IF(C36&lt;=DateToChangeLag,VLOOKUP(C36,'Result-lag'!$C$4:$H$100,2,0),VLOOKUP(C36,CurrentMtgRatesDataTable8[],2,0))</f>
        <v>37478642030.029999</v>
      </c>
      <c r="F36" s="17">
        <f>IF($C36&lt;=DateToChangeLag,VLOOKUP($C36,'Result-lag'!$C$4:$I$100,3,0),VLOOKUP($C36,CurrentMtgRatesDataTable8[],3,0))</f>
        <v>23904875687.350002</v>
      </c>
      <c r="G36" s="17">
        <f>IF($C36&lt;=DateToChangeLag,VLOOKUP($C36,'Result-lag'!$C$4:$I$100,4,0),VLOOKUP($C36,CurrentMtgRatesDataTable8[],4,0))</f>
        <v>19628010871.970001</v>
      </c>
      <c r="H36" s="43">
        <f>IF($C36&lt;=DateToChangeLag,VLOOKUP($C36,'Result-lag'!$C$4:$I$100,5,0),VLOOKUP($C36,CurrentMtgRatesDataTable8[],5,0))</f>
        <v>12333810135.870001</v>
      </c>
      <c r="I36" s="43">
        <f>IF($C36&lt;=DateToChangeLag,VLOOKUP($C36,'Result-lag'!$C$4:$I$100,6,0),VLOOKUP($C36,CurrentMtgRatesDataTable8[],6,0))</f>
        <v>2068229.63</v>
      </c>
      <c r="J36" s="44">
        <f>CurrentMtgRatesDataTable934[[#This Row],[Top 10 Amount]]/CurrentMtgRatesDataTable934[[#This Row],[Total Amount]]</f>
        <v>0.63782662317903804</v>
      </c>
      <c r="K36" s="44">
        <f>CurrentMtgRatesDataTable934[[#This Row],[Top 5 Amount]]/CurrentMtgRatesDataTable934[[#This Row],[Total Amount]]</f>
        <v>0.52371190120076749</v>
      </c>
      <c r="L36" s="44">
        <f>CurrentMtgRatesDataTable934[[#This Row],[Top 1 Amount]]/CurrentMtgRatesDataTable934[[#This Row],[Total Amount]]</f>
        <v>0.32908903492254221</v>
      </c>
      <c r="M36" s="44">
        <f>CurrentMtgRatesDataTable934[[#This Row],[N/A Amount]]/CurrentMtgRatesDataTable934[[#This Row],[Total Amount]]</f>
        <v>5.5184220077739688E-5</v>
      </c>
      <c r="N36" s="48">
        <f t="shared" ref="N36:N67" si="1">IF(C36&lt;=DateToChangeLag,1,0)</f>
        <v>0</v>
      </c>
    </row>
    <row r="37" spans="3:14">
      <c r="C37" s="37">
        <v>41244</v>
      </c>
      <c r="D37" s="16">
        <v>40588469160.410004</v>
      </c>
      <c r="E37" s="17">
        <f>IF(C37&lt;=DateToChangeLag,VLOOKUP(C37,'Result-lag'!$C$4:$H$100,2,0),VLOOKUP(C37,CurrentMtgRatesDataTable8[],2,0))</f>
        <v>40588469160.410004</v>
      </c>
      <c r="F37" s="17">
        <f>IF($C37&lt;=DateToChangeLag,VLOOKUP($C37,'Result-lag'!$C$4:$I$100,3,0),VLOOKUP($C37,CurrentMtgRatesDataTable8[],3,0))</f>
        <v>25121900776.220001</v>
      </c>
      <c r="G37" s="17">
        <f>IF($C37&lt;=DateToChangeLag,VLOOKUP($C37,'Result-lag'!$C$4:$I$100,4,0),VLOOKUP($C37,CurrentMtgRatesDataTable8[],4,0))</f>
        <v>20340532413.459999</v>
      </c>
      <c r="H37" s="43">
        <f>IF($C37&lt;=DateToChangeLag,VLOOKUP($C37,'Result-lag'!$C$4:$I$100,5,0),VLOOKUP($C37,CurrentMtgRatesDataTable8[],5,0))</f>
        <v>11715803235.52</v>
      </c>
      <c r="I37" s="43">
        <f>IF($C37&lt;=DateToChangeLag,VLOOKUP($C37,'Result-lag'!$C$4:$I$100,6,0),VLOOKUP($C37,CurrentMtgRatesDataTable8[],6,0))</f>
        <v>4723627.7300000004</v>
      </c>
      <c r="J37" s="44">
        <f>CurrentMtgRatesDataTable934[[#This Row],[Top 10 Amount]]/CurrentMtgRatesDataTable934[[#This Row],[Total Amount]]</f>
        <v>0.61894181514793134</v>
      </c>
      <c r="K37" s="44">
        <f>CurrentMtgRatesDataTable934[[#This Row],[Top 5 Amount]]/CurrentMtgRatesDataTable934[[#This Row],[Total Amount]]</f>
        <v>0.50114066468168639</v>
      </c>
      <c r="L37" s="44">
        <f>CurrentMtgRatesDataTable934[[#This Row],[Top 1 Amount]]/CurrentMtgRatesDataTable934[[#This Row],[Total Amount]]</f>
        <v>0.28864856147241924</v>
      </c>
      <c r="M37" s="44">
        <f>CurrentMtgRatesDataTable934[[#This Row],[N/A Amount]]/CurrentMtgRatesDataTable934[[#This Row],[Total Amount]]</f>
        <v>1.1637856336319842E-4</v>
      </c>
      <c r="N37" s="48">
        <f t="shared" si="1"/>
        <v>0</v>
      </c>
    </row>
    <row r="38" spans="3:14">
      <c r="C38" s="37">
        <v>41214</v>
      </c>
      <c r="D38" s="16">
        <v>40377783920.790001</v>
      </c>
      <c r="E38" s="17">
        <f>IF(C38&lt;=DateToChangeLag,VLOOKUP(C38,'Result-lag'!$C$4:$H$100,2,0),VLOOKUP(C38,CurrentMtgRatesDataTable8[],2,0))</f>
        <v>40377783920.790001</v>
      </c>
      <c r="F38" s="17">
        <f>IF($C38&lt;=DateToChangeLag,VLOOKUP($C38,'Result-lag'!$C$4:$I$100,3,0),VLOOKUP($C38,CurrentMtgRatesDataTable8[],3,0))</f>
        <v>27101432390.41</v>
      </c>
      <c r="G38" s="17">
        <f>IF($C38&lt;=DateToChangeLag,VLOOKUP($C38,'Result-lag'!$C$4:$I$100,4,0),VLOOKUP($C38,CurrentMtgRatesDataTable8[],4,0))</f>
        <v>22292069694.239998</v>
      </c>
      <c r="H38" s="43">
        <f>IF($C38&lt;=DateToChangeLag,VLOOKUP($C38,'Result-lag'!$C$4:$I$100,5,0),VLOOKUP($C38,CurrentMtgRatesDataTable8[],5,0))</f>
        <v>14279880239.870001</v>
      </c>
      <c r="I38" s="43">
        <f>IF($C38&lt;=DateToChangeLag,VLOOKUP($C38,'Result-lag'!$C$4:$I$100,6,0),VLOOKUP($C38,CurrentMtgRatesDataTable8[],6,0))</f>
        <v>265983.75</v>
      </c>
      <c r="J38" s="44">
        <f>CurrentMtgRatesDataTable934[[#This Row],[Top 10 Amount]]/CurrentMtgRatesDataTable934[[#This Row],[Total Amount]]</f>
        <v>0.6711966274220369</v>
      </c>
      <c r="K38" s="44">
        <f>CurrentMtgRatesDataTable934[[#This Row],[Top 5 Amount]]/CurrentMtgRatesDataTable934[[#This Row],[Total Amount]]</f>
        <v>0.55208749786691735</v>
      </c>
      <c r="L38" s="44">
        <f>CurrentMtgRatesDataTable934[[#This Row],[Top 1 Amount]]/CurrentMtgRatesDataTable934[[#This Row],[Total Amount]]</f>
        <v>0.35365685912538342</v>
      </c>
      <c r="M38" s="44">
        <f>CurrentMtgRatesDataTable934[[#This Row],[N/A Amount]]/CurrentMtgRatesDataTable934[[#This Row],[Total Amount]]</f>
        <v>6.5873786070524888E-6</v>
      </c>
      <c r="N38" s="48">
        <f t="shared" si="1"/>
        <v>0</v>
      </c>
    </row>
    <row r="39" spans="3:14">
      <c r="C39" s="37">
        <v>41183</v>
      </c>
      <c r="D39" s="16">
        <v>35764476169.269997</v>
      </c>
      <c r="E39" s="17">
        <f>IF(C39&lt;=DateToChangeLag,VLOOKUP(C39,'Result-lag'!$C$4:$H$100,2,0),VLOOKUP(C39,CurrentMtgRatesDataTable8[],2,0))</f>
        <v>35764476169.269997</v>
      </c>
      <c r="F39" s="17">
        <f>IF($C39&lt;=DateToChangeLag,VLOOKUP($C39,'Result-lag'!$C$4:$I$100,3,0),VLOOKUP($C39,CurrentMtgRatesDataTable8[],3,0))</f>
        <v>23869927709.499996</v>
      </c>
      <c r="G39" s="17">
        <f>IF($C39&lt;=DateToChangeLag,VLOOKUP($C39,'Result-lag'!$C$4:$I$100,4,0),VLOOKUP($C39,CurrentMtgRatesDataTable8[],4,0))</f>
        <v>19510637406.490002</v>
      </c>
      <c r="H39" s="43">
        <f>IF($C39&lt;=DateToChangeLag,VLOOKUP($C39,'Result-lag'!$C$4:$I$100,5,0),VLOOKUP($C39,CurrentMtgRatesDataTable8[],5,0))</f>
        <v>12119713533.76</v>
      </c>
      <c r="I39" s="43">
        <f>IF($C39&lt;=DateToChangeLag,VLOOKUP($C39,'Result-lag'!$C$4:$I$100,6,0),VLOOKUP($C39,CurrentMtgRatesDataTable8[],6,0))</f>
        <v>1260220.6499999999</v>
      </c>
      <c r="J39" s="44">
        <f>CurrentMtgRatesDataTable934[[#This Row],[Top 10 Amount]]/CurrentMtgRatesDataTable934[[#This Row],[Total Amount]]</f>
        <v>0.66742002864870187</v>
      </c>
      <c r="K39" s="44">
        <f>CurrentMtgRatesDataTable934[[#This Row],[Top 5 Amount]]/CurrentMtgRatesDataTable934[[#This Row],[Total Amount]]</f>
        <v>0.54553119453359078</v>
      </c>
      <c r="L39" s="44">
        <f>CurrentMtgRatesDataTable934[[#This Row],[Top 1 Amount]]/CurrentMtgRatesDataTable934[[#This Row],[Total Amount]]</f>
        <v>0.33887574576511353</v>
      </c>
      <c r="M39" s="44">
        <f>CurrentMtgRatesDataTable934[[#This Row],[N/A Amount]]/CurrentMtgRatesDataTable934[[#This Row],[Total Amount]]</f>
        <v>3.5236658969517428E-5</v>
      </c>
      <c r="N39" s="48">
        <f t="shared" si="1"/>
        <v>0</v>
      </c>
    </row>
    <row r="40" spans="3:14">
      <c r="C40" s="37">
        <v>41153</v>
      </c>
      <c r="D40" s="16">
        <v>37945487987.889999</v>
      </c>
      <c r="E40" s="17">
        <f>IF(C40&lt;=DateToChangeLag,VLOOKUP(C40,'Result-lag'!$C$4:$H$100,2,0),VLOOKUP(C40,CurrentMtgRatesDataTable8[],2,0))</f>
        <v>37945487987.889999</v>
      </c>
      <c r="F40" s="17">
        <f>IF($C40&lt;=DateToChangeLag,VLOOKUP($C40,'Result-lag'!$C$4:$I$100,3,0),VLOOKUP($C40,CurrentMtgRatesDataTable8[],3,0))</f>
        <v>25979772278.559998</v>
      </c>
      <c r="G40" s="17">
        <f>IF($C40&lt;=DateToChangeLag,VLOOKUP($C40,'Result-lag'!$C$4:$I$100,4,0),VLOOKUP($C40,CurrentMtgRatesDataTable8[],4,0))</f>
        <v>21727048883.23</v>
      </c>
      <c r="H40" s="43">
        <f>IF($C40&lt;=DateToChangeLag,VLOOKUP($C40,'Result-lag'!$C$4:$I$100,5,0),VLOOKUP($C40,CurrentMtgRatesDataTable8[],5,0))</f>
        <v>14243174523.99</v>
      </c>
      <c r="I40" s="43">
        <f>IF($C40&lt;=DateToChangeLag,VLOOKUP($C40,'Result-lag'!$C$4:$I$100,6,0),VLOOKUP($C40,CurrentMtgRatesDataTable8[],6,0))</f>
        <v>4946.2299999999996</v>
      </c>
      <c r="J40" s="44">
        <f>CurrentMtgRatesDataTable934[[#This Row],[Top 10 Amount]]/CurrentMtgRatesDataTable934[[#This Row],[Total Amount]]</f>
        <v>0.684660381409543</v>
      </c>
      <c r="K40" s="44">
        <f>CurrentMtgRatesDataTable934[[#This Row],[Top 5 Amount]]/CurrentMtgRatesDataTable934[[#This Row],[Total Amount]]</f>
        <v>0.57258583392481377</v>
      </c>
      <c r="L40" s="44">
        <f>CurrentMtgRatesDataTable934[[#This Row],[Top 1 Amount]]/CurrentMtgRatesDataTable934[[#This Row],[Total Amount]]</f>
        <v>0.37535884447014084</v>
      </c>
      <c r="M40" s="44">
        <f>CurrentMtgRatesDataTable934[[#This Row],[N/A Amount]]/CurrentMtgRatesDataTable934[[#This Row],[Total Amount]]</f>
        <v>1.3035093926262195E-7</v>
      </c>
      <c r="N40" s="48">
        <f t="shared" si="1"/>
        <v>0</v>
      </c>
    </row>
    <row r="41" spans="3:14">
      <c r="C41" s="37">
        <v>41122</v>
      </c>
      <c r="D41" s="16">
        <v>38079955996.330002</v>
      </c>
      <c r="E41" s="17">
        <f>IF(C41&lt;=DateToChangeLag,VLOOKUP(C41,'Result-lag'!$C$4:$H$100,2,0),VLOOKUP(C41,CurrentMtgRatesDataTable8[],2,0))</f>
        <v>38079955996.330002</v>
      </c>
      <c r="F41" s="17">
        <f>IF($C41&lt;=DateToChangeLag,VLOOKUP($C41,'Result-lag'!$C$4:$I$100,3,0),VLOOKUP($C41,CurrentMtgRatesDataTable8[],3,0))</f>
        <v>27220146041.560001</v>
      </c>
      <c r="G41" s="17">
        <f>IF($C41&lt;=DateToChangeLag,VLOOKUP($C41,'Result-lag'!$C$4:$I$100,4,0),VLOOKUP($C41,CurrentMtgRatesDataTable8[],4,0))</f>
        <v>22870113391.25</v>
      </c>
      <c r="H41" s="43">
        <f>IF($C41&lt;=DateToChangeLag,VLOOKUP($C41,'Result-lag'!$C$4:$I$100,5,0),VLOOKUP($C41,CurrentMtgRatesDataTable8[],5,0))</f>
        <v>15536484394.24</v>
      </c>
      <c r="I41" s="43">
        <f>IF($C41&lt;=DateToChangeLag,VLOOKUP($C41,'Result-lag'!$C$4:$I$100,6,0),VLOOKUP($C41,CurrentMtgRatesDataTable8[],6,0))</f>
        <v>479742.95</v>
      </c>
      <c r="J41" s="44">
        <f>CurrentMtgRatesDataTable934[[#This Row],[Top 10 Amount]]/CurrentMtgRatesDataTable934[[#This Row],[Total Amount]]</f>
        <v>0.7148155855060172</v>
      </c>
      <c r="K41" s="44">
        <f>CurrentMtgRatesDataTable934[[#This Row],[Top 5 Amount]]/CurrentMtgRatesDataTable934[[#This Row],[Total Amount]]</f>
        <v>0.60058140281081551</v>
      </c>
      <c r="L41" s="44">
        <f>CurrentMtgRatesDataTable934[[#This Row],[Top 1 Amount]]/CurrentMtgRatesDataTable934[[#This Row],[Total Amount]]</f>
        <v>0.40799638517800141</v>
      </c>
      <c r="M41" s="44">
        <f>CurrentMtgRatesDataTable934[[#This Row],[N/A Amount]]/CurrentMtgRatesDataTable934[[#This Row],[Total Amount]]</f>
        <v>1.2598306312282393E-5</v>
      </c>
      <c r="N41" s="48">
        <f t="shared" si="1"/>
        <v>0</v>
      </c>
    </row>
    <row r="42" spans="3:14">
      <c r="C42" s="37">
        <v>41091</v>
      </c>
      <c r="D42" s="16">
        <v>30326222816.41</v>
      </c>
      <c r="E42" s="17">
        <f>IF(C42&lt;=DateToChangeLag,VLOOKUP(C42,'Result-lag'!$C$4:$H$100,2,0),VLOOKUP(C42,CurrentMtgRatesDataTable8[],2,0))</f>
        <v>30326222816.41</v>
      </c>
      <c r="F42" s="17">
        <f>IF($C42&lt;=DateToChangeLag,VLOOKUP($C42,'Result-lag'!$C$4:$I$100,3,0),VLOOKUP($C42,CurrentMtgRatesDataTable8[],3,0))</f>
        <v>21220884873.25</v>
      </c>
      <c r="G42" s="17">
        <f>IF($C42&lt;=DateToChangeLag,VLOOKUP($C42,'Result-lag'!$C$4:$I$100,4,0),VLOOKUP($C42,CurrentMtgRatesDataTable8[],4,0))</f>
        <v>18023596767.029999</v>
      </c>
      <c r="H42" s="43">
        <f>IF($C42&lt;=DateToChangeLag,VLOOKUP($C42,'Result-lag'!$C$4:$I$100,5,0),VLOOKUP($C42,CurrentMtgRatesDataTable8[],5,0))</f>
        <v>12115594759.610001</v>
      </c>
      <c r="I42" s="43">
        <f>IF($C42&lt;=DateToChangeLag,VLOOKUP($C42,'Result-lag'!$C$4:$I$100,6,0),VLOOKUP($C42,CurrentMtgRatesDataTable8[],6,0))</f>
        <v>2007537.55</v>
      </c>
      <c r="J42" s="44">
        <f>CurrentMtgRatesDataTable934[[#This Row],[Top 10 Amount]]/CurrentMtgRatesDataTable934[[#This Row],[Total Amount]]</f>
        <v>0.69975364230876269</v>
      </c>
      <c r="K42" s="44">
        <f>CurrentMtgRatesDataTable934[[#This Row],[Top 5 Amount]]/CurrentMtgRatesDataTable934[[#This Row],[Total Amount]]</f>
        <v>0.59432382582367449</v>
      </c>
      <c r="L42" s="44">
        <f>CurrentMtgRatesDataTable934[[#This Row],[Top 1 Amount]]/CurrentMtgRatesDataTable934[[#This Row],[Total Amount]]</f>
        <v>0.39950886178459588</v>
      </c>
      <c r="M42" s="44">
        <f>CurrentMtgRatesDataTable934[[#This Row],[N/A Amount]]/CurrentMtgRatesDataTable934[[#This Row],[Total Amount]]</f>
        <v>6.6198074259142149E-5</v>
      </c>
      <c r="N42" s="48">
        <f t="shared" si="1"/>
        <v>0</v>
      </c>
    </row>
    <row r="43" spans="3:14">
      <c r="C43" s="37">
        <v>41061</v>
      </c>
      <c r="D43" s="16">
        <v>32958680494.32</v>
      </c>
      <c r="E43" s="17">
        <f>IF(C43&lt;=DateToChangeLag,VLOOKUP(C43,'Result-lag'!$C$4:$H$100,2,0),VLOOKUP(C43,CurrentMtgRatesDataTable8[],2,0))</f>
        <v>32958680494.32</v>
      </c>
      <c r="F43" s="17">
        <f>IF($C43&lt;=DateToChangeLag,VLOOKUP($C43,'Result-lag'!$C$4:$I$100,3,0),VLOOKUP($C43,CurrentMtgRatesDataTable8[],3,0))</f>
        <v>23318814679.160004</v>
      </c>
      <c r="G43" s="17">
        <f>IF($C43&lt;=DateToChangeLag,VLOOKUP($C43,'Result-lag'!$C$4:$I$100,4,0),VLOOKUP($C43,CurrentMtgRatesDataTable8[],4,0))</f>
        <v>20254241442.190002</v>
      </c>
      <c r="H43" s="43">
        <f>IF($C43&lt;=DateToChangeLag,VLOOKUP($C43,'Result-lag'!$C$4:$I$100,5,0),VLOOKUP($C43,CurrentMtgRatesDataTable8[],5,0))</f>
        <v>12472666977.870001</v>
      </c>
      <c r="I43" s="43">
        <f>IF($C43&lt;=DateToChangeLag,VLOOKUP($C43,'Result-lag'!$C$4:$I$100,6,0),VLOOKUP($C43,CurrentMtgRatesDataTable8[],6,0))</f>
        <v>1841580.28</v>
      </c>
      <c r="J43" s="44">
        <f>CurrentMtgRatesDataTable934[[#This Row],[Top 10 Amount]]/CurrentMtgRatesDataTable934[[#This Row],[Total Amount]]</f>
        <v>0.70751663384032315</v>
      </c>
      <c r="K43" s="44">
        <f>CurrentMtgRatesDataTable934[[#This Row],[Top 5 Amount]]/CurrentMtgRatesDataTable934[[#This Row],[Total Amount]]</f>
        <v>0.61453435448304905</v>
      </c>
      <c r="L43" s="44">
        <f>CurrentMtgRatesDataTable934[[#This Row],[Top 1 Amount]]/CurrentMtgRatesDataTable934[[#This Row],[Total Amount]]</f>
        <v>0.37843344426423575</v>
      </c>
      <c r="M43" s="44">
        <f>CurrentMtgRatesDataTable934[[#This Row],[N/A Amount]]/CurrentMtgRatesDataTable934[[#This Row],[Total Amount]]</f>
        <v>5.5875424998199566E-5</v>
      </c>
      <c r="N43" s="48">
        <f t="shared" si="1"/>
        <v>0</v>
      </c>
    </row>
    <row r="44" spans="3:14">
      <c r="C44" s="37">
        <v>41030</v>
      </c>
      <c r="D44" s="16">
        <v>34838750444.559998</v>
      </c>
      <c r="E44" s="17">
        <f>IF(C44&lt;=DateToChangeLag,VLOOKUP(C44,'Result-lag'!$C$4:$H$100,2,0),VLOOKUP(C44,CurrentMtgRatesDataTable8[],2,0))</f>
        <v>34838750444.559998</v>
      </c>
      <c r="F44" s="17">
        <f>IF($C44&lt;=DateToChangeLag,VLOOKUP($C44,'Result-lag'!$C$4:$I$100,3,0),VLOOKUP($C44,CurrentMtgRatesDataTable8[],3,0))</f>
        <v>25839406336.460003</v>
      </c>
      <c r="G44" s="17">
        <f>IF($C44&lt;=DateToChangeLag,VLOOKUP($C44,'Result-lag'!$C$4:$I$100,4,0),VLOOKUP($C44,CurrentMtgRatesDataTable8[],4,0))</f>
        <v>22717138914.080002</v>
      </c>
      <c r="H44" s="43">
        <f>IF($C44&lt;=DateToChangeLag,VLOOKUP($C44,'Result-lag'!$C$4:$I$100,5,0),VLOOKUP($C44,CurrentMtgRatesDataTable8[],5,0))</f>
        <v>14867243244.77</v>
      </c>
      <c r="I44" s="43">
        <f>IF($C44&lt;=DateToChangeLag,VLOOKUP($C44,'Result-lag'!$C$4:$I$100,6,0),VLOOKUP($C44,CurrentMtgRatesDataTable8[],6,0))</f>
        <v>1890124.51</v>
      </c>
      <c r="J44" s="44">
        <f>CurrentMtgRatesDataTable934[[#This Row],[Top 10 Amount]]/CurrentMtgRatesDataTable934[[#This Row],[Total Amount]]</f>
        <v>0.74168579546442304</v>
      </c>
      <c r="K44" s="44">
        <f>CurrentMtgRatesDataTable934[[#This Row],[Top 5 Amount]]/CurrentMtgRatesDataTable934[[#This Row],[Total Amount]]</f>
        <v>0.65206526135977527</v>
      </c>
      <c r="L44" s="44">
        <f>CurrentMtgRatesDataTable934[[#This Row],[Top 1 Amount]]/CurrentMtgRatesDataTable934[[#This Row],[Total Amount]]</f>
        <v>0.4267444456261057</v>
      </c>
      <c r="M44" s="44">
        <f>CurrentMtgRatesDataTable934[[#This Row],[N/A Amount]]/CurrentMtgRatesDataTable934[[#This Row],[Total Amount]]</f>
        <v>5.4253510412430397E-5</v>
      </c>
      <c r="N44" s="48">
        <f t="shared" si="1"/>
        <v>0</v>
      </c>
    </row>
    <row r="45" spans="3:14">
      <c r="C45" s="37">
        <v>41000</v>
      </c>
      <c r="D45" s="16">
        <v>34798488088.949997</v>
      </c>
      <c r="E45" s="17">
        <f>IF(C45&lt;=DateToChangeLag,VLOOKUP(C45,'Result-lag'!$C$4:$H$100,2,0),VLOOKUP(C45,CurrentMtgRatesDataTable8[],2,0))</f>
        <v>34798488088.949997</v>
      </c>
      <c r="F45" s="17">
        <f>IF($C45&lt;=DateToChangeLag,VLOOKUP($C45,'Result-lag'!$C$4:$I$100,3,0),VLOOKUP($C45,CurrentMtgRatesDataTable8[],3,0))</f>
        <v>25506549112.43</v>
      </c>
      <c r="G45" s="17">
        <f>IF($C45&lt;=DateToChangeLag,VLOOKUP($C45,'Result-lag'!$C$4:$I$100,4,0),VLOOKUP($C45,CurrentMtgRatesDataTable8[],4,0))</f>
        <v>22471329505.650002</v>
      </c>
      <c r="H45" s="43">
        <f>IF($C45&lt;=DateToChangeLag,VLOOKUP($C45,'Result-lag'!$C$4:$I$100,5,0),VLOOKUP($C45,CurrentMtgRatesDataTable8[],5,0))</f>
        <v>14678468587.370001</v>
      </c>
      <c r="I45" s="43">
        <f>IF($C45&lt;=DateToChangeLag,VLOOKUP($C45,'Result-lag'!$C$4:$I$100,6,0),VLOOKUP($C45,CurrentMtgRatesDataTable8[],6,0))</f>
        <v>180374.83</v>
      </c>
      <c r="J45" s="44">
        <f>CurrentMtgRatesDataTable934[[#This Row],[Top 10 Amount]]/CurrentMtgRatesDataTable934[[#This Row],[Total Amount]]</f>
        <v>0.73297865836100551</v>
      </c>
      <c r="K45" s="44">
        <f>CurrentMtgRatesDataTable934[[#This Row],[Top 5 Amount]]/CurrentMtgRatesDataTable934[[#This Row],[Total Amount]]</f>
        <v>0.64575591468830529</v>
      </c>
      <c r="L45" s="44">
        <f>CurrentMtgRatesDataTable934[[#This Row],[Top 1 Amount]]/CurrentMtgRatesDataTable934[[#This Row],[Total Amount]]</f>
        <v>0.42181340033652326</v>
      </c>
      <c r="M45" s="44">
        <f>CurrentMtgRatesDataTable934[[#This Row],[N/A Amount]]/CurrentMtgRatesDataTable934[[#This Row],[Total Amount]]</f>
        <v>5.1834099670921246E-6</v>
      </c>
      <c r="N45" s="48">
        <f t="shared" si="1"/>
        <v>0</v>
      </c>
    </row>
    <row r="46" spans="3:14">
      <c r="C46" s="37">
        <v>40969</v>
      </c>
      <c r="D46" s="16">
        <v>27983123127.27</v>
      </c>
      <c r="E46" s="17">
        <f>IF(C46&lt;=DateToChangeLag,VLOOKUP(C46,'Result-lag'!$C$4:$H$100,2,0),VLOOKUP(C46,CurrentMtgRatesDataTable8[],2,0))</f>
        <v>27983123127.27</v>
      </c>
      <c r="F46" s="17">
        <f>IF($C46&lt;=DateToChangeLag,VLOOKUP($C46,'Result-lag'!$C$4:$I$100,3,0),VLOOKUP($C46,CurrentMtgRatesDataTable8[],3,0))</f>
        <v>19975866042.119999</v>
      </c>
      <c r="G46" s="17">
        <f>IF($C46&lt;=DateToChangeLag,VLOOKUP($C46,'Result-lag'!$C$4:$I$100,4,0),VLOOKUP($C46,CurrentMtgRatesDataTable8[],4,0))</f>
        <v>16974489941.450001</v>
      </c>
      <c r="H46" s="43">
        <f>IF($C46&lt;=DateToChangeLag,VLOOKUP($C46,'Result-lag'!$C$4:$I$100,5,0),VLOOKUP($C46,CurrentMtgRatesDataTable8[],5,0))</f>
        <v>10386620664.41</v>
      </c>
      <c r="I46" s="43">
        <f>IF($C46&lt;=DateToChangeLag,VLOOKUP($C46,'Result-lag'!$C$4:$I$100,6,0),VLOOKUP($C46,CurrentMtgRatesDataTable8[],6,0))</f>
        <v>1785490.34</v>
      </c>
      <c r="J46" s="44">
        <f>CurrentMtgRatesDataTable934[[#This Row],[Top 10 Amount]]/CurrentMtgRatesDataTable934[[#This Row],[Total Amount]]</f>
        <v>0.71385405950821834</v>
      </c>
      <c r="K46" s="44">
        <f>CurrentMtgRatesDataTable934[[#This Row],[Top 5 Amount]]/CurrentMtgRatesDataTable934[[#This Row],[Total Amount]]</f>
        <v>0.606597407453355</v>
      </c>
      <c r="L46" s="44">
        <f>CurrentMtgRatesDataTable934[[#This Row],[Top 1 Amount]]/CurrentMtgRatesDataTable934[[#This Row],[Total Amount]]</f>
        <v>0.37117446173433272</v>
      </c>
      <c r="M46" s="44">
        <f>CurrentMtgRatesDataTable934[[#This Row],[N/A Amount]]/CurrentMtgRatesDataTable934[[#This Row],[Total Amount]]</f>
        <v>6.3805970901797276E-5</v>
      </c>
      <c r="N46" s="48">
        <f t="shared" si="1"/>
        <v>0</v>
      </c>
    </row>
    <row r="47" spans="3:14">
      <c r="C47" s="37">
        <v>40940</v>
      </c>
      <c r="D47" s="16">
        <v>26640859908.990002</v>
      </c>
      <c r="E47" s="17">
        <f>IF(C47&lt;=DateToChangeLag,VLOOKUP(C47,'Result-lag'!$C$4:$H$100,2,0),VLOOKUP(C47,CurrentMtgRatesDataTable8[],2,0))</f>
        <v>26640859908.990002</v>
      </c>
      <c r="F47" s="17">
        <f>IF($C47&lt;=DateToChangeLag,VLOOKUP($C47,'Result-lag'!$C$4:$I$100,3,0),VLOOKUP($C47,CurrentMtgRatesDataTable8[],3,0))</f>
        <v>19045138902.970001</v>
      </c>
      <c r="G47" s="17">
        <f>IF($C47&lt;=DateToChangeLag,VLOOKUP($C47,'Result-lag'!$C$4:$I$100,4,0),VLOOKUP($C47,CurrentMtgRatesDataTable8[],4,0))</f>
        <v>16037593041.09</v>
      </c>
      <c r="H47" s="43">
        <f>IF($C47&lt;=DateToChangeLag,VLOOKUP($C47,'Result-lag'!$C$4:$I$100,5,0),VLOOKUP($C47,CurrentMtgRatesDataTable8[],5,0))</f>
        <v>10212781061.02</v>
      </c>
      <c r="I47" s="43">
        <f>IF($C47&lt;=DateToChangeLag,VLOOKUP($C47,'Result-lag'!$C$4:$I$100,6,0),VLOOKUP($C47,CurrentMtgRatesDataTable8[],6,0))</f>
        <v>1010830.25</v>
      </c>
      <c r="J47" s="44">
        <f>CurrentMtgRatesDataTable934[[#This Row],[Top 10 Amount]]/CurrentMtgRatesDataTable934[[#This Row],[Total Amount]]</f>
        <v>0.71488454081556085</v>
      </c>
      <c r="K47" s="44">
        <f>CurrentMtgRatesDataTable934[[#This Row],[Top 5 Amount]]/CurrentMtgRatesDataTable934[[#This Row],[Total Amount]]</f>
        <v>0.60199231916226881</v>
      </c>
      <c r="L47" s="44">
        <f>CurrentMtgRatesDataTable934[[#This Row],[Top 1 Amount]]/CurrentMtgRatesDataTable934[[#This Row],[Total Amount]]</f>
        <v>0.38335027832842888</v>
      </c>
      <c r="M47" s="44">
        <f>CurrentMtgRatesDataTable934[[#This Row],[N/A Amount]]/CurrentMtgRatesDataTable934[[#This Row],[Total Amount]]</f>
        <v>3.7942853701163517E-5</v>
      </c>
      <c r="N47" s="48">
        <f t="shared" si="1"/>
        <v>0</v>
      </c>
    </row>
    <row r="48" spans="3:14">
      <c r="C48" s="37">
        <v>40909</v>
      </c>
      <c r="D48" s="16">
        <v>28523030041.060001</v>
      </c>
      <c r="E48" s="17">
        <f>IF(C48&lt;=DateToChangeLag,VLOOKUP(C48,'Result-lag'!$C$4:$H$100,2,0),VLOOKUP(C48,CurrentMtgRatesDataTable8[],2,0))</f>
        <v>28523030041.060001</v>
      </c>
      <c r="F48" s="17">
        <f>IF($C48&lt;=DateToChangeLag,VLOOKUP($C48,'Result-lag'!$C$4:$I$100,3,0),VLOOKUP($C48,CurrentMtgRatesDataTable8[],3,0))</f>
        <v>20719728556.670006</v>
      </c>
      <c r="G48" s="17">
        <f>IF($C48&lt;=DateToChangeLag,VLOOKUP($C48,'Result-lag'!$C$4:$I$100,4,0),VLOOKUP($C48,CurrentMtgRatesDataTable8[],4,0))</f>
        <v>17458754360.880001</v>
      </c>
      <c r="H48" s="43">
        <f>IF($C48&lt;=DateToChangeLag,VLOOKUP($C48,'Result-lag'!$C$4:$I$100,5,0),VLOOKUP($C48,CurrentMtgRatesDataTable8[],5,0))</f>
        <v>11283566053.34</v>
      </c>
      <c r="I48" s="43">
        <f>IF($C48&lt;=DateToChangeLag,VLOOKUP($C48,'Result-lag'!$C$4:$I$100,6,0),VLOOKUP($C48,CurrentMtgRatesDataTable8[],6,0))</f>
        <v>1010.6</v>
      </c>
      <c r="J48" s="44">
        <f>CurrentMtgRatesDataTable934[[#This Row],[Top 10 Amount]]/CurrentMtgRatesDataTable934[[#This Row],[Total Amount]]</f>
        <v>0.72642101932519643</v>
      </c>
      <c r="K48" s="44">
        <f>CurrentMtgRatesDataTable934[[#This Row],[Top 5 Amount]]/CurrentMtgRatesDataTable934[[#This Row],[Total Amount]]</f>
        <v>0.61209325712406615</v>
      </c>
      <c r="L48" s="44">
        <f>CurrentMtgRatesDataTable934[[#This Row],[Top 1 Amount]]/CurrentMtgRatesDataTable934[[#This Row],[Total Amount]]</f>
        <v>0.39559492932892726</v>
      </c>
      <c r="M48" s="44">
        <f>CurrentMtgRatesDataTable934[[#This Row],[N/A Amount]]/CurrentMtgRatesDataTable934[[#This Row],[Total Amount]]</f>
        <v>3.5431018322569602E-8</v>
      </c>
      <c r="N48" s="48">
        <f t="shared" si="1"/>
        <v>0</v>
      </c>
    </row>
    <row r="49" spans="3:14">
      <c r="C49" s="37">
        <v>40878</v>
      </c>
      <c r="D49" s="16">
        <v>26358158006.09</v>
      </c>
      <c r="E49" s="17">
        <f>IF(C49&lt;=DateToChangeLag,VLOOKUP(C49,'Result-lag'!$C$4:$H$100,2,0),VLOOKUP(C49,CurrentMtgRatesDataTable8[],2,0))</f>
        <v>26358158006.09</v>
      </c>
      <c r="F49" s="17">
        <f>IF($C49&lt;=DateToChangeLag,VLOOKUP($C49,'Result-lag'!$C$4:$I$100,3,0),VLOOKUP($C49,CurrentMtgRatesDataTable8[],3,0))</f>
        <v>19032070115.290001</v>
      </c>
      <c r="G49" s="17">
        <f>IF($C49&lt;=DateToChangeLag,VLOOKUP($C49,'Result-lag'!$C$4:$I$100,4,0),VLOOKUP($C49,CurrentMtgRatesDataTable8[],4,0))</f>
        <v>15779641668.220001</v>
      </c>
      <c r="H49" s="43">
        <f>IF($C49&lt;=DateToChangeLag,VLOOKUP($C49,'Result-lag'!$C$4:$I$100,5,0),VLOOKUP($C49,CurrentMtgRatesDataTable8[],5,0))</f>
        <v>9732604193.7800007</v>
      </c>
      <c r="I49" s="43">
        <f>IF($C49&lt;=DateToChangeLag,VLOOKUP($C49,'Result-lag'!$C$4:$I$100,6,0),VLOOKUP($C49,CurrentMtgRatesDataTable8[],6,0))</f>
        <v>61470.51</v>
      </c>
      <c r="J49" s="44">
        <f>CurrentMtgRatesDataTable934[[#This Row],[Top 10 Amount]]/CurrentMtgRatesDataTable934[[#This Row],[Total Amount]]</f>
        <v>0.72205615092271158</v>
      </c>
      <c r="K49" s="44">
        <f>CurrentMtgRatesDataTable934[[#This Row],[Top 5 Amount]]/CurrentMtgRatesDataTable934[[#This Row],[Total Amount]]</f>
        <v>0.59866253417913906</v>
      </c>
      <c r="L49" s="44">
        <f>CurrentMtgRatesDataTable934[[#This Row],[Top 1 Amount]]/CurrentMtgRatesDataTable934[[#This Row],[Total Amount]]</f>
        <v>0.36924447419775319</v>
      </c>
      <c r="M49" s="44">
        <f>CurrentMtgRatesDataTable934[[#This Row],[N/A Amount]]/CurrentMtgRatesDataTable934[[#This Row],[Total Amount]]</f>
        <v>2.3321246494461928E-6</v>
      </c>
      <c r="N49" s="48">
        <f t="shared" si="1"/>
        <v>0</v>
      </c>
    </row>
    <row r="50" spans="3:14">
      <c r="C50" s="37">
        <v>40848</v>
      </c>
      <c r="D50" s="16">
        <v>26639873770.48</v>
      </c>
      <c r="E50" s="17">
        <f>IF(C50&lt;=DateToChangeLag,VLOOKUP(C50,'Result-lag'!$C$4:$H$100,2,0),VLOOKUP(C50,CurrentMtgRatesDataTable8[],2,0))</f>
        <v>26639873770.48</v>
      </c>
      <c r="F50" s="17">
        <f>IF($C50&lt;=DateToChangeLag,VLOOKUP($C50,'Result-lag'!$C$4:$I$100,3,0),VLOOKUP($C50,CurrentMtgRatesDataTable8[],3,0))</f>
        <v>19896533379.880001</v>
      </c>
      <c r="G50" s="17">
        <f>IF($C50&lt;=DateToChangeLag,VLOOKUP($C50,'Result-lag'!$C$4:$I$100,4,0),VLOOKUP($C50,CurrentMtgRatesDataTable8[],4,0))</f>
        <v>17051025581.610001</v>
      </c>
      <c r="H50" s="43">
        <f>IF($C50&lt;=DateToChangeLag,VLOOKUP($C50,'Result-lag'!$C$4:$I$100,5,0),VLOOKUP($C50,CurrentMtgRatesDataTable8[],5,0))</f>
        <v>9573021089.2900009</v>
      </c>
      <c r="I50" s="43">
        <f>IF($C50&lt;=DateToChangeLag,VLOOKUP($C50,'Result-lag'!$C$4:$I$100,6,0),VLOOKUP($C50,CurrentMtgRatesDataTable8[],6,0))</f>
        <v>620304.76</v>
      </c>
      <c r="J50" s="44">
        <f>CurrentMtgRatesDataTable934[[#This Row],[Top 10 Amount]]/CurrentMtgRatesDataTable934[[#This Row],[Total Amount]]</f>
        <v>0.74687040754403333</v>
      </c>
      <c r="K50" s="44">
        <f>CurrentMtgRatesDataTable934[[#This Row],[Top 5 Amount]]/CurrentMtgRatesDataTable934[[#This Row],[Total Amount]]</f>
        <v>0.64005654563215197</v>
      </c>
      <c r="L50" s="44">
        <f>CurrentMtgRatesDataTable934[[#This Row],[Top 1 Amount]]/CurrentMtgRatesDataTable934[[#This Row],[Total Amount]]</f>
        <v>0.35934934120814016</v>
      </c>
      <c r="M50" s="44">
        <f>CurrentMtgRatesDataTable934[[#This Row],[N/A Amount]]/CurrentMtgRatesDataTable934[[#This Row],[Total Amount]]</f>
        <v>2.3284823544748475E-5</v>
      </c>
      <c r="N50" s="48">
        <f t="shared" si="1"/>
        <v>0</v>
      </c>
    </row>
    <row r="51" spans="3:14">
      <c r="C51" s="37">
        <v>40817</v>
      </c>
      <c r="D51" s="17">
        <v>24221879848.880001</v>
      </c>
      <c r="E51" s="17">
        <f>IF(C51&lt;=DateToChangeLag,VLOOKUP(C51,'Result-lag'!$C$4:$H$100,2,0),VLOOKUP(C51,CurrentMtgRatesDataTable8[],2,0))</f>
        <v>24221879848.880001</v>
      </c>
      <c r="F51" s="17">
        <f>IF($C51&lt;=DateToChangeLag,VLOOKUP($C51,'Result-lag'!$C$4:$I$100,3,0),VLOOKUP($C51,CurrentMtgRatesDataTable8[],3,0))</f>
        <v>18278308881.059998</v>
      </c>
      <c r="G51" s="17">
        <f>IF($C51&lt;=DateToChangeLag,VLOOKUP($C51,'Result-lag'!$C$4:$I$100,4,0),VLOOKUP($C51,CurrentMtgRatesDataTable8[],4,0))</f>
        <v>15363523312.85</v>
      </c>
      <c r="H51" s="43">
        <f>IF($C51&lt;=DateToChangeLag,VLOOKUP($C51,'Result-lag'!$C$4:$I$100,5,0),VLOOKUP($C51,CurrentMtgRatesDataTable8[],5,0))</f>
        <v>8581649843.8400002</v>
      </c>
      <c r="I51" s="43">
        <f>IF($C51&lt;=DateToChangeLag,VLOOKUP($C51,'Result-lag'!$C$4:$I$100,6,0),VLOOKUP($C51,CurrentMtgRatesDataTable8[],6,0))</f>
        <v>245030.48</v>
      </c>
      <c r="J51" s="44">
        <f>CurrentMtgRatesDataTable934[[#This Row],[Top 10 Amount]]/CurrentMtgRatesDataTable934[[#This Row],[Total Amount]]</f>
        <v>0.75461974855370983</v>
      </c>
      <c r="K51" s="44">
        <f>CurrentMtgRatesDataTable934[[#This Row],[Top 5 Amount]]/CurrentMtgRatesDataTable934[[#This Row],[Total Amount]]</f>
        <v>0.63428286362176789</v>
      </c>
      <c r="L51" s="44">
        <f>CurrentMtgRatesDataTable934[[#This Row],[Top 1 Amount]]/CurrentMtgRatesDataTable934[[#This Row],[Total Amount]]</f>
        <v>0.35429330412754106</v>
      </c>
      <c r="M51" s="44">
        <f>CurrentMtgRatesDataTable934[[#This Row],[N/A Amount]]/CurrentMtgRatesDataTable934[[#This Row],[Total Amount]]</f>
        <v>1.0116080235255978E-5</v>
      </c>
      <c r="N51" s="48">
        <f t="shared" si="1"/>
        <v>0</v>
      </c>
    </row>
    <row r="52" spans="3:14">
      <c r="C52" s="37">
        <v>40787</v>
      </c>
      <c r="D52" s="17">
        <v>26226574830.610001</v>
      </c>
      <c r="E52" s="17">
        <f>IF(C52&lt;=DateToChangeLag,VLOOKUP(C52,'Result-lag'!$C$4:$H$100,2,0),VLOOKUP(C52,CurrentMtgRatesDataTable8[],2,0))</f>
        <v>26226574830.610001</v>
      </c>
      <c r="F52" s="17">
        <f>IF($C52&lt;=DateToChangeLag,VLOOKUP($C52,'Result-lag'!$C$4:$I$100,3,0),VLOOKUP($C52,CurrentMtgRatesDataTable8[],3,0))</f>
        <v>20485229215.440002</v>
      </c>
      <c r="G52" s="17">
        <f>IF($C52&lt;=DateToChangeLag,VLOOKUP($C52,'Result-lag'!$C$4:$I$100,4,0),VLOOKUP($C52,CurrentMtgRatesDataTable8[],4,0))</f>
        <v>17394668684.389999</v>
      </c>
      <c r="H52" s="43">
        <f>IF($C52&lt;=DateToChangeLag,VLOOKUP($C52,'Result-lag'!$C$4:$I$100,5,0),VLOOKUP($C52,CurrentMtgRatesDataTable8[],5,0))</f>
        <v>9495614488.8299999</v>
      </c>
      <c r="I52" s="43">
        <f>IF($C52&lt;=DateToChangeLag,VLOOKUP($C52,'Result-lag'!$C$4:$I$100,6,0),VLOOKUP($C52,CurrentMtgRatesDataTable8[],6,0))</f>
        <v>20432.740000000002</v>
      </c>
      <c r="J52" s="44">
        <f>CurrentMtgRatesDataTable934[[#This Row],[Top 10 Amount]]/CurrentMtgRatesDataTable934[[#This Row],[Total Amount]]</f>
        <v>0.78108671634585458</v>
      </c>
      <c r="K52" s="44">
        <f>CurrentMtgRatesDataTable934[[#This Row],[Top 5 Amount]]/CurrentMtgRatesDataTable934[[#This Row],[Total Amount]]</f>
        <v>0.66324591742296601</v>
      </c>
      <c r="L52" s="44">
        <f>CurrentMtgRatesDataTable934[[#This Row],[Top 1 Amount]]/CurrentMtgRatesDataTable934[[#This Row],[Total Amount]]</f>
        <v>0.36206079330448132</v>
      </c>
      <c r="M52" s="44">
        <f>CurrentMtgRatesDataTable934[[#This Row],[N/A Amount]]/CurrentMtgRatesDataTable934[[#This Row],[Total Amount]]</f>
        <v>7.7908534118424794E-7</v>
      </c>
      <c r="N52" s="48">
        <f t="shared" si="1"/>
        <v>0</v>
      </c>
    </row>
    <row r="53" spans="3:14">
      <c r="C53" s="37">
        <v>40756</v>
      </c>
      <c r="D53" s="17">
        <v>25591163515.669998</v>
      </c>
      <c r="E53" s="17">
        <f>IF(C53&lt;=DateToChangeLag,VLOOKUP(C53,'Result-lag'!$C$4:$H$100,2,0),VLOOKUP(C53,CurrentMtgRatesDataTable8[],2,0))</f>
        <v>25591163515.669998</v>
      </c>
      <c r="F53" s="17">
        <f>IF($C53&lt;=DateToChangeLag,VLOOKUP($C53,'Result-lag'!$C$4:$I$100,3,0),VLOOKUP($C53,CurrentMtgRatesDataTable8[],3,0))</f>
        <v>20304823559.120003</v>
      </c>
      <c r="G53" s="17">
        <f>IF($C53&lt;=DateToChangeLag,VLOOKUP($C53,'Result-lag'!$C$4:$I$100,4,0),VLOOKUP($C53,CurrentMtgRatesDataTable8[],4,0))</f>
        <v>18285913390.110001</v>
      </c>
      <c r="H53" s="43">
        <f>IF($C53&lt;=DateToChangeLag,VLOOKUP($C53,'Result-lag'!$C$4:$I$100,5,0),VLOOKUP($C53,CurrentMtgRatesDataTable8[],5,0))</f>
        <v>9235841028.9400005</v>
      </c>
      <c r="I53" s="43">
        <f>IF($C53&lt;=DateToChangeLag,VLOOKUP($C53,'Result-lag'!$C$4:$I$100,6,0),VLOOKUP($C53,CurrentMtgRatesDataTable8[],6,0))</f>
        <v>745255.01</v>
      </c>
      <c r="J53" s="44">
        <f>CurrentMtgRatesDataTable934[[#This Row],[Top 10 Amount]]/CurrentMtgRatesDataTable934[[#This Row],[Total Amount]]</f>
        <v>0.7934310429725846</v>
      </c>
      <c r="K53" s="44">
        <f>CurrentMtgRatesDataTable934[[#This Row],[Top 5 Amount]]/CurrentMtgRatesDataTable934[[#This Row],[Total Amount]]</f>
        <v>0.71454013331254584</v>
      </c>
      <c r="L53" s="44">
        <f>CurrentMtgRatesDataTable934[[#This Row],[Top 1 Amount]]/CurrentMtgRatesDataTable934[[#This Row],[Total Amount]]</f>
        <v>0.36089961377819746</v>
      </c>
      <c r="M53" s="44">
        <f>CurrentMtgRatesDataTable934[[#This Row],[N/A Amount]]/CurrentMtgRatesDataTable934[[#This Row],[Total Amount]]</f>
        <v>2.9121575873002609E-5</v>
      </c>
      <c r="N53" s="48">
        <f t="shared" si="1"/>
        <v>0</v>
      </c>
    </row>
    <row r="54" spans="3:14">
      <c r="C54" s="37">
        <v>40725</v>
      </c>
      <c r="D54" s="17">
        <v>25330543474.389999</v>
      </c>
      <c r="E54" s="17">
        <f>IF(C54&lt;=DateToChangeLag,VLOOKUP(C54,'Result-lag'!$C$4:$H$100,2,0),VLOOKUP(C54,CurrentMtgRatesDataTable8[],2,0))</f>
        <v>25330543474.389999</v>
      </c>
      <c r="F54" s="17">
        <f>IF($C54&lt;=DateToChangeLag,VLOOKUP($C54,'Result-lag'!$C$4:$I$100,3,0),VLOOKUP($C54,CurrentMtgRatesDataTable8[],3,0))</f>
        <v>20105755941.52</v>
      </c>
      <c r="G54" s="17">
        <f>IF($C54&lt;=DateToChangeLag,VLOOKUP($C54,'Result-lag'!$C$4:$I$100,4,0),VLOOKUP($C54,CurrentMtgRatesDataTable8[],4,0))</f>
        <v>18027575682.260002</v>
      </c>
      <c r="H54" s="43">
        <f>IF($C54&lt;=DateToChangeLag,VLOOKUP($C54,'Result-lag'!$C$4:$I$100,5,0),VLOOKUP($C54,CurrentMtgRatesDataTable8[],5,0))</f>
        <v>8290598483.0799999</v>
      </c>
      <c r="I54" s="43">
        <f>IF($C54&lt;=DateToChangeLag,VLOOKUP($C54,'Result-lag'!$C$4:$I$100,6,0),VLOOKUP($C54,CurrentMtgRatesDataTable8[],6,0))</f>
        <v>56257.17</v>
      </c>
      <c r="J54" s="44">
        <f>CurrentMtgRatesDataTable934[[#This Row],[Top 10 Amount]]/CurrentMtgRatesDataTable934[[#This Row],[Total Amount]]</f>
        <v>0.79373567179273397</v>
      </c>
      <c r="K54" s="44">
        <f>CurrentMtgRatesDataTable934[[#This Row],[Top 5 Amount]]/CurrentMtgRatesDataTable934[[#This Row],[Total Amount]]</f>
        <v>0.71169320549661574</v>
      </c>
      <c r="L54" s="44">
        <f>CurrentMtgRatesDataTable934[[#This Row],[Top 1 Amount]]/CurrentMtgRatesDataTable934[[#This Row],[Total Amount]]</f>
        <v>0.32729651029643575</v>
      </c>
      <c r="M54" s="44">
        <f>CurrentMtgRatesDataTable934[[#This Row],[N/A Amount]]/CurrentMtgRatesDataTable934[[#This Row],[Total Amount]]</f>
        <v>2.2209223444762573E-6</v>
      </c>
      <c r="N54" s="48">
        <f t="shared" si="1"/>
        <v>0</v>
      </c>
    </row>
    <row r="55" spans="3:14">
      <c r="C55" s="37">
        <v>40695</v>
      </c>
      <c r="D55" s="17">
        <v>24713045702.759998</v>
      </c>
      <c r="E55" s="17">
        <f>IF(C55&lt;=DateToChangeLag,VLOOKUP(C55,'Result-lag'!$C$4:$H$100,2,0),VLOOKUP(C55,CurrentMtgRatesDataTable8[],2,0))</f>
        <v>24713045702.759998</v>
      </c>
      <c r="F55" s="17">
        <f>IF($C55&lt;=DateToChangeLag,VLOOKUP($C55,'Result-lag'!$C$4:$I$100,3,0),VLOOKUP($C55,CurrentMtgRatesDataTable8[],3,0))</f>
        <v>19837089412.07</v>
      </c>
      <c r="G55" s="17">
        <f>IF($C55&lt;=DateToChangeLag,VLOOKUP($C55,'Result-lag'!$C$4:$I$100,4,0),VLOOKUP($C55,CurrentMtgRatesDataTable8[],4,0))</f>
        <v>17662844612.689999</v>
      </c>
      <c r="H55" s="43">
        <f>IF($C55&lt;=DateToChangeLag,VLOOKUP($C55,'Result-lag'!$C$4:$I$100,5,0),VLOOKUP($C55,CurrentMtgRatesDataTable8[],5,0))</f>
        <v>8037102017.3699999</v>
      </c>
      <c r="I55" s="43">
        <f>IF($C55&lt;=DateToChangeLag,VLOOKUP($C55,'Result-lag'!$C$4:$I$100,6,0),VLOOKUP($C55,CurrentMtgRatesDataTable8[],6,0))</f>
        <v>109420.35</v>
      </c>
      <c r="J55" s="44">
        <f>CurrentMtgRatesDataTable934[[#This Row],[Top 10 Amount]]/CurrentMtgRatesDataTable934[[#This Row],[Total Amount]]</f>
        <v>0.80269707144411406</v>
      </c>
      <c r="K55" s="44">
        <f>CurrentMtgRatesDataTable934[[#This Row],[Top 5 Amount]]/CurrentMtgRatesDataTable934[[#This Row],[Total Amount]]</f>
        <v>0.7147174340683301</v>
      </c>
      <c r="L55" s="44">
        <f>CurrentMtgRatesDataTable934[[#This Row],[Top 1 Amount]]/CurrentMtgRatesDataTable934[[#This Row],[Total Amount]]</f>
        <v>0.32521697705889813</v>
      </c>
      <c r="M55" s="44">
        <f>CurrentMtgRatesDataTable934[[#This Row],[N/A Amount]]/CurrentMtgRatesDataTable934[[#This Row],[Total Amount]]</f>
        <v>4.4276351574010863E-6</v>
      </c>
      <c r="N55" s="48">
        <f t="shared" si="1"/>
        <v>0</v>
      </c>
    </row>
    <row r="56" spans="3:14">
      <c r="C56" s="37">
        <v>40664</v>
      </c>
      <c r="D56" s="17">
        <v>23342277364.419998</v>
      </c>
      <c r="E56" s="17">
        <f>IF(C56&lt;=DateToChangeLag,VLOOKUP(C56,'Result-lag'!$C$4:$H$100,2,0),VLOOKUP(C56,CurrentMtgRatesDataTable8[],2,0))</f>
        <v>23342277364.419998</v>
      </c>
      <c r="F56" s="17">
        <f>IF($C56&lt;=DateToChangeLag,VLOOKUP($C56,'Result-lag'!$C$4:$I$100,3,0),VLOOKUP($C56,CurrentMtgRatesDataTable8[],3,0))</f>
        <v>18442308639.66</v>
      </c>
      <c r="G56" s="17">
        <f>IF($C56&lt;=DateToChangeLag,VLOOKUP($C56,'Result-lag'!$C$4:$I$100,4,0),VLOOKUP($C56,CurrentMtgRatesDataTable8[],4,0))</f>
        <v>16633347989.009998</v>
      </c>
      <c r="H56" s="43">
        <f>IF($C56&lt;=DateToChangeLag,VLOOKUP($C56,'Result-lag'!$C$4:$I$100,5,0),VLOOKUP($C56,CurrentMtgRatesDataTable8[],5,0))</f>
        <v>7485893519.21</v>
      </c>
      <c r="I56" s="43">
        <f>IF($C56&lt;=DateToChangeLag,VLOOKUP($C56,'Result-lag'!$C$4:$I$100,6,0),VLOOKUP($C56,CurrentMtgRatesDataTable8[],6,0))</f>
        <v>237947.17</v>
      </c>
      <c r="J56" s="44">
        <f>CurrentMtgRatesDataTable934[[#This Row],[Top 10 Amount]]/CurrentMtgRatesDataTable934[[#This Row],[Total Amount]]</f>
        <v>0.7900818052899633</v>
      </c>
      <c r="K56" s="44">
        <f>CurrentMtgRatesDataTable934[[#This Row],[Top 5 Amount]]/CurrentMtgRatesDataTable934[[#This Row],[Total Amount]]</f>
        <v>0.71258462614122475</v>
      </c>
      <c r="L56" s="44">
        <f>CurrentMtgRatesDataTable934[[#This Row],[Top 1 Amount]]/CurrentMtgRatesDataTable934[[#This Row],[Total Amount]]</f>
        <v>0.32070107823414629</v>
      </c>
      <c r="M56" s="44">
        <f>CurrentMtgRatesDataTable934[[#This Row],[N/A Amount]]/CurrentMtgRatesDataTable934[[#This Row],[Total Amount]]</f>
        <v>1.0193828403508582E-5</v>
      </c>
      <c r="N56" s="48">
        <f t="shared" si="1"/>
        <v>0</v>
      </c>
    </row>
    <row r="57" spans="3:14">
      <c r="C57" s="37">
        <v>40634</v>
      </c>
      <c r="D57" s="17">
        <v>23651545297.040001</v>
      </c>
      <c r="E57" s="17">
        <f>IF(C57&lt;=DateToChangeLag,VLOOKUP(C57,'Result-lag'!$C$4:$H$100,2,0),VLOOKUP(C57,CurrentMtgRatesDataTable8[],2,0))</f>
        <v>23651545297.040001</v>
      </c>
      <c r="F57" s="17">
        <f>IF($C57&lt;=DateToChangeLag,VLOOKUP($C57,'Result-lag'!$C$4:$I$100,3,0),VLOOKUP($C57,CurrentMtgRatesDataTable8[],3,0))</f>
        <v>18733585716.43</v>
      </c>
      <c r="G57" s="17">
        <f>IF($C57&lt;=DateToChangeLag,VLOOKUP($C57,'Result-lag'!$C$4:$I$100,4,0),VLOOKUP($C57,CurrentMtgRatesDataTable8[],4,0))</f>
        <v>16944679060.639999</v>
      </c>
      <c r="H57" s="43">
        <f>IF($C57&lt;=DateToChangeLag,VLOOKUP($C57,'Result-lag'!$C$4:$I$100,5,0),VLOOKUP($C57,CurrentMtgRatesDataTable8[],5,0))</f>
        <v>7487569923.4700003</v>
      </c>
      <c r="I57" s="43">
        <f>IF($C57&lt;=DateToChangeLag,VLOOKUP($C57,'Result-lag'!$C$4:$I$100,6,0),VLOOKUP($C57,CurrentMtgRatesDataTable8[],6,0))</f>
        <v>1510218.57</v>
      </c>
      <c r="J57" s="44">
        <f>CurrentMtgRatesDataTable934[[#This Row],[Top 10 Amount]]/CurrentMtgRatesDataTable934[[#This Row],[Total Amount]]</f>
        <v>0.79206603548117915</v>
      </c>
      <c r="K57" s="44">
        <f>CurrentMtgRatesDataTable934[[#This Row],[Top 5 Amount]]/CurrentMtgRatesDataTable934[[#This Row],[Total Amount]]</f>
        <v>0.71643010415732256</v>
      </c>
      <c r="L57" s="44">
        <f>CurrentMtgRatesDataTable934[[#This Row],[Top 1 Amount]]/CurrentMtgRatesDataTable934[[#This Row],[Total Amount]]</f>
        <v>0.31657846578029186</v>
      </c>
      <c r="M57" s="44">
        <f>CurrentMtgRatesDataTable934[[#This Row],[N/A Amount]]/CurrentMtgRatesDataTable934[[#This Row],[Total Amount]]</f>
        <v>6.3852849825799939E-5</v>
      </c>
      <c r="N57" s="48">
        <f t="shared" si="1"/>
        <v>0</v>
      </c>
    </row>
    <row r="58" spans="3:14">
      <c r="C58" s="37">
        <v>40603</v>
      </c>
      <c r="D58" s="17">
        <v>22391126216.799999</v>
      </c>
      <c r="E58" s="17">
        <f>IF(C58&lt;=DateToChangeLag,VLOOKUP(C58,'Result-lag'!$C$4:$H$100,2,0),VLOOKUP(C58,CurrentMtgRatesDataTable8[],2,0))</f>
        <v>22391126216.799999</v>
      </c>
      <c r="F58" s="17">
        <f>IF($C58&lt;=DateToChangeLag,VLOOKUP($C58,'Result-lag'!$C$4:$I$100,3,0),VLOOKUP($C58,CurrentMtgRatesDataTable8[],3,0))</f>
        <v>18079427243.530003</v>
      </c>
      <c r="G58" s="17">
        <f>IF($C58&lt;=DateToChangeLag,VLOOKUP($C58,'Result-lag'!$C$4:$I$100,4,0),VLOOKUP($C58,CurrentMtgRatesDataTable8[],4,0))</f>
        <v>16255693778.460003</v>
      </c>
      <c r="H58" s="43">
        <f>IF($C58&lt;=DateToChangeLag,VLOOKUP($C58,'Result-lag'!$C$4:$I$100,5,0),VLOOKUP($C58,CurrentMtgRatesDataTable8[],5,0))</f>
        <v>7142348227.9899998</v>
      </c>
      <c r="I58" s="43">
        <f>IF($C58&lt;=DateToChangeLag,VLOOKUP($C58,'Result-lag'!$C$4:$I$100,6,0),VLOOKUP($C58,CurrentMtgRatesDataTable8[],6,0))</f>
        <v>17081.54</v>
      </c>
      <c r="J58" s="44">
        <f>CurrentMtgRatesDataTable934[[#This Row],[Top 10 Amount]]/CurrentMtgRatesDataTable934[[#This Row],[Total Amount]]</f>
        <v>0.80743715472270705</v>
      </c>
      <c r="K58" s="44">
        <f>CurrentMtgRatesDataTable934[[#This Row],[Top 5 Amount]]/CurrentMtgRatesDataTable934[[#This Row],[Total Amount]]</f>
        <v>0.72598821609354336</v>
      </c>
      <c r="L58" s="44">
        <f>CurrentMtgRatesDataTable934[[#This Row],[Top 1 Amount]]/CurrentMtgRatesDataTable934[[#This Row],[Total Amount]]</f>
        <v>0.3189811963379991</v>
      </c>
      <c r="M58" s="44">
        <f>CurrentMtgRatesDataTable934[[#This Row],[N/A Amount]]/CurrentMtgRatesDataTable934[[#This Row],[Total Amount]]</f>
        <v>7.6287096212176093E-7</v>
      </c>
      <c r="N58" s="48">
        <f t="shared" si="1"/>
        <v>0</v>
      </c>
    </row>
    <row r="59" spans="3:14">
      <c r="C59" s="37">
        <v>40575</v>
      </c>
      <c r="D59" s="17">
        <v>24115689304.939999</v>
      </c>
      <c r="E59" s="17">
        <f>IF(C59&lt;=DateToChangeLag,VLOOKUP(C59,'Result-lag'!$C$4:$H$100,2,0),VLOOKUP(C59,CurrentMtgRatesDataTable8[],2,0))</f>
        <v>24115689304.939999</v>
      </c>
      <c r="F59" s="17">
        <f>IF($C59&lt;=DateToChangeLag,VLOOKUP($C59,'Result-lag'!$C$4:$I$100,3,0),VLOOKUP($C59,CurrentMtgRatesDataTable8[],3,0))</f>
        <v>19885081535.800003</v>
      </c>
      <c r="G59" s="17">
        <f>IF($C59&lt;=DateToChangeLag,VLOOKUP($C59,'Result-lag'!$C$4:$I$100,4,0),VLOOKUP($C59,CurrentMtgRatesDataTable8[],4,0))</f>
        <v>18049691867.450001</v>
      </c>
      <c r="H59" s="43">
        <f>IF($C59&lt;=DateToChangeLag,VLOOKUP($C59,'Result-lag'!$C$4:$I$100,5,0),VLOOKUP($C59,CurrentMtgRatesDataTable8[],5,0))</f>
        <v>8086549745.5299997</v>
      </c>
      <c r="I59" s="43">
        <f>IF($C59&lt;=DateToChangeLag,VLOOKUP($C59,'Result-lag'!$C$4:$I$100,6,0),VLOOKUP($C59,CurrentMtgRatesDataTable8[],6,0))</f>
        <v>619340.61</v>
      </c>
      <c r="J59" s="44">
        <f>CurrentMtgRatesDataTable934[[#This Row],[Top 10 Amount]]/CurrentMtgRatesDataTable934[[#This Row],[Total Amount]]</f>
        <v>0.82457031538081005</v>
      </c>
      <c r="K59" s="44">
        <f>CurrentMtgRatesDataTable934[[#This Row],[Top 5 Amount]]/CurrentMtgRatesDataTable934[[#This Row],[Total Amount]]</f>
        <v>0.74846261449191076</v>
      </c>
      <c r="L59" s="44">
        <f>CurrentMtgRatesDataTable934[[#This Row],[Top 1 Amount]]/CurrentMtgRatesDataTable934[[#This Row],[Total Amount]]</f>
        <v>0.33532318497209629</v>
      </c>
      <c r="M59" s="44">
        <f>CurrentMtgRatesDataTable934[[#This Row],[N/A Amount]]/CurrentMtgRatesDataTable934[[#This Row],[Total Amount]]</f>
        <v>2.5682061257653151E-5</v>
      </c>
      <c r="N59" s="48">
        <f t="shared" si="1"/>
        <v>0</v>
      </c>
    </row>
    <row r="60" spans="3:14">
      <c r="C60" s="37">
        <v>40544</v>
      </c>
      <c r="D60" s="17">
        <v>32407281630.84</v>
      </c>
      <c r="E60" s="17">
        <f>IF(C60&lt;=DateToChangeLag,VLOOKUP(C60,'Result-lag'!$C$4:$H$100,2,0),VLOOKUP(C60,CurrentMtgRatesDataTable8[],2,0))</f>
        <v>32407281630.84</v>
      </c>
      <c r="F60" s="17">
        <f>IF($C60&lt;=DateToChangeLag,VLOOKUP($C60,'Result-lag'!$C$4:$I$100,3,0),VLOOKUP($C60,CurrentMtgRatesDataTable8[],3,0))</f>
        <v>27626694683.829998</v>
      </c>
      <c r="G60" s="17">
        <f>IF($C60&lt;=DateToChangeLag,VLOOKUP($C60,'Result-lag'!$C$4:$I$100,4,0),VLOOKUP($C60,CurrentMtgRatesDataTable8[],4,0))</f>
        <v>24825250754.84</v>
      </c>
      <c r="H60" s="43">
        <f>IF($C60&lt;=DateToChangeLag,VLOOKUP($C60,'Result-lag'!$C$4:$I$100,5,0),VLOOKUP($C60,CurrentMtgRatesDataTable8[],5,0))</f>
        <v>11191306140.16</v>
      </c>
      <c r="I60" s="43">
        <f>IF($C60&lt;=DateToChangeLag,VLOOKUP($C60,'Result-lag'!$C$4:$I$100,6,0),VLOOKUP($C60,CurrentMtgRatesDataTable8[],6,0))</f>
        <v>1160580.1499999999</v>
      </c>
      <c r="J60" s="44">
        <f>CurrentMtgRatesDataTable934[[#This Row],[Top 10 Amount]]/CurrentMtgRatesDataTable934[[#This Row],[Total Amount]]</f>
        <v>0.85248417311063163</v>
      </c>
      <c r="K60" s="44">
        <f>CurrentMtgRatesDataTable934[[#This Row],[Top 5 Amount]]/CurrentMtgRatesDataTable934[[#This Row],[Total Amount]]</f>
        <v>0.76603928208576888</v>
      </c>
      <c r="L60" s="44">
        <f>CurrentMtgRatesDataTable934[[#This Row],[Top 1 Amount]]/CurrentMtgRatesDataTable934[[#This Row],[Total Amount]]</f>
        <v>0.34533307259902751</v>
      </c>
      <c r="M60" s="44">
        <f>CurrentMtgRatesDataTable934[[#This Row],[N/A Amount]]/CurrentMtgRatesDataTable934[[#This Row],[Total Amount]]</f>
        <v>3.581232647713185E-5</v>
      </c>
      <c r="N60" s="48">
        <f t="shared" si="1"/>
        <v>0</v>
      </c>
    </row>
    <row r="61" spans="3:14">
      <c r="C61" s="37">
        <v>40513</v>
      </c>
      <c r="D61" s="17">
        <v>31794172427.73</v>
      </c>
      <c r="E61" s="17">
        <f>IF(C61&lt;=DateToChangeLag,VLOOKUP(C61,'Result-lag'!$C$4:$H$100,2,0),VLOOKUP(C61,CurrentMtgRatesDataTable8[],2,0))</f>
        <v>31794172427.73</v>
      </c>
      <c r="F61" s="17">
        <f>IF($C61&lt;=DateToChangeLag,VLOOKUP($C61,'Result-lag'!$C$4:$I$100,3,0),VLOOKUP($C61,CurrentMtgRatesDataTable8[],3,0))</f>
        <v>26329184574.32</v>
      </c>
      <c r="G61" s="17">
        <f>IF($C61&lt;=DateToChangeLag,VLOOKUP($C61,'Result-lag'!$C$4:$I$100,4,0),VLOOKUP($C61,CurrentMtgRatesDataTable8[],4,0))</f>
        <v>23277080462.27</v>
      </c>
      <c r="H61" s="43">
        <f>IF($C61&lt;=DateToChangeLag,VLOOKUP($C61,'Result-lag'!$C$4:$I$100,5,0),VLOOKUP($C61,CurrentMtgRatesDataTable8[],5,0))</f>
        <v>11196638571.49</v>
      </c>
      <c r="I61" s="43">
        <f>IF($C61&lt;=DateToChangeLag,VLOOKUP($C61,'Result-lag'!$C$4:$I$100,6,0),VLOOKUP($C61,CurrentMtgRatesDataTable8[],6,0))</f>
        <v>92294.87</v>
      </c>
      <c r="J61" s="44">
        <f>CurrentMtgRatesDataTable934[[#This Row],[Top 10 Amount]]/CurrentMtgRatesDataTable934[[#This Row],[Total Amount]]</f>
        <v>0.82811353666046084</v>
      </c>
      <c r="K61" s="44">
        <f>CurrentMtgRatesDataTable934[[#This Row],[Top 5 Amount]]/CurrentMtgRatesDataTable934[[#This Row],[Total Amount]]</f>
        <v>0.73211782804475112</v>
      </c>
      <c r="L61" s="44">
        <f>CurrentMtgRatesDataTable934[[#This Row],[Top 1 Amount]]/CurrentMtgRatesDataTable934[[#This Row],[Total Amount]]</f>
        <v>0.35216008836023677</v>
      </c>
      <c r="M61" s="44">
        <f>CurrentMtgRatesDataTable934[[#This Row],[N/A Amount]]/CurrentMtgRatesDataTable934[[#This Row],[Total Amount]]</f>
        <v>2.9028863767343402E-6</v>
      </c>
      <c r="N61" s="48">
        <f t="shared" si="1"/>
        <v>0</v>
      </c>
    </row>
    <row r="62" spans="3:14">
      <c r="C62" s="37">
        <v>40483</v>
      </c>
      <c r="D62" s="17">
        <v>32277101439.200001</v>
      </c>
      <c r="E62" s="17">
        <f>IF(C62&lt;=DateToChangeLag,VLOOKUP(C62,'Result-lag'!$C$4:$H$100,2,0),VLOOKUP(C62,CurrentMtgRatesDataTable8[],2,0))</f>
        <v>32277101439.200001</v>
      </c>
      <c r="F62" s="17">
        <f>IF($C62&lt;=DateToChangeLag,VLOOKUP($C62,'Result-lag'!$C$4:$I$100,3,0),VLOOKUP($C62,CurrentMtgRatesDataTable8[],3,0))</f>
        <v>26784117519.900002</v>
      </c>
      <c r="G62" s="17">
        <f>IF($C62&lt;=DateToChangeLag,VLOOKUP($C62,'Result-lag'!$C$4:$I$100,4,0),VLOOKUP($C62,CurrentMtgRatesDataTable8[],4,0))</f>
        <v>23635234930.169998</v>
      </c>
      <c r="H62" s="43">
        <f>IF($C62&lt;=DateToChangeLag,VLOOKUP($C62,'Result-lag'!$C$4:$I$100,5,0),VLOOKUP($C62,CurrentMtgRatesDataTable8[],5,0))</f>
        <v>9449755251.1200008</v>
      </c>
      <c r="I62" s="43">
        <f>IF($C62&lt;=DateToChangeLag,VLOOKUP($C62,'Result-lag'!$C$4:$I$100,6,0),VLOOKUP($C62,CurrentMtgRatesDataTable8[],6,0))</f>
        <v>1017090.08</v>
      </c>
      <c r="J62" s="44">
        <f>CurrentMtgRatesDataTable934[[#This Row],[Top 10 Amount]]/CurrentMtgRatesDataTable934[[#This Row],[Total Amount]]</f>
        <v>0.8298179305335992</v>
      </c>
      <c r="K62" s="44">
        <f>CurrentMtgRatesDataTable934[[#This Row],[Top 5 Amount]]/CurrentMtgRatesDataTable934[[#This Row],[Total Amount]]</f>
        <v>0.7322601434546846</v>
      </c>
      <c r="L62" s="44">
        <f>CurrentMtgRatesDataTable934[[#This Row],[Top 1 Amount]]/CurrentMtgRatesDataTable934[[#This Row],[Total Amount]]</f>
        <v>0.29276963636032793</v>
      </c>
      <c r="M62" s="44">
        <f>CurrentMtgRatesDataTable934[[#This Row],[N/A Amount]]/CurrentMtgRatesDataTable934[[#This Row],[Total Amount]]</f>
        <v>3.1511196317174909E-5</v>
      </c>
      <c r="N62" s="48">
        <f t="shared" si="1"/>
        <v>0</v>
      </c>
    </row>
    <row r="63" spans="3:14">
      <c r="C63" s="37">
        <v>40452</v>
      </c>
      <c r="D63" s="17">
        <v>33311732208.549999</v>
      </c>
      <c r="E63" s="17">
        <f>IF(C63&lt;=DateToChangeLag,VLOOKUP(C63,'Result-lag'!$C$4:$H$100,2,0),VLOOKUP(C63,CurrentMtgRatesDataTable8[],2,0))</f>
        <v>33311732208.549999</v>
      </c>
      <c r="F63" s="17">
        <f>IF($C63&lt;=DateToChangeLag,VLOOKUP($C63,'Result-lag'!$C$4:$I$100,3,0),VLOOKUP($C63,CurrentMtgRatesDataTable8[],3,0))</f>
        <v>27726552763.619995</v>
      </c>
      <c r="G63" s="17">
        <f>IF($C63&lt;=DateToChangeLag,VLOOKUP($C63,'Result-lag'!$C$4:$I$100,4,0),VLOOKUP($C63,CurrentMtgRatesDataTable8[],4,0))</f>
        <v>24390881083.309998</v>
      </c>
      <c r="H63" s="43">
        <f>IF($C63&lt;=DateToChangeLag,VLOOKUP($C63,'Result-lag'!$C$4:$I$100,5,0),VLOOKUP($C63,CurrentMtgRatesDataTable8[],5,0))</f>
        <v>9784331441.9799995</v>
      </c>
      <c r="I63" s="43">
        <f>IF($C63&lt;=DateToChangeLag,VLOOKUP($C63,'Result-lag'!$C$4:$I$100,6,0),VLOOKUP($C63,CurrentMtgRatesDataTable8[],6,0))</f>
        <v>761809.16</v>
      </c>
      <c r="J63" s="44">
        <f>CurrentMtgRatesDataTable934[[#This Row],[Top 10 Amount]]/CurrentMtgRatesDataTable934[[#This Row],[Total Amount]]</f>
        <v>0.83233596469965387</v>
      </c>
      <c r="K63" s="44">
        <f>CurrentMtgRatesDataTable934[[#This Row],[Top 5 Amount]]/CurrentMtgRatesDataTable934[[#This Row],[Total Amount]]</f>
        <v>0.73220092340468801</v>
      </c>
      <c r="L63" s="44">
        <f>CurrentMtgRatesDataTable934[[#This Row],[Top 1 Amount]]/CurrentMtgRatesDataTable934[[#This Row],[Total Amount]]</f>
        <v>0.29372028391452698</v>
      </c>
      <c r="M63" s="44">
        <f>CurrentMtgRatesDataTable934[[#This Row],[N/A Amount]]/CurrentMtgRatesDataTable934[[#This Row],[Total Amount]]</f>
        <v>2.286909474507811E-5</v>
      </c>
      <c r="N63" s="48">
        <f t="shared" si="1"/>
        <v>0</v>
      </c>
    </row>
    <row r="64" spans="3:14">
      <c r="C64" s="37">
        <v>40422</v>
      </c>
      <c r="D64" s="17">
        <v>32890725671.939999</v>
      </c>
      <c r="E64" s="17">
        <f>IF(C64&lt;=DateToChangeLag,VLOOKUP(C64,'Result-lag'!$C$4:$H$100,2,0),VLOOKUP(C64,CurrentMtgRatesDataTable8[],2,0))</f>
        <v>32890725671.939999</v>
      </c>
      <c r="F64" s="17">
        <f>IF($C64&lt;=DateToChangeLag,VLOOKUP($C64,'Result-lag'!$C$4:$I$100,3,0),VLOOKUP($C64,CurrentMtgRatesDataTable8[],3,0))</f>
        <v>27643255244.669998</v>
      </c>
      <c r="G64" s="17">
        <f>IF($C64&lt;=DateToChangeLag,VLOOKUP($C64,'Result-lag'!$C$4:$I$100,4,0),VLOOKUP($C64,CurrentMtgRatesDataTable8[],4,0))</f>
        <v>24861882404.239998</v>
      </c>
      <c r="H64" s="43">
        <f>IF($C64&lt;=DateToChangeLag,VLOOKUP($C64,'Result-lag'!$C$4:$I$100,5,0),VLOOKUP($C64,CurrentMtgRatesDataTable8[],5,0))</f>
        <v>10352868746.57</v>
      </c>
      <c r="I64" s="43">
        <f>IF($C64&lt;=DateToChangeLag,VLOOKUP($C64,'Result-lag'!$C$4:$I$100,6,0),VLOOKUP($C64,CurrentMtgRatesDataTable8[],6,0))</f>
        <v>64560.480000000003</v>
      </c>
      <c r="J64" s="44">
        <f>CurrentMtgRatesDataTable934[[#This Row],[Top 10 Amount]]/CurrentMtgRatesDataTable934[[#This Row],[Total Amount]]</f>
        <v>0.84045744445989023</v>
      </c>
      <c r="K64" s="44">
        <f>CurrentMtgRatesDataTable934[[#This Row],[Top 5 Amount]]/CurrentMtgRatesDataTable934[[#This Row],[Total Amount]]</f>
        <v>0.75589339840714942</v>
      </c>
      <c r="L64" s="44">
        <f>CurrentMtgRatesDataTable934[[#This Row],[Top 1 Amount]]/CurrentMtgRatesDataTable934[[#This Row],[Total Amount]]</f>
        <v>0.31476559227765299</v>
      </c>
      <c r="M64" s="44">
        <f>CurrentMtgRatesDataTable934[[#This Row],[N/A Amount]]/CurrentMtgRatesDataTable934[[#This Row],[Total Amount]]</f>
        <v>1.9628779444984504E-6</v>
      </c>
      <c r="N64" s="48">
        <f t="shared" si="1"/>
        <v>0</v>
      </c>
    </row>
    <row r="65" spans="3:14">
      <c r="C65" s="37">
        <v>40391</v>
      </c>
      <c r="D65" s="17">
        <v>32321115494.889999</v>
      </c>
      <c r="E65" s="17">
        <f>IF(C65&lt;=DateToChangeLag,VLOOKUP(C65,'Result-lag'!$C$4:$H$100,2,0),VLOOKUP(C65,CurrentMtgRatesDataTable8[],2,0))</f>
        <v>32321115494.889999</v>
      </c>
      <c r="F65" s="17">
        <f>IF($C65&lt;=DateToChangeLag,VLOOKUP($C65,'Result-lag'!$C$4:$I$100,3,0),VLOOKUP($C65,CurrentMtgRatesDataTable8[],3,0))</f>
        <v>27387295350.240002</v>
      </c>
      <c r="G65" s="17">
        <f>IF($C65&lt;=DateToChangeLag,VLOOKUP($C65,'Result-lag'!$C$4:$I$100,4,0),VLOOKUP($C65,CurrentMtgRatesDataTable8[],4,0))</f>
        <v>25097205409.360004</v>
      </c>
      <c r="H65" s="43">
        <f>IF($C65&lt;=DateToChangeLag,VLOOKUP($C65,'Result-lag'!$C$4:$I$100,5,0),VLOOKUP($C65,CurrentMtgRatesDataTable8[],5,0))</f>
        <v>10171561922.290001</v>
      </c>
      <c r="I65" s="43">
        <f>IF($C65&lt;=DateToChangeLag,VLOOKUP($C65,'Result-lag'!$C$4:$I$100,6,0),VLOOKUP($C65,CurrentMtgRatesDataTable8[],6,0))</f>
        <v>944263.32</v>
      </c>
      <c r="J65" s="44">
        <f>CurrentMtgRatesDataTable934[[#This Row],[Top 10 Amount]]/CurrentMtgRatesDataTable934[[#This Row],[Total Amount]]</f>
        <v>0.84734994231773841</v>
      </c>
      <c r="K65" s="44">
        <f>CurrentMtgRatesDataTable934[[#This Row],[Top 5 Amount]]/CurrentMtgRatesDataTable934[[#This Row],[Total Amount]]</f>
        <v>0.77649564456795739</v>
      </c>
      <c r="L65" s="44">
        <f>CurrentMtgRatesDataTable934[[#This Row],[Top 1 Amount]]/CurrentMtgRatesDataTable934[[#This Row],[Total Amount]]</f>
        <v>0.31470330669429203</v>
      </c>
      <c r="M65" s="44">
        <f>CurrentMtgRatesDataTable934[[#This Row],[N/A Amount]]/CurrentMtgRatesDataTable934[[#This Row],[Total Amount]]</f>
        <v>2.9215059738556638E-5</v>
      </c>
      <c r="N65" s="48">
        <f t="shared" si="1"/>
        <v>0</v>
      </c>
    </row>
    <row r="66" spans="3:14">
      <c r="C66" s="37">
        <v>40360</v>
      </c>
      <c r="D66" s="17">
        <v>34861046615.690002</v>
      </c>
      <c r="E66" s="17">
        <f>IF(C66&lt;=DateToChangeLag,VLOOKUP(C66,'Result-lag'!$C$4:$H$100,2,0),VLOOKUP(C66,CurrentMtgRatesDataTable8[],2,0))</f>
        <v>34861046615.690002</v>
      </c>
      <c r="F66" s="17">
        <f>IF($C66&lt;=DateToChangeLag,VLOOKUP($C66,'Result-lag'!$C$4:$I$100,3,0),VLOOKUP($C66,CurrentMtgRatesDataTable8[],3,0))</f>
        <v>29449474088.269997</v>
      </c>
      <c r="G66" s="17">
        <f>IF($C66&lt;=DateToChangeLag,VLOOKUP($C66,'Result-lag'!$C$4:$I$100,4,0),VLOOKUP($C66,CurrentMtgRatesDataTable8[],4,0))</f>
        <v>27264833278.610001</v>
      </c>
      <c r="H66" s="43">
        <f>IF($C66&lt;=DateToChangeLag,VLOOKUP($C66,'Result-lag'!$C$4:$I$100,5,0),VLOOKUP($C66,CurrentMtgRatesDataTable8[],5,0))</f>
        <v>11078139845.860001</v>
      </c>
      <c r="I66" s="43">
        <f>IF($C66&lt;=DateToChangeLag,VLOOKUP($C66,'Result-lag'!$C$4:$I$100,6,0),VLOOKUP($C66,CurrentMtgRatesDataTable8[],6,0))</f>
        <v>1908556.37</v>
      </c>
      <c r="J66" s="44">
        <f>CurrentMtgRatesDataTable934[[#This Row],[Top 10 Amount]]/CurrentMtgRatesDataTable934[[#This Row],[Total Amount]]</f>
        <v>0.84476735345678333</v>
      </c>
      <c r="K66" s="44">
        <f>CurrentMtgRatesDataTable934[[#This Row],[Top 5 Amount]]/CurrentMtgRatesDataTable934[[#This Row],[Total Amount]]</f>
        <v>0.78210025014965689</v>
      </c>
      <c r="L66" s="44">
        <f>CurrentMtgRatesDataTable934[[#This Row],[Top 1 Amount]]/CurrentMtgRatesDataTable934[[#This Row],[Total Amount]]</f>
        <v>0.31777989823386521</v>
      </c>
      <c r="M66" s="44">
        <f>CurrentMtgRatesDataTable934[[#This Row],[N/A Amount]]/CurrentMtgRatesDataTable934[[#This Row],[Total Amount]]</f>
        <v>5.474753500777028E-5</v>
      </c>
      <c r="N66" s="48">
        <f t="shared" si="1"/>
        <v>0</v>
      </c>
    </row>
    <row r="67" spans="3:14">
      <c r="C67" s="37">
        <v>40330</v>
      </c>
      <c r="D67" s="17">
        <v>32712631431.27</v>
      </c>
      <c r="E67" s="17">
        <f>IF(C67&lt;=DateToChangeLag,VLOOKUP(C67,'Result-lag'!$C$4:$H$100,2,0),VLOOKUP(C67,CurrentMtgRatesDataTable8[],2,0))</f>
        <v>32712631431.27</v>
      </c>
      <c r="F67" s="17">
        <f>IF($C67&lt;=DateToChangeLag,VLOOKUP($C67,'Result-lag'!$C$4:$I$100,3,0),VLOOKUP($C67,CurrentMtgRatesDataTable8[],3,0))</f>
        <v>27998790604.990002</v>
      </c>
      <c r="G67" s="17">
        <f>IF($C67&lt;=DateToChangeLag,VLOOKUP($C67,'Result-lag'!$C$4:$I$100,4,0),VLOOKUP($C67,CurrentMtgRatesDataTable8[],4,0))</f>
        <v>25726928354.880001</v>
      </c>
      <c r="H67" s="43">
        <f>IF($C67&lt;=DateToChangeLag,VLOOKUP($C67,'Result-lag'!$C$4:$I$100,5,0),VLOOKUP($C67,CurrentMtgRatesDataTable8[],5,0))</f>
        <v>10245994592.219999</v>
      </c>
      <c r="I67" s="43">
        <f>IF($C67&lt;=DateToChangeLag,VLOOKUP($C67,'Result-lag'!$C$4:$I$100,6,0),VLOOKUP($C67,CurrentMtgRatesDataTable8[],6,0))</f>
        <v>24328.89</v>
      </c>
      <c r="J67" s="44">
        <f>CurrentMtgRatesDataTable934[[#This Row],[Top 10 Amount]]/CurrentMtgRatesDataTable934[[#This Row],[Total Amount]]</f>
        <v>0.8559015089879306</v>
      </c>
      <c r="K67" s="44">
        <f>CurrentMtgRatesDataTable934[[#This Row],[Top 5 Amount]]/CurrentMtgRatesDataTable934[[#This Row],[Total Amount]]</f>
        <v>0.78645242615021282</v>
      </c>
      <c r="L67" s="44">
        <f>CurrentMtgRatesDataTable934[[#This Row],[Top 1 Amount]]/CurrentMtgRatesDataTable934[[#This Row],[Total Amount]]</f>
        <v>0.31321217963608561</v>
      </c>
      <c r="M67" s="44">
        <f>CurrentMtgRatesDataTable934[[#This Row],[N/A Amount]]/CurrentMtgRatesDataTable934[[#This Row],[Total Amount]]</f>
        <v>7.4371546817062279E-7</v>
      </c>
      <c r="N67" s="48">
        <f t="shared" si="1"/>
        <v>0</v>
      </c>
    </row>
    <row r="68" spans="3:14">
      <c r="C68" s="37">
        <v>40299</v>
      </c>
      <c r="D68" s="17">
        <v>32543181394.959999</v>
      </c>
      <c r="E68" s="17">
        <f>IF(C68&lt;=DateToChangeLag,VLOOKUP(C68,'Result-lag'!$C$4:$H$100,2,0),VLOOKUP(C68,CurrentMtgRatesDataTable8[],2,0))</f>
        <v>32543181394.959999</v>
      </c>
      <c r="F68" s="17">
        <f>IF($C68&lt;=DateToChangeLag,VLOOKUP($C68,'Result-lag'!$C$4:$I$100,3,0),VLOOKUP($C68,CurrentMtgRatesDataTable8[],3,0))</f>
        <v>27986292397.510002</v>
      </c>
      <c r="G68" s="17">
        <f>IF($C68&lt;=DateToChangeLag,VLOOKUP($C68,'Result-lag'!$C$4:$I$100,4,0),VLOOKUP($C68,CurrentMtgRatesDataTable8[],4,0))</f>
        <v>25758615652.040001</v>
      </c>
      <c r="H68" s="43">
        <f>IF($C68&lt;=DateToChangeLag,VLOOKUP($C68,'Result-lag'!$C$4:$I$100,5,0),VLOOKUP($C68,CurrentMtgRatesDataTable8[],5,0))</f>
        <v>11166499668.83</v>
      </c>
      <c r="I68" s="43">
        <f>IF($C68&lt;=DateToChangeLag,VLOOKUP($C68,'Result-lag'!$C$4:$I$100,6,0),VLOOKUP($C68,CurrentMtgRatesDataTable8[],6,0))</f>
        <v>1210043145.7</v>
      </c>
      <c r="J68" s="44">
        <f>CurrentMtgRatesDataTable934[[#This Row],[Top 10 Amount]]/CurrentMtgRatesDataTable934[[#This Row],[Total Amount]]</f>
        <v>0.85997407745280463</v>
      </c>
      <c r="K68" s="44">
        <f>CurrentMtgRatesDataTable934[[#This Row],[Top 5 Amount]]/CurrentMtgRatesDataTable934[[#This Row],[Total Amount]]</f>
        <v>0.79152112817185316</v>
      </c>
      <c r="L68" s="44">
        <f>CurrentMtgRatesDataTable934[[#This Row],[Top 1 Amount]]/CurrentMtgRatesDataTable934[[#This Row],[Total Amount]]</f>
        <v>0.34312870439149407</v>
      </c>
      <c r="M68" s="44">
        <f>CurrentMtgRatesDataTable934[[#This Row],[N/A Amount]]/CurrentMtgRatesDataTable934[[#This Row],[Total Amount]]</f>
        <v>3.7182693695933515E-2</v>
      </c>
      <c r="N68" s="48">
        <f t="shared" ref="N68:N103" si="2">IF(C68&lt;=DateToChangeLag,1,0)</f>
        <v>0</v>
      </c>
    </row>
    <row r="69" spans="3:14">
      <c r="C69" s="37">
        <v>40269</v>
      </c>
      <c r="D69" s="17">
        <v>31107880094.700001</v>
      </c>
      <c r="E69" s="17">
        <f>IF(C69&lt;=DateToChangeLag,VLOOKUP(C69,'Result-lag'!$C$4:$H$100,2,0),VLOOKUP(C69,CurrentMtgRatesDataTable8[],2,0))</f>
        <v>31107880094.700001</v>
      </c>
      <c r="F69" s="17">
        <f>IF($C69&lt;=DateToChangeLag,VLOOKUP($C69,'Result-lag'!$C$4:$I$100,3,0),VLOOKUP($C69,CurrentMtgRatesDataTable8[],3,0))</f>
        <v>26850360161.200005</v>
      </c>
      <c r="G69" s="17">
        <f>IF($C69&lt;=DateToChangeLag,VLOOKUP($C69,'Result-lag'!$C$4:$I$100,4,0),VLOOKUP($C69,CurrentMtgRatesDataTable8[],4,0))</f>
        <v>24765902790.620003</v>
      </c>
      <c r="H69" s="43">
        <f>IF($C69&lt;=DateToChangeLag,VLOOKUP($C69,'Result-lag'!$C$4:$I$100,5,0),VLOOKUP($C69,CurrentMtgRatesDataTable8[],5,0))</f>
        <v>11766642358.6</v>
      </c>
      <c r="I69" s="43">
        <f>IF($C69&lt;=DateToChangeLag,VLOOKUP($C69,'Result-lag'!$C$4:$I$100,6,0),VLOOKUP($C69,CurrentMtgRatesDataTable8[],6,0))</f>
        <v>1073596404.6799999</v>
      </c>
      <c r="J69" s="44">
        <f>CurrentMtgRatesDataTable934[[#This Row],[Top 10 Amount]]/CurrentMtgRatesDataTable934[[#This Row],[Total Amount]]</f>
        <v>0.86313693120395663</v>
      </c>
      <c r="K69" s="44">
        <f>CurrentMtgRatesDataTable934[[#This Row],[Top 5 Amount]]/CurrentMtgRatesDataTable934[[#This Row],[Total Amount]]</f>
        <v>0.79612955673053043</v>
      </c>
      <c r="L69" s="44">
        <f>CurrentMtgRatesDataTable934[[#This Row],[Top 1 Amount]]/CurrentMtgRatesDataTable934[[#This Row],[Total Amount]]</f>
        <v>0.37825278748598301</v>
      </c>
      <c r="M69" s="44">
        <f>CurrentMtgRatesDataTable934[[#This Row],[N/A Amount]]/CurrentMtgRatesDataTable934[[#This Row],[Total Amount]]</f>
        <v>3.4512040081539137E-2</v>
      </c>
      <c r="N69" s="48">
        <f t="shared" si="2"/>
        <v>0</v>
      </c>
    </row>
    <row r="70" spans="3:14">
      <c r="C70" s="37">
        <v>40238</v>
      </c>
      <c r="D70" s="17">
        <v>22158381362.720001</v>
      </c>
      <c r="E70" s="17">
        <f>IF(C70&lt;=DateToChangeLag,VLOOKUP(C70,'Result-lag'!$C$4:$H$100,2,0),VLOOKUP(C70,CurrentMtgRatesDataTable8[],2,0))</f>
        <v>22158381362.720001</v>
      </c>
      <c r="F70" s="17">
        <f>IF($C70&lt;=DateToChangeLag,VLOOKUP($C70,'Result-lag'!$C$4:$I$100,3,0),VLOOKUP($C70,CurrentMtgRatesDataTable8[],3,0))</f>
        <v>18536432575.27</v>
      </c>
      <c r="G70" s="17">
        <f>IF($C70&lt;=DateToChangeLag,VLOOKUP($C70,'Result-lag'!$C$4:$I$100,4,0),VLOOKUP($C70,CurrentMtgRatesDataTable8[],4,0))</f>
        <v>16719112110.120003</v>
      </c>
      <c r="H70" s="43">
        <f>IF($C70&lt;=DateToChangeLag,VLOOKUP($C70,'Result-lag'!$C$4:$I$100,5,0),VLOOKUP($C70,CurrentMtgRatesDataTable8[],5,0))</f>
        <v>6596684007.1000004</v>
      </c>
      <c r="I70" s="43">
        <f>IF($C70&lt;=DateToChangeLag,VLOOKUP($C70,'Result-lag'!$C$4:$I$100,6,0),VLOOKUP($C70,CurrentMtgRatesDataTable8[],6,0))</f>
        <v>775320177.90999997</v>
      </c>
      <c r="J70" s="44">
        <f>CurrentMtgRatesDataTable934[[#This Row],[Top 10 Amount]]/CurrentMtgRatesDataTable934[[#This Row],[Total Amount]]</f>
        <v>0.83654271816335435</v>
      </c>
      <c r="K70" s="44">
        <f>CurrentMtgRatesDataTable934[[#This Row],[Top 5 Amount]]/CurrentMtgRatesDataTable934[[#This Row],[Total Amount]]</f>
        <v>0.75452768126144787</v>
      </c>
      <c r="L70" s="44">
        <f>CurrentMtgRatesDataTable934[[#This Row],[Top 1 Amount]]/CurrentMtgRatesDataTable934[[#This Row],[Total Amount]]</f>
        <v>0.2977060417507969</v>
      </c>
      <c r="M70" s="44">
        <f>CurrentMtgRatesDataTable934[[#This Row],[N/A Amount]]/CurrentMtgRatesDataTable934[[#This Row],[Total Amount]]</f>
        <v>3.4989928425657679E-2</v>
      </c>
      <c r="N70" s="48">
        <f t="shared" si="2"/>
        <v>0</v>
      </c>
    </row>
    <row r="71" spans="3:14">
      <c r="C71" s="37">
        <v>40210</v>
      </c>
      <c r="D71" s="17">
        <v>27524482427.09</v>
      </c>
      <c r="E71" s="17">
        <f>IF(C71&lt;=DateToChangeLag,VLOOKUP(C71,'Result-lag'!$C$4:$H$100,2,0),VLOOKUP(C71,CurrentMtgRatesDataTable8[],2,0))</f>
        <v>27524482427.09</v>
      </c>
      <c r="F71" s="17">
        <f>IF($C71&lt;=DateToChangeLag,VLOOKUP($C71,'Result-lag'!$C$4:$I$100,3,0),VLOOKUP($C71,CurrentMtgRatesDataTable8[],3,0))</f>
        <v>23697861082.779999</v>
      </c>
      <c r="G71" s="17">
        <f>IF($C71&lt;=DateToChangeLag,VLOOKUP($C71,'Result-lag'!$C$4:$I$100,4,0),VLOOKUP($C71,CurrentMtgRatesDataTable8[],4,0))</f>
        <v>21554168003.59</v>
      </c>
      <c r="H71" s="43">
        <f>IF($C71&lt;=DateToChangeLag,VLOOKUP($C71,'Result-lag'!$C$4:$I$100,5,0),VLOOKUP($C71,CurrentMtgRatesDataTable8[],5,0))</f>
        <v>9571877686.3199997</v>
      </c>
      <c r="I71" s="43">
        <f>IF($C71&lt;=DateToChangeLag,VLOOKUP($C71,'Result-lag'!$C$4:$I$100,6,0),VLOOKUP($C71,CurrentMtgRatesDataTable8[],6,0))</f>
        <v>1049114718.89</v>
      </c>
      <c r="J71" s="44">
        <f>CurrentMtgRatesDataTable934[[#This Row],[Top 10 Amount]]/CurrentMtgRatesDataTable934[[#This Row],[Total Amount]]</f>
        <v>0.86097390370749405</v>
      </c>
      <c r="K71" s="44">
        <f>CurrentMtgRatesDataTable934[[#This Row],[Top 5 Amount]]/CurrentMtgRatesDataTable934[[#This Row],[Total Amount]]</f>
        <v>0.78309076512828713</v>
      </c>
      <c r="L71" s="44">
        <f>CurrentMtgRatesDataTable934[[#This Row],[Top 1 Amount]]/CurrentMtgRatesDataTable934[[#This Row],[Total Amount]]</f>
        <v>0.34775868035575547</v>
      </c>
      <c r="M71" s="44">
        <f>CurrentMtgRatesDataTable934[[#This Row],[N/A Amount]]/CurrentMtgRatesDataTable934[[#This Row],[Total Amount]]</f>
        <v>3.8115692880656887E-2</v>
      </c>
      <c r="N71" s="48">
        <f t="shared" si="2"/>
        <v>0</v>
      </c>
    </row>
    <row r="72" spans="3:14">
      <c r="C72" s="37">
        <v>40179</v>
      </c>
      <c r="D72" s="17">
        <v>35986611903.889999</v>
      </c>
      <c r="E72" s="17">
        <f>IF(C72&lt;=DateToChangeLag,VLOOKUP(C72,'Result-lag'!$C$4:$H$100,2,0),VLOOKUP(C72,CurrentMtgRatesDataTable8[],2,0))</f>
        <v>35986611903.889999</v>
      </c>
      <c r="F72" s="17">
        <f>IF($C72&lt;=DateToChangeLag,VLOOKUP($C72,'Result-lag'!$C$4:$I$100,3,0),VLOOKUP($C72,CurrentMtgRatesDataTable8[],3,0))</f>
        <v>31352105196.579998</v>
      </c>
      <c r="G72" s="17">
        <f>IF($C72&lt;=DateToChangeLag,VLOOKUP($C72,'Result-lag'!$C$4:$I$100,4,0),VLOOKUP($C72,CurrentMtgRatesDataTable8[],4,0))</f>
        <v>28809588837.969997</v>
      </c>
      <c r="H72" s="43">
        <f>IF($C72&lt;=DateToChangeLag,VLOOKUP($C72,'Result-lag'!$C$4:$I$100,5,0),VLOOKUP($C72,CurrentMtgRatesDataTable8[],5,0))</f>
        <v>13534574647.27</v>
      </c>
      <c r="I72" s="43">
        <f>IF($C72&lt;=DateToChangeLag,VLOOKUP($C72,'Result-lag'!$C$4:$I$100,6,0),VLOOKUP($C72,CurrentMtgRatesDataTable8[],6,0))</f>
        <v>1051543121.48</v>
      </c>
      <c r="J72" s="44">
        <f>CurrentMtgRatesDataTable934[[#This Row],[Top 10 Amount]]/CurrentMtgRatesDataTable934[[#This Row],[Total Amount]]</f>
        <v>0.87121580882114025</v>
      </c>
      <c r="K72" s="44">
        <f>CurrentMtgRatesDataTable934[[#This Row],[Top 5 Amount]]/CurrentMtgRatesDataTable934[[#This Row],[Total Amount]]</f>
        <v>0.80056407963362075</v>
      </c>
      <c r="L72" s="44">
        <f>CurrentMtgRatesDataTable934[[#This Row],[Top 1 Amount]]/CurrentMtgRatesDataTable934[[#This Row],[Total Amount]]</f>
        <v>0.3761002753862186</v>
      </c>
      <c r="M72" s="44">
        <f>CurrentMtgRatesDataTable934[[#This Row],[N/A Amount]]/CurrentMtgRatesDataTable934[[#This Row],[Total Amount]]</f>
        <v>2.9220397971567107E-2</v>
      </c>
      <c r="N72" s="48">
        <f t="shared" si="2"/>
        <v>0</v>
      </c>
    </row>
    <row r="73" spans="3:14">
      <c r="C73" s="37">
        <v>40148</v>
      </c>
      <c r="D73" s="17">
        <v>40973315070.910004</v>
      </c>
      <c r="E73" s="17">
        <f>IF(C73&lt;=DateToChangeLag,VLOOKUP(C73,'Result-lag'!$C$4:$H$100,2,0),VLOOKUP(C73,CurrentMtgRatesDataTable8[],2,0))</f>
        <v>40973315070.910004</v>
      </c>
      <c r="F73" s="17">
        <f>IF($C73&lt;=DateToChangeLag,VLOOKUP($C73,'Result-lag'!$C$4:$I$100,3,0),VLOOKUP($C73,CurrentMtgRatesDataTable8[],3,0))</f>
        <v>34524145521.199997</v>
      </c>
      <c r="G73" s="17">
        <f>IF($C73&lt;=DateToChangeLag,VLOOKUP($C73,'Result-lag'!$C$4:$I$100,4,0),VLOOKUP($C73,CurrentMtgRatesDataTable8[],4,0))</f>
        <v>30839093752.029999</v>
      </c>
      <c r="H73" s="43">
        <f>IF($C73&lt;=DateToChangeLag,VLOOKUP($C73,'Result-lag'!$C$4:$I$100,5,0),VLOOKUP($C73,CurrentMtgRatesDataTable8[],5,0))</f>
        <v>11821319577.99</v>
      </c>
      <c r="I73" s="43">
        <f>IF($C73&lt;=DateToChangeLag,VLOOKUP($C73,'Result-lag'!$C$4:$I$100,6,0),VLOOKUP($C73,CurrentMtgRatesDataTable8[],6,0))</f>
        <v>1196536315.22</v>
      </c>
      <c r="J73" s="44">
        <f>CurrentMtgRatesDataTable934[[#This Row],[Top 10 Amount]]/CurrentMtgRatesDataTable934[[#This Row],[Total Amount]]</f>
        <v>0.84260073810115621</v>
      </c>
      <c r="K73" s="44">
        <f>CurrentMtgRatesDataTable934[[#This Row],[Top 5 Amount]]/CurrentMtgRatesDataTable934[[#This Row],[Total Amount]]</f>
        <v>0.7526628904363406</v>
      </c>
      <c r="L73" s="44">
        <f>CurrentMtgRatesDataTable934[[#This Row],[Top 1 Amount]]/CurrentMtgRatesDataTable934[[#This Row],[Total Amount]]</f>
        <v>0.28851264676855087</v>
      </c>
      <c r="M73" s="44">
        <f>CurrentMtgRatesDataTable934[[#This Row],[N/A Amount]]/CurrentMtgRatesDataTable934[[#This Row],[Total Amount]]</f>
        <v>2.9202819277601239E-2</v>
      </c>
      <c r="N73" s="48">
        <f t="shared" si="2"/>
        <v>0</v>
      </c>
    </row>
    <row r="74" spans="3:14">
      <c r="C74" s="37">
        <v>40118</v>
      </c>
      <c r="D74" s="17">
        <v>34146479465.68</v>
      </c>
      <c r="E74" s="17">
        <f>IF(C74&lt;=DateToChangeLag,VLOOKUP(C74,'Result-lag'!$C$4:$H$100,2,0),VLOOKUP(C74,CurrentMtgRatesDataTable8[],2,0))</f>
        <v>34146479465.68</v>
      </c>
      <c r="F74" s="17">
        <f>IF($C74&lt;=DateToChangeLag,VLOOKUP($C74,'Result-lag'!$C$4:$I$100,3,0),VLOOKUP($C74,CurrentMtgRatesDataTable8[],3,0))</f>
        <v>28779506693.819996</v>
      </c>
      <c r="G74" s="17">
        <f>IF($C74&lt;=DateToChangeLag,VLOOKUP($C74,'Result-lag'!$C$4:$I$100,4,0),VLOOKUP($C74,CurrentMtgRatesDataTable8[],4,0))</f>
        <v>25228895915.689999</v>
      </c>
      <c r="H74" s="43">
        <f>IF($C74&lt;=DateToChangeLag,VLOOKUP($C74,'Result-lag'!$C$4:$I$100,5,0),VLOOKUP($C74,CurrentMtgRatesDataTable8[],5,0))</f>
        <v>10156126817.549999</v>
      </c>
      <c r="I74" s="43">
        <f>IF($C74&lt;=DateToChangeLag,VLOOKUP($C74,'Result-lag'!$C$4:$I$100,6,0),VLOOKUP($C74,CurrentMtgRatesDataTable8[],6,0))</f>
        <v>891369745.05999994</v>
      </c>
      <c r="J74" s="44">
        <f>CurrentMtgRatesDataTable934[[#This Row],[Top 10 Amount]]/CurrentMtgRatesDataTable934[[#This Row],[Total Amount]]</f>
        <v>0.84282500404604666</v>
      </c>
      <c r="K74" s="44">
        <f>CurrentMtgRatesDataTable934[[#This Row],[Top 5 Amount]]/CurrentMtgRatesDataTable934[[#This Row],[Total Amount]]</f>
        <v>0.738843251499678</v>
      </c>
      <c r="L74" s="44">
        <f>CurrentMtgRatesDataTable934[[#This Row],[Top 1 Amount]]/CurrentMtgRatesDataTable934[[#This Row],[Total Amount]]</f>
        <v>0.29742822617358655</v>
      </c>
      <c r="M74" s="44">
        <f>CurrentMtgRatesDataTable934[[#This Row],[N/A Amount]]/CurrentMtgRatesDataTable934[[#This Row],[Total Amount]]</f>
        <v>2.6104294176384987E-2</v>
      </c>
      <c r="N74" s="48">
        <f t="shared" si="2"/>
        <v>0</v>
      </c>
    </row>
    <row r="75" spans="3:14">
      <c r="C75" s="41">
        <v>40087</v>
      </c>
      <c r="D75" s="42">
        <v>36816079871.599998</v>
      </c>
      <c r="E75" s="47">
        <f>IF(C75&lt;=DateToChangeLag,VLOOKUP(C75,'Result-lag'!$C$4:$H$100,2,0),VLOOKUP(C75,CurrentMtgRatesDataTable8[],2,0))</f>
        <v>36816079871.599998</v>
      </c>
      <c r="F75" s="47">
        <f>IF($C75&lt;=DateToChangeLag,VLOOKUP($C75,'Result-lag'!$C$4:$I$100,3,0),VLOOKUP($C75,CurrentMtgRatesDataTable8[],3,0))</f>
        <v>31511593820.119995</v>
      </c>
      <c r="G75" s="47">
        <f>IF($C75&lt;=DateToChangeLag,VLOOKUP($C75,'Result-lag'!$C$4:$I$100,4,0),VLOOKUP($C75,CurrentMtgRatesDataTable8[],4,0))</f>
        <v>28210005654.139996</v>
      </c>
      <c r="H75" s="47">
        <f>IF($C75&lt;=DateToChangeLag,VLOOKUP($C75,'Result-lag'!$C$4:$I$100,5,0),VLOOKUP($C75,CurrentMtgRatesDataTable8[],5,0))</f>
        <v>11250233115.889999</v>
      </c>
      <c r="I75" s="47">
        <f>IF($C75&lt;=DateToChangeLag,VLOOKUP($C75,'Result-lag'!$C$4:$I$100,6,0),VLOOKUP($C75,CurrentMtgRatesDataTable8[],6,0))</f>
        <v>794961940.45000005</v>
      </c>
      <c r="J75" s="46">
        <f>CurrentMtgRatesDataTable934[[#This Row],[Top 10 Amount]]/CurrentMtgRatesDataTable934[[#This Row],[Total Amount]]</f>
        <v>0.85591931378951902</v>
      </c>
      <c r="K75" s="46">
        <f>CurrentMtgRatesDataTable934[[#This Row],[Top 5 Amount]]/CurrentMtgRatesDataTable934[[#This Row],[Total Amount]]</f>
        <v>0.76624142908548099</v>
      </c>
      <c r="L75" s="46">
        <f>CurrentMtgRatesDataTable934[[#This Row],[Top 1 Amount]]/CurrentMtgRatesDataTable934[[#This Row],[Total Amount]]</f>
        <v>0.30557933259397485</v>
      </c>
      <c r="M75" s="46">
        <f>CurrentMtgRatesDataTable934[[#This Row],[N/A Amount]]/CurrentMtgRatesDataTable934[[#This Row],[Total Amount]]</f>
        <v>2.1592791606887929E-2</v>
      </c>
      <c r="N75" s="48">
        <f t="shared" si="2"/>
        <v>0</v>
      </c>
    </row>
    <row r="76" spans="3:14">
      <c r="C76" s="41">
        <v>40057</v>
      </c>
      <c r="D76" s="42">
        <v>38844969127.540001</v>
      </c>
      <c r="E76" s="47">
        <f>IF(C76&lt;=DateToChangeLag,VLOOKUP(C76,'Result-lag'!$C$4:$H$100,2,0),VLOOKUP(C76,CurrentMtgRatesDataTable8[],2,0))</f>
        <v>38844969127.540001</v>
      </c>
      <c r="F76" s="47">
        <f>IF($C76&lt;=DateToChangeLag,VLOOKUP($C76,'Result-lag'!$C$4:$I$100,3,0),VLOOKUP($C76,CurrentMtgRatesDataTable8[],3,0))</f>
        <v>33968250061.269997</v>
      </c>
      <c r="G76" s="47">
        <f>IF($C76&lt;=DateToChangeLag,VLOOKUP($C76,'Result-lag'!$C$4:$I$100,4,0),VLOOKUP($C76,CurrentMtgRatesDataTable8[],4,0))</f>
        <v>29406120687.719997</v>
      </c>
      <c r="H76" s="47">
        <f>IF($C76&lt;=DateToChangeLag,VLOOKUP($C76,'Result-lag'!$C$4:$I$100,5,0),VLOOKUP($C76,CurrentMtgRatesDataTable8[],5,0))</f>
        <v>10548837061.57</v>
      </c>
      <c r="I76" s="47">
        <f>IF($C76&lt;=DateToChangeLag,VLOOKUP($C76,'Result-lag'!$C$4:$I$100,6,0),VLOOKUP($C76,CurrentMtgRatesDataTable8[],6,0))</f>
        <v>609967240.65999997</v>
      </c>
      <c r="J76" s="46">
        <f>CurrentMtgRatesDataTable934[[#This Row],[Top 10 Amount]]/CurrentMtgRatesDataTable934[[#This Row],[Total Amount]]</f>
        <v>0.87445686852631466</v>
      </c>
      <c r="K76" s="46">
        <f>CurrentMtgRatesDataTable934[[#This Row],[Top 5 Amount]]/CurrentMtgRatesDataTable934[[#This Row],[Total Amount]]</f>
        <v>0.75701233256668687</v>
      </c>
      <c r="L76" s="46">
        <f>CurrentMtgRatesDataTable934[[#This Row],[Top 1 Amount]]/CurrentMtgRatesDataTable934[[#This Row],[Total Amount]]</f>
        <v>0.27156250342058241</v>
      </c>
      <c r="M76" s="46">
        <f>CurrentMtgRatesDataTable934[[#This Row],[N/A Amount]]/CurrentMtgRatesDataTable934[[#This Row],[Total Amount]]</f>
        <v>1.5702605880758704E-2</v>
      </c>
      <c r="N76" s="48">
        <f t="shared" si="2"/>
        <v>0</v>
      </c>
    </row>
    <row r="77" spans="3:14">
      <c r="C77" s="41">
        <v>40026</v>
      </c>
      <c r="D77" s="42">
        <v>43301220344.230003</v>
      </c>
      <c r="E77" s="47">
        <f>IF(C77&lt;=DateToChangeLag,VLOOKUP(C77,'Result-lag'!$C$4:$H$100,2,0),VLOOKUP(C77,CurrentMtgRatesDataTable8[],2,0))</f>
        <v>43301220344.230003</v>
      </c>
      <c r="F77" s="47">
        <f>IF($C77&lt;=DateToChangeLag,VLOOKUP($C77,'Result-lag'!$C$4:$I$100,3,0),VLOOKUP($C77,CurrentMtgRatesDataTable8[],3,0))</f>
        <v>37366595070.600006</v>
      </c>
      <c r="G77" s="47">
        <f>IF($C77&lt;=DateToChangeLag,VLOOKUP($C77,'Result-lag'!$C$4:$I$100,4,0),VLOOKUP($C77,CurrentMtgRatesDataTable8[],4,0))</f>
        <v>32727942340.760002</v>
      </c>
      <c r="H77" s="47">
        <f>IF($C77&lt;=DateToChangeLag,VLOOKUP($C77,'Result-lag'!$C$4:$I$100,5,0),VLOOKUP($C77,CurrentMtgRatesDataTable8[],5,0))</f>
        <v>11769183271.27</v>
      </c>
      <c r="I77" s="47">
        <f>IF($C77&lt;=DateToChangeLag,VLOOKUP($C77,'Result-lag'!$C$4:$I$100,6,0),VLOOKUP($C77,CurrentMtgRatesDataTable8[],6,0))</f>
        <v>822762971.19000006</v>
      </c>
      <c r="J77" s="46">
        <f>CurrentMtgRatesDataTable934[[#This Row],[Top 10 Amount]]/CurrentMtgRatesDataTable934[[#This Row],[Total Amount]]</f>
        <v>0.86294554226297226</v>
      </c>
      <c r="K77" s="46">
        <f>CurrentMtgRatesDataTable934[[#This Row],[Top 5 Amount]]/CurrentMtgRatesDataTable934[[#This Row],[Total Amount]]</f>
        <v>0.75582032285889333</v>
      </c>
      <c r="L77" s="46">
        <f>CurrentMtgRatesDataTable934[[#This Row],[Top 1 Amount]]/CurrentMtgRatesDataTable934[[#This Row],[Total Amount]]</f>
        <v>0.27179795806466855</v>
      </c>
      <c r="M77" s="46">
        <f>CurrentMtgRatesDataTable934[[#This Row],[N/A Amount]]/CurrentMtgRatesDataTable934[[#This Row],[Total Amount]]</f>
        <v>1.9000918788184575E-2</v>
      </c>
      <c r="N77" s="48">
        <f t="shared" si="2"/>
        <v>0</v>
      </c>
    </row>
    <row r="78" spans="3:14">
      <c r="C78" s="41">
        <v>39904</v>
      </c>
      <c r="D78" s="42">
        <v>35593081340.43</v>
      </c>
      <c r="E78" s="47">
        <f>IF(C78&lt;=DateToChangeLag,VLOOKUP(C78,'Result-lag'!$C$4:$H$100,2,0),VLOOKUP(C78,CurrentMtgRatesDataTable8[],2,0))</f>
        <v>35593081340.43</v>
      </c>
      <c r="F78" s="47">
        <f>IF($C78&lt;=DateToChangeLag,VLOOKUP($C78,'Result-lag'!$C$4:$I$100,3,0),VLOOKUP($C78,CurrentMtgRatesDataTable8[],3,0))</f>
        <v>31092833796.91</v>
      </c>
      <c r="G78" s="47">
        <f>IF($C78&lt;=DateToChangeLag,VLOOKUP($C78,'Result-lag'!$C$4:$I$100,4,0),VLOOKUP($C78,CurrentMtgRatesDataTable8[],4,0))</f>
        <v>26813746824.889999</v>
      </c>
      <c r="H78" s="47">
        <f>IF($C78&lt;=DateToChangeLag,VLOOKUP($C78,'Result-lag'!$C$4:$I$100,5,0),VLOOKUP($C78,CurrentMtgRatesDataTable8[],5,0))</f>
        <v>10904817516.51</v>
      </c>
      <c r="I78" s="47">
        <f>IF($C78&lt;=DateToChangeLag,VLOOKUP($C78,'Result-lag'!$C$4:$I$100,6,0),VLOOKUP($C78,CurrentMtgRatesDataTable8[],6,0))</f>
        <v>395342906.08999997</v>
      </c>
      <c r="J78" s="46">
        <f>CurrentMtgRatesDataTable934[[#This Row],[Top 10 Amount]]/CurrentMtgRatesDataTable934[[#This Row],[Total Amount]]</f>
        <v>0.87356398001967328</v>
      </c>
      <c r="K78" s="46">
        <f>CurrentMtgRatesDataTable934[[#This Row],[Top 5 Amount]]/CurrentMtgRatesDataTable934[[#This Row],[Total Amount]]</f>
        <v>0.75334154321818725</v>
      </c>
      <c r="L78" s="46">
        <f>CurrentMtgRatesDataTable934[[#This Row],[Top 1 Amount]]/CurrentMtgRatesDataTable934[[#This Row],[Total Amount]]</f>
        <v>0.30637464096493588</v>
      </c>
      <c r="M78" s="46">
        <f>CurrentMtgRatesDataTable934[[#This Row],[N/A Amount]]/CurrentMtgRatesDataTable934[[#This Row],[Total Amount]]</f>
        <v>1.1107296452047605E-2</v>
      </c>
      <c r="N78" s="48">
        <f t="shared" si="2"/>
        <v>0</v>
      </c>
    </row>
    <row r="79" spans="3:14">
      <c r="C79" s="41">
        <v>39873</v>
      </c>
      <c r="D79" s="42">
        <v>34505511131.800003</v>
      </c>
      <c r="E79" s="47">
        <f>IF(C79&lt;=DateToChangeLag,VLOOKUP(C79,'Result-lag'!$C$4:$H$100,2,0),VLOOKUP(C79,CurrentMtgRatesDataTable8[],2,0))</f>
        <v>34505511131.800003</v>
      </c>
      <c r="F79" s="47">
        <f>IF($C79&lt;=DateToChangeLag,VLOOKUP($C79,'Result-lag'!$C$4:$I$100,3,0),VLOOKUP($C79,CurrentMtgRatesDataTable8[],3,0))</f>
        <v>31299507089.720001</v>
      </c>
      <c r="G79" s="47">
        <f>IF($C79&lt;=DateToChangeLag,VLOOKUP($C79,'Result-lag'!$C$4:$I$100,4,0),VLOOKUP($C79,CurrentMtgRatesDataTable8[],4,0))</f>
        <v>27212511542</v>
      </c>
      <c r="H79" s="47">
        <f>IF($C79&lt;=DateToChangeLag,VLOOKUP($C79,'Result-lag'!$C$4:$I$100,5,0),VLOOKUP($C79,CurrentMtgRatesDataTable8[],5,0))</f>
        <v>9840119923.4899998</v>
      </c>
      <c r="I79" s="47">
        <f>IF($C79&lt;=DateToChangeLag,VLOOKUP($C79,'Result-lag'!$C$4:$I$100,6,0),VLOOKUP($C79,CurrentMtgRatesDataTable8[],6,0))</f>
        <v>330636214.42000002</v>
      </c>
      <c r="J79" s="46">
        <f>CurrentMtgRatesDataTable934[[#This Row],[Top 10 Amount]]/CurrentMtgRatesDataTable934[[#This Row],[Total Amount]]</f>
        <v>0.90708718877300232</v>
      </c>
      <c r="K79" s="46">
        <f>CurrentMtgRatesDataTable934[[#This Row],[Top 5 Amount]]/CurrentMtgRatesDataTable934[[#This Row],[Total Amount]]</f>
        <v>0.78864247041746227</v>
      </c>
      <c r="L79" s="46">
        <f>CurrentMtgRatesDataTable934[[#This Row],[Top 1 Amount]]/CurrentMtgRatesDataTable934[[#This Row],[Total Amount]]</f>
        <v>0.28517531260162737</v>
      </c>
      <c r="M79" s="46">
        <f>CurrentMtgRatesDataTable934[[#This Row],[N/A Amount]]/CurrentMtgRatesDataTable934[[#This Row],[Total Amount]]</f>
        <v>9.5821277116306305E-3</v>
      </c>
      <c r="N79" s="48">
        <f t="shared" si="2"/>
        <v>0</v>
      </c>
    </row>
    <row r="80" spans="3:14">
      <c r="C80" s="41">
        <v>39845</v>
      </c>
      <c r="D80" s="42">
        <v>28092224611.080002</v>
      </c>
      <c r="E80" s="47">
        <f>IF(C80&lt;=DateToChangeLag,VLOOKUP(C80,'Result-lag'!$C$4:$H$100,2,0),VLOOKUP(C80,CurrentMtgRatesDataTable8[],2,0))</f>
        <v>28092224611.080002</v>
      </c>
      <c r="F80" s="47">
        <f>IF($C80&lt;=DateToChangeLag,VLOOKUP($C80,'Result-lag'!$C$4:$I$100,3,0),VLOOKUP($C80,CurrentMtgRatesDataTable8[],3,0))</f>
        <v>24601026802.229996</v>
      </c>
      <c r="G80" s="47">
        <f>IF($C80&lt;=DateToChangeLag,VLOOKUP($C80,'Result-lag'!$C$4:$I$100,4,0),VLOOKUP($C80,CurrentMtgRatesDataTable8[],4,0))</f>
        <v>20299507560.999996</v>
      </c>
      <c r="H80" s="47">
        <f>IF($C80&lt;=DateToChangeLag,VLOOKUP($C80,'Result-lag'!$C$4:$I$100,5,0),VLOOKUP($C80,CurrentMtgRatesDataTable8[],5,0))</f>
        <v>7456714182.4200001</v>
      </c>
      <c r="I80" s="47">
        <f>IF($C80&lt;=DateToChangeLag,VLOOKUP($C80,'Result-lag'!$C$4:$I$100,6,0),VLOOKUP($C80,CurrentMtgRatesDataTable8[],6,0))</f>
        <v>334388412.06</v>
      </c>
      <c r="J80" s="46">
        <f>CurrentMtgRatesDataTable934[[#This Row],[Top 10 Amount]]/CurrentMtgRatesDataTable934[[#This Row],[Total Amount]]</f>
        <v>0.87572369731541222</v>
      </c>
      <c r="K80" s="46">
        <f>CurrentMtgRatesDataTable934[[#This Row],[Top 5 Amount]]/CurrentMtgRatesDataTable934[[#This Row],[Total Amount]]</f>
        <v>0.72260235143476537</v>
      </c>
      <c r="L80" s="46">
        <f>CurrentMtgRatesDataTable934[[#This Row],[Top 1 Amount]]/CurrentMtgRatesDataTable934[[#This Row],[Total Amount]]</f>
        <v>0.26543694156136566</v>
      </c>
      <c r="M80" s="46">
        <f>CurrentMtgRatesDataTable934[[#This Row],[N/A Amount]]/CurrentMtgRatesDataTable934[[#This Row],[Total Amount]]</f>
        <v>1.1903237165778324E-2</v>
      </c>
      <c r="N80" s="48">
        <f t="shared" si="2"/>
        <v>0</v>
      </c>
    </row>
    <row r="81" spans="3:14">
      <c r="C81" s="41">
        <v>39814</v>
      </c>
      <c r="D81" s="42">
        <v>29879289402.48</v>
      </c>
      <c r="E81" s="47">
        <f>IF(C81&lt;=DateToChangeLag,VLOOKUP(C81,'Result-lag'!$C$4:$H$100,2,0),VLOOKUP(C81,CurrentMtgRatesDataTable8[],2,0))</f>
        <v>29879289402.48</v>
      </c>
      <c r="F81" s="47">
        <f>IF($C81&lt;=DateToChangeLag,VLOOKUP($C81,'Result-lag'!$C$4:$I$100,3,0),VLOOKUP($C81,CurrentMtgRatesDataTable8[],3,0))</f>
        <v>25014444927.390003</v>
      </c>
      <c r="G81" s="47">
        <f>IF($C81&lt;=DateToChangeLag,VLOOKUP($C81,'Result-lag'!$C$4:$I$100,4,0),VLOOKUP($C81,CurrentMtgRatesDataTable8[],4,0))</f>
        <v>20747600705.23</v>
      </c>
      <c r="H81" s="47">
        <f>IF($C81&lt;=DateToChangeLag,VLOOKUP($C81,'Result-lag'!$C$4:$I$100,5,0),VLOOKUP($C81,CurrentMtgRatesDataTable8[],5,0))</f>
        <v>7661923102.8999996</v>
      </c>
      <c r="I81" s="47">
        <f>IF($C81&lt;=DateToChangeLag,VLOOKUP($C81,'Result-lag'!$C$4:$I$100,6,0),VLOOKUP($C81,CurrentMtgRatesDataTable8[],6,0))</f>
        <v>339796295.97000003</v>
      </c>
      <c r="J81" s="46">
        <f>CurrentMtgRatesDataTable934[[#This Row],[Top 10 Amount]]/CurrentMtgRatesDataTable934[[#This Row],[Total Amount]]</f>
        <v>0.8371833945058208</v>
      </c>
      <c r="K81" s="46">
        <f>CurrentMtgRatesDataTable934[[#This Row],[Top 5 Amount]]/CurrentMtgRatesDataTable934[[#This Row],[Total Amount]]</f>
        <v>0.69438066032145784</v>
      </c>
      <c r="L81" s="46">
        <f>CurrentMtgRatesDataTable934[[#This Row],[Top 1 Amount]]/CurrentMtgRatesDataTable934[[#This Row],[Total Amount]]</f>
        <v>0.25642922760619785</v>
      </c>
      <c r="M81" s="46">
        <f>CurrentMtgRatesDataTable934[[#This Row],[N/A Amount]]/CurrentMtgRatesDataTable934[[#This Row],[Total Amount]]</f>
        <v>1.1372301777089677E-2</v>
      </c>
      <c r="N81" s="48">
        <f t="shared" si="2"/>
        <v>0</v>
      </c>
    </row>
    <row r="82" spans="3:14">
      <c r="C82" s="41">
        <v>39783</v>
      </c>
      <c r="D82" s="42">
        <v>25259384716.610001</v>
      </c>
      <c r="E82" s="47">
        <f>IF(C82&lt;=DateToChangeLag,VLOOKUP(C82,'Result-lag'!$C$4:$H$100,2,0),VLOOKUP(C82,CurrentMtgRatesDataTable8[],2,0))</f>
        <v>25259384716.610001</v>
      </c>
      <c r="F82" s="47">
        <f>IF($C82&lt;=DateToChangeLag,VLOOKUP($C82,'Result-lag'!$C$4:$I$100,3,0),VLOOKUP($C82,CurrentMtgRatesDataTable8[],3,0))</f>
        <v>20966060078.980003</v>
      </c>
      <c r="G82" s="47">
        <f>IF($C82&lt;=DateToChangeLag,VLOOKUP($C82,'Result-lag'!$C$4:$I$100,4,0),VLOOKUP($C82,CurrentMtgRatesDataTable8[],4,0))</f>
        <v>17026231655.48</v>
      </c>
      <c r="H82" s="47">
        <f>IF($C82&lt;=DateToChangeLag,VLOOKUP($C82,'Result-lag'!$C$4:$I$100,5,0),VLOOKUP($C82,CurrentMtgRatesDataTable8[],5,0))</f>
        <v>6077494849.25</v>
      </c>
      <c r="I82" s="47">
        <f>IF($C82&lt;=DateToChangeLag,VLOOKUP($C82,'Result-lag'!$C$4:$I$100,6,0),VLOOKUP($C82,CurrentMtgRatesDataTable8[],6,0))</f>
        <v>509985699.69999999</v>
      </c>
      <c r="J82" s="46">
        <f>CurrentMtgRatesDataTable934[[#This Row],[Top 10 Amount]]/CurrentMtgRatesDataTable934[[#This Row],[Total Amount]]</f>
        <v>0.83003051397341421</v>
      </c>
      <c r="K82" s="46">
        <f>CurrentMtgRatesDataTable934[[#This Row],[Top 5 Amount]]/CurrentMtgRatesDataTable934[[#This Row],[Total Amount]]</f>
        <v>0.67405567659310139</v>
      </c>
      <c r="L82" s="46">
        <f>CurrentMtgRatesDataTable934[[#This Row],[Top 1 Amount]]/CurrentMtgRatesDataTable934[[#This Row],[Total Amount]]</f>
        <v>0.24060343976841117</v>
      </c>
      <c r="M82" s="46">
        <f>CurrentMtgRatesDataTable934[[#This Row],[N/A Amount]]/CurrentMtgRatesDataTable934[[#This Row],[Total Amount]]</f>
        <v>2.0189949415697562E-2</v>
      </c>
      <c r="N82" s="48">
        <f t="shared" si="2"/>
        <v>0</v>
      </c>
    </row>
    <row r="83" spans="3:14">
      <c r="C83" s="41">
        <v>39753</v>
      </c>
      <c r="D83" s="42">
        <v>28783371110.040001</v>
      </c>
      <c r="E83" s="47">
        <f>IF(C83&lt;=DateToChangeLag,VLOOKUP(C83,'Result-lag'!$C$4:$H$100,2,0),VLOOKUP(C83,CurrentMtgRatesDataTable8[],2,0))</f>
        <v>28783371110.040001</v>
      </c>
      <c r="F83" s="47">
        <f>IF($C83&lt;=DateToChangeLag,VLOOKUP($C83,'Result-lag'!$C$4:$I$100,3,0),VLOOKUP($C83,CurrentMtgRatesDataTable8[],3,0))</f>
        <v>24497335155.529999</v>
      </c>
      <c r="G83" s="47">
        <f>IF($C83&lt;=DateToChangeLag,VLOOKUP($C83,'Result-lag'!$C$4:$I$100,4,0),VLOOKUP($C83,CurrentMtgRatesDataTable8[],4,0))</f>
        <v>19939874282.739998</v>
      </c>
      <c r="H83" s="47">
        <f>IF($C83&lt;=DateToChangeLag,VLOOKUP($C83,'Result-lag'!$C$4:$I$100,5,0),VLOOKUP($C83,CurrentMtgRatesDataTable8[],5,0))</f>
        <v>6885955341.3299999</v>
      </c>
      <c r="I83" s="47">
        <f>IF($C83&lt;=DateToChangeLag,VLOOKUP($C83,'Result-lag'!$C$4:$I$100,6,0),VLOOKUP($C83,CurrentMtgRatesDataTable8[],6,0))</f>
        <v>483957096.69999999</v>
      </c>
      <c r="J83" s="46">
        <f>CurrentMtgRatesDataTable934[[#This Row],[Top 10 Amount]]/CurrentMtgRatesDataTable934[[#This Row],[Total Amount]]</f>
        <v>0.8510933296129799</v>
      </c>
      <c r="K83" s="46">
        <f>CurrentMtgRatesDataTable934[[#This Row],[Top 5 Amount]]/CurrentMtgRatesDataTable934[[#This Row],[Total Amount]]</f>
        <v>0.69275673813567717</v>
      </c>
      <c r="L83" s="46">
        <f>CurrentMtgRatesDataTable934[[#This Row],[Top 1 Amount]]/CurrentMtgRatesDataTable934[[#This Row],[Total Amount]]</f>
        <v>0.23923380326108126</v>
      </c>
      <c r="M83" s="46">
        <f>CurrentMtgRatesDataTable934[[#This Row],[N/A Amount]]/CurrentMtgRatesDataTable934[[#This Row],[Total Amount]]</f>
        <v>1.6813773996444414E-2</v>
      </c>
      <c r="N83" s="48">
        <f t="shared" si="2"/>
        <v>0</v>
      </c>
    </row>
    <row r="84" spans="3:14">
      <c r="C84" s="41">
        <v>39722</v>
      </c>
      <c r="D84" s="42">
        <v>32031899669.07</v>
      </c>
      <c r="E84" s="47">
        <f>IF(C84&lt;=DateToChangeLag,VLOOKUP(C84,'Result-lag'!$C$4:$H$100,2,0),VLOOKUP(C84,CurrentMtgRatesDataTable8[],2,0))</f>
        <v>32031899669.07</v>
      </c>
      <c r="F84" s="47">
        <f>IF($C84&lt;=DateToChangeLag,VLOOKUP($C84,'Result-lag'!$C$4:$I$100,3,0),VLOOKUP($C84,CurrentMtgRatesDataTable8[],3,0))</f>
        <v>27080952679.310001</v>
      </c>
      <c r="G84" s="47">
        <f>IF($C84&lt;=DateToChangeLag,VLOOKUP($C84,'Result-lag'!$C$4:$I$100,4,0),VLOOKUP($C84,CurrentMtgRatesDataTable8[],4,0))</f>
        <v>21462799846.620003</v>
      </c>
      <c r="H84" s="47">
        <f>IF($C84&lt;=DateToChangeLag,VLOOKUP($C84,'Result-lag'!$C$4:$I$100,5,0),VLOOKUP($C84,CurrentMtgRatesDataTable8[],5,0))</f>
        <v>7764734798.4499998</v>
      </c>
      <c r="I84" s="47">
        <f>IF($C84&lt;=DateToChangeLag,VLOOKUP($C84,'Result-lag'!$C$4:$I$100,6,0),VLOOKUP($C84,CurrentMtgRatesDataTable8[],6,0))</f>
        <v>601637100.75999999</v>
      </c>
      <c r="J84" s="46">
        <f>CurrentMtgRatesDataTable934[[#This Row],[Top 10 Amount]]/CurrentMtgRatesDataTable934[[#This Row],[Total Amount]]</f>
        <v>0.8454369849771779</v>
      </c>
      <c r="K84" s="46">
        <f>CurrentMtgRatesDataTable934[[#This Row],[Top 5 Amount]]/CurrentMtgRatesDataTable934[[#This Row],[Total Amount]]</f>
        <v>0.67004455147393216</v>
      </c>
      <c r="L84" s="46">
        <f>CurrentMtgRatesDataTable934[[#This Row],[Top 1 Amount]]/CurrentMtgRatesDataTable934[[#This Row],[Total Amount]]</f>
        <v>0.24240631616199856</v>
      </c>
      <c r="M84" s="46">
        <f>CurrentMtgRatesDataTable934[[#This Row],[N/A Amount]]/CurrentMtgRatesDataTable934[[#This Row],[Total Amount]]</f>
        <v>1.8782435852249525E-2</v>
      </c>
      <c r="N84" s="48">
        <f t="shared" si="2"/>
        <v>0</v>
      </c>
    </row>
    <row r="85" spans="3:14">
      <c r="C85" s="41">
        <v>39692</v>
      </c>
      <c r="D85" s="42">
        <v>29840076180.630001</v>
      </c>
      <c r="E85" s="47">
        <f>IF(C85&lt;=DateToChangeLag,VLOOKUP(C85,'Result-lag'!$C$4:$H$100,2,0),VLOOKUP(C85,CurrentMtgRatesDataTable8[],2,0))</f>
        <v>29840076180.630001</v>
      </c>
      <c r="F85" s="47">
        <f>IF($C85&lt;=DateToChangeLag,VLOOKUP($C85,'Result-lag'!$C$4:$I$100,3,0),VLOOKUP($C85,CurrentMtgRatesDataTable8[],3,0))</f>
        <v>25240719264.77</v>
      </c>
      <c r="G85" s="47">
        <f>IF($C85&lt;=DateToChangeLag,VLOOKUP($C85,'Result-lag'!$C$4:$I$100,4,0),VLOOKUP($C85,CurrentMtgRatesDataTable8[],4,0))</f>
        <v>20580692484.290001</v>
      </c>
      <c r="H85" s="47">
        <f>IF($C85&lt;=DateToChangeLag,VLOOKUP($C85,'Result-lag'!$C$4:$I$100,5,0),VLOOKUP($C85,CurrentMtgRatesDataTable8[],5,0))</f>
        <v>6775744846.46</v>
      </c>
      <c r="I85" s="47">
        <f>IF($C85&lt;=DateToChangeLag,VLOOKUP($C85,'Result-lag'!$C$4:$I$100,6,0),VLOOKUP($C85,CurrentMtgRatesDataTable8[],6,0))</f>
        <v>590388828.64999998</v>
      </c>
      <c r="J85" s="46">
        <f>CurrentMtgRatesDataTable934[[#This Row],[Top 10 Amount]]/CurrentMtgRatesDataTable934[[#This Row],[Total Amount]]</f>
        <v>0.84586644859688509</v>
      </c>
      <c r="K85" s="46">
        <f>CurrentMtgRatesDataTable934[[#This Row],[Top 5 Amount]]/CurrentMtgRatesDataTable934[[#This Row],[Total Amount]]</f>
        <v>0.68969972997754891</v>
      </c>
      <c r="L85" s="46">
        <f>CurrentMtgRatesDataTable934[[#This Row],[Top 1 Amount]]/CurrentMtgRatesDataTable934[[#This Row],[Total Amount]]</f>
        <v>0.22706861756801811</v>
      </c>
      <c r="M85" s="46">
        <f>CurrentMtgRatesDataTable934[[#This Row],[N/A Amount]]/CurrentMtgRatesDataTable934[[#This Row],[Total Amount]]</f>
        <v>1.9785097902438913E-2</v>
      </c>
      <c r="N85" s="48">
        <f t="shared" si="2"/>
        <v>0</v>
      </c>
    </row>
    <row r="86" spans="3:14">
      <c r="C86" s="37">
        <v>39661</v>
      </c>
      <c r="D86" s="17">
        <v>31543550642.98</v>
      </c>
      <c r="E86" s="43">
        <f>IF(C86&lt;=DateToChangeLag,VLOOKUP(C86,'Result-lag'!$C$4:$H$100,2,0),VLOOKUP(C86,CurrentMtgRatesDataTable8[],2,0))</f>
        <v>31543550642.98</v>
      </c>
      <c r="F86" s="43">
        <f>IF($C86&lt;=DateToChangeLag,VLOOKUP($C86,'Result-lag'!$C$4:$I$100,3,0),VLOOKUP($C86,CurrentMtgRatesDataTable8[],3,0))</f>
        <v>26556813481.310001</v>
      </c>
      <c r="G86" s="43">
        <f>IF($C86&lt;=DateToChangeLag,VLOOKUP($C86,'Result-lag'!$C$4:$I$100,4,0),VLOOKUP($C86,CurrentMtgRatesDataTable8[],4,0))</f>
        <v>21796330771.130001</v>
      </c>
      <c r="H86" s="43">
        <f>IF($C86&lt;=DateToChangeLag,VLOOKUP($C86,'Result-lag'!$C$4:$I$100,5,0),VLOOKUP($C86,CurrentMtgRatesDataTable8[],5,0))</f>
        <v>6371064207.1199999</v>
      </c>
      <c r="I86" s="43">
        <f>IF($C86&lt;=DateToChangeLag,VLOOKUP($C86,'Result-lag'!$C$4:$I$100,6,0),VLOOKUP($C86,CurrentMtgRatesDataTable8[],6,0))</f>
        <v>692738671.13</v>
      </c>
      <c r="J86" s="44">
        <f>CurrentMtgRatesDataTable934[[#This Row],[Top 10 Amount]]/CurrentMtgRatesDataTable934[[#This Row],[Total Amount]]</f>
        <v>0.84190945343751933</v>
      </c>
      <c r="K86" s="44">
        <f>CurrentMtgRatesDataTable934[[#This Row],[Top 5 Amount]]/CurrentMtgRatesDataTable934[[#This Row],[Total Amount]]</f>
        <v>0.69099167109713955</v>
      </c>
      <c r="L86" s="44">
        <f>CurrentMtgRatesDataTable934[[#This Row],[Top 1 Amount]]/CurrentMtgRatesDataTable934[[#This Row],[Total Amount]]</f>
        <v>0.2019767615646616</v>
      </c>
      <c r="M86" s="44">
        <f>CurrentMtgRatesDataTable934[[#This Row],[N/A Amount]]/CurrentMtgRatesDataTable934[[#This Row],[Total Amount]]</f>
        <v>2.1961340971745315E-2</v>
      </c>
      <c r="N86" s="49">
        <f t="shared" si="2"/>
        <v>0</v>
      </c>
    </row>
    <row r="87" spans="3:14">
      <c r="C87" s="37">
        <v>39630</v>
      </c>
      <c r="D87" s="17">
        <v>29055254325.32</v>
      </c>
      <c r="E87" s="43">
        <f>IF(C87&lt;=DateToChangeLag,VLOOKUP(C87,'Result-lag'!$C$4:$H$100,2,0),VLOOKUP(C87,CurrentMtgRatesDataTable8[],2,0))</f>
        <v>29055254325.32</v>
      </c>
      <c r="F87" s="43">
        <f>IF($C87&lt;=DateToChangeLag,VLOOKUP($C87,'Result-lag'!$C$4:$I$100,3,0),VLOOKUP($C87,CurrentMtgRatesDataTable8[],3,0))</f>
        <v>24579644788.880005</v>
      </c>
      <c r="G87" s="43">
        <f>IF($C87&lt;=DateToChangeLag,VLOOKUP($C87,'Result-lag'!$C$4:$I$100,4,0),VLOOKUP($C87,CurrentMtgRatesDataTable8[],4,0))</f>
        <v>20600904938.459999</v>
      </c>
      <c r="H87" s="43">
        <f>IF($C87&lt;=DateToChangeLag,VLOOKUP($C87,'Result-lag'!$C$4:$I$100,5,0),VLOOKUP($C87,CurrentMtgRatesDataTable8[],5,0))</f>
        <v>6822327712.9200001</v>
      </c>
      <c r="I87" s="43">
        <f>IF($C87&lt;=DateToChangeLag,VLOOKUP($C87,'Result-lag'!$C$4:$I$100,6,0),VLOOKUP($C87,CurrentMtgRatesDataTable8[],6,0))</f>
        <v>705566089.94000006</v>
      </c>
      <c r="J87" s="44">
        <f>CurrentMtgRatesDataTable934[[#This Row],[Top 10 Amount]]/CurrentMtgRatesDataTable934[[#This Row],[Total Amount]]</f>
        <v>0.84596212835281381</v>
      </c>
      <c r="K87" s="44">
        <f>CurrentMtgRatesDataTable934[[#This Row],[Top 5 Amount]]/CurrentMtgRatesDataTable934[[#This Row],[Total Amount]]</f>
        <v>0.70902511152715963</v>
      </c>
      <c r="L87" s="44">
        <f>CurrentMtgRatesDataTable934[[#This Row],[Top 1 Amount]]/CurrentMtgRatesDataTable934[[#This Row],[Total Amount]]</f>
        <v>0.23480530015442783</v>
      </c>
      <c r="M87" s="44">
        <f>CurrentMtgRatesDataTable934[[#This Row],[N/A Amount]]/CurrentMtgRatesDataTable934[[#This Row],[Total Amount]]</f>
        <v>2.4283597109151421E-2</v>
      </c>
      <c r="N87" s="49">
        <f t="shared" si="2"/>
        <v>0</v>
      </c>
    </row>
    <row r="88" spans="3:14">
      <c r="C88" s="37">
        <v>39600</v>
      </c>
      <c r="D88" s="17">
        <v>30154595836.880001</v>
      </c>
      <c r="E88" s="43">
        <f>IF(C88&lt;=DateToChangeLag,VLOOKUP(C88,'Result-lag'!$C$4:$H$100,2,0),VLOOKUP(C88,CurrentMtgRatesDataTable8[],2,0))</f>
        <v>30154595836.880001</v>
      </c>
      <c r="F88" s="43">
        <f>IF($C88&lt;=DateToChangeLag,VLOOKUP($C88,'Result-lag'!$C$4:$I$100,3,0),VLOOKUP($C88,CurrentMtgRatesDataTable8[],3,0))</f>
        <v>25833038129.700005</v>
      </c>
      <c r="G88" s="43">
        <f>IF($C88&lt;=DateToChangeLag,VLOOKUP($C88,'Result-lag'!$C$4:$I$100,4,0),VLOOKUP($C88,CurrentMtgRatesDataTable8[],4,0))</f>
        <v>21188136959.960003</v>
      </c>
      <c r="H88" s="43">
        <f>IF($C88&lt;=DateToChangeLag,VLOOKUP($C88,'Result-lag'!$C$4:$I$100,5,0),VLOOKUP($C88,CurrentMtgRatesDataTable8[],5,0))</f>
        <v>6834874504.6000004</v>
      </c>
      <c r="I88" s="43">
        <f>IF($C88&lt;=DateToChangeLag,VLOOKUP($C88,'Result-lag'!$C$4:$I$100,6,0),VLOOKUP($C88,CurrentMtgRatesDataTable8[],6,0))</f>
        <v>759909181</v>
      </c>
      <c r="J88" s="44">
        <f>CurrentMtgRatesDataTable934[[#This Row],[Top 10 Amount]]/CurrentMtgRatesDataTable934[[#This Row],[Total Amount]]</f>
        <v>0.85668659826988636</v>
      </c>
      <c r="K88" s="44">
        <f>CurrentMtgRatesDataTable934[[#This Row],[Top 5 Amount]]/CurrentMtgRatesDataTable934[[#This Row],[Total Amount]]</f>
        <v>0.70265033809692978</v>
      </c>
      <c r="L88" s="44">
        <f>CurrentMtgRatesDataTable934[[#This Row],[Top 1 Amount]]/CurrentMtgRatesDataTable934[[#This Row],[Total Amount]]</f>
        <v>0.22666112129550542</v>
      </c>
      <c r="M88" s="44">
        <f>CurrentMtgRatesDataTable934[[#This Row],[N/A Amount]]/CurrentMtgRatesDataTable934[[#This Row],[Total Amount]]</f>
        <v>2.520044324622012E-2</v>
      </c>
      <c r="N88" s="49">
        <f t="shared" si="2"/>
        <v>0</v>
      </c>
    </row>
    <row r="89" spans="3:14">
      <c r="C89" s="37">
        <v>39569</v>
      </c>
      <c r="D89" s="17">
        <v>23353487150.25</v>
      </c>
      <c r="E89" s="43">
        <f>IF(C89&lt;=DateToChangeLag,VLOOKUP(C89,'Result-lag'!$C$4:$H$100,2,0),VLOOKUP(C89,CurrentMtgRatesDataTable8[],2,0))</f>
        <v>23353487150.25</v>
      </c>
      <c r="F89" s="43">
        <f>IF($C89&lt;=DateToChangeLag,VLOOKUP($C89,'Result-lag'!$C$4:$I$100,3,0),VLOOKUP($C89,CurrentMtgRatesDataTable8[],3,0))</f>
        <v>19741794646.82</v>
      </c>
      <c r="G89" s="43">
        <f>IF($C89&lt;=DateToChangeLag,VLOOKUP($C89,'Result-lag'!$C$4:$I$100,4,0),VLOOKUP($C89,CurrentMtgRatesDataTable8[],4,0))</f>
        <v>15812654388.58</v>
      </c>
      <c r="H89" s="43">
        <f>IF($C89&lt;=DateToChangeLag,VLOOKUP($C89,'Result-lag'!$C$4:$I$100,5,0),VLOOKUP($C89,CurrentMtgRatesDataTable8[],5,0))</f>
        <v>4941795296.04</v>
      </c>
      <c r="I89" s="43">
        <f>IF($C89&lt;=DateToChangeLag,VLOOKUP($C89,'Result-lag'!$C$4:$I$100,6,0),VLOOKUP($C89,CurrentMtgRatesDataTable8[],6,0))</f>
        <v>520442090.99000001</v>
      </c>
      <c r="J89" s="44">
        <f>CurrentMtgRatesDataTable934[[#This Row],[Top 10 Amount]]/CurrentMtgRatesDataTable934[[#This Row],[Total Amount]]</f>
        <v>0.84534675784419899</v>
      </c>
      <c r="K89" s="44">
        <f>CurrentMtgRatesDataTable934[[#This Row],[Top 5 Amount]]/CurrentMtgRatesDataTable934[[#This Row],[Total Amount]]</f>
        <v>0.67710035280151837</v>
      </c>
      <c r="L89" s="44">
        <f>CurrentMtgRatesDataTable934[[#This Row],[Top 1 Amount]]/CurrentMtgRatesDataTable934[[#This Row],[Total Amount]]</f>
        <v>0.21160845334342704</v>
      </c>
      <c r="M89" s="44">
        <f>CurrentMtgRatesDataTable934[[#This Row],[N/A Amount]]/CurrentMtgRatesDataTable934[[#This Row],[Total Amount]]</f>
        <v>2.228541235155233E-2</v>
      </c>
      <c r="N89" s="49">
        <f t="shared" si="2"/>
        <v>0</v>
      </c>
    </row>
    <row r="90" spans="3:14">
      <c r="C90" s="37">
        <v>39539</v>
      </c>
      <c r="D90" s="17">
        <v>20540122319.009998</v>
      </c>
      <c r="E90" s="43">
        <f>IF(C90&lt;=DateToChangeLag,VLOOKUP(C90,'Result-lag'!$C$4:$H$100,2,0),VLOOKUP(C90,CurrentMtgRatesDataTable8[],2,0))</f>
        <v>20540122319.009998</v>
      </c>
      <c r="F90" s="43">
        <f>IF($C90&lt;=DateToChangeLag,VLOOKUP($C90,'Result-lag'!$C$4:$I$100,3,0),VLOOKUP($C90,CurrentMtgRatesDataTable8[],3,0))</f>
        <v>17836824698.27</v>
      </c>
      <c r="G90" s="43">
        <f>IF($C90&lt;=DateToChangeLag,VLOOKUP($C90,'Result-lag'!$C$4:$I$100,4,0),VLOOKUP($C90,CurrentMtgRatesDataTable8[],4,0))</f>
        <v>14516045890.940002</v>
      </c>
      <c r="H90" s="43">
        <f>IF($C90&lt;=DateToChangeLag,VLOOKUP($C90,'Result-lag'!$C$4:$I$100,5,0),VLOOKUP($C90,CurrentMtgRatesDataTable8[],5,0))</f>
        <v>4623451382.9700003</v>
      </c>
      <c r="I90" s="43">
        <f>IF($C90&lt;=DateToChangeLag,VLOOKUP($C90,'Result-lag'!$C$4:$I$100,6,0),VLOOKUP($C90,CurrentMtgRatesDataTable8[],6,0))</f>
        <v>440480295.93000001</v>
      </c>
      <c r="J90" s="44">
        <f>CurrentMtgRatesDataTable934[[#This Row],[Top 10 Amount]]/CurrentMtgRatesDataTable934[[#This Row],[Total Amount]]</f>
        <v>0.86838940982166979</v>
      </c>
      <c r="K90" s="44">
        <f>CurrentMtgRatesDataTable934[[#This Row],[Top 5 Amount]]/CurrentMtgRatesDataTable934[[#This Row],[Total Amount]]</f>
        <v>0.70671662346943864</v>
      </c>
      <c r="L90" s="44">
        <f>CurrentMtgRatesDataTable934[[#This Row],[Top 1 Amount]]/CurrentMtgRatesDataTable934[[#This Row],[Total Amount]]</f>
        <v>0.22509366357039509</v>
      </c>
      <c r="M90" s="44">
        <f>CurrentMtgRatesDataTable934[[#This Row],[N/A Amount]]/CurrentMtgRatesDataTable934[[#This Row],[Total Amount]]</f>
        <v>2.144487209418091E-2</v>
      </c>
      <c r="N90" s="49">
        <f t="shared" si="2"/>
        <v>0</v>
      </c>
    </row>
    <row r="91" spans="3:14">
      <c r="C91" s="37">
        <v>39508</v>
      </c>
      <c r="D91" s="17">
        <v>16282064822.610001</v>
      </c>
      <c r="E91" s="43">
        <f>IF(C91&lt;=DateToChangeLag,VLOOKUP(C91,'Result-lag'!$C$4:$H$100,2,0),VLOOKUP(C91,CurrentMtgRatesDataTable8[],2,0))</f>
        <v>16282064822.610001</v>
      </c>
      <c r="F91" s="43">
        <f>IF($C91&lt;=DateToChangeLag,VLOOKUP($C91,'Result-lag'!$C$4:$I$100,3,0),VLOOKUP($C91,CurrentMtgRatesDataTable8[],3,0))</f>
        <v>13798702266.43</v>
      </c>
      <c r="G91" s="43">
        <f>IF($C91&lt;=DateToChangeLag,VLOOKUP($C91,'Result-lag'!$C$4:$I$100,4,0),VLOOKUP($C91,CurrentMtgRatesDataTable8[],4,0))</f>
        <v>11303577377.16</v>
      </c>
      <c r="H91" s="43">
        <f>IF($C91&lt;=DateToChangeLag,VLOOKUP($C91,'Result-lag'!$C$4:$I$100,5,0),VLOOKUP($C91,CurrentMtgRatesDataTable8[],5,0))</f>
        <v>3560147160.0799999</v>
      </c>
      <c r="I91" s="43">
        <f>IF($C91&lt;=DateToChangeLag,VLOOKUP($C91,'Result-lag'!$C$4:$I$100,6,0),VLOOKUP($C91,CurrentMtgRatesDataTable8[],6,0))</f>
        <v>395765908.26999998</v>
      </c>
      <c r="J91" s="44">
        <f>CurrentMtgRatesDataTable934[[#This Row],[Top 10 Amount]]/CurrentMtgRatesDataTable934[[#This Row],[Total Amount]]</f>
        <v>0.84747864701217179</v>
      </c>
      <c r="K91" s="44">
        <f>CurrentMtgRatesDataTable934[[#This Row],[Top 5 Amount]]/CurrentMtgRatesDataTable934[[#This Row],[Total Amount]]</f>
        <v>0.69423488361644092</v>
      </c>
      <c r="L91" s="44">
        <f>CurrentMtgRatesDataTable934[[#This Row],[Top 1 Amount]]/CurrentMtgRatesDataTable934[[#This Row],[Total Amount]]</f>
        <v>0.21865452563093971</v>
      </c>
      <c r="M91" s="44">
        <f>CurrentMtgRatesDataTable934[[#This Row],[N/A Amount]]/CurrentMtgRatesDataTable934[[#This Row],[Total Amount]]</f>
        <v>2.4306862340974213E-2</v>
      </c>
      <c r="N91" s="49">
        <f t="shared" si="2"/>
        <v>0</v>
      </c>
    </row>
    <row r="92" spans="3:14">
      <c r="C92" s="37">
        <v>39479</v>
      </c>
      <c r="D92" s="17">
        <v>12940973043.82</v>
      </c>
      <c r="E92" s="43">
        <f>IF(C92&lt;=DateToChangeLag,VLOOKUP(C92,'Result-lag'!$C$4:$H$100,2,0),VLOOKUP(C92,CurrentMtgRatesDataTable8[],2,0))</f>
        <v>12940973043.82</v>
      </c>
      <c r="F92" s="43">
        <f>IF($C92&lt;=DateToChangeLag,VLOOKUP($C92,'Result-lag'!$C$4:$I$100,3,0),VLOOKUP($C92,CurrentMtgRatesDataTable8[],3,0))</f>
        <v>10960147633.5</v>
      </c>
      <c r="G92" s="43">
        <f>IF($C92&lt;=DateToChangeLag,VLOOKUP($C92,'Result-lag'!$C$4:$I$100,4,0),VLOOKUP($C92,CurrentMtgRatesDataTable8[],4,0))</f>
        <v>8866585818.8600006</v>
      </c>
      <c r="H92" s="43">
        <f>IF($C92&lt;=DateToChangeLag,VLOOKUP($C92,'Result-lag'!$C$4:$I$100,5,0),VLOOKUP($C92,CurrentMtgRatesDataTable8[],5,0))</f>
        <v>2482933120.71</v>
      </c>
      <c r="I92" s="43">
        <f>IF($C92&lt;=DateToChangeLag,VLOOKUP($C92,'Result-lag'!$C$4:$I$100,6,0),VLOOKUP($C92,CurrentMtgRatesDataTable8[],6,0))</f>
        <v>208243955.68000001</v>
      </c>
      <c r="J92" s="44">
        <f>CurrentMtgRatesDataTable934[[#This Row],[Top 10 Amount]]/CurrentMtgRatesDataTable934[[#This Row],[Total Amount]]</f>
        <v>0.84693381219382502</v>
      </c>
      <c r="K92" s="44">
        <f>CurrentMtgRatesDataTable934[[#This Row],[Top 5 Amount]]/CurrentMtgRatesDataTable934[[#This Row],[Total Amount]]</f>
        <v>0.68515603802252456</v>
      </c>
      <c r="L92" s="44">
        <f>CurrentMtgRatesDataTable934[[#This Row],[Top 1 Amount]]/CurrentMtgRatesDataTable934[[#This Row],[Total Amount]]</f>
        <v>0.19186602988063037</v>
      </c>
      <c r="M92" s="44">
        <f>CurrentMtgRatesDataTable934[[#This Row],[N/A Amount]]/CurrentMtgRatesDataTable934[[#This Row],[Total Amount]]</f>
        <v>1.609183134644172E-2</v>
      </c>
      <c r="N92" s="49">
        <f t="shared" si="2"/>
        <v>0</v>
      </c>
    </row>
    <row r="93" spans="3:14">
      <c r="C93" s="37">
        <v>39448</v>
      </c>
      <c r="D93" s="17">
        <v>13369802473.17</v>
      </c>
      <c r="E93" s="43">
        <f>IF(C93&lt;=DateToChangeLag,VLOOKUP(C93,'Result-lag'!$C$4:$H$100,2,0),VLOOKUP(C93,CurrentMtgRatesDataTable8[],2,0))</f>
        <v>13369802473.17</v>
      </c>
      <c r="F93" s="43">
        <f>IF($C93&lt;=DateToChangeLag,VLOOKUP($C93,'Result-lag'!$C$4:$I$100,3,0),VLOOKUP($C93,CurrentMtgRatesDataTable8[],3,0))</f>
        <v>11576202368.27</v>
      </c>
      <c r="G93" s="43">
        <f>IF($C93&lt;=DateToChangeLag,VLOOKUP($C93,'Result-lag'!$C$4:$I$100,4,0),VLOOKUP($C93,CurrentMtgRatesDataTable8[],4,0))</f>
        <v>9595662918.3299999</v>
      </c>
      <c r="H93" s="43">
        <f>IF($C93&lt;=DateToChangeLag,VLOOKUP($C93,'Result-lag'!$C$4:$I$100,5,0),VLOOKUP($C93,CurrentMtgRatesDataTable8[],5,0))</f>
        <v>2683651040.4299998</v>
      </c>
      <c r="I93" s="43">
        <f>IF($C93&lt;=DateToChangeLag,VLOOKUP($C93,'Result-lag'!$C$4:$I$100,6,0),VLOOKUP($C93,CurrentMtgRatesDataTable8[],6,0))</f>
        <v>298768104.70999998</v>
      </c>
      <c r="J93" s="44">
        <f>CurrentMtgRatesDataTable934[[#This Row],[Top 10 Amount]]/CurrentMtgRatesDataTable934[[#This Row],[Total Amount]]</f>
        <v>0.86584692567453214</v>
      </c>
      <c r="K93" s="44">
        <f>CurrentMtgRatesDataTable934[[#This Row],[Top 5 Amount]]/CurrentMtgRatesDataTable934[[#This Row],[Total Amount]]</f>
        <v>0.71771164440059632</v>
      </c>
      <c r="L93" s="44">
        <f>CurrentMtgRatesDataTable934[[#This Row],[Top 1 Amount]]/CurrentMtgRatesDataTable934[[#This Row],[Total Amount]]</f>
        <v>0.20072480844914847</v>
      </c>
      <c r="M93" s="44">
        <f>CurrentMtgRatesDataTable934[[#This Row],[N/A Amount]]/CurrentMtgRatesDataTable934[[#This Row],[Total Amount]]</f>
        <v>2.2346486068852266E-2</v>
      </c>
      <c r="N93" s="49">
        <f t="shared" si="2"/>
        <v>0</v>
      </c>
    </row>
    <row r="94" spans="3:14">
      <c r="C94" s="37">
        <v>39417</v>
      </c>
      <c r="D94" s="17">
        <v>12894178971.040001</v>
      </c>
      <c r="E94" s="43">
        <f>IF(C94&lt;=DateToChangeLag,VLOOKUP(C94,'Result-lag'!$C$4:$H$100,2,0),VLOOKUP(C94,CurrentMtgRatesDataTable8[],2,0))</f>
        <v>12894178971.040001</v>
      </c>
      <c r="F94" s="43">
        <f>IF($C94&lt;=DateToChangeLag,VLOOKUP($C94,'Result-lag'!$C$4:$I$100,3,0),VLOOKUP($C94,CurrentMtgRatesDataTable8[],3,0))</f>
        <v>10973397940.699999</v>
      </c>
      <c r="G94" s="43">
        <f>IF($C94&lt;=DateToChangeLag,VLOOKUP($C94,'Result-lag'!$C$4:$I$100,4,0),VLOOKUP($C94,CurrentMtgRatesDataTable8[],4,0))</f>
        <v>8596153165.3600006</v>
      </c>
      <c r="H94" s="43">
        <f>IF($C94&lt;=DateToChangeLag,VLOOKUP($C94,'Result-lag'!$C$4:$I$100,5,0),VLOOKUP($C94,CurrentMtgRatesDataTable8[],5,0))</f>
        <v>2610711823.8800001</v>
      </c>
      <c r="I94" s="43">
        <f>IF($C94&lt;=DateToChangeLag,VLOOKUP($C94,'Result-lag'!$C$4:$I$100,6,0),VLOOKUP($C94,CurrentMtgRatesDataTable8[],6,0))</f>
        <v>319362257.64999998</v>
      </c>
      <c r="J94" s="44">
        <f>CurrentMtgRatesDataTable934[[#This Row],[Top 10 Amount]]/CurrentMtgRatesDataTable934[[#This Row],[Total Amount]]</f>
        <v>0.85103502637476747</v>
      </c>
      <c r="K94" s="44">
        <f>CurrentMtgRatesDataTable934[[#This Row],[Top 5 Amount]]/CurrentMtgRatesDataTable934[[#This Row],[Total Amount]]</f>
        <v>0.66666929198568925</v>
      </c>
      <c r="L94" s="44">
        <f>CurrentMtgRatesDataTable934[[#This Row],[Top 1 Amount]]/CurrentMtgRatesDataTable934[[#This Row],[Total Amount]]</f>
        <v>0.20247212558035627</v>
      </c>
      <c r="M94" s="44">
        <f>CurrentMtgRatesDataTable934[[#This Row],[N/A Amount]]/CurrentMtgRatesDataTable934[[#This Row],[Total Amount]]</f>
        <v>2.4767940507672455E-2</v>
      </c>
      <c r="N94" s="49">
        <f t="shared" si="2"/>
        <v>0</v>
      </c>
    </row>
    <row r="95" spans="3:14">
      <c r="C95" s="37">
        <v>39387</v>
      </c>
      <c r="D95" s="17">
        <v>11306432081.23</v>
      </c>
      <c r="E95" s="43">
        <f>IF(C95&lt;=DateToChangeLag,VLOOKUP(C95,'Result-lag'!$C$4:$H$100,2,0),VLOOKUP(C95,CurrentMtgRatesDataTable8[],2,0))</f>
        <v>11306432081.23</v>
      </c>
      <c r="F95" s="43">
        <f>IF($C95&lt;=DateToChangeLag,VLOOKUP($C95,'Result-lag'!$C$4:$I$100,3,0),VLOOKUP($C95,CurrentMtgRatesDataTable8[],3,0))</f>
        <v>9448859486.9599991</v>
      </c>
      <c r="G95" s="43">
        <f>IF($C95&lt;=DateToChangeLag,VLOOKUP($C95,'Result-lag'!$C$4:$I$100,4,0),VLOOKUP($C95,CurrentMtgRatesDataTable8[],4,0))</f>
        <v>7178740230.6700001</v>
      </c>
      <c r="H95" s="43">
        <f>IF($C95&lt;=DateToChangeLag,VLOOKUP($C95,'Result-lag'!$C$4:$I$100,5,0),VLOOKUP($C95,CurrentMtgRatesDataTable8[],5,0))</f>
        <v>2053183704.1099999</v>
      </c>
      <c r="I95" s="43">
        <f>IF($C95&lt;=DateToChangeLag,VLOOKUP($C95,'Result-lag'!$C$4:$I$100,6,0),VLOOKUP($C95,CurrentMtgRatesDataTable8[],6,0))</f>
        <v>290528812.44</v>
      </c>
      <c r="J95" s="44">
        <f>CurrentMtgRatesDataTable934[[#This Row],[Top 10 Amount]]/CurrentMtgRatesDataTable934[[#This Row],[Total Amount]]</f>
        <v>0.83570656234217433</v>
      </c>
      <c r="K95" s="44">
        <f>CurrentMtgRatesDataTable934[[#This Row],[Top 5 Amount]]/CurrentMtgRatesDataTable934[[#This Row],[Total Amount]]</f>
        <v>0.63492533976191734</v>
      </c>
      <c r="L95" s="44">
        <f>CurrentMtgRatesDataTable934[[#This Row],[Top 1 Amount]]/CurrentMtgRatesDataTable934[[#This Row],[Total Amount]]</f>
        <v>0.18159430750205674</v>
      </c>
      <c r="M95" s="44">
        <f>CurrentMtgRatesDataTable934[[#This Row],[N/A Amount]]/CurrentMtgRatesDataTable934[[#This Row],[Total Amount]]</f>
        <v>2.5695888000097911E-2</v>
      </c>
      <c r="N95" s="49">
        <f t="shared" si="2"/>
        <v>0</v>
      </c>
    </row>
    <row r="96" spans="3:14">
      <c r="C96" s="37">
        <v>39356</v>
      </c>
      <c r="D96" s="17">
        <v>11035046591.9</v>
      </c>
      <c r="E96" s="43">
        <f>IF(C96&lt;=DateToChangeLag,VLOOKUP(C96,'Result-lag'!$C$4:$H$100,2,0),VLOOKUP(C96,CurrentMtgRatesDataTable8[],2,0))</f>
        <v>11035046591.9</v>
      </c>
      <c r="F96" s="43">
        <f>IF($C96&lt;=DateToChangeLag,VLOOKUP($C96,'Result-lag'!$C$4:$I$100,3,0),VLOOKUP($C96,CurrentMtgRatesDataTable8[],3,0))</f>
        <v>9326868083.7999992</v>
      </c>
      <c r="G96" s="43">
        <f>IF($C96&lt;=DateToChangeLag,VLOOKUP($C96,'Result-lag'!$C$4:$I$100,4,0),VLOOKUP($C96,CurrentMtgRatesDataTable8[],4,0))</f>
        <v>7162808102.2799997</v>
      </c>
      <c r="H96" s="43">
        <f>IF($C96&lt;=DateToChangeLag,VLOOKUP($C96,'Result-lag'!$C$4:$I$100,5,0),VLOOKUP($C96,CurrentMtgRatesDataTable8[],5,0))</f>
        <v>1942871547.53</v>
      </c>
      <c r="I96" s="43">
        <f>IF($C96&lt;=DateToChangeLag,VLOOKUP($C96,'Result-lag'!$C$4:$I$100,6,0),VLOOKUP($C96,CurrentMtgRatesDataTable8[],6,0))</f>
        <v>229923792.88999999</v>
      </c>
      <c r="J96" s="44">
        <f>CurrentMtgRatesDataTable934[[#This Row],[Top 10 Amount]]/CurrentMtgRatesDataTable934[[#This Row],[Total Amount]]</f>
        <v>0.8452042323632919</v>
      </c>
      <c r="K96" s="44">
        <f>CurrentMtgRatesDataTable934[[#This Row],[Top 5 Amount]]/CurrentMtgRatesDataTable934[[#This Row],[Total Amount]]</f>
        <v>0.64909631714085192</v>
      </c>
      <c r="L96" s="44">
        <f>CurrentMtgRatesDataTable934[[#This Row],[Top 1 Amount]]/CurrentMtgRatesDataTable934[[#This Row],[Total Amount]]</f>
        <v>0.17606373759727634</v>
      </c>
      <c r="M96" s="44">
        <f>CurrentMtgRatesDataTable934[[#This Row],[N/A Amount]]/CurrentMtgRatesDataTable934[[#This Row],[Total Amount]]</f>
        <v>2.0835779076707278E-2</v>
      </c>
      <c r="N96" s="49">
        <f t="shared" si="2"/>
        <v>0</v>
      </c>
    </row>
    <row r="97" spans="3:14">
      <c r="C97" s="37">
        <v>39326</v>
      </c>
      <c r="D97" s="17">
        <v>9677077155.4500008</v>
      </c>
      <c r="E97" s="43">
        <f>IF(C97&lt;=DateToChangeLag,VLOOKUP(C97,'Result-lag'!$C$4:$H$100,2,0),VLOOKUP(C97,CurrentMtgRatesDataTable8[],2,0))</f>
        <v>9677077155.4500008</v>
      </c>
      <c r="F97" s="43">
        <f>IF($C97&lt;=DateToChangeLag,VLOOKUP($C97,'Result-lag'!$C$4:$I$100,3,0),VLOOKUP($C97,CurrentMtgRatesDataTable8[],3,0))</f>
        <v>8170390845.2800007</v>
      </c>
      <c r="G97" s="43">
        <f>IF($C97&lt;=DateToChangeLag,VLOOKUP($C97,'Result-lag'!$C$4:$I$100,4,0),VLOOKUP($C97,CurrentMtgRatesDataTable8[],4,0))</f>
        <v>6529052107.9900007</v>
      </c>
      <c r="H97" s="43">
        <f>IF($C97&lt;=DateToChangeLag,VLOOKUP($C97,'Result-lag'!$C$4:$I$100,5,0),VLOOKUP($C97,CurrentMtgRatesDataTable8[],5,0))</f>
        <v>2100244827.6099999</v>
      </c>
      <c r="I97" s="43">
        <f>IF($C97&lt;=DateToChangeLag,VLOOKUP($C97,'Result-lag'!$C$4:$I$100,6,0),VLOOKUP($C97,CurrentMtgRatesDataTable8[],6,0))</f>
        <v>239972714.16</v>
      </c>
      <c r="J97" s="44">
        <f>CurrentMtgRatesDataTable934[[#This Row],[Top 10 Amount]]/CurrentMtgRatesDataTable934[[#This Row],[Total Amount]]</f>
        <v>0.84430357576290949</v>
      </c>
      <c r="K97" s="44">
        <f>CurrentMtgRatesDataTable934[[#This Row],[Top 5 Amount]]/CurrentMtgRatesDataTable934[[#This Row],[Total Amount]]</f>
        <v>0.67469257536227512</v>
      </c>
      <c r="L97" s="44">
        <f>CurrentMtgRatesDataTable934[[#This Row],[Top 1 Amount]]/CurrentMtgRatesDataTable934[[#This Row],[Total Amount]]</f>
        <v>0.21703297326994753</v>
      </c>
      <c r="M97" s="44">
        <f>CurrentMtgRatesDataTable934[[#This Row],[N/A Amount]]/CurrentMtgRatesDataTable934[[#This Row],[Total Amount]]</f>
        <v>2.4798057337473079E-2</v>
      </c>
      <c r="N97" s="49">
        <f t="shared" si="2"/>
        <v>0</v>
      </c>
    </row>
    <row r="98" spans="3:14">
      <c r="C98" s="59">
        <v>39295</v>
      </c>
      <c r="D98" s="60">
        <v>10881683753.610001</v>
      </c>
      <c r="E98" s="61">
        <f>IF(C98&lt;=DateToChangeLag,VLOOKUP(C98,'Result-lag'!$C$4:$H$100,2,0),VLOOKUP(C98,CurrentMtgRatesDataTable8[],2,0))</f>
        <v>10881683753.610001</v>
      </c>
      <c r="F98" s="61">
        <f>IF($C98&lt;=DateToChangeLag,VLOOKUP($C98,'Result-lag'!$C$4:$I$100,3,0),VLOOKUP($C98,CurrentMtgRatesDataTable8[],3,0))</f>
        <v>9249250882.0799999</v>
      </c>
      <c r="G98" s="61">
        <f>IF($C98&lt;=DateToChangeLag,VLOOKUP($C98,'Result-lag'!$C$4:$I$100,4,0),VLOOKUP($C98,CurrentMtgRatesDataTable8[],4,0))</f>
        <v>7040787872.7600002</v>
      </c>
      <c r="H98" s="61">
        <f>IF($C98&lt;=DateToChangeLag,VLOOKUP($C98,'Result-lag'!$C$4:$I$100,5,0),VLOOKUP($C98,CurrentMtgRatesDataTable8[],5,0))</f>
        <v>2199361792.6500001</v>
      </c>
      <c r="I98" s="61">
        <f>IF($C98&lt;=DateToChangeLag,VLOOKUP($C98,'Result-lag'!$C$4:$I$100,6,0),VLOOKUP($C98,CurrentMtgRatesDataTable8[],6,0))</f>
        <v>232657838.61000001</v>
      </c>
      <c r="J98" s="62">
        <f>CurrentMtgRatesDataTable934[[#This Row],[Top 10 Amount]]/CurrentMtgRatesDataTable934[[#This Row],[Total Amount]]</f>
        <v>0.84998343009293564</v>
      </c>
      <c r="K98" s="62">
        <f>CurrentMtgRatesDataTable934[[#This Row],[Top 5 Amount]]/CurrentMtgRatesDataTable934[[#This Row],[Total Amount]]</f>
        <v>0.64703110586394474</v>
      </c>
      <c r="L98" s="62">
        <f>CurrentMtgRatesDataTable934[[#This Row],[Top 1 Amount]]/CurrentMtgRatesDataTable934[[#This Row],[Total Amount]]</f>
        <v>0.20211594477925912</v>
      </c>
      <c r="M98" s="62">
        <f>CurrentMtgRatesDataTable934[[#This Row],[N/A Amount]]/CurrentMtgRatesDataTable934[[#This Row],[Total Amount]]</f>
        <v>2.1380683713843066E-2</v>
      </c>
      <c r="N98" s="63">
        <f t="shared" si="2"/>
        <v>0</v>
      </c>
    </row>
    <row r="99" spans="3:14">
      <c r="C99" s="37">
        <v>39203</v>
      </c>
      <c r="D99" s="17">
        <v>8101112006.8299999</v>
      </c>
      <c r="E99" s="43">
        <f>IF(C99&lt;=DateToChangeLag,VLOOKUP(C99,'Result-lag'!$C$4:$H$100,2,0),VLOOKUP(C99,CurrentMtgRatesDataTable8[],2,0))</f>
        <v>8101112006.8299999</v>
      </c>
      <c r="F99" s="43">
        <f>IF($C99&lt;=DateToChangeLag,VLOOKUP($C99,'Result-lag'!$C$4:$I$100,3,0),VLOOKUP($C99,CurrentMtgRatesDataTable8[],3,0))</f>
        <v>6627094777.0699997</v>
      </c>
      <c r="G99" s="43">
        <f>IF($C99&lt;=DateToChangeLag,VLOOKUP($C99,'Result-lag'!$C$4:$I$100,4,0),VLOOKUP($C99,CurrentMtgRatesDataTable8[],4,0))</f>
        <v>5203595070.6300011</v>
      </c>
      <c r="H99" s="43">
        <f>IF($C99&lt;=DateToChangeLag,VLOOKUP($C99,'Result-lag'!$C$4:$I$100,5,0),VLOOKUP($C99,CurrentMtgRatesDataTable8[],5,0))</f>
        <v>1527666445.4200001</v>
      </c>
      <c r="I99" s="43">
        <f>IF($C99&lt;=DateToChangeLag,VLOOKUP($C99,'Result-lag'!$C$4:$I$100,6,0),VLOOKUP($C99,CurrentMtgRatesDataTable8[],6,0))</f>
        <v>238043993.09</v>
      </c>
      <c r="J99" s="44">
        <f>CurrentMtgRatesDataTable934[[#This Row],[Top 10 Amount]]/CurrentMtgRatesDataTable934[[#This Row],[Total Amount]]</f>
        <v>0.81804754353263298</v>
      </c>
      <c r="K99" s="44">
        <f>CurrentMtgRatesDataTable934[[#This Row],[Top 5 Amount]]/CurrentMtgRatesDataTable934[[#This Row],[Total Amount]]</f>
        <v>0.64233096224850128</v>
      </c>
      <c r="L99" s="44">
        <f>CurrentMtgRatesDataTable934[[#This Row],[Top 1 Amount]]/CurrentMtgRatesDataTable934[[#This Row],[Total Amount]]</f>
        <v>0.18857490726359954</v>
      </c>
      <c r="M99" s="44">
        <f>CurrentMtgRatesDataTable934[[#This Row],[N/A Amount]]/CurrentMtgRatesDataTable934[[#This Row],[Total Amount]]</f>
        <v>2.9384113303125115E-2</v>
      </c>
      <c r="N99" s="49">
        <f t="shared" si="2"/>
        <v>0</v>
      </c>
    </row>
    <row r="100" spans="3:14">
      <c r="C100" s="37">
        <v>39173</v>
      </c>
      <c r="D100" s="17">
        <v>7089655690.1199999</v>
      </c>
      <c r="E100" s="43">
        <f>IF(C100&lt;=DateToChangeLag,VLOOKUP(C100,'Result-lag'!$C$4:$H$100,2,0),VLOOKUP(C100,CurrentMtgRatesDataTable8[],2,0))</f>
        <v>7089655690.1199999</v>
      </c>
      <c r="F100" s="43">
        <f>IF($C100&lt;=DateToChangeLag,VLOOKUP($C100,'Result-lag'!$C$4:$I$100,3,0),VLOOKUP($C100,CurrentMtgRatesDataTable8[],3,0))</f>
        <v>5752688319.5200014</v>
      </c>
      <c r="G100" s="43">
        <f>IF($C100&lt;=DateToChangeLag,VLOOKUP($C100,'Result-lag'!$C$4:$I$100,4,0),VLOOKUP($C100,CurrentMtgRatesDataTable8[],4,0))</f>
        <v>4308137234.5500002</v>
      </c>
      <c r="H100" s="43">
        <f>IF($C100&lt;=DateToChangeLag,VLOOKUP($C100,'Result-lag'!$C$4:$I$100,5,0),VLOOKUP($C100,CurrentMtgRatesDataTable8[],5,0))</f>
        <v>1386094463.95</v>
      </c>
      <c r="I100" s="43">
        <f>IF($C100&lt;=DateToChangeLag,VLOOKUP($C100,'Result-lag'!$C$4:$I$100,6,0),VLOOKUP($C100,CurrentMtgRatesDataTable8[],6,0))</f>
        <v>191776417.93000001</v>
      </c>
      <c r="J100" s="44">
        <f>CurrentMtgRatesDataTable934[[#This Row],[Top 10 Amount]]/CurrentMtgRatesDataTable934[[#This Row],[Total Amount]]</f>
        <v>0.81141998581635366</v>
      </c>
      <c r="K100" s="44">
        <f>CurrentMtgRatesDataTable934[[#This Row],[Top 5 Amount]]/CurrentMtgRatesDataTable934[[#This Row],[Total Amount]]</f>
        <v>0.60766522703686909</v>
      </c>
      <c r="L100" s="44">
        <f>CurrentMtgRatesDataTable934[[#This Row],[Top 1 Amount]]/CurrentMtgRatesDataTable934[[#This Row],[Total Amount]]</f>
        <v>0.19550941886806056</v>
      </c>
      <c r="M100" s="44">
        <f>CurrentMtgRatesDataTable934[[#This Row],[N/A Amount]]/CurrentMtgRatesDataTable934[[#This Row],[Total Amount]]</f>
        <v>2.7050173705509526E-2</v>
      </c>
      <c r="N100" s="49">
        <f t="shared" si="2"/>
        <v>0</v>
      </c>
    </row>
    <row r="101" spans="3:14">
      <c r="C101" s="37">
        <v>39142</v>
      </c>
      <c r="D101" s="17">
        <v>6493191731.1199999</v>
      </c>
      <c r="E101" s="43">
        <f>IF(C101&lt;=DateToChangeLag,VLOOKUP(C101,'Result-lag'!$C$4:$H$100,2,0),VLOOKUP(C101,CurrentMtgRatesDataTable8[],2,0))</f>
        <v>6493191731.1199999</v>
      </c>
      <c r="F101" s="43">
        <f>IF($C101&lt;=DateToChangeLag,VLOOKUP($C101,'Result-lag'!$C$4:$I$100,3,0),VLOOKUP($C101,CurrentMtgRatesDataTable8[],3,0))</f>
        <v>5236806934.5200005</v>
      </c>
      <c r="G101" s="43">
        <f>IF($C101&lt;=DateToChangeLag,VLOOKUP($C101,'Result-lag'!$C$4:$I$100,4,0),VLOOKUP($C101,CurrentMtgRatesDataTable8[],4,0))</f>
        <v>3885155136.0299997</v>
      </c>
      <c r="H101" s="43">
        <f>IF($C101&lt;=DateToChangeLag,VLOOKUP($C101,'Result-lag'!$C$4:$I$100,5,0),VLOOKUP($C101,CurrentMtgRatesDataTable8[],5,0))</f>
        <v>1136163344.1300001</v>
      </c>
      <c r="I101" s="43">
        <f>IF($C101&lt;=DateToChangeLag,VLOOKUP($C101,'Result-lag'!$C$4:$I$100,6,0),VLOOKUP($C101,CurrentMtgRatesDataTable8[],6,0))</f>
        <v>188646991.65000001</v>
      </c>
      <c r="J101" s="44">
        <f>CurrentMtgRatesDataTable934[[#This Row],[Top 10 Amount]]/CurrentMtgRatesDataTable934[[#This Row],[Total Amount]]</f>
        <v>0.80650736207610985</v>
      </c>
      <c r="K101" s="44">
        <f>CurrentMtgRatesDataTable934[[#This Row],[Top 5 Amount]]/CurrentMtgRatesDataTable934[[#This Row],[Total Amount]]</f>
        <v>0.59834289466758994</v>
      </c>
      <c r="L101" s="44">
        <f>CurrentMtgRatesDataTable934[[#This Row],[Top 1 Amount]]/CurrentMtgRatesDataTable934[[#This Row],[Total Amount]]</f>
        <v>0.17497763675831349</v>
      </c>
      <c r="M101" s="44">
        <f>CurrentMtgRatesDataTable934[[#This Row],[N/A Amount]]/CurrentMtgRatesDataTable934[[#This Row],[Total Amount]]</f>
        <v>2.9053045014190673E-2</v>
      </c>
      <c r="N101" s="49">
        <f t="shared" si="2"/>
        <v>0</v>
      </c>
    </row>
    <row r="102" spans="3:14">
      <c r="C102" s="37">
        <v>39114</v>
      </c>
      <c r="D102" s="17">
        <v>5928159958.2299995</v>
      </c>
      <c r="E102" s="43">
        <f>IF(C102&lt;=DateToChangeLag,VLOOKUP(C102,'Result-lag'!$C$4:$H$100,2,0),VLOOKUP(C102,CurrentMtgRatesDataTable8[],2,0))</f>
        <v>5928159958.2299995</v>
      </c>
      <c r="F102" s="43">
        <f>IF($C102&lt;=DateToChangeLag,VLOOKUP($C102,'Result-lag'!$C$4:$I$100,3,0),VLOOKUP($C102,CurrentMtgRatesDataTable8[],3,0))</f>
        <v>4819569329.3100004</v>
      </c>
      <c r="G102" s="43">
        <f>IF($C102&lt;=DateToChangeLag,VLOOKUP($C102,'Result-lag'!$C$4:$I$100,4,0),VLOOKUP($C102,CurrentMtgRatesDataTable8[],4,0))</f>
        <v>3707608545.3900003</v>
      </c>
      <c r="H102" s="43">
        <f>IF($C102&lt;=DateToChangeLag,VLOOKUP($C102,'Result-lag'!$C$4:$I$100,5,0),VLOOKUP($C102,CurrentMtgRatesDataTable8[],5,0))</f>
        <v>1621110935.21</v>
      </c>
      <c r="I102" s="43">
        <f>IF($C102&lt;=DateToChangeLag,VLOOKUP($C102,'Result-lag'!$C$4:$I$100,6,0),VLOOKUP($C102,CurrentMtgRatesDataTable8[],6,0))</f>
        <v>142335784.97</v>
      </c>
      <c r="J102" s="44">
        <f>CurrentMtgRatesDataTable934[[#This Row],[Top 10 Amount]]/CurrentMtgRatesDataTable934[[#This Row],[Total Amount]]</f>
        <v>0.81299583062347114</v>
      </c>
      <c r="K102" s="44">
        <f>CurrentMtgRatesDataTable934[[#This Row],[Top 5 Amount]]/CurrentMtgRatesDataTable934[[#This Row],[Total Amount]]</f>
        <v>0.62542316191093461</v>
      </c>
      <c r="L102" s="44">
        <f>CurrentMtgRatesDataTable934[[#This Row],[Top 1 Amount]]/CurrentMtgRatesDataTable934[[#This Row],[Total Amount]]</f>
        <v>0.27345937805868908</v>
      </c>
      <c r="M102" s="44">
        <f>CurrentMtgRatesDataTable934[[#This Row],[N/A Amount]]/CurrentMtgRatesDataTable934[[#This Row],[Total Amount]]</f>
        <v>2.4010112070676635E-2</v>
      </c>
      <c r="N102" s="49">
        <f t="shared" si="2"/>
        <v>0</v>
      </c>
    </row>
    <row r="103" spans="3:14">
      <c r="C103" s="37">
        <v>39083</v>
      </c>
      <c r="D103" s="17">
        <v>7303999840.6899996</v>
      </c>
      <c r="E103" s="43">
        <f>IF(C103&lt;=DateToChangeLag,VLOOKUP(C103,'Result-lag'!$C$4:$H$100,2,0),VLOOKUP(C103,CurrentMtgRatesDataTable8[],2,0))</f>
        <v>7303999840.6899996</v>
      </c>
      <c r="F103" s="43">
        <f>IF($C103&lt;=DateToChangeLag,VLOOKUP($C103,'Result-lag'!$C$4:$I$100,3,0),VLOOKUP($C103,CurrentMtgRatesDataTable8[],3,0))</f>
        <v>5917837957.0899992</v>
      </c>
      <c r="G103" s="43">
        <f>IF($C103&lt;=DateToChangeLag,VLOOKUP($C103,'Result-lag'!$C$4:$I$100,4,0),VLOOKUP($C103,CurrentMtgRatesDataTable8[],4,0))</f>
        <v>4675271846</v>
      </c>
      <c r="H103" s="43">
        <f>IF($C103&lt;=DateToChangeLag,VLOOKUP($C103,'Result-lag'!$C$4:$I$100,5,0),VLOOKUP($C103,CurrentMtgRatesDataTable8[],5,0))</f>
        <v>1816782123.1800001</v>
      </c>
      <c r="I103" s="43">
        <f>IF($C103&lt;=DateToChangeLag,VLOOKUP($C103,'Result-lag'!$C$4:$I$100,6,0),VLOOKUP($C103,CurrentMtgRatesDataTable8[],6,0))</f>
        <v>208452413.78999999</v>
      </c>
      <c r="J103" s="44">
        <f>CurrentMtgRatesDataTable934[[#This Row],[Top 10 Amount]]/CurrentMtgRatesDataTable934[[#This Row],[Total Amount]]</f>
        <v>0.81021879602491187</v>
      </c>
      <c r="K103" s="44">
        <f>CurrentMtgRatesDataTable934[[#This Row],[Top 5 Amount]]/CurrentMtgRatesDataTable934[[#This Row],[Total Amount]]</f>
        <v>0.64009747370946446</v>
      </c>
      <c r="L103" s="44">
        <f>CurrentMtgRatesDataTable934[[#This Row],[Top 1 Amount]]/CurrentMtgRatesDataTable934[[#This Row],[Total Amount]]</f>
        <v>0.24873797409726819</v>
      </c>
      <c r="M103" s="44">
        <f>CurrentMtgRatesDataTable934[[#This Row],[N/A Amount]]/CurrentMtgRatesDataTable934[[#This Row],[Total Amount]]</f>
        <v>2.8539487724072533E-2</v>
      </c>
      <c r="N103" s="49">
        <f t="shared" si="2"/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E1" workbookViewId="0">
      <selection activeCell="C49" sqref="C49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43</v>
      </c>
      <c r="E3" s="10" t="s">
        <v>48</v>
      </c>
      <c r="F3" s="10" t="s">
        <v>49</v>
      </c>
      <c r="G3" s="10" t="s">
        <v>50</v>
      </c>
      <c r="H3" s="10" t="s">
        <v>51</v>
      </c>
      <c r="I3" s="10" t="s">
        <v>52</v>
      </c>
      <c r="J3" s="10"/>
      <c r="K3" s="10"/>
      <c r="L3" s="10" t="s">
        <v>48</v>
      </c>
      <c r="M3" s="10" t="s">
        <v>49</v>
      </c>
      <c r="N3" s="10" t="s">
        <v>50</v>
      </c>
      <c r="O3" s="10" t="s">
        <v>51</v>
      </c>
      <c r="P3" s="10" t="s">
        <v>52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45</v>
      </c>
      <c r="M1" s="2" t="s">
        <v>3</v>
      </c>
      <c r="N1" s="5">
        <v>1</v>
      </c>
    </row>
    <row r="2" spans="5:14">
      <c r="E2" t="s">
        <v>44</v>
      </c>
      <c r="I2" t="s">
        <v>46</v>
      </c>
      <c r="M2" t="s">
        <v>47</v>
      </c>
    </row>
    <row r="3" spans="5:14">
      <c r="E3" s="2" t="s">
        <v>40</v>
      </c>
      <c r="F3" t="s">
        <v>42</v>
      </c>
      <c r="I3" s="2" t="s">
        <v>40</v>
      </c>
      <c r="J3" t="s">
        <v>42</v>
      </c>
      <c r="M3" s="2" t="s">
        <v>40</v>
      </c>
      <c r="N3" t="s">
        <v>42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41</v>
      </c>
      <c r="F144" s="4">
        <v>5309605657569.8809</v>
      </c>
      <c r="I144" s="3" t="s">
        <v>41</v>
      </c>
      <c r="J144" s="4">
        <v>4395887814663.6616</v>
      </c>
      <c r="M144" s="3" t="s">
        <v>41</v>
      </c>
      <c r="N144" s="4">
        <v>1627966640732.8701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G56" sqref="G56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53</v>
      </c>
      <c r="K2" t="s">
        <v>54</v>
      </c>
      <c r="N2" t="s">
        <v>55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19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26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19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26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19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19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24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19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26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19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26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19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26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19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56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19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21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26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19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26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19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19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26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19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26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19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19</v>
      </c>
      <c r="C149" s="1">
        <v>38200</v>
      </c>
      <c r="D149">
        <v>1946508724.6099999</v>
      </c>
      <c r="E149">
        <v>6</v>
      </c>
    </row>
    <row r="150" spans="2:5">
      <c r="B150" s="1" t="s">
        <v>26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19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26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19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19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26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19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19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56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19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26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19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26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19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26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19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26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19</v>
      </c>
      <c r="C249" s="1">
        <v>38504</v>
      </c>
      <c r="D249">
        <v>1560042290.1199999</v>
      </c>
      <c r="E249">
        <v>6</v>
      </c>
    </row>
    <row r="250" spans="2:5">
      <c r="B250" s="1" t="s">
        <v>26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19</v>
      </c>
      <c r="C259" s="1">
        <v>38534</v>
      </c>
      <c r="D259">
        <v>1723209508.3699999</v>
      </c>
      <c r="E259">
        <v>6</v>
      </c>
    </row>
    <row r="260" spans="2:5">
      <c r="B260" s="1" t="s">
        <v>26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19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26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19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26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19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26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19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26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19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17</v>
      </c>
      <c r="C310" s="1">
        <v>38687</v>
      </c>
      <c r="D310">
        <v>270607282.56999999</v>
      </c>
      <c r="E310">
        <v>7</v>
      </c>
    </row>
    <row r="311" spans="2:5">
      <c r="B311" s="1" t="s">
        <v>26</v>
      </c>
      <c r="C311" s="1">
        <v>38687</v>
      </c>
      <c r="D311">
        <v>233071797.31999999</v>
      </c>
      <c r="E311">
        <v>8</v>
      </c>
    </row>
    <row r="312" spans="2:5">
      <c r="B312" s="1" t="s">
        <v>24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19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26</v>
      </c>
      <c r="C329" s="1">
        <v>38749</v>
      </c>
      <c r="D329">
        <v>2338045896.1799998</v>
      </c>
      <c r="E329">
        <v>6</v>
      </c>
    </row>
    <row r="330" spans="2:5">
      <c r="B330" s="1" t="s">
        <v>19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26</v>
      </c>
      <c r="C339" s="1">
        <v>38777</v>
      </c>
      <c r="D339">
        <v>1883780544.9400001</v>
      </c>
      <c r="E339">
        <v>6</v>
      </c>
    </row>
    <row r="340" spans="2:5">
      <c r="B340" s="1" t="s">
        <v>19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20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26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19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20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26</v>
      </c>
      <c r="C359" s="1">
        <v>38838</v>
      </c>
      <c r="D359">
        <v>1855245672.23</v>
      </c>
      <c r="E359">
        <v>6</v>
      </c>
    </row>
    <row r="360" spans="2:5">
      <c r="B360" s="1" t="s">
        <v>19</v>
      </c>
      <c r="C360" s="1">
        <v>38838</v>
      </c>
      <c r="D360">
        <v>1682540462.5999999</v>
      </c>
      <c r="E360">
        <v>7</v>
      </c>
    </row>
    <row r="361" spans="2:5">
      <c r="B361" s="1" t="s">
        <v>16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19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26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20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19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26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20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19</v>
      </c>
      <c r="C389" s="1">
        <v>38930</v>
      </c>
      <c r="D389">
        <v>1925461790.45</v>
      </c>
      <c r="E389">
        <v>6</v>
      </c>
    </row>
    <row r="390" spans="2:5">
      <c r="B390" s="1" t="s">
        <v>26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19</v>
      </c>
      <c r="C399" s="1">
        <v>39022</v>
      </c>
      <c r="D399">
        <v>1937299624.6199999</v>
      </c>
      <c r="E399">
        <v>6</v>
      </c>
    </row>
    <row r="400" spans="2:5">
      <c r="B400" s="1" t="s">
        <v>26</v>
      </c>
      <c r="C400" s="1">
        <v>39022</v>
      </c>
      <c r="D400">
        <v>1566716834.5999999</v>
      </c>
      <c r="E400">
        <v>7</v>
      </c>
    </row>
    <row r="401" spans="2:5">
      <c r="B401" s="1" t="s">
        <v>20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16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19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26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16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26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19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16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19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26</v>
      </c>
      <c r="C430" s="1">
        <v>39114</v>
      </c>
      <c r="D430">
        <v>1681152905.8</v>
      </c>
      <c r="E430">
        <v>7</v>
      </c>
    </row>
    <row r="431" spans="2:5">
      <c r="B431" s="1" t="s">
        <v>20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16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26</v>
      </c>
      <c r="C439" s="1">
        <v>39142</v>
      </c>
      <c r="D439">
        <v>2779190717.4200001</v>
      </c>
      <c r="E439">
        <v>6</v>
      </c>
    </row>
    <row r="440" spans="2:5">
      <c r="B440" s="1" t="s">
        <v>19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16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20</v>
      </c>
      <c r="C449" s="1">
        <v>39173</v>
      </c>
      <c r="D449">
        <v>2050143179.3699999</v>
      </c>
      <c r="E449">
        <v>6</v>
      </c>
    </row>
    <row r="450" spans="2:5">
      <c r="B450" s="1" t="s">
        <v>26</v>
      </c>
      <c r="C450" s="1">
        <v>39173</v>
      </c>
      <c r="D450">
        <v>1966470786.1099999</v>
      </c>
      <c r="E450">
        <v>7</v>
      </c>
    </row>
    <row r="451" spans="2:5">
      <c r="B451" s="1" t="s">
        <v>19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26</v>
      </c>
      <c r="C459" s="1">
        <v>39203</v>
      </c>
      <c r="D459">
        <v>2073037813.0799999</v>
      </c>
      <c r="E459">
        <v>6</v>
      </c>
    </row>
    <row r="460" spans="2:5">
      <c r="B460" s="1" t="s">
        <v>27</v>
      </c>
      <c r="C460" s="1">
        <v>39203</v>
      </c>
      <c r="D460">
        <v>1477365224.1900001</v>
      </c>
      <c r="E460">
        <v>7</v>
      </c>
    </row>
    <row r="461" spans="2:5">
      <c r="B461" s="1" t="s">
        <v>19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16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26</v>
      </c>
      <c r="C469" s="1">
        <v>39234</v>
      </c>
      <c r="D469">
        <v>3057896153.2199998</v>
      </c>
      <c r="E469">
        <v>6</v>
      </c>
    </row>
    <row r="470" spans="2:5">
      <c r="B470" s="1" t="s">
        <v>19</v>
      </c>
      <c r="C470" s="1">
        <v>39234</v>
      </c>
      <c r="D470">
        <v>2404088259.6199999</v>
      </c>
      <c r="E470">
        <v>7</v>
      </c>
    </row>
    <row r="471" spans="2:5">
      <c r="B471" s="1" t="s">
        <v>20</v>
      </c>
      <c r="C471" s="1">
        <v>39234</v>
      </c>
      <c r="D471">
        <v>1615440788.0799999</v>
      </c>
      <c r="E471">
        <v>8</v>
      </c>
    </row>
    <row r="472" spans="2:5">
      <c r="B472" s="1" t="s">
        <v>27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26</v>
      </c>
      <c r="C479" s="1">
        <v>39264</v>
      </c>
      <c r="D479">
        <v>2307181922.4299998</v>
      </c>
      <c r="E479">
        <v>6</v>
      </c>
    </row>
    <row r="480" spans="2:5">
      <c r="B480" s="1" t="s">
        <v>19</v>
      </c>
      <c r="C480" s="1">
        <v>39264</v>
      </c>
      <c r="D480">
        <v>2278819237.3600001</v>
      </c>
      <c r="E480">
        <v>7</v>
      </c>
    </row>
    <row r="481" spans="2:5">
      <c r="B481" s="1" t="s">
        <v>27</v>
      </c>
      <c r="C481" s="1">
        <v>39264</v>
      </c>
      <c r="D481">
        <v>1906852083.95</v>
      </c>
      <c r="E481">
        <v>8</v>
      </c>
    </row>
    <row r="482" spans="2:5">
      <c r="B482" s="1" t="s">
        <v>16</v>
      </c>
      <c r="C482" s="1">
        <v>39264</v>
      </c>
      <c r="D482">
        <v>1394224530.9200001</v>
      </c>
      <c r="E482">
        <v>9</v>
      </c>
    </row>
    <row r="483" spans="2:5">
      <c r="B483" s="1" t="s">
        <v>20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26</v>
      </c>
      <c r="C489" s="1">
        <v>39295</v>
      </c>
      <c r="D489">
        <v>2842855885.04</v>
      </c>
      <c r="E489">
        <v>6</v>
      </c>
    </row>
    <row r="490" spans="2:5">
      <c r="B490" s="1" t="s">
        <v>20</v>
      </c>
      <c r="C490" s="1">
        <v>39295</v>
      </c>
      <c r="D490">
        <v>2292513360.1999998</v>
      </c>
      <c r="E490">
        <v>7</v>
      </c>
    </row>
    <row r="491" spans="2:5">
      <c r="B491" s="1" t="s">
        <v>19</v>
      </c>
      <c r="C491" s="1">
        <v>39295</v>
      </c>
      <c r="D491">
        <v>1841737385.8499999</v>
      </c>
      <c r="E491">
        <v>8</v>
      </c>
    </row>
    <row r="492" spans="2:5">
      <c r="B492" s="1" t="s">
        <v>21</v>
      </c>
      <c r="C492" s="1">
        <v>39295</v>
      </c>
      <c r="D492">
        <v>1807624275.1300001</v>
      </c>
      <c r="E492">
        <v>9</v>
      </c>
    </row>
    <row r="493" spans="2:5">
      <c r="B493" s="1" t="s">
        <v>27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19</v>
      </c>
      <c r="C499" s="1">
        <v>39326</v>
      </c>
      <c r="D499">
        <v>2847267157.4000001</v>
      </c>
      <c r="E499">
        <v>6</v>
      </c>
    </row>
    <row r="500" spans="2:5">
      <c r="B500" s="1" t="s">
        <v>26</v>
      </c>
      <c r="C500" s="1">
        <v>39326</v>
      </c>
      <c r="D500">
        <v>2458473903.25</v>
      </c>
      <c r="E500">
        <v>7</v>
      </c>
    </row>
    <row r="501" spans="2:5">
      <c r="B501" s="1" t="s">
        <v>16</v>
      </c>
      <c r="C501" s="1">
        <v>39326</v>
      </c>
      <c r="D501">
        <v>1994254729.6099999</v>
      </c>
      <c r="E501">
        <v>8</v>
      </c>
    </row>
    <row r="502" spans="2:5">
      <c r="B502" s="1" t="s">
        <v>27</v>
      </c>
      <c r="C502" s="1">
        <v>39326</v>
      </c>
      <c r="D502">
        <v>1388548009.76</v>
      </c>
      <c r="E502">
        <v>9</v>
      </c>
    </row>
    <row r="503" spans="2:5">
      <c r="B503" s="1" t="s">
        <v>21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26</v>
      </c>
      <c r="C509" s="1">
        <v>39356</v>
      </c>
      <c r="D509">
        <v>2052835599.0899999</v>
      </c>
      <c r="E509">
        <v>6</v>
      </c>
    </row>
    <row r="510" spans="2:5">
      <c r="B510" s="1" t="s">
        <v>19</v>
      </c>
      <c r="C510" s="1">
        <v>39356</v>
      </c>
      <c r="D510">
        <v>1932771583.74</v>
      </c>
      <c r="E510">
        <v>7</v>
      </c>
    </row>
    <row r="511" spans="2:5">
      <c r="B511" s="1" t="s">
        <v>21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20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20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26</v>
      </c>
      <c r="C520" s="1">
        <v>39387</v>
      </c>
      <c r="D520">
        <v>2295059599.6599998</v>
      </c>
      <c r="E520">
        <v>7</v>
      </c>
    </row>
    <row r="521" spans="2:5">
      <c r="B521" s="1" t="s">
        <v>19</v>
      </c>
      <c r="C521" s="1">
        <v>39387</v>
      </c>
      <c r="D521">
        <v>1898061596.96</v>
      </c>
      <c r="E521">
        <v>8</v>
      </c>
    </row>
    <row r="522" spans="2:5">
      <c r="B522" s="1" t="s">
        <v>16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16</v>
      </c>
      <c r="C529" s="1">
        <v>39417</v>
      </c>
      <c r="D529">
        <v>2979385823.8600001</v>
      </c>
      <c r="E529">
        <v>6</v>
      </c>
    </row>
    <row r="530" spans="2:5">
      <c r="B530" s="1" t="s">
        <v>26</v>
      </c>
      <c r="C530" s="1">
        <v>39417</v>
      </c>
      <c r="D530">
        <v>2878585849.6500001</v>
      </c>
      <c r="E530">
        <v>7</v>
      </c>
    </row>
    <row r="531" spans="2:5">
      <c r="B531" s="1" t="s">
        <v>19</v>
      </c>
      <c r="C531" s="1">
        <v>39417</v>
      </c>
      <c r="D531">
        <v>2238443049.8499999</v>
      </c>
      <c r="E531">
        <v>8</v>
      </c>
    </row>
    <row r="532" spans="2:5">
      <c r="B532" s="1" t="s">
        <v>27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19</v>
      </c>
      <c r="C539" s="1">
        <v>39448</v>
      </c>
      <c r="D539">
        <v>2777009284.9299998</v>
      </c>
      <c r="E539">
        <v>6</v>
      </c>
    </row>
    <row r="540" spans="2:5">
      <c r="B540" s="1" t="s">
        <v>16</v>
      </c>
      <c r="C540" s="1">
        <v>39448</v>
      </c>
      <c r="D540">
        <v>2709598977.0999999</v>
      </c>
      <c r="E540">
        <v>7</v>
      </c>
    </row>
    <row r="541" spans="2:5">
      <c r="B541" s="1" t="s">
        <v>26</v>
      </c>
      <c r="C541" s="1">
        <v>39448</v>
      </c>
      <c r="D541">
        <v>2693818093.54</v>
      </c>
      <c r="E541">
        <v>8</v>
      </c>
    </row>
    <row r="542" spans="2:5">
      <c r="B542" s="1" t="s">
        <v>20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26</v>
      </c>
      <c r="C549" s="1">
        <v>39479</v>
      </c>
      <c r="D549">
        <v>2827494752.0799999</v>
      </c>
      <c r="E549">
        <v>6</v>
      </c>
    </row>
    <row r="550" spans="2:5">
      <c r="B550" s="1" t="s">
        <v>19</v>
      </c>
      <c r="C550" s="1">
        <v>39479</v>
      </c>
      <c r="D550">
        <v>2775332433.4299998</v>
      </c>
      <c r="E550">
        <v>7</v>
      </c>
    </row>
    <row r="551" spans="2:5">
      <c r="B551" s="1" t="s">
        <v>20</v>
      </c>
      <c r="C551" s="1">
        <v>39479</v>
      </c>
      <c r="D551">
        <v>1603611344.5899999</v>
      </c>
      <c r="E551">
        <v>8</v>
      </c>
    </row>
    <row r="552" spans="2:5">
      <c r="B552" s="1" t="s">
        <v>27</v>
      </c>
      <c r="C552" s="1">
        <v>39479</v>
      </c>
      <c r="D552">
        <v>1429750310.99</v>
      </c>
      <c r="E552">
        <v>9</v>
      </c>
    </row>
    <row r="553" spans="2:5">
      <c r="B553" s="1" t="s">
        <v>16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26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20</v>
      </c>
      <c r="C560" s="1">
        <v>39508</v>
      </c>
      <c r="D560">
        <v>3021716833.79</v>
      </c>
      <c r="E560">
        <v>7</v>
      </c>
    </row>
    <row r="561" spans="2:5">
      <c r="B561" s="1" t="s">
        <v>19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16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19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27</v>
      </c>
      <c r="C571" s="1">
        <v>39539</v>
      </c>
      <c r="D571">
        <v>1448382903.7</v>
      </c>
      <c r="E571">
        <v>8</v>
      </c>
    </row>
    <row r="572" spans="2:5">
      <c r="B572" s="1" t="s">
        <v>20</v>
      </c>
      <c r="C572" s="1">
        <v>39539</v>
      </c>
      <c r="D572">
        <v>1435114914.6099999</v>
      </c>
      <c r="E572">
        <v>9</v>
      </c>
    </row>
    <row r="573" spans="2:5">
      <c r="B573" s="1" t="s">
        <v>26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19</v>
      </c>
      <c r="C579" s="1">
        <v>39569</v>
      </c>
      <c r="D579">
        <v>3658268824.0300002</v>
      </c>
      <c r="E579">
        <v>6</v>
      </c>
    </row>
    <row r="580" spans="2:5">
      <c r="B580" s="1" t="s">
        <v>26</v>
      </c>
      <c r="C580" s="1">
        <v>39569</v>
      </c>
      <c r="D580">
        <v>2994126799.2199998</v>
      </c>
      <c r="E580">
        <v>7</v>
      </c>
    </row>
    <row r="581" spans="2:5">
      <c r="B581" s="1" t="s">
        <v>27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19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26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27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27</v>
      </c>
      <c r="C600" s="1">
        <v>39630</v>
      </c>
      <c r="D600">
        <v>1798969583.0799999</v>
      </c>
      <c r="E600">
        <v>7</v>
      </c>
    </row>
    <row r="601" spans="2:5">
      <c r="B601" s="1" t="s">
        <v>26</v>
      </c>
      <c r="C601" s="1">
        <v>39630</v>
      </c>
      <c r="D601">
        <v>1033094421.8</v>
      </c>
      <c r="E601">
        <v>8</v>
      </c>
    </row>
    <row r="602" spans="2:5">
      <c r="B602" s="1" t="s">
        <v>19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27</v>
      </c>
      <c r="C609" s="1">
        <v>39661</v>
      </c>
      <c r="D609">
        <v>1499404802.6700001</v>
      </c>
      <c r="E609">
        <v>6</v>
      </c>
    </row>
    <row r="610" spans="2:5">
      <c r="B610" s="1" t="s">
        <v>26</v>
      </c>
      <c r="C610" s="1">
        <v>39661</v>
      </c>
      <c r="D610">
        <v>1386167136.9100001</v>
      </c>
      <c r="E610">
        <v>7</v>
      </c>
    </row>
    <row r="611" spans="2:5">
      <c r="B611" s="1" t="s">
        <v>19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20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27</v>
      </c>
      <c r="C619" s="1">
        <v>39692</v>
      </c>
      <c r="D619">
        <v>1321486905.6099999</v>
      </c>
      <c r="E619">
        <v>6</v>
      </c>
    </row>
    <row r="620" spans="2:5">
      <c r="B620" s="1" t="s">
        <v>26</v>
      </c>
      <c r="C620" s="1">
        <v>39692</v>
      </c>
      <c r="D620">
        <v>1212867361.9300001</v>
      </c>
      <c r="E620">
        <v>7</v>
      </c>
    </row>
    <row r="621" spans="2:5">
      <c r="B621" s="1" t="s">
        <v>19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26</v>
      </c>
      <c r="C629" s="1">
        <v>39722</v>
      </c>
      <c r="D629">
        <v>1360853316.3699999</v>
      </c>
      <c r="E629">
        <v>6</v>
      </c>
    </row>
    <row r="630" spans="2:5">
      <c r="B630" s="1" t="s">
        <v>27</v>
      </c>
      <c r="C630" s="1">
        <v>39722</v>
      </c>
      <c r="D630">
        <v>1248096513.3399999</v>
      </c>
      <c r="E630">
        <v>7</v>
      </c>
    </row>
    <row r="631" spans="2:5">
      <c r="B631" s="1" t="s">
        <v>19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19</v>
      </c>
      <c r="C640" s="1">
        <v>39753</v>
      </c>
      <c r="D640">
        <v>1470669632.5</v>
      </c>
      <c r="E640">
        <v>7</v>
      </c>
    </row>
    <row r="641" spans="2:5">
      <c r="B641" s="1" t="s">
        <v>26</v>
      </c>
      <c r="C641" s="1">
        <v>39753</v>
      </c>
      <c r="D641">
        <v>1224686047.46</v>
      </c>
      <c r="E641">
        <v>8</v>
      </c>
    </row>
    <row r="642" spans="2:5">
      <c r="B642" s="1" t="s">
        <v>27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26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19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27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25</v>
      </c>
      <c r="C659" s="1">
        <v>39814</v>
      </c>
      <c r="D659">
        <v>2255179789.8299999</v>
      </c>
      <c r="E659">
        <v>6</v>
      </c>
    </row>
    <row r="660" spans="2:5">
      <c r="B660" s="1" t="s">
        <v>16</v>
      </c>
      <c r="C660" s="1">
        <v>39814</v>
      </c>
      <c r="D660">
        <v>1726263195.97</v>
      </c>
      <c r="E660">
        <v>7</v>
      </c>
    </row>
    <row r="661" spans="2:5">
      <c r="B661" s="1" t="s">
        <v>29</v>
      </c>
      <c r="C661" s="1">
        <v>39814</v>
      </c>
      <c r="D661">
        <v>1515379715.46</v>
      </c>
      <c r="E661">
        <v>8</v>
      </c>
    </row>
    <row r="662" spans="2:5">
      <c r="B662" s="1" t="s">
        <v>26</v>
      </c>
      <c r="C662" s="1">
        <v>39814</v>
      </c>
      <c r="D662">
        <v>1464856783.98</v>
      </c>
      <c r="E662">
        <v>9</v>
      </c>
    </row>
    <row r="663" spans="2:5">
      <c r="B663" s="1" t="s">
        <v>19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26</v>
      </c>
      <c r="C669" s="1">
        <v>39845</v>
      </c>
      <c r="D669">
        <v>724463965.13</v>
      </c>
      <c r="E669">
        <v>6</v>
      </c>
    </row>
    <row r="670" spans="2:5">
      <c r="B670" s="1" t="s">
        <v>27</v>
      </c>
      <c r="C670" s="1">
        <v>39845</v>
      </c>
      <c r="D670">
        <v>596455268.49000001</v>
      </c>
      <c r="E670">
        <v>7</v>
      </c>
    </row>
    <row r="671" spans="2:5">
      <c r="B671" s="1" t="s">
        <v>57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19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26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27</v>
      </c>
      <c r="C681" s="1">
        <v>39873</v>
      </c>
      <c r="D681">
        <v>956909872.99000001</v>
      </c>
      <c r="E681">
        <v>8</v>
      </c>
    </row>
    <row r="682" spans="2:5">
      <c r="B682" s="1" t="s">
        <v>57</v>
      </c>
      <c r="C682" s="1">
        <v>39873</v>
      </c>
      <c r="D682">
        <v>841723160.23000002</v>
      </c>
      <c r="E682">
        <v>9</v>
      </c>
    </row>
    <row r="683" spans="2:5">
      <c r="B683" s="1" t="s">
        <v>16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26</v>
      </c>
      <c r="C688" s="1">
        <v>39904</v>
      </c>
      <c r="D688">
        <v>3407769717.4299998</v>
      </c>
      <c r="E688">
        <v>5</v>
      </c>
    </row>
    <row r="689" spans="2:5">
      <c r="B689" s="1" t="s">
        <v>19</v>
      </c>
      <c r="C689" s="1">
        <v>39904</v>
      </c>
      <c r="D689">
        <v>2441399554.0999999</v>
      </c>
      <c r="E689">
        <v>6</v>
      </c>
    </row>
    <row r="690" spans="2:5">
      <c r="B690" s="1" t="s">
        <v>16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27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26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27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19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26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19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29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26</v>
      </c>
      <c r="C718" s="1">
        <v>39995</v>
      </c>
      <c r="D718">
        <v>3693076130.73</v>
      </c>
      <c r="E718">
        <v>5</v>
      </c>
    </row>
    <row r="719" spans="2:5">
      <c r="B719" s="1" t="s">
        <v>19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16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26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19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57</v>
      </c>
      <c r="C732" s="1">
        <v>40026</v>
      </c>
      <c r="D732">
        <v>913654412.88</v>
      </c>
      <c r="E732">
        <v>9</v>
      </c>
    </row>
    <row r="733" spans="2:5">
      <c r="B733" s="1" t="s">
        <v>16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26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19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16</v>
      </c>
      <c r="C742" s="1">
        <v>40057</v>
      </c>
      <c r="D742">
        <v>570372803.38999999</v>
      </c>
      <c r="E742">
        <v>9</v>
      </c>
    </row>
    <row r="743" spans="2:5">
      <c r="B743" s="1" t="s">
        <v>57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26</v>
      </c>
      <c r="C748" s="1">
        <v>40087</v>
      </c>
      <c r="D748">
        <v>1620000882.77</v>
      </c>
      <c r="E748">
        <v>5</v>
      </c>
    </row>
    <row r="749" spans="2:5">
      <c r="B749" s="1" t="s">
        <v>19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17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19</v>
      </c>
      <c r="C757" s="1">
        <v>40118</v>
      </c>
      <c r="D757">
        <v>1785454973.51</v>
      </c>
      <c r="E757">
        <v>4</v>
      </c>
    </row>
    <row r="758" spans="2:5">
      <c r="B758" s="1" t="s">
        <v>26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17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19</v>
      </c>
      <c r="C767" s="1">
        <v>40148</v>
      </c>
      <c r="D767">
        <v>1884115395.5999999</v>
      </c>
      <c r="E767">
        <v>4</v>
      </c>
    </row>
    <row r="768" spans="2:5">
      <c r="B768" s="1" t="s">
        <v>26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16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27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19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26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25</v>
      </c>
      <c r="C782" s="1">
        <v>40179</v>
      </c>
      <c r="D782">
        <v>809317697.84000003</v>
      </c>
      <c r="E782">
        <v>9</v>
      </c>
    </row>
    <row r="783" spans="2:5">
      <c r="B783" s="1" t="s">
        <v>17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19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26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17</v>
      </c>
      <c r="C792" s="1">
        <v>40210</v>
      </c>
      <c r="D792">
        <v>497769158.43000001</v>
      </c>
      <c r="E792">
        <v>9</v>
      </c>
    </row>
    <row r="793" spans="2:5">
      <c r="B793" s="1" t="s">
        <v>28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19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26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17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19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26</v>
      </c>
      <c r="C811" s="1">
        <v>40269</v>
      </c>
      <c r="D811">
        <v>508230714.5</v>
      </c>
      <c r="E811">
        <v>8</v>
      </c>
    </row>
    <row r="812" spans="2:5">
      <c r="B812" s="1" t="s">
        <v>17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19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26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17</v>
      </c>
      <c r="C822" s="1">
        <v>40299</v>
      </c>
      <c r="D822">
        <v>374451577.42000002</v>
      </c>
      <c r="E822">
        <v>9</v>
      </c>
    </row>
    <row r="823" spans="2:5">
      <c r="B823" s="1" t="s">
        <v>30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19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26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30</v>
      </c>
      <c r="C832" s="1">
        <v>40330</v>
      </c>
      <c r="D832">
        <v>326270703.69999999</v>
      </c>
      <c r="E832">
        <v>9</v>
      </c>
    </row>
    <row r="833" spans="2:5">
      <c r="B833" s="1" t="s">
        <v>16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19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26</v>
      </c>
      <c r="C841" s="1">
        <v>40360</v>
      </c>
      <c r="D841">
        <v>775601724.25999999</v>
      </c>
      <c r="E841">
        <v>8</v>
      </c>
    </row>
    <row r="842" spans="2:5">
      <c r="B842" s="1" t="s">
        <v>30</v>
      </c>
      <c r="C842" s="1">
        <v>40360</v>
      </c>
      <c r="D842">
        <v>300443074.45999998</v>
      </c>
      <c r="E842">
        <v>9</v>
      </c>
    </row>
    <row r="843" spans="2:5">
      <c r="B843" s="1" t="s">
        <v>17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19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26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30</v>
      </c>
      <c r="C852" s="1">
        <v>40391</v>
      </c>
      <c r="D852">
        <v>480853769.99000001</v>
      </c>
      <c r="E852">
        <v>9</v>
      </c>
    </row>
    <row r="853" spans="2:5">
      <c r="B853" s="1" t="s">
        <v>28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19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26</v>
      </c>
      <c r="C861" s="1">
        <v>40422</v>
      </c>
      <c r="D861">
        <v>1023917028.28</v>
      </c>
      <c r="E861">
        <v>8</v>
      </c>
    </row>
    <row r="862" spans="2:5">
      <c r="B862" s="1" t="s">
        <v>31</v>
      </c>
      <c r="C862" s="1">
        <v>40422</v>
      </c>
      <c r="D862">
        <v>593439306.13</v>
      </c>
      <c r="E862">
        <v>9</v>
      </c>
    </row>
    <row r="863" spans="2:5">
      <c r="B863" s="1" t="s">
        <v>30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19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26</v>
      </c>
      <c r="C871" s="1">
        <v>40452</v>
      </c>
      <c r="D871">
        <v>1111899953.1300001</v>
      </c>
      <c r="E871">
        <v>8</v>
      </c>
    </row>
    <row r="872" spans="2:5">
      <c r="B872" s="1" t="s">
        <v>30</v>
      </c>
      <c r="C872" s="1">
        <v>40452</v>
      </c>
      <c r="D872">
        <v>963061126.65999997</v>
      </c>
      <c r="E872">
        <v>9</v>
      </c>
    </row>
    <row r="873" spans="2:5">
      <c r="B873" s="1" t="s">
        <v>32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19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26</v>
      </c>
      <c r="C881" s="1">
        <v>40483</v>
      </c>
      <c r="D881">
        <v>1232242691.3499999</v>
      </c>
      <c r="E881">
        <v>8</v>
      </c>
    </row>
    <row r="882" spans="2:5">
      <c r="B882" s="1" t="s">
        <v>32</v>
      </c>
      <c r="C882" s="1">
        <v>40483</v>
      </c>
      <c r="D882">
        <v>982787840.32000005</v>
      </c>
      <c r="E882">
        <v>9</v>
      </c>
    </row>
    <row r="883" spans="2:5">
      <c r="B883" s="1" t="s">
        <v>30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19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32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26</v>
      </c>
      <c r="C892" s="1">
        <v>40513</v>
      </c>
      <c r="D892">
        <v>1577607632.71</v>
      </c>
      <c r="E892">
        <v>9</v>
      </c>
    </row>
    <row r="893" spans="2:5">
      <c r="B893" s="1" t="s">
        <v>36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19</v>
      </c>
      <c r="C898" s="1">
        <v>40544</v>
      </c>
      <c r="D898">
        <v>4060874385.6599998</v>
      </c>
      <c r="E898">
        <v>5</v>
      </c>
    </row>
    <row r="899" spans="2:5">
      <c r="B899" s="1" t="s">
        <v>26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32</v>
      </c>
      <c r="C902" s="1">
        <v>40544</v>
      </c>
      <c r="D902">
        <v>653806389.21000004</v>
      </c>
      <c r="E902">
        <v>9</v>
      </c>
    </row>
    <row r="903" spans="2:5">
      <c r="B903" s="1" t="s">
        <v>30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19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26</v>
      </c>
      <c r="C911" s="1">
        <v>40575</v>
      </c>
      <c r="D911">
        <v>1548157269.8499999</v>
      </c>
      <c r="E911">
        <v>8</v>
      </c>
    </row>
    <row r="912" spans="2:5">
      <c r="B912" s="1" t="s">
        <v>30</v>
      </c>
      <c r="C912" s="1">
        <v>40575</v>
      </c>
      <c r="D912">
        <v>717011195.69000006</v>
      </c>
      <c r="E912">
        <v>9</v>
      </c>
    </row>
    <row r="913" spans="2:5">
      <c r="B913" s="1" t="s">
        <v>16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19</v>
      </c>
      <c r="C919" s="1">
        <v>40603</v>
      </c>
      <c r="D919">
        <v>1915347141.49</v>
      </c>
      <c r="E919">
        <v>6</v>
      </c>
    </row>
    <row r="920" spans="2:5">
      <c r="B920" s="1" t="s">
        <v>26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16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19</v>
      </c>
      <c r="C929" s="1">
        <v>40634</v>
      </c>
      <c r="D929">
        <v>2106788705.9200001</v>
      </c>
      <c r="E929">
        <v>6</v>
      </c>
    </row>
    <row r="930" spans="2:5">
      <c r="B930" s="1" t="s">
        <v>26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16</v>
      </c>
      <c r="C932" s="1">
        <v>40634</v>
      </c>
      <c r="D932">
        <v>569714776.50999999</v>
      </c>
      <c r="E932">
        <v>9</v>
      </c>
    </row>
    <row r="933" spans="2:5">
      <c r="B933" s="1" t="s">
        <v>17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19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26</v>
      </c>
      <c r="C940" s="1">
        <v>40664</v>
      </c>
      <c r="D940">
        <v>670283683.65999997</v>
      </c>
      <c r="E940">
        <v>7</v>
      </c>
    </row>
    <row r="941" spans="2:5">
      <c r="B941" s="1" t="s">
        <v>16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23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19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26</v>
      </c>
      <c r="C951" s="1">
        <v>40695</v>
      </c>
      <c r="D951">
        <v>561654246.87</v>
      </c>
      <c r="E951">
        <v>8</v>
      </c>
    </row>
    <row r="952" spans="2:5">
      <c r="B952" s="1" t="s">
        <v>16</v>
      </c>
      <c r="C952" s="1">
        <v>40695</v>
      </c>
      <c r="D952">
        <v>385476927.93000001</v>
      </c>
      <c r="E952">
        <v>9</v>
      </c>
    </row>
    <row r="953" spans="2:5">
      <c r="B953" s="1" t="s">
        <v>23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19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26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16</v>
      </c>
      <c r="C962" s="1">
        <v>40725</v>
      </c>
      <c r="D962">
        <v>388098543.69999999</v>
      </c>
      <c r="E962">
        <v>9</v>
      </c>
    </row>
    <row r="963" spans="2:5">
      <c r="B963" s="1" t="s">
        <v>17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19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26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16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19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26</v>
      </c>
      <c r="C981" s="1">
        <v>40787</v>
      </c>
      <c r="D981">
        <v>723041247.12</v>
      </c>
      <c r="E981">
        <v>8</v>
      </c>
    </row>
    <row r="982" spans="2:5">
      <c r="B982" s="1" t="s">
        <v>16</v>
      </c>
      <c r="C982" s="1">
        <v>40787</v>
      </c>
      <c r="D982">
        <v>257691149.83000001</v>
      </c>
      <c r="E982">
        <v>9</v>
      </c>
    </row>
    <row r="983" spans="2:5">
      <c r="B983" s="1" t="s">
        <v>17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19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32</v>
      </c>
      <c r="C991" s="1">
        <v>40817</v>
      </c>
      <c r="D991">
        <v>818515708.92999995</v>
      </c>
      <c r="E991">
        <v>8</v>
      </c>
    </row>
    <row r="992" spans="2:5">
      <c r="B992" s="1" t="s">
        <v>26</v>
      </c>
      <c r="C992" s="1">
        <v>40817</v>
      </c>
      <c r="D992">
        <v>607535378.60000002</v>
      </c>
      <c r="E992">
        <v>9</v>
      </c>
    </row>
    <row r="993" spans="2:5">
      <c r="B993" s="1" t="s">
        <v>16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19</v>
      </c>
      <c r="C1000" s="1">
        <v>40848</v>
      </c>
      <c r="D1000">
        <v>1808551858.1600001</v>
      </c>
      <c r="E1000">
        <v>7</v>
      </c>
    </row>
    <row r="1001" spans="2:5">
      <c r="B1001" s="1" t="s">
        <v>32</v>
      </c>
      <c r="C1001" s="1">
        <v>40848</v>
      </c>
      <c r="D1001">
        <v>1099145883.3299999</v>
      </c>
      <c r="E1001">
        <v>8</v>
      </c>
    </row>
    <row r="1002" spans="2:5">
      <c r="B1002" s="1" t="s">
        <v>26</v>
      </c>
      <c r="C1002" s="1">
        <v>40848</v>
      </c>
      <c r="D1002">
        <v>781955044.85000002</v>
      </c>
      <c r="E1002">
        <v>9</v>
      </c>
    </row>
    <row r="1003" spans="2:5">
      <c r="B1003" s="1" t="s">
        <v>33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19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32</v>
      </c>
      <c r="C1011" s="1">
        <v>40878</v>
      </c>
      <c r="D1011">
        <v>1412203171.1800001</v>
      </c>
      <c r="E1011">
        <v>8</v>
      </c>
    </row>
    <row r="1012" spans="2:5">
      <c r="B1012" s="1" t="s">
        <v>33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19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32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33</v>
      </c>
      <c r="C1022" s="1">
        <v>40909</v>
      </c>
      <c r="D1022">
        <v>683743002.97000003</v>
      </c>
      <c r="E1022">
        <v>9</v>
      </c>
    </row>
    <row r="1023" spans="2:5">
      <c r="B1023" s="1" t="s">
        <v>28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19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32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26</v>
      </c>
      <c r="C1032" s="1">
        <v>40940</v>
      </c>
      <c r="D1032">
        <v>753973852.75999999</v>
      </c>
      <c r="E1032">
        <v>9</v>
      </c>
    </row>
    <row r="1033" spans="2:5">
      <c r="B1033" s="1" t="s">
        <v>28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32</v>
      </c>
      <c r="C1039" s="1">
        <v>40969</v>
      </c>
      <c r="D1039">
        <v>1757601309.22</v>
      </c>
      <c r="E1039">
        <v>6</v>
      </c>
    </row>
    <row r="1040" spans="2:5">
      <c r="B1040" s="1" t="s">
        <v>19</v>
      </c>
      <c r="C1040" s="1">
        <v>40969</v>
      </c>
      <c r="D1040">
        <v>1392637011.05</v>
      </c>
      <c r="E1040">
        <v>7</v>
      </c>
    </row>
    <row r="1041" spans="2:5">
      <c r="B1041" s="1" t="s">
        <v>26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28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32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19</v>
      </c>
      <c r="C1050" s="1">
        <v>41000</v>
      </c>
      <c r="D1050">
        <v>1497727107.4200001</v>
      </c>
      <c r="E1050">
        <v>7</v>
      </c>
    </row>
    <row r="1051" spans="2:5">
      <c r="B1051" s="1" t="s">
        <v>26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34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19</v>
      </c>
      <c r="C1059" s="1">
        <v>41030</v>
      </c>
      <c r="D1059">
        <v>975876845.86000001</v>
      </c>
      <c r="E1059">
        <v>6</v>
      </c>
    </row>
    <row r="1060" spans="2:5">
      <c r="B1060" s="1" t="s">
        <v>32</v>
      </c>
      <c r="C1060" s="1">
        <v>41030</v>
      </c>
      <c r="D1060">
        <v>749628632.73000002</v>
      </c>
      <c r="E1060">
        <v>7</v>
      </c>
    </row>
    <row r="1061" spans="2:5">
      <c r="B1061" s="1" t="s">
        <v>26</v>
      </c>
      <c r="C1061" s="1">
        <v>41030</v>
      </c>
      <c r="D1061">
        <v>715750834.32000005</v>
      </c>
      <c r="E1061">
        <v>8</v>
      </c>
    </row>
    <row r="1062" spans="2:5">
      <c r="B1062" s="1" t="s">
        <v>18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32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26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19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32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26</v>
      </c>
      <c r="C1080" s="1">
        <v>41091</v>
      </c>
      <c r="D1080">
        <v>1819644112.4000001</v>
      </c>
      <c r="E1080">
        <v>7</v>
      </c>
    </row>
    <row r="1081" spans="2:5">
      <c r="B1081" s="1" t="s">
        <v>19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32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19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26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16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32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19</v>
      </c>
      <c r="C1100" s="1">
        <v>41153</v>
      </c>
      <c r="D1100">
        <v>1681290589.78</v>
      </c>
      <c r="E1100">
        <v>7</v>
      </c>
    </row>
    <row r="1101" spans="2:5">
      <c r="B1101" s="1" t="s">
        <v>26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34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32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19</v>
      </c>
      <c r="C1109" s="1">
        <v>41183</v>
      </c>
      <c r="D1109">
        <v>1966201200.96</v>
      </c>
      <c r="E1109">
        <v>6</v>
      </c>
    </row>
    <row r="1110" spans="2:5">
      <c r="B1110" s="1" t="s">
        <v>26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35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32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26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35</v>
      </c>
      <c r="C1120" s="1">
        <v>41214</v>
      </c>
      <c r="D1120">
        <v>1732847138.78</v>
      </c>
      <c r="E1120">
        <v>7</v>
      </c>
    </row>
    <row r="1121" spans="2:5">
      <c r="B1121" s="1" t="s">
        <v>19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32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35</v>
      </c>
      <c r="C1130" s="1">
        <v>41244</v>
      </c>
      <c r="D1130">
        <v>2250728428.04</v>
      </c>
      <c r="E1130">
        <v>7</v>
      </c>
    </row>
    <row r="1131" spans="2:5">
      <c r="B1131" s="1" t="s">
        <v>19</v>
      </c>
      <c r="C1131" s="1">
        <v>41244</v>
      </c>
      <c r="D1131">
        <v>1993515527.46</v>
      </c>
      <c r="E1131">
        <v>8</v>
      </c>
    </row>
    <row r="1132" spans="2:5">
      <c r="B1132" s="1" t="s">
        <v>36</v>
      </c>
      <c r="C1132" s="1">
        <v>41244</v>
      </c>
      <c r="D1132">
        <v>1584714943.46</v>
      </c>
      <c r="E1132">
        <v>9</v>
      </c>
    </row>
    <row r="1133" spans="2:5">
      <c r="B1133" s="1" t="s">
        <v>26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32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19</v>
      </c>
      <c r="C1138" s="1">
        <v>41275</v>
      </c>
      <c r="D1138">
        <v>2417312711.3600001</v>
      </c>
      <c r="E1138">
        <v>5</v>
      </c>
    </row>
    <row r="1139" spans="2:5">
      <c r="B1139" s="1" t="s">
        <v>35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26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32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19</v>
      </c>
      <c r="C1148" s="1">
        <v>41306</v>
      </c>
      <c r="D1148">
        <v>2348959566.2800002</v>
      </c>
      <c r="E1148">
        <v>5</v>
      </c>
    </row>
    <row r="1149" spans="2:5">
      <c r="B1149" s="1" t="s">
        <v>35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26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32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19</v>
      </c>
      <c r="C1160" s="1">
        <v>41334</v>
      </c>
      <c r="D1160">
        <v>1926771112.8099999</v>
      </c>
      <c r="E1160">
        <v>7</v>
      </c>
    </row>
    <row r="1161" spans="2:5">
      <c r="B1161" s="1" t="s">
        <v>26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32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26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19</v>
      </c>
      <c r="C1172" s="1">
        <v>41365</v>
      </c>
      <c r="D1172">
        <v>714987470.79999995</v>
      </c>
      <c r="E1172">
        <v>9</v>
      </c>
    </row>
    <row r="1173" spans="2:5">
      <c r="B1173" s="1" t="s">
        <v>36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32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37</v>
      </c>
      <c r="C1182" s="1">
        <v>41395</v>
      </c>
      <c r="D1182">
        <v>1034194462.79</v>
      </c>
      <c r="E1182">
        <v>9</v>
      </c>
    </row>
    <row r="1183" spans="2:5">
      <c r="B1183" t="s">
        <v>36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32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26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38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36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32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38</v>
      </c>
      <c r="C1200" s="1">
        <v>41456</v>
      </c>
      <c r="D1200">
        <v>1563390928.6700001</v>
      </c>
      <c r="E1200">
        <v>7</v>
      </c>
    </row>
    <row r="1201" spans="2:5">
      <c r="B1201" t="s">
        <v>36</v>
      </c>
      <c r="C1201" s="1">
        <v>41456</v>
      </c>
      <c r="D1201">
        <v>1165394823.78</v>
      </c>
      <c r="E1201">
        <v>8</v>
      </c>
    </row>
    <row r="1202" spans="2:5">
      <c r="B1202" t="s">
        <v>37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32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38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37</v>
      </c>
      <c r="C1211" s="1">
        <v>41487</v>
      </c>
      <c r="D1211">
        <v>1563932131.55</v>
      </c>
      <c r="E1211">
        <v>8</v>
      </c>
    </row>
    <row r="1212" spans="2:5">
      <c r="B1212" t="s">
        <v>35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32</v>
      </c>
      <c r="C1215" s="1">
        <v>41518</v>
      </c>
      <c r="D1215">
        <v>4099763945.7399998</v>
      </c>
      <c r="E1215">
        <v>2</v>
      </c>
    </row>
    <row r="1216" spans="2:5">
      <c r="B1216" t="s">
        <v>37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38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34</v>
      </c>
      <c r="C1222" s="1">
        <v>41518</v>
      </c>
      <c r="D1222">
        <v>1295687786.72</v>
      </c>
      <c r="E1222">
        <v>9</v>
      </c>
    </row>
    <row r="1223" spans="2:5">
      <c r="B1223" t="s">
        <v>26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32</v>
      </c>
      <c r="C1227" s="1">
        <v>41548</v>
      </c>
      <c r="D1227">
        <v>2353070457.5900002</v>
      </c>
      <c r="E1227">
        <v>4</v>
      </c>
    </row>
    <row r="1228" spans="2:5">
      <c r="B1228" t="s">
        <v>38</v>
      </c>
      <c r="C1228" s="1">
        <v>41548</v>
      </c>
      <c r="D1228">
        <v>1808657114.72</v>
      </c>
      <c r="E1228">
        <v>5</v>
      </c>
    </row>
    <row r="1229" spans="2:5">
      <c r="B1229" t="s">
        <v>37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34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32</v>
      </c>
      <c r="C1236" s="1">
        <v>41579</v>
      </c>
      <c r="D1236">
        <v>1845973493.28</v>
      </c>
      <c r="E1236">
        <v>3</v>
      </c>
    </row>
    <row r="1237" spans="2:5">
      <c r="B1237" t="s">
        <v>37</v>
      </c>
      <c r="C1237" s="1">
        <v>41579</v>
      </c>
      <c r="D1237">
        <v>1714263954.01</v>
      </c>
      <c r="E1237">
        <v>4</v>
      </c>
    </row>
    <row r="1238" spans="2:5">
      <c r="B1238" t="s">
        <v>38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34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32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38</v>
      </c>
      <c r="C1249" s="1">
        <v>41609</v>
      </c>
      <c r="D1249">
        <v>1234168380.74</v>
      </c>
      <c r="E1249">
        <v>6</v>
      </c>
    </row>
    <row r="1250" spans="2:5">
      <c r="B1250" t="s">
        <v>37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39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38</v>
      </c>
      <c r="C1256" s="1">
        <v>41640</v>
      </c>
      <c r="D1256">
        <v>1555357392.6700001</v>
      </c>
      <c r="E1256">
        <v>3</v>
      </c>
    </row>
    <row r="1257" spans="2:5">
      <c r="B1257" t="s">
        <v>32</v>
      </c>
      <c r="C1257" s="1">
        <v>41640</v>
      </c>
      <c r="D1257">
        <v>1417769963.4200001</v>
      </c>
      <c r="E1257">
        <v>4</v>
      </c>
    </row>
    <row r="1258" spans="2:5">
      <c r="B1258" t="s">
        <v>37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22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32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38</v>
      </c>
      <c r="C1267" s="1">
        <v>41671</v>
      </c>
      <c r="D1267">
        <v>1337275043.49</v>
      </c>
      <c r="E1267">
        <v>4</v>
      </c>
    </row>
    <row r="1268" spans="2:5">
      <c r="B1268" t="s">
        <v>37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22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32</v>
      </c>
      <c r="C1276" s="1">
        <v>41699</v>
      </c>
      <c r="D1276">
        <v>1916682883.5699999</v>
      </c>
      <c r="E1276">
        <v>3</v>
      </c>
    </row>
    <row r="1277" spans="2:5">
      <c r="B1277" t="s">
        <v>38</v>
      </c>
      <c r="C1277" s="1">
        <v>41699</v>
      </c>
      <c r="D1277">
        <v>1267206821.6800001</v>
      </c>
      <c r="E1277">
        <v>4</v>
      </c>
    </row>
    <row r="1278" spans="2:5">
      <c r="B1278" t="s">
        <v>37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22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32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37</v>
      </c>
      <c r="C1287" s="1">
        <v>41730</v>
      </c>
      <c r="D1287">
        <v>909424536.85000002</v>
      </c>
      <c r="E1287">
        <v>4</v>
      </c>
    </row>
    <row r="1288" spans="2:5">
      <c r="B1288" t="s">
        <v>38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22</v>
      </c>
      <c r="C1291" s="1">
        <v>41730</v>
      </c>
      <c r="D1291">
        <v>317565010.06999999</v>
      </c>
      <c r="E1291">
        <v>8</v>
      </c>
    </row>
    <row r="1292" spans="2:5">
      <c r="B1292" t="s">
        <v>35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32</v>
      </c>
      <c r="C1296" s="1">
        <v>41760</v>
      </c>
      <c r="D1296">
        <v>1572084510.04</v>
      </c>
      <c r="E1296">
        <v>3</v>
      </c>
    </row>
    <row r="1297" spans="2:5">
      <c r="B1297" t="s">
        <v>38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37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22</v>
      </c>
      <c r="C1301" s="1">
        <v>41760</v>
      </c>
      <c r="D1301">
        <v>468001431.88999999</v>
      </c>
      <c r="E1301">
        <v>8</v>
      </c>
    </row>
    <row r="1302" spans="2:5">
      <c r="B1302" t="s">
        <v>39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32</v>
      </c>
      <c r="C1305" s="1">
        <v>41791</v>
      </c>
      <c r="D1305">
        <v>1523092086.4300001</v>
      </c>
      <c r="E1305">
        <v>2</v>
      </c>
    </row>
    <row r="1306" spans="2:5">
      <c r="B1306" t="s">
        <v>38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37</v>
      </c>
      <c r="C1310" s="1">
        <v>41791</v>
      </c>
      <c r="D1310">
        <v>568052778.69000006</v>
      </c>
      <c r="E1310">
        <v>7</v>
      </c>
    </row>
    <row r="1311" spans="2:5">
      <c r="B1311" t="s">
        <v>39</v>
      </c>
      <c r="C1311" s="1">
        <v>41791</v>
      </c>
      <c r="D1311">
        <v>536538819.19999999</v>
      </c>
      <c r="E1311">
        <v>8</v>
      </c>
    </row>
    <row r="1312" spans="2:5">
      <c r="B1312" t="s">
        <v>22</v>
      </c>
      <c r="C1312" s="1">
        <v>41791</v>
      </c>
      <c r="D1312">
        <v>523383504.5</v>
      </c>
      <c r="E1312">
        <v>9</v>
      </c>
    </row>
    <row r="1313" spans="2:5">
      <c r="B1313" t="s">
        <v>34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32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38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37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22</v>
      </c>
      <c r="C1321" s="1">
        <v>41821</v>
      </c>
      <c r="D1321">
        <v>594661694.71000004</v>
      </c>
      <c r="E1321">
        <v>8</v>
      </c>
    </row>
    <row r="1322" spans="2:5">
      <c r="B1322" t="s">
        <v>39</v>
      </c>
      <c r="C1322" s="1">
        <v>41821</v>
      </c>
      <c r="D1322">
        <v>471094129.24000001</v>
      </c>
      <c r="E1322">
        <v>9</v>
      </c>
    </row>
    <row r="1323" spans="2:5">
      <c r="B1323" t="s">
        <v>35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32</v>
      </c>
      <c r="C1325" s="1">
        <v>41852</v>
      </c>
      <c r="D1325">
        <v>2299190742.25</v>
      </c>
      <c r="E1325">
        <v>2</v>
      </c>
    </row>
    <row r="1326" spans="2:5">
      <c r="B1326" t="s">
        <v>38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22</v>
      </c>
      <c r="C1328" s="1">
        <v>41852</v>
      </c>
      <c r="D1328">
        <v>819739915.15999997</v>
      </c>
      <c r="E1328">
        <v>5</v>
      </c>
    </row>
    <row r="1329" spans="2:5">
      <c r="B1329" t="s">
        <v>26</v>
      </c>
      <c r="C1329" s="1">
        <v>41852</v>
      </c>
      <c r="D1329">
        <v>765661024.61000001</v>
      </c>
      <c r="E1329">
        <v>6</v>
      </c>
    </row>
    <row r="1330" spans="2:5">
      <c r="B1330" t="s">
        <v>37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35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32</v>
      </c>
      <c r="C1335" s="1">
        <v>41883</v>
      </c>
      <c r="D1335">
        <v>2188451666.4499998</v>
      </c>
      <c r="E1335">
        <v>2</v>
      </c>
    </row>
    <row r="1336" spans="2:5">
      <c r="B1336" t="s">
        <v>38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37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26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35</v>
      </c>
      <c r="C1342" s="1">
        <v>41883</v>
      </c>
      <c r="D1342">
        <v>460490700.62</v>
      </c>
      <c r="E1342">
        <v>9</v>
      </c>
    </row>
    <row r="1343" spans="2:5">
      <c r="B1343" t="s">
        <v>39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26</v>
      </c>
      <c r="C1346" s="1">
        <v>41913</v>
      </c>
      <c r="D1346">
        <v>2783280665.23</v>
      </c>
      <c r="E1346">
        <v>3</v>
      </c>
    </row>
    <row r="1347" spans="2:5">
      <c r="B1347" t="s">
        <v>32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38</v>
      </c>
      <c r="C1349" s="1">
        <v>41913</v>
      </c>
      <c r="D1349">
        <v>1535983379.74</v>
      </c>
      <c r="E1349">
        <v>6</v>
      </c>
    </row>
    <row r="1350" spans="2:5">
      <c r="B1350" t="s">
        <v>37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22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32</v>
      </c>
      <c r="C1356" s="1">
        <v>41944</v>
      </c>
      <c r="D1356">
        <v>2036061242.9100001</v>
      </c>
      <c r="E1356">
        <v>3</v>
      </c>
    </row>
    <row r="1357" spans="2:5">
      <c r="B1357" t="s">
        <v>38</v>
      </c>
      <c r="C1357" s="1">
        <v>41944</v>
      </c>
      <c r="D1357">
        <v>1531899596.8499999</v>
      </c>
      <c r="E1357">
        <v>4</v>
      </c>
    </row>
    <row r="1358" spans="2:5">
      <c r="B1358" t="s">
        <v>26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37</v>
      </c>
      <c r="C1360" s="1">
        <v>41944</v>
      </c>
      <c r="D1360">
        <v>834463365.48000002</v>
      </c>
      <c r="E1360">
        <v>7</v>
      </c>
    </row>
    <row r="1361" spans="2:5">
      <c r="B1361" t="s">
        <v>22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35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32</v>
      </c>
      <c r="C1367" s="1">
        <v>41974</v>
      </c>
      <c r="D1367">
        <v>2764147676.1700001</v>
      </c>
      <c r="E1367">
        <v>4</v>
      </c>
    </row>
    <row r="1368" spans="2:5">
      <c r="B1368" t="s">
        <v>38</v>
      </c>
      <c r="C1368" s="1">
        <v>41974</v>
      </c>
      <c r="D1368">
        <v>1389426710.6099999</v>
      </c>
      <c r="E1368">
        <v>5</v>
      </c>
    </row>
    <row r="1369" spans="2:5">
      <c r="B1369" t="s">
        <v>37</v>
      </c>
      <c r="C1369" s="1">
        <v>41974</v>
      </c>
      <c r="D1369">
        <v>805943904.73000002</v>
      </c>
      <c r="E1369">
        <v>6</v>
      </c>
    </row>
    <row r="1370" spans="2:5">
      <c r="B1370" t="s">
        <v>26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39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32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38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37</v>
      </c>
      <c r="C1380" s="1">
        <v>42005</v>
      </c>
      <c r="D1380">
        <v>758991275.28999996</v>
      </c>
      <c r="E1380">
        <v>7</v>
      </c>
    </row>
    <row r="1381" spans="2:5">
      <c r="B1381" t="s">
        <v>39</v>
      </c>
      <c r="C1381" s="1">
        <v>42005</v>
      </c>
      <c r="D1381">
        <v>657873548.25</v>
      </c>
      <c r="E1381">
        <v>8</v>
      </c>
    </row>
    <row r="1382" spans="2:5">
      <c r="B1382" t="s">
        <v>26</v>
      </c>
      <c r="C1382" s="1">
        <v>42005</v>
      </c>
      <c r="D1382">
        <v>645169719.35000002</v>
      </c>
      <c r="E1382">
        <v>9</v>
      </c>
    </row>
    <row r="1383" spans="2:5">
      <c r="B1383" t="s">
        <v>22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32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38</v>
      </c>
      <c r="C1387" s="1">
        <v>42036</v>
      </c>
      <c r="D1387">
        <v>1234949707.1900001</v>
      </c>
      <c r="E1387">
        <v>4</v>
      </c>
    </row>
    <row r="1388" spans="2:5">
      <c r="B1388" t="s">
        <v>39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26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37</v>
      </c>
      <c r="C1392" s="1">
        <v>42036</v>
      </c>
      <c r="D1392">
        <v>556166429.88999999</v>
      </c>
      <c r="E1392">
        <v>9</v>
      </c>
    </row>
    <row r="1393" spans="2:5">
      <c r="B1393" t="s">
        <v>22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32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38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26</v>
      </c>
      <c r="C1399" s="1">
        <v>42064</v>
      </c>
      <c r="D1399">
        <v>839249502.65999997</v>
      </c>
      <c r="E1399">
        <v>6</v>
      </c>
    </row>
    <row r="1400" spans="2:5">
      <c r="B1400" t="s">
        <v>37</v>
      </c>
      <c r="C1400" s="1">
        <v>42064</v>
      </c>
      <c r="D1400">
        <v>800403329.84000003</v>
      </c>
      <c r="E1400">
        <v>7</v>
      </c>
    </row>
    <row r="1401" spans="2:5">
      <c r="B1401" t="s">
        <v>39</v>
      </c>
      <c r="C1401" s="1">
        <v>42064</v>
      </c>
      <c r="D1401">
        <v>646809552.53999996</v>
      </c>
      <c r="E1401">
        <v>8</v>
      </c>
    </row>
    <row r="1402" spans="2:5">
      <c r="B1402" t="s">
        <v>22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9"/>
  <sheetViews>
    <sheetView workbookViewId="0">
      <selection activeCell="C3" sqref="C3:D3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45</v>
      </c>
      <c r="K1" s="2" t="s">
        <v>3</v>
      </c>
      <c r="L1" s="5">
        <v>1</v>
      </c>
    </row>
    <row r="2" spans="3:12">
      <c r="C2" t="s">
        <v>44</v>
      </c>
      <c r="G2" t="s">
        <v>46</v>
      </c>
      <c r="K2" t="s">
        <v>47</v>
      </c>
    </row>
    <row r="3" spans="3:12">
      <c r="C3" s="2" t="s">
        <v>40</v>
      </c>
      <c r="D3" t="s">
        <v>42</v>
      </c>
      <c r="G3" s="2" t="s">
        <v>40</v>
      </c>
      <c r="H3" t="s">
        <v>42</v>
      </c>
      <c r="K3" s="2" t="s">
        <v>40</v>
      </c>
      <c r="L3" t="s">
        <v>42</v>
      </c>
    </row>
    <row r="4" spans="3:12">
      <c r="C4" s="3">
        <v>39083</v>
      </c>
      <c r="D4" s="4">
        <v>5917837957.0899992</v>
      </c>
      <c r="G4" s="3">
        <v>39083</v>
      </c>
      <c r="H4" s="4">
        <v>4675271846</v>
      </c>
      <c r="K4" s="3">
        <v>39083</v>
      </c>
      <c r="L4" s="4">
        <v>1816782123.1800001</v>
      </c>
    </row>
    <row r="5" spans="3:12">
      <c r="C5" s="3">
        <v>39114</v>
      </c>
      <c r="D5" s="4">
        <v>4819569329.3100004</v>
      </c>
      <c r="G5" s="3">
        <v>39114</v>
      </c>
      <c r="H5" s="4">
        <v>3707608545.3900003</v>
      </c>
      <c r="K5" s="3">
        <v>39114</v>
      </c>
      <c r="L5" s="4">
        <v>1621110935.21</v>
      </c>
    </row>
    <row r="6" spans="3:12">
      <c r="C6" s="3">
        <v>39142</v>
      </c>
      <c r="D6" s="4">
        <v>5236806934.5200005</v>
      </c>
      <c r="G6" s="3">
        <v>39142</v>
      </c>
      <c r="H6" s="4">
        <v>3885155136.0299997</v>
      </c>
      <c r="K6" s="3">
        <v>39142</v>
      </c>
      <c r="L6" s="4">
        <v>1136163344.1300001</v>
      </c>
    </row>
    <row r="7" spans="3:12">
      <c r="C7" s="3">
        <v>39173</v>
      </c>
      <c r="D7" s="4">
        <v>5752688319.5200014</v>
      </c>
      <c r="G7" s="3">
        <v>39173</v>
      </c>
      <c r="H7" s="4">
        <v>4308137234.5500002</v>
      </c>
      <c r="K7" s="3">
        <v>39173</v>
      </c>
      <c r="L7" s="4">
        <v>1386094463.95</v>
      </c>
    </row>
    <row r="8" spans="3:12">
      <c r="C8" s="3">
        <v>39203</v>
      </c>
      <c r="D8" s="4">
        <v>6627094777.0699997</v>
      </c>
      <c r="G8" s="3">
        <v>39203</v>
      </c>
      <c r="H8" s="4">
        <v>5203595070.6300011</v>
      </c>
      <c r="K8" s="3">
        <v>39203</v>
      </c>
      <c r="L8" s="4">
        <v>1527666445.4200001</v>
      </c>
    </row>
    <row r="9" spans="3:12">
      <c r="C9" s="3">
        <v>39234</v>
      </c>
      <c r="D9" s="4">
        <v>7624572480.1800013</v>
      </c>
      <c r="G9" s="3">
        <v>39234</v>
      </c>
      <c r="H9" s="4">
        <v>5902134383.0900011</v>
      </c>
      <c r="K9" s="3">
        <v>39234</v>
      </c>
      <c r="L9" s="4">
        <v>1823409047.55</v>
      </c>
    </row>
    <row r="10" spans="3:12">
      <c r="C10" s="3">
        <v>39264</v>
      </c>
      <c r="D10" s="4">
        <v>8258481569.0299997</v>
      </c>
      <c r="G10" s="3">
        <v>39264</v>
      </c>
      <c r="H10" s="4">
        <v>6436321428.1300001</v>
      </c>
      <c r="K10" s="3">
        <v>39264</v>
      </c>
      <c r="L10" s="4">
        <v>2191372591.8000002</v>
      </c>
    </row>
    <row r="11" spans="3:12">
      <c r="C11" s="3">
        <v>39295</v>
      </c>
      <c r="D11" s="4">
        <v>9249250882.0799999</v>
      </c>
      <c r="G11" s="3">
        <v>39295</v>
      </c>
      <c r="H11" s="4">
        <v>7040787872.7600002</v>
      </c>
      <c r="K11" s="3">
        <v>39295</v>
      </c>
      <c r="L11" s="4">
        <v>2199361792.6500001</v>
      </c>
    </row>
    <row r="12" spans="3:12">
      <c r="C12" s="3">
        <v>39326</v>
      </c>
      <c r="D12" s="4">
        <v>8170390845.2800007</v>
      </c>
      <c r="G12" s="3">
        <v>39326</v>
      </c>
      <c r="H12" s="4">
        <v>6529052107.9900007</v>
      </c>
      <c r="K12" s="3">
        <v>39326</v>
      </c>
      <c r="L12" s="4">
        <v>2100244827.6099999</v>
      </c>
    </row>
    <row r="13" spans="3:12">
      <c r="C13" s="3">
        <v>39356</v>
      </c>
      <c r="D13" s="4">
        <v>9326868083.7999992</v>
      </c>
      <c r="G13" s="3">
        <v>39356</v>
      </c>
      <c r="H13" s="4">
        <v>7162808102.2799997</v>
      </c>
      <c r="K13" s="3">
        <v>39356</v>
      </c>
      <c r="L13" s="4">
        <v>1942871547.53</v>
      </c>
    </row>
    <row r="14" spans="3:12">
      <c r="C14" s="3">
        <v>39387</v>
      </c>
      <c r="D14" s="4">
        <v>9448859486.9599991</v>
      </c>
      <c r="G14" s="3">
        <v>39387</v>
      </c>
      <c r="H14" s="4">
        <v>7178740230.6700001</v>
      </c>
      <c r="K14" s="3">
        <v>39387</v>
      </c>
      <c r="L14" s="4">
        <v>2053183704.1099999</v>
      </c>
    </row>
    <row r="15" spans="3:12">
      <c r="C15" s="3">
        <v>39417</v>
      </c>
      <c r="D15" s="4">
        <v>10973397940.699999</v>
      </c>
      <c r="G15" s="3">
        <v>39417</v>
      </c>
      <c r="H15" s="4">
        <v>8596153165.3600006</v>
      </c>
      <c r="K15" s="3">
        <v>39417</v>
      </c>
      <c r="L15" s="4">
        <v>2610711823.8800001</v>
      </c>
    </row>
    <row r="16" spans="3:12">
      <c r="C16" s="3">
        <v>39448</v>
      </c>
      <c r="D16" s="4">
        <v>11576202368.27</v>
      </c>
      <c r="G16" s="3">
        <v>39448</v>
      </c>
      <c r="H16" s="4">
        <v>9595662918.3299999</v>
      </c>
      <c r="K16" s="3">
        <v>39448</v>
      </c>
      <c r="L16" s="4">
        <v>2683651040.4299998</v>
      </c>
    </row>
    <row r="17" spans="3:12">
      <c r="C17" s="3">
        <v>39479</v>
      </c>
      <c r="D17" s="4">
        <v>10960147633.5</v>
      </c>
      <c r="G17" s="3">
        <v>39479</v>
      </c>
      <c r="H17" s="4">
        <v>8866585818.8600006</v>
      </c>
      <c r="K17" s="3">
        <v>39479</v>
      </c>
      <c r="L17" s="4">
        <v>2482933120.71</v>
      </c>
    </row>
    <row r="18" spans="3:12">
      <c r="C18" s="3">
        <v>39508</v>
      </c>
      <c r="D18" s="4">
        <v>13798702266.43</v>
      </c>
      <c r="G18" s="3">
        <v>39508</v>
      </c>
      <c r="H18" s="4">
        <v>11303577377.16</v>
      </c>
      <c r="K18" s="3">
        <v>39508</v>
      </c>
      <c r="L18" s="4">
        <v>3560147160.0799999</v>
      </c>
    </row>
    <row r="19" spans="3:12">
      <c r="C19" s="3">
        <v>39539</v>
      </c>
      <c r="D19" s="4">
        <v>17836824698.27</v>
      </c>
      <c r="G19" s="3">
        <v>39539</v>
      </c>
      <c r="H19" s="4">
        <v>14516045890.940002</v>
      </c>
      <c r="K19" s="3">
        <v>39539</v>
      </c>
      <c r="L19" s="4">
        <v>4623451382.9700003</v>
      </c>
    </row>
    <row r="20" spans="3:12">
      <c r="C20" s="3">
        <v>39569</v>
      </c>
      <c r="D20" s="4">
        <v>19741794646.82</v>
      </c>
      <c r="G20" s="3">
        <v>39569</v>
      </c>
      <c r="H20" s="4">
        <v>15812654388.58</v>
      </c>
      <c r="K20" s="3">
        <v>39569</v>
      </c>
      <c r="L20" s="4">
        <v>4941795296.04</v>
      </c>
    </row>
    <row r="21" spans="3:12">
      <c r="C21" s="3">
        <v>39600</v>
      </c>
      <c r="D21" s="4">
        <v>25833038129.700005</v>
      </c>
      <c r="G21" s="3">
        <v>39600</v>
      </c>
      <c r="H21" s="4">
        <v>21188136959.960003</v>
      </c>
      <c r="K21" s="3">
        <v>39600</v>
      </c>
      <c r="L21" s="4">
        <v>6834874504.6000004</v>
      </c>
    </row>
    <row r="22" spans="3:12">
      <c r="C22" s="3">
        <v>39630</v>
      </c>
      <c r="D22" s="4">
        <v>24579644788.880005</v>
      </c>
      <c r="G22" s="3">
        <v>39630</v>
      </c>
      <c r="H22" s="4">
        <v>20600904938.459999</v>
      </c>
      <c r="K22" s="3">
        <v>39630</v>
      </c>
      <c r="L22" s="4">
        <v>6822327712.9200001</v>
      </c>
    </row>
    <row r="23" spans="3:12">
      <c r="C23" s="3">
        <v>39661</v>
      </c>
      <c r="D23" s="4">
        <v>26556813481.310001</v>
      </c>
      <c r="G23" s="3">
        <v>39661</v>
      </c>
      <c r="H23" s="4">
        <v>21796330771.130001</v>
      </c>
      <c r="K23" s="3">
        <v>39661</v>
      </c>
      <c r="L23" s="4">
        <v>6371064207.1199999</v>
      </c>
    </row>
    <row r="24" spans="3:12">
      <c r="C24" s="3">
        <v>39692</v>
      </c>
      <c r="D24" s="4">
        <v>25240719264.77</v>
      </c>
      <c r="G24" s="3">
        <v>39692</v>
      </c>
      <c r="H24" s="4">
        <v>20580692484.290001</v>
      </c>
      <c r="K24" s="3">
        <v>39692</v>
      </c>
      <c r="L24" s="4">
        <v>6775744846.46</v>
      </c>
    </row>
    <row r="25" spans="3:12">
      <c r="C25" s="3">
        <v>39722</v>
      </c>
      <c r="D25" s="4">
        <v>27080952679.310001</v>
      </c>
      <c r="G25" s="3">
        <v>39722</v>
      </c>
      <c r="H25" s="4">
        <v>21462799846.620003</v>
      </c>
      <c r="K25" s="3">
        <v>39722</v>
      </c>
      <c r="L25" s="4">
        <v>7764734798.4499998</v>
      </c>
    </row>
    <row r="26" spans="3:12">
      <c r="C26" s="3">
        <v>39753</v>
      </c>
      <c r="D26" s="4">
        <v>24497335155.529999</v>
      </c>
      <c r="G26" s="3">
        <v>39753</v>
      </c>
      <c r="H26" s="4">
        <v>19939874282.739998</v>
      </c>
      <c r="K26" s="3">
        <v>39753</v>
      </c>
      <c r="L26" s="4">
        <v>6885955341.3299999</v>
      </c>
    </row>
    <row r="27" spans="3:12">
      <c r="C27" s="3">
        <v>39783</v>
      </c>
      <c r="D27" s="4">
        <v>20966060078.980003</v>
      </c>
      <c r="G27" s="3">
        <v>39783</v>
      </c>
      <c r="H27" s="4">
        <v>17026231655.48</v>
      </c>
      <c r="K27" s="3">
        <v>39783</v>
      </c>
      <c r="L27" s="4">
        <v>6077494849.25</v>
      </c>
    </row>
    <row r="28" spans="3:12">
      <c r="C28" s="3">
        <v>39814</v>
      </c>
      <c r="D28" s="4">
        <v>25014444927.390003</v>
      </c>
      <c r="G28" s="3">
        <v>39814</v>
      </c>
      <c r="H28" s="4">
        <v>20747600705.23</v>
      </c>
      <c r="K28" s="3">
        <v>39814</v>
      </c>
      <c r="L28" s="4">
        <v>7661923102.8999996</v>
      </c>
    </row>
    <row r="29" spans="3:12">
      <c r="C29" s="3">
        <v>39845</v>
      </c>
      <c r="D29" s="4">
        <v>24601026802.229996</v>
      </c>
      <c r="G29" s="3">
        <v>39845</v>
      </c>
      <c r="H29" s="4">
        <v>20299507560.999996</v>
      </c>
      <c r="K29" s="3">
        <v>39845</v>
      </c>
      <c r="L29" s="4">
        <v>7456714182.4200001</v>
      </c>
    </row>
    <row r="30" spans="3:12">
      <c r="C30" s="3">
        <v>39873</v>
      </c>
      <c r="D30" s="4">
        <v>31299507089.720001</v>
      </c>
      <c r="G30" s="3">
        <v>39873</v>
      </c>
      <c r="H30" s="4">
        <v>27212511542</v>
      </c>
      <c r="K30" s="3">
        <v>39873</v>
      </c>
      <c r="L30" s="4">
        <v>9840119923.4899998</v>
      </c>
    </row>
    <row r="31" spans="3:12">
      <c r="C31" s="3">
        <v>39904</v>
      </c>
      <c r="D31" s="4">
        <v>31092833796.91</v>
      </c>
      <c r="G31" s="3">
        <v>39904</v>
      </c>
      <c r="H31" s="4">
        <v>26813746824.889999</v>
      </c>
      <c r="K31" s="3">
        <v>39904</v>
      </c>
      <c r="L31" s="4">
        <v>10904817516.51</v>
      </c>
    </row>
    <row r="32" spans="3:12">
      <c r="C32" s="3">
        <v>39934</v>
      </c>
      <c r="D32" s="4">
        <v>33154347314.420002</v>
      </c>
      <c r="G32" s="3">
        <v>39934</v>
      </c>
      <c r="H32" s="4">
        <v>28328844921.690002</v>
      </c>
      <c r="K32" s="3">
        <v>39934</v>
      </c>
      <c r="L32" s="4">
        <v>10840958471.42</v>
      </c>
    </row>
    <row r="33" spans="3:12">
      <c r="C33" s="3">
        <v>39965</v>
      </c>
      <c r="D33" s="4">
        <v>37868950862.260002</v>
      </c>
      <c r="G33" s="3">
        <v>39965</v>
      </c>
      <c r="H33" s="4">
        <v>32604155845.400002</v>
      </c>
      <c r="K33" s="3">
        <v>39965</v>
      </c>
      <c r="L33" s="4">
        <v>12232694325.1</v>
      </c>
    </row>
    <row r="34" spans="3:12">
      <c r="C34" s="3">
        <v>39995</v>
      </c>
      <c r="D34" s="4">
        <v>38944650795.19001</v>
      </c>
      <c r="G34" s="3">
        <v>39995</v>
      </c>
      <c r="H34" s="4">
        <v>34043613665.380001</v>
      </c>
      <c r="K34" s="3">
        <v>39995</v>
      </c>
      <c r="L34" s="4">
        <v>14499431718.969999</v>
      </c>
    </row>
    <row r="35" spans="3:12">
      <c r="C35" s="3">
        <v>40026</v>
      </c>
      <c r="D35" s="4">
        <v>37366595070.600006</v>
      </c>
      <c r="G35" s="3">
        <v>40026</v>
      </c>
      <c r="H35" s="4">
        <v>32727942340.760002</v>
      </c>
      <c r="K35" s="3">
        <v>40026</v>
      </c>
      <c r="L35" s="4">
        <v>11769183271.27</v>
      </c>
    </row>
    <row r="36" spans="3:12">
      <c r="C36" s="3">
        <v>40057</v>
      </c>
      <c r="D36" s="4">
        <v>33968250061.269997</v>
      </c>
      <c r="G36" s="3">
        <v>40057</v>
      </c>
      <c r="H36" s="4">
        <v>29406120687.719997</v>
      </c>
      <c r="K36" s="3">
        <v>40057</v>
      </c>
      <c r="L36" s="4">
        <v>10548837061.57</v>
      </c>
    </row>
    <row r="37" spans="3:12">
      <c r="C37" s="3">
        <v>40087</v>
      </c>
      <c r="D37" s="4">
        <v>31511593820.119995</v>
      </c>
      <c r="G37" s="3">
        <v>40087</v>
      </c>
      <c r="H37" s="4">
        <v>28210005654.139996</v>
      </c>
      <c r="K37" s="3">
        <v>40087</v>
      </c>
      <c r="L37" s="4">
        <v>11250233115.889999</v>
      </c>
    </row>
    <row r="38" spans="3:12">
      <c r="C38" s="3">
        <v>40118</v>
      </c>
      <c r="D38" s="4">
        <v>28779506693.819996</v>
      </c>
      <c r="G38" s="3">
        <v>40118</v>
      </c>
      <c r="H38" s="4">
        <v>25228895915.689999</v>
      </c>
      <c r="K38" s="3">
        <v>40118</v>
      </c>
      <c r="L38" s="4">
        <v>10156126817.549999</v>
      </c>
    </row>
    <row r="39" spans="3:12">
      <c r="C39" s="3">
        <v>40148</v>
      </c>
      <c r="D39" s="4">
        <v>34524145521.199997</v>
      </c>
      <c r="G39" s="3">
        <v>40148</v>
      </c>
      <c r="H39" s="4">
        <v>30839093752.029999</v>
      </c>
      <c r="K39" s="3">
        <v>40148</v>
      </c>
      <c r="L39" s="4">
        <v>11821319577.99</v>
      </c>
    </row>
    <row r="40" spans="3:12">
      <c r="C40" s="3">
        <v>40179</v>
      </c>
      <c r="D40" s="4">
        <v>31352105196.579998</v>
      </c>
      <c r="G40" s="3">
        <v>40179</v>
      </c>
      <c r="H40" s="4">
        <v>28809588837.969997</v>
      </c>
      <c r="K40" s="3">
        <v>40179</v>
      </c>
      <c r="L40" s="4">
        <v>13534574647.27</v>
      </c>
    </row>
    <row r="41" spans="3:12">
      <c r="C41" s="3">
        <v>40210</v>
      </c>
      <c r="D41" s="4">
        <v>23697861082.779999</v>
      </c>
      <c r="G41" s="3">
        <v>40210</v>
      </c>
      <c r="H41" s="4">
        <v>21554168003.59</v>
      </c>
      <c r="K41" s="3">
        <v>40210</v>
      </c>
      <c r="L41" s="4">
        <v>9571877686.3199997</v>
      </c>
    </row>
    <row r="42" spans="3:12">
      <c r="C42" s="3">
        <v>40238</v>
      </c>
      <c r="D42" s="4">
        <v>18536432575.27</v>
      </c>
      <c r="G42" s="3">
        <v>40238</v>
      </c>
      <c r="H42" s="4">
        <v>16719112110.120003</v>
      </c>
      <c r="K42" s="3">
        <v>40238</v>
      </c>
      <c r="L42" s="4">
        <v>6596684007.1000004</v>
      </c>
    </row>
    <row r="43" spans="3:12">
      <c r="C43" s="3">
        <v>40269</v>
      </c>
      <c r="D43" s="4">
        <v>26850360161.200005</v>
      </c>
      <c r="G43" s="3">
        <v>40269</v>
      </c>
      <c r="H43" s="4">
        <v>24765902790.620003</v>
      </c>
      <c r="K43" s="3">
        <v>40269</v>
      </c>
      <c r="L43" s="4">
        <v>11766642358.6</v>
      </c>
    </row>
    <row r="44" spans="3:12">
      <c r="C44" s="3">
        <v>40299</v>
      </c>
      <c r="D44" s="4">
        <v>27986292397.510002</v>
      </c>
      <c r="G44" s="3">
        <v>40299</v>
      </c>
      <c r="H44" s="4">
        <v>25758615652.040001</v>
      </c>
      <c r="K44" s="3">
        <v>40299</v>
      </c>
      <c r="L44" s="4">
        <v>11166499668.83</v>
      </c>
    </row>
    <row r="45" spans="3:12">
      <c r="C45" s="3">
        <v>40330</v>
      </c>
      <c r="D45" s="4">
        <v>27998790604.990002</v>
      </c>
      <c r="G45" s="3">
        <v>40330</v>
      </c>
      <c r="H45" s="4">
        <v>25726928354.880001</v>
      </c>
      <c r="K45" s="3">
        <v>40330</v>
      </c>
      <c r="L45" s="4">
        <v>10245994592.219999</v>
      </c>
    </row>
    <row r="46" spans="3:12">
      <c r="C46" s="3">
        <v>40360</v>
      </c>
      <c r="D46" s="4">
        <v>29449474088.269997</v>
      </c>
      <c r="G46" s="3">
        <v>40360</v>
      </c>
      <c r="H46" s="4">
        <v>27264833278.610001</v>
      </c>
      <c r="K46" s="3">
        <v>40360</v>
      </c>
      <c r="L46" s="4">
        <v>11078139845.860001</v>
      </c>
    </row>
    <row r="47" spans="3:12">
      <c r="C47" s="3">
        <v>40391</v>
      </c>
      <c r="D47" s="4">
        <v>27387295350.240002</v>
      </c>
      <c r="G47" s="3">
        <v>40391</v>
      </c>
      <c r="H47" s="4">
        <v>25097205409.360004</v>
      </c>
      <c r="K47" s="3">
        <v>40391</v>
      </c>
      <c r="L47" s="4">
        <v>10171561922.290001</v>
      </c>
    </row>
    <row r="48" spans="3:12">
      <c r="C48" s="3">
        <v>40422</v>
      </c>
      <c r="D48" s="4">
        <v>27643255244.669998</v>
      </c>
      <c r="G48" s="3">
        <v>40422</v>
      </c>
      <c r="H48" s="4">
        <v>24861882404.239998</v>
      </c>
      <c r="K48" s="3">
        <v>40422</v>
      </c>
      <c r="L48" s="4">
        <v>10352868746.57</v>
      </c>
    </row>
    <row r="49" spans="3:12">
      <c r="C49" s="3">
        <v>40452</v>
      </c>
      <c r="D49" s="4">
        <v>27726552763.619995</v>
      </c>
      <c r="G49" s="3">
        <v>40452</v>
      </c>
      <c r="H49" s="4">
        <v>24390881083.309998</v>
      </c>
      <c r="K49" s="3">
        <v>40452</v>
      </c>
      <c r="L49" s="4">
        <v>9784331441.9799995</v>
      </c>
    </row>
    <row r="50" spans="3:12">
      <c r="C50" s="3">
        <v>40483</v>
      </c>
      <c r="D50" s="4">
        <v>26784117519.900002</v>
      </c>
      <c r="G50" s="3">
        <v>40483</v>
      </c>
      <c r="H50" s="4">
        <v>23635234930.169998</v>
      </c>
      <c r="K50" s="3">
        <v>40483</v>
      </c>
      <c r="L50" s="4">
        <v>9449755251.1200008</v>
      </c>
    </row>
    <row r="51" spans="3:12">
      <c r="C51" s="3">
        <v>40513</v>
      </c>
      <c r="D51" s="4">
        <v>26329184574.32</v>
      </c>
      <c r="G51" s="3">
        <v>40513</v>
      </c>
      <c r="H51" s="4">
        <v>23277080462.27</v>
      </c>
      <c r="K51" s="3">
        <v>40513</v>
      </c>
      <c r="L51" s="4">
        <v>11196638571.49</v>
      </c>
    </row>
    <row r="52" spans="3:12">
      <c r="C52" s="3">
        <v>40544</v>
      </c>
      <c r="D52" s="4">
        <v>27626694683.829998</v>
      </c>
      <c r="G52" s="3">
        <v>40544</v>
      </c>
      <c r="H52" s="4">
        <v>24825250754.84</v>
      </c>
      <c r="K52" s="3">
        <v>40544</v>
      </c>
      <c r="L52" s="4">
        <v>11191306140.16</v>
      </c>
    </row>
    <row r="53" spans="3:12">
      <c r="C53" s="3">
        <v>40575</v>
      </c>
      <c r="D53" s="4">
        <v>19885081535.800003</v>
      </c>
      <c r="G53" s="3">
        <v>40575</v>
      </c>
      <c r="H53" s="4">
        <v>18049691867.450001</v>
      </c>
      <c r="K53" s="3">
        <v>40575</v>
      </c>
      <c r="L53" s="4">
        <v>8086549745.5299997</v>
      </c>
    </row>
    <row r="54" spans="3:12">
      <c r="C54" s="3">
        <v>40603</v>
      </c>
      <c r="D54" s="4">
        <v>18079427243.530003</v>
      </c>
      <c r="G54" s="3">
        <v>40603</v>
      </c>
      <c r="H54" s="4">
        <v>16255693778.460003</v>
      </c>
      <c r="K54" s="3">
        <v>40603</v>
      </c>
      <c r="L54" s="4">
        <v>7142348227.9899998</v>
      </c>
    </row>
    <row r="55" spans="3:12">
      <c r="C55" s="3">
        <v>40634</v>
      </c>
      <c r="D55" s="4">
        <v>18733585716.43</v>
      </c>
      <c r="G55" s="3">
        <v>40634</v>
      </c>
      <c r="H55" s="4">
        <v>16944679060.639999</v>
      </c>
      <c r="K55" s="3">
        <v>40634</v>
      </c>
      <c r="L55" s="4">
        <v>7487569923.4700003</v>
      </c>
    </row>
    <row r="56" spans="3:12">
      <c r="C56" s="3">
        <v>40664</v>
      </c>
      <c r="D56" s="4">
        <v>18442308639.66</v>
      </c>
      <c r="G56" s="3">
        <v>40664</v>
      </c>
      <c r="H56" s="4">
        <v>16633347989.009998</v>
      </c>
      <c r="K56" s="3">
        <v>40664</v>
      </c>
      <c r="L56" s="4">
        <v>7485893519.21</v>
      </c>
    </row>
    <row r="57" spans="3:12">
      <c r="C57" s="3">
        <v>40695</v>
      </c>
      <c r="D57" s="4">
        <v>19837089412.07</v>
      </c>
      <c r="G57" s="3">
        <v>40695</v>
      </c>
      <c r="H57" s="4">
        <v>17662844612.689999</v>
      </c>
      <c r="K57" s="3">
        <v>40695</v>
      </c>
      <c r="L57" s="4">
        <v>8037102017.3699999</v>
      </c>
    </row>
    <row r="58" spans="3:12">
      <c r="C58" s="3">
        <v>40725</v>
      </c>
      <c r="D58" s="4">
        <v>20105755941.52</v>
      </c>
      <c r="G58" s="3">
        <v>40725</v>
      </c>
      <c r="H58" s="4">
        <v>18027575682.260002</v>
      </c>
      <c r="K58" s="3">
        <v>40725</v>
      </c>
      <c r="L58" s="4">
        <v>8290598483.0799999</v>
      </c>
    </row>
    <row r="59" spans="3:12">
      <c r="C59" s="3">
        <v>40756</v>
      </c>
      <c r="D59" s="4">
        <v>20304823559.120003</v>
      </c>
      <c r="G59" s="3">
        <v>40756</v>
      </c>
      <c r="H59" s="4">
        <v>18285913390.110001</v>
      </c>
      <c r="K59" s="3">
        <v>40756</v>
      </c>
      <c r="L59" s="4">
        <v>9235841028.9400005</v>
      </c>
    </row>
    <row r="60" spans="3:12">
      <c r="C60" s="3">
        <v>40787</v>
      </c>
      <c r="D60" s="4">
        <v>20485229215.440002</v>
      </c>
      <c r="G60" s="3">
        <v>40787</v>
      </c>
      <c r="H60" s="4">
        <v>17394668684.389999</v>
      </c>
      <c r="K60" s="3">
        <v>40787</v>
      </c>
      <c r="L60" s="4">
        <v>9495614488.8299999</v>
      </c>
    </row>
    <row r="61" spans="3:12">
      <c r="C61" s="3">
        <v>40817</v>
      </c>
      <c r="D61" s="4">
        <v>18278308881.059998</v>
      </c>
      <c r="G61" s="3">
        <v>40817</v>
      </c>
      <c r="H61" s="4">
        <v>15363523312.85</v>
      </c>
      <c r="K61" s="3">
        <v>40817</v>
      </c>
      <c r="L61" s="4">
        <v>8581649843.8400002</v>
      </c>
    </row>
    <row r="62" spans="3:12">
      <c r="C62" s="3">
        <v>40848</v>
      </c>
      <c r="D62" s="4">
        <v>19896533379.880001</v>
      </c>
      <c r="G62" s="3">
        <v>40848</v>
      </c>
      <c r="H62" s="4">
        <v>17051025581.610001</v>
      </c>
      <c r="K62" s="3">
        <v>40848</v>
      </c>
      <c r="L62" s="4">
        <v>9573021089.2900009</v>
      </c>
    </row>
    <row r="63" spans="3:12">
      <c r="C63" s="3">
        <v>40878</v>
      </c>
      <c r="D63" s="4">
        <v>19032070115.290001</v>
      </c>
      <c r="G63" s="3">
        <v>40878</v>
      </c>
      <c r="H63" s="4">
        <v>15779641668.220001</v>
      </c>
      <c r="K63" s="3">
        <v>40878</v>
      </c>
      <c r="L63" s="4">
        <v>9732604193.7800007</v>
      </c>
    </row>
    <row r="64" spans="3:12">
      <c r="C64" s="3">
        <v>40909</v>
      </c>
      <c r="D64" s="4">
        <v>20719728556.670006</v>
      </c>
      <c r="G64" s="3">
        <v>40909</v>
      </c>
      <c r="H64" s="4">
        <v>17458754360.880001</v>
      </c>
      <c r="K64" s="3">
        <v>40909</v>
      </c>
      <c r="L64" s="4">
        <v>11283566053.34</v>
      </c>
    </row>
    <row r="65" spans="3:12">
      <c r="C65" s="3">
        <v>40940</v>
      </c>
      <c r="D65" s="4">
        <v>19045138902.970001</v>
      </c>
      <c r="G65" s="3">
        <v>40940</v>
      </c>
      <c r="H65" s="4">
        <v>16037593041.09</v>
      </c>
      <c r="K65" s="3">
        <v>40940</v>
      </c>
      <c r="L65" s="4">
        <v>10212781061.02</v>
      </c>
    </row>
    <row r="66" spans="3:12">
      <c r="C66" s="3">
        <v>40969</v>
      </c>
      <c r="D66" s="4">
        <v>19975866042.119999</v>
      </c>
      <c r="G66" s="3">
        <v>40969</v>
      </c>
      <c r="H66" s="4">
        <v>16974489941.450001</v>
      </c>
      <c r="K66" s="3">
        <v>40969</v>
      </c>
      <c r="L66" s="4">
        <v>10386620664.41</v>
      </c>
    </row>
    <row r="67" spans="3:12">
      <c r="C67" s="3">
        <v>41000</v>
      </c>
      <c r="D67" s="4">
        <v>25506549112.43</v>
      </c>
      <c r="G67" s="3">
        <v>41000</v>
      </c>
      <c r="H67" s="4">
        <v>22471329505.650002</v>
      </c>
      <c r="K67" s="3">
        <v>41000</v>
      </c>
      <c r="L67" s="4">
        <v>14678468587.370001</v>
      </c>
    </row>
    <row r="68" spans="3:12">
      <c r="C68" s="3">
        <v>41030</v>
      </c>
      <c r="D68" s="4">
        <v>25839406336.460003</v>
      </c>
      <c r="G68" s="3">
        <v>41030</v>
      </c>
      <c r="H68" s="4">
        <v>22717138914.080002</v>
      </c>
      <c r="K68" s="3">
        <v>41030</v>
      </c>
      <c r="L68" s="4">
        <v>14867243244.77</v>
      </c>
    </row>
    <row r="69" spans="3:12">
      <c r="C69" s="3">
        <v>41061</v>
      </c>
      <c r="D69" s="4">
        <v>23318814679.160004</v>
      </c>
      <c r="G69" s="3">
        <v>41061</v>
      </c>
      <c r="H69" s="4">
        <v>20254241442.190002</v>
      </c>
      <c r="K69" s="3">
        <v>41061</v>
      </c>
      <c r="L69" s="4">
        <v>12472666977.870001</v>
      </c>
    </row>
    <row r="70" spans="3:12">
      <c r="C70" s="3">
        <v>41091</v>
      </c>
      <c r="D70" s="4">
        <v>21220884873.25</v>
      </c>
      <c r="G70" s="3">
        <v>41091</v>
      </c>
      <c r="H70" s="4">
        <v>18023596767.029999</v>
      </c>
      <c r="K70" s="3">
        <v>41091</v>
      </c>
      <c r="L70" s="4">
        <v>12115594759.610001</v>
      </c>
    </row>
    <row r="71" spans="3:12">
      <c r="C71" s="3">
        <v>41122</v>
      </c>
      <c r="D71" s="4">
        <v>27220146041.560001</v>
      </c>
      <c r="G71" s="3">
        <v>41122</v>
      </c>
      <c r="H71" s="4">
        <v>22870113391.25</v>
      </c>
      <c r="K71" s="3">
        <v>41122</v>
      </c>
      <c r="L71" s="4">
        <v>15536484394.24</v>
      </c>
    </row>
    <row r="72" spans="3:12">
      <c r="C72" s="3">
        <v>41153</v>
      </c>
      <c r="D72" s="4">
        <v>25979772278.559998</v>
      </c>
      <c r="G72" s="3">
        <v>41153</v>
      </c>
      <c r="H72" s="4">
        <v>21727048883.23</v>
      </c>
      <c r="K72" s="3">
        <v>41153</v>
      </c>
      <c r="L72" s="4">
        <v>14243174523.99</v>
      </c>
    </row>
    <row r="73" spans="3:12">
      <c r="C73" s="3">
        <v>41183</v>
      </c>
      <c r="D73" s="4">
        <v>23869927709.499996</v>
      </c>
      <c r="G73" s="3">
        <v>41183</v>
      </c>
      <c r="H73" s="4">
        <v>19510637406.490002</v>
      </c>
      <c r="K73" s="3">
        <v>41183</v>
      </c>
      <c r="L73" s="4">
        <v>12119713533.76</v>
      </c>
    </row>
    <row r="74" spans="3:12">
      <c r="C74" s="3">
        <v>41214</v>
      </c>
      <c r="D74" s="4">
        <v>27101432390.41</v>
      </c>
      <c r="G74" s="3">
        <v>41214</v>
      </c>
      <c r="H74" s="4">
        <v>22292069694.239998</v>
      </c>
      <c r="K74" s="3">
        <v>41214</v>
      </c>
      <c r="L74" s="4">
        <v>14279880239.870001</v>
      </c>
    </row>
    <row r="75" spans="3:12">
      <c r="C75" s="3">
        <v>41244</v>
      </c>
      <c r="D75" s="4">
        <v>25121900776.220001</v>
      </c>
      <c r="G75" s="3">
        <v>41244</v>
      </c>
      <c r="H75" s="4">
        <v>20340532413.459999</v>
      </c>
      <c r="K75" s="3">
        <v>41244</v>
      </c>
      <c r="L75" s="4">
        <v>11715803235.52</v>
      </c>
    </row>
    <row r="76" spans="3:12">
      <c r="C76" s="3">
        <v>41275</v>
      </c>
      <c r="D76" s="4">
        <v>23904875687.350002</v>
      </c>
      <c r="G76" s="3">
        <v>41275</v>
      </c>
      <c r="H76" s="4">
        <v>19628010871.970001</v>
      </c>
      <c r="K76" s="3">
        <v>41275</v>
      </c>
      <c r="L76" s="4">
        <v>12333810135.870001</v>
      </c>
    </row>
    <row r="77" spans="3:12">
      <c r="C77" s="3">
        <v>41306</v>
      </c>
      <c r="D77" s="4">
        <v>24451409144.98</v>
      </c>
      <c r="G77" s="3">
        <v>41306</v>
      </c>
      <c r="H77" s="4">
        <v>20255842062.120003</v>
      </c>
      <c r="K77" s="3">
        <v>41306</v>
      </c>
      <c r="L77" s="4">
        <v>11492145992.860001</v>
      </c>
    </row>
    <row r="78" spans="3:12">
      <c r="C78" s="3">
        <v>41334</v>
      </c>
      <c r="D78" s="4">
        <v>22346775421.320004</v>
      </c>
      <c r="G78" s="3">
        <v>41334</v>
      </c>
      <c r="H78" s="4">
        <v>18253722161.220001</v>
      </c>
      <c r="K78" s="3">
        <v>41334</v>
      </c>
      <c r="L78" s="4">
        <v>9568034422.0900002</v>
      </c>
    </row>
    <row r="79" spans="3:12">
      <c r="C79" s="3">
        <v>41365</v>
      </c>
      <c r="D79" s="4">
        <v>24970975389.630005</v>
      </c>
      <c r="G79" s="3">
        <v>41365</v>
      </c>
      <c r="H79" s="4">
        <v>20223303671.580002</v>
      </c>
      <c r="K79" s="3">
        <v>41365</v>
      </c>
      <c r="L79" s="4">
        <v>11279857954.74</v>
      </c>
    </row>
    <row r="80" spans="3:12">
      <c r="C80" s="3">
        <v>41395</v>
      </c>
      <c r="D80" s="4">
        <v>25114174999.98</v>
      </c>
      <c r="G80" s="3">
        <v>41395</v>
      </c>
      <c r="H80" s="4">
        <v>20872056371.66</v>
      </c>
      <c r="K80" s="3">
        <v>41395</v>
      </c>
      <c r="L80" s="4">
        <v>11488927028.709999</v>
      </c>
    </row>
    <row r="81" spans="3:12">
      <c r="C81" s="3">
        <v>41426</v>
      </c>
      <c r="D81" s="4">
        <v>24543431615.759995</v>
      </c>
      <c r="G81" s="3">
        <v>41426</v>
      </c>
      <c r="H81" s="4">
        <v>19931806879.980003</v>
      </c>
      <c r="K81" s="3">
        <v>41426</v>
      </c>
      <c r="L81" s="4">
        <v>10901539313.190001</v>
      </c>
    </row>
    <row r="82" spans="3:12">
      <c r="C82" s="3">
        <v>41456</v>
      </c>
      <c r="D82" s="4">
        <v>23698069082.650002</v>
      </c>
      <c r="G82" s="3">
        <v>41456</v>
      </c>
      <c r="H82" s="4">
        <v>18955519140.270004</v>
      </c>
      <c r="K82" s="3">
        <v>41456</v>
      </c>
      <c r="L82" s="4">
        <v>10136035522.35</v>
      </c>
    </row>
    <row r="83" spans="3:12">
      <c r="C83" s="3">
        <v>41487</v>
      </c>
      <c r="D83" s="4">
        <v>20908839908.930004</v>
      </c>
      <c r="G83" s="3">
        <v>41487</v>
      </c>
      <c r="H83" s="4">
        <v>17168607712.619999</v>
      </c>
      <c r="K83" s="3">
        <v>41487</v>
      </c>
      <c r="L83" s="4">
        <v>8870949392.1399994</v>
      </c>
    </row>
    <row r="84" spans="3:12">
      <c r="C84" s="3">
        <v>41518</v>
      </c>
      <c r="D84" s="4">
        <v>17776590882.760002</v>
      </c>
      <c r="G84" s="3">
        <v>41518</v>
      </c>
      <c r="H84" s="4">
        <v>14400270643.16</v>
      </c>
      <c r="K84" s="3">
        <v>41518</v>
      </c>
      <c r="L84" s="4">
        <v>7267875544.7299995</v>
      </c>
    </row>
    <row r="85" spans="3:12">
      <c r="C85" s="3">
        <v>41548</v>
      </c>
      <c r="D85" s="4">
        <v>15685629842.970001</v>
      </c>
      <c r="G85" s="3">
        <v>41548</v>
      </c>
      <c r="H85" s="4">
        <v>12514284008.049999</v>
      </c>
      <c r="K85" s="3">
        <v>41548</v>
      </c>
      <c r="L85" s="4">
        <v>6287281036.2299995</v>
      </c>
    </row>
    <row r="86" spans="3:12">
      <c r="C86" s="3">
        <v>41579</v>
      </c>
      <c r="D86" s="4">
        <v>14315974240.729996</v>
      </c>
      <c r="G86" s="3">
        <v>41579</v>
      </c>
      <c r="H86" s="4">
        <v>11600603853.66</v>
      </c>
      <c r="K86" s="3">
        <v>41579</v>
      </c>
      <c r="L86" s="4">
        <v>6464423980.5</v>
      </c>
    </row>
    <row r="87" spans="3:12">
      <c r="C87" s="3">
        <v>41609</v>
      </c>
      <c r="D87" s="4">
        <v>11595801527.200001</v>
      </c>
      <c r="G87" s="3">
        <v>41609</v>
      </c>
      <c r="H87" s="4">
        <v>9254986706.0799999</v>
      </c>
      <c r="K87" s="3">
        <v>41609</v>
      </c>
      <c r="L87" s="4">
        <v>4731307858.5900002</v>
      </c>
    </row>
    <row r="88" spans="3:12">
      <c r="C88" s="3">
        <v>41640</v>
      </c>
      <c r="D88" s="4">
        <v>11845891136.720001</v>
      </c>
      <c r="G88" s="3">
        <v>41640</v>
      </c>
      <c r="H88" s="4">
        <v>9318703436.4099998</v>
      </c>
      <c r="K88" s="3">
        <v>41640</v>
      </c>
      <c r="L88" s="4">
        <v>4800004095.4399996</v>
      </c>
    </row>
    <row r="89" spans="3:12">
      <c r="C89" s="3">
        <v>41671</v>
      </c>
      <c r="D89" s="4">
        <v>11668939446.919998</v>
      </c>
      <c r="G89" s="3">
        <v>41671</v>
      </c>
      <c r="H89" s="4">
        <v>9075030670.2299995</v>
      </c>
      <c r="K89" s="3">
        <v>41671</v>
      </c>
      <c r="L89" s="4">
        <v>4975614792.9300003</v>
      </c>
    </row>
    <row r="90" spans="3:12">
      <c r="C90" s="3">
        <v>41699</v>
      </c>
      <c r="D90" s="4">
        <v>8940718251.539999</v>
      </c>
      <c r="G90" s="3">
        <v>41699</v>
      </c>
      <c r="H90" s="4">
        <v>6740558305.8000002</v>
      </c>
      <c r="K90" s="3">
        <v>41699</v>
      </c>
      <c r="L90" s="4">
        <v>3220958142.0500002</v>
      </c>
    </row>
    <row r="91" spans="3:12">
      <c r="C91" s="3">
        <v>41730</v>
      </c>
      <c r="D91" s="4">
        <v>11300062333.420002</v>
      </c>
      <c r="G91" s="3">
        <v>41730</v>
      </c>
      <c r="H91" s="4">
        <v>8747604064.2000008</v>
      </c>
      <c r="K91" s="3">
        <v>41730</v>
      </c>
      <c r="L91" s="4">
        <v>4445417365.0100002</v>
      </c>
    </row>
    <row r="92" spans="3:12">
      <c r="C92" s="3">
        <v>41760</v>
      </c>
      <c r="D92" s="4">
        <v>12369353880.969999</v>
      </c>
      <c r="G92" s="3">
        <v>41760</v>
      </c>
      <c r="H92" s="4">
        <v>9517403444.5599995</v>
      </c>
      <c r="K92" s="3">
        <v>41760</v>
      </c>
      <c r="L92" s="4">
        <v>5355107741.7399998</v>
      </c>
    </row>
    <row r="93" spans="3:12">
      <c r="C93" s="3">
        <v>41791</v>
      </c>
      <c r="D93" s="4">
        <v>13204114521.550001</v>
      </c>
      <c r="G93" s="3">
        <v>41791</v>
      </c>
      <c r="H93" s="4">
        <v>10249952263.84</v>
      </c>
      <c r="K93" s="3">
        <v>41791</v>
      </c>
      <c r="L93" s="4">
        <v>6002735545.8500004</v>
      </c>
    </row>
    <row r="94" spans="3:12">
      <c r="C94" s="3">
        <v>41821</v>
      </c>
      <c r="D94" s="4">
        <v>13065510612.74</v>
      </c>
      <c r="G94" s="3">
        <v>41821</v>
      </c>
      <c r="H94" s="4">
        <v>9355114668.75</v>
      </c>
      <c r="K94" s="3">
        <v>41821</v>
      </c>
      <c r="L94" s="4">
        <v>4723917455.1999998</v>
      </c>
    </row>
    <row r="95" spans="3:12">
      <c r="C95" s="3">
        <v>41852</v>
      </c>
      <c r="D95" s="4">
        <v>16166675077.379999</v>
      </c>
      <c r="G95" s="3">
        <v>41852</v>
      </c>
      <c r="H95" s="4">
        <v>12029365994.82</v>
      </c>
      <c r="K95" s="3">
        <v>41852</v>
      </c>
      <c r="L95" s="4">
        <v>6318663594.3699999</v>
      </c>
    </row>
    <row r="96" spans="3:12">
      <c r="C96" s="3">
        <v>41883</v>
      </c>
      <c r="D96" s="4">
        <v>13803767362.509998</v>
      </c>
      <c r="G96" s="3">
        <v>41883</v>
      </c>
      <c r="H96" s="4">
        <v>10000328272.400002</v>
      </c>
      <c r="K96" s="3">
        <v>41883</v>
      </c>
      <c r="L96" s="4">
        <v>4613722824.3800001</v>
      </c>
    </row>
    <row r="97" spans="3:12">
      <c r="C97" s="3">
        <v>41913</v>
      </c>
      <c r="D97" s="4">
        <v>15791185403.65</v>
      </c>
      <c r="G97" s="3">
        <v>41913</v>
      </c>
      <c r="H97" s="4">
        <v>11437466213.700001</v>
      </c>
      <c r="K97" s="3">
        <v>41913</v>
      </c>
      <c r="L97" s="4">
        <v>4905737431.7200003</v>
      </c>
    </row>
    <row r="98" spans="3:12">
      <c r="C98" s="3">
        <v>41944</v>
      </c>
      <c r="D98" s="4">
        <v>13258929185.760004</v>
      </c>
      <c r="G98" s="3">
        <v>41944</v>
      </c>
      <c r="H98" s="4">
        <v>9211020156.4500008</v>
      </c>
      <c r="K98" s="3">
        <v>41944</v>
      </c>
      <c r="L98" s="4">
        <v>4010907765.6100001</v>
      </c>
    </row>
    <row r="99" spans="3:12">
      <c r="C99" s="3">
        <v>41974</v>
      </c>
      <c r="D99" s="4">
        <v>13802109531.619999</v>
      </c>
      <c r="G99" s="3">
        <v>41974</v>
      </c>
      <c r="H99" s="4">
        <v>10288075602.900002</v>
      </c>
      <c r="K99" s="3">
        <v>41974</v>
      </c>
      <c r="L99" s="4">
        <v>4309016116.8000002</v>
      </c>
    </row>
    <row r="100" spans="3:12">
      <c r="C100" s="3">
        <v>42005</v>
      </c>
      <c r="D100" s="4">
        <v>13496712945.599998</v>
      </c>
      <c r="G100" s="3">
        <v>42005</v>
      </c>
      <c r="H100" s="4">
        <v>10195461374.42</v>
      </c>
      <c r="K100" s="3">
        <v>42005</v>
      </c>
      <c r="L100" s="4">
        <v>3904655310.6700001</v>
      </c>
    </row>
    <row r="101" spans="3:12">
      <c r="C101" s="3">
        <v>42036</v>
      </c>
      <c r="D101" s="4">
        <v>12499614875.050001</v>
      </c>
      <c r="G101" s="3">
        <v>42036</v>
      </c>
      <c r="H101" s="4">
        <v>9456184008.25</v>
      </c>
      <c r="K101" s="3">
        <v>42036</v>
      </c>
      <c r="L101" s="4">
        <v>4061400420.8899999</v>
      </c>
    </row>
    <row r="102" spans="3:12">
      <c r="C102" s="3">
        <v>42064</v>
      </c>
      <c r="D102" s="4">
        <v>15672532021.030001</v>
      </c>
      <c r="G102" s="3">
        <v>42064</v>
      </c>
      <c r="H102" s="4">
        <v>11244323555.84</v>
      </c>
      <c r="K102" s="3">
        <v>42064</v>
      </c>
      <c r="L102" s="4">
        <v>4519939214.6099997</v>
      </c>
    </row>
    <row r="103" spans="3:12">
      <c r="C103" s="3">
        <v>42095</v>
      </c>
      <c r="D103" s="4">
        <v>19111612690.759998</v>
      </c>
      <c r="G103" s="3">
        <v>42095</v>
      </c>
      <c r="H103" s="4">
        <v>13933904980.18</v>
      </c>
      <c r="K103" s="3">
        <v>42095</v>
      </c>
      <c r="L103" s="4">
        <v>5345630110.9799995</v>
      </c>
    </row>
    <row r="104" spans="3:12">
      <c r="C104" s="3">
        <v>42125</v>
      </c>
      <c r="D104" s="4">
        <v>19039016423.799999</v>
      </c>
      <c r="G104" s="3">
        <v>42125</v>
      </c>
      <c r="H104" s="4">
        <v>13869436243.699999</v>
      </c>
      <c r="K104" s="3">
        <v>42125</v>
      </c>
      <c r="L104" s="4">
        <v>5284302393.6499996</v>
      </c>
    </row>
    <row r="105" spans="3:12">
      <c r="C105" s="3">
        <v>42156</v>
      </c>
      <c r="D105" s="4">
        <v>19991337221.549995</v>
      </c>
      <c r="G105" s="3">
        <v>42156</v>
      </c>
      <c r="H105" s="4">
        <v>14378094311.630001</v>
      </c>
      <c r="K105" s="3">
        <v>42156</v>
      </c>
      <c r="L105" s="4">
        <v>5481594328.75</v>
      </c>
    </row>
    <row r="106" spans="3:12">
      <c r="C106" s="3">
        <v>42186</v>
      </c>
      <c r="D106" s="4">
        <v>23979494584.889999</v>
      </c>
      <c r="G106" s="3">
        <v>42186</v>
      </c>
      <c r="H106" s="4">
        <v>17650395506.279999</v>
      </c>
      <c r="K106" s="3">
        <v>42186</v>
      </c>
      <c r="L106" s="4">
        <v>6693062048.2700005</v>
      </c>
    </row>
    <row r="107" spans="3:12">
      <c r="C107" s="3">
        <v>42217</v>
      </c>
      <c r="D107" s="4">
        <v>22026819120.619999</v>
      </c>
      <c r="G107" s="3">
        <v>42217</v>
      </c>
      <c r="H107" s="4">
        <v>16054894336.76</v>
      </c>
      <c r="K107" s="3">
        <v>42217</v>
      </c>
      <c r="L107" s="4">
        <v>5979663190.5</v>
      </c>
    </row>
    <row r="108" spans="3:12">
      <c r="C108" s="3">
        <v>42248</v>
      </c>
      <c r="D108" s="4">
        <v>17229225282.740002</v>
      </c>
      <c r="G108" s="3">
        <v>42248</v>
      </c>
      <c r="H108" s="4">
        <v>12326663580.99</v>
      </c>
      <c r="K108" s="3">
        <v>42248</v>
      </c>
      <c r="L108" s="4">
        <v>3865493579.5599999</v>
      </c>
    </row>
    <row r="109" spans="3:12">
      <c r="C109" s="3" t="s">
        <v>41</v>
      </c>
      <c r="D109" s="4">
        <v>2143144273789.8096</v>
      </c>
      <c r="G109" s="3" t="s">
        <v>41</v>
      </c>
      <c r="H109" s="4">
        <v>1792729132406.5894</v>
      </c>
      <c r="K109" s="3" t="s">
        <v>41</v>
      </c>
      <c r="L109" s="4">
        <v>814022902360.34985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053"/>
  <sheetViews>
    <sheetView showGridLines="0" workbookViewId="0">
      <selection activeCell="C5" sqref="C5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59</v>
      </c>
      <c r="K2" t="s">
        <v>60</v>
      </c>
      <c r="N2" t="s">
        <v>58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87</v>
      </c>
      <c r="Q3" s="17" t="s">
        <v>88</v>
      </c>
      <c r="R3" s="17" t="s">
        <v>89</v>
      </c>
      <c r="S3" s="17" t="s">
        <v>90</v>
      </c>
      <c r="T3" s="17" t="s">
        <v>91</v>
      </c>
      <c r="U3" s="17" t="s">
        <v>48</v>
      </c>
      <c r="V3" s="17" t="s">
        <v>49</v>
      </c>
      <c r="W3" s="17" t="s">
        <v>50</v>
      </c>
      <c r="X3" s="17" t="s">
        <v>92</v>
      </c>
    </row>
    <row r="4" spans="2:24">
      <c r="B4" s="37">
        <v>39083</v>
      </c>
      <c r="C4" s="16">
        <v>1816782123.1800001</v>
      </c>
      <c r="D4" s="16" t="s">
        <v>11</v>
      </c>
      <c r="E4" s="16">
        <v>1</v>
      </c>
      <c r="H4" s="37">
        <v>42248</v>
      </c>
      <c r="I4" s="16">
        <v>4664401764</v>
      </c>
      <c r="K4" s="37"/>
      <c r="L4" s="16"/>
      <c r="N4" s="37">
        <v>42248</v>
      </c>
      <c r="O4" s="16">
        <v>39778277970.419998</v>
      </c>
      <c r="P4" s="17">
        <f>VLOOKUP($N4,'Pivot equal'!C:D,2,0)</f>
        <v>17229225282.740002</v>
      </c>
      <c r="Q4" s="17">
        <f>VLOOKUP(N4,'Pivot equal'!G:H,2,0)</f>
        <v>12326663580.99</v>
      </c>
      <c r="R4" s="17">
        <f>VLOOKUP(N4,'Pivot equal'!K:L,2,0)</f>
        <v>3865493579.5599999</v>
      </c>
      <c r="S4" s="43">
        <f>VLOOKUP(N4,CurrentMtgRatesDataTable9[],2,0)</f>
        <v>4664401764</v>
      </c>
      <c r="T4" s="43" t="e">
        <f>VLOOKUP(N4,CurrentMtgRatesDataTable93[],2,0)</f>
        <v>#N/A</v>
      </c>
      <c r="U4" s="44">
        <f>CurrentMtgRatesDataTable8[[#This Row],[Top 10 Amount]]/CurrentMtgRatesDataTable8[[#This Row],[TotalBalance]]</f>
        <v>0.43313150196074429</v>
      </c>
      <c r="V4" s="44">
        <f>CurrentMtgRatesDataTable8[[#This Row],[Top 5 Amount]]/CurrentMtgRatesDataTable8[[#This Row],[TotalBalance]]</f>
        <v>0.30988429388915173</v>
      </c>
      <c r="W4" s="44">
        <f>CurrentMtgRatesDataTable8[[#This Row],[Top 1 Amount]]/CurrentMtgRatesDataTable8[[#This Row],[TotalBalance]]</f>
        <v>9.7175990937427362E-2</v>
      </c>
      <c r="X4" s="44" t="e">
        <f>CurrentMtgRatesDataTable8[[#This Row],[N/A Amount]]/CurrentMtgRatesDataTable8[[#This Row],[TotalBalance]]</f>
        <v>#N/A</v>
      </c>
    </row>
    <row r="5" spans="2:24">
      <c r="B5" s="37">
        <v>39083</v>
      </c>
      <c r="C5" s="16">
        <v>1336543623.8900001</v>
      </c>
      <c r="D5" s="16" t="s">
        <v>6</v>
      </c>
      <c r="E5" s="16">
        <v>2</v>
      </c>
      <c r="H5" s="37">
        <v>42217</v>
      </c>
      <c r="I5" s="16">
        <v>821543.31</v>
      </c>
      <c r="N5" s="37">
        <v>42217</v>
      </c>
      <c r="O5" s="16">
        <v>43626236360.260002</v>
      </c>
      <c r="P5" s="17">
        <f>VLOOKUP($N5,'Pivot equal'!C:D,2,0)</f>
        <v>22026819120.619999</v>
      </c>
      <c r="Q5" s="17">
        <f>VLOOKUP(N5,'Pivot equal'!G:H,2,0)</f>
        <v>16054894336.76</v>
      </c>
      <c r="R5" s="17">
        <f>VLOOKUP(N5,'Pivot equal'!K:L,2,0)</f>
        <v>5979663190.5</v>
      </c>
      <c r="S5" s="43">
        <f>VLOOKUP(N5,CurrentMtgRatesDataTable9[],2,0)</f>
        <v>821543.31</v>
      </c>
      <c r="T5" s="43" t="e">
        <f>VLOOKUP(N5,CurrentMtgRatesDataTable93[],2,0)</f>
        <v>#N/A</v>
      </c>
      <c r="U5" s="44">
        <f>CurrentMtgRatesDataTable8[[#This Row],[Top 10 Amount]]/CurrentMtgRatesDataTable8[[#This Row],[TotalBalance]]</f>
        <v>0.5048984500685616</v>
      </c>
      <c r="V5" s="44">
        <f>CurrentMtgRatesDataTable8[[#This Row],[Top 5 Amount]]/CurrentMtgRatesDataTable8[[#This Row],[TotalBalance]]</f>
        <v>0.36801007091651666</v>
      </c>
      <c r="W5" s="44">
        <f>CurrentMtgRatesDataTable8[[#This Row],[Top 1 Amount]]/CurrentMtgRatesDataTable8[[#This Row],[TotalBalance]]</f>
        <v>0.13706575880441965</v>
      </c>
      <c r="X5" s="44" t="e">
        <f>CurrentMtgRatesDataTable8[[#This Row],[N/A Amount]]/CurrentMtgRatesDataTable8[[#This Row],[TotalBalance]]</f>
        <v>#N/A</v>
      </c>
    </row>
    <row r="6" spans="2:24">
      <c r="B6" s="37">
        <v>39083</v>
      </c>
      <c r="C6" s="16">
        <v>607687193.74000001</v>
      </c>
      <c r="D6" s="16" t="s">
        <v>7</v>
      </c>
      <c r="E6" s="16">
        <v>3</v>
      </c>
      <c r="H6" s="37">
        <v>42186</v>
      </c>
      <c r="I6" s="16">
        <v>6138549.8899999997</v>
      </c>
      <c r="N6" s="37">
        <v>42186</v>
      </c>
      <c r="O6" s="16">
        <v>45637571448.949997</v>
      </c>
      <c r="P6" s="17">
        <f>VLOOKUP($N6,'Pivot equal'!C:D,2,0)</f>
        <v>23979494584.889999</v>
      </c>
      <c r="Q6" s="17">
        <f>VLOOKUP(N6,'Pivot equal'!G:H,2,0)</f>
        <v>17650395506.279999</v>
      </c>
      <c r="R6" s="17">
        <f>VLOOKUP(N6,'Pivot equal'!K:L,2,0)</f>
        <v>6693062048.2700005</v>
      </c>
      <c r="S6" s="43">
        <f>VLOOKUP(N6,CurrentMtgRatesDataTable9[],2,0)</f>
        <v>6138549.8899999997</v>
      </c>
      <c r="T6" s="43" t="e">
        <f>VLOOKUP(N6,CurrentMtgRatesDataTable93[],2,0)</f>
        <v>#N/A</v>
      </c>
      <c r="U6" s="44">
        <f>CurrentMtgRatesDataTable8[[#This Row],[Top 10 Amount]]/CurrentMtgRatesDataTable8[[#This Row],[TotalBalance]]</f>
        <v>0.5254331863761279</v>
      </c>
      <c r="V6" s="44">
        <f>CurrentMtgRatesDataTable8[[#This Row],[Top 5 Amount]]/CurrentMtgRatesDataTable8[[#This Row],[TotalBalance]]</f>
        <v>0.38675141875206176</v>
      </c>
      <c r="W6" s="44">
        <f>CurrentMtgRatesDataTable8[[#This Row],[Top 1 Amount]]/CurrentMtgRatesDataTable8[[#This Row],[TotalBalance]]</f>
        <v>0.14665684075141536</v>
      </c>
      <c r="X6" s="44" t="e">
        <f>CurrentMtgRatesDataTable8[[#This Row],[N/A Amount]]/CurrentMtgRatesDataTable8[[#This Row],[TotalBalance]]</f>
        <v>#N/A</v>
      </c>
    </row>
    <row r="7" spans="2:24">
      <c r="B7" s="37">
        <v>39083</v>
      </c>
      <c r="C7" s="16">
        <v>496043083.19</v>
      </c>
      <c r="D7" s="16" t="s">
        <v>13</v>
      </c>
      <c r="E7" s="16">
        <v>4</v>
      </c>
      <c r="H7" s="37">
        <v>42156</v>
      </c>
      <c r="I7" s="16">
        <v>363766.98</v>
      </c>
      <c r="N7" s="37">
        <v>42156</v>
      </c>
      <c r="O7" s="16">
        <v>41476436391.800003</v>
      </c>
      <c r="P7" s="17">
        <f>VLOOKUP($N7,'Pivot equal'!C:D,2,0)</f>
        <v>19991337221.549995</v>
      </c>
      <c r="Q7" s="17">
        <f>VLOOKUP(N7,'Pivot equal'!G:H,2,0)</f>
        <v>14378094311.630001</v>
      </c>
      <c r="R7" s="17">
        <f>VLOOKUP(N7,'Pivot equal'!K:L,2,0)</f>
        <v>5481594328.75</v>
      </c>
      <c r="S7" s="43">
        <f>VLOOKUP(N7,CurrentMtgRatesDataTable9[],2,0)</f>
        <v>363766.98</v>
      </c>
      <c r="T7" s="43" t="e">
        <f>VLOOKUP(N7,CurrentMtgRatesDataTable93[],2,0)</f>
        <v>#N/A</v>
      </c>
      <c r="U7" s="44">
        <f>CurrentMtgRatesDataTable8[[#This Row],[Top 10 Amount]]/CurrentMtgRatesDataTable8[[#This Row],[TotalBalance]]</f>
        <v>0.48199264355079297</v>
      </c>
      <c r="V7" s="44">
        <f>CurrentMtgRatesDataTable8[[#This Row],[Top 5 Amount]]/CurrentMtgRatesDataTable8[[#This Row],[TotalBalance]]</f>
        <v>0.34665693493553335</v>
      </c>
      <c r="W7" s="44">
        <f>CurrentMtgRatesDataTable8[[#This Row],[Top 1 Amount]]/CurrentMtgRatesDataTable8[[#This Row],[TotalBalance]]</f>
        <v>0.13216165142465627</v>
      </c>
      <c r="X7" s="44" t="e">
        <f>CurrentMtgRatesDataTable8[[#This Row],[N/A Amount]]/CurrentMtgRatesDataTable8[[#This Row],[TotalBalance]]</f>
        <v>#N/A</v>
      </c>
    </row>
    <row r="8" spans="2:24">
      <c r="B8" s="37">
        <v>39083</v>
      </c>
      <c r="C8" s="16">
        <v>418215822</v>
      </c>
      <c r="D8" s="16" t="s">
        <v>100</v>
      </c>
      <c r="E8" s="16">
        <v>5</v>
      </c>
      <c r="H8" s="37">
        <v>42125</v>
      </c>
      <c r="I8" s="16">
        <v>15591.66</v>
      </c>
      <c r="N8" s="37">
        <v>42125</v>
      </c>
      <c r="O8" s="16">
        <v>40489330126.019997</v>
      </c>
      <c r="P8" s="17">
        <f>VLOOKUP($N8,'Pivot equal'!C:D,2,0)</f>
        <v>19039016423.799999</v>
      </c>
      <c r="Q8" s="17">
        <f>VLOOKUP(N8,'Pivot equal'!G:H,2,0)</f>
        <v>13869436243.699999</v>
      </c>
      <c r="R8" s="17">
        <f>VLOOKUP(N8,'Pivot equal'!K:L,2,0)</f>
        <v>5284302393.6499996</v>
      </c>
      <c r="S8" s="43">
        <f>VLOOKUP(N8,CurrentMtgRatesDataTable9[],2,0)</f>
        <v>15591.66</v>
      </c>
      <c r="T8" s="43" t="e">
        <f>VLOOKUP(N8,CurrentMtgRatesDataTable93[],2,0)</f>
        <v>#N/A</v>
      </c>
      <c r="U8" s="44">
        <f>CurrentMtgRatesDataTable8[[#This Row],[Top 10 Amount]]/CurrentMtgRatesDataTable8[[#This Row],[TotalBalance]]</f>
        <v>0.47022305295104888</v>
      </c>
      <c r="V8" s="44">
        <f>CurrentMtgRatesDataTable8[[#This Row],[Top 5 Amount]]/CurrentMtgRatesDataTable8[[#This Row],[TotalBalance]]</f>
        <v>0.342545460755523</v>
      </c>
      <c r="W8" s="44">
        <f>CurrentMtgRatesDataTable8[[#This Row],[Top 1 Amount]]/CurrentMtgRatesDataTable8[[#This Row],[TotalBalance]]</f>
        <v>0.13051098591167118</v>
      </c>
      <c r="X8" s="44" t="e">
        <f>CurrentMtgRatesDataTable8[[#This Row],[N/A Amount]]/CurrentMtgRatesDataTable8[[#This Row],[TotalBalance]]</f>
        <v>#N/A</v>
      </c>
    </row>
    <row r="9" spans="2:24">
      <c r="B9" s="37">
        <v>39083</v>
      </c>
      <c r="C9" s="16">
        <v>366854872.81</v>
      </c>
      <c r="D9" s="16" t="s">
        <v>4</v>
      </c>
      <c r="E9" s="16">
        <v>6</v>
      </c>
      <c r="H9" s="37">
        <v>42095</v>
      </c>
      <c r="I9" s="16">
        <v>5314494.28</v>
      </c>
      <c r="N9" s="37">
        <v>42095</v>
      </c>
      <c r="O9" s="16">
        <v>40527156414.769997</v>
      </c>
      <c r="P9" s="17">
        <f>VLOOKUP($N9,'Pivot equal'!C:D,2,0)</f>
        <v>19111612690.759998</v>
      </c>
      <c r="Q9" s="17">
        <f>VLOOKUP(N9,'Pivot equal'!G:H,2,0)</f>
        <v>13933904980.18</v>
      </c>
      <c r="R9" s="17">
        <f>VLOOKUP(N9,'Pivot equal'!K:L,2,0)</f>
        <v>5345630110.9799995</v>
      </c>
      <c r="S9" s="43">
        <f>VLOOKUP(N9,CurrentMtgRatesDataTable9[],2,0)</f>
        <v>5314494.28</v>
      </c>
      <c r="T9" s="43" t="e">
        <f>VLOOKUP(N9,CurrentMtgRatesDataTable93[],2,0)</f>
        <v>#N/A</v>
      </c>
      <c r="U9" s="44">
        <f>CurrentMtgRatesDataTable8[[#This Row],[Top 10 Amount]]/CurrentMtgRatesDataTable8[[#This Row],[TotalBalance]]</f>
        <v>0.47157546646413195</v>
      </c>
      <c r="V9" s="44">
        <f>CurrentMtgRatesDataTable8[[#This Row],[Top 5 Amount]]/CurrentMtgRatesDataTable8[[#This Row],[TotalBalance]]</f>
        <v>0.34381649769787037</v>
      </c>
      <c r="W9" s="44">
        <f>CurrentMtgRatesDataTable8[[#This Row],[Top 1 Amount]]/CurrentMtgRatesDataTable8[[#This Row],[TotalBalance]]</f>
        <v>0.13190242256996351</v>
      </c>
      <c r="X9" s="44" t="e">
        <f>CurrentMtgRatesDataTable8[[#This Row],[N/A Amount]]/CurrentMtgRatesDataTable8[[#This Row],[TotalBalance]]</f>
        <v>#N/A</v>
      </c>
    </row>
    <row r="10" spans="2:24">
      <c r="B10" s="37">
        <v>39083</v>
      </c>
      <c r="C10" s="16">
        <v>252333072.41999999</v>
      </c>
      <c r="D10" s="16" t="s">
        <v>16</v>
      </c>
      <c r="E10" s="16">
        <v>7</v>
      </c>
      <c r="H10" s="37">
        <v>42064</v>
      </c>
      <c r="I10" s="16">
        <v>983996.58</v>
      </c>
      <c r="N10" s="37">
        <v>42064</v>
      </c>
      <c r="O10" s="16">
        <v>31578317075.630001</v>
      </c>
      <c r="P10" s="17">
        <f>VLOOKUP($N10,'Pivot equal'!C:D,2,0)</f>
        <v>15672532021.030001</v>
      </c>
      <c r="Q10" s="17">
        <f>VLOOKUP(N10,'Pivot equal'!G:H,2,0)</f>
        <v>11244323555.84</v>
      </c>
      <c r="R10" s="17">
        <f>VLOOKUP(N10,'Pivot equal'!K:L,2,0)</f>
        <v>4519939214.6099997</v>
      </c>
      <c r="S10" s="43">
        <f>VLOOKUP(N10,CurrentMtgRatesDataTable9[],2,0)</f>
        <v>983996.58</v>
      </c>
      <c r="T10" s="43" t="e">
        <f>VLOOKUP(N10,CurrentMtgRatesDataTable93[],2,0)</f>
        <v>#N/A</v>
      </c>
      <c r="U10" s="44">
        <f>CurrentMtgRatesDataTable8[[#This Row],[Top 10 Amount]]/CurrentMtgRatesDataTable8[[#This Row],[TotalBalance]]</f>
        <v>0.49630675325395968</v>
      </c>
      <c r="V10" s="44">
        <f>CurrentMtgRatesDataTable8[[#This Row],[Top 5 Amount]]/CurrentMtgRatesDataTable8[[#This Row],[TotalBalance]]</f>
        <v>0.3560773529795736</v>
      </c>
      <c r="W10" s="44">
        <f>CurrentMtgRatesDataTable8[[#This Row],[Top 1 Amount]]/CurrentMtgRatesDataTable8[[#This Row],[TotalBalance]]</f>
        <v>0.14313426531834345</v>
      </c>
      <c r="X10" s="44" t="e">
        <f>CurrentMtgRatesDataTable8[[#This Row],[N/A Amount]]/CurrentMtgRatesDataTable8[[#This Row],[TotalBalance]]</f>
        <v>#N/A</v>
      </c>
    </row>
    <row r="11" spans="2:24">
      <c r="B11" s="37">
        <v>39083</v>
      </c>
      <c r="C11" s="16">
        <v>245840427.65000001</v>
      </c>
      <c r="D11" s="16" t="s">
        <v>8</v>
      </c>
      <c r="E11" s="16">
        <v>8</v>
      </c>
      <c r="H11" s="37">
        <v>42036</v>
      </c>
      <c r="I11" s="16">
        <v>225370.97</v>
      </c>
      <c r="N11" s="37">
        <v>42036</v>
      </c>
      <c r="O11" s="16">
        <v>24217653446.099998</v>
      </c>
      <c r="P11" s="17">
        <f>VLOOKUP($N11,'Pivot equal'!C:D,2,0)</f>
        <v>12499614875.050001</v>
      </c>
      <c r="Q11" s="17">
        <f>VLOOKUP(N11,'Pivot equal'!G:H,2,0)</f>
        <v>9456184008.25</v>
      </c>
      <c r="R11" s="17">
        <f>VLOOKUP(N11,'Pivot equal'!K:L,2,0)</f>
        <v>4061400420.8899999</v>
      </c>
      <c r="S11" s="43">
        <f>VLOOKUP(N11,CurrentMtgRatesDataTable9[],2,0)</f>
        <v>225370.97</v>
      </c>
      <c r="T11" s="43" t="e">
        <f>VLOOKUP(N11,CurrentMtgRatesDataTable93[],2,0)</f>
        <v>#N/A</v>
      </c>
      <c r="U11" s="44">
        <f>CurrentMtgRatesDataTable8[[#This Row],[Top 10 Amount]]/CurrentMtgRatesDataTable8[[#This Row],[TotalBalance]]</f>
        <v>0.51613649947009765</v>
      </c>
      <c r="V11" s="44">
        <f>CurrentMtgRatesDataTable8[[#This Row],[Top 5 Amount]]/CurrentMtgRatesDataTable8[[#This Row],[TotalBalance]]</f>
        <v>0.39046656726243723</v>
      </c>
      <c r="W11" s="44">
        <f>CurrentMtgRatesDataTable8[[#This Row],[Top 1 Amount]]/CurrentMtgRatesDataTable8[[#This Row],[TotalBalance]]</f>
        <v>0.16770412665823517</v>
      </c>
      <c r="X11" s="44" t="e">
        <f>CurrentMtgRatesDataTable8[[#This Row],[N/A Amount]]/CurrentMtgRatesDataTable8[[#This Row],[TotalBalance]]</f>
        <v>#N/A</v>
      </c>
    </row>
    <row r="12" spans="2:24">
      <c r="B12" s="37">
        <v>39083</v>
      </c>
      <c r="C12" s="16">
        <v>221974897.47999999</v>
      </c>
      <c r="D12" s="16" t="s">
        <v>101</v>
      </c>
      <c r="E12" s="16">
        <v>9</v>
      </c>
      <c r="H12" s="37">
        <v>42005</v>
      </c>
      <c r="I12" s="16">
        <v>2721098.09</v>
      </c>
      <c r="N12" s="37">
        <v>42005</v>
      </c>
      <c r="O12" s="16">
        <v>27262435401.509998</v>
      </c>
      <c r="P12" s="17">
        <f>VLOOKUP($N12,'Pivot equal'!C:D,2,0)</f>
        <v>13496712945.599998</v>
      </c>
      <c r="Q12" s="17">
        <f>VLOOKUP(N12,'Pivot equal'!G:H,2,0)</f>
        <v>10195461374.42</v>
      </c>
      <c r="R12" s="17">
        <f>VLOOKUP(N12,'Pivot equal'!K:L,2,0)</f>
        <v>3904655310.6700001</v>
      </c>
      <c r="S12" s="43">
        <f>VLOOKUP(N12,CurrentMtgRatesDataTable9[],2,0)</f>
        <v>2721098.09</v>
      </c>
      <c r="T12" s="43" t="e">
        <f>VLOOKUP(N12,CurrentMtgRatesDataTable93[],2,0)</f>
        <v>#N/A</v>
      </c>
      <c r="U12" s="44">
        <f>CurrentMtgRatesDataTable8[[#This Row],[Top 10 Amount]]/CurrentMtgRatesDataTable8[[#This Row],[TotalBalance]]</f>
        <v>0.49506629715305805</v>
      </c>
      <c r="V12" s="44">
        <f>CurrentMtgRatesDataTable8[[#This Row],[Top 5 Amount]]/CurrentMtgRatesDataTable8[[#This Row],[TotalBalance]]</f>
        <v>0.37397471004572463</v>
      </c>
      <c r="W12" s="44">
        <f>CurrentMtgRatesDataTable8[[#This Row],[Top 1 Amount]]/CurrentMtgRatesDataTable8[[#This Row],[TotalBalance]]</f>
        <v>0.14322474324702961</v>
      </c>
      <c r="X12" s="44" t="e">
        <f>CurrentMtgRatesDataTable8[[#This Row],[N/A Amount]]/CurrentMtgRatesDataTable8[[#This Row],[TotalBalance]]</f>
        <v>#N/A</v>
      </c>
    </row>
    <row r="13" spans="2:24">
      <c r="B13" s="37">
        <v>39083</v>
      </c>
      <c r="C13" s="16">
        <v>155562840.72999999</v>
      </c>
      <c r="D13" s="16" t="s">
        <v>26</v>
      </c>
      <c r="E13" s="16">
        <v>10</v>
      </c>
      <c r="H13" s="37">
        <v>41974</v>
      </c>
      <c r="I13" s="16">
        <v>2213171.4300000002</v>
      </c>
      <c r="N13" s="37">
        <v>41974</v>
      </c>
      <c r="O13" s="16">
        <v>27829117697.049999</v>
      </c>
      <c r="P13" s="17">
        <f>VLOOKUP($N13,'Pivot equal'!C:D,2,0)</f>
        <v>13802109531.619999</v>
      </c>
      <c r="Q13" s="17">
        <f>VLOOKUP(N13,'Pivot equal'!G:H,2,0)</f>
        <v>10288075602.900002</v>
      </c>
      <c r="R13" s="17">
        <f>VLOOKUP(N13,'Pivot equal'!K:L,2,0)</f>
        <v>4309016116.8000002</v>
      </c>
      <c r="S13" s="43">
        <f>VLOOKUP(N13,CurrentMtgRatesDataTable9[],2,0)</f>
        <v>2213171.4300000002</v>
      </c>
      <c r="T13" s="43" t="e">
        <f>VLOOKUP(N13,CurrentMtgRatesDataTable93[],2,0)</f>
        <v>#N/A</v>
      </c>
      <c r="U13" s="44">
        <f>CurrentMtgRatesDataTable8[[#This Row],[Top 10 Amount]]/CurrentMtgRatesDataTable8[[#This Row],[TotalBalance]]</f>
        <v>0.49595929277639583</v>
      </c>
      <c r="V13" s="44">
        <f>CurrentMtgRatesDataTable8[[#This Row],[Top 5 Amount]]/CurrentMtgRatesDataTable8[[#This Row],[TotalBalance]]</f>
        <v>0.3696874516431608</v>
      </c>
      <c r="W13" s="44">
        <f>CurrentMtgRatesDataTable8[[#This Row],[Top 1 Amount]]/CurrentMtgRatesDataTable8[[#This Row],[TotalBalance]]</f>
        <v>0.1548384021264452</v>
      </c>
      <c r="X13" s="44" t="e">
        <f>CurrentMtgRatesDataTable8[[#This Row],[N/A Amount]]/CurrentMtgRatesDataTable8[[#This Row],[TotalBalance]]</f>
        <v>#N/A</v>
      </c>
    </row>
    <row r="14" spans="2:24">
      <c r="B14" s="37">
        <v>39114</v>
      </c>
      <c r="C14" s="16">
        <v>1621110935.21</v>
      </c>
      <c r="D14" s="16" t="s">
        <v>11</v>
      </c>
      <c r="E14" s="16">
        <v>1</v>
      </c>
      <c r="H14" s="37">
        <v>41944</v>
      </c>
      <c r="I14" s="16">
        <v>2780416.69</v>
      </c>
      <c r="N14" s="37">
        <v>41944</v>
      </c>
      <c r="O14" s="16">
        <v>26555705393.77</v>
      </c>
      <c r="P14" s="17">
        <f>VLOOKUP($N14,'Pivot equal'!C:D,2,0)</f>
        <v>13258929185.760004</v>
      </c>
      <c r="Q14" s="17">
        <f>VLOOKUP(N14,'Pivot equal'!G:H,2,0)</f>
        <v>9211020156.4500008</v>
      </c>
      <c r="R14" s="17">
        <f>VLOOKUP(N14,'Pivot equal'!K:L,2,0)</f>
        <v>4010907765.6100001</v>
      </c>
      <c r="S14" s="43">
        <f>VLOOKUP(N14,CurrentMtgRatesDataTable9[],2,0)</f>
        <v>2780416.69</v>
      </c>
      <c r="T14" s="43" t="e">
        <f>VLOOKUP(N14,CurrentMtgRatesDataTable93[],2,0)</f>
        <v>#N/A</v>
      </c>
      <c r="U14" s="44">
        <f>CurrentMtgRatesDataTable8[[#This Row],[Top 10 Amount]]/CurrentMtgRatesDataTable8[[#This Row],[TotalBalance]]</f>
        <v>0.49928740318344411</v>
      </c>
      <c r="V14" s="44">
        <f>CurrentMtgRatesDataTable8[[#This Row],[Top 5 Amount]]/CurrentMtgRatesDataTable8[[#This Row],[TotalBalance]]</f>
        <v>0.34685654249692488</v>
      </c>
      <c r="W14" s="44">
        <f>CurrentMtgRatesDataTable8[[#This Row],[Top 1 Amount]]/CurrentMtgRatesDataTable8[[#This Row],[TotalBalance]]</f>
        <v>0.15103751552203029</v>
      </c>
      <c r="X14" s="44" t="e">
        <f>CurrentMtgRatesDataTable8[[#This Row],[N/A Amount]]/CurrentMtgRatesDataTable8[[#This Row],[TotalBalance]]</f>
        <v>#N/A</v>
      </c>
    </row>
    <row r="15" spans="2:24">
      <c r="B15" s="37">
        <v>39114</v>
      </c>
      <c r="C15" s="16">
        <v>869974601.39999998</v>
      </c>
      <c r="D15" s="16" t="s">
        <v>6</v>
      </c>
      <c r="E15" s="16">
        <v>2</v>
      </c>
      <c r="H15" s="37">
        <v>41913</v>
      </c>
      <c r="I15" s="16">
        <v>3777700.79</v>
      </c>
      <c r="N15" s="37">
        <v>41913</v>
      </c>
      <c r="O15" s="16">
        <v>29868572336.75</v>
      </c>
      <c r="P15" s="17">
        <f>VLOOKUP($N15,'Pivot equal'!C:D,2,0)</f>
        <v>15791185403.65</v>
      </c>
      <c r="Q15" s="17">
        <f>VLOOKUP(N15,'Pivot equal'!G:H,2,0)</f>
        <v>11437466213.700001</v>
      </c>
      <c r="R15" s="17">
        <f>VLOOKUP(N15,'Pivot equal'!K:L,2,0)</f>
        <v>4905737431.7200003</v>
      </c>
      <c r="S15" s="43">
        <f>VLOOKUP(N15,CurrentMtgRatesDataTable9[],2,0)</f>
        <v>3777700.79</v>
      </c>
      <c r="T15" s="43" t="e">
        <f>VLOOKUP(N15,CurrentMtgRatesDataTable93[],2,0)</f>
        <v>#N/A</v>
      </c>
      <c r="U15" s="44">
        <f>CurrentMtgRatesDataTable8[[#This Row],[Top 10 Amount]]/CurrentMtgRatesDataTable8[[#This Row],[TotalBalance]]</f>
        <v>0.52868899208217857</v>
      </c>
      <c r="V15" s="44">
        <f>CurrentMtgRatesDataTable8[[#This Row],[Top 5 Amount]]/CurrentMtgRatesDataTable8[[#This Row],[TotalBalance]]</f>
        <v>0.38292644471752851</v>
      </c>
      <c r="W15" s="44">
        <f>CurrentMtgRatesDataTable8[[#This Row],[Top 1 Amount]]/CurrentMtgRatesDataTable8[[#This Row],[TotalBalance]]</f>
        <v>0.1642441217615222</v>
      </c>
      <c r="X15" s="44" t="e">
        <f>CurrentMtgRatesDataTable8[[#This Row],[N/A Amount]]/CurrentMtgRatesDataTable8[[#This Row],[TotalBalance]]</f>
        <v>#N/A</v>
      </c>
    </row>
    <row r="16" spans="2:24">
      <c r="B16" s="37">
        <v>39114</v>
      </c>
      <c r="C16" s="16">
        <v>570923079.46000004</v>
      </c>
      <c r="D16" s="16" t="s">
        <v>13</v>
      </c>
      <c r="E16" s="16">
        <v>3</v>
      </c>
      <c r="H16" s="37">
        <v>41883</v>
      </c>
      <c r="I16" s="16">
        <v>1278264.72</v>
      </c>
      <c r="N16" s="37">
        <v>41883</v>
      </c>
      <c r="O16" s="16">
        <v>27533853996.610001</v>
      </c>
      <c r="P16" s="17">
        <f>VLOOKUP($N16,'Pivot equal'!C:D,2,0)</f>
        <v>13803767362.509998</v>
      </c>
      <c r="Q16" s="17">
        <f>VLOOKUP(N16,'Pivot equal'!G:H,2,0)</f>
        <v>10000328272.400002</v>
      </c>
      <c r="R16" s="17">
        <f>VLOOKUP(N16,'Pivot equal'!K:L,2,0)</f>
        <v>4613722824.3800001</v>
      </c>
      <c r="S16" s="43">
        <f>VLOOKUP(N16,CurrentMtgRatesDataTable9[],2,0)</f>
        <v>1278264.72</v>
      </c>
      <c r="T16" s="43" t="e">
        <f>VLOOKUP(N16,CurrentMtgRatesDataTable93[],2,0)</f>
        <v>#N/A</v>
      </c>
      <c r="U16" s="44">
        <f>CurrentMtgRatesDataTable8[[#This Row],[Top 10 Amount]]/CurrentMtgRatesDataTable8[[#This Row],[TotalBalance]]</f>
        <v>0.50133800245361704</v>
      </c>
      <c r="V16" s="44">
        <f>CurrentMtgRatesDataTable8[[#This Row],[Top 5 Amount]]/CurrentMtgRatesDataTable8[[#This Row],[TotalBalance]]</f>
        <v>0.36320118039527821</v>
      </c>
      <c r="W16" s="44">
        <f>CurrentMtgRatesDataTable8[[#This Row],[Top 1 Amount]]/CurrentMtgRatesDataTable8[[#This Row],[TotalBalance]]</f>
        <v>0.16756545687167684</v>
      </c>
      <c r="X16" s="44" t="e">
        <f>CurrentMtgRatesDataTable8[[#This Row],[N/A Amount]]/CurrentMtgRatesDataTable8[[#This Row],[TotalBalance]]</f>
        <v>#N/A</v>
      </c>
    </row>
    <row r="17" spans="2:24">
      <c r="B17" s="37">
        <v>39114</v>
      </c>
      <c r="C17" s="16">
        <v>377190566.31999999</v>
      </c>
      <c r="D17" s="16" t="s">
        <v>7</v>
      </c>
      <c r="E17" s="16">
        <v>4</v>
      </c>
      <c r="H17" s="37">
        <v>41852</v>
      </c>
      <c r="I17" s="16">
        <v>1497479.6</v>
      </c>
      <c r="N17" s="37">
        <v>41852</v>
      </c>
      <c r="O17" s="16">
        <v>30530354411.009998</v>
      </c>
      <c r="P17" s="17">
        <f>VLOOKUP($N17,'Pivot equal'!C:D,2,0)</f>
        <v>16166675077.379999</v>
      </c>
      <c r="Q17" s="17">
        <f>VLOOKUP(N17,'Pivot equal'!G:H,2,0)</f>
        <v>12029365994.82</v>
      </c>
      <c r="R17" s="17">
        <f>VLOOKUP(N17,'Pivot equal'!K:L,2,0)</f>
        <v>6318663594.3699999</v>
      </c>
      <c r="S17" s="43">
        <f>VLOOKUP(N17,CurrentMtgRatesDataTable9[],2,0)</f>
        <v>1497479.6</v>
      </c>
      <c r="T17" s="43" t="e">
        <f>VLOOKUP(N17,CurrentMtgRatesDataTable93[],2,0)</f>
        <v>#N/A</v>
      </c>
      <c r="U17" s="44">
        <f>CurrentMtgRatesDataTable8[[#This Row],[Top 10 Amount]]/CurrentMtgRatesDataTable8[[#This Row],[TotalBalance]]</f>
        <v>0.52952792030314255</v>
      </c>
      <c r="V17" s="44">
        <f>CurrentMtgRatesDataTable8[[#This Row],[Top 5 Amount]]/CurrentMtgRatesDataTable8[[#This Row],[TotalBalance]]</f>
        <v>0.39401330993006467</v>
      </c>
      <c r="W17" s="44">
        <f>CurrentMtgRatesDataTable8[[#This Row],[Top 1 Amount]]/CurrentMtgRatesDataTable8[[#This Row],[TotalBalance]]</f>
        <v>0.20696332277398438</v>
      </c>
      <c r="X17" s="44" t="e">
        <f>CurrentMtgRatesDataTable8[[#This Row],[N/A Amount]]/CurrentMtgRatesDataTable8[[#This Row],[TotalBalance]]</f>
        <v>#N/A</v>
      </c>
    </row>
    <row r="18" spans="2:24">
      <c r="B18" s="37">
        <v>39114</v>
      </c>
      <c r="C18" s="16">
        <v>268409363</v>
      </c>
      <c r="D18" s="16" t="s">
        <v>100</v>
      </c>
      <c r="E18" s="16">
        <v>5</v>
      </c>
      <c r="H18" s="37">
        <v>41821</v>
      </c>
      <c r="I18" s="16">
        <v>1047984.72</v>
      </c>
      <c r="N18" s="37">
        <v>41821</v>
      </c>
      <c r="O18" s="16">
        <v>27413380042.200001</v>
      </c>
      <c r="P18" s="17">
        <f>VLOOKUP($N18,'Pivot equal'!C:D,2,0)</f>
        <v>13065510612.74</v>
      </c>
      <c r="Q18" s="17">
        <f>VLOOKUP(N18,'Pivot equal'!G:H,2,0)</f>
        <v>9355114668.75</v>
      </c>
      <c r="R18" s="17">
        <f>VLOOKUP(N18,'Pivot equal'!K:L,2,0)</f>
        <v>4723917455.1999998</v>
      </c>
      <c r="S18" s="43">
        <f>VLOOKUP(N18,CurrentMtgRatesDataTable9[],2,0)</f>
        <v>1047984.72</v>
      </c>
      <c r="T18" s="43" t="e">
        <f>VLOOKUP(N18,CurrentMtgRatesDataTable93[],2,0)</f>
        <v>#N/A</v>
      </c>
      <c r="U18" s="44">
        <f>CurrentMtgRatesDataTable8[[#This Row],[Top 10 Amount]]/CurrentMtgRatesDataTable8[[#This Row],[TotalBalance]]</f>
        <v>0.47661071318556952</v>
      </c>
      <c r="V18" s="44">
        <f>CurrentMtgRatesDataTable8[[#This Row],[Top 5 Amount]]/CurrentMtgRatesDataTable8[[#This Row],[TotalBalance]]</f>
        <v>0.34126089720963959</v>
      </c>
      <c r="W18" s="44">
        <f>CurrentMtgRatesDataTable8[[#This Row],[Top 1 Amount]]/CurrentMtgRatesDataTable8[[#This Row],[TotalBalance]]</f>
        <v>0.17232159799076321</v>
      </c>
      <c r="X18" s="44" t="e">
        <f>CurrentMtgRatesDataTable8[[#This Row],[N/A Amount]]/CurrentMtgRatesDataTable8[[#This Row],[TotalBalance]]</f>
        <v>#N/A</v>
      </c>
    </row>
    <row r="19" spans="2:24">
      <c r="B19" s="37">
        <v>39114</v>
      </c>
      <c r="C19" s="16">
        <v>265814723.13999999</v>
      </c>
      <c r="D19" s="16" t="s">
        <v>101</v>
      </c>
      <c r="E19" s="16">
        <v>6</v>
      </c>
      <c r="H19" s="37">
        <v>41791</v>
      </c>
      <c r="I19" s="16">
        <v>82102.63</v>
      </c>
      <c r="N19" s="37">
        <v>41791</v>
      </c>
      <c r="O19" s="16">
        <v>25728881993.799999</v>
      </c>
      <c r="P19" s="17">
        <f>VLOOKUP($N19,'Pivot equal'!C:D,2,0)</f>
        <v>13204114521.550001</v>
      </c>
      <c r="Q19" s="17">
        <f>VLOOKUP(N19,'Pivot equal'!G:H,2,0)</f>
        <v>10249952263.84</v>
      </c>
      <c r="R19" s="17">
        <f>VLOOKUP(N19,'Pivot equal'!K:L,2,0)</f>
        <v>6002735545.8500004</v>
      </c>
      <c r="S19" s="43">
        <f>VLOOKUP(N19,CurrentMtgRatesDataTable9[],2,0)</f>
        <v>82102.63</v>
      </c>
      <c r="T19" s="43" t="e">
        <f>VLOOKUP(N19,CurrentMtgRatesDataTable93[],2,0)</f>
        <v>#N/A</v>
      </c>
      <c r="U19" s="44">
        <f>CurrentMtgRatesDataTable8[[#This Row],[Top 10 Amount]]/CurrentMtgRatesDataTable8[[#This Row],[TotalBalance]]</f>
        <v>0.51320203204833592</v>
      </c>
      <c r="V19" s="44">
        <f>CurrentMtgRatesDataTable8[[#This Row],[Top 5 Amount]]/CurrentMtgRatesDataTable8[[#This Row],[TotalBalance]]</f>
        <v>0.39838311926301251</v>
      </c>
      <c r="W19" s="44">
        <f>CurrentMtgRatesDataTable8[[#This Row],[Top 1 Amount]]/CurrentMtgRatesDataTable8[[#This Row],[TotalBalance]]</f>
        <v>0.23330728273760615</v>
      </c>
      <c r="X19" s="44" t="e">
        <f>CurrentMtgRatesDataTable8[[#This Row],[N/A Amount]]/CurrentMtgRatesDataTable8[[#This Row],[TotalBalance]]</f>
        <v>#N/A</v>
      </c>
    </row>
    <row r="20" spans="2:24">
      <c r="B20" s="37">
        <v>39114</v>
      </c>
      <c r="C20" s="16">
        <v>262487581.16</v>
      </c>
      <c r="D20" s="16" t="s">
        <v>8</v>
      </c>
      <c r="E20" s="16">
        <v>7</v>
      </c>
      <c r="H20" s="37">
        <v>41760</v>
      </c>
      <c r="I20" s="16">
        <v>1136383.83</v>
      </c>
      <c r="N20" s="37">
        <v>41760</v>
      </c>
      <c r="O20" s="16">
        <v>24207116913.740002</v>
      </c>
      <c r="P20" s="17">
        <f>VLOOKUP($N20,'Pivot equal'!C:D,2,0)</f>
        <v>12369353880.969999</v>
      </c>
      <c r="Q20" s="17">
        <f>VLOOKUP(N20,'Pivot equal'!G:H,2,0)</f>
        <v>9517403444.5599995</v>
      </c>
      <c r="R20" s="17">
        <f>VLOOKUP(N20,'Pivot equal'!K:L,2,0)</f>
        <v>5355107741.7399998</v>
      </c>
      <c r="S20" s="43">
        <f>VLOOKUP(N20,CurrentMtgRatesDataTable9[],2,0)</f>
        <v>1136383.83</v>
      </c>
      <c r="T20" s="43" t="e">
        <f>VLOOKUP(N20,CurrentMtgRatesDataTable93[],2,0)</f>
        <v>#N/A</v>
      </c>
      <c r="U20" s="44">
        <f>CurrentMtgRatesDataTable8[[#This Row],[Top 10 Amount]]/CurrentMtgRatesDataTable8[[#This Row],[TotalBalance]]</f>
        <v>0.51098005289300408</v>
      </c>
      <c r="V20" s="44">
        <f>CurrentMtgRatesDataTable8[[#This Row],[Top 5 Amount]]/CurrentMtgRatesDataTable8[[#This Row],[TotalBalance]]</f>
        <v>0.39316550907216485</v>
      </c>
      <c r="W20" s="44">
        <f>CurrentMtgRatesDataTable8[[#This Row],[Top 1 Amount]]/CurrentMtgRatesDataTable8[[#This Row],[TotalBalance]]</f>
        <v>0.22122038575772859</v>
      </c>
      <c r="X20" s="44" t="e">
        <f>CurrentMtgRatesDataTable8[[#This Row],[N/A Amount]]/CurrentMtgRatesDataTable8[[#This Row],[TotalBalance]]</f>
        <v>#N/A</v>
      </c>
    </row>
    <row r="21" spans="2:24">
      <c r="B21" s="37">
        <v>39114</v>
      </c>
      <c r="C21" s="16">
        <v>240883899.58000001</v>
      </c>
      <c r="D21" s="16" t="s">
        <v>16</v>
      </c>
      <c r="E21" s="16">
        <v>8</v>
      </c>
      <c r="H21" s="37">
        <v>41730</v>
      </c>
      <c r="I21" s="16">
        <v>262231.59000000003</v>
      </c>
      <c r="N21" s="37">
        <v>41730</v>
      </c>
      <c r="O21" s="16">
        <v>21999258156.419998</v>
      </c>
      <c r="P21" s="17">
        <f>VLOOKUP($N21,'Pivot equal'!C:D,2,0)</f>
        <v>11300062333.420002</v>
      </c>
      <c r="Q21" s="17">
        <f>VLOOKUP(N21,'Pivot equal'!G:H,2,0)</f>
        <v>8747604064.2000008</v>
      </c>
      <c r="R21" s="17">
        <f>VLOOKUP(N21,'Pivot equal'!K:L,2,0)</f>
        <v>4445417365.0100002</v>
      </c>
      <c r="S21" s="43">
        <f>VLOOKUP(N21,CurrentMtgRatesDataTable9[],2,0)</f>
        <v>262231.59000000003</v>
      </c>
      <c r="T21" s="43" t="e">
        <f>VLOOKUP(N21,CurrentMtgRatesDataTable93[],2,0)</f>
        <v>#N/A</v>
      </c>
      <c r="U21" s="44">
        <f>CurrentMtgRatesDataTable8[[#This Row],[Top 10 Amount]]/CurrentMtgRatesDataTable8[[#This Row],[TotalBalance]]</f>
        <v>0.51365651755499442</v>
      </c>
      <c r="V21" s="44">
        <f>CurrentMtgRatesDataTable8[[#This Row],[Top 5 Amount]]/CurrentMtgRatesDataTable8[[#This Row],[TotalBalance]]</f>
        <v>0.39763177476269607</v>
      </c>
      <c r="W21" s="44">
        <f>CurrentMtgRatesDataTable8[[#This Row],[Top 1 Amount]]/CurrentMtgRatesDataTable8[[#This Row],[TotalBalance]]</f>
        <v>0.20207123955735312</v>
      </c>
      <c r="X21" s="44" t="e">
        <f>CurrentMtgRatesDataTable8[[#This Row],[N/A Amount]]/CurrentMtgRatesDataTable8[[#This Row],[TotalBalance]]</f>
        <v>#N/A</v>
      </c>
    </row>
    <row r="22" spans="2:24">
      <c r="B22" s="37">
        <v>39114</v>
      </c>
      <c r="C22" s="16">
        <v>226406026.94999999</v>
      </c>
      <c r="D22" s="16" t="s">
        <v>4</v>
      </c>
      <c r="E22" s="16">
        <v>9</v>
      </c>
      <c r="H22" s="37">
        <v>41699</v>
      </c>
      <c r="I22" s="16">
        <v>1145344.71</v>
      </c>
      <c r="N22" s="37">
        <v>41699</v>
      </c>
      <c r="O22" s="16">
        <v>17047395223.98</v>
      </c>
      <c r="P22" s="17">
        <f>VLOOKUP($N22,'Pivot equal'!C:D,2,0)</f>
        <v>8940718251.539999</v>
      </c>
      <c r="Q22" s="17">
        <f>VLOOKUP(N22,'Pivot equal'!G:H,2,0)</f>
        <v>6740558305.8000002</v>
      </c>
      <c r="R22" s="17">
        <f>VLOOKUP(N22,'Pivot equal'!K:L,2,0)</f>
        <v>3220958142.0500002</v>
      </c>
      <c r="S22" s="43">
        <f>VLOOKUP(N22,CurrentMtgRatesDataTable9[],2,0)</f>
        <v>1145344.71</v>
      </c>
      <c r="T22" s="43" t="e">
        <f>VLOOKUP(N22,CurrentMtgRatesDataTable93[],2,0)</f>
        <v>#N/A</v>
      </c>
      <c r="U22" s="44">
        <f>CurrentMtgRatesDataTable8[[#This Row],[Top 10 Amount]]/CurrentMtgRatesDataTable8[[#This Row],[TotalBalance]]</f>
        <v>0.52446242572961466</v>
      </c>
      <c r="V22" s="44">
        <f>CurrentMtgRatesDataTable8[[#This Row],[Top 5 Amount]]/CurrentMtgRatesDataTable8[[#This Row],[TotalBalance]]</f>
        <v>0.39540106962020116</v>
      </c>
      <c r="W22" s="44">
        <f>CurrentMtgRatesDataTable8[[#This Row],[Top 1 Amount]]/CurrentMtgRatesDataTable8[[#This Row],[TotalBalance]]</f>
        <v>0.18894136609909684</v>
      </c>
      <c r="X22" s="44" t="e">
        <f>CurrentMtgRatesDataTable8[[#This Row],[N/A Amount]]/CurrentMtgRatesDataTable8[[#This Row],[TotalBalance]]</f>
        <v>#N/A</v>
      </c>
    </row>
    <row r="23" spans="2:24">
      <c r="B23" s="37">
        <v>39114</v>
      </c>
      <c r="C23" s="16">
        <v>116368553.09</v>
      </c>
      <c r="D23" s="16" t="s">
        <v>19</v>
      </c>
      <c r="E23" s="16">
        <v>10</v>
      </c>
      <c r="H23" s="37">
        <v>41671</v>
      </c>
      <c r="I23" s="16">
        <v>36521.199999999997</v>
      </c>
      <c r="N23" s="37">
        <v>41671</v>
      </c>
      <c r="O23" s="16">
        <v>20222239011.169998</v>
      </c>
      <c r="P23" s="17">
        <f>VLOOKUP($N23,'Pivot equal'!C:D,2,0)</f>
        <v>11668939446.919998</v>
      </c>
      <c r="Q23" s="17">
        <f>VLOOKUP(N23,'Pivot equal'!G:H,2,0)</f>
        <v>9075030670.2299995</v>
      </c>
      <c r="R23" s="17">
        <f>VLOOKUP(N23,'Pivot equal'!K:L,2,0)</f>
        <v>4975614792.9300003</v>
      </c>
      <c r="S23" s="43">
        <f>VLOOKUP(N23,CurrentMtgRatesDataTable9[],2,0)</f>
        <v>36521.199999999997</v>
      </c>
      <c r="T23" s="43" t="e">
        <f>VLOOKUP(N23,CurrentMtgRatesDataTable93[],2,0)</f>
        <v>#N/A</v>
      </c>
      <c r="U23" s="44">
        <f>CurrentMtgRatesDataTable8[[#This Row],[Top 10 Amount]]/CurrentMtgRatesDataTable8[[#This Row],[TotalBalance]]</f>
        <v>0.57703498808784326</v>
      </c>
      <c r="V23" s="44">
        <f>CurrentMtgRatesDataTable8[[#This Row],[Top 5 Amount]]/CurrentMtgRatesDataTable8[[#This Row],[TotalBalance]]</f>
        <v>0.4487648803486744</v>
      </c>
      <c r="W23" s="44">
        <f>CurrentMtgRatesDataTable8[[#This Row],[Top 1 Amount]]/CurrentMtgRatesDataTable8[[#This Row],[TotalBalance]]</f>
        <v>0.24604668109113237</v>
      </c>
      <c r="X23" s="44" t="e">
        <f>CurrentMtgRatesDataTable8[[#This Row],[N/A Amount]]/CurrentMtgRatesDataTable8[[#This Row],[TotalBalance]]</f>
        <v>#N/A</v>
      </c>
    </row>
    <row r="24" spans="2:24">
      <c r="B24" s="37">
        <v>39142</v>
      </c>
      <c r="C24" s="16">
        <v>1136163344.1300001</v>
      </c>
      <c r="D24" s="16" t="s">
        <v>11</v>
      </c>
      <c r="E24" s="16">
        <v>1</v>
      </c>
      <c r="H24" s="37">
        <v>41640</v>
      </c>
      <c r="I24" s="16">
        <v>101926.61</v>
      </c>
      <c r="N24" s="37">
        <v>41640</v>
      </c>
      <c r="O24" s="16">
        <v>21920064130.419998</v>
      </c>
      <c r="P24" s="17">
        <f>VLOOKUP($N24,'Pivot equal'!C:D,2,0)</f>
        <v>11845891136.720001</v>
      </c>
      <c r="Q24" s="17">
        <f>VLOOKUP(N24,'Pivot equal'!G:H,2,0)</f>
        <v>9318703436.4099998</v>
      </c>
      <c r="R24" s="17">
        <f>VLOOKUP(N24,'Pivot equal'!K:L,2,0)</f>
        <v>4800004095.4399996</v>
      </c>
      <c r="S24" s="43">
        <f>VLOOKUP(N24,CurrentMtgRatesDataTable9[],2,0)</f>
        <v>101926.61</v>
      </c>
      <c r="T24" s="43" t="e">
        <f>VLOOKUP(N24,CurrentMtgRatesDataTable93[],2,0)</f>
        <v>#N/A</v>
      </c>
      <c r="U24" s="44">
        <f>CurrentMtgRatesDataTable8[[#This Row],[Top 10 Amount]]/CurrentMtgRatesDataTable8[[#This Row],[TotalBalance]]</f>
        <v>0.54041316057468258</v>
      </c>
      <c r="V24" s="44">
        <f>CurrentMtgRatesDataTable8[[#This Row],[Top 5 Amount]]/CurrentMtgRatesDataTable8[[#This Row],[TotalBalance]]</f>
        <v>0.42512208819123787</v>
      </c>
      <c r="W24" s="44">
        <f>CurrentMtgRatesDataTable8[[#This Row],[Top 1 Amount]]/CurrentMtgRatesDataTable8[[#This Row],[TotalBalance]]</f>
        <v>0.21897764837187222</v>
      </c>
      <c r="X24" s="44" t="e">
        <f>CurrentMtgRatesDataTable8[[#This Row],[N/A Amount]]/CurrentMtgRatesDataTable8[[#This Row],[TotalBalance]]</f>
        <v>#N/A</v>
      </c>
    </row>
    <row r="25" spans="2:24">
      <c r="B25" s="37">
        <v>39142</v>
      </c>
      <c r="C25" s="16">
        <v>1086310630.5599999</v>
      </c>
      <c r="D25" s="16" t="s">
        <v>6</v>
      </c>
      <c r="E25" s="16">
        <v>2</v>
      </c>
      <c r="H25" s="37">
        <v>41609</v>
      </c>
      <c r="I25" s="16">
        <v>69070.8</v>
      </c>
      <c r="N25" s="37">
        <v>41609</v>
      </c>
      <c r="O25" s="16">
        <v>21441669551.299999</v>
      </c>
      <c r="P25" s="17">
        <f>VLOOKUP($N25,'Pivot equal'!C:D,2,0)</f>
        <v>11595801527.200001</v>
      </c>
      <c r="Q25" s="17">
        <f>VLOOKUP(N25,'Pivot equal'!G:H,2,0)</f>
        <v>9254986706.0799999</v>
      </c>
      <c r="R25" s="17">
        <f>VLOOKUP(N25,'Pivot equal'!K:L,2,0)</f>
        <v>4731307858.5900002</v>
      </c>
      <c r="S25" s="43">
        <f>VLOOKUP(N25,CurrentMtgRatesDataTable9[],2,0)</f>
        <v>69070.8</v>
      </c>
      <c r="T25" s="43" t="e">
        <f>VLOOKUP(N25,CurrentMtgRatesDataTable93[],2,0)</f>
        <v>#N/A</v>
      </c>
      <c r="U25" s="44">
        <f>CurrentMtgRatesDataTable8[[#This Row],[Top 10 Amount]]/CurrentMtgRatesDataTable8[[#This Row],[TotalBalance]]</f>
        <v>0.54080683873317847</v>
      </c>
      <c r="V25" s="44">
        <f>CurrentMtgRatesDataTable8[[#This Row],[Top 5 Amount]]/CurrentMtgRatesDataTable8[[#This Row],[TotalBalance]]</f>
        <v>0.43163554423488792</v>
      </c>
      <c r="W25" s="44">
        <f>CurrentMtgRatesDataTable8[[#This Row],[Top 1 Amount]]/CurrentMtgRatesDataTable8[[#This Row],[TotalBalance]]</f>
        <v>0.22065948956400847</v>
      </c>
      <c r="X25" s="44" t="e">
        <f>CurrentMtgRatesDataTable8[[#This Row],[N/A Amount]]/CurrentMtgRatesDataTable8[[#This Row],[TotalBalance]]</f>
        <v>#N/A</v>
      </c>
    </row>
    <row r="26" spans="2:24">
      <c r="B26" s="37">
        <v>39142</v>
      </c>
      <c r="C26" s="16">
        <v>616257064</v>
      </c>
      <c r="D26" s="16" t="s">
        <v>100</v>
      </c>
      <c r="E26" s="16">
        <v>3</v>
      </c>
      <c r="H26" s="37">
        <v>41579</v>
      </c>
      <c r="I26" s="16">
        <v>2558893.7599999998</v>
      </c>
      <c r="N26" s="37">
        <v>41579</v>
      </c>
      <c r="O26" s="16">
        <v>24425721819.209999</v>
      </c>
      <c r="P26" s="17">
        <f>VLOOKUP($N26,'Pivot equal'!C:D,2,0)</f>
        <v>14315974240.729996</v>
      </c>
      <c r="Q26" s="17">
        <f>VLOOKUP(N26,'Pivot equal'!G:H,2,0)</f>
        <v>11600603853.66</v>
      </c>
      <c r="R26" s="17">
        <f>VLOOKUP(N26,'Pivot equal'!K:L,2,0)</f>
        <v>6464423980.5</v>
      </c>
      <c r="S26" s="43">
        <f>VLOOKUP(N26,CurrentMtgRatesDataTable9[],2,0)</f>
        <v>2558893.7599999998</v>
      </c>
      <c r="T26" s="43" t="e">
        <f>VLOOKUP(N26,CurrentMtgRatesDataTable93[],2,0)</f>
        <v>#N/A</v>
      </c>
      <c r="U26" s="44">
        <f>CurrentMtgRatesDataTable8[[#This Row],[Top 10 Amount]]/CurrentMtgRatesDataTable8[[#This Row],[TotalBalance]]</f>
        <v>0.58610240248748635</v>
      </c>
      <c r="V26" s="44">
        <f>CurrentMtgRatesDataTable8[[#This Row],[Top 5 Amount]]/CurrentMtgRatesDataTable8[[#This Row],[TotalBalance]]</f>
        <v>0.47493392168810011</v>
      </c>
      <c r="W26" s="44">
        <f>CurrentMtgRatesDataTable8[[#This Row],[Top 1 Amount]]/CurrentMtgRatesDataTable8[[#This Row],[TotalBalance]]</f>
        <v>0.26465641541106683</v>
      </c>
      <c r="X26" s="44" t="e">
        <f>CurrentMtgRatesDataTable8[[#This Row],[N/A Amount]]/CurrentMtgRatesDataTable8[[#This Row],[TotalBalance]]</f>
        <v>#N/A</v>
      </c>
    </row>
    <row r="27" spans="2:24">
      <c r="B27" s="37">
        <v>39142</v>
      </c>
      <c r="C27" s="16">
        <v>527836553.68000001</v>
      </c>
      <c r="D27" s="16" t="s">
        <v>13</v>
      </c>
      <c r="E27" s="16">
        <v>4</v>
      </c>
      <c r="H27" s="37">
        <v>41548</v>
      </c>
      <c r="I27" s="16">
        <v>158895.63</v>
      </c>
      <c r="N27" s="37">
        <v>41548</v>
      </c>
      <c r="O27" s="16">
        <v>26884500047.799999</v>
      </c>
      <c r="P27" s="17">
        <f>VLOOKUP($N27,'Pivot equal'!C:D,2,0)</f>
        <v>15685629842.970001</v>
      </c>
      <c r="Q27" s="17">
        <f>VLOOKUP(N27,'Pivot equal'!G:H,2,0)</f>
        <v>12514284008.049999</v>
      </c>
      <c r="R27" s="17">
        <f>VLOOKUP(N27,'Pivot equal'!K:L,2,0)</f>
        <v>6287281036.2299995</v>
      </c>
      <c r="S27" s="43">
        <f>VLOOKUP(N27,CurrentMtgRatesDataTable9[],2,0)</f>
        <v>158895.63</v>
      </c>
      <c r="T27" s="43" t="e">
        <f>VLOOKUP(N27,CurrentMtgRatesDataTable93[],2,0)</f>
        <v>#N/A</v>
      </c>
      <c r="U27" s="44">
        <f>CurrentMtgRatesDataTable8[[#This Row],[Top 10 Amount]]/CurrentMtgRatesDataTable8[[#This Row],[TotalBalance]]</f>
        <v>0.58344510089759249</v>
      </c>
      <c r="V27" s="44">
        <f>CurrentMtgRatesDataTable8[[#This Row],[Top 5 Amount]]/CurrentMtgRatesDataTable8[[#This Row],[TotalBalance]]</f>
        <v>0.46548323330543256</v>
      </c>
      <c r="W27" s="44">
        <f>CurrentMtgRatesDataTable8[[#This Row],[Top 1 Amount]]/CurrentMtgRatesDataTable8[[#This Row],[TotalBalance]]</f>
        <v>0.23386267273155029</v>
      </c>
      <c r="X27" s="44" t="e">
        <f>CurrentMtgRatesDataTable8[[#This Row],[N/A Amount]]/CurrentMtgRatesDataTable8[[#This Row],[TotalBalance]]</f>
        <v>#N/A</v>
      </c>
    </row>
    <row r="28" spans="2:24">
      <c r="B28" s="37">
        <v>39142</v>
      </c>
      <c r="C28" s="16">
        <v>518587543.66000003</v>
      </c>
      <c r="D28" s="16" t="s">
        <v>4</v>
      </c>
      <c r="E28" s="16">
        <v>5</v>
      </c>
      <c r="H28" s="37">
        <v>41518</v>
      </c>
      <c r="I28" s="16">
        <v>715052.98</v>
      </c>
      <c r="N28" s="37">
        <v>41518</v>
      </c>
      <c r="O28" s="16">
        <v>30246465328.040001</v>
      </c>
      <c r="P28" s="17">
        <f>VLOOKUP($N28,'Pivot equal'!C:D,2,0)</f>
        <v>17776590882.760002</v>
      </c>
      <c r="Q28" s="17">
        <f>VLOOKUP(N28,'Pivot equal'!G:H,2,0)</f>
        <v>14400270643.16</v>
      </c>
      <c r="R28" s="17">
        <f>VLOOKUP(N28,'Pivot equal'!K:L,2,0)</f>
        <v>7267875544.7299995</v>
      </c>
      <c r="S28" s="43">
        <f>VLOOKUP(N28,CurrentMtgRatesDataTable9[],2,0)</f>
        <v>715052.98</v>
      </c>
      <c r="T28" s="43" t="e">
        <f>VLOOKUP(N28,CurrentMtgRatesDataTable93[],2,0)</f>
        <v>#N/A</v>
      </c>
      <c r="U28" s="44">
        <f>CurrentMtgRatesDataTable8[[#This Row],[Top 10 Amount]]/CurrentMtgRatesDataTable8[[#This Row],[TotalBalance]]</f>
        <v>0.58772457177930815</v>
      </c>
      <c r="V28" s="44">
        <f>CurrentMtgRatesDataTable8[[#This Row],[Top 5 Amount]]/CurrentMtgRatesDataTable8[[#This Row],[TotalBalance]]</f>
        <v>0.47609763610329109</v>
      </c>
      <c r="W28" s="44">
        <f>CurrentMtgRatesDataTable8[[#This Row],[Top 1 Amount]]/CurrentMtgRatesDataTable8[[#This Row],[TotalBalance]]</f>
        <v>0.24028842596666367</v>
      </c>
      <c r="X28" s="44" t="e">
        <f>CurrentMtgRatesDataTable8[[#This Row],[N/A Amount]]/CurrentMtgRatesDataTable8[[#This Row],[TotalBalance]]</f>
        <v>#N/A</v>
      </c>
    </row>
    <row r="29" spans="2:24">
      <c r="B29" s="37">
        <v>39142</v>
      </c>
      <c r="C29" s="16">
        <v>475430933.06</v>
      </c>
      <c r="D29" s="16" t="s">
        <v>7</v>
      </c>
      <c r="E29" s="16">
        <v>6</v>
      </c>
      <c r="H29" s="37">
        <v>41487</v>
      </c>
      <c r="I29" s="16">
        <v>42386.54</v>
      </c>
      <c r="N29" s="37">
        <v>41487</v>
      </c>
      <c r="O29" s="16">
        <v>34072165757.150002</v>
      </c>
      <c r="P29" s="17">
        <f>VLOOKUP($N29,'Pivot equal'!C:D,2,0)</f>
        <v>20908839908.930004</v>
      </c>
      <c r="Q29" s="17">
        <f>VLOOKUP(N29,'Pivot equal'!G:H,2,0)</f>
        <v>17168607712.619999</v>
      </c>
      <c r="R29" s="17">
        <f>VLOOKUP(N29,'Pivot equal'!K:L,2,0)</f>
        <v>8870949392.1399994</v>
      </c>
      <c r="S29" s="43">
        <f>VLOOKUP(N29,CurrentMtgRatesDataTable9[],2,0)</f>
        <v>42386.54</v>
      </c>
      <c r="T29" s="43" t="e">
        <f>VLOOKUP(N29,CurrentMtgRatesDataTable93[],2,0)</f>
        <v>#N/A</v>
      </c>
      <c r="U29" s="44">
        <f>CurrentMtgRatesDataTable8[[#This Row],[Top 10 Amount]]/CurrentMtgRatesDataTable8[[#This Row],[TotalBalance]]</f>
        <v>0.61366336551536382</v>
      </c>
      <c r="V29" s="44">
        <f>CurrentMtgRatesDataTable8[[#This Row],[Top 5 Amount]]/CurrentMtgRatesDataTable8[[#This Row],[TotalBalance]]</f>
        <v>0.50388953361490352</v>
      </c>
      <c r="W29" s="44">
        <f>CurrentMtgRatesDataTable8[[#This Row],[Top 1 Amount]]/CurrentMtgRatesDataTable8[[#This Row],[TotalBalance]]</f>
        <v>0.2603576613053557</v>
      </c>
      <c r="X29" s="44" t="e">
        <f>CurrentMtgRatesDataTable8[[#This Row],[N/A Amount]]/CurrentMtgRatesDataTable8[[#This Row],[TotalBalance]]</f>
        <v>#N/A</v>
      </c>
    </row>
    <row r="30" spans="2:24">
      <c r="B30" s="37">
        <v>39142</v>
      </c>
      <c r="C30" s="16">
        <v>328710504.68000001</v>
      </c>
      <c r="D30" s="16" t="s">
        <v>101</v>
      </c>
      <c r="E30" s="16">
        <v>7</v>
      </c>
      <c r="H30" s="37">
        <v>41456</v>
      </c>
      <c r="I30" s="16">
        <v>98553.86</v>
      </c>
      <c r="N30" s="37">
        <v>41456</v>
      </c>
      <c r="O30" s="16">
        <v>37282597413.379997</v>
      </c>
      <c r="P30" s="17">
        <f>VLOOKUP($N30,'Pivot equal'!C:D,2,0)</f>
        <v>23698069082.650002</v>
      </c>
      <c r="Q30" s="17">
        <f>VLOOKUP(N30,'Pivot equal'!G:H,2,0)</f>
        <v>18955519140.270004</v>
      </c>
      <c r="R30" s="17">
        <f>VLOOKUP(N30,'Pivot equal'!K:L,2,0)</f>
        <v>10136035522.35</v>
      </c>
      <c r="S30" s="43">
        <f>VLOOKUP(N30,CurrentMtgRatesDataTable9[],2,0)</f>
        <v>98553.86</v>
      </c>
      <c r="T30" s="43" t="e">
        <f>VLOOKUP(N30,CurrentMtgRatesDataTable93[],2,0)</f>
        <v>#N/A</v>
      </c>
      <c r="U30" s="44">
        <f>CurrentMtgRatesDataTable8[[#This Row],[Top 10 Amount]]/CurrentMtgRatesDataTable8[[#This Row],[TotalBalance]]</f>
        <v>0.63563353217834617</v>
      </c>
      <c r="V30" s="44">
        <f>CurrentMtgRatesDataTable8[[#This Row],[Top 5 Amount]]/CurrentMtgRatesDataTable8[[#This Row],[TotalBalance]]</f>
        <v>0.5084280724890492</v>
      </c>
      <c r="W30" s="44">
        <f>CurrentMtgRatesDataTable8[[#This Row],[Top 1 Amount]]/CurrentMtgRatesDataTable8[[#This Row],[TotalBalance]]</f>
        <v>0.27187042281320173</v>
      </c>
      <c r="X30" s="44" t="e">
        <f>CurrentMtgRatesDataTable8[[#This Row],[N/A Amount]]/CurrentMtgRatesDataTable8[[#This Row],[TotalBalance]]</f>
        <v>#N/A</v>
      </c>
    </row>
    <row r="31" spans="2:24">
      <c r="B31" s="37">
        <v>39142</v>
      </c>
      <c r="C31" s="16">
        <v>220919756.88999999</v>
      </c>
      <c r="D31" s="16" t="s">
        <v>16</v>
      </c>
      <c r="E31" s="16">
        <v>8</v>
      </c>
      <c r="H31" s="37">
        <v>41426</v>
      </c>
      <c r="I31" s="16">
        <v>41436.800000000003</v>
      </c>
      <c r="N31" s="37">
        <v>41426</v>
      </c>
      <c r="O31" s="16">
        <v>40070305738.699997</v>
      </c>
      <c r="P31" s="17">
        <f>VLOOKUP($N31,'Pivot equal'!C:D,2,0)</f>
        <v>24543431615.759995</v>
      </c>
      <c r="Q31" s="17">
        <f>VLOOKUP(N31,'Pivot equal'!G:H,2,0)</f>
        <v>19931806879.980003</v>
      </c>
      <c r="R31" s="17">
        <f>VLOOKUP(N31,'Pivot equal'!K:L,2,0)</f>
        <v>10901539313.190001</v>
      </c>
      <c r="S31" s="43">
        <f>VLOOKUP(N31,CurrentMtgRatesDataTable9[],2,0)</f>
        <v>41436.800000000003</v>
      </c>
      <c r="T31" s="43" t="e">
        <f>VLOOKUP(N31,CurrentMtgRatesDataTable93[],2,0)</f>
        <v>#N/A</v>
      </c>
      <c r="U31" s="44">
        <f>CurrentMtgRatesDataTable8[[#This Row],[Top 10 Amount]]/CurrentMtgRatesDataTable8[[#This Row],[TotalBalance]]</f>
        <v>0.61250921756895627</v>
      </c>
      <c r="V31" s="44">
        <f>CurrentMtgRatesDataTable8[[#This Row],[Top 5 Amount]]/CurrentMtgRatesDataTable8[[#This Row],[TotalBalance]]</f>
        <v>0.49742088343313579</v>
      </c>
      <c r="W31" s="44">
        <f>CurrentMtgRatesDataTable8[[#This Row],[Top 1 Amount]]/CurrentMtgRatesDataTable8[[#This Row],[TotalBalance]]</f>
        <v>0.27206029782451269</v>
      </c>
      <c r="X31" s="44" t="e">
        <f>CurrentMtgRatesDataTable8[[#This Row],[N/A Amount]]/CurrentMtgRatesDataTable8[[#This Row],[TotalBalance]]</f>
        <v>#N/A</v>
      </c>
    </row>
    <row r="32" spans="2:24">
      <c r="B32" s="37">
        <v>39142</v>
      </c>
      <c r="C32" s="16">
        <v>219108241.11000001</v>
      </c>
      <c r="D32" s="16" t="s">
        <v>8</v>
      </c>
      <c r="E32" s="16">
        <v>9</v>
      </c>
      <c r="H32" s="37">
        <v>41365</v>
      </c>
      <c r="I32" s="16">
        <v>156145.66</v>
      </c>
      <c r="N32" s="37">
        <v>41395</v>
      </c>
      <c r="O32" s="16">
        <v>40349366950.739998</v>
      </c>
      <c r="P32" s="17">
        <f>VLOOKUP($N32,'Pivot equal'!C:D,2,0)</f>
        <v>25114174999.98</v>
      </c>
      <c r="Q32" s="17">
        <f>VLOOKUP(N32,'Pivot equal'!G:H,2,0)</f>
        <v>20872056371.66</v>
      </c>
      <c r="R32" s="17">
        <f>VLOOKUP(N32,'Pivot equal'!K:L,2,0)</f>
        <v>11488927028.709999</v>
      </c>
      <c r="S32" s="43" t="e">
        <f>VLOOKUP(N32,CurrentMtgRatesDataTable9[],2,0)</f>
        <v>#N/A</v>
      </c>
      <c r="T32" s="43" t="e">
        <f>VLOOKUP(N32,CurrentMtgRatesDataTable93[],2,0)</f>
        <v>#N/A</v>
      </c>
      <c r="U32" s="44">
        <f>CurrentMtgRatesDataTable8[[#This Row],[Top 10 Amount]]/CurrentMtgRatesDataTable8[[#This Row],[TotalBalance]]</f>
        <v>0.62241806744180928</v>
      </c>
      <c r="V32" s="44">
        <f>CurrentMtgRatesDataTable8[[#This Row],[Top 5 Amount]]/CurrentMtgRatesDataTable8[[#This Row],[TotalBalance]]</f>
        <v>0.5172833664810994</v>
      </c>
      <c r="W32" s="44">
        <f>CurrentMtgRatesDataTable8[[#This Row],[Top 1 Amount]]/CurrentMtgRatesDataTable8[[#This Row],[TotalBalance]]</f>
        <v>0.28473623992009855</v>
      </c>
      <c r="X32" s="44" t="e">
        <f>CurrentMtgRatesDataTable8[[#This Row],[N/A Amount]]/CurrentMtgRatesDataTable8[[#This Row],[TotalBalance]]</f>
        <v>#N/A</v>
      </c>
    </row>
    <row r="33" spans="2:24">
      <c r="B33" s="37">
        <v>39142</v>
      </c>
      <c r="C33" s="16">
        <v>107482362.75</v>
      </c>
      <c r="D33" s="16" t="s">
        <v>10</v>
      </c>
      <c r="E33" s="16">
        <v>10</v>
      </c>
      <c r="H33" s="37">
        <v>41334</v>
      </c>
      <c r="I33" s="16">
        <v>1097501.01</v>
      </c>
      <c r="N33" s="37">
        <v>41365</v>
      </c>
      <c r="O33" s="16">
        <v>39207819015.68</v>
      </c>
      <c r="P33" s="17">
        <f>VLOOKUP($N33,'Pivot equal'!C:D,2,0)</f>
        <v>24970975389.630005</v>
      </c>
      <c r="Q33" s="17">
        <f>VLOOKUP(N33,'Pivot equal'!G:H,2,0)</f>
        <v>20223303671.580002</v>
      </c>
      <c r="R33" s="17">
        <f>VLOOKUP(N33,'Pivot equal'!K:L,2,0)</f>
        <v>11279857954.74</v>
      </c>
      <c r="S33" s="43">
        <f>VLOOKUP(N33,CurrentMtgRatesDataTable9[],2,0)</f>
        <v>156145.66</v>
      </c>
      <c r="T33" s="43" t="e">
        <f>VLOOKUP(N33,CurrentMtgRatesDataTable93[],2,0)</f>
        <v>#N/A</v>
      </c>
      <c r="U33" s="44">
        <f>CurrentMtgRatesDataTable8[[#This Row],[Top 10 Amount]]/CurrentMtgRatesDataTable8[[#This Row],[TotalBalance]]</f>
        <v>0.63688764171359813</v>
      </c>
      <c r="V33" s="44">
        <f>CurrentMtgRatesDataTable8[[#This Row],[Top 5 Amount]]/CurrentMtgRatesDataTable8[[#This Row],[TotalBalance]]</f>
        <v>0.51579772043663774</v>
      </c>
      <c r="W33" s="44">
        <f>CurrentMtgRatesDataTable8[[#This Row],[Top 1 Amount]]/CurrentMtgRatesDataTable8[[#This Row],[TotalBalance]]</f>
        <v>0.28769409362527809</v>
      </c>
      <c r="X33" s="44" t="e">
        <f>CurrentMtgRatesDataTable8[[#This Row],[N/A Amount]]/CurrentMtgRatesDataTable8[[#This Row],[TotalBalance]]</f>
        <v>#N/A</v>
      </c>
    </row>
    <row r="34" spans="2:24">
      <c r="B34" s="37">
        <v>39173</v>
      </c>
      <c r="C34" s="16">
        <v>1386094463.95</v>
      </c>
      <c r="D34" s="16" t="s">
        <v>6</v>
      </c>
      <c r="E34" s="16">
        <v>1</v>
      </c>
      <c r="H34" s="37">
        <v>41306</v>
      </c>
      <c r="I34" s="16">
        <v>2766460.86</v>
      </c>
      <c r="N34" s="37">
        <v>41334</v>
      </c>
      <c r="O34" s="16">
        <v>35969757043.540001</v>
      </c>
      <c r="P34" s="17">
        <f>VLOOKUP($N34,'Pivot equal'!C:D,2,0)</f>
        <v>22346775421.320004</v>
      </c>
      <c r="Q34" s="17">
        <f>VLOOKUP(N34,'Pivot equal'!G:H,2,0)</f>
        <v>18253722161.220001</v>
      </c>
      <c r="R34" s="17">
        <f>VLOOKUP(N34,'Pivot equal'!K:L,2,0)</f>
        <v>9568034422.0900002</v>
      </c>
      <c r="S34" s="43">
        <f>VLOOKUP(N34,CurrentMtgRatesDataTable9[],2,0)</f>
        <v>1097501.01</v>
      </c>
      <c r="T34" s="43" t="e">
        <f>VLOOKUP(N34,CurrentMtgRatesDataTable93[],2,0)</f>
        <v>#N/A</v>
      </c>
      <c r="U34" s="44">
        <f>CurrentMtgRatesDataTable8[[#This Row],[Top 10 Amount]]/CurrentMtgRatesDataTable8[[#This Row],[TotalBalance]]</f>
        <v>0.6212656758918359</v>
      </c>
      <c r="V34" s="44">
        <f>CurrentMtgRatesDataTable8[[#This Row],[Top 5 Amount]]/CurrentMtgRatesDataTable8[[#This Row],[TotalBalance]]</f>
        <v>0.50747415777995319</v>
      </c>
      <c r="W34" s="44">
        <f>CurrentMtgRatesDataTable8[[#This Row],[Top 1 Amount]]/CurrentMtgRatesDataTable8[[#This Row],[TotalBalance]]</f>
        <v>0.26600219763809535</v>
      </c>
      <c r="X34" s="44" t="e">
        <f>CurrentMtgRatesDataTable8[[#This Row],[N/A Amount]]/CurrentMtgRatesDataTable8[[#This Row],[TotalBalance]]</f>
        <v>#N/A</v>
      </c>
    </row>
    <row r="35" spans="2:24">
      <c r="B35" s="37">
        <v>39173</v>
      </c>
      <c r="C35" s="16">
        <v>1054161043.52</v>
      </c>
      <c r="D35" s="16" t="s">
        <v>11</v>
      </c>
      <c r="E35" s="16">
        <v>2</v>
      </c>
      <c r="H35" s="37">
        <v>41275</v>
      </c>
      <c r="I35" s="16">
        <v>2068229.63</v>
      </c>
      <c r="N35" s="37">
        <v>41306</v>
      </c>
      <c r="O35" s="16">
        <v>38063936628.589996</v>
      </c>
      <c r="P35" s="17">
        <f>VLOOKUP($N35,'Pivot equal'!C:D,2,0)</f>
        <v>24451409144.98</v>
      </c>
      <c r="Q35" s="17">
        <f>VLOOKUP(N35,'Pivot equal'!G:H,2,0)</f>
        <v>20255842062.120003</v>
      </c>
      <c r="R35" s="17">
        <f>VLOOKUP(N35,'Pivot equal'!K:L,2,0)</f>
        <v>11492145992.860001</v>
      </c>
      <c r="S35" s="43">
        <f>VLOOKUP(N35,CurrentMtgRatesDataTable9[],2,0)</f>
        <v>2766460.86</v>
      </c>
      <c r="T35" s="43" t="e">
        <f>VLOOKUP(N35,CurrentMtgRatesDataTable93[],2,0)</f>
        <v>#N/A</v>
      </c>
      <c r="U35" s="44">
        <f>CurrentMtgRatesDataTable8[[#This Row],[Top 10 Amount]]/CurrentMtgRatesDataTable8[[#This Row],[TotalBalance]]</f>
        <v>0.6423773080426588</v>
      </c>
      <c r="V35" s="44">
        <f>CurrentMtgRatesDataTable8[[#This Row],[Top 5 Amount]]/CurrentMtgRatesDataTable8[[#This Row],[TotalBalance]]</f>
        <v>0.53215310491310952</v>
      </c>
      <c r="W35" s="44">
        <f>CurrentMtgRatesDataTable8[[#This Row],[Top 1 Amount]]/CurrentMtgRatesDataTable8[[#This Row],[TotalBalance]]</f>
        <v>0.30191690641446156</v>
      </c>
      <c r="X35" s="44" t="e">
        <f>CurrentMtgRatesDataTable8[[#This Row],[N/A Amount]]/CurrentMtgRatesDataTable8[[#This Row],[TotalBalance]]</f>
        <v>#N/A</v>
      </c>
    </row>
    <row r="36" spans="2:24">
      <c r="B36" s="37">
        <v>39173</v>
      </c>
      <c r="C36" s="16">
        <v>697228581.84000003</v>
      </c>
      <c r="D36" s="16" t="s">
        <v>7</v>
      </c>
      <c r="E36" s="16">
        <v>3</v>
      </c>
      <c r="H36" s="37">
        <v>41244</v>
      </c>
      <c r="I36" s="16">
        <v>4723627.7300000004</v>
      </c>
      <c r="N36" s="37">
        <v>41275</v>
      </c>
      <c r="O36" s="16">
        <v>37478642030.029999</v>
      </c>
      <c r="P36" s="17">
        <f>VLOOKUP($N36,'Pivot equal'!C:D,2,0)</f>
        <v>23904875687.350002</v>
      </c>
      <c r="Q36" s="17">
        <f>VLOOKUP(N36,'Pivot equal'!G:H,2,0)</f>
        <v>19628010871.970001</v>
      </c>
      <c r="R36" s="17">
        <f>VLOOKUP(N36,'Pivot equal'!K:L,2,0)</f>
        <v>12333810135.870001</v>
      </c>
      <c r="S36" s="43">
        <f>VLOOKUP(N36,CurrentMtgRatesDataTable9[],2,0)</f>
        <v>2068229.63</v>
      </c>
      <c r="T36" s="43" t="e">
        <f>VLOOKUP(N36,CurrentMtgRatesDataTable93[],2,0)</f>
        <v>#N/A</v>
      </c>
      <c r="U36" s="44">
        <f>CurrentMtgRatesDataTable8[[#This Row],[Top 10 Amount]]/CurrentMtgRatesDataTable8[[#This Row],[TotalBalance]]</f>
        <v>0.63782662317903804</v>
      </c>
      <c r="V36" s="44">
        <f>CurrentMtgRatesDataTable8[[#This Row],[Top 5 Amount]]/CurrentMtgRatesDataTable8[[#This Row],[TotalBalance]]</f>
        <v>0.52371190120076749</v>
      </c>
      <c r="W36" s="44">
        <f>CurrentMtgRatesDataTable8[[#This Row],[Top 1 Amount]]/CurrentMtgRatesDataTable8[[#This Row],[TotalBalance]]</f>
        <v>0.32908903492254221</v>
      </c>
      <c r="X36" s="44" t="e">
        <f>CurrentMtgRatesDataTable8[[#This Row],[N/A Amount]]/CurrentMtgRatesDataTable8[[#This Row],[TotalBalance]]</f>
        <v>#N/A</v>
      </c>
    </row>
    <row r="37" spans="2:24">
      <c r="B37" s="37">
        <v>39173</v>
      </c>
      <c r="C37" s="16">
        <v>610609457.89999998</v>
      </c>
      <c r="D37" s="16" t="s">
        <v>13</v>
      </c>
      <c r="E37" s="16">
        <v>4</v>
      </c>
      <c r="H37" s="37">
        <v>41214</v>
      </c>
      <c r="I37" s="16">
        <v>265983.75</v>
      </c>
      <c r="N37" s="37">
        <v>41244</v>
      </c>
      <c r="O37" s="16">
        <v>40588469160.410004</v>
      </c>
      <c r="P37" s="17">
        <f>VLOOKUP($N37,'Pivot equal'!C:D,2,0)</f>
        <v>25121900776.220001</v>
      </c>
      <c r="Q37" s="17">
        <f>VLOOKUP(N37,'Pivot equal'!G:H,2,0)</f>
        <v>20340532413.459999</v>
      </c>
      <c r="R37" s="17">
        <f>VLOOKUP(N37,'Pivot equal'!K:L,2,0)</f>
        <v>11715803235.52</v>
      </c>
      <c r="S37" s="43">
        <f>VLOOKUP(N37,CurrentMtgRatesDataTable9[],2,0)</f>
        <v>4723627.7300000004</v>
      </c>
      <c r="T37" s="43" t="e">
        <f>VLOOKUP(N37,CurrentMtgRatesDataTable93[],2,0)</f>
        <v>#N/A</v>
      </c>
      <c r="U37" s="44">
        <f>CurrentMtgRatesDataTable8[[#This Row],[Top 10 Amount]]/CurrentMtgRatesDataTable8[[#This Row],[TotalBalance]]</f>
        <v>0.61894181514793134</v>
      </c>
      <c r="V37" s="44">
        <f>CurrentMtgRatesDataTable8[[#This Row],[Top 5 Amount]]/CurrentMtgRatesDataTable8[[#This Row],[TotalBalance]]</f>
        <v>0.50114066468168639</v>
      </c>
      <c r="W37" s="44">
        <f>CurrentMtgRatesDataTable8[[#This Row],[Top 1 Amount]]/CurrentMtgRatesDataTable8[[#This Row],[TotalBalance]]</f>
        <v>0.28864856147241924</v>
      </c>
      <c r="X37" s="44" t="e">
        <f>CurrentMtgRatesDataTable8[[#This Row],[N/A Amount]]/CurrentMtgRatesDataTable8[[#This Row],[TotalBalance]]</f>
        <v>#N/A</v>
      </c>
    </row>
    <row r="38" spans="2:24">
      <c r="B38" s="37">
        <v>39173</v>
      </c>
      <c r="C38" s="16">
        <v>560043687.34000003</v>
      </c>
      <c r="D38" s="16" t="s">
        <v>4</v>
      </c>
      <c r="E38" s="16">
        <v>5</v>
      </c>
      <c r="H38" s="37">
        <v>41183</v>
      </c>
      <c r="I38" s="16">
        <v>1260220.6499999999</v>
      </c>
      <c r="N38" s="37">
        <v>41214</v>
      </c>
      <c r="O38" s="16">
        <v>40377783920.790001</v>
      </c>
      <c r="P38" s="17">
        <f>VLOOKUP($N38,'Pivot equal'!C:D,2,0)</f>
        <v>27101432390.41</v>
      </c>
      <c r="Q38" s="17">
        <f>VLOOKUP(N38,'Pivot equal'!G:H,2,0)</f>
        <v>22292069694.239998</v>
      </c>
      <c r="R38" s="17">
        <f>VLOOKUP(N38,'Pivot equal'!K:L,2,0)</f>
        <v>14279880239.870001</v>
      </c>
      <c r="S38" s="43">
        <f>VLOOKUP(N38,CurrentMtgRatesDataTable9[],2,0)</f>
        <v>265983.75</v>
      </c>
      <c r="T38" s="43" t="e">
        <f>VLOOKUP(N38,CurrentMtgRatesDataTable93[],2,0)</f>
        <v>#N/A</v>
      </c>
      <c r="U38" s="44">
        <f>CurrentMtgRatesDataTable8[[#This Row],[Top 10 Amount]]/CurrentMtgRatesDataTable8[[#This Row],[TotalBalance]]</f>
        <v>0.6711966274220369</v>
      </c>
      <c r="V38" s="44">
        <f>CurrentMtgRatesDataTable8[[#This Row],[Top 5 Amount]]/CurrentMtgRatesDataTable8[[#This Row],[TotalBalance]]</f>
        <v>0.55208749786691735</v>
      </c>
      <c r="W38" s="44">
        <f>CurrentMtgRatesDataTable8[[#This Row],[Top 1 Amount]]/CurrentMtgRatesDataTable8[[#This Row],[TotalBalance]]</f>
        <v>0.35365685912538342</v>
      </c>
      <c r="X38" s="44" t="e">
        <f>CurrentMtgRatesDataTable8[[#This Row],[N/A Amount]]/CurrentMtgRatesDataTable8[[#This Row],[TotalBalance]]</f>
        <v>#N/A</v>
      </c>
    </row>
    <row r="39" spans="2:24">
      <c r="B39" s="37">
        <v>39173</v>
      </c>
      <c r="C39" s="16">
        <v>549494004</v>
      </c>
      <c r="D39" s="16" t="s">
        <v>100</v>
      </c>
      <c r="E39" s="16">
        <v>6</v>
      </c>
      <c r="H39" s="37">
        <v>41153</v>
      </c>
      <c r="I39" s="16">
        <v>4946.2299999999996</v>
      </c>
      <c r="N39" s="37">
        <v>41183</v>
      </c>
      <c r="O39" s="16">
        <v>35764476169.269997</v>
      </c>
      <c r="P39" s="17">
        <f>VLOOKUP($N39,'Pivot equal'!C:D,2,0)</f>
        <v>23869927709.499996</v>
      </c>
      <c r="Q39" s="17">
        <f>VLOOKUP(N39,'Pivot equal'!G:H,2,0)</f>
        <v>19510637406.490002</v>
      </c>
      <c r="R39" s="17">
        <f>VLOOKUP(N39,'Pivot equal'!K:L,2,0)</f>
        <v>12119713533.76</v>
      </c>
      <c r="S39" s="43">
        <f>VLOOKUP(N39,CurrentMtgRatesDataTable9[],2,0)</f>
        <v>1260220.6499999999</v>
      </c>
      <c r="T39" s="43" t="e">
        <f>VLOOKUP(N39,CurrentMtgRatesDataTable93[],2,0)</f>
        <v>#N/A</v>
      </c>
      <c r="U39" s="44">
        <f>CurrentMtgRatesDataTable8[[#This Row],[Top 10 Amount]]/CurrentMtgRatesDataTable8[[#This Row],[TotalBalance]]</f>
        <v>0.66742002864870187</v>
      </c>
      <c r="V39" s="44">
        <f>CurrentMtgRatesDataTable8[[#This Row],[Top 5 Amount]]/CurrentMtgRatesDataTable8[[#This Row],[TotalBalance]]</f>
        <v>0.54553119453359078</v>
      </c>
      <c r="W39" s="44">
        <f>CurrentMtgRatesDataTable8[[#This Row],[Top 1 Amount]]/CurrentMtgRatesDataTable8[[#This Row],[TotalBalance]]</f>
        <v>0.33887574576511353</v>
      </c>
      <c r="X39" s="44" t="e">
        <f>CurrentMtgRatesDataTable8[[#This Row],[N/A Amount]]/CurrentMtgRatesDataTable8[[#This Row],[TotalBalance]]</f>
        <v>#N/A</v>
      </c>
    </row>
    <row r="40" spans="2:24">
      <c r="B40" s="37">
        <v>39173</v>
      </c>
      <c r="C40" s="16">
        <v>300885844.23000002</v>
      </c>
      <c r="D40" s="16" t="s">
        <v>101</v>
      </c>
      <c r="E40" s="16">
        <v>7</v>
      </c>
      <c r="H40" s="37">
        <v>41122</v>
      </c>
      <c r="I40" s="16">
        <v>479742.95</v>
      </c>
      <c r="N40" s="37">
        <v>41153</v>
      </c>
      <c r="O40" s="16">
        <v>37945487987.889999</v>
      </c>
      <c r="P40" s="17">
        <f>VLOOKUP($N40,'Pivot equal'!C:D,2,0)</f>
        <v>25979772278.559998</v>
      </c>
      <c r="Q40" s="17">
        <f>VLOOKUP(N40,'Pivot equal'!G:H,2,0)</f>
        <v>21727048883.23</v>
      </c>
      <c r="R40" s="17">
        <f>VLOOKUP(N40,'Pivot equal'!K:L,2,0)</f>
        <v>14243174523.99</v>
      </c>
      <c r="S40" s="43">
        <f>VLOOKUP(N40,CurrentMtgRatesDataTable9[],2,0)</f>
        <v>4946.2299999999996</v>
      </c>
      <c r="T40" s="43" t="e">
        <f>VLOOKUP(N40,CurrentMtgRatesDataTable93[],2,0)</f>
        <v>#N/A</v>
      </c>
      <c r="U40" s="44">
        <f>CurrentMtgRatesDataTable8[[#This Row],[Top 10 Amount]]/CurrentMtgRatesDataTable8[[#This Row],[TotalBalance]]</f>
        <v>0.684660381409543</v>
      </c>
      <c r="V40" s="44">
        <f>CurrentMtgRatesDataTable8[[#This Row],[Top 5 Amount]]/CurrentMtgRatesDataTable8[[#This Row],[TotalBalance]]</f>
        <v>0.57258583392481377</v>
      </c>
      <c r="W40" s="44">
        <f>CurrentMtgRatesDataTable8[[#This Row],[Top 1 Amount]]/CurrentMtgRatesDataTable8[[#This Row],[TotalBalance]]</f>
        <v>0.37535884447014084</v>
      </c>
      <c r="X40" s="44" t="e">
        <f>CurrentMtgRatesDataTable8[[#This Row],[N/A Amount]]/CurrentMtgRatesDataTable8[[#This Row],[TotalBalance]]</f>
        <v>#N/A</v>
      </c>
    </row>
    <row r="41" spans="2:24">
      <c r="B41" s="37">
        <v>39173</v>
      </c>
      <c r="C41" s="16">
        <v>240388245.47</v>
      </c>
      <c r="D41" s="16" t="s">
        <v>16</v>
      </c>
      <c r="E41" s="16">
        <v>8</v>
      </c>
      <c r="H41" s="37">
        <v>41091</v>
      </c>
      <c r="I41" s="16">
        <v>2007537.55</v>
      </c>
      <c r="N41" s="37">
        <v>41122</v>
      </c>
      <c r="O41" s="16">
        <v>38079955996.330002</v>
      </c>
      <c r="P41" s="17">
        <f>VLOOKUP($N41,'Pivot equal'!C:D,2,0)</f>
        <v>27220146041.560001</v>
      </c>
      <c r="Q41" s="17">
        <f>VLOOKUP(N41,'Pivot equal'!G:H,2,0)</f>
        <v>22870113391.25</v>
      </c>
      <c r="R41" s="17">
        <f>VLOOKUP(N41,'Pivot equal'!K:L,2,0)</f>
        <v>15536484394.24</v>
      </c>
      <c r="S41" s="43">
        <f>VLOOKUP(N41,CurrentMtgRatesDataTable9[],2,0)</f>
        <v>479742.95</v>
      </c>
      <c r="T41" s="43" t="e">
        <f>VLOOKUP(N41,CurrentMtgRatesDataTable93[],2,0)</f>
        <v>#N/A</v>
      </c>
      <c r="U41" s="44">
        <f>CurrentMtgRatesDataTable8[[#This Row],[Top 10 Amount]]/CurrentMtgRatesDataTable8[[#This Row],[TotalBalance]]</f>
        <v>0.7148155855060172</v>
      </c>
      <c r="V41" s="44">
        <f>CurrentMtgRatesDataTable8[[#This Row],[Top 5 Amount]]/CurrentMtgRatesDataTable8[[#This Row],[TotalBalance]]</f>
        <v>0.60058140281081551</v>
      </c>
      <c r="W41" s="44">
        <f>CurrentMtgRatesDataTable8[[#This Row],[Top 1 Amount]]/CurrentMtgRatesDataTable8[[#This Row],[TotalBalance]]</f>
        <v>0.40799638517800141</v>
      </c>
      <c r="X41" s="44" t="e">
        <f>CurrentMtgRatesDataTable8[[#This Row],[N/A Amount]]/CurrentMtgRatesDataTable8[[#This Row],[TotalBalance]]</f>
        <v>#N/A</v>
      </c>
    </row>
    <row r="42" spans="2:24">
      <c r="B42" s="37">
        <v>39173</v>
      </c>
      <c r="C42" s="16">
        <v>235387471.34999999</v>
      </c>
      <c r="D42" s="16" t="s">
        <v>8</v>
      </c>
      <c r="E42" s="16">
        <v>9</v>
      </c>
      <c r="H42" s="37">
        <v>41061</v>
      </c>
      <c r="I42" s="16">
        <v>1841580.28</v>
      </c>
      <c r="N42" s="37">
        <v>41091</v>
      </c>
      <c r="O42" s="16">
        <v>30326222816.41</v>
      </c>
      <c r="P42" s="17">
        <f>VLOOKUP($N42,'Pivot equal'!C:D,2,0)</f>
        <v>21220884873.25</v>
      </c>
      <c r="Q42" s="17">
        <f>VLOOKUP(N42,'Pivot equal'!G:H,2,0)</f>
        <v>18023596767.029999</v>
      </c>
      <c r="R42" s="17">
        <f>VLOOKUP(N42,'Pivot equal'!K:L,2,0)</f>
        <v>12115594759.610001</v>
      </c>
      <c r="S42" s="43">
        <f>VLOOKUP(N42,CurrentMtgRatesDataTable9[],2,0)</f>
        <v>2007537.55</v>
      </c>
      <c r="T42" s="43" t="e">
        <f>VLOOKUP(N42,CurrentMtgRatesDataTable93[],2,0)</f>
        <v>#N/A</v>
      </c>
      <c r="U42" s="44">
        <f>CurrentMtgRatesDataTable8[[#This Row],[Top 10 Amount]]/CurrentMtgRatesDataTable8[[#This Row],[TotalBalance]]</f>
        <v>0.69975364230876269</v>
      </c>
      <c r="V42" s="44">
        <f>CurrentMtgRatesDataTable8[[#This Row],[Top 5 Amount]]/CurrentMtgRatesDataTable8[[#This Row],[TotalBalance]]</f>
        <v>0.59432382582367449</v>
      </c>
      <c r="W42" s="44">
        <f>CurrentMtgRatesDataTable8[[#This Row],[Top 1 Amount]]/CurrentMtgRatesDataTable8[[#This Row],[TotalBalance]]</f>
        <v>0.39950886178459588</v>
      </c>
      <c r="X42" s="44" t="e">
        <f>CurrentMtgRatesDataTable8[[#This Row],[N/A Amount]]/CurrentMtgRatesDataTable8[[#This Row],[TotalBalance]]</f>
        <v>#N/A</v>
      </c>
    </row>
    <row r="43" spans="2:24">
      <c r="B43" s="37">
        <v>39173</v>
      </c>
      <c r="C43" s="16">
        <v>118395519.92</v>
      </c>
      <c r="D43" s="16" t="s">
        <v>19</v>
      </c>
      <c r="E43" s="16">
        <v>10</v>
      </c>
      <c r="H43" s="37">
        <v>41030</v>
      </c>
      <c r="I43" s="16">
        <v>1890124.51</v>
      </c>
      <c r="N43" s="37">
        <v>41061</v>
      </c>
      <c r="O43" s="16">
        <v>32958680494.32</v>
      </c>
      <c r="P43" s="17">
        <f>VLOOKUP($N43,'Pivot equal'!C:D,2,0)</f>
        <v>23318814679.160004</v>
      </c>
      <c r="Q43" s="17">
        <f>VLOOKUP(N43,'Pivot equal'!G:H,2,0)</f>
        <v>20254241442.190002</v>
      </c>
      <c r="R43" s="17">
        <f>VLOOKUP(N43,'Pivot equal'!K:L,2,0)</f>
        <v>12472666977.870001</v>
      </c>
      <c r="S43" s="43">
        <f>VLOOKUP(N43,CurrentMtgRatesDataTable9[],2,0)</f>
        <v>1841580.28</v>
      </c>
      <c r="T43" s="43" t="e">
        <f>VLOOKUP(N43,CurrentMtgRatesDataTable93[],2,0)</f>
        <v>#N/A</v>
      </c>
      <c r="U43" s="44">
        <f>CurrentMtgRatesDataTable8[[#This Row],[Top 10 Amount]]/CurrentMtgRatesDataTable8[[#This Row],[TotalBalance]]</f>
        <v>0.70751663384032315</v>
      </c>
      <c r="V43" s="44">
        <f>CurrentMtgRatesDataTable8[[#This Row],[Top 5 Amount]]/CurrentMtgRatesDataTable8[[#This Row],[TotalBalance]]</f>
        <v>0.61453435448304905</v>
      </c>
      <c r="W43" s="44">
        <f>CurrentMtgRatesDataTable8[[#This Row],[Top 1 Amount]]/CurrentMtgRatesDataTable8[[#This Row],[TotalBalance]]</f>
        <v>0.37843344426423575</v>
      </c>
      <c r="X43" s="44" t="e">
        <f>CurrentMtgRatesDataTable8[[#This Row],[N/A Amount]]/CurrentMtgRatesDataTable8[[#This Row],[TotalBalance]]</f>
        <v>#N/A</v>
      </c>
    </row>
    <row r="44" spans="2:24">
      <c r="B44" s="37">
        <v>39203</v>
      </c>
      <c r="C44" s="16">
        <v>1527666445.4200001</v>
      </c>
      <c r="D44" s="16" t="s">
        <v>6</v>
      </c>
      <c r="E44" s="16">
        <v>1</v>
      </c>
      <c r="H44" s="37">
        <v>41000</v>
      </c>
      <c r="I44" s="16">
        <v>180374.83</v>
      </c>
      <c r="N44" s="37">
        <v>41030</v>
      </c>
      <c r="O44" s="16">
        <v>34838750444.559998</v>
      </c>
      <c r="P44" s="17">
        <f>VLOOKUP($N44,'Pivot equal'!C:D,2,0)</f>
        <v>25839406336.460003</v>
      </c>
      <c r="Q44" s="17">
        <f>VLOOKUP(N44,'Pivot equal'!G:H,2,0)</f>
        <v>22717138914.080002</v>
      </c>
      <c r="R44" s="17">
        <f>VLOOKUP(N44,'Pivot equal'!K:L,2,0)</f>
        <v>14867243244.77</v>
      </c>
      <c r="S44" s="43">
        <f>VLOOKUP(N44,CurrentMtgRatesDataTable9[],2,0)</f>
        <v>1890124.51</v>
      </c>
      <c r="T44" s="43" t="e">
        <f>VLOOKUP(N44,CurrentMtgRatesDataTable93[],2,0)</f>
        <v>#N/A</v>
      </c>
      <c r="U44" s="44">
        <f>CurrentMtgRatesDataTable8[[#This Row],[Top 10 Amount]]/CurrentMtgRatesDataTable8[[#This Row],[TotalBalance]]</f>
        <v>0.74168579546442304</v>
      </c>
      <c r="V44" s="44">
        <f>CurrentMtgRatesDataTable8[[#This Row],[Top 5 Amount]]/CurrentMtgRatesDataTable8[[#This Row],[TotalBalance]]</f>
        <v>0.65206526135977527</v>
      </c>
      <c r="W44" s="44">
        <f>CurrentMtgRatesDataTable8[[#This Row],[Top 1 Amount]]/CurrentMtgRatesDataTable8[[#This Row],[TotalBalance]]</f>
        <v>0.4267444456261057</v>
      </c>
      <c r="X44" s="44" t="e">
        <f>CurrentMtgRatesDataTable8[[#This Row],[N/A Amount]]/CurrentMtgRatesDataTable8[[#This Row],[TotalBalance]]</f>
        <v>#N/A</v>
      </c>
    </row>
    <row r="45" spans="2:24">
      <c r="B45" s="37">
        <v>39203</v>
      </c>
      <c r="C45" s="16">
        <v>1325103193.3800001</v>
      </c>
      <c r="D45" s="16" t="s">
        <v>11</v>
      </c>
      <c r="E45" s="16">
        <v>2</v>
      </c>
      <c r="H45" s="37">
        <v>40969</v>
      </c>
      <c r="I45" s="16">
        <v>1785490.34</v>
      </c>
      <c r="N45" s="37">
        <v>41000</v>
      </c>
      <c r="O45" s="16">
        <v>34798488088.949997</v>
      </c>
      <c r="P45" s="17">
        <f>VLOOKUP($N45,'Pivot equal'!C:D,2,0)</f>
        <v>25506549112.43</v>
      </c>
      <c r="Q45" s="17">
        <f>VLOOKUP(N45,'Pivot equal'!G:H,2,0)</f>
        <v>22471329505.650002</v>
      </c>
      <c r="R45" s="17">
        <f>VLOOKUP(N45,'Pivot equal'!K:L,2,0)</f>
        <v>14678468587.370001</v>
      </c>
      <c r="S45" s="43">
        <f>VLOOKUP(N45,CurrentMtgRatesDataTable9[],2,0)</f>
        <v>180374.83</v>
      </c>
      <c r="T45" s="43" t="e">
        <f>VLOOKUP(N45,CurrentMtgRatesDataTable93[],2,0)</f>
        <v>#N/A</v>
      </c>
      <c r="U45" s="44">
        <f>CurrentMtgRatesDataTable8[[#This Row],[Top 10 Amount]]/CurrentMtgRatesDataTable8[[#This Row],[TotalBalance]]</f>
        <v>0.73297865836100551</v>
      </c>
      <c r="V45" s="44">
        <f>CurrentMtgRatesDataTable8[[#This Row],[Top 5 Amount]]/CurrentMtgRatesDataTable8[[#This Row],[TotalBalance]]</f>
        <v>0.64575591468830529</v>
      </c>
      <c r="W45" s="44">
        <f>CurrentMtgRatesDataTable8[[#This Row],[Top 1 Amount]]/CurrentMtgRatesDataTable8[[#This Row],[TotalBalance]]</f>
        <v>0.42181340033652326</v>
      </c>
      <c r="X45" s="44" t="e">
        <f>CurrentMtgRatesDataTable8[[#This Row],[N/A Amount]]/CurrentMtgRatesDataTable8[[#This Row],[TotalBalance]]</f>
        <v>#N/A</v>
      </c>
    </row>
    <row r="46" spans="2:24">
      <c r="B46" s="37">
        <v>39203</v>
      </c>
      <c r="C46" s="16">
        <v>940698389.69000006</v>
      </c>
      <c r="D46" s="16" t="s">
        <v>13</v>
      </c>
      <c r="E46" s="16">
        <v>3</v>
      </c>
      <c r="H46" s="37">
        <v>40940</v>
      </c>
      <c r="I46" s="16">
        <v>1010830.25</v>
      </c>
      <c r="N46" s="37">
        <v>40969</v>
      </c>
      <c r="O46" s="16">
        <v>27983123127.27</v>
      </c>
      <c r="P46" s="17">
        <f>VLOOKUP($N46,'Pivot equal'!C:D,2,0)</f>
        <v>19975866042.119999</v>
      </c>
      <c r="Q46" s="17">
        <f>VLOOKUP(N46,'Pivot equal'!G:H,2,0)</f>
        <v>16974489941.450001</v>
      </c>
      <c r="R46" s="17">
        <f>VLOOKUP(N46,'Pivot equal'!K:L,2,0)</f>
        <v>10386620664.41</v>
      </c>
      <c r="S46" s="43">
        <f>VLOOKUP(N46,CurrentMtgRatesDataTable9[],2,0)</f>
        <v>1785490.34</v>
      </c>
      <c r="T46" s="43" t="e">
        <f>VLOOKUP(N46,CurrentMtgRatesDataTable93[],2,0)</f>
        <v>#N/A</v>
      </c>
      <c r="U46" s="44">
        <f>CurrentMtgRatesDataTable8[[#This Row],[Top 10 Amount]]/CurrentMtgRatesDataTable8[[#This Row],[TotalBalance]]</f>
        <v>0.71385405950821834</v>
      </c>
      <c r="V46" s="44">
        <f>CurrentMtgRatesDataTable8[[#This Row],[Top 5 Amount]]/CurrentMtgRatesDataTable8[[#This Row],[TotalBalance]]</f>
        <v>0.606597407453355</v>
      </c>
      <c r="W46" s="44">
        <f>CurrentMtgRatesDataTable8[[#This Row],[Top 1 Amount]]/CurrentMtgRatesDataTable8[[#This Row],[TotalBalance]]</f>
        <v>0.37117446173433272</v>
      </c>
      <c r="X46" s="44" t="e">
        <f>CurrentMtgRatesDataTable8[[#This Row],[N/A Amount]]/CurrentMtgRatesDataTable8[[#This Row],[TotalBalance]]</f>
        <v>#N/A</v>
      </c>
    </row>
    <row r="47" spans="2:24">
      <c r="B47" s="37">
        <v>39203</v>
      </c>
      <c r="C47" s="16">
        <v>787882452.95000005</v>
      </c>
      <c r="D47" s="16" t="s">
        <v>7</v>
      </c>
      <c r="E47" s="16">
        <v>4</v>
      </c>
      <c r="H47" s="37">
        <v>40909</v>
      </c>
      <c r="I47" s="16">
        <v>1010.6</v>
      </c>
      <c r="N47" s="37">
        <v>40940</v>
      </c>
      <c r="O47" s="16">
        <v>26640859908.990002</v>
      </c>
      <c r="P47" s="17">
        <f>VLOOKUP($N47,'Pivot equal'!C:D,2,0)</f>
        <v>19045138902.970001</v>
      </c>
      <c r="Q47" s="17">
        <f>VLOOKUP(N47,'Pivot equal'!G:H,2,0)</f>
        <v>16037593041.09</v>
      </c>
      <c r="R47" s="17">
        <f>VLOOKUP(N47,'Pivot equal'!K:L,2,0)</f>
        <v>10212781061.02</v>
      </c>
      <c r="S47" s="43">
        <f>VLOOKUP(N47,CurrentMtgRatesDataTable9[],2,0)</f>
        <v>1010830.25</v>
      </c>
      <c r="T47" s="43" t="e">
        <f>VLOOKUP(N47,CurrentMtgRatesDataTable93[],2,0)</f>
        <v>#N/A</v>
      </c>
      <c r="U47" s="44">
        <f>CurrentMtgRatesDataTable8[[#This Row],[Top 10 Amount]]/CurrentMtgRatesDataTable8[[#This Row],[TotalBalance]]</f>
        <v>0.71488454081556085</v>
      </c>
      <c r="V47" s="44">
        <f>CurrentMtgRatesDataTable8[[#This Row],[Top 5 Amount]]/CurrentMtgRatesDataTable8[[#This Row],[TotalBalance]]</f>
        <v>0.60199231916226881</v>
      </c>
      <c r="W47" s="44">
        <f>CurrentMtgRatesDataTable8[[#This Row],[Top 1 Amount]]/CurrentMtgRatesDataTable8[[#This Row],[TotalBalance]]</f>
        <v>0.38335027832842888</v>
      </c>
      <c r="X47" s="44" t="e">
        <f>CurrentMtgRatesDataTable8[[#This Row],[N/A Amount]]/CurrentMtgRatesDataTable8[[#This Row],[TotalBalance]]</f>
        <v>#N/A</v>
      </c>
    </row>
    <row r="48" spans="2:24">
      <c r="B48" s="37">
        <v>39203</v>
      </c>
      <c r="C48" s="16">
        <v>622244589.19000006</v>
      </c>
      <c r="D48" s="16" t="s">
        <v>4</v>
      </c>
      <c r="E48" s="16">
        <v>5</v>
      </c>
      <c r="H48" s="37">
        <v>40878</v>
      </c>
      <c r="I48" s="16">
        <v>61470.51</v>
      </c>
      <c r="N48" s="37">
        <v>40909</v>
      </c>
      <c r="O48" s="16">
        <v>28523030041.060001</v>
      </c>
      <c r="P48" s="17">
        <f>VLOOKUP($N48,'Pivot equal'!C:D,2,0)</f>
        <v>20719728556.670006</v>
      </c>
      <c r="Q48" s="17">
        <f>VLOOKUP(N48,'Pivot equal'!G:H,2,0)</f>
        <v>17458754360.880001</v>
      </c>
      <c r="R48" s="17">
        <f>VLOOKUP(N48,'Pivot equal'!K:L,2,0)</f>
        <v>11283566053.34</v>
      </c>
      <c r="S48" s="43">
        <f>VLOOKUP(N48,CurrentMtgRatesDataTable9[],2,0)</f>
        <v>1010.6</v>
      </c>
      <c r="T48" s="43" t="e">
        <f>VLOOKUP(N48,CurrentMtgRatesDataTable93[],2,0)</f>
        <v>#N/A</v>
      </c>
      <c r="U48" s="44">
        <f>CurrentMtgRatesDataTable8[[#This Row],[Top 10 Amount]]/CurrentMtgRatesDataTable8[[#This Row],[TotalBalance]]</f>
        <v>0.72642101932519643</v>
      </c>
      <c r="V48" s="44">
        <f>CurrentMtgRatesDataTable8[[#This Row],[Top 5 Amount]]/CurrentMtgRatesDataTable8[[#This Row],[TotalBalance]]</f>
        <v>0.61209325712406615</v>
      </c>
      <c r="W48" s="44">
        <f>CurrentMtgRatesDataTable8[[#This Row],[Top 1 Amount]]/CurrentMtgRatesDataTable8[[#This Row],[TotalBalance]]</f>
        <v>0.39559492932892726</v>
      </c>
      <c r="X48" s="44" t="e">
        <f>CurrentMtgRatesDataTable8[[#This Row],[N/A Amount]]/CurrentMtgRatesDataTable8[[#This Row],[TotalBalance]]</f>
        <v>#N/A</v>
      </c>
    </row>
    <row r="49" spans="2:24">
      <c r="B49" s="37">
        <v>39203</v>
      </c>
      <c r="C49" s="16">
        <v>483605043.64999998</v>
      </c>
      <c r="D49" s="16" t="s">
        <v>101</v>
      </c>
      <c r="E49" s="16">
        <v>6</v>
      </c>
      <c r="H49" s="37">
        <v>40848</v>
      </c>
      <c r="I49" s="16">
        <v>620304.76</v>
      </c>
      <c r="N49" s="37">
        <v>40878</v>
      </c>
      <c r="O49" s="16">
        <v>26358158006.09</v>
      </c>
      <c r="P49" s="17">
        <f>VLOOKUP($N49,'Pivot equal'!C:D,2,0)</f>
        <v>19032070115.290001</v>
      </c>
      <c r="Q49" s="17">
        <f>VLOOKUP(N49,'Pivot equal'!G:H,2,0)</f>
        <v>15779641668.220001</v>
      </c>
      <c r="R49" s="17">
        <f>VLOOKUP(N49,'Pivot equal'!K:L,2,0)</f>
        <v>9732604193.7800007</v>
      </c>
      <c r="S49" s="43">
        <f>VLOOKUP(N49,CurrentMtgRatesDataTable9[],2,0)</f>
        <v>61470.51</v>
      </c>
      <c r="T49" s="43" t="e">
        <f>VLOOKUP(N49,CurrentMtgRatesDataTable93[],2,0)</f>
        <v>#N/A</v>
      </c>
      <c r="U49" s="44">
        <f>CurrentMtgRatesDataTable8[[#This Row],[Top 10 Amount]]/CurrentMtgRatesDataTable8[[#This Row],[TotalBalance]]</f>
        <v>0.72205615092271158</v>
      </c>
      <c r="V49" s="44">
        <f>CurrentMtgRatesDataTable8[[#This Row],[Top 5 Amount]]/CurrentMtgRatesDataTable8[[#This Row],[TotalBalance]]</f>
        <v>0.59866253417913906</v>
      </c>
      <c r="W49" s="44">
        <f>CurrentMtgRatesDataTable8[[#This Row],[Top 1 Amount]]/CurrentMtgRatesDataTable8[[#This Row],[TotalBalance]]</f>
        <v>0.36924447419775319</v>
      </c>
      <c r="X49" s="44" t="e">
        <f>CurrentMtgRatesDataTable8[[#This Row],[N/A Amount]]/CurrentMtgRatesDataTable8[[#This Row],[TotalBalance]]</f>
        <v>#N/A</v>
      </c>
    </row>
    <row r="50" spans="2:24">
      <c r="B50" s="37">
        <v>39203</v>
      </c>
      <c r="C50" s="16">
        <v>323658105</v>
      </c>
      <c r="D50" s="16" t="s">
        <v>100</v>
      </c>
      <c r="E50" s="16">
        <v>7</v>
      </c>
      <c r="H50" s="37">
        <v>40817</v>
      </c>
      <c r="I50" s="16">
        <v>245030.48</v>
      </c>
      <c r="N50" s="37">
        <v>40848</v>
      </c>
      <c r="O50" s="16">
        <v>26639873770.48</v>
      </c>
      <c r="P50" s="17">
        <f>VLOOKUP($N50,'Pivot equal'!C:D,2,0)</f>
        <v>19896533379.880001</v>
      </c>
      <c r="Q50" s="17">
        <f>VLOOKUP(N50,'Pivot equal'!G:H,2,0)</f>
        <v>17051025581.610001</v>
      </c>
      <c r="R50" s="17">
        <f>VLOOKUP(N50,'Pivot equal'!K:L,2,0)</f>
        <v>9573021089.2900009</v>
      </c>
      <c r="S50" s="43">
        <f>VLOOKUP(N50,CurrentMtgRatesDataTable9[],2,0)</f>
        <v>620304.76</v>
      </c>
      <c r="T50" s="43" t="e">
        <f>VLOOKUP(N50,CurrentMtgRatesDataTable93[],2,0)</f>
        <v>#N/A</v>
      </c>
      <c r="U50" s="44">
        <f>CurrentMtgRatesDataTable8[[#This Row],[Top 10 Amount]]/CurrentMtgRatesDataTable8[[#This Row],[TotalBalance]]</f>
        <v>0.74687040754403333</v>
      </c>
      <c r="V50" s="44">
        <f>CurrentMtgRatesDataTable8[[#This Row],[Top 5 Amount]]/CurrentMtgRatesDataTable8[[#This Row],[TotalBalance]]</f>
        <v>0.64005654563215197</v>
      </c>
      <c r="W50" s="44">
        <f>CurrentMtgRatesDataTable8[[#This Row],[Top 1 Amount]]/CurrentMtgRatesDataTable8[[#This Row],[TotalBalance]]</f>
        <v>0.35934934120814016</v>
      </c>
      <c r="X50" s="44" t="e">
        <f>CurrentMtgRatesDataTable8[[#This Row],[N/A Amount]]/CurrentMtgRatesDataTable8[[#This Row],[TotalBalance]]</f>
        <v>#N/A</v>
      </c>
    </row>
    <row r="51" spans="2:24">
      <c r="B51" s="37">
        <v>39203</v>
      </c>
      <c r="C51" s="17">
        <v>261976006.90000001</v>
      </c>
      <c r="D51" s="17" t="s">
        <v>8</v>
      </c>
      <c r="E51" s="17">
        <v>8</v>
      </c>
      <c r="H51" s="37">
        <v>40787</v>
      </c>
      <c r="I51" s="17">
        <v>20432.740000000002</v>
      </c>
      <c r="N51" s="37">
        <v>40817</v>
      </c>
      <c r="O51" s="17">
        <v>24221879848.880001</v>
      </c>
      <c r="P51" s="17">
        <f>VLOOKUP($N51,'Pivot equal'!C:D,2,0)</f>
        <v>18278308881.059998</v>
      </c>
      <c r="Q51" s="17">
        <f>VLOOKUP(N51,'Pivot equal'!G:H,2,0)</f>
        <v>15363523312.85</v>
      </c>
      <c r="R51" s="17">
        <f>VLOOKUP(N51,'Pivot equal'!K:L,2,0)</f>
        <v>8581649843.8400002</v>
      </c>
      <c r="S51" s="43">
        <f>VLOOKUP(N51,CurrentMtgRatesDataTable9[],2,0)</f>
        <v>245030.48</v>
      </c>
      <c r="T51" s="43" t="e">
        <f>VLOOKUP(N51,CurrentMtgRatesDataTable93[],2,0)</f>
        <v>#N/A</v>
      </c>
      <c r="U51" s="44">
        <f>CurrentMtgRatesDataTable8[[#This Row],[Top 10 Amount]]/CurrentMtgRatesDataTable8[[#This Row],[TotalBalance]]</f>
        <v>0.75461974855370983</v>
      </c>
      <c r="V51" s="44">
        <f>CurrentMtgRatesDataTable8[[#This Row],[Top 5 Amount]]/CurrentMtgRatesDataTable8[[#This Row],[TotalBalance]]</f>
        <v>0.63428286362176789</v>
      </c>
      <c r="W51" s="44">
        <f>CurrentMtgRatesDataTable8[[#This Row],[Top 1 Amount]]/CurrentMtgRatesDataTable8[[#This Row],[TotalBalance]]</f>
        <v>0.35429330412754106</v>
      </c>
      <c r="X51" s="44" t="e">
        <f>CurrentMtgRatesDataTable8[[#This Row],[N/A Amount]]/CurrentMtgRatesDataTable8[[#This Row],[TotalBalance]]</f>
        <v>#N/A</v>
      </c>
    </row>
    <row r="52" spans="2:24">
      <c r="B52" s="37">
        <v>39203</v>
      </c>
      <c r="C52" s="17">
        <v>189718991.81999999</v>
      </c>
      <c r="D52" s="17" t="s">
        <v>16</v>
      </c>
      <c r="E52" s="17">
        <v>9</v>
      </c>
      <c r="H52" s="37">
        <v>40756</v>
      </c>
      <c r="I52" s="17">
        <v>745255.01</v>
      </c>
      <c r="N52" s="37">
        <v>40787</v>
      </c>
      <c r="O52" s="17">
        <v>26226574830.610001</v>
      </c>
      <c r="P52" s="17">
        <f>VLOOKUP($N52,'Pivot equal'!C:D,2,0)</f>
        <v>20485229215.440002</v>
      </c>
      <c r="Q52" s="17">
        <f>VLOOKUP(N52,'Pivot equal'!G:H,2,0)</f>
        <v>17394668684.389999</v>
      </c>
      <c r="R52" s="17">
        <f>VLOOKUP(N52,'Pivot equal'!K:L,2,0)</f>
        <v>9495614488.8299999</v>
      </c>
      <c r="S52" s="43">
        <f>VLOOKUP(N52,CurrentMtgRatesDataTable9[],2,0)</f>
        <v>20432.740000000002</v>
      </c>
      <c r="T52" s="43" t="e">
        <f>VLOOKUP(N52,CurrentMtgRatesDataTable93[],2,0)</f>
        <v>#N/A</v>
      </c>
      <c r="U52" s="44">
        <f>CurrentMtgRatesDataTable8[[#This Row],[Top 10 Amount]]/CurrentMtgRatesDataTable8[[#This Row],[TotalBalance]]</f>
        <v>0.78108671634585458</v>
      </c>
      <c r="V52" s="44">
        <f>CurrentMtgRatesDataTable8[[#This Row],[Top 5 Amount]]/CurrentMtgRatesDataTable8[[#This Row],[TotalBalance]]</f>
        <v>0.66324591742296601</v>
      </c>
      <c r="W52" s="44">
        <f>CurrentMtgRatesDataTable8[[#This Row],[Top 1 Amount]]/CurrentMtgRatesDataTable8[[#This Row],[TotalBalance]]</f>
        <v>0.36206079330448132</v>
      </c>
      <c r="X52" s="44" t="e">
        <f>CurrentMtgRatesDataTable8[[#This Row],[N/A Amount]]/CurrentMtgRatesDataTable8[[#This Row],[TotalBalance]]</f>
        <v>#N/A</v>
      </c>
    </row>
    <row r="53" spans="2:24">
      <c r="B53" s="37">
        <v>39203</v>
      </c>
      <c r="C53" s="17">
        <v>164541559.06999999</v>
      </c>
      <c r="D53" s="17" t="s">
        <v>19</v>
      </c>
      <c r="E53" s="17">
        <v>10</v>
      </c>
      <c r="H53" s="37">
        <v>40725</v>
      </c>
      <c r="I53" s="17">
        <v>56257.17</v>
      </c>
      <c r="N53" s="37">
        <v>40756</v>
      </c>
      <c r="O53" s="17">
        <v>25591163515.669998</v>
      </c>
      <c r="P53" s="17">
        <f>VLOOKUP($N53,'Pivot equal'!C:D,2,0)</f>
        <v>20304823559.120003</v>
      </c>
      <c r="Q53" s="17">
        <f>VLOOKUP(N53,'Pivot equal'!G:H,2,0)</f>
        <v>18285913390.110001</v>
      </c>
      <c r="R53" s="17">
        <f>VLOOKUP(N53,'Pivot equal'!K:L,2,0)</f>
        <v>9235841028.9400005</v>
      </c>
      <c r="S53" s="43">
        <f>VLOOKUP(N53,CurrentMtgRatesDataTable9[],2,0)</f>
        <v>745255.01</v>
      </c>
      <c r="T53" s="43" t="e">
        <f>VLOOKUP(N53,CurrentMtgRatesDataTable93[],2,0)</f>
        <v>#N/A</v>
      </c>
      <c r="U53" s="44">
        <f>CurrentMtgRatesDataTable8[[#This Row],[Top 10 Amount]]/CurrentMtgRatesDataTable8[[#This Row],[TotalBalance]]</f>
        <v>0.7934310429725846</v>
      </c>
      <c r="V53" s="44">
        <f>CurrentMtgRatesDataTable8[[#This Row],[Top 5 Amount]]/CurrentMtgRatesDataTable8[[#This Row],[TotalBalance]]</f>
        <v>0.71454013331254584</v>
      </c>
      <c r="W53" s="44">
        <f>CurrentMtgRatesDataTable8[[#This Row],[Top 1 Amount]]/CurrentMtgRatesDataTable8[[#This Row],[TotalBalance]]</f>
        <v>0.36089961377819746</v>
      </c>
      <c r="X53" s="44" t="e">
        <f>CurrentMtgRatesDataTable8[[#This Row],[N/A Amount]]/CurrentMtgRatesDataTable8[[#This Row],[TotalBalance]]</f>
        <v>#N/A</v>
      </c>
    </row>
    <row r="54" spans="2:24">
      <c r="B54" s="37">
        <v>39234</v>
      </c>
      <c r="C54" s="17">
        <v>1823409047.55</v>
      </c>
      <c r="D54" s="17" t="s">
        <v>6</v>
      </c>
      <c r="E54" s="17">
        <v>1</v>
      </c>
      <c r="H54" s="37">
        <v>40695</v>
      </c>
      <c r="I54" s="17">
        <v>109420.35</v>
      </c>
      <c r="N54" s="37">
        <v>40725</v>
      </c>
      <c r="O54" s="17">
        <v>25330543474.389999</v>
      </c>
      <c r="P54" s="17">
        <f>VLOOKUP($N54,'Pivot equal'!C:D,2,0)</f>
        <v>20105755941.52</v>
      </c>
      <c r="Q54" s="17">
        <f>VLOOKUP(N54,'Pivot equal'!G:H,2,0)</f>
        <v>18027575682.260002</v>
      </c>
      <c r="R54" s="17">
        <f>VLOOKUP(N54,'Pivot equal'!K:L,2,0)</f>
        <v>8290598483.0799999</v>
      </c>
      <c r="S54" s="43">
        <f>VLOOKUP(N54,CurrentMtgRatesDataTable9[],2,0)</f>
        <v>56257.17</v>
      </c>
      <c r="T54" s="43" t="e">
        <f>VLOOKUP(N54,CurrentMtgRatesDataTable93[],2,0)</f>
        <v>#N/A</v>
      </c>
      <c r="U54" s="44">
        <f>CurrentMtgRatesDataTable8[[#This Row],[Top 10 Amount]]/CurrentMtgRatesDataTable8[[#This Row],[TotalBalance]]</f>
        <v>0.79373567179273397</v>
      </c>
      <c r="V54" s="44">
        <f>CurrentMtgRatesDataTable8[[#This Row],[Top 5 Amount]]/CurrentMtgRatesDataTable8[[#This Row],[TotalBalance]]</f>
        <v>0.71169320549661574</v>
      </c>
      <c r="W54" s="44">
        <f>CurrentMtgRatesDataTable8[[#This Row],[Top 1 Amount]]/CurrentMtgRatesDataTable8[[#This Row],[TotalBalance]]</f>
        <v>0.32729651029643575</v>
      </c>
      <c r="X54" s="44" t="e">
        <f>CurrentMtgRatesDataTable8[[#This Row],[N/A Amount]]/CurrentMtgRatesDataTable8[[#This Row],[TotalBalance]]</f>
        <v>#N/A</v>
      </c>
    </row>
    <row r="55" spans="2:24">
      <c r="B55" s="37">
        <v>39234</v>
      </c>
      <c r="C55" s="17">
        <v>1348539445.8800001</v>
      </c>
      <c r="D55" s="17" t="s">
        <v>11</v>
      </c>
      <c r="E55" s="17">
        <v>2</v>
      </c>
      <c r="H55" s="37">
        <v>40664</v>
      </c>
      <c r="I55" s="17">
        <v>237947.17</v>
      </c>
      <c r="N55" s="37">
        <v>40695</v>
      </c>
      <c r="O55" s="17">
        <v>24713045702.759998</v>
      </c>
      <c r="P55" s="17">
        <f>VLOOKUP($N55,'Pivot equal'!C:D,2,0)</f>
        <v>19837089412.07</v>
      </c>
      <c r="Q55" s="17">
        <f>VLOOKUP(N55,'Pivot equal'!G:H,2,0)</f>
        <v>17662844612.689999</v>
      </c>
      <c r="R55" s="17">
        <f>VLOOKUP(N55,'Pivot equal'!K:L,2,0)</f>
        <v>8037102017.3699999</v>
      </c>
      <c r="S55" s="43">
        <f>VLOOKUP(N55,CurrentMtgRatesDataTable9[],2,0)</f>
        <v>109420.35</v>
      </c>
      <c r="T55" s="43" t="e">
        <f>VLOOKUP(N55,CurrentMtgRatesDataTable93[],2,0)</f>
        <v>#N/A</v>
      </c>
      <c r="U55" s="44">
        <f>CurrentMtgRatesDataTable8[[#This Row],[Top 10 Amount]]/CurrentMtgRatesDataTable8[[#This Row],[TotalBalance]]</f>
        <v>0.80269707144411406</v>
      </c>
      <c r="V55" s="44">
        <f>CurrentMtgRatesDataTable8[[#This Row],[Top 5 Amount]]/CurrentMtgRatesDataTable8[[#This Row],[TotalBalance]]</f>
        <v>0.7147174340683301</v>
      </c>
      <c r="W55" s="44">
        <f>CurrentMtgRatesDataTable8[[#This Row],[Top 1 Amount]]/CurrentMtgRatesDataTable8[[#This Row],[TotalBalance]]</f>
        <v>0.32521697705889813</v>
      </c>
      <c r="X55" s="44" t="e">
        <f>CurrentMtgRatesDataTable8[[#This Row],[N/A Amount]]/CurrentMtgRatesDataTable8[[#This Row],[TotalBalance]]</f>
        <v>#N/A</v>
      </c>
    </row>
    <row r="56" spans="2:24">
      <c r="B56" s="37">
        <v>39234</v>
      </c>
      <c r="C56" s="17">
        <v>1199564655</v>
      </c>
      <c r="D56" s="17" t="s">
        <v>7</v>
      </c>
      <c r="E56" s="17">
        <v>3</v>
      </c>
      <c r="H56" s="37">
        <v>40634</v>
      </c>
      <c r="I56" s="17">
        <v>1510218.57</v>
      </c>
      <c r="N56" s="37">
        <v>40664</v>
      </c>
      <c r="O56" s="17">
        <v>23342277364.419998</v>
      </c>
      <c r="P56" s="17">
        <f>VLOOKUP($N56,'Pivot equal'!C:D,2,0)</f>
        <v>18442308639.66</v>
      </c>
      <c r="Q56" s="17">
        <f>VLOOKUP(N56,'Pivot equal'!G:H,2,0)</f>
        <v>16633347989.009998</v>
      </c>
      <c r="R56" s="17">
        <f>VLOOKUP(N56,'Pivot equal'!K:L,2,0)</f>
        <v>7485893519.21</v>
      </c>
      <c r="S56" s="43">
        <f>VLOOKUP(N56,CurrentMtgRatesDataTable9[],2,0)</f>
        <v>237947.17</v>
      </c>
      <c r="T56" s="43" t="e">
        <f>VLOOKUP(N56,CurrentMtgRatesDataTable93[],2,0)</f>
        <v>#N/A</v>
      </c>
      <c r="U56" s="44">
        <f>CurrentMtgRatesDataTable8[[#This Row],[Top 10 Amount]]/CurrentMtgRatesDataTable8[[#This Row],[TotalBalance]]</f>
        <v>0.7900818052899633</v>
      </c>
      <c r="V56" s="44">
        <f>CurrentMtgRatesDataTable8[[#This Row],[Top 5 Amount]]/CurrentMtgRatesDataTable8[[#This Row],[TotalBalance]]</f>
        <v>0.71258462614122475</v>
      </c>
      <c r="W56" s="44">
        <f>CurrentMtgRatesDataTable8[[#This Row],[Top 1 Amount]]/CurrentMtgRatesDataTable8[[#This Row],[TotalBalance]]</f>
        <v>0.32070107823414629</v>
      </c>
      <c r="X56" s="44" t="e">
        <f>CurrentMtgRatesDataTable8[[#This Row],[N/A Amount]]/CurrentMtgRatesDataTable8[[#This Row],[TotalBalance]]</f>
        <v>#N/A</v>
      </c>
    </row>
    <row r="57" spans="2:24">
      <c r="B57" s="37">
        <v>39234</v>
      </c>
      <c r="C57" s="17">
        <v>899505175.19000006</v>
      </c>
      <c r="D57" s="17" t="s">
        <v>13</v>
      </c>
      <c r="E57" s="17">
        <v>4</v>
      </c>
      <c r="H57" s="37">
        <v>40603</v>
      </c>
      <c r="I57" s="17">
        <v>17081.54</v>
      </c>
      <c r="N57" s="37">
        <v>40634</v>
      </c>
      <c r="O57" s="17">
        <v>23651545297.040001</v>
      </c>
      <c r="P57" s="17">
        <f>VLOOKUP($N57,'Pivot equal'!C:D,2,0)</f>
        <v>18733585716.43</v>
      </c>
      <c r="Q57" s="17">
        <f>VLOOKUP(N57,'Pivot equal'!G:H,2,0)</f>
        <v>16944679060.639999</v>
      </c>
      <c r="R57" s="17">
        <f>VLOOKUP(N57,'Pivot equal'!K:L,2,0)</f>
        <v>7487569923.4700003</v>
      </c>
      <c r="S57" s="43">
        <f>VLOOKUP(N57,CurrentMtgRatesDataTable9[],2,0)</f>
        <v>1510218.57</v>
      </c>
      <c r="T57" s="43" t="e">
        <f>VLOOKUP(N57,CurrentMtgRatesDataTable93[],2,0)</f>
        <v>#N/A</v>
      </c>
      <c r="U57" s="44">
        <f>CurrentMtgRatesDataTable8[[#This Row],[Top 10 Amount]]/CurrentMtgRatesDataTable8[[#This Row],[TotalBalance]]</f>
        <v>0.79206603548117915</v>
      </c>
      <c r="V57" s="44">
        <f>CurrentMtgRatesDataTable8[[#This Row],[Top 5 Amount]]/CurrentMtgRatesDataTable8[[#This Row],[TotalBalance]]</f>
        <v>0.71643010415732256</v>
      </c>
      <c r="W57" s="44">
        <f>CurrentMtgRatesDataTable8[[#This Row],[Top 1 Amount]]/CurrentMtgRatesDataTable8[[#This Row],[TotalBalance]]</f>
        <v>0.31657846578029186</v>
      </c>
      <c r="X57" s="44" t="e">
        <f>CurrentMtgRatesDataTable8[[#This Row],[N/A Amount]]/CurrentMtgRatesDataTable8[[#This Row],[TotalBalance]]</f>
        <v>#N/A</v>
      </c>
    </row>
    <row r="58" spans="2:24">
      <c r="B58" s="37">
        <v>39234</v>
      </c>
      <c r="C58" s="17">
        <v>631116059.47000003</v>
      </c>
      <c r="D58" s="17" t="s">
        <v>4</v>
      </c>
      <c r="E58" s="17">
        <v>5</v>
      </c>
      <c r="H58" s="37">
        <v>40575</v>
      </c>
      <c r="I58" s="17">
        <v>619340.61</v>
      </c>
      <c r="N58" s="37">
        <v>40603</v>
      </c>
      <c r="O58" s="17">
        <v>22391126216.799999</v>
      </c>
      <c r="P58" s="17">
        <f>VLOOKUP($N58,'Pivot equal'!C:D,2,0)</f>
        <v>18079427243.530003</v>
      </c>
      <c r="Q58" s="17">
        <f>VLOOKUP(N58,'Pivot equal'!G:H,2,0)</f>
        <v>16255693778.460003</v>
      </c>
      <c r="R58" s="17">
        <f>VLOOKUP(N58,'Pivot equal'!K:L,2,0)</f>
        <v>7142348227.9899998</v>
      </c>
      <c r="S58" s="43">
        <f>VLOOKUP(N58,CurrentMtgRatesDataTable9[],2,0)</f>
        <v>17081.54</v>
      </c>
      <c r="T58" s="43" t="e">
        <f>VLOOKUP(N58,CurrentMtgRatesDataTable93[],2,0)</f>
        <v>#N/A</v>
      </c>
      <c r="U58" s="44">
        <f>CurrentMtgRatesDataTable8[[#This Row],[Top 10 Amount]]/CurrentMtgRatesDataTable8[[#This Row],[TotalBalance]]</f>
        <v>0.80743715472270705</v>
      </c>
      <c r="V58" s="44">
        <f>CurrentMtgRatesDataTable8[[#This Row],[Top 5 Amount]]/CurrentMtgRatesDataTable8[[#This Row],[TotalBalance]]</f>
        <v>0.72598821609354336</v>
      </c>
      <c r="W58" s="44">
        <f>CurrentMtgRatesDataTable8[[#This Row],[Top 1 Amount]]/CurrentMtgRatesDataTable8[[#This Row],[TotalBalance]]</f>
        <v>0.3189811963379991</v>
      </c>
      <c r="X58" s="44" t="e">
        <f>CurrentMtgRatesDataTable8[[#This Row],[N/A Amount]]/CurrentMtgRatesDataTable8[[#This Row],[TotalBalance]]</f>
        <v>#N/A</v>
      </c>
    </row>
    <row r="59" spans="2:24">
      <c r="B59" s="37">
        <v>39234</v>
      </c>
      <c r="C59" s="17">
        <v>585337435.99000001</v>
      </c>
      <c r="D59" s="17" t="s">
        <v>101</v>
      </c>
      <c r="E59" s="17">
        <v>6</v>
      </c>
      <c r="H59" s="37">
        <v>40544</v>
      </c>
      <c r="I59" s="17">
        <v>1160580.1499999999</v>
      </c>
      <c r="N59" s="37">
        <v>40575</v>
      </c>
      <c r="O59" s="17">
        <v>24115689304.939999</v>
      </c>
      <c r="P59" s="17">
        <f>VLOOKUP($N59,'Pivot equal'!C:D,2,0)</f>
        <v>19885081535.800003</v>
      </c>
      <c r="Q59" s="17">
        <f>VLOOKUP(N59,'Pivot equal'!G:H,2,0)</f>
        <v>18049691867.450001</v>
      </c>
      <c r="R59" s="17">
        <f>VLOOKUP(N59,'Pivot equal'!K:L,2,0)</f>
        <v>8086549745.5299997</v>
      </c>
      <c r="S59" s="43">
        <f>VLOOKUP(N59,CurrentMtgRatesDataTable9[],2,0)</f>
        <v>619340.61</v>
      </c>
      <c r="T59" s="43" t="e">
        <f>VLOOKUP(N59,CurrentMtgRatesDataTable93[],2,0)</f>
        <v>#N/A</v>
      </c>
      <c r="U59" s="44">
        <f>CurrentMtgRatesDataTable8[[#This Row],[Top 10 Amount]]/CurrentMtgRatesDataTable8[[#This Row],[TotalBalance]]</f>
        <v>0.82457031538081005</v>
      </c>
      <c r="V59" s="44">
        <f>CurrentMtgRatesDataTable8[[#This Row],[Top 5 Amount]]/CurrentMtgRatesDataTable8[[#This Row],[TotalBalance]]</f>
        <v>0.74846261449191076</v>
      </c>
      <c r="W59" s="44">
        <f>CurrentMtgRatesDataTable8[[#This Row],[Top 1 Amount]]/CurrentMtgRatesDataTable8[[#This Row],[TotalBalance]]</f>
        <v>0.33532318497209629</v>
      </c>
      <c r="X59" s="44" t="e">
        <f>CurrentMtgRatesDataTable8[[#This Row],[N/A Amount]]/CurrentMtgRatesDataTable8[[#This Row],[TotalBalance]]</f>
        <v>#N/A</v>
      </c>
    </row>
    <row r="60" spans="2:24">
      <c r="B60" s="37">
        <v>39234</v>
      </c>
      <c r="C60" s="17">
        <v>317233120.64999998</v>
      </c>
      <c r="D60" s="17" t="s">
        <v>16</v>
      </c>
      <c r="E60" s="17">
        <v>7</v>
      </c>
      <c r="H60" s="37">
        <v>40513</v>
      </c>
      <c r="I60" s="17">
        <v>92294.87</v>
      </c>
      <c r="N60" s="37">
        <v>40544</v>
      </c>
      <c r="O60" s="17">
        <v>32407281630.84</v>
      </c>
      <c r="P60" s="17">
        <f>VLOOKUP($N60,'Pivot equal'!C:D,2,0)</f>
        <v>27626694683.829998</v>
      </c>
      <c r="Q60" s="17">
        <f>VLOOKUP(N60,'Pivot equal'!G:H,2,0)</f>
        <v>24825250754.84</v>
      </c>
      <c r="R60" s="17">
        <f>VLOOKUP(N60,'Pivot equal'!K:L,2,0)</f>
        <v>11191306140.16</v>
      </c>
      <c r="S60" s="43">
        <f>VLOOKUP(N60,CurrentMtgRatesDataTable9[],2,0)</f>
        <v>1160580.1499999999</v>
      </c>
      <c r="T60" s="43" t="e">
        <f>VLOOKUP(N60,CurrentMtgRatesDataTable93[],2,0)</f>
        <v>#N/A</v>
      </c>
      <c r="U60" s="44">
        <f>CurrentMtgRatesDataTable8[[#This Row],[Top 10 Amount]]/CurrentMtgRatesDataTable8[[#This Row],[TotalBalance]]</f>
        <v>0.85248417311063163</v>
      </c>
      <c r="V60" s="44">
        <f>CurrentMtgRatesDataTable8[[#This Row],[Top 5 Amount]]/CurrentMtgRatesDataTable8[[#This Row],[TotalBalance]]</f>
        <v>0.76603928208576888</v>
      </c>
      <c r="W60" s="44">
        <f>CurrentMtgRatesDataTable8[[#This Row],[Top 1 Amount]]/CurrentMtgRatesDataTable8[[#This Row],[TotalBalance]]</f>
        <v>0.34533307259902751</v>
      </c>
      <c r="X60" s="44" t="e">
        <f>CurrentMtgRatesDataTable8[[#This Row],[N/A Amount]]/CurrentMtgRatesDataTable8[[#This Row],[TotalBalance]]</f>
        <v>#N/A</v>
      </c>
    </row>
    <row r="61" spans="2:24">
      <c r="B61" s="37">
        <v>39234</v>
      </c>
      <c r="C61" s="17">
        <v>311961958</v>
      </c>
      <c r="D61" s="17" t="s">
        <v>100</v>
      </c>
      <c r="E61" s="17">
        <v>8</v>
      </c>
      <c r="H61" s="37">
        <v>40483</v>
      </c>
      <c r="I61" s="17">
        <v>1017090.08</v>
      </c>
      <c r="N61" s="37">
        <v>40513</v>
      </c>
      <c r="O61" s="17">
        <v>31794172427.73</v>
      </c>
      <c r="P61" s="17">
        <f>VLOOKUP($N61,'Pivot equal'!C:D,2,0)</f>
        <v>26329184574.32</v>
      </c>
      <c r="Q61" s="17">
        <f>VLOOKUP(N61,'Pivot equal'!G:H,2,0)</f>
        <v>23277080462.27</v>
      </c>
      <c r="R61" s="17">
        <f>VLOOKUP(N61,'Pivot equal'!K:L,2,0)</f>
        <v>11196638571.49</v>
      </c>
      <c r="S61" s="43">
        <f>VLOOKUP(N61,CurrentMtgRatesDataTable9[],2,0)</f>
        <v>92294.87</v>
      </c>
      <c r="T61" s="43" t="e">
        <f>VLOOKUP(N61,CurrentMtgRatesDataTable93[],2,0)</f>
        <v>#N/A</v>
      </c>
      <c r="U61" s="44">
        <f>CurrentMtgRatesDataTable8[[#This Row],[Top 10 Amount]]/CurrentMtgRatesDataTable8[[#This Row],[TotalBalance]]</f>
        <v>0.82811353666046084</v>
      </c>
      <c r="V61" s="44">
        <f>CurrentMtgRatesDataTable8[[#This Row],[Top 5 Amount]]/CurrentMtgRatesDataTable8[[#This Row],[TotalBalance]]</f>
        <v>0.73211782804475112</v>
      </c>
      <c r="W61" s="44">
        <f>CurrentMtgRatesDataTable8[[#This Row],[Top 1 Amount]]/CurrentMtgRatesDataTable8[[#This Row],[TotalBalance]]</f>
        <v>0.35216008836023677</v>
      </c>
      <c r="X61" s="44" t="e">
        <f>CurrentMtgRatesDataTable8[[#This Row],[N/A Amount]]/CurrentMtgRatesDataTable8[[#This Row],[TotalBalance]]</f>
        <v>#N/A</v>
      </c>
    </row>
    <row r="62" spans="2:24">
      <c r="B62" s="37">
        <v>39234</v>
      </c>
      <c r="C62" s="17">
        <v>296721791.93000001</v>
      </c>
      <c r="D62" s="17" t="s">
        <v>8</v>
      </c>
      <c r="E62" s="17">
        <v>9</v>
      </c>
      <c r="H62" s="37">
        <v>40452</v>
      </c>
      <c r="I62" s="17">
        <v>761809.16</v>
      </c>
      <c r="N62" s="37">
        <v>40483</v>
      </c>
      <c r="O62" s="17">
        <v>32277101439.200001</v>
      </c>
      <c r="P62" s="17">
        <f>VLOOKUP($N62,'Pivot equal'!C:D,2,0)</f>
        <v>26784117519.900002</v>
      </c>
      <c r="Q62" s="17">
        <f>VLOOKUP(N62,'Pivot equal'!G:H,2,0)</f>
        <v>23635234930.169998</v>
      </c>
      <c r="R62" s="17">
        <f>VLOOKUP(N62,'Pivot equal'!K:L,2,0)</f>
        <v>9449755251.1200008</v>
      </c>
      <c r="S62" s="43">
        <f>VLOOKUP(N62,CurrentMtgRatesDataTable9[],2,0)</f>
        <v>1017090.08</v>
      </c>
      <c r="T62" s="43" t="e">
        <f>VLOOKUP(N62,CurrentMtgRatesDataTable93[],2,0)</f>
        <v>#N/A</v>
      </c>
      <c r="U62" s="44">
        <f>CurrentMtgRatesDataTable8[[#This Row],[Top 10 Amount]]/CurrentMtgRatesDataTable8[[#This Row],[TotalBalance]]</f>
        <v>0.8298179305335992</v>
      </c>
      <c r="V62" s="44">
        <f>CurrentMtgRatesDataTable8[[#This Row],[Top 5 Amount]]/CurrentMtgRatesDataTable8[[#This Row],[TotalBalance]]</f>
        <v>0.7322601434546846</v>
      </c>
      <c r="W62" s="44">
        <f>CurrentMtgRatesDataTable8[[#This Row],[Top 1 Amount]]/CurrentMtgRatesDataTable8[[#This Row],[TotalBalance]]</f>
        <v>0.29276963636032793</v>
      </c>
      <c r="X62" s="44" t="e">
        <f>CurrentMtgRatesDataTable8[[#This Row],[N/A Amount]]/CurrentMtgRatesDataTable8[[#This Row],[TotalBalance]]</f>
        <v>#N/A</v>
      </c>
    </row>
    <row r="63" spans="2:24">
      <c r="B63" s="37">
        <v>39234</v>
      </c>
      <c r="C63" s="17">
        <v>211183790.52000001</v>
      </c>
      <c r="D63" s="17" t="s">
        <v>19</v>
      </c>
      <c r="E63" s="17">
        <v>10</v>
      </c>
      <c r="H63" s="37">
        <v>40422</v>
      </c>
      <c r="I63" s="17">
        <v>64560.480000000003</v>
      </c>
      <c r="N63" s="37">
        <v>40452</v>
      </c>
      <c r="O63" s="17">
        <v>33311732208.549999</v>
      </c>
      <c r="P63" s="17">
        <f>VLOOKUP($N63,'Pivot equal'!C:D,2,0)</f>
        <v>27726552763.619995</v>
      </c>
      <c r="Q63" s="17">
        <f>VLOOKUP(N63,'Pivot equal'!G:H,2,0)</f>
        <v>24390881083.309998</v>
      </c>
      <c r="R63" s="17">
        <f>VLOOKUP(N63,'Pivot equal'!K:L,2,0)</f>
        <v>9784331441.9799995</v>
      </c>
      <c r="S63" s="43">
        <f>VLOOKUP(N63,CurrentMtgRatesDataTable9[],2,0)</f>
        <v>761809.16</v>
      </c>
      <c r="T63" s="43" t="e">
        <f>VLOOKUP(N63,CurrentMtgRatesDataTable93[],2,0)</f>
        <v>#N/A</v>
      </c>
      <c r="U63" s="44">
        <f>CurrentMtgRatesDataTable8[[#This Row],[Top 10 Amount]]/CurrentMtgRatesDataTable8[[#This Row],[TotalBalance]]</f>
        <v>0.83233596469965387</v>
      </c>
      <c r="V63" s="44">
        <f>CurrentMtgRatesDataTable8[[#This Row],[Top 5 Amount]]/CurrentMtgRatesDataTable8[[#This Row],[TotalBalance]]</f>
        <v>0.73220092340468801</v>
      </c>
      <c r="W63" s="44">
        <f>CurrentMtgRatesDataTable8[[#This Row],[Top 1 Amount]]/CurrentMtgRatesDataTable8[[#This Row],[TotalBalance]]</f>
        <v>0.29372028391452698</v>
      </c>
      <c r="X63" s="44" t="e">
        <f>CurrentMtgRatesDataTable8[[#This Row],[N/A Amount]]/CurrentMtgRatesDataTable8[[#This Row],[TotalBalance]]</f>
        <v>#N/A</v>
      </c>
    </row>
    <row r="64" spans="2:24">
      <c r="B64" s="37">
        <v>39264</v>
      </c>
      <c r="C64" s="17">
        <v>2191372591.8000002</v>
      </c>
      <c r="D64" s="17" t="s">
        <v>6</v>
      </c>
      <c r="E64" s="17">
        <v>1</v>
      </c>
      <c r="H64" s="37">
        <v>40391</v>
      </c>
      <c r="I64" s="17">
        <v>944263.32</v>
      </c>
      <c r="N64" s="37">
        <v>40422</v>
      </c>
      <c r="O64" s="17">
        <v>32890725671.939999</v>
      </c>
      <c r="P64" s="17">
        <f>VLOOKUP($N64,'Pivot equal'!C:D,2,0)</f>
        <v>27643255244.669998</v>
      </c>
      <c r="Q64" s="17">
        <f>VLOOKUP(N64,'Pivot equal'!G:H,2,0)</f>
        <v>24861882404.239998</v>
      </c>
      <c r="R64" s="17">
        <f>VLOOKUP(N64,'Pivot equal'!K:L,2,0)</f>
        <v>10352868746.57</v>
      </c>
      <c r="S64" s="43">
        <f>VLOOKUP(N64,CurrentMtgRatesDataTable9[],2,0)</f>
        <v>64560.480000000003</v>
      </c>
      <c r="T64" s="43" t="e">
        <f>VLOOKUP(N64,CurrentMtgRatesDataTable93[],2,0)</f>
        <v>#N/A</v>
      </c>
      <c r="U64" s="44">
        <f>CurrentMtgRatesDataTable8[[#This Row],[Top 10 Amount]]/CurrentMtgRatesDataTable8[[#This Row],[TotalBalance]]</f>
        <v>0.84045744445989023</v>
      </c>
      <c r="V64" s="44">
        <f>CurrentMtgRatesDataTable8[[#This Row],[Top 5 Amount]]/CurrentMtgRatesDataTable8[[#This Row],[TotalBalance]]</f>
        <v>0.75589339840714942</v>
      </c>
      <c r="W64" s="44">
        <f>CurrentMtgRatesDataTable8[[#This Row],[Top 1 Amount]]/CurrentMtgRatesDataTable8[[#This Row],[TotalBalance]]</f>
        <v>0.31476559227765299</v>
      </c>
      <c r="X64" s="44" t="e">
        <f>CurrentMtgRatesDataTable8[[#This Row],[N/A Amount]]/CurrentMtgRatesDataTable8[[#This Row],[TotalBalance]]</f>
        <v>#N/A</v>
      </c>
    </row>
    <row r="65" spans="2:24">
      <c r="B65" s="37">
        <v>39264</v>
      </c>
      <c r="C65" s="17">
        <v>1506940443.8699999</v>
      </c>
      <c r="D65" s="17" t="s">
        <v>7</v>
      </c>
      <c r="E65" s="17">
        <v>2</v>
      </c>
      <c r="H65" s="37">
        <v>40360</v>
      </c>
      <c r="I65" s="17">
        <v>1908556.37</v>
      </c>
      <c r="N65" s="37">
        <v>40391</v>
      </c>
      <c r="O65" s="17">
        <v>32321115494.889999</v>
      </c>
      <c r="P65" s="17">
        <f>VLOOKUP($N65,'Pivot equal'!C:D,2,0)</f>
        <v>27387295350.240002</v>
      </c>
      <c r="Q65" s="17">
        <f>VLOOKUP(N65,'Pivot equal'!G:H,2,0)</f>
        <v>25097205409.360004</v>
      </c>
      <c r="R65" s="17">
        <f>VLOOKUP(N65,'Pivot equal'!K:L,2,0)</f>
        <v>10171561922.290001</v>
      </c>
      <c r="S65" s="43">
        <f>VLOOKUP(N65,CurrentMtgRatesDataTable9[],2,0)</f>
        <v>944263.32</v>
      </c>
      <c r="T65" s="43" t="e">
        <f>VLOOKUP(N65,CurrentMtgRatesDataTable93[],2,0)</f>
        <v>#N/A</v>
      </c>
      <c r="U65" s="44">
        <f>CurrentMtgRatesDataTable8[[#This Row],[Top 10 Amount]]/CurrentMtgRatesDataTable8[[#This Row],[TotalBalance]]</f>
        <v>0.84734994231773841</v>
      </c>
      <c r="V65" s="44">
        <f>CurrentMtgRatesDataTable8[[#This Row],[Top 5 Amount]]/CurrentMtgRatesDataTable8[[#This Row],[TotalBalance]]</f>
        <v>0.77649564456795739</v>
      </c>
      <c r="W65" s="44">
        <f>CurrentMtgRatesDataTable8[[#This Row],[Top 1 Amount]]/CurrentMtgRatesDataTable8[[#This Row],[TotalBalance]]</f>
        <v>0.31470330669429203</v>
      </c>
      <c r="X65" s="44" t="e">
        <f>CurrentMtgRatesDataTable8[[#This Row],[N/A Amount]]/CurrentMtgRatesDataTable8[[#This Row],[TotalBalance]]</f>
        <v>#N/A</v>
      </c>
    </row>
    <row r="66" spans="2:24">
      <c r="B66" s="37">
        <v>39264</v>
      </c>
      <c r="C66" s="17">
        <v>1282290225.9100001</v>
      </c>
      <c r="D66" s="17" t="s">
        <v>11</v>
      </c>
      <c r="E66" s="17">
        <v>3</v>
      </c>
      <c r="H66" s="37">
        <v>40330</v>
      </c>
      <c r="I66" s="17">
        <v>24328.89</v>
      </c>
      <c r="N66" s="37">
        <v>40360</v>
      </c>
      <c r="O66" s="17">
        <v>34861046615.690002</v>
      </c>
      <c r="P66" s="17">
        <f>VLOOKUP($N66,'Pivot equal'!C:D,2,0)</f>
        <v>29449474088.269997</v>
      </c>
      <c r="Q66" s="17">
        <f>VLOOKUP(N66,'Pivot equal'!G:H,2,0)</f>
        <v>27264833278.610001</v>
      </c>
      <c r="R66" s="17">
        <f>VLOOKUP(N66,'Pivot equal'!K:L,2,0)</f>
        <v>11078139845.860001</v>
      </c>
      <c r="S66" s="43">
        <f>VLOOKUP(N66,CurrentMtgRatesDataTable9[],2,0)</f>
        <v>1908556.37</v>
      </c>
      <c r="T66" s="43" t="e">
        <f>VLOOKUP(N66,CurrentMtgRatesDataTable93[],2,0)</f>
        <v>#N/A</v>
      </c>
      <c r="U66" s="44">
        <f>CurrentMtgRatesDataTable8[[#This Row],[Top 10 Amount]]/CurrentMtgRatesDataTable8[[#This Row],[TotalBalance]]</f>
        <v>0.84476735345678333</v>
      </c>
      <c r="V66" s="44">
        <f>CurrentMtgRatesDataTable8[[#This Row],[Top 5 Amount]]/CurrentMtgRatesDataTable8[[#This Row],[TotalBalance]]</f>
        <v>0.78210025014965689</v>
      </c>
      <c r="W66" s="44">
        <f>CurrentMtgRatesDataTable8[[#This Row],[Top 1 Amount]]/CurrentMtgRatesDataTable8[[#This Row],[TotalBalance]]</f>
        <v>0.31777989823386521</v>
      </c>
      <c r="X66" s="44" t="e">
        <f>CurrentMtgRatesDataTable8[[#This Row],[N/A Amount]]/CurrentMtgRatesDataTable8[[#This Row],[TotalBalance]]</f>
        <v>#N/A</v>
      </c>
    </row>
    <row r="67" spans="2:24">
      <c r="B67" s="37">
        <v>39264</v>
      </c>
      <c r="C67" s="17">
        <v>894683434.65999997</v>
      </c>
      <c r="D67" s="17" t="s">
        <v>13</v>
      </c>
      <c r="E67" s="17">
        <v>4</v>
      </c>
      <c r="H67" s="37">
        <v>40299</v>
      </c>
      <c r="I67" s="17">
        <v>1210043145.7</v>
      </c>
      <c r="N67" s="37">
        <v>40330</v>
      </c>
      <c r="O67" s="17">
        <v>32712631431.27</v>
      </c>
      <c r="P67" s="17">
        <f>VLOOKUP($N67,'Pivot equal'!C:D,2,0)</f>
        <v>27998790604.990002</v>
      </c>
      <c r="Q67" s="17">
        <f>VLOOKUP(N67,'Pivot equal'!G:H,2,0)</f>
        <v>25726928354.880001</v>
      </c>
      <c r="R67" s="17">
        <f>VLOOKUP(N67,'Pivot equal'!K:L,2,0)</f>
        <v>10245994592.219999</v>
      </c>
      <c r="S67" s="43">
        <f>VLOOKUP(N67,CurrentMtgRatesDataTable9[],2,0)</f>
        <v>24328.89</v>
      </c>
      <c r="T67" s="43" t="e">
        <f>VLOOKUP(N67,CurrentMtgRatesDataTable93[],2,0)</f>
        <v>#N/A</v>
      </c>
      <c r="U67" s="44">
        <f>CurrentMtgRatesDataTable8[[#This Row],[Top 10 Amount]]/CurrentMtgRatesDataTable8[[#This Row],[TotalBalance]]</f>
        <v>0.8559015089879306</v>
      </c>
      <c r="V67" s="44">
        <f>CurrentMtgRatesDataTable8[[#This Row],[Top 5 Amount]]/CurrentMtgRatesDataTable8[[#This Row],[TotalBalance]]</f>
        <v>0.78645242615021282</v>
      </c>
      <c r="W67" s="44">
        <f>CurrentMtgRatesDataTable8[[#This Row],[Top 1 Amount]]/CurrentMtgRatesDataTable8[[#This Row],[TotalBalance]]</f>
        <v>0.31321217963608561</v>
      </c>
      <c r="X67" s="44" t="e">
        <f>CurrentMtgRatesDataTable8[[#This Row],[N/A Amount]]/CurrentMtgRatesDataTable8[[#This Row],[TotalBalance]]</f>
        <v>#N/A</v>
      </c>
    </row>
    <row r="68" spans="2:24">
      <c r="B68" s="37">
        <v>39264</v>
      </c>
      <c r="C68" s="17">
        <v>561034731.88999999</v>
      </c>
      <c r="D68" s="17" t="s">
        <v>4</v>
      </c>
      <c r="E68" s="17">
        <v>5</v>
      </c>
      <c r="H68" s="37">
        <v>40269</v>
      </c>
      <c r="I68" s="17">
        <v>1073596404.6799999</v>
      </c>
      <c r="N68" s="37">
        <v>40299</v>
      </c>
      <c r="O68" s="17">
        <v>32543181394.959999</v>
      </c>
      <c r="P68" s="17">
        <f>VLOOKUP($N68,'Pivot equal'!C:D,2,0)</f>
        <v>27986292397.510002</v>
      </c>
      <c r="Q68" s="17">
        <f>VLOOKUP(N68,'Pivot equal'!G:H,2,0)</f>
        <v>25758615652.040001</v>
      </c>
      <c r="R68" s="17">
        <f>VLOOKUP(N68,'Pivot equal'!K:L,2,0)</f>
        <v>11166499668.83</v>
      </c>
      <c r="S68" s="43">
        <f>VLOOKUP(N68,CurrentMtgRatesDataTable9[],2,0)</f>
        <v>1210043145.7</v>
      </c>
      <c r="T68" s="43" t="e">
        <f>VLOOKUP(N68,CurrentMtgRatesDataTable93[],2,0)</f>
        <v>#N/A</v>
      </c>
      <c r="U68" s="44">
        <f>CurrentMtgRatesDataTable8[[#This Row],[Top 10 Amount]]/CurrentMtgRatesDataTable8[[#This Row],[TotalBalance]]</f>
        <v>0.85997407745280463</v>
      </c>
      <c r="V68" s="44">
        <f>CurrentMtgRatesDataTable8[[#This Row],[Top 5 Amount]]/CurrentMtgRatesDataTable8[[#This Row],[TotalBalance]]</f>
        <v>0.79152112817185316</v>
      </c>
      <c r="W68" s="44">
        <f>CurrentMtgRatesDataTable8[[#This Row],[Top 1 Amount]]/CurrentMtgRatesDataTable8[[#This Row],[TotalBalance]]</f>
        <v>0.34312870439149407</v>
      </c>
      <c r="X68" s="44" t="e">
        <f>CurrentMtgRatesDataTable8[[#This Row],[N/A Amount]]/CurrentMtgRatesDataTable8[[#This Row],[TotalBalance]]</f>
        <v>#N/A</v>
      </c>
    </row>
    <row r="69" spans="2:24">
      <c r="B69" s="37">
        <v>39264</v>
      </c>
      <c r="C69" s="17">
        <v>556119596</v>
      </c>
      <c r="D69" s="17" t="s">
        <v>100</v>
      </c>
      <c r="E69" s="17">
        <v>6</v>
      </c>
      <c r="H69" s="37">
        <v>40238</v>
      </c>
      <c r="I69" s="17">
        <v>775320177.90999997</v>
      </c>
      <c r="N69" s="37">
        <v>40269</v>
      </c>
      <c r="O69" s="17">
        <v>31107880094.700001</v>
      </c>
      <c r="P69" s="17">
        <f>VLOOKUP($N69,'Pivot equal'!C:D,2,0)</f>
        <v>26850360161.200005</v>
      </c>
      <c r="Q69" s="17">
        <f>VLOOKUP(N69,'Pivot equal'!G:H,2,0)</f>
        <v>24765902790.620003</v>
      </c>
      <c r="R69" s="17">
        <f>VLOOKUP(N69,'Pivot equal'!K:L,2,0)</f>
        <v>11766642358.6</v>
      </c>
      <c r="S69" s="43">
        <f>VLOOKUP(N69,CurrentMtgRatesDataTable9[],2,0)</f>
        <v>1073596404.6799999</v>
      </c>
      <c r="T69" s="43" t="e">
        <f>VLOOKUP(N69,CurrentMtgRatesDataTable93[],2,0)</f>
        <v>#N/A</v>
      </c>
      <c r="U69" s="44">
        <f>CurrentMtgRatesDataTable8[[#This Row],[Top 10 Amount]]/CurrentMtgRatesDataTable8[[#This Row],[TotalBalance]]</f>
        <v>0.86313693120395663</v>
      </c>
      <c r="V69" s="44">
        <f>CurrentMtgRatesDataTable8[[#This Row],[Top 5 Amount]]/CurrentMtgRatesDataTable8[[#This Row],[TotalBalance]]</f>
        <v>0.79612955673053043</v>
      </c>
      <c r="W69" s="44">
        <f>CurrentMtgRatesDataTable8[[#This Row],[Top 1 Amount]]/CurrentMtgRatesDataTable8[[#This Row],[TotalBalance]]</f>
        <v>0.37825278748598301</v>
      </c>
      <c r="X69" s="44" t="e">
        <f>CurrentMtgRatesDataTable8[[#This Row],[N/A Amount]]/CurrentMtgRatesDataTable8[[#This Row],[TotalBalance]]</f>
        <v>#N/A</v>
      </c>
    </row>
    <row r="70" spans="2:24">
      <c r="B70" s="37">
        <v>39264</v>
      </c>
      <c r="C70" s="17">
        <v>474830478.36000001</v>
      </c>
      <c r="D70" s="17" t="s">
        <v>101</v>
      </c>
      <c r="E70" s="17">
        <v>7</v>
      </c>
      <c r="H70" s="37">
        <v>40210</v>
      </c>
      <c r="I70" s="17">
        <v>1049114718.89</v>
      </c>
      <c r="N70" s="37">
        <v>40238</v>
      </c>
      <c r="O70" s="17">
        <v>22158381362.720001</v>
      </c>
      <c r="P70" s="17">
        <f>VLOOKUP($N70,'Pivot equal'!C:D,2,0)</f>
        <v>18536432575.27</v>
      </c>
      <c r="Q70" s="17">
        <f>VLOOKUP(N70,'Pivot equal'!G:H,2,0)</f>
        <v>16719112110.120003</v>
      </c>
      <c r="R70" s="17">
        <f>VLOOKUP(N70,'Pivot equal'!K:L,2,0)</f>
        <v>6596684007.1000004</v>
      </c>
      <c r="S70" s="43">
        <f>VLOOKUP(N70,CurrentMtgRatesDataTable9[],2,0)</f>
        <v>775320177.90999997</v>
      </c>
      <c r="T70" s="43" t="e">
        <f>VLOOKUP(N70,CurrentMtgRatesDataTable93[],2,0)</f>
        <v>#N/A</v>
      </c>
      <c r="U70" s="44">
        <f>CurrentMtgRatesDataTable8[[#This Row],[Top 10 Amount]]/CurrentMtgRatesDataTable8[[#This Row],[TotalBalance]]</f>
        <v>0.83654271816335435</v>
      </c>
      <c r="V70" s="44">
        <f>CurrentMtgRatesDataTable8[[#This Row],[Top 5 Amount]]/CurrentMtgRatesDataTable8[[#This Row],[TotalBalance]]</f>
        <v>0.75452768126144787</v>
      </c>
      <c r="W70" s="44">
        <f>CurrentMtgRatesDataTable8[[#This Row],[Top 1 Amount]]/CurrentMtgRatesDataTable8[[#This Row],[TotalBalance]]</f>
        <v>0.2977060417507969</v>
      </c>
      <c r="X70" s="44" t="e">
        <f>CurrentMtgRatesDataTable8[[#This Row],[N/A Amount]]/CurrentMtgRatesDataTable8[[#This Row],[TotalBalance]]</f>
        <v>#N/A</v>
      </c>
    </row>
    <row r="71" spans="2:24">
      <c r="B71" s="37">
        <v>39264</v>
      </c>
      <c r="C71" s="17">
        <v>291874608.01999998</v>
      </c>
      <c r="D71" s="17" t="s">
        <v>8</v>
      </c>
      <c r="E71" s="17">
        <v>8</v>
      </c>
      <c r="H71" s="37">
        <v>40179</v>
      </c>
      <c r="I71" s="17">
        <v>1051543121.48</v>
      </c>
      <c r="N71" s="37">
        <v>40210</v>
      </c>
      <c r="O71" s="17">
        <v>27524482427.09</v>
      </c>
      <c r="P71" s="17">
        <f>VLOOKUP($N71,'Pivot equal'!C:D,2,0)</f>
        <v>23697861082.779999</v>
      </c>
      <c r="Q71" s="17">
        <f>VLOOKUP(N71,'Pivot equal'!G:H,2,0)</f>
        <v>21554168003.59</v>
      </c>
      <c r="R71" s="17">
        <f>VLOOKUP(N71,'Pivot equal'!K:L,2,0)</f>
        <v>9571877686.3199997</v>
      </c>
      <c r="S71" s="43">
        <f>VLOOKUP(N71,CurrentMtgRatesDataTable9[],2,0)</f>
        <v>1049114718.89</v>
      </c>
      <c r="T71" s="43" t="e">
        <f>VLOOKUP(N71,CurrentMtgRatesDataTable93[],2,0)</f>
        <v>#N/A</v>
      </c>
      <c r="U71" s="44">
        <f>CurrentMtgRatesDataTable8[[#This Row],[Top 10 Amount]]/CurrentMtgRatesDataTable8[[#This Row],[TotalBalance]]</f>
        <v>0.86097390370749405</v>
      </c>
      <c r="V71" s="44">
        <f>CurrentMtgRatesDataTable8[[#This Row],[Top 5 Amount]]/CurrentMtgRatesDataTable8[[#This Row],[TotalBalance]]</f>
        <v>0.78309076512828713</v>
      </c>
      <c r="W71" s="44">
        <f>CurrentMtgRatesDataTable8[[#This Row],[Top 1 Amount]]/CurrentMtgRatesDataTable8[[#This Row],[TotalBalance]]</f>
        <v>0.34775868035575547</v>
      </c>
      <c r="X71" s="44" t="e">
        <f>CurrentMtgRatesDataTable8[[#This Row],[N/A Amount]]/CurrentMtgRatesDataTable8[[#This Row],[TotalBalance]]</f>
        <v>#N/A</v>
      </c>
    </row>
    <row r="72" spans="2:24">
      <c r="B72" s="37">
        <v>39264</v>
      </c>
      <c r="C72" s="17">
        <v>280538657.69999999</v>
      </c>
      <c r="D72" s="17" t="s">
        <v>16</v>
      </c>
      <c r="E72" s="17">
        <v>9</v>
      </c>
      <c r="H72" s="37">
        <v>40148</v>
      </c>
      <c r="I72" s="17">
        <v>1196536315.22</v>
      </c>
      <c r="N72" s="37">
        <v>40179</v>
      </c>
      <c r="O72" s="17">
        <v>35986611903.889999</v>
      </c>
      <c r="P72" s="17">
        <f>VLOOKUP($N72,'Pivot equal'!C:D,2,0)</f>
        <v>31352105196.579998</v>
      </c>
      <c r="Q72" s="17">
        <f>VLOOKUP(N72,'Pivot equal'!G:H,2,0)</f>
        <v>28809588837.969997</v>
      </c>
      <c r="R72" s="17">
        <f>VLOOKUP(N72,'Pivot equal'!K:L,2,0)</f>
        <v>13534574647.27</v>
      </c>
      <c r="S72" s="43">
        <f>VLOOKUP(N72,CurrentMtgRatesDataTable9[],2,0)</f>
        <v>1051543121.48</v>
      </c>
      <c r="T72" s="43" t="e">
        <f>VLOOKUP(N72,CurrentMtgRatesDataTable93[],2,0)</f>
        <v>#N/A</v>
      </c>
      <c r="U72" s="44">
        <f>CurrentMtgRatesDataTable8[[#This Row],[Top 10 Amount]]/CurrentMtgRatesDataTable8[[#This Row],[TotalBalance]]</f>
        <v>0.87121580882114025</v>
      </c>
      <c r="V72" s="44">
        <f>CurrentMtgRatesDataTable8[[#This Row],[Top 5 Amount]]/CurrentMtgRatesDataTable8[[#This Row],[TotalBalance]]</f>
        <v>0.80056407963362075</v>
      </c>
      <c r="W72" s="44">
        <f>CurrentMtgRatesDataTable8[[#This Row],[Top 1 Amount]]/CurrentMtgRatesDataTable8[[#This Row],[TotalBalance]]</f>
        <v>0.3761002753862186</v>
      </c>
      <c r="X72" s="44" t="e">
        <f>CurrentMtgRatesDataTable8[[#This Row],[N/A Amount]]/CurrentMtgRatesDataTable8[[#This Row],[TotalBalance]]</f>
        <v>#N/A</v>
      </c>
    </row>
    <row r="73" spans="2:24">
      <c r="B73" s="37">
        <v>39264</v>
      </c>
      <c r="C73" s="17">
        <v>218796800.81999999</v>
      </c>
      <c r="D73" s="17" t="s">
        <v>5</v>
      </c>
      <c r="E73" s="17">
        <v>10</v>
      </c>
      <c r="H73" s="37">
        <v>40118</v>
      </c>
      <c r="I73" s="17">
        <v>891369745.05999994</v>
      </c>
      <c r="N73" s="37">
        <v>40148</v>
      </c>
      <c r="O73" s="17">
        <v>40973315070.910004</v>
      </c>
      <c r="P73" s="17">
        <f>VLOOKUP($N73,'Pivot equal'!C:D,2,0)</f>
        <v>34524145521.199997</v>
      </c>
      <c r="Q73" s="17">
        <f>VLOOKUP(N73,'Pivot equal'!G:H,2,0)</f>
        <v>30839093752.029999</v>
      </c>
      <c r="R73" s="17">
        <f>VLOOKUP(N73,'Pivot equal'!K:L,2,0)</f>
        <v>11821319577.99</v>
      </c>
      <c r="S73" s="43">
        <f>VLOOKUP(N73,CurrentMtgRatesDataTable9[],2,0)</f>
        <v>1196536315.22</v>
      </c>
      <c r="T73" s="43" t="e">
        <f>VLOOKUP(N73,CurrentMtgRatesDataTable93[],2,0)</f>
        <v>#N/A</v>
      </c>
      <c r="U73" s="44">
        <f>CurrentMtgRatesDataTable8[[#This Row],[Top 10 Amount]]/CurrentMtgRatesDataTable8[[#This Row],[TotalBalance]]</f>
        <v>0.84260073810115621</v>
      </c>
      <c r="V73" s="44">
        <f>CurrentMtgRatesDataTable8[[#This Row],[Top 5 Amount]]/CurrentMtgRatesDataTable8[[#This Row],[TotalBalance]]</f>
        <v>0.7526628904363406</v>
      </c>
      <c r="W73" s="44">
        <f>CurrentMtgRatesDataTable8[[#This Row],[Top 1 Amount]]/CurrentMtgRatesDataTable8[[#This Row],[TotalBalance]]</f>
        <v>0.28851264676855087</v>
      </c>
      <c r="X73" s="44" t="e">
        <f>CurrentMtgRatesDataTable8[[#This Row],[N/A Amount]]/CurrentMtgRatesDataTable8[[#This Row],[TotalBalance]]</f>
        <v>#N/A</v>
      </c>
    </row>
    <row r="74" spans="2:24">
      <c r="B74" s="37">
        <v>39295</v>
      </c>
      <c r="C74" s="17">
        <v>2199361792.6500001</v>
      </c>
      <c r="D74" s="17" t="s">
        <v>6</v>
      </c>
      <c r="E74" s="17">
        <v>1</v>
      </c>
      <c r="H74" s="37">
        <v>40087</v>
      </c>
      <c r="I74" s="17">
        <v>794961940.45000005</v>
      </c>
      <c r="N74" s="37">
        <v>40118</v>
      </c>
      <c r="O74" s="17">
        <v>34146479465.68</v>
      </c>
      <c r="P74" s="17">
        <f>VLOOKUP($N74,'Pivot equal'!C:D,2,0)</f>
        <v>28779506693.819996</v>
      </c>
      <c r="Q74" s="17">
        <f>VLOOKUP(N74,'Pivot equal'!G:H,2,0)</f>
        <v>25228895915.689999</v>
      </c>
      <c r="R74" s="17">
        <f>VLOOKUP(N74,'Pivot equal'!K:L,2,0)</f>
        <v>10156126817.549999</v>
      </c>
      <c r="S74" s="43">
        <f>VLOOKUP(N74,CurrentMtgRatesDataTable9[],2,0)</f>
        <v>891369745.05999994</v>
      </c>
      <c r="T74" s="43" t="e">
        <f>VLOOKUP(N74,CurrentMtgRatesDataTable93[],2,0)</f>
        <v>#N/A</v>
      </c>
      <c r="U74" s="44">
        <f>CurrentMtgRatesDataTable8[[#This Row],[Top 10 Amount]]/CurrentMtgRatesDataTable8[[#This Row],[TotalBalance]]</f>
        <v>0.84282500404604666</v>
      </c>
      <c r="V74" s="44">
        <f>CurrentMtgRatesDataTable8[[#This Row],[Top 5 Amount]]/CurrentMtgRatesDataTable8[[#This Row],[TotalBalance]]</f>
        <v>0.738843251499678</v>
      </c>
      <c r="W74" s="44">
        <f>CurrentMtgRatesDataTable8[[#This Row],[Top 1 Amount]]/CurrentMtgRatesDataTable8[[#This Row],[TotalBalance]]</f>
        <v>0.29742822617358655</v>
      </c>
      <c r="X74" s="44" t="e">
        <f>CurrentMtgRatesDataTable8[[#This Row],[N/A Amount]]/CurrentMtgRatesDataTable8[[#This Row],[TotalBalance]]</f>
        <v>#N/A</v>
      </c>
    </row>
    <row r="75" spans="2:24">
      <c r="B75" s="37">
        <v>39295</v>
      </c>
      <c r="C75" s="17">
        <v>1547835971.8900001</v>
      </c>
      <c r="D75" s="17" t="s">
        <v>11</v>
      </c>
      <c r="E75" s="17">
        <v>2</v>
      </c>
      <c r="H75" s="37">
        <v>40057</v>
      </c>
      <c r="I75" s="17">
        <v>609967240.65999997</v>
      </c>
      <c r="N75" s="41">
        <v>40087</v>
      </c>
      <c r="O75" s="42">
        <v>36816079871.599998</v>
      </c>
      <c r="P75" s="47">
        <f>VLOOKUP($N75,'Pivot equal'!C:D,2,0)</f>
        <v>31511593820.119995</v>
      </c>
      <c r="Q75" s="47">
        <f>VLOOKUP(N75,'Pivot equal'!G:H,2,0)</f>
        <v>28210005654.139996</v>
      </c>
      <c r="R75" s="47">
        <f>VLOOKUP(N75,'Pivot equal'!K:L,2,0)</f>
        <v>11250233115.889999</v>
      </c>
      <c r="S75" s="47">
        <f>VLOOKUP(N75,CurrentMtgRatesDataTable9[],2,0)</f>
        <v>794961940.45000005</v>
      </c>
      <c r="T75" s="47" t="e">
        <f>VLOOKUP(N75,CurrentMtgRatesDataTable93[],2,0)</f>
        <v>#N/A</v>
      </c>
      <c r="U75" s="46">
        <f>CurrentMtgRatesDataTable8[[#This Row],[Top 10 Amount]]/CurrentMtgRatesDataTable8[[#This Row],[TotalBalance]]</f>
        <v>0.85591931378951902</v>
      </c>
      <c r="V75" s="46">
        <f>CurrentMtgRatesDataTable8[[#This Row],[Top 5 Amount]]/CurrentMtgRatesDataTable8[[#This Row],[TotalBalance]]</f>
        <v>0.76624142908548099</v>
      </c>
      <c r="W75" s="46">
        <f>CurrentMtgRatesDataTable8[[#This Row],[Top 1 Amount]]/CurrentMtgRatesDataTable8[[#This Row],[TotalBalance]]</f>
        <v>0.30557933259397485</v>
      </c>
      <c r="X75" s="46" t="e">
        <f>CurrentMtgRatesDataTable8[[#This Row],[N/A Amount]]/CurrentMtgRatesDataTable8[[#This Row],[TotalBalance]]</f>
        <v>#N/A</v>
      </c>
    </row>
    <row r="76" spans="2:24">
      <c r="B76" s="37">
        <v>39295</v>
      </c>
      <c r="C76" s="17">
        <v>1419998549.7</v>
      </c>
      <c r="D76" s="17" t="s">
        <v>7</v>
      </c>
      <c r="E76" s="17">
        <v>3</v>
      </c>
      <c r="H76" s="37">
        <v>40026</v>
      </c>
      <c r="I76" s="17">
        <v>822762971.19000006</v>
      </c>
      <c r="N76" s="41">
        <v>40057</v>
      </c>
      <c r="O76" s="42">
        <v>38844969127.540001</v>
      </c>
      <c r="P76" s="47">
        <f>VLOOKUP($N76,'Pivot equal'!C:D,2,0)</f>
        <v>33968250061.269997</v>
      </c>
      <c r="Q76" s="47">
        <f>VLOOKUP(N76,'Pivot equal'!G:H,2,0)</f>
        <v>29406120687.719997</v>
      </c>
      <c r="R76" s="47">
        <f>VLOOKUP(N76,'Pivot equal'!K:L,2,0)</f>
        <v>10548837061.57</v>
      </c>
      <c r="S76" s="47">
        <f>VLOOKUP(N76,CurrentMtgRatesDataTable9[],2,0)</f>
        <v>609967240.65999997</v>
      </c>
      <c r="T76" s="47" t="e">
        <f>VLOOKUP(N76,CurrentMtgRatesDataTable93[],2,0)</f>
        <v>#N/A</v>
      </c>
      <c r="U76" s="46">
        <f>CurrentMtgRatesDataTable8[[#This Row],[Top 10 Amount]]/CurrentMtgRatesDataTable8[[#This Row],[TotalBalance]]</f>
        <v>0.87445686852631466</v>
      </c>
      <c r="V76" s="46">
        <f>CurrentMtgRatesDataTable8[[#This Row],[Top 5 Amount]]/CurrentMtgRatesDataTable8[[#This Row],[TotalBalance]]</f>
        <v>0.75701233256668687</v>
      </c>
      <c r="W76" s="46">
        <f>CurrentMtgRatesDataTable8[[#This Row],[Top 1 Amount]]/CurrentMtgRatesDataTable8[[#This Row],[TotalBalance]]</f>
        <v>0.27156250342058241</v>
      </c>
      <c r="X76" s="46" t="e">
        <f>CurrentMtgRatesDataTable8[[#This Row],[N/A Amount]]/CurrentMtgRatesDataTable8[[#This Row],[TotalBalance]]</f>
        <v>#N/A</v>
      </c>
    </row>
    <row r="77" spans="2:24">
      <c r="B77" s="37">
        <v>39295</v>
      </c>
      <c r="C77" s="17">
        <v>1086376333.4400001</v>
      </c>
      <c r="D77" s="17" t="s">
        <v>13</v>
      </c>
      <c r="E77" s="17">
        <v>4</v>
      </c>
      <c r="H77" s="41">
        <v>39934</v>
      </c>
      <c r="I77" s="42">
        <v>715314.04</v>
      </c>
      <c r="N77" s="41">
        <v>40026</v>
      </c>
      <c r="O77" s="42">
        <v>43301220344.230003</v>
      </c>
      <c r="P77" s="47">
        <f>VLOOKUP($N77,'Pivot equal'!C:D,2,0)</f>
        <v>37366595070.600006</v>
      </c>
      <c r="Q77" s="47">
        <f>VLOOKUP(N77,'Pivot equal'!G:H,2,0)</f>
        <v>32727942340.760002</v>
      </c>
      <c r="R77" s="47">
        <f>VLOOKUP(N77,'Pivot equal'!K:L,2,0)</f>
        <v>11769183271.27</v>
      </c>
      <c r="S77" s="47">
        <f>VLOOKUP(N77,CurrentMtgRatesDataTable9[],2,0)</f>
        <v>822762971.19000006</v>
      </c>
      <c r="T77" s="47" t="e">
        <f>VLOOKUP(N77,CurrentMtgRatesDataTable93[],2,0)</f>
        <v>#N/A</v>
      </c>
      <c r="U77" s="46">
        <f>CurrentMtgRatesDataTable8[[#This Row],[Top 10 Amount]]/CurrentMtgRatesDataTable8[[#This Row],[TotalBalance]]</f>
        <v>0.86294554226297226</v>
      </c>
      <c r="V77" s="46">
        <f>CurrentMtgRatesDataTable8[[#This Row],[Top 5 Amount]]/CurrentMtgRatesDataTable8[[#This Row],[TotalBalance]]</f>
        <v>0.75582032285889333</v>
      </c>
      <c r="W77" s="46">
        <f>CurrentMtgRatesDataTable8[[#This Row],[Top 1 Amount]]/CurrentMtgRatesDataTable8[[#This Row],[TotalBalance]]</f>
        <v>0.27179795806466855</v>
      </c>
      <c r="X77" s="46" t="e">
        <f>CurrentMtgRatesDataTable8[[#This Row],[N/A Amount]]/CurrentMtgRatesDataTable8[[#This Row],[TotalBalance]]</f>
        <v>#N/A</v>
      </c>
    </row>
    <row r="78" spans="2:24">
      <c r="B78" s="37">
        <v>39295</v>
      </c>
      <c r="C78" s="17">
        <v>787215225.08000004</v>
      </c>
      <c r="D78" s="17" t="s">
        <v>101</v>
      </c>
      <c r="E78" s="17">
        <v>5</v>
      </c>
      <c r="H78" s="41">
        <v>39904</v>
      </c>
      <c r="I78" s="42">
        <v>395342906.08999997</v>
      </c>
      <c r="N78" s="41">
        <v>39904</v>
      </c>
      <c r="O78" s="42">
        <v>35593081340.43</v>
      </c>
      <c r="P78" s="47">
        <f>VLOOKUP($N78,'Pivot equal'!C:D,2,0)</f>
        <v>31092833796.91</v>
      </c>
      <c r="Q78" s="47">
        <f>VLOOKUP(N78,'Pivot equal'!G:H,2,0)</f>
        <v>26813746824.889999</v>
      </c>
      <c r="R78" s="47">
        <f>VLOOKUP(N78,'Pivot equal'!K:L,2,0)</f>
        <v>10904817516.51</v>
      </c>
      <c r="S78" s="47">
        <f>VLOOKUP(N78,CurrentMtgRatesDataTable9[],2,0)</f>
        <v>395342906.08999997</v>
      </c>
      <c r="T78" s="47" t="e">
        <f>VLOOKUP(N78,CurrentMtgRatesDataTable93[],2,0)</f>
        <v>#N/A</v>
      </c>
      <c r="U78" s="46">
        <f>CurrentMtgRatesDataTable8[[#This Row],[Top 10 Amount]]/CurrentMtgRatesDataTable8[[#This Row],[TotalBalance]]</f>
        <v>0.87356398001967328</v>
      </c>
      <c r="V78" s="46">
        <f>CurrentMtgRatesDataTable8[[#This Row],[Top 5 Amount]]/CurrentMtgRatesDataTable8[[#This Row],[TotalBalance]]</f>
        <v>0.75334154321818725</v>
      </c>
      <c r="W78" s="46">
        <f>CurrentMtgRatesDataTable8[[#This Row],[Top 1 Amount]]/CurrentMtgRatesDataTable8[[#This Row],[TotalBalance]]</f>
        <v>0.30637464096493588</v>
      </c>
      <c r="X78" s="46" t="e">
        <f>CurrentMtgRatesDataTable8[[#This Row],[N/A Amount]]/CurrentMtgRatesDataTable8[[#This Row],[TotalBalance]]</f>
        <v>#N/A</v>
      </c>
    </row>
    <row r="79" spans="2:24">
      <c r="B79" s="37">
        <v>39295</v>
      </c>
      <c r="C79" s="17">
        <v>672076746.57000005</v>
      </c>
      <c r="D79" s="17" t="s">
        <v>4</v>
      </c>
      <c r="E79" s="17">
        <v>6</v>
      </c>
      <c r="H79" s="41">
        <v>39873</v>
      </c>
      <c r="I79" s="42">
        <v>330636214.42000002</v>
      </c>
      <c r="N79" s="41">
        <v>39873</v>
      </c>
      <c r="O79" s="42">
        <v>34505511131.800003</v>
      </c>
      <c r="P79" s="47">
        <f>VLOOKUP($N79,'Pivot equal'!C:D,2,0)</f>
        <v>31299507089.720001</v>
      </c>
      <c r="Q79" s="47">
        <f>VLOOKUP(N79,'Pivot equal'!G:H,2,0)</f>
        <v>27212511542</v>
      </c>
      <c r="R79" s="47">
        <f>VLOOKUP(N79,'Pivot equal'!K:L,2,0)</f>
        <v>9840119923.4899998</v>
      </c>
      <c r="S79" s="47">
        <f>VLOOKUP(N79,CurrentMtgRatesDataTable9[],2,0)</f>
        <v>330636214.42000002</v>
      </c>
      <c r="T79" s="47" t="e">
        <f>VLOOKUP(N79,CurrentMtgRatesDataTable93[],2,0)</f>
        <v>#N/A</v>
      </c>
      <c r="U79" s="46">
        <f>CurrentMtgRatesDataTable8[[#This Row],[Top 10 Amount]]/CurrentMtgRatesDataTable8[[#This Row],[TotalBalance]]</f>
        <v>0.90708718877300232</v>
      </c>
      <c r="V79" s="46">
        <f>CurrentMtgRatesDataTable8[[#This Row],[Top 5 Amount]]/CurrentMtgRatesDataTable8[[#This Row],[TotalBalance]]</f>
        <v>0.78864247041746227</v>
      </c>
      <c r="W79" s="46">
        <f>CurrentMtgRatesDataTable8[[#This Row],[Top 1 Amount]]/CurrentMtgRatesDataTable8[[#This Row],[TotalBalance]]</f>
        <v>0.28517531260162737</v>
      </c>
      <c r="X79" s="46" t="e">
        <f>CurrentMtgRatesDataTable8[[#This Row],[N/A Amount]]/CurrentMtgRatesDataTable8[[#This Row],[TotalBalance]]</f>
        <v>#N/A</v>
      </c>
    </row>
    <row r="80" spans="2:24">
      <c r="B80" s="37">
        <v>39295</v>
      </c>
      <c r="C80" s="17">
        <v>445623149</v>
      </c>
      <c r="D80" s="17" t="s">
        <v>100</v>
      </c>
      <c r="E80" s="17">
        <v>7</v>
      </c>
      <c r="H80" s="41">
        <v>39845</v>
      </c>
      <c r="I80" s="42">
        <v>334388412.06</v>
      </c>
      <c r="N80" s="41">
        <v>39845</v>
      </c>
      <c r="O80" s="42">
        <v>28092224611.080002</v>
      </c>
      <c r="P80" s="47">
        <f>VLOOKUP($N80,'Pivot equal'!C:D,2,0)</f>
        <v>24601026802.229996</v>
      </c>
      <c r="Q80" s="47">
        <f>VLOOKUP(N80,'Pivot equal'!G:H,2,0)</f>
        <v>20299507560.999996</v>
      </c>
      <c r="R80" s="47">
        <f>VLOOKUP(N80,'Pivot equal'!K:L,2,0)</f>
        <v>7456714182.4200001</v>
      </c>
      <c r="S80" s="47">
        <f>VLOOKUP(N80,CurrentMtgRatesDataTable9[],2,0)</f>
        <v>334388412.06</v>
      </c>
      <c r="T80" s="47" t="e">
        <f>VLOOKUP(N80,CurrentMtgRatesDataTable93[],2,0)</f>
        <v>#N/A</v>
      </c>
      <c r="U80" s="46">
        <f>CurrentMtgRatesDataTable8[[#This Row],[Top 10 Amount]]/CurrentMtgRatesDataTable8[[#This Row],[TotalBalance]]</f>
        <v>0.87572369731541222</v>
      </c>
      <c r="V80" s="46">
        <f>CurrentMtgRatesDataTable8[[#This Row],[Top 5 Amount]]/CurrentMtgRatesDataTable8[[#This Row],[TotalBalance]]</f>
        <v>0.72260235143476537</v>
      </c>
      <c r="W80" s="46">
        <f>CurrentMtgRatesDataTable8[[#This Row],[Top 1 Amount]]/CurrentMtgRatesDataTable8[[#This Row],[TotalBalance]]</f>
        <v>0.26543694156136566</v>
      </c>
      <c r="X80" s="46" t="e">
        <f>CurrentMtgRatesDataTable8[[#This Row],[N/A Amount]]/CurrentMtgRatesDataTable8[[#This Row],[TotalBalance]]</f>
        <v>#N/A</v>
      </c>
    </row>
    <row r="81" spans="2:24">
      <c r="B81" s="37">
        <v>39295</v>
      </c>
      <c r="C81" s="17">
        <v>421912504.26999998</v>
      </c>
      <c r="D81" s="17" t="s">
        <v>8</v>
      </c>
      <c r="E81" s="17">
        <v>8</v>
      </c>
      <c r="H81" s="41">
        <v>39814</v>
      </c>
      <c r="I81" s="42">
        <v>339796295.97000003</v>
      </c>
      <c r="N81" s="41">
        <v>39814</v>
      </c>
      <c r="O81" s="42">
        <v>29879289402.48</v>
      </c>
      <c r="P81" s="47">
        <f>VLOOKUP($N81,'Pivot equal'!C:D,2,0)</f>
        <v>25014444927.390003</v>
      </c>
      <c r="Q81" s="47">
        <f>VLOOKUP(N81,'Pivot equal'!G:H,2,0)</f>
        <v>20747600705.23</v>
      </c>
      <c r="R81" s="47">
        <f>VLOOKUP(N81,'Pivot equal'!K:L,2,0)</f>
        <v>7661923102.8999996</v>
      </c>
      <c r="S81" s="47">
        <f>VLOOKUP(N81,CurrentMtgRatesDataTable9[],2,0)</f>
        <v>339796295.97000003</v>
      </c>
      <c r="T81" s="47" t="e">
        <f>VLOOKUP(N81,CurrentMtgRatesDataTable93[],2,0)</f>
        <v>#N/A</v>
      </c>
      <c r="U81" s="46">
        <f>CurrentMtgRatesDataTable8[[#This Row],[Top 10 Amount]]/CurrentMtgRatesDataTable8[[#This Row],[TotalBalance]]</f>
        <v>0.8371833945058208</v>
      </c>
      <c r="V81" s="46">
        <f>CurrentMtgRatesDataTable8[[#This Row],[Top 5 Amount]]/CurrentMtgRatesDataTable8[[#This Row],[TotalBalance]]</f>
        <v>0.69438066032145784</v>
      </c>
      <c r="W81" s="46">
        <f>CurrentMtgRatesDataTable8[[#This Row],[Top 1 Amount]]/CurrentMtgRatesDataTable8[[#This Row],[TotalBalance]]</f>
        <v>0.25642922760619785</v>
      </c>
      <c r="X81" s="46" t="e">
        <f>CurrentMtgRatesDataTable8[[#This Row],[N/A Amount]]/CurrentMtgRatesDataTable8[[#This Row],[TotalBalance]]</f>
        <v>#N/A</v>
      </c>
    </row>
    <row r="82" spans="2:24">
      <c r="B82" s="37">
        <v>39295</v>
      </c>
      <c r="C82" s="17">
        <v>364355555.85000002</v>
      </c>
      <c r="D82" s="17" t="s">
        <v>16</v>
      </c>
      <c r="E82" s="17">
        <v>9</v>
      </c>
      <c r="H82" s="41">
        <v>39783</v>
      </c>
      <c r="I82" s="42">
        <v>509985699.69999999</v>
      </c>
      <c r="N82" s="41">
        <v>39783</v>
      </c>
      <c r="O82" s="42">
        <v>25259384716.610001</v>
      </c>
      <c r="P82" s="47">
        <f>VLOOKUP($N82,'Pivot equal'!C:D,2,0)</f>
        <v>20966060078.980003</v>
      </c>
      <c r="Q82" s="47">
        <f>VLOOKUP(N82,'Pivot equal'!G:H,2,0)</f>
        <v>17026231655.48</v>
      </c>
      <c r="R82" s="47">
        <f>VLOOKUP(N82,'Pivot equal'!K:L,2,0)</f>
        <v>6077494849.25</v>
      </c>
      <c r="S82" s="47">
        <f>VLOOKUP(N82,CurrentMtgRatesDataTable9[],2,0)</f>
        <v>509985699.69999999</v>
      </c>
      <c r="T82" s="47" t="e">
        <f>VLOOKUP(N82,CurrentMtgRatesDataTable93[],2,0)</f>
        <v>#N/A</v>
      </c>
      <c r="U82" s="46">
        <f>CurrentMtgRatesDataTable8[[#This Row],[Top 10 Amount]]/CurrentMtgRatesDataTable8[[#This Row],[TotalBalance]]</f>
        <v>0.83003051397341421</v>
      </c>
      <c r="V82" s="46">
        <f>CurrentMtgRatesDataTable8[[#This Row],[Top 5 Amount]]/CurrentMtgRatesDataTable8[[#This Row],[TotalBalance]]</f>
        <v>0.67405567659310139</v>
      </c>
      <c r="W82" s="46">
        <f>CurrentMtgRatesDataTable8[[#This Row],[Top 1 Amount]]/CurrentMtgRatesDataTable8[[#This Row],[TotalBalance]]</f>
        <v>0.24060343976841117</v>
      </c>
      <c r="X82" s="46" t="e">
        <f>CurrentMtgRatesDataTable8[[#This Row],[N/A Amount]]/CurrentMtgRatesDataTable8[[#This Row],[TotalBalance]]</f>
        <v>#N/A</v>
      </c>
    </row>
    <row r="83" spans="2:24">
      <c r="B83" s="37">
        <v>39295</v>
      </c>
      <c r="C83" s="17">
        <v>304495053.63</v>
      </c>
      <c r="D83" s="17" t="s">
        <v>19</v>
      </c>
      <c r="E83" s="17">
        <v>10</v>
      </c>
      <c r="H83" s="41">
        <v>39753</v>
      </c>
      <c r="I83" s="42">
        <v>483957096.69999999</v>
      </c>
      <c r="N83" s="41">
        <v>39753</v>
      </c>
      <c r="O83" s="42">
        <v>28783371110.040001</v>
      </c>
      <c r="P83" s="47">
        <f>VLOOKUP($N83,'Pivot equal'!C:D,2,0)</f>
        <v>24497335155.529999</v>
      </c>
      <c r="Q83" s="47">
        <f>VLOOKUP(N83,'Pivot equal'!G:H,2,0)</f>
        <v>19939874282.739998</v>
      </c>
      <c r="R83" s="47">
        <f>VLOOKUP(N83,'Pivot equal'!K:L,2,0)</f>
        <v>6885955341.3299999</v>
      </c>
      <c r="S83" s="47">
        <f>VLOOKUP(N83,CurrentMtgRatesDataTable9[],2,0)</f>
        <v>483957096.69999999</v>
      </c>
      <c r="T83" s="47" t="e">
        <f>VLOOKUP(N83,CurrentMtgRatesDataTable93[],2,0)</f>
        <v>#N/A</v>
      </c>
      <c r="U83" s="46">
        <f>CurrentMtgRatesDataTable8[[#This Row],[Top 10 Amount]]/CurrentMtgRatesDataTable8[[#This Row],[TotalBalance]]</f>
        <v>0.8510933296129799</v>
      </c>
      <c r="V83" s="46">
        <f>CurrentMtgRatesDataTable8[[#This Row],[Top 5 Amount]]/CurrentMtgRatesDataTable8[[#This Row],[TotalBalance]]</f>
        <v>0.69275673813567717</v>
      </c>
      <c r="W83" s="46">
        <f>CurrentMtgRatesDataTable8[[#This Row],[Top 1 Amount]]/CurrentMtgRatesDataTable8[[#This Row],[TotalBalance]]</f>
        <v>0.23923380326108126</v>
      </c>
      <c r="X83" s="46" t="e">
        <f>CurrentMtgRatesDataTable8[[#This Row],[N/A Amount]]/CurrentMtgRatesDataTable8[[#This Row],[TotalBalance]]</f>
        <v>#N/A</v>
      </c>
    </row>
    <row r="84" spans="2:24">
      <c r="B84" s="37">
        <v>39326</v>
      </c>
      <c r="C84" s="17">
        <v>2100244827.6099999</v>
      </c>
      <c r="D84" s="17" t="s">
        <v>6</v>
      </c>
      <c r="E84" s="17">
        <v>1</v>
      </c>
      <c r="H84" s="41">
        <v>39722</v>
      </c>
      <c r="I84" s="42">
        <v>601637100.75999999</v>
      </c>
      <c r="N84" s="41">
        <v>39722</v>
      </c>
      <c r="O84" s="42">
        <v>32031899669.07</v>
      </c>
      <c r="P84" s="47">
        <f>VLOOKUP($N84,'Pivot equal'!C:D,2,0)</f>
        <v>27080952679.310001</v>
      </c>
      <c r="Q84" s="47">
        <f>VLOOKUP(N84,'Pivot equal'!G:H,2,0)</f>
        <v>21462799846.620003</v>
      </c>
      <c r="R84" s="47">
        <f>VLOOKUP(N84,'Pivot equal'!K:L,2,0)</f>
        <v>7764734798.4499998</v>
      </c>
      <c r="S84" s="47">
        <f>VLOOKUP(N84,CurrentMtgRatesDataTable9[],2,0)</f>
        <v>601637100.75999999</v>
      </c>
      <c r="T84" s="47" t="e">
        <f>VLOOKUP(N84,CurrentMtgRatesDataTable93[],2,0)</f>
        <v>#N/A</v>
      </c>
      <c r="U84" s="46">
        <f>CurrentMtgRatesDataTable8[[#This Row],[Top 10 Amount]]/CurrentMtgRatesDataTable8[[#This Row],[TotalBalance]]</f>
        <v>0.8454369849771779</v>
      </c>
      <c r="V84" s="46">
        <f>CurrentMtgRatesDataTable8[[#This Row],[Top 5 Amount]]/CurrentMtgRatesDataTable8[[#This Row],[TotalBalance]]</f>
        <v>0.67004455147393216</v>
      </c>
      <c r="W84" s="46">
        <f>CurrentMtgRatesDataTable8[[#This Row],[Top 1 Amount]]/CurrentMtgRatesDataTable8[[#This Row],[TotalBalance]]</f>
        <v>0.24240631616199856</v>
      </c>
      <c r="X84" s="46" t="e">
        <f>CurrentMtgRatesDataTable8[[#This Row],[N/A Amount]]/CurrentMtgRatesDataTable8[[#This Row],[TotalBalance]]</f>
        <v>#N/A</v>
      </c>
    </row>
    <row r="85" spans="2:24">
      <c r="B85" s="37">
        <v>39326</v>
      </c>
      <c r="C85" s="17">
        <v>1378080317.3099999</v>
      </c>
      <c r="D85" s="17" t="s">
        <v>7</v>
      </c>
      <c r="E85" s="17">
        <v>2</v>
      </c>
      <c r="H85" s="41">
        <v>39692</v>
      </c>
      <c r="I85" s="42">
        <v>590388828.64999998</v>
      </c>
      <c r="N85" s="41">
        <v>39692</v>
      </c>
      <c r="O85" s="42">
        <v>29840076180.630001</v>
      </c>
      <c r="P85" s="47">
        <f>VLOOKUP($N85,'Pivot equal'!C:D,2,0)</f>
        <v>25240719264.77</v>
      </c>
      <c r="Q85" s="47">
        <f>VLOOKUP(N85,'Pivot equal'!G:H,2,0)</f>
        <v>20580692484.290001</v>
      </c>
      <c r="R85" s="47">
        <f>VLOOKUP(N85,'Pivot equal'!K:L,2,0)</f>
        <v>6775744846.46</v>
      </c>
      <c r="S85" s="47">
        <f>VLOOKUP(N85,CurrentMtgRatesDataTable9[],2,0)</f>
        <v>590388828.64999998</v>
      </c>
      <c r="T85" s="47" t="e">
        <f>VLOOKUP(N85,CurrentMtgRatesDataTable93[],2,0)</f>
        <v>#N/A</v>
      </c>
      <c r="U85" s="46">
        <f>CurrentMtgRatesDataTable8[[#This Row],[Top 10 Amount]]/CurrentMtgRatesDataTable8[[#This Row],[TotalBalance]]</f>
        <v>0.84586644859688509</v>
      </c>
      <c r="V85" s="46">
        <f>CurrentMtgRatesDataTable8[[#This Row],[Top 5 Amount]]/CurrentMtgRatesDataTable8[[#This Row],[TotalBalance]]</f>
        <v>0.68969972997754891</v>
      </c>
      <c r="W85" s="46">
        <f>CurrentMtgRatesDataTable8[[#This Row],[Top 1 Amount]]/CurrentMtgRatesDataTable8[[#This Row],[TotalBalance]]</f>
        <v>0.22706861756801811</v>
      </c>
      <c r="X85" s="46" t="e">
        <f>CurrentMtgRatesDataTable8[[#This Row],[N/A Amount]]/CurrentMtgRatesDataTable8[[#This Row],[TotalBalance]]</f>
        <v>#N/A</v>
      </c>
    </row>
    <row r="86" spans="2:24">
      <c r="B86" s="37">
        <v>39326</v>
      </c>
      <c r="C86" s="17">
        <v>1243355958.8499999</v>
      </c>
      <c r="D86" s="17" t="s">
        <v>13</v>
      </c>
      <c r="E86" s="17">
        <v>3</v>
      </c>
      <c r="H86" s="41">
        <v>39661</v>
      </c>
      <c r="I86" s="42">
        <v>692738671.13</v>
      </c>
      <c r="N86" s="37">
        <v>39661</v>
      </c>
      <c r="O86" s="17">
        <v>31543550642.98</v>
      </c>
      <c r="P86" s="43">
        <f>VLOOKUP($N86,'Pivot equal'!C:D,2,0)</f>
        <v>26556813481.310001</v>
      </c>
      <c r="Q86" s="43">
        <f>VLOOKUP(N86,'Pivot equal'!G:H,2,0)</f>
        <v>21796330771.130001</v>
      </c>
      <c r="R86" s="43">
        <f>VLOOKUP(N86,'Pivot equal'!K:L,2,0)</f>
        <v>6371064207.1199999</v>
      </c>
      <c r="S86" s="43">
        <f>VLOOKUP(N86,CurrentMtgRatesDataTable9[],2,0)</f>
        <v>692738671.13</v>
      </c>
      <c r="T86" s="43" t="e">
        <f>VLOOKUP(N86,CurrentMtgRatesDataTable93[],2,0)</f>
        <v>#N/A</v>
      </c>
      <c r="U86" s="44">
        <f>CurrentMtgRatesDataTable8[[#This Row],[Top 10 Amount]]/CurrentMtgRatesDataTable8[[#This Row],[TotalBalance]]</f>
        <v>0.84190945343751933</v>
      </c>
      <c r="V86" s="44">
        <f>CurrentMtgRatesDataTable8[[#This Row],[Top 5 Amount]]/CurrentMtgRatesDataTable8[[#This Row],[TotalBalance]]</f>
        <v>0.69099167109713955</v>
      </c>
      <c r="W86" s="44">
        <f>CurrentMtgRatesDataTable8[[#This Row],[Top 1 Amount]]/CurrentMtgRatesDataTable8[[#This Row],[TotalBalance]]</f>
        <v>0.2019767615646616</v>
      </c>
      <c r="X86" s="44" t="e">
        <f>CurrentMtgRatesDataTable8[[#This Row],[N/A Amount]]/CurrentMtgRatesDataTable8[[#This Row],[TotalBalance]]</f>
        <v>#N/A</v>
      </c>
    </row>
    <row r="87" spans="2:24">
      <c r="B87" s="37">
        <v>39326</v>
      </c>
      <c r="C87" s="17">
        <v>1175104294.3900001</v>
      </c>
      <c r="D87" s="17" t="s">
        <v>11</v>
      </c>
      <c r="E87" s="17">
        <v>4</v>
      </c>
      <c r="H87" s="41">
        <v>39630</v>
      </c>
      <c r="I87" s="42">
        <v>705566089.94000006</v>
      </c>
      <c r="N87" s="37">
        <v>39630</v>
      </c>
      <c r="O87" s="17">
        <v>29055254325.32</v>
      </c>
      <c r="P87" s="43">
        <f>VLOOKUP($N87,'Pivot equal'!C:D,2,0)</f>
        <v>24579644788.880005</v>
      </c>
      <c r="Q87" s="43">
        <f>VLOOKUP(N87,'Pivot equal'!G:H,2,0)</f>
        <v>20600904938.459999</v>
      </c>
      <c r="R87" s="43">
        <f>VLOOKUP(N87,'Pivot equal'!K:L,2,0)</f>
        <v>6822327712.9200001</v>
      </c>
      <c r="S87" s="43">
        <f>VLOOKUP(N87,CurrentMtgRatesDataTable9[],2,0)</f>
        <v>705566089.94000006</v>
      </c>
      <c r="T87" s="43" t="e">
        <f>VLOOKUP(N87,CurrentMtgRatesDataTable93[],2,0)</f>
        <v>#N/A</v>
      </c>
      <c r="U87" s="44">
        <f>CurrentMtgRatesDataTable8[[#This Row],[Top 10 Amount]]/CurrentMtgRatesDataTable8[[#This Row],[TotalBalance]]</f>
        <v>0.84596212835281381</v>
      </c>
      <c r="V87" s="44">
        <f>CurrentMtgRatesDataTable8[[#This Row],[Top 5 Amount]]/CurrentMtgRatesDataTable8[[#This Row],[TotalBalance]]</f>
        <v>0.70902511152715963</v>
      </c>
      <c r="W87" s="44">
        <f>CurrentMtgRatesDataTable8[[#This Row],[Top 1 Amount]]/CurrentMtgRatesDataTable8[[#This Row],[TotalBalance]]</f>
        <v>0.23480530015442783</v>
      </c>
      <c r="X87" s="44" t="e">
        <f>CurrentMtgRatesDataTable8[[#This Row],[N/A Amount]]/CurrentMtgRatesDataTable8[[#This Row],[TotalBalance]]</f>
        <v>#N/A</v>
      </c>
    </row>
    <row r="88" spans="2:24">
      <c r="B88" s="37">
        <v>39326</v>
      </c>
      <c r="C88" s="17">
        <v>632266709.83000004</v>
      </c>
      <c r="D88" s="17" t="s">
        <v>4</v>
      </c>
      <c r="E88" s="17">
        <v>5</v>
      </c>
      <c r="H88" s="41">
        <v>39600</v>
      </c>
      <c r="I88" s="42">
        <v>759909181</v>
      </c>
      <c r="N88" s="37">
        <v>39600</v>
      </c>
      <c r="O88" s="17">
        <v>30154595836.880001</v>
      </c>
      <c r="P88" s="43">
        <f>VLOOKUP($N88,'Pivot equal'!C:D,2,0)</f>
        <v>25833038129.700005</v>
      </c>
      <c r="Q88" s="43">
        <f>VLOOKUP(N88,'Pivot equal'!G:H,2,0)</f>
        <v>21188136959.960003</v>
      </c>
      <c r="R88" s="43">
        <f>VLOOKUP(N88,'Pivot equal'!K:L,2,0)</f>
        <v>6834874504.6000004</v>
      </c>
      <c r="S88" s="43">
        <f>VLOOKUP(N88,CurrentMtgRatesDataTable9[],2,0)</f>
        <v>759909181</v>
      </c>
      <c r="T88" s="43" t="e">
        <f>VLOOKUP(N88,CurrentMtgRatesDataTable93[],2,0)</f>
        <v>#N/A</v>
      </c>
      <c r="U88" s="44">
        <f>CurrentMtgRatesDataTable8[[#This Row],[Top 10 Amount]]/CurrentMtgRatesDataTable8[[#This Row],[TotalBalance]]</f>
        <v>0.85668659826988636</v>
      </c>
      <c r="V88" s="44">
        <f>CurrentMtgRatesDataTable8[[#This Row],[Top 5 Amount]]/CurrentMtgRatesDataTable8[[#This Row],[TotalBalance]]</f>
        <v>0.70265033809692978</v>
      </c>
      <c r="W88" s="44">
        <f>CurrentMtgRatesDataTable8[[#This Row],[Top 1 Amount]]/CurrentMtgRatesDataTable8[[#This Row],[TotalBalance]]</f>
        <v>0.22666112129550542</v>
      </c>
      <c r="X88" s="44" t="e">
        <f>CurrentMtgRatesDataTable8[[#This Row],[N/A Amount]]/CurrentMtgRatesDataTable8[[#This Row],[TotalBalance]]</f>
        <v>#N/A</v>
      </c>
    </row>
    <row r="89" spans="2:24">
      <c r="B89" s="37">
        <v>39326</v>
      </c>
      <c r="C89" s="17">
        <v>533379577.56</v>
      </c>
      <c r="D89" s="17" t="s">
        <v>101</v>
      </c>
      <c r="E89" s="17">
        <v>6</v>
      </c>
      <c r="H89" s="37">
        <v>39569</v>
      </c>
      <c r="I89" s="17">
        <v>520442090.99000001</v>
      </c>
      <c r="N89" s="37">
        <v>39569</v>
      </c>
      <c r="O89" s="17">
        <v>23353487150.25</v>
      </c>
      <c r="P89" s="43">
        <f>VLOOKUP($N89,'Pivot equal'!C:D,2,0)</f>
        <v>19741794646.82</v>
      </c>
      <c r="Q89" s="43">
        <f>VLOOKUP(N89,'Pivot equal'!G:H,2,0)</f>
        <v>15812654388.58</v>
      </c>
      <c r="R89" s="43">
        <f>VLOOKUP(N89,'Pivot equal'!K:L,2,0)</f>
        <v>4941795296.04</v>
      </c>
      <c r="S89" s="43">
        <f>VLOOKUP(N89,CurrentMtgRatesDataTable9[],2,0)</f>
        <v>520442090.99000001</v>
      </c>
      <c r="T89" s="43" t="e">
        <f>VLOOKUP(N89,CurrentMtgRatesDataTable93[],2,0)</f>
        <v>#N/A</v>
      </c>
      <c r="U89" s="44">
        <f>CurrentMtgRatesDataTable8[[#This Row],[Top 10 Amount]]/CurrentMtgRatesDataTable8[[#This Row],[TotalBalance]]</f>
        <v>0.84534675784419899</v>
      </c>
      <c r="V89" s="44">
        <f>CurrentMtgRatesDataTable8[[#This Row],[Top 5 Amount]]/CurrentMtgRatesDataTable8[[#This Row],[TotalBalance]]</f>
        <v>0.67710035280151837</v>
      </c>
      <c r="W89" s="44">
        <f>CurrentMtgRatesDataTable8[[#This Row],[Top 1 Amount]]/CurrentMtgRatesDataTable8[[#This Row],[TotalBalance]]</f>
        <v>0.21160845334342704</v>
      </c>
      <c r="X89" s="44" t="e">
        <f>CurrentMtgRatesDataTable8[[#This Row],[N/A Amount]]/CurrentMtgRatesDataTable8[[#This Row],[TotalBalance]]</f>
        <v>#N/A</v>
      </c>
    </row>
    <row r="90" spans="2:24">
      <c r="B90" s="37">
        <v>39326</v>
      </c>
      <c r="C90" s="17">
        <v>399818823.14999998</v>
      </c>
      <c r="D90" s="17" t="s">
        <v>8</v>
      </c>
      <c r="E90" s="17">
        <v>7</v>
      </c>
      <c r="H90" s="37">
        <v>39539</v>
      </c>
      <c r="I90" s="17">
        <v>440480295.93000001</v>
      </c>
      <c r="N90" s="37">
        <v>39539</v>
      </c>
      <c r="O90" s="17">
        <v>20540122319.009998</v>
      </c>
      <c r="P90" s="43">
        <f>VLOOKUP($N90,'Pivot equal'!C:D,2,0)</f>
        <v>17836824698.27</v>
      </c>
      <c r="Q90" s="43">
        <f>VLOOKUP(N90,'Pivot equal'!G:H,2,0)</f>
        <v>14516045890.940002</v>
      </c>
      <c r="R90" s="43">
        <f>VLOOKUP(N90,'Pivot equal'!K:L,2,0)</f>
        <v>4623451382.9700003</v>
      </c>
      <c r="S90" s="43">
        <f>VLOOKUP(N90,CurrentMtgRatesDataTable9[],2,0)</f>
        <v>440480295.93000001</v>
      </c>
      <c r="T90" s="43" t="e">
        <f>VLOOKUP(N90,CurrentMtgRatesDataTable93[],2,0)</f>
        <v>#N/A</v>
      </c>
      <c r="U90" s="44">
        <f>CurrentMtgRatesDataTable8[[#This Row],[Top 10 Amount]]/CurrentMtgRatesDataTable8[[#This Row],[TotalBalance]]</f>
        <v>0.86838940982166979</v>
      </c>
      <c r="V90" s="44">
        <f>CurrentMtgRatesDataTable8[[#This Row],[Top 5 Amount]]/CurrentMtgRatesDataTable8[[#This Row],[TotalBalance]]</f>
        <v>0.70671662346943864</v>
      </c>
      <c r="W90" s="44">
        <f>CurrentMtgRatesDataTable8[[#This Row],[Top 1 Amount]]/CurrentMtgRatesDataTable8[[#This Row],[TotalBalance]]</f>
        <v>0.22509366357039509</v>
      </c>
      <c r="X90" s="44" t="e">
        <f>CurrentMtgRatesDataTable8[[#This Row],[N/A Amount]]/CurrentMtgRatesDataTable8[[#This Row],[TotalBalance]]</f>
        <v>#N/A</v>
      </c>
    </row>
    <row r="91" spans="2:24">
      <c r="B91" s="37">
        <v>39326</v>
      </c>
      <c r="C91" s="17">
        <v>270795396</v>
      </c>
      <c r="D91" s="17" t="s">
        <v>100</v>
      </c>
      <c r="E91" s="17">
        <v>8</v>
      </c>
      <c r="H91" s="37">
        <v>39508</v>
      </c>
      <c r="I91" s="17">
        <v>395765908.26999998</v>
      </c>
      <c r="N91" s="37">
        <v>39508</v>
      </c>
      <c r="O91" s="17">
        <v>16282064822.610001</v>
      </c>
      <c r="P91" s="43">
        <f>VLOOKUP($N91,'Pivot equal'!C:D,2,0)</f>
        <v>13798702266.43</v>
      </c>
      <c r="Q91" s="43">
        <f>VLOOKUP(N91,'Pivot equal'!G:H,2,0)</f>
        <v>11303577377.16</v>
      </c>
      <c r="R91" s="43">
        <f>VLOOKUP(N91,'Pivot equal'!K:L,2,0)</f>
        <v>3560147160.0799999</v>
      </c>
      <c r="S91" s="43">
        <f>VLOOKUP(N91,CurrentMtgRatesDataTable9[],2,0)</f>
        <v>395765908.26999998</v>
      </c>
      <c r="T91" s="43" t="e">
        <f>VLOOKUP(N91,CurrentMtgRatesDataTable93[],2,0)</f>
        <v>#N/A</v>
      </c>
      <c r="U91" s="44">
        <f>CurrentMtgRatesDataTable8[[#This Row],[Top 10 Amount]]/CurrentMtgRatesDataTable8[[#This Row],[TotalBalance]]</f>
        <v>0.84747864701217179</v>
      </c>
      <c r="V91" s="44">
        <f>CurrentMtgRatesDataTable8[[#This Row],[Top 5 Amount]]/CurrentMtgRatesDataTable8[[#This Row],[TotalBalance]]</f>
        <v>0.69423488361644092</v>
      </c>
      <c r="W91" s="44">
        <f>CurrentMtgRatesDataTable8[[#This Row],[Top 1 Amount]]/CurrentMtgRatesDataTable8[[#This Row],[TotalBalance]]</f>
        <v>0.21865452563093971</v>
      </c>
      <c r="X91" s="44" t="e">
        <f>CurrentMtgRatesDataTable8[[#This Row],[N/A Amount]]/CurrentMtgRatesDataTable8[[#This Row],[TotalBalance]]</f>
        <v>#N/A</v>
      </c>
    </row>
    <row r="92" spans="2:24">
      <c r="B92" s="37">
        <v>39326</v>
      </c>
      <c r="C92" s="17">
        <v>238964204.69</v>
      </c>
      <c r="D92" s="17" t="s">
        <v>16</v>
      </c>
      <c r="E92" s="17">
        <v>9</v>
      </c>
      <c r="H92" s="37">
        <v>39479</v>
      </c>
      <c r="I92" s="17">
        <v>208243955.68000001</v>
      </c>
      <c r="N92" s="37">
        <v>39479</v>
      </c>
      <c r="O92" s="17">
        <v>12940973043.82</v>
      </c>
      <c r="P92" s="43">
        <f>VLOOKUP($N92,'Pivot equal'!C:D,2,0)</f>
        <v>10960147633.5</v>
      </c>
      <c r="Q92" s="43">
        <f>VLOOKUP(N92,'Pivot equal'!G:H,2,0)</f>
        <v>8866585818.8600006</v>
      </c>
      <c r="R92" s="43">
        <f>VLOOKUP(N92,'Pivot equal'!K:L,2,0)</f>
        <v>2482933120.71</v>
      </c>
      <c r="S92" s="43">
        <f>VLOOKUP(N92,CurrentMtgRatesDataTable9[],2,0)</f>
        <v>208243955.68000001</v>
      </c>
      <c r="T92" s="43" t="e">
        <f>VLOOKUP(N92,CurrentMtgRatesDataTable93[],2,0)</f>
        <v>#N/A</v>
      </c>
      <c r="U92" s="44">
        <f>CurrentMtgRatesDataTable8[[#This Row],[Top 10 Amount]]/CurrentMtgRatesDataTable8[[#This Row],[TotalBalance]]</f>
        <v>0.84693381219382502</v>
      </c>
      <c r="V92" s="44">
        <f>CurrentMtgRatesDataTable8[[#This Row],[Top 5 Amount]]/CurrentMtgRatesDataTable8[[#This Row],[TotalBalance]]</f>
        <v>0.68515603802252456</v>
      </c>
      <c r="W92" s="44">
        <f>CurrentMtgRatesDataTable8[[#This Row],[Top 1 Amount]]/CurrentMtgRatesDataTable8[[#This Row],[TotalBalance]]</f>
        <v>0.19186602988063037</v>
      </c>
      <c r="X92" s="44" t="e">
        <f>CurrentMtgRatesDataTable8[[#This Row],[N/A Amount]]/CurrentMtgRatesDataTable8[[#This Row],[TotalBalance]]</f>
        <v>#N/A</v>
      </c>
    </row>
    <row r="93" spans="2:24">
      <c r="B93" s="37">
        <v>39326</v>
      </c>
      <c r="C93" s="17">
        <v>198380735.88999999</v>
      </c>
      <c r="D93" s="17" t="s">
        <v>19</v>
      </c>
      <c r="E93" s="17">
        <v>10</v>
      </c>
      <c r="H93" s="37">
        <v>39448</v>
      </c>
      <c r="I93" s="17">
        <v>298768104.70999998</v>
      </c>
      <c r="N93" s="37">
        <v>39448</v>
      </c>
      <c r="O93" s="17">
        <v>13369802473.17</v>
      </c>
      <c r="P93" s="43">
        <f>VLOOKUP($N93,'Pivot equal'!C:D,2,0)</f>
        <v>11576202368.27</v>
      </c>
      <c r="Q93" s="43">
        <f>VLOOKUP(N93,'Pivot equal'!G:H,2,0)</f>
        <v>9595662918.3299999</v>
      </c>
      <c r="R93" s="43">
        <f>VLOOKUP(N93,'Pivot equal'!K:L,2,0)</f>
        <v>2683651040.4299998</v>
      </c>
      <c r="S93" s="43">
        <f>VLOOKUP(N93,CurrentMtgRatesDataTable9[],2,0)</f>
        <v>298768104.70999998</v>
      </c>
      <c r="T93" s="43" t="e">
        <f>VLOOKUP(N93,CurrentMtgRatesDataTable93[],2,0)</f>
        <v>#N/A</v>
      </c>
      <c r="U93" s="44">
        <f>CurrentMtgRatesDataTable8[[#This Row],[Top 10 Amount]]/CurrentMtgRatesDataTable8[[#This Row],[TotalBalance]]</f>
        <v>0.86584692567453214</v>
      </c>
      <c r="V93" s="44">
        <f>CurrentMtgRatesDataTable8[[#This Row],[Top 5 Amount]]/CurrentMtgRatesDataTable8[[#This Row],[TotalBalance]]</f>
        <v>0.71771164440059632</v>
      </c>
      <c r="W93" s="44">
        <f>CurrentMtgRatesDataTable8[[#This Row],[Top 1 Amount]]/CurrentMtgRatesDataTable8[[#This Row],[TotalBalance]]</f>
        <v>0.20072480844914847</v>
      </c>
      <c r="X93" s="44" t="e">
        <f>CurrentMtgRatesDataTable8[[#This Row],[N/A Amount]]/CurrentMtgRatesDataTable8[[#This Row],[TotalBalance]]</f>
        <v>#N/A</v>
      </c>
    </row>
    <row r="94" spans="2:24">
      <c r="B94" s="37">
        <v>39356</v>
      </c>
      <c r="C94" s="17">
        <v>1942871547.53</v>
      </c>
      <c r="D94" s="17" t="s">
        <v>11</v>
      </c>
      <c r="E94" s="17">
        <v>1</v>
      </c>
      <c r="H94" s="37">
        <v>39417</v>
      </c>
      <c r="I94" s="17">
        <v>319362257.64999998</v>
      </c>
      <c r="N94" s="37">
        <v>39417</v>
      </c>
      <c r="O94" s="17">
        <v>12894178971.040001</v>
      </c>
      <c r="P94" s="43">
        <f>VLOOKUP($N94,'Pivot equal'!C:D,2,0)</f>
        <v>10973397940.699999</v>
      </c>
      <c r="Q94" s="43">
        <f>VLOOKUP(N94,'Pivot equal'!G:H,2,0)</f>
        <v>8596153165.3600006</v>
      </c>
      <c r="R94" s="43">
        <f>VLOOKUP(N94,'Pivot equal'!K:L,2,0)</f>
        <v>2610711823.8800001</v>
      </c>
      <c r="S94" s="43">
        <f>VLOOKUP(N94,CurrentMtgRatesDataTable9[],2,0)</f>
        <v>319362257.64999998</v>
      </c>
      <c r="T94" s="43" t="e">
        <f>VLOOKUP(N94,CurrentMtgRatesDataTable93[],2,0)</f>
        <v>#N/A</v>
      </c>
      <c r="U94" s="44">
        <f>CurrentMtgRatesDataTable8[[#This Row],[Top 10 Amount]]/CurrentMtgRatesDataTable8[[#This Row],[TotalBalance]]</f>
        <v>0.85103502637476747</v>
      </c>
      <c r="V94" s="44">
        <f>CurrentMtgRatesDataTable8[[#This Row],[Top 5 Amount]]/CurrentMtgRatesDataTable8[[#This Row],[TotalBalance]]</f>
        <v>0.66666929198568925</v>
      </c>
      <c r="W94" s="44">
        <f>CurrentMtgRatesDataTable8[[#This Row],[Top 1 Amount]]/CurrentMtgRatesDataTable8[[#This Row],[TotalBalance]]</f>
        <v>0.20247212558035627</v>
      </c>
      <c r="X94" s="44" t="e">
        <f>CurrentMtgRatesDataTable8[[#This Row],[N/A Amount]]/CurrentMtgRatesDataTable8[[#This Row],[TotalBalance]]</f>
        <v>#N/A</v>
      </c>
    </row>
    <row r="95" spans="2:24">
      <c r="B95" s="37">
        <v>39356</v>
      </c>
      <c r="C95" s="17">
        <v>1934718748.54</v>
      </c>
      <c r="D95" s="17" t="s">
        <v>6</v>
      </c>
      <c r="E95" s="17">
        <v>2</v>
      </c>
      <c r="H95" s="37">
        <v>39387</v>
      </c>
      <c r="I95" s="17">
        <v>290528812.44</v>
      </c>
      <c r="N95" s="37">
        <v>39387</v>
      </c>
      <c r="O95" s="17">
        <v>11306432081.23</v>
      </c>
      <c r="P95" s="43">
        <f>VLOOKUP($N95,'Pivot equal'!C:D,2,0)</f>
        <v>9448859486.9599991</v>
      </c>
      <c r="Q95" s="43">
        <f>VLOOKUP(N95,'Pivot equal'!G:H,2,0)</f>
        <v>7178740230.6700001</v>
      </c>
      <c r="R95" s="43">
        <f>VLOOKUP(N95,'Pivot equal'!K:L,2,0)</f>
        <v>2053183704.1099999</v>
      </c>
      <c r="S95" s="43">
        <f>VLOOKUP(N95,CurrentMtgRatesDataTable9[],2,0)</f>
        <v>290528812.44</v>
      </c>
      <c r="T95" s="43" t="e">
        <f>VLOOKUP(N95,CurrentMtgRatesDataTable93[],2,0)</f>
        <v>#N/A</v>
      </c>
      <c r="U95" s="44">
        <f>CurrentMtgRatesDataTable8[[#This Row],[Top 10 Amount]]/CurrentMtgRatesDataTable8[[#This Row],[TotalBalance]]</f>
        <v>0.83570656234217433</v>
      </c>
      <c r="V95" s="44">
        <f>CurrentMtgRatesDataTable8[[#This Row],[Top 5 Amount]]/CurrentMtgRatesDataTable8[[#This Row],[TotalBalance]]</f>
        <v>0.63492533976191734</v>
      </c>
      <c r="W95" s="44">
        <f>CurrentMtgRatesDataTable8[[#This Row],[Top 1 Amount]]/CurrentMtgRatesDataTable8[[#This Row],[TotalBalance]]</f>
        <v>0.18159430750205674</v>
      </c>
      <c r="X95" s="44" t="e">
        <f>CurrentMtgRatesDataTable8[[#This Row],[N/A Amount]]/CurrentMtgRatesDataTable8[[#This Row],[TotalBalance]]</f>
        <v>#N/A</v>
      </c>
    </row>
    <row r="96" spans="2:24">
      <c r="B96" s="37">
        <v>39356</v>
      </c>
      <c r="C96" s="17">
        <v>1370898651.8699999</v>
      </c>
      <c r="D96" s="17" t="s">
        <v>13</v>
      </c>
      <c r="E96" s="17">
        <v>3</v>
      </c>
      <c r="H96" s="37">
        <v>39356</v>
      </c>
      <c r="I96" s="17">
        <v>229923792.88999999</v>
      </c>
      <c r="N96" s="37">
        <v>39356</v>
      </c>
      <c r="O96" s="17">
        <v>11035046591.9</v>
      </c>
      <c r="P96" s="43">
        <f>VLOOKUP($N96,'Pivot equal'!C:D,2,0)</f>
        <v>9326868083.7999992</v>
      </c>
      <c r="Q96" s="43">
        <f>VLOOKUP(N96,'Pivot equal'!G:H,2,0)</f>
        <v>7162808102.2799997</v>
      </c>
      <c r="R96" s="43">
        <f>VLOOKUP(N96,'Pivot equal'!K:L,2,0)</f>
        <v>1942871547.53</v>
      </c>
      <c r="S96" s="43">
        <f>VLOOKUP(N96,CurrentMtgRatesDataTable9[],2,0)</f>
        <v>229923792.88999999</v>
      </c>
      <c r="T96" s="43" t="e">
        <f>VLOOKUP(N96,CurrentMtgRatesDataTable93[],2,0)</f>
        <v>#N/A</v>
      </c>
      <c r="U96" s="44">
        <f>CurrentMtgRatesDataTable8[[#This Row],[Top 10 Amount]]/CurrentMtgRatesDataTable8[[#This Row],[TotalBalance]]</f>
        <v>0.8452042323632919</v>
      </c>
      <c r="V96" s="44">
        <f>CurrentMtgRatesDataTable8[[#This Row],[Top 5 Amount]]/CurrentMtgRatesDataTable8[[#This Row],[TotalBalance]]</f>
        <v>0.64909631714085192</v>
      </c>
      <c r="W96" s="44">
        <f>CurrentMtgRatesDataTable8[[#This Row],[Top 1 Amount]]/CurrentMtgRatesDataTable8[[#This Row],[TotalBalance]]</f>
        <v>0.17606373759727634</v>
      </c>
      <c r="X96" s="44" t="e">
        <f>CurrentMtgRatesDataTable8[[#This Row],[N/A Amount]]/CurrentMtgRatesDataTable8[[#This Row],[TotalBalance]]</f>
        <v>#N/A</v>
      </c>
    </row>
    <row r="97" spans="2:24">
      <c r="B97" s="37">
        <v>39356</v>
      </c>
      <c r="C97" s="17">
        <v>1331945377.22</v>
      </c>
      <c r="D97" s="17" t="s">
        <v>7</v>
      </c>
      <c r="E97" s="17">
        <v>4</v>
      </c>
      <c r="H97" s="37">
        <v>39326</v>
      </c>
      <c r="I97" s="17">
        <v>239972714.16</v>
      </c>
      <c r="N97" s="37">
        <v>39326</v>
      </c>
      <c r="O97" s="17">
        <v>9677077155.4500008</v>
      </c>
      <c r="P97" s="43">
        <f>VLOOKUP($N97,'Pivot equal'!C:D,2,0)</f>
        <v>8170390845.2800007</v>
      </c>
      <c r="Q97" s="43">
        <f>VLOOKUP(N97,'Pivot equal'!G:H,2,0)</f>
        <v>6529052107.9900007</v>
      </c>
      <c r="R97" s="43">
        <f>VLOOKUP(N97,'Pivot equal'!K:L,2,0)</f>
        <v>2100244827.6099999</v>
      </c>
      <c r="S97" s="43">
        <f>VLOOKUP(N97,CurrentMtgRatesDataTable9[],2,0)</f>
        <v>239972714.16</v>
      </c>
      <c r="T97" s="43" t="e">
        <f>VLOOKUP(N97,CurrentMtgRatesDataTable93[],2,0)</f>
        <v>#N/A</v>
      </c>
      <c r="U97" s="44">
        <f>CurrentMtgRatesDataTable8[[#This Row],[Top 10 Amount]]/CurrentMtgRatesDataTable8[[#This Row],[TotalBalance]]</f>
        <v>0.84430357576290949</v>
      </c>
      <c r="V97" s="44">
        <f>CurrentMtgRatesDataTable8[[#This Row],[Top 5 Amount]]/CurrentMtgRatesDataTable8[[#This Row],[TotalBalance]]</f>
        <v>0.67469257536227512</v>
      </c>
      <c r="W97" s="44">
        <f>CurrentMtgRatesDataTable8[[#This Row],[Top 1 Amount]]/CurrentMtgRatesDataTable8[[#This Row],[TotalBalance]]</f>
        <v>0.21703297326994753</v>
      </c>
      <c r="X97" s="44" t="e">
        <f>CurrentMtgRatesDataTable8[[#This Row],[N/A Amount]]/CurrentMtgRatesDataTable8[[#This Row],[TotalBalance]]</f>
        <v>#N/A</v>
      </c>
    </row>
    <row r="98" spans="2:24">
      <c r="B98" s="37">
        <v>39356</v>
      </c>
      <c r="C98" s="17">
        <v>582373777.12</v>
      </c>
      <c r="D98" s="17" t="s">
        <v>101</v>
      </c>
      <c r="E98" s="17">
        <v>5</v>
      </c>
      <c r="H98" s="37">
        <v>39295</v>
      </c>
      <c r="I98" s="17">
        <v>232657838.61000001</v>
      </c>
      <c r="N98" s="59">
        <v>39295</v>
      </c>
      <c r="O98" s="60">
        <v>10881683753.610001</v>
      </c>
      <c r="P98" s="61">
        <f>VLOOKUP($N98,'Pivot equal'!C:D,2,0)</f>
        <v>9249250882.0799999</v>
      </c>
      <c r="Q98" s="61">
        <f>VLOOKUP(N98,'Pivot equal'!G:H,2,0)</f>
        <v>7040787872.7600002</v>
      </c>
      <c r="R98" s="61">
        <f>VLOOKUP(N98,'Pivot equal'!K:L,2,0)</f>
        <v>2199361792.6500001</v>
      </c>
      <c r="S98" s="61">
        <f>VLOOKUP(N98,CurrentMtgRatesDataTable9[],2,0)</f>
        <v>232657838.61000001</v>
      </c>
      <c r="T98" s="61" t="e">
        <f>VLOOKUP(N98,CurrentMtgRatesDataTable93[],2,0)</f>
        <v>#N/A</v>
      </c>
      <c r="U98" s="62">
        <f>CurrentMtgRatesDataTable8[[#This Row],[Top 10 Amount]]/CurrentMtgRatesDataTable8[[#This Row],[TotalBalance]]</f>
        <v>0.84998343009293564</v>
      </c>
      <c r="V98" s="62">
        <f>CurrentMtgRatesDataTable8[[#This Row],[Top 5 Amount]]/CurrentMtgRatesDataTable8[[#This Row],[TotalBalance]]</f>
        <v>0.64703110586394474</v>
      </c>
      <c r="W98" s="62">
        <f>CurrentMtgRatesDataTable8[[#This Row],[Top 1 Amount]]/CurrentMtgRatesDataTable8[[#This Row],[TotalBalance]]</f>
        <v>0.20211594477925912</v>
      </c>
      <c r="X98" s="62" t="e">
        <f>CurrentMtgRatesDataTable8[[#This Row],[N/A Amount]]/CurrentMtgRatesDataTable8[[#This Row],[TotalBalance]]</f>
        <v>#N/A</v>
      </c>
    </row>
    <row r="99" spans="2:24">
      <c r="B99" s="39">
        <v>39356</v>
      </c>
      <c r="C99" s="38">
        <v>568043753.41999996</v>
      </c>
      <c r="D99" s="17" t="s">
        <v>4</v>
      </c>
      <c r="E99" s="17">
        <v>6</v>
      </c>
      <c r="H99" s="37">
        <v>39264</v>
      </c>
      <c r="I99" s="17">
        <v>223483580.81</v>
      </c>
      <c r="N99" s="37">
        <v>39203</v>
      </c>
      <c r="O99" s="17">
        <v>8101112006.8299999</v>
      </c>
      <c r="P99" s="43">
        <f>VLOOKUP($N99,'Pivot equal'!C:D,2,0)</f>
        <v>6627094777.0699997</v>
      </c>
      <c r="Q99" s="43">
        <f>VLOOKUP(N99,'Pivot equal'!G:H,2,0)</f>
        <v>5203595070.6300011</v>
      </c>
      <c r="R99" s="43">
        <f>VLOOKUP(N99,'Pivot equal'!K:L,2,0)</f>
        <v>1527666445.4200001</v>
      </c>
      <c r="S99" s="43">
        <f>VLOOKUP(N99,CurrentMtgRatesDataTable9[],2,0)</f>
        <v>238043993.09</v>
      </c>
      <c r="T99" s="43" t="e">
        <f>VLOOKUP(N99,CurrentMtgRatesDataTable93[],2,0)</f>
        <v>#N/A</v>
      </c>
      <c r="U99" s="44">
        <f>CurrentMtgRatesDataTable8[[#This Row],[Top 10 Amount]]/CurrentMtgRatesDataTable8[[#This Row],[TotalBalance]]</f>
        <v>0.81804754353263298</v>
      </c>
      <c r="V99" s="44">
        <f>CurrentMtgRatesDataTable8[[#This Row],[Top 5 Amount]]/CurrentMtgRatesDataTable8[[#This Row],[TotalBalance]]</f>
        <v>0.64233096224850128</v>
      </c>
      <c r="W99" s="44">
        <f>CurrentMtgRatesDataTable8[[#This Row],[Top 1 Amount]]/CurrentMtgRatesDataTable8[[#This Row],[TotalBalance]]</f>
        <v>0.18857490726359954</v>
      </c>
      <c r="X99" s="44" t="e">
        <f>CurrentMtgRatesDataTable8[[#This Row],[N/A Amount]]/CurrentMtgRatesDataTable8[[#This Row],[TotalBalance]]</f>
        <v>#N/A</v>
      </c>
    </row>
    <row r="100" spans="2:24">
      <c r="B100" s="39">
        <v>39356</v>
      </c>
      <c r="C100" s="38">
        <v>462361139.27999997</v>
      </c>
      <c r="D100" s="17" t="s">
        <v>16</v>
      </c>
      <c r="E100" s="17">
        <v>7</v>
      </c>
      <c r="H100" s="37">
        <v>39234</v>
      </c>
      <c r="I100" s="17">
        <v>219240225.28999999</v>
      </c>
      <c r="N100" s="37">
        <v>39173</v>
      </c>
      <c r="O100" s="17">
        <v>7089655690.1199999</v>
      </c>
      <c r="P100" s="43">
        <f>VLOOKUP($N100,'Pivot equal'!C:D,2,0)</f>
        <v>5752688319.5200014</v>
      </c>
      <c r="Q100" s="43">
        <f>VLOOKUP(N100,'Pivot equal'!G:H,2,0)</f>
        <v>4308137234.5500002</v>
      </c>
      <c r="R100" s="43">
        <f>VLOOKUP(N100,'Pivot equal'!K:L,2,0)</f>
        <v>1386094463.95</v>
      </c>
      <c r="S100" s="43">
        <f>VLOOKUP(N100,CurrentMtgRatesDataTable9[],2,0)</f>
        <v>191776417.93000001</v>
      </c>
      <c r="T100" s="43" t="e">
        <f>VLOOKUP(N100,CurrentMtgRatesDataTable93[],2,0)</f>
        <v>#N/A</v>
      </c>
      <c r="U100" s="44">
        <f>CurrentMtgRatesDataTable8[[#This Row],[Top 10 Amount]]/CurrentMtgRatesDataTable8[[#This Row],[TotalBalance]]</f>
        <v>0.81141998581635366</v>
      </c>
      <c r="V100" s="44">
        <f>CurrentMtgRatesDataTable8[[#This Row],[Top 5 Amount]]/CurrentMtgRatesDataTable8[[#This Row],[TotalBalance]]</f>
        <v>0.60766522703686909</v>
      </c>
      <c r="W100" s="44">
        <f>CurrentMtgRatesDataTable8[[#This Row],[Top 1 Amount]]/CurrentMtgRatesDataTable8[[#This Row],[TotalBalance]]</f>
        <v>0.19550941886806056</v>
      </c>
      <c r="X100" s="44" t="e">
        <f>CurrentMtgRatesDataTable8[[#This Row],[N/A Amount]]/CurrentMtgRatesDataTable8[[#This Row],[TotalBalance]]</f>
        <v>#N/A</v>
      </c>
    </row>
    <row r="101" spans="2:24">
      <c r="B101" s="37">
        <v>39356</v>
      </c>
      <c r="C101" s="17">
        <v>420992160</v>
      </c>
      <c r="D101" s="17" t="s">
        <v>100</v>
      </c>
      <c r="E101" s="17">
        <v>8</v>
      </c>
      <c r="H101" s="59">
        <v>39203</v>
      </c>
      <c r="I101" s="60">
        <v>238043993.09</v>
      </c>
      <c r="N101" s="37">
        <v>39142</v>
      </c>
      <c r="O101" s="17">
        <v>6493191731.1199999</v>
      </c>
      <c r="P101" s="43">
        <f>VLOOKUP($N101,'Pivot equal'!C:D,2,0)</f>
        <v>5236806934.5200005</v>
      </c>
      <c r="Q101" s="43">
        <f>VLOOKUP(N101,'Pivot equal'!G:H,2,0)</f>
        <v>3885155136.0299997</v>
      </c>
      <c r="R101" s="43">
        <f>VLOOKUP(N101,'Pivot equal'!K:L,2,0)</f>
        <v>1136163344.1300001</v>
      </c>
      <c r="S101" s="43">
        <f>VLOOKUP(N101,CurrentMtgRatesDataTable9[],2,0)</f>
        <v>188646991.65000001</v>
      </c>
      <c r="T101" s="43" t="e">
        <f>VLOOKUP(N101,CurrentMtgRatesDataTable93[],2,0)</f>
        <v>#N/A</v>
      </c>
      <c r="U101" s="44">
        <f>CurrentMtgRatesDataTable8[[#This Row],[Top 10 Amount]]/CurrentMtgRatesDataTable8[[#This Row],[TotalBalance]]</f>
        <v>0.80650736207610985</v>
      </c>
      <c r="V101" s="44">
        <f>CurrentMtgRatesDataTable8[[#This Row],[Top 5 Amount]]/CurrentMtgRatesDataTable8[[#This Row],[TotalBalance]]</f>
        <v>0.59834289466758994</v>
      </c>
      <c r="W101" s="44">
        <f>CurrentMtgRatesDataTable8[[#This Row],[Top 1 Amount]]/CurrentMtgRatesDataTable8[[#This Row],[TotalBalance]]</f>
        <v>0.17497763675831349</v>
      </c>
      <c r="X101" s="44" t="e">
        <f>CurrentMtgRatesDataTable8[[#This Row],[N/A Amount]]/CurrentMtgRatesDataTable8[[#This Row],[TotalBalance]]</f>
        <v>#N/A</v>
      </c>
    </row>
    <row r="102" spans="2:24">
      <c r="B102" s="37">
        <v>39356</v>
      </c>
      <c r="C102" s="17">
        <v>409658048.44</v>
      </c>
      <c r="D102" s="17" t="s">
        <v>8</v>
      </c>
      <c r="E102" s="17">
        <v>9</v>
      </c>
      <c r="H102" s="37">
        <v>39173</v>
      </c>
      <c r="I102" s="17">
        <v>191776417.93000001</v>
      </c>
      <c r="N102" s="37">
        <v>39114</v>
      </c>
      <c r="O102" s="17">
        <v>5928159958.2299995</v>
      </c>
      <c r="P102" s="43">
        <f>VLOOKUP($N102,'Pivot equal'!C:D,2,0)</f>
        <v>4819569329.3100004</v>
      </c>
      <c r="Q102" s="43">
        <f>VLOOKUP(N102,'Pivot equal'!G:H,2,0)</f>
        <v>3707608545.3900003</v>
      </c>
      <c r="R102" s="43">
        <f>VLOOKUP(N102,'Pivot equal'!K:L,2,0)</f>
        <v>1621110935.21</v>
      </c>
      <c r="S102" s="43">
        <f>VLOOKUP(N102,CurrentMtgRatesDataTable9[],2,0)</f>
        <v>142335784.97</v>
      </c>
      <c r="T102" s="43" t="e">
        <f>VLOOKUP(N102,CurrentMtgRatesDataTable93[],2,0)</f>
        <v>#N/A</v>
      </c>
      <c r="U102" s="44">
        <f>CurrentMtgRatesDataTable8[[#This Row],[Top 10 Amount]]/CurrentMtgRatesDataTable8[[#This Row],[TotalBalance]]</f>
        <v>0.81299583062347114</v>
      </c>
      <c r="V102" s="44">
        <f>CurrentMtgRatesDataTable8[[#This Row],[Top 5 Amount]]/CurrentMtgRatesDataTable8[[#This Row],[TotalBalance]]</f>
        <v>0.62542316191093461</v>
      </c>
      <c r="W102" s="44">
        <f>CurrentMtgRatesDataTable8[[#This Row],[Top 1 Amount]]/CurrentMtgRatesDataTable8[[#This Row],[TotalBalance]]</f>
        <v>0.27345937805868908</v>
      </c>
      <c r="X102" s="44" t="e">
        <f>CurrentMtgRatesDataTable8[[#This Row],[N/A Amount]]/CurrentMtgRatesDataTable8[[#This Row],[TotalBalance]]</f>
        <v>#N/A</v>
      </c>
    </row>
    <row r="103" spans="2:24">
      <c r="B103" s="37">
        <v>39356</v>
      </c>
      <c r="C103" s="17">
        <v>303004880.38</v>
      </c>
      <c r="D103" s="17" t="s">
        <v>19</v>
      </c>
      <c r="E103" s="17">
        <v>10</v>
      </c>
      <c r="H103" s="37">
        <v>39142</v>
      </c>
      <c r="I103" s="17">
        <v>188646991.65000001</v>
      </c>
      <c r="N103" s="37">
        <v>39083</v>
      </c>
      <c r="O103" s="17">
        <v>7303999840.6899996</v>
      </c>
      <c r="P103" s="43">
        <f>VLOOKUP($N103,'Pivot equal'!C:D,2,0)</f>
        <v>5917837957.0899992</v>
      </c>
      <c r="Q103" s="43">
        <f>VLOOKUP(N103,'Pivot equal'!G:H,2,0)</f>
        <v>4675271846</v>
      </c>
      <c r="R103" s="43">
        <f>VLOOKUP(N103,'Pivot equal'!K:L,2,0)</f>
        <v>1816782123.1800001</v>
      </c>
      <c r="S103" s="43">
        <f>VLOOKUP(N103,CurrentMtgRatesDataTable9[],2,0)</f>
        <v>208452413.78999999</v>
      </c>
      <c r="T103" s="43" t="e">
        <f>VLOOKUP(N103,CurrentMtgRatesDataTable93[],2,0)</f>
        <v>#N/A</v>
      </c>
      <c r="U103" s="44">
        <f>CurrentMtgRatesDataTable8[[#This Row],[Top 10 Amount]]/CurrentMtgRatesDataTable8[[#This Row],[TotalBalance]]</f>
        <v>0.81021879602491187</v>
      </c>
      <c r="V103" s="44">
        <f>CurrentMtgRatesDataTable8[[#This Row],[Top 5 Amount]]/CurrentMtgRatesDataTable8[[#This Row],[TotalBalance]]</f>
        <v>0.64009747370946446</v>
      </c>
      <c r="W103" s="44">
        <f>CurrentMtgRatesDataTable8[[#This Row],[Top 1 Amount]]/CurrentMtgRatesDataTable8[[#This Row],[TotalBalance]]</f>
        <v>0.24873797409726819</v>
      </c>
      <c r="X103" s="44" t="e">
        <f>CurrentMtgRatesDataTable8[[#This Row],[N/A Amount]]/CurrentMtgRatesDataTable8[[#This Row],[TotalBalance]]</f>
        <v>#N/A</v>
      </c>
    </row>
    <row r="104" spans="2:24">
      <c r="B104" s="37">
        <v>39387</v>
      </c>
      <c r="C104" s="17">
        <v>2053183704.1099999</v>
      </c>
      <c r="D104" s="17" t="s">
        <v>11</v>
      </c>
      <c r="E104" s="17">
        <v>1</v>
      </c>
      <c r="H104" s="37">
        <v>39114</v>
      </c>
      <c r="I104" s="17">
        <v>142335784.97</v>
      </c>
    </row>
    <row r="105" spans="2:24">
      <c r="B105" s="37">
        <v>39387</v>
      </c>
      <c r="C105" s="17">
        <v>1939608135.73</v>
      </c>
      <c r="D105" s="17" t="s">
        <v>6</v>
      </c>
      <c r="E105" s="17">
        <v>2</v>
      </c>
      <c r="H105" s="37">
        <v>39083</v>
      </c>
      <c r="I105" s="17">
        <v>208452413.78999999</v>
      </c>
    </row>
    <row r="106" spans="2:24">
      <c r="B106" s="37">
        <v>39387</v>
      </c>
      <c r="C106" s="17">
        <v>1556421780.53</v>
      </c>
      <c r="D106" s="17" t="s">
        <v>13</v>
      </c>
      <c r="E106" s="17">
        <v>3</v>
      </c>
    </row>
    <row r="107" spans="2:24">
      <c r="B107" s="37">
        <v>39387</v>
      </c>
      <c r="C107" s="17">
        <v>1016642708.3</v>
      </c>
      <c r="D107" s="17" t="s">
        <v>7</v>
      </c>
      <c r="E107" s="17">
        <v>4</v>
      </c>
    </row>
    <row r="108" spans="2:24">
      <c r="B108" s="37">
        <v>39387</v>
      </c>
      <c r="C108" s="17">
        <v>612883902</v>
      </c>
      <c r="D108" s="17" t="s">
        <v>100</v>
      </c>
      <c r="E108" s="17">
        <v>5</v>
      </c>
    </row>
    <row r="109" spans="2:24">
      <c r="B109" s="37">
        <v>39387</v>
      </c>
      <c r="C109" s="17">
        <v>578508117.63999999</v>
      </c>
      <c r="D109" s="17" t="s">
        <v>101</v>
      </c>
      <c r="E109" s="17">
        <v>6</v>
      </c>
    </row>
    <row r="110" spans="2:24">
      <c r="B110" s="37">
        <v>39387</v>
      </c>
      <c r="C110" s="17">
        <v>518725321.77999997</v>
      </c>
      <c r="D110" s="17" t="s">
        <v>16</v>
      </c>
      <c r="E110" s="17">
        <v>7</v>
      </c>
    </row>
    <row r="111" spans="2:24">
      <c r="B111" s="37">
        <v>39387</v>
      </c>
      <c r="C111" s="17">
        <v>466556979.43000001</v>
      </c>
      <c r="D111" s="17" t="s">
        <v>8</v>
      </c>
      <c r="E111" s="17">
        <v>8</v>
      </c>
    </row>
    <row r="112" spans="2:24">
      <c r="B112" s="37">
        <v>39387</v>
      </c>
      <c r="C112" s="17">
        <v>413592821.22000003</v>
      </c>
      <c r="D112" s="17" t="s">
        <v>4</v>
      </c>
      <c r="E112" s="17">
        <v>9</v>
      </c>
    </row>
    <row r="113" spans="2:5">
      <c r="B113" s="37">
        <v>39387</v>
      </c>
      <c r="C113" s="17">
        <v>292736016.22000003</v>
      </c>
      <c r="D113" s="17" t="s">
        <v>19</v>
      </c>
      <c r="E113" s="17">
        <v>10</v>
      </c>
    </row>
    <row r="114" spans="2:5">
      <c r="B114" s="37">
        <v>39417</v>
      </c>
      <c r="C114" s="17">
        <v>2610711823.8800001</v>
      </c>
      <c r="D114" s="17" t="s">
        <v>6</v>
      </c>
      <c r="E114" s="17">
        <v>1</v>
      </c>
    </row>
    <row r="115" spans="2:5">
      <c r="B115" s="37">
        <v>39417</v>
      </c>
      <c r="C115" s="17">
        <v>2342574638.27</v>
      </c>
      <c r="D115" s="17" t="s">
        <v>11</v>
      </c>
      <c r="E115" s="17">
        <v>2</v>
      </c>
    </row>
    <row r="116" spans="2:5">
      <c r="B116" s="37">
        <v>39417</v>
      </c>
      <c r="C116" s="17">
        <v>1454465093.1800001</v>
      </c>
      <c r="D116" s="17" t="s">
        <v>13</v>
      </c>
      <c r="E116" s="17">
        <v>3</v>
      </c>
    </row>
    <row r="117" spans="2:5">
      <c r="B117" s="37">
        <v>39417</v>
      </c>
      <c r="C117" s="17">
        <v>1371045833.03</v>
      </c>
      <c r="D117" s="17" t="s">
        <v>7</v>
      </c>
      <c r="E117" s="17">
        <v>4</v>
      </c>
    </row>
    <row r="118" spans="2:5">
      <c r="B118" s="37">
        <v>39417</v>
      </c>
      <c r="C118" s="17">
        <v>817355777</v>
      </c>
      <c r="D118" s="17" t="s">
        <v>100</v>
      </c>
      <c r="E118" s="17">
        <v>5</v>
      </c>
    </row>
    <row r="119" spans="2:5">
      <c r="B119" s="37">
        <v>39417</v>
      </c>
      <c r="C119" s="17">
        <v>743659618.86000001</v>
      </c>
      <c r="D119" s="17" t="s">
        <v>101</v>
      </c>
      <c r="E119" s="17">
        <v>6</v>
      </c>
    </row>
    <row r="120" spans="2:5">
      <c r="B120" s="37">
        <v>39417</v>
      </c>
      <c r="C120" s="17">
        <v>490867676.63</v>
      </c>
      <c r="D120" s="17" t="s">
        <v>16</v>
      </c>
      <c r="E120" s="17">
        <v>7</v>
      </c>
    </row>
    <row r="121" spans="2:5">
      <c r="B121" s="37">
        <v>39417</v>
      </c>
      <c r="C121" s="17">
        <v>431103145.98000002</v>
      </c>
      <c r="D121" s="17" t="s">
        <v>8</v>
      </c>
      <c r="E121" s="17">
        <v>8</v>
      </c>
    </row>
    <row r="122" spans="2:5">
      <c r="B122" s="37">
        <v>39417</v>
      </c>
      <c r="C122" s="17">
        <v>367933545.91000003</v>
      </c>
      <c r="D122" s="17" t="s">
        <v>4</v>
      </c>
      <c r="E122" s="17">
        <v>9</v>
      </c>
    </row>
    <row r="123" spans="2:5">
      <c r="B123" s="37">
        <v>39417</v>
      </c>
      <c r="C123" s="17">
        <v>343680787.95999998</v>
      </c>
      <c r="D123" s="17" t="s">
        <v>10</v>
      </c>
      <c r="E123" s="17">
        <v>10</v>
      </c>
    </row>
    <row r="124" spans="2:5">
      <c r="B124" s="37">
        <v>39448</v>
      </c>
      <c r="C124" s="17">
        <v>2683651040.4299998</v>
      </c>
      <c r="D124" s="17" t="s">
        <v>6</v>
      </c>
      <c r="E124" s="17">
        <v>1</v>
      </c>
    </row>
    <row r="125" spans="2:5">
      <c r="B125" s="37">
        <v>39448</v>
      </c>
      <c r="C125" s="17">
        <v>2649963805.1799998</v>
      </c>
      <c r="D125" s="17" t="s">
        <v>11</v>
      </c>
      <c r="E125" s="17">
        <v>2</v>
      </c>
    </row>
    <row r="126" spans="2:5">
      <c r="B126" s="37">
        <v>39448</v>
      </c>
      <c r="C126" s="17">
        <v>2091632053.6300001</v>
      </c>
      <c r="D126" s="17" t="s">
        <v>13</v>
      </c>
      <c r="E126" s="17">
        <v>3</v>
      </c>
    </row>
    <row r="127" spans="2:5">
      <c r="B127" s="37">
        <v>39448</v>
      </c>
      <c r="C127" s="17">
        <v>1494660889.1199999</v>
      </c>
      <c r="D127" s="17" t="s">
        <v>7</v>
      </c>
      <c r="E127" s="17">
        <v>4</v>
      </c>
    </row>
    <row r="128" spans="2:5">
      <c r="B128" s="37">
        <v>39448</v>
      </c>
      <c r="C128" s="17">
        <v>675755129.97000003</v>
      </c>
      <c r="D128" s="17" t="s">
        <v>101</v>
      </c>
      <c r="E128" s="17">
        <v>5</v>
      </c>
    </row>
    <row r="129" spans="2:5">
      <c r="B129" s="37">
        <v>39448</v>
      </c>
      <c r="C129" s="17">
        <v>480153762.08999997</v>
      </c>
      <c r="D129" s="17" t="s">
        <v>8</v>
      </c>
      <c r="E129" s="17">
        <v>6</v>
      </c>
    </row>
    <row r="130" spans="2:5">
      <c r="B130" s="37">
        <v>39448</v>
      </c>
      <c r="C130" s="17">
        <v>408178424.07999998</v>
      </c>
      <c r="D130" s="17" t="s">
        <v>16</v>
      </c>
      <c r="E130" s="17">
        <v>7</v>
      </c>
    </row>
    <row r="131" spans="2:5">
      <c r="B131" s="37">
        <v>39448</v>
      </c>
      <c r="C131" s="17">
        <v>371098259.77999997</v>
      </c>
      <c r="D131" s="17" t="s">
        <v>19</v>
      </c>
      <c r="E131" s="17">
        <v>8</v>
      </c>
    </row>
    <row r="132" spans="2:5">
      <c r="B132" s="37">
        <v>39448</v>
      </c>
      <c r="C132" s="17">
        <v>369592569.22000003</v>
      </c>
      <c r="D132" s="17" t="s">
        <v>4</v>
      </c>
      <c r="E132" s="17">
        <v>9</v>
      </c>
    </row>
    <row r="133" spans="2:5">
      <c r="B133" s="37">
        <v>39448</v>
      </c>
      <c r="C133" s="17">
        <v>351516434.76999998</v>
      </c>
      <c r="D133" s="17" t="s">
        <v>10</v>
      </c>
      <c r="E133" s="17">
        <v>10</v>
      </c>
    </row>
    <row r="134" spans="2:5">
      <c r="B134" s="37">
        <v>39479</v>
      </c>
      <c r="C134" s="17">
        <v>2482933120.71</v>
      </c>
      <c r="D134" s="17" t="s">
        <v>6</v>
      </c>
      <c r="E134" s="17">
        <v>1</v>
      </c>
    </row>
    <row r="135" spans="2:5">
      <c r="B135" s="37">
        <v>39479</v>
      </c>
      <c r="C135" s="17">
        <v>2342887388.9699998</v>
      </c>
      <c r="D135" s="17" t="s">
        <v>11</v>
      </c>
      <c r="E135" s="17">
        <v>2</v>
      </c>
    </row>
    <row r="136" spans="2:5">
      <c r="B136" s="37">
        <v>39479</v>
      </c>
      <c r="C136" s="17">
        <v>2295374356.52</v>
      </c>
      <c r="D136" s="17" t="s">
        <v>13</v>
      </c>
      <c r="E136" s="17">
        <v>3</v>
      </c>
    </row>
    <row r="137" spans="2:5">
      <c r="B137" s="37">
        <v>39479</v>
      </c>
      <c r="C137" s="17">
        <v>1058053803.87</v>
      </c>
      <c r="D137" s="17" t="s">
        <v>7</v>
      </c>
      <c r="E137" s="17">
        <v>4</v>
      </c>
    </row>
    <row r="138" spans="2:5">
      <c r="B138" s="37">
        <v>39479</v>
      </c>
      <c r="C138" s="17">
        <v>687337148.78999996</v>
      </c>
      <c r="D138" s="17" t="s">
        <v>101</v>
      </c>
      <c r="E138" s="17">
        <v>5</v>
      </c>
    </row>
    <row r="139" spans="2:5">
      <c r="B139" s="37">
        <v>39479</v>
      </c>
      <c r="C139" s="17">
        <v>569022928.28999996</v>
      </c>
      <c r="D139" s="17" t="s">
        <v>8</v>
      </c>
      <c r="E139" s="17">
        <v>6</v>
      </c>
    </row>
    <row r="140" spans="2:5">
      <c r="B140" s="37">
        <v>39479</v>
      </c>
      <c r="C140" s="17">
        <v>440499976.63</v>
      </c>
      <c r="D140" s="17" t="s">
        <v>10</v>
      </c>
      <c r="E140" s="17">
        <v>7</v>
      </c>
    </row>
    <row r="141" spans="2:5">
      <c r="B141" s="37">
        <v>39479</v>
      </c>
      <c r="C141" s="17">
        <v>397705776.72000003</v>
      </c>
      <c r="D141" s="17" t="s">
        <v>16</v>
      </c>
      <c r="E141" s="17">
        <v>8</v>
      </c>
    </row>
    <row r="142" spans="2:5">
      <c r="B142" s="37">
        <v>39479</v>
      </c>
      <c r="C142" s="17">
        <v>365876666</v>
      </c>
      <c r="D142" s="17" t="s">
        <v>19</v>
      </c>
      <c r="E142" s="17">
        <v>9</v>
      </c>
    </row>
    <row r="143" spans="2:5">
      <c r="B143" s="37">
        <v>39479</v>
      </c>
      <c r="C143" s="17">
        <v>320456467</v>
      </c>
      <c r="D143" s="17" t="s">
        <v>100</v>
      </c>
      <c r="E143" s="17">
        <v>10</v>
      </c>
    </row>
    <row r="144" spans="2:5">
      <c r="B144" s="37">
        <v>39508</v>
      </c>
      <c r="C144" s="17">
        <v>3560147160.0799999</v>
      </c>
      <c r="D144" s="17" t="s">
        <v>13</v>
      </c>
      <c r="E144" s="17">
        <v>1</v>
      </c>
    </row>
    <row r="145" spans="2:5">
      <c r="B145" s="37">
        <v>39508</v>
      </c>
      <c r="C145" s="17">
        <v>2946816172.1900001</v>
      </c>
      <c r="D145" s="17" t="s">
        <v>6</v>
      </c>
      <c r="E145" s="17">
        <v>2</v>
      </c>
    </row>
    <row r="146" spans="2:5">
      <c r="B146" s="37">
        <v>39508</v>
      </c>
      <c r="C146" s="17">
        <v>2664076243.4000001</v>
      </c>
      <c r="D146" s="17" t="s">
        <v>11</v>
      </c>
      <c r="E146" s="17">
        <v>3</v>
      </c>
    </row>
    <row r="147" spans="2:5">
      <c r="B147" s="37">
        <v>39508</v>
      </c>
      <c r="C147" s="17">
        <v>1125059373.74</v>
      </c>
      <c r="D147" s="17" t="s">
        <v>7</v>
      </c>
      <c r="E147" s="17">
        <v>4</v>
      </c>
    </row>
    <row r="148" spans="2:5">
      <c r="B148" s="37">
        <v>39508</v>
      </c>
      <c r="C148" s="17">
        <v>1007478427.75</v>
      </c>
      <c r="D148" s="17" t="s">
        <v>101</v>
      </c>
      <c r="E148" s="17">
        <v>5</v>
      </c>
    </row>
    <row r="149" spans="2:5">
      <c r="B149" s="37">
        <v>39508</v>
      </c>
      <c r="C149" s="17">
        <v>576344011.66999996</v>
      </c>
      <c r="D149" s="17" t="s">
        <v>4</v>
      </c>
      <c r="E149" s="17">
        <v>6</v>
      </c>
    </row>
    <row r="150" spans="2:5">
      <c r="B150" s="37">
        <v>39508</v>
      </c>
      <c r="C150" s="17">
        <v>552472426.05999994</v>
      </c>
      <c r="D150" s="17" t="s">
        <v>19</v>
      </c>
      <c r="E150" s="17">
        <v>7</v>
      </c>
    </row>
    <row r="151" spans="2:5">
      <c r="B151" s="37">
        <v>39508</v>
      </c>
      <c r="C151" s="17">
        <v>514261207.12</v>
      </c>
      <c r="D151" s="17" t="s">
        <v>8</v>
      </c>
      <c r="E151" s="17">
        <v>8</v>
      </c>
    </row>
    <row r="152" spans="2:5">
      <c r="B152" s="37">
        <v>39508</v>
      </c>
      <c r="C152" s="17">
        <v>447323590.42000002</v>
      </c>
      <c r="D152" s="17" t="s">
        <v>16</v>
      </c>
      <c r="E152" s="17">
        <v>9</v>
      </c>
    </row>
    <row r="153" spans="2:5">
      <c r="B153" s="37">
        <v>39508</v>
      </c>
      <c r="C153" s="17">
        <v>404723654</v>
      </c>
      <c r="D153" s="17" t="s">
        <v>100</v>
      </c>
      <c r="E153" s="17">
        <v>10</v>
      </c>
    </row>
    <row r="154" spans="2:5">
      <c r="B154" s="37">
        <v>39539</v>
      </c>
      <c r="C154" s="17">
        <v>4623451382.9700003</v>
      </c>
      <c r="D154" s="17" t="s">
        <v>6</v>
      </c>
      <c r="E154" s="17">
        <v>1</v>
      </c>
    </row>
    <row r="155" spans="2:5">
      <c r="B155" s="37">
        <v>39539</v>
      </c>
      <c r="C155" s="17">
        <v>3787928131.5500002</v>
      </c>
      <c r="D155" s="17" t="s">
        <v>11</v>
      </c>
      <c r="E155" s="17">
        <v>2</v>
      </c>
    </row>
    <row r="156" spans="2:5">
      <c r="B156" s="37">
        <v>39539</v>
      </c>
      <c r="C156" s="17">
        <v>2994465303.77</v>
      </c>
      <c r="D156" s="17" t="s">
        <v>13</v>
      </c>
      <c r="E156" s="17">
        <v>3</v>
      </c>
    </row>
    <row r="157" spans="2:5">
      <c r="B157" s="37">
        <v>39539</v>
      </c>
      <c r="C157" s="17">
        <v>1728165057.1099999</v>
      </c>
      <c r="D157" s="17" t="s">
        <v>7</v>
      </c>
      <c r="E157" s="17">
        <v>4</v>
      </c>
    </row>
    <row r="158" spans="2:5">
      <c r="B158" s="37">
        <v>39539</v>
      </c>
      <c r="C158" s="17">
        <v>1382036015.54</v>
      </c>
      <c r="D158" s="17" t="s">
        <v>101</v>
      </c>
      <c r="E158" s="17">
        <v>5</v>
      </c>
    </row>
    <row r="159" spans="2:5">
      <c r="B159" s="37">
        <v>39539</v>
      </c>
      <c r="C159" s="17">
        <v>806015108.05999994</v>
      </c>
      <c r="D159" s="17" t="s">
        <v>19</v>
      </c>
      <c r="E159" s="17">
        <v>6</v>
      </c>
    </row>
    <row r="160" spans="2:5">
      <c r="B160" s="37">
        <v>39539</v>
      </c>
      <c r="C160" s="17">
        <v>736329443.12</v>
      </c>
      <c r="D160" s="17" t="s">
        <v>4</v>
      </c>
      <c r="E160" s="17">
        <v>7</v>
      </c>
    </row>
    <row r="161" spans="2:5">
      <c r="B161" s="37">
        <v>39539</v>
      </c>
      <c r="C161" s="17">
        <v>704745365.10000002</v>
      </c>
      <c r="D161" s="17" t="s">
        <v>16</v>
      </c>
      <c r="E161" s="17">
        <v>8</v>
      </c>
    </row>
    <row r="162" spans="2:5">
      <c r="B162" s="37">
        <v>39539</v>
      </c>
      <c r="C162" s="17">
        <v>701477024.63</v>
      </c>
      <c r="D162" s="17" t="s">
        <v>8</v>
      </c>
      <c r="E162" s="17">
        <v>9</v>
      </c>
    </row>
    <row r="163" spans="2:5">
      <c r="B163" s="37">
        <v>39539</v>
      </c>
      <c r="C163" s="17">
        <v>372211866.42000002</v>
      </c>
      <c r="D163" s="17" t="s">
        <v>26</v>
      </c>
      <c r="E163" s="17">
        <v>10</v>
      </c>
    </row>
    <row r="164" spans="2:5">
      <c r="B164" s="37">
        <v>39569</v>
      </c>
      <c r="C164" s="17">
        <v>4941795296.04</v>
      </c>
      <c r="D164" s="17" t="s">
        <v>6</v>
      </c>
      <c r="E164" s="17">
        <v>1</v>
      </c>
    </row>
    <row r="165" spans="2:5">
      <c r="B165" s="37">
        <v>39569</v>
      </c>
      <c r="C165" s="17">
        <v>4417231196.7200003</v>
      </c>
      <c r="D165" s="17" t="s">
        <v>11</v>
      </c>
      <c r="E165" s="17">
        <v>2</v>
      </c>
    </row>
    <row r="166" spans="2:5">
      <c r="B166" s="37">
        <v>39569</v>
      </c>
      <c r="C166" s="17">
        <v>3285812126.3600001</v>
      </c>
      <c r="D166" s="17" t="s">
        <v>13</v>
      </c>
      <c r="E166" s="17">
        <v>3</v>
      </c>
    </row>
    <row r="167" spans="2:5">
      <c r="B167" s="37">
        <v>39569</v>
      </c>
      <c r="C167" s="17">
        <v>2106155444.54</v>
      </c>
      <c r="D167" s="17" t="s">
        <v>7</v>
      </c>
      <c r="E167" s="17">
        <v>4</v>
      </c>
    </row>
    <row r="168" spans="2:5">
      <c r="B168" s="37">
        <v>39569</v>
      </c>
      <c r="C168" s="17">
        <v>1061660324.92</v>
      </c>
      <c r="D168" s="17" t="s">
        <v>101</v>
      </c>
      <c r="E168" s="17">
        <v>5</v>
      </c>
    </row>
    <row r="169" spans="2:5">
      <c r="B169" s="37">
        <v>39569</v>
      </c>
      <c r="C169" s="17">
        <v>1014106846</v>
      </c>
      <c r="D169" s="17" t="s">
        <v>10</v>
      </c>
      <c r="E169" s="17">
        <v>6</v>
      </c>
    </row>
    <row r="170" spans="2:5">
      <c r="B170" s="37">
        <v>39569</v>
      </c>
      <c r="C170" s="17">
        <v>946553665.57000005</v>
      </c>
      <c r="D170" s="17" t="s">
        <v>19</v>
      </c>
      <c r="E170" s="17">
        <v>7</v>
      </c>
    </row>
    <row r="171" spans="2:5">
      <c r="B171" s="37">
        <v>39569</v>
      </c>
      <c r="C171" s="17">
        <v>761565205</v>
      </c>
      <c r="D171" s="17" t="s">
        <v>37</v>
      </c>
      <c r="E171" s="17">
        <v>8</v>
      </c>
    </row>
    <row r="172" spans="2:5">
      <c r="B172" s="37">
        <v>39569</v>
      </c>
      <c r="C172" s="17">
        <v>614927338.54999995</v>
      </c>
      <c r="D172" s="17" t="s">
        <v>4</v>
      </c>
      <c r="E172" s="17">
        <v>9</v>
      </c>
    </row>
    <row r="173" spans="2:5">
      <c r="B173" s="37">
        <v>39569</v>
      </c>
      <c r="C173" s="17">
        <v>591987203.12</v>
      </c>
      <c r="D173" s="17" t="s">
        <v>8</v>
      </c>
      <c r="E173" s="17">
        <v>10</v>
      </c>
    </row>
    <row r="174" spans="2:5">
      <c r="B174" s="37">
        <v>39600</v>
      </c>
      <c r="C174" s="17">
        <v>6834874504.6000004</v>
      </c>
      <c r="D174" s="17" t="s">
        <v>6</v>
      </c>
      <c r="E174" s="17">
        <v>1</v>
      </c>
    </row>
    <row r="175" spans="2:5">
      <c r="B175" s="37">
        <v>39600</v>
      </c>
      <c r="C175" s="17">
        <v>5428603347.0299997</v>
      </c>
      <c r="D175" s="17" t="s">
        <v>11</v>
      </c>
      <c r="E175" s="17">
        <v>2</v>
      </c>
    </row>
    <row r="176" spans="2:5">
      <c r="B176" s="37">
        <v>39600</v>
      </c>
      <c r="C176" s="17">
        <v>4452423353.6099997</v>
      </c>
      <c r="D176" s="17" t="s">
        <v>13</v>
      </c>
      <c r="E176" s="17">
        <v>3</v>
      </c>
    </row>
    <row r="177" spans="2:5">
      <c r="B177" s="37">
        <v>39600</v>
      </c>
      <c r="C177" s="17">
        <v>3107028470.5599999</v>
      </c>
      <c r="D177" s="17" t="s">
        <v>7</v>
      </c>
      <c r="E177" s="17">
        <v>4</v>
      </c>
    </row>
    <row r="178" spans="2:5">
      <c r="B178" s="37">
        <v>39600</v>
      </c>
      <c r="C178" s="17">
        <v>1365207284.1600001</v>
      </c>
      <c r="D178" s="17" t="s">
        <v>4</v>
      </c>
      <c r="E178" s="17">
        <v>5</v>
      </c>
    </row>
    <row r="179" spans="2:5">
      <c r="B179" s="37">
        <v>39600</v>
      </c>
      <c r="C179" s="17">
        <v>1227959985.3599999</v>
      </c>
      <c r="D179" s="17" t="s">
        <v>101</v>
      </c>
      <c r="E179" s="17">
        <v>6</v>
      </c>
    </row>
    <row r="180" spans="2:5">
      <c r="B180" s="37">
        <v>39600</v>
      </c>
      <c r="C180" s="17">
        <v>1214350468.5899999</v>
      </c>
      <c r="D180" s="17" t="s">
        <v>19</v>
      </c>
      <c r="E180" s="17">
        <v>7</v>
      </c>
    </row>
    <row r="181" spans="2:5">
      <c r="B181" s="37">
        <v>39600</v>
      </c>
      <c r="C181" s="17">
        <v>779603948.83000004</v>
      </c>
      <c r="D181" s="17" t="s">
        <v>10</v>
      </c>
      <c r="E181" s="17">
        <v>8</v>
      </c>
    </row>
    <row r="182" spans="2:5">
      <c r="B182" s="37">
        <v>39600</v>
      </c>
      <c r="C182" s="17">
        <v>752162102.57000005</v>
      </c>
      <c r="D182" s="17" t="s">
        <v>16</v>
      </c>
      <c r="E182" s="17">
        <v>9</v>
      </c>
    </row>
    <row r="183" spans="2:5">
      <c r="B183" s="37">
        <v>39600</v>
      </c>
      <c r="C183" s="17">
        <v>670824664.38999999</v>
      </c>
      <c r="D183" s="17" t="s">
        <v>26</v>
      </c>
      <c r="E183" s="17">
        <v>10</v>
      </c>
    </row>
    <row r="184" spans="2:5">
      <c r="B184" s="37">
        <v>39630</v>
      </c>
      <c r="C184" s="17">
        <v>6822327712.9200001</v>
      </c>
      <c r="D184" s="17" t="s">
        <v>6</v>
      </c>
      <c r="E184" s="17">
        <v>1</v>
      </c>
    </row>
    <row r="185" spans="2:5">
      <c r="B185" s="37">
        <v>39630</v>
      </c>
      <c r="C185" s="17">
        <v>5337927402.8800001</v>
      </c>
      <c r="D185" s="17" t="s">
        <v>11</v>
      </c>
      <c r="E185" s="17">
        <v>2</v>
      </c>
    </row>
    <row r="186" spans="2:5">
      <c r="B186" s="37">
        <v>39630</v>
      </c>
      <c r="C186" s="17">
        <v>3732386096.5500002</v>
      </c>
      <c r="D186" s="17" t="s">
        <v>13</v>
      </c>
      <c r="E186" s="17">
        <v>3</v>
      </c>
    </row>
    <row r="187" spans="2:5">
      <c r="B187" s="37">
        <v>39630</v>
      </c>
      <c r="C187" s="17">
        <v>3481999997.29</v>
      </c>
      <c r="D187" s="17" t="s">
        <v>7</v>
      </c>
      <c r="E187" s="17">
        <v>4</v>
      </c>
    </row>
    <row r="188" spans="2:5">
      <c r="B188" s="37">
        <v>39630</v>
      </c>
      <c r="C188" s="17">
        <v>1226263728.8199999</v>
      </c>
      <c r="D188" s="17" t="s">
        <v>19</v>
      </c>
      <c r="E188" s="17">
        <v>5</v>
      </c>
    </row>
    <row r="189" spans="2:5">
      <c r="B189" s="37">
        <v>39630</v>
      </c>
      <c r="C189" s="17">
        <v>1133337594.4000001</v>
      </c>
      <c r="D189" s="17" t="s">
        <v>101</v>
      </c>
      <c r="E189" s="17">
        <v>6</v>
      </c>
    </row>
    <row r="190" spans="2:5">
      <c r="B190" s="37">
        <v>39630</v>
      </c>
      <c r="C190" s="17">
        <v>834821325.55999994</v>
      </c>
      <c r="D190" s="17" t="s">
        <v>4</v>
      </c>
      <c r="E190" s="17">
        <v>7</v>
      </c>
    </row>
    <row r="191" spans="2:5">
      <c r="B191" s="37">
        <v>39630</v>
      </c>
      <c r="C191" s="17">
        <v>701718957.09000003</v>
      </c>
      <c r="D191" s="17" t="s">
        <v>10</v>
      </c>
      <c r="E191" s="17">
        <v>8</v>
      </c>
    </row>
    <row r="192" spans="2:5">
      <c r="B192" s="37">
        <v>39630</v>
      </c>
      <c r="C192" s="17">
        <v>662250677.78999996</v>
      </c>
      <c r="D192" s="17" t="s">
        <v>8</v>
      </c>
      <c r="E192" s="17">
        <v>9</v>
      </c>
    </row>
    <row r="193" spans="2:5">
      <c r="B193" s="37">
        <v>39630</v>
      </c>
      <c r="C193" s="17">
        <v>646611295.58000004</v>
      </c>
      <c r="D193" s="17" t="s">
        <v>16</v>
      </c>
      <c r="E193" s="17">
        <v>10</v>
      </c>
    </row>
    <row r="194" spans="2:5">
      <c r="B194" s="37">
        <v>39661</v>
      </c>
      <c r="C194" s="17">
        <v>6371064207.1199999</v>
      </c>
      <c r="D194" s="17" t="s">
        <v>11</v>
      </c>
      <c r="E194" s="17">
        <v>1</v>
      </c>
    </row>
    <row r="195" spans="2:5">
      <c r="B195" s="37">
        <v>39661</v>
      </c>
      <c r="C195" s="17">
        <v>6044302161.9200001</v>
      </c>
      <c r="D195" s="17" t="s">
        <v>6</v>
      </c>
      <c r="E195" s="17">
        <v>2</v>
      </c>
    </row>
    <row r="196" spans="2:5">
      <c r="B196" s="37">
        <v>39661</v>
      </c>
      <c r="C196" s="17">
        <v>4575744461.9300003</v>
      </c>
      <c r="D196" s="17" t="s">
        <v>13</v>
      </c>
      <c r="E196" s="17">
        <v>3</v>
      </c>
    </row>
    <row r="197" spans="2:5">
      <c r="B197" s="37">
        <v>39661</v>
      </c>
      <c r="C197" s="17">
        <v>3306271591.9499998</v>
      </c>
      <c r="D197" s="17" t="s">
        <v>7</v>
      </c>
      <c r="E197" s="17">
        <v>4</v>
      </c>
    </row>
    <row r="198" spans="2:5">
      <c r="B198" s="37">
        <v>39661</v>
      </c>
      <c r="C198" s="17">
        <v>1498948348.21</v>
      </c>
      <c r="D198" s="17" t="s">
        <v>19</v>
      </c>
      <c r="E198" s="17">
        <v>5</v>
      </c>
    </row>
    <row r="199" spans="2:5">
      <c r="B199" s="37">
        <v>39661</v>
      </c>
      <c r="C199" s="17">
        <v>1168814499.1400001</v>
      </c>
      <c r="D199" s="17" t="s">
        <v>101</v>
      </c>
      <c r="E199" s="17">
        <v>6</v>
      </c>
    </row>
    <row r="200" spans="2:5">
      <c r="B200" s="37">
        <v>39661</v>
      </c>
      <c r="C200" s="17">
        <v>1163029698.1199999</v>
      </c>
      <c r="D200" s="17" t="s">
        <v>4</v>
      </c>
      <c r="E200" s="17">
        <v>7</v>
      </c>
    </row>
    <row r="201" spans="2:5">
      <c r="B201" s="37">
        <v>39661</v>
      </c>
      <c r="C201" s="17">
        <v>960866535.97000003</v>
      </c>
      <c r="D201" s="17" t="s">
        <v>10</v>
      </c>
      <c r="E201" s="17">
        <v>8</v>
      </c>
    </row>
    <row r="202" spans="2:5">
      <c r="B202" s="37">
        <v>39661</v>
      </c>
      <c r="C202" s="17">
        <v>735477127</v>
      </c>
      <c r="D202" s="17" t="s">
        <v>100</v>
      </c>
      <c r="E202" s="17">
        <v>9</v>
      </c>
    </row>
    <row r="203" spans="2:5">
      <c r="B203" s="37">
        <v>39661</v>
      </c>
      <c r="C203" s="17">
        <v>732294849.95000005</v>
      </c>
      <c r="D203" s="17" t="s">
        <v>102</v>
      </c>
      <c r="E203" s="17">
        <v>10</v>
      </c>
    </row>
    <row r="204" spans="2:5">
      <c r="B204" s="37">
        <v>39692</v>
      </c>
      <c r="C204" s="17">
        <v>6775744846.46</v>
      </c>
      <c r="D204" s="17" t="s">
        <v>6</v>
      </c>
      <c r="E204" s="17">
        <v>1</v>
      </c>
    </row>
    <row r="205" spans="2:5">
      <c r="B205" s="37">
        <v>39692</v>
      </c>
      <c r="C205" s="17">
        <v>5340158620.7799997</v>
      </c>
      <c r="D205" s="17" t="s">
        <v>11</v>
      </c>
      <c r="E205" s="17">
        <v>2</v>
      </c>
    </row>
    <row r="206" spans="2:5">
      <c r="B206" s="37">
        <v>39692</v>
      </c>
      <c r="C206" s="17">
        <v>3726180638.1199999</v>
      </c>
      <c r="D206" s="17" t="s">
        <v>13</v>
      </c>
      <c r="E206" s="17">
        <v>3</v>
      </c>
    </row>
    <row r="207" spans="2:5">
      <c r="B207" s="37">
        <v>39692</v>
      </c>
      <c r="C207" s="17">
        <v>3403868589.4099998</v>
      </c>
      <c r="D207" s="17" t="s">
        <v>7</v>
      </c>
      <c r="E207" s="17">
        <v>4</v>
      </c>
    </row>
    <row r="208" spans="2:5">
      <c r="B208" s="37">
        <v>39692</v>
      </c>
      <c r="C208" s="17">
        <v>1334739789.52</v>
      </c>
      <c r="D208" s="17" t="s">
        <v>101</v>
      </c>
      <c r="E208" s="17">
        <v>5</v>
      </c>
    </row>
    <row r="209" spans="2:5">
      <c r="B209" s="37">
        <v>39692</v>
      </c>
      <c r="C209" s="17">
        <v>1284933326.3</v>
      </c>
      <c r="D209" s="17" t="s">
        <v>19</v>
      </c>
      <c r="E209" s="17">
        <v>6</v>
      </c>
    </row>
    <row r="210" spans="2:5">
      <c r="B210" s="37">
        <v>39692</v>
      </c>
      <c r="C210" s="17">
        <v>1194798308.22</v>
      </c>
      <c r="D210" s="17" t="s">
        <v>4</v>
      </c>
      <c r="E210" s="17">
        <v>7</v>
      </c>
    </row>
    <row r="211" spans="2:5">
      <c r="B211" s="37">
        <v>39692</v>
      </c>
      <c r="C211" s="17">
        <v>752032690.84000003</v>
      </c>
      <c r="D211" s="17" t="s">
        <v>10</v>
      </c>
      <c r="E211" s="17">
        <v>8</v>
      </c>
    </row>
    <row r="212" spans="2:5">
      <c r="B212" s="37">
        <v>39692</v>
      </c>
      <c r="C212" s="17">
        <v>750285787.12</v>
      </c>
      <c r="D212" s="17" t="s">
        <v>8</v>
      </c>
      <c r="E212" s="17">
        <v>9</v>
      </c>
    </row>
    <row r="213" spans="2:5">
      <c r="B213" s="37">
        <v>39692</v>
      </c>
      <c r="C213" s="17">
        <v>677976668</v>
      </c>
      <c r="D213" s="17" t="s">
        <v>100</v>
      </c>
      <c r="E213" s="17">
        <v>10</v>
      </c>
    </row>
    <row r="214" spans="2:5">
      <c r="B214" s="37">
        <v>39722</v>
      </c>
      <c r="C214" s="17">
        <v>7764734798.4499998</v>
      </c>
      <c r="D214" s="17" t="s">
        <v>6</v>
      </c>
      <c r="E214" s="17">
        <v>1</v>
      </c>
    </row>
    <row r="215" spans="2:5">
      <c r="B215" s="37">
        <v>39722</v>
      </c>
      <c r="C215" s="17">
        <v>5446629178.8800001</v>
      </c>
      <c r="D215" s="17" t="s">
        <v>11</v>
      </c>
      <c r="E215" s="17">
        <v>2</v>
      </c>
    </row>
    <row r="216" spans="2:5">
      <c r="B216" s="37">
        <v>39722</v>
      </c>
      <c r="C216" s="17">
        <v>3404917043.8200002</v>
      </c>
      <c r="D216" s="17" t="s">
        <v>7</v>
      </c>
      <c r="E216" s="17">
        <v>3</v>
      </c>
    </row>
    <row r="217" spans="2:5">
      <c r="B217" s="37">
        <v>39722</v>
      </c>
      <c r="C217" s="17">
        <v>3199205806.8899999</v>
      </c>
      <c r="D217" s="17" t="s">
        <v>13</v>
      </c>
      <c r="E217" s="17">
        <v>4</v>
      </c>
    </row>
    <row r="218" spans="2:5">
      <c r="B218" s="37">
        <v>39722</v>
      </c>
      <c r="C218" s="17">
        <v>1647313018.5799999</v>
      </c>
      <c r="D218" s="17" t="s">
        <v>101</v>
      </c>
      <c r="E218" s="17">
        <v>5</v>
      </c>
    </row>
    <row r="219" spans="2:5">
      <c r="B219" s="37">
        <v>39722</v>
      </c>
      <c r="C219" s="17">
        <v>1516420659.4300001</v>
      </c>
      <c r="D219" s="17" t="s">
        <v>4</v>
      </c>
      <c r="E219" s="17">
        <v>6</v>
      </c>
    </row>
    <row r="220" spans="2:5">
      <c r="B220" s="37">
        <v>39722</v>
      </c>
      <c r="C220" s="17">
        <v>1194782493.28</v>
      </c>
      <c r="D220" s="17" t="s">
        <v>19</v>
      </c>
      <c r="E220" s="17">
        <v>7</v>
      </c>
    </row>
    <row r="221" spans="2:5">
      <c r="B221" s="37">
        <v>39722</v>
      </c>
      <c r="C221" s="17">
        <v>1110079535.5699999</v>
      </c>
      <c r="D221" s="17" t="s">
        <v>10</v>
      </c>
      <c r="E221" s="17">
        <v>8</v>
      </c>
    </row>
    <row r="222" spans="2:5">
      <c r="B222" s="37">
        <v>39722</v>
      </c>
      <c r="C222" s="17">
        <v>916913157</v>
      </c>
      <c r="D222" s="17" t="s">
        <v>100</v>
      </c>
      <c r="E222" s="17">
        <v>9</v>
      </c>
    </row>
    <row r="223" spans="2:5">
      <c r="B223" s="37">
        <v>39722</v>
      </c>
      <c r="C223" s="17">
        <v>879956987.40999997</v>
      </c>
      <c r="D223" s="17" t="s">
        <v>8</v>
      </c>
      <c r="E223" s="17">
        <v>10</v>
      </c>
    </row>
    <row r="224" spans="2:5">
      <c r="B224" s="37">
        <v>39753</v>
      </c>
      <c r="C224" s="17">
        <v>6885955341.3299999</v>
      </c>
      <c r="D224" s="17" t="s">
        <v>11</v>
      </c>
      <c r="E224" s="17">
        <v>1</v>
      </c>
    </row>
    <row r="225" spans="2:5">
      <c r="B225" s="37">
        <v>39753</v>
      </c>
      <c r="C225" s="17">
        <v>6054298249.8100004</v>
      </c>
      <c r="D225" s="17" t="s">
        <v>6</v>
      </c>
      <c r="E225" s="17">
        <v>2</v>
      </c>
    </row>
    <row r="226" spans="2:5">
      <c r="B226" s="37">
        <v>39753</v>
      </c>
      <c r="C226" s="17">
        <v>3302691170.6199999</v>
      </c>
      <c r="D226" s="17" t="s">
        <v>13</v>
      </c>
      <c r="E226" s="17">
        <v>3</v>
      </c>
    </row>
    <row r="227" spans="2:5">
      <c r="B227" s="37">
        <v>39753</v>
      </c>
      <c r="C227" s="17">
        <v>2531423978.4400001</v>
      </c>
      <c r="D227" s="17" t="s">
        <v>7</v>
      </c>
      <c r="E227" s="17">
        <v>4</v>
      </c>
    </row>
    <row r="228" spans="2:5">
      <c r="B228" s="37">
        <v>39753</v>
      </c>
      <c r="C228" s="17">
        <v>1165505542.54</v>
      </c>
      <c r="D228" s="17" t="s">
        <v>101</v>
      </c>
      <c r="E228" s="17">
        <v>5</v>
      </c>
    </row>
    <row r="229" spans="2:5">
      <c r="B229" s="37">
        <v>39753</v>
      </c>
      <c r="C229" s="17">
        <v>1076757393.6300001</v>
      </c>
      <c r="D229" s="17" t="s">
        <v>4</v>
      </c>
      <c r="E229" s="17">
        <v>6</v>
      </c>
    </row>
    <row r="230" spans="2:5">
      <c r="B230" s="37">
        <v>39753</v>
      </c>
      <c r="C230" s="17">
        <v>1033438340.9299999</v>
      </c>
      <c r="D230" s="17" t="s">
        <v>19</v>
      </c>
      <c r="E230" s="17">
        <v>7</v>
      </c>
    </row>
    <row r="231" spans="2:5">
      <c r="B231" s="37">
        <v>39753</v>
      </c>
      <c r="C231" s="17">
        <v>895810315.16999996</v>
      </c>
      <c r="D231" s="17" t="s">
        <v>8</v>
      </c>
      <c r="E231" s="17">
        <v>8</v>
      </c>
    </row>
    <row r="232" spans="2:5">
      <c r="B232" s="37">
        <v>39753</v>
      </c>
      <c r="C232" s="17">
        <v>790297152</v>
      </c>
      <c r="D232" s="17" t="s">
        <v>100</v>
      </c>
      <c r="E232" s="17">
        <v>9</v>
      </c>
    </row>
    <row r="233" spans="2:5">
      <c r="B233" s="37">
        <v>39753</v>
      </c>
      <c r="C233" s="17">
        <v>761157671.05999994</v>
      </c>
      <c r="D233" s="17" t="s">
        <v>26</v>
      </c>
      <c r="E233" s="17">
        <v>10</v>
      </c>
    </row>
    <row r="234" spans="2:5">
      <c r="B234" s="37">
        <v>39783</v>
      </c>
      <c r="C234" s="17">
        <v>6077494849.25</v>
      </c>
      <c r="D234" s="17" t="s">
        <v>11</v>
      </c>
      <c r="E234" s="17">
        <v>1</v>
      </c>
    </row>
    <row r="235" spans="2:5">
      <c r="B235" s="37">
        <v>39783</v>
      </c>
      <c r="C235" s="17">
        <v>4515954434.1499996</v>
      </c>
      <c r="D235" s="17" t="s">
        <v>13</v>
      </c>
      <c r="E235" s="17">
        <v>2</v>
      </c>
    </row>
    <row r="236" spans="2:5">
      <c r="B236" s="37">
        <v>39783</v>
      </c>
      <c r="C236" s="17">
        <v>3525985223.3000002</v>
      </c>
      <c r="D236" s="17" t="s">
        <v>6</v>
      </c>
      <c r="E236" s="17">
        <v>3</v>
      </c>
    </row>
    <row r="237" spans="2:5">
      <c r="B237" s="37">
        <v>39783</v>
      </c>
      <c r="C237" s="17">
        <v>1769490401.8699999</v>
      </c>
      <c r="D237" s="17" t="s">
        <v>7</v>
      </c>
      <c r="E237" s="17">
        <v>4</v>
      </c>
    </row>
    <row r="238" spans="2:5">
      <c r="B238" s="37">
        <v>39783</v>
      </c>
      <c r="C238" s="17">
        <v>1137306746.9100001</v>
      </c>
      <c r="D238" s="17" t="s">
        <v>19</v>
      </c>
      <c r="E238" s="17">
        <v>5</v>
      </c>
    </row>
    <row r="239" spans="2:5">
      <c r="B239" s="37">
        <v>39783</v>
      </c>
      <c r="C239" s="17">
        <v>1076432546.29</v>
      </c>
      <c r="D239" s="17" t="s">
        <v>8</v>
      </c>
      <c r="E239" s="17">
        <v>6</v>
      </c>
    </row>
    <row r="240" spans="2:5">
      <c r="B240" s="37">
        <v>39783</v>
      </c>
      <c r="C240" s="17">
        <v>992898883.14999998</v>
      </c>
      <c r="D240" s="17" t="s">
        <v>101</v>
      </c>
      <c r="E240" s="17">
        <v>7</v>
      </c>
    </row>
    <row r="241" spans="2:5">
      <c r="B241" s="37">
        <v>39783</v>
      </c>
      <c r="C241" s="17">
        <v>647947092.61000001</v>
      </c>
      <c r="D241" s="17" t="s">
        <v>4</v>
      </c>
      <c r="E241" s="17">
        <v>8</v>
      </c>
    </row>
    <row r="242" spans="2:5">
      <c r="B242" s="37">
        <v>39783</v>
      </c>
      <c r="C242" s="17">
        <v>628857688.45000005</v>
      </c>
      <c r="D242" s="17" t="s">
        <v>26</v>
      </c>
      <c r="E242" s="17">
        <v>9</v>
      </c>
    </row>
    <row r="243" spans="2:5">
      <c r="B243" s="37">
        <v>39783</v>
      </c>
      <c r="C243" s="17">
        <v>593692213</v>
      </c>
      <c r="D243" s="17" t="s">
        <v>100</v>
      </c>
      <c r="E243" s="17">
        <v>10</v>
      </c>
    </row>
    <row r="244" spans="2:5">
      <c r="B244" s="37">
        <v>39814</v>
      </c>
      <c r="C244" s="17">
        <v>7661923102.8999996</v>
      </c>
      <c r="D244" s="17" t="s">
        <v>6</v>
      </c>
      <c r="E244" s="17">
        <v>1</v>
      </c>
    </row>
    <row r="245" spans="2:5">
      <c r="B245" s="37">
        <v>39814</v>
      </c>
      <c r="C245" s="17">
        <v>5329288411.1099997</v>
      </c>
      <c r="D245" s="17" t="s">
        <v>11</v>
      </c>
      <c r="E245" s="17">
        <v>2</v>
      </c>
    </row>
    <row r="246" spans="2:5">
      <c r="B246" s="37">
        <v>39814</v>
      </c>
      <c r="C246" s="17">
        <v>3559349638.54</v>
      </c>
      <c r="D246" s="17" t="s">
        <v>13</v>
      </c>
      <c r="E246" s="17">
        <v>3</v>
      </c>
    </row>
    <row r="247" spans="2:5">
      <c r="B247" s="37">
        <v>39814</v>
      </c>
      <c r="C247" s="17">
        <v>2926117508.6799998</v>
      </c>
      <c r="D247" s="17" t="s">
        <v>7</v>
      </c>
      <c r="E247" s="17">
        <v>4</v>
      </c>
    </row>
    <row r="248" spans="2:5">
      <c r="B248" s="37">
        <v>39814</v>
      </c>
      <c r="C248" s="17">
        <v>1270922044</v>
      </c>
      <c r="D248" s="17" t="s">
        <v>37</v>
      </c>
      <c r="E248" s="17">
        <v>5</v>
      </c>
    </row>
    <row r="249" spans="2:5">
      <c r="B249" s="37">
        <v>39814</v>
      </c>
      <c r="C249" s="17">
        <v>1250582494.02</v>
      </c>
      <c r="D249" s="17" t="s">
        <v>101</v>
      </c>
      <c r="E249" s="17">
        <v>6</v>
      </c>
    </row>
    <row r="250" spans="2:5">
      <c r="B250" s="37">
        <v>39814</v>
      </c>
      <c r="C250" s="17">
        <v>786228931.70000005</v>
      </c>
      <c r="D250" s="17" t="s">
        <v>10</v>
      </c>
      <c r="E250" s="17">
        <v>7</v>
      </c>
    </row>
    <row r="251" spans="2:5">
      <c r="B251" s="37">
        <v>39814</v>
      </c>
      <c r="C251" s="17">
        <v>785758033.70000005</v>
      </c>
      <c r="D251" s="17" t="s">
        <v>16</v>
      </c>
      <c r="E251" s="17">
        <v>8</v>
      </c>
    </row>
    <row r="252" spans="2:5">
      <c r="B252" s="37">
        <v>39814</v>
      </c>
      <c r="C252" s="17">
        <v>733986679.58000004</v>
      </c>
      <c r="D252" s="17" t="s">
        <v>8</v>
      </c>
      <c r="E252" s="17">
        <v>9</v>
      </c>
    </row>
    <row r="253" spans="2:5">
      <c r="B253" s="37">
        <v>39814</v>
      </c>
      <c r="C253" s="17">
        <v>710288083.15999997</v>
      </c>
      <c r="D253" s="17" t="s">
        <v>19</v>
      </c>
      <c r="E253" s="17">
        <v>10</v>
      </c>
    </row>
    <row r="254" spans="2:5">
      <c r="B254" s="37">
        <v>39845</v>
      </c>
      <c r="C254" s="17">
        <v>7456714182.4200001</v>
      </c>
      <c r="D254" s="17" t="s">
        <v>11</v>
      </c>
      <c r="E254" s="17">
        <v>1</v>
      </c>
    </row>
    <row r="255" spans="2:5">
      <c r="B255" s="37">
        <v>39845</v>
      </c>
      <c r="C255" s="17">
        <v>6945836066.8100004</v>
      </c>
      <c r="D255" s="17" t="s">
        <v>6</v>
      </c>
      <c r="E255" s="17">
        <v>2</v>
      </c>
    </row>
    <row r="256" spans="2:5">
      <c r="B256" s="37">
        <v>39845</v>
      </c>
      <c r="C256" s="17">
        <v>3045112523.0799999</v>
      </c>
      <c r="D256" s="17" t="s">
        <v>13</v>
      </c>
      <c r="E256" s="17">
        <v>3</v>
      </c>
    </row>
    <row r="257" spans="2:5">
      <c r="B257" s="37">
        <v>39845</v>
      </c>
      <c r="C257" s="17">
        <v>1725419126.0899999</v>
      </c>
      <c r="D257" s="17" t="s">
        <v>4</v>
      </c>
      <c r="E257" s="17">
        <v>4</v>
      </c>
    </row>
    <row r="258" spans="2:5">
      <c r="B258" s="37">
        <v>39845</v>
      </c>
      <c r="C258" s="17">
        <v>1126425662.5999999</v>
      </c>
      <c r="D258" s="17" t="s">
        <v>101</v>
      </c>
      <c r="E258" s="17">
        <v>5</v>
      </c>
    </row>
    <row r="259" spans="2:5">
      <c r="B259" s="37">
        <v>39845</v>
      </c>
      <c r="C259" s="17">
        <v>1036033162.27</v>
      </c>
      <c r="D259" s="17" t="s">
        <v>19</v>
      </c>
      <c r="E259" s="17">
        <v>6</v>
      </c>
    </row>
    <row r="260" spans="2:5">
      <c r="B260" s="37">
        <v>39845</v>
      </c>
      <c r="C260" s="17">
        <v>972865493.75</v>
      </c>
      <c r="D260" s="17" t="s">
        <v>8</v>
      </c>
      <c r="E260" s="17">
        <v>7</v>
      </c>
    </row>
    <row r="261" spans="2:5">
      <c r="B261" s="37">
        <v>39845</v>
      </c>
      <c r="C261" s="17">
        <v>952538993.27999997</v>
      </c>
      <c r="D261" s="17" t="s">
        <v>10</v>
      </c>
      <c r="E261" s="17">
        <v>8</v>
      </c>
    </row>
    <row r="262" spans="2:5">
      <c r="B262" s="37">
        <v>39845</v>
      </c>
      <c r="C262" s="17">
        <v>722946586</v>
      </c>
      <c r="D262" s="17" t="s">
        <v>16</v>
      </c>
      <c r="E262" s="17">
        <v>9</v>
      </c>
    </row>
    <row r="263" spans="2:5">
      <c r="B263" s="37">
        <v>39845</v>
      </c>
      <c r="C263" s="17">
        <v>617135005.92999995</v>
      </c>
      <c r="D263" s="17" t="s">
        <v>26</v>
      </c>
      <c r="E263" s="17">
        <v>10</v>
      </c>
    </row>
    <row r="264" spans="2:5">
      <c r="B264" s="37">
        <v>39873</v>
      </c>
      <c r="C264" s="17">
        <v>9840119923.4899998</v>
      </c>
      <c r="D264" s="17" t="s">
        <v>6</v>
      </c>
      <c r="E264" s="17">
        <v>1</v>
      </c>
    </row>
    <row r="265" spans="2:5">
      <c r="B265" s="37">
        <v>39873</v>
      </c>
      <c r="C265" s="17">
        <v>9171903853.8999996</v>
      </c>
      <c r="D265" s="17" t="s">
        <v>11</v>
      </c>
      <c r="E265" s="17">
        <v>2</v>
      </c>
    </row>
    <row r="266" spans="2:5">
      <c r="B266" s="37">
        <v>39873</v>
      </c>
      <c r="C266" s="17">
        <v>4011374777.8200002</v>
      </c>
      <c r="D266" s="17" t="s">
        <v>13</v>
      </c>
      <c r="E266" s="17">
        <v>3</v>
      </c>
    </row>
    <row r="267" spans="2:5">
      <c r="B267" s="37">
        <v>39873</v>
      </c>
      <c r="C267" s="17">
        <v>2753477519.96</v>
      </c>
      <c r="D267" s="17" t="s">
        <v>4</v>
      </c>
      <c r="E267" s="17">
        <v>4</v>
      </c>
    </row>
    <row r="268" spans="2:5">
      <c r="B268" s="37">
        <v>39873</v>
      </c>
      <c r="C268" s="17">
        <v>1435635466.8299999</v>
      </c>
      <c r="D268" s="17" t="s">
        <v>19</v>
      </c>
      <c r="E268" s="17">
        <v>5</v>
      </c>
    </row>
    <row r="269" spans="2:5">
      <c r="B269" s="37">
        <v>39873</v>
      </c>
      <c r="C269" s="17">
        <v>1073284536.02</v>
      </c>
      <c r="D269" s="17" t="s">
        <v>101</v>
      </c>
      <c r="E269" s="17">
        <v>6</v>
      </c>
    </row>
    <row r="270" spans="2:5">
      <c r="B270" s="37">
        <v>39873</v>
      </c>
      <c r="C270" s="17">
        <v>1009418750.71</v>
      </c>
      <c r="D270" s="17" t="s">
        <v>8</v>
      </c>
      <c r="E270" s="17">
        <v>7</v>
      </c>
    </row>
    <row r="271" spans="2:5">
      <c r="B271" s="37">
        <v>39873</v>
      </c>
      <c r="C271" s="17">
        <v>905034160.61000001</v>
      </c>
      <c r="D271" s="17" t="s">
        <v>10</v>
      </c>
      <c r="E271" s="17">
        <v>8</v>
      </c>
    </row>
    <row r="272" spans="2:5">
      <c r="B272" s="37">
        <v>39873</v>
      </c>
      <c r="C272" s="17">
        <v>701533269.99000001</v>
      </c>
      <c r="D272" s="17" t="s">
        <v>16</v>
      </c>
      <c r="E272" s="17">
        <v>9</v>
      </c>
    </row>
    <row r="273" spans="2:5">
      <c r="B273" s="37">
        <v>39873</v>
      </c>
      <c r="C273" s="17">
        <v>397724830.38999999</v>
      </c>
      <c r="D273" s="17" t="s">
        <v>26</v>
      </c>
      <c r="E273" s="17">
        <v>10</v>
      </c>
    </row>
    <row r="274" spans="2:5">
      <c r="B274" s="37">
        <v>39904</v>
      </c>
      <c r="C274" s="17">
        <v>10904817516.51</v>
      </c>
      <c r="D274" s="17" t="s">
        <v>6</v>
      </c>
      <c r="E274" s="17">
        <v>1</v>
      </c>
    </row>
    <row r="275" spans="2:5">
      <c r="B275" s="37">
        <v>39904</v>
      </c>
      <c r="C275" s="17">
        <v>8231869956.6099997</v>
      </c>
      <c r="D275" s="17" t="s">
        <v>11</v>
      </c>
      <c r="E275" s="17">
        <v>2</v>
      </c>
    </row>
    <row r="276" spans="2:5">
      <c r="B276" s="37">
        <v>39904</v>
      </c>
      <c r="C276" s="17">
        <v>3390079181.54</v>
      </c>
      <c r="D276" s="17" t="s">
        <v>13</v>
      </c>
      <c r="E276" s="17">
        <v>3</v>
      </c>
    </row>
    <row r="277" spans="2:5">
      <c r="B277" s="37">
        <v>39904</v>
      </c>
      <c r="C277" s="17">
        <v>2789020064.4099998</v>
      </c>
      <c r="D277" s="17" t="s">
        <v>19</v>
      </c>
      <c r="E277" s="17">
        <v>4</v>
      </c>
    </row>
    <row r="278" spans="2:5">
      <c r="B278" s="37">
        <v>39904</v>
      </c>
      <c r="C278" s="17">
        <v>1497960105.8199999</v>
      </c>
      <c r="D278" s="17" t="s">
        <v>101</v>
      </c>
      <c r="E278" s="17">
        <v>5</v>
      </c>
    </row>
    <row r="279" spans="2:5">
      <c r="B279" s="37">
        <v>39904</v>
      </c>
      <c r="C279" s="17">
        <v>1168438734.6300001</v>
      </c>
      <c r="D279" s="17" t="s">
        <v>4</v>
      </c>
      <c r="E279" s="17">
        <v>6</v>
      </c>
    </row>
    <row r="280" spans="2:5">
      <c r="B280" s="37">
        <v>39904</v>
      </c>
      <c r="C280" s="17">
        <v>1108205576.6400001</v>
      </c>
      <c r="D280" s="17" t="s">
        <v>10</v>
      </c>
      <c r="E280" s="17">
        <v>7</v>
      </c>
    </row>
    <row r="281" spans="2:5">
      <c r="B281" s="37">
        <v>39904</v>
      </c>
      <c r="C281" s="17">
        <v>761589073.5</v>
      </c>
      <c r="D281" s="17" t="s">
        <v>16</v>
      </c>
      <c r="E281" s="17">
        <v>8</v>
      </c>
    </row>
    <row r="282" spans="2:5">
      <c r="B282" s="37">
        <v>39904</v>
      </c>
      <c r="C282" s="17">
        <v>693189857.25</v>
      </c>
      <c r="D282" s="17" t="s">
        <v>8</v>
      </c>
      <c r="E282" s="17">
        <v>9</v>
      </c>
    </row>
    <row r="283" spans="2:5">
      <c r="B283" s="37">
        <v>39904</v>
      </c>
      <c r="C283" s="17">
        <v>547663730</v>
      </c>
      <c r="D283" s="17" t="s">
        <v>103</v>
      </c>
      <c r="E283" s="17">
        <v>10</v>
      </c>
    </row>
    <row r="284" spans="2:5">
      <c r="B284" s="37">
        <v>39934</v>
      </c>
      <c r="C284" s="17">
        <v>10840958471.42</v>
      </c>
      <c r="D284" s="17" t="s">
        <v>6</v>
      </c>
      <c r="E284" s="17">
        <v>1</v>
      </c>
    </row>
    <row r="285" spans="2:5">
      <c r="B285" s="37">
        <v>39934</v>
      </c>
      <c r="C285" s="17">
        <v>10201806008.49</v>
      </c>
      <c r="D285" s="17" t="s">
        <v>11</v>
      </c>
      <c r="E285" s="17">
        <v>2</v>
      </c>
    </row>
    <row r="286" spans="2:5">
      <c r="B286" s="37">
        <v>39934</v>
      </c>
      <c r="C286" s="17">
        <v>3319862124.77</v>
      </c>
      <c r="D286" s="17" t="s">
        <v>13</v>
      </c>
      <c r="E286" s="17">
        <v>3</v>
      </c>
    </row>
    <row r="287" spans="2:5">
      <c r="B287" s="37">
        <v>39934</v>
      </c>
      <c r="C287" s="17">
        <v>2286882416.7199998</v>
      </c>
      <c r="D287" s="17" t="s">
        <v>19</v>
      </c>
      <c r="E287" s="17">
        <v>4</v>
      </c>
    </row>
    <row r="288" spans="2:5">
      <c r="B288" s="37">
        <v>39934</v>
      </c>
      <c r="C288" s="17">
        <v>1679335900.29</v>
      </c>
      <c r="D288" s="17" t="s">
        <v>4</v>
      </c>
      <c r="E288" s="17">
        <v>5</v>
      </c>
    </row>
    <row r="289" spans="2:5">
      <c r="B289" s="37">
        <v>39934</v>
      </c>
      <c r="C289" s="17">
        <v>1379630616.9000001</v>
      </c>
      <c r="D289" s="17" t="s">
        <v>101</v>
      </c>
      <c r="E289" s="17">
        <v>6</v>
      </c>
    </row>
    <row r="290" spans="2:5">
      <c r="B290" s="37">
        <v>39934</v>
      </c>
      <c r="C290" s="17">
        <v>1003560926.35</v>
      </c>
      <c r="D290" s="17" t="s">
        <v>8</v>
      </c>
      <c r="E290" s="17">
        <v>7</v>
      </c>
    </row>
    <row r="291" spans="2:5">
      <c r="B291" s="37">
        <v>39934</v>
      </c>
      <c r="C291" s="17">
        <v>911945310.42999995</v>
      </c>
      <c r="D291" s="17" t="s">
        <v>10</v>
      </c>
      <c r="E291" s="17">
        <v>8</v>
      </c>
    </row>
    <row r="292" spans="2:5">
      <c r="B292" s="37">
        <v>39934</v>
      </c>
      <c r="C292" s="17">
        <v>766537825</v>
      </c>
      <c r="D292" s="17" t="s">
        <v>37</v>
      </c>
      <c r="E292" s="17">
        <v>9</v>
      </c>
    </row>
    <row r="293" spans="2:5">
      <c r="B293" s="37">
        <v>39934</v>
      </c>
      <c r="C293" s="17">
        <v>763827714.04999995</v>
      </c>
      <c r="D293" s="17" t="s">
        <v>16</v>
      </c>
      <c r="E293" s="17">
        <v>10</v>
      </c>
    </row>
    <row r="294" spans="2:5">
      <c r="B294" s="37">
        <v>39965</v>
      </c>
      <c r="C294" s="17">
        <v>12232694325.1</v>
      </c>
      <c r="D294" s="17" t="s">
        <v>6</v>
      </c>
      <c r="E294" s="17">
        <v>1</v>
      </c>
    </row>
    <row r="295" spans="2:5">
      <c r="B295" s="37">
        <v>39965</v>
      </c>
      <c r="C295" s="17">
        <v>11354294966.4</v>
      </c>
      <c r="D295" s="17" t="s">
        <v>11</v>
      </c>
      <c r="E295" s="17">
        <v>2</v>
      </c>
    </row>
    <row r="296" spans="2:5">
      <c r="B296" s="37">
        <v>39965</v>
      </c>
      <c r="C296" s="17">
        <v>3830445787.1700001</v>
      </c>
      <c r="D296" s="17" t="s">
        <v>13</v>
      </c>
      <c r="E296" s="17">
        <v>3</v>
      </c>
    </row>
    <row r="297" spans="2:5">
      <c r="B297" s="37">
        <v>39965</v>
      </c>
      <c r="C297" s="17">
        <v>2783177351.5599999</v>
      </c>
      <c r="D297" s="17" t="s">
        <v>19</v>
      </c>
      <c r="E297" s="17">
        <v>4</v>
      </c>
    </row>
    <row r="298" spans="2:5">
      <c r="B298" s="37">
        <v>39965</v>
      </c>
      <c r="C298" s="17">
        <v>2403543415.1700001</v>
      </c>
      <c r="D298" s="17" t="s">
        <v>4</v>
      </c>
      <c r="E298" s="17">
        <v>5</v>
      </c>
    </row>
    <row r="299" spans="2:5">
      <c r="B299" s="37">
        <v>39965</v>
      </c>
      <c r="C299" s="17">
        <v>1478806984.6600001</v>
      </c>
      <c r="D299" s="17" t="s">
        <v>101</v>
      </c>
      <c r="E299" s="17">
        <v>6</v>
      </c>
    </row>
    <row r="300" spans="2:5">
      <c r="B300" s="37">
        <v>39965</v>
      </c>
      <c r="C300" s="17">
        <v>1235742158.22</v>
      </c>
      <c r="D300" s="17" t="s">
        <v>8</v>
      </c>
      <c r="E300" s="17">
        <v>7</v>
      </c>
    </row>
    <row r="301" spans="2:5">
      <c r="B301" s="37">
        <v>39965</v>
      </c>
      <c r="C301" s="17">
        <v>970165322.98000002</v>
      </c>
      <c r="D301" s="17" t="s">
        <v>10</v>
      </c>
      <c r="E301" s="17">
        <v>8</v>
      </c>
    </row>
    <row r="302" spans="2:5">
      <c r="B302" s="37">
        <v>39965</v>
      </c>
      <c r="C302" s="17">
        <v>924990104.25999999</v>
      </c>
      <c r="D302" s="17" t="s">
        <v>16</v>
      </c>
      <c r="E302" s="17">
        <v>9</v>
      </c>
    </row>
    <row r="303" spans="2:5">
      <c r="B303" s="37">
        <v>39965</v>
      </c>
      <c r="C303" s="17">
        <v>655090446.74000001</v>
      </c>
      <c r="D303" s="17" t="s">
        <v>26</v>
      </c>
      <c r="E303" s="17">
        <v>10</v>
      </c>
    </row>
    <row r="304" spans="2:5">
      <c r="B304" s="37">
        <v>39995</v>
      </c>
      <c r="C304" s="17">
        <v>14499431718.969999</v>
      </c>
      <c r="D304" s="17" t="s">
        <v>6</v>
      </c>
      <c r="E304" s="17">
        <v>1</v>
      </c>
    </row>
    <row r="305" spans="2:5">
      <c r="B305" s="37">
        <v>39995</v>
      </c>
      <c r="C305" s="17">
        <v>11214465320.32</v>
      </c>
      <c r="D305" s="17" t="s">
        <v>11</v>
      </c>
      <c r="E305" s="17">
        <v>2</v>
      </c>
    </row>
    <row r="306" spans="2:5">
      <c r="B306" s="37">
        <v>39995</v>
      </c>
      <c r="C306" s="17">
        <v>4283127941.4499998</v>
      </c>
      <c r="D306" s="17" t="s">
        <v>13</v>
      </c>
      <c r="E306" s="17">
        <v>3</v>
      </c>
    </row>
    <row r="307" spans="2:5">
      <c r="B307" s="37">
        <v>39995</v>
      </c>
      <c r="C307" s="17">
        <v>2359737703.02</v>
      </c>
      <c r="D307" s="17" t="s">
        <v>19</v>
      </c>
      <c r="E307" s="17">
        <v>4</v>
      </c>
    </row>
    <row r="308" spans="2:5">
      <c r="B308" s="37">
        <v>39995</v>
      </c>
      <c r="C308" s="17">
        <v>1686850981.6199999</v>
      </c>
      <c r="D308" s="17" t="s">
        <v>4</v>
      </c>
      <c r="E308" s="17">
        <v>5</v>
      </c>
    </row>
    <row r="309" spans="2:5">
      <c r="B309" s="37">
        <v>39995</v>
      </c>
      <c r="C309" s="17">
        <v>1380151289.53</v>
      </c>
      <c r="D309" s="17" t="s">
        <v>101</v>
      </c>
      <c r="E309" s="17">
        <v>6</v>
      </c>
    </row>
    <row r="310" spans="2:5">
      <c r="B310" s="37">
        <v>39995</v>
      </c>
      <c r="C310" s="17">
        <v>1033649015.61</v>
      </c>
      <c r="D310" s="17" t="s">
        <v>8</v>
      </c>
      <c r="E310" s="17">
        <v>7</v>
      </c>
    </row>
    <row r="311" spans="2:5">
      <c r="B311" s="37">
        <v>39995</v>
      </c>
      <c r="C311" s="17">
        <v>902247705.23000002</v>
      </c>
      <c r="D311" s="17" t="s">
        <v>10</v>
      </c>
      <c r="E311" s="17">
        <v>8</v>
      </c>
    </row>
    <row r="312" spans="2:5">
      <c r="B312" s="37">
        <v>39995</v>
      </c>
      <c r="C312" s="17">
        <v>828096252.44000006</v>
      </c>
      <c r="D312" s="17" t="s">
        <v>16</v>
      </c>
      <c r="E312" s="17">
        <v>9</v>
      </c>
    </row>
    <row r="313" spans="2:5">
      <c r="B313" s="37">
        <v>39995</v>
      </c>
      <c r="C313" s="17">
        <v>756892867</v>
      </c>
      <c r="D313" s="17" t="s">
        <v>37</v>
      </c>
      <c r="E313" s="17">
        <v>10</v>
      </c>
    </row>
    <row r="314" spans="2:5">
      <c r="B314" s="37">
        <v>40026</v>
      </c>
      <c r="C314" s="17">
        <v>11769183271.27</v>
      </c>
      <c r="D314" s="17" t="s">
        <v>6</v>
      </c>
      <c r="E314" s="17">
        <v>1</v>
      </c>
    </row>
    <row r="315" spans="2:5">
      <c r="B315" s="37">
        <v>40026</v>
      </c>
      <c r="C315" s="17">
        <v>11376824458.200001</v>
      </c>
      <c r="D315" s="17" t="s">
        <v>11</v>
      </c>
      <c r="E315" s="17">
        <v>2</v>
      </c>
    </row>
    <row r="316" spans="2:5">
      <c r="B316" s="37">
        <v>40026</v>
      </c>
      <c r="C316" s="17">
        <v>4488136042.5</v>
      </c>
      <c r="D316" s="17" t="s">
        <v>13</v>
      </c>
      <c r="E316" s="17">
        <v>3</v>
      </c>
    </row>
    <row r="317" spans="2:5">
      <c r="B317" s="37">
        <v>40026</v>
      </c>
      <c r="C317" s="17">
        <v>3058613090.6999998</v>
      </c>
      <c r="D317" s="17" t="s">
        <v>37</v>
      </c>
      <c r="E317" s="17">
        <v>4</v>
      </c>
    </row>
    <row r="318" spans="2:5">
      <c r="B318" s="37">
        <v>40026</v>
      </c>
      <c r="C318" s="17">
        <v>2035185478.0899999</v>
      </c>
      <c r="D318" s="17" t="s">
        <v>19</v>
      </c>
      <c r="E318" s="17">
        <v>5</v>
      </c>
    </row>
    <row r="319" spans="2:5">
      <c r="B319" s="37">
        <v>40026</v>
      </c>
      <c r="C319" s="17">
        <v>1254264532.1900001</v>
      </c>
      <c r="D319" s="17" t="s">
        <v>8</v>
      </c>
      <c r="E319" s="17">
        <v>6</v>
      </c>
    </row>
    <row r="320" spans="2:5">
      <c r="B320" s="37">
        <v>40026</v>
      </c>
      <c r="C320" s="17">
        <v>1041546480.64</v>
      </c>
      <c r="D320" s="17" t="s">
        <v>4</v>
      </c>
      <c r="E320" s="17">
        <v>7</v>
      </c>
    </row>
    <row r="321" spans="2:5">
      <c r="B321" s="37">
        <v>40026</v>
      </c>
      <c r="C321" s="17">
        <v>817916670.22000003</v>
      </c>
      <c r="D321" s="17" t="s">
        <v>26</v>
      </c>
      <c r="E321" s="17">
        <v>8</v>
      </c>
    </row>
    <row r="322" spans="2:5">
      <c r="B322" s="37">
        <v>40026</v>
      </c>
      <c r="C322" s="17">
        <v>803887389.88999999</v>
      </c>
      <c r="D322" s="17" t="s">
        <v>10</v>
      </c>
      <c r="E322" s="17">
        <v>9</v>
      </c>
    </row>
    <row r="323" spans="2:5">
      <c r="B323" s="37">
        <v>40026</v>
      </c>
      <c r="C323" s="17">
        <v>721037656.89999998</v>
      </c>
      <c r="D323" s="17" t="s">
        <v>5</v>
      </c>
      <c r="E323" s="17">
        <v>10</v>
      </c>
    </row>
    <row r="324" spans="2:5">
      <c r="B324" s="37">
        <v>40057</v>
      </c>
      <c r="C324" s="17">
        <v>10548837061.57</v>
      </c>
      <c r="D324" s="17" t="s">
        <v>6</v>
      </c>
      <c r="E324" s="17">
        <v>1</v>
      </c>
    </row>
    <row r="325" spans="2:5">
      <c r="B325" s="37">
        <v>40057</v>
      </c>
      <c r="C325" s="17">
        <v>10011305878.389999</v>
      </c>
      <c r="D325" s="17" t="s">
        <v>11</v>
      </c>
      <c r="E325" s="17">
        <v>2</v>
      </c>
    </row>
    <row r="326" spans="2:5">
      <c r="B326" s="37">
        <v>40057</v>
      </c>
      <c r="C326" s="17">
        <v>4333414325.4399996</v>
      </c>
      <c r="D326" s="17" t="s">
        <v>13</v>
      </c>
      <c r="E326" s="17">
        <v>3</v>
      </c>
    </row>
    <row r="327" spans="2:5">
      <c r="B327" s="37">
        <v>40057</v>
      </c>
      <c r="C327" s="17">
        <v>2395749865.0999999</v>
      </c>
      <c r="D327" s="17" t="s">
        <v>37</v>
      </c>
      <c r="E327" s="17">
        <v>4</v>
      </c>
    </row>
    <row r="328" spans="2:5">
      <c r="B328" s="37">
        <v>40057</v>
      </c>
      <c r="C328" s="17">
        <v>2116813557.22</v>
      </c>
      <c r="D328" s="17" t="s">
        <v>19</v>
      </c>
      <c r="E328" s="17">
        <v>5</v>
      </c>
    </row>
    <row r="329" spans="2:5">
      <c r="B329" s="37">
        <v>40057</v>
      </c>
      <c r="C329" s="17">
        <v>1348060871.71</v>
      </c>
      <c r="D329" s="17" t="s">
        <v>8</v>
      </c>
      <c r="E329" s="17">
        <v>6</v>
      </c>
    </row>
    <row r="330" spans="2:5">
      <c r="B330" s="37">
        <v>40057</v>
      </c>
      <c r="C330" s="17">
        <v>874812512.83000004</v>
      </c>
      <c r="D330" s="17" t="s">
        <v>4</v>
      </c>
      <c r="E330" s="17">
        <v>7</v>
      </c>
    </row>
    <row r="331" spans="2:5">
      <c r="B331" s="37">
        <v>40057</v>
      </c>
      <c r="C331" s="17">
        <v>854925690.01999998</v>
      </c>
      <c r="D331" s="17" t="s">
        <v>10</v>
      </c>
      <c r="E331" s="17">
        <v>8</v>
      </c>
    </row>
    <row r="332" spans="2:5">
      <c r="B332" s="37">
        <v>40057</v>
      </c>
      <c r="C332" s="17">
        <v>751260534.66999996</v>
      </c>
      <c r="D332" s="17" t="s">
        <v>26</v>
      </c>
      <c r="E332" s="17">
        <v>9</v>
      </c>
    </row>
    <row r="333" spans="2:5">
      <c r="B333" s="37">
        <v>40057</v>
      </c>
      <c r="C333" s="17">
        <v>733069764.32000005</v>
      </c>
      <c r="D333" s="17" t="s">
        <v>28</v>
      </c>
      <c r="E333" s="17">
        <v>10</v>
      </c>
    </row>
    <row r="334" spans="2:5">
      <c r="B334" s="37">
        <v>40087</v>
      </c>
      <c r="C334" s="17">
        <v>11250233115.889999</v>
      </c>
      <c r="D334" s="17" t="s">
        <v>6</v>
      </c>
      <c r="E334" s="17">
        <v>1</v>
      </c>
    </row>
    <row r="335" spans="2:5">
      <c r="B335" s="37">
        <v>40087</v>
      </c>
      <c r="C335" s="17">
        <v>9900655361.5599995</v>
      </c>
      <c r="D335" s="17" t="s">
        <v>11</v>
      </c>
      <c r="E335" s="17">
        <v>2</v>
      </c>
    </row>
    <row r="336" spans="2:5">
      <c r="B336" s="37">
        <v>40087</v>
      </c>
      <c r="C336" s="17">
        <v>3493083347.9400001</v>
      </c>
      <c r="D336" s="17" t="s">
        <v>13</v>
      </c>
      <c r="E336" s="17">
        <v>3</v>
      </c>
    </row>
    <row r="337" spans="2:5">
      <c r="B337" s="37">
        <v>40087</v>
      </c>
      <c r="C337" s="17">
        <v>1914730168.24</v>
      </c>
      <c r="D337" s="17" t="s">
        <v>19</v>
      </c>
      <c r="E337" s="17">
        <v>4</v>
      </c>
    </row>
    <row r="338" spans="2:5">
      <c r="B338" s="37">
        <v>40087</v>
      </c>
      <c r="C338" s="17">
        <v>1651303660.51</v>
      </c>
      <c r="D338" s="17" t="s">
        <v>8</v>
      </c>
      <c r="E338" s="17">
        <v>5</v>
      </c>
    </row>
    <row r="339" spans="2:5">
      <c r="B339" s="37">
        <v>40087</v>
      </c>
      <c r="C339" s="17">
        <v>1073313561.91</v>
      </c>
      <c r="D339" s="17" t="s">
        <v>37</v>
      </c>
      <c r="E339" s="17">
        <v>6</v>
      </c>
    </row>
    <row r="340" spans="2:5">
      <c r="B340" s="37">
        <v>40087</v>
      </c>
      <c r="C340" s="17">
        <v>649265034.55999994</v>
      </c>
      <c r="D340" s="17" t="s">
        <v>10</v>
      </c>
      <c r="E340" s="17">
        <v>7</v>
      </c>
    </row>
    <row r="341" spans="2:5">
      <c r="B341" s="37">
        <v>40087</v>
      </c>
      <c r="C341" s="17">
        <v>541185999.19000006</v>
      </c>
      <c r="D341" s="17" t="s">
        <v>26</v>
      </c>
      <c r="E341" s="17">
        <v>8</v>
      </c>
    </row>
    <row r="342" spans="2:5">
      <c r="B342" s="37">
        <v>40087</v>
      </c>
      <c r="C342" s="17">
        <v>540630578.84000003</v>
      </c>
      <c r="D342" s="17" t="s">
        <v>5</v>
      </c>
      <c r="E342" s="17">
        <v>9</v>
      </c>
    </row>
    <row r="343" spans="2:5">
      <c r="B343" s="37">
        <v>40087</v>
      </c>
      <c r="C343" s="17">
        <v>497192991.48000002</v>
      </c>
      <c r="D343" s="17" t="s">
        <v>4</v>
      </c>
      <c r="E343" s="17">
        <v>10</v>
      </c>
    </row>
    <row r="344" spans="2:5">
      <c r="B344" s="37">
        <v>40118</v>
      </c>
      <c r="C344" s="17">
        <v>10156126817.549999</v>
      </c>
      <c r="D344" s="17" t="s">
        <v>11</v>
      </c>
      <c r="E344" s="17">
        <v>1</v>
      </c>
    </row>
    <row r="345" spans="2:5">
      <c r="B345" s="37">
        <v>40118</v>
      </c>
      <c r="C345" s="17">
        <v>7903283970.2799997</v>
      </c>
      <c r="D345" s="17" t="s">
        <v>6</v>
      </c>
      <c r="E345" s="17">
        <v>2</v>
      </c>
    </row>
    <row r="346" spans="2:5">
      <c r="B346" s="37">
        <v>40118</v>
      </c>
      <c r="C346" s="17">
        <v>4229127390.04</v>
      </c>
      <c r="D346" s="17" t="s">
        <v>13</v>
      </c>
      <c r="E346" s="17">
        <v>3</v>
      </c>
    </row>
    <row r="347" spans="2:5">
      <c r="B347" s="37">
        <v>40118</v>
      </c>
      <c r="C347" s="17">
        <v>1894766427.04</v>
      </c>
      <c r="D347" s="17" t="s">
        <v>19</v>
      </c>
      <c r="E347" s="17">
        <v>4</v>
      </c>
    </row>
    <row r="348" spans="2:5">
      <c r="B348" s="37">
        <v>40118</v>
      </c>
      <c r="C348" s="17">
        <v>1045591310.78</v>
      </c>
      <c r="D348" s="17" t="s">
        <v>37</v>
      </c>
      <c r="E348" s="17">
        <v>5</v>
      </c>
    </row>
    <row r="349" spans="2:5">
      <c r="B349" s="37">
        <v>40118</v>
      </c>
      <c r="C349" s="17">
        <v>929481277.40999997</v>
      </c>
      <c r="D349" s="17" t="s">
        <v>8</v>
      </c>
      <c r="E349" s="17">
        <v>6</v>
      </c>
    </row>
    <row r="350" spans="2:5">
      <c r="B350" s="37">
        <v>40118</v>
      </c>
      <c r="C350" s="17">
        <v>803071891.69000006</v>
      </c>
      <c r="D350" s="17" t="s">
        <v>10</v>
      </c>
      <c r="E350" s="17">
        <v>7</v>
      </c>
    </row>
    <row r="351" spans="2:5">
      <c r="B351" s="37">
        <v>40118</v>
      </c>
      <c r="C351" s="17">
        <v>666855634.77999997</v>
      </c>
      <c r="D351" s="17" t="s">
        <v>5</v>
      </c>
      <c r="E351" s="17">
        <v>8</v>
      </c>
    </row>
    <row r="352" spans="2:5">
      <c r="B352" s="37">
        <v>40118</v>
      </c>
      <c r="C352" s="17">
        <v>622357981.45000005</v>
      </c>
      <c r="D352" s="17" t="s">
        <v>26</v>
      </c>
      <c r="E352" s="17">
        <v>9</v>
      </c>
    </row>
    <row r="353" spans="2:5">
      <c r="B353" s="37">
        <v>40118</v>
      </c>
      <c r="C353" s="17">
        <v>528843992.80000001</v>
      </c>
      <c r="D353" s="17" t="s">
        <v>28</v>
      </c>
      <c r="E353" s="17">
        <v>10</v>
      </c>
    </row>
    <row r="354" spans="2:5">
      <c r="B354" s="37">
        <v>40148</v>
      </c>
      <c r="C354" s="17">
        <v>11821319577.99</v>
      </c>
      <c r="D354" s="17" t="s">
        <v>6</v>
      </c>
      <c r="E354" s="17">
        <v>1</v>
      </c>
    </row>
    <row r="355" spans="2:5">
      <c r="B355" s="37">
        <v>40148</v>
      </c>
      <c r="C355" s="17">
        <v>11106775406.790001</v>
      </c>
      <c r="D355" s="17" t="s">
        <v>11</v>
      </c>
      <c r="E355" s="17">
        <v>2</v>
      </c>
    </row>
    <row r="356" spans="2:5">
      <c r="B356" s="37">
        <v>40148</v>
      </c>
      <c r="C356" s="17">
        <v>5159207722.5799999</v>
      </c>
      <c r="D356" s="17" t="s">
        <v>13</v>
      </c>
      <c r="E356" s="17">
        <v>3</v>
      </c>
    </row>
    <row r="357" spans="2:5">
      <c r="B357" s="37">
        <v>40148</v>
      </c>
      <c r="C357" s="17">
        <v>1724937315.96</v>
      </c>
      <c r="D357" s="17" t="s">
        <v>19</v>
      </c>
      <c r="E357" s="17">
        <v>4</v>
      </c>
    </row>
    <row r="358" spans="2:5">
      <c r="B358" s="37">
        <v>40148</v>
      </c>
      <c r="C358" s="17">
        <v>1026853728.71</v>
      </c>
      <c r="D358" s="17" t="s">
        <v>8</v>
      </c>
      <c r="E358" s="17">
        <v>5</v>
      </c>
    </row>
    <row r="359" spans="2:5">
      <c r="B359" s="37">
        <v>40148</v>
      </c>
      <c r="C359" s="17">
        <v>950970204</v>
      </c>
      <c r="D359" s="17" t="s">
        <v>37</v>
      </c>
      <c r="E359" s="17">
        <v>6</v>
      </c>
    </row>
    <row r="360" spans="2:5">
      <c r="B360" s="37">
        <v>40148</v>
      </c>
      <c r="C360" s="17">
        <v>945095393.87</v>
      </c>
      <c r="D360" s="17" t="s">
        <v>5</v>
      </c>
      <c r="E360" s="17">
        <v>7</v>
      </c>
    </row>
    <row r="361" spans="2:5">
      <c r="B361" s="37">
        <v>40148</v>
      </c>
      <c r="C361" s="17">
        <v>813656142.58000004</v>
      </c>
      <c r="D361" s="17" t="s">
        <v>10</v>
      </c>
      <c r="E361" s="17">
        <v>8</v>
      </c>
    </row>
    <row r="362" spans="2:5">
      <c r="B362" s="37">
        <v>40148</v>
      </c>
      <c r="C362" s="17">
        <v>492584166.88999999</v>
      </c>
      <c r="D362" s="17" t="s">
        <v>26</v>
      </c>
      <c r="E362" s="17">
        <v>9</v>
      </c>
    </row>
    <row r="363" spans="2:5">
      <c r="B363" s="37">
        <v>40148</v>
      </c>
      <c r="C363" s="17">
        <v>482745861.82999998</v>
      </c>
      <c r="D363" s="17" t="s">
        <v>28</v>
      </c>
      <c r="E363" s="17">
        <v>10</v>
      </c>
    </row>
    <row r="364" spans="2:5">
      <c r="B364" s="37">
        <v>40179</v>
      </c>
      <c r="C364" s="17">
        <v>13534574647.27</v>
      </c>
      <c r="D364" s="17" t="s">
        <v>6</v>
      </c>
      <c r="E364" s="17">
        <v>1</v>
      </c>
    </row>
    <row r="365" spans="2:5">
      <c r="B365" s="37">
        <v>40179</v>
      </c>
      <c r="C365" s="17">
        <v>8891094099.8700008</v>
      </c>
      <c r="D365" s="17" t="s">
        <v>11</v>
      </c>
      <c r="E365" s="17">
        <v>2</v>
      </c>
    </row>
    <row r="366" spans="2:5">
      <c r="B366" s="37">
        <v>40179</v>
      </c>
      <c r="C366" s="17">
        <v>3640382716.3200002</v>
      </c>
      <c r="D366" s="17" t="s">
        <v>13</v>
      </c>
      <c r="E366" s="17">
        <v>3</v>
      </c>
    </row>
    <row r="367" spans="2:5">
      <c r="B367" s="37">
        <v>40179</v>
      </c>
      <c r="C367" s="17">
        <v>1778566471.8900001</v>
      </c>
      <c r="D367" s="17" t="s">
        <v>19</v>
      </c>
      <c r="E367" s="17">
        <v>4</v>
      </c>
    </row>
    <row r="368" spans="2:5">
      <c r="B368" s="37">
        <v>40179</v>
      </c>
      <c r="C368" s="17">
        <v>964970902.62</v>
      </c>
      <c r="D368" s="17" t="s">
        <v>8</v>
      </c>
      <c r="E368" s="17">
        <v>5</v>
      </c>
    </row>
    <row r="369" spans="2:5">
      <c r="B369" s="37">
        <v>40179</v>
      </c>
      <c r="C369" s="17">
        <v>702577792.37</v>
      </c>
      <c r="D369" s="17" t="s">
        <v>5</v>
      </c>
      <c r="E369" s="17">
        <v>6</v>
      </c>
    </row>
    <row r="370" spans="2:5">
      <c r="B370" s="37">
        <v>40179</v>
      </c>
      <c r="C370" s="17">
        <v>588382633.11000001</v>
      </c>
      <c r="D370" s="17" t="s">
        <v>10</v>
      </c>
      <c r="E370" s="17">
        <v>7</v>
      </c>
    </row>
    <row r="371" spans="2:5">
      <c r="B371" s="37">
        <v>40179</v>
      </c>
      <c r="C371" s="17">
        <v>429883284.86000001</v>
      </c>
      <c r="D371" s="17" t="s">
        <v>26</v>
      </c>
      <c r="E371" s="17">
        <v>8</v>
      </c>
    </row>
    <row r="372" spans="2:5">
      <c r="B372" s="37">
        <v>40179</v>
      </c>
      <c r="C372" s="17">
        <v>412856334.39999998</v>
      </c>
      <c r="D372" s="17" t="s">
        <v>22</v>
      </c>
      <c r="E372" s="17">
        <v>9</v>
      </c>
    </row>
    <row r="373" spans="2:5">
      <c r="B373" s="37">
        <v>40179</v>
      </c>
      <c r="C373" s="17">
        <v>408816313.87</v>
      </c>
      <c r="D373" s="17" t="s">
        <v>37</v>
      </c>
      <c r="E373" s="17">
        <v>10</v>
      </c>
    </row>
    <row r="374" spans="2:5">
      <c r="B374" s="37">
        <v>40210</v>
      </c>
      <c r="C374" s="17">
        <v>9571877686.3199997</v>
      </c>
      <c r="D374" s="17" t="s">
        <v>6</v>
      </c>
      <c r="E374" s="17">
        <v>1</v>
      </c>
    </row>
    <row r="375" spans="2:5">
      <c r="B375" s="37">
        <v>40210</v>
      </c>
      <c r="C375" s="17">
        <v>7009957861.2600002</v>
      </c>
      <c r="D375" s="17" t="s">
        <v>11</v>
      </c>
      <c r="E375" s="17">
        <v>2</v>
      </c>
    </row>
    <row r="376" spans="2:5">
      <c r="B376" s="37">
        <v>40210</v>
      </c>
      <c r="C376" s="17">
        <v>2986366988.96</v>
      </c>
      <c r="D376" s="17" t="s">
        <v>13</v>
      </c>
      <c r="E376" s="17">
        <v>3</v>
      </c>
    </row>
    <row r="377" spans="2:5">
      <c r="B377" s="37">
        <v>40210</v>
      </c>
      <c r="C377" s="17">
        <v>1171995949.4100001</v>
      </c>
      <c r="D377" s="17" t="s">
        <v>19</v>
      </c>
      <c r="E377" s="17">
        <v>4</v>
      </c>
    </row>
    <row r="378" spans="2:5">
      <c r="B378" s="37">
        <v>40210</v>
      </c>
      <c r="C378" s="17">
        <v>813969517.63999999</v>
      </c>
      <c r="D378" s="17" t="s">
        <v>8</v>
      </c>
      <c r="E378" s="17">
        <v>5</v>
      </c>
    </row>
    <row r="379" spans="2:5">
      <c r="B379" s="37">
        <v>40210</v>
      </c>
      <c r="C379" s="17">
        <v>575085100.59000003</v>
      </c>
      <c r="D379" s="17" t="s">
        <v>5</v>
      </c>
      <c r="E379" s="17">
        <v>6</v>
      </c>
    </row>
    <row r="380" spans="2:5">
      <c r="B380" s="37">
        <v>40210</v>
      </c>
      <c r="C380" s="17">
        <v>542856482.74000001</v>
      </c>
      <c r="D380" s="17" t="s">
        <v>37</v>
      </c>
      <c r="E380" s="17">
        <v>7</v>
      </c>
    </row>
    <row r="381" spans="2:5">
      <c r="B381" s="37">
        <v>40210</v>
      </c>
      <c r="C381" s="17">
        <v>391151365.38999999</v>
      </c>
      <c r="D381" s="17" t="s">
        <v>10</v>
      </c>
      <c r="E381" s="17">
        <v>8</v>
      </c>
    </row>
    <row r="382" spans="2:5">
      <c r="B382" s="37">
        <v>40210</v>
      </c>
      <c r="C382" s="17">
        <v>360317722.80000001</v>
      </c>
      <c r="D382" s="17" t="s">
        <v>4</v>
      </c>
      <c r="E382" s="17">
        <v>9</v>
      </c>
    </row>
    <row r="383" spans="2:5">
      <c r="B383" s="37">
        <v>40210</v>
      </c>
      <c r="C383" s="17">
        <v>274282407.67000002</v>
      </c>
      <c r="D383" s="17" t="s">
        <v>26</v>
      </c>
      <c r="E383" s="17">
        <v>10</v>
      </c>
    </row>
    <row r="384" spans="2:5">
      <c r="B384" s="37">
        <v>40238</v>
      </c>
      <c r="C384" s="17">
        <v>6596684007.1000004</v>
      </c>
      <c r="D384" s="17" t="s">
        <v>11</v>
      </c>
      <c r="E384" s="17">
        <v>1</v>
      </c>
    </row>
    <row r="385" spans="2:5">
      <c r="B385" s="37">
        <v>40238</v>
      </c>
      <c r="C385" s="17">
        <v>6472069307.6199999</v>
      </c>
      <c r="D385" s="17" t="s">
        <v>6</v>
      </c>
      <c r="E385" s="17">
        <v>2</v>
      </c>
    </row>
    <row r="386" spans="2:5">
      <c r="B386" s="37">
        <v>40238</v>
      </c>
      <c r="C386" s="17">
        <v>2453444911.8800001</v>
      </c>
      <c r="D386" s="17" t="s">
        <v>13</v>
      </c>
      <c r="E386" s="17">
        <v>3</v>
      </c>
    </row>
    <row r="387" spans="2:5">
      <c r="B387" s="37">
        <v>40238</v>
      </c>
      <c r="C387" s="17">
        <v>604639181.76999998</v>
      </c>
      <c r="D387" s="17" t="s">
        <v>19</v>
      </c>
      <c r="E387" s="17">
        <v>4</v>
      </c>
    </row>
    <row r="388" spans="2:5">
      <c r="B388" s="37">
        <v>40238</v>
      </c>
      <c r="C388" s="17">
        <v>592274701.75</v>
      </c>
      <c r="D388" s="17" t="s">
        <v>8</v>
      </c>
      <c r="E388" s="17">
        <v>5</v>
      </c>
    </row>
    <row r="389" spans="2:5">
      <c r="B389" s="37">
        <v>40238</v>
      </c>
      <c r="C389" s="17">
        <v>554730453.46000004</v>
      </c>
      <c r="D389" s="17" t="s">
        <v>5</v>
      </c>
      <c r="E389" s="17">
        <v>6</v>
      </c>
    </row>
    <row r="390" spans="2:5">
      <c r="B390" s="37">
        <v>40238</v>
      </c>
      <c r="C390" s="17">
        <v>365559027.10000002</v>
      </c>
      <c r="D390" s="17" t="s">
        <v>37</v>
      </c>
      <c r="E390" s="17">
        <v>7</v>
      </c>
    </row>
    <row r="391" spans="2:5">
      <c r="B391" s="37">
        <v>40238</v>
      </c>
      <c r="C391" s="17">
        <v>356937103.83999997</v>
      </c>
      <c r="D391" s="17" t="s">
        <v>4</v>
      </c>
      <c r="E391" s="17">
        <v>8</v>
      </c>
    </row>
    <row r="392" spans="2:5">
      <c r="B392" s="37">
        <v>40238</v>
      </c>
      <c r="C392" s="17">
        <v>272498723.47000003</v>
      </c>
      <c r="D392" s="17" t="s">
        <v>104</v>
      </c>
      <c r="E392" s="17">
        <v>9</v>
      </c>
    </row>
    <row r="393" spans="2:5">
      <c r="B393" s="37">
        <v>40238</v>
      </c>
      <c r="C393" s="17">
        <v>267595157.28</v>
      </c>
      <c r="D393" s="17" t="s">
        <v>10</v>
      </c>
      <c r="E393" s="17">
        <v>10</v>
      </c>
    </row>
    <row r="394" spans="2:5">
      <c r="B394" s="37">
        <v>40269</v>
      </c>
      <c r="C394" s="17">
        <v>11766642358.6</v>
      </c>
      <c r="D394" s="17" t="s">
        <v>6</v>
      </c>
      <c r="E394" s="17">
        <v>1</v>
      </c>
    </row>
    <row r="395" spans="2:5">
      <c r="B395" s="37">
        <v>40269</v>
      </c>
      <c r="C395" s="17">
        <v>8290793092.5900002</v>
      </c>
      <c r="D395" s="17" t="s">
        <v>11</v>
      </c>
      <c r="E395" s="17">
        <v>2</v>
      </c>
    </row>
    <row r="396" spans="2:5">
      <c r="B396" s="37">
        <v>40269</v>
      </c>
      <c r="C396" s="17">
        <v>3139007348.25</v>
      </c>
      <c r="D396" s="17" t="s">
        <v>13</v>
      </c>
      <c r="E396" s="17">
        <v>3</v>
      </c>
    </row>
    <row r="397" spans="2:5">
      <c r="B397" s="37">
        <v>40269</v>
      </c>
      <c r="C397" s="17">
        <v>815687726.90999997</v>
      </c>
      <c r="D397" s="17" t="s">
        <v>8</v>
      </c>
      <c r="E397" s="17">
        <v>4</v>
      </c>
    </row>
    <row r="398" spans="2:5">
      <c r="B398" s="37">
        <v>40269</v>
      </c>
      <c r="C398" s="17">
        <v>753772264.26999998</v>
      </c>
      <c r="D398" s="17" t="s">
        <v>5</v>
      </c>
      <c r="E398" s="17">
        <v>5</v>
      </c>
    </row>
    <row r="399" spans="2:5">
      <c r="B399" s="37">
        <v>40269</v>
      </c>
      <c r="C399" s="17">
        <v>748345371.95000005</v>
      </c>
      <c r="D399" s="17" t="s">
        <v>19</v>
      </c>
      <c r="E399" s="17">
        <v>6</v>
      </c>
    </row>
    <row r="400" spans="2:5">
      <c r="B400" s="37">
        <v>40269</v>
      </c>
      <c r="C400" s="17">
        <v>376997317.48000002</v>
      </c>
      <c r="D400" s="17" t="s">
        <v>37</v>
      </c>
      <c r="E400" s="17">
        <v>7</v>
      </c>
    </row>
    <row r="401" spans="2:5">
      <c r="B401" s="37">
        <v>40269</v>
      </c>
      <c r="C401" s="17">
        <v>336742035.24000001</v>
      </c>
      <c r="D401" s="17" t="s">
        <v>26</v>
      </c>
      <c r="E401" s="17">
        <v>8</v>
      </c>
    </row>
    <row r="402" spans="2:5">
      <c r="B402" s="37">
        <v>40269</v>
      </c>
      <c r="C402" s="17">
        <v>323795989.54000002</v>
      </c>
      <c r="D402" s="17" t="s">
        <v>16</v>
      </c>
      <c r="E402" s="17">
        <v>9</v>
      </c>
    </row>
    <row r="403" spans="2:5">
      <c r="B403" s="37">
        <v>40269</v>
      </c>
      <c r="C403" s="17">
        <v>298576656.37</v>
      </c>
      <c r="D403" s="17" t="s">
        <v>104</v>
      </c>
      <c r="E403" s="17">
        <v>10</v>
      </c>
    </row>
    <row r="404" spans="2:5">
      <c r="B404" s="37">
        <v>40299</v>
      </c>
      <c r="C404" s="17">
        <v>11166499668.83</v>
      </c>
      <c r="D404" s="17" t="s">
        <v>6</v>
      </c>
      <c r="E404" s="17">
        <v>1</v>
      </c>
    </row>
    <row r="405" spans="2:5">
      <c r="B405" s="37">
        <v>40299</v>
      </c>
      <c r="C405" s="17">
        <v>9302544959.0599995</v>
      </c>
      <c r="D405" s="17" t="s">
        <v>11</v>
      </c>
      <c r="E405" s="17">
        <v>2</v>
      </c>
    </row>
    <row r="406" spans="2:5">
      <c r="B406" s="37">
        <v>40299</v>
      </c>
      <c r="C406" s="17">
        <v>3428287759.0599999</v>
      </c>
      <c r="D406" s="17" t="s">
        <v>13</v>
      </c>
      <c r="E406" s="17">
        <v>3</v>
      </c>
    </row>
    <row r="407" spans="2:5">
      <c r="B407" s="37">
        <v>40299</v>
      </c>
      <c r="C407" s="17">
        <v>969831152.08000004</v>
      </c>
      <c r="D407" s="17" t="s">
        <v>19</v>
      </c>
      <c r="E407" s="17">
        <v>4</v>
      </c>
    </row>
    <row r="408" spans="2:5">
      <c r="B408" s="37">
        <v>40299</v>
      </c>
      <c r="C408" s="17">
        <v>891452113.00999999</v>
      </c>
      <c r="D408" s="17" t="s">
        <v>8</v>
      </c>
      <c r="E408" s="17">
        <v>5</v>
      </c>
    </row>
    <row r="409" spans="2:5">
      <c r="B409" s="37">
        <v>40299</v>
      </c>
      <c r="C409" s="17">
        <v>882152691.83000004</v>
      </c>
      <c r="D409" s="17" t="s">
        <v>5</v>
      </c>
      <c r="E409" s="17">
        <v>6</v>
      </c>
    </row>
    <row r="410" spans="2:5">
      <c r="B410" s="37">
        <v>40299</v>
      </c>
      <c r="C410" s="17">
        <v>372565627.99000001</v>
      </c>
      <c r="D410" s="17" t="s">
        <v>26</v>
      </c>
      <c r="E410" s="17">
        <v>7</v>
      </c>
    </row>
    <row r="411" spans="2:5">
      <c r="B411" s="37">
        <v>40299</v>
      </c>
      <c r="C411" s="17">
        <v>365974002.43000001</v>
      </c>
      <c r="D411" s="17" t="s">
        <v>104</v>
      </c>
      <c r="E411" s="17">
        <v>8</v>
      </c>
    </row>
    <row r="412" spans="2:5">
      <c r="B412" s="37">
        <v>40299</v>
      </c>
      <c r="C412" s="17">
        <v>310279725.27999997</v>
      </c>
      <c r="D412" s="17" t="s">
        <v>37</v>
      </c>
      <c r="E412" s="17">
        <v>9</v>
      </c>
    </row>
    <row r="413" spans="2:5">
      <c r="B413" s="37">
        <v>40299</v>
      </c>
      <c r="C413" s="17">
        <v>296704697.94</v>
      </c>
      <c r="D413" s="17" t="s">
        <v>16</v>
      </c>
      <c r="E413" s="17">
        <v>10</v>
      </c>
    </row>
    <row r="414" spans="2:5">
      <c r="B414" s="37">
        <v>40330</v>
      </c>
      <c r="C414" s="17">
        <v>10245994592.219999</v>
      </c>
      <c r="D414" s="17" t="s">
        <v>6</v>
      </c>
      <c r="E414" s="17">
        <v>1</v>
      </c>
    </row>
    <row r="415" spans="2:5">
      <c r="B415" s="37">
        <v>40330</v>
      </c>
      <c r="C415" s="17">
        <v>9498319404.9200001</v>
      </c>
      <c r="D415" s="17" t="s">
        <v>11</v>
      </c>
      <c r="E415" s="17">
        <v>2</v>
      </c>
    </row>
    <row r="416" spans="2:5">
      <c r="B416" s="37">
        <v>40330</v>
      </c>
      <c r="C416" s="17">
        <v>3497307421.0799999</v>
      </c>
      <c r="D416" s="17" t="s">
        <v>13</v>
      </c>
      <c r="E416" s="17">
        <v>3</v>
      </c>
    </row>
    <row r="417" spans="2:5">
      <c r="B417" s="37">
        <v>40330</v>
      </c>
      <c r="C417" s="17">
        <v>1347140443.1199999</v>
      </c>
      <c r="D417" s="17" t="s">
        <v>19</v>
      </c>
      <c r="E417" s="17">
        <v>4</v>
      </c>
    </row>
    <row r="418" spans="2:5">
      <c r="B418" s="37">
        <v>40330</v>
      </c>
      <c r="C418" s="17">
        <v>1138166493.54</v>
      </c>
      <c r="D418" s="17" t="s">
        <v>8</v>
      </c>
      <c r="E418" s="17">
        <v>5</v>
      </c>
    </row>
    <row r="419" spans="2:5">
      <c r="B419" s="37">
        <v>40330</v>
      </c>
      <c r="C419" s="17">
        <v>814127661.30999994</v>
      </c>
      <c r="D419" s="17" t="s">
        <v>5</v>
      </c>
      <c r="E419" s="17">
        <v>6</v>
      </c>
    </row>
    <row r="420" spans="2:5">
      <c r="B420" s="37">
        <v>40330</v>
      </c>
      <c r="C420" s="17">
        <v>420459196.05000001</v>
      </c>
      <c r="D420" s="17" t="s">
        <v>37</v>
      </c>
      <c r="E420" s="17">
        <v>7</v>
      </c>
    </row>
    <row r="421" spans="2:5">
      <c r="B421" s="37">
        <v>40330</v>
      </c>
      <c r="C421" s="17">
        <v>371789062.98000002</v>
      </c>
      <c r="D421" s="17" t="s">
        <v>26</v>
      </c>
      <c r="E421" s="17">
        <v>8</v>
      </c>
    </row>
    <row r="422" spans="2:5">
      <c r="B422" s="37">
        <v>40330</v>
      </c>
      <c r="C422" s="17">
        <v>343441962.49000001</v>
      </c>
      <c r="D422" s="17" t="s">
        <v>104</v>
      </c>
      <c r="E422" s="17">
        <v>9</v>
      </c>
    </row>
    <row r="423" spans="2:5">
      <c r="B423" s="37">
        <v>40330</v>
      </c>
      <c r="C423" s="17">
        <v>322044367.27999997</v>
      </c>
      <c r="D423" s="17" t="s">
        <v>16</v>
      </c>
      <c r="E423" s="17">
        <v>10</v>
      </c>
    </row>
    <row r="424" spans="2:5">
      <c r="B424" s="37">
        <v>40360</v>
      </c>
      <c r="C424" s="17">
        <v>11078139845.860001</v>
      </c>
      <c r="D424" s="17" t="s">
        <v>11</v>
      </c>
      <c r="E424" s="17">
        <v>1</v>
      </c>
    </row>
    <row r="425" spans="2:5">
      <c r="B425" s="37">
        <v>40360</v>
      </c>
      <c r="C425" s="17">
        <v>10783429242.02</v>
      </c>
      <c r="D425" s="17" t="s">
        <v>6</v>
      </c>
      <c r="E425" s="17">
        <v>2</v>
      </c>
    </row>
    <row r="426" spans="2:5">
      <c r="B426" s="37">
        <v>40360</v>
      </c>
      <c r="C426" s="17">
        <v>2800939976.8000002</v>
      </c>
      <c r="D426" s="17" t="s">
        <v>13</v>
      </c>
      <c r="E426" s="17">
        <v>3</v>
      </c>
    </row>
    <row r="427" spans="2:5">
      <c r="B427" s="37">
        <v>40360</v>
      </c>
      <c r="C427" s="17">
        <v>1362875318.2</v>
      </c>
      <c r="D427" s="17" t="s">
        <v>19</v>
      </c>
      <c r="E427" s="17">
        <v>4</v>
      </c>
    </row>
    <row r="428" spans="2:5">
      <c r="B428" s="37">
        <v>40360</v>
      </c>
      <c r="C428" s="17">
        <v>1239448895.73</v>
      </c>
      <c r="D428" s="17" t="s">
        <v>8</v>
      </c>
      <c r="E428" s="17">
        <v>5</v>
      </c>
    </row>
    <row r="429" spans="2:5">
      <c r="B429" s="37">
        <v>40360</v>
      </c>
      <c r="C429" s="17">
        <v>752974986.41999996</v>
      </c>
      <c r="D429" s="17" t="s">
        <v>5</v>
      </c>
      <c r="E429" s="17">
        <v>6</v>
      </c>
    </row>
    <row r="430" spans="2:5">
      <c r="B430" s="37">
        <v>40360</v>
      </c>
      <c r="C430" s="17">
        <v>447512787.55000001</v>
      </c>
      <c r="D430" s="17" t="s">
        <v>37</v>
      </c>
      <c r="E430" s="17">
        <v>7</v>
      </c>
    </row>
    <row r="431" spans="2:5">
      <c r="B431" s="37">
        <v>40360</v>
      </c>
      <c r="C431" s="17">
        <v>332101067.66000003</v>
      </c>
      <c r="D431" s="17" t="s">
        <v>10</v>
      </c>
      <c r="E431" s="17">
        <v>8</v>
      </c>
    </row>
    <row r="432" spans="2:5">
      <c r="B432" s="37">
        <v>40360</v>
      </c>
      <c r="C432" s="17">
        <v>329344468.70999998</v>
      </c>
      <c r="D432" s="17" t="s">
        <v>57</v>
      </c>
      <c r="E432" s="17">
        <v>9</v>
      </c>
    </row>
    <row r="433" spans="2:5">
      <c r="B433" s="37">
        <v>40360</v>
      </c>
      <c r="C433" s="17">
        <v>322707499.31999999</v>
      </c>
      <c r="D433" s="17" t="s">
        <v>26</v>
      </c>
      <c r="E433" s="17">
        <v>10</v>
      </c>
    </row>
    <row r="434" spans="2:5">
      <c r="B434" s="37">
        <v>40391</v>
      </c>
      <c r="C434" s="17">
        <v>10171561922.290001</v>
      </c>
      <c r="D434" s="17" t="s">
        <v>6</v>
      </c>
      <c r="E434" s="17">
        <v>1</v>
      </c>
    </row>
    <row r="435" spans="2:5">
      <c r="B435" s="37">
        <v>40391</v>
      </c>
      <c r="C435" s="17">
        <v>9550338694.2700005</v>
      </c>
      <c r="D435" s="17" t="s">
        <v>11</v>
      </c>
      <c r="E435" s="17">
        <v>2</v>
      </c>
    </row>
    <row r="436" spans="2:5">
      <c r="B436" s="37">
        <v>40391</v>
      </c>
      <c r="C436" s="17">
        <v>2570331926.04</v>
      </c>
      <c r="D436" s="17" t="s">
        <v>13</v>
      </c>
      <c r="E436" s="17">
        <v>3</v>
      </c>
    </row>
    <row r="437" spans="2:5">
      <c r="B437" s="37">
        <v>40391</v>
      </c>
      <c r="C437" s="17">
        <v>1455539996.6099999</v>
      </c>
      <c r="D437" s="17" t="s">
        <v>19</v>
      </c>
      <c r="E437" s="17">
        <v>4</v>
      </c>
    </row>
    <row r="438" spans="2:5">
      <c r="B438" s="37">
        <v>40391</v>
      </c>
      <c r="C438" s="17">
        <v>1349432870.1500001</v>
      </c>
      <c r="D438" s="17" t="s">
        <v>8</v>
      </c>
      <c r="E438" s="17">
        <v>5</v>
      </c>
    </row>
    <row r="439" spans="2:5">
      <c r="B439" s="37">
        <v>40391</v>
      </c>
      <c r="C439" s="17">
        <v>655199068.88999999</v>
      </c>
      <c r="D439" s="17" t="s">
        <v>5</v>
      </c>
      <c r="E439" s="17">
        <v>6</v>
      </c>
    </row>
    <row r="440" spans="2:5">
      <c r="B440" s="37">
        <v>40391</v>
      </c>
      <c r="C440" s="17">
        <v>470472734.94</v>
      </c>
      <c r="D440" s="17" t="s">
        <v>10</v>
      </c>
      <c r="E440" s="17">
        <v>7</v>
      </c>
    </row>
    <row r="441" spans="2:5">
      <c r="B441" s="37">
        <v>40391</v>
      </c>
      <c r="C441" s="17">
        <v>439047096.98000002</v>
      </c>
      <c r="D441" s="17" t="s">
        <v>26</v>
      </c>
      <c r="E441" s="17">
        <v>8</v>
      </c>
    </row>
    <row r="442" spans="2:5">
      <c r="B442" s="37">
        <v>40391</v>
      </c>
      <c r="C442" s="17">
        <v>420823599.52999997</v>
      </c>
      <c r="D442" s="17" t="s">
        <v>37</v>
      </c>
      <c r="E442" s="17">
        <v>9</v>
      </c>
    </row>
    <row r="443" spans="2:5">
      <c r="B443" s="37">
        <v>40391</v>
      </c>
      <c r="C443" s="17">
        <v>304547440.54000002</v>
      </c>
      <c r="D443" s="17" t="s">
        <v>4</v>
      </c>
      <c r="E443" s="17">
        <v>10</v>
      </c>
    </row>
    <row r="444" spans="2:5">
      <c r="B444" s="37">
        <v>40422</v>
      </c>
      <c r="C444" s="17">
        <v>10352868746.57</v>
      </c>
      <c r="D444" s="17" t="s">
        <v>11</v>
      </c>
      <c r="E444" s="17">
        <v>1</v>
      </c>
    </row>
    <row r="445" spans="2:5">
      <c r="B445" s="37">
        <v>40422</v>
      </c>
      <c r="C445" s="17">
        <v>8958109334.6299992</v>
      </c>
      <c r="D445" s="17" t="s">
        <v>6</v>
      </c>
      <c r="E445" s="17">
        <v>2</v>
      </c>
    </row>
    <row r="446" spans="2:5">
      <c r="B446" s="37">
        <v>40422</v>
      </c>
      <c r="C446" s="17">
        <v>2647347440.21</v>
      </c>
      <c r="D446" s="17" t="s">
        <v>13</v>
      </c>
      <c r="E446" s="17">
        <v>3</v>
      </c>
    </row>
    <row r="447" spans="2:5">
      <c r="B447" s="37">
        <v>40422</v>
      </c>
      <c r="C447" s="17">
        <v>1637896727.54</v>
      </c>
      <c r="D447" s="17" t="s">
        <v>19</v>
      </c>
      <c r="E447" s="17">
        <v>4</v>
      </c>
    </row>
    <row r="448" spans="2:5">
      <c r="B448" s="37">
        <v>40422</v>
      </c>
      <c r="C448" s="17">
        <v>1265660155.29</v>
      </c>
      <c r="D448" s="17" t="s">
        <v>8</v>
      </c>
      <c r="E448" s="17">
        <v>5</v>
      </c>
    </row>
    <row r="449" spans="2:5">
      <c r="B449" s="37">
        <v>40422</v>
      </c>
      <c r="C449" s="17">
        <v>925920041.42999995</v>
      </c>
      <c r="D449" s="17" t="s">
        <v>5</v>
      </c>
      <c r="E449" s="17">
        <v>6</v>
      </c>
    </row>
    <row r="450" spans="2:5">
      <c r="B450" s="37">
        <v>40422</v>
      </c>
      <c r="C450" s="17">
        <v>866695910.67999995</v>
      </c>
      <c r="D450" s="17" t="s">
        <v>10</v>
      </c>
      <c r="E450" s="17">
        <v>7</v>
      </c>
    </row>
    <row r="451" spans="2:5">
      <c r="B451" s="37">
        <v>40422</v>
      </c>
      <c r="C451" s="17">
        <v>346572111.54000002</v>
      </c>
      <c r="D451" s="17" t="s">
        <v>26</v>
      </c>
      <c r="E451" s="17">
        <v>8</v>
      </c>
    </row>
    <row r="452" spans="2:5">
      <c r="B452" s="37">
        <v>40422</v>
      </c>
      <c r="C452" s="17">
        <v>338350374.83999997</v>
      </c>
      <c r="D452" s="17" t="s">
        <v>4</v>
      </c>
      <c r="E452" s="17">
        <v>9</v>
      </c>
    </row>
    <row r="453" spans="2:5">
      <c r="B453" s="37">
        <v>40422</v>
      </c>
      <c r="C453" s="17">
        <v>303834401.94</v>
      </c>
      <c r="D453" s="17" t="s">
        <v>28</v>
      </c>
      <c r="E453" s="17">
        <v>10</v>
      </c>
    </row>
    <row r="454" spans="2:5">
      <c r="B454" s="37">
        <v>40452</v>
      </c>
      <c r="C454" s="17">
        <v>9784331441.9799995</v>
      </c>
      <c r="D454" s="17" t="s">
        <v>6</v>
      </c>
      <c r="E454" s="17">
        <v>1</v>
      </c>
    </row>
    <row r="455" spans="2:5">
      <c r="B455" s="37">
        <v>40452</v>
      </c>
      <c r="C455" s="17">
        <v>9694766233.9400005</v>
      </c>
      <c r="D455" s="17" t="s">
        <v>11</v>
      </c>
      <c r="E455" s="17">
        <v>2</v>
      </c>
    </row>
    <row r="456" spans="2:5">
      <c r="B456" s="37">
        <v>40452</v>
      </c>
      <c r="C456" s="17">
        <v>1978334271.0999999</v>
      </c>
      <c r="D456" s="17" t="s">
        <v>13</v>
      </c>
      <c r="E456" s="17">
        <v>3</v>
      </c>
    </row>
    <row r="457" spans="2:5">
      <c r="B457" s="37">
        <v>40452</v>
      </c>
      <c r="C457" s="17">
        <v>1500074508.27</v>
      </c>
      <c r="D457" s="17" t="s">
        <v>4</v>
      </c>
      <c r="E457" s="17">
        <v>4</v>
      </c>
    </row>
    <row r="458" spans="2:5">
      <c r="B458" s="37">
        <v>40452</v>
      </c>
      <c r="C458" s="17">
        <v>1433374628.02</v>
      </c>
      <c r="D458" s="17" t="s">
        <v>8</v>
      </c>
      <c r="E458" s="17">
        <v>5</v>
      </c>
    </row>
    <row r="459" spans="2:5">
      <c r="B459" s="37">
        <v>40452</v>
      </c>
      <c r="C459" s="17">
        <v>1294824250.4200001</v>
      </c>
      <c r="D459" s="17" t="s">
        <v>19</v>
      </c>
      <c r="E459" s="17">
        <v>6</v>
      </c>
    </row>
    <row r="460" spans="2:5">
      <c r="B460" s="37">
        <v>40452</v>
      </c>
      <c r="C460" s="17">
        <v>1050556462.1900001</v>
      </c>
      <c r="D460" s="17" t="s">
        <v>5</v>
      </c>
      <c r="E460" s="17">
        <v>7</v>
      </c>
    </row>
    <row r="461" spans="2:5">
      <c r="B461" s="37">
        <v>40452</v>
      </c>
      <c r="C461" s="17">
        <v>335872685.36000001</v>
      </c>
      <c r="D461" s="17" t="s">
        <v>37</v>
      </c>
      <c r="E461" s="17">
        <v>8</v>
      </c>
    </row>
    <row r="462" spans="2:5">
      <c r="B462" s="37">
        <v>40452</v>
      </c>
      <c r="C462" s="17">
        <v>331443465.35000002</v>
      </c>
      <c r="D462" s="17" t="s">
        <v>57</v>
      </c>
      <c r="E462" s="17">
        <v>9</v>
      </c>
    </row>
    <row r="463" spans="2:5">
      <c r="B463" s="37">
        <v>40452</v>
      </c>
      <c r="C463" s="17">
        <v>322974816.99000001</v>
      </c>
      <c r="D463" s="17" t="s">
        <v>105</v>
      </c>
      <c r="E463" s="17">
        <v>10</v>
      </c>
    </row>
    <row r="464" spans="2:5">
      <c r="B464" s="37">
        <v>40483</v>
      </c>
      <c r="C464" s="17">
        <v>9449755251.1200008</v>
      </c>
      <c r="D464" s="17" t="s">
        <v>6</v>
      </c>
      <c r="E464" s="17">
        <v>1</v>
      </c>
    </row>
    <row r="465" spans="2:5">
      <c r="B465" s="37">
        <v>40483</v>
      </c>
      <c r="C465" s="17">
        <v>9426168566.3199997</v>
      </c>
      <c r="D465" s="17" t="s">
        <v>11</v>
      </c>
      <c r="E465" s="17">
        <v>2</v>
      </c>
    </row>
    <row r="466" spans="2:5">
      <c r="B466" s="37">
        <v>40483</v>
      </c>
      <c r="C466" s="17">
        <v>1979944390.26</v>
      </c>
      <c r="D466" s="17" t="s">
        <v>13</v>
      </c>
      <c r="E466" s="17">
        <v>3</v>
      </c>
    </row>
    <row r="467" spans="2:5">
      <c r="B467" s="37">
        <v>40483</v>
      </c>
      <c r="C467" s="17">
        <v>1631053384.3</v>
      </c>
      <c r="D467" s="17" t="s">
        <v>5</v>
      </c>
      <c r="E467" s="17">
        <v>4</v>
      </c>
    </row>
    <row r="468" spans="2:5">
      <c r="B468" s="37">
        <v>40483</v>
      </c>
      <c r="C468" s="17">
        <v>1148313338.1700001</v>
      </c>
      <c r="D468" s="17" t="s">
        <v>8</v>
      </c>
      <c r="E468" s="17">
        <v>5</v>
      </c>
    </row>
    <row r="469" spans="2:5">
      <c r="B469" s="37">
        <v>40483</v>
      </c>
      <c r="C469" s="17">
        <v>983765087.01999998</v>
      </c>
      <c r="D469" s="17" t="s">
        <v>19</v>
      </c>
      <c r="E469" s="17">
        <v>6</v>
      </c>
    </row>
    <row r="470" spans="2:5">
      <c r="B470" s="37">
        <v>40483</v>
      </c>
      <c r="C470" s="17">
        <v>824298715.08000004</v>
      </c>
      <c r="D470" s="17" t="s">
        <v>10</v>
      </c>
      <c r="E470" s="17">
        <v>7</v>
      </c>
    </row>
    <row r="471" spans="2:5">
      <c r="B471" s="37">
        <v>40483</v>
      </c>
      <c r="C471" s="17">
        <v>502715959.76999998</v>
      </c>
      <c r="D471" s="17" t="s">
        <v>57</v>
      </c>
      <c r="E471" s="17">
        <v>8</v>
      </c>
    </row>
    <row r="472" spans="2:5">
      <c r="B472" s="37">
        <v>40483</v>
      </c>
      <c r="C472" s="17">
        <v>477716620.51999998</v>
      </c>
      <c r="D472" s="17" t="s">
        <v>4</v>
      </c>
      <c r="E472" s="17">
        <v>9</v>
      </c>
    </row>
    <row r="473" spans="2:5">
      <c r="B473" s="37">
        <v>40483</v>
      </c>
      <c r="C473" s="17">
        <v>360386207.33999997</v>
      </c>
      <c r="D473" s="17" t="s">
        <v>105</v>
      </c>
      <c r="E473" s="17">
        <v>10</v>
      </c>
    </row>
    <row r="474" spans="2:5">
      <c r="B474" s="37">
        <v>40513</v>
      </c>
      <c r="C474" s="17">
        <v>11196638571.49</v>
      </c>
      <c r="D474" s="17" t="s">
        <v>11</v>
      </c>
      <c r="E474" s="17">
        <v>1</v>
      </c>
    </row>
    <row r="475" spans="2:5">
      <c r="B475" s="37">
        <v>40513</v>
      </c>
      <c r="C475" s="17">
        <v>7361046437.6000004</v>
      </c>
      <c r="D475" s="17" t="s">
        <v>6</v>
      </c>
      <c r="E475" s="17">
        <v>2</v>
      </c>
    </row>
    <row r="476" spans="2:5">
      <c r="B476" s="37">
        <v>40513</v>
      </c>
      <c r="C476" s="17">
        <v>2306715354.8200002</v>
      </c>
      <c r="D476" s="17" t="s">
        <v>13</v>
      </c>
      <c r="E476" s="17">
        <v>3</v>
      </c>
    </row>
    <row r="477" spans="2:5">
      <c r="B477" s="37">
        <v>40513</v>
      </c>
      <c r="C477" s="17">
        <v>1286757113.47</v>
      </c>
      <c r="D477" s="17" t="s">
        <v>8</v>
      </c>
      <c r="E477" s="17">
        <v>4</v>
      </c>
    </row>
    <row r="478" spans="2:5">
      <c r="B478" s="37">
        <v>40513</v>
      </c>
      <c r="C478" s="17">
        <v>1125922984.8900001</v>
      </c>
      <c r="D478" s="17" t="s">
        <v>5</v>
      </c>
      <c r="E478" s="17">
        <v>5</v>
      </c>
    </row>
    <row r="479" spans="2:5">
      <c r="B479" s="37">
        <v>40513</v>
      </c>
      <c r="C479" s="17">
        <v>885410229.37</v>
      </c>
      <c r="D479" s="17" t="s">
        <v>19</v>
      </c>
      <c r="E479" s="17">
        <v>6</v>
      </c>
    </row>
    <row r="480" spans="2:5">
      <c r="B480" s="37">
        <v>40513</v>
      </c>
      <c r="C480" s="17">
        <v>597692283.73000002</v>
      </c>
      <c r="D480" s="17" t="s">
        <v>57</v>
      </c>
      <c r="E480" s="17">
        <v>7</v>
      </c>
    </row>
    <row r="481" spans="2:5">
      <c r="B481" s="37">
        <v>40513</v>
      </c>
      <c r="C481" s="17">
        <v>559653849.83000004</v>
      </c>
      <c r="D481" s="17" t="s">
        <v>4</v>
      </c>
      <c r="E481" s="17">
        <v>8</v>
      </c>
    </row>
    <row r="482" spans="2:5">
      <c r="B482" s="37">
        <v>40513</v>
      </c>
      <c r="C482" s="17">
        <v>544279623.12</v>
      </c>
      <c r="D482" s="17" t="s">
        <v>10</v>
      </c>
      <c r="E482" s="17">
        <v>9</v>
      </c>
    </row>
    <row r="483" spans="2:5">
      <c r="B483" s="37">
        <v>40513</v>
      </c>
      <c r="C483" s="17">
        <v>465068126</v>
      </c>
      <c r="D483" s="17" t="s">
        <v>103</v>
      </c>
      <c r="E483" s="17">
        <v>10</v>
      </c>
    </row>
    <row r="484" spans="2:5">
      <c r="B484" s="37">
        <v>40544</v>
      </c>
      <c r="C484" s="17">
        <v>11191306140.16</v>
      </c>
      <c r="D484" s="17" t="s">
        <v>11</v>
      </c>
      <c r="E484" s="17">
        <v>1</v>
      </c>
    </row>
    <row r="485" spans="2:5">
      <c r="B485" s="37">
        <v>40544</v>
      </c>
      <c r="C485" s="17">
        <v>9319595229.7099991</v>
      </c>
      <c r="D485" s="17" t="s">
        <v>6</v>
      </c>
      <c r="E485" s="17">
        <v>2</v>
      </c>
    </row>
    <row r="486" spans="2:5">
      <c r="B486" s="37">
        <v>40544</v>
      </c>
      <c r="C486" s="17">
        <v>1851001705.04</v>
      </c>
      <c r="D486" s="17" t="s">
        <v>13</v>
      </c>
      <c r="E486" s="17">
        <v>3</v>
      </c>
    </row>
    <row r="487" spans="2:5">
      <c r="B487" s="37">
        <v>40544</v>
      </c>
      <c r="C487" s="17">
        <v>1331286404.53</v>
      </c>
      <c r="D487" s="17" t="s">
        <v>5</v>
      </c>
      <c r="E487" s="17">
        <v>4</v>
      </c>
    </row>
    <row r="488" spans="2:5">
      <c r="B488" s="37">
        <v>40544</v>
      </c>
      <c r="C488" s="17">
        <v>1132061275.4000001</v>
      </c>
      <c r="D488" s="17" t="s">
        <v>8</v>
      </c>
      <c r="E488" s="17">
        <v>5</v>
      </c>
    </row>
    <row r="489" spans="2:5">
      <c r="B489" s="37">
        <v>40544</v>
      </c>
      <c r="C489" s="17">
        <v>850078336.94000006</v>
      </c>
      <c r="D489" s="17" t="s">
        <v>19</v>
      </c>
      <c r="E489" s="17">
        <v>6</v>
      </c>
    </row>
    <row r="490" spans="2:5">
      <c r="B490" s="37">
        <v>40544</v>
      </c>
      <c r="C490" s="17">
        <v>569248880.77999997</v>
      </c>
      <c r="D490" s="17" t="s">
        <v>57</v>
      </c>
      <c r="E490" s="17">
        <v>7</v>
      </c>
    </row>
    <row r="491" spans="2:5">
      <c r="B491" s="37">
        <v>40544</v>
      </c>
      <c r="C491" s="17">
        <v>569094714.59000003</v>
      </c>
      <c r="D491" s="17" t="s">
        <v>10</v>
      </c>
      <c r="E491" s="17">
        <v>8</v>
      </c>
    </row>
    <row r="492" spans="2:5">
      <c r="B492" s="37">
        <v>40544</v>
      </c>
      <c r="C492" s="17">
        <v>478842165.73000002</v>
      </c>
      <c r="D492" s="17" t="s">
        <v>4</v>
      </c>
      <c r="E492" s="17">
        <v>9</v>
      </c>
    </row>
    <row r="493" spans="2:5">
      <c r="B493" s="37">
        <v>40544</v>
      </c>
      <c r="C493" s="17">
        <v>334179830.94999999</v>
      </c>
      <c r="D493" s="17" t="s">
        <v>28</v>
      </c>
      <c r="E493" s="17">
        <v>10</v>
      </c>
    </row>
    <row r="494" spans="2:5">
      <c r="B494" s="37">
        <v>40575</v>
      </c>
      <c r="C494" s="17">
        <v>8086549745.5299997</v>
      </c>
      <c r="D494" s="17" t="s">
        <v>11</v>
      </c>
      <c r="E494" s="17">
        <v>1</v>
      </c>
    </row>
    <row r="495" spans="2:5">
      <c r="B495" s="37">
        <v>40575</v>
      </c>
      <c r="C495" s="17">
        <v>6689822178.4700003</v>
      </c>
      <c r="D495" s="17" t="s">
        <v>6</v>
      </c>
      <c r="E495" s="17">
        <v>2</v>
      </c>
    </row>
    <row r="496" spans="2:5">
      <c r="B496" s="37">
        <v>40575</v>
      </c>
      <c r="C496" s="17">
        <v>1372185497.1700001</v>
      </c>
      <c r="D496" s="17" t="s">
        <v>13</v>
      </c>
      <c r="E496" s="17">
        <v>3</v>
      </c>
    </row>
    <row r="497" spans="2:5">
      <c r="B497" s="37">
        <v>40575</v>
      </c>
      <c r="C497" s="17">
        <v>1023295271.24</v>
      </c>
      <c r="D497" s="17" t="s">
        <v>5</v>
      </c>
      <c r="E497" s="17">
        <v>4</v>
      </c>
    </row>
    <row r="498" spans="2:5">
      <c r="B498" s="37">
        <v>40575</v>
      </c>
      <c r="C498" s="17">
        <v>877839175.03999996</v>
      </c>
      <c r="D498" s="17" t="s">
        <v>8</v>
      </c>
      <c r="E498" s="17">
        <v>5</v>
      </c>
    </row>
    <row r="499" spans="2:5">
      <c r="B499" s="37">
        <v>40575</v>
      </c>
      <c r="C499" s="17">
        <v>586572474.48000002</v>
      </c>
      <c r="D499" s="17" t="s">
        <v>19</v>
      </c>
      <c r="E499" s="17">
        <v>6</v>
      </c>
    </row>
    <row r="500" spans="2:5">
      <c r="B500" s="37">
        <v>40575</v>
      </c>
      <c r="C500" s="17">
        <v>401390903.76999998</v>
      </c>
      <c r="D500" s="17" t="s">
        <v>57</v>
      </c>
      <c r="E500" s="17">
        <v>7</v>
      </c>
    </row>
    <row r="501" spans="2:5">
      <c r="B501" s="37">
        <v>40575</v>
      </c>
      <c r="C501" s="17">
        <v>400450698.25</v>
      </c>
      <c r="D501" s="17" t="s">
        <v>10</v>
      </c>
      <c r="E501" s="17">
        <v>8</v>
      </c>
    </row>
    <row r="502" spans="2:5">
      <c r="B502" s="37">
        <v>40575</v>
      </c>
      <c r="C502" s="17">
        <v>225131348.52000001</v>
      </c>
      <c r="D502" s="17" t="s">
        <v>28</v>
      </c>
      <c r="E502" s="17">
        <v>9</v>
      </c>
    </row>
    <row r="503" spans="2:5">
      <c r="B503" s="37">
        <v>40575</v>
      </c>
      <c r="C503" s="17">
        <v>221844243.33000001</v>
      </c>
      <c r="D503" s="17" t="s">
        <v>16</v>
      </c>
      <c r="E503" s="17">
        <v>10</v>
      </c>
    </row>
    <row r="504" spans="2:5">
      <c r="B504" s="37">
        <v>40603</v>
      </c>
      <c r="C504" s="17">
        <v>7142348227.9899998</v>
      </c>
      <c r="D504" s="17" t="s">
        <v>11</v>
      </c>
      <c r="E504" s="17">
        <v>1</v>
      </c>
    </row>
    <row r="505" spans="2:5">
      <c r="B505" s="37">
        <v>40603</v>
      </c>
      <c r="C505" s="17">
        <v>6007798721.3000002</v>
      </c>
      <c r="D505" s="17" t="s">
        <v>6</v>
      </c>
      <c r="E505" s="17">
        <v>2</v>
      </c>
    </row>
    <row r="506" spans="2:5">
      <c r="B506" s="37">
        <v>40603</v>
      </c>
      <c r="C506" s="17">
        <v>1753403082.3800001</v>
      </c>
      <c r="D506" s="17" t="s">
        <v>13</v>
      </c>
      <c r="E506" s="17">
        <v>3</v>
      </c>
    </row>
    <row r="507" spans="2:5">
      <c r="B507" s="37">
        <v>40603</v>
      </c>
      <c r="C507" s="17">
        <v>734838771.58000004</v>
      </c>
      <c r="D507" s="17" t="s">
        <v>8</v>
      </c>
      <c r="E507" s="17">
        <v>4</v>
      </c>
    </row>
    <row r="508" spans="2:5">
      <c r="B508" s="37">
        <v>40603</v>
      </c>
      <c r="C508" s="17">
        <v>617304975.21000004</v>
      </c>
      <c r="D508" s="17" t="s">
        <v>5</v>
      </c>
      <c r="E508" s="17">
        <v>5</v>
      </c>
    </row>
    <row r="509" spans="2:5">
      <c r="B509" s="37">
        <v>40603</v>
      </c>
      <c r="C509" s="17">
        <v>461329605.54000002</v>
      </c>
      <c r="D509" s="17" t="s">
        <v>19</v>
      </c>
      <c r="E509" s="17">
        <v>6</v>
      </c>
    </row>
    <row r="510" spans="2:5">
      <c r="B510" s="37">
        <v>40603</v>
      </c>
      <c r="C510" s="17">
        <v>361728307.54000002</v>
      </c>
      <c r="D510" s="17" t="s">
        <v>57</v>
      </c>
      <c r="E510" s="17">
        <v>7</v>
      </c>
    </row>
    <row r="511" spans="2:5">
      <c r="B511" s="37">
        <v>40603</v>
      </c>
      <c r="C511" s="17">
        <v>356086663.95999998</v>
      </c>
      <c r="D511" s="17" t="s">
        <v>10</v>
      </c>
      <c r="E511" s="17">
        <v>8</v>
      </c>
    </row>
    <row r="512" spans="2:5">
      <c r="B512" s="37">
        <v>40603</v>
      </c>
      <c r="C512" s="17">
        <v>332945590.33999997</v>
      </c>
      <c r="D512" s="17" t="s">
        <v>4</v>
      </c>
      <c r="E512" s="17">
        <v>9</v>
      </c>
    </row>
    <row r="513" spans="2:5">
      <c r="B513" s="37">
        <v>40603</v>
      </c>
      <c r="C513" s="17">
        <v>311643297.69</v>
      </c>
      <c r="D513" s="17" t="s">
        <v>104</v>
      </c>
      <c r="E513" s="17">
        <v>10</v>
      </c>
    </row>
    <row r="514" spans="2:5">
      <c r="B514" s="37">
        <v>40634</v>
      </c>
      <c r="C514" s="17">
        <v>7487569923.4700003</v>
      </c>
      <c r="D514" s="17" t="s">
        <v>11</v>
      </c>
      <c r="E514" s="17">
        <v>1</v>
      </c>
    </row>
    <row r="515" spans="2:5">
      <c r="B515" s="37">
        <v>40634</v>
      </c>
      <c r="C515" s="17">
        <v>6126395282.5699997</v>
      </c>
      <c r="D515" s="17" t="s">
        <v>6</v>
      </c>
      <c r="E515" s="17">
        <v>2</v>
      </c>
    </row>
    <row r="516" spans="2:5">
      <c r="B516" s="37">
        <v>40634</v>
      </c>
      <c r="C516" s="17">
        <v>1880752425.6500001</v>
      </c>
      <c r="D516" s="17" t="s">
        <v>13</v>
      </c>
      <c r="E516" s="17">
        <v>3</v>
      </c>
    </row>
    <row r="517" spans="2:5">
      <c r="B517" s="37">
        <v>40634</v>
      </c>
      <c r="C517" s="17">
        <v>752376209.79999995</v>
      </c>
      <c r="D517" s="17" t="s">
        <v>8</v>
      </c>
      <c r="E517" s="17">
        <v>4</v>
      </c>
    </row>
    <row r="518" spans="2:5">
      <c r="B518" s="37">
        <v>40634</v>
      </c>
      <c r="C518" s="17">
        <v>697585219.14999998</v>
      </c>
      <c r="D518" s="17" t="s">
        <v>5</v>
      </c>
      <c r="E518" s="17">
        <v>5</v>
      </c>
    </row>
    <row r="519" spans="2:5">
      <c r="B519" s="37">
        <v>40634</v>
      </c>
      <c r="C519" s="17">
        <v>429929592.63</v>
      </c>
      <c r="D519" s="17" t="s">
        <v>57</v>
      </c>
      <c r="E519" s="17">
        <v>6</v>
      </c>
    </row>
    <row r="520" spans="2:5">
      <c r="B520" s="37">
        <v>40634</v>
      </c>
      <c r="C520" s="17">
        <v>428753507.79000002</v>
      </c>
      <c r="D520" s="17" t="s">
        <v>19</v>
      </c>
      <c r="E520" s="17">
        <v>7</v>
      </c>
    </row>
    <row r="521" spans="2:5">
      <c r="B521" s="37">
        <v>40634</v>
      </c>
      <c r="C521" s="17">
        <v>408263075</v>
      </c>
      <c r="D521" s="17" t="s">
        <v>10</v>
      </c>
      <c r="E521" s="17">
        <v>8</v>
      </c>
    </row>
    <row r="522" spans="2:5">
      <c r="B522" s="37">
        <v>40634</v>
      </c>
      <c r="C522" s="17">
        <v>265559087.28</v>
      </c>
      <c r="D522" s="17" t="s">
        <v>16</v>
      </c>
      <c r="E522" s="17">
        <v>9</v>
      </c>
    </row>
    <row r="523" spans="2:5">
      <c r="B523" s="37">
        <v>40634</v>
      </c>
      <c r="C523" s="17">
        <v>256401393.09</v>
      </c>
      <c r="D523" s="17" t="s">
        <v>4</v>
      </c>
      <c r="E523" s="17">
        <v>10</v>
      </c>
    </row>
    <row r="524" spans="2:5">
      <c r="B524" s="37">
        <v>40664</v>
      </c>
      <c r="C524" s="17">
        <v>7485893519.21</v>
      </c>
      <c r="D524" s="17" t="s">
        <v>11</v>
      </c>
      <c r="E524" s="17">
        <v>1</v>
      </c>
    </row>
    <row r="525" spans="2:5">
      <c r="B525" s="37">
        <v>40664</v>
      </c>
      <c r="C525" s="17">
        <v>5762927882.6199999</v>
      </c>
      <c r="D525" s="17" t="s">
        <v>6</v>
      </c>
      <c r="E525" s="17">
        <v>2</v>
      </c>
    </row>
    <row r="526" spans="2:5">
      <c r="B526" s="37">
        <v>40664</v>
      </c>
      <c r="C526" s="17">
        <v>2174406852.29</v>
      </c>
      <c r="D526" s="17" t="s">
        <v>13</v>
      </c>
      <c r="E526" s="17">
        <v>3</v>
      </c>
    </row>
    <row r="527" spans="2:5">
      <c r="B527" s="37">
        <v>40664</v>
      </c>
      <c r="C527" s="17">
        <v>608161197.64999998</v>
      </c>
      <c r="D527" s="17" t="s">
        <v>5</v>
      </c>
      <c r="E527" s="17">
        <v>4</v>
      </c>
    </row>
    <row r="528" spans="2:5">
      <c r="B528" s="37">
        <v>40664</v>
      </c>
      <c r="C528" s="17">
        <v>601958537.24000001</v>
      </c>
      <c r="D528" s="17" t="s">
        <v>8</v>
      </c>
      <c r="E528" s="17">
        <v>5</v>
      </c>
    </row>
    <row r="529" spans="2:5">
      <c r="B529" s="37">
        <v>40664</v>
      </c>
      <c r="C529" s="17">
        <v>459316864.63</v>
      </c>
      <c r="D529" s="17" t="s">
        <v>19</v>
      </c>
      <c r="E529" s="17">
        <v>6</v>
      </c>
    </row>
    <row r="530" spans="2:5">
      <c r="B530" s="37">
        <v>40664</v>
      </c>
      <c r="C530" s="17">
        <v>443605192.85000002</v>
      </c>
      <c r="D530" s="17" t="s">
        <v>57</v>
      </c>
      <c r="E530" s="17">
        <v>7</v>
      </c>
    </row>
    <row r="531" spans="2:5">
      <c r="B531" s="37">
        <v>40664</v>
      </c>
      <c r="C531" s="17">
        <v>408283252.47000003</v>
      </c>
      <c r="D531" s="17" t="s">
        <v>10</v>
      </c>
      <c r="E531" s="17">
        <v>8</v>
      </c>
    </row>
    <row r="532" spans="2:5">
      <c r="B532" s="37">
        <v>40664</v>
      </c>
      <c r="C532" s="17">
        <v>253253246.61000001</v>
      </c>
      <c r="D532" s="17" t="s">
        <v>16</v>
      </c>
      <c r="E532" s="17">
        <v>9</v>
      </c>
    </row>
    <row r="533" spans="2:5">
      <c r="B533" s="37">
        <v>40664</v>
      </c>
      <c r="C533" s="17">
        <v>244502094.09</v>
      </c>
      <c r="D533" s="17" t="s">
        <v>26</v>
      </c>
      <c r="E533" s="17">
        <v>10</v>
      </c>
    </row>
    <row r="534" spans="2:5">
      <c r="B534" s="37">
        <v>40695</v>
      </c>
      <c r="C534" s="17">
        <v>8037102017.3699999</v>
      </c>
      <c r="D534" s="17" t="s">
        <v>11</v>
      </c>
      <c r="E534" s="17">
        <v>1</v>
      </c>
    </row>
    <row r="535" spans="2:5">
      <c r="B535" s="37">
        <v>40695</v>
      </c>
      <c r="C535" s="17">
        <v>5798004838.9200001</v>
      </c>
      <c r="D535" s="17" t="s">
        <v>6</v>
      </c>
      <c r="E535" s="17">
        <v>2</v>
      </c>
    </row>
    <row r="536" spans="2:5">
      <c r="B536" s="37">
        <v>40695</v>
      </c>
      <c r="C536" s="17">
        <v>2263476542.2399998</v>
      </c>
      <c r="D536" s="17" t="s">
        <v>13</v>
      </c>
      <c r="E536" s="17">
        <v>3</v>
      </c>
    </row>
    <row r="537" spans="2:5">
      <c r="B537" s="37">
        <v>40695</v>
      </c>
      <c r="C537" s="17">
        <v>894123593.24000001</v>
      </c>
      <c r="D537" s="17" t="s">
        <v>5</v>
      </c>
      <c r="E537" s="17">
        <v>4</v>
      </c>
    </row>
    <row r="538" spans="2:5">
      <c r="B538" s="37">
        <v>40695</v>
      </c>
      <c r="C538" s="17">
        <v>670137620.91999996</v>
      </c>
      <c r="D538" s="17" t="s">
        <v>8</v>
      </c>
      <c r="E538" s="17">
        <v>5</v>
      </c>
    </row>
    <row r="539" spans="2:5">
      <c r="B539" s="37">
        <v>40695</v>
      </c>
      <c r="C539" s="17">
        <v>643649975.04999995</v>
      </c>
      <c r="D539" s="17" t="s">
        <v>19</v>
      </c>
      <c r="E539" s="17">
        <v>6</v>
      </c>
    </row>
    <row r="540" spans="2:5">
      <c r="B540" s="37">
        <v>40695</v>
      </c>
      <c r="C540" s="17">
        <v>434092831.55000001</v>
      </c>
      <c r="D540" s="17" t="s">
        <v>10</v>
      </c>
      <c r="E540" s="17">
        <v>7</v>
      </c>
    </row>
    <row r="541" spans="2:5">
      <c r="B541" s="37">
        <v>40695</v>
      </c>
      <c r="C541" s="17">
        <v>419168284.22000003</v>
      </c>
      <c r="D541" s="17" t="s">
        <v>57</v>
      </c>
      <c r="E541" s="17">
        <v>8</v>
      </c>
    </row>
    <row r="542" spans="2:5">
      <c r="B542" s="37">
        <v>40695</v>
      </c>
      <c r="C542" s="17">
        <v>395675688.74000001</v>
      </c>
      <c r="D542" s="17" t="s">
        <v>32</v>
      </c>
      <c r="E542" s="17">
        <v>9</v>
      </c>
    </row>
    <row r="543" spans="2:5">
      <c r="B543" s="37">
        <v>40695</v>
      </c>
      <c r="C543" s="17">
        <v>281658019.81999999</v>
      </c>
      <c r="D543" s="17" t="s">
        <v>16</v>
      </c>
      <c r="E543" s="17">
        <v>10</v>
      </c>
    </row>
    <row r="544" spans="2:5">
      <c r="B544" s="37">
        <v>40725</v>
      </c>
      <c r="C544" s="17">
        <v>8290598483.0799999</v>
      </c>
      <c r="D544" s="17" t="s">
        <v>11</v>
      </c>
      <c r="E544" s="17">
        <v>1</v>
      </c>
    </row>
    <row r="545" spans="2:5">
      <c r="B545" s="37">
        <v>40725</v>
      </c>
      <c r="C545" s="17">
        <v>5592657271.3999996</v>
      </c>
      <c r="D545" s="17" t="s">
        <v>6</v>
      </c>
      <c r="E545" s="17">
        <v>2</v>
      </c>
    </row>
    <row r="546" spans="2:5">
      <c r="B546" s="37">
        <v>40725</v>
      </c>
      <c r="C546" s="17">
        <v>2409116702.98</v>
      </c>
      <c r="D546" s="17" t="s">
        <v>13</v>
      </c>
      <c r="E546" s="17">
        <v>3</v>
      </c>
    </row>
    <row r="547" spans="2:5">
      <c r="B547" s="37">
        <v>40725</v>
      </c>
      <c r="C547" s="17">
        <v>982541083.70000005</v>
      </c>
      <c r="D547" s="17" t="s">
        <v>5</v>
      </c>
      <c r="E547" s="17">
        <v>4</v>
      </c>
    </row>
    <row r="548" spans="2:5">
      <c r="B548" s="37">
        <v>40725</v>
      </c>
      <c r="C548" s="17">
        <v>752662141.10000002</v>
      </c>
      <c r="D548" s="17" t="s">
        <v>8</v>
      </c>
      <c r="E548" s="17">
        <v>5</v>
      </c>
    </row>
    <row r="549" spans="2:5">
      <c r="B549" s="37">
        <v>40725</v>
      </c>
      <c r="C549" s="17">
        <v>639291452.46000004</v>
      </c>
      <c r="D549" s="17" t="s">
        <v>10</v>
      </c>
      <c r="E549" s="17">
        <v>6</v>
      </c>
    </row>
    <row r="550" spans="2:5">
      <c r="B550" s="37">
        <v>40725</v>
      </c>
      <c r="C550" s="17">
        <v>429162120.43000001</v>
      </c>
      <c r="D550" s="17" t="s">
        <v>57</v>
      </c>
      <c r="E550" s="17">
        <v>7</v>
      </c>
    </row>
    <row r="551" spans="2:5">
      <c r="B551" s="37">
        <v>40725</v>
      </c>
      <c r="C551" s="17">
        <v>356883684.76999998</v>
      </c>
      <c r="D551" s="17" t="s">
        <v>19</v>
      </c>
      <c r="E551" s="17">
        <v>8</v>
      </c>
    </row>
    <row r="552" spans="2:5">
      <c r="B552" s="37">
        <v>40725</v>
      </c>
      <c r="C552" s="17">
        <v>351568051.57999998</v>
      </c>
      <c r="D552" s="17" t="s">
        <v>32</v>
      </c>
      <c r="E552" s="17">
        <v>9</v>
      </c>
    </row>
    <row r="553" spans="2:5">
      <c r="B553" s="37">
        <v>40725</v>
      </c>
      <c r="C553" s="17">
        <v>301274950.01999998</v>
      </c>
      <c r="D553" s="17" t="s">
        <v>104</v>
      </c>
      <c r="E553" s="17">
        <v>10</v>
      </c>
    </row>
    <row r="554" spans="2:5">
      <c r="B554" s="37">
        <v>40756</v>
      </c>
      <c r="C554" s="17">
        <v>9235841028.9400005</v>
      </c>
      <c r="D554" s="17" t="s">
        <v>11</v>
      </c>
      <c r="E554" s="17">
        <v>1</v>
      </c>
    </row>
    <row r="555" spans="2:5">
      <c r="B555" s="37">
        <v>40756</v>
      </c>
      <c r="C555" s="17">
        <v>4847625834.8699999</v>
      </c>
      <c r="D555" s="17" t="s">
        <v>6</v>
      </c>
      <c r="E555" s="17">
        <v>2</v>
      </c>
    </row>
    <row r="556" spans="2:5">
      <c r="B556" s="37">
        <v>40756</v>
      </c>
      <c r="C556" s="17">
        <v>2608663203.9699998</v>
      </c>
      <c r="D556" s="17" t="s">
        <v>13</v>
      </c>
      <c r="E556" s="17">
        <v>3</v>
      </c>
    </row>
    <row r="557" spans="2:5">
      <c r="B557" s="37">
        <v>40756</v>
      </c>
      <c r="C557" s="17">
        <v>921897702.82000005</v>
      </c>
      <c r="D557" s="17" t="s">
        <v>5</v>
      </c>
      <c r="E557" s="17">
        <v>4</v>
      </c>
    </row>
    <row r="558" spans="2:5">
      <c r="B558" s="37">
        <v>40756</v>
      </c>
      <c r="C558" s="17">
        <v>671885619.50999999</v>
      </c>
      <c r="D558" s="17" t="s">
        <v>8</v>
      </c>
      <c r="E558" s="17">
        <v>5</v>
      </c>
    </row>
    <row r="559" spans="2:5">
      <c r="B559" s="37">
        <v>40756</v>
      </c>
      <c r="C559" s="17">
        <v>550835285.99000001</v>
      </c>
      <c r="D559" s="17" t="s">
        <v>10</v>
      </c>
      <c r="E559" s="17">
        <v>6</v>
      </c>
    </row>
    <row r="560" spans="2:5">
      <c r="B560" s="37">
        <v>40756</v>
      </c>
      <c r="C560" s="17">
        <v>469759629.55000001</v>
      </c>
      <c r="D560" s="17" t="s">
        <v>19</v>
      </c>
      <c r="E560" s="17">
        <v>7</v>
      </c>
    </row>
    <row r="561" spans="2:5">
      <c r="B561" s="37">
        <v>40756</v>
      </c>
      <c r="C561" s="17">
        <v>365122445.68000001</v>
      </c>
      <c r="D561" s="17" t="s">
        <v>57</v>
      </c>
      <c r="E561" s="17">
        <v>8</v>
      </c>
    </row>
    <row r="562" spans="2:5">
      <c r="B562" s="37">
        <v>40756</v>
      </c>
      <c r="C562" s="17">
        <v>345690365.74000001</v>
      </c>
      <c r="D562" s="17" t="s">
        <v>32</v>
      </c>
      <c r="E562" s="17">
        <v>9</v>
      </c>
    </row>
    <row r="563" spans="2:5">
      <c r="B563" s="37">
        <v>40756</v>
      </c>
      <c r="C563" s="17">
        <v>287502442.05000001</v>
      </c>
      <c r="D563" s="17" t="s">
        <v>16</v>
      </c>
      <c r="E563" s="17">
        <v>10</v>
      </c>
    </row>
    <row r="564" spans="2:5">
      <c r="B564" s="37">
        <v>40787</v>
      </c>
      <c r="C564" s="17">
        <v>9495614488.8299999</v>
      </c>
      <c r="D564" s="17" t="s">
        <v>11</v>
      </c>
      <c r="E564" s="17">
        <v>1</v>
      </c>
    </row>
    <row r="565" spans="2:5">
      <c r="B565" s="37">
        <v>40787</v>
      </c>
      <c r="C565" s="17">
        <v>3819074881.2800002</v>
      </c>
      <c r="D565" s="17" t="s">
        <v>6</v>
      </c>
      <c r="E565" s="17">
        <v>2</v>
      </c>
    </row>
    <row r="566" spans="2:5">
      <c r="B566" s="37">
        <v>40787</v>
      </c>
      <c r="C566" s="17">
        <v>2310406503.02</v>
      </c>
      <c r="D566" s="17" t="s">
        <v>13</v>
      </c>
      <c r="E566" s="17">
        <v>3</v>
      </c>
    </row>
    <row r="567" spans="2:5">
      <c r="B567" s="37">
        <v>40787</v>
      </c>
      <c r="C567" s="17">
        <v>909837417.96000004</v>
      </c>
      <c r="D567" s="17" t="s">
        <v>5</v>
      </c>
      <c r="E567" s="17">
        <v>4</v>
      </c>
    </row>
    <row r="568" spans="2:5">
      <c r="B568" s="37">
        <v>40787</v>
      </c>
      <c r="C568" s="17">
        <v>859735393.29999995</v>
      </c>
      <c r="D568" s="17" t="s">
        <v>8</v>
      </c>
      <c r="E568" s="17">
        <v>5</v>
      </c>
    </row>
    <row r="569" spans="2:5">
      <c r="B569" s="37">
        <v>40787</v>
      </c>
      <c r="C569" s="17">
        <v>815209919.17999995</v>
      </c>
      <c r="D569" s="17" t="s">
        <v>10</v>
      </c>
      <c r="E569" s="17">
        <v>6</v>
      </c>
    </row>
    <row r="570" spans="2:5">
      <c r="B570" s="37">
        <v>40787</v>
      </c>
      <c r="C570" s="17">
        <v>745770035.08000004</v>
      </c>
      <c r="D570" s="17" t="s">
        <v>19</v>
      </c>
      <c r="E570" s="17">
        <v>7</v>
      </c>
    </row>
    <row r="571" spans="2:5">
      <c r="B571" s="37">
        <v>40787</v>
      </c>
      <c r="C571" s="17">
        <v>583086867.67999995</v>
      </c>
      <c r="D571" s="17" t="s">
        <v>32</v>
      </c>
      <c r="E571" s="17">
        <v>8</v>
      </c>
    </row>
    <row r="572" spans="2:5">
      <c r="B572" s="37">
        <v>40787</v>
      </c>
      <c r="C572" s="17">
        <v>570242348.27999997</v>
      </c>
      <c r="D572" s="17" t="s">
        <v>57</v>
      </c>
      <c r="E572" s="17">
        <v>9</v>
      </c>
    </row>
    <row r="573" spans="2:5">
      <c r="B573" s="37">
        <v>40787</v>
      </c>
      <c r="C573" s="17">
        <v>376251360.82999998</v>
      </c>
      <c r="D573" s="17" t="s">
        <v>4</v>
      </c>
      <c r="E573" s="17">
        <v>10</v>
      </c>
    </row>
    <row r="574" spans="2:5">
      <c r="B574" s="37">
        <v>40817</v>
      </c>
      <c r="C574" s="17">
        <v>8581649843.8400002</v>
      </c>
      <c r="D574" s="17" t="s">
        <v>11</v>
      </c>
      <c r="E574" s="17">
        <v>1</v>
      </c>
    </row>
    <row r="575" spans="2:5">
      <c r="B575" s="37">
        <v>40817</v>
      </c>
      <c r="C575" s="17">
        <v>2901359176.8800001</v>
      </c>
      <c r="D575" s="17" t="s">
        <v>6</v>
      </c>
      <c r="E575" s="17">
        <v>2</v>
      </c>
    </row>
    <row r="576" spans="2:5">
      <c r="B576" s="37">
        <v>40817</v>
      </c>
      <c r="C576" s="17">
        <v>2340701401.02</v>
      </c>
      <c r="D576" s="17" t="s">
        <v>13</v>
      </c>
      <c r="E576" s="17">
        <v>3</v>
      </c>
    </row>
    <row r="577" spans="2:5">
      <c r="B577" s="37">
        <v>40817</v>
      </c>
      <c r="C577" s="17">
        <v>773678191.63</v>
      </c>
      <c r="D577" s="17" t="s">
        <v>32</v>
      </c>
      <c r="E577" s="17">
        <v>4</v>
      </c>
    </row>
    <row r="578" spans="2:5">
      <c r="B578" s="37">
        <v>40817</v>
      </c>
      <c r="C578" s="17">
        <v>766134699.48000002</v>
      </c>
      <c r="D578" s="17" t="s">
        <v>8</v>
      </c>
      <c r="E578" s="17">
        <v>5</v>
      </c>
    </row>
    <row r="579" spans="2:5">
      <c r="B579" s="37">
        <v>40817</v>
      </c>
      <c r="C579" s="17">
        <v>716608001.79999995</v>
      </c>
      <c r="D579" s="17" t="s">
        <v>5</v>
      </c>
      <c r="E579" s="17">
        <v>6</v>
      </c>
    </row>
    <row r="580" spans="2:5">
      <c r="B580" s="37">
        <v>40817</v>
      </c>
      <c r="C580" s="17">
        <v>665851667.19000006</v>
      </c>
      <c r="D580" s="17" t="s">
        <v>19</v>
      </c>
      <c r="E580" s="17">
        <v>7</v>
      </c>
    </row>
    <row r="581" spans="2:5">
      <c r="B581" s="37">
        <v>40817</v>
      </c>
      <c r="C581" s="17">
        <v>575989274.98000002</v>
      </c>
      <c r="D581" s="17" t="s">
        <v>10</v>
      </c>
      <c r="E581" s="17">
        <v>8</v>
      </c>
    </row>
    <row r="582" spans="2:5">
      <c r="B582" s="37">
        <v>40817</v>
      </c>
      <c r="C582" s="17">
        <v>553888321.10000002</v>
      </c>
      <c r="D582" s="17" t="s">
        <v>57</v>
      </c>
      <c r="E582" s="17">
        <v>9</v>
      </c>
    </row>
    <row r="583" spans="2:5">
      <c r="B583" s="37">
        <v>40817</v>
      </c>
      <c r="C583" s="17">
        <v>402448303.13999999</v>
      </c>
      <c r="D583" s="17" t="s">
        <v>4</v>
      </c>
      <c r="E583" s="17">
        <v>10</v>
      </c>
    </row>
    <row r="584" spans="2:5">
      <c r="B584" s="37">
        <v>40848</v>
      </c>
      <c r="C584" s="17">
        <v>9573021089.2900009</v>
      </c>
      <c r="D584" s="17" t="s">
        <v>11</v>
      </c>
      <c r="E584" s="17">
        <v>1</v>
      </c>
    </row>
    <row r="585" spans="2:5">
      <c r="B585" s="37">
        <v>40848</v>
      </c>
      <c r="C585" s="17">
        <v>2997364955.0799999</v>
      </c>
      <c r="D585" s="17" t="s">
        <v>6</v>
      </c>
      <c r="E585" s="17">
        <v>2</v>
      </c>
    </row>
    <row r="586" spans="2:5">
      <c r="B586" s="37">
        <v>40848</v>
      </c>
      <c r="C586" s="17">
        <v>2561965154.0100002</v>
      </c>
      <c r="D586" s="17" t="s">
        <v>13</v>
      </c>
      <c r="E586" s="17">
        <v>3</v>
      </c>
    </row>
    <row r="587" spans="2:5">
      <c r="B587" s="37">
        <v>40848</v>
      </c>
      <c r="C587" s="17">
        <v>1051028358.3099999</v>
      </c>
      <c r="D587" s="17" t="s">
        <v>32</v>
      </c>
      <c r="E587" s="17">
        <v>4</v>
      </c>
    </row>
    <row r="588" spans="2:5">
      <c r="B588" s="37">
        <v>40848</v>
      </c>
      <c r="C588" s="17">
        <v>867646024.91999996</v>
      </c>
      <c r="D588" s="17" t="s">
        <v>8</v>
      </c>
      <c r="E588" s="17">
        <v>5</v>
      </c>
    </row>
    <row r="589" spans="2:5">
      <c r="B589" s="37">
        <v>40848</v>
      </c>
      <c r="C589" s="17">
        <v>738294116.20000005</v>
      </c>
      <c r="D589" s="17" t="s">
        <v>10</v>
      </c>
      <c r="E589" s="17">
        <v>6</v>
      </c>
    </row>
    <row r="590" spans="2:5">
      <c r="B590" s="37">
        <v>40848</v>
      </c>
      <c r="C590" s="17">
        <v>713339419.13999999</v>
      </c>
      <c r="D590" s="17" t="s">
        <v>5</v>
      </c>
      <c r="E590" s="17">
        <v>7</v>
      </c>
    </row>
    <row r="591" spans="2:5">
      <c r="B591" s="37">
        <v>40848</v>
      </c>
      <c r="C591" s="17">
        <v>574793038.98000002</v>
      </c>
      <c r="D591" s="17" t="s">
        <v>19</v>
      </c>
      <c r="E591" s="17">
        <v>8</v>
      </c>
    </row>
    <row r="592" spans="2:5">
      <c r="B592" s="37">
        <v>40848</v>
      </c>
      <c r="C592" s="17">
        <v>456250769.62</v>
      </c>
      <c r="D592" s="17" t="s">
        <v>57</v>
      </c>
      <c r="E592" s="17">
        <v>9</v>
      </c>
    </row>
    <row r="593" spans="2:5">
      <c r="B593" s="37">
        <v>40848</v>
      </c>
      <c r="C593" s="17">
        <v>362830454.32999998</v>
      </c>
      <c r="D593" s="17" t="s">
        <v>104</v>
      </c>
      <c r="E593" s="17">
        <v>10</v>
      </c>
    </row>
    <row r="594" spans="2:5">
      <c r="B594" s="37">
        <v>40878</v>
      </c>
      <c r="C594" s="17">
        <v>9732604193.7800007</v>
      </c>
      <c r="D594" s="17" t="s">
        <v>11</v>
      </c>
      <c r="E594" s="17">
        <v>1</v>
      </c>
    </row>
    <row r="595" spans="2:5">
      <c r="B595" s="37">
        <v>40878</v>
      </c>
      <c r="C595" s="17">
        <v>2454782079.79</v>
      </c>
      <c r="D595" s="17" t="s">
        <v>13</v>
      </c>
      <c r="E595" s="17">
        <v>2</v>
      </c>
    </row>
    <row r="596" spans="2:5">
      <c r="B596" s="37">
        <v>40878</v>
      </c>
      <c r="C596" s="17">
        <v>1519718894</v>
      </c>
      <c r="D596" s="17" t="s">
        <v>6</v>
      </c>
      <c r="E596" s="17">
        <v>3</v>
      </c>
    </row>
    <row r="597" spans="2:5">
      <c r="B597" s="37">
        <v>40878</v>
      </c>
      <c r="C597" s="17">
        <v>1078410493</v>
      </c>
      <c r="D597" s="17" t="s">
        <v>8</v>
      </c>
      <c r="E597" s="17">
        <v>4</v>
      </c>
    </row>
    <row r="598" spans="2:5">
      <c r="B598" s="37">
        <v>40878</v>
      </c>
      <c r="C598" s="17">
        <v>994126007.64999998</v>
      </c>
      <c r="D598" s="17" t="s">
        <v>32</v>
      </c>
      <c r="E598" s="17">
        <v>5</v>
      </c>
    </row>
    <row r="599" spans="2:5">
      <c r="B599" s="37">
        <v>40878</v>
      </c>
      <c r="C599" s="17">
        <v>840304742.00999999</v>
      </c>
      <c r="D599" s="17" t="s">
        <v>5</v>
      </c>
      <c r="E599" s="17">
        <v>6</v>
      </c>
    </row>
    <row r="600" spans="2:5">
      <c r="B600" s="37">
        <v>40878</v>
      </c>
      <c r="C600" s="17">
        <v>835490170.02999997</v>
      </c>
      <c r="D600" s="17" t="s">
        <v>19</v>
      </c>
      <c r="E600" s="17">
        <v>7</v>
      </c>
    </row>
    <row r="601" spans="2:5">
      <c r="B601" s="37">
        <v>40878</v>
      </c>
      <c r="C601" s="17">
        <v>732189860.03999996</v>
      </c>
      <c r="D601" s="17" t="s">
        <v>10</v>
      </c>
      <c r="E601" s="17">
        <v>8</v>
      </c>
    </row>
    <row r="602" spans="2:5">
      <c r="B602" s="37">
        <v>40878</v>
      </c>
      <c r="C602" s="17">
        <v>500515827.91000003</v>
      </c>
      <c r="D602" s="17" t="s">
        <v>57</v>
      </c>
      <c r="E602" s="17">
        <v>9</v>
      </c>
    </row>
    <row r="603" spans="2:5">
      <c r="B603" s="37">
        <v>40878</v>
      </c>
      <c r="C603" s="17">
        <v>343927847.07999998</v>
      </c>
      <c r="D603" s="17" t="s">
        <v>104</v>
      </c>
      <c r="E603" s="17">
        <v>10</v>
      </c>
    </row>
    <row r="604" spans="2:5">
      <c r="B604" s="37">
        <v>40909</v>
      </c>
      <c r="C604" s="17">
        <v>11283566053.34</v>
      </c>
      <c r="D604" s="17" t="s">
        <v>11</v>
      </c>
      <c r="E604" s="17">
        <v>1</v>
      </c>
    </row>
    <row r="605" spans="2:5">
      <c r="B605" s="37">
        <v>40909</v>
      </c>
      <c r="C605" s="17">
        <v>2561295128.6999998</v>
      </c>
      <c r="D605" s="17" t="s">
        <v>13</v>
      </c>
      <c r="E605" s="17">
        <v>2</v>
      </c>
    </row>
    <row r="606" spans="2:5">
      <c r="B606" s="37">
        <v>40909</v>
      </c>
      <c r="C606" s="17">
        <v>1241687556.9000001</v>
      </c>
      <c r="D606" s="17" t="s">
        <v>8</v>
      </c>
      <c r="E606" s="17">
        <v>3</v>
      </c>
    </row>
    <row r="607" spans="2:5">
      <c r="B607" s="37">
        <v>40909</v>
      </c>
      <c r="C607" s="17">
        <v>1202878437.99</v>
      </c>
      <c r="D607" s="17" t="s">
        <v>6</v>
      </c>
      <c r="E607" s="17">
        <v>4</v>
      </c>
    </row>
    <row r="608" spans="2:5">
      <c r="B608" s="37">
        <v>40909</v>
      </c>
      <c r="C608" s="17">
        <v>1169327183.95</v>
      </c>
      <c r="D608" s="17" t="s">
        <v>32</v>
      </c>
      <c r="E608" s="17">
        <v>5</v>
      </c>
    </row>
    <row r="609" spans="2:5">
      <c r="B609" s="37">
        <v>40909</v>
      </c>
      <c r="C609" s="17">
        <v>825952840.24000001</v>
      </c>
      <c r="D609" s="17" t="s">
        <v>5</v>
      </c>
      <c r="E609" s="17">
        <v>6</v>
      </c>
    </row>
    <row r="610" spans="2:5">
      <c r="B610" s="37">
        <v>40909</v>
      </c>
      <c r="C610" s="17">
        <v>724148026.90999997</v>
      </c>
      <c r="D610" s="17" t="s">
        <v>10</v>
      </c>
      <c r="E610" s="17">
        <v>7</v>
      </c>
    </row>
    <row r="611" spans="2:5">
      <c r="B611" s="37">
        <v>40909</v>
      </c>
      <c r="C611" s="17">
        <v>708192190.95000005</v>
      </c>
      <c r="D611" s="17" t="s">
        <v>19</v>
      </c>
      <c r="E611" s="17">
        <v>8</v>
      </c>
    </row>
    <row r="612" spans="2:5">
      <c r="B612" s="37">
        <v>40909</v>
      </c>
      <c r="C612" s="17">
        <v>505384698.86000001</v>
      </c>
      <c r="D612" s="17" t="s">
        <v>104</v>
      </c>
      <c r="E612" s="17">
        <v>9</v>
      </c>
    </row>
    <row r="613" spans="2:5">
      <c r="B613" s="37">
        <v>40909</v>
      </c>
      <c r="C613" s="17">
        <v>497296438.82999998</v>
      </c>
      <c r="D613" s="17" t="s">
        <v>57</v>
      </c>
      <c r="E613" s="17">
        <v>10</v>
      </c>
    </row>
    <row r="614" spans="2:5">
      <c r="B614" s="37">
        <v>40940</v>
      </c>
      <c r="C614" s="17">
        <v>10212781061.02</v>
      </c>
      <c r="D614" s="17" t="s">
        <v>11</v>
      </c>
      <c r="E614" s="17">
        <v>1</v>
      </c>
    </row>
    <row r="615" spans="2:5">
      <c r="B615" s="37">
        <v>40940</v>
      </c>
      <c r="C615" s="17">
        <v>2386808467.02</v>
      </c>
      <c r="D615" s="17" t="s">
        <v>13</v>
      </c>
      <c r="E615" s="17">
        <v>2</v>
      </c>
    </row>
    <row r="616" spans="2:5">
      <c r="B616" s="37">
        <v>40940</v>
      </c>
      <c r="C616" s="17">
        <v>1495556112.8399999</v>
      </c>
      <c r="D616" s="17" t="s">
        <v>8</v>
      </c>
      <c r="E616" s="17">
        <v>3</v>
      </c>
    </row>
    <row r="617" spans="2:5">
      <c r="B617" s="37">
        <v>40940</v>
      </c>
      <c r="C617" s="17">
        <v>1150669253.3299999</v>
      </c>
      <c r="D617" s="17" t="s">
        <v>32</v>
      </c>
      <c r="E617" s="17">
        <v>4</v>
      </c>
    </row>
    <row r="618" spans="2:5">
      <c r="B618" s="37">
        <v>40940</v>
      </c>
      <c r="C618" s="17">
        <v>791778146.88</v>
      </c>
      <c r="D618" s="17" t="s">
        <v>10</v>
      </c>
      <c r="E618" s="17">
        <v>5</v>
      </c>
    </row>
    <row r="619" spans="2:5">
      <c r="B619" s="37">
        <v>40940</v>
      </c>
      <c r="C619" s="17">
        <v>767796362.38999999</v>
      </c>
      <c r="D619" s="17" t="s">
        <v>5</v>
      </c>
      <c r="E619" s="17">
        <v>6</v>
      </c>
    </row>
    <row r="620" spans="2:5">
      <c r="B620" s="37">
        <v>40940</v>
      </c>
      <c r="C620" s="17">
        <v>746921744.39999998</v>
      </c>
      <c r="D620" s="17" t="s">
        <v>6</v>
      </c>
      <c r="E620" s="17">
        <v>7</v>
      </c>
    </row>
    <row r="621" spans="2:5">
      <c r="B621" s="37">
        <v>40940</v>
      </c>
      <c r="C621" s="17">
        <v>532293545.26999998</v>
      </c>
      <c r="D621" s="17" t="s">
        <v>19</v>
      </c>
      <c r="E621" s="17">
        <v>8</v>
      </c>
    </row>
    <row r="622" spans="2:5">
      <c r="B622" s="37">
        <v>40940</v>
      </c>
      <c r="C622" s="17">
        <v>490426869.00999999</v>
      </c>
      <c r="D622" s="17" t="s">
        <v>104</v>
      </c>
      <c r="E622" s="17">
        <v>9</v>
      </c>
    </row>
    <row r="623" spans="2:5">
      <c r="B623" s="37">
        <v>40940</v>
      </c>
      <c r="C623" s="17">
        <v>470107340.81</v>
      </c>
      <c r="D623" s="17" t="s">
        <v>57</v>
      </c>
      <c r="E623" s="17">
        <v>10</v>
      </c>
    </row>
    <row r="624" spans="2:5">
      <c r="B624" s="37">
        <v>40969</v>
      </c>
      <c r="C624" s="17">
        <v>10386620664.41</v>
      </c>
      <c r="D624" s="17" t="s">
        <v>11</v>
      </c>
      <c r="E624" s="17">
        <v>1</v>
      </c>
    </row>
    <row r="625" spans="2:5">
      <c r="B625" s="37">
        <v>40969</v>
      </c>
      <c r="C625" s="17">
        <v>3025021312.1799998</v>
      </c>
      <c r="D625" s="17" t="s">
        <v>13</v>
      </c>
      <c r="E625" s="17">
        <v>2</v>
      </c>
    </row>
    <row r="626" spans="2:5">
      <c r="B626" s="37">
        <v>40969</v>
      </c>
      <c r="C626" s="17">
        <v>1388444116.9000001</v>
      </c>
      <c r="D626" s="17" t="s">
        <v>8</v>
      </c>
      <c r="E626" s="17">
        <v>3</v>
      </c>
    </row>
    <row r="627" spans="2:5">
      <c r="B627" s="37">
        <v>40969</v>
      </c>
      <c r="C627" s="17">
        <v>1246037232.02</v>
      </c>
      <c r="D627" s="17" t="s">
        <v>32</v>
      </c>
      <c r="E627" s="17">
        <v>4</v>
      </c>
    </row>
    <row r="628" spans="2:5">
      <c r="B628" s="37">
        <v>40969</v>
      </c>
      <c r="C628" s="17">
        <v>928366615.94000006</v>
      </c>
      <c r="D628" s="17" t="s">
        <v>10</v>
      </c>
      <c r="E628" s="17">
        <v>5</v>
      </c>
    </row>
    <row r="629" spans="2:5">
      <c r="B629" s="37">
        <v>40969</v>
      </c>
      <c r="C629" s="17">
        <v>872712001.54999995</v>
      </c>
      <c r="D629" s="17" t="s">
        <v>6</v>
      </c>
      <c r="E629" s="17">
        <v>6</v>
      </c>
    </row>
    <row r="630" spans="2:5">
      <c r="B630" s="37">
        <v>40969</v>
      </c>
      <c r="C630" s="17">
        <v>786087364.27999997</v>
      </c>
      <c r="D630" s="17" t="s">
        <v>5</v>
      </c>
      <c r="E630" s="17">
        <v>7</v>
      </c>
    </row>
    <row r="631" spans="2:5">
      <c r="B631" s="37">
        <v>40969</v>
      </c>
      <c r="C631" s="17">
        <v>497836190.08999997</v>
      </c>
      <c r="D631" s="17" t="s">
        <v>19</v>
      </c>
      <c r="E631" s="17">
        <v>8</v>
      </c>
    </row>
    <row r="632" spans="2:5">
      <c r="B632" s="37">
        <v>40969</v>
      </c>
      <c r="C632" s="17">
        <v>453592101.39999998</v>
      </c>
      <c r="D632" s="17" t="s">
        <v>105</v>
      </c>
      <c r="E632" s="17">
        <v>9</v>
      </c>
    </row>
    <row r="633" spans="2:5">
      <c r="B633" s="37">
        <v>40969</v>
      </c>
      <c r="C633" s="17">
        <v>391148443.35000002</v>
      </c>
      <c r="D633" s="17" t="s">
        <v>104</v>
      </c>
      <c r="E633" s="17">
        <v>10</v>
      </c>
    </row>
    <row r="634" spans="2:5">
      <c r="B634" s="37">
        <v>41000</v>
      </c>
      <c r="C634" s="17">
        <v>14678468587.370001</v>
      </c>
      <c r="D634" s="17" t="s">
        <v>11</v>
      </c>
      <c r="E634" s="17">
        <v>1</v>
      </c>
    </row>
    <row r="635" spans="2:5">
      <c r="B635" s="37">
        <v>41000</v>
      </c>
      <c r="C635" s="17">
        <v>3279782580.3499999</v>
      </c>
      <c r="D635" s="17" t="s">
        <v>13</v>
      </c>
      <c r="E635" s="17">
        <v>2</v>
      </c>
    </row>
    <row r="636" spans="2:5">
      <c r="B636" s="37">
        <v>41000</v>
      </c>
      <c r="C636" s="17">
        <v>1788024057.5599999</v>
      </c>
      <c r="D636" s="17" t="s">
        <v>32</v>
      </c>
      <c r="E636" s="17">
        <v>3</v>
      </c>
    </row>
    <row r="637" spans="2:5">
      <c r="B637" s="37">
        <v>41000</v>
      </c>
      <c r="C637" s="17">
        <v>1623946588.1600001</v>
      </c>
      <c r="D637" s="17" t="s">
        <v>8</v>
      </c>
      <c r="E637" s="17">
        <v>4</v>
      </c>
    </row>
    <row r="638" spans="2:5">
      <c r="B638" s="37">
        <v>41000</v>
      </c>
      <c r="C638" s="17">
        <v>1101107692.21</v>
      </c>
      <c r="D638" s="17" t="s">
        <v>10</v>
      </c>
      <c r="E638" s="17">
        <v>5</v>
      </c>
    </row>
    <row r="639" spans="2:5">
      <c r="B639" s="37">
        <v>41000</v>
      </c>
      <c r="C639" s="17">
        <v>676710285.07000005</v>
      </c>
      <c r="D639" s="17" t="s">
        <v>6</v>
      </c>
      <c r="E639" s="17">
        <v>6</v>
      </c>
    </row>
    <row r="640" spans="2:5">
      <c r="B640" s="37">
        <v>41000</v>
      </c>
      <c r="C640" s="17">
        <v>618156934.75</v>
      </c>
      <c r="D640" s="17" t="s">
        <v>105</v>
      </c>
      <c r="E640" s="17">
        <v>7</v>
      </c>
    </row>
    <row r="641" spans="2:5">
      <c r="B641" s="37">
        <v>41000</v>
      </c>
      <c r="C641" s="17">
        <v>609027301.90999997</v>
      </c>
      <c r="D641" s="17" t="s">
        <v>5</v>
      </c>
      <c r="E641" s="17">
        <v>8</v>
      </c>
    </row>
    <row r="642" spans="2:5">
      <c r="B642" s="37">
        <v>41000</v>
      </c>
      <c r="C642" s="17">
        <v>569748972.45000005</v>
      </c>
      <c r="D642" s="17" t="s">
        <v>17</v>
      </c>
      <c r="E642" s="17">
        <v>9</v>
      </c>
    </row>
    <row r="643" spans="2:5">
      <c r="B643" s="37">
        <v>41000</v>
      </c>
      <c r="C643" s="17">
        <v>561576112.60000002</v>
      </c>
      <c r="D643" s="17" t="s">
        <v>34</v>
      </c>
      <c r="E643" s="17">
        <v>10</v>
      </c>
    </row>
    <row r="644" spans="2:5">
      <c r="B644" s="37">
        <v>41030</v>
      </c>
      <c r="C644" s="17">
        <v>14867243244.77</v>
      </c>
      <c r="D644" s="17" t="s">
        <v>11</v>
      </c>
      <c r="E644" s="17">
        <v>1</v>
      </c>
    </row>
    <row r="645" spans="2:5">
      <c r="B645" s="37">
        <v>41030</v>
      </c>
      <c r="C645" s="17">
        <v>3475990122.7399998</v>
      </c>
      <c r="D645" s="17" t="s">
        <v>13</v>
      </c>
      <c r="E645" s="17">
        <v>2</v>
      </c>
    </row>
    <row r="646" spans="2:5">
      <c r="B646" s="37">
        <v>41030</v>
      </c>
      <c r="C646" s="17">
        <v>1636856120.0699999</v>
      </c>
      <c r="D646" s="17" t="s">
        <v>8</v>
      </c>
      <c r="E646" s="17">
        <v>3</v>
      </c>
    </row>
    <row r="647" spans="2:5">
      <c r="B647" s="37">
        <v>41030</v>
      </c>
      <c r="C647" s="17">
        <v>1533887121.8499999</v>
      </c>
      <c r="D647" s="17" t="s">
        <v>32</v>
      </c>
      <c r="E647" s="17">
        <v>4</v>
      </c>
    </row>
    <row r="648" spans="2:5">
      <c r="B648" s="37">
        <v>41030</v>
      </c>
      <c r="C648" s="17">
        <v>1203162304.6500001</v>
      </c>
      <c r="D648" s="17" t="s">
        <v>10</v>
      </c>
      <c r="E648" s="17">
        <v>5</v>
      </c>
    </row>
    <row r="649" spans="2:5">
      <c r="B649" s="37">
        <v>41030</v>
      </c>
      <c r="C649" s="17">
        <v>797397738.61000001</v>
      </c>
      <c r="D649" s="17" t="s">
        <v>6</v>
      </c>
      <c r="E649" s="17">
        <v>6</v>
      </c>
    </row>
    <row r="650" spans="2:5">
      <c r="B650" s="37">
        <v>41030</v>
      </c>
      <c r="C650" s="17">
        <v>663623792.21000004</v>
      </c>
      <c r="D650" s="17" t="s">
        <v>17</v>
      </c>
      <c r="E650" s="17">
        <v>7</v>
      </c>
    </row>
    <row r="651" spans="2:5">
      <c r="B651" s="37">
        <v>41030</v>
      </c>
      <c r="C651" s="17">
        <v>617874894.47000003</v>
      </c>
      <c r="D651" s="17" t="s">
        <v>105</v>
      </c>
      <c r="E651" s="17">
        <v>8</v>
      </c>
    </row>
    <row r="652" spans="2:5">
      <c r="B652" s="37">
        <v>41030</v>
      </c>
      <c r="C652" s="17">
        <v>557253106.67999995</v>
      </c>
      <c r="D652" s="17" t="s">
        <v>34</v>
      </c>
      <c r="E652" s="17">
        <v>9</v>
      </c>
    </row>
    <row r="653" spans="2:5">
      <c r="B653" s="37">
        <v>41030</v>
      </c>
      <c r="C653" s="17">
        <v>486117890.41000003</v>
      </c>
      <c r="D653" s="17" t="s">
        <v>5</v>
      </c>
      <c r="E653" s="17">
        <v>10</v>
      </c>
    </row>
    <row r="654" spans="2:5">
      <c r="B654" s="37">
        <v>41061</v>
      </c>
      <c r="C654" s="17">
        <v>12472666977.870001</v>
      </c>
      <c r="D654" s="17" t="s">
        <v>11</v>
      </c>
      <c r="E654" s="17">
        <v>1</v>
      </c>
    </row>
    <row r="655" spans="2:5">
      <c r="B655" s="37">
        <v>41061</v>
      </c>
      <c r="C655" s="17">
        <v>4129047027.5900002</v>
      </c>
      <c r="D655" s="17" t="s">
        <v>13</v>
      </c>
      <c r="E655" s="17">
        <v>2</v>
      </c>
    </row>
    <row r="656" spans="2:5">
      <c r="B656" s="37">
        <v>41061</v>
      </c>
      <c r="C656" s="17">
        <v>1654303007.46</v>
      </c>
      <c r="D656" s="17" t="s">
        <v>8</v>
      </c>
      <c r="E656" s="17">
        <v>3</v>
      </c>
    </row>
    <row r="657" spans="2:5">
      <c r="B657" s="37">
        <v>41061</v>
      </c>
      <c r="C657" s="17">
        <v>1032213747.79</v>
      </c>
      <c r="D657" s="17" t="s">
        <v>10</v>
      </c>
      <c r="E657" s="17">
        <v>4</v>
      </c>
    </row>
    <row r="658" spans="2:5">
      <c r="B658" s="37">
        <v>41061</v>
      </c>
      <c r="C658" s="17">
        <v>966010681.48000002</v>
      </c>
      <c r="D658" s="17" t="s">
        <v>32</v>
      </c>
      <c r="E658" s="17">
        <v>5</v>
      </c>
    </row>
    <row r="659" spans="2:5">
      <c r="B659" s="37">
        <v>41061</v>
      </c>
      <c r="C659" s="17">
        <v>723782638.42999995</v>
      </c>
      <c r="D659" s="17" t="s">
        <v>17</v>
      </c>
      <c r="E659" s="17">
        <v>6</v>
      </c>
    </row>
    <row r="660" spans="2:5">
      <c r="B660" s="37">
        <v>41061</v>
      </c>
      <c r="C660" s="17">
        <v>638652801.38</v>
      </c>
      <c r="D660" s="17" t="s">
        <v>6</v>
      </c>
      <c r="E660" s="17">
        <v>7</v>
      </c>
    </row>
    <row r="661" spans="2:5">
      <c r="B661" s="37">
        <v>41061</v>
      </c>
      <c r="C661" s="17">
        <v>612221707.07000005</v>
      </c>
      <c r="D661" s="17" t="s">
        <v>106</v>
      </c>
      <c r="E661" s="17">
        <v>8</v>
      </c>
    </row>
    <row r="662" spans="2:5">
      <c r="B662" s="37">
        <v>41061</v>
      </c>
      <c r="C662" s="17">
        <v>545917402.63999999</v>
      </c>
      <c r="D662" s="17" t="s">
        <v>104</v>
      </c>
      <c r="E662" s="17">
        <v>9</v>
      </c>
    </row>
    <row r="663" spans="2:5">
      <c r="B663" s="37">
        <v>41061</v>
      </c>
      <c r="C663" s="17">
        <v>543998687.45000005</v>
      </c>
      <c r="D663" s="17" t="s">
        <v>105</v>
      </c>
      <c r="E663" s="17">
        <v>10</v>
      </c>
    </row>
    <row r="664" spans="2:5">
      <c r="B664" s="37">
        <v>41091</v>
      </c>
      <c r="C664" s="17">
        <v>12115594759.610001</v>
      </c>
      <c r="D664" s="17" t="s">
        <v>11</v>
      </c>
      <c r="E664" s="17">
        <v>1</v>
      </c>
    </row>
    <row r="665" spans="2:5">
      <c r="B665" s="37">
        <v>41091</v>
      </c>
      <c r="C665" s="17">
        <v>2680981349.2399998</v>
      </c>
      <c r="D665" s="17" t="s">
        <v>13</v>
      </c>
      <c r="E665" s="17">
        <v>2</v>
      </c>
    </row>
    <row r="666" spans="2:5">
      <c r="B666" s="37">
        <v>41091</v>
      </c>
      <c r="C666" s="17">
        <v>1498448140.76</v>
      </c>
      <c r="D666" s="17" t="s">
        <v>8</v>
      </c>
      <c r="E666" s="17">
        <v>3</v>
      </c>
    </row>
    <row r="667" spans="2:5">
      <c r="B667" s="37">
        <v>41091</v>
      </c>
      <c r="C667" s="17">
        <v>867414598.09000003</v>
      </c>
      <c r="D667" s="17" t="s">
        <v>10</v>
      </c>
      <c r="E667" s="17">
        <v>4</v>
      </c>
    </row>
    <row r="668" spans="2:5">
      <c r="B668" s="37">
        <v>41091</v>
      </c>
      <c r="C668" s="17">
        <v>861157919.33000004</v>
      </c>
      <c r="D668" s="17" t="s">
        <v>6</v>
      </c>
      <c r="E668" s="17">
        <v>5</v>
      </c>
    </row>
    <row r="669" spans="2:5">
      <c r="B669" s="37">
        <v>41091</v>
      </c>
      <c r="C669" s="17">
        <v>833624076.48000002</v>
      </c>
      <c r="D669" s="17" t="s">
        <v>32</v>
      </c>
      <c r="E669" s="17">
        <v>6</v>
      </c>
    </row>
    <row r="670" spans="2:5">
      <c r="B670" s="37">
        <v>41091</v>
      </c>
      <c r="C670" s="17">
        <v>648686305.75</v>
      </c>
      <c r="D670" s="17" t="s">
        <v>105</v>
      </c>
      <c r="E670" s="17">
        <v>7</v>
      </c>
    </row>
    <row r="671" spans="2:5">
      <c r="B671" s="37">
        <v>41091</v>
      </c>
      <c r="C671" s="17">
        <v>647523112.40999997</v>
      </c>
      <c r="D671" s="17" t="s">
        <v>106</v>
      </c>
      <c r="E671" s="17">
        <v>8</v>
      </c>
    </row>
    <row r="672" spans="2:5">
      <c r="B672" s="37">
        <v>41091</v>
      </c>
      <c r="C672" s="17">
        <v>596162590.98000002</v>
      </c>
      <c r="D672" s="17" t="s">
        <v>17</v>
      </c>
      <c r="E672" s="17">
        <v>9</v>
      </c>
    </row>
    <row r="673" spans="2:5">
      <c r="B673" s="37">
        <v>41091</v>
      </c>
      <c r="C673" s="17">
        <v>471292020.60000002</v>
      </c>
      <c r="D673" s="17" t="s">
        <v>34</v>
      </c>
      <c r="E673" s="17">
        <v>10</v>
      </c>
    </row>
    <row r="674" spans="2:5">
      <c r="B674" s="37">
        <v>41122</v>
      </c>
      <c r="C674" s="17">
        <v>15536484394.24</v>
      </c>
      <c r="D674" s="17" t="s">
        <v>11</v>
      </c>
      <c r="E674" s="17">
        <v>1</v>
      </c>
    </row>
    <row r="675" spans="2:5">
      <c r="B675" s="37">
        <v>41122</v>
      </c>
      <c r="C675" s="17">
        <v>3610770531.3699999</v>
      </c>
      <c r="D675" s="17" t="s">
        <v>13</v>
      </c>
      <c r="E675" s="17">
        <v>2</v>
      </c>
    </row>
    <row r="676" spans="2:5">
      <c r="B676" s="37">
        <v>41122</v>
      </c>
      <c r="C676" s="17">
        <v>1448198788.1400001</v>
      </c>
      <c r="D676" s="17" t="s">
        <v>8</v>
      </c>
      <c r="E676" s="17">
        <v>3</v>
      </c>
    </row>
    <row r="677" spans="2:5">
      <c r="B677" s="37">
        <v>41122</v>
      </c>
      <c r="C677" s="17">
        <v>1241206979.5</v>
      </c>
      <c r="D677" s="17" t="s">
        <v>10</v>
      </c>
      <c r="E677" s="17">
        <v>4</v>
      </c>
    </row>
    <row r="678" spans="2:5">
      <c r="B678" s="37">
        <v>41122</v>
      </c>
      <c r="C678" s="17">
        <v>1033452698</v>
      </c>
      <c r="D678" s="17" t="s">
        <v>32</v>
      </c>
      <c r="E678" s="17">
        <v>5</v>
      </c>
    </row>
    <row r="679" spans="2:5">
      <c r="B679" s="37">
        <v>41122</v>
      </c>
      <c r="C679" s="17">
        <v>940599642.59000003</v>
      </c>
      <c r="D679" s="17" t="s">
        <v>34</v>
      </c>
      <c r="E679" s="17">
        <v>6</v>
      </c>
    </row>
    <row r="680" spans="2:5">
      <c r="B680" s="37">
        <v>41122</v>
      </c>
      <c r="C680" s="17">
        <v>911244053.24000001</v>
      </c>
      <c r="D680" s="17" t="s">
        <v>106</v>
      </c>
      <c r="E680" s="17">
        <v>7</v>
      </c>
    </row>
    <row r="681" spans="2:5">
      <c r="B681" s="37">
        <v>41122</v>
      </c>
      <c r="C681" s="17">
        <v>883257447.82000005</v>
      </c>
      <c r="D681" s="17" t="s">
        <v>6</v>
      </c>
      <c r="E681" s="17">
        <v>8</v>
      </c>
    </row>
    <row r="682" spans="2:5">
      <c r="B682" s="37">
        <v>41122</v>
      </c>
      <c r="C682" s="17">
        <v>873613684.47000003</v>
      </c>
      <c r="D682" s="17" t="s">
        <v>105</v>
      </c>
      <c r="E682" s="17">
        <v>9</v>
      </c>
    </row>
    <row r="683" spans="2:5">
      <c r="B683" s="37">
        <v>41122</v>
      </c>
      <c r="C683" s="17">
        <v>741317822.19000006</v>
      </c>
      <c r="D683" s="17" t="s">
        <v>17</v>
      </c>
      <c r="E683" s="17">
        <v>10</v>
      </c>
    </row>
    <row r="684" spans="2:5">
      <c r="B684" s="37">
        <v>41153</v>
      </c>
      <c r="C684" s="17">
        <v>14243174523.99</v>
      </c>
      <c r="D684" s="17" t="s">
        <v>11</v>
      </c>
      <c r="E684" s="17">
        <v>1</v>
      </c>
    </row>
    <row r="685" spans="2:5">
      <c r="B685" s="37">
        <v>41153</v>
      </c>
      <c r="C685" s="17">
        <v>3530525371.5100002</v>
      </c>
      <c r="D685" s="17" t="s">
        <v>13</v>
      </c>
      <c r="E685" s="17">
        <v>2</v>
      </c>
    </row>
    <row r="686" spans="2:5">
      <c r="B686" s="37">
        <v>41153</v>
      </c>
      <c r="C686" s="17">
        <v>1626024510.22</v>
      </c>
      <c r="D686" s="17" t="s">
        <v>8</v>
      </c>
      <c r="E686" s="17">
        <v>3</v>
      </c>
    </row>
    <row r="687" spans="2:5">
      <c r="B687" s="37">
        <v>41153</v>
      </c>
      <c r="C687" s="17">
        <v>1318828499.48</v>
      </c>
      <c r="D687" s="17" t="s">
        <v>32</v>
      </c>
      <c r="E687" s="17">
        <v>4</v>
      </c>
    </row>
    <row r="688" spans="2:5">
      <c r="B688" s="37">
        <v>41153</v>
      </c>
      <c r="C688" s="17">
        <v>1008495978.03</v>
      </c>
      <c r="D688" s="17" t="s">
        <v>10</v>
      </c>
      <c r="E688" s="17">
        <v>5</v>
      </c>
    </row>
    <row r="689" spans="2:5">
      <c r="B689" s="37">
        <v>41153</v>
      </c>
      <c r="C689" s="17">
        <v>963210624.91999996</v>
      </c>
      <c r="D689" s="17" t="s">
        <v>6</v>
      </c>
      <c r="E689" s="17">
        <v>6</v>
      </c>
    </row>
    <row r="690" spans="2:5">
      <c r="B690" s="37">
        <v>41153</v>
      </c>
      <c r="C690" s="17">
        <v>954341251.76999998</v>
      </c>
      <c r="D690" s="17" t="s">
        <v>105</v>
      </c>
      <c r="E690" s="17">
        <v>7</v>
      </c>
    </row>
    <row r="691" spans="2:5">
      <c r="B691" s="37">
        <v>41153</v>
      </c>
      <c r="C691" s="17">
        <v>885925502.97000003</v>
      </c>
      <c r="D691" s="17" t="s">
        <v>34</v>
      </c>
      <c r="E691" s="17">
        <v>8</v>
      </c>
    </row>
    <row r="692" spans="2:5">
      <c r="B692" s="37">
        <v>41153</v>
      </c>
      <c r="C692" s="17">
        <v>850069761.46000004</v>
      </c>
      <c r="D692" s="17" t="s">
        <v>106</v>
      </c>
      <c r="E692" s="17">
        <v>9</v>
      </c>
    </row>
    <row r="693" spans="2:5">
      <c r="B693" s="37">
        <v>41153</v>
      </c>
      <c r="C693" s="17">
        <v>599176254.21000004</v>
      </c>
      <c r="D693" s="17" t="s">
        <v>17</v>
      </c>
      <c r="E693" s="17">
        <v>10</v>
      </c>
    </row>
    <row r="694" spans="2:5">
      <c r="B694" s="37">
        <v>41183</v>
      </c>
      <c r="C694" s="17">
        <v>12119713533.76</v>
      </c>
      <c r="D694" s="17" t="s">
        <v>11</v>
      </c>
      <c r="E694" s="17">
        <v>1</v>
      </c>
    </row>
    <row r="695" spans="2:5">
      <c r="B695" s="37">
        <v>41183</v>
      </c>
      <c r="C695" s="17">
        <v>3647960504.6300001</v>
      </c>
      <c r="D695" s="17" t="s">
        <v>13</v>
      </c>
      <c r="E695" s="17">
        <v>2</v>
      </c>
    </row>
    <row r="696" spans="2:5">
      <c r="B696" s="37">
        <v>41183</v>
      </c>
      <c r="C696" s="17">
        <v>1320822642.8</v>
      </c>
      <c r="D696" s="17" t="s">
        <v>8</v>
      </c>
      <c r="E696" s="17">
        <v>3</v>
      </c>
    </row>
    <row r="697" spans="2:5">
      <c r="B697" s="37">
        <v>41183</v>
      </c>
      <c r="C697" s="17">
        <v>1213010804.3299999</v>
      </c>
      <c r="D697" s="17" t="s">
        <v>106</v>
      </c>
      <c r="E697" s="17">
        <v>4</v>
      </c>
    </row>
    <row r="698" spans="2:5">
      <c r="B698" s="37">
        <v>41183</v>
      </c>
      <c r="C698" s="17">
        <v>1209129920.97</v>
      </c>
      <c r="D698" s="17" t="s">
        <v>10</v>
      </c>
      <c r="E698" s="17">
        <v>5</v>
      </c>
    </row>
    <row r="699" spans="2:5">
      <c r="B699" s="37">
        <v>41183</v>
      </c>
      <c r="C699" s="17">
        <v>1147683633.0899999</v>
      </c>
      <c r="D699" s="17" t="s">
        <v>32</v>
      </c>
      <c r="E699" s="17">
        <v>6</v>
      </c>
    </row>
    <row r="700" spans="2:5">
      <c r="B700" s="37">
        <v>41183</v>
      </c>
      <c r="C700" s="17">
        <v>1063797140.58</v>
      </c>
      <c r="D700" s="17" t="s">
        <v>105</v>
      </c>
      <c r="E700" s="17">
        <v>7</v>
      </c>
    </row>
    <row r="701" spans="2:5">
      <c r="B701" s="37">
        <v>41183</v>
      </c>
      <c r="C701" s="17">
        <v>769766685.66999996</v>
      </c>
      <c r="D701" s="17" t="s">
        <v>34</v>
      </c>
      <c r="E701" s="17">
        <v>8</v>
      </c>
    </row>
    <row r="702" spans="2:5">
      <c r="B702" s="37">
        <v>41183</v>
      </c>
      <c r="C702" s="17">
        <v>735677902.50999999</v>
      </c>
      <c r="D702" s="17" t="s">
        <v>6</v>
      </c>
      <c r="E702" s="17">
        <v>9</v>
      </c>
    </row>
    <row r="703" spans="2:5">
      <c r="B703" s="37">
        <v>41183</v>
      </c>
      <c r="C703" s="17">
        <v>642364941.15999997</v>
      </c>
      <c r="D703" s="17" t="s">
        <v>17</v>
      </c>
      <c r="E703" s="17">
        <v>10</v>
      </c>
    </row>
    <row r="704" spans="2:5">
      <c r="B704" s="37">
        <v>41214</v>
      </c>
      <c r="C704" s="17">
        <v>14279880239.870001</v>
      </c>
      <c r="D704" s="17" t="s">
        <v>11</v>
      </c>
      <c r="E704" s="17">
        <v>1</v>
      </c>
    </row>
    <row r="705" spans="2:5">
      <c r="B705" s="37">
        <v>41214</v>
      </c>
      <c r="C705" s="17">
        <v>3867768341.0599999</v>
      </c>
      <c r="D705" s="17" t="s">
        <v>13</v>
      </c>
      <c r="E705" s="17">
        <v>2</v>
      </c>
    </row>
    <row r="706" spans="2:5">
      <c r="B706" s="37">
        <v>41214</v>
      </c>
      <c r="C706" s="17">
        <v>1410120185.45</v>
      </c>
      <c r="D706" s="17" t="s">
        <v>105</v>
      </c>
      <c r="E706" s="17">
        <v>3</v>
      </c>
    </row>
    <row r="707" spans="2:5">
      <c r="B707" s="37">
        <v>41214</v>
      </c>
      <c r="C707" s="17">
        <v>1388371101.05</v>
      </c>
      <c r="D707" s="17" t="s">
        <v>32</v>
      </c>
      <c r="E707" s="17">
        <v>4</v>
      </c>
    </row>
    <row r="708" spans="2:5">
      <c r="B708" s="37">
        <v>41214</v>
      </c>
      <c r="C708" s="17">
        <v>1345929826.8099999</v>
      </c>
      <c r="D708" s="17" t="s">
        <v>8</v>
      </c>
      <c r="E708" s="17">
        <v>5</v>
      </c>
    </row>
    <row r="709" spans="2:5">
      <c r="B709" s="37">
        <v>41214</v>
      </c>
      <c r="C709" s="17">
        <v>1141247243.5699999</v>
      </c>
      <c r="D709" s="17" t="s">
        <v>106</v>
      </c>
      <c r="E709" s="17">
        <v>6</v>
      </c>
    </row>
    <row r="710" spans="2:5">
      <c r="B710" s="37">
        <v>41214</v>
      </c>
      <c r="C710" s="17">
        <v>1122261747.9300001</v>
      </c>
      <c r="D710" s="17" t="s">
        <v>10</v>
      </c>
      <c r="E710" s="17">
        <v>7</v>
      </c>
    </row>
    <row r="711" spans="2:5">
      <c r="B711" s="37">
        <v>41214</v>
      </c>
      <c r="C711" s="17">
        <v>1101156705.0699999</v>
      </c>
      <c r="D711" s="17" t="s">
        <v>6</v>
      </c>
      <c r="E711" s="17">
        <v>8</v>
      </c>
    </row>
    <row r="712" spans="2:5">
      <c r="B712" s="37">
        <v>41214</v>
      </c>
      <c r="C712" s="17">
        <v>756950622.17999995</v>
      </c>
      <c r="D712" s="17" t="s">
        <v>17</v>
      </c>
      <c r="E712" s="17">
        <v>9</v>
      </c>
    </row>
    <row r="713" spans="2:5">
      <c r="B713" s="37">
        <v>41214</v>
      </c>
      <c r="C713" s="17">
        <v>687746377.41999996</v>
      </c>
      <c r="D713" s="17" t="s">
        <v>34</v>
      </c>
      <c r="E713" s="17">
        <v>10</v>
      </c>
    </row>
    <row r="714" spans="2:5">
      <c r="B714" s="37">
        <v>41244</v>
      </c>
      <c r="C714" s="17">
        <v>11715803235.52</v>
      </c>
      <c r="D714" s="17" t="s">
        <v>11</v>
      </c>
      <c r="E714" s="17">
        <v>1</v>
      </c>
    </row>
    <row r="715" spans="2:5">
      <c r="B715" s="37">
        <v>41244</v>
      </c>
      <c r="C715" s="17">
        <v>4603155104.75</v>
      </c>
      <c r="D715" s="17" t="s">
        <v>13</v>
      </c>
      <c r="E715" s="17">
        <v>2</v>
      </c>
    </row>
    <row r="716" spans="2:5">
      <c r="B716" s="37">
        <v>41244</v>
      </c>
      <c r="C716" s="17">
        <v>1426030210.0899999</v>
      </c>
      <c r="D716" s="17" t="s">
        <v>8</v>
      </c>
      <c r="E716" s="17">
        <v>3</v>
      </c>
    </row>
    <row r="717" spans="2:5">
      <c r="B717" s="37">
        <v>41244</v>
      </c>
      <c r="C717" s="17">
        <v>1333008346.5999999</v>
      </c>
      <c r="D717" s="17" t="s">
        <v>32</v>
      </c>
      <c r="E717" s="17">
        <v>4</v>
      </c>
    </row>
    <row r="718" spans="2:5">
      <c r="B718" s="37">
        <v>41244</v>
      </c>
      <c r="C718" s="17">
        <v>1262535516.5</v>
      </c>
      <c r="D718" s="17" t="s">
        <v>106</v>
      </c>
      <c r="E718" s="17">
        <v>5</v>
      </c>
    </row>
    <row r="719" spans="2:5">
      <c r="B719" s="37">
        <v>41244</v>
      </c>
      <c r="C719" s="17">
        <v>1195233760.3199999</v>
      </c>
      <c r="D719" s="17" t="s">
        <v>105</v>
      </c>
      <c r="E719" s="17">
        <v>6</v>
      </c>
    </row>
    <row r="720" spans="2:5">
      <c r="B720" s="37">
        <v>41244</v>
      </c>
      <c r="C720" s="17">
        <v>1060890323.79</v>
      </c>
      <c r="D720" s="17" t="s">
        <v>10</v>
      </c>
      <c r="E720" s="17">
        <v>7</v>
      </c>
    </row>
    <row r="721" spans="2:5">
      <c r="B721" s="37">
        <v>41244</v>
      </c>
      <c r="C721" s="17">
        <v>1050570358.36</v>
      </c>
      <c r="D721" s="17" t="s">
        <v>6</v>
      </c>
      <c r="E721" s="17">
        <v>8</v>
      </c>
    </row>
    <row r="722" spans="2:5">
      <c r="B722" s="37">
        <v>41244</v>
      </c>
      <c r="C722" s="17">
        <v>777947751</v>
      </c>
      <c r="D722" s="17" t="s">
        <v>103</v>
      </c>
      <c r="E722" s="17">
        <v>9</v>
      </c>
    </row>
    <row r="723" spans="2:5">
      <c r="B723" s="37">
        <v>41244</v>
      </c>
      <c r="C723" s="17">
        <v>696726169.28999996</v>
      </c>
      <c r="D723" s="17" t="s">
        <v>28</v>
      </c>
      <c r="E723" s="17">
        <v>10</v>
      </c>
    </row>
    <row r="724" spans="2:5">
      <c r="B724" s="37">
        <v>41275</v>
      </c>
      <c r="C724" s="17">
        <v>12333810135.870001</v>
      </c>
      <c r="D724" s="17" t="s">
        <v>11</v>
      </c>
      <c r="E724" s="17">
        <v>1</v>
      </c>
    </row>
    <row r="725" spans="2:5">
      <c r="B725" s="37">
        <v>41275</v>
      </c>
      <c r="C725" s="17">
        <v>3406595229.4200001</v>
      </c>
      <c r="D725" s="17" t="s">
        <v>13</v>
      </c>
      <c r="E725" s="17">
        <v>2</v>
      </c>
    </row>
    <row r="726" spans="2:5">
      <c r="B726" s="37">
        <v>41275</v>
      </c>
      <c r="C726" s="17">
        <v>1358811877.3299999</v>
      </c>
      <c r="D726" s="17" t="s">
        <v>105</v>
      </c>
      <c r="E726" s="17">
        <v>3</v>
      </c>
    </row>
    <row r="727" spans="2:5">
      <c r="B727" s="37">
        <v>41275</v>
      </c>
      <c r="C727" s="17">
        <v>1278250980.23</v>
      </c>
      <c r="D727" s="17" t="s">
        <v>32</v>
      </c>
      <c r="E727" s="17">
        <v>4</v>
      </c>
    </row>
    <row r="728" spans="2:5">
      <c r="B728" s="37">
        <v>41275</v>
      </c>
      <c r="C728" s="17">
        <v>1250542649.1199999</v>
      </c>
      <c r="D728" s="17" t="s">
        <v>106</v>
      </c>
      <c r="E728" s="17">
        <v>5</v>
      </c>
    </row>
    <row r="729" spans="2:5">
      <c r="B729" s="37">
        <v>41275</v>
      </c>
      <c r="C729" s="17">
        <v>1098609814.0599999</v>
      </c>
      <c r="D729" s="17" t="s">
        <v>8</v>
      </c>
      <c r="E729" s="17">
        <v>6</v>
      </c>
    </row>
    <row r="730" spans="2:5">
      <c r="B730" s="37">
        <v>41275</v>
      </c>
      <c r="C730" s="17">
        <v>1056753409.04</v>
      </c>
      <c r="D730" s="17" t="s">
        <v>10</v>
      </c>
      <c r="E730" s="17">
        <v>7</v>
      </c>
    </row>
    <row r="731" spans="2:5">
      <c r="B731" s="37">
        <v>41275</v>
      </c>
      <c r="C731" s="17">
        <v>905677367.41999996</v>
      </c>
      <c r="D731" s="17" t="s">
        <v>6</v>
      </c>
      <c r="E731" s="17">
        <v>8</v>
      </c>
    </row>
    <row r="732" spans="2:5">
      <c r="B732" s="37">
        <v>41275</v>
      </c>
      <c r="C732" s="17">
        <v>628292826.95000005</v>
      </c>
      <c r="D732" s="17" t="s">
        <v>34</v>
      </c>
      <c r="E732" s="17">
        <v>9</v>
      </c>
    </row>
    <row r="733" spans="2:5">
      <c r="B733" s="37">
        <v>41275</v>
      </c>
      <c r="C733" s="17">
        <v>587531397.90999997</v>
      </c>
      <c r="D733" s="17" t="s">
        <v>28</v>
      </c>
      <c r="E733" s="17">
        <v>10</v>
      </c>
    </row>
    <row r="734" spans="2:5">
      <c r="B734" s="37">
        <v>41306</v>
      </c>
      <c r="C734" s="17">
        <v>11492145992.860001</v>
      </c>
      <c r="D734" s="17" t="s">
        <v>11</v>
      </c>
      <c r="E734" s="17">
        <v>1</v>
      </c>
    </row>
    <row r="735" spans="2:5">
      <c r="B735" s="37">
        <v>41306</v>
      </c>
      <c r="C735" s="17">
        <v>4297785616.7799997</v>
      </c>
      <c r="D735" s="17" t="s">
        <v>13</v>
      </c>
      <c r="E735" s="17">
        <v>2</v>
      </c>
    </row>
    <row r="736" spans="2:5">
      <c r="B736" s="37">
        <v>41306</v>
      </c>
      <c r="C736" s="17">
        <v>1522817944.51</v>
      </c>
      <c r="D736" s="17" t="s">
        <v>105</v>
      </c>
      <c r="E736" s="17">
        <v>3</v>
      </c>
    </row>
    <row r="737" spans="2:5">
      <c r="B737" s="37">
        <v>41306</v>
      </c>
      <c r="C737" s="17">
        <v>1508469793.8099999</v>
      </c>
      <c r="D737" s="17" t="s">
        <v>32</v>
      </c>
      <c r="E737" s="17">
        <v>4</v>
      </c>
    </row>
    <row r="738" spans="2:5">
      <c r="B738" s="37">
        <v>41306</v>
      </c>
      <c r="C738" s="17">
        <v>1434622714.1600001</v>
      </c>
      <c r="D738" s="17" t="s">
        <v>8</v>
      </c>
      <c r="E738" s="17">
        <v>5</v>
      </c>
    </row>
    <row r="739" spans="2:5">
      <c r="B739" s="37">
        <v>41306</v>
      </c>
      <c r="C739" s="17">
        <v>1221634377.97</v>
      </c>
      <c r="D739" s="17" t="s">
        <v>106</v>
      </c>
      <c r="E739" s="17">
        <v>6</v>
      </c>
    </row>
    <row r="740" spans="2:5">
      <c r="B740" s="37">
        <v>41306</v>
      </c>
      <c r="C740" s="17">
        <v>1051446865.35</v>
      </c>
      <c r="D740" s="17" t="s">
        <v>10</v>
      </c>
      <c r="E740" s="17">
        <v>7</v>
      </c>
    </row>
    <row r="741" spans="2:5">
      <c r="B741" s="37">
        <v>41306</v>
      </c>
      <c r="C741" s="17">
        <v>726387958.42999995</v>
      </c>
      <c r="D741" s="17" t="s">
        <v>6</v>
      </c>
      <c r="E741" s="17">
        <v>8</v>
      </c>
    </row>
    <row r="742" spans="2:5">
      <c r="B742" s="37">
        <v>41306</v>
      </c>
      <c r="C742" s="17">
        <v>605117600.45000005</v>
      </c>
      <c r="D742" s="17" t="s">
        <v>34</v>
      </c>
      <c r="E742" s="17">
        <v>9</v>
      </c>
    </row>
    <row r="743" spans="2:5">
      <c r="B743" s="37">
        <v>41306</v>
      </c>
      <c r="C743" s="17">
        <v>590980280.65999997</v>
      </c>
      <c r="D743" s="17" t="s">
        <v>17</v>
      </c>
      <c r="E743" s="17">
        <v>10</v>
      </c>
    </row>
    <row r="744" spans="2:5">
      <c r="B744" s="37">
        <v>41334</v>
      </c>
      <c r="C744" s="17">
        <v>9568034422.0900002</v>
      </c>
      <c r="D744" s="17" t="s">
        <v>11</v>
      </c>
      <c r="E744" s="17">
        <v>1</v>
      </c>
    </row>
    <row r="745" spans="2:5">
      <c r="B745" s="37">
        <v>41334</v>
      </c>
      <c r="C745" s="17">
        <v>4541262709.5900002</v>
      </c>
      <c r="D745" s="17" t="s">
        <v>13</v>
      </c>
      <c r="E745" s="17">
        <v>2</v>
      </c>
    </row>
    <row r="746" spans="2:5">
      <c r="B746" s="37">
        <v>41334</v>
      </c>
      <c r="C746" s="17">
        <v>1531102982.5999999</v>
      </c>
      <c r="D746" s="17" t="s">
        <v>32</v>
      </c>
      <c r="E746" s="17">
        <v>3</v>
      </c>
    </row>
    <row r="747" spans="2:5">
      <c r="B747" s="37">
        <v>41334</v>
      </c>
      <c r="C747" s="17">
        <v>1390934944.3399999</v>
      </c>
      <c r="D747" s="17" t="s">
        <v>105</v>
      </c>
      <c r="E747" s="17">
        <v>4</v>
      </c>
    </row>
    <row r="748" spans="2:5">
      <c r="B748" s="37">
        <v>41334</v>
      </c>
      <c r="C748" s="17">
        <v>1222387102.5999999</v>
      </c>
      <c r="D748" s="17" t="s">
        <v>8</v>
      </c>
      <c r="E748" s="17">
        <v>5</v>
      </c>
    </row>
    <row r="749" spans="2:5">
      <c r="B749" s="37">
        <v>41334</v>
      </c>
      <c r="C749" s="17">
        <v>1185296820.3</v>
      </c>
      <c r="D749" s="17" t="s">
        <v>106</v>
      </c>
      <c r="E749" s="17">
        <v>6</v>
      </c>
    </row>
    <row r="750" spans="2:5">
      <c r="B750" s="37">
        <v>41334</v>
      </c>
      <c r="C750" s="17">
        <v>968502735.75</v>
      </c>
      <c r="D750" s="17" t="s">
        <v>10</v>
      </c>
      <c r="E750" s="17">
        <v>7</v>
      </c>
    </row>
    <row r="751" spans="2:5">
      <c r="B751" s="37">
        <v>41334</v>
      </c>
      <c r="C751" s="17">
        <v>766459786.45000005</v>
      </c>
      <c r="D751" s="17" t="s">
        <v>6</v>
      </c>
      <c r="E751" s="17">
        <v>8</v>
      </c>
    </row>
    <row r="752" spans="2:5">
      <c r="B752" s="37">
        <v>41334</v>
      </c>
      <c r="C752" s="17">
        <v>678345069.05999994</v>
      </c>
      <c r="D752" s="17" t="s">
        <v>28</v>
      </c>
      <c r="E752" s="17">
        <v>9</v>
      </c>
    </row>
    <row r="753" spans="2:5">
      <c r="B753" s="37">
        <v>41334</v>
      </c>
      <c r="C753" s="17">
        <v>494448848.54000002</v>
      </c>
      <c r="D753" s="17" t="s">
        <v>17</v>
      </c>
      <c r="E753" s="17">
        <v>10</v>
      </c>
    </row>
    <row r="754" spans="2:5">
      <c r="B754" s="41">
        <v>41365</v>
      </c>
      <c r="C754" s="42">
        <v>11279857954.74</v>
      </c>
      <c r="D754" s="42" t="s">
        <v>11</v>
      </c>
      <c r="E754" s="42">
        <v>1</v>
      </c>
    </row>
    <row r="755" spans="2:5">
      <c r="B755" s="41">
        <v>41365</v>
      </c>
      <c r="C755" s="42">
        <v>4195492989.2800002</v>
      </c>
      <c r="D755" s="42" t="s">
        <v>13</v>
      </c>
      <c r="E755" s="42">
        <v>2</v>
      </c>
    </row>
    <row r="756" spans="2:5">
      <c r="B756" s="41">
        <v>41365</v>
      </c>
      <c r="C756" s="42">
        <v>1797450747.04</v>
      </c>
      <c r="D756" s="42" t="s">
        <v>32</v>
      </c>
      <c r="E756" s="42">
        <v>3</v>
      </c>
    </row>
    <row r="757" spans="2:5">
      <c r="B757" s="41">
        <v>41365</v>
      </c>
      <c r="C757" s="42">
        <v>1648217309.1500001</v>
      </c>
      <c r="D757" s="42" t="s">
        <v>8</v>
      </c>
      <c r="E757" s="42">
        <v>4</v>
      </c>
    </row>
    <row r="758" spans="2:5">
      <c r="B758" s="41">
        <v>41365</v>
      </c>
      <c r="C758" s="42">
        <v>1302284671.3699999</v>
      </c>
      <c r="D758" s="42" t="s">
        <v>105</v>
      </c>
      <c r="E758" s="42">
        <v>5</v>
      </c>
    </row>
    <row r="759" spans="2:5">
      <c r="B759" s="41">
        <v>41365</v>
      </c>
      <c r="C759" s="42">
        <v>1297895003.49</v>
      </c>
      <c r="D759" s="42" t="s">
        <v>106</v>
      </c>
      <c r="E759" s="42">
        <v>6</v>
      </c>
    </row>
    <row r="760" spans="2:5">
      <c r="B760" s="41">
        <v>41365</v>
      </c>
      <c r="C760" s="42">
        <v>1086522366.0599999</v>
      </c>
      <c r="D760" s="42" t="s">
        <v>6</v>
      </c>
      <c r="E760" s="42">
        <v>7</v>
      </c>
    </row>
    <row r="761" spans="2:5">
      <c r="B761" s="41">
        <v>41365</v>
      </c>
      <c r="C761" s="42">
        <v>918488192.34000003</v>
      </c>
      <c r="D761" s="42" t="s">
        <v>10</v>
      </c>
      <c r="E761" s="42">
        <v>8</v>
      </c>
    </row>
    <row r="762" spans="2:5">
      <c r="B762" s="41">
        <v>41365</v>
      </c>
      <c r="C762" s="42">
        <v>860474327.73000002</v>
      </c>
      <c r="D762" s="42" t="s">
        <v>28</v>
      </c>
      <c r="E762" s="42">
        <v>9</v>
      </c>
    </row>
    <row r="763" spans="2:5">
      <c r="B763" s="41">
        <v>41365</v>
      </c>
      <c r="C763" s="42">
        <v>584291828.42999995</v>
      </c>
      <c r="D763" s="42" t="s">
        <v>17</v>
      </c>
      <c r="E763" s="42">
        <v>10</v>
      </c>
    </row>
    <row r="764" spans="2:5">
      <c r="B764" s="41">
        <v>41395</v>
      </c>
      <c r="C764" s="42">
        <v>11488927028.709999</v>
      </c>
      <c r="D764" s="42" t="s">
        <v>11</v>
      </c>
      <c r="E764" s="42">
        <v>1</v>
      </c>
    </row>
    <row r="765" spans="2:5">
      <c r="B765" s="41">
        <v>41395</v>
      </c>
      <c r="C765" s="42">
        <v>4738173677.5200005</v>
      </c>
      <c r="D765" s="42" t="s">
        <v>13</v>
      </c>
      <c r="E765" s="42">
        <v>2</v>
      </c>
    </row>
    <row r="766" spans="2:5">
      <c r="B766" s="41">
        <v>41395</v>
      </c>
      <c r="C766" s="42">
        <v>1755678401.27</v>
      </c>
      <c r="D766" s="42" t="s">
        <v>32</v>
      </c>
      <c r="E766" s="42">
        <v>3</v>
      </c>
    </row>
    <row r="767" spans="2:5">
      <c r="B767" s="41">
        <v>41395</v>
      </c>
      <c r="C767" s="42">
        <v>1596995131.97</v>
      </c>
      <c r="D767" s="42" t="s">
        <v>8</v>
      </c>
      <c r="E767" s="42">
        <v>4</v>
      </c>
    </row>
    <row r="768" spans="2:5">
      <c r="B768" s="41">
        <v>41395</v>
      </c>
      <c r="C768" s="42">
        <v>1292282132.1900001</v>
      </c>
      <c r="D768" s="42" t="s">
        <v>106</v>
      </c>
      <c r="E768" s="42">
        <v>5</v>
      </c>
    </row>
    <row r="769" spans="2:5">
      <c r="B769" s="41">
        <v>41395</v>
      </c>
      <c r="C769" s="42">
        <v>1035640548.02</v>
      </c>
      <c r="D769" s="42" t="s">
        <v>6</v>
      </c>
      <c r="E769" s="42">
        <v>6</v>
      </c>
    </row>
    <row r="770" spans="2:5">
      <c r="B770" s="41">
        <v>41395</v>
      </c>
      <c r="C770" s="42">
        <v>931298107.47000003</v>
      </c>
      <c r="D770" s="42" t="s">
        <v>105</v>
      </c>
      <c r="E770" s="42">
        <v>7</v>
      </c>
    </row>
    <row r="771" spans="2:5">
      <c r="B771" s="41">
        <v>41395</v>
      </c>
      <c r="C771" s="42">
        <v>906812377.44000006</v>
      </c>
      <c r="D771" s="42" t="s">
        <v>10</v>
      </c>
      <c r="E771" s="42">
        <v>8</v>
      </c>
    </row>
    <row r="772" spans="2:5">
      <c r="B772" s="41">
        <v>41395</v>
      </c>
      <c r="C772" s="42">
        <v>710435857.17999995</v>
      </c>
      <c r="D772" s="42" t="s">
        <v>28</v>
      </c>
      <c r="E772" s="42">
        <v>9</v>
      </c>
    </row>
    <row r="773" spans="2:5">
      <c r="B773" s="41">
        <v>41395</v>
      </c>
      <c r="C773" s="42">
        <v>657931738.21000004</v>
      </c>
      <c r="D773" s="42" t="s">
        <v>17</v>
      </c>
      <c r="E773" s="42">
        <v>10</v>
      </c>
    </row>
    <row r="774" spans="2:5">
      <c r="B774" s="41">
        <v>41426</v>
      </c>
      <c r="C774" s="42">
        <v>10901539313.190001</v>
      </c>
      <c r="D774" s="42" t="s">
        <v>11</v>
      </c>
      <c r="E774" s="42">
        <v>1</v>
      </c>
    </row>
    <row r="775" spans="2:5">
      <c r="B775" s="41">
        <v>41426</v>
      </c>
      <c r="C775" s="42">
        <v>4730381051.3400002</v>
      </c>
      <c r="D775" s="42" t="s">
        <v>13</v>
      </c>
      <c r="E775" s="42">
        <v>2</v>
      </c>
    </row>
    <row r="776" spans="2:5">
      <c r="B776" s="41">
        <v>41426</v>
      </c>
      <c r="C776" s="42">
        <v>1580686262.49</v>
      </c>
      <c r="D776" s="42" t="s">
        <v>106</v>
      </c>
      <c r="E776" s="42">
        <v>3</v>
      </c>
    </row>
    <row r="777" spans="2:5">
      <c r="B777" s="41">
        <v>41426</v>
      </c>
      <c r="C777" s="42">
        <v>1376326862.25</v>
      </c>
      <c r="D777" s="42" t="s">
        <v>32</v>
      </c>
      <c r="E777" s="42">
        <v>4</v>
      </c>
    </row>
    <row r="778" spans="2:5">
      <c r="B778" s="41">
        <v>41426</v>
      </c>
      <c r="C778" s="42">
        <v>1342873390.71</v>
      </c>
      <c r="D778" s="42" t="s">
        <v>6</v>
      </c>
      <c r="E778" s="42">
        <v>5</v>
      </c>
    </row>
    <row r="779" spans="2:5">
      <c r="B779" s="41">
        <v>41426</v>
      </c>
      <c r="C779" s="42">
        <v>1216785434.53</v>
      </c>
      <c r="D779" s="42" t="s">
        <v>8</v>
      </c>
      <c r="E779" s="42">
        <v>6</v>
      </c>
    </row>
    <row r="780" spans="2:5">
      <c r="B780" s="41">
        <v>41426</v>
      </c>
      <c r="C780" s="42">
        <v>989690722.12</v>
      </c>
      <c r="D780" s="42" t="s">
        <v>105</v>
      </c>
      <c r="E780" s="42">
        <v>7</v>
      </c>
    </row>
    <row r="781" spans="2:5">
      <c r="B781" s="41">
        <v>41426</v>
      </c>
      <c r="C781" s="42">
        <v>866478125.78999996</v>
      </c>
      <c r="D781" s="42" t="s">
        <v>10</v>
      </c>
      <c r="E781" s="42">
        <v>8</v>
      </c>
    </row>
    <row r="782" spans="2:5">
      <c r="B782" s="41">
        <v>41426</v>
      </c>
      <c r="C782" s="42">
        <v>774315018.16999996</v>
      </c>
      <c r="D782" s="42" t="s">
        <v>28</v>
      </c>
      <c r="E782" s="42">
        <v>9</v>
      </c>
    </row>
    <row r="783" spans="2:5">
      <c r="B783" s="41">
        <v>41426</v>
      </c>
      <c r="C783" s="42">
        <v>764355435.16999996</v>
      </c>
      <c r="D783" s="42" t="s">
        <v>17</v>
      </c>
      <c r="E783" s="42">
        <v>10</v>
      </c>
    </row>
    <row r="784" spans="2:5">
      <c r="B784" s="41">
        <v>41456</v>
      </c>
      <c r="C784" s="42">
        <v>10136035522.35</v>
      </c>
      <c r="D784" s="42" t="s">
        <v>11</v>
      </c>
      <c r="E784" s="42">
        <v>1</v>
      </c>
    </row>
    <row r="785" spans="2:5">
      <c r="B785" s="41">
        <v>41456</v>
      </c>
      <c r="C785" s="42">
        <v>4465855112.6400003</v>
      </c>
      <c r="D785" s="42" t="s">
        <v>13</v>
      </c>
      <c r="E785" s="42">
        <v>2</v>
      </c>
    </row>
    <row r="786" spans="2:5">
      <c r="B786" s="41">
        <v>41456</v>
      </c>
      <c r="C786" s="42">
        <v>1643145346.3900001</v>
      </c>
      <c r="D786" s="42" t="s">
        <v>6</v>
      </c>
      <c r="E786" s="42">
        <v>3</v>
      </c>
    </row>
    <row r="787" spans="2:5">
      <c r="B787" s="41">
        <v>41456</v>
      </c>
      <c r="C787" s="42">
        <v>1497063712.9400001</v>
      </c>
      <c r="D787" s="42" t="s">
        <v>106</v>
      </c>
      <c r="E787" s="42">
        <v>4</v>
      </c>
    </row>
    <row r="788" spans="2:5">
      <c r="B788" s="41">
        <v>41456</v>
      </c>
      <c r="C788" s="42">
        <v>1213419445.95</v>
      </c>
      <c r="D788" s="42" t="s">
        <v>8</v>
      </c>
      <c r="E788" s="42">
        <v>5</v>
      </c>
    </row>
    <row r="789" spans="2:5">
      <c r="B789" s="41">
        <v>41456</v>
      </c>
      <c r="C789" s="42">
        <v>1175656245.8800001</v>
      </c>
      <c r="D789" s="42" t="s">
        <v>32</v>
      </c>
      <c r="E789" s="42">
        <v>6</v>
      </c>
    </row>
    <row r="790" spans="2:5">
      <c r="B790" s="41">
        <v>41456</v>
      </c>
      <c r="C790" s="42">
        <v>1000607956.98</v>
      </c>
      <c r="D790" s="42" t="s">
        <v>107</v>
      </c>
      <c r="E790" s="42">
        <v>7</v>
      </c>
    </row>
    <row r="791" spans="2:5">
      <c r="B791" s="41">
        <v>41456</v>
      </c>
      <c r="C791" s="42">
        <v>917539108.76999998</v>
      </c>
      <c r="D791" s="42" t="s">
        <v>17</v>
      </c>
      <c r="E791" s="42">
        <v>8</v>
      </c>
    </row>
    <row r="792" spans="2:5">
      <c r="B792" s="41">
        <v>41456</v>
      </c>
      <c r="C792" s="42">
        <v>860237870.13</v>
      </c>
      <c r="D792" s="42" t="s">
        <v>105</v>
      </c>
      <c r="E792" s="42">
        <v>9</v>
      </c>
    </row>
    <row r="793" spans="2:5">
      <c r="B793" s="41">
        <v>41456</v>
      </c>
      <c r="C793" s="42">
        <v>788508760.62</v>
      </c>
      <c r="D793" s="42" t="s">
        <v>28</v>
      </c>
      <c r="E793" s="42">
        <v>10</v>
      </c>
    </row>
    <row r="794" spans="2:5">
      <c r="B794" s="41">
        <v>41487</v>
      </c>
      <c r="C794" s="42">
        <v>8870949392.1399994</v>
      </c>
      <c r="D794" s="42" t="s">
        <v>11</v>
      </c>
      <c r="E794" s="42">
        <v>1</v>
      </c>
    </row>
    <row r="795" spans="2:5">
      <c r="B795" s="41">
        <v>41487</v>
      </c>
      <c r="C795" s="42">
        <v>3980782790.2600002</v>
      </c>
      <c r="D795" s="42" t="s">
        <v>13</v>
      </c>
      <c r="E795" s="42">
        <v>2</v>
      </c>
    </row>
    <row r="796" spans="2:5">
      <c r="B796" s="41">
        <v>41487</v>
      </c>
      <c r="C796" s="42">
        <v>1522616013.21</v>
      </c>
      <c r="D796" s="42" t="s">
        <v>6</v>
      </c>
      <c r="E796" s="42">
        <v>3</v>
      </c>
    </row>
    <row r="797" spans="2:5">
      <c r="B797" s="41">
        <v>41487</v>
      </c>
      <c r="C797" s="42">
        <v>1468817888.6099999</v>
      </c>
      <c r="D797" s="42" t="s">
        <v>106</v>
      </c>
      <c r="E797" s="42">
        <v>4</v>
      </c>
    </row>
    <row r="798" spans="2:5">
      <c r="B798" s="41">
        <v>41487</v>
      </c>
      <c r="C798" s="42">
        <v>1325441628.4000001</v>
      </c>
      <c r="D798" s="42" t="s">
        <v>8</v>
      </c>
      <c r="E798" s="42">
        <v>5</v>
      </c>
    </row>
    <row r="799" spans="2:5">
      <c r="B799" s="41">
        <v>41487</v>
      </c>
      <c r="C799" s="42">
        <v>940900321.38999999</v>
      </c>
      <c r="D799" s="42" t="s">
        <v>32</v>
      </c>
      <c r="E799" s="42">
        <v>6</v>
      </c>
    </row>
    <row r="800" spans="2:5">
      <c r="B800" s="41">
        <v>41487</v>
      </c>
      <c r="C800" s="42">
        <v>925588421.05999994</v>
      </c>
      <c r="D800" s="42" t="s">
        <v>17</v>
      </c>
      <c r="E800" s="42">
        <v>7</v>
      </c>
    </row>
    <row r="801" spans="2:5">
      <c r="B801" s="41">
        <v>41487</v>
      </c>
      <c r="C801" s="42">
        <v>741313532.32000005</v>
      </c>
      <c r="D801" s="42" t="s">
        <v>10</v>
      </c>
      <c r="E801" s="42">
        <v>8</v>
      </c>
    </row>
    <row r="802" spans="2:5">
      <c r="B802" s="41">
        <v>41487</v>
      </c>
      <c r="C802" s="42">
        <v>599862075.03999996</v>
      </c>
      <c r="D802" s="42" t="s">
        <v>105</v>
      </c>
      <c r="E802" s="42">
        <v>9</v>
      </c>
    </row>
    <row r="803" spans="2:5">
      <c r="B803" s="41">
        <v>41487</v>
      </c>
      <c r="C803" s="42">
        <v>532567846.5</v>
      </c>
      <c r="D803" s="42" t="s">
        <v>37</v>
      </c>
      <c r="E803" s="42">
        <v>10</v>
      </c>
    </row>
    <row r="804" spans="2:5">
      <c r="B804" s="41">
        <v>41518</v>
      </c>
      <c r="C804" s="42">
        <v>7267875544.7299995</v>
      </c>
      <c r="D804" s="42" t="s">
        <v>11</v>
      </c>
      <c r="E804" s="42">
        <v>1</v>
      </c>
    </row>
    <row r="805" spans="2:5">
      <c r="B805" s="41">
        <v>41518</v>
      </c>
      <c r="C805" s="42">
        <v>3471777396.3299999</v>
      </c>
      <c r="D805" s="42" t="s">
        <v>13</v>
      </c>
      <c r="E805" s="42">
        <v>2</v>
      </c>
    </row>
    <row r="806" spans="2:5">
      <c r="B806" s="41">
        <v>41518</v>
      </c>
      <c r="C806" s="42">
        <v>1341424820.1500001</v>
      </c>
      <c r="D806" s="42" t="s">
        <v>6</v>
      </c>
      <c r="E806" s="42">
        <v>3</v>
      </c>
    </row>
    <row r="807" spans="2:5">
      <c r="B807" s="41">
        <v>41518</v>
      </c>
      <c r="C807" s="42">
        <v>1172147863.8399999</v>
      </c>
      <c r="D807" s="42" t="s">
        <v>106</v>
      </c>
      <c r="E807" s="42">
        <v>4</v>
      </c>
    </row>
    <row r="808" spans="2:5">
      <c r="B808" s="41">
        <v>41518</v>
      </c>
      <c r="C808" s="42">
        <v>1147045018.1099999</v>
      </c>
      <c r="D808" s="42" t="s">
        <v>8</v>
      </c>
      <c r="E808" s="42">
        <v>5</v>
      </c>
    </row>
    <row r="809" spans="2:5">
      <c r="B809" s="41">
        <v>41518</v>
      </c>
      <c r="C809" s="42">
        <v>782389323.86000001</v>
      </c>
      <c r="D809" s="42" t="s">
        <v>32</v>
      </c>
      <c r="E809" s="42">
        <v>6</v>
      </c>
    </row>
    <row r="810" spans="2:5">
      <c r="B810" s="41">
        <v>41518</v>
      </c>
      <c r="C810" s="42">
        <v>683770829.99000001</v>
      </c>
      <c r="D810" s="42" t="s">
        <v>17</v>
      </c>
      <c r="E810" s="42">
        <v>7</v>
      </c>
    </row>
    <row r="811" spans="2:5">
      <c r="B811" s="41">
        <v>41518</v>
      </c>
      <c r="C811" s="42">
        <v>670423511.88</v>
      </c>
      <c r="D811" s="42" t="s">
        <v>37</v>
      </c>
      <c r="E811" s="42">
        <v>8</v>
      </c>
    </row>
    <row r="812" spans="2:5">
      <c r="B812" s="41">
        <v>41518</v>
      </c>
      <c r="C812" s="42">
        <v>641375462.87</v>
      </c>
      <c r="D812" s="42" t="s">
        <v>10</v>
      </c>
      <c r="E812" s="42">
        <v>9</v>
      </c>
    </row>
    <row r="813" spans="2:5">
      <c r="B813" s="41">
        <v>41518</v>
      </c>
      <c r="C813" s="42">
        <v>598361111</v>
      </c>
      <c r="D813" s="42" t="s">
        <v>103</v>
      </c>
      <c r="E813" s="42">
        <v>10</v>
      </c>
    </row>
    <row r="814" spans="2:5">
      <c r="B814" s="41">
        <v>41548</v>
      </c>
      <c r="C814" s="42">
        <v>6287281036.2299995</v>
      </c>
      <c r="D814" s="42" t="s">
        <v>11</v>
      </c>
      <c r="E814" s="42">
        <v>1</v>
      </c>
    </row>
    <row r="815" spans="2:5">
      <c r="B815" s="41">
        <v>41548</v>
      </c>
      <c r="C815" s="42">
        <v>3182328797.0799999</v>
      </c>
      <c r="D815" s="42" t="s">
        <v>13</v>
      </c>
      <c r="E815" s="42">
        <v>2</v>
      </c>
    </row>
    <row r="816" spans="2:5">
      <c r="B816" s="41">
        <v>41548</v>
      </c>
      <c r="C816" s="42">
        <v>1258315006.4100001</v>
      </c>
      <c r="D816" s="42" t="s">
        <v>106</v>
      </c>
      <c r="E816" s="42">
        <v>3</v>
      </c>
    </row>
    <row r="817" spans="2:5">
      <c r="B817" s="41">
        <v>41548</v>
      </c>
      <c r="C817" s="42">
        <v>974102458.21000004</v>
      </c>
      <c r="D817" s="42" t="s">
        <v>8</v>
      </c>
      <c r="E817" s="42">
        <v>4</v>
      </c>
    </row>
    <row r="818" spans="2:5">
      <c r="B818" s="41">
        <v>41548</v>
      </c>
      <c r="C818" s="42">
        <v>812256710.12</v>
      </c>
      <c r="D818" s="42" t="s">
        <v>6</v>
      </c>
      <c r="E818" s="42">
        <v>5</v>
      </c>
    </row>
    <row r="819" spans="2:5">
      <c r="B819" s="41">
        <v>41548</v>
      </c>
      <c r="C819" s="42">
        <v>779301985.91999996</v>
      </c>
      <c r="D819" s="42" t="s">
        <v>32</v>
      </c>
      <c r="E819" s="42">
        <v>6</v>
      </c>
    </row>
    <row r="820" spans="2:5">
      <c r="B820" s="41">
        <v>41548</v>
      </c>
      <c r="C820" s="42">
        <v>754718398.10000002</v>
      </c>
      <c r="D820" s="42" t="s">
        <v>37</v>
      </c>
      <c r="E820" s="42">
        <v>7</v>
      </c>
    </row>
    <row r="821" spans="2:5">
      <c r="B821" s="41">
        <v>41548</v>
      </c>
      <c r="C821" s="42">
        <v>615656843.39999998</v>
      </c>
      <c r="D821" s="42" t="s">
        <v>10</v>
      </c>
      <c r="E821" s="42">
        <v>8</v>
      </c>
    </row>
    <row r="822" spans="2:5">
      <c r="B822" s="41">
        <v>41548</v>
      </c>
      <c r="C822" s="42">
        <v>539416375.85000002</v>
      </c>
      <c r="D822" s="42" t="s">
        <v>17</v>
      </c>
      <c r="E822" s="42">
        <v>9</v>
      </c>
    </row>
    <row r="823" spans="2:5">
      <c r="B823" s="41">
        <v>41548</v>
      </c>
      <c r="C823" s="42">
        <v>482252231.64999998</v>
      </c>
      <c r="D823" s="42" t="s">
        <v>113</v>
      </c>
      <c r="E823" s="42">
        <v>10</v>
      </c>
    </row>
    <row r="824" spans="2:5">
      <c r="B824" s="41">
        <v>41579</v>
      </c>
      <c r="C824" s="42">
        <v>6464423980.5</v>
      </c>
      <c r="D824" s="42" t="s">
        <v>11</v>
      </c>
      <c r="E824" s="42">
        <v>1</v>
      </c>
    </row>
    <row r="825" spans="2:5">
      <c r="B825" s="41">
        <v>41579</v>
      </c>
      <c r="C825" s="42">
        <v>2463325497.46</v>
      </c>
      <c r="D825" s="42" t="s">
        <v>13</v>
      </c>
      <c r="E825" s="42">
        <v>2</v>
      </c>
    </row>
    <row r="826" spans="2:5">
      <c r="B826" s="41">
        <v>41579</v>
      </c>
      <c r="C826" s="42">
        <v>1076163316.6600001</v>
      </c>
      <c r="D826" s="42" t="s">
        <v>106</v>
      </c>
      <c r="E826" s="42">
        <v>3</v>
      </c>
    </row>
    <row r="827" spans="2:5">
      <c r="B827" s="41">
        <v>41579</v>
      </c>
      <c r="C827" s="42">
        <v>799622429.14999998</v>
      </c>
      <c r="D827" s="42" t="s">
        <v>8</v>
      </c>
      <c r="E827" s="42">
        <v>4</v>
      </c>
    </row>
    <row r="828" spans="2:5">
      <c r="B828" s="41">
        <v>41579</v>
      </c>
      <c r="C828" s="42">
        <v>797068629.88999999</v>
      </c>
      <c r="D828" s="42" t="s">
        <v>32</v>
      </c>
      <c r="E828" s="42">
        <v>5</v>
      </c>
    </row>
    <row r="829" spans="2:5">
      <c r="B829" s="41">
        <v>41579</v>
      </c>
      <c r="C829" s="42">
        <v>668737119.49000001</v>
      </c>
      <c r="D829" s="42" t="s">
        <v>6</v>
      </c>
      <c r="E829" s="42">
        <v>6</v>
      </c>
    </row>
    <row r="830" spans="2:5">
      <c r="B830" s="41">
        <v>41579</v>
      </c>
      <c r="C830" s="42">
        <v>639144067.30999994</v>
      </c>
      <c r="D830" s="42" t="s">
        <v>10</v>
      </c>
      <c r="E830" s="42">
        <v>7</v>
      </c>
    </row>
    <row r="831" spans="2:5">
      <c r="B831" s="41">
        <v>41579</v>
      </c>
      <c r="C831" s="42">
        <v>516460274.13</v>
      </c>
      <c r="D831" s="42" t="s">
        <v>105</v>
      </c>
      <c r="E831" s="42">
        <v>8</v>
      </c>
    </row>
    <row r="832" spans="2:5">
      <c r="B832" s="41">
        <v>41579</v>
      </c>
      <c r="C832" s="42">
        <v>449112516.25</v>
      </c>
      <c r="D832" s="42" t="s">
        <v>104</v>
      </c>
      <c r="E832" s="42">
        <v>9</v>
      </c>
    </row>
    <row r="833" spans="2:5">
      <c r="B833" s="41">
        <v>41579</v>
      </c>
      <c r="C833" s="42">
        <v>441916409.88999999</v>
      </c>
      <c r="D833" s="42" t="s">
        <v>17</v>
      </c>
      <c r="E833" s="42">
        <v>10</v>
      </c>
    </row>
    <row r="834" spans="2:5">
      <c r="B834" s="41">
        <v>41609</v>
      </c>
      <c r="C834" s="42">
        <v>4731307858.5900002</v>
      </c>
      <c r="D834" s="42" t="s">
        <v>11</v>
      </c>
      <c r="E834" s="42">
        <v>1</v>
      </c>
    </row>
    <row r="835" spans="2:5">
      <c r="B835" s="41">
        <v>41609</v>
      </c>
      <c r="C835" s="42">
        <v>1724480336.5599999</v>
      </c>
      <c r="D835" s="42" t="s">
        <v>13</v>
      </c>
      <c r="E835" s="42">
        <v>2</v>
      </c>
    </row>
    <row r="836" spans="2:5">
      <c r="B836" s="41">
        <v>41609</v>
      </c>
      <c r="C836" s="42">
        <v>1113262611.8599999</v>
      </c>
      <c r="D836" s="42" t="s">
        <v>106</v>
      </c>
      <c r="E836" s="42">
        <v>3</v>
      </c>
    </row>
    <row r="837" spans="2:5">
      <c r="B837" s="41">
        <v>41609</v>
      </c>
      <c r="C837" s="42">
        <v>870228630.88999999</v>
      </c>
      <c r="D837" s="42" t="s">
        <v>32</v>
      </c>
      <c r="E837" s="42">
        <v>4</v>
      </c>
    </row>
    <row r="838" spans="2:5">
      <c r="B838" s="41">
        <v>41609</v>
      </c>
      <c r="C838" s="42">
        <v>815707268.17999995</v>
      </c>
      <c r="D838" s="42" t="s">
        <v>6</v>
      </c>
      <c r="E838" s="42">
        <v>5</v>
      </c>
    </row>
    <row r="839" spans="2:5">
      <c r="B839" s="41">
        <v>41609</v>
      </c>
      <c r="C839" s="42">
        <v>558729588.00999999</v>
      </c>
      <c r="D839" s="42" t="s">
        <v>105</v>
      </c>
      <c r="E839" s="42">
        <v>6</v>
      </c>
    </row>
    <row r="840" spans="2:5">
      <c r="B840" s="41">
        <v>41609</v>
      </c>
      <c r="C840" s="42">
        <v>513276919.01999998</v>
      </c>
      <c r="D840" s="42" t="s">
        <v>8</v>
      </c>
      <c r="E840" s="42">
        <v>7</v>
      </c>
    </row>
    <row r="841" spans="2:5">
      <c r="B841" s="41">
        <v>41609</v>
      </c>
      <c r="C841" s="42">
        <v>461977965.93000001</v>
      </c>
      <c r="D841" s="42" t="s">
        <v>10</v>
      </c>
      <c r="E841" s="42">
        <v>8</v>
      </c>
    </row>
    <row r="842" spans="2:5">
      <c r="B842" s="41">
        <v>41609</v>
      </c>
      <c r="C842" s="42">
        <v>410582199.24000001</v>
      </c>
      <c r="D842" s="42" t="s">
        <v>37</v>
      </c>
      <c r="E842" s="42">
        <v>9</v>
      </c>
    </row>
    <row r="843" spans="2:5">
      <c r="B843" s="41">
        <v>41609</v>
      </c>
      <c r="C843" s="42">
        <v>396248148.92000002</v>
      </c>
      <c r="D843" s="42" t="s">
        <v>17</v>
      </c>
      <c r="E843" s="42">
        <v>10</v>
      </c>
    </row>
    <row r="844" spans="2:5">
      <c r="B844" s="41">
        <v>41640</v>
      </c>
      <c r="C844" s="42">
        <v>4800004095.4399996</v>
      </c>
      <c r="D844" s="42" t="s">
        <v>11</v>
      </c>
      <c r="E844" s="42">
        <v>1</v>
      </c>
    </row>
    <row r="845" spans="2:5">
      <c r="B845" s="41">
        <v>41640</v>
      </c>
      <c r="C845" s="42">
        <v>1862401712.6600001</v>
      </c>
      <c r="D845" s="42" t="s">
        <v>13</v>
      </c>
      <c r="E845" s="42">
        <v>2</v>
      </c>
    </row>
    <row r="846" spans="2:5">
      <c r="B846" s="41">
        <v>41640</v>
      </c>
      <c r="C846" s="42">
        <v>1066458116.17</v>
      </c>
      <c r="D846" s="42" t="s">
        <v>106</v>
      </c>
      <c r="E846" s="42">
        <v>3</v>
      </c>
    </row>
    <row r="847" spans="2:5">
      <c r="B847" s="41">
        <v>41640</v>
      </c>
      <c r="C847" s="42">
        <v>802516246.95000005</v>
      </c>
      <c r="D847" s="42" t="s">
        <v>32</v>
      </c>
      <c r="E847" s="42">
        <v>4</v>
      </c>
    </row>
    <row r="848" spans="2:5">
      <c r="B848" s="41">
        <v>41640</v>
      </c>
      <c r="C848" s="42">
        <v>787323265.19000006</v>
      </c>
      <c r="D848" s="42" t="s">
        <v>6</v>
      </c>
      <c r="E848" s="42">
        <v>5</v>
      </c>
    </row>
    <row r="849" spans="2:5">
      <c r="B849" s="41">
        <v>41640</v>
      </c>
      <c r="C849" s="42">
        <v>719029877.03999996</v>
      </c>
      <c r="D849" s="42" t="s">
        <v>105</v>
      </c>
      <c r="E849" s="42">
        <v>6</v>
      </c>
    </row>
    <row r="850" spans="2:5">
      <c r="B850" s="41">
        <v>41640</v>
      </c>
      <c r="C850" s="42">
        <v>608692529.63</v>
      </c>
      <c r="D850" s="42" t="s">
        <v>8</v>
      </c>
      <c r="E850" s="42">
        <v>7</v>
      </c>
    </row>
    <row r="851" spans="2:5">
      <c r="B851" s="41">
        <v>41640</v>
      </c>
      <c r="C851" s="42">
        <v>511331717.36000001</v>
      </c>
      <c r="D851" s="42" t="s">
        <v>10</v>
      </c>
      <c r="E851" s="42">
        <v>8</v>
      </c>
    </row>
    <row r="852" spans="2:5">
      <c r="B852" s="41">
        <v>41640</v>
      </c>
      <c r="C852" s="42">
        <v>353889252.02999997</v>
      </c>
      <c r="D852" s="42" t="s">
        <v>108</v>
      </c>
      <c r="E852" s="42">
        <v>9</v>
      </c>
    </row>
    <row r="853" spans="2:5">
      <c r="B853" s="41">
        <v>41640</v>
      </c>
      <c r="C853" s="42">
        <v>334244324.25</v>
      </c>
      <c r="D853" s="42" t="s">
        <v>37</v>
      </c>
      <c r="E853" s="42">
        <v>10</v>
      </c>
    </row>
    <row r="854" spans="2:5">
      <c r="B854" s="41">
        <v>41671</v>
      </c>
      <c r="C854" s="42">
        <v>4975614792.9300003</v>
      </c>
      <c r="D854" s="42" t="s">
        <v>11</v>
      </c>
      <c r="E854" s="42">
        <v>1</v>
      </c>
    </row>
    <row r="855" spans="2:5">
      <c r="B855" s="41">
        <v>41671</v>
      </c>
      <c r="C855" s="42">
        <v>1533271487.3800001</v>
      </c>
      <c r="D855" s="42" t="s">
        <v>13</v>
      </c>
      <c r="E855" s="42">
        <v>2</v>
      </c>
    </row>
    <row r="856" spans="2:5">
      <c r="B856" s="41">
        <v>41671</v>
      </c>
      <c r="C856" s="42">
        <v>929692115.90999997</v>
      </c>
      <c r="D856" s="42" t="s">
        <v>8</v>
      </c>
      <c r="E856" s="42">
        <v>3</v>
      </c>
    </row>
    <row r="857" spans="2:5">
      <c r="B857" s="41">
        <v>41671</v>
      </c>
      <c r="C857" s="42">
        <v>865514313.89999998</v>
      </c>
      <c r="D857" s="42" t="s">
        <v>106</v>
      </c>
      <c r="E857" s="42">
        <v>4</v>
      </c>
    </row>
    <row r="858" spans="2:5">
      <c r="B858" s="41">
        <v>41671</v>
      </c>
      <c r="C858" s="42">
        <v>770937960.11000001</v>
      </c>
      <c r="D858" s="42" t="s">
        <v>105</v>
      </c>
      <c r="E858" s="42">
        <v>5</v>
      </c>
    </row>
    <row r="859" spans="2:5">
      <c r="B859" s="41">
        <v>41671</v>
      </c>
      <c r="C859" s="42">
        <v>757958069.71000004</v>
      </c>
      <c r="D859" s="42" t="s">
        <v>6</v>
      </c>
      <c r="E859" s="42">
        <v>6</v>
      </c>
    </row>
    <row r="860" spans="2:5">
      <c r="B860" s="41">
        <v>41671</v>
      </c>
      <c r="C860" s="42">
        <v>708551293.49000001</v>
      </c>
      <c r="D860" s="42" t="s">
        <v>32</v>
      </c>
      <c r="E860" s="42">
        <v>7</v>
      </c>
    </row>
    <row r="861" spans="2:5">
      <c r="B861" s="41">
        <v>41671</v>
      </c>
      <c r="C861" s="42">
        <v>402849410.14999998</v>
      </c>
      <c r="D861" s="42" t="s">
        <v>17</v>
      </c>
      <c r="E861" s="42">
        <v>8</v>
      </c>
    </row>
    <row r="862" spans="2:5">
      <c r="B862" s="41">
        <v>41671</v>
      </c>
      <c r="C862" s="42">
        <v>394848037.62</v>
      </c>
      <c r="D862" s="42" t="s">
        <v>10</v>
      </c>
      <c r="E862" s="42">
        <v>9</v>
      </c>
    </row>
    <row r="863" spans="2:5">
      <c r="B863" s="41">
        <v>41671</v>
      </c>
      <c r="C863" s="42">
        <v>329701965.72000003</v>
      </c>
      <c r="D863" s="42" t="s">
        <v>37</v>
      </c>
      <c r="E863" s="42">
        <v>10</v>
      </c>
    </row>
    <row r="864" spans="2:5">
      <c r="B864" s="41">
        <v>41699</v>
      </c>
      <c r="C864" s="42">
        <v>3220958142.0500002</v>
      </c>
      <c r="D864" s="42" t="s">
        <v>11</v>
      </c>
      <c r="E864" s="42">
        <v>1</v>
      </c>
    </row>
    <row r="865" spans="2:5">
      <c r="B865" s="41">
        <v>41699</v>
      </c>
      <c r="C865" s="42">
        <v>1089146163.8</v>
      </c>
      <c r="D865" s="42" t="s">
        <v>13</v>
      </c>
      <c r="E865" s="42">
        <v>2</v>
      </c>
    </row>
    <row r="866" spans="2:5">
      <c r="B866" s="41">
        <v>41699</v>
      </c>
      <c r="C866" s="42">
        <v>1022805617.8200001</v>
      </c>
      <c r="D866" s="42" t="s">
        <v>106</v>
      </c>
      <c r="E866" s="42">
        <v>3</v>
      </c>
    </row>
    <row r="867" spans="2:5">
      <c r="B867" s="41">
        <v>41699</v>
      </c>
      <c r="C867" s="42">
        <v>712356474.03999996</v>
      </c>
      <c r="D867" s="42" t="s">
        <v>22</v>
      </c>
      <c r="E867" s="42">
        <v>4</v>
      </c>
    </row>
    <row r="868" spans="2:5">
      <c r="B868" s="41">
        <v>41699</v>
      </c>
      <c r="C868" s="42">
        <v>695291908.09000003</v>
      </c>
      <c r="D868" s="42" t="s">
        <v>32</v>
      </c>
      <c r="E868" s="42">
        <v>5</v>
      </c>
    </row>
    <row r="869" spans="2:5">
      <c r="B869" s="41">
        <v>41699</v>
      </c>
      <c r="C869" s="42">
        <v>563502069.10000002</v>
      </c>
      <c r="D869" s="42" t="s">
        <v>6</v>
      </c>
      <c r="E869" s="42">
        <v>6</v>
      </c>
    </row>
    <row r="870" spans="2:5">
      <c r="B870" s="41">
        <v>41699</v>
      </c>
      <c r="C870" s="42">
        <v>480247030.62</v>
      </c>
      <c r="D870" s="42" t="s">
        <v>8</v>
      </c>
      <c r="E870" s="42">
        <v>7</v>
      </c>
    </row>
    <row r="871" spans="2:5">
      <c r="B871" s="41">
        <v>41699</v>
      </c>
      <c r="C871" s="42">
        <v>431135901.98000002</v>
      </c>
      <c r="D871" s="42" t="s">
        <v>10</v>
      </c>
      <c r="E871" s="42">
        <v>8</v>
      </c>
    </row>
    <row r="872" spans="2:5">
      <c r="B872" s="41">
        <v>41699</v>
      </c>
      <c r="C872" s="42">
        <v>381263288.63</v>
      </c>
      <c r="D872" s="42" t="s">
        <v>37</v>
      </c>
      <c r="E872" s="42">
        <v>9</v>
      </c>
    </row>
    <row r="873" spans="2:5">
      <c r="B873" s="41">
        <v>41699</v>
      </c>
      <c r="C873" s="42">
        <v>344011655.41000003</v>
      </c>
      <c r="D873" s="42" t="s">
        <v>17</v>
      </c>
      <c r="E873" s="42">
        <v>10</v>
      </c>
    </row>
    <row r="874" spans="2:5">
      <c r="B874" s="37">
        <v>41730</v>
      </c>
      <c r="C874" s="17">
        <v>4445417365.0100002</v>
      </c>
      <c r="D874" s="17" t="s">
        <v>11</v>
      </c>
      <c r="E874" s="17">
        <v>1</v>
      </c>
    </row>
    <row r="875" spans="2:5">
      <c r="B875" s="37">
        <v>41730</v>
      </c>
      <c r="C875" s="17">
        <v>1289246266.5</v>
      </c>
      <c r="D875" s="17" t="s">
        <v>106</v>
      </c>
      <c r="E875" s="17">
        <v>2</v>
      </c>
    </row>
    <row r="876" spans="2:5">
      <c r="B876" s="37">
        <v>41730</v>
      </c>
      <c r="C876" s="17">
        <v>1181772643.3199999</v>
      </c>
      <c r="D876" s="17" t="s">
        <v>13</v>
      </c>
      <c r="E876" s="17">
        <v>3</v>
      </c>
    </row>
    <row r="877" spans="2:5">
      <c r="B877" s="37">
        <v>41730</v>
      </c>
      <c r="C877" s="17">
        <v>939936270.5</v>
      </c>
      <c r="D877" s="17" t="s">
        <v>22</v>
      </c>
      <c r="E877" s="17">
        <v>4</v>
      </c>
    </row>
    <row r="878" spans="2:5">
      <c r="B878" s="37">
        <v>41730</v>
      </c>
      <c r="C878" s="17">
        <v>891231518.87</v>
      </c>
      <c r="D878" s="17" t="s">
        <v>32</v>
      </c>
      <c r="E878" s="17">
        <v>5</v>
      </c>
    </row>
    <row r="879" spans="2:5">
      <c r="B879" s="37">
        <v>41730</v>
      </c>
      <c r="C879" s="17">
        <v>577555244.13</v>
      </c>
      <c r="D879" s="17" t="s">
        <v>8</v>
      </c>
      <c r="E879" s="17">
        <v>6</v>
      </c>
    </row>
    <row r="880" spans="2:5">
      <c r="B880" s="37">
        <v>41730</v>
      </c>
      <c r="C880" s="17">
        <v>560402271.94000006</v>
      </c>
      <c r="D880" s="17" t="s">
        <v>6</v>
      </c>
      <c r="E880" s="17">
        <v>7</v>
      </c>
    </row>
    <row r="881" spans="2:5">
      <c r="B881" s="37">
        <v>41730</v>
      </c>
      <c r="C881" s="17">
        <v>540535444.28999996</v>
      </c>
      <c r="D881" s="17" t="s">
        <v>10</v>
      </c>
      <c r="E881" s="17">
        <v>8</v>
      </c>
    </row>
    <row r="882" spans="2:5">
      <c r="B882" s="37">
        <v>41730</v>
      </c>
      <c r="C882" s="17">
        <v>478836948.66000003</v>
      </c>
      <c r="D882" s="17" t="s">
        <v>37</v>
      </c>
      <c r="E882" s="17">
        <v>9</v>
      </c>
    </row>
    <row r="883" spans="2:5">
      <c r="B883" s="37">
        <v>41730</v>
      </c>
      <c r="C883" s="17">
        <v>395128360.19999999</v>
      </c>
      <c r="D883" s="17" t="s">
        <v>95</v>
      </c>
      <c r="E883" s="17">
        <v>10</v>
      </c>
    </row>
    <row r="884" spans="2:5">
      <c r="B884" s="37">
        <v>41760</v>
      </c>
      <c r="C884" s="17">
        <v>5355107741.7399998</v>
      </c>
      <c r="D884" s="17" t="s">
        <v>11</v>
      </c>
      <c r="E884" s="17">
        <v>1</v>
      </c>
    </row>
    <row r="885" spans="2:5">
      <c r="B885" s="37">
        <v>41760</v>
      </c>
      <c r="C885" s="17">
        <v>1357591642.0799999</v>
      </c>
      <c r="D885" s="17" t="s">
        <v>106</v>
      </c>
      <c r="E885" s="17">
        <v>2</v>
      </c>
    </row>
    <row r="886" spans="2:5">
      <c r="B886" s="37">
        <v>41760</v>
      </c>
      <c r="C886" s="17">
        <v>1184891022.47</v>
      </c>
      <c r="D886" s="17" t="s">
        <v>13</v>
      </c>
      <c r="E886" s="17">
        <v>3</v>
      </c>
    </row>
    <row r="887" spans="2:5">
      <c r="B887" s="37">
        <v>41760</v>
      </c>
      <c r="C887" s="17">
        <v>964743791.53999996</v>
      </c>
      <c r="D887" s="17" t="s">
        <v>32</v>
      </c>
      <c r="E887" s="17">
        <v>4</v>
      </c>
    </row>
    <row r="888" spans="2:5">
      <c r="B888" s="37">
        <v>41760</v>
      </c>
      <c r="C888" s="17">
        <v>655069246.73000002</v>
      </c>
      <c r="D888" s="17" t="s">
        <v>8</v>
      </c>
      <c r="E888" s="17">
        <v>5</v>
      </c>
    </row>
    <row r="889" spans="2:5">
      <c r="B889" s="37">
        <v>41760</v>
      </c>
      <c r="C889" s="17">
        <v>646605506.82000005</v>
      </c>
      <c r="D889" s="17" t="s">
        <v>95</v>
      </c>
      <c r="E889" s="17">
        <v>6</v>
      </c>
    </row>
    <row r="890" spans="2:5">
      <c r="B890" s="37">
        <v>41760</v>
      </c>
      <c r="C890" s="17">
        <v>624382026.03999996</v>
      </c>
      <c r="D890" s="17" t="s">
        <v>105</v>
      </c>
      <c r="E890" s="17">
        <v>7</v>
      </c>
    </row>
    <row r="891" spans="2:5">
      <c r="B891" s="37">
        <v>41760</v>
      </c>
      <c r="C891" s="17">
        <v>594617651.25</v>
      </c>
      <c r="D891" s="17" t="s">
        <v>6</v>
      </c>
      <c r="E891" s="17">
        <v>8</v>
      </c>
    </row>
    <row r="892" spans="2:5">
      <c r="B892" s="37">
        <v>41760</v>
      </c>
      <c r="C892" s="17">
        <v>515014397.62</v>
      </c>
      <c r="D892" s="17" t="s">
        <v>10</v>
      </c>
      <c r="E892" s="17">
        <v>9</v>
      </c>
    </row>
    <row r="893" spans="2:5">
      <c r="B893" s="37">
        <v>41760</v>
      </c>
      <c r="C893" s="17">
        <v>471330854.68000001</v>
      </c>
      <c r="D893" s="17" t="s">
        <v>37</v>
      </c>
      <c r="E893" s="17">
        <v>10</v>
      </c>
    </row>
    <row r="894" spans="2:5">
      <c r="B894" s="37">
        <v>41791</v>
      </c>
      <c r="C894" s="17">
        <v>6002735545.8500004</v>
      </c>
      <c r="D894" s="17" t="s">
        <v>11</v>
      </c>
      <c r="E894" s="17">
        <v>1</v>
      </c>
    </row>
    <row r="895" spans="2:5">
      <c r="B895" s="37">
        <v>41791</v>
      </c>
      <c r="C895" s="17">
        <v>1326631431.48</v>
      </c>
      <c r="D895" s="17" t="s">
        <v>106</v>
      </c>
      <c r="E895" s="17">
        <v>2</v>
      </c>
    </row>
    <row r="896" spans="2:5">
      <c r="B896" s="37">
        <v>41791</v>
      </c>
      <c r="C896" s="17">
        <v>1080807363.3299999</v>
      </c>
      <c r="D896" s="17" t="s">
        <v>22</v>
      </c>
      <c r="E896" s="17">
        <v>3</v>
      </c>
    </row>
    <row r="897" spans="2:5">
      <c r="B897" s="37">
        <v>41791</v>
      </c>
      <c r="C897" s="17">
        <v>993878458.38999999</v>
      </c>
      <c r="D897" s="17" t="s">
        <v>32</v>
      </c>
      <c r="E897" s="17">
        <v>4</v>
      </c>
    </row>
    <row r="898" spans="2:5">
      <c r="B898" s="37">
        <v>41791</v>
      </c>
      <c r="C898" s="17">
        <v>845899464.78999996</v>
      </c>
      <c r="D898" s="17" t="s">
        <v>13</v>
      </c>
      <c r="E898" s="17">
        <v>5</v>
      </c>
    </row>
    <row r="899" spans="2:5">
      <c r="B899" s="37">
        <v>41791</v>
      </c>
      <c r="C899" s="17">
        <v>769198130.64999998</v>
      </c>
      <c r="D899" s="17" t="s">
        <v>8</v>
      </c>
      <c r="E899" s="17">
        <v>6</v>
      </c>
    </row>
    <row r="900" spans="2:5">
      <c r="B900" s="37">
        <v>41791</v>
      </c>
      <c r="C900" s="17">
        <v>608138021.98000002</v>
      </c>
      <c r="D900" s="17" t="s">
        <v>95</v>
      </c>
      <c r="E900" s="17">
        <v>7</v>
      </c>
    </row>
    <row r="901" spans="2:5">
      <c r="B901" s="37">
        <v>41791</v>
      </c>
      <c r="C901" s="17">
        <v>546000521.87</v>
      </c>
      <c r="D901" s="17" t="s">
        <v>10</v>
      </c>
      <c r="E901" s="17">
        <v>8</v>
      </c>
    </row>
    <row r="902" spans="2:5">
      <c r="B902" s="37">
        <v>41791</v>
      </c>
      <c r="C902" s="17">
        <v>539540337.66999996</v>
      </c>
      <c r="D902" s="17" t="s">
        <v>17</v>
      </c>
      <c r="E902" s="17">
        <v>9</v>
      </c>
    </row>
    <row r="903" spans="2:5">
      <c r="B903" s="37">
        <v>41791</v>
      </c>
      <c r="C903" s="17">
        <v>491285245.54000002</v>
      </c>
      <c r="D903" s="17" t="s">
        <v>26</v>
      </c>
      <c r="E903" s="17">
        <v>10</v>
      </c>
    </row>
    <row r="904" spans="2:5">
      <c r="B904" s="37">
        <v>41821</v>
      </c>
      <c r="C904" s="17">
        <v>4723917455.1999998</v>
      </c>
      <c r="D904" s="17" t="s">
        <v>11</v>
      </c>
      <c r="E904" s="17">
        <v>1</v>
      </c>
    </row>
    <row r="905" spans="2:5">
      <c r="B905" s="37">
        <v>41821</v>
      </c>
      <c r="C905" s="17">
        <v>1670155620.8699999</v>
      </c>
      <c r="D905" s="17" t="s">
        <v>106</v>
      </c>
      <c r="E905" s="17">
        <v>2</v>
      </c>
    </row>
    <row r="906" spans="2:5">
      <c r="B906" s="37">
        <v>41821</v>
      </c>
      <c r="C906" s="17">
        <v>1027789952.87</v>
      </c>
      <c r="D906" s="17" t="s">
        <v>32</v>
      </c>
      <c r="E906" s="17">
        <v>3</v>
      </c>
    </row>
    <row r="907" spans="2:5">
      <c r="B907" s="37">
        <v>41821</v>
      </c>
      <c r="C907" s="17">
        <v>1023157972.13</v>
      </c>
      <c r="D907" s="17" t="s">
        <v>8</v>
      </c>
      <c r="E907" s="17">
        <v>4</v>
      </c>
    </row>
    <row r="908" spans="2:5">
      <c r="B908" s="37">
        <v>41821</v>
      </c>
      <c r="C908" s="17">
        <v>910093667.67999995</v>
      </c>
      <c r="D908" s="17" t="s">
        <v>13</v>
      </c>
      <c r="E908" s="17">
        <v>5</v>
      </c>
    </row>
    <row r="909" spans="2:5">
      <c r="B909" s="37">
        <v>41821</v>
      </c>
      <c r="C909" s="17">
        <v>877802032.32000005</v>
      </c>
      <c r="D909" s="17" t="s">
        <v>95</v>
      </c>
      <c r="E909" s="17">
        <v>6</v>
      </c>
    </row>
    <row r="910" spans="2:5">
      <c r="B910" s="37">
        <v>41821</v>
      </c>
      <c r="C910" s="17">
        <v>791978650.03999996</v>
      </c>
      <c r="D910" s="17" t="s">
        <v>17</v>
      </c>
      <c r="E910" s="17">
        <v>7</v>
      </c>
    </row>
    <row r="911" spans="2:5">
      <c r="B911" s="37">
        <v>41821</v>
      </c>
      <c r="C911" s="17">
        <v>698183951.72000003</v>
      </c>
      <c r="D911" s="17" t="s">
        <v>105</v>
      </c>
      <c r="E911" s="17">
        <v>8</v>
      </c>
    </row>
    <row r="912" spans="2:5">
      <c r="B912" s="37">
        <v>41821</v>
      </c>
      <c r="C912" s="17">
        <v>691950470.26999998</v>
      </c>
      <c r="D912" s="17" t="s">
        <v>22</v>
      </c>
      <c r="E912" s="17">
        <v>9</v>
      </c>
    </row>
    <row r="913" spans="2:5">
      <c r="B913" s="37">
        <v>41821</v>
      </c>
      <c r="C913" s="17">
        <v>650480839.63999999</v>
      </c>
      <c r="D913" s="17" t="s">
        <v>10</v>
      </c>
      <c r="E913" s="17">
        <v>10</v>
      </c>
    </row>
    <row r="914" spans="2:5">
      <c r="B914" s="37">
        <v>41852</v>
      </c>
      <c r="C914" s="17">
        <v>6318663594.3699999</v>
      </c>
      <c r="D914" s="17" t="s">
        <v>11</v>
      </c>
      <c r="E914" s="17">
        <v>1</v>
      </c>
    </row>
    <row r="915" spans="2:5">
      <c r="B915" s="37">
        <v>41852</v>
      </c>
      <c r="C915" s="17">
        <v>1699898385.21</v>
      </c>
      <c r="D915" s="17" t="s">
        <v>22</v>
      </c>
      <c r="E915" s="17">
        <v>2</v>
      </c>
    </row>
    <row r="916" spans="2:5">
      <c r="B916" s="37">
        <v>41852</v>
      </c>
      <c r="C916" s="17">
        <v>1635145941.8399999</v>
      </c>
      <c r="D916" s="17" t="s">
        <v>106</v>
      </c>
      <c r="E916" s="17">
        <v>3</v>
      </c>
    </row>
    <row r="917" spans="2:5">
      <c r="B917" s="37">
        <v>41852</v>
      </c>
      <c r="C917" s="17">
        <v>1320321847.8299999</v>
      </c>
      <c r="D917" s="17" t="s">
        <v>8</v>
      </c>
      <c r="E917" s="17">
        <v>4</v>
      </c>
    </row>
    <row r="918" spans="2:5">
      <c r="B918" s="37">
        <v>41852</v>
      </c>
      <c r="C918" s="17">
        <v>1055336225.5700001</v>
      </c>
      <c r="D918" s="17" t="s">
        <v>13</v>
      </c>
      <c r="E918" s="17">
        <v>5</v>
      </c>
    </row>
    <row r="919" spans="2:5">
      <c r="B919" s="37">
        <v>41852</v>
      </c>
      <c r="C919" s="17">
        <v>981734208.25999999</v>
      </c>
      <c r="D919" s="17" t="s">
        <v>32</v>
      </c>
      <c r="E919" s="17">
        <v>6</v>
      </c>
    </row>
    <row r="920" spans="2:5">
      <c r="B920" s="37">
        <v>41852</v>
      </c>
      <c r="C920" s="17">
        <v>975030866.97000003</v>
      </c>
      <c r="D920" s="17" t="s">
        <v>17</v>
      </c>
      <c r="E920" s="17">
        <v>7</v>
      </c>
    </row>
    <row r="921" spans="2:5">
      <c r="B921" s="37">
        <v>41852</v>
      </c>
      <c r="C921" s="17">
        <v>881794092.59000003</v>
      </c>
      <c r="D921" s="17" t="s">
        <v>95</v>
      </c>
      <c r="E921" s="17">
        <v>8</v>
      </c>
    </row>
    <row r="922" spans="2:5">
      <c r="B922" s="37">
        <v>41852</v>
      </c>
      <c r="C922" s="17">
        <v>689850035.39999998</v>
      </c>
      <c r="D922" s="17" t="s">
        <v>10</v>
      </c>
      <c r="E922" s="17">
        <v>9</v>
      </c>
    </row>
    <row r="923" spans="2:5">
      <c r="B923" s="37">
        <v>41852</v>
      </c>
      <c r="C923" s="17">
        <v>608899879.34000003</v>
      </c>
      <c r="D923" s="17" t="s">
        <v>109</v>
      </c>
      <c r="E923" s="17">
        <v>10</v>
      </c>
    </row>
    <row r="924" spans="2:5">
      <c r="B924" s="37">
        <v>41883</v>
      </c>
      <c r="C924" s="17">
        <v>4613722824.3800001</v>
      </c>
      <c r="D924" s="17" t="s">
        <v>11</v>
      </c>
      <c r="E924" s="17">
        <v>1</v>
      </c>
    </row>
    <row r="925" spans="2:5">
      <c r="B925" s="37">
        <v>41883</v>
      </c>
      <c r="C925" s="17">
        <v>1556373390.77</v>
      </c>
      <c r="D925" s="17" t="s">
        <v>106</v>
      </c>
      <c r="E925" s="17">
        <v>2</v>
      </c>
    </row>
    <row r="926" spans="2:5">
      <c r="B926" s="37">
        <v>41883</v>
      </c>
      <c r="C926" s="17">
        <v>1415728775.98</v>
      </c>
      <c r="D926" s="17" t="s">
        <v>13</v>
      </c>
      <c r="E926" s="17">
        <v>3</v>
      </c>
    </row>
    <row r="927" spans="2:5">
      <c r="B927" s="37">
        <v>41883</v>
      </c>
      <c r="C927" s="17">
        <v>1383444647.1400001</v>
      </c>
      <c r="D927" s="17" t="s">
        <v>22</v>
      </c>
      <c r="E927" s="17">
        <v>4</v>
      </c>
    </row>
    <row r="928" spans="2:5">
      <c r="B928" s="37">
        <v>41883</v>
      </c>
      <c r="C928" s="17">
        <v>1031058634.13</v>
      </c>
      <c r="D928" s="17" t="s">
        <v>8</v>
      </c>
      <c r="E928" s="17">
        <v>5</v>
      </c>
    </row>
    <row r="929" spans="2:5">
      <c r="B929" s="37">
        <v>41883</v>
      </c>
      <c r="C929" s="17">
        <v>960697697.27999997</v>
      </c>
      <c r="D929" s="17" t="s">
        <v>95</v>
      </c>
      <c r="E929" s="17">
        <v>6</v>
      </c>
    </row>
    <row r="930" spans="2:5">
      <c r="B930" s="37">
        <v>41883</v>
      </c>
      <c r="C930" s="17">
        <v>911284632.14999998</v>
      </c>
      <c r="D930" s="17" t="s">
        <v>32</v>
      </c>
      <c r="E930" s="17">
        <v>7</v>
      </c>
    </row>
    <row r="931" spans="2:5">
      <c r="B931" s="37">
        <v>41883</v>
      </c>
      <c r="C931" s="17">
        <v>726301542.14999998</v>
      </c>
      <c r="D931" s="17" t="s">
        <v>17</v>
      </c>
      <c r="E931" s="17">
        <v>8</v>
      </c>
    </row>
    <row r="932" spans="2:5">
      <c r="B932" s="37">
        <v>41883</v>
      </c>
      <c r="C932" s="17">
        <v>723572045.92999995</v>
      </c>
      <c r="D932" s="17" t="s">
        <v>10</v>
      </c>
      <c r="E932" s="17">
        <v>9</v>
      </c>
    </row>
    <row r="933" spans="2:5">
      <c r="B933" s="37">
        <v>41883</v>
      </c>
      <c r="C933" s="17">
        <v>481583172.60000002</v>
      </c>
      <c r="D933" s="17" t="s">
        <v>109</v>
      </c>
      <c r="E933" s="17">
        <v>10</v>
      </c>
    </row>
    <row r="934" spans="2:5">
      <c r="B934" s="37">
        <v>41913</v>
      </c>
      <c r="C934" s="17">
        <v>4905737431.7200003</v>
      </c>
      <c r="D934" s="17" t="s">
        <v>11</v>
      </c>
      <c r="E934" s="17">
        <v>1</v>
      </c>
    </row>
    <row r="935" spans="2:5">
      <c r="B935" s="37">
        <v>41913</v>
      </c>
      <c r="C935" s="17">
        <v>1778992721.8800001</v>
      </c>
      <c r="D935" s="17" t="s">
        <v>106</v>
      </c>
      <c r="E935" s="17">
        <v>2</v>
      </c>
    </row>
    <row r="936" spans="2:5">
      <c r="B936" s="37">
        <v>41913</v>
      </c>
      <c r="C936" s="17">
        <v>1702449370.6600001</v>
      </c>
      <c r="D936" s="17" t="s">
        <v>22</v>
      </c>
      <c r="E936" s="17">
        <v>3</v>
      </c>
    </row>
    <row r="937" spans="2:5">
      <c r="B937" s="37">
        <v>41913</v>
      </c>
      <c r="C937" s="17">
        <v>1640922646.6199999</v>
      </c>
      <c r="D937" s="17" t="s">
        <v>13</v>
      </c>
      <c r="E937" s="17">
        <v>4</v>
      </c>
    </row>
    <row r="938" spans="2:5">
      <c r="B938" s="37">
        <v>41913</v>
      </c>
      <c r="C938" s="17">
        <v>1409364042.8199999</v>
      </c>
      <c r="D938" s="17" t="s">
        <v>95</v>
      </c>
      <c r="E938" s="17">
        <v>5</v>
      </c>
    </row>
    <row r="939" spans="2:5">
      <c r="B939" s="37">
        <v>41913</v>
      </c>
      <c r="C939" s="17">
        <v>1199448917.1400001</v>
      </c>
      <c r="D939" s="17" t="s">
        <v>8</v>
      </c>
      <c r="E939" s="17">
        <v>6</v>
      </c>
    </row>
    <row r="940" spans="2:5">
      <c r="B940" s="37">
        <v>41913</v>
      </c>
      <c r="C940" s="17">
        <v>1091284686.5</v>
      </c>
      <c r="D940" s="17" t="s">
        <v>32</v>
      </c>
      <c r="E940" s="17">
        <v>7</v>
      </c>
    </row>
    <row r="941" spans="2:5">
      <c r="B941" s="37">
        <v>41913</v>
      </c>
      <c r="C941" s="17">
        <v>775537759.84000003</v>
      </c>
      <c r="D941" s="17" t="s">
        <v>17</v>
      </c>
      <c r="E941" s="17">
        <v>8</v>
      </c>
    </row>
    <row r="942" spans="2:5">
      <c r="B942" s="37">
        <v>41913</v>
      </c>
      <c r="C942" s="17">
        <v>717643687.88</v>
      </c>
      <c r="D942" s="17" t="s">
        <v>10</v>
      </c>
      <c r="E942" s="17">
        <v>9</v>
      </c>
    </row>
    <row r="943" spans="2:5">
      <c r="B943" s="37">
        <v>41913</v>
      </c>
      <c r="C943" s="17">
        <v>569804138.59000003</v>
      </c>
      <c r="D943" s="17" t="s">
        <v>108</v>
      </c>
      <c r="E943" s="17">
        <v>10</v>
      </c>
    </row>
    <row r="944" spans="2:5">
      <c r="B944" s="37">
        <v>41944</v>
      </c>
      <c r="C944" s="17">
        <v>4010907765.6100001</v>
      </c>
      <c r="D944" s="17" t="s">
        <v>11</v>
      </c>
      <c r="E944" s="17">
        <v>1</v>
      </c>
    </row>
    <row r="945" spans="2:5">
      <c r="B945" s="37">
        <v>41944</v>
      </c>
      <c r="C945" s="17">
        <v>1481928390.0599999</v>
      </c>
      <c r="D945" s="17" t="s">
        <v>22</v>
      </c>
      <c r="E945" s="17">
        <v>2</v>
      </c>
    </row>
    <row r="946" spans="2:5">
      <c r="B946" s="37">
        <v>41944</v>
      </c>
      <c r="C946" s="17">
        <v>1318877643.8399999</v>
      </c>
      <c r="D946" s="17" t="s">
        <v>106</v>
      </c>
      <c r="E946" s="17">
        <v>3</v>
      </c>
    </row>
    <row r="947" spans="2:5">
      <c r="B947" s="37">
        <v>41944</v>
      </c>
      <c r="C947" s="17">
        <v>1268946997.46</v>
      </c>
      <c r="D947" s="17" t="s">
        <v>32</v>
      </c>
      <c r="E947" s="17">
        <v>4</v>
      </c>
    </row>
    <row r="948" spans="2:5">
      <c r="B948" s="37">
        <v>41944</v>
      </c>
      <c r="C948" s="17">
        <v>1130359359.48</v>
      </c>
      <c r="D948" s="17" t="s">
        <v>13</v>
      </c>
      <c r="E948" s="17">
        <v>5</v>
      </c>
    </row>
    <row r="949" spans="2:5">
      <c r="B949" s="37">
        <v>41944</v>
      </c>
      <c r="C949" s="17">
        <v>1040007439.1900001</v>
      </c>
      <c r="D949" s="17" t="s">
        <v>8</v>
      </c>
      <c r="E949" s="17">
        <v>6</v>
      </c>
    </row>
    <row r="950" spans="2:5">
      <c r="B950" s="37">
        <v>41944</v>
      </c>
      <c r="C950" s="17">
        <v>1029313038.71</v>
      </c>
      <c r="D950" s="17" t="s">
        <v>95</v>
      </c>
      <c r="E950" s="17">
        <v>7</v>
      </c>
    </row>
    <row r="951" spans="2:5">
      <c r="B951" s="37">
        <v>41944</v>
      </c>
      <c r="C951" s="17">
        <v>682912583.20000005</v>
      </c>
      <c r="D951" s="17" t="s">
        <v>109</v>
      </c>
      <c r="E951" s="17">
        <v>8</v>
      </c>
    </row>
    <row r="952" spans="2:5">
      <c r="B952" s="37">
        <v>41944</v>
      </c>
      <c r="C952" s="17">
        <v>656362470.60000002</v>
      </c>
      <c r="D952" s="17" t="s">
        <v>10</v>
      </c>
      <c r="E952" s="17">
        <v>9</v>
      </c>
    </row>
    <row r="953" spans="2:5">
      <c r="B953" s="37">
        <v>41944</v>
      </c>
      <c r="C953" s="17">
        <v>639313497.61000001</v>
      </c>
      <c r="D953" s="17" t="s">
        <v>17</v>
      </c>
      <c r="E953" s="17">
        <v>10</v>
      </c>
    </row>
    <row r="954" spans="2:5">
      <c r="B954" s="37">
        <v>41974</v>
      </c>
      <c r="C954" s="17">
        <v>4309016116.8000002</v>
      </c>
      <c r="D954" s="17" t="s">
        <v>11</v>
      </c>
      <c r="E954" s="17">
        <v>1</v>
      </c>
    </row>
    <row r="955" spans="2:5">
      <c r="B955" s="37">
        <v>41974</v>
      </c>
      <c r="C955" s="17">
        <v>1701533056</v>
      </c>
      <c r="D955" s="17" t="s">
        <v>32</v>
      </c>
      <c r="E955" s="17">
        <v>2</v>
      </c>
    </row>
    <row r="956" spans="2:5">
      <c r="B956" s="37">
        <v>41974</v>
      </c>
      <c r="C956" s="17">
        <v>1622968081.75</v>
      </c>
      <c r="D956" s="17" t="s">
        <v>106</v>
      </c>
      <c r="E956" s="17">
        <v>3</v>
      </c>
    </row>
    <row r="957" spans="2:5">
      <c r="B957" s="37">
        <v>41974</v>
      </c>
      <c r="C957" s="17">
        <v>1593404499.52</v>
      </c>
      <c r="D957" s="17" t="s">
        <v>22</v>
      </c>
      <c r="E957" s="17">
        <v>4</v>
      </c>
    </row>
    <row r="958" spans="2:5">
      <c r="B958" s="37">
        <v>41974</v>
      </c>
      <c r="C958" s="17">
        <v>1061153848.83</v>
      </c>
      <c r="D958" s="17" t="s">
        <v>8</v>
      </c>
      <c r="E958" s="17">
        <v>5</v>
      </c>
    </row>
    <row r="959" spans="2:5">
      <c r="B959" s="37">
        <v>41974</v>
      </c>
      <c r="C959" s="17">
        <v>1041623721.72</v>
      </c>
      <c r="D959" s="17" t="s">
        <v>13</v>
      </c>
      <c r="E959" s="17">
        <v>6</v>
      </c>
    </row>
    <row r="960" spans="2:5">
      <c r="B960" s="37">
        <v>41974</v>
      </c>
      <c r="C960" s="17">
        <v>783384788.52999997</v>
      </c>
      <c r="D960" s="17" t="s">
        <v>95</v>
      </c>
      <c r="E960" s="17">
        <v>7</v>
      </c>
    </row>
    <row r="961" spans="2:5">
      <c r="B961" s="37">
        <v>41974</v>
      </c>
      <c r="C961" s="17">
        <v>595284777.33000004</v>
      </c>
      <c r="D961" s="17" t="s">
        <v>109</v>
      </c>
      <c r="E961" s="17">
        <v>8</v>
      </c>
    </row>
    <row r="962" spans="2:5">
      <c r="B962" s="37">
        <v>41974</v>
      </c>
      <c r="C962" s="17">
        <v>555021260.59000003</v>
      </c>
      <c r="D962" s="17" t="s">
        <v>10</v>
      </c>
      <c r="E962" s="17">
        <v>9</v>
      </c>
    </row>
    <row r="963" spans="2:5">
      <c r="B963" s="37">
        <v>41974</v>
      </c>
      <c r="C963" s="17">
        <v>538719380.54999995</v>
      </c>
      <c r="D963" s="17" t="s">
        <v>17</v>
      </c>
      <c r="E963" s="17">
        <v>10</v>
      </c>
    </row>
    <row r="964" spans="2:5">
      <c r="B964" s="37">
        <v>42005</v>
      </c>
      <c r="C964" s="17">
        <v>3904655310.6700001</v>
      </c>
      <c r="D964" s="17" t="s">
        <v>11</v>
      </c>
      <c r="E964" s="17">
        <v>1</v>
      </c>
    </row>
    <row r="965" spans="2:5">
      <c r="B965" s="37">
        <v>42005</v>
      </c>
      <c r="C965" s="17">
        <v>1879668236.21</v>
      </c>
      <c r="D965" s="17" t="s">
        <v>22</v>
      </c>
      <c r="E965" s="17">
        <v>2</v>
      </c>
    </row>
    <row r="966" spans="2:5">
      <c r="B966" s="37">
        <v>42005</v>
      </c>
      <c r="C966" s="17">
        <v>1625033492.25</v>
      </c>
      <c r="D966" s="17" t="s">
        <v>106</v>
      </c>
      <c r="E966" s="17">
        <v>3</v>
      </c>
    </row>
    <row r="967" spans="2:5">
      <c r="B967" s="37">
        <v>42005</v>
      </c>
      <c r="C967" s="17">
        <v>1608075629.5699999</v>
      </c>
      <c r="D967" s="17" t="s">
        <v>32</v>
      </c>
      <c r="E967" s="17">
        <v>4</v>
      </c>
    </row>
    <row r="968" spans="2:5">
      <c r="B968" s="37">
        <v>42005</v>
      </c>
      <c r="C968" s="17">
        <v>1178028705.72</v>
      </c>
      <c r="D968" s="17" t="s">
        <v>8</v>
      </c>
      <c r="E968" s="17">
        <v>5</v>
      </c>
    </row>
    <row r="969" spans="2:5">
      <c r="B969" s="37">
        <v>42005</v>
      </c>
      <c r="C969" s="17">
        <v>896080600.24000001</v>
      </c>
      <c r="D969" s="17" t="s">
        <v>95</v>
      </c>
      <c r="E969" s="17">
        <v>6</v>
      </c>
    </row>
    <row r="970" spans="2:5">
      <c r="B970" s="37">
        <v>42005</v>
      </c>
      <c r="C970" s="17">
        <v>742919383.65999997</v>
      </c>
      <c r="D970" s="17" t="s">
        <v>109</v>
      </c>
      <c r="E970" s="17">
        <v>7</v>
      </c>
    </row>
    <row r="971" spans="2:5">
      <c r="B971" s="37">
        <v>42005</v>
      </c>
      <c r="C971" s="17">
        <v>567421630.83000004</v>
      </c>
      <c r="D971" s="17" t="s">
        <v>110</v>
      </c>
      <c r="E971" s="17">
        <v>8</v>
      </c>
    </row>
    <row r="972" spans="2:5">
      <c r="B972" s="37">
        <v>42005</v>
      </c>
      <c r="C972" s="17">
        <v>556752715.63</v>
      </c>
      <c r="D972" s="17" t="s">
        <v>111</v>
      </c>
      <c r="E972" s="17">
        <v>9</v>
      </c>
    </row>
    <row r="973" spans="2:5">
      <c r="B973" s="37">
        <v>42005</v>
      </c>
      <c r="C973" s="17">
        <v>538077240.82000005</v>
      </c>
      <c r="D973" s="17" t="s">
        <v>13</v>
      </c>
      <c r="E973" s="17">
        <v>10</v>
      </c>
    </row>
    <row r="974" spans="2:5">
      <c r="B974" s="37">
        <v>42036</v>
      </c>
      <c r="C974" s="17">
        <v>4061400420.8899999</v>
      </c>
      <c r="D974" s="17" t="s">
        <v>11</v>
      </c>
      <c r="E974" s="17">
        <v>1</v>
      </c>
    </row>
    <row r="975" spans="2:5">
      <c r="B975" s="37">
        <v>42036</v>
      </c>
      <c r="C975" s="17">
        <v>1709595700.75</v>
      </c>
      <c r="D975" s="17" t="s">
        <v>22</v>
      </c>
      <c r="E975" s="17">
        <v>2</v>
      </c>
    </row>
    <row r="976" spans="2:5">
      <c r="B976" s="37">
        <v>42036</v>
      </c>
      <c r="C976" s="17">
        <v>1276651700.3800001</v>
      </c>
      <c r="D976" s="17" t="s">
        <v>32</v>
      </c>
      <c r="E976" s="17">
        <v>3</v>
      </c>
    </row>
    <row r="977" spans="2:5">
      <c r="B977" s="37">
        <v>42036</v>
      </c>
      <c r="C977" s="17">
        <v>1254494476.75</v>
      </c>
      <c r="D977" s="17" t="s">
        <v>106</v>
      </c>
      <c r="E977" s="17">
        <v>4</v>
      </c>
    </row>
    <row r="978" spans="2:5">
      <c r="B978" s="37">
        <v>42036</v>
      </c>
      <c r="C978" s="17">
        <v>1154041709.48</v>
      </c>
      <c r="D978" s="17" t="s">
        <v>8</v>
      </c>
      <c r="E978" s="17">
        <v>5</v>
      </c>
    </row>
    <row r="979" spans="2:5">
      <c r="B979" s="37">
        <v>42036</v>
      </c>
      <c r="C979" s="17">
        <v>801913745.34000003</v>
      </c>
      <c r="D979" s="17" t="s">
        <v>95</v>
      </c>
      <c r="E979" s="17">
        <v>6</v>
      </c>
    </row>
    <row r="980" spans="2:5">
      <c r="B980" s="37">
        <v>42036</v>
      </c>
      <c r="C980" s="17">
        <v>773346642.21000004</v>
      </c>
      <c r="D980" s="17" t="s">
        <v>13</v>
      </c>
      <c r="E980" s="17">
        <v>7</v>
      </c>
    </row>
    <row r="981" spans="2:5">
      <c r="B981" s="37">
        <v>42036</v>
      </c>
      <c r="C981" s="17">
        <v>509205711.77999997</v>
      </c>
      <c r="D981" s="17" t="s">
        <v>17</v>
      </c>
      <c r="E981" s="17">
        <v>8</v>
      </c>
    </row>
    <row r="982" spans="2:5">
      <c r="B982" s="37">
        <v>42036</v>
      </c>
      <c r="C982" s="17">
        <v>495007211.51999998</v>
      </c>
      <c r="D982" s="17" t="s">
        <v>109</v>
      </c>
      <c r="E982" s="17">
        <v>9</v>
      </c>
    </row>
    <row r="983" spans="2:5">
      <c r="B983" s="37">
        <v>42036</v>
      </c>
      <c r="C983" s="17">
        <v>463957555.94999999</v>
      </c>
      <c r="D983" s="17" t="s">
        <v>110</v>
      </c>
      <c r="E983" s="17">
        <v>10</v>
      </c>
    </row>
    <row r="984" spans="2:5">
      <c r="B984" s="37">
        <v>42064</v>
      </c>
      <c r="C984" s="17">
        <v>4519939214.6099997</v>
      </c>
      <c r="D984" s="17" t="s">
        <v>11</v>
      </c>
      <c r="E984" s="17">
        <v>1</v>
      </c>
    </row>
    <row r="985" spans="2:5">
      <c r="B985" s="37">
        <v>42064</v>
      </c>
      <c r="C985" s="17">
        <v>2184165727.7399998</v>
      </c>
      <c r="D985" s="17" t="s">
        <v>106</v>
      </c>
      <c r="E985" s="17">
        <v>2</v>
      </c>
    </row>
    <row r="986" spans="2:5">
      <c r="B986" s="37">
        <v>42064</v>
      </c>
      <c r="C986" s="17">
        <v>1951357567.9100001</v>
      </c>
      <c r="D986" s="17" t="s">
        <v>22</v>
      </c>
      <c r="E986" s="17">
        <v>3</v>
      </c>
    </row>
    <row r="987" spans="2:5">
      <c r="B987" s="37">
        <v>42064</v>
      </c>
      <c r="C987" s="17">
        <v>1395752227.78</v>
      </c>
      <c r="D987" s="17" t="s">
        <v>32</v>
      </c>
      <c r="E987" s="17">
        <v>4</v>
      </c>
    </row>
    <row r="988" spans="2:5">
      <c r="B988" s="37">
        <v>42064</v>
      </c>
      <c r="C988" s="17">
        <v>1193108817.8</v>
      </c>
      <c r="D988" s="17" t="s">
        <v>8</v>
      </c>
      <c r="E988" s="17">
        <v>5</v>
      </c>
    </row>
    <row r="989" spans="2:5">
      <c r="B989" s="37">
        <v>42064</v>
      </c>
      <c r="C989" s="17">
        <v>1150073844.3399999</v>
      </c>
      <c r="D989" s="17" t="s">
        <v>95</v>
      </c>
      <c r="E989" s="17">
        <v>6</v>
      </c>
    </row>
    <row r="990" spans="2:5">
      <c r="B990" s="37">
        <v>42064</v>
      </c>
      <c r="C990" s="17">
        <v>1121598716.0999999</v>
      </c>
      <c r="D990" s="17" t="s">
        <v>13</v>
      </c>
      <c r="E990" s="17">
        <v>7</v>
      </c>
    </row>
    <row r="991" spans="2:5">
      <c r="B991" s="37">
        <v>42064</v>
      </c>
      <c r="C991" s="17">
        <v>740711037.30999994</v>
      </c>
      <c r="D991" s="17" t="s">
        <v>112</v>
      </c>
      <c r="E991" s="17">
        <v>8</v>
      </c>
    </row>
    <row r="992" spans="2:5">
      <c r="B992" s="37">
        <v>42064</v>
      </c>
      <c r="C992" s="17">
        <v>711619802.50999999</v>
      </c>
      <c r="D992" s="17" t="s">
        <v>110</v>
      </c>
      <c r="E992" s="17">
        <v>9</v>
      </c>
    </row>
    <row r="993" spans="2:5">
      <c r="B993" s="37">
        <v>42064</v>
      </c>
      <c r="C993" s="17">
        <v>704205064.92999995</v>
      </c>
      <c r="D993" s="17" t="s">
        <v>109</v>
      </c>
      <c r="E993" s="17">
        <v>10</v>
      </c>
    </row>
    <row r="994" spans="2:5">
      <c r="B994" s="59">
        <v>42095</v>
      </c>
      <c r="C994" s="60">
        <v>5345630110.9799995</v>
      </c>
      <c r="D994" s="60" t="s">
        <v>11</v>
      </c>
      <c r="E994" s="60">
        <v>1</v>
      </c>
    </row>
    <row r="995" spans="2:5">
      <c r="B995" s="59">
        <v>42095</v>
      </c>
      <c r="C995" s="60">
        <v>2768969803.9499998</v>
      </c>
      <c r="D995" s="60" t="s">
        <v>22</v>
      </c>
      <c r="E995" s="60">
        <v>2</v>
      </c>
    </row>
    <row r="996" spans="2:5">
      <c r="B996" s="59">
        <v>42095</v>
      </c>
      <c r="C996" s="60">
        <v>2695906594.3299999</v>
      </c>
      <c r="D996" s="60" t="s">
        <v>106</v>
      </c>
      <c r="E996" s="60">
        <v>3</v>
      </c>
    </row>
    <row r="997" spans="2:5">
      <c r="B997" s="59">
        <v>42095</v>
      </c>
      <c r="C997" s="60">
        <v>1578591042.45</v>
      </c>
      <c r="D997" s="60" t="s">
        <v>32</v>
      </c>
      <c r="E997" s="60">
        <v>4</v>
      </c>
    </row>
    <row r="998" spans="2:5">
      <c r="B998" s="59">
        <v>42095</v>
      </c>
      <c r="C998" s="60">
        <v>1544807428.47</v>
      </c>
      <c r="D998" s="60" t="s">
        <v>95</v>
      </c>
      <c r="E998" s="60">
        <v>5</v>
      </c>
    </row>
    <row r="999" spans="2:5">
      <c r="B999" s="59">
        <v>42095</v>
      </c>
      <c r="C999" s="60">
        <v>1199028717.3499999</v>
      </c>
      <c r="D999" s="60" t="s">
        <v>8</v>
      </c>
      <c r="E999" s="60">
        <v>6</v>
      </c>
    </row>
    <row r="1000" spans="2:5">
      <c r="B1000" s="59">
        <v>42095</v>
      </c>
      <c r="C1000" s="60">
        <v>1061581290.74</v>
      </c>
      <c r="D1000" s="60" t="s">
        <v>109</v>
      </c>
      <c r="E1000" s="60">
        <v>7</v>
      </c>
    </row>
    <row r="1001" spans="2:5">
      <c r="B1001" s="59">
        <v>42095</v>
      </c>
      <c r="C1001" s="60">
        <v>1004138741.78</v>
      </c>
      <c r="D1001" s="60" t="s">
        <v>13</v>
      </c>
      <c r="E1001" s="60">
        <v>8</v>
      </c>
    </row>
    <row r="1002" spans="2:5">
      <c r="B1002" s="59">
        <v>42095</v>
      </c>
      <c r="C1002" s="60">
        <v>994538230.60000002</v>
      </c>
      <c r="D1002" s="60" t="s">
        <v>38</v>
      </c>
      <c r="E1002" s="60">
        <v>9</v>
      </c>
    </row>
    <row r="1003" spans="2:5">
      <c r="B1003" s="59">
        <v>42095</v>
      </c>
      <c r="C1003" s="60">
        <v>918420730.11000001</v>
      </c>
      <c r="D1003" s="60" t="s">
        <v>112</v>
      </c>
      <c r="E1003" s="60">
        <v>10</v>
      </c>
    </row>
    <row r="1004" spans="2:5">
      <c r="B1004" s="37">
        <v>42125</v>
      </c>
      <c r="C1004" s="17">
        <v>5284302393.6499996</v>
      </c>
      <c r="D1004" s="17" t="s">
        <v>11</v>
      </c>
      <c r="E1004" s="17">
        <v>1</v>
      </c>
    </row>
    <row r="1005" spans="2:5">
      <c r="B1005" s="37">
        <v>42125</v>
      </c>
      <c r="C1005" s="17">
        <v>2759129427.4200001</v>
      </c>
      <c r="D1005" s="17" t="s">
        <v>106</v>
      </c>
      <c r="E1005" s="17">
        <v>2</v>
      </c>
    </row>
    <row r="1006" spans="2:5">
      <c r="B1006" s="37">
        <v>42125</v>
      </c>
      <c r="C1006" s="17">
        <v>2307737488.4499998</v>
      </c>
      <c r="D1006" s="17" t="s">
        <v>22</v>
      </c>
      <c r="E1006" s="17">
        <v>3</v>
      </c>
    </row>
    <row r="1007" spans="2:5">
      <c r="B1007" s="37">
        <v>42125</v>
      </c>
      <c r="C1007" s="17">
        <v>1962171206.3499999</v>
      </c>
      <c r="D1007" s="17" t="s">
        <v>32</v>
      </c>
      <c r="E1007" s="17">
        <v>4</v>
      </c>
    </row>
    <row r="1008" spans="2:5">
      <c r="B1008" s="37">
        <v>42125</v>
      </c>
      <c r="C1008" s="17">
        <v>1556095727.8299999</v>
      </c>
      <c r="D1008" s="17" t="s">
        <v>95</v>
      </c>
      <c r="E1008" s="17">
        <v>5</v>
      </c>
    </row>
    <row r="1009" spans="2:5">
      <c r="B1009" s="37">
        <v>42125</v>
      </c>
      <c r="C1009" s="17">
        <v>1235239041.9300001</v>
      </c>
      <c r="D1009" s="17" t="s">
        <v>8</v>
      </c>
      <c r="E1009" s="17">
        <v>6</v>
      </c>
    </row>
    <row r="1010" spans="2:5">
      <c r="B1010" s="37">
        <v>42125</v>
      </c>
      <c r="C1010" s="17">
        <v>1088099243.8800001</v>
      </c>
      <c r="D1010" s="17" t="s">
        <v>109</v>
      </c>
      <c r="E1010" s="17">
        <v>7</v>
      </c>
    </row>
    <row r="1011" spans="2:5">
      <c r="B1011" s="37">
        <v>42125</v>
      </c>
      <c r="C1011" s="17">
        <v>1086294345.46</v>
      </c>
      <c r="D1011" s="17" t="s">
        <v>13</v>
      </c>
      <c r="E1011" s="17">
        <v>8</v>
      </c>
    </row>
    <row r="1012" spans="2:5">
      <c r="B1012" s="37">
        <v>42125</v>
      </c>
      <c r="C1012" s="17">
        <v>925774557.82000005</v>
      </c>
      <c r="D1012" s="17" t="s">
        <v>110</v>
      </c>
      <c r="E1012" s="17">
        <v>9</v>
      </c>
    </row>
    <row r="1013" spans="2:5">
      <c r="B1013" s="37">
        <v>42125</v>
      </c>
      <c r="C1013" s="17">
        <v>834172991.00999999</v>
      </c>
      <c r="D1013" s="17" t="s">
        <v>38</v>
      </c>
      <c r="E1013" s="17">
        <v>10</v>
      </c>
    </row>
    <row r="1014" spans="2:5">
      <c r="B1014" s="37">
        <v>42156</v>
      </c>
      <c r="C1014" s="17">
        <v>5481594328.75</v>
      </c>
      <c r="D1014" s="17" t="s">
        <v>11</v>
      </c>
      <c r="E1014" s="17">
        <v>1</v>
      </c>
    </row>
    <row r="1015" spans="2:5">
      <c r="B1015" s="37">
        <v>42156</v>
      </c>
      <c r="C1015" s="17">
        <v>3177987197.46</v>
      </c>
      <c r="D1015" s="17" t="s">
        <v>106</v>
      </c>
      <c r="E1015" s="17">
        <v>2</v>
      </c>
    </row>
    <row r="1016" spans="2:5">
      <c r="B1016" s="37">
        <v>42156</v>
      </c>
      <c r="C1016" s="17">
        <v>2270460975.3400002</v>
      </c>
      <c r="D1016" s="17" t="s">
        <v>22</v>
      </c>
      <c r="E1016" s="17">
        <v>3</v>
      </c>
    </row>
    <row r="1017" spans="2:5">
      <c r="B1017" s="37">
        <v>42156</v>
      </c>
      <c r="C1017" s="17">
        <v>1886311419.0699999</v>
      </c>
      <c r="D1017" s="17" t="s">
        <v>32</v>
      </c>
      <c r="E1017" s="17">
        <v>4</v>
      </c>
    </row>
    <row r="1018" spans="2:5">
      <c r="B1018" s="37">
        <v>42156</v>
      </c>
      <c r="C1018" s="17">
        <v>1561740391.01</v>
      </c>
      <c r="D1018" s="17" t="s">
        <v>95</v>
      </c>
      <c r="E1018" s="17">
        <v>5</v>
      </c>
    </row>
    <row r="1019" spans="2:5">
      <c r="B1019" s="37">
        <v>42156</v>
      </c>
      <c r="C1019" s="17">
        <v>1377875054.01</v>
      </c>
      <c r="D1019" s="17" t="s">
        <v>8</v>
      </c>
      <c r="E1019" s="17">
        <v>6</v>
      </c>
    </row>
    <row r="1020" spans="2:5">
      <c r="B1020" s="37">
        <v>42156</v>
      </c>
      <c r="C1020" s="17">
        <v>1282498346.24</v>
      </c>
      <c r="D1020" s="17" t="s">
        <v>13</v>
      </c>
      <c r="E1020" s="17">
        <v>7</v>
      </c>
    </row>
    <row r="1021" spans="2:5">
      <c r="B1021" s="37">
        <v>42156</v>
      </c>
      <c r="C1021" s="17">
        <v>1176922491.25</v>
      </c>
      <c r="D1021" s="17" t="s">
        <v>38</v>
      </c>
      <c r="E1021" s="17">
        <v>8</v>
      </c>
    </row>
    <row r="1022" spans="2:5">
      <c r="B1022" s="37">
        <v>42156</v>
      </c>
      <c r="C1022" s="17">
        <v>904657191.88999999</v>
      </c>
      <c r="D1022" s="17" t="s">
        <v>109</v>
      </c>
      <c r="E1022" s="17">
        <v>9</v>
      </c>
    </row>
    <row r="1023" spans="2:5">
      <c r="B1023" s="37">
        <v>42156</v>
      </c>
      <c r="C1023" s="17">
        <v>871289826.52999997</v>
      </c>
      <c r="D1023" s="17" t="s">
        <v>114</v>
      </c>
      <c r="E1023" s="17">
        <v>10</v>
      </c>
    </row>
    <row r="1024" spans="2:5">
      <c r="B1024" s="37">
        <v>42186</v>
      </c>
      <c r="C1024" s="17">
        <v>6693062048.2700005</v>
      </c>
      <c r="D1024" s="17" t="s">
        <v>11</v>
      </c>
      <c r="E1024" s="17">
        <v>1</v>
      </c>
    </row>
    <row r="1025" spans="2:5">
      <c r="B1025" s="37">
        <v>42186</v>
      </c>
      <c r="C1025" s="17">
        <v>4389526848.6400003</v>
      </c>
      <c r="D1025" s="17" t="s">
        <v>106</v>
      </c>
      <c r="E1025" s="17">
        <v>2</v>
      </c>
    </row>
    <row r="1026" spans="2:5">
      <c r="B1026" s="37">
        <v>42186</v>
      </c>
      <c r="C1026" s="17">
        <v>2793460572.6799998</v>
      </c>
      <c r="D1026" s="17" t="s">
        <v>22</v>
      </c>
      <c r="E1026" s="17">
        <v>3</v>
      </c>
    </row>
    <row r="1027" spans="2:5">
      <c r="B1027" s="37">
        <v>42186</v>
      </c>
      <c r="C1027" s="17">
        <v>2148343380.27</v>
      </c>
      <c r="D1027" s="17" t="s">
        <v>32</v>
      </c>
      <c r="E1027" s="17">
        <v>4</v>
      </c>
    </row>
    <row r="1028" spans="2:5">
      <c r="B1028" s="37">
        <v>42186</v>
      </c>
      <c r="C1028" s="17">
        <v>1626002656.4200001</v>
      </c>
      <c r="D1028" s="17" t="s">
        <v>8</v>
      </c>
      <c r="E1028" s="17">
        <v>5</v>
      </c>
    </row>
    <row r="1029" spans="2:5">
      <c r="B1029" s="37">
        <v>42186</v>
      </c>
      <c r="C1029" s="17">
        <v>1579855736.54</v>
      </c>
      <c r="D1029" s="17" t="s">
        <v>95</v>
      </c>
      <c r="E1029" s="17">
        <v>6</v>
      </c>
    </row>
    <row r="1030" spans="2:5">
      <c r="B1030" s="37">
        <v>42186</v>
      </c>
      <c r="C1030" s="17">
        <v>1483706914.55</v>
      </c>
      <c r="D1030" s="17" t="s">
        <v>13</v>
      </c>
      <c r="E1030" s="17">
        <v>7</v>
      </c>
    </row>
    <row r="1031" spans="2:5">
      <c r="B1031" s="37">
        <v>42186</v>
      </c>
      <c r="C1031" s="17">
        <v>1375072415.3399999</v>
      </c>
      <c r="D1031" s="17" t="s">
        <v>38</v>
      </c>
      <c r="E1031" s="17">
        <v>8</v>
      </c>
    </row>
    <row r="1032" spans="2:5">
      <c r="B1032" s="37">
        <v>42186</v>
      </c>
      <c r="C1032" s="17">
        <v>998871575.23000002</v>
      </c>
      <c r="D1032" s="17" t="s">
        <v>114</v>
      </c>
      <c r="E1032" s="17">
        <v>9</v>
      </c>
    </row>
    <row r="1033" spans="2:5">
      <c r="B1033" s="37">
        <v>42186</v>
      </c>
      <c r="C1033" s="17">
        <v>891592436.95000005</v>
      </c>
      <c r="D1033" s="17" t="s">
        <v>115</v>
      </c>
      <c r="E1033" s="17">
        <v>10</v>
      </c>
    </row>
    <row r="1034" spans="2:5">
      <c r="B1034" s="37">
        <v>42217</v>
      </c>
      <c r="C1034" s="17">
        <v>5979663190.5</v>
      </c>
      <c r="D1034" s="17" t="s">
        <v>11</v>
      </c>
      <c r="E1034" s="17">
        <v>1</v>
      </c>
    </row>
    <row r="1035" spans="2:5">
      <c r="B1035" s="37">
        <v>42217</v>
      </c>
      <c r="C1035" s="17">
        <v>3828132630.4200001</v>
      </c>
      <c r="D1035" s="17" t="s">
        <v>106</v>
      </c>
      <c r="E1035" s="17">
        <v>2</v>
      </c>
    </row>
    <row r="1036" spans="2:5">
      <c r="B1036" s="37">
        <v>42217</v>
      </c>
      <c r="C1036" s="17">
        <v>2621256984.46</v>
      </c>
      <c r="D1036" s="17" t="s">
        <v>22</v>
      </c>
      <c r="E1036" s="17">
        <v>3</v>
      </c>
    </row>
    <row r="1037" spans="2:5">
      <c r="B1037" s="37">
        <v>42217</v>
      </c>
      <c r="C1037" s="17">
        <v>1912485760.72</v>
      </c>
      <c r="D1037" s="17" t="s">
        <v>32</v>
      </c>
      <c r="E1037" s="17">
        <v>4</v>
      </c>
    </row>
    <row r="1038" spans="2:5">
      <c r="B1038" s="37">
        <v>42217</v>
      </c>
      <c r="C1038" s="17">
        <v>1713355770.6600001</v>
      </c>
      <c r="D1038" s="17" t="s">
        <v>8</v>
      </c>
      <c r="E1038" s="17">
        <v>5</v>
      </c>
    </row>
    <row r="1039" spans="2:5">
      <c r="B1039" s="37">
        <v>42217</v>
      </c>
      <c r="C1039" s="17">
        <v>1450736794.8399999</v>
      </c>
      <c r="D1039" s="17" t="s">
        <v>95</v>
      </c>
      <c r="E1039" s="17">
        <v>6</v>
      </c>
    </row>
    <row r="1040" spans="2:5">
      <c r="B1040" s="37">
        <v>42217</v>
      </c>
      <c r="C1040" s="17">
        <v>1292700457.76</v>
      </c>
      <c r="D1040" s="17" t="s">
        <v>13</v>
      </c>
      <c r="E1040" s="17">
        <v>7</v>
      </c>
    </row>
    <row r="1041" spans="2:5">
      <c r="B1041" s="37">
        <v>42217</v>
      </c>
      <c r="C1041" s="17">
        <v>1249771641.9400001</v>
      </c>
      <c r="D1041" s="17" t="s">
        <v>38</v>
      </c>
      <c r="E1041" s="17">
        <v>8</v>
      </c>
    </row>
    <row r="1042" spans="2:5">
      <c r="B1042" s="37">
        <v>42217</v>
      </c>
      <c r="C1042" s="17">
        <v>1131521630.3299999</v>
      </c>
      <c r="D1042" s="17" t="s">
        <v>114</v>
      </c>
      <c r="E1042" s="17">
        <v>9</v>
      </c>
    </row>
    <row r="1043" spans="2:5">
      <c r="B1043" s="37">
        <v>42217</v>
      </c>
      <c r="C1043" s="17">
        <v>847194258.99000001</v>
      </c>
      <c r="D1043" s="17" t="s">
        <v>115</v>
      </c>
      <c r="E1043" s="17">
        <v>10</v>
      </c>
    </row>
    <row r="1044" spans="2:5">
      <c r="B1044" s="37">
        <v>42248</v>
      </c>
      <c r="C1044" s="17">
        <v>3865493579.5599999</v>
      </c>
      <c r="D1044" s="17" t="s">
        <v>11</v>
      </c>
      <c r="E1044" s="17">
        <v>1</v>
      </c>
    </row>
    <row r="1045" spans="2:5">
      <c r="B1045" s="37">
        <v>42248</v>
      </c>
      <c r="C1045" s="17">
        <v>3017386265.3200002</v>
      </c>
      <c r="D1045" s="17" t="s">
        <v>106</v>
      </c>
      <c r="E1045" s="17">
        <v>2</v>
      </c>
    </row>
    <row r="1046" spans="2:5">
      <c r="B1046" s="37">
        <v>42248</v>
      </c>
      <c r="C1046" s="17">
        <v>2132071507.73</v>
      </c>
      <c r="D1046" s="17" t="s">
        <v>22</v>
      </c>
      <c r="E1046" s="17">
        <v>3</v>
      </c>
    </row>
    <row r="1047" spans="2:5">
      <c r="B1047" s="37">
        <v>42248</v>
      </c>
      <c r="C1047" s="17">
        <v>1854356527.48</v>
      </c>
      <c r="D1047" s="17" t="s">
        <v>32</v>
      </c>
      <c r="E1047" s="17">
        <v>4</v>
      </c>
    </row>
    <row r="1048" spans="2:5">
      <c r="B1048" s="37">
        <v>42248</v>
      </c>
      <c r="C1048" s="17">
        <v>1457355700.9000001</v>
      </c>
      <c r="D1048" s="17" t="s">
        <v>95</v>
      </c>
      <c r="E1048" s="17">
        <v>5</v>
      </c>
    </row>
    <row r="1049" spans="2:5">
      <c r="B1049" s="37">
        <v>42248</v>
      </c>
      <c r="C1049" s="17">
        <v>1213836827.3900001</v>
      </c>
      <c r="D1049" s="17" t="s">
        <v>8</v>
      </c>
      <c r="E1049" s="17">
        <v>6</v>
      </c>
    </row>
    <row r="1050" spans="2:5">
      <c r="B1050" s="37">
        <v>42248</v>
      </c>
      <c r="C1050" s="17">
        <v>984422780.87</v>
      </c>
      <c r="D1050" s="17" t="s">
        <v>117</v>
      </c>
      <c r="E1050" s="17">
        <v>7</v>
      </c>
    </row>
    <row r="1051" spans="2:5">
      <c r="B1051" s="37">
        <v>42248</v>
      </c>
      <c r="C1051" s="17">
        <v>954764831.53999996</v>
      </c>
      <c r="D1051" s="17" t="s">
        <v>114</v>
      </c>
      <c r="E1051" s="17">
        <v>8</v>
      </c>
    </row>
    <row r="1052" spans="2:5">
      <c r="B1052" s="37">
        <v>42248</v>
      </c>
      <c r="C1052" s="17">
        <v>905329864.67999995</v>
      </c>
      <c r="D1052" s="17" t="s">
        <v>115</v>
      </c>
      <c r="E1052" s="17">
        <v>9</v>
      </c>
    </row>
    <row r="1053" spans="2:5">
      <c r="B1053" s="37">
        <v>42248</v>
      </c>
      <c r="C1053" s="17">
        <v>844207397.26999998</v>
      </c>
      <c r="D1053" s="17" t="s">
        <v>13</v>
      </c>
      <c r="E1053" s="17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CurrentMonth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2015-10-02T20:10:16Z</cp:lastPrinted>
  <dcterms:created xsi:type="dcterms:W3CDTF">2006-09-16T00:00:00Z</dcterms:created>
  <dcterms:modified xsi:type="dcterms:W3CDTF">2017-03-28T20:28:11Z</dcterms:modified>
</cp:coreProperties>
</file>