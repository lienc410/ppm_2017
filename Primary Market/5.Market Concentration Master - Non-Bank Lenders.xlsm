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queryTables/queryTable6.xml" ContentType="application/vnd.openxmlformats-officedocument.spreadsheetml.queryTable+xml"/>
  <Override PartName="/xl/tables/table3.xml" ContentType="application/vnd.openxmlformats-officedocument.spreadsheetml.table+xml"/>
  <Override PartName="/xl/queryTables/queryTable7.xml" ContentType="application/vnd.openxmlformats-officedocument.spreadsheetml.queryTable+xml"/>
  <Override PartName="/xl/tables/table4.xml" ContentType="application/vnd.openxmlformats-officedocument.spreadsheetml.table+xml"/>
  <Override PartName="/xl/queryTables/queryTable8.xml" ContentType="application/vnd.openxmlformats-officedocument.spreadsheetml.queryTable+xml"/>
  <Override PartName="/xl/tables/table5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Result Combine" sheetId="17" r:id="rId2"/>
    <sheet name="Result-lag" sheetId="7" r:id="rId3"/>
    <sheet name="Pivot - lag" sheetId="4" r:id="rId4"/>
    <sheet name="Input-lag" sheetId="1" r:id="rId5"/>
    <sheet name="Pivot equal" sheetId="8" r:id="rId6"/>
    <sheet name="Input-equal" sheetId="9" r:id="rId7"/>
  </sheets>
  <functionGroups builtInGroupCount="17"/>
  <externalReferences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CurrentMonth">Report!$U$9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'Pivot equal'!$C$3:$D$105</definedName>
    <definedName name="PivotTable11">'Pivot equal'!$G$3:$H$105</definedName>
    <definedName name="PivotTable12">'Pivot equal'!$K$3:$L$105</definedName>
    <definedName name="_xlnm.Print_Area" localSheetId="0">Report!$B$1:$Q$59</definedName>
    <definedName name="Query_from_Agency" localSheetId="6" hidden="1">'Input-equal'!#REF!</definedName>
    <definedName name="Query_from_Agency_1" localSheetId="6" hidden="1">'Input-equal'!#REF!</definedName>
    <definedName name="Query_from_Agency_4" localSheetId="6" hidden="1">'Input-equal'!$N$3:$O$120</definedName>
    <definedName name="Query_from_Agency_5" localSheetId="6" hidden="1">'Input-equal'!$H$3:$I$123</definedName>
    <definedName name="Query_from_Agency_6" localSheetId="6" hidden="1">'Input-equal'!$B$3:$E$1223</definedName>
    <definedName name="Query_from_Agency_7" localSheetId="6" hidden="1">'Input-equal'!#REF!</definedName>
    <definedName name="Query_from_Agency_8" localSheetId="6" hidden="1">'Input-equal'!$K$3:$L$122</definedName>
    <definedName name="Query_from_Agency_8" localSheetId="1" hidden="1">'Result Combine'!$C$3:$D$100</definedName>
    <definedName name="SaveRatesToDB">Report!$W$1</definedName>
    <definedName name="temp" localSheetId="4">'Input-lag'!$H$3:$I$102</definedName>
    <definedName name="temp_1" localSheetId="3">'Pivot - lag'!#REF!</definedName>
    <definedName name="temp_1" localSheetId="5">'Pivot equal'!#REF!</definedName>
    <definedName name="temp_13" localSheetId="6">'Input-equal'!#REF!</definedName>
    <definedName name="temp_14" localSheetId="6">'Input-equal'!#REF!</definedName>
    <definedName name="temp_17">#REF!</definedName>
    <definedName name="temp_6" localSheetId="4">'Input-lag'!$K$3:$L$102</definedName>
    <definedName name="temp_8" localSheetId="4">'Input-lag'!$N$3:$O$102</definedName>
    <definedName name="temp_9" localSheetId="6">'Input-equal'!#REF!</definedName>
    <definedName name="temp_9" localSheetId="4">'Input-lag'!$B$3:$E$1413</definedName>
  </definedNames>
  <calcPr calcId="145621"/>
  <pivotCaches>
    <pivotCache cacheId="0" r:id="rId10"/>
    <pivotCache cacheId="13" r:id="rId11"/>
  </pivotCaches>
</workbook>
</file>

<file path=xl/calcChain.xml><?xml version="1.0" encoding="utf-8"?>
<calcChain xmlns="http://schemas.openxmlformats.org/spreadsheetml/2006/main">
  <c r="P4" i="9" l="1"/>
  <c r="P5" i="9"/>
  <c r="U5" i="9" s="1"/>
  <c r="P6" i="9"/>
  <c r="P7" i="9"/>
  <c r="P8" i="9"/>
  <c r="P9" i="9"/>
  <c r="P10" i="9"/>
  <c r="P11" i="9"/>
  <c r="U11" i="9" s="1"/>
  <c r="P12" i="9"/>
  <c r="U12" i="9" s="1"/>
  <c r="P13" i="9"/>
  <c r="U13" i="9" s="1"/>
  <c r="P14" i="9"/>
  <c r="U14" i="9" s="1"/>
  <c r="P15" i="9"/>
  <c r="U15" i="9" s="1"/>
  <c r="P16" i="9"/>
  <c r="P17" i="9"/>
  <c r="P18" i="9"/>
  <c r="U18" i="9" s="1"/>
  <c r="P19" i="9"/>
  <c r="U19" i="9" s="1"/>
  <c r="P20" i="9"/>
  <c r="U20" i="9" s="1"/>
  <c r="P21" i="9"/>
  <c r="U21" i="9" s="1"/>
  <c r="P22" i="9"/>
  <c r="U22" i="9" s="1"/>
  <c r="P23" i="9"/>
  <c r="U23" i="9" s="1"/>
  <c r="P24" i="9"/>
  <c r="U24" i="9" s="1"/>
  <c r="P25" i="9"/>
  <c r="U25" i="9" s="1"/>
  <c r="P26" i="9"/>
  <c r="U26" i="9" s="1"/>
  <c r="P27" i="9"/>
  <c r="U27" i="9" s="1"/>
  <c r="P28" i="9"/>
  <c r="U28" i="9" s="1"/>
  <c r="P29" i="9"/>
  <c r="U29" i="9" s="1"/>
  <c r="P30" i="9"/>
  <c r="U30" i="9" s="1"/>
  <c r="P31" i="9"/>
  <c r="U31" i="9" s="1"/>
  <c r="P32" i="9"/>
  <c r="P33" i="9"/>
  <c r="U33" i="9" s="1"/>
  <c r="P34" i="9"/>
  <c r="U34" i="9" s="1"/>
  <c r="P35" i="9"/>
  <c r="U35" i="9" s="1"/>
  <c r="P36" i="9"/>
  <c r="P37" i="9"/>
  <c r="U37" i="9" s="1"/>
  <c r="P38" i="9"/>
  <c r="U38" i="9" s="1"/>
  <c r="P39" i="9"/>
  <c r="U39" i="9" s="1"/>
  <c r="P40" i="9"/>
  <c r="U40" i="9" s="1"/>
  <c r="P41" i="9"/>
  <c r="U41" i="9" s="1"/>
  <c r="P42" i="9"/>
  <c r="U42" i="9" s="1"/>
  <c r="P43" i="9"/>
  <c r="U43" i="9" s="1"/>
  <c r="P44" i="9"/>
  <c r="U44" i="9" s="1"/>
  <c r="P45" i="9"/>
  <c r="U45" i="9" s="1"/>
  <c r="P46" i="9"/>
  <c r="U46" i="9" s="1"/>
  <c r="P47" i="9"/>
  <c r="P48" i="9"/>
  <c r="P49" i="9"/>
  <c r="U49" i="9" s="1"/>
  <c r="P50" i="9"/>
  <c r="U50" i="9" s="1"/>
  <c r="P51" i="9"/>
  <c r="U51" i="9" s="1"/>
  <c r="P52" i="9"/>
  <c r="U52" i="9" s="1"/>
  <c r="P53" i="9"/>
  <c r="U53" i="9" s="1"/>
  <c r="P54" i="9"/>
  <c r="U54" i="9" s="1"/>
  <c r="P55" i="9"/>
  <c r="U55" i="9" s="1"/>
  <c r="P56" i="9"/>
  <c r="U56" i="9" s="1"/>
  <c r="P57" i="9"/>
  <c r="P58" i="9"/>
  <c r="U58" i="9" s="1"/>
  <c r="P59" i="9"/>
  <c r="U59" i="9" s="1"/>
  <c r="P60" i="9"/>
  <c r="P61" i="9"/>
  <c r="U61" i="9" s="1"/>
  <c r="P62" i="9"/>
  <c r="U62" i="9" s="1"/>
  <c r="P63" i="9"/>
  <c r="U63" i="9" s="1"/>
  <c r="P64" i="9"/>
  <c r="P65" i="9"/>
  <c r="U65" i="9" s="1"/>
  <c r="P66" i="9"/>
  <c r="U66" i="9" s="1"/>
  <c r="P67" i="9"/>
  <c r="U67" i="9" s="1"/>
  <c r="P68" i="9"/>
  <c r="U68" i="9" s="1"/>
  <c r="P69" i="9"/>
  <c r="U69" i="9" s="1"/>
  <c r="P70" i="9"/>
  <c r="U70" i="9" s="1"/>
  <c r="P71" i="9"/>
  <c r="U71" i="9" s="1"/>
  <c r="P72" i="9"/>
  <c r="U72" i="9" s="1"/>
  <c r="P73" i="9"/>
  <c r="U73" i="9" s="1"/>
  <c r="P74" i="9"/>
  <c r="U74" i="9" s="1"/>
  <c r="P75" i="9"/>
  <c r="U75" i="9" s="1"/>
  <c r="P76" i="9"/>
  <c r="P77" i="9"/>
  <c r="U77" i="9" s="1"/>
  <c r="P78" i="9"/>
  <c r="U78" i="9" s="1"/>
  <c r="P79" i="9"/>
  <c r="U79" i="9" s="1"/>
  <c r="P80" i="9"/>
  <c r="U80" i="9" s="1"/>
  <c r="P81" i="9"/>
  <c r="U81" i="9" s="1"/>
  <c r="P82" i="9"/>
  <c r="U82" i="9" s="1"/>
  <c r="P83" i="9"/>
  <c r="U83" i="9" s="1"/>
  <c r="P84" i="9"/>
  <c r="U84" i="9" s="1"/>
  <c r="P85" i="9"/>
  <c r="U85" i="9" s="1"/>
  <c r="P86" i="9"/>
  <c r="U86" i="9" s="1"/>
  <c r="P87" i="9"/>
  <c r="U87" i="9" s="1"/>
  <c r="P88" i="9"/>
  <c r="U88" i="9" s="1"/>
  <c r="P89" i="9"/>
  <c r="U89" i="9" s="1"/>
  <c r="P90" i="9"/>
  <c r="U90" i="9" s="1"/>
  <c r="P91" i="9"/>
  <c r="U91" i="9" s="1"/>
  <c r="P92" i="9"/>
  <c r="P93" i="9"/>
  <c r="U93" i="9" s="1"/>
  <c r="P94" i="9"/>
  <c r="U94" i="9" s="1"/>
  <c r="P95" i="9"/>
  <c r="U95" i="9" s="1"/>
  <c r="P96" i="9"/>
  <c r="U96" i="9" s="1"/>
  <c r="P97" i="9"/>
  <c r="U97" i="9" s="1"/>
  <c r="P98" i="9"/>
  <c r="U98" i="9" s="1"/>
  <c r="P99" i="9"/>
  <c r="U99" i="9" s="1"/>
  <c r="P100" i="9"/>
  <c r="U100" i="9" s="1"/>
  <c r="P101" i="9"/>
  <c r="U101" i="9" s="1"/>
  <c r="P102" i="9"/>
  <c r="U102" i="9" s="1"/>
  <c r="P103" i="9"/>
  <c r="U103" i="9" s="1"/>
  <c r="P104" i="9"/>
  <c r="U104" i="9" s="1"/>
  <c r="P105" i="9"/>
  <c r="U105" i="9" s="1"/>
  <c r="P106" i="9"/>
  <c r="U106" i="9" s="1"/>
  <c r="P107" i="9"/>
  <c r="U107" i="9" s="1"/>
  <c r="P108" i="9"/>
  <c r="P109" i="9"/>
  <c r="U109" i="9" s="1"/>
  <c r="P110" i="9"/>
  <c r="U110" i="9" s="1"/>
  <c r="P111" i="9"/>
  <c r="U111" i="9" s="1"/>
  <c r="P112" i="9"/>
  <c r="P113" i="9"/>
  <c r="U113" i="9" s="1"/>
  <c r="P114" i="9"/>
  <c r="U114" i="9" s="1"/>
  <c r="P115" i="9"/>
  <c r="U115" i="9" s="1"/>
  <c r="P116" i="9"/>
  <c r="U116" i="9" s="1"/>
  <c r="P117" i="9"/>
  <c r="U117" i="9" s="1"/>
  <c r="P118" i="9"/>
  <c r="U118" i="9" s="1"/>
  <c r="P119" i="9"/>
  <c r="P120" i="9"/>
  <c r="U120" i="9" s="1"/>
  <c r="Q4" i="9"/>
  <c r="V4" i="9" s="1"/>
  <c r="Q5" i="9"/>
  <c r="V5" i="9" s="1"/>
  <c r="Q6" i="9"/>
  <c r="V6" i="9" s="1"/>
  <c r="Q7" i="9"/>
  <c r="V7" i="9" s="1"/>
  <c r="Q8" i="9"/>
  <c r="V8" i="9" s="1"/>
  <c r="Q9" i="9"/>
  <c r="V9" i="9" s="1"/>
  <c r="Q10" i="9"/>
  <c r="V10" i="9" s="1"/>
  <c r="Q11" i="9"/>
  <c r="Q12" i="9"/>
  <c r="V12" i="9" s="1"/>
  <c r="Q13" i="9"/>
  <c r="V13" i="9" s="1"/>
  <c r="Q14" i="9"/>
  <c r="V14" i="9" s="1"/>
  <c r="Q15" i="9"/>
  <c r="V15" i="9" s="1"/>
  <c r="Q16" i="9"/>
  <c r="V16" i="9" s="1"/>
  <c r="Q17" i="9"/>
  <c r="V17" i="9" s="1"/>
  <c r="Q18" i="9"/>
  <c r="V18" i="9" s="1"/>
  <c r="Q19" i="9"/>
  <c r="V19" i="9" s="1"/>
  <c r="Q20" i="9"/>
  <c r="V20" i="9" s="1"/>
  <c r="Q21" i="9"/>
  <c r="V21" i="9" s="1"/>
  <c r="Q22" i="9"/>
  <c r="V22" i="9" s="1"/>
  <c r="Q23" i="9"/>
  <c r="V23" i="9" s="1"/>
  <c r="Q24" i="9"/>
  <c r="V24" i="9" s="1"/>
  <c r="Q25" i="9"/>
  <c r="V25" i="9" s="1"/>
  <c r="Q26" i="9"/>
  <c r="V26" i="9" s="1"/>
  <c r="Q27" i="9"/>
  <c r="Q28" i="9"/>
  <c r="V28" i="9" s="1"/>
  <c r="Q29" i="9"/>
  <c r="V29" i="9" s="1"/>
  <c r="Q30" i="9"/>
  <c r="V30" i="9" s="1"/>
  <c r="Q31" i="9"/>
  <c r="V31" i="9" s="1"/>
  <c r="Q32" i="9"/>
  <c r="V32" i="9" s="1"/>
  <c r="Q33" i="9"/>
  <c r="V33" i="9" s="1"/>
  <c r="Q34" i="9"/>
  <c r="V34" i="9" s="1"/>
  <c r="Q35" i="9"/>
  <c r="V35" i="9" s="1"/>
  <c r="Q36" i="9"/>
  <c r="V36" i="9" s="1"/>
  <c r="Q37" i="9"/>
  <c r="V37" i="9" s="1"/>
  <c r="Q38" i="9"/>
  <c r="V38" i="9" s="1"/>
  <c r="Q39" i="9"/>
  <c r="V39" i="9" s="1"/>
  <c r="Q40" i="9"/>
  <c r="V40" i="9" s="1"/>
  <c r="Q41" i="9"/>
  <c r="V41" i="9" s="1"/>
  <c r="Q42" i="9"/>
  <c r="V42" i="9" s="1"/>
  <c r="Q43" i="9"/>
  <c r="Q44" i="9"/>
  <c r="V44" i="9" s="1"/>
  <c r="Q45" i="9"/>
  <c r="V45" i="9" s="1"/>
  <c r="Q46" i="9"/>
  <c r="V46" i="9" s="1"/>
  <c r="Q47" i="9"/>
  <c r="V47" i="9" s="1"/>
  <c r="Q48" i="9"/>
  <c r="V48" i="9" s="1"/>
  <c r="Q49" i="9"/>
  <c r="V49" i="9" s="1"/>
  <c r="Q50" i="9"/>
  <c r="V50" i="9" s="1"/>
  <c r="Q51" i="9"/>
  <c r="V51" i="9" s="1"/>
  <c r="Q52" i="9"/>
  <c r="V52" i="9" s="1"/>
  <c r="Q53" i="9"/>
  <c r="V53" i="9" s="1"/>
  <c r="Q54" i="9"/>
  <c r="V54" i="9" s="1"/>
  <c r="Q55" i="9"/>
  <c r="V55" i="9" s="1"/>
  <c r="Q56" i="9"/>
  <c r="V56" i="9" s="1"/>
  <c r="Q57" i="9"/>
  <c r="V57" i="9" s="1"/>
  <c r="Q58" i="9"/>
  <c r="Q59" i="9"/>
  <c r="Q60" i="9"/>
  <c r="V60" i="9" s="1"/>
  <c r="Q61" i="9"/>
  <c r="V61" i="9" s="1"/>
  <c r="Q62" i="9"/>
  <c r="V62" i="9" s="1"/>
  <c r="Q63" i="9"/>
  <c r="Q64" i="9"/>
  <c r="V64" i="9" s="1"/>
  <c r="Q65" i="9"/>
  <c r="V65" i="9" s="1"/>
  <c r="Q66" i="9"/>
  <c r="V66" i="9" s="1"/>
  <c r="Q67" i="9"/>
  <c r="V67" i="9" s="1"/>
  <c r="Q68" i="9"/>
  <c r="V68" i="9" s="1"/>
  <c r="Q69" i="9"/>
  <c r="V69" i="9" s="1"/>
  <c r="Q70" i="9"/>
  <c r="V70" i="9" s="1"/>
  <c r="Q71" i="9"/>
  <c r="V71" i="9" s="1"/>
  <c r="Q72" i="9"/>
  <c r="V72" i="9" s="1"/>
  <c r="Q73" i="9"/>
  <c r="V73" i="9" s="1"/>
  <c r="Q74" i="9"/>
  <c r="V74" i="9" s="1"/>
  <c r="Q75" i="9"/>
  <c r="Q76" i="9"/>
  <c r="V76" i="9" s="1"/>
  <c r="Q77" i="9"/>
  <c r="V77" i="9" s="1"/>
  <c r="Q78" i="9"/>
  <c r="V78" i="9" s="1"/>
  <c r="Q79" i="9"/>
  <c r="Q80" i="9"/>
  <c r="V80" i="9" s="1"/>
  <c r="Q81" i="9"/>
  <c r="V81" i="9" s="1"/>
  <c r="Q82" i="9"/>
  <c r="V82" i="9" s="1"/>
  <c r="Q83" i="9"/>
  <c r="Q84" i="9"/>
  <c r="V84" i="9" s="1"/>
  <c r="Q85" i="9"/>
  <c r="V85" i="9" s="1"/>
  <c r="Q86" i="9"/>
  <c r="V86" i="9" s="1"/>
  <c r="Q87" i="9"/>
  <c r="V87" i="9" s="1"/>
  <c r="Q88" i="9"/>
  <c r="V88" i="9" s="1"/>
  <c r="Q89" i="9"/>
  <c r="V89" i="9" s="1"/>
  <c r="Q90" i="9"/>
  <c r="V90" i="9" s="1"/>
  <c r="Q91" i="9"/>
  <c r="Q92" i="9"/>
  <c r="V92" i="9" s="1"/>
  <c r="Q93" i="9"/>
  <c r="V93" i="9" s="1"/>
  <c r="Q94" i="9"/>
  <c r="V94" i="9" s="1"/>
  <c r="Q95" i="9"/>
  <c r="Q96" i="9"/>
  <c r="V96" i="9" s="1"/>
  <c r="Q97" i="9"/>
  <c r="V97" i="9" s="1"/>
  <c r="Q98" i="9"/>
  <c r="Q99" i="9"/>
  <c r="V99" i="9" s="1"/>
  <c r="Q100" i="9"/>
  <c r="V100" i="9" s="1"/>
  <c r="Q101" i="9"/>
  <c r="V101" i="9" s="1"/>
  <c r="Q102" i="9"/>
  <c r="V102" i="9" s="1"/>
  <c r="Q103" i="9"/>
  <c r="V103" i="9" s="1"/>
  <c r="Q104" i="9"/>
  <c r="V104" i="9" s="1"/>
  <c r="Q105" i="9"/>
  <c r="V105" i="9" s="1"/>
  <c r="Q106" i="9"/>
  <c r="V106" i="9" s="1"/>
  <c r="Q107" i="9"/>
  <c r="V107" i="9" s="1"/>
  <c r="Q108" i="9"/>
  <c r="V108" i="9" s="1"/>
  <c r="Q109" i="9"/>
  <c r="V109" i="9" s="1"/>
  <c r="Q110" i="9"/>
  <c r="V110" i="9" s="1"/>
  <c r="Q111" i="9"/>
  <c r="Q112" i="9"/>
  <c r="V112" i="9" s="1"/>
  <c r="Q113" i="9"/>
  <c r="Q114" i="9"/>
  <c r="V114" i="9" s="1"/>
  <c r="Q115" i="9"/>
  <c r="Q116" i="9"/>
  <c r="V116" i="9" s="1"/>
  <c r="Q117" i="9"/>
  <c r="V117" i="9" s="1"/>
  <c r="Q118" i="9"/>
  <c r="V118" i="9" s="1"/>
  <c r="Q119" i="9"/>
  <c r="V119" i="9" s="1"/>
  <c r="Q120" i="9"/>
  <c r="V120" i="9" s="1"/>
  <c r="R4" i="9"/>
  <c r="W4" i="9" s="1"/>
  <c r="R5" i="9"/>
  <c r="W5" i="9" s="1"/>
  <c r="R6" i="9"/>
  <c r="W6" i="9" s="1"/>
  <c r="R7" i="9"/>
  <c r="W7" i="9" s="1"/>
  <c r="R8" i="9"/>
  <c r="W8" i="9" s="1"/>
  <c r="R9" i="9"/>
  <c r="W9" i="9" s="1"/>
  <c r="R10" i="9"/>
  <c r="R11" i="9"/>
  <c r="W11" i="9" s="1"/>
  <c r="R12" i="9"/>
  <c r="R13" i="9"/>
  <c r="W13" i="9" s="1"/>
  <c r="R14" i="9"/>
  <c r="W14" i="9" s="1"/>
  <c r="R15" i="9"/>
  <c r="W15" i="9" s="1"/>
  <c r="R16" i="9"/>
  <c r="W16" i="9" s="1"/>
  <c r="R17" i="9"/>
  <c r="W17" i="9" s="1"/>
  <c r="R18" i="9"/>
  <c r="R19" i="9"/>
  <c r="W19" i="9" s="1"/>
  <c r="R20" i="9"/>
  <c r="W20" i="9" s="1"/>
  <c r="R21" i="9"/>
  <c r="W21" i="9" s="1"/>
  <c r="R22" i="9"/>
  <c r="W22" i="9" s="1"/>
  <c r="R23" i="9"/>
  <c r="R24" i="9"/>
  <c r="W24" i="9" s="1"/>
  <c r="R25" i="9"/>
  <c r="W25" i="9" s="1"/>
  <c r="R26" i="9"/>
  <c r="R27" i="9"/>
  <c r="W27" i="9" s="1"/>
  <c r="R28" i="9"/>
  <c r="R29" i="9"/>
  <c r="W29" i="9" s="1"/>
  <c r="R30" i="9"/>
  <c r="W30" i="9" s="1"/>
  <c r="R31" i="9"/>
  <c r="W31" i="9" s="1"/>
  <c r="R32" i="9"/>
  <c r="W32" i="9" s="1"/>
  <c r="R33" i="9"/>
  <c r="W33" i="9" s="1"/>
  <c r="R34" i="9"/>
  <c r="R35" i="9"/>
  <c r="W35" i="9" s="1"/>
  <c r="R36" i="9"/>
  <c r="W36" i="9" s="1"/>
  <c r="R37" i="9"/>
  <c r="W37" i="9" s="1"/>
  <c r="R38" i="9"/>
  <c r="W38" i="9" s="1"/>
  <c r="R39" i="9"/>
  <c r="W39" i="9" s="1"/>
  <c r="R40" i="9"/>
  <c r="W40" i="9" s="1"/>
  <c r="R41" i="9"/>
  <c r="W41" i="9" s="1"/>
  <c r="R42" i="9"/>
  <c r="W42" i="9" s="1"/>
  <c r="R43" i="9"/>
  <c r="W43" i="9" s="1"/>
  <c r="R44" i="9"/>
  <c r="W44" i="9" s="1"/>
  <c r="R45" i="9"/>
  <c r="W45" i="9" s="1"/>
  <c r="R46" i="9"/>
  <c r="R47" i="9"/>
  <c r="W47" i="9" s="1"/>
  <c r="R48" i="9"/>
  <c r="W48" i="9" s="1"/>
  <c r="R49" i="9"/>
  <c r="W49" i="9" s="1"/>
  <c r="R50" i="9"/>
  <c r="W50" i="9" s="1"/>
  <c r="R51" i="9"/>
  <c r="W51" i="9" s="1"/>
  <c r="R52" i="9"/>
  <c r="W52" i="9" s="1"/>
  <c r="R53" i="9"/>
  <c r="W53" i="9" s="1"/>
  <c r="R54" i="9"/>
  <c r="R55" i="9"/>
  <c r="W55" i="9" s="1"/>
  <c r="R56" i="9"/>
  <c r="W56" i="9" s="1"/>
  <c r="R57" i="9"/>
  <c r="W57" i="9" s="1"/>
  <c r="R58" i="9"/>
  <c r="W58" i="9" s="1"/>
  <c r="R59" i="9"/>
  <c r="W59" i="9" s="1"/>
  <c r="R60" i="9"/>
  <c r="W60" i="9" s="1"/>
  <c r="R61" i="9"/>
  <c r="W61" i="9" s="1"/>
  <c r="R62" i="9"/>
  <c r="W62" i="9" s="1"/>
  <c r="R63" i="9"/>
  <c r="R64" i="9"/>
  <c r="W64" i="9" s="1"/>
  <c r="R65" i="9"/>
  <c r="W65" i="9" s="1"/>
  <c r="R66" i="9"/>
  <c r="R67" i="9"/>
  <c r="W67" i="9" s="1"/>
  <c r="R68" i="9"/>
  <c r="W68" i="9" s="1"/>
  <c r="R69" i="9"/>
  <c r="W69" i="9" s="1"/>
  <c r="R70" i="9"/>
  <c r="W70" i="9" s="1"/>
  <c r="R71" i="9"/>
  <c r="W71" i="9" s="1"/>
  <c r="R72" i="9"/>
  <c r="W72" i="9" s="1"/>
  <c r="R73" i="9"/>
  <c r="W73" i="9" s="1"/>
  <c r="R74" i="9"/>
  <c r="W74" i="9" s="1"/>
  <c r="R75" i="9"/>
  <c r="W75" i="9" s="1"/>
  <c r="R76" i="9"/>
  <c r="W76" i="9" s="1"/>
  <c r="R77" i="9"/>
  <c r="W77" i="9" s="1"/>
  <c r="R78" i="9"/>
  <c r="R79" i="9"/>
  <c r="W79" i="9" s="1"/>
  <c r="R80" i="9"/>
  <c r="W80" i="9" s="1"/>
  <c r="R81" i="9"/>
  <c r="W81" i="9" s="1"/>
  <c r="R82" i="9"/>
  <c r="R83" i="9"/>
  <c r="W83" i="9" s="1"/>
  <c r="R84" i="9"/>
  <c r="W84" i="9" s="1"/>
  <c r="R85" i="9"/>
  <c r="R86" i="9"/>
  <c r="W86" i="9" s="1"/>
  <c r="R87" i="9"/>
  <c r="W87" i="9" s="1"/>
  <c r="R88" i="9"/>
  <c r="W88" i="9" s="1"/>
  <c r="R89" i="9"/>
  <c r="W89" i="9" s="1"/>
  <c r="R90" i="9"/>
  <c r="W90" i="9" s="1"/>
  <c r="R91" i="9"/>
  <c r="W91" i="9" s="1"/>
  <c r="R92" i="9"/>
  <c r="W92" i="9" s="1"/>
  <c r="R93" i="9"/>
  <c r="W93" i="9" s="1"/>
  <c r="R94" i="9"/>
  <c r="R95" i="9"/>
  <c r="W95" i="9" s="1"/>
  <c r="R96" i="9"/>
  <c r="W96" i="9" s="1"/>
  <c r="R97" i="9"/>
  <c r="W97" i="9" s="1"/>
  <c r="R98" i="9"/>
  <c r="R99" i="9"/>
  <c r="W99" i="9" s="1"/>
  <c r="R100" i="9"/>
  <c r="W100" i="9" s="1"/>
  <c r="R101" i="9"/>
  <c r="R102" i="9"/>
  <c r="W102" i="9" s="1"/>
  <c r="R103" i="9"/>
  <c r="W103" i="9" s="1"/>
  <c r="R104" i="9"/>
  <c r="W104" i="9" s="1"/>
  <c r="R105" i="9"/>
  <c r="W105" i="9" s="1"/>
  <c r="R106" i="9"/>
  <c r="W106" i="9" s="1"/>
  <c r="R107" i="9"/>
  <c r="W107" i="9" s="1"/>
  <c r="R108" i="9"/>
  <c r="W108" i="9" s="1"/>
  <c r="R109" i="9"/>
  <c r="W109" i="9" s="1"/>
  <c r="R110" i="9"/>
  <c r="W110" i="9" s="1"/>
  <c r="R111" i="9"/>
  <c r="W111" i="9" s="1"/>
  <c r="R112" i="9"/>
  <c r="W112" i="9" s="1"/>
  <c r="R113" i="9"/>
  <c r="W113" i="9" s="1"/>
  <c r="R114" i="9"/>
  <c r="R115" i="9"/>
  <c r="W115" i="9" s="1"/>
  <c r="R116" i="9"/>
  <c r="W116" i="9" s="1"/>
  <c r="R117" i="9"/>
  <c r="W117" i="9" s="1"/>
  <c r="R118" i="9"/>
  <c r="W118" i="9" s="1"/>
  <c r="R119" i="9"/>
  <c r="W119" i="9" s="1"/>
  <c r="R120" i="9"/>
  <c r="W120" i="9" s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T4" i="9"/>
  <c r="T5" i="9"/>
  <c r="X5" i="9" s="1"/>
  <c r="T6" i="9"/>
  <c r="X6" i="9" s="1"/>
  <c r="T7" i="9"/>
  <c r="X7" i="9" s="1"/>
  <c r="T8" i="9"/>
  <c r="T9" i="9"/>
  <c r="X9" i="9" s="1"/>
  <c r="T10" i="9"/>
  <c r="T11" i="9"/>
  <c r="T12" i="9"/>
  <c r="T13" i="9"/>
  <c r="T14" i="9"/>
  <c r="X14" i="9" s="1"/>
  <c r="T15" i="9"/>
  <c r="X15" i="9" s="1"/>
  <c r="T16" i="9"/>
  <c r="T17" i="9"/>
  <c r="X17" i="9" s="1"/>
  <c r="T18" i="9"/>
  <c r="T19" i="9"/>
  <c r="X19" i="9" s="1"/>
  <c r="T20" i="9"/>
  <c r="T21" i="9"/>
  <c r="X21" i="9" s="1"/>
  <c r="T22" i="9"/>
  <c r="X22" i="9" s="1"/>
  <c r="T23" i="9"/>
  <c r="X23" i="9" s="1"/>
  <c r="T24" i="9"/>
  <c r="T25" i="9"/>
  <c r="X25" i="9" s="1"/>
  <c r="T26" i="9"/>
  <c r="T27" i="9"/>
  <c r="T28" i="9"/>
  <c r="X28" i="9" s="1"/>
  <c r="T29" i="9"/>
  <c r="X29" i="9" s="1"/>
  <c r="T30" i="9"/>
  <c r="X30" i="9" s="1"/>
  <c r="T31" i="9"/>
  <c r="X31" i="9" s="1"/>
  <c r="T32" i="9"/>
  <c r="T33" i="9"/>
  <c r="X33" i="9" s="1"/>
  <c r="T34" i="9"/>
  <c r="T35" i="9"/>
  <c r="X35" i="9" s="1"/>
  <c r="T36" i="9"/>
  <c r="T37" i="9"/>
  <c r="T38" i="9"/>
  <c r="X38" i="9" s="1"/>
  <c r="T39" i="9"/>
  <c r="X39" i="9" s="1"/>
  <c r="T40" i="9"/>
  <c r="T41" i="9"/>
  <c r="X41" i="9" s="1"/>
  <c r="T42" i="9"/>
  <c r="X42" i="9" s="1"/>
  <c r="T43" i="9"/>
  <c r="X43" i="9" s="1"/>
  <c r="T44" i="9"/>
  <c r="X44" i="9" s="1"/>
  <c r="T45" i="9"/>
  <c r="X45" i="9" s="1"/>
  <c r="T46" i="9"/>
  <c r="X46" i="9" s="1"/>
  <c r="T47" i="9"/>
  <c r="X47" i="9" s="1"/>
  <c r="T48" i="9"/>
  <c r="T49" i="9"/>
  <c r="X49" i="9" s="1"/>
  <c r="T50" i="9"/>
  <c r="T51" i="9"/>
  <c r="X51" i="9" s="1"/>
  <c r="T52" i="9"/>
  <c r="T53" i="9"/>
  <c r="X53" i="9" s="1"/>
  <c r="T54" i="9"/>
  <c r="X54" i="9" s="1"/>
  <c r="T55" i="9"/>
  <c r="X55" i="9" s="1"/>
  <c r="T56" i="9"/>
  <c r="T57" i="9"/>
  <c r="X57" i="9" s="1"/>
  <c r="T58" i="9"/>
  <c r="T59" i="9"/>
  <c r="X59" i="9" s="1"/>
  <c r="T60" i="9"/>
  <c r="T61" i="9"/>
  <c r="X61" i="9" s="1"/>
  <c r="T62" i="9"/>
  <c r="X62" i="9" s="1"/>
  <c r="T63" i="9"/>
  <c r="X63" i="9" s="1"/>
  <c r="T64" i="9"/>
  <c r="T65" i="9"/>
  <c r="X65" i="9" s="1"/>
  <c r="T66" i="9"/>
  <c r="T67" i="9"/>
  <c r="X67" i="9" s="1"/>
  <c r="T68" i="9"/>
  <c r="T69" i="9"/>
  <c r="X69" i="9" s="1"/>
  <c r="T70" i="9"/>
  <c r="X70" i="9" s="1"/>
  <c r="T71" i="9"/>
  <c r="X71" i="9" s="1"/>
  <c r="T72" i="9"/>
  <c r="T73" i="9"/>
  <c r="X73" i="9" s="1"/>
  <c r="T74" i="9"/>
  <c r="T75" i="9"/>
  <c r="X75" i="9" s="1"/>
  <c r="T76" i="9"/>
  <c r="T77" i="9"/>
  <c r="X77" i="9" s="1"/>
  <c r="T78" i="9"/>
  <c r="X78" i="9" s="1"/>
  <c r="T79" i="9"/>
  <c r="X79" i="9" s="1"/>
  <c r="T80" i="9"/>
  <c r="T81" i="9"/>
  <c r="X81" i="9" s="1"/>
  <c r="T82" i="9"/>
  <c r="T83" i="9"/>
  <c r="X83" i="9" s="1"/>
  <c r="T84" i="9"/>
  <c r="T85" i="9"/>
  <c r="X85" i="9" s="1"/>
  <c r="T86" i="9"/>
  <c r="X86" i="9" s="1"/>
  <c r="T87" i="9"/>
  <c r="X87" i="9" s="1"/>
  <c r="T88" i="9"/>
  <c r="T89" i="9"/>
  <c r="X89" i="9" s="1"/>
  <c r="T90" i="9"/>
  <c r="T91" i="9"/>
  <c r="X91" i="9" s="1"/>
  <c r="T92" i="9"/>
  <c r="X92" i="9" s="1"/>
  <c r="T93" i="9"/>
  <c r="X93" i="9" s="1"/>
  <c r="T94" i="9"/>
  <c r="X94" i="9" s="1"/>
  <c r="T95" i="9"/>
  <c r="X95" i="9" s="1"/>
  <c r="T96" i="9"/>
  <c r="T97" i="9"/>
  <c r="X97" i="9" s="1"/>
  <c r="T98" i="9"/>
  <c r="T99" i="9"/>
  <c r="X99" i="9" s="1"/>
  <c r="T100" i="9"/>
  <c r="T101" i="9"/>
  <c r="X101" i="9" s="1"/>
  <c r="T102" i="9"/>
  <c r="X102" i="9" s="1"/>
  <c r="T103" i="9"/>
  <c r="X103" i="9" s="1"/>
  <c r="T104" i="9"/>
  <c r="T105" i="9"/>
  <c r="X105" i="9" s="1"/>
  <c r="T106" i="9"/>
  <c r="X106" i="9" s="1"/>
  <c r="T107" i="9"/>
  <c r="X107" i="9" s="1"/>
  <c r="T108" i="9"/>
  <c r="X108" i="9" s="1"/>
  <c r="T109" i="9"/>
  <c r="X109" i="9" s="1"/>
  <c r="T110" i="9"/>
  <c r="X110" i="9" s="1"/>
  <c r="T111" i="9"/>
  <c r="X111" i="9" s="1"/>
  <c r="T112" i="9"/>
  <c r="T113" i="9"/>
  <c r="X113" i="9" s="1"/>
  <c r="T114" i="9"/>
  <c r="T115" i="9"/>
  <c r="X115" i="9" s="1"/>
  <c r="T116" i="9"/>
  <c r="X116" i="9" s="1"/>
  <c r="T117" i="9"/>
  <c r="X117" i="9" s="1"/>
  <c r="T118" i="9"/>
  <c r="X118" i="9" s="1"/>
  <c r="T119" i="9"/>
  <c r="X119" i="9" s="1"/>
  <c r="T120" i="9"/>
  <c r="U4" i="9"/>
  <c r="U6" i="9"/>
  <c r="U7" i="9"/>
  <c r="U8" i="9"/>
  <c r="U9" i="9"/>
  <c r="U10" i="9"/>
  <c r="U16" i="9"/>
  <c r="U17" i="9"/>
  <c r="U32" i="9"/>
  <c r="U36" i="9"/>
  <c r="U47" i="9"/>
  <c r="U48" i="9"/>
  <c r="U57" i="9"/>
  <c r="U60" i="9"/>
  <c r="U64" i="9"/>
  <c r="U76" i="9"/>
  <c r="U92" i="9"/>
  <c r="U108" i="9"/>
  <c r="U112" i="9"/>
  <c r="U119" i="9"/>
  <c r="V11" i="9"/>
  <c r="V27" i="9"/>
  <c r="V43" i="9"/>
  <c r="V58" i="9"/>
  <c r="V59" i="9"/>
  <c r="V63" i="9"/>
  <c r="V75" i="9"/>
  <c r="V79" i="9"/>
  <c r="V83" i="9"/>
  <c r="V91" i="9"/>
  <c r="V95" i="9"/>
  <c r="V98" i="9"/>
  <c r="V111" i="9"/>
  <c r="V113" i="9"/>
  <c r="V115" i="9"/>
  <c r="W10" i="9"/>
  <c r="W12" i="9"/>
  <c r="W18" i="9"/>
  <c r="W23" i="9"/>
  <c r="W26" i="9"/>
  <c r="W28" i="9"/>
  <c r="W34" i="9"/>
  <c r="W46" i="9"/>
  <c r="W54" i="9"/>
  <c r="W63" i="9"/>
  <c r="W66" i="9"/>
  <c r="W78" i="9"/>
  <c r="W82" i="9"/>
  <c r="W85" i="9"/>
  <c r="W94" i="9"/>
  <c r="W98" i="9"/>
  <c r="W101" i="9"/>
  <c r="W114" i="9"/>
  <c r="X4" i="9"/>
  <c r="X8" i="9"/>
  <c r="X10" i="9"/>
  <c r="X11" i="9"/>
  <c r="X12" i="9"/>
  <c r="X13" i="9"/>
  <c r="X16" i="9"/>
  <c r="X18" i="9"/>
  <c r="X20" i="9"/>
  <c r="X24" i="9"/>
  <c r="X26" i="9"/>
  <c r="X27" i="9"/>
  <c r="X32" i="9"/>
  <c r="X34" i="9"/>
  <c r="X36" i="9"/>
  <c r="X37" i="9"/>
  <c r="X40" i="9"/>
  <c r="X48" i="9"/>
  <c r="X50" i="9"/>
  <c r="X52" i="9"/>
  <c r="X56" i="9"/>
  <c r="X58" i="9"/>
  <c r="X60" i="9"/>
  <c r="X64" i="9"/>
  <c r="X66" i="9"/>
  <c r="X68" i="9"/>
  <c r="X72" i="9"/>
  <c r="X74" i="9"/>
  <c r="X76" i="9"/>
  <c r="X80" i="9"/>
  <c r="X82" i="9"/>
  <c r="X84" i="9"/>
  <c r="X88" i="9"/>
  <c r="X90" i="9"/>
  <c r="X96" i="9"/>
  <c r="X98" i="9"/>
  <c r="X100" i="9"/>
  <c r="X104" i="9"/>
  <c r="X112" i="9"/>
  <c r="X114" i="9"/>
  <c r="X120" i="9"/>
  <c r="E4" i="17" l="1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F41" i="17"/>
  <c r="F57" i="17"/>
  <c r="F58" i="17"/>
  <c r="G9" i="17"/>
  <c r="G24" i="17"/>
  <c r="G25" i="17"/>
  <c r="K25" i="17" s="1"/>
  <c r="G88" i="17"/>
  <c r="G89" i="17"/>
  <c r="G96" i="17"/>
  <c r="H40" i="17"/>
  <c r="H55" i="17"/>
  <c r="H56" i="17"/>
  <c r="H72" i="17"/>
  <c r="I5" i="17"/>
  <c r="M5" i="17" s="1"/>
  <c r="I6" i="17"/>
  <c r="I7" i="17"/>
  <c r="I8" i="17"/>
  <c r="I13" i="17"/>
  <c r="I14" i="17"/>
  <c r="I15" i="17"/>
  <c r="I16" i="17"/>
  <c r="I21" i="17"/>
  <c r="I22" i="17"/>
  <c r="I23" i="17"/>
  <c r="I24" i="17"/>
  <c r="I29" i="17"/>
  <c r="I30" i="17"/>
  <c r="M30" i="17" s="1"/>
  <c r="I31" i="17"/>
  <c r="I32" i="17"/>
  <c r="I37" i="17"/>
  <c r="M37" i="17" s="1"/>
  <c r="I38" i="17"/>
  <c r="M38" i="17" s="1"/>
  <c r="I39" i="17"/>
  <c r="I40" i="17"/>
  <c r="I45" i="17"/>
  <c r="I46" i="17"/>
  <c r="I47" i="17"/>
  <c r="I48" i="17"/>
  <c r="I53" i="17"/>
  <c r="M53" i="17" s="1"/>
  <c r="I54" i="17"/>
  <c r="I55" i="17"/>
  <c r="I56" i="17"/>
  <c r="I61" i="17"/>
  <c r="I62" i="17"/>
  <c r="I63" i="17"/>
  <c r="I64" i="17"/>
  <c r="I69" i="17"/>
  <c r="M69" i="17" s="1"/>
  <c r="I70" i="17"/>
  <c r="M70" i="17" s="1"/>
  <c r="I71" i="17"/>
  <c r="I72" i="17"/>
  <c r="I77" i="17"/>
  <c r="I78" i="17"/>
  <c r="I79" i="17"/>
  <c r="I80" i="17"/>
  <c r="I85" i="17"/>
  <c r="M85" i="17" s="1"/>
  <c r="I86" i="17"/>
  <c r="I87" i="17"/>
  <c r="I88" i="17"/>
  <c r="I93" i="17"/>
  <c r="I94" i="17"/>
  <c r="I95" i="17"/>
  <c r="I96" i="17"/>
  <c r="M13" i="17"/>
  <c r="M21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F5" i="17"/>
  <c r="F6" i="17"/>
  <c r="F8" i="17"/>
  <c r="F9" i="17"/>
  <c r="F10" i="17"/>
  <c r="F16" i="17"/>
  <c r="F17" i="17"/>
  <c r="F21" i="17"/>
  <c r="J21" i="17" s="1"/>
  <c r="F24" i="17"/>
  <c r="F25" i="17"/>
  <c r="F32" i="17"/>
  <c r="F33" i="17"/>
  <c r="F37" i="17"/>
  <c r="J37" i="17" s="1"/>
  <c r="F38" i="17"/>
  <c r="F42" i="17"/>
  <c r="F44" i="17"/>
  <c r="J44" i="17" s="1"/>
  <c r="F49" i="17"/>
  <c r="F53" i="17"/>
  <c r="F62" i="17"/>
  <c r="F65" i="17"/>
  <c r="F69" i="17"/>
  <c r="J69" i="17" s="1"/>
  <c r="F70" i="17"/>
  <c r="F73" i="17"/>
  <c r="F84" i="17"/>
  <c r="J84" i="17" s="1"/>
  <c r="F85" i="17"/>
  <c r="F89" i="17"/>
  <c r="F92" i="17"/>
  <c r="J92" i="17" s="1"/>
  <c r="F94" i="17"/>
  <c r="F97" i="17"/>
  <c r="J97" i="17" s="1"/>
  <c r="F100" i="17"/>
  <c r="J100" i="17" s="1"/>
  <c r="G8" i="17"/>
  <c r="G11" i="17"/>
  <c r="G16" i="17"/>
  <c r="G19" i="17"/>
  <c r="G21" i="17"/>
  <c r="G32" i="17"/>
  <c r="G35" i="17"/>
  <c r="G40" i="17"/>
  <c r="G43" i="17"/>
  <c r="G48" i="17"/>
  <c r="G55" i="17"/>
  <c r="G56" i="17"/>
  <c r="G61" i="17"/>
  <c r="G63" i="17"/>
  <c r="G64" i="17"/>
  <c r="G71" i="17"/>
  <c r="G72" i="17"/>
  <c r="G77" i="17"/>
  <c r="K77" i="17" s="1"/>
  <c r="G79" i="17"/>
  <c r="G80" i="17"/>
  <c r="G85" i="17"/>
  <c r="G87" i="17"/>
  <c r="G95" i="17"/>
  <c r="H6" i="17"/>
  <c r="H7" i="17"/>
  <c r="H8" i="17"/>
  <c r="H15" i="17"/>
  <c r="H23" i="17"/>
  <c r="H26" i="17"/>
  <c r="H31" i="17"/>
  <c r="H34" i="17"/>
  <c r="H36" i="17"/>
  <c r="L36" i="17" s="1"/>
  <c r="H39" i="17"/>
  <c r="H42" i="17"/>
  <c r="H47" i="17"/>
  <c r="H50" i="17"/>
  <c r="H52" i="17"/>
  <c r="L52" i="17" s="1"/>
  <c r="H63" i="17"/>
  <c r="H66" i="17"/>
  <c r="H71" i="17"/>
  <c r="H74" i="17"/>
  <c r="H79" i="17"/>
  <c r="H86" i="17"/>
  <c r="H87" i="17"/>
  <c r="H94" i="17"/>
  <c r="H95" i="17"/>
  <c r="H100" i="17"/>
  <c r="L100" i="17" s="1"/>
  <c r="I4" i="17"/>
  <c r="M4" i="17" s="1"/>
  <c r="I9" i="17"/>
  <c r="I10" i="17"/>
  <c r="I11" i="17"/>
  <c r="I12" i="17"/>
  <c r="M12" i="17" s="1"/>
  <c r="I17" i="17"/>
  <c r="I18" i="17"/>
  <c r="I19" i="17"/>
  <c r="I20" i="17"/>
  <c r="M20" i="17" s="1"/>
  <c r="I25" i="17"/>
  <c r="I26" i="17"/>
  <c r="I27" i="17"/>
  <c r="I28" i="17"/>
  <c r="M28" i="17" s="1"/>
  <c r="I33" i="17"/>
  <c r="I34" i="17"/>
  <c r="I35" i="17"/>
  <c r="I36" i="17"/>
  <c r="M36" i="17" s="1"/>
  <c r="I41" i="17"/>
  <c r="I42" i="17"/>
  <c r="I43" i="17"/>
  <c r="I44" i="17"/>
  <c r="M44" i="17" s="1"/>
  <c r="I49" i="17"/>
  <c r="I50" i="17"/>
  <c r="I51" i="17"/>
  <c r="I52" i="17"/>
  <c r="M52" i="17" s="1"/>
  <c r="I57" i="17"/>
  <c r="I58" i="17"/>
  <c r="I59" i="17"/>
  <c r="I60" i="17"/>
  <c r="M60" i="17" s="1"/>
  <c r="I65" i="17"/>
  <c r="I66" i="17"/>
  <c r="I67" i="17"/>
  <c r="I68" i="17"/>
  <c r="M68" i="17" s="1"/>
  <c r="I73" i="17"/>
  <c r="I74" i="17"/>
  <c r="I75" i="17"/>
  <c r="I76" i="17"/>
  <c r="M76" i="17" s="1"/>
  <c r="I81" i="17"/>
  <c r="I82" i="17"/>
  <c r="I83" i="17"/>
  <c r="I84" i="17"/>
  <c r="M84" i="17" s="1"/>
  <c r="I89" i="17"/>
  <c r="I90" i="17"/>
  <c r="I91" i="17"/>
  <c r="I92" i="17"/>
  <c r="M92" i="17" s="1"/>
  <c r="I97" i="17"/>
  <c r="I98" i="17"/>
  <c r="I99" i="17"/>
  <c r="I100" i="17"/>
  <c r="M100" i="17" s="1"/>
  <c r="U9" i="16"/>
  <c r="I39" i="16" s="1"/>
  <c r="J65" i="17" l="1"/>
  <c r="J33" i="17"/>
  <c r="J9" i="17"/>
  <c r="J10" i="17"/>
  <c r="M81" i="17"/>
  <c r="M65" i="17"/>
  <c r="M49" i="17"/>
  <c r="M33" i="17"/>
  <c r="M17" i="17"/>
  <c r="K85" i="17"/>
  <c r="K61" i="17"/>
  <c r="K21" i="17"/>
  <c r="K9" i="17"/>
  <c r="M97" i="17"/>
  <c r="J53" i="17"/>
  <c r="J25" i="17"/>
  <c r="J58" i="17"/>
  <c r="J85" i="17"/>
  <c r="J5" i="17"/>
  <c r="M93" i="17"/>
  <c r="M77" i="17"/>
  <c r="M61" i="17"/>
  <c r="M45" i="17"/>
  <c r="M29" i="17"/>
  <c r="J57" i="17"/>
  <c r="M89" i="17"/>
  <c r="M73" i="17"/>
  <c r="M57" i="17"/>
  <c r="M41" i="17"/>
  <c r="M25" i="17"/>
  <c r="M9" i="17"/>
  <c r="J17" i="17"/>
  <c r="K89" i="17"/>
  <c r="L66" i="17"/>
  <c r="L50" i="17"/>
  <c r="L26" i="17"/>
  <c r="M72" i="17"/>
  <c r="M32" i="17"/>
  <c r="J42" i="17"/>
  <c r="L74" i="17"/>
  <c r="L42" i="17"/>
  <c r="L34" i="17"/>
  <c r="J41" i="17"/>
  <c r="J89" i="17"/>
  <c r="J73" i="17"/>
  <c r="J49" i="17"/>
  <c r="F81" i="17"/>
  <c r="J81" i="17" s="1"/>
  <c r="M94" i="17"/>
  <c r="M62" i="17"/>
  <c r="M6" i="17"/>
  <c r="F74" i="17"/>
  <c r="J74" i="17" s="1"/>
  <c r="G41" i="17"/>
  <c r="K41" i="17" s="1"/>
  <c r="J94" i="17"/>
  <c r="J70" i="17"/>
  <c r="J62" i="17"/>
  <c r="J38" i="17"/>
  <c r="J6" i="17"/>
  <c r="H88" i="17"/>
  <c r="G57" i="17"/>
  <c r="K57" i="17" s="1"/>
  <c r="F26" i="17"/>
  <c r="J26" i="17" s="1"/>
  <c r="M96" i="17"/>
  <c r="M48" i="17"/>
  <c r="M8" i="17"/>
  <c r="K87" i="17"/>
  <c r="H24" i="17"/>
  <c r="L24" i="17" s="1"/>
  <c r="F90" i="17"/>
  <c r="J90" i="17" s="1"/>
  <c r="M88" i="17"/>
  <c r="M80" i="17"/>
  <c r="M64" i="17"/>
  <c r="M56" i="17"/>
  <c r="M40" i="17"/>
  <c r="M24" i="17"/>
  <c r="M16" i="17"/>
  <c r="K95" i="17"/>
  <c r="K79" i="17"/>
  <c r="K63" i="17"/>
  <c r="M63" i="17"/>
  <c r="G73" i="17"/>
  <c r="K73" i="17" s="1"/>
  <c r="K43" i="17"/>
  <c r="K35" i="17"/>
  <c r="K19" i="17"/>
  <c r="K11" i="17"/>
  <c r="M31" i="17"/>
  <c r="H92" i="17"/>
  <c r="L92" i="17" s="1"/>
  <c r="H76" i="17"/>
  <c r="L76" i="17" s="1"/>
  <c r="H60" i="17"/>
  <c r="L60" i="17" s="1"/>
  <c r="H44" i="17"/>
  <c r="L44" i="17" s="1"/>
  <c r="H28" i="17"/>
  <c r="L28" i="17" s="1"/>
  <c r="H12" i="17"/>
  <c r="L12" i="17" s="1"/>
  <c r="G93" i="17"/>
  <c r="K93" i="17" s="1"/>
  <c r="G45" i="17"/>
  <c r="K45" i="17" s="1"/>
  <c r="G29" i="17"/>
  <c r="K29" i="17" s="1"/>
  <c r="G13" i="17"/>
  <c r="K13" i="17" s="1"/>
  <c r="F78" i="17"/>
  <c r="J78" i="17" s="1"/>
  <c r="F46" i="17"/>
  <c r="J46" i="17" s="1"/>
  <c r="F30" i="17"/>
  <c r="J30" i="17" s="1"/>
  <c r="F14" i="17"/>
  <c r="J14" i="17" s="1"/>
  <c r="M86" i="17"/>
  <c r="M78" i="17"/>
  <c r="M54" i="17"/>
  <c r="M46" i="17"/>
  <c r="M22" i="17"/>
  <c r="M14" i="17"/>
  <c r="H91" i="17"/>
  <c r="L91" i="17" s="1"/>
  <c r="H75" i="17"/>
  <c r="H59" i="17"/>
  <c r="L59" i="17" s="1"/>
  <c r="H43" i="17"/>
  <c r="L43" i="17" s="1"/>
  <c r="H27" i="17"/>
  <c r="L27" i="17" s="1"/>
  <c r="H11" i="17"/>
  <c r="L11" i="17" s="1"/>
  <c r="G92" i="17"/>
  <c r="K92" i="17" s="1"/>
  <c r="G76" i="17"/>
  <c r="K76" i="17" s="1"/>
  <c r="G60" i="17"/>
  <c r="K60" i="17" s="1"/>
  <c r="G44" i="17"/>
  <c r="K44" i="17" s="1"/>
  <c r="G28" i="17"/>
  <c r="K28" i="17" s="1"/>
  <c r="G12" i="17"/>
  <c r="K12" i="17" s="1"/>
  <c r="F93" i="17"/>
  <c r="J93" i="17" s="1"/>
  <c r="F77" i="17"/>
  <c r="J77" i="17" s="1"/>
  <c r="F61" i="17"/>
  <c r="J61" i="17" s="1"/>
  <c r="F45" i="17"/>
  <c r="J45" i="17" s="1"/>
  <c r="F29" i="17"/>
  <c r="J29" i="17" s="1"/>
  <c r="F13" i="17"/>
  <c r="J13" i="17" s="1"/>
  <c r="L71" i="17"/>
  <c r="L55" i="17"/>
  <c r="L7" i="17"/>
  <c r="H84" i="17"/>
  <c r="L84" i="17" s="1"/>
  <c r="H20" i="17"/>
  <c r="L20" i="17" s="1"/>
  <c r="H4" i="17"/>
  <c r="L4" i="17" s="1"/>
  <c r="G69" i="17"/>
  <c r="K69" i="17" s="1"/>
  <c r="G37" i="17"/>
  <c r="K37" i="17" s="1"/>
  <c r="G5" i="17"/>
  <c r="K5" i="17" s="1"/>
  <c r="F54" i="17"/>
  <c r="J54" i="17" s="1"/>
  <c r="F22" i="17"/>
  <c r="J22" i="17" s="1"/>
  <c r="M98" i="17"/>
  <c r="M90" i="17"/>
  <c r="M82" i="17"/>
  <c r="M74" i="17"/>
  <c r="M66" i="17"/>
  <c r="M58" i="17"/>
  <c r="M50" i="17"/>
  <c r="M42" i="17"/>
  <c r="M34" i="17"/>
  <c r="M26" i="17"/>
  <c r="M18" i="17"/>
  <c r="M10" i="17"/>
  <c r="H99" i="17"/>
  <c r="L99" i="17" s="1"/>
  <c r="H83" i="17"/>
  <c r="L83" i="17" s="1"/>
  <c r="H67" i="17"/>
  <c r="L67" i="17" s="1"/>
  <c r="H51" i="17"/>
  <c r="L51" i="17" s="1"/>
  <c r="H35" i="17"/>
  <c r="L35" i="17" s="1"/>
  <c r="H19" i="17"/>
  <c r="G100" i="17"/>
  <c r="K100" i="17" s="1"/>
  <c r="G84" i="17"/>
  <c r="K84" i="17" s="1"/>
  <c r="G68" i="17"/>
  <c r="K68" i="17" s="1"/>
  <c r="G52" i="17"/>
  <c r="K52" i="17" s="1"/>
  <c r="G36" i="17"/>
  <c r="K36" i="17" s="1"/>
  <c r="G20" i="17"/>
  <c r="K20" i="17" s="1"/>
  <c r="G4" i="17"/>
  <c r="K4" i="17" s="1"/>
  <c r="L39" i="17"/>
  <c r="L23" i="17"/>
  <c r="H68" i="17"/>
  <c r="L68" i="17" s="1"/>
  <c r="G53" i="17"/>
  <c r="K53" i="17" s="1"/>
  <c r="F86" i="17"/>
  <c r="J86" i="17" s="1"/>
  <c r="H96" i="17"/>
  <c r="L96" i="17" s="1"/>
  <c r="H80" i="17"/>
  <c r="L80" i="17" s="1"/>
  <c r="H64" i="17"/>
  <c r="L64" i="17" s="1"/>
  <c r="H48" i="17"/>
  <c r="L48" i="17" s="1"/>
  <c r="H32" i="17"/>
  <c r="L32" i="17" s="1"/>
  <c r="H16" i="17"/>
  <c r="L16" i="17" s="1"/>
  <c r="G97" i="17"/>
  <c r="K97" i="17" s="1"/>
  <c r="G81" i="17"/>
  <c r="K81" i="17" s="1"/>
  <c r="G65" i="17"/>
  <c r="K65" i="17" s="1"/>
  <c r="G49" i="17"/>
  <c r="K49" i="17" s="1"/>
  <c r="G33" i="17"/>
  <c r="K33" i="17" s="1"/>
  <c r="G17" i="17"/>
  <c r="K17" i="17" s="1"/>
  <c r="F98" i="17"/>
  <c r="J98" i="17" s="1"/>
  <c r="F82" i="17"/>
  <c r="J82" i="17" s="1"/>
  <c r="F66" i="17"/>
  <c r="J66" i="17" s="1"/>
  <c r="F50" i="17"/>
  <c r="J50" i="17" s="1"/>
  <c r="F34" i="17"/>
  <c r="J34" i="17" s="1"/>
  <c r="F18" i="17"/>
  <c r="J18" i="17" s="1"/>
  <c r="H90" i="17"/>
  <c r="L90" i="17" s="1"/>
  <c r="H18" i="17"/>
  <c r="L18" i="17" s="1"/>
  <c r="G91" i="17"/>
  <c r="K91" i="17" s="1"/>
  <c r="G83" i="17"/>
  <c r="K83" i="17" s="1"/>
  <c r="G67" i="17"/>
  <c r="K67" i="17" s="1"/>
  <c r="G51" i="17"/>
  <c r="K51" i="17" s="1"/>
  <c r="G27" i="17"/>
  <c r="K27" i="17" s="1"/>
  <c r="F68" i="17"/>
  <c r="J68" i="17" s="1"/>
  <c r="F28" i="17"/>
  <c r="J28" i="17" s="1"/>
  <c r="F4" i="17"/>
  <c r="J4" i="17" s="1"/>
  <c r="M79" i="17"/>
  <c r="M47" i="17"/>
  <c r="M15" i="17"/>
  <c r="M7" i="17"/>
  <c r="H98" i="17"/>
  <c r="L98" i="17" s="1"/>
  <c r="H82" i="17"/>
  <c r="L82" i="17" s="1"/>
  <c r="H58" i="17"/>
  <c r="L58" i="17" s="1"/>
  <c r="H10" i="17"/>
  <c r="L10" i="17" s="1"/>
  <c r="G99" i="17"/>
  <c r="K99" i="17" s="1"/>
  <c r="G75" i="17"/>
  <c r="K75" i="17" s="1"/>
  <c r="G59" i="17"/>
  <c r="K59" i="17" s="1"/>
  <c r="F76" i="17"/>
  <c r="J76" i="17" s="1"/>
  <c r="F60" i="17"/>
  <c r="J60" i="17" s="1"/>
  <c r="F52" i="17"/>
  <c r="J52" i="17" s="1"/>
  <c r="F36" i="17"/>
  <c r="J36" i="17" s="1"/>
  <c r="F20" i="17"/>
  <c r="J20" i="17" s="1"/>
  <c r="F12" i="17"/>
  <c r="J12" i="17" s="1"/>
  <c r="M87" i="17"/>
  <c r="M71" i="17"/>
  <c r="M55" i="17"/>
  <c r="M39" i="17"/>
  <c r="M23" i="17"/>
  <c r="H78" i="17"/>
  <c r="L78" i="17" s="1"/>
  <c r="H62" i="17"/>
  <c r="L62" i="17" s="1"/>
  <c r="H46" i="17"/>
  <c r="L46" i="17" s="1"/>
  <c r="H30" i="17"/>
  <c r="L30" i="17" s="1"/>
  <c r="G47" i="17"/>
  <c r="K47" i="17" s="1"/>
  <c r="G31" i="17"/>
  <c r="K31" i="17" s="1"/>
  <c r="G15" i="17"/>
  <c r="K15" i="17" s="1"/>
  <c r="F96" i="17"/>
  <c r="J96" i="17" s="1"/>
  <c r="F80" i="17"/>
  <c r="J80" i="17" s="1"/>
  <c r="F64" i="17"/>
  <c r="J64" i="17" s="1"/>
  <c r="F48" i="17"/>
  <c r="J48" i="17" s="1"/>
  <c r="F40" i="17"/>
  <c r="J40" i="17" s="1"/>
  <c r="M95" i="17"/>
  <c r="M91" i="17"/>
  <c r="M75" i="17"/>
  <c r="M59" i="17"/>
  <c r="M43" i="17"/>
  <c r="M35" i="17"/>
  <c r="M27" i="17"/>
  <c r="M19" i="17"/>
  <c r="M11" i="17"/>
  <c r="H70" i="17"/>
  <c r="L70" i="17" s="1"/>
  <c r="H54" i="17"/>
  <c r="L54" i="17" s="1"/>
  <c r="H38" i="17"/>
  <c r="L38" i="17" s="1"/>
  <c r="H22" i="17"/>
  <c r="L22" i="17" s="1"/>
  <c r="H14" i="17"/>
  <c r="L14" i="17" s="1"/>
  <c r="G39" i="17"/>
  <c r="K39" i="17" s="1"/>
  <c r="G23" i="17"/>
  <c r="K23" i="17" s="1"/>
  <c r="G7" i="17"/>
  <c r="K7" i="17" s="1"/>
  <c r="F88" i="17"/>
  <c r="J88" i="17" s="1"/>
  <c r="F72" i="17"/>
  <c r="J72" i="17" s="1"/>
  <c r="F56" i="17"/>
  <c r="J56" i="17" s="1"/>
  <c r="M99" i="17"/>
  <c r="M83" i="17"/>
  <c r="M67" i="17"/>
  <c r="M51" i="17"/>
  <c r="H93" i="17"/>
  <c r="L93" i="17" s="1"/>
  <c r="H85" i="17"/>
  <c r="L85" i="17" s="1"/>
  <c r="H77" i="17"/>
  <c r="L77" i="17" s="1"/>
  <c r="H69" i="17"/>
  <c r="L69" i="17" s="1"/>
  <c r="H61" i="17"/>
  <c r="L61" i="17" s="1"/>
  <c r="H53" i="17"/>
  <c r="L53" i="17" s="1"/>
  <c r="H45" i="17"/>
  <c r="L45" i="17" s="1"/>
  <c r="H37" i="17"/>
  <c r="L37" i="17" s="1"/>
  <c r="H29" i="17"/>
  <c r="L29" i="17" s="1"/>
  <c r="H21" i="17"/>
  <c r="L21" i="17" s="1"/>
  <c r="H13" i="17"/>
  <c r="L13" i="17" s="1"/>
  <c r="H5" i="17"/>
  <c r="L5" i="17" s="1"/>
  <c r="G94" i="17"/>
  <c r="K94" i="17" s="1"/>
  <c r="G86" i="17"/>
  <c r="K86" i="17" s="1"/>
  <c r="G78" i="17"/>
  <c r="K78" i="17" s="1"/>
  <c r="G70" i="17"/>
  <c r="K70" i="17" s="1"/>
  <c r="G62" i="17"/>
  <c r="K62" i="17" s="1"/>
  <c r="G54" i="17"/>
  <c r="K54" i="17" s="1"/>
  <c r="G46" i="17"/>
  <c r="K46" i="17" s="1"/>
  <c r="G38" i="17"/>
  <c r="K38" i="17" s="1"/>
  <c r="G30" i="17"/>
  <c r="K30" i="17" s="1"/>
  <c r="G22" i="17"/>
  <c r="K22" i="17" s="1"/>
  <c r="G14" i="17"/>
  <c r="K14" i="17" s="1"/>
  <c r="G6" i="17"/>
  <c r="K6" i="17" s="1"/>
  <c r="F95" i="17"/>
  <c r="J95" i="17" s="1"/>
  <c r="F87" i="17"/>
  <c r="J87" i="17" s="1"/>
  <c r="F79" i="17"/>
  <c r="J79" i="17" s="1"/>
  <c r="F71" i="17"/>
  <c r="J71" i="17" s="1"/>
  <c r="F63" i="17"/>
  <c r="J63" i="17" s="1"/>
  <c r="F55" i="17"/>
  <c r="J55" i="17" s="1"/>
  <c r="F47" i="17"/>
  <c r="J47" i="17" s="1"/>
  <c r="F39" i="17"/>
  <c r="J39" i="17" s="1"/>
  <c r="F31" i="17"/>
  <c r="J31" i="17" s="1"/>
  <c r="F23" i="17"/>
  <c r="J23" i="17" s="1"/>
  <c r="F15" i="17"/>
  <c r="J15" i="17" s="1"/>
  <c r="F7" i="17"/>
  <c r="J7" i="17" s="1"/>
  <c r="K88" i="17"/>
  <c r="K72" i="17"/>
  <c r="K40" i="17"/>
  <c r="J32" i="17"/>
  <c r="K24" i="17"/>
  <c r="J16" i="17"/>
  <c r="K8" i="17"/>
  <c r="L19" i="17"/>
  <c r="L94" i="17"/>
  <c r="L75" i="17"/>
  <c r="L86" i="17"/>
  <c r="L6" i="17"/>
  <c r="H97" i="17"/>
  <c r="L97" i="17" s="1"/>
  <c r="H89" i="17"/>
  <c r="L89" i="17" s="1"/>
  <c r="H81" i="17"/>
  <c r="L81" i="17" s="1"/>
  <c r="H73" i="17"/>
  <c r="L73" i="17" s="1"/>
  <c r="H65" i="17"/>
  <c r="L65" i="17" s="1"/>
  <c r="H57" i="17"/>
  <c r="L57" i="17" s="1"/>
  <c r="H49" i="17"/>
  <c r="L49" i="17" s="1"/>
  <c r="H41" i="17"/>
  <c r="L41" i="17" s="1"/>
  <c r="H33" i="17"/>
  <c r="L33" i="17" s="1"/>
  <c r="H25" i="17"/>
  <c r="L25" i="17" s="1"/>
  <c r="H17" i="17"/>
  <c r="L17" i="17" s="1"/>
  <c r="H9" i="17"/>
  <c r="L9" i="17" s="1"/>
  <c r="G98" i="17"/>
  <c r="K98" i="17" s="1"/>
  <c r="G90" i="17"/>
  <c r="K90" i="17" s="1"/>
  <c r="G82" i="17"/>
  <c r="K82" i="17" s="1"/>
  <c r="G74" i="17"/>
  <c r="K74" i="17" s="1"/>
  <c r="G66" i="17"/>
  <c r="K66" i="17" s="1"/>
  <c r="G58" i="17"/>
  <c r="K58" i="17" s="1"/>
  <c r="G50" i="17"/>
  <c r="K50" i="17" s="1"/>
  <c r="G42" i="17"/>
  <c r="K42" i="17" s="1"/>
  <c r="G34" i="17"/>
  <c r="K34" i="17" s="1"/>
  <c r="G26" i="17"/>
  <c r="K26" i="17" s="1"/>
  <c r="G18" i="17"/>
  <c r="K18" i="17" s="1"/>
  <c r="G10" i="17"/>
  <c r="K10" i="17" s="1"/>
  <c r="F99" i="17"/>
  <c r="J99" i="17" s="1"/>
  <c r="F91" i="17"/>
  <c r="J91" i="17" s="1"/>
  <c r="F83" i="17"/>
  <c r="J83" i="17" s="1"/>
  <c r="F75" i="17"/>
  <c r="J75" i="17" s="1"/>
  <c r="F67" i="17"/>
  <c r="J67" i="17" s="1"/>
  <c r="F59" i="17"/>
  <c r="J59" i="17" s="1"/>
  <c r="F51" i="17"/>
  <c r="J51" i="17" s="1"/>
  <c r="F43" i="17"/>
  <c r="J43" i="17" s="1"/>
  <c r="F35" i="17"/>
  <c r="J35" i="17" s="1"/>
  <c r="F27" i="17"/>
  <c r="J27" i="17" s="1"/>
  <c r="F19" i="17"/>
  <c r="J19" i="17" s="1"/>
  <c r="F11" i="17"/>
  <c r="J11" i="17" s="1"/>
  <c r="L72" i="17"/>
  <c r="L95" i="17"/>
  <c r="K56" i="17"/>
  <c r="L88" i="17"/>
  <c r="L56" i="17"/>
  <c r="L87" i="17"/>
  <c r="K64" i="17"/>
  <c r="L79" i="17"/>
  <c r="L63" i="17"/>
  <c r="L47" i="17"/>
  <c r="L31" i="17"/>
  <c r="L15" i="17"/>
  <c r="K96" i="17"/>
  <c r="K80" i="17"/>
  <c r="K48" i="17"/>
  <c r="K32" i="17"/>
  <c r="K16" i="17"/>
  <c r="K71" i="17"/>
  <c r="K55" i="17"/>
  <c r="J24" i="17"/>
  <c r="J8" i="17"/>
  <c r="L40" i="17"/>
  <c r="L8" i="17"/>
  <c r="L9" i="7"/>
  <c r="G42" i="16" l="1"/>
  <c r="H43" i="16"/>
  <c r="G43" i="16"/>
  <c r="I42" i="16"/>
  <c r="I41" i="16"/>
  <c r="G41" i="16"/>
  <c r="I43" i="16"/>
  <c r="H41" i="16"/>
  <c r="H42" i="16"/>
  <c r="U4" i="16"/>
  <c r="G5" i="7" l="1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4" i="7"/>
  <c r="F41" i="16" l="1"/>
  <c r="E42" i="16"/>
  <c r="F42" i="16"/>
  <c r="E41" i="16"/>
  <c r="F43" i="16"/>
  <c r="E43" i="16"/>
  <c r="F52" i="16" l="1" a="1"/>
  <c r="F52" i="16" s="1"/>
  <c r="F49" i="16" a="1"/>
  <c r="F49" i="16" s="1"/>
  <c r="F53" i="16" a="1"/>
  <c r="F53" i="16" s="1"/>
  <c r="F54" i="16" a="1"/>
  <c r="F54" i="16" s="1"/>
  <c r="F55" i="16" a="1"/>
  <c r="F55" i="16" s="1"/>
  <c r="F50" i="16" a="1"/>
  <c r="F50" i="16" s="1"/>
  <c r="F56" i="16" a="1"/>
  <c r="F56" i="16" s="1"/>
  <c r="F58" i="16" a="1"/>
  <c r="F58" i="16" s="1"/>
  <c r="F51" i="16" a="1"/>
  <c r="F51" i="16" s="1"/>
  <c r="F57" i="16" a="1"/>
  <c r="F57" i="16" s="1"/>
  <c r="F47" i="16"/>
  <c r="D53" i="16" a="1"/>
  <c r="D53" i="16" s="1"/>
  <c r="D54" i="16" a="1"/>
  <c r="D54" i="16" s="1"/>
  <c r="D57" i="16" a="1"/>
  <c r="D57" i="16" s="1"/>
  <c r="D58" i="16" a="1"/>
  <c r="D58" i="16" s="1"/>
  <c r="D49" i="16" a="1"/>
  <c r="D49" i="16" s="1"/>
  <c r="D52" i="16" a="1"/>
  <c r="D52" i="16" s="1"/>
  <c r="D55" i="16" a="1"/>
  <c r="D55" i="16" s="1"/>
  <c r="D56" i="16" a="1"/>
  <c r="D56" i="16" s="1"/>
  <c r="D50" i="16" a="1"/>
  <c r="D50" i="16" s="1"/>
  <c r="D51" i="16" a="1"/>
  <c r="D51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U10" i="16"/>
  <c r="K56" i="16" l="1" a="1"/>
  <c r="K56" i="16" s="1"/>
  <c r="K50" i="16" a="1"/>
  <c r="K50" i="16" s="1"/>
  <c r="K57" i="16" a="1"/>
  <c r="K57" i="16" s="1"/>
  <c r="K47" i="16"/>
  <c r="K51" i="16" a="1"/>
  <c r="K51" i="16" s="1"/>
  <c r="K52" i="16" a="1"/>
  <c r="K52" i="16" s="1"/>
  <c r="K49" i="16" a="1"/>
  <c r="K49" i="16" s="1"/>
  <c r="K55" i="16" a="1"/>
  <c r="K55" i="16" s="1"/>
  <c r="K53" i="16" a="1"/>
  <c r="K53" i="16" s="1"/>
  <c r="K58" i="16" a="1"/>
  <c r="K58" i="16" s="1"/>
  <c r="K54" i="16" a="1"/>
  <c r="K54" i="16" s="1"/>
  <c r="I57" i="16" a="1"/>
  <c r="I57" i="16" s="1"/>
  <c r="I49" i="16" a="1"/>
  <c r="I49" i="16" s="1"/>
  <c r="I54" i="16" a="1"/>
  <c r="I54" i="16" s="1"/>
  <c r="I55" i="16" a="1"/>
  <c r="I55" i="16" s="1"/>
  <c r="I51" i="16" a="1"/>
  <c r="I51" i="16" s="1"/>
  <c r="I52" i="16" a="1"/>
  <c r="I52" i="16" s="1"/>
  <c r="I50" i="16" a="1"/>
  <c r="I50" i="16" s="1"/>
  <c r="I53" i="16" a="1"/>
  <c r="I53" i="16" s="1"/>
  <c r="I58" i="16" a="1"/>
  <c r="I58" i="16" s="1"/>
  <c r="I56" i="16" a="1"/>
  <c r="I56" i="16" s="1"/>
  <c r="J50" i="16" a="1"/>
  <c r="J50" i="16" s="1"/>
  <c r="J58" i="16" a="1"/>
  <c r="J58" i="16" s="1"/>
  <c r="J51" i="16" a="1"/>
  <c r="J51" i="16" s="1"/>
  <c r="J49" i="16" a="1"/>
  <c r="J49" i="16" s="1"/>
  <c r="J52" i="16" a="1"/>
  <c r="J52" i="16" s="1"/>
  <c r="J53" i="16" a="1"/>
  <c r="J53" i="16" s="1"/>
  <c r="J54" i="16" a="1"/>
  <c r="J54" i="16" s="1"/>
  <c r="J56" i="16" a="1"/>
  <c r="J56" i="16" s="1"/>
  <c r="J57" i="16" a="1"/>
  <c r="J57" i="16" s="1"/>
  <c r="J55" i="16" a="1"/>
  <c r="J55" i="16" s="1"/>
  <c r="K23" i="7"/>
  <c r="K69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E67" i="7" s="1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4" i="7"/>
  <c r="E15" i="7"/>
  <c r="E31" i="7"/>
  <c r="E52" i="7" l="1"/>
  <c r="E21" i="7"/>
  <c r="K73" i="7"/>
  <c r="K57" i="7"/>
  <c r="K11" i="7"/>
  <c r="K41" i="7"/>
  <c r="E95" i="7"/>
  <c r="H4" i="7"/>
  <c r="K7" i="7"/>
  <c r="E93" i="7"/>
  <c r="K53" i="7"/>
  <c r="K67" i="7"/>
  <c r="E43" i="7"/>
  <c r="K4" i="7"/>
  <c r="K97" i="7"/>
  <c r="K81" i="7"/>
  <c r="K65" i="7"/>
  <c r="K49" i="7"/>
  <c r="K19" i="7"/>
  <c r="K89" i="7"/>
  <c r="K33" i="7"/>
  <c r="H99" i="7"/>
  <c r="K75" i="7"/>
  <c r="K35" i="7"/>
  <c r="K13" i="7"/>
  <c r="K5" i="7"/>
  <c r="E61" i="7"/>
  <c r="K37" i="7"/>
  <c r="E55" i="7"/>
  <c r="E45" i="7"/>
  <c r="D10" i="7"/>
  <c r="K85" i="7"/>
  <c r="K27" i="7"/>
  <c r="H83" i="7"/>
  <c r="E51" i="7"/>
  <c r="H35" i="7"/>
  <c r="K91" i="7"/>
  <c r="K59" i="7"/>
  <c r="K43" i="7"/>
  <c r="K29" i="7"/>
  <c r="E39" i="7"/>
  <c r="E77" i="7"/>
  <c r="E29" i="7"/>
  <c r="K90" i="7"/>
  <c r="K74" i="7"/>
  <c r="K58" i="7"/>
  <c r="K42" i="7"/>
  <c r="K28" i="7"/>
  <c r="K12" i="7"/>
  <c r="D18" i="7"/>
  <c r="E5" i="7"/>
  <c r="K99" i="7"/>
  <c r="K83" i="7"/>
  <c r="K51" i="7"/>
  <c r="K21" i="7"/>
  <c r="K98" i="7"/>
  <c r="K82" i="7"/>
  <c r="K66" i="7"/>
  <c r="K50" i="7"/>
  <c r="K34" i="7"/>
  <c r="K20" i="7"/>
  <c r="K93" i="7"/>
  <c r="K77" i="7"/>
  <c r="K61" i="7"/>
  <c r="K45" i="7"/>
  <c r="K31" i="7"/>
  <c r="K15" i="7"/>
  <c r="D80" i="7"/>
  <c r="E47" i="7"/>
  <c r="D55" i="7"/>
  <c r="E92" i="7"/>
  <c r="E84" i="7"/>
  <c r="E68" i="7"/>
  <c r="E60" i="7"/>
  <c r="H52" i="7"/>
  <c r="H44" i="7"/>
  <c r="E36" i="7"/>
  <c r="H14" i="7"/>
  <c r="E6" i="7"/>
  <c r="K95" i="7"/>
  <c r="K87" i="7"/>
  <c r="K79" i="7"/>
  <c r="K71" i="7"/>
  <c r="K63" i="7"/>
  <c r="K55" i="7"/>
  <c r="K47" i="7"/>
  <c r="K39" i="7"/>
  <c r="K25" i="7"/>
  <c r="K17" i="7"/>
  <c r="K9" i="7"/>
  <c r="D48" i="7"/>
  <c r="D39" i="7"/>
  <c r="L39" i="7" s="1"/>
  <c r="E91" i="7"/>
  <c r="E83" i="7"/>
  <c r="E59" i="7"/>
  <c r="E13" i="7"/>
  <c r="K94" i="7"/>
  <c r="K86" i="7"/>
  <c r="K78" i="7"/>
  <c r="K70" i="7"/>
  <c r="K62" i="7"/>
  <c r="K54" i="7"/>
  <c r="K46" i="7"/>
  <c r="K38" i="7"/>
  <c r="K32" i="7"/>
  <c r="K24" i="7"/>
  <c r="K16" i="7"/>
  <c r="K8" i="7"/>
  <c r="D88" i="7"/>
  <c r="D56" i="7"/>
  <c r="M71" i="7"/>
  <c r="E17" i="7"/>
  <c r="D72" i="7"/>
  <c r="E30" i="7"/>
  <c r="E73" i="7"/>
  <c r="E11" i="7"/>
  <c r="K100" i="7"/>
  <c r="K92" i="7"/>
  <c r="K84" i="7"/>
  <c r="K76" i="7"/>
  <c r="K68" i="7"/>
  <c r="K60" i="7"/>
  <c r="K52" i="7"/>
  <c r="K44" i="7"/>
  <c r="K36" i="7"/>
  <c r="K30" i="7"/>
  <c r="K22" i="7"/>
  <c r="K14" i="7"/>
  <c r="K6" i="7"/>
  <c r="D96" i="7"/>
  <c r="D40" i="7"/>
  <c r="E25" i="7"/>
  <c r="E63" i="7"/>
  <c r="D63" i="7"/>
  <c r="E4" i="7"/>
  <c r="K96" i="7"/>
  <c r="K88" i="7"/>
  <c r="K80" i="7"/>
  <c r="K72" i="7"/>
  <c r="K64" i="7"/>
  <c r="K56" i="7"/>
  <c r="K48" i="7"/>
  <c r="K40" i="7"/>
  <c r="K26" i="7"/>
  <c r="K18" i="7"/>
  <c r="K10" i="7"/>
  <c r="H68" i="7"/>
  <c r="E100" i="7"/>
  <c r="E76" i="7"/>
  <c r="E99" i="7"/>
  <c r="E75" i="7"/>
  <c r="E22" i="7"/>
  <c r="H30" i="7"/>
  <c r="O30" i="7" s="1"/>
  <c r="D64" i="7"/>
  <c r="H84" i="7"/>
  <c r="E14" i="7"/>
  <c r="H6" i="7"/>
  <c r="E35" i="7"/>
  <c r="H92" i="7"/>
  <c r="E44" i="7"/>
  <c r="D26" i="7"/>
  <c r="D9" i="7"/>
  <c r="E89" i="7"/>
  <c r="E57" i="7"/>
  <c r="E41" i="7"/>
  <c r="E27" i="7"/>
  <c r="N63" i="7"/>
  <c r="D15" i="7"/>
  <c r="D23" i="7"/>
  <c r="D37" i="7"/>
  <c r="D45" i="7"/>
  <c r="D53" i="7"/>
  <c r="D85" i="7"/>
  <c r="E85" i="7"/>
  <c r="E69" i="7"/>
  <c r="E53" i="7"/>
  <c r="E37" i="7"/>
  <c r="E23" i="7"/>
  <c r="E7" i="7"/>
  <c r="D8" i="7"/>
  <c r="E8" i="7"/>
  <c r="D16" i="7"/>
  <c r="M16" i="7" s="1"/>
  <c r="E16" i="7"/>
  <c r="D24" i="7"/>
  <c r="E24" i="7"/>
  <c r="E32" i="7"/>
  <c r="D38" i="7"/>
  <c r="E38" i="7"/>
  <c r="E46" i="7"/>
  <c r="E54" i="7"/>
  <c r="D62" i="7"/>
  <c r="E62" i="7"/>
  <c r="D70" i="7"/>
  <c r="E70" i="7"/>
  <c r="E78" i="7"/>
  <c r="D86" i="7"/>
  <c r="E86" i="7"/>
  <c r="E94" i="7"/>
  <c r="H33" i="7"/>
  <c r="H73" i="7"/>
  <c r="I9" i="7"/>
  <c r="E9" i="7"/>
  <c r="H11" i="7"/>
  <c r="E71" i="7"/>
  <c r="I71" i="7"/>
  <c r="D79" i="7"/>
  <c r="N79" i="7" s="1"/>
  <c r="E79" i="7"/>
  <c r="L79" i="7" s="1"/>
  <c r="E87" i="7"/>
  <c r="I87" i="7"/>
  <c r="E97" i="7"/>
  <c r="E81" i="7"/>
  <c r="E65" i="7"/>
  <c r="E49" i="7"/>
  <c r="E33" i="7"/>
  <c r="E19" i="7"/>
  <c r="E98" i="7"/>
  <c r="E90" i="7"/>
  <c r="E82" i="7"/>
  <c r="E74" i="7"/>
  <c r="E66" i="7"/>
  <c r="E58" i="7"/>
  <c r="E50" i="7"/>
  <c r="E42" i="7"/>
  <c r="E34" i="7"/>
  <c r="E28" i="7"/>
  <c r="E20" i="7"/>
  <c r="E12" i="7"/>
  <c r="N96" i="7"/>
  <c r="N88" i="7"/>
  <c r="N64" i="7"/>
  <c r="N56" i="7"/>
  <c r="E96" i="7"/>
  <c r="L96" i="7" s="1"/>
  <c r="E88" i="7"/>
  <c r="E80" i="7"/>
  <c r="E72" i="7"/>
  <c r="L72" i="7" s="1"/>
  <c r="E64" i="7"/>
  <c r="E56" i="7"/>
  <c r="L56" i="7" s="1"/>
  <c r="E48" i="7"/>
  <c r="E40" i="7"/>
  <c r="E26" i="7"/>
  <c r="E18" i="7"/>
  <c r="E10" i="7"/>
  <c r="L10" i="7" s="1"/>
  <c r="H36" i="7"/>
  <c r="D61" i="7"/>
  <c r="L61" i="7" s="1"/>
  <c r="I88" i="7"/>
  <c r="D94" i="7"/>
  <c r="I55" i="7"/>
  <c r="H100" i="7"/>
  <c r="I39" i="7"/>
  <c r="H97" i="7"/>
  <c r="D17" i="7"/>
  <c r="I25" i="7"/>
  <c r="I72" i="7"/>
  <c r="I26" i="7"/>
  <c r="H51" i="7"/>
  <c r="H50" i="7"/>
  <c r="D54" i="7"/>
  <c r="D32" i="7"/>
  <c r="I98" i="7"/>
  <c r="I82" i="7"/>
  <c r="I66" i="7"/>
  <c r="I50" i="7"/>
  <c r="I34" i="7"/>
  <c r="I20" i="7"/>
  <c r="H89" i="7"/>
  <c r="H67" i="7"/>
  <c r="H49" i="7"/>
  <c r="H27" i="7"/>
  <c r="H5" i="7"/>
  <c r="D78" i="7"/>
  <c r="D25" i="7"/>
  <c r="M25" i="7" s="1"/>
  <c r="I97" i="7"/>
  <c r="I81" i="7"/>
  <c r="I65" i="7"/>
  <c r="I49" i="7"/>
  <c r="I33" i="7"/>
  <c r="I19" i="7"/>
  <c r="N40" i="7"/>
  <c r="H98" i="7"/>
  <c r="H74" i="7"/>
  <c r="H34" i="7"/>
  <c r="I56" i="7"/>
  <c r="H90" i="7"/>
  <c r="H28" i="7"/>
  <c r="H66" i="7"/>
  <c r="H42" i="7"/>
  <c r="H22" i="7"/>
  <c r="D4" i="7"/>
  <c r="D77" i="7"/>
  <c r="D47" i="7"/>
  <c r="M47" i="7" s="1"/>
  <c r="I96" i="7"/>
  <c r="I80" i="7"/>
  <c r="I64" i="7"/>
  <c r="I48" i="7"/>
  <c r="P48" i="7" s="1"/>
  <c r="I18" i="7"/>
  <c r="H12" i="7"/>
  <c r="I40" i="7"/>
  <c r="I10" i="7"/>
  <c r="H65" i="7"/>
  <c r="H41" i="7"/>
  <c r="H21" i="7"/>
  <c r="D95" i="7"/>
  <c r="L95" i="7" s="1"/>
  <c r="D71" i="7"/>
  <c r="I95" i="7"/>
  <c r="I79" i="7"/>
  <c r="P79" i="7" s="1"/>
  <c r="I63" i="7"/>
  <c r="I47" i="7"/>
  <c r="I17" i="7"/>
  <c r="H82" i="7"/>
  <c r="H58" i="7"/>
  <c r="H20" i="7"/>
  <c r="I90" i="7"/>
  <c r="I74" i="7"/>
  <c r="I58" i="7"/>
  <c r="I42" i="7"/>
  <c r="I28" i="7"/>
  <c r="I12" i="7"/>
  <c r="H81" i="7"/>
  <c r="H57" i="7"/>
  <c r="H19" i="7"/>
  <c r="D87" i="7"/>
  <c r="I89" i="7"/>
  <c r="I73" i="7"/>
  <c r="I57" i="7"/>
  <c r="I41" i="7"/>
  <c r="I27" i="7"/>
  <c r="I11" i="7"/>
  <c r="I29" i="7"/>
  <c r="D29" i="7"/>
  <c r="I67" i="7"/>
  <c r="D67" i="7"/>
  <c r="I99" i="7"/>
  <c r="D99" i="7"/>
  <c r="N99" i="7" s="1"/>
  <c r="I21" i="7"/>
  <c r="D21" i="7"/>
  <c r="L21" i="7" s="1"/>
  <c r="I51" i="7"/>
  <c r="D51" i="7"/>
  <c r="I91" i="7"/>
  <c r="D91" i="7"/>
  <c r="I13" i="7"/>
  <c r="D13" i="7"/>
  <c r="I35" i="7"/>
  <c r="D35" i="7"/>
  <c r="I59" i="7"/>
  <c r="D59" i="7"/>
  <c r="I83" i="7"/>
  <c r="D83" i="7"/>
  <c r="I6" i="7"/>
  <c r="D6" i="7"/>
  <c r="I22" i="7"/>
  <c r="D22" i="7"/>
  <c r="I36" i="7"/>
  <c r="D36" i="7"/>
  <c r="I52" i="7"/>
  <c r="D52" i="7"/>
  <c r="D68" i="7"/>
  <c r="I68" i="7"/>
  <c r="I84" i="7"/>
  <c r="D84" i="7"/>
  <c r="I100" i="7"/>
  <c r="D100" i="7"/>
  <c r="H60" i="7"/>
  <c r="H7" i="7"/>
  <c r="I7" i="7"/>
  <c r="H15" i="7"/>
  <c r="I15" i="7"/>
  <c r="H23" i="7"/>
  <c r="I23" i="7"/>
  <c r="H31" i="7"/>
  <c r="I31" i="7"/>
  <c r="H37" i="7"/>
  <c r="I37" i="7"/>
  <c r="H45" i="7"/>
  <c r="I45" i="7"/>
  <c r="H53" i="7"/>
  <c r="I53" i="7"/>
  <c r="H61" i="7"/>
  <c r="I61" i="7"/>
  <c r="H69" i="7"/>
  <c r="I69" i="7"/>
  <c r="H77" i="7"/>
  <c r="I77" i="7"/>
  <c r="H85" i="7"/>
  <c r="I85" i="7"/>
  <c r="H93" i="7"/>
  <c r="I93" i="7"/>
  <c r="H91" i="7"/>
  <c r="H75" i="7"/>
  <c r="H59" i="7"/>
  <c r="H43" i="7"/>
  <c r="H29" i="7"/>
  <c r="H13" i="7"/>
  <c r="D93" i="7"/>
  <c r="O93" i="7" s="1"/>
  <c r="D31" i="7"/>
  <c r="N31" i="7" s="1"/>
  <c r="I5" i="7"/>
  <c r="D5" i="7"/>
  <c r="I43" i="7"/>
  <c r="D43" i="7"/>
  <c r="I75" i="7"/>
  <c r="D75" i="7"/>
  <c r="N75" i="7" s="1"/>
  <c r="I14" i="7"/>
  <c r="D14" i="7"/>
  <c r="D30" i="7"/>
  <c r="I30" i="7"/>
  <c r="I44" i="7"/>
  <c r="D44" i="7"/>
  <c r="O44" i="7" s="1"/>
  <c r="I60" i="7"/>
  <c r="D60" i="7"/>
  <c r="I76" i="7"/>
  <c r="D76" i="7"/>
  <c r="D92" i="7"/>
  <c r="I92" i="7"/>
  <c r="H76" i="7"/>
  <c r="H8" i="7"/>
  <c r="I8" i="7"/>
  <c r="H16" i="7"/>
  <c r="I16" i="7"/>
  <c r="H24" i="7"/>
  <c r="I24" i="7"/>
  <c r="H32" i="7"/>
  <c r="I32" i="7"/>
  <c r="H38" i="7"/>
  <c r="I38" i="7"/>
  <c r="H46" i="7"/>
  <c r="I46" i="7"/>
  <c r="H54" i="7"/>
  <c r="I54" i="7"/>
  <c r="H62" i="7"/>
  <c r="I62" i="7"/>
  <c r="H70" i="7"/>
  <c r="I70" i="7"/>
  <c r="H78" i="7"/>
  <c r="I78" i="7"/>
  <c r="H86" i="7"/>
  <c r="I86" i="7"/>
  <c r="H94" i="7"/>
  <c r="I94" i="7"/>
  <c r="D69" i="7"/>
  <c r="D46" i="7"/>
  <c r="D7" i="7"/>
  <c r="H96" i="7"/>
  <c r="O96" i="7" s="1"/>
  <c r="H88" i="7"/>
  <c r="H80" i="7"/>
  <c r="H72" i="7"/>
  <c r="H64" i="7"/>
  <c r="H56" i="7"/>
  <c r="O56" i="7" s="1"/>
  <c r="H48" i="7"/>
  <c r="H40" i="7"/>
  <c r="O40" i="7" s="1"/>
  <c r="H26" i="7"/>
  <c r="H18" i="7"/>
  <c r="H10" i="7"/>
  <c r="H95" i="7"/>
  <c r="H87" i="7"/>
  <c r="H79" i="7"/>
  <c r="O79" i="7" s="1"/>
  <c r="H71" i="7"/>
  <c r="H63" i="7"/>
  <c r="H55" i="7"/>
  <c r="H47" i="7"/>
  <c r="H39" i="7"/>
  <c r="H25" i="7"/>
  <c r="H17" i="7"/>
  <c r="H9" i="7"/>
  <c r="D98" i="7"/>
  <c r="D90" i="7"/>
  <c r="D82" i="7"/>
  <c r="D74" i="7"/>
  <c r="D66" i="7"/>
  <c r="D58" i="7"/>
  <c r="D50" i="7"/>
  <c r="L50" i="7" s="1"/>
  <c r="D42" i="7"/>
  <c r="D34" i="7"/>
  <c r="D28" i="7"/>
  <c r="D20" i="7"/>
  <c r="N20" i="7" s="1"/>
  <c r="D12" i="7"/>
  <c r="I4" i="7"/>
  <c r="D97" i="7"/>
  <c r="D89" i="7"/>
  <c r="D81" i="7"/>
  <c r="D73" i="7"/>
  <c r="D65" i="7"/>
  <c r="D57" i="7"/>
  <c r="D49" i="7"/>
  <c r="D41" i="7"/>
  <c r="D33" i="7"/>
  <c r="D27" i="7"/>
  <c r="D19" i="7"/>
  <c r="D11" i="7"/>
  <c r="N26" i="7" l="1"/>
  <c r="N53" i="7"/>
  <c r="M64" i="7"/>
  <c r="M39" i="7"/>
  <c r="M55" i="7"/>
  <c r="M29" i="7"/>
  <c r="M18" i="7"/>
  <c r="L32" i="7"/>
  <c r="L53" i="7"/>
  <c r="O10" i="7"/>
  <c r="L91" i="7"/>
  <c r="P96" i="7"/>
  <c r="N10" i="7"/>
  <c r="M96" i="7"/>
  <c r="M69" i="7"/>
  <c r="P12" i="7"/>
  <c r="P10" i="7"/>
  <c r="P56" i="7"/>
  <c r="L38" i="7"/>
  <c r="M10" i="7"/>
  <c r="M56" i="7"/>
  <c r="L4" i="7"/>
  <c r="M83" i="7"/>
  <c r="M17" i="7"/>
  <c r="P39" i="7"/>
  <c r="N98" i="7"/>
  <c r="L19" i="7"/>
  <c r="N27" i="7"/>
  <c r="P18" i="7"/>
  <c r="M40" i="7"/>
  <c r="M80" i="7"/>
  <c r="L60" i="7"/>
  <c r="O8" i="7"/>
  <c r="O64" i="7"/>
  <c r="M13" i="7"/>
  <c r="L78" i="7"/>
  <c r="L64" i="7"/>
  <c r="N55" i="7"/>
  <c r="M8" i="7"/>
  <c r="P64" i="7"/>
  <c r="M94" i="7"/>
  <c r="M77" i="7"/>
  <c r="L55" i="7"/>
  <c r="O18" i="7"/>
  <c r="O80" i="7"/>
  <c r="L80" i="7"/>
  <c r="L88" i="7"/>
  <c r="M86" i="7"/>
  <c r="L62" i="7"/>
  <c r="L33" i="7"/>
  <c r="P37" i="7"/>
  <c r="L18" i="7"/>
  <c r="N87" i="7"/>
  <c r="M38" i="7"/>
  <c r="M45" i="7"/>
  <c r="M62" i="7"/>
  <c r="L37" i="7"/>
  <c r="L45" i="7"/>
  <c r="M88" i="7"/>
  <c r="P53" i="7"/>
  <c r="M100" i="7"/>
  <c r="M51" i="7"/>
  <c r="L40" i="7"/>
  <c r="N9" i="7"/>
  <c r="M48" i="7"/>
  <c r="O83" i="7"/>
  <c r="N18" i="7"/>
  <c r="L94" i="7"/>
  <c r="N70" i="7"/>
  <c r="N95" i="7"/>
  <c r="L63" i="7"/>
  <c r="M26" i="7"/>
  <c r="P87" i="7"/>
  <c r="P66" i="7"/>
  <c r="O60" i="7"/>
  <c r="O98" i="7"/>
  <c r="M54" i="7"/>
  <c r="L48" i="7"/>
  <c r="N80" i="7"/>
  <c r="N94" i="7"/>
  <c r="L70" i="7"/>
  <c r="N24" i="7"/>
  <c r="M23" i="7"/>
  <c r="M91" i="7"/>
  <c r="M63" i="7"/>
  <c r="M41" i="7"/>
  <c r="N72" i="7"/>
  <c r="O89" i="7"/>
  <c r="O72" i="7"/>
  <c r="O35" i="7"/>
  <c r="M21" i="7"/>
  <c r="P80" i="7"/>
  <c r="P26" i="7"/>
  <c r="P55" i="7"/>
  <c r="O51" i="7"/>
  <c r="O55" i="7"/>
  <c r="O26" i="7"/>
  <c r="O88" i="7"/>
  <c r="O32" i="7"/>
  <c r="N5" i="7"/>
  <c r="O6" i="7"/>
  <c r="P40" i="7"/>
  <c r="L26" i="7"/>
  <c r="M49" i="7"/>
  <c r="O63" i="7"/>
  <c r="O86" i="7"/>
  <c r="M30" i="7"/>
  <c r="L77" i="7"/>
  <c r="L17" i="7"/>
  <c r="L8" i="7"/>
  <c r="N17" i="7"/>
  <c r="M52" i="7"/>
  <c r="N91" i="7"/>
  <c r="P13" i="7"/>
  <c r="P63" i="7"/>
  <c r="L49" i="7"/>
  <c r="N23" i="7"/>
  <c r="M9" i="7"/>
  <c r="L23" i="7"/>
  <c r="O5" i="7"/>
  <c r="M15" i="7"/>
  <c r="L93" i="7"/>
  <c r="O39" i="7"/>
  <c r="O48" i="7"/>
  <c r="N45" i="7"/>
  <c r="O23" i="7"/>
  <c r="P72" i="7"/>
  <c r="N71" i="7"/>
  <c r="L86" i="7"/>
  <c r="N15" i="7"/>
  <c r="N39" i="7"/>
  <c r="N66" i="7"/>
  <c r="N81" i="7"/>
  <c r="M72" i="7"/>
  <c r="M82" i="7"/>
  <c r="P70" i="7"/>
  <c r="N48" i="7"/>
  <c r="L82" i="7"/>
  <c r="N8" i="7"/>
  <c r="L85" i="7"/>
  <c r="M31" i="7"/>
  <c r="N97" i="7"/>
  <c r="M79" i="7"/>
  <c r="P45" i="7"/>
  <c r="P23" i="7"/>
  <c r="L71" i="7"/>
  <c r="N73" i="7"/>
  <c r="O28" i="7"/>
  <c r="M90" i="7"/>
  <c r="N69" i="7"/>
  <c r="P8" i="7"/>
  <c r="P93" i="7"/>
  <c r="O41" i="7"/>
  <c r="P88" i="7"/>
  <c r="L28" i="7"/>
  <c r="M70" i="7"/>
  <c r="N7" i="7"/>
  <c r="O68" i="7"/>
  <c r="P61" i="7"/>
  <c r="M66" i="7"/>
  <c r="N38" i="7"/>
  <c r="N16" i="7"/>
  <c r="M75" i="7"/>
  <c r="L41" i="7"/>
  <c r="N54" i="7"/>
  <c r="N43" i="7"/>
  <c r="O45" i="7"/>
  <c r="O67" i="7"/>
  <c r="N86" i="7"/>
  <c r="N62" i="7"/>
  <c r="N19" i="7"/>
  <c r="M78" i="7"/>
  <c r="P73" i="7"/>
  <c r="L98" i="7"/>
  <c r="N41" i="7"/>
  <c r="O33" i="7"/>
  <c r="M61" i="7"/>
  <c r="M37" i="7"/>
  <c r="O15" i="7"/>
  <c r="L89" i="7"/>
  <c r="O85" i="7"/>
  <c r="P59" i="7"/>
  <c r="P62" i="7"/>
  <c r="O59" i="7"/>
  <c r="O77" i="7"/>
  <c r="O53" i="7"/>
  <c r="P89" i="7"/>
  <c r="P98" i="7"/>
  <c r="L16" i="7"/>
  <c r="P9" i="7"/>
  <c r="M85" i="7"/>
  <c r="N61" i="7"/>
  <c r="N37" i="7"/>
  <c r="M99" i="7"/>
  <c r="N49" i="7"/>
  <c r="O61" i="7"/>
  <c r="P74" i="7"/>
  <c r="N33" i="7"/>
  <c r="O34" i="7"/>
  <c r="P86" i="7"/>
  <c r="O62" i="7"/>
  <c r="N29" i="7"/>
  <c r="O75" i="7"/>
  <c r="N68" i="7"/>
  <c r="N13" i="7"/>
  <c r="M34" i="7"/>
  <c r="N30" i="7"/>
  <c r="N85" i="7"/>
  <c r="M53" i="7"/>
  <c r="O94" i="7"/>
  <c r="M60" i="7"/>
  <c r="O24" i="7"/>
  <c r="L6" i="7"/>
  <c r="L24" i="7"/>
  <c r="P42" i="7"/>
  <c r="O9" i="7"/>
  <c r="O71" i="7"/>
  <c r="O46" i="7"/>
  <c r="P16" i="7"/>
  <c r="O37" i="7"/>
  <c r="L15" i="7"/>
  <c r="L100" i="7"/>
  <c r="M98" i="7"/>
  <c r="P77" i="7"/>
  <c r="N25" i="7"/>
  <c r="L25" i="7"/>
  <c r="L81" i="7"/>
  <c r="M73" i="7"/>
  <c r="O70" i="7"/>
  <c r="P38" i="7"/>
  <c r="L31" i="7"/>
  <c r="P15" i="7"/>
  <c r="P90" i="7"/>
  <c r="P17" i="7"/>
  <c r="N34" i="7"/>
  <c r="M24" i="7"/>
  <c r="P24" i="7"/>
  <c r="P75" i="7"/>
  <c r="P71" i="7"/>
  <c r="O31" i="7"/>
  <c r="P58" i="7"/>
  <c r="O16" i="7"/>
  <c r="P85" i="7"/>
  <c r="P31" i="7"/>
  <c r="N28" i="7"/>
  <c r="P41" i="7"/>
  <c r="O20" i="7"/>
  <c r="O100" i="7"/>
  <c r="P25" i="7"/>
  <c r="M20" i="7"/>
  <c r="P94" i="7"/>
  <c r="O78" i="7"/>
  <c r="O38" i="7"/>
  <c r="N14" i="7"/>
  <c r="P5" i="7"/>
  <c r="P84" i="7"/>
  <c r="P91" i="7"/>
  <c r="L99" i="7"/>
  <c r="O65" i="7"/>
  <c r="M28" i="7"/>
  <c r="P82" i="7"/>
  <c r="L47" i="7"/>
  <c r="P49" i="7"/>
  <c r="P97" i="7"/>
  <c r="P19" i="7"/>
  <c r="O91" i="7"/>
  <c r="N89" i="7"/>
  <c r="N52" i="7"/>
  <c r="M14" i="7"/>
  <c r="O99" i="7"/>
  <c r="P27" i="7"/>
  <c r="N82" i="7"/>
  <c r="L35" i="7"/>
  <c r="O81" i="7"/>
  <c r="M95" i="7"/>
  <c r="O54" i="7"/>
  <c r="N93" i="7"/>
  <c r="N83" i="7"/>
  <c r="O42" i="7"/>
  <c r="O49" i="7"/>
  <c r="L90" i="7"/>
  <c r="L54" i="7"/>
  <c r="N90" i="7"/>
  <c r="M67" i="7"/>
  <c r="P34" i="7"/>
  <c r="O97" i="7"/>
  <c r="P57" i="7"/>
  <c r="O17" i="7"/>
  <c r="L68" i="7"/>
  <c r="P51" i="7"/>
  <c r="N12" i="7"/>
  <c r="L20" i="7"/>
  <c r="L27" i="7"/>
  <c r="P99" i="7"/>
  <c r="M93" i="7"/>
  <c r="L36" i="7"/>
  <c r="P35" i="7"/>
  <c r="O82" i="7"/>
  <c r="O90" i="7"/>
  <c r="N4" i="7"/>
  <c r="M65" i="7"/>
  <c r="O25" i="7"/>
  <c r="O87" i="7"/>
  <c r="M27" i="7"/>
  <c r="M89" i="7"/>
  <c r="N35" i="7"/>
  <c r="P78" i="7"/>
  <c r="P32" i="7"/>
  <c r="P92" i="7"/>
  <c r="P60" i="7"/>
  <c r="P30" i="7"/>
  <c r="L75" i="7"/>
  <c r="O43" i="7"/>
  <c r="L69" i="7"/>
  <c r="P7" i="7"/>
  <c r="N100" i="7"/>
  <c r="N36" i="7"/>
  <c r="N6" i="7"/>
  <c r="P83" i="7"/>
  <c r="L13" i="7"/>
  <c r="P11" i="7"/>
  <c r="O57" i="7"/>
  <c r="M76" i="7"/>
  <c r="M35" i="7"/>
  <c r="P33" i="7"/>
  <c r="O27" i="7"/>
  <c r="M4" i="7"/>
  <c r="N42" i="7"/>
  <c r="M7" i="7"/>
  <c r="N77" i="7"/>
  <c r="M42" i="7"/>
  <c r="P28" i="7"/>
  <c r="P20" i="7"/>
  <c r="L34" i="7"/>
  <c r="L97" i="7"/>
  <c r="O36" i="7"/>
  <c r="O52" i="7"/>
  <c r="O95" i="7"/>
  <c r="M33" i="7"/>
  <c r="M97" i="7"/>
  <c r="N51" i="7"/>
  <c r="N78" i="7"/>
  <c r="N32" i="7"/>
  <c r="N92" i="7"/>
  <c r="N60" i="7"/>
  <c r="P69" i="7"/>
  <c r="L7" i="7"/>
  <c r="L84" i="7"/>
  <c r="L52" i="7"/>
  <c r="L22" i="7"/>
  <c r="N59" i="7"/>
  <c r="O29" i="7"/>
  <c r="L87" i="7"/>
  <c r="M87" i="7"/>
  <c r="O19" i="7"/>
  <c r="O22" i="7"/>
  <c r="N22" i="7"/>
  <c r="M84" i="7"/>
  <c r="M6" i="7"/>
  <c r="M36" i="7"/>
  <c r="P29" i="7"/>
  <c r="P65" i="7"/>
  <c r="M46" i="7"/>
  <c r="M32" i="7"/>
  <c r="L76" i="7"/>
  <c r="L43" i="7"/>
  <c r="O69" i="7"/>
  <c r="O7" i="7"/>
  <c r="P95" i="7"/>
  <c r="P4" i="7"/>
  <c r="O47" i="7"/>
  <c r="M59" i="7"/>
  <c r="L12" i="7"/>
  <c r="O84" i="7"/>
  <c r="O4" i="7"/>
  <c r="P54" i="7"/>
  <c r="M92" i="7"/>
  <c r="P76" i="7"/>
  <c r="P44" i="7"/>
  <c r="P14" i="7"/>
  <c r="P43" i="7"/>
  <c r="M11" i="7"/>
  <c r="L42" i="7"/>
  <c r="N84" i="7"/>
  <c r="N65" i="7"/>
  <c r="L73" i="7"/>
  <c r="L29" i="7"/>
  <c r="P52" i="7"/>
  <c r="O92" i="7"/>
  <c r="P81" i="7"/>
  <c r="N76" i="7"/>
  <c r="N44" i="7"/>
  <c r="L5" i="7"/>
  <c r="L58" i="7"/>
  <c r="P46" i="7"/>
  <c r="L92" i="7"/>
  <c r="L30" i="7"/>
  <c r="P47" i="7"/>
  <c r="O73" i="7"/>
  <c r="N57" i="7"/>
  <c r="N47" i="7"/>
  <c r="M19" i="7"/>
  <c r="M81" i="7"/>
  <c r="N21" i="7"/>
  <c r="P100" i="7"/>
  <c r="P36" i="7"/>
  <c r="P6" i="7"/>
  <c r="L83" i="7"/>
  <c r="O13" i="7"/>
  <c r="L51" i="7"/>
  <c r="M68" i="7"/>
  <c r="N58" i="7"/>
  <c r="O50" i="7"/>
  <c r="M50" i="7"/>
  <c r="L74" i="7"/>
  <c r="L46" i="7"/>
  <c r="M22" i="7"/>
  <c r="N50" i="7"/>
  <c r="M43" i="7"/>
  <c r="M5" i="7"/>
  <c r="L11" i="7"/>
  <c r="P21" i="7"/>
  <c r="P22" i="7"/>
  <c r="P50" i="7"/>
  <c r="O58" i="7"/>
  <c r="M58" i="7"/>
  <c r="L59" i="7"/>
  <c r="L65" i="7"/>
  <c r="M57" i="7"/>
  <c r="L57" i="7"/>
  <c r="O21" i="7"/>
  <c r="O14" i="7"/>
  <c r="O66" i="7"/>
  <c r="O76" i="7"/>
  <c r="L67" i="7"/>
  <c r="L14" i="7"/>
  <c r="P67" i="7"/>
  <c r="M74" i="7"/>
  <c r="M12" i="7"/>
  <c r="L66" i="7"/>
  <c r="N46" i="7"/>
  <c r="M44" i="7"/>
  <c r="N74" i="7"/>
  <c r="O12" i="7"/>
  <c r="O74" i="7"/>
  <c r="N67" i="7"/>
  <c r="L44" i="7"/>
  <c r="P68" i="7"/>
  <c r="N11" i="7"/>
  <c r="O11" i="7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6-01' and AsOf &gt;= '20070101' and AsOf not in (  '20090501','20090601', '20090701', '20070601', '20070701')Group by Asof order by asof desc"/>
  </connection>
  <connection id="2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3" name="NoLagNA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N/A') and AsOf &lt;= '2017-02-01' and AsOf &gt;= '20070101' and AsOf not in ( '20090601', '20090701')Group by Asof order by asof desc"/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2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7-02-01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,'WELLS FARGO','CITI','CHASE','BANK OF AMERICA','CWB','SUNTRUST','PNC','WACHOVIA') and rpb&gt;0 and collateralType = 'LOAN' and couponType = 'FIX' and AsOf &lt;= '2017-02-01' and AsOf &gt;= '20070101' Group by servicerName , asOf ) t where Rank &lt;= 10 order by asOf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NoLagTotal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7-02-01' and AsOf &gt;= '20070101' and AsOf not in (  '20090501','20090601', '20090701', '20070601', '20070701')Group by Asof order by asof desc"/>
  </connection>
  <connection id="11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<sst xmlns="http://schemas.openxmlformats.org/spreadsheetml/2006/main" count="2755" uniqueCount="170">
  <si>
    <t>servicerName</t>
  </si>
  <si>
    <t>asOf</t>
  </si>
  <si>
    <t>TotalBalance</t>
  </si>
  <si>
    <t>Rank</t>
  </si>
  <si>
    <t>PHH</t>
  </si>
  <si>
    <t>CWB</t>
  </si>
  <si>
    <t>US BANK</t>
  </si>
  <si>
    <t>OHIO SAVINGS BANK</t>
  </si>
  <si>
    <t>FLAGSTAR</t>
  </si>
  <si>
    <t>WACHOVIA</t>
  </si>
  <si>
    <t>WAMU</t>
  </si>
  <si>
    <t>FIRST BANK OF TENNESSEE</t>
  </si>
  <si>
    <t>EVERBANK</t>
  </si>
  <si>
    <t>PNC</t>
  </si>
  <si>
    <t>USAA</t>
  </si>
  <si>
    <t>AMERICAN HOME MORTGAGE CORPORATION</t>
  </si>
  <si>
    <t>ALLY</t>
  </si>
  <si>
    <t>INDYMAC BANK, FSB</t>
  </si>
  <si>
    <t>ABM</t>
  </si>
  <si>
    <t>FREEDOM</t>
  </si>
  <si>
    <t>REGIONS BANK</t>
  </si>
  <si>
    <t>IRWIN</t>
  </si>
  <si>
    <t>HSBC</t>
  </si>
  <si>
    <t>RED MORTGAGE CAPITAL, INC.</t>
  </si>
  <si>
    <t>ARBOR</t>
  </si>
  <si>
    <t>DB MORTGAGE SERVICES, LLC</t>
  </si>
  <si>
    <t>PRUDENTIAL MULTIFAMILY MORTGAGE INC.</t>
  </si>
  <si>
    <t>ARCS COMMERCIAL MORTGAGE COMPANY, L.P.</t>
  </si>
  <si>
    <t>GREEN PARK FINANCIAL LIMITED PARTNERSHIP</t>
  </si>
  <si>
    <t>CAPMARK FINANCE INC.</t>
  </si>
  <si>
    <t>SUNTRUST</t>
  </si>
  <si>
    <t>AMTRUST</t>
  </si>
  <si>
    <t>M &amp; T REALTY CAPITAL CORPORATION</t>
  </si>
  <si>
    <t>FIFTH THIRD</t>
  </si>
  <si>
    <t>RBS</t>
  </si>
  <si>
    <t>FANNIE MAE</t>
  </si>
  <si>
    <t>ASSOCIATED</t>
  </si>
  <si>
    <t>FREMONT BANK</t>
  </si>
  <si>
    <t>NY COMMUNITY</t>
  </si>
  <si>
    <t>WALKER&amp;DUNLOP</t>
  </si>
  <si>
    <t>THIRD FEDERAL</t>
  </si>
  <si>
    <t>TD BANK, N.A.</t>
  </si>
  <si>
    <t>QUICKEN</t>
  </si>
  <si>
    <t>BEECH STREET CAPITAL, LLC</t>
  </si>
  <si>
    <t>NYCB MORTGAGE COMPANY, LLC</t>
  </si>
  <si>
    <t>CHICAGO MORTGAGE SOLUTIONS DBA INTERBANK</t>
  </si>
  <si>
    <t>FRANKLIN AMERICAN MORTGAGE COMPANY</t>
  </si>
  <si>
    <t>NAVY FED</t>
  </si>
  <si>
    <t>PENNYMAC CORP.</t>
  </si>
  <si>
    <t>PROVIDENT FUNDING</t>
  </si>
  <si>
    <t>NATIONSTAR</t>
  </si>
  <si>
    <t>GREEN TREE SERVICING, LLC</t>
  </si>
  <si>
    <t>ROUNDPOINT MORTGAGE SERVICING CORPORATIO</t>
  </si>
  <si>
    <t>STEARNS LENDING, INC.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</si>
  <si>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</si>
  <si>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</si>
  <si>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</si>
  <si>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</si>
  <si>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</si>
  <si>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</si>
  <si>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</si>
  <si>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</si>
  <si>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</si>
  <si>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</si>
  <si>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</si>
  <si>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</si>
  <si>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</si>
  <si>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</si>
  <si>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</si>
  <si>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</si>
  <si>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</si>
  <si>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</si>
  <si>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</si>
  <si>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</si>
  <si>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</si>
  <si>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</si>
  <si>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</si>
  <si>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</si>
  <si>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</si>
  <si>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</si>
  <si>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</si>
  <si>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</si>
  <si>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</si>
  <si>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</si>
  <si>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</si>
  <si>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</si>
  <si>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</si>
  <si>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</si>
  <si>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</si>
  <si>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</si>
  <si>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</si>
  <si>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</si>
  <si>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</si>
  <si>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</si>
  <si>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</si>
  <si>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</si>
  <si>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</si>
  <si>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</si>
  <si>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</si>
  <si>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</si>
  <si>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</si>
  <si>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Top 10 Amount</t>
  </si>
  <si>
    <t>Top 5 Amount</t>
  </si>
  <si>
    <t>Top 1 Amount</t>
  </si>
  <si>
    <t>Remaining Amount</t>
  </si>
  <si>
    <t>N/A Amount</t>
  </si>
  <si>
    <t>NA</t>
  </si>
  <si>
    <t>Total Amount</t>
  </si>
  <si>
    <t>Change lag on</t>
  </si>
  <si>
    <t>PINGORA LOAN SERVICING, INC.</t>
  </si>
  <si>
    <t>Volume (M)</t>
  </si>
  <si>
    <t>S:\IT\Production\Daily Reports\Primary Market\tmp\</t>
  </si>
  <si>
    <t>Issue Month:</t>
  </si>
  <si>
    <t>Lag</t>
  </si>
  <si>
    <t>KEYCORP REAL ESTATE CAPITAL MARKETS, INC</t>
  </si>
  <si>
    <t>MANUFACTURERS AND TRADERS TRUST COMPANY</t>
  </si>
  <si>
    <t>THE BRANCH BANKING AND TRUST COMPANY</t>
  </si>
  <si>
    <t>WEBSTER BANK, N.A.</t>
  </si>
  <si>
    <t>PENNSYLVANIA HOUSING FINANCE AGENCY</t>
  </si>
  <si>
    <t>HUNTINGTON</t>
  </si>
  <si>
    <t>FEDERAL HOME LOAN BANK OF CHICAGO</t>
  </si>
  <si>
    <t>SOVEREIGN</t>
  </si>
  <si>
    <t>BANK OF THE WEST</t>
  </si>
  <si>
    <t>PENTAGON FEDERAL CREDIT UNION</t>
  </si>
  <si>
    <t>GREYSTONE</t>
  </si>
  <si>
    <t>GRANDBRIDGE REAL ESTATE CAPITAL LLC</t>
  </si>
  <si>
    <t>CWCAPITAL</t>
  </si>
  <si>
    <t>CENTERLINE MORTGAGE CAPITAL INC.</t>
  </si>
  <si>
    <t>OAK GROVE COMMERCIAL MORTGAGE, LLC</t>
  </si>
  <si>
    <t>CASHCALL, INC.</t>
  </si>
  <si>
    <t>HOMEWARD RESIDENTIAL, INC.</t>
  </si>
  <si>
    <t>AMERISAVE MORTGAGE CORPORATION</t>
  </si>
  <si>
    <t>STONEGATE MORTGAGE CORPORATION</t>
  </si>
  <si>
    <t>BERKADIA</t>
  </si>
  <si>
    <t>CALIBER HOME LOANS, INC.</t>
  </si>
  <si>
    <t>LOANDEPOT.COM, LLC</t>
  </si>
  <si>
    <t>CENDANT MORTGAGE CORPORATION DBA PHH MOR</t>
  </si>
  <si>
    <t>UNION PLANTERS BANK NA</t>
  </si>
  <si>
    <t>PRINCIPAL RESIDENTIAL MORTGAGE INC.</t>
  </si>
  <si>
    <t>LEHMAN BROTHERS HOLDINGS, INC.</t>
  </si>
  <si>
    <t>GREENPOINT MORTGAGE FUNDING, INC.</t>
  </si>
  <si>
    <t>BANCO POPULAR</t>
  </si>
  <si>
    <t>NETBANK FUNDING SERVICES</t>
  </si>
  <si>
    <t>CENTRAL MORTGAGE</t>
  </si>
  <si>
    <t>ONEWEST</t>
  </si>
  <si>
    <t>PROSPECT MORTGAGE, LLC</t>
  </si>
  <si>
    <t>GUARANTEED RATE, INC.</t>
  </si>
  <si>
    <t>MB FINANCIAL BANK, N.A.</t>
  </si>
  <si>
    <t>NEW CENTURY MORTGAGE CORPORATION</t>
  </si>
  <si>
    <t>COLLATERAL REAL ESTATE CAPITAL, LLC</t>
  </si>
  <si>
    <t>BOEING EMPLOYEES CREDIT UNION</t>
  </si>
  <si>
    <t>PNC ARCS LLC</t>
  </si>
  <si>
    <t>PULTE MORTGAGE, L.L.C.</t>
  </si>
  <si>
    <t>CTX MORTGAGE COMPANY, LLC</t>
  </si>
  <si>
    <t>SALEM FIVE MORTGAGE COMPANY, LLC</t>
  </si>
  <si>
    <t>COLONIAL SAVINGS FA</t>
  </si>
  <si>
    <t>STEARNS LENDING, LLC</t>
  </si>
  <si>
    <t>UNITED SHORE FINANCIAL SERVICES, LLC</t>
  </si>
  <si>
    <t>BERKELEY POINT CAPITAL LLC</t>
  </si>
  <si>
    <t>SENECA MORTGAGE SERVICING LLC</t>
  </si>
  <si>
    <t>IMPAC MORTGAGE CORP.</t>
  </si>
  <si>
    <t>KEYBANK NATIONAL ASSOCIATION</t>
  </si>
  <si>
    <t>COMPASS BANK</t>
  </si>
  <si>
    <t>DITECH FINANCIAL LLC</t>
  </si>
  <si>
    <t>GUILD</t>
  </si>
  <si>
    <t>MATRIX FINANCIAL SERVICES CORPORATION</t>
  </si>
  <si>
    <t>HOMESTREET BANK</t>
  </si>
  <si>
    <t>LAKEVIEW LOAN SERVICING, LLC</t>
  </si>
  <si>
    <t>NEW RESIDENTIAL MORTGAGE LLC</t>
  </si>
  <si>
    <t>FANNIE MAE/SETERUS, INC. AS SUBSERVICER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</si>
</sst>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  <numFmt numFmtId="196" formatCode="&quot;$&quot;#,##0"/>
    <numFmt numFmtId="197" formatCode="yyyy\-mm"/>
  </numFmts>
  <fonts count="1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scheme val="minor"/>
    </font>
    <font>
      <sz val="10"/>
      <name val="Calibri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" fillId="6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2" borderId="0" applyNumberFormat="0" applyBorder="0" applyAlignment="0" applyProtection="0"/>
    <xf numFmtId="0" fontId="14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0" borderId="0" applyNumberFormat="0" applyBorder="0" applyAlignment="0" applyProtection="0"/>
    <xf numFmtId="0" fontId="14" fillId="20" borderId="0" applyNumberFormat="0" applyBorder="0" applyAlignment="0" applyProtection="0"/>
    <xf numFmtId="0" fontId="12" fillId="11" borderId="0" applyNumberFormat="0" applyBorder="0" applyAlignment="0" applyProtection="0"/>
    <xf numFmtId="0" fontId="13" fillId="14" borderId="0" applyNumberFormat="0" applyBorder="0" applyAlignment="0" applyProtection="0"/>
    <xf numFmtId="0" fontId="14" fillId="21" borderId="0" applyNumberFormat="0" applyBorder="0" applyAlignment="0" applyProtection="0"/>
    <xf numFmtId="0" fontId="12" fillId="17" borderId="0" applyNumberFormat="0" applyBorder="0" applyAlignment="0" applyProtection="0"/>
    <xf numFmtId="0" fontId="13" fillId="22" borderId="0" applyNumberFormat="0" applyBorder="0" applyAlignment="0" applyProtection="0"/>
    <xf numFmtId="0" fontId="14" fillId="14" borderId="0" applyNumberFormat="0" applyBorder="0" applyAlignment="0" applyProtection="0"/>
    <xf numFmtId="0" fontId="12" fillId="19" borderId="0" applyNumberFormat="0" applyBorder="0" applyAlignment="0" applyProtection="0"/>
    <xf numFmtId="0" fontId="13" fillId="16" borderId="0" applyNumberFormat="0" applyBorder="0" applyAlignment="0" applyProtection="0"/>
    <xf numFmtId="0" fontId="14" fillId="19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0" borderId="0" applyNumberFormat="0" applyBorder="0" applyAlignment="0" applyProtection="0"/>
    <xf numFmtId="0" fontId="16" fillId="20" borderId="0" applyNumberFormat="0" applyBorder="0" applyAlignment="0" applyProtection="0"/>
    <xf numFmtId="0" fontId="17" fillId="20" borderId="0" applyNumberFormat="0" applyBorder="0" applyAlignment="0" applyProtection="0"/>
    <xf numFmtId="0" fontId="15" fillId="11" borderId="0" applyNumberFormat="0" applyBorder="0" applyAlignment="0" applyProtection="0"/>
    <xf numFmtId="0" fontId="16" fillId="14" borderId="0" applyNumberFormat="0" applyBorder="0" applyAlignment="0" applyProtection="0"/>
    <xf numFmtId="0" fontId="17" fillId="21" borderId="0" applyNumberFormat="0" applyBorder="0" applyAlignment="0" applyProtection="0"/>
    <xf numFmtId="0" fontId="15" fillId="17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4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29" borderId="0" applyNumberFormat="0" applyBorder="0" applyAlignment="0" applyProtection="0"/>
    <xf numFmtId="0" fontId="15" fillId="24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7" fillId="32" borderId="0" applyNumberFormat="0" applyBorder="0" applyAlignment="0" applyProtection="0"/>
    <xf numFmtId="0" fontId="15" fillId="34" borderId="0" applyNumberFormat="0" applyBorder="0" applyAlignment="0" applyProtection="0"/>
    <xf numFmtId="0" fontId="16" fillId="33" borderId="0" applyNumberFormat="0" applyBorder="0" applyAlignment="0" applyProtection="0"/>
    <xf numFmtId="0" fontId="17" fillId="34" borderId="0" applyNumberFormat="0" applyBorder="0" applyAlignment="0" applyProtection="0"/>
    <xf numFmtId="0" fontId="15" fillId="30" borderId="0" applyNumberFormat="0" applyBorder="0" applyAlignment="0" applyProtection="0"/>
    <xf numFmtId="0" fontId="16" fillId="30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34" borderId="0" applyNumberFormat="0" applyBorder="0" applyAlignment="0" applyProtection="0"/>
    <xf numFmtId="0" fontId="17" fillId="24" borderId="0" applyNumberFormat="0" applyBorder="0" applyAlignment="0" applyProtection="0"/>
    <xf numFmtId="0" fontId="15" fillId="35" borderId="0" applyNumberFormat="0" applyBorder="0" applyAlignment="0" applyProtection="0"/>
    <xf numFmtId="0" fontId="16" fillId="35" borderId="0" applyNumberFormat="0" applyBorder="0" applyAlignment="0" applyProtection="0"/>
    <xf numFmtId="0" fontId="17" fillId="35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20" fillId="10" borderId="0" applyNumberFormat="0" applyBorder="0" applyAlignment="0" applyProtection="0"/>
    <xf numFmtId="38" fontId="21" fillId="13" borderId="0"/>
    <xf numFmtId="0" fontId="22" fillId="0" borderId="0" applyNumberFormat="0" applyFill="0" applyBorder="0" applyAlignment="0" applyProtection="0"/>
    <xf numFmtId="0" fontId="23" fillId="36" borderId="0">
      <alignment horizontal="left"/>
    </xf>
    <xf numFmtId="2" fontId="24" fillId="37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8" borderId="0"/>
    <xf numFmtId="168" fontId="11" fillId="0" borderId="0" applyFont="0" applyFill="0" applyBorder="0" applyAlignment="0" applyProtection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10" fillId="0" borderId="0" applyFill="0" applyBorder="0" applyAlignment="0"/>
    <xf numFmtId="169" fontId="28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17" borderId="7" applyNumberFormat="0" applyAlignment="0" applyProtection="0"/>
    <xf numFmtId="0" fontId="32" fillId="39" borderId="8" applyNumberFormat="0"/>
    <xf numFmtId="0" fontId="33" fillId="40" borderId="9" applyBorder="0">
      <alignment horizontal="center" wrapText="1"/>
    </xf>
    <xf numFmtId="0" fontId="33" fillId="41" borderId="9" applyBorder="0">
      <alignment horizontal="center" wrapText="1"/>
    </xf>
    <xf numFmtId="0" fontId="34" fillId="42" borderId="8" applyNumberFormat="0"/>
    <xf numFmtId="0" fontId="35" fillId="43" borderId="8" applyNumberFormat="0"/>
    <xf numFmtId="0" fontId="3" fillId="43" borderId="8" applyNumberFormat="0"/>
    <xf numFmtId="0" fontId="34" fillId="42" borderId="8" applyNumberFormat="0"/>
    <xf numFmtId="0" fontId="35" fillId="42" borderId="8" applyNumberFormat="0"/>
    <xf numFmtId="0" fontId="34" fillId="39" borderId="8" applyNumberFormat="0"/>
    <xf numFmtId="0" fontId="32" fillId="39" borderId="8" applyNumberFormat="0"/>
    <xf numFmtId="0" fontId="5" fillId="6" borderId="4" applyNumberFormat="0" applyBorder="0"/>
    <xf numFmtId="0" fontId="5" fillId="6" borderId="4" applyNumberFormat="0" applyBorder="0"/>
    <xf numFmtId="0" fontId="5" fillId="6" borderId="4" applyNumberFormat="0"/>
    <xf numFmtId="0" fontId="5" fillId="6" borderId="4" applyNumberFormat="0" applyBorder="0"/>
    <xf numFmtId="14" fontId="36" fillId="42" borderId="10" applyNumberFormat="0" applyAlignment="0"/>
    <xf numFmtId="14" fontId="36" fillId="43" borderId="10" applyNumberFormat="0" applyAlignment="0"/>
    <xf numFmtId="14" fontId="37" fillId="43" borderId="10" applyNumberFormat="0" applyAlignment="0"/>
    <xf numFmtId="0" fontId="38" fillId="44" borderId="11" applyNumberFormat="0" applyAlignment="0" applyProtection="0"/>
    <xf numFmtId="0" fontId="39" fillId="44" borderId="11" applyNumberFormat="0" applyAlignment="0" applyProtection="0"/>
    <xf numFmtId="0" fontId="40" fillId="44" borderId="11" applyNumberFormat="0" applyAlignment="0" applyProtection="0"/>
    <xf numFmtId="0" fontId="41" fillId="0" borderId="0" applyNumberFormat="0" applyFill="0" applyBorder="0" applyAlignment="0" applyProtection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70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4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5" fontId="10" fillId="0" borderId="0" applyFont="0" applyFill="0" applyBorder="0" applyProtection="0"/>
    <xf numFmtId="176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5" fontId="13" fillId="13" borderId="0"/>
    <xf numFmtId="14" fontId="13" fillId="0" borderId="0" applyFill="0" applyBorder="0" applyAlignment="0"/>
    <xf numFmtId="0" fontId="46" fillId="37" borderId="0">
      <alignment horizontal="left"/>
    </xf>
    <xf numFmtId="177" fontId="10" fillId="0" borderId="0" applyFill="0" applyBorder="0" applyAlignment="0" applyProtection="0"/>
    <xf numFmtId="14" fontId="10" fillId="0" borderId="0"/>
    <xf numFmtId="0" fontId="49" fillId="20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8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9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80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1" fontId="10" fillId="0" borderId="0" applyFont="0" applyFill="0" applyBorder="0" applyAlignment="0" applyProtection="0"/>
    <xf numFmtId="0" fontId="13" fillId="13" borderId="0"/>
    <xf numFmtId="0" fontId="57" fillId="12" borderId="0" applyNumberFormat="0" applyBorder="0" applyAlignment="0" applyProtection="0"/>
    <xf numFmtId="0" fontId="58" fillId="16" borderId="0" applyNumberFormat="0" applyBorder="0" applyAlignment="0" applyProtection="0"/>
    <xf numFmtId="0" fontId="59" fillId="12" borderId="0" applyNumberFormat="0" applyBorder="0" applyAlignment="0" applyProtection="0"/>
    <xf numFmtId="2" fontId="60" fillId="37" borderId="6" applyProtection="0">
      <alignment horizontal="left"/>
      <protection locked="0"/>
    </xf>
    <xf numFmtId="38" fontId="41" fillId="45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7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3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6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3" borderId="1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5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3" borderId="0"/>
    <xf numFmtId="0" fontId="83" fillId="9" borderId="0" applyNumberFormat="0" applyBorder="0" applyAlignment="0" applyProtection="0"/>
    <xf numFmtId="0" fontId="84" fillId="14" borderId="0" applyNumberFormat="0" applyBorder="0" applyAlignment="0" applyProtection="0"/>
    <xf numFmtId="0" fontId="85" fillId="38" borderId="0" applyNumberFormat="0" applyBorder="0" applyAlignment="0" applyProtection="0"/>
    <xf numFmtId="37" fontId="86" fillId="0" borderId="0"/>
    <xf numFmtId="0" fontId="49" fillId="13" borderId="0" applyNumberFormat="0" applyFont="0" applyFill="0" applyBorder="0" applyAlignment="0"/>
    <xf numFmtId="10" fontId="13" fillId="13" borderId="0"/>
    <xf numFmtId="182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3" borderId="0"/>
    <xf numFmtId="0" fontId="10" fillId="43" borderId="0"/>
    <xf numFmtId="0" fontId="10" fillId="0" borderId="0"/>
    <xf numFmtId="0" fontId="10" fillId="0" borderId="0"/>
    <xf numFmtId="0" fontId="34" fillId="42" borderId="0"/>
    <xf numFmtId="0" fontId="34" fillId="42" borderId="0"/>
    <xf numFmtId="0" fontId="34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34" fillId="42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4" borderId="2" applyNumberFormat="0" applyFont="0" applyAlignment="0" applyProtection="0"/>
    <xf numFmtId="0" fontId="13" fillId="11" borderId="26" applyNumberFormat="0" applyFont="0" applyAlignment="0" applyProtection="0"/>
    <xf numFmtId="0" fontId="89" fillId="11" borderId="26" applyNumberFormat="0" applyFont="0" applyAlignment="0" applyProtection="0"/>
    <xf numFmtId="0" fontId="34" fillId="4" borderId="2" applyNumberFormat="0" applyFont="0" applyAlignment="0" applyProtection="0"/>
    <xf numFmtId="0" fontId="90" fillId="0" borderId="0"/>
    <xf numFmtId="0" fontId="14" fillId="11" borderId="26" applyNumberFormat="0" applyFont="0" applyAlignment="0" applyProtection="0"/>
    <xf numFmtId="0" fontId="34" fillId="4" borderId="2" applyNumberFormat="0" applyFont="0" applyAlignment="0" applyProtection="0"/>
    <xf numFmtId="0" fontId="34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183" fontId="27" fillId="0" borderId="0">
      <alignment horizontal="center"/>
    </xf>
    <xf numFmtId="37" fontId="10" fillId="0" borderId="0"/>
    <xf numFmtId="184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5" fontId="91" fillId="0" borderId="0" applyNumberFormat="0" applyFill="0" applyBorder="0" applyAlignment="0" applyProtection="0"/>
    <xf numFmtId="165" fontId="27" fillId="0" borderId="0">
      <alignment horizontal="center"/>
    </xf>
    <xf numFmtId="0" fontId="34" fillId="7" borderId="0" applyNumberFormat="0" applyFont="0" applyBorder="0" applyAlignment="0" applyProtection="0"/>
    <xf numFmtId="0" fontId="91" fillId="0" borderId="27"/>
    <xf numFmtId="2" fontId="92" fillId="37" borderId="6">
      <alignment horizontal="left"/>
    </xf>
    <xf numFmtId="0" fontId="93" fillId="13" borderId="28" applyNumberFormat="0" applyAlignment="0" applyProtection="0"/>
    <xf numFmtId="0" fontId="94" fillId="15" borderId="28" applyNumberFormat="0" applyAlignment="0" applyProtection="0"/>
    <xf numFmtId="0" fontId="95" fillId="17" borderId="28" applyNumberFormat="0" applyAlignment="0" applyProtection="0"/>
    <xf numFmtId="40" fontId="13" fillId="37" borderId="0">
      <alignment horizontal="right"/>
    </xf>
    <xf numFmtId="0" fontId="96" fillId="46" borderId="0">
      <alignment horizontal="center"/>
    </xf>
    <xf numFmtId="0" fontId="39" fillId="47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6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187" fontId="27" fillId="0" borderId="0">
      <alignment horizontal="center"/>
    </xf>
    <xf numFmtId="188" fontId="27" fillId="0" borderId="3">
      <alignment horizontal="center"/>
    </xf>
    <xf numFmtId="0" fontId="100" fillId="0" borderId="29" applyAlignment="0">
      <alignment horizontal="center"/>
    </xf>
    <xf numFmtId="0" fontId="101" fillId="45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9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90" fontId="103" fillId="0" borderId="0" applyNumberFormat="0" applyFill="0" applyBorder="0" applyAlignment="0" applyProtection="0">
      <alignment horizontal="left"/>
    </xf>
    <xf numFmtId="0" fontId="49" fillId="34" borderId="0">
      <alignment horizontal="left"/>
    </xf>
    <xf numFmtId="0" fontId="104" fillId="0" borderId="31"/>
    <xf numFmtId="188" fontId="24" fillId="11" borderId="0">
      <alignment horizontal="center"/>
    </xf>
    <xf numFmtId="188" fontId="105" fillId="11" borderId="0">
      <alignment horizontal="center"/>
    </xf>
    <xf numFmtId="188" fontId="24" fillId="12" borderId="0">
      <alignment horizontal="center"/>
    </xf>
    <xf numFmtId="0" fontId="24" fillId="11" borderId="0">
      <alignment horizontal="left"/>
    </xf>
    <xf numFmtId="0" fontId="106" fillId="0" borderId="0" applyFont="0" applyFill="0" applyBorder="0" applyAlignment="0" applyProtection="0"/>
    <xf numFmtId="191" fontId="28" fillId="0" borderId="0" applyFont="0" applyFill="0" applyBorder="0" applyAlignment="0" applyProtection="0"/>
    <xf numFmtId="192" fontId="10" fillId="0" borderId="0"/>
    <xf numFmtId="0" fontId="10" fillId="0" borderId="0"/>
    <xf numFmtId="0" fontId="10" fillId="0" borderId="0">
      <alignment horizontal="left" wrapText="1"/>
    </xf>
    <xf numFmtId="0" fontId="24" fillId="11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7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3" fontId="27" fillId="0" borderId="0">
      <alignment horizontal="center"/>
    </xf>
    <xf numFmtId="188" fontId="27" fillId="0" borderId="0">
      <alignment horizontal="center"/>
    </xf>
    <xf numFmtId="0" fontId="110" fillId="48" borderId="0"/>
    <xf numFmtId="194" fontId="27" fillId="0" borderId="0">
      <alignment horizontal="center"/>
    </xf>
    <xf numFmtId="194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3" borderId="0"/>
    <xf numFmtId="49" fontId="13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3" borderId="0"/>
    <xf numFmtId="0" fontId="34" fillId="49" borderId="33" applyBorder="0">
      <alignment horizontal="center" wrapText="1"/>
    </xf>
    <xf numFmtId="0" fontId="33" fillId="40" borderId="9" applyBorder="0">
      <alignment horizontal="center" wrapText="1"/>
    </xf>
    <xf numFmtId="0" fontId="34" fillId="50" borderId="9" applyBorder="0">
      <alignment horizontal="center" wrapText="1"/>
    </xf>
    <xf numFmtId="0" fontId="33" fillId="41" borderId="9" applyBorder="0">
      <alignment horizontal="center" wrapText="1"/>
    </xf>
    <xf numFmtId="0" fontId="7" fillId="51" borderId="9" applyBorder="0">
      <alignment horizontal="center" wrapText="1"/>
    </xf>
    <xf numFmtId="0" fontId="33" fillId="52" borderId="9" applyBorder="0">
      <alignment horizontal="center" wrapText="1"/>
    </xf>
    <xf numFmtId="0" fontId="33" fillId="52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3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2" borderId="10"/>
    <xf numFmtId="1" fontId="124" fillId="43" borderId="10"/>
    <xf numFmtId="2" fontId="125" fillId="43" borderId="10"/>
    <xf numFmtId="0" fontId="126" fillId="42" borderId="4" applyNumberFormat="0" applyAlignment="0"/>
    <xf numFmtId="0" fontId="127" fillId="43" borderId="4" applyNumberFormat="0" applyAlignment="0"/>
    <xf numFmtId="1" fontId="128" fillId="43" borderId="10" applyNumberFormat="0"/>
    <xf numFmtId="178" fontId="129" fillId="43" borderId="10" applyNumberFormat="0"/>
    <xf numFmtId="0" fontId="10" fillId="0" borderId="0"/>
  </cellStyleXfs>
  <cellXfs count="63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0" fontId="4" fillId="0" borderId="3" xfId="0" applyFont="1" applyBorder="1"/>
    <xf numFmtId="0" fontId="5" fillId="6" borderId="3" xfId="4" applyFont="1" applyBorder="1" applyAlignment="1">
      <alignment horizontal="center"/>
    </xf>
    <xf numFmtId="14" fontId="5" fillId="6" borderId="3" xfId="4" applyNumberFormat="1" applyFont="1" applyBorder="1"/>
    <xf numFmtId="0" fontId="6" fillId="0" borderId="0" xfId="0" applyFont="1"/>
    <xf numFmtId="0" fontId="34" fillId="42" borderId="0" xfId="353" applyFont="1"/>
    <xf numFmtId="0" fontId="7" fillId="0" borderId="0" xfId="0" applyFont="1"/>
    <xf numFmtId="44" fontId="0" fillId="0" borderId="0" xfId="3" applyFont="1"/>
    <xf numFmtId="44" fontId="0" fillId="0" borderId="0" xfId="0" applyNumberFormat="1"/>
    <xf numFmtId="165" fontId="8" fillId="8" borderId="38" xfId="0" applyNumberFormat="1" applyFont="1" applyFill="1" applyBorder="1" applyAlignment="1">
      <alignment horizontal="left"/>
    </xf>
    <xf numFmtId="165" fontId="8" fillId="8" borderId="38" xfId="0" applyNumberFormat="1" applyFont="1" applyFill="1" applyBorder="1" applyAlignment="1">
      <alignment horizontal="center"/>
    </xf>
    <xf numFmtId="165" fontId="8" fillId="8" borderId="39" xfId="0" applyNumberFormat="1" applyFont="1" applyFill="1" applyBorder="1" applyAlignment="1">
      <alignment horizontal="center"/>
    </xf>
    <xf numFmtId="165" fontId="7" fillId="0" borderId="38" xfId="2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5" fontId="7" fillId="0" borderId="39" xfId="2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5" applyFont="1"/>
    <xf numFmtId="0" fontId="130" fillId="0" borderId="0" xfId="5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5" fontId="4" fillId="0" borderId="38" xfId="2" applyNumberFormat="1" applyFont="1" applyBorder="1" applyAlignment="1">
      <alignment horizontal="center"/>
    </xf>
    <xf numFmtId="165" fontId="7" fillId="0" borderId="0" xfId="2" applyNumberFormat="1" applyFont="1" applyBorder="1" applyAlignment="1">
      <alignment horizontal="left"/>
    </xf>
    <xf numFmtId="195" fontId="4" fillId="0" borderId="0" xfId="2" applyNumberFormat="1" applyFont="1" applyBorder="1" applyAlignment="1">
      <alignment horizontal="center"/>
    </xf>
    <xf numFmtId="195" fontId="7" fillId="0" borderId="0" xfId="2" applyNumberFormat="1" applyFont="1" applyBorder="1" applyAlignment="1">
      <alignment horizontal="center"/>
    </xf>
    <xf numFmtId="14" fontId="7" fillId="0" borderId="0" xfId="0" applyNumberFormat="1" applyFont="1"/>
    <xf numFmtId="0" fontId="5" fillId="6" borderId="3" xfId="4" applyFont="1" applyBorder="1" applyAlignment="1">
      <alignment horizontal="left"/>
    </xf>
    <xf numFmtId="0" fontId="7" fillId="0" borderId="0" xfId="0" applyNumberFormat="1" applyFont="1"/>
    <xf numFmtId="9" fontId="7" fillId="0" borderId="0" xfId="2" applyFont="1"/>
    <xf numFmtId="195" fontId="7" fillId="0" borderId="0" xfId="2" applyNumberFormat="1" applyFont="1"/>
    <xf numFmtId="0" fontId="131" fillId="0" borderId="0" xfId="2" applyNumberFormat="1" applyFont="1"/>
    <xf numFmtId="0" fontId="7" fillId="0" borderId="0" xfId="2" applyNumberFormat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5" fontId="7" fillId="0" borderId="41" xfId="2" applyNumberFormat="1" applyFont="1" applyBorder="1" applyAlignment="1">
      <alignment horizontal="center"/>
    </xf>
    <xf numFmtId="196" fontId="7" fillId="0" borderId="42" xfId="2" applyNumberFormat="1" applyFont="1" applyBorder="1" applyAlignment="1">
      <alignment horizontal="center"/>
    </xf>
    <xf numFmtId="196" fontId="7" fillId="0" borderId="42" xfId="0" applyNumberFormat="1" applyFont="1" applyBorder="1" applyAlignment="1">
      <alignment horizontal="center"/>
    </xf>
    <xf numFmtId="0" fontId="132" fillId="0" borderId="0" xfId="0" applyFont="1" applyAlignment="1">
      <alignment horizontal="right"/>
    </xf>
    <xf numFmtId="197" fontId="132" fillId="0" borderId="0" xfId="0" applyNumberFormat="1" applyFont="1" applyAlignment="1">
      <alignment horizontal="left"/>
    </xf>
    <xf numFmtId="43" fontId="0" fillId="0" borderId="0" xfId="0" applyNumberFormat="1"/>
    <xf numFmtId="14" fontId="133" fillId="0" borderId="0" xfId="0" applyNumberFormat="1" applyFont="1"/>
    <xf numFmtId="0" fontId="134" fillId="42" borderId="0" xfId="353" applyFont="1"/>
    <xf numFmtId="0" fontId="133" fillId="0" borderId="0" xfId="0" applyNumberFormat="1" applyFont="1"/>
    <xf numFmtId="9" fontId="133" fillId="0" borderId="0" xfId="2" applyFont="1"/>
    <xf numFmtId="0" fontId="133" fillId="0" borderId="0" xfId="2" applyNumberFormat="1" applyFont="1"/>
    <xf numFmtId="14" fontId="135" fillId="0" borderId="0" xfId="0" applyNumberFormat="1" applyFont="1"/>
    <xf numFmtId="0" fontId="136" fillId="42" borderId="0" xfId="353" applyFont="1"/>
    <xf numFmtId="0" fontId="135" fillId="0" borderId="0" xfId="0" applyNumberFormat="1" applyFont="1"/>
    <xf numFmtId="9" fontId="135" fillId="0" borderId="0" xfId="2" applyFont="1"/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4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 Combine'!$D$4:$D$100</c:f>
              <c:numCache>
                <c:formatCode>General</c:formatCode>
                <c:ptCount val="97"/>
                <c:pt idx="0">
                  <c:v>46670102078.379997</c:v>
                </c:pt>
                <c:pt idx="1">
                  <c:v>44756506739.489998</c:v>
                </c:pt>
                <c:pt idx="2">
                  <c:v>51182654442.220001</c:v>
                </c:pt>
                <c:pt idx="3">
                  <c:v>44361653084.169998</c:v>
                </c:pt>
                <c:pt idx="4">
                  <c:v>36583983679.550003</c:v>
                </c:pt>
                <c:pt idx="5">
                  <c:v>36980630899.18</c:v>
                </c:pt>
                <c:pt idx="6">
                  <c:v>44253011751.110001</c:v>
                </c:pt>
                <c:pt idx="7">
                  <c:v>32492729674.279999</c:v>
                </c:pt>
                <c:pt idx="8">
                  <c:v>40323740351.139999</c:v>
                </c:pt>
                <c:pt idx="9">
                  <c:v>40347506692.199997</c:v>
                </c:pt>
                <c:pt idx="10">
                  <c:v>34332054961.080002</c:v>
                </c:pt>
                <c:pt idx="11">
                  <c:v>36447478522.989998</c:v>
                </c:pt>
                <c:pt idx="12">
                  <c:v>31582304306.349998</c:v>
                </c:pt>
                <c:pt idx="13">
                  <c:v>27487631130.209999</c:v>
                </c:pt>
                <c:pt idx="14">
                  <c:v>27198516722.27</c:v>
                </c:pt>
                <c:pt idx="15">
                  <c:v>23463509422.790001</c:v>
                </c:pt>
                <c:pt idx="16">
                  <c:v>27585216807.849998</c:v>
                </c:pt>
                <c:pt idx="17">
                  <c:v>28108964119.139999</c:v>
                </c:pt>
                <c:pt idx="18">
                  <c:v>37790142776.290001</c:v>
                </c:pt>
                <c:pt idx="19">
                  <c:v>38757040631.290001</c:v>
                </c:pt>
                <c:pt idx="20">
                  <c:v>47175834172.419998</c:v>
                </c:pt>
                <c:pt idx="21">
                  <c:v>52117579911.449997</c:v>
                </c:pt>
                <c:pt idx="22">
                  <c:v>65043206114.970001</c:v>
                </c:pt>
                <c:pt idx="23">
                  <c:v>71866974614.360001</c:v>
                </c:pt>
                <c:pt idx="24">
                  <c:v>66542000148.940002</c:v>
                </c:pt>
                <c:pt idx="25">
                  <c:v>73509211252.020004</c:v>
                </c:pt>
                <c:pt idx="26">
                  <c:v>73548428684.190002</c:v>
                </c:pt>
                <c:pt idx="27">
                  <c:v>66573031434.919998</c:v>
                </c:pt>
                <c:pt idx="28">
                  <c:v>77430427923.440002</c:v>
                </c:pt>
                <c:pt idx="29">
                  <c:v>85482757320.820007</c:v>
                </c:pt>
                <c:pt idx="30">
                  <c:v>66763638723.230003</c:v>
                </c:pt>
                <c:pt idx="31">
                  <c:v>107252324964.50999</c:v>
                </c:pt>
                <c:pt idx="32">
                  <c:v>61818801001.650002</c:v>
                </c:pt>
                <c:pt idx="33">
                  <c:v>84049356738.059998</c:v>
                </c:pt>
                <c:pt idx="34">
                  <c:v>80246484071.139999</c:v>
                </c:pt>
                <c:pt idx="35">
                  <c:v>71798949000.600006</c:v>
                </c:pt>
                <c:pt idx="36">
                  <c:v>65107512378.209999</c:v>
                </c:pt>
                <c:pt idx="37">
                  <c:v>66663158668.949997</c:v>
                </c:pt>
                <c:pt idx="38">
                  <c:v>48073485668.580002</c:v>
                </c:pt>
                <c:pt idx="39">
                  <c:v>86317495811.419998</c:v>
                </c:pt>
                <c:pt idx="40">
                  <c:v>56063681559.919998</c:v>
                </c:pt>
                <c:pt idx="41">
                  <c:v>58331372757.360001</c:v>
                </c:pt>
                <c:pt idx="42">
                  <c:v>73851865080.610001</c:v>
                </c:pt>
                <c:pt idx="43">
                  <c:v>62641454659.599998</c:v>
                </c:pt>
                <c:pt idx="44">
                  <c:v>51265734201.440002</c:v>
                </c:pt>
                <c:pt idx="45">
                  <c:v>45345536322.599998</c:v>
                </c:pt>
                <c:pt idx="46">
                  <c:v>38171516998.550003</c:v>
                </c:pt>
                <c:pt idx="47">
                  <c:v>30621365146.98</c:v>
                </c:pt>
                <c:pt idx="48">
                  <c:v>34031377587.419998</c:v>
                </c:pt>
                <c:pt idx="49">
                  <c:v>30964833391.43</c:v>
                </c:pt>
                <c:pt idx="50">
                  <c:v>33088841042.959999</c:v>
                </c:pt>
                <c:pt idx="51">
                  <c:v>52478992160.580002</c:v>
                </c:pt>
                <c:pt idx="52">
                  <c:v>51211208108.309998</c:v>
                </c:pt>
                <c:pt idx="53">
                  <c:v>66493575674.870003</c:v>
                </c:pt>
                <c:pt idx="54">
                  <c:v>81193901238.820007</c:v>
                </c:pt>
                <c:pt idx="55">
                  <c:v>71397253151.929993</c:v>
                </c:pt>
                <c:pt idx="56">
                  <c:v>68963882096.149994</c:v>
                </c:pt>
                <c:pt idx="57">
                  <c:v>69384338986.350006</c:v>
                </c:pt>
                <c:pt idx="58">
                  <c:v>46909004959.040001</c:v>
                </c:pt>
                <c:pt idx="59">
                  <c:v>40829244339.580002</c:v>
                </c:pt>
                <c:pt idx="60">
                  <c:v>37643702495.970001</c:v>
                </c:pt>
                <c:pt idx="61">
                  <c:v>36336611081.309998</c:v>
                </c:pt>
                <c:pt idx="62">
                  <c:v>36544416365.050003</c:v>
                </c:pt>
                <c:pt idx="63">
                  <c:v>36714521904.68</c:v>
                </c:pt>
                <c:pt idx="64">
                  <c:v>43331380880.580002</c:v>
                </c:pt>
                <c:pt idx="65">
                  <c:v>41171224451.529999</c:v>
                </c:pt>
                <c:pt idx="66">
                  <c:v>49380885366.279999</c:v>
                </c:pt>
                <c:pt idx="67">
                  <c:v>39630338873.360001</c:v>
                </c:pt>
                <c:pt idx="68">
                  <c:v>40018067422.019997</c:v>
                </c:pt>
                <c:pt idx="69">
                  <c:v>58721966516.220001</c:v>
                </c:pt>
                <c:pt idx="70">
                  <c:v>62725888062.300003</c:v>
                </c:pt>
                <c:pt idx="71">
                  <c:v>58732734355.699997</c:v>
                </c:pt>
                <c:pt idx="72">
                  <c:v>91030919352.979996</c:v>
                </c:pt>
                <c:pt idx="73">
                  <c:v>47498482306.410004</c:v>
                </c:pt>
                <c:pt idx="74">
                  <c:v>26074589597.5</c:v>
                </c:pt>
                <c:pt idx="75">
                  <c:v>41233749209.5</c:v>
                </c:pt>
                <c:pt idx="76">
                  <c:v>27385866902.009998</c:v>
                </c:pt>
                <c:pt idx="77">
                  <c:v>32554558169.93</c:v>
                </c:pt>
                <c:pt idx="78">
                  <c:v>41506327516.75</c:v>
                </c:pt>
                <c:pt idx="79">
                  <c:v>33987473164.599998</c:v>
                </c:pt>
                <c:pt idx="80">
                  <c:v>39254673980.809998</c:v>
                </c:pt>
                <c:pt idx="81">
                  <c:v>54754255797.940002</c:v>
                </c:pt>
                <c:pt idx="82">
                  <c:v>67752280712.029999</c:v>
                </c:pt>
                <c:pt idx="83">
                  <c:v>61021756747.739998</c:v>
                </c:pt>
                <c:pt idx="84">
                  <c:v>54036130386.260002</c:v>
                </c:pt>
                <c:pt idx="85">
                  <c:v>76264291344.479996</c:v>
                </c:pt>
                <c:pt idx="86">
                  <c:v>55380966103.379997</c:v>
                </c:pt>
                <c:pt idx="87">
                  <c:v>70720993110.179993</c:v>
                </c:pt>
                <c:pt idx="88">
                  <c:v>56318004683</c:v>
                </c:pt>
                <c:pt idx="89">
                  <c:v>53589853815.260002</c:v>
                </c:pt>
                <c:pt idx="90">
                  <c:v>59519283040.339996</c:v>
                </c:pt>
                <c:pt idx="91">
                  <c:v>55852222730.150002</c:v>
                </c:pt>
                <c:pt idx="92">
                  <c:v>58241869995.239998</c:v>
                </c:pt>
                <c:pt idx="93">
                  <c:v>51130390876.290001</c:v>
                </c:pt>
                <c:pt idx="94">
                  <c:v>47629783273.940002</c:v>
                </c:pt>
                <c:pt idx="95">
                  <c:v>46067240921.730003</c:v>
                </c:pt>
                <c:pt idx="96">
                  <c:v>49068464062.099998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309568"/>
        <c:axId val="389302912"/>
      </c:barChart>
      <c:lineChart>
        <c:grouping val="standard"/>
        <c:varyColors val="0"/>
        <c:ser>
          <c:idx val="0"/>
          <c:order val="0"/>
          <c:tx>
            <c:strRef>
              <c:f>'Result Combine'!$J$3</c:f>
              <c:strCache>
                <c:ptCount val="1"/>
                <c:pt idx="0">
                  <c:v>Top 10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'Result Combine'!$C$4:$C$100</c:f>
              <c:numCache>
                <c:formatCode>m/d/yyyy</c:formatCode>
                <c:ptCount val="97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39904</c:v>
                </c:pt>
                <c:pt idx="72">
                  <c:v>39873</c:v>
                </c:pt>
                <c:pt idx="73">
                  <c:v>39845</c:v>
                </c:pt>
                <c:pt idx="74">
                  <c:v>39814</c:v>
                </c:pt>
                <c:pt idx="75">
                  <c:v>39783</c:v>
                </c:pt>
                <c:pt idx="76">
                  <c:v>39753</c:v>
                </c:pt>
                <c:pt idx="77">
                  <c:v>39722</c:v>
                </c:pt>
                <c:pt idx="78">
                  <c:v>39692</c:v>
                </c:pt>
                <c:pt idx="79">
                  <c:v>39661</c:v>
                </c:pt>
                <c:pt idx="80">
                  <c:v>39630</c:v>
                </c:pt>
                <c:pt idx="81">
                  <c:v>39600</c:v>
                </c:pt>
                <c:pt idx="82">
                  <c:v>39569</c:v>
                </c:pt>
                <c:pt idx="83">
                  <c:v>39539</c:v>
                </c:pt>
                <c:pt idx="84">
                  <c:v>39508</c:v>
                </c:pt>
                <c:pt idx="85">
                  <c:v>39479</c:v>
                </c:pt>
                <c:pt idx="86">
                  <c:v>39448</c:v>
                </c:pt>
                <c:pt idx="87">
                  <c:v>39417</c:v>
                </c:pt>
                <c:pt idx="88">
                  <c:v>39387</c:v>
                </c:pt>
                <c:pt idx="89">
                  <c:v>39356</c:v>
                </c:pt>
                <c:pt idx="90">
                  <c:v>39326</c:v>
                </c:pt>
                <c:pt idx="91">
                  <c:v>39295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 Combine'!$J$4:$J$100</c:f>
              <c:numCache>
                <c:formatCode>0%</c:formatCode>
                <c:ptCount val="97"/>
                <c:pt idx="0">
                  <c:v>0.2249275658146232</c:v>
                </c:pt>
                <c:pt idx="1">
                  <c:v>0.23870539240908906</c:v>
                </c:pt>
                <c:pt idx="2">
                  <c:v>0.23754745488973206</c:v>
                </c:pt>
                <c:pt idx="3">
                  <c:v>0.27450400532696562</c:v>
                </c:pt>
                <c:pt idx="4">
                  <c:v>0.25748855556907657</c:v>
                </c:pt>
                <c:pt idx="5">
                  <c:v>0.27423185679600909</c:v>
                </c:pt>
                <c:pt idx="6">
                  <c:v>0.23788389364450316</c:v>
                </c:pt>
                <c:pt idx="7">
                  <c:v>0.26989582900730313</c:v>
                </c:pt>
                <c:pt idx="8">
                  <c:v>0.2431350290800299</c:v>
                </c:pt>
                <c:pt idx="9">
                  <c:v>0.24011000644589667</c:v>
                </c:pt>
                <c:pt idx="10">
                  <c:v>0.2525208936257417</c:v>
                </c:pt>
                <c:pt idx="11">
                  <c:v>0.2532576955033421</c:v>
                </c:pt>
                <c:pt idx="12">
                  <c:v>0.2505508736881179</c:v>
                </c:pt>
                <c:pt idx="13">
                  <c:v>0.24851264355088185</c:v>
                </c:pt>
                <c:pt idx="14">
                  <c:v>0.25054872964930031</c:v>
                </c:pt>
                <c:pt idx="15">
                  <c:v>0.25282423947067934</c:v>
                </c:pt>
                <c:pt idx="16">
                  <c:v>0.24896715225111474</c:v>
                </c:pt>
                <c:pt idx="17">
                  <c:v>0.23564672109313775</c:v>
                </c:pt>
                <c:pt idx="18">
                  <c:v>0.21863269586755255</c:v>
                </c:pt>
                <c:pt idx="19">
                  <c:v>0.21801009567171295</c:v>
                </c:pt>
                <c:pt idx="20">
                  <c:v>0.21690894829968579</c:v>
                </c:pt>
                <c:pt idx="21">
                  <c:v>0.19768363843073464</c:v>
                </c:pt>
                <c:pt idx="22">
                  <c:v>0.23370227080536668</c:v>
                </c:pt>
                <c:pt idx="23">
                  <c:v>0.20343147127051492</c:v>
                </c:pt>
                <c:pt idx="24">
                  <c:v>0.1860769826041552</c:v>
                </c:pt>
                <c:pt idx="25">
                  <c:v>0.161565623712003</c:v>
                </c:pt>
                <c:pt idx="26">
                  <c:v>0.19386607951374252</c:v>
                </c:pt>
                <c:pt idx="27">
                  <c:v>0.17620296651335896</c:v>
                </c:pt>
                <c:pt idx="28">
                  <c:v>0.21882630075354023</c:v>
                </c:pt>
                <c:pt idx="29">
                  <c:v>0.23535444288248197</c:v>
                </c:pt>
                <c:pt idx="30">
                  <c:v>0.26360661527239998</c:v>
                </c:pt>
                <c:pt idx="31">
                  <c:v>0.19386538266224335</c:v>
                </c:pt>
                <c:pt idx="32">
                  <c:v>0.24811846964664691</c:v>
                </c:pt>
                <c:pt idx="33">
                  <c:v>0.20304097740657973</c:v>
                </c:pt>
                <c:pt idx="34">
                  <c:v>0.20155751575771466</c:v>
                </c:pt>
                <c:pt idx="35">
                  <c:v>0.18816510540728246</c:v>
                </c:pt>
                <c:pt idx="36">
                  <c:v>0.18132738883663946</c:v>
                </c:pt>
                <c:pt idx="37">
                  <c:v>0.17672613981772434</c:v>
                </c:pt>
                <c:pt idx="38">
                  <c:v>0.16971658703651055</c:v>
                </c:pt>
                <c:pt idx="39">
                  <c:v>0.1673000014358553</c:v>
                </c:pt>
                <c:pt idx="40">
                  <c:v>0.19585994328135717</c:v>
                </c:pt>
                <c:pt idx="41">
                  <c:v>0.17673363928606053</c:v>
                </c:pt>
                <c:pt idx="42">
                  <c:v>0.1886441746105314</c:v>
                </c:pt>
                <c:pt idx="43">
                  <c:v>0.19990832368467165</c:v>
                </c:pt>
                <c:pt idx="44">
                  <c:v>0.18765740123331293</c:v>
                </c:pt>
                <c:pt idx="45">
                  <c:v>0.18607160341920539</c:v>
                </c:pt>
                <c:pt idx="46">
                  <c:v>0.16906473032091293</c:v>
                </c:pt>
                <c:pt idx="47">
                  <c:v>0.14297112154817737</c:v>
                </c:pt>
                <c:pt idx="48">
                  <c:v>0.19820790708700126</c:v>
                </c:pt>
                <c:pt idx="49">
                  <c:v>0.16143833438269128</c:v>
                </c:pt>
                <c:pt idx="50">
                  <c:v>0.13395273946782818</c:v>
                </c:pt>
                <c:pt idx="51">
                  <c:v>0.1476481395553608</c:v>
                </c:pt>
                <c:pt idx="52">
                  <c:v>0.14885548552843084</c:v>
                </c:pt>
                <c:pt idx="53">
                  <c:v>0.17122899951119613</c:v>
                </c:pt>
                <c:pt idx="54">
                  <c:v>0.15199752894124335</c:v>
                </c:pt>
                <c:pt idx="55">
                  <c:v>0.20777148121781774</c:v>
                </c:pt>
                <c:pt idx="56">
                  <c:v>0.18352266868132938</c:v>
                </c:pt>
                <c:pt idx="57">
                  <c:v>0.16685287294179657</c:v>
                </c:pt>
                <c:pt idx="58">
                  <c:v>0.18086746366967985</c:v>
                </c:pt>
                <c:pt idx="59">
                  <c:v>0.15809089834936674</c:v>
                </c:pt>
                <c:pt idx="60">
                  <c:v>0.14277130518644834</c:v>
                </c:pt>
                <c:pt idx="61">
                  <c:v>0.12058277580166776</c:v>
                </c:pt>
                <c:pt idx="62">
                  <c:v>0.11471853381353798</c:v>
                </c:pt>
                <c:pt idx="63">
                  <c:v>9.6952263274229483E-2</c:v>
                </c:pt>
                <c:pt idx="64">
                  <c:v>0.11911133606413964</c:v>
                </c:pt>
                <c:pt idx="65">
                  <c:v>0.14037876665058041</c:v>
                </c:pt>
                <c:pt idx="66">
                  <c:v>0.12691192444899888</c:v>
                </c:pt>
                <c:pt idx="67">
                  <c:v>0.13089124968540056</c:v>
                </c:pt>
                <c:pt idx="68">
                  <c:v>0.11677892347791209</c:v>
                </c:pt>
                <c:pt idx="69">
                  <c:v>0.1046378640855424</c:v>
                </c:pt>
                <c:pt idx="70">
                  <c:v>0.11465223555220398</c:v>
                </c:pt>
                <c:pt idx="71">
                  <c:v>0.16474619966848089</c:v>
                </c:pt>
                <c:pt idx="72">
                  <c:v>8.8978276279869775E-2</c:v>
                </c:pt>
                <c:pt idx="73">
                  <c:v>0.10950713787034114</c:v>
                </c:pt>
                <c:pt idx="74">
                  <c:v>0.12657085578391719</c:v>
                </c:pt>
                <c:pt idx="75">
                  <c:v>0.19202476965581788</c:v>
                </c:pt>
                <c:pt idx="76">
                  <c:v>0.1205799726547139</c:v>
                </c:pt>
                <c:pt idx="77">
                  <c:v>0.13585715344265445</c:v>
                </c:pt>
                <c:pt idx="78">
                  <c:v>0.10696651126887367</c:v>
                </c:pt>
                <c:pt idx="79">
                  <c:v>0.15340987066466327</c:v>
                </c:pt>
                <c:pt idx="80">
                  <c:v>0.16293130852511101</c:v>
                </c:pt>
                <c:pt idx="81">
                  <c:v>0.1121046593724489</c:v>
                </c:pt>
                <c:pt idx="82">
                  <c:v>0.10988832592521189</c:v>
                </c:pt>
                <c:pt idx="83">
                  <c:v>0.16527899983104849</c:v>
                </c:pt>
                <c:pt idx="84">
                  <c:v>0.13481028338610074</c:v>
                </c:pt>
                <c:pt idx="85">
                  <c:v>0.12566841435751033</c:v>
                </c:pt>
                <c:pt idx="86">
                  <c:v>0.18025196924509321</c:v>
                </c:pt>
                <c:pt idx="87">
                  <c:v>0.1395586908518581</c:v>
                </c:pt>
                <c:pt idx="88">
                  <c:v>0.17068379873784176</c:v>
                </c:pt>
                <c:pt idx="89">
                  <c:v>0.17571364672203318</c:v>
                </c:pt>
                <c:pt idx="90">
                  <c:v>0.1855279081837361</c:v>
                </c:pt>
                <c:pt idx="91">
                  <c:v>0.17210410889182143</c:v>
                </c:pt>
                <c:pt idx="92">
                  <c:v>0.15793254602782772</c:v>
                </c:pt>
                <c:pt idx="93">
                  <c:v>0.13415889660997893</c:v>
                </c:pt>
                <c:pt idx="94">
                  <c:v>0.14296715119205095</c:v>
                </c:pt>
                <c:pt idx="95">
                  <c:v>0.14760441415892472</c:v>
                </c:pt>
                <c:pt idx="96">
                  <c:v>0.13602038627871324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Combine'!$K$3</c:f>
              <c:strCache>
                <c:ptCount val="1"/>
                <c:pt idx="0">
                  <c:v>Top 5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'Result Combine'!$C$4:$C$100</c:f>
              <c:numCache>
                <c:formatCode>m/d/yyyy</c:formatCode>
                <c:ptCount val="97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39904</c:v>
                </c:pt>
                <c:pt idx="72">
                  <c:v>39873</c:v>
                </c:pt>
                <c:pt idx="73">
                  <c:v>39845</c:v>
                </c:pt>
                <c:pt idx="74">
                  <c:v>39814</c:v>
                </c:pt>
                <c:pt idx="75">
                  <c:v>39783</c:v>
                </c:pt>
                <c:pt idx="76">
                  <c:v>39753</c:v>
                </c:pt>
                <c:pt idx="77">
                  <c:v>39722</c:v>
                </c:pt>
                <c:pt idx="78">
                  <c:v>39692</c:v>
                </c:pt>
                <c:pt idx="79">
                  <c:v>39661</c:v>
                </c:pt>
                <c:pt idx="80">
                  <c:v>39630</c:v>
                </c:pt>
                <c:pt idx="81">
                  <c:v>39600</c:v>
                </c:pt>
                <c:pt idx="82">
                  <c:v>39569</c:v>
                </c:pt>
                <c:pt idx="83">
                  <c:v>39539</c:v>
                </c:pt>
                <c:pt idx="84">
                  <c:v>39508</c:v>
                </c:pt>
                <c:pt idx="85">
                  <c:v>39479</c:v>
                </c:pt>
                <c:pt idx="86">
                  <c:v>39448</c:v>
                </c:pt>
                <c:pt idx="87">
                  <c:v>39417</c:v>
                </c:pt>
                <c:pt idx="88">
                  <c:v>39387</c:v>
                </c:pt>
                <c:pt idx="89">
                  <c:v>39356</c:v>
                </c:pt>
                <c:pt idx="90">
                  <c:v>39326</c:v>
                </c:pt>
                <c:pt idx="91">
                  <c:v>39295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 Combine'!$K$4:$K$100</c:f>
              <c:numCache>
                <c:formatCode>0%</c:formatCode>
                <c:ptCount val="97"/>
                <c:pt idx="0">
                  <c:v>0.1617170234822847</c:v>
                </c:pt>
                <c:pt idx="1">
                  <c:v>0.16630102863753601</c:v>
                </c:pt>
                <c:pt idx="2">
                  <c:v>0.15946937260657593</c:v>
                </c:pt>
                <c:pt idx="3">
                  <c:v>0.20583884258380872</c:v>
                </c:pt>
                <c:pt idx="4">
                  <c:v>0.18620821530236897</c:v>
                </c:pt>
                <c:pt idx="5">
                  <c:v>0.20916286582232194</c:v>
                </c:pt>
                <c:pt idx="6">
                  <c:v>0.17046708960234286</c:v>
                </c:pt>
                <c:pt idx="7">
                  <c:v>0.20607873055461834</c:v>
                </c:pt>
                <c:pt idx="8">
                  <c:v>0.17023284315974757</c:v>
                </c:pt>
                <c:pt idx="9">
                  <c:v>0.17201072429195938</c:v>
                </c:pt>
                <c:pt idx="10">
                  <c:v>0.17891121461541479</c:v>
                </c:pt>
                <c:pt idx="11">
                  <c:v>0.17410756611152861</c:v>
                </c:pt>
                <c:pt idx="12">
                  <c:v>0.1734109759916676</c:v>
                </c:pt>
                <c:pt idx="13">
                  <c:v>0.15828842154455816</c:v>
                </c:pt>
                <c:pt idx="14">
                  <c:v>0.17944812595400433</c:v>
                </c:pt>
                <c:pt idx="15">
                  <c:v>0.19291119309047408</c:v>
                </c:pt>
                <c:pt idx="16">
                  <c:v>0.20047578760505752</c:v>
                </c:pt>
                <c:pt idx="17">
                  <c:v>0.18339946285604078</c:v>
                </c:pt>
                <c:pt idx="18">
                  <c:v>0.15534001080284648</c:v>
                </c:pt>
                <c:pt idx="19">
                  <c:v>0.16388472616926397</c:v>
                </c:pt>
                <c:pt idx="20">
                  <c:v>0.15398720749503922</c:v>
                </c:pt>
                <c:pt idx="21">
                  <c:v>0.14733097938519321</c:v>
                </c:pt>
                <c:pt idx="22">
                  <c:v>0.18844432121418733</c:v>
                </c:pt>
                <c:pt idx="23">
                  <c:v>0.16256324504545919</c:v>
                </c:pt>
                <c:pt idx="24">
                  <c:v>0.14721884652690367</c:v>
                </c:pt>
                <c:pt idx="25">
                  <c:v>0.11288446316721937</c:v>
                </c:pt>
                <c:pt idx="26">
                  <c:v>0.14521984152444475</c:v>
                </c:pt>
                <c:pt idx="27">
                  <c:v>0.13053038068883671</c:v>
                </c:pt>
                <c:pt idx="28">
                  <c:v>0.16304307892993408</c:v>
                </c:pt>
                <c:pt idx="29">
                  <c:v>0.18355943128905475</c:v>
                </c:pt>
                <c:pt idx="30">
                  <c:v>0.20962120777953494</c:v>
                </c:pt>
                <c:pt idx="31">
                  <c:v>0.14277919197749078</c:v>
                </c:pt>
                <c:pt idx="32">
                  <c:v>0.1921212929592892</c:v>
                </c:pt>
                <c:pt idx="33">
                  <c:v>0.15703955117033125</c:v>
                </c:pt>
                <c:pt idx="34">
                  <c:v>0.15581304021800457</c:v>
                </c:pt>
                <c:pt idx="35">
                  <c:v>0.14784793456463116</c:v>
                </c:pt>
                <c:pt idx="36">
                  <c:v>0.13591409709920924</c:v>
                </c:pt>
                <c:pt idx="37">
                  <c:v>0.13251788889647501</c:v>
                </c:pt>
                <c:pt idx="38">
                  <c:v>0.12691578643251356</c:v>
                </c:pt>
                <c:pt idx="39">
                  <c:v>0.12081708312789433</c:v>
                </c:pt>
                <c:pt idx="40">
                  <c:v>0.15032390620392264</c:v>
                </c:pt>
                <c:pt idx="41">
                  <c:v>0.13040198232674444</c:v>
                </c:pt>
                <c:pt idx="42">
                  <c:v>0.15491728964626847</c:v>
                </c:pt>
                <c:pt idx="43">
                  <c:v>0.16438498209271557</c:v>
                </c:pt>
                <c:pt idx="44">
                  <c:v>0.15261624368329502</c:v>
                </c:pt>
                <c:pt idx="45">
                  <c:v>0.15688109758478008</c:v>
                </c:pt>
                <c:pt idx="46">
                  <c:v>0.14468297387237167</c:v>
                </c:pt>
                <c:pt idx="47">
                  <c:v>0.11387607626937905</c:v>
                </c:pt>
                <c:pt idx="48">
                  <c:v>0.16935656099477164</c:v>
                </c:pt>
                <c:pt idx="49">
                  <c:v>0.1250587724354349</c:v>
                </c:pt>
                <c:pt idx="50">
                  <c:v>9.5848409439071997E-2</c:v>
                </c:pt>
                <c:pt idx="51">
                  <c:v>0.12010900712923174</c:v>
                </c:pt>
                <c:pt idx="52">
                  <c:v>0.11481236824690158</c:v>
                </c:pt>
                <c:pt idx="53">
                  <c:v>0.13936452907498292</c:v>
                </c:pt>
                <c:pt idx="54">
                  <c:v>0.11272636656401926</c:v>
                </c:pt>
                <c:pt idx="55">
                  <c:v>0.15898281463553987</c:v>
                </c:pt>
                <c:pt idx="56">
                  <c:v>0.14557103523803003</c:v>
                </c:pt>
                <c:pt idx="57">
                  <c:v>0.13594000010471499</c:v>
                </c:pt>
                <c:pt idx="58">
                  <c:v>0.1454746245985955</c:v>
                </c:pt>
                <c:pt idx="59">
                  <c:v>0.12896214925476046</c:v>
                </c:pt>
                <c:pt idx="60">
                  <c:v>0.11604776334999652</c:v>
                </c:pt>
                <c:pt idx="61">
                  <c:v>9.5748560164696822E-2</c:v>
                </c:pt>
                <c:pt idx="62">
                  <c:v>8.3697440363426495E-2</c:v>
                </c:pt>
                <c:pt idx="63">
                  <c:v>7.0912915937171098E-2</c:v>
                </c:pt>
                <c:pt idx="64">
                  <c:v>8.734285885581361E-2</c:v>
                </c:pt>
                <c:pt idx="65">
                  <c:v>0.1012036528487352</c:v>
                </c:pt>
                <c:pt idx="66">
                  <c:v>0.10031928224909403</c:v>
                </c:pt>
                <c:pt idx="67">
                  <c:v>0.10621065214810595</c:v>
                </c:pt>
                <c:pt idx="68">
                  <c:v>9.1134413172916498E-2</c:v>
                </c:pt>
                <c:pt idx="69">
                  <c:v>7.5471216687640341E-2</c:v>
                </c:pt>
                <c:pt idx="70">
                  <c:v>8.6505058218717193E-2</c:v>
                </c:pt>
                <c:pt idx="71">
                  <c:v>0.13441054355821697</c:v>
                </c:pt>
                <c:pt idx="72">
                  <c:v>7.4186256965874803E-2</c:v>
                </c:pt>
                <c:pt idx="73">
                  <c:v>8.7684646994667048E-2</c:v>
                </c:pt>
                <c:pt idx="74">
                  <c:v>0.10005294755435508</c:v>
                </c:pt>
                <c:pt idx="75">
                  <c:v>0.1554118270017413</c:v>
                </c:pt>
                <c:pt idx="76">
                  <c:v>9.3478748010423884E-2</c:v>
                </c:pt>
                <c:pt idx="77">
                  <c:v>0.11584840729350035</c:v>
                </c:pt>
                <c:pt idx="78">
                  <c:v>9.1157417518403991E-2</c:v>
                </c:pt>
                <c:pt idx="79">
                  <c:v>0.1330258871871392</c:v>
                </c:pt>
                <c:pt idx="80">
                  <c:v>0.13335258906516551</c:v>
                </c:pt>
                <c:pt idx="81">
                  <c:v>9.6466765912444755E-2</c:v>
                </c:pt>
                <c:pt idx="82">
                  <c:v>9.0956383626445134E-2</c:v>
                </c:pt>
                <c:pt idx="83">
                  <c:v>0.13984662203855763</c:v>
                </c:pt>
                <c:pt idx="84">
                  <c:v>0.11019241001987151</c:v>
                </c:pt>
                <c:pt idx="85">
                  <c:v>0.10436741295316722</c:v>
                </c:pt>
                <c:pt idx="86">
                  <c:v>0.14049354151705801</c:v>
                </c:pt>
                <c:pt idx="87">
                  <c:v>0.1162568110022271</c:v>
                </c:pt>
                <c:pt idx="88">
                  <c:v>0.13178206684354168</c:v>
                </c:pt>
                <c:pt idx="89">
                  <c:v>0.14193497813002193</c:v>
                </c:pt>
                <c:pt idx="90">
                  <c:v>0.13365340866082714</c:v>
                </c:pt>
                <c:pt idx="91">
                  <c:v>0.12961688053807841</c:v>
                </c:pt>
                <c:pt idx="92">
                  <c:v>0.13066547324445399</c:v>
                </c:pt>
                <c:pt idx="93">
                  <c:v>9.993680776885086E-2</c:v>
                </c:pt>
                <c:pt idx="94">
                  <c:v>0.11705238793791414</c:v>
                </c:pt>
                <c:pt idx="95">
                  <c:v>0.11914071639682401</c:v>
                </c:pt>
                <c:pt idx="96">
                  <c:v>0.10848204433489635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 Combine'!$L$3</c:f>
              <c:strCache>
                <c:ptCount val="1"/>
                <c:pt idx="0">
                  <c:v>Top 1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'Result Combine'!$C$4:$C$100</c:f>
              <c:numCache>
                <c:formatCode>m/d/yyyy</c:formatCode>
                <c:ptCount val="97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39904</c:v>
                </c:pt>
                <c:pt idx="72">
                  <c:v>39873</c:v>
                </c:pt>
                <c:pt idx="73">
                  <c:v>39845</c:v>
                </c:pt>
                <c:pt idx="74">
                  <c:v>39814</c:v>
                </c:pt>
                <c:pt idx="75">
                  <c:v>39783</c:v>
                </c:pt>
                <c:pt idx="76">
                  <c:v>39753</c:v>
                </c:pt>
                <c:pt idx="77">
                  <c:v>39722</c:v>
                </c:pt>
                <c:pt idx="78">
                  <c:v>39692</c:v>
                </c:pt>
                <c:pt idx="79">
                  <c:v>39661</c:v>
                </c:pt>
                <c:pt idx="80">
                  <c:v>39630</c:v>
                </c:pt>
                <c:pt idx="81">
                  <c:v>39600</c:v>
                </c:pt>
                <c:pt idx="82">
                  <c:v>39569</c:v>
                </c:pt>
                <c:pt idx="83">
                  <c:v>39539</c:v>
                </c:pt>
                <c:pt idx="84">
                  <c:v>39508</c:v>
                </c:pt>
                <c:pt idx="85">
                  <c:v>39479</c:v>
                </c:pt>
                <c:pt idx="86">
                  <c:v>39448</c:v>
                </c:pt>
                <c:pt idx="87">
                  <c:v>39417</c:v>
                </c:pt>
                <c:pt idx="88">
                  <c:v>39387</c:v>
                </c:pt>
                <c:pt idx="89">
                  <c:v>39356</c:v>
                </c:pt>
                <c:pt idx="90">
                  <c:v>39326</c:v>
                </c:pt>
                <c:pt idx="91">
                  <c:v>39295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 Combine'!$L$4:$L$100</c:f>
              <c:numCache>
                <c:formatCode>0%</c:formatCode>
                <c:ptCount val="97"/>
                <c:pt idx="0" formatCode="0.0%">
                  <c:v>6.0435622052487828E-2</c:v>
                </c:pt>
                <c:pt idx="1">
                  <c:v>6.2532253771731508E-2</c:v>
                </c:pt>
                <c:pt idx="2">
                  <c:v>5.7494860303934664E-2</c:v>
                </c:pt>
                <c:pt idx="3">
                  <c:v>9.0196545704646233E-2</c:v>
                </c:pt>
                <c:pt idx="4">
                  <c:v>6.53730651582069E-2</c:v>
                </c:pt>
                <c:pt idx="5">
                  <c:v>8.6303907384683617E-2</c:v>
                </c:pt>
                <c:pt idx="6">
                  <c:v>4.6689398748508339E-2</c:v>
                </c:pt>
                <c:pt idx="7">
                  <c:v>8.5433596857433375E-2</c:v>
                </c:pt>
                <c:pt idx="8">
                  <c:v>5.0675529955946409E-2</c:v>
                </c:pt>
                <c:pt idx="9">
                  <c:v>5.9441235375360675E-2</c:v>
                </c:pt>
                <c:pt idx="10">
                  <c:v>6.3928700925071483E-2</c:v>
                </c:pt>
                <c:pt idx="11">
                  <c:v>6.3299667521986208E-2</c:v>
                </c:pt>
                <c:pt idx="12">
                  <c:v>5.7692124197969145E-2</c:v>
                </c:pt>
                <c:pt idx="13">
                  <c:v>5.5596105779389692E-2</c:v>
                </c:pt>
                <c:pt idx="14">
                  <c:v>5.8049523557188586E-2</c:v>
                </c:pt>
                <c:pt idx="15">
                  <c:v>6.7103125174903272E-2</c:v>
                </c:pt>
                <c:pt idx="16">
                  <c:v>6.970513087367923E-2</c:v>
                </c:pt>
                <c:pt idx="17">
                  <c:v>6.2614184985620464E-2</c:v>
                </c:pt>
                <c:pt idx="18">
                  <c:v>4.131449045092167E-2</c:v>
                </c:pt>
                <c:pt idx="19">
                  <c:v>4.3721736369415856E-2</c:v>
                </c:pt>
                <c:pt idx="20">
                  <c:v>3.928084674003212E-2</c:v>
                </c:pt>
                <c:pt idx="21">
                  <c:v>4.5285604587166947E-2</c:v>
                </c:pt>
                <c:pt idx="22">
                  <c:v>6.3326781847735492E-2</c:v>
                </c:pt>
                <c:pt idx="23">
                  <c:v>6.2180690566276953E-2</c:v>
                </c:pt>
                <c:pt idx="24">
                  <c:v>6.0953843130677379E-2</c:v>
                </c:pt>
                <c:pt idx="25">
                  <c:v>4.7058619961249298E-2</c:v>
                </c:pt>
                <c:pt idx="26">
                  <c:v>5.6097688973427443E-2</c:v>
                </c:pt>
                <c:pt idx="27">
                  <c:v>6.8615825038334299E-2</c:v>
                </c:pt>
                <c:pt idx="28">
                  <c:v>6.5468663607700595E-2</c:v>
                </c:pt>
                <c:pt idx="29">
                  <c:v>6.9947784059413889E-2</c:v>
                </c:pt>
                <c:pt idx="30">
                  <c:v>7.2892580006228835E-2</c:v>
                </c:pt>
                <c:pt idx="31">
                  <c:v>4.9601361836681422E-2</c:v>
                </c:pt>
                <c:pt idx="32">
                  <c:v>6.9071596785030359E-2</c:v>
                </c:pt>
                <c:pt idx="33">
                  <c:v>5.8743001431136962E-2</c:v>
                </c:pt>
                <c:pt idx="34">
                  <c:v>5.9762524031937568E-2</c:v>
                </c:pt>
                <c:pt idx="35">
                  <c:v>5.0876529688191868E-2</c:v>
                </c:pt>
                <c:pt idx="36">
                  <c:v>3.9933188556442893E-2</c:v>
                </c:pt>
                <c:pt idx="37">
                  <c:v>4.2674381121022995E-2</c:v>
                </c:pt>
                <c:pt idx="38">
                  <c:v>4.8107861161845164E-2</c:v>
                </c:pt>
                <c:pt idx="39">
                  <c:v>3.4474916696393507E-2</c:v>
                </c:pt>
                <c:pt idx="40">
                  <c:v>4.8900868355030519E-2</c:v>
                </c:pt>
                <c:pt idx="41">
                  <c:v>3.5639789062185082E-2</c:v>
                </c:pt>
                <c:pt idx="42">
                  <c:v>5.5204976790226311E-2</c:v>
                </c:pt>
                <c:pt idx="43">
                  <c:v>5.8441499515512314E-2</c:v>
                </c:pt>
                <c:pt idx="44">
                  <c:v>4.2704459407869072E-2</c:v>
                </c:pt>
                <c:pt idx="45">
                  <c:v>7.4903953741466078E-2</c:v>
                </c:pt>
                <c:pt idx="46">
                  <c:v>6.1022842575485882E-2</c:v>
                </c:pt>
                <c:pt idx="47">
                  <c:v>5.3034804267051601E-2</c:v>
                </c:pt>
                <c:pt idx="48">
                  <c:v>9.236137730645104E-2</c:v>
                </c:pt>
                <c:pt idx="49">
                  <c:v>5.5374843244742358E-2</c:v>
                </c:pt>
                <c:pt idx="50">
                  <c:v>3.3738849144053701E-2</c:v>
                </c:pt>
                <c:pt idx="51">
                  <c:v>4.928915094796691E-2</c:v>
                </c:pt>
                <c:pt idx="52">
                  <c:v>4.3121638591292269E-2</c:v>
                </c:pt>
                <c:pt idx="53">
                  <c:v>5.6667824962435616E-2</c:v>
                </c:pt>
                <c:pt idx="54">
                  <c:v>5.0219858614337212E-2</c:v>
                </c:pt>
                <c:pt idx="55">
                  <c:v>6.4866484523218776E-2</c:v>
                </c:pt>
                <c:pt idx="56">
                  <c:v>7.0574252134534499E-2</c:v>
                </c:pt>
                <c:pt idx="57">
                  <c:v>5.2560028563901781E-2</c:v>
                </c:pt>
                <c:pt idx="58">
                  <c:v>5.7356605562606293E-2</c:v>
                </c:pt>
                <c:pt idx="59">
                  <c:v>6.1721640537369858E-2</c:v>
                </c:pt>
                <c:pt idx="60">
                  <c:v>4.9759761407118012E-2</c:v>
                </c:pt>
                <c:pt idx="61">
                  <c:v>3.5241337817512118E-2</c:v>
                </c:pt>
                <c:pt idx="62">
                  <c:v>3.3018501894423374E-2</c:v>
                </c:pt>
                <c:pt idx="63">
                  <c:v>2.7486821032016807E-2</c:v>
                </c:pt>
                <c:pt idx="64">
                  <c:v>4.6553409669528145E-2</c:v>
                </c:pt>
                <c:pt idx="65">
                  <c:v>4.583913196173757E-2</c:v>
                </c:pt>
                <c:pt idx="66">
                  <c:v>3.5057673341599191E-2</c:v>
                </c:pt>
                <c:pt idx="67">
                  <c:v>4.5598746491788154E-2</c:v>
                </c:pt>
                <c:pt idx="68">
                  <c:v>3.5452567016000747E-2</c:v>
                </c:pt>
                <c:pt idx="69">
                  <c:v>2.4782256976833904E-2</c:v>
                </c:pt>
                <c:pt idx="70">
                  <c:v>2.4053966028052688E-2</c:v>
                </c:pt>
                <c:pt idx="71">
                  <c:v>4.4868121240370137E-2</c:v>
                </c:pt>
                <c:pt idx="72">
                  <c:v>2.3483598598304376E-2</c:v>
                </c:pt>
                <c:pt idx="73">
                  <c:v>2.9597093522507823E-2</c:v>
                </c:pt>
                <c:pt idx="74">
                  <c:v>3.5403074480930954E-2</c:v>
                </c:pt>
                <c:pt idx="75">
                  <c:v>5.6668939419208697E-2</c:v>
                </c:pt>
                <c:pt idx="76">
                  <c:v>2.6121419604485701E-2</c:v>
                </c:pt>
                <c:pt idx="77">
                  <c:v>3.2742455008790923E-2</c:v>
                </c:pt>
                <c:pt idx="78">
                  <c:v>2.6452517050970608E-2</c:v>
                </c:pt>
                <c:pt idx="79">
                  <c:v>3.5669269443151547E-2</c:v>
                </c:pt>
                <c:pt idx="80">
                  <c:v>3.4387338248176337E-2</c:v>
                </c:pt>
                <c:pt idx="81">
                  <c:v>3.1614570078133106E-2</c:v>
                </c:pt>
                <c:pt idx="82">
                  <c:v>3.1515077137039813E-2</c:v>
                </c:pt>
                <c:pt idx="83">
                  <c:v>6.0343641468440297E-2</c:v>
                </c:pt>
                <c:pt idx="84">
                  <c:v>5.2659976718716854E-2</c:v>
                </c:pt>
                <c:pt idx="85">
                  <c:v>3.6697435888159866E-2</c:v>
                </c:pt>
                <c:pt idx="86">
                  <c:v>5.1606233226140323E-2</c:v>
                </c:pt>
                <c:pt idx="87">
                  <c:v>3.9988509341548226E-2</c:v>
                </c:pt>
                <c:pt idx="88">
                  <c:v>4.113450676172991E-2</c:v>
                </c:pt>
                <c:pt idx="89">
                  <c:v>3.7243198715195387E-2</c:v>
                </c:pt>
                <c:pt idx="90">
                  <c:v>3.2484316976728073E-2</c:v>
                </c:pt>
                <c:pt idx="91">
                  <c:v>4.9707230719420001E-2</c:v>
                </c:pt>
                <c:pt idx="92">
                  <c:v>4.106203833162389E-2</c:v>
                </c:pt>
                <c:pt idx="93">
                  <c:v>2.8303380967718617E-2</c:v>
                </c:pt>
                <c:pt idx="94">
                  <c:v>3.7425582953582545E-2</c:v>
                </c:pt>
                <c:pt idx="95">
                  <c:v>3.6588351460938806E-2</c:v>
                </c:pt>
                <c:pt idx="96">
                  <c:v>5.0407138126429163E-2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95104"/>
        <c:axId val="389300992"/>
      </c:lineChart>
      <c:dateAx>
        <c:axId val="389295104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389300992"/>
        <c:crosses val="autoZero"/>
        <c:auto val="1"/>
        <c:lblOffset val="100"/>
        <c:baseTimeUnit val="months"/>
        <c:majorUnit val="2"/>
        <c:majorTimeUnit val="months"/>
      </c:dateAx>
      <c:valAx>
        <c:axId val="389300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89295104"/>
        <c:crosses val="autoZero"/>
        <c:crossBetween val="between"/>
      </c:valAx>
      <c:valAx>
        <c:axId val="389302912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389309568"/>
        <c:crosses val="max"/>
        <c:crossBetween val="between"/>
        <c:dispUnits>
          <c:builtInUnit val="billions"/>
        </c:dispUnits>
      </c:valAx>
      <c:catAx>
        <c:axId val="389309568"/>
        <c:scaling>
          <c:orientation val="minMax"/>
        </c:scaling>
        <c:delete val="1"/>
        <c:axPos val="b"/>
        <c:majorTickMark val="out"/>
        <c:minorTickMark val="none"/>
        <c:tickLblPos val="nextTo"/>
        <c:crossAx val="389302912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5.9886129941670974E-2</c:v>
                </c:pt>
                <c:pt idx="1">
                  <c:v>3.291639072849558E-2</c:v>
                </c:pt>
                <c:pt idx="2">
                  <c:v>2.7817780095792641E-2</c:v>
                </c:pt>
                <c:pt idx="3">
                  <c:v>2.5067767060580105E-2</c:v>
                </c:pt>
                <c:pt idx="4">
                  <c:v>2.0421292168687946E-2</c:v>
                </c:pt>
                <c:pt idx="5">
                  <c:v>1.9228832288938479E-2</c:v>
                </c:pt>
                <c:pt idx="6">
                  <c:v>1.8037414793014329E-2</c:v>
                </c:pt>
                <c:pt idx="7">
                  <c:v>1.3426886067962329E-2</c:v>
                </c:pt>
                <c:pt idx="8">
                  <c:v>1.341326805487489E-2</c:v>
                </c:pt>
                <c:pt idx="9">
                  <c:v>1.326129230900706E-2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5.4764801029785419E-2</c:v>
                </c:pt>
                <c:pt idx="1">
                  <c:v>3.2661778287097813E-2</c:v>
                </c:pt>
                <c:pt idx="2">
                  <c:v>2.7354227444776811E-2</c:v>
                </c:pt>
                <c:pt idx="3">
                  <c:v>2.3150955022784827E-2</c:v>
                </c:pt>
                <c:pt idx="4">
                  <c:v>2.0549670029832802E-2</c:v>
                </c:pt>
                <c:pt idx="5">
                  <c:v>1.7085506278929331E-2</c:v>
                </c:pt>
                <c:pt idx="6">
                  <c:v>1.6297443786254376E-2</c:v>
                </c:pt>
                <c:pt idx="7">
                  <c:v>1.3315380251975494E-2</c:v>
                </c:pt>
                <c:pt idx="8">
                  <c:v>1.3162145982774175E-2</c:v>
                </c:pt>
                <c:pt idx="9">
                  <c:v>1.2965480781762405E-2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339008"/>
        <c:axId val="387776512"/>
      </c:barChart>
      <c:catAx>
        <c:axId val="389339008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87776512"/>
        <c:crosses val="autoZero"/>
        <c:auto val="1"/>
        <c:lblAlgn val="ctr"/>
        <c:lblOffset val="100"/>
        <c:noMultiLvlLbl val="0"/>
      </c:catAx>
      <c:valAx>
        <c:axId val="387776512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38933900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'Result-lag'!$N$4:$N$100</c:f>
              <c:numCache>
                <c:formatCode>0%</c:formatCode>
                <c:ptCount val="97"/>
                <c:pt idx="0">
                  <c:v>0.238465446880575</c:v>
                </c:pt>
                <c:pt idx="1">
                  <c:v>0.27836718678140093</c:v>
                </c:pt>
                <c:pt idx="2">
                  <c:v>0.19277158560813931</c:v>
                </c:pt>
                <c:pt idx="3">
                  <c:v>0.24418915658827686</c:v>
                </c:pt>
                <c:pt idx="4">
                  <c:v>0.2579207077651432</c:v>
                </c:pt>
                <c:pt idx="5">
                  <c:v>0.23049238735461552</c:v>
                </c:pt>
                <c:pt idx="6">
                  <c:v>0.2576163312149865</c:v>
                </c:pt>
                <c:pt idx="7">
                  <c:v>0.2198982583528285</c:v>
                </c:pt>
                <c:pt idx="8">
                  <c:v>0.18086987006517943</c:v>
                </c:pt>
                <c:pt idx="9">
                  <c:v>0.20101625017589467</c:v>
                </c:pt>
                <c:pt idx="10">
                  <c:v>0.20226640706187318</c:v>
                </c:pt>
                <c:pt idx="11">
                  <c:v>0.15399992618066347</c:v>
                </c:pt>
                <c:pt idx="12">
                  <c:v>0.21753899422966935</c:v>
                </c:pt>
                <c:pt idx="13">
                  <c:v>0.21427922161015178</c:v>
                </c:pt>
                <c:pt idx="14">
                  <c:v>0.19039079123238686</c:v>
                </c:pt>
                <c:pt idx="15">
                  <c:v>0.1686623136655144</c:v>
                </c:pt>
                <c:pt idx="16">
                  <c:v>0.17828398062211961</c:v>
                </c:pt>
                <c:pt idx="17">
                  <c:v>0.15290007029001262</c:v>
                </c:pt>
                <c:pt idx="18">
                  <c:v>0.10099248415286277</c:v>
                </c:pt>
                <c:pt idx="19">
                  <c:v>0.13332283322312646</c:v>
                </c:pt>
                <c:pt idx="20">
                  <c:v>0.10997887355463624</c:v>
                </c:pt>
                <c:pt idx="21">
                  <c:v>8.2329187142488061E-2</c:v>
                </c:pt>
                <c:pt idx="22">
                  <c:v>0.11221044358638091</c:v>
                </c:pt>
                <c:pt idx="23">
                  <c:v>8.2198912397219645E-2</c:v>
                </c:pt>
                <c:pt idx="24">
                  <c:v>7.4076608242433326E-2</c:v>
                </c:pt>
                <c:pt idx="25">
                  <c:v>0.13601354145490546</c:v>
                </c:pt>
                <c:pt idx="26">
                  <c:v>4.9821524209479905E-2</c:v>
                </c:pt>
                <c:pt idx="27">
                  <c:v>3.8243394619931446E-2</c:v>
                </c:pt>
                <c:pt idx="28">
                  <c:v>4.9966879514052334E-2</c:v>
                </c:pt>
                <c:pt idx="29">
                  <c:v>6.2245357658179928E-2</c:v>
                </c:pt>
                <c:pt idx="30">
                  <c:v>3.1132756076084064E-2</c:v>
                </c:pt>
                <c:pt idx="31">
                  <c:v>2.8730536212422452E-2</c:v>
                </c:pt>
                <c:pt idx="32">
                  <c:v>4.7601154979367274E-2</c:v>
                </c:pt>
                <c:pt idx="33">
                  <c:v>5.1607101117047367E-2</c:v>
                </c:pt>
                <c:pt idx="34">
                  <c:v>3.7487591735960758E-2</c:v>
                </c:pt>
                <c:pt idx="35">
                  <c:v>4.9365688303654322E-2</c:v>
                </c:pt>
                <c:pt idx="36">
                  <c:v>5.4018349242925028E-2</c:v>
                </c:pt>
                <c:pt idx="37">
                  <c:v>2.902288470413366E-2</c:v>
                </c:pt>
                <c:pt idx="38">
                  <c:v>3.9734451273934081E-2</c:v>
                </c:pt>
                <c:pt idx="39">
                  <c:v>4.0871794654318644E-2</c:v>
                </c:pt>
                <c:pt idx="40">
                  <c:v>5.0358408351619595E-2</c:v>
                </c:pt>
                <c:pt idx="41">
                  <c:v>6.4262311079220161E-2</c:v>
                </c:pt>
                <c:pt idx="42">
                  <c:v>6.0504691360620567E-2</c:v>
                </c:pt>
                <c:pt idx="43">
                  <c:v>5.4573965817297447E-2</c:v>
                </c:pt>
                <c:pt idx="44">
                  <c:v>7.2470508676329898E-2</c:v>
                </c:pt>
                <c:pt idx="45">
                  <c:v>6.6641023644450431E-2</c:v>
                </c:pt>
                <c:pt idx="46">
                  <c:v>5.1303555520223712E-2</c:v>
                </c:pt>
                <c:pt idx="47">
                  <c:v>5.5362768534355629E-2</c:v>
                </c:pt>
                <c:pt idx="48">
                  <c:v>4.4101506859654638E-2</c:v>
                </c:pt>
                <c:pt idx="49">
                  <c:v>4.1783034119315013E-2</c:v>
                </c:pt>
                <c:pt idx="50">
                  <c:v>3.5983623009359582E-2</c:v>
                </c:pt>
                <c:pt idx="51">
                  <c:v>5.946743747299571E-2</c:v>
                </c:pt>
                <c:pt idx="52">
                  <c:v>9.5354474345678161E-2</c:v>
                </c:pt>
                <c:pt idx="53">
                  <c:v>5.728472989807365E-2</c:v>
                </c:pt>
                <c:pt idx="54">
                  <c:v>6.4579445572350735E-2</c:v>
                </c:pt>
                <c:pt idx="55">
                  <c:v>7.702676753552383E-2</c:v>
                </c:pt>
                <c:pt idx="56">
                  <c:v>4.4815721060459432E-2</c:v>
                </c:pt>
                <c:pt idx="57">
                  <c:v>6.0478184858102926E-2</c:v>
                </c:pt>
                <c:pt idx="58">
                  <c:v>5.5960876030845055E-2</c:v>
                </c:pt>
                <c:pt idx="59">
                  <c:v>3.70035970472204E-2</c:v>
                </c:pt>
                <c:pt idx="60">
                  <c:v>5.0828741094606208E-2</c:v>
                </c:pt>
                <c:pt idx="61">
                  <c:v>3.4789072091028377E-2</c:v>
                </c:pt>
                <c:pt idx="62">
                  <c:v>5.0313568175059289E-2</c:v>
                </c:pt>
                <c:pt idx="63">
                  <c:v>4.3905765032860998E-2</c:v>
                </c:pt>
                <c:pt idx="64">
                  <c:v>4.0516110739551595E-2</c:v>
                </c:pt>
                <c:pt idx="65">
                  <c:v>5.2020134280329984E-2</c:v>
                </c:pt>
                <c:pt idx="66">
                  <c:v>6.1231615808358494E-2</c:v>
                </c:pt>
                <c:pt idx="67">
                  <c:v>5.9290240496746784E-2</c:v>
                </c:pt>
                <c:pt idx="68">
                  <c:v>7.116167247650354E-2</c:v>
                </c:pt>
                <c:pt idx="69">
                  <c:v>5.0477980705516512E-2</c:v>
                </c:pt>
                <c:pt idx="70">
                  <c:v>7.3964517888917017E-2</c:v>
                </c:pt>
                <c:pt idx="71">
                  <c:v>7.1204711575375529E-2</c:v>
                </c:pt>
                <c:pt idx="72">
                  <c:v>6.6847090525584574E-2</c:v>
                </c:pt>
                <c:pt idx="73">
                  <c:v>6.9625749418616073E-2</c:v>
                </c:pt>
                <c:pt idx="74">
                  <c:v>5.7346120391276137E-2</c:v>
                </c:pt>
                <c:pt idx="75">
                  <c:v>4.7961896579936783E-2</c:v>
                </c:pt>
                <c:pt idx="76">
                  <c:v>6.1904861443379061E-2</c:v>
                </c:pt>
                <c:pt idx="77">
                  <c:v>6.2652577349744873E-2</c:v>
                </c:pt>
                <c:pt idx="78">
                  <c:v>6.4365900937688875E-2</c:v>
                </c:pt>
                <c:pt idx="79">
                  <c:v>4.6032225191208781E-2</c:v>
                </c:pt>
                <c:pt idx="80">
                  <c:v>4.022102051462146E-2</c:v>
                </c:pt>
                <c:pt idx="81">
                  <c:v>4.5326582036670247E-2</c:v>
                </c:pt>
                <c:pt idx="82">
                  <c:v>4.2296532760559086E-2</c:v>
                </c:pt>
                <c:pt idx="83">
                  <c:v>6.4311185858801564E-2</c:v>
                </c:pt>
                <c:pt idx="84">
                  <c:v>7.1844437771104885E-2</c:v>
                </c:pt>
                <c:pt idx="85">
                  <c:v>6.8911211180147688E-2</c:v>
                </c:pt>
                <c:pt idx="86">
                  <c:v>5.9796789705805882E-2</c:v>
                </c:pt>
                <c:pt idx="87">
                  <c:v>5.6840344241568357E-2</c:v>
                </c:pt>
                <c:pt idx="88">
                  <c:v>5.8769594748272334E-2</c:v>
                </c:pt>
                <c:pt idx="89">
                  <c:v>6.4690392133391644E-2</c:v>
                </c:pt>
                <c:pt idx="90">
                  <c:v>6.5608772400802637E-2</c:v>
                </c:pt>
                <c:pt idx="91">
                  <c:v>7.0594113151439486E-2</c:v>
                </c:pt>
                <c:pt idx="92">
                  <c:v>5.2461932757686229E-2</c:v>
                </c:pt>
                <c:pt idx="93">
                  <c:v>8.7683860272593755E-2</c:v>
                </c:pt>
                <c:pt idx="94">
                  <c:v>4.7390017406111311E-2</c:v>
                </c:pt>
                <c:pt idx="95">
                  <c:v>8.8303551982603826E-2</c:v>
                </c:pt>
                <c:pt idx="96">
                  <c:v>6.6755679012254723E-2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'Result-lag'!$M$4:$M$100</c:f>
              <c:numCache>
                <c:formatCode>0%</c:formatCode>
                <c:ptCount val="97"/>
                <c:pt idx="0">
                  <c:v>0.37550576003788383</c:v>
                </c:pt>
                <c:pt idx="1">
                  <c:v>0.40311522507694925</c:v>
                </c:pt>
                <c:pt idx="2">
                  <c:v>0.34017338231102834</c:v>
                </c:pt>
                <c:pt idx="3">
                  <c:v>0.38158262177314861</c:v>
                </c:pt>
                <c:pt idx="4">
                  <c:v>0.36560959279804967</c:v>
                </c:pt>
                <c:pt idx="5">
                  <c:v>0.3657933728606933</c:v>
                </c:pt>
                <c:pt idx="6">
                  <c:v>0.37614168027698641</c:v>
                </c:pt>
                <c:pt idx="7">
                  <c:v>0.35132402710569782</c:v>
                </c:pt>
                <c:pt idx="8">
                  <c:v>0.32852190763463934</c:v>
                </c:pt>
                <c:pt idx="9">
                  <c:v>0.31984215474256944</c:v>
                </c:pt>
                <c:pt idx="10">
                  <c:v>0.36068556633553739</c:v>
                </c:pt>
                <c:pt idx="11">
                  <c:v>0.32288197286132359</c:v>
                </c:pt>
                <c:pt idx="12">
                  <c:v>0.35394263687240868</c:v>
                </c:pt>
                <c:pt idx="13">
                  <c:v>0.36089304402239231</c:v>
                </c:pt>
                <c:pt idx="14">
                  <c:v>0.3458992517655114</c:v>
                </c:pt>
                <c:pt idx="15">
                  <c:v>0.30661565542726188</c:v>
                </c:pt>
                <c:pt idx="16">
                  <c:v>0.33180450226029301</c:v>
                </c:pt>
                <c:pt idx="17">
                  <c:v>0.29795810609165746</c:v>
                </c:pt>
                <c:pt idx="18">
                  <c:v>0.20953296893799653</c:v>
                </c:pt>
                <c:pt idx="19">
                  <c:v>0.2660821923645002</c:v>
                </c:pt>
                <c:pt idx="20">
                  <c:v>0.24311074344650077</c:v>
                </c:pt>
                <c:pt idx="21">
                  <c:v>0.20413857287412085</c:v>
                </c:pt>
                <c:pt idx="22">
                  <c:v>0.28381516444324323</c:v>
                </c:pt>
                <c:pt idx="23">
                  <c:v>0.21651565581719651</c:v>
                </c:pt>
                <c:pt idx="24">
                  <c:v>0.24773280325097721</c:v>
                </c:pt>
                <c:pt idx="25">
                  <c:v>0.23676098434236334</c:v>
                </c:pt>
                <c:pt idx="26">
                  <c:v>0.15288189911798636</c:v>
                </c:pt>
                <c:pt idx="27">
                  <c:v>0.12515629483292184</c:v>
                </c:pt>
                <c:pt idx="28">
                  <c:v>0.16554654318276099</c:v>
                </c:pt>
                <c:pt idx="29">
                  <c:v>0.1439723493447683</c:v>
                </c:pt>
                <c:pt idx="30">
                  <c:v>0.1076829024682831</c:v>
                </c:pt>
                <c:pt idx="31">
                  <c:v>8.5119831401187618E-2</c:v>
                </c:pt>
                <c:pt idx="32">
                  <c:v>0.13242115768313981</c:v>
                </c:pt>
                <c:pt idx="33">
                  <c:v>0.1559203954831147</c:v>
                </c:pt>
                <c:pt idx="34">
                  <c:v>0.13117829222663574</c:v>
                </c:pt>
                <c:pt idx="35">
                  <c:v>0.12289651083914248</c:v>
                </c:pt>
                <c:pt idx="36">
                  <c:v>0.11332411386034898</c:v>
                </c:pt>
                <c:pt idx="37">
                  <c:v>8.8191891964496213E-2</c:v>
                </c:pt>
                <c:pt idx="38">
                  <c:v>0.11012153917342148</c:v>
                </c:pt>
                <c:pt idx="39">
                  <c:v>0.12543156690789942</c:v>
                </c:pt>
                <c:pt idx="40">
                  <c:v>0.12966831587540001</c:v>
                </c:pt>
                <c:pt idx="41">
                  <c:v>0.13314137604780785</c:v>
                </c:pt>
                <c:pt idx="42">
                  <c:v>0.15984162669332702</c:v>
                </c:pt>
                <c:pt idx="43">
                  <c:v>0.14297398639906411</c:v>
                </c:pt>
                <c:pt idx="44">
                  <c:v>0.15633423383303158</c:v>
                </c:pt>
                <c:pt idx="45">
                  <c:v>0.1702845447090249</c:v>
                </c:pt>
                <c:pt idx="46">
                  <c:v>0.12011306721285268</c:v>
                </c:pt>
                <c:pt idx="47">
                  <c:v>0.15491611163643715</c:v>
                </c:pt>
                <c:pt idx="48">
                  <c:v>0.13706270591065281</c:v>
                </c:pt>
                <c:pt idx="49">
                  <c:v>0.13217645745678483</c:v>
                </c:pt>
                <c:pt idx="50">
                  <c:v>0.11665292499468374</c:v>
                </c:pt>
                <c:pt idx="51">
                  <c:v>0.14701094842530613</c:v>
                </c:pt>
                <c:pt idx="52">
                  <c:v>0.17995204844844453</c:v>
                </c:pt>
                <c:pt idx="53">
                  <c:v>0.14202349628721855</c:v>
                </c:pt>
                <c:pt idx="54">
                  <c:v>0.16804773410632901</c:v>
                </c:pt>
                <c:pt idx="55">
                  <c:v>0.16748501414731126</c:v>
                </c:pt>
                <c:pt idx="56">
                  <c:v>0.16402626184140973</c:v>
                </c:pt>
                <c:pt idx="57">
                  <c:v>0.17016305774712442</c:v>
                </c:pt>
                <c:pt idx="58">
                  <c:v>0.14525234114055827</c:v>
                </c:pt>
                <c:pt idx="59">
                  <c:v>0.13532526613020557</c:v>
                </c:pt>
                <c:pt idx="60">
                  <c:v>0.1614527926258916</c:v>
                </c:pt>
                <c:pt idx="61">
                  <c:v>0.12525060939557764</c:v>
                </c:pt>
                <c:pt idx="62">
                  <c:v>0.13620959439421435</c:v>
                </c:pt>
                <c:pt idx="63">
                  <c:v>0.13733863522670775</c:v>
                </c:pt>
                <c:pt idx="64">
                  <c:v>0.14546232315383958</c:v>
                </c:pt>
                <c:pt idx="65">
                  <c:v>0.15845993461430821</c:v>
                </c:pt>
                <c:pt idx="66">
                  <c:v>0.16372431403049531</c:v>
                </c:pt>
                <c:pt idx="67">
                  <c:v>0.1629837588458527</c:v>
                </c:pt>
                <c:pt idx="68">
                  <c:v>0.21286215422832158</c:v>
                </c:pt>
                <c:pt idx="69">
                  <c:v>0.14278022439207907</c:v>
                </c:pt>
                <c:pt idx="70">
                  <c:v>0.20993135724176282</c:v>
                </c:pt>
                <c:pt idx="71">
                  <c:v>0.18446857980028583</c:v>
                </c:pt>
                <c:pt idx="72">
                  <c:v>0.17388941915115044</c:v>
                </c:pt>
                <c:pt idx="73">
                  <c:v>0.14994609903780043</c:v>
                </c:pt>
                <c:pt idx="74">
                  <c:v>0.14840841081445877</c:v>
                </c:pt>
                <c:pt idx="75">
                  <c:v>0.12866907072647701</c:v>
                </c:pt>
                <c:pt idx="76">
                  <c:v>0.14929854595468275</c:v>
                </c:pt>
                <c:pt idx="77">
                  <c:v>0.16376802805354307</c:v>
                </c:pt>
                <c:pt idx="78">
                  <c:v>0.1915499861772858</c:v>
                </c:pt>
                <c:pt idx="79">
                  <c:v>0.14960246851615303</c:v>
                </c:pt>
                <c:pt idx="80">
                  <c:v>0.15751906436276103</c:v>
                </c:pt>
                <c:pt idx="81">
                  <c:v>0.15415095729099806</c:v>
                </c:pt>
                <c:pt idx="82">
                  <c:v>0.14769520507134246</c:v>
                </c:pt>
                <c:pt idx="83">
                  <c:v>0.18831920421453135</c:v>
                </c:pt>
                <c:pt idx="84">
                  <c:v>0.20562187001601123</c:v>
                </c:pt>
                <c:pt idx="85">
                  <c:v>0.18606842799025941</c:v>
                </c:pt>
                <c:pt idx="86">
                  <c:v>0.17382810501281198</c:v>
                </c:pt>
                <c:pt idx="87">
                  <c:v>0.15703100288761518</c:v>
                </c:pt>
                <c:pt idx="88">
                  <c:v>0.17142081531218062</c:v>
                </c:pt>
                <c:pt idx="89">
                  <c:v>0.17145425965427855</c:v>
                </c:pt>
                <c:pt idx="90">
                  <c:v>0.18377952498715228</c:v>
                </c:pt>
                <c:pt idx="91">
                  <c:v>0.21979487241792109</c:v>
                </c:pt>
                <c:pt idx="92">
                  <c:v>0.15959124250445683</c:v>
                </c:pt>
                <c:pt idx="93">
                  <c:v>0.20453535671497505</c:v>
                </c:pt>
                <c:pt idx="94">
                  <c:v>0.13010674179369749</c:v>
                </c:pt>
                <c:pt idx="95">
                  <c:v>0.19788478331714357</c:v>
                </c:pt>
                <c:pt idx="96">
                  <c:v>0.17037034090246247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'Result-lag'!$L$4:$L$100</c:f>
              <c:numCache>
                <c:formatCode>0%</c:formatCode>
                <c:ptCount val="97"/>
                <c:pt idx="0">
                  <c:v>0.44920902705935184</c:v>
                </c:pt>
                <c:pt idx="1">
                  <c:v>0.46498457848281755</c:v>
                </c:pt>
                <c:pt idx="2">
                  <c:v>0.41780456535724247</c:v>
                </c:pt>
                <c:pt idx="3">
                  <c:v>0.44816498452972214</c:v>
                </c:pt>
                <c:pt idx="4">
                  <c:v>0.43622756070670909</c:v>
                </c:pt>
                <c:pt idx="5">
                  <c:v>0.45181178238396941</c:v>
                </c:pt>
                <c:pt idx="6">
                  <c:v>0.45440896894088573</c:v>
                </c:pt>
                <c:pt idx="7">
                  <c:v>0.44786710964390392</c:v>
                </c:pt>
                <c:pt idx="8">
                  <c:v>0.4089273842968838</c:v>
                </c:pt>
                <c:pt idx="9">
                  <c:v>0.44110264383127196</c:v>
                </c:pt>
                <c:pt idx="10">
                  <c:v>0.46229137585542684</c:v>
                </c:pt>
                <c:pt idx="11">
                  <c:v>0.41941919811603395</c:v>
                </c:pt>
                <c:pt idx="12">
                  <c:v>0.4414684661026802</c:v>
                </c:pt>
                <c:pt idx="13">
                  <c:v>0.43206883523556666</c:v>
                </c:pt>
                <c:pt idx="14">
                  <c:v>0.40930742132378306</c:v>
                </c:pt>
                <c:pt idx="15">
                  <c:v>0.3713595344280643</c:v>
                </c:pt>
                <c:pt idx="16">
                  <c:v>0.37994057509047657</c:v>
                </c:pt>
                <c:pt idx="17">
                  <c:v>0.35153765466811132</c:v>
                </c:pt>
                <c:pt idx="18">
                  <c:v>0.26385407533116129</c:v>
                </c:pt>
                <c:pt idx="19">
                  <c:v>0.34362071972119962</c:v>
                </c:pt>
                <c:pt idx="20">
                  <c:v>0.30423155583135447</c:v>
                </c:pt>
                <c:pt idx="21">
                  <c:v>0.251604814510275</c:v>
                </c:pt>
                <c:pt idx="22">
                  <c:v>0.34101363302454196</c:v>
                </c:pt>
                <c:pt idx="23">
                  <c:v>0.27909235576754277</c:v>
                </c:pt>
                <c:pt idx="24">
                  <c:v>0.34269098340700405</c:v>
                </c:pt>
                <c:pt idx="25">
                  <c:v>0.32506866904348403</c:v>
                </c:pt>
                <c:pt idx="26">
                  <c:v>0.21259780895775382</c:v>
                </c:pt>
                <c:pt idx="27">
                  <c:v>0.17216562052385181</c:v>
                </c:pt>
                <c:pt idx="28">
                  <c:v>0.21138208495893954</c:v>
                </c:pt>
                <c:pt idx="29">
                  <c:v>0.18274956145443508</c:v>
                </c:pt>
                <c:pt idx="30">
                  <c:v>0.14122449257785719</c:v>
                </c:pt>
                <c:pt idx="31">
                  <c:v>0.11358651627888978</c:v>
                </c:pt>
                <c:pt idx="32">
                  <c:v>0.16424419976914853</c:v>
                </c:pt>
                <c:pt idx="33">
                  <c:v>0.19804948510685211</c:v>
                </c:pt>
                <c:pt idx="34">
                  <c:v>0.16511753694620857</c:v>
                </c:pt>
                <c:pt idx="35">
                  <c:v>0.15894666813920882</c:v>
                </c:pt>
                <c:pt idx="36">
                  <c:v>0.14733742947968242</c:v>
                </c:pt>
                <c:pt idx="37">
                  <c:v>0.12044794655174566</c:v>
                </c:pt>
                <c:pt idx="38">
                  <c:v>0.14616983406396036</c:v>
                </c:pt>
                <c:pt idx="39">
                  <c:v>0.15710816391518426</c:v>
                </c:pt>
                <c:pt idx="40">
                  <c:v>0.15829096251150387</c:v>
                </c:pt>
                <c:pt idx="41">
                  <c:v>0.16333112018594731</c:v>
                </c:pt>
                <c:pt idx="42">
                  <c:v>0.20275034423324392</c:v>
                </c:pt>
                <c:pt idx="43">
                  <c:v>0.1816106214975052</c:v>
                </c:pt>
                <c:pt idx="44">
                  <c:v>0.202176078724912</c:v>
                </c:pt>
                <c:pt idx="45">
                  <c:v>0.22044528142971212</c:v>
                </c:pt>
                <c:pt idx="46">
                  <c:v>0.15321473146125367</c:v>
                </c:pt>
                <c:pt idx="47">
                  <c:v>0.19539094762782441</c:v>
                </c:pt>
                <c:pt idx="48">
                  <c:v>0.1745611317385303</c:v>
                </c:pt>
                <c:pt idx="49">
                  <c:v>0.15972387324806309</c:v>
                </c:pt>
                <c:pt idx="50">
                  <c:v>0.15817524873908595</c:v>
                </c:pt>
                <c:pt idx="51">
                  <c:v>0.18283029934101172</c:v>
                </c:pt>
                <c:pt idx="52">
                  <c:v>0.21194481639630247</c:v>
                </c:pt>
                <c:pt idx="53">
                  <c:v>0.17216832216399841</c:v>
                </c:pt>
                <c:pt idx="54">
                  <c:v>0.19593538740274852</c:v>
                </c:pt>
                <c:pt idx="55">
                  <c:v>0.20082246112086585</c:v>
                </c:pt>
                <c:pt idx="56">
                  <c:v>0.20099724153921386</c:v>
                </c:pt>
                <c:pt idx="57">
                  <c:v>0.20600070002716256</c:v>
                </c:pt>
                <c:pt idx="58">
                  <c:v>0.1772921579890078</c:v>
                </c:pt>
                <c:pt idx="59">
                  <c:v>0.17873579297509762</c:v>
                </c:pt>
                <c:pt idx="60">
                  <c:v>0.20283212090979533</c:v>
                </c:pt>
                <c:pt idx="61">
                  <c:v>0.17500169679674721</c:v>
                </c:pt>
                <c:pt idx="62">
                  <c:v>0.17876923821204119</c:v>
                </c:pt>
                <c:pt idx="63">
                  <c:v>0.18141449861201961</c:v>
                </c:pt>
                <c:pt idx="64">
                  <c:v>0.20358045820957582</c:v>
                </c:pt>
                <c:pt idx="65">
                  <c:v>0.20562878784762473</c:v>
                </c:pt>
                <c:pt idx="66">
                  <c:v>0.21371587610473791</c:v>
                </c:pt>
                <c:pt idx="67">
                  <c:v>0.21430919880070828</c:v>
                </c:pt>
                <c:pt idx="68">
                  <c:v>0.27844927058185448</c:v>
                </c:pt>
                <c:pt idx="69">
                  <c:v>0.19859085096235485</c:v>
                </c:pt>
                <c:pt idx="70">
                  <c:v>0.26707705687595523</c:v>
                </c:pt>
                <c:pt idx="71">
                  <c:v>0.24491854354608467</c:v>
                </c:pt>
                <c:pt idx="72">
                  <c:v>0.23712845602391078</c:v>
                </c:pt>
                <c:pt idx="73">
                  <c:v>0.1946019920786371</c:v>
                </c:pt>
                <c:pt idx="74">
                  <c:v>0.20559061345687155</c:v>
                </c:pt>
                <c:pt idx="75">
                  <c:v>0.1801128445152847</c:v>
                </c:pt>
                <c:pt idx="76">
                  <c:v>0.18889827562050637</c:v>
                </c:pt>
                <c:pt idx="77">
                  <c:v>0.20830611520155504</c:v>
                </c:pt>
                <c:pt idx="78">
                  <c:v>0.24430109017614512</c:v>
                </c:pt>
                <c:pt idx="79">
                  <c:v>0.20185946525236576</c:v>
                </c:pt>
                <c:pt idx="80">
                  <c:v>0.22097796577711543</c:v>
                </c:pt>
                <c:pt idx="81">
                  <c:v>0.20976917995389635</c:v>
                </c:pt>
                <c:pt idx="82">
                  <c:v>0.19177457507409593</c:v>
                </c:pt>
                <c:pt idx="83">
                  <c:v>0.23998610291859082</c:v>
                </c:pt>
                <c:pt idx="84">
                  <c:v>0.24936073169268197</c:v>
                </c:pt>
                <c:pt idx="85">
                  <c:v>0.23550912230289572</c:v>
                </c:pt>
                <c:pt idx="86">
                  <c:v>0.23283478455015641</c:v>
                </c:pt>
                <c:pt idx="87">
                  <c:v>0.23410731082360559</c:v>
                </c:pt>
                <c:pt idx="88">
                  <c:v>0.23092892688235975</c:v>
                </c:pt>
                <c:pt idx="89">
                  <c:v>0.23906767675094415</c:v>
                </c:pt>
                <c:pt idx="90">
                  <c:v>0.24005675204614571</c:v>
                </c:pt>
                <c:pt idx="91">
                  <c:v>0.27489417411607353</c:v>
                </c:pt>
                <c:pt idx="92">
                  <c:v>0.21909505068217819</c:v>
                </c:pt>
                <c:pt idx="93">
                  <c:v>0.27177429404495912</c:v>
                </c:pt>
                <c:pt idx="94">
                  <c:v>0.18073863641114155</c:v>
                </c:pt>
                <c:pt idx="95">
                  <c:v>0.2567535076899205</c:v>
                </c:pt>
                <c:pt idx="96">
                  <c:v>0.23183431683850431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554368"/>
        <c:axId val="392555904"/>
      </c:lineChart>
      <c:dateAx>
        <c:axId val="392554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92555904"/>
        <c:crosses val="autoZero"/>
        <c:auto val="1"/>
        <c:lblOffset val="100"/>
        <c:baseTimeUnit val="months"/>
      </c:dateAx>
      <c:valAx>
        <c:axId val="3925559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92554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'Result-lag'!$D$4:$D$100</c:f>
              <c:numCache>
                <c:formatCode>_(* #,##0_);_(* \(#,##0\);_(* "-"??_);_(@_)</c:formatCode>
                <c:ptCount val="97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78436521989.979996</c:v>
                </c:pt>
                <c:pt idx="30">
                  <c:v>59684456334.959999</c:v>
                </c:pt>
                <c:pt idx="31">
                  <c:v>56386030208.150002</c:v>
                </c:pt>
                <c:pt idx="32">
                  <c:v>37508648146.959999</c:v>
                </c:pt>
                <c:pt idx="33">
                  <c:v>36508839962.290001</c:v>
                </c:pt>
                <c:pt idx="34">
                  <c:v>47221077996.639999</c:v>
                </c:pt>
                <c:pt idx="35">
                  <c:v>39245939454.400002</c:v>
                </c:pt>
                <c:pt idx="36">
                  <c:v>40750598821.720001</c:v>
                </c:pt>
                <c:pt idx="37">
                  <c:v>34495230505.029999</c:v>
                </c:pt>
                <c:pt idx="38">
                  <c:v>34561761859.559998</c:v>
                </c:pt>
                <c:pt idx="39">
                  <c:v>33643649195.490002</c:v>
                </c:pt>
                <c:pt idx="40">
                  <c:v>37058941299.720001</c:v>
                </c:pt>
                <c:pt idx="41">
                  <c:v>38950467364.989998</c:v>
                </c:pt>
                <c:pt idx="42">
                  <c:v>44231744040.459999</c:v>
                </c:pt>
                <c:pt idx="43">
                  <c:v>66478903663.989998</c:v>
                </c:pt>
                <c:pt idx="44">
                  <c:v>66148630556.470001</c:v>
                </c:pt>
                <c:pt idx="45">
                  <c:v>69073769739.929993</c:v>
                </c:pt>
                <c:pt idx="46">
                  <c:v>79153858723.479996</c:v>
                </c:pt>
                <c:pt idx="47">
                  <c:v>63764397417.18</c:v>
                </c:pt>
                <c:pt idx="48">
                  <c:v>48877979273.129997</c:v>
                </c:pt>
                <c:pt idx="49">
                  <c:v>50756307252.699997</c:v>
                </c:pt>
                <c:pt idx="50">
                  <c:v>30805015553.650002</c:v>
                </c:pt>
                <c:pt idx="51">
                  <c:v>28676295277.299999</c:v>
                </c:pt>
                <c:pt idx="52">
                  <c:v>32780042718.380001</c:v>
                </c:pt>
                <c:pt idx="53">
                  <c:v>28164427848.759998</c:v>
                </c:pt>
                <c:pt idx="54">
                  <c:v>35806727761.07</c:v>
                </c:pt>
                <c:pt idx="55">
                  <c:v>43873920654.160004</c:v>
                </c:pt>
                <c:pt idx="56">
                  <c:v>48753124897.230003</c:v>
                </c:pt>
                <c:pt idx="57">
                  <c:v>60317961040.480003</c:v>
                </c:pt>
                <c:pt idx="58">
                  <c:v>72548286074.940002</c:v>
                </c:pt>
                <c:pt idx="59">
                  <c:v>56058928986.629997</c:v>
                </c:pt>
                <c:pt idx="60">
                  <c:v>53815099982.089996</c:v>
                </c:pt>
                <c:pt idx="61">
                  <c:v>85338937021.710007</c:v>
                </c:pt>
                <c:pt idx="62">
                  <c:v>45858172487.629997</c:v>
                </c:pt>
                <c:pt idx="63">
                  <c:v>64624114881.870003</c:v>
                </c:pt>
                <c:pt idx="64">
                  <c:v>64031205593.419998</c:v>
                </c:pt>
                <c:pt idx="65">
                  <c:v>70029025970.190002</c:v>
                </c:pt>
                <c:pt idx="66">
                  <c:v>78101172544.710007</c:v>
                </c:pt>
                <c:pt idx="67">
                  <c:v>82853256609.399994</c:v>
                </c:pt>
                <c:pt idx="68">
                  <c:v>59855355813.010002</c:v>
                </c:pt>
                <c:pt idx="69">
                  <c:v>105127205844.42999</c:v>
                </c:pt>
                <c:pt idx="70">
                  <c:v>65639534877.540001</c:v>
                </c:pt>
                <c:pt idx="71">
                  <c:v>83795259138.630005</c:v>
                </c:pt>
                <c:pt idx="72">
                  <c:v>75678490996.460007</c:v>
                </c:pt>
                <c:pt idx="73">
                  <c:v>65489883342.510002</c:v>
                </c:pt>
                <c:pt idx="74">
                  <c:v>71783179195.610001</c:v>
                </c:pt>
                <c:pt idx="75">
                  <c:v>71962352414.850006</c:v>
                </c:pt>
                <c:pt idx="76">
                  <c:v>65362029192.18</c:v>
                </c:pt>
                <c:pt idx="77">
                  <c:v>70737725860.339996</c:v>
                </c:pt>
                <c:pt idx="78">
                  <c:v>63694656425.440002</c:v>
                </c:pt>
                <c:pt idx="79">
                  <c:v>51117895079.279999</c:v>
                </c:pt>
                <c:pt idx="80">
                  <c:v>45895739831.089996</c:v>
                </c:pt>
                <c:pt idx="81">
                  <c:v>37273656807.68</c:v>
                </c:pt>
                <c:pt idx="82">
                  <c:v>36772692491.720001</c:v>
                </c:pt>
                <c:pt idx="83">
                  <c:v>27279227748.369999</c:v>
                </c:pt>
                <c:pt idx="84">
                  <c:v>26678236242.540001</c:v>
                </c:pt>
                <c:pt idx="85">
                  <c:v>22770371557.509998</c:v>
                </c:pt>
                <c:pt idx="86">
                  <c:v>26290450001.990002</c:v>
                </c:pt>
                <c:pt idx="87">
                  <c:v>26795968721.740002</c:v>
                </c:pt>
                <c:pt idx="88">
                  <c:v>30892195848.830002</c:v>
                </c:pt>
                <c:pt idx="89">
                  <c:v>35541456256.889999</c:v>
                </c:pt>
                <c:pt idx="90">
                  <c:v>33356083132.919998</c:v>
                </c:pt>
                <c:pt idx="91">
                  <c:v>39426526391.220001</c:v>
                </c:pt>
                <c:pt idx="92">
                  <c:v>38810259856.690002</c:v>
                </c:pt>
                <c:pt idx="93">
                  <c:v>31524018987.950001</c:v>
                </c:pt>
                <c:pt idx="94">
                  <c:v>43458210964.160004</c:v>
                </c:pt>
                <c:pt idx="95">
                  <c:v>35989324161.910004</c:v>
                </c:pt>
                <c:pt idx="96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776192"/>
        <c:axId val="400777984"/>
      </c:lineChart>
      <c:dateAx>
        <c:axId val="400776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0777984"/>
        <c:crosses val="autoZero"/>
        <c:auto val="1"/>
        <c:lblOffset val="100"/>
        <c:baseTimeUnit val="months"/>
      </c:dateAx>
      <c:valAx>
        <c:axId val="40077798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400776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'Result-lag'!$O$11:$O$100</c:f>
              <c:numCache>
                <c:formatCode>0%</c:formatCode>
                <c:ptCount val="90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0.21216765951575364</c:v>
                </c:pt>
                <c:pt idx="23">
                  <c:v>0.23208553863606679</c:v>
                </c:pt>
                <c:pt idx="24">
                  <c:v>0.22340939007334501</c:v>
                </c:pt>
                <c:pt idx="25">
                  <c:v>0.18838151854648166</c:v>
                </c:pt>
                <c:pt idx="26">
                  <c:v>0.17441633019529626</c:v>
                </c:pt>
                <c:pt idx="27">
                  <c:v>0.16491633169713149</c:v>
                </c:pt>
                <c:pt idx="28">
                  <c:v>0.18634479602271523</c:v>
                </c:pt>
                <c:pt idx="29">
                  <c:v>0.13529391222691473</c:v>
                </c:pt>
                <c:pt idx="30">
                  <c:v>0.12709544527005581</c:v>
                </c:pt>
                <c:pt idx="31">
                  <c:v>0.14115790958875932</c:v>
                </c:pt>
                <c:pt idx="32">
                  <c:v>0.12648648678664901</c:v>
                </c:pt>
                <c:pt idx="33">
                  <c:v>0.19963166764010867</c:v>
                </c:pt>
                <c:pt idx="34">
                  <c:v>0.19283656583338482</c:v>
                </c:pt>
                <c:pt idx="35">
                  <c:v>0.21509601748050483</c:v>
                </c:pt>
                <c:pt idx="36">
                  <c:v>0.16907032685736398</c:v>
                </c:pt>
                <c:pt idx="37">
                  <c:v>0.21562458930564979</c:v>
                </c:pt>
                <c:pt idx="38">
                  <c:v>0.23714584097645922</c:v>
                </c:pt>
                <c:pt idx="39">
                  <c:v>0.22038461926500333</c:v>
                </c:pt>
                <c:pt idx="40">
                  <c:v>0.18020871859684529</c:v>
                </c:pt>
                <c:pt idx="41">
                  <c:v>0.1565618080450559</c:v>
                </c:pt>
                <c:pt idx="42">
                  <c:v>0.18509441785641814</c:v>
                </c:pt>
                <c:pt idx="43">
                  <c:v>0.18936748123208813</c:v>
                </c:pt>
                <c:pt idx="44">
                  <c:v>0.20048874564459848</c:v>
                </c:pt>
                <c:pt idx="45">
                  <c:v>0.17869579294311205</c:v>
                </c:pt>
                <c:pt idx="46">
                  <c:v>0.21649656209928853</c:v>
                </c:pt>
                <c:pt idx="47">
                  <c:v>0.23935121987320893</c:v>
                </c:pt>
                <c:pt idx="48">
                  <c:v>0.18741788201256504</c:v>
                </c:pt>
                <c:pt idx="49">
                  <c:v>0.25310602025863377</c:v>
                </c:pt>
                <c:pt idx="50">
                  <c:v>0.21442824673433414</c:v>
                </c:pt>
                <c:pt idx="51">
                  <c:v>0.22718117129693516</c:v>
                </c:pt>
                <c:pt idx="52">
                  <c:v>0.252165609485002</c:v>
                </c:pt>
                <c:pt idx="53">
                  <c:v>0.27082177943440444</c:v>
                </c:pt>
                <c:pt idx="54">
                  <c:v>0.18238063745896571</c:v>
                </c:pt>
                <c:pt idx="55">
                  <c:v>0.33147102925526084</c:v>
                </c:pt>
                <c:pt idx="56">
                  <c:v>0.25908435173225403</c:v>
                </c:pt>
                <c:pt idx="57">
                  <c:v>0.28877697990134599</c:v>
                </c:pt>
                <c:pt idx="58">
                  <c:v>0.27841408478992019</c:v>
                </c:pt>
                <c:pt idx="59">
                  <c:v>0.29291332817921323</c:v>
                </c:pt>
                <c:pt idx="60">
                  <c:v>0.30047131642639102</c:v>
                </c:pt>
                <c:pt idx="61">
                  <c:v>0.21788472062102954</c:v>
                </c:pt>
                <c:pt idx="62">
                  <c:v>0.35373260571616627</c:v>
                </c:pt>
                <c:pt idx="63">
                  <c:v>0.41809218623196476</c:v>
                </c:pt>
                <c:pt idx="64">
                  <c:v>0.3384285623152456</c:v>
                </c:pt>
                <c:pt idx="65">
                  <c:v>0.27771340488598145</c:v>
                </c:pt>
                <c:pt idx="66">
                  <c:v>0.33550988653460423</c:v>
                </c:pt>
                <c:pt idx="67">
                  <c:v>0.30225112066974158</c:v>
                </c:pt>
                <c:pt idx="68">
                  <c:v>0.30848654049695812</c:v>
                </c:pt>
                <c:pt idx="69">
                  <c:v>0.29390928125298121</c:v>
                </c:pt>
                <c:pt idx="70">
                  <c:v>0.30088348836236817</c:v>
                </c:pt>
                <c:pt idx="71">
                  <c:v>0.28365882685276123</c:v>
                </c:pt>
                <c:pt idx="72">
                  <c:v>0.27828996725231298</c:v>
                </c:pt>
                <c:pt idx="73">
                  <c:v>0.34161160661363382</c:v>
                </c:pt>
                <c:pt idx="74">
                  <c:v>0.29698207495512424</c:v>
                </c:pt>
                <c:pt idx="75">
                  <c:v>0.42130442988308242</c:v>
                </c:pt>
                <c:pt idx="76">
                  <c:v>0.3997816400004815</c:v>
                </c:pt>
                <c:pt idx="77">
                  <c:v>0.33758706470104072</c:v>
                </c:pt>
                <c:pt idx="78">
                  <c:v>0.40526658282115069</c:v>
                </c:pt>
                <c:pt idx="79">
                  <c:v>0.37822597482764003</c:v>
                </c:pt>
                <c:pt idx="80">
                  <c:v>0.42098537555157606</c:v>
                </c:pt>
                <c:pt idx="81">
                  <c:v>0.41566480643998399</c:v>
                </c:pt>
                <c:pt idx="82">
                  <c:v>0.43826453299730389</c:v>
                </c:pt>
                <c:pt idx="83">
                  <c:v>0.42232191482360115</c:v>
                </c:pt>
                <c:pt idx="84">
                  <c:v>0.33276296456163729</c:v>
                </c:pt>
                <c:pt idx="85">
                  <c:v>0.46207866581750529</c:v>
                </c:pt>
                <c:pt idx="86">
                  <c:v>0.21654578680495581</c:v>
                </c:pt>
                <c:pt idx="87">
                  <c:v>0.52386215460008734</c:v>
                </c:pt>
                <c:pt idx="88">
                  <c:v>0.36242494187136653</c:v>
                </c:pt>
                <c:pt idx="89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'Result-lag'!$P$11:$P$100</c:f>
              <c:numCache>
                <c:formatCode>0%</c:formatCode>
                <c:ptCount val="90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1.3036208846188042E-2</c:v>
                </c:pt>
                <c:pt idx="23">
                  <c:v>1.8421836932205959E-2</c:v>
                </c:pt>
                <c:pt idx="24">
                  <c:v>1.2756111061637349E-2</c:v>
                </c:pt>
                <c:pt idx="25">
                  <c:v>2.0059628147141881E-2</c:v>
                </c:pt>
                <c:pt idx="26">
                  <c:v>1.6190231281534379E-2</c:v>
                </c:pt>
                <c:pt idx="27">
                  <c:v>1.5292709271723604E-2</c:v>
                </c:pt>
                <c:pt idx="28">
                  <c:v>1.8603559834726908E-2</c:v>
                </c:pt>
                <c:pt idx="29">
                  <c:v>2.0188664839975362E-2</c:v>
                </c:pt>
                <c:pt idx="30">
                  <c:v>1.8318671908218068E-2</c:v>
                </c:pt>
                <c:pt idx="31">
                  <c:v>1.6212817059990402E-2</c:v>
                </c:pt>
                <c:pt idx="32">
                  <c:v>2.0848137167415987E-2</c:v>
                </c:pt>
                <c:pt idx="33">
                  <c:v>1.4202097241617006E-2</c:v>
                </c:pt>
                <c:pt idx="34">
                  <c:v>1.7175260712052609E-2</c:v>
                </c:pt>
                <c:pt idx="35">
                  <c:v>2.357149932221296E-2</c:v>
                </c:pt>
                <c:pt idx="36">
                  <c:v>2.0169378724672012E-2</c:v>
                </c:pt>
                <c:pt idx="37">
                  <c:v>2.259686238619793E-2</c:v>
                </c:pt>
                <c:pt idx="38">
                  <c:v>2.3270054582250878E-2</c:v>
                </c:pt>
                <c:pt idx="39">
                  <c:v>2.3623349573042657E-2</c:v>
                </c:pt>
                <c:pt idx="40">
                  <c:v>2.3233345102714815E-2</c:v>
                </c:pt>
                <c:pt idx="41">
                  <c:v>2.220603182416496E-2</c:v>
                </c:pt>
                <c:pt idx="42">
                  <c:v>1.6341750825970055E-2</c:v>
                </c:pt>
                <c:pt idx="43">
                  <c:v>1.9188162484792614E-2</c:v>
                </c:pt>
                <c:pt idx="44">
                  <c:v>2.1420748481281365E-2</c:v>
                </c:pt>
                <c:pt idx="45">
                  <c:v>2.3102880150774455E-2</c:v>
                </c:pt>
                <c:pt idx="46">
                  <c:v>2.3033161636498899E-2</c:v>
                </c:pt>
                <c:pt idx="47">
                  <c:v>2.0633217480242671E-2</c:v>
                </c:pt>
                <c:pt idx="48">
                  <c:v>2.1803168262996317E-2</c:v>
                </c:pt>
                <c:pt idx="49">
                  <c:v>3.2680187361293099E-2</c:v>
                </c:pt>
                <c:pt idx="50">
                  <c:v>3.818760929889798E-2</c:v>
                </c:pt>
                <c:pt idx="51">
                  <c:v>2.5114618749475494E-2</c:v>
                </c:pt>
                <c:pt idx="52">
                  <c:v>4.0269768242422309E-2</c:v>
                </c:pt>
                <c:pt idx="53">
                  <c:v>2.6899653497099753E-2</c:v>
                </c:pt>
                <c:pt idx="54">
                  <c:v>3.4609360548733231E-2</c:v>
                </c:pt>
                <c:pt idx="55">
                  <c:v>2.7160980277964226E-2</c:v>
                </c:pt>
                <c:pt idx="56">
                  <c:v>2.3838683279392897E-2</c:v>
                </c:pt>
                <c:pt idx="57">
                  <c:v>3.2627788670508667E-2</c:v>
                </c:pt>
                <c:pt idx="58">
                  <c:v>3.11895863920735E-2</c:v>
                </c:pt>
                <c:pt idx="59">
                  <c:v>3.3563201442070402E-2</c:v>
                </c:pt>
                <c:pt idx="60">
                  <c:v>3.1771843337191706E-2</c:v>
                </c:pt>
                <c:pt idx="61">
                  <c:v>3.2910739603720325E-2</c:v>
                </c:pt>
                <c:pt idx="62">
                  <c:v>3.0641794769157512E-2</c:v>
                </c:pt>
                <c:pt idx="63">
                  <c:v>2.1683313224954117E-2</c:v>
                </c:pt>
                <c:pt idx="64">
                  <c:v>2.7246584078853508E-2</c:v>
                </c:pt>
                <c:pt idx="65">
                  <c:v>2.449655313101734E-2</c:v>
                </c:pt>
                <c:pt idx="66">
                  <c:v>2.6077026710650215E-2</c:v>
                </c:pt>
                <c:pt idx="67">
                  <c:v>3.0194127848165189E-2</c:v>
                </c:pt>
                <c:pt idx="68">
                  <c:v>2.4814932701692754E-2</c:v>
                </c:pt>
                <c:pt idx="69">
                  <c:v>3.3152146030668975E-2</c:v>
                </c:pt>
                <c:pt idx="70">
                  <c:v>3.2402033092854408E-2</c:v>
                </c:pt>
                <c:pt idx="71">
                  <c:v>2.6557313052000105E-2</c:v>
                </c:pt>
                <c:pt idx="72">
                  <c:v>2.6780935657010278E-2</c:v>
                </c:pt>
                <c:pt idx="73">
                  <c:v>2.0765381673930536E-2</c:v>
                </c:pt>
                <c:pt idx="74">
                  <c:v>2.3870065497482339E-2</c:v>
                </c:pt>
                <c:pt idx="75">
                  <c:v>1.855246514906719E-2</c:v>
                </c:pt>
                <c:pt idx="76">
                  <c:v>2.4058775888522569E-2</c:v>
                </c:pt>
                <c:pt idx="77">
                  <c:v>2.5601219856165904E-2</c:v>
                </c:pt>
                <c:pt idx="78">
                  <c:v>2.3693169485943869E-2</c:v>
                </c:pt>
                <c:pt idx="79">
                  <c:v>2.9835626602459336E-2</c:v>
                </c:pt>
                <c:pt idx="80">
                  <c:v>2.9690770649934466E-2</c:v>
                </c:pt>
                <c:pt idx="81">
                  <c:v>2.3126089300222325E-2</c:v>
                </c:pt>
                <c:pt idx="82">
                  <c:v>2.1557375579439562E-2</c:v>
                </c:pt>
                <c:pt idx="83">
                  <c:v>2.0795713751696619E-2</c:v>
                </c:pt>
                <c:pt idx="84">
                  <c:v>1.9212821765822324E-2</c:v>
                </c:pt>
                <c:pt idx="85">
                  <c:v>1.9470684302561842E-2</c:v>
                </c:pt>
                <c:pt idx="86">
                  <c:v>2.4895643070447091E-2</c:v>
                </c:pt>
                <c:pt idx="87">
                  <c:v>2.2872345483566838E-2</c:v>
                </c:pt>
                <c:pt idx="88">
                  <c:v>2.5670195726480955E-2</c:v>
                </c:pt>
                <c:pt idx="89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827136"/>
        <c:axId val="400828672"/>
      </c:lineChart>
      <c:dateAx>
        <c:axId val="400827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0828672"/>
        <c:crosses val="autoZero"/>
        <c:auto val="1"/>
        <c:lblOffset val="100"/>
        <c:baseTimeUnit val="months"/>
      </c:dateAx>
      <c:valAx>
        <c:axId val="4008286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0827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295276</xdr:colOff>
      <xdr:row>5</xdr:row>
      <xdr:rowOff>57151</xdr:rowOff>
    </xdr:from>
    <xdr:to>
      <xdr:col>23</xdr:col>
      <xdr:colOff>66676</xdr:colOff>
      <xdr:row>7</xdr:row>
      <xdr:rowOff>60961</xdr:rowOff>
    </xdr:to>
    <xdr:sp macro="[0]!CreatePDFReport" textlink="">
      <xdr:nvSpPr>
        <xdr:cNvPr id="3" name="Rounded Rectangle 2"/>
        <xdr:cNvSpPr/>
      </xdr:nvSpPr>
      <xdr:spPr>
        <a:xfrm>
          <a:off x="20402551" y="866776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Cello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5</xdr:col>
      <xdr:colOff>1038225</xdr:colOff>
      <xdr:row>59</xdr:row>
      <xdr:rowOff>47625</xdr:rowOff>
    </xdr:to>
    <xdr:sp macro="" textlink="">
      <xdr:nvSpPr>
        <xdr:cNvPr id="7" name="TextBox 6"/>
        <xdr:cNvSpPr txBox="1"/>
      </xdr:nvSpPr>
      <xdr:spPr>
        <a:xfrm>
          <a:off x="3067050" y="9429749"/>
          <a:ext cx="2333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New data</a:t>
          </a:r>
          <a:r>
            <a:rPr lang="en-US" sz="900" baseline="0"/>
            <a:t> will be updated on the 4th business day</a:t>
          </a:r>
          <a:endParaRPr lang="en-US" sz="900"/>
        </a:p>
      </xdr:txBody>
    </xdr:sp>
    <xdr:clientData/>
  </xdr:twoCellAnchor>
  <xdr:twoCellAnchor>
    <xdr:from>
      <xdr:col>2</xdr:col>
      <xdr:colOff>438150</xdr:colOff>
      <xdr:row>36</xdr:row>
      <xdr:rowOff>161924</xdr:rowOff>
    </xdr:from>
    <xdr:to>
      <xdr:col>8</xdr:col>
      <xdr:colOff>952500</xdr:colOff>
      <xdr:row>38</xdr:row>
      <xdr:rowOff>47625</xdr:rowOff>
    </xdr:to>
    <xdr:sp macro="" textlink="">
      <xdr:nvSpPr>
        <xdr:cNvPr id="9" name="TextBox 8"/>
        <xdr:cNvSpPr txBox="1"/>
      </xdr:nvSpPr>
      <xdr:spPr>
        <a:xfrm>
          <a:off x="1657350" y="5991224"/>
          <a:ext cx="6800850" cy="209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/>
            <a:t>Note: </a:t>
          </a:r>
          <a:r>
            <a:rPr lang="en-US" sz="900"/>
            <a:t>Exclude Bank Lenders: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Wells Fargo, Bank of America, Citi, Chase ,</a:t>
          </a:r>
          <a:r>
            <a:rPr lang="en-US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CWB, SunTrust, PNC, Wachovia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51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53</xdr:row>
      <xdr:rowOff>128587</xdr:rowOff>
    </xdr:from>
    <xdr:to>
      <xdr:col>30</xdr:col>
      <xdr:colOff>476250</xdr:colOff>
      <xdr:row>68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118.493373148151" createdVersion="4" refreshedVersion="4" minRefreshableVersion="3" recordCount="1410">
  <cacheSource type="worksheet">
    <worksheetSource name="temp_9" sheet="Input-lag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4-02T00:00:00" count="141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</sharedItems>
    </cacheField>
    <cacheField name="TotalBalance" numFmtId="0">
      <sharedItems containsSemiMixedTypes="0" containsString="0" containsNumber="1" minValue="29110831.170000002" maxValue="25312850976.130001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822.685633333334" createdVersion="4" refreshedVersion="4" minRefreshableVersion="3" recordCount="1220">
  <cacheSource type="worksheet">
    <worksheetSource name="CurrentMtgRatesDataTable82"/>
  </cacheSource>
  <cacheFields count="4">
    <cacheField name="asOf" numFmtId="14">
      <sharedItems containsSemiMixedTypes="0" containsNonDate="0" containsDate="1" containsString="0" minDate="2007-01-01T00:00:00" maxDate="2017-02-02T00:00:00" count="122"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</sharedItems>
    </cacheField>
    <cacheField name="TotalBalance" numFmtId="0">
      <sharedItems containsSemiMixedTypes="0" containsString="0" containsNumber="1" minValue="19495000" maxValue="5979329449.8800001"/>
    </cacheField>
    <cacheField name="servicerName" numFmtId="0">
      <sharedItems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10">
  <r>
    <s v="CWB"/>
    <x v="0"/>
    <n v="23300241072.73"/>
    <x v="0"/>
  </r>
  <r>
    <s v="WAMU"/>
    <x v="0"/>
    <n v="17817818276.099998"/>
    <x v="1"/>
  </r>
  <r>
    <s v="ALLY"/>
    <x v="0"/>
    <n v="5591763689.3800001"/>
    <x v="2"/>
  </r>
  <r>
    <s v="FLAGSTAR"/>
    <x v="0"/>
    <n v="4371995001.1899996"/>
    <x v="3"/>
  </r>
  <r>
    <s v="FIRST BANK OF TENNESSEE"/>
    <x v="0"/>
    <n v="3031001736.98"/>
    <x v="4"/>
  </r>
  <r>
    <s v="SUNTRUST"/>
    <x v="0"/>
    <n v="2160965900.48"/>
    <x v="5"/>
  </r>
  <r>
    <s v="OHIO SAVINGS BANK"/>
    <x v="0"/>
    <n v="1659941249.73"/>
    <x v="6"/>
  </r>
  <r>
    <s v="IRWIN"/>
    <x v="0"/>
    <n v="1198886665.48"/>
    <x v="7"/>
  </r>
  <r>
    <s v="CENDANT MORTGAGE CORPORATION DBA PHH MOR"/>
    <x v="0"/>
    <n v="1051765871.46"/>
    <x v="8"/>
  </r>
  <r>
    <s v="WACHOVIA"/>
    <x v="0"/>
    <n v="1031522755.11"/>
    <x v="9"/>
  </r>
  <r>
    <s v="CWB"/>
    <x v="1"/>
    <n v="23865657170.52"/>
    <x v="0"/>
  </r>
  <r>
    <s v="WAMU"/>
    <x v="1"/>
    <n v="20341432059.669998"/>
    <x v="1"/>
  </r>
  <r>
    <s v="ALLY"/>
    <x v="1"/>
    <n v="6153977891.3500004"/>
    <x v="2"/>
  </r>
  <r>
    <s v="FLAGSTAR"/>
    <x v="1"/>
    <n v="3946035702.4200001"/>
    <x v="3"/>
  </r>
  <r>
    <s v="FIRST BANK OF TENNESSEE"/>
    <x v="1"/>
    <n v="2415574600.1999998"/>
    <x v="4"/>
  </r>
  <r>
    <s v="SUNTRUST"/>
    <x v="1"/>
    <n v="1957977856.9100001"/>
    <x v="5"/>
  </r>
  <r>
    <s v="OHIO SAVINGS BANK"/>
    <x v="1"/>
    <n v="1715880812.6199999"/>
    <x v="6"/>
  </r>
  <r>
    <s v="IRWIN"/>
    <x v="1"/>
    <n v="1296979916.24"/>
    <x v="7"/>
  </r>
  <r>
    <s v="CENDANT MORTGAGE CORPORATION DBA PHH MOR"/>
    <x v="1"/>
    <n v="1176441031.4400001"/>
    <x v="8"/>
  </r>
  <r>
    <s v="WACHOVIA"/>
    <x v="1"/>
    <n v="1146759893.3599999"/>
    <x v="9"/>
  </r>
  <r>
    <s v="CWB"/>
    <x v="2"/>
    <n v="25312850976.130001"/>
    <x v="0"/>
  </r>
  <r>
    <s v="WAMU"/>
    <x v="2"/>
    <n v="19350033281.610001"/>
    <x v="1"/>
  </r>
  <r>
    <s v="ALLY"/>
    <x v="2"/>
    <n v="6553272141.8500004"/>
    <x v="2"/>
  </r>
  <r>
    <s v="FLAGSTAR"/>
    <x v="2"/>
    <n v="5198344897.3400002"/>
    <x v="3"/>
  </r>
  <r>
    <s v="FIRST BANK OF TENNESSEE"/>
    <x v="2"/>
    <n v="3097950638.54"/>
    <x v="4"/>
  </r>
  <r>
    <s v="OHIO SAVINGS BANK"/>
    <x v="2"/>
    <n v="1897629658.1199999"/>
    <x v="5"/>
  </r>
  <r>
    <s v="IRWIN"/>
    <x v="2"/>
    <n v="1635620122.54"/>
    <x v="6"/>
  </r>
  <r>
    <s v="SUNTRUST"/>
    <x v="2"/>
    <n v="1443958844.49"/>
    <x v="7"/>
  </r>
  <r>
    <s v="CENDANT MORTGAGE CORPORATION DBA PHH MOR"/>
    <x v="2"/>
    <n v="1337755989.25"/>
    <x v="8"/>
  </r>
  <r>
    <s v="WACHOVIA"/>
    <x v="2"/>
    <n v="1169866022.78"/>
    <x v="9"/>
  </r>
  <r>
    <s v="CWB"/>
    <x v="3"/>
    <n v="19826816440.5"/>
    <x v="0"/>
  </r>
  <r>
    <s v="WAMU"/>
    <x v="3"/>
    <n v="14426975099.549999"/>
    <x v="1"/>
  </r>
  <r>
    <s v="ALLY"/>
    <x v="3"/>
    <n v="7515096015.8900003"/>
    <x v="2"/>
  </r>
  <r>
    <s v="FLAGSTAR"/>
    <x v="3"/>
    <n v="5929568065.8800001"/>
    <x v="3"/>
  </r>
  <r>
    <s v="FIRST BANK OF TENNESSEE"/>
    <x v="3"/>
    <n v="4567955305.6700001"/>
    <x v="4"/>
  </r>
  <r>
    <s v="IRWIN"/>
    <x v="3"/>
    <n v="2004877979.8800001"/>
    <x v="5"/>
  </r>
  <r>
    <s v="OHIO SAVINGS BANK"/>
    <x v="3"/>
    <n v="1923326219.5599999"/>
    <x v="6"/>
  </r>
  <r>
    <s v="SUNTRUST"/>
    <x v="3"/>
    <n v="1784639708.6300001"/>
    <x v="7"/>
  </r>
  <r>
    <s v="CENDANT MORTGAGE CORPORATION DBA PHH MOR"/>
    <x v="3"/>
    <n v="1458577671.3"/>
    <x v="8"/>
  </r>
  <r>
    <s v="UNION PLANTERS BANK NA"/>
    <x v="3"/>
    <n v="1240540069.48"/>
    <x v="9"/>
  </r>
  <r>
    <s v="WAMU"/>
    <x v="4"/>
    <n v="23304462130.580002"/>
    <x v="0"/>
  </r>
  <r>
    <s v="CWB"/>
    <x v="4"/>
    <n v="15233136435.33"/>
    <x v="1"/>
  </r>
  <r>
    <s v="ALLY"/>
    <x v="4"/>
    <n v="8298069354.0699997"/>
    <x v="2"/>
  </r>
  <r>
    <s v="FLAGSTAR"/>
    <x v="4"/>
    <n v="3618514005.9400001"/>
    <x v="3"/>
  </r>
  <r>
    <s v="FIRST BANK OF TENNESSEE"/>
    <x v="4"/>
    <n v="2584077491.52"/>
    <x v="4"/>
  </r>
  <r>
    <s v="SUNTRUST"/>
    <x v="4"/>
    <n v="2423012172.8200002"/>
    <x v="5"/>
  </r>
  <r>
    <s v="OHIO SAVINGS BANK"/>
    <x v="4"/>
    <n v="2100455965.24"/>
    <x v="6"/>
  </r>
  <r>
    <s v="UNION PLANTERS BANK NA"/>
    <x v="4"/>
    <n v="1407805776.6700001"/>
    <x v="7"/>
  </r>
  <r>
    <s v="WACHOVIA"/>
    <x v="4"/>
    <n v="1240557828.4400001"/>
    <x v="8"/>
  </r>
  <r>
    <s v="CENDANT MORTGAGE CORPORATION DBA PHH MOR"/>
    <x v="4"/>
    <n v="1234294990.98"/>
    <x v="9"/>
  </r>
  <r>
    <s v="WAMU"/>
    <x v="5"/>
    <n v="11162561398.85"/>
    <x v="0"/>
  </r>
  <r>
    <s v="CWB"/>
    <x v="5"/>
    <n v="11145599480.370001"/>
    <x v="1"/>
  </r>
  <r>
    <s v="ALLY"/>
    <x v="5"/>
    <n v="7145846167.6000004"/>
    <x v="2"/>
  </r>
  <r>
    <s v="OHIO SAVINGS BANK"/>
    <x v="5"/>
    <n v="1885440241.96"/>
    <x v="3"/>
  </r>
  <r>
    <s v="FLAGSTAR"/>
    <x v="5"/>
    <n v="1663051773.1099999"/>
    <x v="4"/>
  </r>
  <r>
    <s v="SUNTRUST"/>
    <x v="5"/>
    <n v="1617063031.6199999"/>
    <x v="5"/>
  </r>
  <r>
    <s v="CENDANT MORTGAGE CORPORATION DBA PHH MOR"/>
    <x v="5"/>
    <n v="1595316665.6199999"/>
    <x v="6"/>
  </r>
  <r>
    <s v="FIRST BANK OF TENNESSEE"/>
    <x v="5"/>
    <n v="1167408177.6300001"/>
    <x v="7"/>
  </r>
  <r>
    <s v="WACHOVIA"/>
    <x v="5"/>
    <n v="942792079.69000006"/>
    <x v="8"/>
  </r>
  <r>
    <s v="UNION PLANTERS BANK NA"/>
    <x v="5"/>
    <n v="938073033.5"/>
    <x v="9"/>
  </r>
  <r>
    <s v="WAMU"/>
    <x v="6"/>
    <n v="9589883533.4500008"/>
    <x v="0"/>
  </r>
  <r>
    <s v="CWB"/>
    <x v="6"/>
    <n v="8284866996.75"/>
    <x v="1"/>
  </r>
  <r>
    <s v="ALLY"/>
    <x v="6"/>
    <n v="4320462524.4099998"/>
    <x v="2"/>
  </r>
  <r>
    <s v="SUNTRUST"/>
    <x v="6"/>
    <n v="1782826073.9200001"/>
    <x v="3"/>
  </r>
  <r>
    <s v="FLAGSTAR"/>
    <x v="6"/>
    <n v="1667103888.1500001"/>
    <x v="4"/>
  </r>
  <r>
    <s v="OHIO SAVINGS BANK"/>
    <x v="6"/>
    <n v="1527950917.3199999"/>
    <x v="5"/>
  </r>
  <r>
    <s v="PNC"/>
    <x v="6"/>
    <n v="1431187766.27"/>
    <x v="6"/>
  </r>
  <r>
    <s v="FIRST BANK OF TENNESSEE"/>
    <x v="6"/>
    <n v="989327891.21000004"/>
    <x v="7"/>
  </r>
  <r>
    <s v="PRINCIPAL RESIDENTIAL MORTGAGE INC."/>
    <x v="6"/>
    <n v="812498504.5"/>
    <x v="8"/>
  </r>
  <r>
    <s v="CENDANT MORTGAGE CORPORATION DBA PHH MOR"/>
    <x v="6"/>
    <n v="719297505.14999998"/>
    <x v="9"/>
  </r>
  <r>
    <s v="CWB"/>
    <x v="7"/>
    <n v="11409757594.76"/>
    <x v="0"/>
  </r>
  <r>
    <s v="WAMU"/>
    <x v="7"/>
    <n v="8617995788.6800003"/>
    <x v="1"/>
  </r>
  <r>
    <s v="ALLY"/>
    <x v="7"/>
    <n v="3151419601.3600001"/>
    <x v="2"/>
  </r>
  <r>
    <s v="FLAGSTAR"/>
    <x v="7"/>
    <n v="1254293674.6300001"/>
    <x v="3"/>
  </r>
  <r>
    <s v="CHARTER ONE MORTGAGE CORP."/>
    <x v="7"/>
    <n v="1084814450.73"/>
    <x v="4"/>
  </r>
  <r>
    <s v="OHIO SAVINGS BANK"/>
    <x v="7"/>
    <n v="980747613.04999995"/>
    <x v="5"/>
  </r>
  <r>
    <s v="SUNTRUST"/>
    <x v="7"/>
    <n v="958123909.07000005"/>
    <x v="6"/>
  </r>
  <r>
    <s v="FIRST BANK OF TENNESSEE"/>
    <x v="7"/>
    <n v="827503569.36000001"/>
    <x v="7"/>
  </r>
  <r>
    <s v="PRINCIPAL RESIDENTIAL MORTGAGE INC."/>
    <x v="7"/>
    <n v="639933908.88"/>
    <x v="8"/>
  </r>
  <r>
    <s v="ABM"/>
    <x v="7"/>
    <n v="614728366.17999995"/>
    <x v="9"/>
  </r>
  <r>
    <s v="CWB"/>
    <x v="8"/>
    <n v="9452100315.2600002"/>
    <x v="0"/>
  </r>
  <r>
    <s v="WAMU"/>
    <x v="8"/>
    <n v="4417879288.3599997"/>
    <x v="1"/>
  </r>
  <r>
    <s v="ALLY"/>
    <x v="8"/>
    <n v="2100740735.3499999"/>
    <x v="2"/>
  </r>
  <r>
    <s v="FLAGSTAR"/>
    <x v="8"/>
    <n v="1616933411.3"/>
    <x v="3"/>
  </r>
  <r>
    <s v="ABM"/>
    <x v="8"/>
    <n v="1147507516.5799999"/>
    <x v="4"/>
  </r>
  <r>
    <s v="SUNTRUST"/>
    <x v="8"/>
    <n v="1102545266.3"/>
    <x v="5"/>
  </r>
  <r>
    <s v="OHIO SAVINGS BANK"/>
    <x v="8"/>
    <n v="948500296.40999997"/>
    <x v="6"/>
  </r>
  <r>
    <s v="FIRST BANK OF TENNESSEE"/>
    <x v="8"/>
    <n v="841154130.44000006"/>
    <x v="7"/>
  </r>
  <r>
    <s v="LEHMAN BROTHERS HOLDINGS, INC."/>
    <x v="8"/>
    <n v="577938078.98000002"/>
    <x v="8"/>
  </r>
  <r>
    <s v="CENDANT MORTGAGE CORPORATION DBA PHH MOR"/>
    <x v="8"/>
    <n v="565112457.78999996"/>
    <x v="9"/>
  </r>
  <r>
    <s v="CWB"/>
    <x v="9"/>
    <n v="11307603614.940001"/>
    <x v="0"/>
  </r>
  <r>
    <s v="WAMU"/>
    <x v="9"/>
    <n v="3105251049.5100002"/>
    <x v="1"/>
  </r>
  <r>
    <s v="ALLY"/>
    <x v="9"/>
    <n v="1435016521.97"/>
    <x v="2"/>
  </r>
  <r>
    <s v="FLAGSTAR"/>
    <x v="9"/>
    <n v="1294632427.0599999"/>
    <x v="3"/>
  </r>
  <r>
    <s v="SUNTRUST"/>
    <x v="9"/>
    <n v="979260156.20000005"/>
    <x v="4"/>
  </r>
  <r>
    <s v="OHIO SAVINGS BANK"/>
    <x v="9"/>
    <n v="726244089.71000004"/>
    <x v="5"/>
  </r>
  <r>
    <s v="FIRST BANK OF TENNESSEE"/>
    <x v="9"/>
    <n v="683107657.67999995"/>
    <x v="6"/>
  </r>
  <r>
    <s v="CENDANT MORTGAGE CORPORATION DBA PHH MOR"/>
    <x v="9"/>
    <n v="393600983.31"/>
    <x v="7"/>
  </r>
  <r>
    <s v="GREENPOINT MORTGAGE FUNDING, INC."/>
    <x v="9"/>
    <n v="373154271.91000003"/>
    <x v="8"/>
  </r>
  <r>
    <s v="WACHOVIA"/>
    <x v="9"/>
    <n v="369897963.13999999"/>
    <x v="9"/>
  </r>
  <r>
    <s v="CWB"/>
    <x v="10"/>
    <n v="11373820582.950001"/>
    <x v="0"/>
  </r>
  <r>
    <s v="ALLY"/>
    <x v="10"/>
    <n v="2008197969.97"/>
    <x v="1"/>
  </r>
  <r>
    <s v="FLAGSTAR"/>
    <x v="10"/>
    <n v="1302384256.4400001"/>
    <x v="2"/>
  </r>
  <r>
    <s v="WAMU"/>
    <x v="10"/>
    <n v="1116001703.6800001"/>
    <x v="3"/>
  </r>
  <r>
    <s v="OHIO SAVINGS BANK"/>
    <x v="10"/>
    <n v="771109081.96000004"/>
    <x v="4"/>
  </r>
  <r>
    <s v="FIRST BANK OF TENNESSEE"/>
    <x v="10"/>
    <n v="758406395.63999999"/>
    <x v="5"/>
  </r>
  <r>
    <s v="SUNTRUST"/>
    <x v="10"/>
    <n v="742555474.46000004"/>
    <x v="6"/>
  </r>
  <r>
    <s v="INDYMAC BANK, FSB"/>
    <x v="10"/>
    <n v="606404320.96000004"/>
    <x v="7"/>
  </r>
  <r>
    <s v="ABM"/>
    <x v="10"/>
    <n v="593909759.13"/>
    <x v="8"/>
  </r>
  <r>
    <s v="WACHOVIA"/>
    <x v="10"/>
    <n v="512588612.44999999"/>
    <x v="9"/>
  </r>
  <r>
    <s v="CWB"/>
    <x v="11"/>
    <n v="11452206892.49"/>
    <x v="0"/>
  </r>
  <r>
    <s v="WAMU"/>
    <x v="11"/>
    <n v="8971864064.2900009"/>
    <x v="1"/>
  </r>
  <r>
    <s v="FLAGSTAR"/>
    <x v="11"/>
    <n v="1595357433.5999999"/>
    <x v="2"/>
  </r>
  <r>
    <s v="ALLY"/>
    <x v="11"/>
    <n v="1453780757.1600001"/>
    <x v="3"/>
  </r>
  <r>
    <s v="FIRST BANK OF TENNESSEE"/>
    <x v="11"/>
    <n v="1051966876.52"/>
    <x v="4"/>
  </r>
  <r>
    <s v="SUNTRUST"/>
    <x v="11"/>
    <n v="1041533333.22"/>
    <x v="5"/>
  </r>
  <r>
    <s v="OHIO SAVINGS BANK"/>
    <x v="11"/>
    <n v="991309388.50999999"/>
    <x v="6"/>
  </r>
  <r>
    <s v="WACHOVIA"/>
    <x v="11"/>
    <n v="607079548.82000005"/>
    <x v="7"/>
  </r>
  <r>
    <s v="PRINCIPAL RESIDENTIAL MORTGAGE INC."/>
    <x v="11"/>
    <n v="565973791.83000004"/>
    <x v="8"/>
  </r>
  <r>
    <s v="IRWIN"/>
    <x v="11"/>
    <n v="556357766.21000004"/>
    <x v="9"/>
  </r>
  <r>
    <s v="CWB"/>
    <x v="12"/>
    <n v="10261824878.860001"/>
    <x v="0"/>
  </r>
  <r>
    <s v="WAMU"/>
    <x v="12"/>
    <n v="5955115177.5200005"/>
    <x v="1"/>
  </r>
  <r>
    <s v="ALLY"/>
    <x v="12"/>
    <n v="2787328884.0300002"/>
    <x v="2"/>
  </r>
  <r>
    <s v="FLAGSTAR"/>
    <x v="12"/>
    <n v="1965057030.0799999"/>
    <x v="3"/>
  </r>
  <r>
    <s v="FIRST BANK OF TENNESSEE"/>
    <x v="12"/>
    <n v="1240838109.6500001"/>
    <x v="4"/>
  </r>
  <r>
    <s v="OHIO SAVINGS BANK"/>
    <x v="12"/>
    <n v="896114085.15999997"/>
    <x v="5"/>
  </r>
  <r>
    <s v="SUNTRUST"/>
    <x v="12"/>
    <n v="843678740.34000003"/>
    <x v="6"/>
  </r>
  <r>
    <s v="ABM"/>
    <x v="12"/>
    <n v="841082129.12"/>
    <x v="7"/>
  </r>
  <r>
    <s v="PRINCIPAL RESIDENTIAL MORTGAGE INC."/>
    <x v="12"/>
    <n v="669998675.44000006"/>
    <x v="8"/>
  </r>
  <r>
    <s v="WACHOVIA"/>
    <x v="12"/>
    <n v="653777926.72000003"/>
    <x v="9"/>
  </r>
  <r>
    <s v="CWB"/>
    <x v="13"/>
    <n v="9249527769.5100002"/>
    <x v="0"/>
  </r>
  <r>
    <s v="WAMU"/>
    <x v="13"/>
    <n v="5987766742.6999998"/>
    <x v="1"/>
  </r>
  <r>
    <s v="ALLY"/>
    <x v="13"/>
    <n v="2115295841.5"/>
    <x v="2"/>
  </r>
  <r>
    <s v="FLAGSTAR"/>
    <x v="13"/>
    <n v="1433903943.5799999"/>
    <x v="3"/>
  </r>
  <r>
    <s v="OHIO SAVINGS BANK"/>
    <x v="13"/>
    <n v="1210792209.96"/>
    <x v="4"/>
  </r>
  <r>
    <s v="FIRST BANK OF TENNESSEE"/>
    <x v="13"/>
    <n v="949320265.55999994"/>
    <x v="5"/>
  </r>
  <r>
    <s v="ABM"/>
    <x v="13"/>
    <n v="877914169.88999999"/>
    <x v="6"/>
  </r>
  <r>
    <s v="SUNTRUST"/>
    <x v="13"/>
    <n v="869573846.80999994"/>
    <x v="7"/>
  </r>
  <r>
    <s v="WACHOVIA"/>
    <x v="13"/>
    <n v="727168475.23000002"/>
    <x v="8"/>
  </r>
  <r>
    <s v="UNION PLANTERS BANK NA"/>
    <x v="13"/>
    <n v="643165828.67999995"/>
    <x v="9"/>
  </r>
  <r>
    <s v="CWB"/>
    <x v="14"/>
    <n v="7770091037.8599997"/>
    <x v="0"/>
  </r>
  <r>
    <s v="WAMU"/>
    <x v="14"/>
    <n v="4380249369.75"/>
    <x v="1"/>
  </r>
  <r>
    <s v="ALLY"/>
    <x v="14"/>
    <n v="1946508724.6099999"/>
    <x v="2"/>
  </r>
  <r>
    <s v="SUNTRUST"/>
    <x v="14"/>
    <n v="979790921.73000002"/>
    <x v="3"/>
  </r>
  <r>
    <s v="FLAGSTAR"/>
    <x v="14"/>
    <n v="969465042.34000003"/>
    <x v="4"/>
  </r>
  <r>
    <s v="OHIO SAVINGS BANK"/>
    <x v="14"/>
    <n v="905512217.89999998"/>
    <x v="5"/>
  </r>
  <r>
    <s v="FIRST BANK OF TENNESSEE"/>
    <x v="14"/>
    <n v="747367268.19000006"/>
    <x v="6"/>
  </r>
  <r>
    <s v="CENDANT MORTGAGE CORPORATION DBA PHH MOR"/>
    <x v="14"/>
    <n v="586467189.25"/>
    <x v="7"/>
  </r>
  <r>
    <s v="UNION PLANTERS BANK NA"/>
    <x v="14"/>
    <n v="492350449.87"/>
    <x v="8"/>
  </r>
  <r>
    <s v="WACHOVIA"/>
    <x v="14"/>
    <n v="419789626.54000002"/>
    <x v="9"/>
  </r>
  <r>
    <s v="CWB"/>
    <x v="15"/>
    <n v="8096770488.9700003"/>
    <x v="0"/>
  </r>
  <r>
    <s v="WAMU"/>
    <x v="15"/>
    <n v="2189526792.29"/>
    <x v="1"/>
  </r>
  <r>
    <s v="ALLY"/>
    <x v="15"/>
    <n v="1314841883.22"/>
    <x v="2"/>
  </r>
  <r>
    <s v="FLAGSTAR"/>
    <x v="15"/>
    <n v="977772680.30999994"/>
    <x v="3"/>
  </r>
  <r>
    <s v="SUNTRUST"/>
    <x v="15"/>
    <n v="902065292.52999997"/>
    <x v="4"/>
  </r>
  <r>
    <s v="OHIO SAVINGS BANK"/>
    <x v="15"/>
    <n v="761655238.01999998"/>
    <x v="5"/>
  </r>
  <r>
    <s v="FIRST BANK OF TENNESSEE"/>
    <x v="15"/>
    <n v="581763827.16999996"/>
    <x v="6"/>
  </r>
  <r>
    <s v="WACHOVIA"/>
    <x v="15"/>
    <n v="432867966.08999997"/>
    <x v="7"/>
  </r>
  <r>
    <s v="CENDANT MORTGAGE CORPORATION DBA PHH MOR"/>
    <x v="15"/>
    <n v="397566696.60000002"/>
    <x v="8"/>
  </r>
  <r>
    <s v="UNION PLANTERS BANK NA"/>
    <x v="15"/>
    <n v="365148105.77999997"/>
    <x v="9"/>
  </r>
  <r>
    <s v="CWB"/>
    <x v="16"/>
    <n v="7344628182.6999998"/>
    <x v="0"/>
  </r>
  <r>
    <s v="WAMU"/>
    <x v="16"/>
    <n v="2846023471.5300002"/>
    <x v="1"/>
  </r>
  <r>
    <s v="ALLY"/>
    <x v="16"/>
    <n v="1530308531.2"/>
    <x v="2"/>
  </r>
  <r>
    <s v="FLAGSTAR"/>
    <x v="16"/>
    <n v="1119369329.79"/>
    <x v="3"/>
  </r>
  <r>
    <s v="OHIO SAVINGS BANK"/>
    <x v="16"/>
    <n v="835517781.16999996"/>
    <x v="4"/>
  </r>
  <r>
    <s v="FIRST BANK OF TENNESSEE"/>
    <x v="16"/>
    <n v="721103970.91999996"/>
    <x v="5"/>
  </r>
  <r>
    <s v="SUNTRUST"/>
    <x v="16"/>
    <n v="634565626.85000002"/>
    <x v="6"/>
  </r>
  <r>
    <s v="ABM"/>
    <x v="16"/>
    <n v="598654323.79999995"/>
    <x v="7"/>
  </r>
  <r>
    <s v="IRWIN"/>
    <x v="16"/>
    <n v="483415550.00999999"/>
    <x v="8"/>
  </r>
  <r>
    <s v="CENDANT MORTGAGE CORPORATION DBA PHH MOR"/>
    <x v="16"/>
    <n v="450464777.45999998"/>
    <x v="9"/>
  </r>
  <r>
    <s v="CWB"/>
    <x v="17"/>
    <n v="6206174286.2700005"/>
    <x v="0"/>
  </r>
  <r>
    <s v="WAMU"/>
    <x v="17"/>
    <n v="2141612616.1400001"/>
    <x v="1"/>
  </r>
  <r>
    <s v="ALLY"/>
    <x v="17"/>
    <n v="2100084686.99"/>
    <x v="2"/>
  </r>
  <r>
    <s v="FLAGSTAR"/>
    <x v="17"/>
    <n v="1038774031.25"/>
    <x v="3"/>
  </r>
  <r>
    <s v="OHIO SAVINGS BANK"/>
    <x v="17"/>
    <n v="669807736.55999994"/>
    <x v="4"/>
  </r>
  <r>
    <s v="SUNTRUST"/>
    <x v="17"/>
    <n v="580779347"/>
    <x v="5"/>
  </r>
  <r>
    <s v="FIRST BANK OF TENNESSEE"/>
    <x v="17"/>
    <n v="497094184.94"/>
    <x v="6"/>
  </r>
  <r>
    <s v="IRWIN"/>
    <x v="17"/>
    <n v="436314105.33999997"/>
    <x v="7"/>
  </r>
  <r>
    <s v="CENDANT MORTGAGE CORPORATION DBA PHH MOR"/>
    <x v="17"/>
    <n v="418324804.48000002"/>
    <x v="8"/>
  </r>
  <r>
    <s v="UNION PLANTERS BANK NA"/>
    <x v="17"/>
    <n v="418008275.74000001"/>
    <x v="9"/>
  </r>
  <r>
    <s v="CWB"/>
    <x v="18"/>
    <n v="5221389376.7700005"/>
    <x v="0"/>
  </r>
  <r>
    <s v="WAMU"/>
    <x v="18"/>
    <n v="2296991670.52"/>
    <x v="1"/>
  </r>
  <r>
    <s v="ALLY"/>
    <x v="18"/>
    <n v="1933615871.8099999"/>
    <x v="2"/>
  </r>
  <r>
    <s v="FLAGSTAR"/>
    <x v="18"/>
    <n v="1111679216.8499999"/>
    <x v="3"/>
  </r>
  <r>
    <s v="OHIO SAVINGS BANK"/>
    <x v="18"/>
    <n v="782734237.75999999"/>
    <x v="4"/>
  </r>
  <r>
    <s v="FIRST BANK OF TENNESSEE"/>
    <x v="18"/>
    <n v="619260066.98000002"/>
    <x v="5"/>
  </r>
  <r>
    <s v="SUNTRUST"/>
    <x v="18"/>
    <n v="514627619.87"/>
    <x v="6"/>
  </r>
  <r>
    <s v="IRWIN"/>
    <x v="18"/>
    <n v="483136683.55000001"/>
    <x v="7"/>
  </r>
  <r>
    <s v="INDYMAC BANK, FSB"/>
    <x v="18"/>
    <n v="451077929.11000001"/>
    <x v="8"/>
  </r>
  <r>
    <s v="WACHOVIA"/>
    <x v="18"/>
    <n v="444169850.23000002"/>
    <x v="9"/>
  </r>
  <r>
    <s v="CWB"/>
    <x v="19"/>
    <n v="6335052438.8400002"/>
    <x v="0"/>
  </r>
  <r>
    <s v="ALLY"/>
    <x v="19"/>
    <n v="2327791831.7600002"/>
    <x v="1"/>
  </r>
  <r>
    <s v="WAMU"/>
    <x v="19"/>
    <n v="2301561192.1199999"/>
    <x v="2"/>
  </r>
  <r>
    <s v="CHARTER ONE MORTGAGE CORP."/>
    <x v="19"/>
    <n v="1044130065.28"/>
    <x v="3"/>
  </r>
  <r>
    <s v="FLAGSTAR"/>
    <x v="19"/>
    <n v="893087634.78999996"/>
    <x v="4"/>
  </r>
  <r>
    <s v="OHIO SAVINGS BANK"/>
    <x v="19"/>
    <n v="673685780.14999998"/>
    <x v="5"/>
  </r>
  <r>
    <s v="FIRST BANK OF TENNESSEE"/>
    <x v="19"/>
    <n v="553669511.69000006"/>
    <x v="6"/>
  </r>
  <r>
    <s v="INDYMAC BANK, FSB"/>
    <x v="19"/>
    <n v="462763610.32999998"/>
    <x v="7"/>
  </r>
  <r>
    <s v="WACHOVIA"/>
    <x v="19"/>
    <n v="462597391.94999999"/>
    <x v="8"/>
  </r>
  <r>
    <s v="IRWIN"/>
    <x v="19"/>
    <n v="392539289.98000002"/>
    <x v="9"/>
  </r>
  <r>
    <s v="CWB"/>
    <x v="20"/>
    <n v="4899040406.6099997"/>
    <x v="0"/>
  </r>
  <r>
    <s v="WAMU"/>
    <x v="20"/>
    <n v="2940366449.5"/>
    <x v="1"/>
  </r>
  <r>
    <s v="ALLY"/>
    <x v="20"/>
    <n v="2341434701.0799999"/>
    <x v="2"/>
  </r>
  <r>
    <s v="FLAGSTAR"/>
    <x v="20"/>
    <n v="1584384715.02"/>
    <x v="3"/>
  </r>
  <r>
    <s v="SUNTRUST"/>
    <x v="20"/>
    <n v="878150368.83000004"/>
    <x v="4"/>
  </r>
  <r>
    <s v="OHIO SAVINGS BANK"/>
    <x v="20"/>
    <n v="680138468.63999999"/>
    <x v="5"/>
  </r>
  <r>
    <s v="LEHMAN BROTHERS HOLDINGS, INC."/>
    <x v="20"/>
    <n v="648018420.23000002"/>
    <x v="6"/>
  </r>
  <r>
    <s v="FIRST BANK OF TENNESSEE"/>
    <x v="20"/>
    <n v="640892759.96000004"/>
    <x v="7"/>
  </r>
  <r>
    <s v="WACHOVIA"/>
    <x v="20"/>
    <n v="489224138.67000002"/>
    <x v="8"/>
  </r>
  <r>
    <s v="IRWIN"/>
    <x v="20"/>
    <n v="456562097.23000002"/>
    <x v="9"/>
  </r>
  <r>
    <s v="CWB"/>
    <x v="21"/>
    <n v="4257395851.2199998"/>
    <x v="0"/>
  </r>
  <r>
    <s v="WAMU"/>
    <x v="21"/>
    <n v="2288475168.52"/>
    <x v="1"/>
  </r>
  <r>
    <s v="ALLY"/>
    <x v="21"/>
    <n v="1607330806.52"/>
    <x v="2"/>
  </r>
  <r>
    <s v="FLAGSTAR"/>
    <x v="21"/>
    <n v="1156931085.5699999"/>
    <x v="3"/>
  </r>
  <r>
    <s v="OHIO SAVINGS BANK"/>
    <x v="21"/>
    <n v="887176881.39999998"/>
    <x v="4"/>
  </r>
  <r>
    <s v="SUNTRUST"/>
    <x v="21"/>
    <n v="665791396.12"/>
    <x v="5"/>
  </r>
  <r>
    <s v="FIRST BANK OF TENNESSEE"/>
    <x v="21"/>
    <n v="484190860.20999998"/>
    <x v="6"/>
  </r>
  <r>
    <s v="LEHMAN BROTHERS HOLDINGS, INC."/>
    <x v="21"/>
    <n v="429069335.48000002"/>
    <x v="7"/>
  </r>
  <r>
    <s v="INDYMAC BANK, FSB"/>
    <x v="21"/>
    <n v="411165766.77999997"/>
    <x v="8"/>
  </r>
  <r>
    <s v="IRWIN"/>
    <x v="21"/>
    <n v="393318197.63"/>
    <x v="9"/>
  </r>
  <r>
    <s v="CWB"/>
    <x v="22"/>
    <n v="4545288580.9300003"/>
    <x v="0"/>
  </r>
  <r>
    <s v="WAMU"/>
    <x v="22"/>
    <n v="2240641016.6799998"/>
    <x v="1"/>
  </r>
  <r>
    <s v="ALLY"/>
    <x v="22"/>
    <n v="2162657746.1500001"/>
    <x v="2"/>
  </r>
  <r>
    <s v="FLAGSTAR"/>
    <x v="22"/>
    <n v="1240894459.51"/>
    <x v="3"/>
  </r>
  <r>
    <s v="SUNTRUST"/>
    <x v="22"/>
    <n v="1030204361.03"/>
    <x v="4"/>
  </r>
  <r>
    <s v="OHIO SAVINGS BANK"/>
    <x v="22"/>
    <n v="755896256.55999994"/>
    <x v="5"/>
  </r>
  <r>
    <s v="FIRST BANK OF TENNESSEE"/>
    <x v="22"/>
    <n v="539230414.86000001"/>
    <x v="6"/>
  </r>
  <r>
    <s v="WACHOVIA"/>
    <x v="22"/>
    <n v="415433112.69"/>
    <x v="7"/>
  </r>
  <r>
    <s v="USAA"/>
    <x v="22"/>
    <n v="400890037.27999997"/>
    <x v="8"/>
  </r>
  <r>
    <s v="IRWIN"/>
    <x v="22"/>
    <n v="399691834.92000002"/>
    <x v="9"/>
  </r>
  <r>
    <s v="CWB"/>
    <x v="23"/>
    <n v="5978111138.7600002"/>
    <x v="0"/>
  </r>
  <r>
    <s v="ALLY"/>
    <x v="23"/>
    <n v="2681093688.6500001"/>
    <x v="1"/>
  </r>
  <r>
    <s v="FLAGSTAR"/>
    <x v="23"/>
    <n v="1533778537.5599999"/>
    <x v="2"/>
  </r>
  <r>
    <s v="SUNTRUST"/>
    <x v="23"/>
    <n v="1259546433.72"/>
    <x v="3"/>
  </r>
  <r>
    <s v="OHIO SAVINGS BANK"/>
    <x v="23"/>
    <n v="730140954.38"/>
    <x v="4"/>
  </r>
  <r>
    <s v="FIRST BANK OF TENNESSEE"/>
    <x v="23"/>
    <n v="695502661.55999994"/>
    <x v="5"/>
  </r>
  <r>
    <s v="WACHOVIA"/>
    <x v="23"/>
    <n v="631900389.87"/>
    <x v="6"/>
  </r>
  <r>
    <s v="IRWIN"/>
    <x v="23"/>
    <n v="437619440.25"/>
    <x v="7"/>
  </r>
  <r>
    <s v="UNION PLANTERS BANK NA"/>
    <x v="23"/>
    <n v="429169060.04000002"/>
    <x v="8"/>
  </r>
  <r>
    <s v="LEHMAN BROTHERS HOLDINGS, INC."/>
    <x v="23"/>
    <n v="336309078.07999998"/>
    <x v="9"/>
  </r>
  <r>
    <s v="CWB"/>
    <x v="24"/>
    <n v="6496219206.3999996"/>
    <x v="0"/>
  </r>
  <r>
    <s v="ALLY"/>
    <x v="24"/>
    <n v="1560042290.1199999"/>
    <x v="1"/>
  </r>
  <r>
    <s v="SUNTRUST"/>
    <x v="24"/>
    <n v="1394421152.3599999"/>
    <x v="2"/>
  </r>
  <r>
    <s v="FLAGSTAR"/>
    <x v="24"/>
    <n v="1153524647.54"/>
    <x v="3"/>
  </r>
  <r>
    <s v="WACHOVIA"/>
    <x v="24"/>
    <n v="861824321.49000001"/>
    <x v="4"/>
  </r>
  <r>
    <s v="WAMU"/>
    <x v="24"/>
    <n v="855475060.36000001"/>
    <x v="5"/>
  </r>
  <r>
    <s v="OHIO SAVINGS BANK"/>
    <x v="24"/>
    <n v="775635003.97000003"/>
    <x v="6"/>
  </r>
  <r>
    <s v="FIRST BANK OF TENNESSEE"/>
    <x v="24"/>
    <n v="631099447.97000003"/>
    <x v="7"/>
  </r>
  <r>
    <s v="USAA"/>
    <x v="24"/>
    <n v="532799880.29000002"/>
    <x v="8"/>
  </r>
  <r>
    <s v="IRWIN"/>
    <x v="24"/>
    <n v="383581440.99000001"/>
    <x v="9"/>
  </r>
  <r>
    <s v="CWB"/>
    <x v="25"/>
    <n v="6969425037.3100004"/>
    <x v="0"/>
  </r>
  <r>
    <s v="ALLY"/>
    <x v="25"/>
    <n v="1723209508.3699999"/>
    <x v="1"/>
  </r>
  <r>
    <s v="SUNTRUST"/>
    <x v="25"/>
    <n v="1275430461.9200001"/>
    <x v="2"/>
  </r>
  <r>
    <s v="FLAGSTAR"/>
    <x v="25"/>
    <n v="977044639.59000003"/>
    <x v="3"/>
  </r>
  <r>
    <s v="OHIO SAVINGS BANK"/>
    <x v="25"/>
    <n v="849576275.61000001"/>
    <x v="4"/>
  </r>
  <r>
    <s v="FIRST BANK OF TENNESSEE"/>
    <x v="25"/>
    <n v="787803743.65999997"/>
    <x v="5"/>
  </r>
  <r>
    <s v="WAMU"/>
    <x v="25"/>
    <n v="626473498.15999997"/>
    <x v="6"/>
  </r>
  <r>
    <s v="BANCO POPULAR"/>
    <x v="25"/>
    <n v="625439653.95000005"/>
    <x v="7"/>
  </r>
  <r>
    <s v="WACHOVIA"/>
    <x v="25"/>
    <n v="527556446.12"/>
    <x v="8"/>
  </r>
  <r>
    <s v="IRWIN"/>
    <x v="25"/>
    <n v="474742330.25"/>
    <x v="9"/>
  </r>
  <r>
    <s v="CWB"/>
    <x v="26"/>
    <n v="10109655227.870001"/>
    <x v="0"/>
  </r>
  <r>
    <s v="ALLY"/>
    <x v="26"/>
    <n v="1927742772.05"/>
    <x v="1"/>
  </r>
  <r>
    <s v="FLAGSTAR"/>
    <x v="26"/>
    <n v="1437691276.5"/>
    <x v="2"/>
  </r>
  <r>
    <s v="SUNTRUST"/>
    <x v="26"/>
    <n v="1201400093.04"/>
    <x v="3"/>
  </r>
  <r>
    <s v="WAMU"/>
    <x v="26"/>
    <n v="1113176333.8399999"/>
    <x v="4"/>
  </r>
  <r>
    <s v="FIRST BANK OF TENNESSEE"/>
    <x v="26"/>
    <n v="1074105836.53"/>
    <x v="5"/>
  </r>
  <r>
    <s v="OHIO SAVINGS BANK"/>
    <x v="26"/>
    <n v="656565959.57000005"/>
    <x v="6"/>
  </r>
  <r>
    <s v="WACHOVIA"/>
    <x v="26"/>
    <n v="633595630.89999998"/>
    <x v="7"/>
  </r>
  <r>
    <s v="IRWIN"/>
    <x v="26"/>
    <n v="529636341.97000003"/>
    <x v="8"/>
  </r>
  <r>
    <s v="LEHMAN BROTHERS HOLDINGS, INC."/>
    <x v="26"/>
    <n v="496521304.81999999"/>
    <x v="9"/>
  </r>
  <r>
    <s v="CWB"/>
    <x v="27"/>
    <n v="10660200646.540001"/>
    <x v="0"/>
  </r>
  <r>
    <s v="ALLY"/>
    <x v="27"/>
    <n v="2905608116.7800002"/>
    <x v="1"/>
  </r>
  <r>
    <s v="WAMU"/>
    <x v="27"/>
    <n v="1284343140.3699999"/>
    <x v="2"/>
  </r>
  <r>
    <s v="FLAGSTAR"/>
    <x v="27"/>
    <n v="1164280047.74"/>
    <x v="3"/>
  </r>
  <r>
    <s v="SUNTRUST"/>
    <x v="27"/>
    <n v="1156528305.9200001"/>
    <x v="4"/>
  </r>
  <r>
    <s v="FIRST BANK OF TENNESSEE"/>
    <x v="27"/>
    <n v="1112522484.8199999"/>
    <x v="5"/>
  </r>
  <r>
    <s v="WACHOVIA"/>
    <x v="27"/>
    <n v="855035148.14999998"/>
    <x v="6"/>
  </r>
  <r>
    <s v="OHIO SAVINGS BANK"/>
    <x v="27"/>
    <n v="814362211.75"/>
    <x v="7"/>
  </r>
  <r>
    <s v="LEHMAN BROTHERS HOLDINGS, INC."/>
    <x v="27"/>
    <n v="606942208.76999998"/>
    <x v="8"/>
  </r>
  <r>
    <s v="IRWIN"/>
    <x v="27"/>
    <n v="575213472.13"/>
    <x v="9"/>
  </r>
  <r>
    <s v="CWB"/>
    <x v="28"/>
    <n v="11843596722.15"/>
    <x v="0"/>
  </r>
  <r>
    <s v="ALLY"/>
    <x v="28"/>
    <n v="1975709975.3199999"/>
    <x v="1"/>
  </r>
  <r>
    <s v="WAMU"/>
    <x v="28"/>
    <n v="1945707796.5999999"/>
    <x v="2"/>
  </r>
  <r>
    <s v="OHIO SAVINGS BANK"/>
    <x v="28"/>
    <n v="1688999836.3399999"/>
    <x v="3"/>
  </r>
  <r>
    <s v="FLAGSTAR"/>
    <x v="28"/>
    <n v="1409329134.6700001"/>
    <x v="4"/>
  </r>
  <r>
    <s v="SUNTRUST"/>
    <x v="28"/>
    <n v="1380698248.48"/>
    <x v="5"/>
  </r>
  <r>
    <s v="FIRST BANK OF TENNESSEE"/>
    <x v="28"/>
    <n v="1058640737.6"/>
    <x v="6"/>
  </r>
  <r>
    <s v="WACHOVIA"/>
    <x v="28"/>
    <n v="859598325.20000005"/>
    <x v="7"/>
  </r>
  <r>
    <s v="USAA"/>
    <x v="28"/>
    <n v="677090668.36000001"/>
    <x v="8"/>
  </r>
  <r>
    <s v="IRWIN"/>
    <x v="28"/>
    <n v="640221496.30999994"/>
    <x v="9"/>
  </r>
  <r>
    <s v="CWB"/>
    <x v="29"/>
    <n v="10651056537.49"/>
    <x v="0"/>
  </r>
  <r>
    <s v="ALLY"/>
    <x v="29"/>
    <n v="1727565585.48"/>
    <x v="1"/>
  </r>
  <r>
    <s v="FLAGSTAR"/>
    <x v="29"/>
    <n v="1318196737.45"/>
    <x v="2"/>
  </r>
  <r>
    <s v="OHIO SAVINGS BANK"/>
    <x v="29"/>
    <n v="1280788007.3599999"/>
    <x v="3"/>
  </r>
  <r>
    <s v="SUNTRUST"/>
    <x v="29"/>
    <n v="1269296283.4100001"/>
    <x v="4"/>
  </r>
  <r>
    <s v="FIRST BANK OF TENNESSEE"/>
    <x v="29"/>
    <n v="805832053.38999999"/>
    <x v="5"/>
  </r>
  <r>
    <s v="PHH"/>
    <x v="29"/>
    <n v="517239946.75"/>
    <x v="6"/>
  </r>
  <r>
    <s v="WACHOVIA"/>
    <x v="29"/>
    <n v="514185616.75"/>
    <x v="7"/>
  </r>
  <r>
    <s v="IRWIN"/>
    <x v="29"/>
    <n v="476401850.62"/>
    <x v="8"/>
  </r>
  <r>
    <s v="THIRD FEDERAL"/>
    <x v="29"/>
    <n v="468018613.39999998"/>
    <x v="9"/>
  </r>
  <r>
    <s v="CWB"/>
    <x v="30"/>
    <n v="2070651256.24"/>
    <x v="0"/>
  </r>
  <r>
    <s v="ALLY"/>
    <x v="30"/>
    <n v="725327641.04999995"/>
    <x v="1"/>
  </r>
  <r>
    <s v="OHIO SAVINGS BANK"/>
    <x v="30"/>
    <n v="538393225.62"/>
    <x v="2"/>
  </r>
  <r>
    <s v="PHH"/>
    <x v="30"/>
    <n v="387185771.39999998"/>
    <x v="3"/>
  </r>
  <r>
    <s v="FLAGSTAR"/>
    <x v="30"/>
    <n v="364911443"/>
    <x v="4"/>
  </r>
  <r>
    <s v="USAA"/>
    <x v="30"/>
    <n v="270607282.56999999"/>
    <x v="5"/>
  </r>
  <r>
    <s v="SUNTRUST"/>
    <x v="30"/>
    <n v="233071797.31999999"/>
    <x v="6"/>
  </r>
  <r>
    <s v="IRWIN"/>
    <x v="30"/>
    <n v="205137323.12"/>
    <x v="7"/>
  </r>
  <r>
    <s v="HSBC"/>
    <x v="30"/>
    <n v="30964114.18"/>
    <x v="8"/>
  </r>
  <r>
    <s v="NETBANK FUNDING SERVICES"/>
    <x v="30"/>
    <n v="29110831.170000002"/>
    <x v="9"/>
  </r>
  <r>
    <s v="CWB"/>
    <x v="31"/>
    <n v="8758732482.6900005"/>
    <x v="0"/>
  </r>
  <r>
    <s v="ALLY"/>
    <x v="31"/>
    <n v="1589051101.3399999"/>
    <x v="1"/>
  </r>
  <r>
    <s v="OHIO SAVINGS BANK"/>
    <x v="31"/>
    <n v="1190759562.4300001"/>
    <x v="2"/>
  </r>
  <r>
    <s v="FLAGSTAR"/>
    <x v="31"/>
    <n v="759528959.26999998"/>
    <x v="3"/>
  </r>
  <r>
    <s v="WAMU"/>
    <x v="31"/>
    <n v="705864383.04999995"/>
    <x v="4"/>
  </r>
  <r>
    <s v="FIRST BANK OF TENNESSEE"/>
    <x v="31"/>
    <n v="696537956.32000005"/>
    <x v="5"/>
  </r>
  <r>
    <s v="WACHOVIA"/>
    <x v="31"/>
    <n v="674405586.71000004"/>
    <x v="6"/>
  </r>
  <r>
    <s v="SUNTRUST"/>
    <x v="31"/>
    <n v="667940208.36000001"/>
    <x v="7"/>
  </r>
  <r>
    <s v="INDYMAC BANK, FSB"/>
    <x v="31"/>
    <n v="459543528.06999999"/>
    <x v="8"/>
  </r>
  <r>
    <s v="PHH"/>
    <x v="31"/>
    <n v="445098326.01999998"/>
    <x v="9"/>
  </r>
  <r>
    <s v="CWB"/>
    <x v="32"/>
    <n v="9032989047.8700008"/>
    <x v="0"/>
  </r>
  <r>
    <s v="SUNTRUST"/>
    <x v="32"/>
    <n v="2338045896.1799998"/>
    <x v="1"/>
  </r>
  <r>
    <s v="ALLY"/>
    <x v="32"/>
    <n v="1915009538.51"/>
    <x v="2"/>
  </r>
  <r>
    <s v="OHIO SAVINGS BANK"/>
    <x v="32"/>
    <n v="990721792.80999994"/>
    <x v="3"/>
  </r>
  <r>
    <s v="WAMU"/>
    <x v="32"/>
    <n v="810137866.02999997"/>
    <x v="4"/>
  </r>
  <r>
    <s v="FIRST BANK OF TENNESSEE"/>
    <x v="32"/>
    <n v="808998797.29999995"/>
    <x v="5"/>
  </r>
  <r>
    <s v="PHH"/>
    <x v="32"/>
    <n v="658745978.95000005"/>
    <x v="6"/>
  </r>
  <r>
    <s v="WACHOVIA"/>
    <x v="32"/>
    <n v="554721461.01999998"/>
    <x v="7"/>
  </r>
  <r>
    <s v="FLAGSTAR"/>
    <x v="32"/>
    <n v="533768748.57999998"/>
    <x v="8"/>
  </r>
  <r>
    <s v="IRWIN"/>
    <x v="32"/>
    <n v="378153466.51999998"/>
    <x v="9"/>
  </r>
  <r>
    <s v="CWB"/>
    <x v="33"/>
    <n v="5495137439.1999998"/>
    <x v="0"/>
  </r>
  <r>
    <s v="SUNTRUST"/>
    <x v="33"/>
    <n v="1883780544.9400001"/>
    <x v="1"/>
  </r>
  <r>
    <s v="ALLY"/>
    <x v="33"/>
    <n v="1740811595.75"/>
    <x v="2"/>
  </r>
  <r>
    <s v="WAMU"/>
    <x v="33"/>
    <n v="1589118989.3299999"/>
    <x v="3"/>
  </r>
  <r>
    <s v="INDYMAC BANK, FSB"/>
    <x v="33"/>
    <n v="1121784551.25"/>
    <x v="4"/>
  </r>
  <r>
    <s v="OHIO SAVINGS BANK"/>
    <x v="33"/>
    <n v="1120473577.1900001"/>
    <x v="5"/>
  </r>
  <r>
    <s v="FIRST BANK OF TENNESSEE"/>
    <x v="33"/>
    <n v="676781654.77999997"/>
    <x v="6"/>
  </r>
  <r>
    <s v="FLAGSTAR"/>
    <x v="33"/>
    <n v="594864130.02999997"/>
    <x v="7"/>
  </r>
  <r>
    <s v="LEHMAN BROTHERS HOLDINGS, INC."/>
    <x v="33"/>
    <n v="574664377.80999994"/>
    <x v="8"/>
  </r>
  <r>
    <s v="WACHOVIA"/>
    <x v="33"/>
    <n v="504398065.5"/>
    <x v="9"/>
  </r>
  <r>
    <s v="CWB"/>
    <x v="34"/>
    <n v="7674012077.6199999"/>
    <x v="0"/>
  </r>
  <r>
    <s v="SUNTRUST"/>
    <x v="34"/>
    <n v="2287379973.8099999"/>
    <x v="1"/>
  </r>
  <r>
    <s v="ALLY"/>
    <x v="34"/>
    <n v="1318407636.3199999"/>
    <x v="2"/>
  </r>
  <r>
    <s v="WAMU"/>
    <x v="34"/>
    <n v="1253851453.8900001"/>
    <x v="3"/>
  </r>
  <r>
    <s v="OHIO SAVINGS BANK"/>
    <x v="34"/>
    <n v="994577512.00999999"/>
    <x v="4"/>
  </r>
  <r>
    <s v="INDYMAC BANK, FSB"/>
    <x v="34"/>
    <n v="810849624.72000003"/>
    <x v="5"/>
  </r>
  <r>
    <s v="FIRST BANK OF TENNESSEE"/>
    <x v="34"/>
    <n v="770835391.25999999"/>
    <x v="6"/>
  </r>
  <r>
    <s v="FLAGSTAR"/>
    <x v="34"/>
    <n v="732307941.04999995"/>
    <x v="7"/>
  </r>
  <r>
    <s v="LEHMAN BROTHERS HOLDINGS, INC."/>
    <x v="34"/>
    <n v="626158452.39999998"/>
    <x v="8"/>
  </r>
  <r>
    <s v="WACHOVIA"/>
    <x v="34"/>
    <n v="557602205.19000006"/>
    <x v="9"/>
  </r>
  <r>
    <s v="CWB"/>
    <x v="35"/>
    <n v="8585208581.6700001"/>
    <x v="0"/>
  </r>
  <r>
    <s v="SUNTRUST"/>
    <x v="35"/>
    <n v="1855245672.23"/>
    <x v="1"/>
  </r>
  <r>
    <s v="ALLY"/>
    <x v="35"/>
    <n v="1682540462.5999999"/>
    <x v="2"/>
  </r>
  <r>
    <s v="PNC"/>
    <x v="35"/>
    <n v="1208592361.22"/>
    <x v="3"/>
  </r>
  <r>
    <s v="OHIO SAVINGS BANK"/>
    <x v="35"/>
    <n v="1106072232.51"/>
    <x v="4"/>
  </r>
  <r>
    <s v="FLAGSTAR"/>
    <x v="35"/>
    <n v="1084688488.78"/>
    <x v="5"/>
  </r>
  <r>
    <s v="FIRST BANK OF TENNESSEE"/>
    <x v="35"/>
    <n v="853288445.96000004"/>
    <x v="6"/>
  </r>
  <r>
    <s v="WAMU"/>
    <x v="35"/>
    <n v="777114579.58000004"/>
    <x v="7"/>
  </r>
  <r>
    <s v="LEHMAN BROTHERS HOLDINGS, INC."/>
    <x v="35"/>
    <n v="635637797.38999999"/>
    <x v="8"/>
  </r>
  <r>
    <s v="WACHOVIA"/>
    <x v="35"/>
    <n v="584799156.17999995"/>
    <x v="9"/>
  </r>
  <r>
    <s v="CWB"/>
    <x v="36"/>
    <n v="5813663933.3800001"/>
    <x v="0"/>
  </r>
  <r>
    <s v="ALLY"/>
    <x v="36"/>
    <n v="2990450428.04"/>
    <x v="1"/>
  </r>
  <r>
    <s v="SUNTRUST"/>
    <x v="36"/>
    <n v="2038759426.5999999"/>
    <x v="2"/>
  </r>
  <r>
    <s v="OHIO SAVINGS BANK"/>
    <x v="36"/>
    <n v="1289293850.24"/>
    <x v="3"/>
  </r>
  <r>
    <s v="FLAGSTAR"/>
    <x v="36"/>
    <n v="954021072.17999995"/>
    <x v="4"/>
  </r>
  <r>
    <s v="INDYMAC BANK, FSB"/>
    <x v="36"/>
    <n v="921241768.96000004"/>
    <x v="5"/>
  </r>
  <r>
    <s v="WAMU"/>
    <x v="36"/>
    <n v="898145841.22000003"/>
    <x v="6"/>
  </r>
  <r>
    <s v="FIRST BANK OF TENNESSEE"/>
    <x v="36"/>
    <n v="854612126.97000003"/>
    <x v="7"/>
  </r>
  <r>
    <s v="PNC"/>
    <x v="36"/>
    <n v="703865349.49000001"/>
    <x v="8"/>
  </r>
  <r>
    <s v="LEHMAN BROTHERS HOLDINGS, INC."/>
    <x v="36"/>
    <n v="515018642.13999999"/>
    <x v="9"/>
  </r>
  <r>
    <s v="CWB"/>
    <x v="37"/>
    <n v="8021599510.5100002"/>
    <x v="0"/>
  </r>
  <r>
    <s v="ALLY"/>
    <x v="37"/>
    <n v="3176378793.3400002"/>
    <x v="1"/>
  </r>
  <r>
    <s v="OHIO SAVINGS BANK"/>
    <x v="37"/>
    <n v="1567093191.0799999"/>
    <x v="2"/>
  </r>
  <r>
    <s v="SUNTRUST"/>
    <x v="37"/>
    <n v="1485499260.4200001"/>
    <x v="3"/>
  </r>
  <r>
    <s v="FLAGSTAR"/>
    <x v="37"/>
    <n v="839725062.69000006"/>
    <x v="4"/>
  </r>
  <r>
    <s v="INDYMAC BANK, FSB"/>
    <x v="37"/>
    <n v="799350786.94000006"/>
    <x v="5"/>
  </r>
  <r>
    <s v="PNC"/>
    <x v="37"/>
    <n v="743316652.52999997"/>
    <x v="6"/>
  </r>
  <r>
    <s v="FIRST BANK OF TENNESSEE"/>
    <x v="37"/>
    <n v="625177176.34000003"/>
    <x v="7"/>
  </r>
  <r>
    <s v="WACHOVIA"/>
    <x v="37"/>
    <n v="516633478.49000001"/>
    <x v="8"/>
  </r>
  <r>
    <s v="PHH"/>
    <x v="37"/>
    <n v="435317676.81999999"/>
    <x v="9"/>
  </r>
  <r>
    <s v="CWB"/>
    <x v="38"/>
    <n v="7482650729.9300003"/>
    <x v="0"/>
  </r>
  <r>
    <s v="ALLY"/>
    <x v="38"/>
    <n v="1925461790.45"/>
    <x v="1"/>
  </r>
  <r>
    <s v="SUNTRUST"/>
    <x v="38"/>
    <n v="1752991870.7"/>
    <x v="2"/>
  </r>
  <r>
    <s v="FIRST BANK OF TENNESSEE"/>
    <x v="38"/>
    <n v="914924139.89999998"/>
    <x v="3"/>
  </r>
  <r>
    <s v="OHIO SAVINGS BANK"/>
    <x v="38"/>
    <n v="854038458.64999998"/>
    <x v="4"/>
  </r>
  <r>
    <s v="FLAGSTAR"/>
    <x v="38"/>
    <n v="813164836.91999996"/>
    <x v="5"/>
  </r>
  <r>
    <s v="PNC"/>
    <x v="38"/>
    <n v="778265571.16999996"/>
    <x v="6"/>
  </r>
  <r>
    <s v="LEHMAN BROTHERS HOLDINGS, INC."/>
    <x v="38"/>
    <n v="593537911.61000001"/>
    <x v="7"/>
  </r>
  <r>
    <s v="PHH"/>
    <x v="38"/>
    <n v="542343161.45000005"/>
    <x v="8"/>
  </r>
  <r>
    <s v="WACHOVIA"/>
    <x v="38"/>
    <n v="486466007.00999999"/>
    <x v="9"/>
  </r>
  <r>
    <s v="CWB"/>
    <x v="39"/>
    <n v="11793300856.860001"/>
    <x v="0"/>
  </r>
  <r>
    <s v="ALLY"/>
    <x v="39"/>
    <n v="1937299624.6199999"/>
    <x v="1"/>
  </r>
  <r>
    <s v="SUNTRUST"/>
    <x v="39"/>
    <n v="1566716834.5999999"/>
    <x v="2"/>
  </r>
  <r>
    <s v="INDYMAC BANK, FSB"/>
    <x v="39"/>
    <n v="1043534022.4400001"/>
    <x v="3"/>
  </r>
  <r>
    <s v="OHIO SAVINGS BANK"/>
    <x v="39"/>
    <n v="1030972708.28"/>
    <x v="4"/>
  </r>
  <r>
    <s v="PNC"/>
    <x v="39"/>
    <n v="960615545.09000003"/>
    <x v="5"/>
  </r>
  <r>
    <s v="FLAGSTAR"/>
    <x v="39"/>
    <n v="691360064.34000003"/>
    <x v="6"/>
  </r>
  <r>
    <s v="FIRST BANK OF TENNESSEE"/>
    <x v="39"/>
    <n v="665546179.91999996"/>
    <x v="7"/>
  </r>
  <r>
    <s v="WACHOVIA"/>
    <x v="39"/>
    <n v="476468165.54000002"/>
    <x v="8"/>
  </r>
  <r>
    <s v="LEHMAN BROTHERS HOLDINGS, INC."/>
    <x v="39"/>
    <n v="361974118.12"/>
    <x v="9"/>
  </r>
  <r>
    <s v="CWB"/>
    <x v="40"/>
    <n v="10270535420.92"/>
    <x v="0"/>
  </r>
  <r>
    <s v="ALLY"/>
    <x v="40"/>
    <n v="2246071129.2399998"/>
    <x v="1"/>
  </r>
  <r>
    <s v="SUNTRUST"/>
    <x v="40"/>
    <n v="1843249690.05"/>
    <x v="2"/>
  </r>
  <r>
    <s v="OHIO SAVINGS BANK"/>
    <x v="40"/>
    <n v="1040302257.8200001"/>
    <x v="3"/>
  </r>
  <r>
    <s v="PNC"/>
    <x v="40"/>
    <n v="781372045.30999994"/>
    <x v="4"/>
  </r>
  <r>
    <s v="FIRST BANK OF TENNESSEE"/>
    <x v="40"/>
    <n v="751171822.16999996"/>
    <x v="5"/>
  </r>
  <r>
    <s v="FLAGSTAR"/>
    <x v="40"/>
    <n v="735480501.76999998"/>
    <x v="6"/>
  </r>
  <r>
    <s v="INDYMAC BANK, FSB"/>
    <x v="40"/>
    <n v="522213111.63999999"/>
    <x v="7"/>
  </r>
  <r>
    <s v="WACHOVIA"/>
    <x v="40"/>
    <n v="495079243.08999997"/>
    <x v="8"/>
  </r>
  <r>
    <s v="LEHMAN BROTHERS HOLDINGS, INC."/>
    <x v="40"/>
    <n v="375612771.88999999"/>
    <x v="9"/>
  </r>
  <r>
    <s v="CWB"/>
    <x v="41"/>
    <n v="11681700587.98"/>
    <x v="0"/>
  </r>
  <r>
    <s v="SUNTRUST"/>
    <x v="41"/>
    <n v="2997445484.7600002"/>
    <x v="1"/>
  </r>
  <r>
    <s v="ALLY"/>
    <x v="41"/>
    <n v="1624971289.8099999"/>
    <x v="2"/>
  </r>
  <r>
    <s v="OHIO SAVINGS BANK"/>
    <x v="41"/>
    <n v="1126766081.78"/>
    <x v="3"/>
  </r>
  <r>
    <s v="WACHOVIA"/>
    <x v="41"/>
    <n v="964007367.75999999"/>
    <x v="4"/>
  </r>
  <r>
    <s v="PNC"/>
    <x v="41"/>
    <n v="893985913.90999997"/>
    <x v="5"/>
  </r>
  <r>
    <s v="WAMU"/>
    <x v="41"/>
    <n v="719377615.53999996"/>
    <x v="6"/>
  </r>
  <r>
    <s v="INDYMAC BANK, FSB"/>
    <x v="41"/>
    <n v="681689944.01999998"/>
    <x v="7"/>
  </r>
  <r>
    <s v="FIRST BANK OF TENNESSEE"/>
    <x v="41"/>
    <n v="660571284.46000004"/>
    <x v="8"/>
  </r>
  <r>
    <s v="FLAGSTAR"/>
    <x v="41"/>
    <n v="654875249.36000001"/>
    <x v="9"/>
  </r>
  <r>
    <s v="CWB"/>
    <x v="42"/>
    <n v="14601314801.620001"/>
    <x v="0"/>
  </r>
  <r>
    <s v="ALLY"/>
    <x v="42"/>
    <n v="2460469083.1599998"/>
    <x v="1"/>
  </r>
  <r>
    <s v="SUNTRUST"/>
    <x v="42"/>
    <n v="1681152905.8"/>
    <x v="2"/>
  </r>
  <r>
    <s v="INDYMAC BANK, FSB"/>
    <x v="42"/>
    <n v="1318374534.23"/>
    <x v="3"/>
  </r>
  <r>
    <s v="OHIO SAVINGS BANK"/>
    <x v="42"/>
    <n v="1083466444.1900001"/>
    <x v="4"/>
  </r>
  <r>
    <s v="PNC"/>
    <x v="42"/>
    <n v="901782761.33000004"/>
    <x v="5"/>
  </r>
  <r>
    <s v="FIRST BANK OF TENNESSEE"/>
    <x v="42"/>
    <n v="812034763.34000003"/>
    <x v="6"/>
  </r>
  <r>
    <s v="WEBSTER BANK, N.A."/>
    <x v="42"/>
    <n v="632712667.90999997"/>
    <x v="7"/>
  </r>
  <r>
    <s v="WACHOVIA"/>
    <x v="42"/>
    <n v="477703713.10000002"/>
    <x v="8"/>
  </r>
  <r>
    <s v="FLAGSTAR"/>
    <x v="42"/>
    <n v="421026126.93000001"/>
    <x v="9"/>
  </r>
  <r>
    <s v="CWB"/>
    <x v="43"/>
    <n v="9206220291.1299992"/>
    <x v="0"/>
  </r>
  <r>
    <s v="SUNTRUST"/>
    <x v="43"/>
    <n v="2779190717.4200001"/>
    <x v="1"/>
  </r>
  <r>
    <s v="ALLY"/>
    <x v="43"/>
    <n v="1783123280.8499999"/>
    <x v="2"/>
  </r>
  <r>
    <s v="OHIO SAVINGS BANK"/>
    <x v="43"/>
    <n v="1400648261.4300001"/>
    <x v="3"/>
  </r>
  <r>
    <s v="PNC"/>
    <x v="43"/>
    <n v="1076526508.7"/>
    <x v="4"/>
  </r>
  <r>
    <s v="FLAGSTAR"/>
    <x v="43"/>
    <n v="930831114.73000002"/>
    <x v="5"/>
  </r>
  <r>
    <s v="INDYMAC BANK, FSB"/>
    <x v="43"/>
    <n v="927607864.86000001"/>
    <x v="6"/>
  </r>
  <r>
    <s v="FIRST BANK OF TENNESSEE"/>
    <x v="43"/>
    <n v="746360820.79999995"/>
    <x v="7"/>
  </r>
  <r>
    <s v="WAMU"/>
    <x v="43"/>
    <n v="627280978.21000004"/>
    <x v="8"/>
  </r>
  <r>
    <s v="LEHMAN BROTHERS HOLDINGS, INC."/>
    <x v="43"/>
    <n v="475362776.06"/>
    <x v="9"/>
  </r>
  <r>
    <s v="CWB"/>
    <x v="44"/>
    <n v="12829856145.469999"/>
    <x v="0"/>
  </r>
  <r>
    <s v="INDYMAC BANK, FSB"/>
    <x v="44"/>
    <n v="2050143179.3699999"/>
    <x v="1"/>
  </r>
  <r>
    <s v="SUNTRUST"/>
    <x v="44"/>
    <n v="1966470786.1099999"/>
    <x v="2"/>
  </r>
  <r>
    <s v="ALLY"/>
    <x v="44"/>
    <n v="1754639598.27"/>
    <x v="3"/>
  </r>
  <r>
    <s v="OHIO SAVINGS BANK"/>
    <x v="44"/>
    <n v="1447487916.3299999"/>
    <x v="4"/>
  </r>
  <r>
    <s v="FIRST BANK OF TENNESSEE"/>
    <x v="44"/>
    <n v="936668361.33000004"/>
    <x v="5"/>
  </r>
  <r>
    <s v="PNC"/>
    <x v="44"/>
    <n v="866632340.47000003"/>
    <x v="6"/>
  </r>
  <r>
    <s v="FLAGSTAR"/>
    <x v="44"/>
    <n v="844108913.11000001"/>
    <x v="7"/>
  </r>
  <r>
    <s v="WAMU"/>
    <x v="44"/>
    <n v="435412291.19"/>
    <x v="8"/>
  </r>
  <r>
    <s v="WACHOVIA"/>
    <x v="44"/>
    <n v="415458475.91000003"/>
    <x v="9"/>
  </r>
  <r>
    <s v="CWB"/>
    <x v="45"/>
    <n v="14193408528.25"/>
    <x v="0"/>
  </r>
  <r>
    <s v="SUNTRUST"/>
    <x v="45"/>
    <n v="2073037813.0799999"/>
    <x v="1"/>
  </r>
  <r>
    <s v="AMTRUST"/>
    <x v="45"/>
    <n v="1477365224.1900001"/>
    <x v="2"/>
  </r>
  <r>
    <s v="ALLY"/>
    <x v="45"/>
    <n v="1294136276.6199999"/>
    <x v="3"/>
  </r>
  <r>
    <s v="FIRST BANK OF TENNESSEE"/>
    <x v="45"/>
    <n v="1081593381.96"/>
    <x v="4"/>
  </r>
  <r>
    <s v="PNC"/>
    <x v="45"/>
    <n v="1052940216.6"/>
    <x v="5"/>
  </r>
  <r>
    <s v="FLAGSTAR"/>
    <x v="45"/>
    <n v="914995850.85000002"/>
    <x v="6"/>
  </r>
  <r>
    <s v="INDYMAC BANK, FSB"/>
    <x v="45"/>
    <n v="898394467.75"/>
    <x v="7"/>
  </r>
  <r>
    <s v="WAMU"/>
    <x v="45"/>
    <n v="609411274.61000001"/>
    <x v="8"/>
  </r>
  <r>
    <s v="WACHOVIA"/>
    <x v="45"/>
    <n v="410373720.22000003"/>
    <x v="9"/>
  </r>
  <r>
    <s v="CWB"/>
    <x v="46"/>
    <n v="14703375942.889999"/>
    <x v="0"/>
  </r>
  <r>
    <s v="SUNTRUST"/>
    <x v="46"/>
    <n v="3057896153.2199998"/>
    <x v="1"/>
  </r>
  <r>
    <s v="ALLY"/>
    <x v="46"/>
    <n v="2404088259.6199999"/>
    <x v="2"/>
  </r>
  <r>
    <s v="INDYMAC BANK, FSB"/>
    <x v="46"/>
    <n v="1615440788.0799999"/>
    <x v="3"/>
  </r>
  <r>
    <s v="AMTRUST"/>
    <x v="46"/>
    <n v="1553581133.7"/>
    <x v="4"/>
  </r>
  <r>
    <s v="FLAGSTAR"/>
    <x v="46"/>
    <n v="1300992636.03"/>
    <x v="5"/>
  </r>
  <r>
    <s v="FIRST BANK OF TENNESSEE"/>
    <x v="46"/>
    <n v="1216117904.6099999"/>
    <x v="6"/>
  </r>
  <r>
    <s v="PNC"/>
    <x v="46"/>
    <n v="1139574174.24"/>
    <x v="7"/>
  </r>
  <r>
    <s v="WACHOVIA"/>
    <x v="46"/>
    <n v="1031602820.49"/>
    <x v="8"/>
  </r>
  <r>
    <s v="WAMU"/>
    <x v="46"/>
    <n v="798926284.34000003"/>
    <x v="9"/>
  </r>
  <r>
    <s v="CWB"/>
    <x v="47"/>
    <n v="17142662362.059999"/>
    <x v="0"/>
  </r>
  <r>
    <s v="SUNTRUST"/>
    <x v="47"/>
    <n v="2307181922.4299998"/>
    <x v="1"/>
  </r>
  <r>
    <s v="ALLY"/>
    <x v="47"/>
    <n v="2278819237.3600001"/>
    <x v="2"/>
  </r>
  <r>
    <s v="AMTRUST"/>
    <x v="47"/>
    <n v="1906852083.95"/>
    <x v="3"/>
  </r>
  <r>
    <s v="PNC"/>
    <x v="47"/>
    <n v="1394224530.9200001"/>
    <x v="4"/>
  </r>
  <r>
    <s v="INDYMAC BANK, FSB"/>
    <x v="47"/>
    <n v="1316223375.74"/>
    <x v="5"/>
  </r>
  <r>
    <s v="FLAGSTAR"/>
    <x v="47"/>
    <n v="1251689496.23"/>
    <x v="6"/>
  </r>
  <r>
    <s v="FIRST BANK OF TENNESSEE"/>
    <x v="47"/>
    <n v="968887421.30999994"/>
    <x v="7"/>
  </r>
  <r>
    <s v="WAMU"/>
    <x v="47"/>
    <n v="837549094.72000003"/>
    <x v="8"/>
  </r>
  <r>
    <s v="ABM"/>
    <x v="47"/>
    <n v="833820828.65999997"/>
    <x v="9"/>
  </r>
  <r>
    <s v="CWB"/>
    <x v="48"/>
    <n v="14698388639.51"/>
    <x v="0"/>
  </r>
  <r>
    <s v="SUNTRUST"/>
    <x v="48"/>
    <n v="2842855885.04"/>
    <x v="1"/>
  </r>
  <r>
    <s v="INDYMAC BANK, FSB"/>
    <x v="48"/>
    <n v="2292513360.1999998"/>
    <x v="2"/>
  </r>
  <r>
    <s v="ALLY"/>
    <x v="48"/>
    <n v="1841737385.8499999"/>
    <x v="3"/>
  </r>
  <r>
    <s v="ABM"/>
    <x v="48"/>
    <n v="1807624275.1300001"/>
    <x v="4"/>
  </r>
  <r>
    <s v="AMTRUST"/>
    <x v="48"/>
    <n v="1714739832.1500001"/>
    <x v="5"/>
  </r>
  <r>
    <s v="PNC"/>
    <x v="48"/>
    <n v="1450599455.8199999"/>
    <x v="6"/>
  </r>
  <r>
    <s v="FLAGSTAR"/>
    <x v="48"/>
    <n v="1299457803.74"/>
    <x v="7"/>
  </r>
  <r>
    <s v="FIRST BANK OF TENNESSEE"/>
    <x v="48"/>
    <n v="1256443324.6500001"/>
    <x v="8"/>
  </r>
  <r>
    <s v="WACHOVIA"/>
    <x v="48"/>
    <n v="731870027.67999995"/>
    <x v="9"/>
  </r>
  <r>
    <s v="CWB"/>
    <x v="49"/>
    <n v="10643238075.370001"/>
    <x v="0"/>
  </r>
  <r>
    <s v="ALLY"/>
    <x v="49"/>
    <n v="2847267157.4000001"/>
    <x v="1"/>
  </r>
  <r>
    <s v="SUNTRUST"/>
    <x v="49"/>
    <n v="2458473903.25"/>
    <x v="2"/>
  </r>
  <r>
    <s v="PNC"/>
    <x v="49"/>
    <n v="1994254729.6099999"/>
    <x v="3"/>
  </r>
  <r>
    <s v="AMTRUST"/>
    <x v="49"/>
    <n v="1388548009.76"/>
    <x v="4"/>
  </r>
  <r>
    <s v="ABM"/>
    <x v="49"/>
    <n v="1387272814.27"/>
    <x v="5"/>
  </r>
  <r>
    <s v="FLAGSTAR"/>
    <x v="49"/>
    <n v="1247642192.71"/>
    <x v="6"/>
  </r>
  <r>
    <s v="FIRST BANK OF TENNESSEE"/>
    <x v="49"/>
    <n v="1061899721.51"/>
    <x v="7"/>
  </r>
  <r>
    <s v="WACHOVIA"/>
    <x v="49"/>
    <n v="559204954.28999996"/>
    <x v="8"/>
  </r>
  <r>
    <s v="INDYMAC BANK, FSB"/>
    <x v="49"/>
    <n v="475418617.98000002"/>
    <x v="9"/>
  </r>
  <r>
    <s v="CWB"/>
    <x v="50"/>
    <n v="12406881529.92"/>
    <x v="0"/>
  </r>
  <r>
    <s v="SUNTRUST"/>
    <x v="50"/>
    <n v="2052835599.0899999"/>
    <x v="1"/>
  </r>
  <r>
    <s v="ALLY"/>
    <x v="50"/>
    <n v="1932771583.74"/>
    <x v="2"/>
  </r>
  <r>
    <s v="ABM"/>
    <x v="50"/>
    <n v="1716047375.54"/>
    <x v="3"/>
  </r>
  <r>
    <s v="FLAGSTAR"/>
    <x v="50"/>
    <n v="1632374005.76"/>
    <x v="4"/>
  </r>
  <r>
    <s v="INDYMAC BANK, FSB"/>
    <x v="50"/>
    <n v="1627179406.9100001"/>
    <x v="5"/>
  </r>
  <r>
    <s v="PNC"/>
    <x v="50"/>
    <n v="1538377040.47"/>
    <x v="6"/>
  </r>
  <r>
    <s v="USAA"/>
    <x v="50"/>
    <n v="1531838430.3099999"/>
    <x v="7"/>
  </r>
  <r>
    <s v="AMTRUST"/>
    <x v="50"/>
    <n v="1433091565.1600001"/>
    <x v="8"/>
  </r>
  <r>
    <s v="FIRST BANK OF TENNESSEE"/>
    <x v="50"/>
    <n v="1353806598.47"/>
    <x v="9"/>
  </r>
  <r>
    <s v="CWB"/>
    <x v="51"/>
    <n v="11532643036.76"/>
    <x v="0"/>
  </r>
  <r>
    <s v="INDYMAC BANK, FSB"/>
    <x v="51"/>
    <n v="3005795776.6599998"/>
    <x v="1"/>
  </r>
  <r>
    <s v="SUNTRUST"/>
    <x v="51"/>
    <n v="2295059599.6599998"/>
    <x v="2"/>
  </r>
  <r>
    <s v="ALLY"/>
    <x v="51"/>
    <n v="1898061596.96"/>
    <x v="3"/>
  </r>
  <r>
    <s v="PNC"/>
    <x v="51"/>
    <n v="1833683351.3399999"/>
    <x v="4"/>
  </r>
  <r>
    <s v="FLAGSTAR"/>
    <x v="51"/>
    <n v="1784157712.8499999"/>
    <x v="5"/>
  </r>
  <r>
    <s v="AMTRUST"/>
    <x v="51"/>
    <n v="1267030087.24"/>
    <x v="6"/>
  </r>
  <r>
    <s v="FIRST BANK OF TENNESSEE"/>
    <x v="51"/>
    <n v="1127645909.4200001"/>
    <x v="7"/>
  </r>
  <r>
    <s v="ABM"/>
    <x v="51"/>
    <n v="809889642.94000006"/>
    <x v="8"/>
  </r>
  <r>
    <s v="USAA"/>
    <x v="51"/>
    <n v="804544786.71000004"/>
    <x v="9"/>
  </r>
  <r>
    <s v="CWB"/>
    <x v="52"/>
    <n v="8830293939.6599998"/>
    <x v="0"/>
  </r>
  <r>
    <s v="PNC"/>
    <x v="52"/>
    <n v="2979385823.8600001"/>
    <x v="1"/>
  </r>
  <r>
    <s v="SUNTRUST"/>
    <x v="52"/>
    <n v="2878585849.6500001"/>
    <x v="2"/>
  </r>
  <r>
    <s v="ALLY"/>
    <x v="52"/>
    <n v="2238443049.8499999"/>
    <x v="3"/>
  </r>
  <r>
    <s v="AMTRUST"/>
    <x v="52"/>
    <n v="1587214030.9300001"/>
    <x v="4"/>
  </r>
  <r>
    <s v="FLAGSTAR"/>
    <x v="52"/>
    <n v="1533313968.5899999"/>
    <x v="5"/>
  </r>
  <r>
    <s v="ABM"/>
    <x v="52"/>
    <n v="1360073178.4100001"/>
    <x v="6"/>
  </r>
  <r>
    <s v="INDYMAC BANK, FSB"/>
    <x v="52"/>
    <n v="1230881722.3199999"/>
    <x v="7"/>
  </r>
  <r>
    <s v="FIRST BANK OF TENNESSEE"/>
    <x v="52"/>
    <n v="851553621.28999996"/>
    <x v="8"/>
  </r>
  <r>
    <s v="USAA"/>
    <x v="52"/>
    <n v="559583247.95000005"/>
    <x v="9"/>
  </r>
  <r>
    <s v="CWB"/>
    <x v="53"/>
    <n v="16764636099.889999"/>
    <x v="0"/>
  </r>
  <r>
    <s v="ALLY"/>
    <x v="53"/>
    <n v="2777009284.9299998"/>
    <x v="1"/>
  </r>
  <r>
    <s v="PNC"/>
    <x v="53"/>
    <n v="2709598977.0999999"/>
    <x v="2"/>
  </r>
  <r>
    <s v="SUNTRUST"/>
    <x v="53"/>
    <n v="2693818093.54"/>
    <x v="3"/>
  </r>
  <r>
    <s v="INDYMAC BANK, FSB"/>
    <x v="53"/>
    <n v="2331516295"/>
    <x v="4"/>
  </r>
  <r>
    <s v="WACHOVIA"/>
    <x v="53"/>
    <n v="2149075513.8000002"/>
    <x v="5"/>
  </r>
  <r>
    <s v="FLAGSTAR"/>
    <x v="53"/>
    <n v="1648964682.8299999"/>
    <x v="6"/>
  </r>
  <r>
    <s v="AMTRUST"/>
    <x v="53"/>
    <n v="1296695926.96"/>
    <x v="7"/>
  </r>
  <r>
    <s v="FIRST BANK OF TENNESSEE"/>
    <x v="53"/>
    <n v="902514226.52999997"/>
    <x v="8"/>
  </r>
  <r>
    <s v="MANUFACTURERS AND TRADERS TRUST COMPANY"/>
    <x v="53"/>
    <n v="747925068.12"/>
    <x v="9"/>
  </r>
  <r>
    <s v="CWB"/>
    <x v="54"/>
    <n v="12621973781.870001"/>
    <x v="0"/>
  </r>
  <r>
    <s v="SUNTRUST"/>
    <x v="54"/>
    <n v="2827494752.0799999"/>
    <x v="1"/>
  </r>
  <r>
    <s v="ALLY"/>
    <x v="54"/>
    <n v="2775332433.4299998"/>
    <x v="2"/>
  </r>
  <r>
    <s v="INDYMAC BANK, FSB"/>
    <x v="54"/>
    <n v="1603611344.5899999"/>
    <x v="3"/>
  </r>
  <r>
    <s v="AMTRUST"/>
    <x v="54"/>
    <n v="1429750310.99"/>
    <x v="4"/>
  </r>
  <r>
    <s v="PNC"/>
    <x v="54"/>
    <n v="1136876862.78"/>
    <x v="5"/>
  </r>
  <r>
    <s v="FLAGSTAR"/>
    <x v="54"/>
    <n v="1055663597.4400001"/>
    <x v="6"/>
  </r>
  <r>
    <s v="ABM"/>
    <x v="54"/>
    <n v="1000561362.8"/>
    <x v="7"/>
  </r>
  <r>
    <s v="FIRST BANK OF TENNESSEE"/>
    <x v="54"/>
    <n v="511412695.35000002"/>
    <x v="8"/>
  </r>
  <r>
    <s v="WACHOVIA"/>
    <x v="54"/>
    <n v="488047708.82999998"/>
    <x v="9"/>
  </r>
  <r>
    <s v="CWB"/>
    <x v="55"/>
    <n v="15666973862.35"/>
    <x v="0"/>
  </r>
  <r>
    <s v="SUNTRUST"/>
    <x v="55"/>
    <n v="4670013910.6199999"/>
    <x v="1"/>
  </r>
  <r>
    <s v="INDYMAC BANK, FSB"/>
    <x v="55"/>
    <n v="3021716833.79"/>
    <x v="2"/>
  </r>
  <r>
    <s v="ALLY"/>
    <x v="55"/>
    <n v="2956410222.3499999"/>
    <x v="3"/>
  </r>
  <r>
    <s v="FLAGSTAR"/>
    <x v="55"/>
    <n v="2148417999.02"/>
    <x v="4"/>
  </r>
  <r>
    <s v="PNC"/>
    <x v="55"/>
    <n v="1446007033.96"/>
    <x v="5"/>
  </r>
  <r>
    <s v="AMTRUST"/>
    <x v="55"/>
    <n v="1347790122.25"/>
    <x v="6"/>
  </r>
  <r>
    <s v="WACHOVIA"/>
    <x v="55"/>
    <n v="1033822207.9299999"/>
    <x v="7"/>
  </r>
  <r>
    <s v="ABM"/>
    <x v="55"/>
    <n v="952276854.88999999"/>
    <x v="8"/>
  </r>
  <r>
    <s v="FIRST BANK OF TENNESSEE"/>
    <x v="55"/>
    <n v="437867353.98000002"/>
    <x v="9"/>
  </r>
  <r>
    <s v="CWB"/>
    <x v="56"/>
    <n v="9604764183.2199993"/>
    <x v="0"/>
  </r>
  <r>
    <s v="ALLY"/>
    <x v="56"/>
    <n v="2689977192.96"/>
    <x v="1"/>
  </r>
  <r>
    <s v="WACHOVIA"/>
    <x v="56"/>
    <n v="2282514196.4699998"/>
    <x v="2"/>
  </r>
  <r>
    <s v="AMTRUST"/>
    <x v="56"/>
    <n v="1448382903.7"/>
    <x v="3"/>
  </r>
  <r>
    <s v="INDYMAC BANK, FSB"/>
    <x v="56"/>
    <n v="1435114914.6099999"/>
    <x v="4"/>
  </r>
  <r>
    <s v="SUNTRUST"/>
    <x v="56"/>
    <n v="1287479108.4200001"/>
    <x v="5"/>
  </r>
  <r>
    <s v="FLAGSTAR"/>
    <x v="56"/>
    <n v="878672112.01999998"/>
    <x v="6"/>
  </r>
  <r>
    <s v="FIFTH THIRD"/>
    <x v="56"/>
    <n v="783690008.76999998"/>
    <x v="7"/>
  </r>
  <r>
    <s v="HSBC"/>
    <x v="56"/>
    <n v="390455441.06"/>
    <x v="8"/>
  </r>
  <r>
    <s v="USAA"/>
    <x v="56"/>
    <n v="346654353.91000003"/>
    <x v="9"/>
  </r>
  <r>
    <s v="CWB"/>
    <x v="57"/>
    <n v="11260841584.469999"/>
    <x v="0"/>
  </r>
  <r>
    <s v="ALLY"/>
    <x v="57"/>
    <n v="3658268824.0300002"/>
    <x v="1"/>
  </r>
  <r>
    <s v="SUNTRUST"/>
    <x v="57"/>
    <n v="2994126799.2199998"/>
    <x v="2"/>
  </r>
  <r>
    <s v="AMTRUST"/>
    <x v="57"/>
    <n v="1694093260.71"/>
    <x v="3"/>
  </r>
  <r>
    <s v="FLAGSTAR"/>
    <x v="57"/>
    <n v="1350233547.8599999"/>
    <x v="4"/>
  </r>
  <r>
    <s v="WACHOVIA"/>
    <x v="57"/>
    <n v="923555801.51999998"/>
    <x v="5"/>
  </r>
  <r>
    <s v="INDYMAC BANK, FSB"/>
    <x v="57"/>
    <n v="778795391.29999995"/>
    <x v="6"/>
  </r>
  <r>
    <s v="HSBC"/>
    <x v="57"/>
    <n v="528515853.60000002"/>
    <x v="7"/>
  </r>
  <r>
    <s v="USAA"/>
    <x v="57"/>
    <n v="412864874.60000002"/>
    <x v="8"/>
  </r>
  <r>
    <s v="FIRST BANK OF TENNESSEE"/>
    <x v="57"/>
    <n v="396657286.95999998"/>
    <x v="9"/>
  </r>
  <r>
    <s v="CWB"/>
    <x v="58"/>
    <n v="11100913368.030001"/>
    <x v="0"/>
  </r>
  <r>
    <s v="ALLY"/>
    <x v="58"/>
    <n v="3305671422.6199999"/>
    <x v="1"/>
  </r>
  <r>
    <s v="WACHOVIA"/>
    <x v="58"/>
    <n v="3073082012.29"/>
    <x v="2"/>
  </r>
  <r>
    <s v="SUNTRUST"/>
    <x v="58"/>
    <n v="2181523294.0300002"/>
    <x v="3"/>
  </r>
  <r>
    <s v="FLAGSTAR"/>
    <x v="58"/>
    <n v="1971286047.4300001"/>
    <x v="4"/>
  </r>
  <r>
    <s v="AMTRUST"/>
    <x v="58"/>
    <n v="1063977303.1900001"/>
    <x v="5"/>
  </r>
  <r>
    <s v="INDYMAC BANK, FSB"/>
    <x v="58"/>
    <n v="851004244.74000001"/>
    <x v="6"/>
  </r>
  <r>
    <s v="PNC"/>
    <x v="58"/>
    <n v="802023002.95000005"/>
    <x v="7"/>
  </r>
  <r>
    <s v="USAA"/>
    <x v="58"/>
    <n v="629582622.12"/>
    <x v="8"/>
  </r>
  <r>
    <s v="WAMU"/>
    <x v="58"/>
    <n v="543417101.79999995"/>
    <x v="9"/>
  </r>
  <r>
    <s v="CWB"/>
    <x v="59"/>
    <n v="5626585790.7399998"/>
    <x v="0"/>
  </r>
  <r>
    <s v="WAMU"/>
    <x v="59"/>
    <n v="2184280083.5799999"/>
    <x v="1"/>
  </r>
  <r>
    <s v="AMTRUST"/>
    <x v="59"/>
    <n v="1798969583.0799999"/>
    <x v="2"/>
  </r>
  <r>
    <s v="SUNTRUST"/>
    <x v="59"/>
    <n v="1033094421.8"/>
    <x v="3"/>
  </r>
  <r>
    <s v="ALLY"/>
    <x v="59"/>
    <n v="1030762827.8099999"/>
    <x v="4"/>
  </r>
  <r>
    <s v="WACHOVIA"/>
    <x v="59"/>
    <n v="783961745.63999999"/>
    <x v="5"/>
  </r>
  <r>
    <s v="PNC"/>
    <x v="59"/>
    <n v="698601958.62"/>
    <x v="6"/>
  </r>
  <r>
    <s v="FIFTH THIRD"/>
    <x v="59"/>
    <n v="682516009.75999999"/>
    <x v="7"/>
  </r>
  <r>
    <s v="FLAGSTAR"/>
    <x v="59"/>
    <n v="478441572.16000003"/>
    <x v="8"/>
  </r>
  <r>
    <s v="MANUFACTURERS AND TRADERS TRUST COMPANY"/>
    <x v="59"/>
    <n v="382865953.75"/>
    <x v="9"/>
  </r>
  <r>
    <s v="CWB"/>
    <x v="60"/>
    <n v="5186273977.5699997"/>
    <x v="0"/>
  </r>
  <r>
    <s v="AMTRUST"/>
    <x v="60"/>
    <n v="1499404802.6700001"/>
    <x v="1"/>
  </r>
  <r>
    <s v="SUNTRUST"/>
    <x v="60"/>
    <n v="1386167136.9100001"/>
    <x v="2"/>
  </r>
  <r>
    <s v="ALLY"/>
    <x v="60"/>
    <n v="1268489048.78"/>
    <x v="3"/>
  </r>
  <r>
    <s v="FLAGSTAR"/>
    <x v="60"/>
    <n v="1010293780.8"/>
    <x v="4"/>
  </r>
  <r>
    <s v="INDYMAC BANK, FSB"/>
    <x v="60"/>
    <n v="829429089.38"/>
    <x v="5"/>
  </r>
  <r>
    <s v="WACHOVIA"/>
    <x v="60"/>
    <n v="790012813.88"/>
    <x v="6"/>
  </r>
  <r>
    <s v="PNC"/>
    <x v="60"/>
    <n v="738381064.39999998"/>
    <x v="7"/>
  </r>
  <r>
    <s v="MANUFACTURERS AND TRADERS TRUST COMPANY"/>
    <x v="60"/>
    <n v="339333720.12"/>
    <x v="8"/>
  </r>
  <r>
    <s v="USAA"/>
    <x v="60"/>
    <n v="319101195.19"/>
    <x v="9"/>
  </r>
  <r>
    <s v="CWB"/>
    <x v="61"/>
    <n v="3597810473.3000002"/>
    <x v="0"/>
  </r>
  <r>
    <s v="AMTRUST"/>
    <x v="61"/>
    <n v="1321486905.6099999"/>
    <x v="1"/>
  </r>
  <r>
    <s v="SUNTRUST"/>
    <x v="61"/>
    <n v="1212867361.9300001"/>
    <x v="2"/>
  </r>
  <r>
    <s v="ALLY"/>
    <x v="61"/>
    <n v="997632890.15999997"/>
    <x v="3"/>
  </r>
  <r>
    <s v="FLAGSTAR"/>
    <x v="61"/>
    <n v="823242354.52999997"/>
    <x v="4"/>
  </r>
  <r>
    <s v="WACHOVIA"/>
    <x v="61"/>
    <n v="572407246.50999999"/>
    <x v="5"/>
  </r>
  <r>
    <s v="PNC"/>
    <x v="61"/>
    <n v="491013136.44"/>
    <x v="6"/>
  </r>
  <r>
    <s v="USAA"/>
    <x v="61"/>
    <n v="417996191.77999997"/>
    <x v="7"/>
  </r>
  <r>
    <s v="HSBC"/>
    <x v="61"/>
    <n v="263690234.31"/>
    <x v="8"/>
  </r>
  <r>
    <s v="PHH"/>
    <x v="61"/>
    <n v="254378108.63"/>
    <x v="9"/>
  </r>
  <r>
    <s v="CWB"/>
    <x v="62"/>
    <n v="3209041996.9899998"/>
    <x v="0"/>
  </r>
  <r>
    <s v="SUNTRUST"/>
    <x v="62"/>
    <n v="1360853316.3699999"/>
    <x v="1"/>
  </r>
  <r>
    <s v="AMTRUST"/>
    <x v="62"/>
    <n v="1248096513.3399999"/>
    <x v="2"/>
  </r>
  <r>
    <s v="ALLY"/>
    <x v="62"/>
    <n v="1136669931.97"/>
    <x v="3"/>
  </r>
  <r>
    <s v="FLAGSTAR"/>
    <x v="62"/>
    <n v="1002288580.52"/>
    <x v="4"/>
  </r>
  <r>
    <s v="WACHOVIA"/>
    <x v="62"/>
    <n v="604924280.78999996"/>
    <x v="5"/>
  </r>
  <r>
    <s v="PNC"/>
    <x v="62"/>
    <n v="413496729.44999999"/>
    <x v="6"/>
  </r>
  <r>
    <s v="INDYMAC BANK, FSB"/>
    <x v="62"/>
    <n v="284930845.20999998"/>
    <x v="7"/>
  </r>
  <r>
    <s v="PHH"/>
    <x v="62"/>
    <n v="282884368.74000001"/>
    <x v="8"/>
  </r>
  <r>
    <s v="USAA"/>
    <x v="62"/>
    <n v="263911556.16"/>
    <x v="9"/>
  </r>
  <r>
    <s v="CWB"/>
    <x v="63"/>
    <n v="3683826115.2199998"/>
    <x v="0"/>
  </r>
  <r>
    <s v="WACHOVIA"/>
    <x v="63"/>
    <n v="2094966319.4200001"/>
    <x v="1"/>
  </r>
  <r>
    <s v="ALLY"/>
    <x v="63"/>
    <n v="1470669632.5"/>
    <x v="2"/>
  </r>
  <r>
    <s v="SUNTRUST"/>
    <x v="63"/>
    <n v="1224686047.46"/>
    <x v="3"/>
  </r>
  <r>
    <s v="AMTRUST"/>
    <x v="63"/>
    <n v="843395611.76999998"/>
    <x v="4"/>
  </r>
  <r>
    <s v="FLAGSTAR"/>
    <x v="63"/>
    <n v="802393897.53999996"/>
    <x v="5"/>
  </r>
  <r>
    <s v="PNC"/>
    <x v="63"/>
    <n v="376892203.77999997"/>
    <x v="6"/>
  </r>
  <r>
    <s v="HSBC"/>
    <x v="63"/>
    <n v="309858954.07999998"/>
    <x v="7"/>
  </r>
  <r>
    <s v="PHH"/>
    <x v="63"/>
    <n v="208949608.93000001"/>
    <x v="8"/>
  </r>
  <r>
    <s v="THIRD FEDERAL"/>
    <x v="63"/>
    <n v="179709268.84999999"/>
    <x v="9"/>
  </r>
  <r>
    <s v="CWB"/>
    <x v="64"/>
    <n v="2158341504.3499999"/>
    <x v="0"/>
  </r>
  <r>
    <s v="SUNTRUST"/>
    <x v="64"/>
    <n v="1270133878.5"/>
    <x v="1"/>
  </r>
  <r>
    <s v="WACHOVIA"/>
    <x v="64"/>
    <n v="1047883427.5599999"/>
    <x v="2"/>
  </r>
  <r>
    <s v="ALLY"/>
    <x v="64"/>
    <n v="620839697.44000006"/>
    <x v="3"/>
  </r>
  <r>
    <s v="FLAGSTAR"/>
    <x v="64"/>
    <n v="587970707.45000005"/>
    <x v="4"/>
  </r>
  <r>
    <s v="AMTRUST"/>
    <x v="64"/>
    <n v="542265349.04999995"/>
    <x v="5"/>
  </r>
  <r>
    <s v="WAMU"/>
    <x v="64"/>
    <n v="348128925.05000001"/>
    <x v="6"/>
  </r>
  <r>
    <s v="PNC"/>
    <x v="64"/>
    <n v="318304226.47000003"/>
    <x v="7"/>
  </r>
  <r>
    <s v="HSBC"/>
    <x v="64"/>
    <n v="244829965.52000001"/>
    <x v="8"/>
  </r>
  <r>
    <s v="USAA"/>
    <x v="64"/>
    <n v="189581944.61000001"/>
    <x v="9"/>
  </r>
  <r>
    <s v="CWB"/>
    <x v="65"/>
    <n v="2969647031.0900002"/>
    <x v="0"/>
  </r>
  <r>
    <s v="HSBC"/>
    <x v="65"/>
    <n v="2255179789.8299999"/>
    <x v="1"/>
  </r>
  <r>
    <s v="PNC"/>
    <x v="65"/>
    <n v="1726263195.97"/>
    <x v="2"/>
  </r>
  <r>
    <s v="RBS"/>
    <x v="65"/>
    <n v="1515379715.46"/>
    <x v="3"/>
  </r>
  <r>
    <s v="SUNTRUST"/>
    <x v="65"/>
    <n v="1464856783.98"/>
    <x v="4"/>
  </r>
  <r>
    <s v="ALLY"/>
    <x v="65"/>
    <n v="1311346711.4000001"/>
    <x v="5"/>
  </r>
  <r>
    <s v="FLAGSTAR"/>
    <x v="65"/>
    <n v="729862860.11000001"/>
    <x v="6"/>
  </r>
  <r>
    <s v="WACHOVIA"/>
    <x v="65"/>
    <n v="725872145.41999996"/>
    <x v="7"/>
  </r>
  <r>
    <s v="AMTRUST"/>
    <x v="65"/>
    <n v="578012337.17999995"/>
    <x v="8"/>
  </r>
  <r>
    <s v="WEBSTER BANK, N.A."/>
    <x v="65"/>
    <n v="461671461.60000002"/>
    <x v="9"/>
  </r>
  <r>
    <s v="CWB"/>
    <x v="66"/>
    <n v="3317104858.1599998"/>
    <x v="0"/>
  </r>
  <r>
    <s v="SUNTRUST"/>
    <x v="66"/>
    <n v="724463965.13"/>
    <x v="1"/>
  </r>
  <r>
    <s v="AMTRUST"/>
    <x v="66"/>
    <n v="596455268.49000001"/>
    <x v="2"/>
  </r>
  <r>
    <s v="METLIFE"/>
    <x v="66"/>
    <n v="583492367.36000001"/>
    <x v="3"/>
  </r>
  <r>
    <s v="FLAGSTAR"/>
    <x v="66"/>
    <n v="552621931.66999996"/>
    <x v="4"/>
  </r>
  <r>
    <s v="ALLY"/>
    <x v="66"/>
    <n v="548905355.99000001"/>
    <x v="5"/>
  </r>
  <r>
    <s v="PHH"/>
    <x v="66"/>
    <n v="484518538.19"/>
    <x v="6"/>
  </r>
  <r>
    <s v="WACHOVIA"/>
    <x v="66"/>
    <n v="480118054.92000002"/>
    <x v="7"/>
  </r>
  <r>
    <s v="PNC"/>
    <x v="66"/>
    <n v="379356034.81999999"/>
    <x v="8"/>
  </r>
  <r>
    <s v="HSBC"/>
    <x v="66"/>
    <n v="260754121.61000001"/>
    <x v="9"/>
  </r>
  <r>
    <s v="SUNTRUST"/>
    <x v="67"/>
    <n v="2229672563.8899999"/>
    <x v="0"/>
  </r>
  <r>
    <s v="FLAGSTAR"/>
    <x v="67"/>
    <n v="1559389357.8900001"/>
    <x v="1"/>
  </r>
  <r>
    <s v="WACHOVIA"/>
    <x v="67"/>
    <n v="1254259027.49"/>
    <x v="2"/>
  </r>
  <r>
    <s v="AMTRUST"/>
    <x v="67"/>
    <n v="956909872.99000001"/>
    <x v="3"/>
  </r>
  <r>
    <s v="METLIFE"/>
    <x v="67"/>
    <n v="841723160.23000002"/>
    <x v="4"/>
  </r>
  <r>
    <s v="PNC"/>
    <x v="67"/>
    <n v="758409018.50999999"/>
    <x v="5"/>
  </r>
  <r>
    <s v="ALLY"/>
    <x v="67"/>
    <n v="692586940.16999996"/>
    <x v="6"/>
  </r>
  <r>
    <s v="PHH"/>
    <x v="67"/>
    <n v="618757763.75"/>
    <x v="7"/>
  </r>
  <r>
    <s v="HUNTINGTON"/>
    <x v="67"/>
    <n v="333206775.54000002"/>
    <x v="8"/>
  </r>
  <r>
    <s v="HSBC"/>
    <x v="67"/>
    <n v="269517470.33999997"/>
    <x v="9"/>
  </r>
  <r>
    <s v="SUNTRUST"/>
    <x v="68"/>
    <n v="3407769717.4299998"/>
    <x v="0"/>
  </r>
  <r>
    <s v="ALLY"/>
    <x v="68"/>
    <n v="2441399554.0999999"/>
    <x v="1"/>
  </r>
  <r>
    <s v="PNC"/>
    <x v="68"/>
    <n v="1922349871.71"/>
    <x v="2"/>
  </r>
  <r>
    <s v="WACHOVIA"/>
    <x v="68"/>
    <n v="1737171982.3699999"/>
    <x v="3"/>
  </r>
  <r>
    <s v="FLAGSTAR"/>
    <x v="68"/>
    <n v="1643661737.3099999"/>
    <x v="4"/>
  </r>
  <r>
    <s v="AMTRUST"/>
    <x v="68"/>
    <n v="1631140291.73"/>
    <x v="5"/>
  </r>
  <r>
    <s v="PHH"/>
    <x v="68"/>
    <n v="1214333024.3499999"/>
    <x v="6"/>
  </r>
  <r>
    <s v="METLIFE"/>
    <x v="68"/>
    <n v="606100424.61000001"/>
    <x v="7"/>
  </r>
  <r>
    <s v="EVERBANK"/>
    <x v="68"/>
    <n v="413357699.44"/>
    <x v="8"/>
  </r>
  <r>
    <s v="SOVEREIGN"/>
    <x v="68"/>
    <n v="323947662.22000003"/>
    <x v="9"/>
  </r>
  <r>
    <s v="PHH"/>
    <x v="69"/>
    <n v="2815227706.5700002"/>
    <x v="0"/>
  </r>
  <r>
    <s v="SUNTRUST"/>
    <x v="69"/>
    <n v="2714587852.3600001"/>
    <x v="1"/>
  </r>
  <r>
    <s v="AMTRUST"/>
    <x v="69"/>
    <n v="1520805155.21"/>
    <x v="2"/>
  </r>
  <r>
    <s v="FLAGSTAR"/>
    <x v="69"/>
    <n v="1193867589.9300001"/>
    <x v="3"/>
  </r>
  <r>
    <s v="ALLY"/>
    <x v="69"/>
    <n v="1082714427.5699999"/>
    <x v="4"/>
  </r>
  <r>
    <s v="WACHOVIA"/>
    <x v="69"/>
    <n v="1028962633.39"/>
    <x v="5"/>
  </r>
  <r>
    <s v="USAA"/>
    <x v="69"/>
    <n v="415100159.16000003"/>
    <x v="6"/>
  </r>
  <r>
    <s v="METLIFE"/>
    <x v="69"/>
    <n v="385497497.38"/>
    <x v="7"/>
  </r>
  <r>
    <s v="PNC"/>
    <x v="69"/>
    <n v="383407198.56"/>
    <x v="8"/>
  </r>
  <r>
    <s v="RBS"/>
    <x v="69"/>
    <n v="369492901.44999999"/>
    <x v="9"/>
  </r>
  <r>
    <s v="SUNTRUST"/>
    <x v="70"/>
    <n v="2989564840.3499999"/>
    <x v="0"/>
  </r>
  <r>
    <s v="FLAGSTAR"/>
    <x v="70"/>
    <n v="1665474577.04"/>
    <x v="1"/>
  </r>
  <r>
    <s v="ALLY"/>
    <x v="70"/>
    <n v="1562894759.0899999"/>
    <x v="2"/>
  </r>
  <r>
    <s v="PHH"/>
    <x v="70"/>
    <n v="1515846536.6400001"/>
    <x v="3"/>
  </r>
  <r>
    <s v="RBS"/>
    <x v="70"/>
    <n v="978379602"/>
    <x v="4"/>
  </r>
  <r>
    <s v="WACHOVIA"/>
    <x v="70"/>
    <n v="936122247.58000004"/>
    <x v="5"/>
  </r>
  <r>
    <s v="AMTRUST"/>
    <x v="70"/>
    <n v="816930406.16999996"/>
    <x v="6"/>
  </r>
  <r>
    <s v="PNC"/>
    <x v="70"/>
    <n v="666350398.66999996"/>
    <x v="7"/>
  </r>
  <r>
    <s v="EVERBANK"/>
    <x v="70"/>
    <n v="539005086.36000001"/>
    <x v="8"/>
  </r>
  <r>
    <s v="CENTRAL MORTGAGE"/>
    <x v="70"/>
    <n v="333864167.14999998"/>
    <x v="9"/>
  </r>
  <r>
    <s v="SUNTRUST"/>
    <x v="71"/>
    <n v="3693076130.73"/>
    <x v="0"/>
  </r>
  <r>
    <s v="ALLY"/>
    <x v="71"/>
    <n v="2869622330.21"/>
    <x v="1"/>
  </r>
  <r>
    <s v="FLAGSTAR"/>
    <x v="71"/>
    <n v="2100851837.9300001"/>
    <x v="2"/>
  </r>
  <r>
    <s v="PHH"/>
    <x v="71"/>
    <n v="1870162161.0899999"/>
    <x v="3"/>
  </r>
  <r>
    <s v="WACHOVIA"/>
    <x v="71"/>
    <n v="883955249.34000003"/>
    <x v="4"/>
  </r>
  <r>
    <s v="PNC"/>
    <x v="71"/>
    <n v="805872940.15999997"/>
    <x v="5"/>
  </r>
  <r>
    <s v="AMTRUST"/>
    <x v="71"/>
    <n v="755680933.53999996"/>
    <x v="6"/>
  </r>
  <r>
    <s v="METLIFE"/>
    <x v="71"/>
    <n v="675429349.71000004"/>
    <x v="7"/>
  </r>
  <r>
    <s v="EVERBANK"/>
    <x v="71"/>
    <n v="633344752.33000004"/>
    <x v="8"/>
  </r>
  <r>
    <s v="ONEWEST"/>
    <x v="71"/>
    <n v="438760608.49000001"/>
    <x v="9"/>
  </r>
  <r>
    <s v="SUNTRUST"/>
    <x v="72"/>
    <n v="4882309364.7299995"/>
    <x v="0"/>
  </r>
  <r>
    <s v="ALLY"/>
    <x v="72"/>
    <n v="2229551006.6300001"/>
    <x v="1"/>
  </r>
  <r>
    <s v="PHH"/>
    <x v="72"/>
    <n v="2009262252.27"/>
    <x v="2"/>
  </r>
  <r>
    <s v="FLAGSTAR"/>
    <x v="72"/>
    <n v="1257913308.8199999"/>
    <x v="3"/>
  </r>
  <r>
    <s v="METLIFE"/>
    <x v="72"/>
    <n v="913654412.88"/>
    <x v="4"/>
  </r>
  <r>
    <s v="PNC"/>
    <x v="72"/>
    <n v="832077834.90999997"/>
    <x v="5"/>
  </r>
  <r>
    <s v="EVERBANK"/>
    <x v="72"/>
    <n v="829956827.59000003"/>
    <x v="6"/>
  </r>
  <r>
    <s v="WACHOVIA"/>
    <x v="72"/>
    <n v="564529880.10000002"/>
    <x v="7"/>
  </r>
  <r>
    <s v="REGIONS BANK"/>
    <x v="72"/>
    <n v="427705202.57999998"/>
    <x v="8"/>
  </r>
  <r>
    <s v="RBS"/>
    <x v="72"/>
    <n v="387279905.17000002"/>
    <x v="9"/>
  </r>
  <r>
    <s v="SUNTRUST"/>
    <x v="73"/>
    <n v="1858141620.6099999"/>
    <x v="0"/>
  </r>
  <r>
    <s v="PHH"/>
    <x v="73"/>
    <n v="1517335208.99"/>
    <x v="1"/>
  </r>
  <r>
    <s v="ALLY"/>
    <x v="73"/>
    <n v="1462808894.8"/>
    <x v="2"/>
  </r>
  <r>
    <s v="FLAGSTAR"/>
    <x v="73"/>
    <n v="1018336962.6"/>
    <x v="3"/>
  </r>
  <r>
    <s v="PNC"/>
    <x v="73"/>
    <n v="570372803.38999999"/>
    <x v="4"/>
  </r>
  <r>
    <s v="METLIFE"/>
    <x v="73"/>
    <n v="557695919.63"/>
    <x v="5"/>
  </r>
  <r>
    <s v="EVERBANK"/>
    <x v="73"/>
    <n v="401908002.37"/>
    <x v="6"/>
  </r>
  <r>
    <s v="HSBC"/>
    <x v="73"/>
    <n v="361682013.87"/>
    <x v="7"/>
  </r>
  <r>
    <s v="USAA"/>
    <x v="73"/>
    <n v="354933815.98000002"/>
    <x v="8"/>
  </r>
  <r>
    <s v="FRANKLIN AMERICAN MORTGAGE COMPANY"/>
    <x v="73"/>
    <n v="325691818.44999999"/>
    <x v="9"/>
  </r>
  <r>
    <s v="SUNTRUST"/>
    <x v="74"/>
    <n v="1620000882.77"/>
    <x v="0"/>
  </r>
  <r>
    <s v="ALLY"/>
    <x v="74"/>
    <n v="1436034214.4200001"/>
    <x v="1"/>
  </r>
  <r>
    <s v="FLAGSTAR"/>
    <x v="74"/>
    <n v="732944580.41999996"/>
    <x v="2"/>
  </r>
  <r>
    <s v="PHH"/>
    <x v="74"/>
    <n v="619067015.65999997"/>
    <x v="3"/>
  </r>
  <r>
    <s v="USAA"/>
    <x v="74"/>
    <n v="391522691.43000001"/>
    <x v="4"/>
  </r>
  <r>
    <s v="US BANK"/>
    <x v="74"/>
    <n v="380504911.83999997"/>
    <x v="5"/>
  </r>
  <r>
    <s v="PNC"/>
    <x v="74"/>
    <n v="319323334.16000003"/>
    <x v="6"/>
  </r>
  <r>
    <s v="HSBC"/>
    <x v="74"/>
    <n v="313436965.51999998"/>
    <x v="7"/>
  </r>
  <r>
    <s v="FRANKLIN AMERICAN MORTGAGE COMPANY"/>
    <x v="74"/>
    <n v="308483666.88999999"/>
    <x v="8"/>
  </r>
  <r>
    <s v="METLIFE"/>
    <x v="74"/>
    <n v="283374475.02999997"/>
    <x v="9"/>
  </r>
  <r>
    <s v="ALLY"/>
    <x v="75"/>
    <n v="1785454973.51"/>
    <x v="0"/>
  </r>
  <r>
    <s v="SUNTRUST"/>
    <x v="75"/>
    <n v="1151997463.1199999"/>
    <x v="1"/>
  </r>
  <r>
    <s v="FLAGSTAR"/>
    <x v="75"/>
    <n v="1021924928.27"/>
    <x v="2"/>
  </r>
  <r>
    <s v="PHH"/>
    <x v="75"/>
    <n v="593395364.09000003"/>
    <x v="3"/>
  </r>
  <r>
    <s v="US BANK"/>
    <x v="75"/>
    <n v="414165881.75999999"/>
    <x v="4"/>
  </r>
  <r>
    <s v="USAA"/>
    <x v="75"/>
    <n v="312290532.80000001"/>
    <x v="5"/>
  </r>
  <r>
    <s v="PNC"/>
    <x v="75"/>
    <n v="294850100.47000003"/>
    <x v="6"/>
  </r>
  <r>
    <s v="HSBC"/>
    <x v="75"/>
    <n v="228719202.66999999"/>
    <x v="7"/>
  </r>
  <r>
    <s v="METLIFE"/>
    <x v="75"/>
    <n v="184579717.09"/>
    <x v="8"/>
  </r>
  <r>
    <s v="FRANKLIN AMERICAN MORTGAGE COMPANY"/>
    <x v="75"/>
    <n v="173199735.53999999"/>
    <x v="9"/>
  </r>
  <r>
    <s v="ALLY"/>
    <x v="76"/>
    <n v="1884115395.5999999"/>
    <x v="0"/>
  </r>
  <r>
    <s v="SUNTRUST"/>
    <x v="76"/>
    <n v="1273297833.0799999"/>
    <x v="1"/>
  </r>
  <r>
    <s v="PNC"/>
    <x v="76"/>
    <n v="995351291.99000001"/>
    <x v="2"/>
  </r>
  <r>
    <s v="FLAGSTAR"/>
    <x v="76"/>
    <n v="872600518.03999996"/>
    <x v="3"/>
  </r>
  <r>
    <s v="PHH"/>
    <x v="76"/>
    <n v="667107726.84000003"/>
    <x v="4"/>
  </r>
  <r>
    <s v="AMTRUST"/>
    <x v="76"/>
    <n v="349406856.70999998"/>
    <x v="5"/>
  </r>
  <r>
    <s v="METLIFE"/>
    <x v="76"/>
    <n v="329415172.85000002"/>
    <x v="6"/>
  </r>
  <r>
    <s v="HSBC"/>
    <x v="76"/>
    <n v="303240263.52999997"/>
    <x v="7"/>
  </r>
  <r>
    <s v="US BANK"/>
    <x v="76"/>
    <n v="281827960.61000001"/>
    <x v="8"/>
  </r>
  <r>
    <s v="USAA"/>
    <x v="76"/>
    <n v="274193937.13"/>
    <x v="9"/>
  </r>
  <r>
    <s v="ALLY"/>
    <x v="77"/>
    <n v="1770204493.27"/>
    <x v="0"/>
  </r>
  <r>
    <s v="SUNTRUST"/>
    <x v="77"/>
    <n v="1217766175.1800001"/>
    <x v="1"/>
  </r>
  <r>
    <s v="PHH"/>
    <x v="77"/>
    <n v="1200958066.97"/>
    <x v="2"/>
  </r>
  <r>
    <s v="FLAGSTAR"/>
    <x v="77"/>
    <n v="1196133935.4400001"/>
    <x v="3"/>
  </r>
  <r>
    <s v="HSBC"/>
    <x v="77"/>
    <n v="809317697.84000003"/>
    <x v="4"/>
  </r>
  <r>
    <s v="USAA"/>
    <x v="77"/>
    <n v="421132970.56"/>
    <x v="5"/>
  </r>
  <r>
    <s v="METLIFE"/>
    <x v="77"/>
    <n v="333814438.87"/>
    <x v="6"/>
  </r>
  <r>
    <s v="FIFTH THIRD"/>
    <x v="77"/>
    <n v="297563132.50999999"/>
    <x v="7"/>
  </r>
  <r>
    <s v="US BANK"/>
    <x v="77"/>
    <n v="283941040.91000003"/>
    <x v="8"/>
  </r>
  <r>
    <s v="PNC"/>
    <x v="77"/>
    <n v="266196139.19999999"/>
    <x v="9"/>
  </r>
  <r>
    <s v="ALLY"/>
    <x v="78"/>
    <n v="1937402814.29"/>
    <x v="0"/>
  </r>
  <r>
    <s v="FLAGSTAR"/>
    <x v="78"/>
    <n v="925689123.63"/>
    <x v="1"/>
  </r>
  <r>
    <s v="SUNTRUST"/>
    <x v="78"/>
    <n v="903822744.26999998"/>
    <x v="2"/>
  </r>
  <r>
    <s v="PHH"/>
    <x v="78"/>
    <n v="558505182.92999995"/>
    <x v="3"/>
  </r>
  <r>
    <s v="USAA"/>
    <x v="78"/>
    <n v="497769158.43000001"/>
    <x v="4"/>
  </r>
  <r>
    <s v="FIFTH THIRD"/>
    <x v="78"/>
    <n v="312877619.31"/>
    <x v="5"/>
  </r>
  <r>
    <s v="HSBC"/>
    <x v="78"/>
    <n v="299232560.36000001"/>
    <x v="6"/>
  </r>
  <r>
    <s v="EVERBANK"/>
    <x v="78"/>
    <n v="272583827.69"/>
    <x v="7"/>
  </r>
  <r>
    <s v="METLIFE"/>
    <x v="78"/>
    <n v="265082254"/>
    <x v="8"/>
  </r>
  <r>
    <s v="US BANK"/>
    <x v="78"/>
    <n v="265046029.36000001"/>
    <x v="9"/>
  </r>
  <r>
    <s v="ALLY"/>
    <x v="79"/>
    <n v="2201280079.0100002"/>
    <x v="0"/>
  </r>
  <r>
    <s v="SUNTRUST"/>
    <x v="79"/>
    <n v="730114015.47000003"/>
    <x v="1"/>
  </r>
  <r>
    <s v="FLAGSTAR"/>
    <x v="79"/>
    <n v="626985782.29999995"/>
    <x v="2"/>
  </r>
  <r>
    <s v="PHH"/>
    <x v="79"/>
    <n v="612143303.38"/>
    <x v="3"/>
  </r>
  <r>
    <s v="USAA"/>
    <x v="79"/>
    <n v="447502320.58999997"/>
    <x v="4"/>
  </r>
  <r>
    <s v="US BANK"/>
    <x v="79"/>
    <n v="322874976.30000001"/>
    <x v="5"/>
  </r>
  <r>
    <s v="HSBC"/>
    <x v="79"/>
    <n v="299821804.63999999"/>
    <x v="6"/>
  </r>
  <r>
    <s v="METLIFE"/>
    <x v="79"/>
    <n v="277284053"/>
    <x v="7"/>
  </r>
  <r>
    <s v="NY COMMUNITY"/>
    <x v="79"/>
    <n v="268675498.51999998"/>
    <x v="8"/>
  </r>
  <r>
    <s v="FIFTH THIRD"/>
    <x v="79"/>
    <n v="217406646.94"/>
    <x v="9"/>
  </r>
  <r>
    <s v="ALLY"/>
    <x v="80"/>
    <n v="1001151097.79"/>
    <x v="0"/>
  </r>
  <r>
    <s v="PHH"/>
    <x v="80"/>
    <n v="642473994.00999999"/>
    <x v="1"/>
  </r>
  <r>
    <s v="FLAGSTAR"/>
    <x v="80"/>
    <n v="533160065.02999997"/>
    <x v="2"/>
  </r>
  <r>
    <s v="SUNTRUST"/>
    <x v="80"/>
    <n v="508230714.5"/>
    <x v="3"/>
  </r>
  <r>
    <s v="USAA"/>
    <x v="80"/>
    <n v="357183770.66000003"/>
    <x v="4"/>
  </r>
  <r>
    <s v="US BANK"/>
    <x v="80"/>
    <n v="256781804.44999999"/>
    <x v="5"/>
  </r>
  <r>
    <s v="FIFTH THIRD"/>
    <x v="80"/>
    <n v="237358730.37"/>
    <x v="6"/>
  </r>
  <r>
    <s v="NY COMMUNITY"/>
    <x v="80"/>
    <n v="214229274.56999999"/>
    <x v="7"/>
  </r>
  <r>
    <s v="EVERBANK"/>
    <x v="80"/>
    <n v="211920187.96000001"/>
    <x v="8"/>
  </r>
  <r>
    <s v="HSBC"/>
    <x v="80"/>
    <n v="192390040.81999999"/>
    <x v="9"/>
  </r>
  <r>
    <s v="ALLY"/>
    <x v="81"/>
    <n v="1373292642.55"/>
    <x v="0"/>
  </r>
  <r>
    <s v="SUNTRUST"/>
    <x v="81"/>
    <n v="799912498.09000003"/>
    <x v="1"/>
  </r>
  <r>
    <s v="PHH"/>
    <x v="81"/>
    <n v="648973588.63999999"/>
    <x v="2"/>
  </r>
  <r>
    <s v="FLAGSTAR"/>
    <x v="81"/>
    <n v="609364105.82000005"/>
    <x v="3"/>
  </r>
  <r>
    <s v="USAA"/>
    <x v="81"/>
    <n v="374451577.42000002"/>
    <x v="4"/>
  </r>
  <r>
    <s v="NY COMMUNITY"/>
    <x v="81"/>
    <n v="320595795.07999998"/>
    <x v="5"/>
  </r>
  <r>
    <s v="FIFTH THIRD"/>
    <x v="81"/>
    <n v="265818017.44999999"/>
    <x v="6"/>
  </r>
  <r>
    <s v="PNC"/>
    <x v="81"/>
    <n v="256956919.44999999"/>
    <x v="7"/>
  </r>
  <r>
    <s v="US BANK"/>
    <x v="81"/>
    <n v="203519280.99000001"/>
    <x v="8"/>
  </r>
  <r>
    <s v="RBS"/>
    <x v="81"/>
    <n v="199002570.47999999"/>
    <x v="9"/>
  </r>
  <r>
    <s v="ALLY"/>
    <x v="82"/>
    <n v="1375076321.3399999"/>
    <x v="0"/>
  </r>
  <r>
    <s v="PHH"/>
    <x v="82"/>
    <n v="917979863.50999999"/>
    <x v="1"/>
  </r>
  <r>
    <s v="SUNTRUST"/>
    <x v="82"/>
    <n v="851895011.08000004"/>
    <x v="2"/>
  </r>
  <r>
    <s v="FLAGSTAR"/>
    <x v="82"/>
    <n v="748753735.46000004"/>
    <x v="3"/>
  </r>
  <r>
    <s v="NY COMMUNITY"/>
    <x v="82"/>
    <n v="326270703.69999999"/>
    <x v="4"/>
  </r>
  <r>
    <s v="PNC"/>
    <x v="82"/>
    <n v="254275737.40000001"/>
    <x v="5"/>
  </r>
  <r>
    <s v="USAA"/>
    <x v="82"/>
    <n v="223510332"/>
    <x v="6"/>
  </r>
  <r>
    <s v="EVERBANK"/>
    <x v="82"/>
    <n v="212364397.13999999"/>
    <x v="7"/>
  </r>
  <r>
    <s v="RBS"/>
    <x v="82"/>
    <n v="196971420"/>
    <x v="8"/>
  </r>
  <r>
    <s v="METLIFE"/>
    <x v="82"/>
    <n v="178594430.88"/>
    <x v="9"/>
  </r>
  <r>
    <s v="ALLY"/>
    <x v="83"/>
    <n v="1866229299.05"/>
    <x v="0"/>
  </r>
  <r>
    <s v="PHH"/>
    <x v="83"/>
    <n v="944390561.76999998"/>
    <x v="1"/>
  </r>
  <r>
    <s v="FLAGSTAR"/>
    <x v="83"/>
    <n v="918705846.91999996"/>
    <x v="2"/>
  </r>
  <r>
    <s v="SUNTRUST"/>
    <x v="83"/>
    <n v="775601724.25999999"/>
    <x v="3"/>
  </r>
  <r>
    <s v="NY COMMUNITY"/>
    <x v="83"/>
    <n v="300443074.45999998"/>
    <x v="4"/>
  </r>
  <r>
    <s v="USAA"/>
    <x v="83"/>
    <n v="245275653.34"/>
    <x v="5"/>
  </r>
  <r>
    <s v="RBS"/>
    <x v="83"/>
    <n v="211979293.93000001"/>
    <x v="6"/>
  </r>
  <r>
    <s v="PNC"/>
    <x v="83"/>
    <n v="208051201.34999999"/>
    <x v="7"/>
  </r>
  <r>
    <s v="FIFTH THIRD"/>
    <x v="83"/>
    <n v="199838963.02000001"/>
    <x v="8"/>
  </r>
  <r>
    <s v="HUNTINGTON"/>
    <x v="83"/>
    <n v="195579869.88999999"/>
    <x v="9"/>
  </r>
  <r>
    <s v="ALLY"/>
    <x v="84"/>
    <n v="2503047050.4899998"/>
    <x v="0"/>
  </r>
  <r>
    <s v="PHH"/>
    <x v="84"/>
    <n v="932411839.5"/>
    <x v="1"/>
  </r>
  <r>
    <s v="SUNTRUST"/>
    <x v="84"/>
    <n v="649866638.75999999"/>
    <x v="2"/>
  </r>
  <r>
    <s v="FLAGSTAR"/>
    <x v="84"/>
    <n v="619739523.94000006"/>
    <x v="3"/>
  </r>
  <r>
    <s v="NY COMMUNITY"/>
    <x v="84"/>
    <n v="480853769.99000001"/>
    <x v="4"/>
  </r>
  <r>
    <s v="FIFTH THIRD"/>
    <x v="84"/>
    <n v="264978699.94999999"/>
    <x v="5"/>
  </r>
  <r>
    <s v="RBS"/>
    <x v="84"/>
    <n v="251197279.24000001"/>
    <x v="6"/>
  </r>
  <r>
    <s v="USAA"/>
    <x v="84"/>
    <n v="233573188.53999999"/>
    <x v="7"/>
  </r>
  <r>
    <s v="HSBC"/>
    <x v="84"/>
    <n v="218061433.30000001"/>
    <x v="8"/>
  </r>
  <r>
    <s v="METLIFE"/>
    <x v="84"/>
    <n v="208094042.78"/>
    <x v="9"/>
  </r>
  <r>
    <s v="ALLY"/>
    <x v="85"/>
    <n v="2676228021.5100002"/>
    <x v="0"/>
  </r>
  <r>
    <s v="FLAGSTAR"/>
    <x v="85"/>
    <n v="1433781043.1500001"/>
    <x v="1"/>
  </r>
  <r>
    <s v="PHH"/>
    <x v="85"/>
    <n v="1342708519.8399999"/>
    <x v="2"/>
  </r>
  <r>
    <s v="SUNTRUST"/>
    <x v="85"/>
    <n v="1023917028.28"/>
    <x v="3"/>
  </r>
  <r>
    <s v="TD BANK, N.A."/>
    <x v="85"/>
    <n v="593439306.13"/>
    <x v="4"/>
  </r>
  <r>
    <s v="NY COMMUNITY"/>
    <x v="85"/>
    <n v="539726270.10000002"/>
    <x v="5"/>
  </r>
  <r>
    <s v="PROVIDENT FUNDING"/>
    <x v="85"/>
    <n v="453324479.58999997"/>
    <x v="6"/>
  </r>
  <r>
    <s v="FIFTH THIRD"/>
    <x v="85"/>
    <n v="358599271.37"/>
    <x v="7"/>
  </r>
  <r>
    <s v="USAA"/>
    <x v="85"/>
    <n v="279616125.25999999"/>
    <x v="8"/>
  </r>
  <r>
    <s v="METLIFE"/>
    <x v="85"/>
    <n v="266661265.00999999"/>
    <x v="9"/>
  </r>
  <r>
    <s v="ALLY"/>
    <x v="86"/>
    <n v="3628017416.1300001"/>
    <x v="0"/>
  </r>
  <r>
    <s v="FLAGSTAR"/>
    <x v="86"/>
    <n v="2078576416.8699999"/>
    <x v="1"/>
  </r>
  <r>
    <s v="PHH"/>
    <x v="86"/>
    <n v="1723198955.49"/>
    <x v="2"/>
  </r>
  <r>
    <s v="SUNTRUST"/>
    <x v="86"/>
    <n v="1111899953.1300001"/>
    <x v="3"/>
  </r>
  <r>
    <s v="NY COMMUNITY"/>
    <x v="86"/>
    <n v="963061126.65999997"/>
    <x v="4"/>
  </r>
  <r>
    <s v="QUICKEN"/>
    <x v="86"/>
    <n v="832572474.64999998"/>
    <x v="5"/>
  </r>
  <r>
    <s v="PROVIDENT FUNDING"/>
    <x v="86"/>
    <n v="491803433.32999998"/>
    <x v="6"/>
  </r>
  <r>
    <s v="USAA"/>
    <x v="86"/>
    <n v="487796977.91000003"/>
    <x v="7"/>
  </r>
  <r>
    <s v="METLIFE"/>
    <x v="86"/>
    <n v="378583255.39999998"/>
    <x v="8"/>
  </r>
  <r>
    <s v="PNC"/>
    <x v="86"/>
    <n v="377765001.31999999"/>
    <x v="9"/>
  </r>
  <r>
    <s v="ALLY"/>
    <x v="87"/>
    <n v="4793824904.6700001"/>
    <x v="0"/>
  </r>
  <r>
    <s v="PHH"/>
    <x v="87"/>
    <n v="1750513489.3299999"/>
    <x v="1"/>
  </r>
  <r>
    <s v="FLAGSTAR"/>
    <x v="87"/>
    <n v="1581926551.48"/>
    <x v="2"/>
  </r>
  <r>
    <s v="SUNTRUST"/>
    <x v="87"/>
    <n v="1232242691.3499999"/>
    <x v="3"/>
  </r>
  <r>
    <s v="QUICKEN"/>
    <x v="87"/>
    <n v="982787840.32000005"/>
    <x v="4"/>
  </r>
  <r>
    <s v="NY COMMUNITY"/>
    <x v="87"/>
    <n v="817765201.26999998"/>
    <x v="5"/>
  </r>
  <r>
    <s v="PROVIDENT FUNDING"/>
    <x v="87"/>
    <n v="655638902.51999998"/>
    <x v="6"/>
  </r>
  <r>
    <s v="PNC"/>
    <x v="87"/>
    <n v="543141969.03999996"/>
    <x v="7"/>
  </r>
  <r>
    <s v="EVERBANK"/>
    <x v="87"/>
    <n v="533238085.63999999"/>
    <x v="8"/>
  </r>
  <r>
    <s v="FIFTH THIRD"/>
    <x v="87"/>
    <n v="482591103.31"/>
    <x v="9"/>
  </r>
  <r>
    <s v="ALLY"/>
    <x v="88"/>
    <n v="4603146722.4499998"/>
    <x v="0"/>
  </r>
  <r>
    <s v="PHH"/>
    <x v="88"/>
    <n v="2184526963.1799998"/>
    <x v="1"/>
  </r>
  <r>
    <s v="QUICKEN"/>
    <x v="88"/>
    <n v="1748243152.5"/>
    <x v="2"/>
  </r>
  <r>
    <s v="FLAGSTAR"/>
    <x v="88"/>
    <n v="1648670960.6600001"/>
    <x v="3"/>
  </r>
  <r>
    <s v="SUNTRUST"/>
    <x v="88"/>
    <n v="1577607632.71"/>
    <x v="4"/>
  </r>
  <r>
    <s v="PROVIDENT FUNDING"/>
    <x v="88"/>
    <n v="1033949121.67"/>
    <x v="5"/>
  </r>
  <r>
    <s v="NY COMMUNITY"/>
    <x v="88"/>
    <n v="824000098.97000003"/>
    <x v="6"/>
  </r>
  <r>
    <s v="PNC"/>
    <x v="88"/>
    <n v="552585656.04999995"/>
    <x v="7"/>
  </r>
  <r>
    <s v="USAA"/>
    <x v="88"/>
    <n v="542141611.16999996"/>
    <x v="8"/>
  </r>
  <r>
    <s v="EVERBANK"/>
    <x v="88"/>
    <n v="512114690.37"/>
    <x v="9"/>
  </r>
  <r>
    <s v="ALLY"/>
    <x v="89"/>
    <n v="4060874385.6599998"/>
    <x v="0"/>
  </r>
  <r>
    <s v="SUNTRUST"/>
    <x v="89"/>
    <n v="1801951078.1099999"/>
    <x v="1"/>
  </r>
  <r>
    <s v="FLAGSTAR"/>
    <x v="89"/>
    <n v="1782436481.8499999"/>
    <x v="2"/>
  </r>
  <r>
    <s v="PHH"/>
    <x v="89"/>
    <n v="1208344418.1800001"/>
    <x v="3"/>
  </r>
  <r>
    <s v="QUICKEN"/>
    <x v="89"/>
    <n v="653806389.21000004"/>
    <x v="4"/>
  </r>
  <r>
    <s v="NY COMMUNITY"/>
    <x v="89"/>
    <n v="572032112.40999997"/>
    <x v="5"/>
  </r>
  <r>
    <s v="EVERBANK"/>
    <x v="89"/>
    <n v="562291452.51999998"/>
    <x v="6"/>
  </r>
  <r>
    <s v="PROVIDENT FUNDING"/>
    <x v="89"/>
    <n v="552672071.58000004"/>
    <x v="7"/>
  </r>
  <r>
    <s v="PNC"/>
    <x v="89"/>
    <n v="507838152.23000002"/>
    <x v="8"/>
  </r>
  <r>
    <s v="RBS"/>
    <x v="89"/>
    <n v="425290666.69"/>
    <x v="9"/>
  </r>
  <r>
    <s v="ALLY"/>
    <x v="90"/>
    <n v="3530173574.9400001"/>
    <x v="0"/>
  </r>
  <r>
    <s v="PHH"/>
    <x v="90"/>
    <n v="2434118122.3600001"/>
    <x v="1"/>
  </r>
  <r>
    <s v="FLAGSTAR"/>
    <x v="90"/>
    <n v="1648672345.8699999"/>
    <x v="2"/>
  </r>
  <r>
    <s v="SUNTRUST"/>
    <x v="90"/>
    <n v="1548157269.8499999"/>
    <x v="3"/>
  </r>
  <r>
    <s v="NY COMMUNITY"/>
    <x v="90"/>
    <n v="717011195.69000006"/>
    <x v="4"/>
  </r>
  <r>
    <s v="PNC"/>
    <x v="90"/>
    <n v="637830697.74000001"/>
    <x v="5"/>
  </r>
  <r>
    <s v="EVERBANK"/>
    <x v="90"/>
    <n v="553954245.89999998"/>
    <x v="6"/>
  </r>
  <r>
    <s v="US BANK"/>
    <x v="90"/>
    <n v="534876811.55000001"/>
    <x v="7"/>
  </r>
  <r>
    <s v="RBS"/>
    <x v="90"/>
    <n v="445706843.41000003"/>
    <x v="8"/>
  </r>
  <r>
    <s v="METLIFE"/>
    <x v="90"/>
    <n v="408484928.94999999"/>
    <x v="9"/>
  </r>
  <r>
    <s v="PHH"/>
    <x v="91"/>
    <n v="2155592538.1999998"/>
    <x v="0"/>
  </r>
  <r>
    <s v="ALLY"/>
    <x v="91"/>
    <n v="1915347141.49"/>
    <x v="1"/>
  </r>
  <r>
    <s v="SUNTRUST"/>
    <x v="91"/>
    <n v="1243211245.6800001"/>
    <x v="2"/>
  </r>
  <r>
    <s v="FLAGSTAR"/>
    <x v="91"/>
    <n v="853570632.77999997"/>
    <x v="3"/>
  </r>
  <r>
    <s v="PNC"/>
    <x v="91"/>
    <n v="531626540.47000003"/>
    <x v="4"/>
  </r>
  <r>
    <s v="US BANK"/>
    <x v="91"/>
    <n v="439424127.80000001"/>
    <x v="5"/>
  </r>
  <r>
    <s v="USAA"/>
    <x v="91"/>
    <n v="414875521.75"/>
    <x v="6"/>
  </r>
  <r>
    <s v="NY COMMUNITY"/>
    <x v="91"/>
    <n v="403626888.56999999"/>
    <x v="7"/>
  </r>
  <r>
    <s v="RBS"/>
    <x v="91"/>
    <n v="316623042.57999998"/>
    <x v="8"/>
  </r>
  <r>
    <s v="HUNTINGTON"/>
    <x v="91"/>
    <n v="258297699.69"/>
    <x v="9"/>
  </r>
  <r>
    <s v="PHH"/>
    <x v="92"/>
    <n v="2120752517.71"/>
    <x v="0"/>
  </r>
  <r>
    <s v="ALLY"/>
    <x v="92"/>
    <n v="2106788705.9200001"/>
    <x v="1"/>
  </r>
  <r>
    <s v="SUNTRUST"/>
    <x v="92"/>
    <n v="1176664421.78"/>
    <x v="2"/>
  </r>
  <r>
    <s v="FLAGSTAR"/>
    <x v="92"/>
    <n v="734868464.33000004"/>
    <x v="3"/>
  </r>
  <r>
    <s v="PNC"/>
    <x v="92"/>
    <n v="569714776.50999999"/>
    <x v="4"/>
  </r>
  <r>
    <s v="USAA"/>
    <x v="92"/>
    <n v="300779235.80000001"/>
    <x v="5"/>
  </r>
  <r>
    <s v="US BANK"/>
    <x v="92"/>
    <n v="300684557.50999999"/>
    <x v="6"/>
  </r>
  <r>
    <s v="FIFTH THIRD"/>
    <x v="92"/>
    <n v="284428043.37"/>
    <x v="7"/>
  </r>
  <r>
    <s v="REGIONS BANK"/>
    <x v="92"/>
    <n v="270533700.41000003"/>
    <x v="8"/>
  </r>
  <r>
    <s v="HSBC"/>
    <x v="92"/>
    <n v="241779562.83000001"/>
    <x v="9"/>
  </r>
  <r>
    <s v="ALLY"/>
    <x v="93"/>
    <n v="1108476066.48"/>
    <x v="0"/>
  </r>
  <r>
    <s v="FLAGSTAR"/>
    <x v="93"/>
    <n v="809370651.20000005"/>
    <x v="1"/>
  </r>
  <r>
    <s v="SUNTRUST"/>
    <x v="93"/>
    <n v="670283683.65999997"/>
    <x v="2"/>
  </r>
  <r>
    <s v="PNC"/>
    <x v="93"/>
    <n v="551538786.36000001"/>
    <x v="3"/>
  </r>
  <r>
    <s v="PHH"/>
    <x v="93"/>
    <n v="453825981.13999999"/>
    <x v="4"/>
  </r>
  <r>
    <s v="REGIONS BANK"/>
    <x v="93"/>
    <n v="320408343.36000001"/>
    <x v="5"/>
  </r>
  <r>
    <s v="US BANK"/>
    <x v="93"/>
    <n v="283422431.70999998"/>
    <x v="6"/>
  </r>
  <r>
    <s v="USAA"/>
    <x v="93"/>
    <n v="268433302.68000001"/>
    <x v="7"/>
  </r>
  <r>
    <s v="HSBC"/>
    <x v="93"/>
    <n v="212437035.09999999"/>
    <x v="8"/>
  </r>
  <r>
    <s v="NY COMMUNITY"/>
    <x v="93"/>
    <n v="194394715.91999999"/>
    <x v="9"/>
  </r>
  <r>
    <s v="ALLY"/>
    <x v="94"/>
    <n v="1705305796.3599999"/>
    <x v="0"/>
  </r>
  <r>
    <s v="FLAGSTAR"/>
    <x v="94"/>
    <n v="839564162.10000002"/>
    <x v="1"/>
  </r>
  <r>
    <s v="PHH"/>
    <x v="94"/>
    <n v="723728232.77999997"/>
    <x v="2"/>
  </r>
  <r>
    <s v="SUNTRUST"/>
    <x v="94"/>
    <n v="561654246.87"/>
    <x v="3"/>
  </r>
  <r>
    <s v="PNC"/>
    <x v="94"/>
    <n v="385476927.93000001"/>
    <x v="4"/>
  </r>
  <r>
    <s v="REGIONS BANK"/>
    <x v="94"/>
    <n v="272604276.86000001"/>
    <x v="5"/>
  </r>
  <r>
    <s v="USAA"/>
    <x v="94"/>
    <n v="249873981.21000001"/>
    <x v="6"/>
  </r>
  <r>
    <s v="FIFTH THIRD"/>
    <x v="94"/>
    <n v="177187415.38999999"/>
    <x v="7"/>
  </r>
  <r>
    <s v="METLIFE"/>
    <x v="94"/>
    <n v="175058307.03999999"/>
    <x v="8"/>
  </r>
  <r>
    <s v="US BANK"/>
    <x v="94"/>
    <n v="152442303"/>
    <x v="9"/>
  </r>
  <r>
    <s v="ALLY"/>
    <x v="95"/>
    <n v="3125723742.4400001"/>
    <x v="0"/>
  </r>
  <r>
    <s v="PHH"/>
    <x v="95"/>
    <n v="1249270995.0799999"/>
    <x v="1"/>
  </r>
  <r>
    <s v="SUNTRUST"/>
    <x v="95"/>
    <n v="598841873.17999995"/>
    <x v="2"/>
  </r>
  <r>
    <s v="FLAGSTAR"/>
    <x v="95"/>
    <n v="536900681"/>
    <x v="3"/>
  </r>
  <r>
    <s v="PNC"/>
    <x v="95"/>
    <n v="388098543.69999999"/>
    <x v="4"/>
  </r>
  <r>
    <s v="USAA"/>
    <x v="95"/>
    <n v="316608413.45999998"/>
    <x v="5"/>
  </r>
  <r>
    <s v="REGIONS BANK"/>
    <x v="95"/>
    <n v="215949274.02000001"/>
    <x v="6"/>
  </r>
  <r>
    <s v="EVERBANK"/>
    <x v="95"/>
    <n v="211757653.66"/>
    <x v="7"/>
  </r>
  <r>
    <s v="METLIFE"/>
    <x v="95"/>
    <n v="165047413.28999999"/>
    <x v="8"/>
  </r>
  <r>
    <s v="US BANK"/>
    <x v="95"/>
    <n v="139361545.58000001"/>
    <x v="9"/>
  </r>
  <r>
    <s v="ALLY"/>
    <x v="96"/>
    <n v="1613391642.05"/>
    <x v="0"/>
  </r>
  <r>
    <s v="FLAGSTAR"/>
    <x v="96"/>
    <n v="846856456.50999999"/>
    <x v="1"/>
  </r>
  <r>
    <s v="SUNTRUST"/>
    <x v="96"/>
    <n v="719443235.38"/>
    <x v="2"/>
  </r>
  <r>
    <s v="PHH"/>
    <x v="96"/>
    <n v="487930353.06999999"/>
    <x v="3"/>
  </r>
  <r>
    <s v="PNC"/>
    <x v="96"/>
    <n v="332388827"/>
    <x v="4"/>
  </r>
  <r>
    <s v="US BANK"/>
    <x v="96"/>
    <n v="212255776.69999999"/>
    <x v="5"/>
  </r>
  <r>
    <s v="METLIFE"/>
    <x v="96"/>
    <n v="188735037.33000001"/>
    <x v="6"/>
  </r>
  <r>
    <s v="EVERBANK"/>
    <x v="96"/>
    <n v="175361400.72999999"/>
    <x v="7"/>
  </r>
  <r>
    <s v="REGIONS BANK"/>
    <x v="96"/>
    <n v="140357357.38999999"/>
    <x v="8"/>
  </r>
  <r>
    <s v="HSBC"/>
    <x v="96"/>
    <n v="132302201.27"/>
    <x v="9"/>
  </r>
  <r>
    <s v="ALLY"/>
    <x v="97"/>
    <n v="2312378626.5700002"/>
    <x v="0"/>
  </r>
  <r>
    <s v="PHH"/>
    <x v="97"/>
    <n v="1488442307.6700001"/>
    <x v="1"/>
  </r>
  <r>
    <s v="FLAGSTAR"/>
    <x v="97"/>
    <n v="1235686134.8199999"/>
    <x v="2"/>
  </r>
  <r>
    <s v="SUNTRUST"/>
    <x v="97"/>
    <n v="723041247.12"/>
    <x v="3"/>
  </r>
  <r>
    <s v="PNC"/>
    <x v="97"/>
    <n v="257691149.83000001"/>
    <x v="4"/>
  </r>
  <r>
    <s v="USAA"/>
    <x v="97"/>
    <n v="245472900.08000001"/>
    <x v="5"/>
  </r>
  <r>
    <s v="METLIFE"/>
    <x v="97"/>
    <n v="209504780.59999999"/>
    <x v="6"/>
  </r>
  <r>
    <s v="FIFTH THIRD"/>
    <x v="97"/>
    <n v="195134183.40000001"/>
    <x v="7"/>
  </r>
  <r>
    <s v="US BANK"/>
    <x v="97"/>
    <n v="192504566.05000001"/>
    <x v="8"/>
  </r>
  <r>
    <s v="NYCB MORTGAGE COMPANY, LLC"/>
    <x v="97"/>
    <n v="155949179.34999999"/>
    <x v="9"/>
  </r>
  <r>
    <s v="ALLY"/>
    <x v="98"/>
    <n v="3379466287.0999999"/>
    <x v="0"/>
  </r>
  <r>
    <s v="FLAGSTAR"/>
    <x v="98"/>
    <n v="1477823763.1900001"/>
    <x v="1"/>
  </r>
  <r>
    <s v="PHH"/>
    <x v="98"/>
    <n v="1064883083.64"/>
    <x v="2"/>
  </r>
  <r>
    <s v="QUICKEN"/>
    <x v="98"/>
    <n v="818515708.92999995"/>
    <x v="3"/>
  </r>
  <r>
    <s v="SUNTRUST"/>
    <x v="98"/>
    <n v="607535378.60000002"/>
    <x v="4"/>
  </r>
  <r>
    <s v="PNC"/>
    <x v="98"/>
    <n v="418073981.95999998"/>
    <x v="5"/>
  </r>
  <r>
    <s v="US BANK"/>
    <x v="98"/>
    <n v="290401900.70999998"/>
    <x v="6"/>
  </r>
  <r>
    <s v="USAA"/>
    <x v="98"/>
    <n v="285123898.81"/>
    <x v="7"/>
  </r>
  <r>
    <s v="PROSPECT MORTGAGE, LLC"/>
    <x v="98"/>
    <n v="241951655.81999999"/>
    <x v="8"/>
  </r>
  <r>
    <s v="NYCB MORTGAGE COMPANY, LLC"/>
    <x v="98"/>
    <n v="227093066.03"/>
    <x v="9"/>
  </r>
  <r>
    <s v="FLAGSTAR"/>
    <x v="99"/>
    <n v="2184906446.2199998"/>
    <x v="0"/>
  </r>
  <r>
    <s v="PHH"/>
    <x v="99"/>
    <n v="2122233597.4200001"/>
    <x v="1"/>
  </r>
  <r>
    <s v="ALLY"/>
    <x v="99"/>
    <n v="1808551858.1600001"/>
    <x v="2"/>
  </r>
  <r>
    <s v="QUICKEN"/>
    <x v="99"/>
    <n v="1099145883.3299999"/>
    <x v="3"/>
  </r>
  <r>
    <s v="SUNTRUST"/>
    <x v="99"/>
    <n v="781955044.85000002"/>
    <x v="4"/>
  </r>
  <r>
    <s v="NYCB MORTGAGE COMPANY, LLC"/>
    <x v="99"/>
    <n v="480704275.17000002"/>
    <x v="5"/>
  </r>
  <r>
    <s v="US BANK"/>
    <x v="99"/>
    <n v="434872746.33999997"/>
    <x v="6"/>
  </r>
  <r>
    <s v="FIFTH THIRD"/>
    <x v="99"/>
    <n v="331403018.94999999"/>
    <x v="7"/>
  </r>
  <r>
    <s v="PNC"/>
    <x v="99"/>
    <n v="303171070.92000002"/>
    <x v="8"/>
  </r>
  <r>
    <s v="METLIFE"/>
    <x v="99"/>
    <n v="252299679.40000001"/>
    <x v="9"/>
  </r>
  <r>
    <s v="ALLY"/>
    <x v="100"/>
    <n v="3647920798.0700002"/>
    <x v="0"/>
  </r>
  <r>
    <s v="FLAGSTAR"/>
    <x v="100"/>
    <n v="2369417431.5700002"/>
    <x v="1"/>
  </r>
  <r>
    <s v="PHH"/>
    <x v="100"/>
    <n v="2089241126.1800001"/>
    <x v="2"/>
  </r>
  <r>
    <s v="QUICKEN"/>
    <x v="100"/>
    <n v="1412203171.1800001"/>
    <x v="3"/>
  </r>
  <r>
    <s v="NYCB MORTGAGE COMPANY, LLC"/>
    <x v="100"/>
    <n v="745106160.72000003"/>
    <x v="4"/>
  </r>
  <r>
    <s v="US BANK"/>
    <x v="100"/>
    <n v="551153369.42999995"/>
    <x v="5"/>
  </r>
  <r>
    <s v="FRANKLIN AMERICAN MORTGAGE COMPANY"/>
    <x v="100"/>
    <n v="444032244.01999998"/>
    <x v="6"/>
  </r>
  <r>
    <s v="EVERBANK"/>
    <x v="100"/>
    <n v="416926222.63999999"/>
    <x v="7"/>
  </r>
  <r>
    <s v="PROVIDENT FUNDING"/>
    <x v="100"/>
    <n v="378261660.80000001"/>
    <x v="8"/>
  </r>
  <r>
    <s v="SUNTRUST"/>
    <x v="100"/>
    <n v="371280013.94"/>
    <x v="9"/>
  </r>
  <r>
    <s v="ALLY"/>
    <x v="101"/>
    <n v="4059865643.29"/>
    <x v="0"/>
  </r>
  <r>
    <s v="FLAGSTAR"/>
    <x v="101"/>
    <n v="2359023695.79"/>
    <x v="1"/>
  </r>
  <r>
    <s v="PHH"/>
    <x v="101"/>
    <n v="2314600375.54"/>
    <x v="2"/>
  </r>
  <r>
    <s v="QUICKEN"/>
    <x v="101"/>
    <n v="1120575680.53"/>
    <x v="3"/>
  </r>
  <r>
    <s v="NYCB MORTGAGE COMPANY, LLC"/>
    <x v="101"/>
    <n v="683743002.97000003"/>
    <x v="4"/>
  </r>
  <r>
    <s v="FIFTH THIRD"/>
    <x v="101"/>
    <n v="612015462.09000003"/>
    <x v="5"/>
  </r>
  <r>
    <s v="US BANK"/>
    <x v="101"/>
    <n v="519959137.73000002"/>
    <x v="6"/>
  </r>
  <r>
    <s v="PNC"/>
    <x v="101"/>
    <n v="419812688.57999998"/>
    <x v="7"/>
  </r>
  <r>
    <s v="EVERBANK"/>
    <x v="101"/>
    <n v="418471575.45999998"/>
    <x v="8"/>
  </r>
  <r>
    <s v="PROVIDENT FUNDING"/>
    <x v="101"/>
    <n v="354174934.64999998"/>
    <x v="9"/>
  </r>
  <r>
    <s v="FLAGSTAR"/>
    <x v="102"/>
    <n v="2074382019.1199999"/>
    <x v="0"/>
  </r>
  <r>
    <s v="ALLY"/>
    <x v="102"/>
    <n v="1820085642.0799999"/>
    <x v="1"/>
  </r>
  <r>
    <s v="PHH"/>
    <x v="102"/>
    <n v="1616843705.9300001"/>
    <x v="2"/>
  </r>
  <r>
    <s v="QUICKEN"/>
    <x v="102"/>
    <n v="1320904264.2"/>
    <x v="3"/>
  </r>
  <r>
    <s v="SUNTRUST"/>
    <x v="102"/>
    <n v="753973852.75999999"/>
    <x v="4"/>
  </r>
  <r>
    <s v="FIFTH THIRD"/>
    <x v="102"/>
    <n v="684074900.45000005"/>
    <x v="5"/>
  </r>
  <r>
    <s v="US BANK"/>
    <x v="102"/>
    <n v="534343487.33999997"/>
    <x v="6"/>
  </r>
  <r>
    <s v="USAA"/>
    <x v="102"/>
    <n v="437316335.76999998"/>
    <x v="7"/>
  </r>
  <r>
    <s v="NYCB MORTGAGE COMPANY, LLC"/>
    <x v="102"/>
    <n v="404981690.64999998"/>
    <x v="8"/>
  </r>
  <r>
    <s v="FRANKLIN AMERICAN MORTGAGE COMPANY"/>
    <x v="102"/>
    <n v="372831227.45999998"/>
    <x v="9"/>
  </r>
  <r>
    <s v="FLAGSTAR"/>
    <x v="103"/>
    <n v="2735353783.9699998"/>
    <x v="0"/>
  </r>
  <r>
    <s v="PHH"/>
    <x v="103"/>
    <n v="1847027442.4000001"/>
    <x v="1"/>
  </r>
  <r>
    <s v="QUICKEN"/>
    <x v="103"/>
    <n v="1757601309.22"/>
    <x v="2"/>
  </r>
  <r>
    <s v="ALLY"/>
    <x v="103"/>
    <n v="1392637011.05"/>
    <x v="3"/>
  </r>
  <r>
    <s v="SUNTRUST"/>
    <x v="103"/>
    <n v="955978630.90999997"/>
    <x v="4"/>
  </r>
  <r>
    <s v="US BANK"/>
    <x v="103"/>
    <n v="521440662.5"/>
    <x v="5"/>
  </r>
  <r>
    <s v="FIFTH THIRD"/>
    <x v="103"/>
    <n v="483206328.12"/>
    <x v="6"/>
  </r>
  <r>
    <s v="USAA"/>
    <x v="103"/>
    <n v="457273640.91000003"/>
    <x v="7"/>
  </r>
  <r>
    <s v="EVERBANK"/>
    <x v="103"/>
    <n v="408256049.98000002"/>
    <x v="8"/>
  </r>
  <r>
    <s v="NYCB MORTGAGE COMPANY, LLC"/>
    <x v="103"/>
    <n v="356656007.27999997"/>
    <x v="9"/>
  </r>
  <r>
    <s v="FLAGSTAR"/>
    <x v="104"/>
    <n v="2968862432.2199998"/>
    <x v="0"/>
  </r>
  <r>
    <s v="QUICKEN"/>
    <x v="104"/>
    <n v="2824281754.79"/>
    <x v="1"/>
  </r>
  <r>
    <s v="PHH"/>
    <x v="104"/>
    <n v="1919116424.9100001"/>
    <x v="2"/>
  </r>
  <r>
    <s v="ALLY"/>
    <x v="104"/>
    <n v="1497727107.4200001"/>
    <x v="3"/>
  </r>
  <r>
    <s v="SUNTRUST"/>
    <x v="104"/>
    <n v="1478766147.8"/>
    <x v="4"/>
  </r>
  <r>
    <s v="FRANKLIN AMERICAN MORTGAGE COMPANY"/>
    <x v="104"/>
    <n v="1188646337.95"/>
    <x v="5"/>
  </r>
  <r>
    <s v="NYCB MORTGAGE COMPANY, LLC"/>
    <x v="104"/>
    <n v="1089164709.28"/>
    <x v="6"/>
  </r>
  <r>
    <s v="PNC"/>
    <x v="104"/>
    <n v="819505181.08000004"/>
    <x v="7"/>
  </r>
  <r>
    <s v="FIFTH THIRD"/>
    <x v="104"/>
    <n v="593418132.54999995"/>
    <x v="8"/>
  </r>
  <r>
    <s v="USAA"/>
    <x v="104"/>
    <n v="554970553.63"/>
    <x v="9"/>
  </r>
  <r>
    <s v="FLAGSTAR"/>
    <x v="105"/>
    <n v="2307288287.8400002"/>
    <x v="0"/>
  </r>
  <r>
    <s v="PHH"/>
    <x v="105"/>
    <n v="1497778473.45"/>
    <x v="1"/>
  </r>
  <r>
    <s v="ALLY"/>
    <x v="105"/>
    <n v="975876845.86000001"/>
    <x v="2"/>
  </r>
  <r>
    <s v="QUICKEN"/>
    <x v="105"/>
    <n v="749628632.73000002"/>
    <x v="3"/>
  </r>
  <r>
    <s v="SUNTRUST"/>
    <x v="105"/>
    <n v="715750834.32000005"/>
    <x v="4"/>
  </r>
  <r>
    <s v="AMERICAN HOME MORTGAGE CORPORATION"/>
    <x v="105"/>
    <n v="473607098.20999998"/>
    <x v="5"/>
  </r>
  <r>
    <s v="USAA"/>
    <x v="105"/>
    <n v="436505207.04000002"/>
    <x v="6"/>
  </r>
  <r>
    <s v="FIFTH THIRD"/>
    <x v="105"/>
    <n v="398848170.72000003"/>
    <x v="7"/>
  </r>
  <r>
    <s v="RBS"/>
    <x v="105"/>
    <n v="328659937.56"/>
    <x v="8"/>
  </r>
  <r>
    <s v="EVERBANK"/>
    <x v="105"/>
    <n v="314087073.68000001"/>
    <x v="9"/>
  </r>
  <r>
    <s v="FLAGSTAR"/>
    <x v="106"/>
    <n v="2837371203.46"/>
    <x v="0"/>
  </r>
  <r>
    <s v="QUICKEN"/>
    <x v="106"/>
    <n v="2688689221.8800001"/>
    <x v="1"/>
  </r>
  <r>
    <s v="US BANK"/>
    <x v="106"/>
    <n v="1155522324.5799999"/>
    <x v="2"/>
  </r>
  <r>
    <s v="SUNTRUST"/>
    <x v="106"/>
    <n v="1115152704.5899999"/>
    <x v="3"/>
  </r>
  <r>
    <s v="PHH"/>
    <x v="106"/>
    <n v="1078652286.0999999"/>
    <x v="4"/>
  </r>
  <r>
    <s v="ALLY"/>
    <x v="106"/>
    <n v="807433941.49000001"/>
    <x v="5"/>
  </r>
  <r>
    <s v="NYCB MORTGAGE COMPANY, LLC"/>
    <x v="106"/>
    <n v="692742544.25"/>
    <x v="6"/>
  </r>
  <r>
    <s v="FRANKLIN AMERICAN MORTGAGE COMPANY"/>
    <x v="106"/>
    <n v="581031985.87"/>
    <x v="7"/>
  </r>
  <r>
    <s v="FIFTH THIRD"/>
    <x v="106"/>
    <n v="407916056.92000002"/>
    <x v="8"/>
  </r>
  <r>
    <s v="AMERICAN HOME MORTGAGE CORPORATION"/>
    <x v="106"/>
    <n v="359239130.39999998"/>
    <x v="9"/>
  </r>
  <r>
    <s v="FLAGSTAR"/>
    <x v="107"/>
    <n v="2594295416.6100001"/>
    <x v="0"/>
  </r>
  <r>
    <s v="QUICKEN"/>
    <x v="107"/>
    <n v="2083801978.74"/>
    <x v="1"/>
  </r>
  <r>
    <s v="SUNTRUST"/>
    <x v="107"/>
    <n v="1819644112.4000001"/>
    <x v="2"/>
  </r>
  <r>
    <s v="ALLY"/>
    <x v="107"/>
    <n v="1462187564.1500001"/>
    <x v="3"/>
  </r>
  <r>
    <s v="PHH"/>
    <x v="107"/>
    <n v="1354198848.0599999"/>
    <x v="4"/>
  </r>
  <r>
    <s v="US BANK"/>
    <x v="107"/>
    <n v="1077841105.76"/>
    <x v="5"/>
  </r>
  <r>
    <s v="FRANKLIN AMERICAN MORTGAGE COMPANY"/>
    <x v="107"/>
    <n v="940195070.66999996"/>
    <x v="6"/>
  </r>
  <r>
    <s v="PNC"/>
    <x v="107"/>
    <n v="617432805.13"/>
    <x v="7"/>
  </r>
  <r>
    <s v="NYCB MORTGAGE COMPANY, LLC"/>
    <x v="107"/>
    <n v="608171276.75"/>
    <x v="8"/>
  </r>
  <r>
    <s v="NATIONSTAR"/>
    <x v="107"/>
    <n v="477733996.14999998"/>
    <x v="9"/>
  </r>
  <r>
    <s v="QUICKEN"/>
    <x v="108"/>
    <n v="3642919334.4899998"/>
    <x v="0"/>
  </r>
  <r>
    <s v="FLAGSTAR"/>
    <x v="108"/>
    <n v="3200713245.7600002"/>
    <x v="1"/>
  </r>
  <r>
    <s v="ALLY"/>
    <x v="108"/>
    <n v="1545512293.75"/>
    <x v="2"/>
  </r>
  <r>
    <s v="PHH"/>
    <x v="108"/>
    <n v="1393815043.55"/>
    <x v="3"/>
  </r>
  <r>
    <s v="SUNTRUST"/>
    <x v="108"/>
    <n v="1313834958.79"/>
    <x v="4"/>
  </r>
  <r>
    <s v="PNC"/>
    <x v="108"/>
    <n v="885810800.47000003"/>
    <x v="5"/>
  </r>
  <r>
    <s v="NYCB MORTGAGE COMPANY, LLC"/>
    <x v="108"/>
    <n v="702201898.66999996"/>
    <x v="6"/>
  </r>
  <r>
    <s v="STEARNS LENDING, INC."/>
    <x v="108"/>
    <n v="611761679.01999998"/>
    <x v="7"/>
  </r>
  <r>
    <s v="PROVIDENT FUNDING"/>
    <x v="108"/>
    <n v="562177252.28999996"/>
    <x v="8"/>
  </r>
  <r>
    <s v="PENNYMAC CORP."/>
    <x v="108"/>
    <n v="541237217.61000001"/>
    <x v="9"/>
  </r>
  <r>
    <s v="QUICKEN"/>
    <x v="109"/>
    <n v="4782260991.4399996"/>
    <x v="0"/>
  </r>
  <r>
    <s v="FLAGSTAR"/>
    <x v="109"/>
    <n v="3581253979.6700001"/>
    <x v="1"/>
  </r>
  <r>
    <s v="ALLY"/>
    <x v="109"/>
    <n v="1681290589.78"/>
    <x v="2"/>
  </r>
  <r>
    <s v="SUNTRUST"/>
    <x v="109"/>
    <n v="1443631118.3499999"/>
    <x v="3"/>
  </r>
  <r>
    <s v="PHH"/>
    <x v="109"/>
    <n v="1298624220.6199999"/>
    <x v="4"/>
  </r>
  <r>
    <s v="FRANKLIN AMERICAN MORTGAGE COMPANY"/>
    <x v="109"/>
    <n v="936397289.01999998"/>
    <x v="5"/>
  </r>
  <r>
    <s v="PENNYMAC CORP."/>
    <x v="109"/>
    <n v="887275797.02999997"/>
    <x v="6"/>
  </r>
  <r>
    <s v="PROVIDENT FUNDING"/>
    <x v="109"/>
    <n v="787639671.77999997"/>
    <x v="7"/>
  </r>
  <r>
    <s v="NYCB MORTGAGE COMPANY, LLC"/>
    <x v="109"/>
    <n v="730509493.36000001"/>
    <x v="8"/>
  </r>
  <r>
    <s v="HOMEWARD RESIDENTIAL, INC."/>
    <x v="109"/>
    <n v="562577364.14999998"/>
    <x v="9"/>
  </r>
  <r>
    <s v="QUICKEN"/>
    <x v="110"/>
    <n v="4912389510.3100004"/>
    <x v="0"/>
  </r>
  <r>
    <s v="FLAGSTAR"/>
    <x v="110"/>
    <n v="3359844224.2199998"/>
    <x v="1"/>
  </r>
  <r>
    <s v="ALLY"/>
    <x v="110"/>
    <n v="1966201200.96"/>
    <x v="2"/>
  </r>
  <r>
    <s v="SUNTRUST"/>
    <x v="110"/>
    <n v="1681914929.71"/>
    <x v="3"/>
  </r>
  <r>
    <s v="PHH"/>
    <x v="110"/>
    <n v="1583385329.6199999"/>
    <x v="4"/>
  </r>
  <r>
    <s v="PENNYMAC CORP."/>
    <x v="110"/>
    <n v="945225066.88999999"/>
    <x v="5"/>
  </r>
  <r>
    <s v="FRANKLIN AMERICAN MORTGAGE COMPANY"/>
    <x v="110"/>
    <n v="923838014.33000004"/>
    <x v="6"/>
  </r>
  <r>
    <s v="PNC"/>
    <x v="110"/>
    <n v="886697039.71000004"/>
    <x v="7"/>
  </r>
  <r>
    <s v="NYCB MORTGAGE COMPANY, LLC"/>
    <x v="110"/>
    <n v="867877572.28999996"/>
    <x v="8"/>
  </r>
  <r>
    <s v="HOMEWARD RESIDENTIAL, INC."/>
    <x v="110"/>
    <n v="628842153.95000005"/>
    <x v="9"/>
  </r>
  <r>
    <s v="QUICKEN"/>
    <x v="111"/>
    <n v="4259407226.3299999"/>
    <x v="0"/>
  </r>
  <r>
    <s v="FLAGSTAR"/>
    <x v="111"/>
    <n v="3094481674.0799999"/>
    <x v="1"/>
  </r>
  <r>
    <s v="SUNTRUST"/>
    <x v="111"/>
    <n v="1987303253.45"/>
    <x v="2"/>
  </r>
  <r>
    <s v="PENNYMAC CORP."/>
    <x v="111"/>
    <n v="1732847138.78"/>
    <x v="3"/>
  </r>
  <r>
    <s v="ALLY"/>
    <x v="111"/>
    <n v="1666900687.8199999"/>
    <x v="4"/>
  </r>
  <r>
    <s v="PHH"/>
    <x v="111"/>
    <n v="1072372364.4"/>
    <x v="5"/>
  </r>
  <r>
    <s v="PROVIDENT FUNDING"/>
    <x v="111"/>
    <n v="841721132.25999999"/>
    <x v="6"/>
  </r>
  <r>
    <s v="FRANKLIN AMERICAN MORTGAGE COMPANY"/>
    <x v="111"/>
    <n v="751443089.72000003"/>
    <x v="7"/>
  </r>
  <r>
    <s v="NYCB MORTGAGE COMPANY, LLC"/>
    <x v="111"/>
    <n v="737280298.47000003"/>
    <x v="8"/>
  </r>
  <r>
    <s v="HOMEWARD RESIDENTIAL, INC."/>
    <x v="111"/>
    <n v="522923301.24000001"/>
    <x v="9"/>
  </r>
  <r>
    <s v="QUICKEN"/>
    <x v="112"/>
    <n v="5306609068.2399998"/>
    <x v="0"/>
  </r>
  <r>
    <s v="FLAGSTAR"/>
    <x v="112"/>
    <n v="3874518072.98"/>
    <x v="1"/>
  </r>
  <r>
    <s v="PENNYMAC CORP."/>
    <x v="112"/>
    <n v="2250728428.04"/>
    <x v="2"/>
  </r>
  <r>
    <s v="ALLY"/>
    <x v="112"/>
    <n v="1993515527.46"/>
    <x v="3"/>
  </r>
  <r>
    <s v="PROVIDENT FUNDING"/>
    <x v="112"/>
    <n v="1584714943.46"/>
    <x v="4"/>
  </r>
  <r>
    <s v="SUNTRUST"/>
    <x v="112"/>
    <n v="1546089705.53"/>
    <x v="5"/>
  </r>
  <r>
    <s v="PHH"/>
    <x v="112"/>
    <n v="1376054173.51"/>
    <x v="6"/>
  </r>
  <r>
    <s v="PNC"/>
    <x v="112"/>
    <n v="1001716332.17"/>
    <x v="7"/>
  </r>
  <r>
    <s v="NYCB MORTGAGE COMPANY, LLC"/>
    <x v="112"/>
    <n v="989461703.61000001"/>
    <x v="8"/>
  </r>
  <r>
    <s v="FRANKLIN AMERICAN MORTGAGE COMPANY"/>
    <x v="112"/>
    <n v="953893312.94000006"/>
    <x v="9"/>
  </r>
  <r>
    <s v="QUICKEN"/>
    <x v="113"/>
    <n v="4854996551.6700001"/>
    <x v="0"/>
  </r>
  <r>
    <s v="FLAGSTAR"/>
    <x v="113"/>
    <n v="3904061336.3899999"/>
    <x v="1"/>
  </r>
  <r>
    <s v="ALLY"/>
    <x v="113"/>
    <n v="2417312711.3600001"/>
    <x v="2"/>
  </r>
  <r>
    <s v="PENNYMAC CORP."/>
    <x v="113"/>
    <n v="1428718132.8699999"/>
    <x v="3"/>
  </r>
  <r>
    <s v="US BANK"/>
    <x v="113"/>
    <n v="1174707913.27"/>
    <x v="4"/>
  </r>
  <r>
    <s v="SUNTRUST"/>
    <x v="113"/>
    <n v="979925672.88999999"/>
    <x v="5"/>
  </r>
  <r>
    <s v="PHH"/>
    <x v="113"/>
    <n v="893331325.57000005"/>
    <x v="6"/>
  </r>
  <r>
    <s v="PROVIDENT FUNDING"/>
    <x v="113"/>
    <n v="823626524.55999994"/>
    <x v="7"/>
  </r>
  <r>
    <s v="FRANKLIN AMERICAN MORTGAGE COMPANY"/>
    <x v="113"/>
    <n v="598033285.75"/>
    <x v="8"/>
  </r>
  <r>
    <s v="HOMEWARD RESIDENTIAL, INC."/>
    <x v="113"/>
    <n v="456100335.47000003"/>
    <x v="9"/>
  </r>
  <r>
    <s v="QUICKEN"/>
    <x v="114"/>
    <n v="5966617258.3500004"/>
    <x v="0"/>
  </r>
  <r>
    <s v="FLAGSTAR"/>
    <x v="114"/>
    <n v="3547658348.7199998"/>
    <x v="1"/>
  </r>
  <r>
    <s v="ALLY"/>
    <x v="114"/>
    <n v="2348959566.2800002"/>
    <x v="2"/>
  </r>
  <r>
    <s v="PENNYMAC CORP."/>
    <x v="114"/>
    <n v="1997102160.27"/>
    <x v="3"/>
  </r>
  <r>
    <s v="PHH"/>
    <x v="114"/>
    <n v="1597255113.6800001"/>
    <x v="4"/>
  </r>
  <r>
    <s v="SUNTRUST"/>
    <x v="114"/>
    <n v="1416718881.03"/>
    <x v="5"/>
  </r>
  <r>
    <s v="FRANKLIN AMERICAN MORTGAGE COMPANY"/>
    <x v="114"/>
    <n v="1219919405.97"/>
    <x v="6"/>
  </r>
  <r>
    <s v="PROVIDENT FUNDING"/>
    <x v="114"/>
    <n v="934030166.5"/>
    <x v="7"/>
  </r>
  <r>
    <s v="US BANK"/>
    <x v="114"/>
    <n v="930213818.21000004"/>
    <x v="8"/>
  </r>
  <r>
    <s v="FIFTH THIRD"/>
    <x v="114"/>
    <n v="564538105.28999996"/>
    <x v="9"/>
  </r>
  <r>
    <s v="QUICKEN"/>
    <x v="115"/>
    <n v="5058886938.4799995"/>
    <x v="0"/>
  </r>
  <r>
    <s v="FLAGSTAR"/>
    <x v="115"/>
    <n v="3063653790.4200001"/>
    <x v="1"/>
  </r>
  <r>
    <s v="ALLY"/>
    <x v="115"/>
    <n v="1926771112.8099999"/>
    <x v="2"/>
  </r>
  <r>
    <s v="SUNTRUST"/>
    <x v="115"/>
    <n v="1807672705.3199999"/>
    <x v="3"/>
  </r>
  <r>
    <s v="PHH"/>
    <x v="115"/>
    <n v="1302704294.5799999"/>
    <x v="4"/>
  </r>
  <r>
    <s v="US BANK"/>
    <x v="115"/>
    <n v="1242590343.3800001"/>
    <x v="5"/>
  </r>
  <r>
    <s v="FRANKLIN AMERICAN MORTGAGE COMPANY"/>
    <x v="115"/>
    <n v="1067957046.13"/>
    <x v="6"/>
  </r>
  <r>
    <s v="PENNYMAC CORP."/>
    <x v="115"/>
    <n v="906775647.44000006"/>
    <x v="7"/>
  </r>
  <r>
    <s v="PNC"/>
    <x v="115"/>
    <n v="808607039.75999999"/>
    <x v="8"/>
  </r>
  <r>
    <s v="HOMEWARD RESIDENTIAL, INC."/>
    <x v="115"/>
    <n v="759904805.88999999"/>
    <x v="9"/>
  </r>
  <r>
    <s v="QUICKEN"/>
    <x v="116"/>
    <n v="4559782207.0600004"/>
    <x v="0"/>
  </r>
  <r>
    <s v="FLAGSTAR"/>
    <x v="116"/>
    <n v="1898208233.29"/>
    <x v="1"/>
  </r>
  <r>
    <s v="SUNTRUST"/>
    <x v="116"/>
    <n v="1849709012.8599999"/>
    <x v="2"/>
  </r>
  <r>
    <s v="PHH"/>
    <x v="116"/>
    <n v="797265609.63999999"/>
    <x v="3"/>
  </r>
  <r>
    <s v="ALLY"/>
    <x v="116"/>
    <n v="714987470.79999995"/>
    <x v="4"/>
  </r>
  <r>
    <s v="PROVIDENT FUNDING"/>
    <x v="116"/>
    <n v="701559342.30999994"/>
    <x v="5"/>
  </r>
  <r>
    <s v="US BANK"/>
    <x v="116"/>
    <n v="585287249.67999995"/>
    <x v="6"/>
  </r>
  <r>
    <s v="USAA"/>
    <x v="116"/>
    <n v="570771506.75999999"/>
    <x v="7"/>
  </r>
  <r>
    <s v="NYCB MORTGAGE COMPANY, LLC"/>
    <x v="116"/>
    <n v="566008079.41999996"/>
    <x v="8"/>
  </r>
  <r>
    <s v="PENNYMAC CORP."/>
    <x v="116"/>
    <n v="500883047.63"/>
    <x v="9"/>
  </r>
  <r>
    <s v="QUICKEN"/>
    <x v="117"/>
    <n v="4116486836.2199998"/>
    <x v="0"/>
  </r>
  <r>
    <s v="FLAGSTAR"/>
    <x v="117"/>
    <n v="2860219926.48"/>
    <x v="1"/>
  </r>
  <r>
    <s v="US BANK"/>
    <x v="117"/>
    <n v="1593764921.78"/>
    <x v="2"/>
  </r>
  <r>
    <s v="PHH"/>
    <x v="117"/>
    <n v="1048561400.36"/>
    <x v="3"/>
  </r>
  <r>
    <s v="NATIONSTAR"/>
    <x v="117"/>
    <n v="1034194462.79"/>
    <x v="4"/>
  </r>
  <r>
    <s v="PROVIDENT FUNDING"/>
    <x v="117"/>
    <n v="1029514462.89"/>
    <x v="5"/>
  </r>
  <r>
    <s v="PNC"/>
    <x v="117"/>
    <n v="936750760.13"/>
    <x v="6"/>
  </r>
  <r>
    <s v="SUNTRUST"/>
    <x v="117"/>
    <n v="811502828"/>
    <x v="7"/>
  </r>
  <r>
    <s v="ALLY"/>
    <x v="117"/>
    <n v="727644968.75999999"/>
    <x v="8"/>
  </r>
  <r>
    <s v="FIFTH THIRD"/>
    <x v="117"/>
    <n v="599307279.29999995"/>
    <x v="9"/>
  </r>
  <r>
    <s v="QUICKEN"/>
    <x v="118"/>
    <n v="3451450904.1700001"/>
    <x v="0"/>
  </r>
  <r>
    <s v="SUNTRUST"/>
    <x v="118"/>
    <n v="1871436657.03"/>
    <x v="1"/>
  </r>
  <r>
    <s v="FLAGSTAR"/>
    <x v="118"/>
    <n v="1853026355.25"/>
    <x v="2"/>
  </r>
  <r>
    <s v="GREEN TREE SERVICING, LLC"/>
    <x v="118"/>
    <n v="1108278332"/>
    <x v="3"/>
  </r>
  <r>
    <s v="PHH"/>
    <x v="118"/>
    <n v="975136764.05999994"/>
    <x v="4"/>
  </r>
  <r>
    <s v="PROVIDENT FUNDING"/>
    <x v="118"/>
    <n v="873269722.52999997"/>
    <x v="5"/>
  </r>
  <r>
    <s v="US BANK"/>
    <x v="118"/>
    <n v="841277798.83000004"/>
    <x v="6"/>
  </r>
  <r>
    <s v="NYCB MORTGAGE COMPANY, LLC"/>
    <x v="118"/>
    <n v="714490470.19000006"/>
    <x v="7"/>
  </r>
  <r>
    <s v="PENNYMAC CORP."/>
    <x v="118"/>
    <n v="709724702.92999995"/>
    <x v="8"/>
  </r>
  <r>
    <s v="FRANKLIN AMERICAN MORTGAGE COMPANY"/>
    <x v="118"/>
    <n v="563252284.46000004"/>
    <x v="9"/>
  </r>
  <r>
    <s v="QUICKEN"/>
    <x v="119"/>
    <n v="4046227360.8000002"/>
    <x v="0"/>
  </r>
  <r>
    <s v="FLAGSTAR"/>
    <x v="119"/>
    <n v="1992445611.8499999"/>
    <x v="1"/>
  </r>
  <r>
    <s v="GREEN TREE SERVICING, LLC"/>
    <x v="119"/>
    <n v="1563390928.6700001"/>
    <x v="2"/>
  </r>
  <r>
    <s v="PROVIDENT FUNDING"/>
    <x v="119"/>
    <n v="1165394823.78"/>
    <x v="3"/>
  </r>
  <r>
    <s v="NATIONSTAR"/>
    <x v="119"/>
    <n v="990997193.94000006"/>
    <x v="4"/>
  </r>
  <r>
    <s v="PHH"/>
    <x v="119"/>
    <n v="565834449.23000002"/>
    <x v="5"/>
  </r>
  <r>
    <s v="NYCB MORTGAGE COMPANY, LLC"/>
    <x v="119"/>
    <n v="556475651.01999998"/>
    <x v="6"/>
  </r>
  <r>
    <s v="PENNYMAC CORP."/>
    <x v="119"/>
    <n v="509449679.19999999"/>
    <x v="7"/>
  </r>
  <r>
    <s v="SUNTRUST"/>
    <x v="119"/>
    <n v="478720327.25"/>
    <x v="8"/>
  </r>
  <r>
    <s v="PNC"/>
    <x v="119"/>
    <n v="477838579.72000003"/>
    <x v="9"/>
  </r>
  <r>
    <s v="QUICKEN"/>
    <x v="120"/>
    <n v="4431900841.0100002"/>
    <x v="0"/>
  </r>
  <r>
    <s v="FLAGSTAR"/>
    <x v="120"/>
    <n v="2282103654.0900002"/>
    <x v="1"/>
  </r>
  <r>
    <s v="GREEN TREE SERVICING, LLC"/>
    <x v="120"/>
    <n v="2166674852.6700001"/>
    <x v="2"/>
  </r>
  <r>
    <s v="NATIONSTAR"/>
    <x v="120"/>
    <n v="1563932131.55"/>
    <x v="3"/>
  </r>
  <r>
    <s v="PENNYMAC CORP."/>
    <x v="120"/>
    <n v="1139966393.8199999"/>
    <x v="4"/>
  </r>
  <r>
    <s v="PHH"/>
    <x v="120"/>
    <n v="711987173.45000005"/>
    <x v="5"/>
  </r>
  <r>
    <s v="NYCB MORTGAGE COMPANY, LLC"/>
    <x v="120"/>
    <n v="701174007.51999998"/>
    <x v="6"/>
  </r>
  <r>
    <s v="SUNTRUST"/>
    <x v="120"/>
    <n v="679872852.00999999"/>
    <x v="7"/>
  </r>
  <r>
    <s v="FRANKLIN AMERICAN MORTGAGE COMPANY"/>
    <x v="120"/>
    <n v="593586538.91999996"/>
    <x v="8"/>
  </r>
  <r>
    <s v="PROVIDENT FUNDING"/>
    <x v="120"/>
    <n v="463902427.12"/>
    <x v="9"/>
  </r>
  <r>
    <s v="QUICKEN"/>
    <x v="121"/>
    <n v="4099763945.7399998"/>
    <x v="0"/>
  </r>
  <r>
    <s v="NATIONSTAR"/>
    <x v="121"/>
    <n v="2861460099.5799999"/>
    <x v="1"/>
  </r>
  <r>
    <s v="GREEN TREE SERVICING, LLC"/>
    <x v="121"/>
    <n v="2152825718.3000002"/>
    <x v="2"/>
  </r>
  <r>
    <s v="FLAGSTAR"/>
    <x v="121"/>
    <n v="1790973007.52"/>
    <x v="3"/>
  </r>
  <r>
    <s v="FRANKLIN AMERICAN MORTGAGE COMPANY"/>
    <x v="121"/>
    <n v="1295687786.72"/>
    <x v="4"/>
  </r>
  <r>
    <s v="SUNTRUST"/>
    <x v="121"/>
    <n v="912925948.12"/>
    <x v="5"/>
  </r>
  <r>
    <s v="PHH"/>
    <x v="121"/>
    <n v="835415203.15999997"/>
    <x v="6"/>
  </r>
  <r>
    <s v="US BANK"/>
    <x v="121"/>
    <n v="546577838.23000002"/>
    <x v="7"/>
  </r>
  <r>
    <s v="PENNYMAC CORP."/>
    <x v="121"/>
    <n v="536505867.62"/>
    <x v="8"/>
  </r>
  <r>
    <s v="PNC"/>
    <x v="121"/>
    <n v="528538588.13999999"/>
    <x v="9"/>
  </r>
  <r>
    <s v="QUICKEN"/>
    <x v="122"/>
    <n v="2353070457.5900002"/>
    <x v="0"/>
  </r>
  <r>
    <s v="GREEN TREE SERVICING, LLC"/>
    <x v="122"/>
    <n v="1808657114.72"/>
    <x v="1"/>
  </r>
  <r>
    <s v="NATIONSTAR"/>
    <x v="122"/>
    <n v="1339478926.28"/>
    <x v="2"/>
  </r>
  <r>
    <s v="FLAGSTAR"/>
    <x v="122"/>
    <n v="1178857899.45"/>
    <x v="3"/>
  </r>
  <r>
    <s v="FRANKLIN AMERICAN MORTGAGE COMPANY"/>
    <x v="122"/>
    <n v="967298891.16999996"/>
    <x v="4"/>
  </r>
  <r>
    <s v="PHH"/>
    <x v="122"/>
    <n v="605181497.16999996"/>
    <x v="5"/>
  </r>
  <r>
    <s v="SUNTRUST"/>
    <x v="122"/>
    <n v="597402176.20000005"/>
    <x v="6"/>
  </r>
  <r>
    <s v="PNC"/>
    <x v="122"/>
    <n v="515462805.88999999"/>
    <x v="7"/>
  </r>
  <r>
    <s v="PENNYMAC CORP."/>
    <x v="122"/>
    <n v="492781973.82999998"/>
    <x v="8"/>
  </r>
  <r>
    <s v="USAA"/>
    <x v="122"/>
    <n v="460439223.23000002"/>
    <x v="9"/>
  </r>
  <r>
    <s v="QUICKEN"/>
    <x v="123"/>
    <n v="1845973493.28"/>
    <x v="0"/>
  </r>
  <r>
    <s v="NATIONSTAR"/>
    <x v="123"/>
    <n v="1714263954.01"/>
    <x v="1"/>
  </r>
  <r>
    <s v="GREEN TREE SERVICING, LLC"/>
    <x v="123"/>
    <n v="1625261801.0699999"/>
    <x v="2"/>
  </r>
  <r>
    <s v="FLAGSTAR"/>
    <x v="123"/>
    <n v="1277248858.6700001"/>
    <x v="3"/>
  </r>
  <r>
    <s v="FRANKLIN AMERICAN MORTGAGE COMPANY"/>
    <x v="123"/>
    <n v="766705889.39999998"/>
    <x v="4"/>
  </r>
  <r>
    <s v="PHH"/>
    <x v="123"/>
    <n v="748285780.59000003"/>
    <x v="5"/>
  </r>
  <r>
    <s v="TD BANK, N.A."/>
    <x v="123"/>
    <n v="661738714.25999999"/>
    <x v="6"/>
  </r>
  <r>
    <s v="SUNTRUST"/>
    <x v="123"/>
    <n v="607183477.75999999"/>
    <x v="7"/>
  </r>
  <r>
    <s v="PENNYMAC CORP."/>
    <x v="123"/>
    <n v="477745384.19"/>
    <x v="8"/>
  </r>
  <r>
    <s v="STONEGATE MORTGAGE CORPORATION"/>
    <x v="123"/>
    <n v="417539872.48000002"/>
    <x v="9"/>
  </r>
  <r>
    <s v="QUICKEN"/>
    <x v="124"/>
    <n v="1689487463.0999999"/>
    <x v="0"/>
  </r>
  <r>
    <s v="FLAGSTAR"/>
    <x v="124"/>
    <n v="1385947039.5999999"/>
    <x v="1"/>
  </r>
  <r>
    <s v="GREEN TREE SERVICING, LLC"/>
    <x v="124"/>
    <n v="1234168380.74"/>
    <x v="2"/>
  </r>
  <r>
    <s v="NATIONSTAR"/>
    <x v="124"/>
    <n v="883068620.78999996"/>
    <x v="3"/>
  </r>
  <r>
    <s v="PHH"/>
    <x v="124"/>
    <n v="553098374.40999997"/>
    <x v="4"/>
  </r>
  <r>
    <s v="ROUNDPOINT MORTGAGE SERVICING CORPORATIO"/>
    <x v="124"/>
    <n v="478405453.45999998"/>
    <x v="5"/>
  </r>
  <r>
    <s v="STONEGATE MORTGAGE CORPORATION"/>
    <x v="124"/>
    <n v="432965350.41000003"/>
    <x v="6"/>
  </r>
  <r>
    <s v="SUNTRUST"/>
    <x v="124"/>
    <n v="405962649.31"/>
    <x v="7"/>
  </r>
  <r>
    <s v="FREEDOM"/>
    <x v="124"/>
    <n v="383944197.57999998"/>
    <x v="8"/>
  </r>
  <r>
    <s v="EVERBANK"/>
    <x v="124"/>
    <n v="371816893.02999997"/>
    <x v="9"/>
  </r>
  <r>
    <s v="GREEN TREE SERVICING, LLC"/>
    <x v="125"/>
    <n v="1555357392.6700001"/>
    <x v="0"/>
  </r>
  <r>
    <s v="QUICKEN"/>
    <x v="125"/>
    <n v="1417769963.4200001"/>
    <x v="1"/>
  </r>
  <r>
    <s v="NATIONSTAR"/>
    <x v="125"/>
    <n v="1067961270.72"/>
    <x v="2"/>
  </r>
  <r>
    <s v="FLAGSTAR"/>
    <x v="125"/>
    <n v="966432689.55999994"/>
    <x v="3"/>
  </r>
  <r>
    <s v="PHH"/>
    <x v="125"/>
    <n v="423629042.22000003"/>
    <x v="4"/>
  </r>
  <r>
    <s v="FREEDOM"/>
    <x v="125"/>
    <n v="395465549.91000003"/>
    <x v="5"/>
  </r>
  <r>
    <s v="PENNYMAC CORP."/>
    <x v="125"/>
    <n v="390864127.97000003"/>
    <x v="6"/>
  </r>
  <r>
    <s v="SUNTRUST"/>
    <x v="125"/>
    <n v="290566327.68000001"/>
    <x v="7"/>
  </r>
  <r>
    <s v="PNC"/>
    <x v="125"/>
    <n v="275405682.32999998"/>
    <x v="8"/>
  </r>
  <r>
    <s v="STONEGATE MORTGAGE CORPORATION"/>
    <x v="125"/>
    <n v="268615430.44999999"/>
    <x v="9"/>
  </r>
  <r>
    <s v="QUICKEN"/>
    <x v="126"/>
    <n v="1754359485.8099999"/>
    <x v="0"/>
  </r>
  <r>
    <s v="GREEN TREE SERVICING, LLC"/>
    <x v="126"/>
    <n v="1337275043.49"/>
    <x v="1"/>
  </r>
  <r>
    <s v="NATIONSTAR"/>
    <x v="126"/>
    <n v="1054634095.39"/>
    <x v="2"/>
  </r>
  <r>
    <s v="FLAGSTAR"/>
    <x v="126"/>
    <n v="608831623.90999997"/>
    <x v="3"/>
  </r>
  <r>
    <s v="FREEDOM"/>
    <x v="126"/>
    <n v="382102212.56"/>
    <x v="4"/>
  </r>
  <r>
    <s v="PHH"/>
    <x v="126"/>
    <n v="380420991.08999997"/>
    <x v="5"/>
  </r>
  <r>
    <s v="PENNYMAC CORP."/>
    <x v="126"/>
    <n v="262176546.69999999"/>
    <x v="6"/>
  </r>
  <r>
    <s v="EVERBANK"/>
    <x v="126"/>
    <n v="260407562.27000001"/>
    <x v="7"/>
  </r>
  <r>
    <s v="FRANKLIN AMERICAN MORTGAGE COMPANY"/>
    <x v="126"/>
    <n v="258494582.72999999"/>
    <x v="8"/>
  </r>
  <r>
    <s v="PNC"/>
    <x v="126"/>
    <n v="247933414.00999999"/>
    <x v="9"/>
  </r>
  <r>
    <s v="QUICKEN"/>
    <x v="127"/>
    <n v="1916682883.5699999"/>
    <x v="0"/>
  </r>
  <r>
    <s v="GREEN TREE SERVICING, LLC"/>
    <x v="127"/>
    <n v="1267206821.6800001"/>
    <x v="1"/>
  </r>
  <r>
    <s v="NATIONSTAR"/>
    <x v="127"/>
    <n v="1267185698.4400001"/>
    <x v="2"/>
  </r>
  <r>
    <s v="FLAGSTAR"/>
    <x v="127"/>
    <n v="625973165.45000005"/>
    <x v="3"/>
  </r>
  <r>
    <s v="FREEDOM"/>
    <x v="127"/>
    <n v="408580255.77999997"/>
    <x v="4"/>
  </r>
  <r>
    <s v="PHH"/>
    <x v="127"/>
    <n v="286171469.83999997"/>
    <x v="5"/>
  </r>
  <r>
    <s v="FRANKLIN AMERICAN MORTGAGE COMPANY"/>
    <x v="127"/>
    <n v="231877528.75999999"/>
    <x v="6"/>
  </r>
  <r>
    <s v="EVERBANK"/>
    <x v="127"/>
    <n v="217647154.06"/>
    <x v="7"/>
  </r>
  <r>
    <s v="SUNTRUST"/>
    <x v="127"/>
    <n v="216453089.71000001"/>
    <x v="8"/>
  </r>
  <r>
    <s v="PNC"/>
    <x v="127"/>
    <n v="214726442.41999999"/>
    <x v="9"/>
  </r>
  <r>
    <s v="QUICKEN"/>
    <x v="128"/>
    <n v="1569133883.05"/>
    <x v="0"/>
  </r>
  <r>
    <s v="NATIONSTAR"/>
    <x v="128"/>
    <n v="909424536.85000002"/>
    <x v="1"/>
  </r>
  <r>
    <s v="GREEN TREE SERVICING, LLC"/>
    <x v="128"/>
    <n v="906645531.15999997"/>
    <x v="2"/>
  </r>
  <r>
    <s v="FLAGSTAR"/>
    <x v="128"/>
    <n v="534078279.32999998"/>
    <x v="3"/>
  </r>
  <r>
    <s v="FREEDOM"/>
    <x v="128"/>
    <n v="317565010.06999999"/>
    <x v="4"/>
  </r>
  <r>
    <s v="PENNYMAC CORP."/>
    <x v="128"/>
    <n v="312613978.33999997"/>
    <x v="5"/>
  </r>
  <r>
    <s v="ROUNDPOINT MORTGAGE SERVICING CORPORATIO"/>
    <x v="128"/>
    <n v="236025357.25"/>
    <x v="6"/>
  </r>
  <r>
    <s v="PNC"/>
    <x v="128"/>
    <n v="203251405.81999999"/>
    <x v="7"/>
  </r>
  <r>
    <s v="PROSPECT MORTGAGE, LLC"/>
    <x v="128"/>
    <n v="190627685.68000001"/>
    <x v="8"/>
  </r>
  <r>
    <s v="SUNTRUST"/>
    <x v="128"/>
    <n v="183264552.47"/>
    <x v="9"/>
  </r>
  <r>
    <s v="QUICKEN"/>
    <x v="129"/>
    <n v="1572084510.04"/>
    <x v="0"/>
  </r>
  <r>
    <s v="GREEN TREE SERVICING, LLC"/>
    <x v="129"/>
    <n v="866292694.84000003"/>
    <x v="1"/>
  </r>
  <r>
    <s v="FLAGSTAR"/>
    <x v="129"/>
    <n v="834730668.64999998"/>
    <x v="2"/>
  </r>
  <r>
    <s v="NATIONSTAR"/>
    <x v="129"/>
    <n v="828909798.36000001"/>
    <x v="3"/>
  </r>
  <r>
    <s v="FREEDOM"/>
    <x v="129"/>
    <n v="468001431.88999999"/>
    <x v="4"/>
  </r>
  <r>
    <s v="ROUNDPOINT MORTGAGE SERVICING CORPORATIO"/>
    <x v="129"/>
    <n v="443325185.75999999"/>
    <x v="5"/>
  </r>
  <r>
    <s v="PENNYMAC CORP."/>
    <x v="129"/>
    <n v="405445335.30000001"/>
    <x v="6"/>
  </r>
  <r>
    <s v="FRANKLIN AMERICAN MORTGAGE COMPANY"/>
    <x v="129"/>
    <n v="268041865.88"/>
    <x v="7"/>
  </r>
  <r>
    <s v="SUNTRUST"/>
    <x v="129"/>
    <n v="234903825.28999999"/>
    <x v="8"/>
  </r>
  <r>
    <s v="PHH"/>
    <x v="129"/>
    <n v="199595945.93000001"/>
    <x v="9"/>
  </r>
  <r>
    <s v="QUICKEN"/>
    <x v="130"/>
    <n v="1523092086.4300001"/>
    <x v="0"/>
  </r>
  <r>
    <s v="GREEN TREE SERVICING, LLC"/>
    <x v="130"/>
    <n v="897813612.57000005"/>
    <x v="1"/>
  </r>
  <r>
    <s v="FLAGSTAR"/>
    <x v="130"/>
    <n v="682300544.83000004"/>
    <x v="2"/>
  </r>
  <r>
    <s v="NATIONSTAR"/>
    <x v="130"/>
    <n v="568052778.69000006"/>
    <x v="3"/>
  </r>
  <r>
    <s v="ROUNDPOINT MORTGAGE SERVICING CORPORATIO"/>
    <x v="130"/>
    <n v="536538819.19999999"/>
    <x v="4"/>
  </r>
  <r>
    <s v="FREEDOM"/>
    <x v="130"/>
    <n v="523383504.5"/>
    <x v="5"/>
  </r>
  <r>
    <s v="FRANKLIN AMERICAN MORTGAGE COMPANY"/>
    <x v="130"/>
    <n v="521174007.47000003"/>
    <x v="6"/>
  </r>
  <r>
    <s v="PENNYMAC CORP."/>
    <x v="130"/>
    <n v="415318771.85000002"/>
    <x v="7"/>
  </r>
  <r>
    <s v="SUNTRUST"/>
    <x v="130"/>
    <n v="312005264.70999998"/>
    <x v="8"/>
  </r>
  <r>
    <s v="PROVIDENT FUNDING"/>
    <x v="130"/>
    <n v="293452788.11000001"/>
    <x v="9"/>
  </r>
  <r>
    <s v="QUICKEN"/>
    <x v="131"/>
    <n v="1815521830.9200001"/>
    <x v="0"/>
  </r>
  <r>
    <s v="GREEN TREE SERVICING, LLC"/>
    <x v="131"/>
    <n v="1286875630.3800001"/>
    <x v="1"/>
  </r>
  <r>
    <s v="FLAGSTAR"/>
    <x v="131"/>
    <n v="865608919"/>
    <x v="2"/>
  </r>
  <r>
    <s v="NATIONSTAR"/>
    <x v="131"/>
    <n v="732897324.17999995"/>
    <x v="3"/>
  </r>
  <r>
    <s v="FREEDOM"/>
    <x v="131"/>
    <n v="594661694.71000004"/>
    <x v="4"/>
  </r>
  <r>
    <s v="ROUNDPOINT MORTGAGE SERVICING CORPORATIO"/>
    <x v="131"/>
    <n v="471094129.24000001"/>
    <x v="5"/>
  </r>
  <r>
    <s v="PENNYMAC CORP."/>
    <x v="131"/>
    <n v="379516474.86000001"/>
    <x v="6"/>
  </r>
  <r>
    <s v="SUNTRUST"/>
    <x v="131"/>
    <n v="360533498.50999999"/>
    <x v="7"/>
  </r>
  <r>
    <s v="LOANDEPOT.COM, LLC"/>
    <x v="131"/>
    <n v="316978943.73000002"/>
    <x v="8"/>
  </r>
  <r>
    <s v="STONEGATE MORTGAGE CORPORATION"/>
    <x v="131"/>
    <n v="310213190.88"/>
    <x v="9"/>
  </r>
  <r>
    <s v="QUICKEN"/>
    <x v="132"/>
    <n v="2299190742.25"/>
    <x v="0"/>
  </r>
  <r>
    <s v="GREEN TREE SERVICING, LLC"/>
    <x v="132"/>
    <n v="1444694113.3900001"/>
    <x v="1"/>
  </r>
  <r>
    <s v="FREEDOM"/>
    <x v="132"/>
    <n v="819739915.15999997"/>
    <x v="2"/>
  </r>
  <r>
    <s v="SUNTRUST"/>
    <x v="132"/>
    <n v="765661024.61000001"/>
    <x v="3"/>
  </r>
  <r>
    <s v="NATIONSTAR"/>
    <x v="132"/>
    <n v="764448274.14999998"/>
    <x v="4"/>
  </r>
  <r>
    <s v="FLAGSTAR"/>
    <x v="132"/>
    <n v="729902335.99000001"/>
    <x v="5"/>
  </r>
  <r>
    <s v="PENNYMAC CORP."/>
    <x v="132"/>
    <n v="525952501.19"/>
    <x v="6"/>
  </r>
  <r>
    <s v="PHH"/>
    <x v="132"/>
    <n v="390811364.95999998"/>
    <x v="7"/>
  </r>
  <r>
    <s v="ROUNDPOINT MORTGAGE SERVICING CORPORATIO"/>
    <x v="132"/>
    <n v="381861566.10000002"/>
    <x v="8"/>
  </r>
  <r>
    <s v="PROSPECT MORTGAGE, LLC"/>
    <x v="132"/>
    <n v="374551537.88"/>
    <x v="9"/>
  </r>
  <r>
    <s v="QUICKEN"/>
    <x v="133"/>
    <n v="2188451666.4499998"/>
    <x v="0"/>
  </r>
  <r>
    <s v="GREEN TREE SERVICING, LLC"/>
    <x v="133"/>
    <n v="1535693081.29"/>
    <x v="1"/>
  </r>
  <r>
    <s v="NATIONSTAR"/>
    <x v="133"/>
    <n v="877451695.02999997"/>
    <x v="2"/>
  </r>
  <r>
    <s v="FLAGSTAR"/>
    <x v="133"/>
    <n v="785999239.74000001"/>
    <x v="3"/>
  </r>
  <r>
    <s v="SUNTRUST"/>
    <x v="133"/>
    <n v="742569431.09000003"/>
    <x v="4"/>
  </r>
  <r>
    <s v="PENNYMAC CORP."/>
    <x v="133"/>
    <n v="460490700.62"/>
    <x v="5"/>
  </r>
  <r>
    <s v="ROUNDPOINT MORTGAGE SERVICING CORPORATIO"/>
    <x v="133"/>
    <n v="437971221.79000002"/>
    <x v="6"/>
  </r>
  <r>
    <s v="FREEDOM"/>
    <x v="133"/>
    <n v="366486407.16000003"/>
    <x v="7"/>
  </r>
  <r>
    <s v="LOANDEPOT.COM, LLC"/>
    <x v="133"/>
    <n v="319841850.99000001"/>
    <x v="8"/>
  </r>
  <r>
    <s v="GUARANTEED RATE, INC."/>
    <x v="133"/>
    <n v="292397683.70999998"/>
    <x v="9"/>
  </r>
  <r>
    <s v="SUNTRUST"/>
    <x v="134"/>
    <n v="2783280665.23"/>
    <x v="0"/>
  </r>
  <r>
    <s v="QUICKEN"/>
    <x v="134"/>
    <n v="2389791457.5599999"/>
    <x v="1"/>
  </r>
  <r>
    <s v="GREEN TREE SERVICING, LLC"/>
    <x v="134"/>
    <n v="1535983379.74"/>
    <x v="2"/>
  </r>
  <r>
    <s v="NATIONSTAR"/>
    <x v="134"/>
    <n v="1085804754.1199999"/>
    <x v="3"/>
  </r>
  <r>
    <s v="FLAGSTAR"/>
    <x v="134"/>
    <n v="870888081.38999999"/>
    <x v="4"/>
  </r>
  <r>
    <s v="FREEDOM"/>
    <x v="134"/>
    <n v="611874691.96000004"/>
    <x v="5"/>
  </r>
  <r>
    <s v="PENNYMAC CORP."/>
    <x v="134"/>
    <n v="516787042.47000003"/>
    <x v="6"/>
  </r>
  <r>
    <s v="ROUNDPOINT MORTGAGE SERVICING CORPORATIO"/>
    <x v="134"/>
    <n v="431027112.77999997"/>
    <x v="7"/>
  </r>
  <r>
    <s v="PHH"/>
    <x v="134"/>
    <n v="326837989.47000003"/>
    <x v="8"/>
  </r>
  <r>
    <s v="LOANDEPOT.COM, LLC"/>
    <x v="134"/>
    <n v="285847235.86000001"/>
    <x v="9"/>
  </r>
  <r>
    <s v="QUICKEN"/>
    <x v="135"/>
    <n v="2036061242.9100001"/>
    <x v="0"/>
  </r>
  <r>
    <s v="GREEN TREE SERVICING, LLC"/>
    <x v="135"/>
    <n v="1531899596.8499999"/>
    <x v="1"/>
  </r>
  <r>
    <s v="SUNTRUST"/>
    <x v="135"/>
    <n v="912965328.49000001"/>
    <x v="2"/>
  </r>
  <r>
    <s v="FLAGSTAR"/>
    <x v="135"/>
    <n v="878388058.72000003"/>
    <x v="3"/>
  </r>
  <r>
    <s v="NATIONSTAR"/>
    <x v="135"/>
    <n v="834463365.48000002"/>
    <x v="4"/>
  </r>
  <r>
    <s v="FREEDOM"/>
    <x v="135"/>
    <n v="662813498.03999996"/>
    <x v="5"/>
  </r>
  <r>
    <s v="PENNYMAC CORP."/>
    <x v="135"/>
    <n v="500204248.58999997"/>
    <x v="6"/>
  </r>
  <r>
    <s v="ROUNDPOINT MORTGAGE SERVICING CORPORATIO"/>
    <x v="135"/>
    <n v="440796549.81"/>
    <x v="7"/>
  </r>
  <r>
    <s v="PHH"/>
    <x v="135"/>
    <n v="364563179.50999999"/>
    <x v="8"/>
  </r>
  <r>
    <s v="PROVIDENT FUNDING"/>
    <x v="135"/>
    <n v="340980781.88999999"/>
    <x v="9"/>
  </r>
  <r>
    <s v="QUICKEN"/>
    <x v="136"/>
    <n v="2764147676.1700001"/>
    <x v="0"/>
  </r>
  <r>
    <s v="GREEN TREE SERVICING, LLC"/>
    <x v="136"/>
    <n v="1389426710.6099999"/>
    <x v="1"/>
  </r>
  <r>
    <s v="NATIONSTAR"/>
    <x v="136"/>
    <n v="805943904.73000002"/>
    <x v="2"/>
  </r>
  <r>
    <s v="SUNTRUST"/>
    <x v="136"/>
    <n v="770850866.33000004"/>
    <x v="3"/>
  </r>
  <r>
    <s v="FLAGSTAR"/>
    <x v="136"/>
    <n v="717407310.95000005"/>
    <x v="4"/>
  </r>
  <r>
    <s v="ROUNDPOINT MORTGAGE SERVICING CORPORATIO"/>
    <x v="136"/>
    <n v="710666768.27999997"/>
    <x v="5"/>
  </r>
  <r>
    <s v="FREEDOM"/>
    <x v="136"/>
    <n v="541102079.23000002"/>
    <x v="6"/>
  </r>
  <r>
    <s v="PENNYMAC CORP."/>
    <x v="136"/>
    <n v="312598791.55000001"/>
    <x v="7"/>
  </r>
  <r>
    <s v="US BANK"/>
    <x v="136"/>
    <n v="284909515.56999999"/>
    <x v="8"/>
  </r>
  <r>
    <s v="MB FINANCIAL BANK, N.A."/>
    <x v="136"/>
    <n v="270364382.49000001"/>
    <x v="9"/>
  </r>
  <r>
    <s v="QUICKEN"/>
    <x v="137"/>
    <n v="2059485374.03"/>
    <x v="0"/>
  </r>
  <r>
    <s v="FLAGSTAR"/>
    <x v="137"/>
    <n v="1104439089.96"/>
    <x v="1"/>
  </r>
  <r>
    <s v="GREEN TREE SERVICING, LLC"/>
    <x v="137"/>
    <n v="1073416945.2"/>
    <x v="2"/>
  </r>
  <r>
    <s v="NATIONSTAR"/>
    <x v="137"/>
    <n v="758991275.28999996"/>
    <x v="3"/>
  </r>
  <r>
    <s v="ROUNDPOINT MORTGAGE SERVICING CORPORATIO"/>
    <x v="137"/>
    <n v="657873548.25"/>
    <x v="4"/>
  </r>
  <r>
    <s v="SUNTRUST"/>
    <x v="137"/>
    <n v="645169719.35000002"/>
    <x v="5"/>
  </r>
  <r>
    <s v="FREEDOM"/>
    <x v="137"/>
    <n v="597778539.26999998"/>
    <x v="6"/>
  </r>
  <r>
    <s v="PENNYMAC CORP."/>
    <x v="137"/>
    <n v="380742189.57999998"/>
    <x v="7"/>
  </r>
  <r>
    <s v="US BANK"/>
    <x v="137"/>
    <n v="305999507.94999999"/>
    <x v="8"/>
  </r>
  <r>
    <s v="PROSPECT MORTGAGE, LLC"/>
    <x v="137"/>
    <n v="270681601.64999998"/>
    <x v="9"/>
  </r>
  <r>
    <s v="QUICKEN"/>
    <x v="138"/>
    <n v="3177985156.9499998"/>
    <x v="0"/>
  </r>
  <r>
    <s v="GREEN TREE SERVICING, LLC"/>
    <x v="138"/>
    <n v="1234949707.1900001"/>
    <x v="1"/>
  </r>
  <r>
    <s v="ROUNDPOINT MORTGAGE SERVICING CORPORATIO"/>
    <x v="138"/>
    <n v="967269135.14999998"/>
    <x v="2"/>
  </r>
  <r>
    <s v="FLAGSTAR"/>
    <x v="138"/>
    <n v="926692781.25"/>
    <x v="3"/>
  </r>
  <r>
    <s v="SUNTRUST"/>
    <x v="138"/>
    <n v="814842832.97000003"/>
    <x v="4"/>
  </r>
  <r>
    <s v="NATIONSTAR"/>
    <x v="138"/>
    <n v="556166429.88999999"/>
    <x v="5"/>
  </r>
  <r>
    <s v="FREEDOM"/>
    <x v="138"/>
    <n v="515177267.69999999"/>
    <x v="6"/>
  </r>
  <r>
    <s v="CALIBER HOME LOANS, INC."/>
    <x v="138"/>
    <n v="370052603.55000001"/>
    <x v="7"/>
  </r>
  <r>
    <s v="PROVIDENT FUNDING"/>
    <x v="138"/>
    <n v="364555999.37"/>
    <x v="8"/>
  </r>
  <r>
    <s v="PENNYMAC CORP."/>
    <x v="138"/>
    <n v="312693303.94"/>
    <x v="9"/>
  </r>
  <r>
    <s v="QUICKEN"/>
    <x v="139"/>
    <n v="2385777676.1799998"/>
    <x v="0"/>
  </r>
  <r>
    <s v="GREEN TREE SERVICING, LLC"/>
    <x v="139"/>
    <n v="1093287336.01"/>
    <x v="1"/>
  </r>
  <r>
    <s v="FLAGSTAR"/>
    <x v="139"/>
    <n v="970138744.33000004"/>
    <x v="2"/>
  </r>
  <r>
    <s v="SUNTRUST"/>
    <x v="139"/>
    <n v="839249502.65999997"/>
    <x v="3"/>
  </r>
  <r>
    <s v="NATIONSTAR"/>
    <x v="139"/>
    <n v="800403329.84000003"/>
    <x v="4"/>
  </r>
  <r>
    <s v="ROUNDPOINT MORTGAGE SERVICING CORPORATIO"/>
    <x v="139"/>
    <n v="646809552.53999996"/>
    <x v="5"/>
  </r>
  <r>
    <s v="FREEDOM"/>
    <x v="139"/>
    <n v="621440129.88"/>
    <x v="6"/>
  </r>
  <r>
    <s v="PENNYMAC CORP."/>
    <x v="139"/>
    <n v="326128397.55000001"/>
    <x v="7"/>
  </r>
  <r>
    <s v="LOANDEPOT.COM, LLC"/>
    <x v="139"/>
    <n v="315657524.16000003"/>
    <x v="8"/>
  </r>
  <r>
    <s v="US BANK"/>
    <x v="139"/>
    <n v="286622176.11000001"/>
    <x v="9"/>
  </r>
  <r>
    <s v="QUICKEN"/>
    <x v="140"/>
    <n v="3989498244.73"/>
    <x v="0"/>
  </r>
  <r>
    <s v="GREEN TREE SERVICING, LLC"/>
    <x v="140"/>
    <n v="1236818021.4200001"/>
    <x v="1"/>
  </r>
  <r>
    <s v="FLAGSTAR"/>
    <x v="140"/>
    <n v="1065506117.12"/>
    <x v="2"/>
  </r>
  <r>
    <s v="NATIONSTAR"/>
    <x v="140"/>
    <n v="881320747.49000001"/>
    <x v="3"/>
  </r>
  <r>
    <s v="FREEDOM"/>
    <x v="140"/>
    <n v="623580469.82000005"/>
    <x v="4"/>
  </r>
  <r>
    <s v="PROVIDENT FUNDING"/>
    <x v="140"/>
    <n v="494069444.08999997"/>
    <x v="5"/>
  </r>
  <r>
    <s v="FRANKLIN AMERICAN MORTGAGE COMPANY"/>
    <x v="140"/>
    <n v="465307777.93000001"/>
    <x v="6"/>
  </r>
  <r>
    <s v="PROSPECT MORTGAGE, LLC"/>
    <x v="140"/>
    <n v="460804668.19"/>
    <x v="7"/>
  </r>
  <r>
    <s v="PENNYMAC CORP."/>
    <x v="140"/>
    <n v="442633884.63999999"/>
    <x v="8"/>
  </r>
  <r>
    <s v="LOANDEPOT.COM, LLC"/>
    <x v="140"/>
    <n v="442043383.19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20">
  <r>
    <x v="0"/>
    <n v="2473400845.6300001"/>
    <s v="ALLY"/>
    <x v="0"/>
  </r>
  <r>
    <x v="0"/>
    <n v="1078120428"/>
    <s v="OHIO SAVINGS BANK"/>
    <x v="1"/>
  </r>
  <r>
    <x v="0"/>
    <n v="879027187"/>
    <s v="INDYMAC BANK, FSB"/>
    <x v="2"/>
  </r>
  <r>
    <x v="0"/>
    <n v="474212599.19999999"/>
    <s v="PHH"/>
    <x v="3"/>
  </r>
  <r>
    <x v="0"/>
    <n v="418286234"/>
    <s v="FLAGSTAR"/>
    <x v="4"/>
  </r>
  <r>
    <x v="0"/>
    <n v="358459200"/>
    <s v="ARCS COMMERCIAL MORTGAGE COMPANY, L.P."/>
    <x v="5"/>
  </r>
  <r>
    <x v="0"/>
    <n v="275119389"/>
    <s v="USAA"/>
    <x v="6"/>
  </r>
  <r>
    <x v="0"/>
    <n v="272672867"/>
    <s v="HSBC"/>
    <x v="7"/>
  </r>
  <r>
    <x v="0"/>
    <n v="224637511"/>
    <s v="FREEDOM"/>
    <x v="8"/>
  </r>
  <r>
    <x v="0"/>
    <n v="220375175"/>
    <s v="GREEN PARK FINANCIAL LIMITED PARTNERSHIP"/>
    <x v="9"/>
  </r>
  <r>
    <x v="1"/>
    <n v="1685524401.6800001"/>
    <s v="ALLY"/>
    <x v="0"/>
  </r>
  <r>
    <x v="1"/>
    <n v="1347925403"/>
    <s v="OHIO SAVINGS BANK"/>
    <x v="1"/>
  </r>
  <r>
    <x v="1"/>
    <n v="919494049"/>
    <s v="INDYMAC BANK, FSB"/>
    <x v="2"/>
  </r>
  <r>
    <x v="1"/>
    <n v="912306666"/>
    <s v="FLAGSTAR"/>
    <x v="3"/>
  </r>
  <r>
    <x v="1"/>
    <n v="623233566.15999997"/>
    <s v="PHH"/>
    <x v="4"/>
  </r>
  <r>
    <x v="1"/>
    <n v="304184798"/>
    <s v="RED MORTGAGE CAPITAL, INC."/>
    <x v="5"/>
  </r>
  <r>
    <x v="1"/>
    <n v="298994314"/>
    <s v="USAA"/>
    <x v="6"/>
  </r>
  <r>
    <x v="1"/>
    <n v="260232245"/>
    <s v="NEW CENTURY MORTGAGE CORPORATION"/>
    <x v="7"/>
  </r>
  <r>
    <x v="1"/>
    <n v="245539975"/>
    <s v="FREEDOM"/>
    <x v="8"/>
  </r>
  <r>
    <x v="1"/>
    <n v="202292690.33000001"/>
    <s v="HSBC"/>
    <x v="9"/>
  </r>
  <r>
    <x v="2"/>
    <n v="1782572404.98"/>
    <s v="ALLY"/>
    <x v="0"/>
  </r>
  <r>
    <x v="2"/>
    <n v="1390421450"/>
    <s v="OHIO SAVINGS BANK"/>
    <x v="1"/>
  </r>
  <r>
    <x v="2"/>
    <n v="1178120322"/>
    <s v="INDYMAC BANK, FSB"/>
    <x v="2"/>
  </r>
  <r>
    <x v="2"/>
    <n v="803760414.74000001"/>
    <s v="FLAGSTAR"/>
    <x v="3"/>
  </r>
  <r>
    <x v="2"/>
    <n v="420305277.45999998"/>
    <s v="PHH"/>
    <x v="4"/>
  </r>
  <r>
    <x v="2"/>
    <n v="356062658"/>
    <s v="USAA"/>
    <x v="5"/>
  </r>
  <r>
    <x v="2"/>
    <n v="272882484.35000002"/>
    <s v="FIRST BANK OF TENNESSEE"/>
    <x v="6"/>
  </r>
  <r>
    <x v="2"/>
    <n v="221209280.87"/>
    <s v="FREEDOM"/>
    <x v="7"/>
  </r>
  <r>
    <x v="2"/>
    <n v="192796183"/>
    <s v="NEW CENTURY MORTGAGE CORPORATION"/>
    <x v="8"/>
  </r>
  <r>
    <x v="2"/>
    <n v="191363951.16999999"/>
    <s v="HSBC"/>
    <x v="9"/>
  </r>
  <r>
    <x v="3"/>
    <n v="1447162932"/>
    <s v="OHIO SAVINGS BANK"/>
    <x v="0"/>
  </r>
  <r>
    <x v="3"/>
    <n v="1297147899.78"/>
    <s v="ALLY"/>
    <x v="1"/>
  </r>
  <r>
    <x v="3"/>
    <n v="907569900.02999997"/>
    <s v="FLAGSTAR"/>
    <x v="2"/>
  </r>
  <r>
    <x v="3"/>
    <n v="827685883"/>
    <s v="INDYMAC BANK, FSB"/>
    <x v="3"/>
  </r>
  <r>
    <x v="3"/>
    <n v="630241429.34000003"/>
    <s v="PHH"/>
    <x v="4"/>
  </r>
  <r>
    <x v="3"/>
    <n v="407242300"/>
    <s v="ARCS COMMERCIAL MORTGAGE COMPANY, L.P."/>
    <x v="5"/>
  </r>
  <r>
    <x v="3"/>
    <n v="368345018.41000003"/>
    <s v="USAA"/>
    <x v="6"/>
  </r>
  <r>
    <x v="3"/>
    <n v="364007086.29000002"/>
    <s v="FIRST BANK OF TENNESSEE"/>
    <x v="7"/>
  </r>
  <r>
    <x v="3"/>
    <n v="358621617.31"/>
    <s v="FREEDOM"/>
    <x v="8"/>
  </r>
  <r>
    <x v="3"/>
    <n v="251572757.03999999"/>
    <s v="HSBC"/>
    <x v="9"/>
  </r>
  <r>
    <x v="4"/>
    <n v="2391529898.25"/>
    <s v="ALLY"/>
    <x v="0"/>
  </r>
  <r>
    <x v="4"/>
    <n v="1500398960"/>
    <s v="AMTRUST"/>
    <x v="1"/>
  </r>
  <r>
    <x v="4"/>
    <n v="1299005761.8"/>
    <s v="FLAGSTAR"/>
    <x v="2"/>
  </r>
  <r>
    <x v="4"/>
    <n v="1228350512.52"/>
    <s v="PHH"/>
    <x v="3"/>
  </r>
  <r>
    <x v="4"/>
    <n v="1190916373"/>
    <s v="INDYMAC BANK, FSB"/>
    <x v="4"/>
  </r>
  <r>
    <x v="4"/>
    <n v="386152320.07999998"/>
    <s v="USAA"/>
    <x v="5"/>
  </r>
  <r>
    <x v="4"/>
    <n v="369802031.49000001"/>
    <s v="FIRST BANK OF TENNESSEE"/>
    <x v="6"/>
  </r>
  <r>
    <x v="4"/>
    <n v="297124819.23000002"/>
    <s v="LEHMAN BROTHERS HOLDINGS, INC."/>
    <x v="7"/>
  </r>
  <r>
    <x v="4"/>
    <n v="283150537.39999998"/>
    <s v="FREEDOM"/>
    <x v="8"/>
  </r>
  <r>
    <x v="4"/>
    <n v="251855600"/>
    <s v="DB MORTGAGE SERVICES, LLC"/>
    <x v="9"/>
  </r>
  <r>
    <x v="5"/>
    <n v="529500000"/>
    <s v="DB MORTGAGE SERVICES, LLC"/>
    <x v="0"/>
  </r>
  <r>
    <x v="5"/>
    <n v="525451496"/>
    <s v="PRUDENTIAL MULTIFAMILY MORTGAGE INC."/>
    <x v="1"/>
  </r>
  <r>
    <x v="5"/>
    <n v="186664202"/>
    <s v="GREEN PARK FINANCIAL LIMITED PARTNERSHIP"/>
    <x v="2"/>
  </r>
  <r>
    <x v="5"/>
    <n v="128010000"/>
    <s v="CAPMARK FINANCE INC."/>
    <x v="3"/>
  </r>
  <r>
    <x v="5"/>
    <n v="88341541"/>
    <s v="RED MORTGAGE CAPITAL, INC."/>
    <x v="4"/>
  </r>
  <r>
    <x v="5"/>
    <n v="78371000"/>
    <s v="ARCS COMMERCIAL MORTGAGE COMPANY, L.P."/>
    <x v="5"/>
  </r>
  <r>
    <x v="5"/>
    <n v="36942000"/>
    <s v="M &amp; T REALTY CAPITAL CORPORATION"/>
    <x v="6"/>
  </r>
  <r>
    <x v="5"/>
    <n v="30333000"/>
    <s v="KEYCORP REAL ESTATE CAPITAL MARKETS, INC"/>
    <x v="7"/>
  </r>
  <r>
    <x v="5"/>
    <n v="29844162"/>
    <s v="ARBOR"/>
    <x v="8"/>
  </r>
  <r>
    <x v="5"/>
    <n v="19495000"/>
    <s v="COLLATERAL REAL ESTATE CAPITAL, LLC"/>
    <x v="9"/>
  </r>
  <r>
    <x v="6"/>
    <n v="587402404.38"/>
    <s v="PHH"/>
    <x v="0"/>
  </r>
  <r>
    <x v="6"/>
    <n v="165294713.30000001"/>
    <s v="FIFTH THIRD"/>
    <x v="1"/>
  </r>
  <r>
    <x v="6"/>
    <n v="159905398.22"/>
    <s v="ALLY"/>
    <x v="2"/>
  </r>
  <r>
    <x v="6"/>
    <n v="126500000"/>
    <s v="PRUDENTIAL MULTIFAMILY MORTGAGE INC."/>
    <x v="3"/>
  </r>
  <r>
    <x v="6"/>
    <n v="107554000"/>
    <s v="CAPMARK FINANCE INC."/>
    <x v="4"/>
  </r>
  <r>
    <x v="6"/>
    <n v="100942796.38"/>
    <s v="ASSOCIATED"/>
    <x v="5"/>
  </r>
  <r>
    <x v="6"/>
    <n v="73781900"/>
    <s v="ARBOR"/>
    <x v="6"/>
  </r>
  <r>
    <x v="6"/>
    <n v="65000000"/>
    <s v="GREEN PARK FINANCIAL LIMITED PARTNERSHIP"/>
    <x v="7"/>
  </r>
  <r>
    <x v="6"/>
    <n v="53601888.850000001"/>
    <s v="FIRST BANK OF TENNESSEE"/>
    <x v="8"/>
  </r>
  <r>
    <x v="6"/>
    <n v="48832661.829999998"/>
    <s v="BOEING EMPLOYEES CREDIT UNION"/>
    <x v="9"/>
  </r>
  <r>
    <x v="7"/>
    <n v="2776259321.4400001"/>
    <s v="ALLY"/>
    <x v="0"/>
  </r>
  <r>
    <x v="7"/>
    <n v="1376195197"/>
    <s v="AMTRUST"/>
    <x v="1"/>
  </r>
  <r>
    <x v="7"/>
    <n v="1162595939.1300001"/>
    <s v="FLAGSTAR"/>
    <x v="2"/>
  </r>
  <r>
    <x v="7"/>
    <n v="995223799"/>
    <s v="ABM"/>
    <x v="3"/>
  </r>
  <r>
    <x v="7"/>
    <n v="929116624.83000004"/>
    <s v="PHH"/>
    <x v="4"/>
  </r>
  <r>
    <x v="7"/>
    <n v="723828600"/>
    <s v="DB MORTGAGE SERVICES, LLC"/>
    <x v="5"/>
  </r>
  <r>
    <x v="7"/>
    <n v="545921959.29999995"/>
    <s v="FIRST BANK OF TENNESSEE"/>
    <x v="6"/>
  </r>
  <r>
    <x v="7"/>
    <n v="468535961"/>
    <s v="INDYMAC BANK, FSB"/>
    <x v="7"/>
  </r>
  <r>
    <x v="7"/>
    <n v="327096241.41000003"/>
    <s v="USAA"/>
    <x v="8"/>
  </r>
  <r>
    <x v="7"/>
    <n v="307623379.49000001"/>
    <s v="HSBC"/>
    <x v="9"/>
  </r>
  <r>
    <x v="8"/>
    <n v="1933443256.51"/>
    <s v="ALLY"/>
    <x v="0"/>
  </r>
  <r>
    <x v="8"/>
    <n v="1598243031.95"/>
    <s v="FLAGSTAR"/>
    <x v="1"/>
  </r>
  <r>
    <x v="8"/>
    <n v="1509377032.0999999"/>
    <s v="INDYMAC BANK, FSB"/>
    <x v="2"/>
  </r>
  <r>
    <x v="8"/>
    <n v="1504357495.8299999"/>
    <s v="USAA"/>
    <x v="3"/>
  </r>
  <r>
    <x v="8"/>
    <n v="1409534243"/>
    <s v="AMTRUST"/>
    <x v="4"/>
  </r>
  <r>
    <x v="8"/>
    <n v="908731681"/>
    <s v="ABM"/>
    <x v="5"/>
  </r>
  <r>
    <x v="8"/>
    <n v="845731460.67999995"/>
    <s v="PHH"/>
    <x v="6"/>
  </r>
  <r>
    <x v="8"/>
    <n v="503927921"/>
    <s v="PRUDENTIAL MULTIFAMILY MORTGAGE INC."/>
    <x v="7"/>
  </r>
  <r>
    <x v="8"/>
    <n v="434211236"/>
    <s v="FIRST BANK OF TENNESSEE"/>
    <x v="8"/>
  </r>
  <r>
    <x v="8"/>
    <n v="394930721"/>
    <s v="GREENPOINT MORTGAGE FUNDING, INC."/>
    <x v="9"/>
  </r>
  <r>
    <x v="9"/>
    <n v="1995857574.76"/>
    <s v="ALLY"/>
    <x v="0"/>
  </r>
  <r>
    <x v="9"/>
    <n v="1924748303.6900001"/>
    <s v="INDYMAC BANK, FSB"/>
    <x v="1"/>
  </r>
  <r>
    <x v="9"/>
    <n v="1724424141.5899999"/>
    <s v="FLAGSTAR"/>
    <x v="2"/>
  </r>
  <r>
    <x v="9"/>
    <n v="1249358722"/>
    <s v="AMTRUST"/>
    <x v="3"/>
  </r>
  <r>
    <x v="9"/>
    <n v="711885987.22000003"/>
    <s v="USAA"/>
    <x v="4"/>
  </r>
  <r>
    <x v="9"/>
    <n v="644563923.89999998"/>
    <s v="PHH"/>
    <x v="5"/>
  </r>
  <r>
    <x v="9"/>
    <n v="348945351.5"/>
    <s v="HSBC"/>
    <x v="6"/>
  </r>
  <r>
    <x v="9"/>
    <n v="298472865.30000001"/>
    <s v="FIRST BANK OF TENNESSEE"/>
    <x v="7"/>
  </r>
  <r>
    <x v="9"/>
    <n v="283981671.22000003"/>
    <s v="FREEDOM"/>
    <x v="8"/>
  </r>
  <r>
    <x v="9"/>
    <n v="234230100"/>
    <s v="PNC ARCS LLC"/>
    <x v="9"/>
  </r>
  <r>
    <x v="10"/>
    <n v="2316613344.4400001"/>
    <s v="ALLY"/>
    <x v="0"/>
  </r>
  <r>
    <x v="10"/>
    <n v="1576791161"/>
    <s v="AMTRUST"/>
    <x v="1"/>
  </r>
  <r>
    <x v="10"/>
    <n v="1466684614.3"/>
    <s v="FLAGSTAR"/>
    <x v="2"/>
  </r>
  <r>
    <x v="10"/>
    <n v="1234448728"/>
    <s v="INDYMAC BANK, FSB"/>
    <x v="3"/>
  </r>
  <r>
    <x v="10"/>
    <n v="827165209.88999999"/>
    <s v="PHH"/>
    <x v="4"/>
  </r>
  <r>
    <x v="10"/>
    <n v="597913031"/>
    <s v="ABM"/>
    <x v="5"/>
  </r>
  <r>
    <x v="10"/>
    <n v="549995689"/>
    <s v="USAA"/>
    <x v="6"/>
  </r>
  <r>
    <x v="10"/>
    <n v="433568720.41000003"/>
    <s v="HSBC"/>
    <x v="7"/>
  </r>
  <r>
    <x v="10"/>
    <n v="341305328.14999998"/>
    <s v="FREEDOM"/>
    <x v="8"/>
  </r>
  <r>
    <x v="10"/>
    <n v="268085150.44"/>
    <s v="FIRST BANK OF TENNESSEE"/>
    <x v="9"/>
  </r>
  <r>
    <x v="11"/>
    <n v="2828027093.6300001"/>
    <s v="ALLY"/>
    <x v="0"/>
  </r>
  <r>
    <x v="11"/>
    <n v="1736453448"/>
    <s v="INDYMAC BANK, FSB"/>
    <x v="1"/>
  </r>
  <r>
    <x v="11"/>
    <n v="1592827444.7"/>
    <s v="FLAGSTAR"/>
    <x v="2"/>
  </r>
  <r>
    <x v="11"/>
    <n v="1292445874"/>
    <s v="AMTRUST"/>
    <x v="3"/>
  </r>
  <r>
    <x v="11"/>
    <n v="772043269.57000005"/>
    <s v="PHH"/>
    <x v="4"/>
  </r>
  <r>
    <x v="11"/>
    <n v="455524720.55000001"/>
    <s v="USAA"/>
    <x v="5"/>
  </r>
  <r>
    <x v="11"/>
    <n v="370054094.82999998"/>
    <s v="HSBC"/>
    <x v="6"/>
  </r>
  <r>
    <x v="11"/>
    <n v="360105236.70999998"/>
    <s v="WAMU"/>
    <x v="7"/>
  </r>
  <r>
    <x v="11"/>
    <n v="288824221.13999999"/>
    <s v="FREEDOM"/>
    <x v="8"/>
  </r>
  <r>
    <x v="11"/>
    <n v="173423811.06999999"/>
    <s v="FIRST BANK OF TENNESSEE"/>
    <x v="9"/>
  </r>
  <r>
    <x v="12"/>
    <n v="2858003053.02"/>
    <s v="ALLY"/>
    <x v="0"/>
  </r>
  <r>
    <x v="12"/>
    <n v="1575464486"/>
    <s v="INDYMAC BANK, FSB"/>
    <x v="1"/>
  </r>
  <r>
    <x v="12"/>
    <n v="1438300798"/>
    <s v="AMTRUST"/>
    <x v="2"/>
  </r>
  <r>
    <x v="12"/>
    <n v="1002322471"/>
    <s v="ABM"/>
    <x v="3"/>
  </r>
  <r>
    <x v="12"/>
    <n v="906577252.48000002"/>
    <s v="FLAGSTAR"/>
    <x v="4"/>
  </r>
  <r>
    <x v="12"/>
    <n v="804357305.82000005"/>
    <s v="PHH"/>
    <x v="5"/>
  </r>
  <r>
    <x v="12"/>
    <n v="458915329"/>
    <s v="USAA"/>
    <x v="6"/>
  </r>
  <r>
    <x v="12"/>
    <n v="407407224.37"/>
    <s v="HSBC"/>
    <x v="7"/>
  </r>
  <r>
    <x v="12"/>
    <n v="352177207.13999999"/>
    <s v="FREEDOM"/>
    <x v="8"/>
  </r>
  <r>
    <x v="12"/>
    <n v="179003072"/>
    <s v="PULTE MORTGAGE, L.L.C."/>
    <x v="9"/>
  </r>
  <r>
    <x v="13"/>
    <n v="2798703942.1700001"/>
    <s v="ALLY"/>
    <x v="0"/>
  </r>
  <r>
    <x v="13"/>
    <n v="1512143012.0999999"/>
    <s v="FLAGSTAR"/>
    <x v="1"/>
  </r>
  <r>
    <x v="13"/>
    <n v="1473943766.0599999"/>
    <s v="INDYMAC BANK, FSB"/>
    <x v="2"/>
  </r>
  <r>
    <x v="13"/>
    <n v="1324787937"/>
    <s v="AMTRUST"/>
    <x v="3"/>
  </r>
  <r>
    <x v="13"/>
    <n v="849928131"/>
    <s v="ABM"/>
    <x v="4"/>
  </r>
  <r>
    <x v="13"/>
    <n v="586192836.01999998"/>
    <s v="PHH"/>
    <x v="5"/>
  </r>
  <r>
    <x v="13"/>
    <n v="374223167.56"/>
    <s v="HSBC"/>
    <x v="6"/>
  </r>
  <r>
    <x v="13"/>
    <n v="285061109"/>
    <s v="USAA"/>
    <x v="7"/>
  </r>
  <r>
    <x v="13"/>
    <n v="199016315.58000001"/>
    <s v="FREEDOM"/>
    <x v="8"/>
  </r>
  <r>
    <x v="13"/>
    <n v="180012348.87"/>
    <s v="FIRST BANK OF TENNESSEE"/>
    <x v="9"/>
  </r>
  <r>
    <x v="14"/>
    <n v="2845541368.1100001"/>
    <s v="ALLY"/>
    <x v="0"/>
  </r>
  <r>
    <x v="14"/>
    <n v="1371503307"/>
    <s v="AMTRUST"/>
    <x v="1"/>
  </r>
  <r>
    <x v="14"/>
    <n v="616279069.29999995"/>
    <s v="PHH"/>
    <x v="2"/>
  </r>
  <r>
    <x v="14"/>
    <n v="585339226"/>
    <s v="FLAGSTAR"/>
    <x v="3"/>
  </r>
  <r>
    <x v="14"/>
    <n v="535708465"/>
    <s v="INDYMAC BANK, FSB"/>
    <x v="4"/>
  </r>
  <r>
    <x v="14"/>
    <n v="375926135.04000002"/>
    <s v="HSBC"/>
    <x v="5"/>
  </r>
  <r>
    <x v="14"/>
    <n v="335227941"/>
    <s v="USAA"/>
    <x v="6"/>
  </r>
  <r>
    <x v="14"/>
    <n v="236470097.00999999"/>
    <s v="FIFTH THIRD"/>
    <x v="7"/>
  </r>
  <r>
    <x v="14"/>
    <n v="211250709"/>
    <s v="FREEDOM"/>
    <x v="8"/>
  </r>
  <r>
    <x v="14"/>
    <n v="171379733"/>
    <s v="WAMU"/>
    <x v="9"/>
  </r>
  <r>
    <x v="15"/>
    <n v="3682275010.96"/>
    <s v="ALLY"/>
    <x v="0"/>
  </r>
  <r>
    <x v="15"/>
    <n v="1641602106"/>
    <s v="AMTRUST"/>
    <x v="1"/>
  </r>
  <r>
    <x v="15"/>
    <n v="1254020508.1600001"/>
    <s v="FLAGSTAR"/>
    <x v="2"/>
  </r>
  <r>
    <x v="15"/>
    <n v="1144391387.9100001"/>
    <s v="PHH"/>
    <x v="3"/>
  </r>
  <r>
    <x v="15"/>
    <n v="811397539"/>
    <s v="INDYMAC BANK, FSB"/>
    <x v="4"/>
  </r>
  <r>
    <x v="15"/>
    <n v="486049930.31999999"/>
    <s v="HSBC"/>
    <x v="5"/>
  </r>
  <r>
    <x v="15"/>
    <n v="414306947.38999999"/>
    <s v="USAA"/>
    <x v="6"/>
  </r>
  <r>
    <x v="15"/>
    <n v="331132247.83999997"/>
    <s v="CTX MORTGAGE COMPANY, LLC"/>
    <x v="7"/>
  </r>
  <r>
    <x v="15"/>
    <n v="163501048.78999999"/>
    <s v="FIRST BANK OF TENNESSEE"/>
    <x v="8"/>
  </r>
  <r>
    <x v="15"/>
    <n v="156938196.83000001"/>
    <s v="FIFTH THIRD"/>
    <x v="9"/>
  </r>
  <r>
    <x v="16"/>
    <n v="2135218352.8499999"/>
    <s v="ALLY"/>
    <x v="0"/>
  </r>
  <r>
    <x v="16"/>
    <n v="1202353395.3900001"/>
    <s v="FLAGSTAR"/>
    <x v="1"/>
  </r>
  <r>
    <x v="16"/>
    <n v="1180682631.77"/>
    <s v="PHH"/>
    <x v="2"/>
  </r>
  <r>
    <x v="16"/>
    <n v="1033761031"/>
    <s v="AMTRUST"/>
    <x v="3"/>
  </r>
  <r>
    <x v="16"/>
    <n v="610487025"/>
    <s v="INDYMAC BANK, FSB"/>
    <x v="4"/>
  </r>
  <r>
    <x v="16"/>
    <n v="337552076.36000001"/>
    <s v="USAA"/>
    <x v="5"/>
  </r>
  <r>
    <x v="16"/>
    <n v="304641863.19"/>
    <s v="HSBC"/>
    <x v="6"/>
  </r>
  <r>
    <x v="16"/>
    <n v="255250532"/>
    <s v="WAMU"/>
    <x v="7"/>
  </r>
  <r>
    <x v="16"/>
    <n v="242914553.5"/>
    <s v="CTX MORTGAGE COMPANY, LLC"/>
    <x v="8"/>
  </r>
  <r>
    <x v="16"/>
    <n v="142323244"/>
    <s v="HUNTINGTON"/>
    <x v="9"/>
  </r>
  <r>
    <x v="17"/>
    <n v="1731032257"/>
    <s v="AMTRUST"/>
    <x v="0"/>
  </r>
  <r>
    <x v="17"/>
    <n v="1080842069.0799999"/>
    <s v="ALLY"/>
    <x v="1"/>
  </r>
  <r>
    <x v="17"/>
    <n v="1060745072.6799999"/>
    <s v="WAMU"/>
    <x v="2"/>
  </r>
  <r>
    <x v="17"/>
    <n v="934123233.22000003"/>
    <s v="PHH"/>
    <x v="3"/>
  </r>
  <r>
    <x v="17"/>
    <n v="475223344.79000002"/>
    <s v="FLAGSTAR"/>
    <x v="4"/>
  </r>
  <r>
    <x v="17"/>
    <n v="324234159.94"/>
    <s v="HSBC"/>
    <x v="5"/>
  </r>
  <r>
    <x v="17"/>
    <n v="143049884"/>
    <s v="USAA"/>
    <x v="6"/>
  </r>
  <r>
    <x v="17"/>
    <n v="135402492"/>
    <s v="INDYMAC BANK, FSB"/>
    <x v="7"/>
  </r>
  <r>
    <x v="17"/>
    <n v="127785147.70999999"/>
    <s v="ASSOCIATED"/>
    <x v="8"/>
  </r>
  <r>
    <x v="17"/>
    <n v="125769535"/>
    <s v="THIRD FEDERAL"/>
    <x v="9"/>
  </r>
  <r>
    <x v="18"/>
    <n v="1349863752"/>
    <s v="AMTRUST"/>
    <x v="0"/>
  </r>
  <r>
    <x v="18"/>
    <n v="1296601251.3199999"/>
    <s v="ALLY"/>
    <x v="1"/>
  </r>
  <r>
    <x v="18"/>
    <n v="1041107194.3200001"/>
    <s v="PHH"/>
    <x v="2"/>
  </r>
  <r>
    <x v="18"/>
    <n v="945798148.61000001"/>
    <s v="FLAGSTAR"/>
    <x v="3"/>
  </r>
  <r>
    <x v="18"/>
    <n v="601342062"/>
    <s v="INDYMAC BANK, FSB"/>
    <x v="4"/>
  </r>
  <r>
    <x v="18"/>
    <n v="331710370.18000001"/>
    <s v="MANUFACTURERS AND TRADERS TRUST COMPANY"/>
    <x v="5"/>
  </r>
  <r>
    <x v="18"/>
    <n v="319866910"/>
    <s v="USAA"/>
    <x v="6"/>
  </r>
  <r>
    <x v="18"/>
    <n v="262743690.88999999"/>
    <s v="HSBC"/>
    <x v="7"/>
  </r>
  <r>
    <x v="18"/>
    <n v="124001581"/>
    <s v="PULTE MORTGAGE, L.L.C."/>
    <x v="8"/>
  </r>
  <r>
    <x v="18"/>
    <n v="122780437.09999999"/>
    <s v="HUNTINGTON"/>
    <x v="9"/>
  </r>
  <r>
    <x v="19"/>
    <n v="1212308338"/>
    <s v="AMTRUST"/>
    <x v="0"/>
  </r>
  <r>
    <x v="19"/>
    <n v="1050886755.36"/>
    <s v="PHH"/>
    <x v="1"/>
  </r>
  <r>
    <x v="19"/>
    <n v="1009149437.96"/>
    <s v="ALLY"/>
    <x v="2"/>
  </r>
  <r>
    <x v="19"/>
    <n v="829290393.58000004"/>
    <s v="FLAGSTAR"/>
    <x v="3"/>
  </r>
  <r>
    <x v="19"/>
    <n v="419578846.06999999"/>
    <s v="USAA"/>
    <x v="4"/>
  </r>
  <r>
    <x v="19"/>
    <n v="247862544.36000001"/>
    <s v="HSBC"/>
    <x v="5"/>
  </r>
  <r>
    <x v="19"/>
    <n v="125829716.06999999"/>
    <s v="WAMU"/>
    <x v="6"/>
  </r>
  <r>
    <x v="19"/>
    <n v="119581617"/>
    <s v="PULTE MORTGAGE, L.L.C."/>
    <x v="7"/>
  </r>
  <r>
    <x v="19"/>
    <n v="114992847"/>
    <s v="INDYMAC BANK, FSB"/>
    <x v="8"/>
  </r>
  <r>
    <x v="19"/>
    <n v="84533367"/>
    <s v="THE BRANCH BANKING AND TRUST COMPANY"/>
    <x v="9"/>
  </r>
  <r>
    <x v="20"/>
    <n v="1097946836.3599999"/>
    <s v="AMTRUST"/>
    <x v="0"/>
  </r>
  <r>
    <x v="20"/>
    <n v="1080669747.9100001"/>
    <s v="ALLY"/>
    <x v="1"/>
  </r>
  <r>
    <x v="20"/>
    <n v="711290312.90999997"/>
    <s v="FLAGSTAR"/>
    <x v="2"/>
  </r>
  <r>
    <x v="20"/>
    <n v="612089661.24000001"/>
    <s v="PHH"/>
    <x v="3"/>
  </r>
  <r>
    <x v="20"/>
    <n v="281613068.68000001"/>
    <s v="USAA"/>
    <x v="4"/>
  </r>
  <r>
    <x v="20"/>
    <n v="234497893.34"/>
    <s v="HSBC"/>
    <x v="5"/>
  </r>
  <r>
    <x v="20"/>
    <n v="220200514.5"/>
    <s v="THE BRANCH BANKING AND TRUST COMPANY"/>
    <x v="6"/>
  </r>
  <r>
    <x v="20"/>
    <n v="70405002.900000006"/>
    <s v="FREEDOM"/>
    <x v="7"/>
  </r>
  <r>
    <x v="20"/>
    <n v="67819918.209999993"/>
    <s v="WAMU"/>
    <x v="8"/>
  </r>
  <r>
    <x v="20"/>
    <n v="63254094"/>
    <s v="HUNTINGTON"/>
    <x v="9"/>
  </r>
  <r>
    <x v="21"/>
    <n v="1065916156.21"/>
    <s v="AMTRUST"/>
    <x v="0"/>
  </r>
  <r>
    <x v="21"/>
    <n v="995868510.13"/>
    <s v="ALLY"/>
    <x v="1"/>
  </r>
  <r>
    <x v="21"/>
    <n v="681109796"/>
    <s v="FLAGSTAR"/>
    <x v="2"/>
  </r>
  <r>
    <x v="21"/>
    <n v="548837801.54999995"/>
    <s v="PHH"/>
    <x v="3"/>
  </r>
  <r>
    <x v="21"/>
    <n v="479661450.24000001"/>
    <s v="HSBC"/>
    <x v="4"/>
  </r>
  <r>
    <x v="21"/>
    <n v="181095463"/>
    <s v="THIRD FEDERAL"/>
    <x v="5"/>
  </r>
  <r>
    <x v="21"/>
    <n v="169897847"/>
    <s v="THE BRANCH BANKING AND TRUST COMPANY"/>
    <x v="6"/>
  </r>
  <r>
    <x v="21"/>
    <n v="113301060.37"/>
    <s v="USAA"/>
    <x v="7"/>
  </r>
  <r>
    <x v="21"/>
    <n v="96620520.049999997"/>
    <s v="CENTRAL MORTGAGE"/>
    <x v="8"/>
  </r>
  <r>
    <x v="21"/>
    <n v="90461000"/>
    <s v="GREYSTONE"/>
    <x v="9"/>
  </r>
  <r>
    <x v="22"/>
    <n v="715357720.58000004"/>
    <s v="AMTRUST"/>
    <x v="0"/>
  </r>
  <r>
    <x v="22"/>
    <n v="653795272.74000001"/>
    <s v="ALLY"/>
    <x v="1"/>
  </r>
  <r>
    <x v="22"/>
    <n v="484912507.41000003"/>
    <s v="PHH"/>
    <x v="2"/>
  </r>
  <r>
    <x v="22"/>
    <n v="401866202.69999999"/>
    <s v="FLAGSTAR"/>
    <x v="3"/>
  </r>
  <r>
    <x v="22"/>
    <n v="304064847.75"/>
    <s v="WAMU"/>
    <x v="4"/>
  </r>
  <r>
    <x v="22"/>
    <n v="251657321.66"/>
    <s v="HSBC"/>
    <x v="5"/>
  </r>
  <r>
    <x v="22"/>
    <n v="189895179"/>
    <s v="USAA"/>
    <x v="6"/>
  </r>
  <r>
    <x v="22"/>
    <n v="129388399"/>
    <s v="THE BRANCH BANKING AND TRUST COMPANY"/>
    <x v="7"/>
  </r>
  <r>
    <x v="22"/>
    <n v="86022554.060000002"/>
    <s v="HUNTINGTON"/>
    <x v="8"/>
  </r>
  <r>
    <x v="22"/>
    <n v="85227077.269999996"/>
    <s v="ASSOCIATED"/>
    <x v="9"/>
  </r>
  <r>
    <x v="23"/>
    <n v="2336672835.98"/>
    <s v="HSBC"/>
    <x v="0"/>
  </r>
  <r>
    <x v="23"/>
    <n v="1530928194.1400001"/>
    <s v="RBS"/>
    <x v="1"/>
  </r>
  <r>
    <x v="23"/>
    <n v="1283604308.3099999"/>
    <s v="ALLY"/>
    <x v="2"/>
  </r>
  <r>
    <x v="23"/>
    <n v="786614397.10000002"/>
    <s v="AMTRUST"/>
    <x v="3"/>
  </r>
  <r>
    <x v="23"/>
    <n v="470392563.25"/>
    <s v="PHH"/>
    <x v="4"/>
  </r>
  <r>
    <x v="23"/>
    <n v="466549978"/>
    <s v="WEBSTER BANK, N.A."/>
    <x v="5"/>
  </r>
  <r>
    <x v="23"/>
    <n v="444153915.81999999"/>
    <s v="FLAGSTAR"/>
    <x v="6"/>
  </r>
  <r>
    <x v="23"/>
    <n v="237158890"/>
    <s v="FIFTH THIRD"/>
    <x v="7"/>
  </r>
  <r>
    <x v="23"/>
    <n v="205135438.40000001"/>
    <s v="WAMU"/>
    <x v="8"/>
  </r>
  <r>
    <x v="23"/>
    <n v="156690673"/>
    <s v="USAA"/>
    <x v="9"/>
  </r>
  <r>
    <x v="24"/>
    <n v="923120637.58000004"/>
    <s v="AMTRUST"/>
    <x v="0"/>
  </r>
  <r>
    <x v="24"/>
    <n v="520733159.38"/>
    <s v="PHH"/>
    <x v="1"/>
  </r>
  <r>
    <x v="24"/>
    <n v="459181459.44"/>
    <s v="FLAGSTAR"/>
    <x v="2"/>
  </r>
  <r>
    <x v="24"/>
    <n v="437523036.18000001"/>
    <s v="ALLY"/>
    <x v="3"/>
  </r>
  <r>
    <x v="24"/>
    <n v="268281252.91999999"/>
    <s v="HSBC"/>
    <x v="4"/>
  </r>
  <r>
    <x v="24"/>
    <n v="215678441.53999999"/>
    <s v="PENNSYLVANIA HOUSING FINANCE AGENCY"/>
    <x v="5"/>
  </r>
  <r>
    <x v="24"/>
    <n v="166295315.03999999"/>
    <s v="FIFTH THIRD"/>
    <x v="6"/>
  </r>
  <r>
    <x v="24"/>
    <n v="110527840.81999999"/>
    <s v="WAMU"/>
    <x v="7"/>
  </r>
  <r>
    <x v="24"/>
    <n v="102830548"/>
    <s v="THIRD FEDERAL"/>
    <x v="8"/>
  </r>
  <r>
    <x v="24"/>
    <n v="96111428.670000002"/>
    <s v="REGIONS BANK"/>
    <x v="9"/>
  </r>
  <r>
    <x v="25"/>
    <n v="1405817023"/>
    <s v="FLAGSTAR"/>
    <x v="0"/>
  </r>
  <r>
    <x v="25"/>
    <n v="1078154854.03"/>
    <s v="AMTRUST"/>
    <x v="1"/>
  </r>
  <r>
    <x v="25"/>
    <n v="715164383.12"/>
    <s v="ALLY"/>
    <x v="2"/>
  </r>
  <r>
    <x v="25"/>
    <n v="630938838.39999998"/>
    <s v="PHH"/>
    <x v="3"/>
  </r>
  <r>
    <x v="25"/>
    <n v="334812555.26999998"/>
    <s v="HUNTINGTON"/>
    <x v="4"/>
  </r>
  <r>
    <x v="25"/>
    <n v="267643670.69"/>
    <s v="HSBC"/>
    <x v="5"/>
  </r>
  <r>
    <x v="25"/>
    <n v="261759086.05000001"/>
    <s v="FEDERAL HOME LOAN BANK OF CHICAGO"/>
    <x v="6"/>
  </r>
  <r>
    <x v="25"/>
    <n v="187346976"/>
    <s v="RBS"/>
    <x v="7"/>
  </r>
  <r>
    <x v="25"/>
    <n v="184705548"/>
    <s v="USAA"/>
    <x v="8"/>
  </r>
  <r>
    <x v="25"/>
    <n v="135079916"/>
    <s v="SALEM FIVE MORTGAGE COMPANY, LLC"/>
    <x v="9"/>
  </r>
  <r>
    <x v="26"/>
    <n v="2137733570.1199999"/>
    <s v="AMTRUST"/>
    <x v="0"/>
  </r>
  <r>
    <x v="26"/>
    <n v="1622213766.6099999"/>
    <s v="ALLY"/>
    <x v="1"/>
  </r>
  <r>
    <x v="26"/>
    <n v="1307784771.1199999"/>
    <s v="PHH"/>
    <x v="2"/>
  </r>
  <r>
    <x v="26"/>
    <n v="1216935785.27"/>
    <s v="FLAGSTAR"/>
    <x v="3"/>
  </r>
  <r>
    <x v="26"/>
    <n v="468575281.83999997"/>
    <s v="HSBC"/>
    <x v="4"/>
  </r>
  <r>
    <x v="26"/>
    <n v="325597705.55000001"/>
    <s v="SOVEREIGN"/>
    <x v="5"/>
  </r>
  <r>
    <x v="26"/>
    <n v="290448546.16000003"/>
    <s v="RBS"/>
    <x v="6"/>
  </r>
  <r>
    <x v="26"/>
    <n v="264744927.71000001"/>
    <s v="CENTRAL MORTGAGE"/>
    <x v="7"/>
  </r>
  <r>
    <x v="26"/>
    <n v="244886306.81999999"/>
    <s v="USAA"/>
    <x v="8"/>
  </r>
  <r>
    <x v="26"/>
    <n v="220853631"/>
    <s v="FEDERAL HOME LOAN BANK OF CHICAGO"/>
    <x v="9"/>
  </r>
  <r>
    <x v="27"/>
    <n v="2635227445.8499999"/>
    <s v="AMTRUST"/>
    <x v="0"/>
  </r>
  <r>
    <x v="27"/>
    <n v="2574869351.5599999"/>
    <s v="PHH"/>
    <x v="1"/>
  </r>
  <r>
    <x v="27"/>
    <n v="1134925696.8199999"/>
    <s v="ALLY"/>
    <x v="2"/>
  </r>
  <r>
    <x v="27"/>
    <n v="953947303"/>
    <s v="FLAGSTAR"/>
    <x v="3"/>
  </r>
  <r>
    <x v="27"/>
    <n v="595328952.17999995"/>
    <s v="THIRD FEDERAL"/>
    <x v="4"/>
  </r>
  <r>
    <x v="27"/>
    <n v="415536045"/>
    <s v="USAA"/>
    <x v="5"/>
  </r>
  <r>
    <x v="27"/>
    <n v="369229834"/>
    <s v="RBS"/>
    <x v="6"/>
  </r>
  <r>
    <x v="27"/>
    <n v="349036050.44999999"/>
    <s v="HUNTINGTON"/>
    <x v="7"/>
  </r>
  <r>
    <x v="27"/>
    <n v="327120044.66000003"/>
    <s v="CENTRAL MORTGAGE"/>
    <x v="8"/>
  </r>
  <r>
    <x v="27"/>
    <n v="320774057.72000003"/>
    <s v="FREMONT BANK"/>
    <x v="9"/>
  </r>
  <r>
    <x v="28"/>
    <n v="5729582604.1499996"/>
    <s v="PHH"/>
    <x v="0"/>
  </r>
  <r>
    <x v="28"/>
    <n v="2568225957.29"/>
    <s v="AMTRUST"/>
    <x v="1"/>
  </r>
  <r>
    <x v="28"/>
    <n v="2007873609.8199999"/>
    <s v="ALLY"/>
    <x v="2"/>
  </r>
  <r>
    <x v="28"/>
    <n v="1538541620.98"/>
    <s v="FLAGSTAR"/>
    <x v="3"/>
  </r>
  <r>
    <x v="28"/>
    <n v="1122383705.03"/>
    <s v="EVERBANK"/>
    <x v="4"/>
  </r>
  <r>
    <x v="28"/>
    <n v="1115180655.47"/>
    <s v="WAMU"/>
    <x v="5"/>
  </r>
  <r>
    <x v="28"/>
    <n v="1021608490.4299999"/>
    <s v="USAA"/>
    <x v="6"/>
  </r>
  <r>
    <x v="28"/>
    <n v="580170134.70000005"/>
    <s v="ASSOCIATED"/>
    <x v="7"/>
  </r>
  <r>
    <x v="28"/>
    <n v="503113000"/>
    <s v="RED MORTGAGE CAPITAL, INC."/>
    <x v="8"/>
  </r>
  <r>
    <x v="28"/>
    <n v="444547469.61000001"/>
    <s v="HSBC"/>
    <x v="9"/>
  </r>
  <r>
    <x v="29"/>
    <n v="3886793291.8899999"/>
    <s v="PHH"/>
    <x v="0"/>
  </r>
  <r>
    <x v="29"/>
    <n v="2890599988.1900001"/>
    <s v="ALLY"/>
    <x v="1"/>
  </r>
  <r>
    <x v="29"/>
    <n v="2085681943.29"/>
    <s v="AMTRUST"/>
    <x v="2"/>
  </r>
  <r>
    <x v="29"/>
    <n v="2041508250.48"/>
    <s v="FLAGSTAR"/>
    <x v="3"/>
  </r>
  <r>
    <x v="29"/>
    <n v="1411001019.22"/>
    <s v="FANNIE MAE"/>
    <x v="4"/>
  </r>
  <r>
    <x v="29"/>
    <n v="883459426.30999994"/>
    <s v="EVERBANK"/>
    <x v="5"/>
  </r>
  <r>
    <x v="29"/>
    <n v="793002592.73000002"/>
    <s v="WAMU"/>
    <x v="6"/>
  </r>
  <r>
    <x v="29"/>
    <n v="745831785.62"/>
    <s v="HSBC"/>
    <x v="7"/>
  </r>
  <r>
    <x v="29"/>
    <n v="563797807.62"/>
    <s v="ASSOCIATED"/>
    <x v="8"/>
  </r>
  <r>
    <x v="29"/>
    <n v="523413835.82999998"/>
    <s v="USAA"/>
    <x v="9"/>
  </r>
  <r>
    <x v="30"/>
    <n v="2256690852.2199998"/>
    <s v="ALLY"/>
    <x v="0"/>
  </r>
  <r>
    <x v="30"/>
    <n v="1985615127.78"/>
    <s v="PHH"/>
    <x v="1"/>
  </r>
  <r>
    <x v="30"/>
    <n v="1534118490.3199999"/>
    <s v="AMTRUST"/>
    <x v="2"/>
  </r>
  <r>
    <x v="30"/>
    <n v="1252653319.1900001"/>
    <s v="FLAGSTAR"/>
    <x v="3"/>
  </r>
  <r>
    <x v="30"/>
    <n v="883282992.5"/>
    <s v="EVERBANK"/>
    <x v="4"/>
  </r>
  <r>
    <x v="30"/>
    <n v="827785662.50999999"/>
    <s v="HSBC"/>
    <x v="5"/>
  </r>
  <r>
    <x v="30"/>
    <n v="388407069.74000001"/>
    <s v="RBS"/>
    <x v="6"/>
  </r>
  <r>
    <x v="30"/>
    <n v="364934217.57999998"/>
    <s v="FREMONT BANK"/>
    <x v="7"/>
  </r>
  <r>
    <x v="30"/>
    <n v="326211032.04000002"/>
    <s v="SOVEREIGN"/>
    <x v="8"/>
  </r>
  <r>
    <x v="30"/>
    <n v="319105528.38"/>
    <s v="HUNTINGTON"/>
    <x v="9"/>
  </r>
  <r>
    <x v="31"/>
    <n v="1508806380.53"/>
    <s v="ALLY"/>
    <x v="0"/>
  </r>
  <r>
    <x v="31"/>
    <n v="1454096040.6600001"/>
    <s v="PHH"/>
    <x v="1"/>
  </r>
  <r>
    <x v="31"/>
    <n v="1031320812.12"/>
    <s v="AMTRUST"/>
    <x v="2"/>
  </r>
  <r>
    <x v="31"/>
    <n v="954606164.92999995"/>
    <s v="FLAGSTAR"/>
    <x v="3"/>
  </r>
  <r>
    <x v="31"/>
    <n v="477277200.41000003"/>
    <s v="ASSOCIATED"/>
    <x v="4"/>
  </r>
  <r>
    <x v="31"/>
    <n v="414643243"/>
    <s v="EVERBANK"/>
    <x v="5"/>
  </r>
  <r>
    <x v="31"/>
    <n v="353155716.50999999"/>
    <s v="HSBC"/>
    <x v="6"/>
  </r>
  <r>
    <x v="31"/>
    <n v="336731277.18000001"/>
    <s v="FREMONT BANK"/>
    <x v="7"/>
  </r>
  <r>
    <x v="31"/>
    <n v="332083157"/>
    <s v="FRANKLIN AMERICAN MORTGAGE COMPANY"/>
    <x v="8"/>
  </r>
  <r>
    <x v="31"/>
    <n v="328943301"/>
    <s v="USAA"/>
    <x v="9"/>
  </r>
  <r>
    <x v="32"/>
    <n v="1455262864.3900001"/>
    <s v="ALLY"/>
    <x v="0"/>
  </r>
  <r>
    <x v="32"/>
    <n v="1386139068.05"/>
    <s v="PHH"/>
    <x v="1"/>
  </r>
  <r>
    <x v="32"/>
    <n v="662314912"/>
    <s v="FLAGSTAR"/>
    <x v="2"/>
  </r>
  <r>
    <x v="32"/>
    <n v="535204931.82999998"/>
    <s v="AMTRUST"/>
    <x v="3"/>
  </r>
  <r>
    <x v="32"/>
    <n v="392896483"/>
    <s v="USAA"/>
    <x v="4"/>
  </r>
  <r>
    <x v="32"/>
    <n v="373117308.55000001"/>
    <s v="BANK OF THE WEST"/>
    <x v="5"/>
  </r>
  <r>
    <x v="32"/>
    <n v="369824636.37"/>
    <s v="US BANK"/>
    <x v="6"/>
  </r>
  <r>
    <x v="32"/>
    <n v="367167000"/>
    <s v="PRUDENTIAL MULTIFAMILY MORTGAGE INC."/>
    <x v="7"/>
  </r>
  <r>
    <x v="32"/>
    <n v="309371977"/>
    <s v="FRANKLIN AMERICAN MORTGAGE COMPANY"/>
    <x v="8"/>
  </r>
  <r>
    <x v="32"/>
    <n v="293241969.97000003"/>
    <s v="HSBC"/>
    <x v="9"/>
  </r>
  <r>
    <x v="33"/>
    <n v="1418743217.1300001"/>
    <s v="ALLY"/>
    <x v="0"/>
  </r>
  <r>
    <x v="33"/>
    <n v="715387862"/>
    <s v="FLAGSTAR"/>
    <x v="1"/>
  </r>
  <r>
    <x v="33"/>
    <n v="601179484.77999997"/>
    <s v="HSBC"/>
    <x v="2"/>
  </r>
  <r>
    <x v="33"/>
    <n v="583166238.41999996"/>
    <s v="PHH"/>
    <x v="3"/>
  </r>
  <r>
    <x v="33"/>
    <n v="328546288.49000001"/>
    <s v="AMTRUST"/>
    <x v="4"/>
  </r>
  <r>
    <x v="33"/>
    <n v="313722494"/>
    <s v="USAA"/>
    <x v="5"/>
  </r>
  <r>
    <x v="33"/>
    <n v="201230000"/>
    <s v="DB MORTGAGE SERVICES, LLC"/>
    <x v="6"/>
  </r>
  <r>
    <x v="33"/>
    <n v="178810000"/>
    <s v="PRUDENTIAL MULTIFAMILY MORTGAGE INC."/>
    <x v="7"/>
  </r>
  <r>
    <x v="33"/>
    <n v="167413793"/>
    <s v="FRANKLIN AMERICAN MORTGAGE COMPANY"/>
    <x v="8"/>
  </r>
  <r>
    <x v="33"/>
    <n v="165067455.38999999"/>
    <s v="RBS"/>
    <x v="9"/>
  </r>
  <r>
    <x v="34"/>
    <n v="1807093775.6700001"/>
    <s v="ALLY"/>
    <x v="0"/>
  </r>
  <r>
    <x v="34"/>
    <n v="725941382.64999998"/>
    <s v="FLAGSTAR"/>
    <x v="1"/>
  </r>
  <r>
    <x v="34"/>
    <n v="677909185.74000001"/>
    <s v="AMTRUST"/>
    <x v="2"/>
  </r>
  <r>
    <x v="34"/>
    <n v="664611984.01999998"/>
    <s v="PHH"/>
    <x v="3"/>
  </r>
  <r>
    <x v="34"/>
    <n v="333607808.50999999"/>
    <s v="HSBC"/>
    <x v="4"/>
  </r>
  <r>
    <x v="34"/>
    <n v="274304277"/>
    <s v="USAA"/>
    <x v="5"/>
  </r>
  <r>
    <x v="34"/>
    <n v="232064982"/>
    <s v="FRANKLIN AMERICAN MORTGAGE COMPANY"/>
    <x v="6"/>
  </r>
  <r>
    <x v="34"/>
    <n v="168265638.58000001"/>
    <s v="EVERBANK"/>
    <x v="7"/>
  </r>
  <r>
    <x v="34"/>
    <n v="162763600"/>
    <s v="RED MORTGAGE CAPITAL, INC."/>
    <x v="8"/>
  </r>
  <r>
    <x v="34"/>
    <n v="140701946.41999999"/>
    <s v="RBS"/>
    <x v="9"/>
  </r>
  <r>
    <x v="35"/>
    <n v="1731178948.49"/>
    <s v="ALLY"/>
    <x v="0"/>
  </r>
  <r>
    <x v="35"/>
    <n v="975997990"/>
    <s v="FLAGSTAR"/>
    <x v="1"/>
  </r>
  <r>
    <x v="35"/>
    <n v="973330970.29999995"/>
    <s v="HSBC"/>
    <x v="2"/>
  </r>
  <r>
    <x v="35"/>
    <n v="851642916.98000002"/>
    <s v="PHH"/>
    <x v="3"/>
  </r>
  <r>
    <x v="35"/>
    <n v="421704151"/>
    <s v="USAA"/>
    <x v="4"/>
  </r>
  <r>
    <x v="35"/>
    <n v="335660321.93000001"/>
    <s v="AMTRUST"/>
    <x v="5"/>
  </r>
  <r>
    <x v="35"/>
    <n v="256244680"/>
    <s v="US BANK"/>
    <x v="6"/>
  </r>
  <r>
    <x v="35"/>
    <n v="255461469.28"/>
    <s v="EVERBANK"/>
    <x v="7"/>
  </r>
  <r>
    <x v="35"/>
    <n v="245149750"/>
    <s v="WALKER&amp;DUNLOP"/>
    <x v="8"/>
  </r>
  <r>
    <x v="35"/>
    <n v="220651994.84999999"/>
    <s v="ASSOCIATED"/>
    <x v="9"/>
  </r>
  <r>
    <x v="36"/>
    <n v="1887253190.6600001"/>
    <s v="ALLY"/>
    <x v="0"/>
  </r>
  <r>
    <x v="36"/>
    <n v="736021209.74000001"/>
    <s v="FLAGSTAR"/>
    <x v="1"/>
  </r>
  <r>
    <x v="36"/>
    <n v="657628874.59000003"/>
    <s v="AMTRUST"/>
    <x v="2"/>
  </r>
  <r>
    <x v="36"/>
    <n v="498952028"/>
    <s v="USAA"/>
    <x v="3"/>
  </r>
  <r>
    <x v="36"/>
    <n v="386823003.75999999"/>
    <s v="FREMONT BANK"/>
    <x v="4"/>
  </r>
  <r>
    <x v="36"/>
    <n v="382702991.48000002"/>
    <s v="PENTAGON FEDERAL CREDIT UNION"/>
    <x v="5"/>
  </r>
  <r>
    <x v="36"/>
    <n v="370358677.55000001"/>
    <s v="PHH"/>
    <x v="6"/>
  </r>
  <r>
    <x v="36"/>
    <n v="320972935.91000003"/>
    <s v="HSBC"/>
    <x v="7"/>
  </r>
  <r>
    <x v="36"/>
    <n v="274605012.31"/>
    <s v="EVERBANK"/>
    <x v="8"/>
  </r>
  <r>
    <x v="36"/>
    <n v="264247786"/>
    <s v="US BANK"/>
    <x v="9"/>
  </r>
  <r>
    <x v="37"/>
    <n v="2017223525.6800001"/>
    <s v="ALLY"/>
    <x v="0"/>
  </r>
  <r>
    <x v="37"/>
    <n v="535898276.69"/>
    <s v="FLAGSTAR"/>
    <x v="1"/>
  </r>
  <r>
    <x v="37"/>
    <n v="442717691"/>
    <s v="USAA"/>
    <x v="2"/>
  </r>
  <r>
    <x v="37"/>
    <n v="415371190.91000003"/>
    <s v="PHH"/>
    <x v="3"/>
  </r>
  <r>
    <x v="37"/>
    <n v="373476000"/>
    <s v="DB MORTGAGE SERVICES, LLC"/>
    <x v="4"/>
  </r>
  <r>
    <x v="37"/>
    <n v="321823979.80000001"/>
    <s v="HSBC"/>
    <x v="5"/>
  </r>
  <r>
    <x v="37"/>
    <n v="320998330"/>
    <s v="US BANK"/>
    <x v="6"/>
  </r>
  <r>
    <x v="37"/>
    <n v="312869718.56999999"/>
    <s v="NY COMMUNITY"/>
    <x v="7"/>
  </r>
  <r>
    <x v="37"/>
    <n v="219003610.53999999"/>
    <s v="RBS"/>
    <x v="8"/>
  </r>
  <r>
    <x v="37"/>
    <n v="201876347"/>
    <s v="FIFTH THIRD"/>
    <x v="9"/>
  </r>
  <r>
    <x v="38"/>
    <n v="1009165492.87"/>
    <s v="ALLY"/>
    <x v="0"/>
  </r>
  <r>
    <x v="38"/>
    <n v="489940410.56"/>
    <s v="PHH"/>
    <x v="1"/>
  </r>
  <r>
    <x v="38"/>
    <n v="466248926.74000001"/>
    <s v="FLAGSTAR"/>
    <x v="2"/>
  </r>
  <r>
    <x v="38"/>
    <n v="357652436"/>
    <s v="USAA"/>
    <x v="3"/>
  </r>
  <r>
    <x v="38"/>
    <n v="280526539.32999998"/>
    <s v="NY COMMUNITY"/>
    <x v="4"/>
  </r>
  <r>
    <x v="38"/>
    <n v="256390618"/>
    <s v="US BANK"/>
    <x v="5"/>
  </r>
  <r>
    <x v="38"/>
    <n v="213089667.86000001"/>
    <s v="HSBC"/>
    <x v="6"/>
  </r>
  <r>
    <x v="38"/>
    <n v="178228183.05000001"/>
    <s v="FIFTH THIRD"/>
    <x v="7"/>
  </r>
  <r>
    <x v="38"/>
    <n v="165504588.28999999"/>
    <s v="EVERBANK"/>
    <x v="8"/>
  </r>
  <r>
    <x v="38"/>
    <n v="142809130.99000001"/>
    <s v="RBS"/>
    <x v="9"/>
  </r>
  <r>
    <x v="39"/>
    <n v="1206641880.98"/>
    <s v="ALLY"/>
    <x v="0"/>
  </r>
  <r>
    <x v="39"/>
    <n v="566563714.44000006"/>
    <s v="NY COMMUNITY"/>
    <x v="1"/>
  </r>
  <r>
    <x v="39"/>
    <n v="544126887.90999997"/>
    <s v="FLAGSTAR"/>
    <x v="2"/>
  </r>
  <r>
    <x v="39"/>
    <n v="376001263"/>
    <s v="USAA"/>
    <x v="3"/>
  </r>
  <r>
    <x v="39"/>
    <n v="365340363"/>
    <s v="WALKER&amp;DUNLOP"/>
    <x v="4"/>
  </r>
  <r>
    <x v="39"/>
    <n v="364539345.07999998"/>
    <s v="PHH"/>
    <x v="5"/>
  </r>
  <r>
    <x v="39"/>
    <n v="204061978"/>
    <s v="US BANK"/>
    <x v="6"/>
  </r>
  <r>
    <x v="39"/>
    <n v="199092151.21000001"/>
    <s v="RBS"/>
    <x v="7"/>
  </r>
  <r>
    <x v="39"/>
    <n v="198084940.84999999"/>
    <s v="HSBC"/>
    <x v="8"/>
  </r>
  <r>
    <x v="39"/>
    <n v="167869340"/>
    <s v="FIFTH THIRD"/>
    <x v="9"/>
  </r>
  <r>
    <x v="40"/>
    <n v="1280550786.26"/>
    <s v="ALLY"/>
    <x v="0"/>
  </r>
  <r>
    <x v="40"/>
    <n v="827846631.82000005"/>
    <s v="PHH"/>
    <x v="1"/>
  </r>
  <r>
    <x v="40"/>
    <n v="748562261.27999997"/>
    <s v="FLAGSTAR"/>
    <x v="2"/>
  </r>
  <r>
    <x v="40"/>
    <n v="397458378.94"/>
    <s v="NY COMMUNITY"/>
    <x v="3"/>
  </r>
  <r>
    <x v="40"/>
    <n v="224760134"/>
    <s v="USAA"/>
    <x v="4"/>
  </r>
  <r>
    <x v="40"/>
    <n v="212951848"/>
    <s v="EVERBANK"/>
    <x v="5"/>
  </r>
  <r>
    <x v="40"/>
    <n v="197677167"/>
    <s v="RBS"/>
    <x v="6"/>
  </r>
  <r>
    <x v="40"/>
    <n v="181053362.31"/>
    <s v="HSBC"/>
    <x v="7"/>
  </r>
  <r>
    <x v="40"/>
    <n v="160258874"/>
    <s v="FIFTH THIRD"/>
    <x v="8"/>
  </r>
  <r>
    <x v="40"/>
    <n v="150449983.80000001"/>
    <s v="US BANK"/>
    <x v="9"/>
  </r>
  <r>
    <x v="41"/>
    <n v="1873141654.6800001"/>
    <s v="ALLY"/>
    <x v="0"/>
  </r>
  <r>
    <x v="41"/>
    <n v="987339146.05999994"/>
    <s v="PHH"/>
    <x v="1"/>
  </r>
  <r>
    <x v="41"/>
    <n v="843058237.84000003"/>
    <s v="FLAGSTAR"/>
    <x v="2"/>
  </r>
  <r>
    <x v="41"/>
    <n v="418791874.29000002"/>
    <s v="NY COMMUNITY"/>
    <x v="3"/>
  </r>
  <r>
    <x v="41"/>
    <n v="246136566"/>
    <s v="USAA"/>
    <x v="4"/>
  </r>
  <r>
    <x v="41"/>
    <n v="239419621.41"/>
    <s v="HSBC"/>
    <x v="5"/>
  </r>
  <r>
    <x v="41"/>
    <n v="213307173.88999999"/>
    <s v="RBS"/>
    <x v="6"/>
  </r>
  <r>
    <x v="41"/>
    <n v="205470648.09999999"/>
    <s v="FIFTH THIRD"/>
    <x v="7"/>
  </r>
  <r>
    <x v="41"/>
    <n v="174563615.13"/>
    <s v="US BANK"/>
    <x v="8"/>
  </r>
  <r>
    <x v="41"/>
    <n v="173212000"/>
    <s v="WALKER&amp;DUNLOP"/>
    <x v="9"/>
  </r>
  <r>
    <x v="42"/>
    <n v="2520047942.54"/>
    <s v="ALLY"/>
    <x v="0"/>
  </r>
  <r>
    <x v="42"/>
    <n v="974133095.32000005"/>
    <s v="PHH"/>
    <x v="1"/>
  </r>
  <r>
    <x v="42"/>
    <n v="675914527.42999995"/>
    <s v="NY COMMUNITY"/>
    <x v="2"/>
  </r>
  <r>
    <x v="42"/>
    <n v="621237152.12"/>
    <s v="FLAGSTAR"/>
    <x v="3"/>
  </r>
  <r>
    <x v="42"/>
    <n v="474094385.06999999"/>
    <s v="THIRD FEDERAL"/>
    <x v="4"/>
  </r>
  <r>
    <x v="42"/>
    <n v="271429924.24000001"/>
    <s v="FIFTH THIRD"/>
    <x v="5"/>
  </r>
  <r>
    <x v="42"/>
    <n v="252210007"/>
    <s v="RBS"/>
    <x v="6"/>
  </r>
  <r>
    <x v="42"/>
    <n v="234752087"/>
    <s v="USAA"/>
    <x v="7"/>
  </r>
  <r>
    <x v="42"/>
    <n v="221720540.91999999"/>
    <s v="HSBC"/>
    <x v="8"/>
  </r>
  <r>
    <x v="42"/>
    <n v="209192254.93000001"/>
    <s v="METLIFE"/>
    <x v="9"/>
  </r>
  <r>
    <x v="43"/>
    <n v="2690541294.77"/>
    <s v="ALLY"/>
    <x v="0"/>
  </r>
  <r>
    <x v="43"/>
    <n v="1438161442.27"/>
    <s v="FLAGSTAR"/>
    <x v="1"/>
  </r>
  <r>
    <x v="43"/>
    <n v="1411205922.8599999"/>
    <s v="PHH"/>
    <x v="2"/>
  </r>
  <r>
    <x v="43"/>
    <n v="679976598.80999994"/>
    <s v="NY COMMUNITY"/>
    <x v="3"/>
  </r>
  <r>
    <x v="43"/>
    <n v="604184628"/>
    <s v="TD BANK, N.A."/>
    <x v="4"/>
  </r>
  <r>
    <x v="43"/>
    <n v="454589773.49000001"/>
    <s v="PROVIDENT FUNDING"/>
    <x v="5"/>
  </r>
  <r>
    <x v="43"/>
    <n v="360388156.05000001"/>
    <s v="FIFTH THIRD"/>
    <x v="6"/>
  </r>
  <r>
    <x v="43"/>
    <n v="293645955.87"/>
    <s v="FEDERAL HOME LOAN BANK OF CHICAGO"/>
    <x v="7"/>
  </r>
  <r>
    <x v="43"/>
    <n v="280716489"/>
    <s v="USAA"/>
    <x v="8"/>
  </r>
  <r>
    <x v="43"/>
    <n v="270902489.08999997"/>
    <s v="METLIFE"/>
    <x v="9"/>
  </r>
  <r>
    <x v="44"/>
    <n v="3646842839.0100002"/>
    <s v="ALLY"/>
    <x v="0"/>
  </r>
  <r>
    <x v="44"/>
    <n v="2082908596.8599999"/>
    <s v="FLAGSTAR"/>
    <x v="1"/>
  </r>
  <r>
    <x v="44"/>
    <n v="1754955724.47"/>
    <s v="PHH"/>
    <x v="2"/>
  </r>
  <r>
    <x v="44"/>
    <n v="1105134409.6900001"/>
    <s v="NY COMMUNITY"/>
    <x v="3"/>
  </r>
  <r>
    <x v="44"/>
    <n v="842265479.03999996"/>
    <s v="QUICKEN"/>
    <x v="4"/>
  </r>
  <r>
    <x v="44"/>
    <n v="493113829.57999998"/>
    <s v="PROVIDENT FUNDING"/>
    <x v="5"/>
  </r>
  <r>
    <x v="44"/>
    <n v="489274543"/>
    <s v="USAA"/>
    <x v="6"/>
  </r>
  <r>
    <x v="44"/>
    <n v="405053568.64999998"/>
    <s v="FEDERAL HOME LOAN BANK OF CHICAGO"/>
    <x v="7"/>
  </r>
  <r>
    <x v="44"/>
    <n v="381850306.74000001"/>
    <s v="METLIFE"/>
    <x v="8"/>
  </r>
  <r>
    <x v="44"/>
    <n v="375577000"/>
    <s v="EVERBANK"/>
    <x v="9"/>
  </r>
  <r>
    <x v="45"/>
    <n v="4867074403.2299995"/>
    <s v="ALLY"/>
    <x v="0"/>
  </r>
  <r>
    <x v="45"/>
    <n v="1772716757.7"/>
    <s v="PHH"/>
    <x v="1"/>
  </r>
  <r>
    <x v="45"/>
    <n v="1584815106.8800001"/>
    <s v="FLAGSTAR"/>
    <x v="2"/>
  </r>
  <r>
    <x v="45"/>
    <n v="985412820.13999999"/>
    <s v="QUICKEN"/>
    <x v="3"/>
  </r>
  <r>
    <x v="45"/>
    <n v="829124622.82000005"/>
    <s v="NY COMMUNITY"/>
    <x v="4"/>
  </r>
  <r>
    <x v="45"/>
    <n v="657857765.60000002"/>
    <s v="PROVIDENT FUNDING"/>
    <x v="5"/>
  </r>
  <r>
    <x v="45"/>
    <n v="535808731.14999998"/>
    <s v="EVERBANK"/>
    <x v="6"/>
  </r>
  <r>
    <x v="45"/>
    <n v="485141412.38999999"/>
    <s v="FIFTH THIRD"/>
    <x v="7"/>
  </r>
  <r>
    <x v="45"/>
    <n v="479801774"/>
    <s v="USAA"/>
    <x v="8"/>
  </r>
  <r>
    <x v="45"/>
    <n v="458682291"/>
    <s v="DB MORTGAGE SERVICES, LLC"/>
    <x v="9"/>
  </r>
  <r>
    <x v="46"/>
    <n v="4631288816.5799999"/>
    <s v="ALLY"/>
    <x v="0"/>
  </r>
  <r>
    <x v="46"/>
    <n v="2192767460.75"/>
    <s v="PHH"/>
    <x v="1"/>
  </r>
  <r>
    <x v="46"/>
    <n v="1752605955.22"/>
    <s v="QUICKEN"/>
    <x v="2"/>
  </r>
  <r>
    <x v="46"/>
    <n v="1652225345.79"/>
    <s v="FLAGSTAR"/>
    <x v="3"/>
  </r>
  <r>
    <x v="46"/>
    <n v="1122048685"/>
    <s v="PRUDENTIAL MULTIFAMILY MORTGAGE INC."/>
    <x v="4"/>
  </r>
  <r>
    <x v="46"/>
    <n v="1035930519.5599999"/>
    <s v="PROVIDENT FUNDING"/>
    <x v="5"/>
  </r>
  <r>
    <x v="46"/>
    <n v="897689799.91999996"/>
    <s v="NY COMMUNITY"/>
    <x v="6"/>
  </r>
  <r>
    <x v="46"/>
    <n v="543795106"/>
    <s v="USAA"/>
    <x v="7"/>
  </r>
  <r>
    <x v="46"/>
    <n v="514292076.44"/>
    <s v="EVERBANK"/>
    <x v="8"/>
  </r>
  <r>
    <x v="46"/>
    <n v="491669277"/>
    <s v="WALKER&amp;DUNLOP"/>
    <x v="9"/>
  </r>
  <r>
    <x v="47"/>
    <n v="4077546240.5599999"/>
    <s v="ALLY"/>
    <x v="0"/>
  </r>
  <r>
    <x v="47"/>
    <n v="1787042808.5599999"/>
    <s v="FLAGSTAR"/>
    <x v="1"/>
  </r>
  <r>
    <x v="47"/>
    <n v="1232116719.6400001"/>
    <s v="REGIONS BANK"/>
    <x v="2"/>
  </r>
  <r>
    <x v="47"/>
    <n v="1213409683.3399999"/>
    <s v="PHH"/>
    <x v="3"/>
  </r>
  <r>
    <x v="47"/>
    <n v="842578021.71000004"/>
    <s v="NY COMMUNITY"/>
    <x v="4"/>
  </r>
  <r>
    <x v="47"/>
    <n v="825840507"/>
    <s v="PRUDENTIAL MULTIFAMILY MORTGAGE INC."/>
    <x v="5"/>
  </r>
  <r>
    <x v="47"/>
    <n v="655445541.55999994"/>
    <s v="QUICKEN"/>
    <x v="6"/>
  </r>
  <r>
    <x v="47"/>
    <n v="587497163"/>
    <s v="WALKER&amp;DUNLOP"/>
    <x v="7"/>
  </r>
  <r>
    <x v="47"/>
    <n v="565373595.79999995"/>
    <s v="EVERBANK"/>
    <x v="8"/>
  </r>
  <r>
    <x v="47"/>
    <n v="554422072.23000002"/>
    <s v="PROVIDENT FUNDING"/>
    <x v="9"/>
  </r>
  <r>
    <x v="48"/>
    <n v="3768046307.4699998"/>
    <s v="ALLY"/>
    <x v="0"/>
  </r>
  <r>
    <x v="48"/>
    <n v="2454761687.0100002"/>
    <s v="PHH"/>
    <x v="1"/>
  </r>
  <r>
    <x v="48"/>
    <n v="1652845494.29"/>
    <s v="FLAGSTAR"/>
    <x v="2"/>
  </r>
  <r>
    <x v="48"/>
    <n v="835486551.41999996"/>
    <s v="NY COMMUNITY"/>
    <x v="3"/>
  </r>
  <r>
    <x v="48"/>
    <n v="555705820.25"/>
    <s v="EVERBANK"/>
    <x v="4"/>
  </r>
  <r>
    <x v="48"/>
    <n v="536205688.19"/>
    <s v="US BANK"/>
    <x v="5"/>
  </r>
  <r>
    <x v="48"/>
    <n v="447883194.02999997"/>
    <s v="RBS"/>
    <x v="6"/>
  </r>
  <r>
    <x v="48"/>
    <n v="412297684.56999999"/>
    <s v="METLIFE"/>
    <x v="7"/>
  </r>
  <r>
    <x v="48"/>
    <n v="405066332.01999998"/>
    <s v="USAA"/>
    <x v="8"/>
  </r>
  <r>
    <x v="48"/>
    <n v="317329677.48000002"/>
    <s v="HUNTINGTON"/>
    <x v="9"/>
  </r>
  <r>
    <x v="49"/>
    <n v="2208311207.8699999"/>
    <s v="PHH"/>
    <x v="0"/>
  </r>
  <r>
    <x v="49"/>
    <n v="1927727999.48"/>
    <s v="ALLY"/>
    <x v="1"/>
  </r>
  <r>
    <x v="49"/>
    <n v="855765018.10000002"/>
    <s v="FLAGSTAR"/>
    <x v="2"/>
  </r>
  <r>
    <x v="49"/>
    <n v="447638536.25"/>
    <s v="NY COMMUNITY"/>
    <x v="3"/>
  </r>
  <r>
    <x v="49"/>
    <n v="440237322"/>
    <s v="US BANK"/>
    <x v="4"/>
  </r>
  <r>
    <x v="49"/>
    <n v="417762618"/>
    <s v="USAA"/>
    <x v="5"/>
  </r>
  <r>
    <x v="49"/>
    <n v="354799641.27999997"/>
    <s v="HSBC"/>
    <x v="6"/>
  </r>
  <r>
    <x v="49"/>
    <n v="336194278"/>
    <s v="GREYSTONE"/>
    <x v="7"/>
  </r>
  <r>
    <x v="49"/>
    <n v="317890645.48000002"/>
    <s v="RBS"/>
    <x v="8"/>
  </r>
  <r>
    <x v="49"/>
    <n v="316741981"/>
    <s v="BERKADIA"/>
    <x v="9"/>
  </r>
  <r>
    <x v="50"/>
    <n v="2586644966.1999998"/>
    <s v="PHH"/>
    <x v="0"/>
  </r>
  <r>
    <x v="50"/>
    <n v="2121205602.46"/>
    <s v="ALLY"/>
    <x v="1"/>
  </r>
  <r>
    <x v="50"/>
    <n v="740800134.88999999"/>
    <s v="FLAGSTAR"/>
    <x v="2"/>
  </r>
  <r>
    <x v="50"/>
    <n v="488914060"/>
    <s v="WALKER&amp;DUNLOP"/>
    <x v="3"/>
  </r>
  <r>
    <x v="50"/>
    <n v="365634880"/>
    <s v="RED MORTGAGE CAPITAL, INC."/>
    <x v="4"/>
  </r>
  <r>
    <x v="50"/>
    <n v="304880953.94999999"/>
    <s v="USAA"/>
    <x v="5"/>
  </r>
  <r>
    <x v="50"/>
    <n v="302086645.25999999"/>
    <s v="US BANK"/>
    <x v="6"/>
  </r>
  <r>
    <x v="50"/>
    <n v="286103387.60000002"/>
    <s v="FIFTH THIRD"/>
    <x v="7"/>
  </r>
  <r>
    <x v="50"/>
    <n v="276900268.55000001"/>
    <s v="REGIONS BANK"/>
    <x v="8"/>
  </r>
  <r>
    <x v="50"/>
    <n v="275254659.33999997"/>
    <s v="NY COMMUNITY"/>
    <x v="9"/>
  </r>
  <r>
    <x v="51"/>
    <n v="1116379416.3"/>
    <s v="ALLY"/>
    <x v="0"/>
  </r>
  <r>
    <x v="51"/>
    <n v="811722395.58000004"/>
    <s v="FLAGSTAR"/>
    <x v="1"/>
  </r>
  <r>
    <x v="51"/>
    <n v="581314774.17999995"/>
    <s v="PHH"/>
    <x v="2"/>
  </r>
  <r>
    <x v="51"/>
    <n v="341092933.08999997"/>
    <s v="REGIONS BANK"/>
    <x v="3"/>
  </r>
  <r>
    <x v="51"/>
    <n v="321003265"/>
    <s v="GRANDBRIDGE REAL ESTATE CAPITAL LLC"/>
    <x v="4"/>
  </r>
  <r>
    <x v="51"/>
    <n v="283946694"/>
    <s v="US BANK"/>
    <x v="5"/>
  </r>
  <r>
    <x v="51"/>
    <n v="269509697.54000002"/>
    <s v="USAA"/>
    <x v="6"/>
  </r>
  <r>
    <x v="51"/>
    <n v="250876000"/>
    <s v="DB MORTGAGE SERVICES, LLC"/>
    <x v="7"/>
  </r>
  <r>
    <x v="51"/>
    <n v="233151593.83000001"/>
    <s v="NY COMMUNITY"/>
    <x v="8"/>
  </r>
  <r>
    <x v="51"/>
    <n v="223344134"/>
    <s v="BEECH STREET CAPITAL, LLC"/>
    <x v="9"/>
  </r>
  <r>
    <x v="52"/>
    <n v="1714672795.1500001"/>
    <s v="ALLY"/>
    <x v="0"/>
  </r>
  <r>
    <x v="52"/>
    <n v="841140321.39999998"/>
    <s v="FLAGSTAR"/>
    <x v="1"/>
  </r>
  <r>
    <x v="52"/>
    <n v="752156908.72000003"/>
    <s v="PHH"/>
    <x v="2"/>
  </r>
  <r>
    <x v="52"/>
    <n v="284055237"/>
    <s v="ARBOR"/>
    <x v="3"/>
  </r>
  <r>
    <x v="52"/>
    <n v="280398790.32999998"/>
    <s v="REGIONS BANK"/>
    <x v="4"/>
  </r>
  <r>
    <x v="52"/>
    <n v="261081170"/>
    <s v="M &amp; T REALTY CAPITAL CORPORATION"/>
    <x v="5"/>
  </r>
  <r>
    <x v="52"/>
    <n v="250941971.74000001"/>
    <s v="USAA"/>
    <x v="6"/>
  </r>
  <r>
    <x v="52"/>
    <n v="250698321"/>
    <s v="CWCAPITAL"/>
    <x v="7"/>
  </r>
  <r>
    <x v="52"/>
    <n v="184091000"/>
    <s v="DB MORTGAGE SERVICES, LLC"/>
    <x v="8"/>
  </r>
  <r>
    <x v="52"/>
    <n v="179674611.81"/>
    <s v="FIFTH THIRD"/>
    <x v="9"/>
  </r>
  <r>
    <x v="53"/>
    <n v="3143184905.6100001"/>
    <s v="ALLY"/>
    <x v="0"/>
  </r>
  <r>
    <x v="53"/>
    <n v="1268561247.9400001"/>
    <s v="PHH"/>
    <x v="1"/>
  </r>
  <r>
    <x v="53"/>
    <n v="539015420.57000005"/>
    <s v="FLAGSTAR"/>
    <x v="2"/>
  </r>
  <r>
    <x v="53"/>
    <n v="494592251"/>
    <s v="M &amp; T REALTY CAPITAL CORPORATION"/>
    <x v="3"/>
  </r>
  <r>
    <x v="53"/>
    <n v="318083249"/>
    <s v="USAA"/>
    <x v="4"/>
  </r>
  <r>
    <x v="53"/>
    <n v="218863499.66"/>
    <s v="REGIONS BANK"/>
    <x v="5"/>
  </r>
  <r>
    <x v="53"/>
    <n v="212869528.88999999"/>
    <s v="EVERBANK"/>
    <x v="6"/>
  </r>
  <r>
    <x v="53"/>
    <n v="211327457"/>
    <s v="CENTERLINE MORTGAGE CAPITAL INC."/>
    <x v="7"/>
  </r>
  <r>
    <x v="53"/>
    <n v="172899539.87"/>
    <s v="NY COMMUNITY"/>
    <x v="8"/>
  </r>
  <r>
    <x v="53"/>
    <n v="165891027.34999999"/>
    <s v="METLIFE"/>
    <x v="9"/>
  </r>
  <r>
    <x v="54"/>
    <n v="1623998106.96"/>
    <s v="ALLY"/>
    <x v="0"/>
  </r>
  <r>
    <x v="54"/>
    <n v="848545824.13999999"/>
    <s v="FLAGSTAR"/>
    <x v="1"/>
  </r>
  <r>
    <x v="54"/>
    <n v="488802884.07999998"/>
    <s v="PHH"/>
    <x v="2"/>
  </r>
  <r>
    <x v="54"/>
    <n v="312614394"/>
    <s v="BEECH STREET CAPITAL, LLC"/>
    <x v="3"/>
  </r>
  <r>
    <x v="54"/>
    <n v="213079703.77000001"/>
    <s v="US BANK"/>
    <x v="4"/>
  </r>
  <r>
    <x v="54"/>
    <n v="198727853.84"/>
    <s v="NYCB MORTGAGE COMPANY, LLC"/>
    <x v="5"/>
  </r>
  <r>
    <x v="54"/>
    <n v="193737183.56"/>
    <s v="METLIFE"/>
    <x v="6"/>
  </r>
  <r>
    <x v="54"/>
    <n v="177026000"/>
    <s v="WALKER&amp;DUNLOP"/>
    <x v="7"/>
  </r>
  <r>
    <x v="54"/>
    <n v="176131925.05000001"/>
    <s v="EVERBANK"/>
    <x v="8"/>
  </r>
  <r>
    <x v="54"/>
    <n v="145307043"/>
    <s v="CWCAPITAL"/>
    <x v="9"/>
  </r>
  <r>
    <x v="55"/>
    <n v="2329334472.6700001"/>
    <s v="ALLY"/>
    <x v="0"/>
  </r>
  <r>
    <x v="55"/>
    <n v="1496155189.5"/>
    <s v="PHH"/>
    <x v="1"/>
  </r>
  <r>
    <x v="55"/>
    <n v="1238482339.3800001"/>
    <s v="FLAGSTAR"/>
    <x v="2"/>
  </r>
  <r>
    <x v="55"/>
    <n v="246411781"/>
    <s v="USAA"/>
    <x v="3"/>
  </r>
  <r>
    <x v="55"/>
    <n v="212384814.02000001"/>
    <s v="NYCB MORTGAGE COMPANY, LLC"/>
    <x v="4"/>
  </r>
  <r>
    <x v="55"/>
    <n v="211823008.41"/>
    <s v="METLIFE"/>
    <x v="5"/>
  </r>
  <r>
    <x v="55"/>
    <n v="195921296.44999999"/>
    <s v="FIFTH THIRD"/>
    <x v="6"/>
  </r>
  <r>
    <x v="55"/>
    <n v="193066959"/>
    <s v="US BANK"/>
    <x v="7"/>
  </r>
  <r>
    <x v="55"/>
    <n v="179718374.80000001"/>
    <s v="FANNIE MAE"/>
    <x v="8"/>
  </r>
  <r>
    <x v="55"/>
    <n v="150158992.06999999"/>
    <s v="REGIONS BANK"/>
    <x v="9"/>
  </r>
  <r>
    <x v="56"/>
    <n v="3396559955.0900002"/>
    <s v="ALLY"/>
    <x v="0"/>
  </r>
  <r>
    <x v="56"/>
    <n v="1481093219.7"/>
    <s v="FLAGSTAR"/>
    <x v="1"/>
  </r>
  <r>
    <x v="56"/>
    <n v="1068656827.8200001"/>
    <s v="PHH"/>
    <x v="2"/>
  </r>
  <r>
    <x v="56"/>
    <n v="823178100.25"/>
    <s v="QUICKEN"/>
    <x v="3"/>
  </r>
  <r>
    <x v="56"/>
    <n v="344369406"/>
    <s v="OAK GROVE COMMERCIAL MORTGAGE, LLC"/>
    <x v="4"/>
  </r>
  <r>
    <x v="56"/>
    <n v="291283955.57999998"/>
    <s v="US BANK"/>
    <x v="5"/>
  </r>
  <r>
    <x v="56"/>
    <n v="286670274"/>
    <s v="USAA"/>
    <x v="6"/>
  </r>
  <r>
    <x v="56"/>
    <n v="270423768.33999997"/>
    <s v="NYCB MORTGAGE COMPANY, LLC"/>
    <x v="7"/>
  </r>
  <r>
    <x v="56"/>
    <n v="242871913"/>
    <s v="PROSPECT MORTGAGE, LLC"/>
    <x v="8"/>
  </r>
  <r>
    <x v="56"/>
    <n v="232409231.66999999"/>
    <s v="FEDERAL HOME LOAN BANK OF CHICAGO"/>
    <x v="9"/>
  </r>
  <r>
    <x v="57"/>
    <n v="2189275465.2199998"/>
    <s v="FLAGSTAR"/>
    <x v="0"/>
  </r>
  <r>
    <x v="57"/>
    <n v="2131641702.3199999"/>
    <s v="PHH"/>
    <x v="1"/>
  </r>
  <r>
    <x v="57"/>
    <n v="1820954758.3199999"/>
    <s v="ALLY"/>
    <x v="2"/>
  </r>
  <r>
    <x v="57"/>
    <n v="1103750509.5999999"/>
    <s v="QUICKEN"/>
    <x v="3"/>
  </r>
  <r>
    <x v="57"/>
    <n v="578361348.02999997"/>
    <s v="NYCB MORTGAGE COMPANY, LLC"/>
    <x v="4"/>
  </r>
  <r>
    <x v="57"/>
    <n v="436638702"/>
    <s v="US BANK"/>
    <x v="5"/>
  </r>
  <r>
    <x v="57"/>
    <n v="411016603.57999998"/>
    <s v="FEDERAL HOME LOAN BANK OF CHICAGO"/>
    <x v="6"/>
  </r>
  <r>
    <x v="57"/>
    <n v="358826615.64999998"/>
    <s v="AMERICAN HOME MORTGAGE CORPORATION"/>
    <x v="7"/>
  </r>
  <r>
    <x v="57"/>
    <n v="332350273.43000001"/>
    <s v="FIFTH THIRD"/>
    <x v="8"/>
  </r>
  <r>
    <x v="57"/>
    <n v="257578474.41"/>
    <s v="METLIFE"/>
    <x v="9"/>
  </r>
  <r>
    <x v="58"/>
    <n v="3660860542.1399999"/>
    <s v="ALLY"/>
    <x v="0"/>
  </r>
  <r>
    <x v="58"/>
    <n v="2374687827.0900002"/>
    <s v="FLAGSTAR"/>
    <x v="1"/>
  </r>
  <r>
    <x v="58"/>
    <n v="2096048439.96"/>
    <s v="PHH"/>
    <x v="2"/>
  </r>
  <r>
    <x v="58"/>
    <n v="1418009753.6300001"/>
    <s v="QUICKEN"/>
    <x v="3"/>
  </r>
  <r>
    <x v="58"/>
    <n v="747707839.65999997"/>
    <s v="NYCB MORTGAGE COMPANY, LLC"/>
    <x v="4"/>
  </r>
  <r>
    <x v="58"/>
    <n v="553653703.02999997"/>
    <s v="US BANK"/>
    <x v="5"/>
  </r>
  <r>
    <x v="58"/>
    <n v="445484235"/>
    <s v="FRANKLIN AMERICAN MORTGAGE COMPANY"/>
    <x v="6"/>
  </r>
  <r>
    <x v="58"/>
    <n v="428038423.23000002"/>
    <s v="AMERICAN HOME MORTGAGE CORPORATION"/>
    <x v="7"/>
  </r>
  <r>
    <x v="58"/>
    <n v="419226807"/>
    <s v="EVERBANK"/>
    <x v="8"/>
  </r>
  <r>
    <x v="58"/>
    <n v="378830623.43000001"/>
    <s v="PROVIDENT FUNDING"/>
    <x v="9"/>
  </r>
  <r>
    <x v="59"/>
    <n v="4076990497.6900001"/>
    <s v="ALLY"/>
    <x v="0"/>
  </r>
  <r>
    <x v="59"/>
    <n v="3147925861.4400001"/>
    <s v="PHH"/>
    <x v="1"/>
  </r>
  <r>
    <x v="59"/>
    <n v="2364623596.77"/>
    <s v="FLAGSTAR"/>
    <x v="2"/>
  </r>
  <r>
    <x v="59"/>
    <n v="1125319396.6300001"/>
    <s v="QUICKEN"/>
    <x v="3"/>
  </r>
  <r>
    <x v="59"/>
    <n v="726071421.08000004"/>
    <s v="NYCB MORTGAGE COMPANY, LLC"/>
    <x v="4"/>
  </r>
  <r>
    <x v="59"/>
    <n v="615024129.65999997"/>
    <s v="FIFTH THIRD"/>
    <x v="5"/>
  </r>
  <r>
    <x v="59"/>
    <n v="572585727.12"/>
    <s v="AMERICAN HOME MORTGAGE CORPORATION"/>
    <x v="6"/>
  </r>
  <r>
    <x v="59"/>
    <n v="522423608.49000001"/>
    <s v="US BANK"/>
    <x v="7"/>
  </r>
  <r>
    <x v="59"/>
    <n v="425912079.43000001"/>
    <s v="EVERBANK"/>
    <x v="8"/>
  </r>
  <r>
    <x v="59"/>
    <n v="354847813.26999998"/>
    <s v="PROVIDENT FUNDING"/>
    <x v="9"/>
  </r>
  <r>
    <x v="60"/>
    <n v="2078917820.78"/>
    <s v="FLAGSTAR"/>
    <x v="0"/>
  </r>
  <r>
    <x v="60"/>
    <n v="1829508756.9100001"/>
    <s v="ALLY"/>
    <x v="1"/>
  </r>
  <r>
    <x v="60"/>
    <n v="1686254886.4100001"/>
    <s v="PHH"/>
    <x v="2"/>
  </r>
  <r>
    <x v="60"/>
    <n v="1325451283.1400001"/>
    <s v="QUICKEN"/>
    <x v="3"/>
  </r>
  <r>
    <x v="60"/>
    <n v="686393892.15999997"/>
    <s v="FIFTH THIRD"/>
    <x v="4"/>
  </r>
  <r>
    <x v="60"/>
    <n v="647778159"/>
    <s v="CWCAPITAL"/>
    <x v="5"/>
  </r>
  <r>
    <x v="60"/>
    <n v="560823307.23000002"/>
    <s v="AMERICAN HOME MORTGAGE CORPORATION"/>
    <x v="6"/>
  </r>
  <r>
    <x v="60"/>
    <n v="536432969.44"/>
    <s v="US BANK"/>
    <x v="7"/>
  </r>
  <r>
    <x v="60"/>
    <n v="505337135.45999998"/>
    <s v="SOVEREIGN"/>
    <x v="8"/>
  </r>
  <r>
    <x v="60"/>
    <n v="452217581.43000001"/>
    <s v="NYCB MORTGAGE COMPANY, LLC"/>
    <x v="9"/>
  </r>
  <r>
    <x v="61"/>
    <n v="2741562711.46"/>
    <s v="FLAGSTAR"/>
    <x v="0"/>
  </r>
  <r>
    <x v="61"/>
    <n v="1851657345.4200001"/>
    <s v="PHH"/>
    <x v="1"/>
  </r>
  <r>
    <x v="61"/>
    <n v="1764296230.9100001"/>
    <s v="QUICKEN"/>
    <x v="2"/>
  </r>
  <r>
    <x v="61"/>
    <n v="1397963595.51"/>
    <s v="ALLY"/>
    <x v="3"/>
  </r>
  <r>
    <x v="61"/>
    <n v="672231724.96000004"/>
    <s v="AMERICAN HOME MORTGAGE CORPORATION"/>
    <x v="4"/>
  </r>
  <r>
    <x v="61"/>
    <n v="620503186.51999998"/>
    <s v="CHICAGO MORTGAGE SOLUTIONS DBA INTERBANK"/>
    <x v="5"/>
  </r>
  <r>
    <x v="61"/>
    <n v="524566455.91000003"/>
    <s v="US BANK"/>
    <x v="6"/>
  </r>
  <r>
    <x v="61"/>
    <n v="485949961.77999997"/>
    <s v="FIFTH THIRD"/>
    <x v="7"/>
  </r>
  <r>
    <x v="61"/>
    <n v="462819540"/>
    <s v="SOVEREIGN"/>
    <x v="8"/>
  </r>
  <r>
    <x v="61"/>
    <n v="459078738"/>
    <s v="USAA"/>
    <x v="9"/>
  </r>
  <r>
    <x v="62"/>
    <n v="2975788477.54"/>
    <s v="FLAGSTAR"/>
    <x v="0"/>
  </r>
  <r>
    <x v="62"/>
    <n v="2832823095.7399998"/>
    <s v="QUICKEN"/>
    <x v="1"/>
  </r>
  <r>
    <x v="62"/>
    <n v="1924511400.8299999"/>
    <s v="PHH"/>
    <x v="2"/>
  </r>
  <r>
    <x v="62"/>
    <n v="1504075776.73"/>
    <s v="ALLY"/>
    <x v="3"/>
  </r>
  <r>
    <x v="62"/>
    <n v="1191429316"/>
    <s v="FRANKLIN AMERICAN MORTGAGE COMPANY"/>
    <x v="4"/>
  </r>
  <r>
    <x v="62"/>
    <n v="1106857863.3299999"/>
    <s v="CHICAGO MORTGAGE SOLUTIONS DBA INTERBANK"/>
    <x v="5"/>
  </r>
  <r>
    <x v="62"/>
    <n v="1093973037.3599999"/>
    <s v="NYCB MORTGAGE COMPANY, LLC"/>
    <x v="6"/>
  </r>
  <r>
    <x v="62"/>
    <n v="658685345.17999995"/>
    <s v="AMERICAN HOME MORTGAGE CORPORATION"/>
    <x v="7"/>
  </r>
  <r>
    <x v="62"/>
    <n v="596014493.48000002"/>
    <s v="FIFTH THIRD"/>
    <x v="8"/>
  </r>
  <r>
    <x v="62"/>
    <n v="556758367"/>
    <s v="USAA"/>
    <x v="9"/>
  </r>
  <r>
    <x v="63"/>
    <n v="2312712574.1100001"/>
    <s v="FLAGSTAR"/>
    <x v="0"/>
  </r>
  <r>
    <x v="63"/>
    <n v="1502180272.8599999"/>
    <s v="PHH"/>
    <x v="1"/>
  </r>
  <r>
    <x v="63"/>
    <n v="978164872.58000004"/>
    <s v="ALLY"/>
    <x v="2"/>
  </r>
  <r>
    <x v="63"/>
    <n v="751845393.07000005"/>
    <s v="QUICKEN"/>
    <x v="3"/>
  </r>
  <r>
    <x v="63"/>
    <n v="556381127.55999994"/>
    <s v="AMERICAN HOME MORTGAGE CORPORATION"/>
    <x v="4"/>
  </r>
  <r>
    <x v="63"/>
    <n v="456661036.43000001"/>
    <s v="CHICAGO MORTGAGE SOLUTIONS DBA INTERBANK"/>
    <x v="5"/>
  </r>
  <r>
    <x v="63"/>
    <n v="438684635"/>
    <s v="USAA"/>
    <x v="6"/>
  </r>
  <r>
    <x v="63"/>
    <n v="399755835.06"/>
    <s v="FIFTH THIRD"/>
    <x v="7"/>
  </r>
  <r>
    <x v="63"/>
    <n v="391908160.95999998"/>
    <s v="CASHCALL, INC."/>
    <x v="8"/>
  </r>
  <r>
    <x v="63"/>
    <n v="370574006.99000001"/>
    <s v="FREMONT BANK"/>
    <x v="9"/>
  </r>
  <r>
    <x v="64"/>
    <n v="2844809039.77"/>
    <s v="FLAGSTAR"/>
    <x v="0"/>
  </r>
  <r>
    <x v="64"/>
    <n v="2695975128.2800002"/>
    <s v="QUICKEN"/>
    <x v="1"/>
  </r>
  <r>
    <x v="64"/>
    <n v="1158437334"/>
    <s v="US BANK"/>
    <x v="2"/>
  </r>
  <r>
    <x v="64"/>
    <n v="1144409990.77"/>
    <s v="PHH"/>
    <x v="3"/>
  </r>
  <r>
    <x v="64"/>
    <n v="990429561.15999997"/>
    <s v="NAVY FED"/>
    <x v="4"/>
  </r>
  <r>
    <x v="64"/>
    <n v="810817274.40999997"/>
    <s v="ALLY"/>
    <x v="5"/>
  </r>
  <r>
    <x v="64"/>
    <n v="723104033.64999998"/>
    <s v="NYCB MORTGAGE COMPANY, LLC"/>
    <x v="6"/>
  </r>
  <r>
    <x v="64"/>
    <n v="582433870"/>
    <s v="FRANKLIN AMERICAN MORTGAGE COMPANY"/>
    <x v="7"/>
  </r>
  <r>
    <x v="64"/>
    <n v="421375150.98000002"/>
    <s v="AMERICAN HOME MORTGAGE CORPORATION"/>
    <x v="8"/>
  </r>
  <r>
    <x v="64"/>
    <n v="409331316.60000002"/>
    <s v="FIFTH THIRD"/>
    <x v="9"/>
  </r>
  <r>
    <x v="65"/>
    <n v="2599950568.2399998"/>
    <s v="FLAGSTAR"/>
    <x v="0"/>
  </r>
  <r>
    <x v="65"/>
    <n v="2088349909.77"/>
    <s v="QUICKEN"/>
    <x v="1"/>
  </r>
  <r>
    <x v="65"/>
    <n v="1717496541.8199999"/>
    <s v="ALLY"/>
    <x v="2"/>
  </r>
  <r>
    <x v="65"/>
    <n v="1361383888.96"/>
    <s v="PHH"/>
    <x v="3"/>
  </r>
  <r>
    <x v="65"/>
    <n v="1081847850.47"/>
    <s v="US BANK"/>
    <x v="4"/>
  </r>
  <r>
    <x v="65"/>
    <n v="942158346"/>
    <s v="FRANKLIN AMERICAN MORTGAGE COMPANY"/>
    <x v="5"/>
  </r>
  <r>
    <x v="65"/>
    <n v="611927198.08000004"/>
    <s v="NYCB MORTGAGE COMPANY, LLC"/>
    <x v="6"/>
  </r>
  <r>
    <x v="65"/>
    <n v="479635946.58999997"/>
    <s v="NATIONSTAR"/>
    <x v="7"/>
  </r>
  <r>
    <x v="65"/>
    <n v="469463549.25999999"/>
    <s v="PENNYMAC CORP."/>
    <x v="8"/>
  </r>
  <r>
    <x v="65"/>
    <n v="453561414"/>
    <s v="USAA"/>
    <x v="9"/>
  </r>
  <r>
    <x v="66"/>
    <n v="3652881360.4099998"/>
    <s v="QUICKEN"/>
    <x v="0"/>
  </r>
  <r>
    <x v="66"/>
    <n v="3207267837.8099999"/>
    <s v="FLAGSTAR"/>
    <x v="1"/>
  </r>
  <r>
    <x v="66"/>
    <n v="1549662752.79"/>
    <s v="ALLY"/>
    <x v="2"/>
  </r>
  <r>
    <x v="66"/>
    <n v="1398096825.71"/>
    <s v="PHH"/>
    <x v="3"/>
  </r>
  <r>
    <x v="66"/>
    <n v="807417536.92999995"/>
    <s v="PENNYMAC CORP."/>
    <x v="4"/>
  </r>
  <r>
    <x v="66"/>
    <n v="704763969.89999998"/>
    <s v="NYCB MORTGAGE COMPANY, LLC"/>
    <x v="5"/>
  </r>
  <r>
    <x v="66"/>
    <n v="623856417.64999998"/>
    <s v="STEARNS LENDING, INC."/>
    <x v="6"/>
  </r>
  <r>
    <x v="66"/>
    <n v="562657844"/>
    <s v="PROVIDENT FUNDING"/>
    <x v="7"/>
  </r>
  <r>
    <x v="66"/>
    <n v="533551133.63"/>
    <s v="US BANK"/>
    <x v="8"/>
  </r>
  <r>
    <x v="66"/>
    <n v="469901128"/>
    <s v="FRANKLIN AMERICAN MORTGAGE COMPANY"/>
    <x v="9"/>
  </r>
  <r>
    <x v="67"/>
    <n v="4795732432.7799997"/>
    <s v="QUICKEN"/>
    <x v="0"/>
  </r>
  <r>
    <x v="67"/>
    <n v="3590695127.9499998"/>
    <s v="FLAGSTAR"/>
    <x v="1"/>
  </r>
  <r>
    <x v="67"/>
    <n v="1685314349.4100001"/>
    <s v="ALLY"/>
    <x v="2"/>
  </r>
  <r>
    <x v="67"/>
    <n v="1337029246.04"/>
    <s v="PHH"/>
    <x v="3"/>
  </r>
  <r>
    <x v="67"/>
    <n v="1094677493.75"/>
    <s v="PENNYMAC CORP."/>
    <x v="4"/>
  </r>
  <r>
    <x v="67"/>
    <n v="940781505"/>
    <s v="FRANKLIN AMERICAN MORTGAGE COMPANY"/>
    <x v="5"/>
  </r>
  <r>
    <x v="67"/>
    <n v="789039895"/>
    <s v="PROVIDENT FUNDING"/>
    <x v="6"/>
  </r>
  <r>
    <x v="67"/>
    <n v="733481120.73000002"/>
    <s v="NYCB MORTGAGE COMPANY, LLC"/>
    <x v="7"/>
  </r>
  <r>
    <x v="67"/>
    <n v="609777835.15999997"/>
    <s v="HOMEWARD RESIDENTIAL, INC."/>
    <x v="8"/>
  </r>
  <r>
    <x v="67"/>
    <n v="597752971.85000002"/>
    <s v="COLONIAL SAVINGS FA"/>
    <x v="9"/>
  </r>
  <r>
    <x v="68"/>
    <n v="4937311483.1499996"/>
    <s v="QUICKEN"/>
    <x v="0"/>
  </r>
  <r>
    <x v="68"/>
    <n v="3367762976.5300002"/>
    <s v="FLAGSTAR"/>
    <x v="1"/>
  </r>
  <r>
    <x v="68"/>
    <n v="2141757846.5799999"/>
    <s v="ALLY"/>
    <x v="2"/>
  </r>
  <r>
    <x v="68"/>
    <n v="1656770244.25"/>
    <s v="PHH"/>
    <x v="3"/>
  </r>
  <r>
    <x v="68"/>
    <n v="1095470707.79"/>
    <s v="PENNYMAC CORP."/>
    <x v="4"/>
  </r>
  <r>
    <x v="68"/>
    <n v="926371579"/>
    <s v="FRANKLIN AMERICAN MORTGAGE COMPANY"/>
    <x v="5"/>
  </r>
  <r>
    <x v="68"/>
    <n v="870820419.51999998"/>
    <s v="NYCB MORTGAGE COMPANY, LLC"/>
    <x v="6"/>
  </r>
  <r>
    <x v="68"/>
    <n v="768972724.88999999"/>
    <s v="NAVY FED"/>
    <x v="7"/>
  </r>
  <r>
    <x v="68"/>
    <n v="677630823.85000002"/>
    <s v="HOMEWARD RESIDENTIAL, INC."/>
    <x v="8"/>
  </r>
  <r>
    <x v="68"/>
    <n v="622594736.92999995"/>
    <s v="EVERBANK"/>
    <x v="9"/>
  </r>
  <r>
    <x v="69"/>
    <n v="4269923296.52"/>
    <s v="QUICKEN"/>
    <x v="0"/>
  </r>
  <r>
    <x v="69"/>
    <n v="3102558509.5100002"/>
    <s v="FLAGSTAR"/>
    <x v="1"/>
  </r>
  <r>
    <x v="69"/>
    <n v="1757170071.4400001"/>
    <s v="PENNYMAC CORP."/>
    <x v="2"/>
  </r>
  <r>
    <x v="69"/>
    <n v="1671217469.95"/>
    <s v="ALLY"/>
    <x v="3"/>
  </r>
  <r>
    <x v="69"/>
    <n v="1075838630.21"/>
    <s v="PHH"/>
    <x v="4"/>
  </r>
  <r>
    <x v="69"/>
    <n v="842273584"/>
    <s v="PROVIDENT FUNDING"/>
    <x v="5"/>
  </r>
  <r>
    <x v="69"/>
    <n v="835888535"/>
    <s v="FRANKLIN AMERICAN MORTGAGE COMPANY"/>
    <x v="6"/>
  </r>
  <r>
    <x v="69"/>
    <n v="739804348.36000001"/>
    <s v="NYCB MORTGAGE COMPANY, LLC"/>
    <x v="7"/>
  </r>
  <r>
    <x v="69"/>
    <n v="528499390.93000001"/>
    <s v="HOMEWARD RESIDENTIAL, INC."/>
    <x v="8"/>
  </r>
  <r>
    <x v="69"/>
    <n v="515212464"/>
    <s v="USAA"/>
    <x v="9"/>
  </r>
  <r>
    <x v="70"/>
    <n v="5319861378.3900003"/>
    <s v="QUICKEN"/>
    <x v="0"/>
  </r>
  <r>
    <x v="70"/>
    <n v="3882765467.3400002"/>
    <s v="FLAGSTAR"/>
    <x v="1"/>
  </r>
  <r>
    <x v="70"/>
    <n v="2524129754.2800002"/>
    <s v="PENNYMAC CORP."/>
    <x v="2"/>
  </r>
  <r>
    <x v="70"/>
    <n v="1998429887.1300001"/>
    <s v="ALLY"/>
    <x v="3"/>
  </r>
  <r>
    <x v="70"/>
    <n v="1588213809"/>
    <s v="PROVIDENT FUNDING"/>
    <x v="4"/>
  </r>
  <r>
    <x v="70"/>
    <n v="1391564416.8199999"/>
    <s v="PHH"/>
    <x v="5"/>
  </r>
  <r>
    <x v="70"/>
    <n v="1071373865.8099999"/>
    <s v="CHICAGO MORTGAGE SOLUTIONS DBA INTERBANK"/>
    <x v="6"/>
  </r>
  <r>
    <x v="70"/>
    <n v="1058464662.1799999"/>
    <s v="AMERISAVE MORTGAGE CORPORATION"/>
    <x v="7"/>
  </r>
  <r>
    <x v="70"/>
    <n v="992780246.30999994"/>
    <s v="NYCB MORTGAGE COMPANY, LLC"/>
    <x v="8"/>
  </r>
  <r>
    <x v="70"/>
    <n v="964929533.39999998"/>
    <s v="STEARNS LENDING, INC."/>
    <x v="9"/>
  </r>
  <r>
    <x v="71"/>
    <n v="4866573877.1400003"/>
    <s v="QUICKEN"/>
    <x v="0"/>
  </r>
  <r>
    <x v="71"/>
    <n v="3912376920.6900001"/>
    <s v="FLAGSTAR"/>
    <x v="1"/>
  </r>
  <r>
    <x v="71"/>
    <n v="2424491906.04"/>
    <s v="ALLY"/>
    <x v="2"/>
  </r>
  <r>
    <x v="71"/>
    <n v="1613083367.98"/>
    <s v="PENNYMAC CORP."/>
    <x v="3"/>
  </r>
  <r>
    <x v="71"/>
    <n v="1178548513.0699999"/>
    <s v="US BANK"/>
    <x v="4"/>
  </r>
  <r>
    <x v="71"/>
    <n v="900787186.53999996"/>
    <s v="PHH"/>
    <x v="5"/>
  </r>
  <r>
    <x v="71"/>
    <n v="825687440"/>
    <s v="PROVIDENT FUNDING"/>
    <x v="6"/>
  </r>
  <r>
    <x v="71"/>
    <n v="706310958.97000003"/>
    <s v="STEARNS LENDING, INC."/>
    <x v="7"/>
  </r>
  <r>
    <x v="71"/>
    <n v="600125047"/>
    <s v="FRANKLIN AMERICAN MORTGAGE COMPANY"/>
    <x v="8"/>
  </r>
  <r>
    <x v="71"/>
    <n v="571351609.66999996"/>
    <s v="CHICAGO MORTGAGE SOLUTIONS DBA INTERBANK"/>
    <x v="9"/>
  </r>
  <r>
    <x v="72"/>
    <n v="5979329449.8800001"/>
    <s v="QUICKEN"/>
    <x v="0"/>
  </r>
  <r>
    <x v="72"/>
    <n v="3555445910.4099998"/>
    <s v="FLAGSTAR"/>
    <x v="1"/>
  </r>
  <r>
    <x v="72"/>
    <n v="2355507267.6900001"/>
    <s v="ALLY"/>
    <x v="2"/>
  </r>
  <r>
    <x v="72"/>
    <n v="2198109024.29"/>
    <s v="PENNYMAC CORP."/>
    <x v="3"/>
  </r>
  <r>
    <x v="72"/>
    <n v="1602774666.5599999"/>
    <s v="PHH"/>
    <x v="4"/>
  </r>
  <r>
    <x v="72"/>
    <n v="1223313555"/>
    <s v="FRANKLIN AMERICAN MORTGAGE COMPANY"/>
    <x v="5"/>
  </r>
  <r>
    <x v="72"/>
    <n v="936073100"/>
    <s v="PROVIDENT FUNDING"/>
    <x v="6"/>
  </r>
  <r>
    <x v="72"/>
    <n v="933302030"/>
    <s v="US BANK"/>
    <x v="7"/>
  </r>
  <r>
    <x v="72"/>
    <n v="687278997.60000002"/>
    <s v="AMERISAVE MORTGAGE CORPORATION"/>
    <x v="8"/>
  </r>
  <r>
    <x v="72"/>
    <n v="647612723.87"/>
    <s v="STEARNS LENDING, INC."/>
    <x v="9"/>
  </r>
  <r>
    <x v="73"/>
    <n v="5069266638.7200003"/>
    <s v="QUICKEN"/>
    <x v="0"/>
  </r>
  <r>
    <x v="73"/>
    <n v="3070547359.5500002"/>
    <s v="FLAGSTAR"/>
    <x v="1"/>
  </r>
  <r>
    <x v="73"/>
    <n v="1932080772.45"/>
    <s v="ALLY"/>
    <x v="2"/>
  </r>
  <r>
    <x v="73"/>
    <n v="1306980096.78"/>
    <s v="PHH"/>
    <x v="3"/>
  </r>
  <r>
    <x v="73"/>
    <n v="1245620504"/>
    <s v="US BANK"/>
    <x v="4"/>
  </r>
  <r>
    <x v="73"/>
    <n v="1070072471"/>
    <s v="FRANKLIN AMERICAN MORTGAGE COMPANY"/>
    <x v="5"/>
  </r>
  <r>
    <x v="73"/>
    <n v="908654609.40999997"/>
    <s v="PENNYMAC CORP."/>
    <x v="6"/>
  </r>
  <r>
    <x v="73"/>
    <n v="822847587.25999999"/>
    <s v="CASHCALL, INC."/>
    <x v="7"/>
  </r>
  <r>
    <x v="73"/>
    <n v="775548921.08000004"/>
    <s v="HOMEWARD RESIDENTIAL, INC."/>
    <x v="8"/>
  </r>
  <r>
    <x v="73"/>
    <n v="742195148"/>
    <s v="EVERBANK"/>
    <x v="9"/>
  </r>
  <r>
    <x v="74"/>
    <n v="4567963477.21"/>
    <s v="QUICKEN"/>
    <x v="0"/>
  </r>
  <r>
    <x v="74"/>
    <n v="1901922494.5"/>
    <s v="FLAGSTAR"/>
    <x v="1"/>
  </r>
  <r>
    <x v="74"/>
    <n v="799515520.72000003"/>
    <s v="PHH"/>
    <x v="2"/>
  </r>
  <r>
    <x v="74"/>
    <n v="716978597.38"/>
    <s v="ALLY"/>
    <x v="3"/>
  </r>
  <r>
    <x v="74"/>
    <n v="703423047"/>
    <s v="PROVIDENT FUNDING"/>
    <x v="4"/>
  </r>
  <r>
    <x v="74"/>
    <n v="679671968.63999999"/>
    <s v="CASHCALL, INC."/>
    <x v="5"/>
  </r>
  <r>
    <x v="74"/>
    <n v="632008053.09000003"/>
    <s v="STEARNS LENDING, INC."/>
    <x v="6"/>
  </r>
  <r>
    <x v="74"/>
    <n v="587565021.25"/>
    <s v="US BANK"/>
    <x v="7"/>
  </r>
  <r>
    <x v="74"/>
    <n v="573252980"/>
    <s v="USAA"/>
    <x v="8"/>
  </r>
  <r>
    <x v="74"/>
    <n v="568064468.83000004"/>
    <s v="NYCB MORTGAGE COMPANY, LLC"/>
    <x v="9"/>
  </r>
  <r>
    <x v="75"/>
    <n v="4125896876.8099999"/>
    <s v="QUICKEN"/>
    <x v="0"/>
  </r>
  <r>
    <x v="75"/>
    <n v="2866774138.8499999"/>
    <s v="FLAGSTAR"/>
    <x v="1"/>
  </r>
  <r>
    <x v="75"/>
    <n v="1599161362.23"/>
    <s v="US BANK"/>
    <x v="2"/>
  </r>
  <r>
    <x v="75"/>
    <n v="1051421255.6900001"/>
    <s v="PHH"/>
    <x v="3"/>
  </r>
  <r>
    <x v="75"/>
    <n v="1037437524.3099999"/>
    <s v="NATIONSTAR"/>
    <x v="4"/>
  </r>
  <r>
    <x v="75"/>
    <n v="1031822824"/>
    <s v="PROVIDENT FUNDING"/>
    <x v="5"/>
  </r>
  <r>
    <x v="75"/>
    <n v="729451484.36000001"/>
    <s v="ALLY"/>
    <x v="6"/>
  </r>
  <r>
    <x v="75"/>
    <n v="686196842.63999999"/>
    <s v="CASHCALL, INC."/>
    <x v="7"/>
  </r>
  <r>
    <x v="75"/>
    <n v="600750214.50999999"/>
    <s v="FIFTH THIRD"/>
    <x v="8"/>
  </r>
  <r>
    <x v="75"/>
    <n v="529633000"/>
    <s v="PRUDENTIAL MULTIFAMILY MORTGAGE INC."/>
    <x v="9"/>
  </r>
  <r>
    <x v="76"/>
    <n v="3459242035.96"/>
    <s v="QUICKEN"/>
    <x v="0"/>
  </r>
  <r>
    <x v="76"/>
    <n v="1856516396.73"/>
    <s v="FLAGSTAR"/>
    <x v="1"/>
  </r>
  <r>
    <x v="76"/>
    <n v="1129016102.25"/>
    <s v="GREEN TREE SERVICING, LLC"/>
    <x v="2"/>
  </r>
  <r>
    <x v="76"/>
    <n v="977753136.09000003"/>
    <s v="PHH"/>
    <x v="3"/>
  </r>
  <r>
    <x v="76"/>
    <n v="875520179"/>
    <s v="PROVIDENT FUNDING"/>
    <x v="4"/>
  </r>
  <r>
    <x v="76"/>
    <n v="843472557.42999995"/>
    <s v="US BANK"/>
    <x v="5"/>
  </r>
  <r>
    <x v="76"/>
    <n v="717990565.77999997"/>
    <s v="CASHCALL, INC."/>
    <x v="6"/>
  </r>
  <r>
    <x v="76"/>
    <n v="716631875.51999998"/>
    <s v="NYCB MORTGAGE COMPANY, LLC"/>
    <x v="7"/>
  </r>
  <r>
    <x v="76"/>
    <n v="711331752.40999997"/>
    <s v="PENNYMAC CORP."/>
    <x v="8"/>
  </r>
  <r>
    <x v="76"/>
    <n v="589086963.34000003"/>
    <s v="CENTRAL MORTGAGE"/>
    <x v="9"/>
  </r>
  <r>
    <x v="77"/>
    <n v="4055990638.6799998"/>
    <s v="QUICKEN"/>
    <x v="0"/>
  </r>
  <r>
    <x v="77"/>
    <n v="1997314246.6300001"/>
    <s v="FLAGSTAR"/>
    <x v="1"/>
  </r>
  <r>
    <x v="77"/>
    <n v="1573203721.77"/>
    <s v="GREEN TREE SERVICING, LLC"/>
    <x v="2"/>
  </r>
  <r>
    <x v="77"/>
    <n v="1169087126"/>
    <s v="PROVIDENT FUNDING"/>
    <x v="3"/>
  </r>
  <r>
    <x v="77"/>
    <n v="1000640774.4400001"/>
    <s v="NATIONSTAR"/>
    <x v="4"/>
  </r>
  <r>
    <x v="77"/>
    <n v="567488798.92999995"/>
    <s v="PHH"/>
    <x v="5"/>
  </r>
  <r>
    <x v="77"/>
    <n v="558248480.46000004"/>
    <s v="NYCB MORTGAGE COMPANY, LLC"/>
    <x v="6"/>
  </r>
  <r>
    <x v="77"/>
    <n v="510478821.94999999"/>
    <s v="PENNYMAC CORP."/>
    <x v="7"/>
  </r>
  <r>
    <x v="77"/>
    <n v="488042079.75999999"/>
    <s v="AMERISAVE MORTGAGE CORPORATION"/>
    <x v="8"/>
  </r>
  <r>
    <x v="77"/>
    <n v="461439915.54000002"/>
    <s v="FIFTH THIRD"/>
    <x v="9"/>
  </r>
  <r>
    <x v="78"/>
    <n v="4468738110.4300003"/>
    <s v="QUICKEN"/>
    <x v="0"/>
  </r>
  <r>
    <x v="78"/>
    <n v="2287568241.9699998"/>
    <s v="FLAGSTAR"/>
    <x v="1"/>
  </r>
  <r>
    <x v="78"/>
    <n v="2212331897.6900001"/>
    <s v="GREEN TREE SERVICING, LLC"/>
    <x v="2"/>
  </r>
  <r>
    <x v="78"/>
    <n v="1569984561.9200001"/>
    <s v="NATIONSTAR"/>
    <x v="3"/>
  </r>
  <r>
    <x v="78"/>
    <n v="1144305792.9000001"/>
    <s v="PENNYMAC CORP."/>
    <x v="4"/>
  </r>
  <r>
    <x v="78"/>
    <n v="713708620.26999998"/>
    <s v="PHH"/>
    <x v="5"/>
  </r>
  <r>
    <x v="78"/>
    <n v="703266850.17999995"/>
    <s v="NYCB MORTGAGE COMPANY, LLC"/>
    <x v="6"/>
  </r>
  <r>
    <x v="78"/>
    <n v="594963449"/>
    <s v="FRANKLIN AMERICAN MORTGAGE COMPANY"/>
    <x v="7"/>
  </r>
  <r>
    <x v="78"/>
    <n v="465089752"/>
    <s v="PROVIDENT FUNDING"/>
    <x v="8"/>
  </r>
  <r>
    <x v="78"/>
    <n v="460047105.19999999"/>
    <s v="AMERISAVE MORTGAGE CORPORATION"/>
    <x v="9"/>
  </r>
  <r>
    <x v="79"/>
    <n v="4118976924.3200002"/>
    <s v="QUICKEN"/>
    <x v="0"/>
  </r>
  <r>
    <x v="79"/>
    <n v="2883350418.2600002"/>
    <s v="NATIONSTAR"/>
    <x v="1"/>
  </r>
  <r>
    <x v="79"/>
    <n v="2159130451.9000001"/>
    <s v="GREEN TREE SERVICING, LLC"/>
    <x v="2"/>
  </r>
  <r>
    <x v="79"/>
    <n v="1796265185.45"/>
    <s v="FLAGSTAR"/>
    <x v="3"/>
  </r>
  <r>
    <x v="79"/>
    <n v="1299299846"/>
    <s v="FRANKLIN AMERICAN MORTGAGE COMPANY"/>
    <x v="4"/>
  </r>
  <r>
    <x v="79"/>
    <n v="837776019.65999997"/>
    <s v="PHH"/>
    <x v="5"/>
  </r>
  <r>
    <x v="79"/>
    <n v="548767425.08000004"/>
    <s v="US BANK"/>
    <x v="6"/>
  </r>
  <r>
    <x v="79"/>
    <n v="543956498.54999995"/>
    <s v="PENNYMAC CORP."/>
    <x v="7"/>
  </r>
  <r>
    <x v="79"/>
    <n v="529647534.04000002"/>
    <s v="STEARNS LENDING, INC."/>
    <x v="8"/>
  </r>
  <r>
    <x v="79"/>
    <n v="483574666.26999998"/>
    <s v="STONEGATE MORTGAGE CORPORATION"/>
    <x v="9"/>
  </r>
  <r>
    <x v="80"/>
    <n v="2360176115.9099998"/>
    <s v="QUICKEN"/>
    <x v="0"/>
  </r>
  <r>
    <x v="80"/>
    <n v="1812325604.1099999"/>
    <s v="GREEN TREE SERVICING, LLC"/>
    <x v="1"/>
  </r>
  <r>
    <x v="80"/>
    <n v="1353122738.8900001"/>
    <s v="NATIONSTAR"/>
    <x v="2"/>
  </r>
  <r>
    <x v="80"/>
    <n v="1183299223.6300001"/>
    <s v="FLAGSTAR"/>
    <x v="3"/>
  </r>
  <r>
    <x v="80"/>
    <n v="969610409"/>
    <s v="FRANKLIN AMERICAN MORTGAGE COMPANY"/>
    <x v="4"/>
  </r>
  <r>
    <x v="80"/>
    <n v="670531652.08000004"/>
    <s v="PHH"/>
    <x v="5"/>
  </r>
  <r>
    <x v="80"/>
    <n v="535622769.80000001"/>
    <s v="STEARNS LENDING, INC."/>
    <x v="6"/>
  </r>
  <r>
    <x v="80"/>
    <n v="503283375.61000001"/>
    <s v="PENNYMAC CORP."/>
    <x v="7"/>
  </r>
  <r>
    <x v="80"/>
    <n v="462195912"/>
    <s v="USAA"/>
    <x v="8"/>
  </r>
  <r>
    <x v="80"/>
    <n v="452625022.06999999"/>
    <s v="ROUNDPOINT MORTGAGE SERVICING CORPORATIO"/>
    <x v="9"/>
  </r>
  <r>
    <x v="81"/>
    <n v="1853106711.96"/>
    <s v="QUICKEN"/>
    <x v="0"/>
  </r>
  <r>
    <x v="81"/>
    <n v="1732002462.3699999"/>
    <s v="NATIONSTAR"/>
    <x v="1"/>
  </r>
  <r>
    <x v="81"/>
    <n v="1629776595.6800001"/>
    <s v="GREEN TREE SERVICING, LLC"/>
    <x v="2"/>
  </r>
  <r>
    <x v="81"/>
    <n v="1281505531.45"/>
    <s v="FLAGSTAR"/>
    <x v="3"/>
  </r>
  <r>
    <x v="81"/>
    <n v="768083664"/>
    <s v="FRANKLIN AMERICAN MORTGAGE COMPANY"/>
    <x v="4"/>
  </r>
  <r>
    <x v="81"/>
    <n v="734950444.69000006"/>
    <s v="PHH"/>
    <x v="5"/>
  </r>
  <r>
    <x v="81"/>
    <n v="669991511"/>
    <s v="TD BANK, N.A."/>
    <x v="6"/>
  </r>
  <r>
    <x v="81"/>
    <n v="663655194.12"/>
    <s v="ROUNDPOINT MORTGAGE SERVICING CORPORATIO"/>
    <x v="7"/>
  </r>
  <r>
    <x v="81"/>
    <n v="481227874.23000002"/>
    <s v="PENNYMAC CORP."/>
    <x v="8"/>
  </r>
  <r>
    <x v="81"/>
    <n v="418560586"/>
    <s v="STONEGATE MORTGAGE CORPORATION"/>
    <x v="9"/>
  </r>
  <r>
    <x v="82"/>
    <n v="1694525112.9400001"/>
    <s v="QUICKEN"/>
    <x v="0"/>
  </r>
  <r>
    <x v="82"/>
    <n v="1443375065.3"/>
    <s v="GREEN TREE SERVICING, LLC"/>
    <x v="1"/>
  </r>
  <r>
    <x v="82"/>
    <n v="1390967449.5"/>
    <s v="FLAGSTAR"/>
    <x v="2"/>
  </r>
  <r>
    <x v="82"/>
    <n v="933820791.04999995"/>
    <s v="ROUNDPOINT MORTGAGE SERVICING CORPORATIO"/>
    <x v="3"/>
  </r>
  <r>
    <x v="82"/>
    <n v="888998572.20000005"/>
    <s v="NATIONSTAR"/>
    <x v="4"/>
  </r>
  <r>
    <x v="82"/>
    <n v="554951729.87"/>
    <s v="PHH"/>
    <x v="5"/>
  </r>
  <r>
    <x v="82"/>
    <n v="433795447"/>
    <s v="STONEGATE MORTGAGE CORPORATION"/>
    <x v="6"/>
  </r>
  <r>
    <x v="82"/>
    <n v="385718438.06999999"/>
    <s v="FREEDOM"/>
    <x v="7"/>
  </r>
  <r>
    <x v="82"/>
    <n v="375775273.24000001"/>
    <s v="EVERBANK"/>
    <x v="8"/>
  </r>
  <r>
    <x v="82"/>
    <n v="347498256.81"/>
    <s v="US BANK"/>
    <x v="9"/>
  </r>
  <r>
    <x v="83"/>
    <n v="1561280492.8699999"/>
    <s v="GREEN TREE SERVICING, LLC"/>
    <x v="0"/>
  </r>
  <r>
    <x v="83"/>
    <n v="1421676922.75"/>
    <s v="QUICKEN"/>
    <x v="1"/>
  </r>
  <r>
    <x v="83"/>
    <n v="1105190231.8399999"/>
    <s v="NATIONSTAR"/>
    <x v="2"/>
  </r>
  <r>
    <x v="83"/>
    <n v="969676537.08000004"/>
    <s v="FLAGSTAR"/>
    <x v="3"/>
  </r>
  <r>
    <x v="83"/>
    <n v="812497002.57000005"/>
    <s v="ROUNDPOINT MORTGAGE SERVICING CORPORATIO"/>
    <x v="4"/>
  </r>
  <r>
    <x v="83"/>
    <n v="682173000"/>
    <s v="BEECH STREET CAPITAL, LLC"/>
    <x v="5"/>
  </r>
  <r>
    <x v="83"/>
    <n v="446779000"/>
    <s v="WALKER&amp;DUNLOP"/>
    <x v="6"/>
  </r>
  <r>
    <x v="83"/>
    <n v="433423778.56"/>
    <s v="PHH"/>
    <x v="7"/>
  </r>
  <r>
    <x v="83"/>
    <n v="432759565"/>
    <s v="BERKADIA"/>
    <x v="8"/>
  </r>
  <r>
    <x v="83"/>
    <n v="396704261.73000002"/>
    <s v="FREEDOM"/>
    <x v="9"/>
  </r>
  <r>
    <x v="84"/>
    <n v="1760019879.1099999"/>
    <s v="QUICKEN"/>
    <x v="0"/>
  </r>
  <r>
    <x v="84"/>
    <n v="1342307631.3399999"/>
    <s v="GREEN TREE SERVICING, LLC"/>
    <x v="1"/>
  </r>
  <r>
    <x v="84"/>
    <n v="1059610720.12"/>
    <s v="NATIONSTAR"/>
    <x v="2"/>
  </r>
  <r>
    <x v="84"/>
    <n v="609932112.33000004"/>
    <s v="FLAGSTAR"/>
    <x v="3"/>
  </r>
  <r>
    <x v="84"/>
    <n v="383298577.99000001"/>
    <s v="FREEDOM"/>
    <x v="4"/>
  </r>
  <r>
    <x v="84"/>
    <n v="381391204.31"/>
    <s v="PHH"/>
    <x v="5"/>
  </r>
  <r>
    <x v="84"/>
    <n v="284662968.38999999"/>
    <s v="ROUNDPOINT MORTGAGE SERVICING CORPORATIO"/>
    <x v="6"/>
  </r>
  <r>
    <x v="84"/>
    <n v="280882689.98000002"/>
    <s v="EVERBANK"/>
    <x v="7"/>
  </r>
  <r>
    <x v="84"/>
    <n v="262634731.43000001"/>
    <s v="PENNYMAC CORP."/>
    <x v="8"/>
  </r>
  <r>
    <x v="84"/>
    <n v="259044713"/>
    <s v="FRANKLIN AMERICAN MORTGAGE COMPANY"/>
    <x v="9"/>
  </r>
  <r>
    <x v="85"/>
    <n v="1922831147.77"/>
    <s v="QUICKEN"/>
    <x v="0"/>
  </r>
  <r>
    <x v="85"/>
    <n v="1297808997.26"/>
    <s v="NATIONSTAR"/>
    <x v="1"/>
  </r>
  <r>
    <x v="85"/>
    <n v="1271985898.8900001"/>
    <s v="GREEN TREE SERVICING, LLC"/>
    <x v="2"/>
  </r>
  <r>
    <x v="85"/>
    <n v="627431948.79999995"/>
    <s v="FLAGSTAR"/>
    <x v="3"/>
  </r>
  <r>
    <x v="85"/>
    <n v="410110073.08999997"/>
    <s v="FREEDOM"/>
    <x v="4"/>
  </r>
  <r>
    <x v="85"/>
    <n v="377721494.83999997"/>
    <s v="ROUNDPOINT MORTGAGE SERVICING CORPORATIO"/>
    <x v="5"/>
  </r>
  <r>
    <x v="85"/>
    <n v="291147672.51999998"/>
    <s v="PHH"/>
    <x v="6"/>
  </r>
  <r>
    <x v="85"/>
    <n v="232650831"/>
    <s v="FRANKLIN AMERICAN MORTGAGE COMPANY"/>
    <x v="7"/>
  </r>
  <r>
    <x v="85"/>
    <n v="219422032.46000001"/>
    <s v="EVERBANK"/>
    <x v="8"/>
  </r>
  <r>
    <x v="85"/>
    <n v="216702776.25"/>
    <s v="STEARNS LENDING, INC."/>
    <x v="9"/>
  </r>
  <r>
    <x v="86"/>
    <n v="1574474809.8399999"/>
    <s v="QUICKEN"/>
    <x v="0"/>
  </r>
  <r>
    <x v="86"/>
    <n v="940764804.61000001"/>
    <s v="NATIONSTAR"/>
    <x v="1"/>
  </r>
  <r>
    <x v="86"/>
    <n v="910319667.28999996"/>
    <s v="GREEN TREE SERVICING, LLC"/>
    <x v="2"/>
  </r>
  <r>
    <x v="86"/>
    <n v="564630562.90999997"/>
    <s v="STEARNS LENDING, INC."/>
    <x v="3"/>
  </r>
  <r>
    <x v="86"/>
    <n v="536183752.19"/>
    <s v="FLAGSTAR"/>
    <x v="4"/>
  </r>
  <r>
    <x v="86"/>
    <n v="319855477.95999998"/>
    <s v="FREEDOM"/>
    <x v="5"/>
  </r>
  <r>
    <x v="86"/>
    <n v="313442692.82999998"/>
    <s v="PENNYMAC CORP."/>
    <x v="6"/>
  </r>
  <r>
    <x v="86"/>
    <n v="302147023.06"/>
    <s v="ROUNDPOINT MORTGAGE SERVICING CORPORATIO"/>
    <x v="7"/>
  </r>
  <r>
    <x v="86"/>
    <n v="279410592.38"/>
    <s v="PINGORA LOAN SERVICING, INC."/>
    <x v="8"/>
  </r>
  <r>
    <x v="86"/>
    <n v="190914542.06"/>
    <s v="PROSPECT MORTGAGE, LLC"/>
    <x v="9"/>
  </r>
  <r>
    <x v="87"/>
    <n v="1578860937.1900001"/>
    <s v="QUICKEN"/>
    <x v="0"/>
  </r>
  <r>
    <x v="87"/>
    <n v="870248563.14999998"/>
    <s v="GREEN TREE SERVICING, LLC"/>
    <x v="1"/>
  </r>
  <r>
    <x v="87"/>
    <n v="862589348.16999996"/>
    <s v="NATIONSTAR"/>
    <x v="2"/>
  </r>
  <r>
    <x v="87"/>
    <n v="837007926.10000002"/>
    <s v="FLAGSTAR"/>
    <x v="3"/>
  </r>
  <r>
    <x v="87"/>
    <n v="732016079.92999995"/>
    <s v="STEARNS LENDING, INC."/>
    <x v="4"/>
  </r>
  <r>
    <x v="87"/>
    <n v="587267554.23000002"/>
    <s v="ROUNDPOINT MORTGAGE SERVICING CORPORATIO"/>
    <x v="5"/>
  </r>
  <r>
    <x v="87"/>
    <n v="469850026.73000002"/>
    <s v="FREEDOM"/>
    <x v="6"/>
  </r>
  <r>
    <x v="87"/>
    <n v="406728447.16000003"/>
    <s v="PENNYMAC CORP."/>
    <x v="7"/>
  </r>
  <r>
    <x v="87"/>
    <n v="269915516.19"/>
    <s v="FRANKLIN AMERICAN MORTGAGE COMPANY"/>
    <x v="8"/>
  </r>
  <r>
    <x v="87"/>
    <n v="200069414.25999999"/>
    <s v="PHH"/>
    <x v="9"/>
  </r>
  <r>
    <x v="88"/>
    <n v="1528205247.9400001"/>
    <s v="QUICKEN"/>
    <x v="0"/>
  </r>
  <r>
    <x v="88"/>
    <n v="901247559.58000004"/>
    <s v="GREEN TREE SERVICING, LLC"/>
    <x v="1"/>
  </r>
  <r>
    <x v="88"/>
    <n v="683642277.61000001"/>
    <s v="FLAGSTAR"/>
    <x v="2"/>
  </r>
  <r>
    <x v="88"/>
    <n v="651405516.88999999"/>
    <s v="ROUNDPOINT MORTGAGE SERVICING CORPORATIO"/>
    <x v="3"/>
  </r>
  <r>
    <x v="88"/>
    <n v="586473141.58000004"/>
    <s v="STEARNS LENDING, INC."/>
    <x v="4"/>
  </r>
  <r>
    <x v="88"/>
    <n v="585060774.85000002"/>
    <s v="NATIONSTAR"/>
    <x v="5"/>
  </r>
  <r>
    <x v="88"/>
    <n v="527369639.56999999"/>
    <s v="FREEDOM"/>
    <x v="6"/>
  </r>
  <r>
    <x v="88"/>
    <n v="522735658.95999998"/>
    <s v="FRANKLIN AMERICAN MORTGAGE COMPANY"/>
    <x v="7"/>
  </r>
  <r>
    <x v="88"/>
    <n v="428374000"/>
    <s v="WALKER&amp;DUNLOP"/>
    <x v="8"/>
  </r>
  <r>
    <x v="88"/>
    <n v="416510060.13999999"/>
    <s v="PENNYMAC CORP."/>
    <x v="9"/>
  </r>
  <r>
    <x v="89"/>
    <n v="1822050222.5"/>
    <s v="QUICKEN"/>
    <x v="0"/>
  </r>
  <r>
    <x v="89"/>
    <n v="1290844061.5799999"/>
    <s v="GREEN TREE SERVICING, LLC"/>
    <x v="1"/>
  </r>
  <r>
    <x v="89"/>
    <n v="867253770.96000004"/>
    <s v="FLAGSTAR"/>
    <x v="2"/>
  </r>
  <r>
    <x v="89"/>
    <n v="774995345.41999996"/>
    <s v="NATIONSTAR"/>
    <x v="3"/>
  </r>
  <r>
    <x v="89"/>
    <n v="721574813.37"/>
    <s v="STEARNS LENDING, INC."/>
    <x v="4"/>
  </r>
  <r>
    <x v="89"/>
    <n v="624925467.57000005"/>
    <s v="ROUNDPOINT MORTGAGE SERVICING CORPORATIO"/>
    <x v="5"/>
  </r>
  <r>
    <x v="89"/>
    <n v="597894157.63999999"/>
    <s v="FREEDOM"/>
    <x v="6"/>
  </r>
  <r>
    <x v="89"/>
    <n v="515147361.68000001"/>
    <s v="PINGORA LOAN SERVICING, INC."/>
    <x v="7"/>
  </r>
  <r>
    <x v="89"/>
    <n v="380387300.94999999"/>
    <s v="PENNYMAC CORP."/>
    <x v="8"/>
  </r>
  <r>
    <x v="89"/>
    <n v="317901435.37"/>
    <s v="LOANDEPOT.COM, LLC"/>
    <x v="9"/>
  </r>
  <r>
    <x v="90"/>
    <n v="2307113272.52"/>
    <s v="QUICKEN"/>
    <x v="0"/>
  </r>
  <r>
    <x v="90"/>
    <n v="1448787273.48"/>
    <s v="GREEN TREE SERVICING, LLC"/>
    <x v="1"/>
  </r>
  <r>
    <x v="90"/>
    <n v="938242250.29999995"/>
    <s v="STEARNS LENDING, INC."/>
    <x v="2"/>
  </r>
  <r>
    <x v="90"/>
    <n v="826115611.47000003"/>
    <s v="NATIONSTAR"/>
    <x v="3"/>
  </r>
  <r>
    <x v="90"/>
    <n v="825523368.76999998"/>
    <s v="FREEDOM"/>
    <x v="4"/>
  </r>
  <r>
    <x v="90"/>
    <n v="726777824.34000003"/>
    <s v="FLAGSTAR"/>
    <x v="5"/>
  </r>
  <r>
    <x v="90"/>
    <n v="667872707.69000006"/>
    <s v="PINGORA LOAN SERVICING, INC."/>
    <x v="6"/>
  </r>
  <r>
    <x v="90"/>
    <n v="549296400.13"/>
    <s v="ROUNDPOINT MORTGAGE SERVICING CORPORATIO"/>
    <x v="7"/>
  </r>
  <r>
    <x v="90"/>
    <n v="527273230.60000002"/>
    <s v="PENNYMAC CORP."/>
    <x v="8"/>
  </r>
  <r>
    <x v="90"/>
    <n v="413602478.33999997"/>
    <s v="PHH"/>
    <x v="9"/>
  </r>
  <r>
    <x v="91"/>
    <n v="2194803673.75"/>
    <s v="QUICKEN"/>
    <x v="0"/>
  </r>
  <r>
    <x v="91"/>
    <n v="1540916705.1800001"/>
    <s v="GREEN TREE SERVICING, LLC"/>
    <x v="1"/>
  </r>
  <r>
    <x v="91"/>
    <n v="922664270"/>
    <s v="NATIONSTAR"/>
    <x v="2"/>
  </r>
  <r>
    <x v="91"/>
    <n v="787559163.98000002"/>
    <s v="FLAGSTAR"/>
    <x v="3"/>
  </r>
  <r>
    <x v="91"/>
    <n v="696445840.41999996"/>
    <s v="STEARNS LENDING, INC."/>
    <x v="4"/>
  </r>
  <r>
    <x v="91"/>
    <n v="689637671.97000003"/>
    <s v="ROUNDPOINT MORTGAGE SERVICING CORPORATIO"/>
    <x v="5"/>
  </r>
  <r>
    <x v="91"/>
    <n v="685239103.03999996"/>
    <s v="PINGORA LOAN SERVICING, INC."/>
    <x v="6"/>
  </r>
  <r>
    <x v="91"/>
    <n v="461345718.43000001"/>
    <s v="PENNYMAC CORP."/>
    <x v="7"/>
  </r>
  <r>
    <x v="91"/>
    <n v="370270616.11000001"/>
    <s v="FREEDOM"/>
    <x v="8"/>
  </r>
  <r>
    <x v="91"/>
    <n v="320678435.89999998"/>
    <s v="LOANDEPOT.COM, LLC"/>
    <x v="9"/>
  </r>
  <r>
    <x v="92"/>
    <n v="2398305642.0999999"/>
    <s v="QUICKEN"/>
    <x v="0"/>
  </r>
  <r>
    <x v="92"/>
    <n v="1540397265.4100001"/>
    <s v="GREEN TREE SERVICING, LLC"/>
    <x v="1"/>
  </r>
  <r>
    <x v="92"/>
    <n v="1153583979.72"/>
    <s v="NATIONSTAR"/>
    <x v="2"/>
  </r>
  <r>
    <x v="92"/>
    <n v="973320000"/>
    <s v="PRUDENTIAL MULTIFAMILY MORTGAGE INC."/>
    <x v="3"/>
  </r>
  <r>
    <x v="92"/>
    <n v="874596962.26999998"/>
    <s v="FLAGSTAR"/>
    <x v="4"/>
  </r>
  <r>
    <x v="92"/>
    <n v="685504145.92999995"/>
    <s v="ROUNDPOINT MORTGAGE SERVICING CORPORATIO"/>
    <x v="5"/>
  </r>
  <r>
    <x v="92"/>
    <n v="614259837.62"/>
    <s v="FREEDOM"/>
    <x v="6"/>
  </r>
  <r>
    <x v="92"/>
    <n v="601604554.5"/>
    <s v="PINGORA LOAN SERVICING, INC."/>
    <x v="7"/>
  </r>
  <r>
    <x v="92"/>
    <n v="517796875.52999997"/>
    <s v="PENNYMAC CORP."/>
    <x v="8"/>
  </r>
  <r>
    <x v="92"/>
    <n v="328470828.86000001"/>
    <s v="PHH"/>
    <x v="9"/>
  </r>
  <r>
    <x v="93"/>
    <n v="2043426912.0999999"/>
    <s v="QUICKEN"/>
    <x v="0"/>
  </r>
  <r>
    <x v="93"/>
    <n v="1584140311.48"/>
    <s v="GREEN TREE SERVICING, LLC"/>
    <x v="1"/>
  </r>
  <r>
    <x v="93"/>
    <n v="1181205153.1800001"/>
    <s v="ROUNDPOINT MORTGAGE SERVICING CORPORATIO"/>
    <x v="2"/>
  </r>
  <r>
    <x v="93"/>
    <n v="1076952006.8"/>
    <s v="PINGORA LOAN SERVICING, INC."/>
    <x v="3"/>
  </r>
  <r>
    <x v="93"/>
    <n v="978700583.25"/>
    <s v="NATIONSTAR"/>
    <x v="4"/>
  </r>
  <r>
    <x v="93"/>
    <n v="880893025.72000003"/>
    <s v="FLAGSTAR"/>
    <x v="5"/>
  </r>
  <r>
    <x v="93"/>
    <n v="716394907.08000004"/>
    <s v="FREEDOM"/>
    <x v="6"/>
  </r>
  <r>
    <x v="93"/>
    <n v="501903612.89999998"/>
    <s v="PENNYMAC CORP."/>
    <x v="7"/>
  </r>
  <r>
    <x v="93"/>
    <n v="448428855.75"/>
    <s v="STEARNS LENDING, LLC"/>
    <x v="8"/>
  </r>
  <r>
    <x v="93"/>
    <n v="392068414.63"/>
    <s v="PHH"/>
    <x v="9"/>
  </r>
  <r>
    <x v="94"/>
    <n v="2775970767.79"/>
    <s v="QUICKEN"/>
    <x v="0"/>
  </r>
  <r>
    <x v="94"/>
    <n v="1393087502.71"/>
    <s v="GREEN TREE SERVICING, LLC"/>
    <x v="1"/>
  </r>
  <r>
    <x v="94"/>
    <n v="998050265.50999999"/>
    <s v="ROUNDPOINT MORTGAGE SERVICING CORPORATIO"/>
    <x v="2"/>
  </r>
  <r>
    <x v="94"/>
    <n v="810311187.20000005"/>
    <s v="NATIONSTAR"/>
    <x v="3"/>
  </r>
  <r>
    <x v="94"/>
    <n v="718640760.32000005"/>
    <s v="FLAGSTAR"/>
    <x v="4"/>
  </r>
  <r>
    <x v="94"/>
    <n v="542565195.12"/>
    <s v="FREEDOM"/>
    <x v="5"/>
  </r>
  <r>
    <x v="94"/>
    <n v="492717365"/>
    <s v="WALKER&amp;DUNLOP"/>
    <x v="6"/>
  </r>
  <r>
    <x v="94"/>
    <n v="439696007.01999998"/>
    <s v="PINGORA LOAN SERVICING, INC."/>
    <x v="7"/>
  </r>
  <r>
    <x v="94"/>
    <n v="313121104.39999998"/>
    <s v="PENNYMAC CORP."/>
    <x v="8"/>
  </r>
  <r>
    <x v="94"/>
    <n v="285492057.07999998"/>
    <s v="US BANK"/>
    <x v="9"/>
  </r>
  <r>
    <x v="95"/>
    <n v="2066146511.47"/>
    <s v="QUICKEN"/>
    <x v="0"/>
  </r>
  <r>
    <x v="95"/>
    <n v="1879715467.6099999"/>
    <s v="ROUNDPOINT MORTGAGE SERVICING CORPORATIO"/>
    <x v="1"/>
  </r>
  <r>
    <x v="95"/>
    <n v="1404476774.0999999"/>
    <s v="PINGORA LOAN SERVICING, INC."/>
    <x v="2"/>
  </r>
  <r>
    <x v="95"/>
    <n v="1117301751.3599999"/>
    <s v="FLAGSTAR"/>
    <x v="3"/>
  </r>
  <r>
    <x v="95"/>
    <n v="1076041614.8099999"/>
    <s v="GREEN TREE SERVICING, LLC"/>
    <x v="4"/>
  </r>
  <r>
    <x v="95"/>
    <n v="956205375.35000002"/>
    <s v="NATIONSTAR"/>
    <x v="5"/>
  </r>
  <r>
    <x v="95"/>
    <n v="600412540.12"/>
    <s v="FREEDOM"/>
    <x v="6"/>
  </r>
  <r>
    <x v="95"/>
    <n v="598455282.28999996"/>
    <s v="STEARNS LENDING, LLC"/>
    <x v="7"/>
  </r>
  <r>
    <x v="95"/>
    <n v="432412861"/>
    <s v="BERKADIA"/>
    <x v="8"/>
  </r>
  <r>
    <x v="95"/>
    <n v="395910562.74000001"/>
    <s v="UNITED SHORE FINANCIAL SERVICES, LLC"/>
    <x v="9"/>
  </r>
  <r>
    <x v="96"/>
    <n v="3191572944.1500001"/>
    <s v="QUICKEN"/>
    <x v="0"/>
  </r>
  <r>
    <x v="96"/>
    <n v="1575481438.27"/>
    <s v="ROUNDPOINT MORTGAGE SERVICING CORPORATIO"/>
    <x v="1"/>
  </r>
  <r>
    <x v="96"/>
    <n v="1239435764.55"/>
    <s v="GREEN TREE SERVICING, LLC"/>
    <x v="2"/>
  </r>
  <r>
    <x v="96"/>
    <n v="908465632.36000001"/>
    <s v="FLAGSTAR"/>
    <x v="3"/>
  </r>
  <r>
    <x v="96"/>
    <n v="820018959.46000004"/>
    <s v="PINGORA LOAN SERVICING, INC."/>
    <x v="4"/>
  </r>
  <r>
    <x v="96"/>
    <n v="727299851.34000003"/>
    <s v="NATIONSTAR"/>
    <x v="5"/>
  </r>
  <r>
    <x v="96"/>
    <n v="521813322.77999997"/>
    <s v="FREEDOM"/>
    <x v="6"/>
  </r>
  <r>
    <x v="96"/>
    <n v="420858107.33999997"/>
    <s v="STEARNS LENDING, LLC"/>
    <x v="7"/>
  </r>
  <r>
    <x v="96"/>
    <n v="370462923.72000003"/>
    <s v="CALIBER HOME LOANS, INC."/>
    <x v="8"/>
  </r>
  <r>
    <x v="96"/>
    <n v="365858133"/>
    <s v="PROVIDENT FUNDING"/>
    <x v="9"/>
  </r>
  <r>
    <x v="97"/>
    <n v="2391607148.8299999"/>
    <s v="QUICKEN"/>
    <x v="0"/>
  </r>
  <r>
    <x v="97"/>
    <n v="1363400170.6300001"/>
    <s v="ROUNDPOINT MORTGAGE SERVICING CORPORATIO"/>
    <x v="1"/>
  </r>
  <r>
    <x v="97"/>
    <n v="1098070187.5599999"/>
    <s v="GREEN TREE SERVICING, LLC"/>
    <x v="2"/>
  </r>
  <r>
    <x v="97"/>
    <n v="986818665.65999997"/>
    <s v="PINGORA LOAN SERVICING, INC."/>
    <x v="3"/>
  </r>
  <r>
    <x v="97"/>
    <n v="972342136.94000006"/>
    <s v="FLAGSTAR"/>
    <x v="4"/>
  </r>
  <r>
    <x v="97"/>
    <n v="917470993.57000005"/>
    <s v="NATIONSTAR"/>
    <x v="5"/>
  </r>
  <r>
    <x v="97"/>
    <n v="625784148.74000001"/>
    <s v="FREEDOM"/>
    <x v="6"/>
  </r>
  <r>
    <x v="97"/>
    <n v="375436923"/>
    <s v="PRUDENTIAL MULTIFAMILY MORTGAGE INC."/>
    <x v="7"/>
  </r>
  <r>
    <x v="97"/>
    <n v="351454334"/>
    <s v="BERKELEY POINT CAPITAL LLC"/>
    <x v="8"/>
  </r>
  <r>
    <x v="97"/>
    <n v="337572405.68000001"/>
    <s v="SENECA MORTGAGE SERVICING LLC"/>
    <x v="9"/>
  </r>
  <r>
    <x v="98"/>
    <n v="4001267869.9400001"/>
    <s v="QUICKEN"/>
    <x v="0"/>
  </r>
  <r>
    <x v="98"/>
    <n v="1662191360.9000001"/>
    <s v="PINGORA LOAN SERVICING, INC."/>
    <x v="1"/>
  </r>
  <r>
    <x v="98"/>
    <n v="1296799355.3"/>
    <s v="GREEN TREE SERVICING, LLC"/>
    <x v="2"/>
  </r>
  <r>
    <x v="98"/>
    <n v="1102188321.1500001"/>
    <s v="ROUNDPOINT MORTGAGE SERVICING CORPORATIO"/>
    <x v="3"/>
  </r>
  <r>
    <x v="98"/>
    <n v="1068904418.66"/>
    <s v="FLAGSTAR"/>
    <x v="4"/>
  </r>
  <r>
    <x v="98"/>
    <n v="985085018.16999996"/>
    <s v="NATIONSTAR"/>
    <x v="5"/>
  </r>
  <r>
    <x v="98"/>
    <n v="625428880.38"/>
    <s v="FREEDOM"/>
    <x v="6"/>
  </r>
  <r>
    <x v="98"/>
    <n v="495075730"/>
    <s v="PROVIDENT FUNDING"/>
    <x v="7"/>
  </r>
  <r>
    <x v="98"/>
    <n v="473490793.25"/>
    <s v="IMPAC MORTGAGE CORP."/>
    <x v="8"/>
  </r>
  <r>
    <x v="98"/>
    <n v="467019706.77999997"/>
    <s v="FRANKLIN AMERICAN MORTGAGE COMPANY"/>
    <x v="9"/>
  </r>
  <r>
    <x v="99"/>
    <n v="2942739567.1399999"/>
    <s v="QUICKEN"/>
    <x v="0"/>
  </r>
  <r>
    <x v="99"/>
    <n v="1640723673.55"/>
    <s v="PINGORA LOAN SERVICING, INC."/>
    <x v="1"/>
  </r>
  <r>
    <x v="99"/>
    <n v="1569958762.79"/>
    <s v="GREEN TREE SERVICING, LLC"/>
    <x v="2"/>
  </r>
  <r>
    <x v="99"/>
    <n v="1016702522.09"/>
    <s v="FLAGSTAR"/>
    <x v="3"/>
  </r>
  <r>
    <x v="99"/>
    <n v="991941266.66999996"/>
    <s v="NATIONSTAR"/>
    <x v="4"/>
  </r>
  <r>
    <x v="99"/>
    <n v="944084402.55999994"/>
    <s v="ROUNDPOINT MORTGAGE SERVICING CORPORATIO"/>
    <x v="5"/>
  </r>
  <r>
    <x v="99"/>
    <n v="827863000"/>
    <s v="KEYBANK NATIONAL ASSOCIATION"/>
    <x v="6"/>
  </r>
  <r>
    <x v="99"/>
    <n v="795700962.12"/>
    <s v="LOANDEPOT.COM, LLC"/>
    <x v="7"/>
  </r>
  <r>
    <x v="99"/>
    <n v="754376297.26999998"/>
    <s v="FRANKLIN AMERICAN MORTGAGE COMPANY"/>
    <x v="8"/>
  </r>
  <r>
    <x v="99"/>
    <n v="674218843.05999994"/>
    <s v="FREEDOM"/>
    <x v="9"/>
  </r>
  <r>
    <x v="100"/>
    <n v="2798725237.3699999"/>
    <s v="QUICKEN"/>
    <x v="0"/>
  </r>
  <r>
    <x v="100"/>
    <n v="1577703116.29"/>
    <s v="PINGORA LOAN SERVICING, INC."/>
    <x v="1"/>
  </r>
  <r>
    <x v="100"/>
    <n v="1264778132.8599999"/>
    <s v="GREEN TREE SERVICING, LLC"/>
    <x v="2"/>
  </r>
  <r>
    <x v="100"/>
    <n v="918726824.01999998"/>
    <s v="FLAGSTAR"/>
    <x v="3"/>
  </r>
  <r>
    <x v="100"/>
    <n v="883119798.46000004"/>
    <s v="NATIONSTAR"/>
    <x v="4"/>
  </r>
  <r>
    <x v="100"/>
    <n v="849341000"/>
    <s v="WALKER&amp;DUNLOP"/>
    <x v="5"/>
  </r>
  <r>
    <x v="100"/>
    <n v="618988490.02999997"/>
    <s v="ROUNDPOINT MORTGAGE SERVICING CORPORATIO"/>
    <x v="6"/>
  </r>
  <r>
    <x v="100"/>
    <n v="608971061.10000002"/>
    <s v="FRANKLIN AMERICAN MORTGAGE COMPANY"/>
    <x v="7"/>
  </r>
  <r>
    <x v="100"/>
    <n v="603352877.22000003"/>
    <s v="SENECA MORTGAGE SERVICING LLC"/>
    <x v="8"/>
  </r>
  <r>
    <x v="100"/>
    <n v="559912966.75999999"/>
    <s v="FREEDOM"/>
    <x v="9"/>
  </r>
  <r>
    <x v="101"/>
    <n v="2820536650.3600001"/>
    <s v="QUICKEN"/>
    <x v="0"/>
  </r>
  <r>
    <x v="101"/>
    <n v="1613735529.52"/>
    <s v="PINGORA LOAN SERVICING, INC."/>
    <x v="1"/>
  </r>
  <r>
    <x v="101"/>
    <n v="1149723074.47"/>
    <s v="FLAGSTAR"/>
    <x v="2"/>
  </r>
  <r>
    <x v="101"/>
    <n v="984247565"/>
    <s v="BERKADIA"/>
    <x v="3"/>
  </r>
  <r>
    <x v="101"/>
    <n v="979107174.38"/>
    <s v="GREEN TREE SERVICING, LLC"/>
    <x v="4"/>
  </r>
  <r>
    <x v="101"/>
    <n v="807024817.42999995"/>
    <s v="NATIONSTAR"/>
    <x v="5"/>
  </r>
  <r>
    <x v="101"/>
    <n v="569441160.78999996"/>
    <s v="PENNYMAC CORP."/>
    <x v="6"/>
  </r>
  <r>
    <x v="101"/>
    <n v="559363879.96000004"/>
    <s v="FRANKLIN AMERICAN MORTGAGE COMPANY"/>
    <x v="7"/>
  </r>
  <r>
    <x v="101"/>
    <n v="519057630.89999998"/>
    <s v="ROUNDPOINT MORTGAGE SERVICING CORPORATIO"/>
    <x v="8"/>
  </r>
  <r>
    <x v="101"/>
    <n v="495154974"/>
    <s v="PROVIDENT FUNDING"/>
    <x v="9"/>
  </r>
  <r>
    <x v="102"/>
    <n v="2663674593.8699999"/>
    <s v="QUICKEN"/>
    <x v="0"/>
  </r>
  <r>
    <x v="102"/>
    <n v="1759181417.1300001"/>
    <s v="GREEN TREE SERVICING, LLC"/>
    <x v="1"/>
  </r>
  <r>
    <x v="102"/>
    <n v="1570992400.3800001"/>
    <s v="PINGORA LOAN SERVICING, INC."/>
    <x v="2"/>
  </r>
  <r>
    <x v="102"/>
    <n v="1102793714.3499999"/>
    <s v="FLAGSTAR"/>
    <x v="3"/>
  </r>
  <r>
    <x v="102"/>
    <n v="777800674.59000003"/>
    <s v="LOANDEPOT.COM, LLC"/>
    <x v="4"/>
  </r>
  <r>
    <x v="102"/>
    <n v="767115814.90999997"/>
    <s v="NATIONSTAR"/>
    <x v="5"/>
  </r>
  <r>
    <x v="102"/>
    <n v="747144601.47000003"/>
    <s v="FRANKLIN AMERICAN MORTGAGE COMPANY"/>
    <x v="6"/>
  </r>
  <r>
    <x v="102"/>
    <n v="622324986.59000003"/>
    <s v="PENNYMAC CORP."/>
    <x v="7"/>
  </r>
  <r>
    <x v="102"/>
    <n v="595819872.16999996"/>
    <s v="ROUNDPOINT MORTGAGE SERVICING CORPORATIO"/>
    <x v="8"/>
  </r>
  <r>
    <x v="102"/>
    <n v="491844106.75"/>
    <s v="FREEDOM"/>
    <x v="9"/>
  </r>
  <r>
    <x v="103"/>
    <n v="2197193446.4000001"/>
    <s v="QUICKEN"/>
    <x v="0"/>
  </r>
  <r>
    <x v="103"/>
    <n v="1662115567.46"/>
    <s v="PINGORA LOAN SERVICING, INC."/>
    <x v="1"/>
  </r>
  <r>
    <x v="103"/>
    <n v="1575550343.6099999"/>
    <s v="GREEN TREE SERVICING, LLC"/>
    <x v="2"/>
  </r>
  <r>
    <x v="103"/>
    <n v="724810576.13"/>
    <s v="FLAGSTAR"/>
    <x v="3"/>
  </r>
  <r>
    <x v="103"/>
    <n v="620449230.04999995"/>
    <s v="ROUNDPOINT MORTGAGE SERVICING CORPORATIO"/>
    <x v="4"/>
  </r>
  <r>
    <x v="103"/>
    <n v="593512442.66999996"/>
    <s v="US BANK"/>
    <x v="5"/>
  </r>
  <r>
    <x v="103"/>
    <n v="579927236.90999997"/>
    <s v="FREEDOM"/>
    <x v="6"/>
  </r>
  <r>
    <x v="103"/>
    <n v="551946905.88999999"/>
    <s v="FRANKLIN AMERICAN MORTGAGE COMPANY"/>
    <x v="7"/>
  </r>
  <r>
    <x v="103"/>
    <n v="491596570"/>
    <s v="COMPASS BANK"/>
    <x v="8"/>
  </r>
  <r>
    <x v="103"/>
    <n v="479858894"/>
    <s v="PROVIDENT FUNDING"/>
    <x v="9"/>
  </r>
  <r>
    <x v="104"/>
    <n v="2930771176.6599998"/>
    <s v="QUICKEN"/>
    <x v="0"/>
  </r>
  <r>
    <x v="104"/>
    <n v="1525499911.6300001"/>
    <s v="PINGORA LOAN SERVICING, INC."/>
    <x v="1"/>
  </r>
  <r>
    <x v="104"/>
    <n v="1141337686.3699999"/>
    <s v="FLAGSTAR"/>
    <x v="2"/>
  </r>
  <r>
    <x v="104"/>
    <n v="1017110795.64"/>
    <s v="NATIONSTAR"/>
    <x v="3"/>
  </r>
  <r>
    <x v="104"/>
    <n v="1000152723.4299999"/>
    <s v="PENNYMAC CORP."/>
    <x v="4"/>
  </r>
  <r>
    <x v="104"/>
    <n v="812761838.28999996"/>
    <s v="FRANKLIN AMERICAN MORTGAGE COMPANY"/>
    <x v="5"/>
  </r>
  <r>
    <x v="104"/>
    <n v="650340492.25999999"/>
    <s v="DITECH FINANCIAL LLC"/>
    <x v="6"/>
  </r>
  <r>
    <x v="104"/>
    <n v="618979202.21000004"/>
    <s v="FREEDOM"/>
    <x v="7"/>
  </r>
  <r>
    <x v="104"/>
    <n v="566141204"/>
    <s v="GREEN TREE SERVICING, LLC"/>
    <x v="8"/>
  </r>
  <r>
    <x v="104"/>
    <n v="514251028.57999998"/>
    <s v="CALIBER HOME LOANS, INC."/>
    <x v="9"/>
  </r>
  <r>
    <x v="105"/>
    <n v="2329434849.4899998"/>
    <s v="QUICKEN"/>
    <x v="0"/>
  </r>
  <r>
    <x v="105"/>
    <n v="1303548752.49"/>
    <s v="PINGORA LOAN SERVICING, INC."/>
    <x v="1"/>
  </r>
  <r>
    <x v="105"/>
    <n v="1225136396.4200001"/>
    <s v="DITECH FINANCIAL LLC"/>
    <x v="2"/>
  </r>
  <r>
    <x v="105"/>
    <n v="832043960.95000005"/>
    <s v="PENNYMAC CORP."/>
    <x v="3"/>
  </r>
  <r>
    <x v="105"/>
    <n v="737723713.73000002"/>
    <s v="FLAGSTAR"/>
    <x v="4"/>
  </r>
  <r>
    <x v="105"/>
    <n v="688475096.88999999"/>
    <s v="NATIONSTAR"/>
    <x v="5"/>
  </r>
  <r>
    <x v="105"/>
    <n v="632804028.48000002"/>
    <s v="FREEDOM"/>
    <x v="6"/>
  </r>
  <r>
    <x v="105"/>
    <n v="607288744.90999997"/>
    <s v="FRANKLIN AMERICAN MORTGAGE COMPANY"/>
    <x v="7"/>
  </r>
  <r>
    <x v="105"/>
    <n v="490960087.12"/>
    <s v="US BANK"/>
    <x v="8"/>
  </r>
  <r>
    <x v="105"/>
    <n v="486265000"/>
    <s v="BERKADIA"/>
    <x v="9"/>
  </r>
  <r>
    <x v="106"/>
    <n v="2882552108.52"/>
    <s v="QUICKEN"/>
    <x v="0"/>
  </r>
  <r>
    <x v="106"/>
    <n v="934536927.95000005"/>
    <s v="DITECH FINANCIAL LLC"/>
    <x v="1"/>
  </r>
  <r>
    <x v="106"/>
    <n v="862664936.89999998"/>
    <s v="PENNYMAC CORP."/>
    <x v="2"/>
  </r>
  <r>
    <x v="106"/>
    <n v="734767086.35000002"/>
    <s v="FLAGSTAR"/>
    <x v="3"/>
  </r>
  <r>
    <x v="106"/>
    <n v="601884803.13999999"/>
    <s v="NATIONSTAR"/>
    <x v="4"/>
  </r>
  <r>
    <x v="106"/>
    <n v="559914198"/>
    <s v="FRANKLIN AMERICAN MORTGAGE COMPANY"/>
    <x v="5"/>
  </r>
  <r>
    <x v="106"/>
    <n v="530106083.57999998"/>
    <s v="PINGORA LOAN SERVICING, INC."/>
    <x v="6"/>
  </r>
  <r>
    <x v="106"/>
    <n v="506020736.23000002"/>
    <s v="US BANK"/>
    <x v="7"/>
  </r>
  <r>
    <x v="106"/>
    <n v="488367067.95999998"/>
    <s v="FREEDOM"/>
    <x v="8"/>
  </r>
  <r>
    <x v="106"/>
    <n v="403514502.94"/>
    <s v="GUILD"/>
    <x v="9"/>
  </r>
  <r>
    <x v="107"/>
    <n v="2619817967.04"/>
    <s v="QUICKEN"/>
    <x v="0"/>
  </r>
  <r>
    <x v="107"/>
    <n v="1157166554.46"/>
    <s v="PINGORA LOAN SERVICING, INC."/>
    <x v="1"/>
  </r>
  <r>
    <x v="107"/>
    <n v="694998395.90999997"/>
    <s v="UNITED SHORE FINANCIAL SERVICES, LLC"/>
    <x v="2"/>
  </r>
  <r>
    <x v="107"/>
    <n v="664343485.69000006"/>
    <s v="PENNYMAC CORP."/>
    <x v="3"/>
  </r>
  <r>
    <x v="107"/>
    <n v="621585208.94000006"/>
    <s v="DITECH FINANCIAL LLC"/>
    <x v="4"/>
  </r>
  <r>
    <x v="107"/>
    <n v="505478305.17000002"/>
    <s v="NATIONSTAR"/>
    <x v="5"/>
  </r>
  <r>
    <x v="107"/>
    <n v="459272026.58999997"/>
    <s v="US BANK"/>
    <x v="6"/>
  </r>
  <r>
    <x v="107"/>
    <n v="448248933.61000001"/>
    <s v="FREEDOM"/>
    <x v="7"/>
  </r>
  <r>
    <x v="107"/>
    <n v="432621000"/>
    <s v="WALKER&amp;DUNLOP"/>
    <x v="8"/>
  </r>
  <r>
    <x v="107"/>
    <n v="419201121.75"/>
    <s v="FLAGSTAR"/>
    <x v="9"/>
  </r>
  <r>
    <x v="108"/>
    <n v="2354326082.3600001"/>
    <s v="QUICKEN"/>
    <x v="0"/>
  </r>
  <r>
    <x v="108"/>
    <n v="994859183.85000002"/>
    <s v="FRANKLIN AMERICAN MORTGAGE COMPANY"/>
    <x v="1"/>
  </r>
  <r>
    <x v="108"/>
    <n v="944963422.09000003"/>
    <s v="DITECH FINANCIAL LLC"/>
    <x v="2"/>
  </r>
  <r>
    <x v="108"/>
    <n v="917475522.19000006"/>
    <s v="PENNYMAC CORP."/>
    <x v="3"/>
  </r>
  <r>
    <x v="108"/>
    <n v="894790345.87"/>
    <s v="PINGORA LOAN SERVICING, INC."/>
    <x v="4"/>
  </r>
  <r>
    <x v="108"/>
    <n v="590921718.30999994"/>
    <s v="FLAGSTAR"/>
    <x v="5"/>
  </r>
  <r>
    <x v="108"/>
    <n v="540930874.95000005"/>
    <s v="UNITED SHORE FINANCIAL SERVICES, LLC"/>
    <x v="6"/>
  </r>
  <r>
    <x v="108"/>
    <n v="361215654.91000003"/>
    <s v="MATRIX FINANCIAL SERVICES CORPORATION"/>
    <x v="7"/>
  </r>
  <r>
    <x v="108"/>
    <n v="359630643.68000001"/>
    <s v="US BANK"/>
    <x v="8"/>
  </r>
  <r>
    <x v="108"/>
    <n v="336153592.33999997"/>
    <s v="HOMESTREET BANK"/>
    <x v="9"/>
  </r>
  <r>
    <x v="109"/>
    <n v="2457936826.3200002"/>
    <s v="QUICKEN"/>
    <x v="0"/>
  </r>
  <r>
    <x v="109"/>
    <n v="836219571.90999997"/>
    <s v="PINGORA LOAN SERVICING, INC."/>
    <x v="1"/>
  </r>
  <r>
    <x v="109"/>
    <n v="784886535.04999995"/>
    <s v="DITECH FINANCIAL LLC"/>
    <x v="2"/>
  </r>
  <r>
    <x v="109"/>
    <n v="749744856.62"/>
    <s v="PENNYMAC CORP."/>
    <x v="3"/>
  </r>
  <r>
    <x v="109"/>
    <n v="708439242.34000003"/>
    <s v="FLAGSTAR"/>
    <x v="4"/>
  </r>
  <r>
    <x v="109"/>
    <n v="668404652.04999995"/>
    <s v="NATIONSTAR"/>
    <x v="5"/>
  </r>
  <r>
    <x v="109"/>
    <n v="577341650.98000002"/>
    <s v="FRANKLIN AMERICAN MORTGAGE COMPANY"/>
    <x v="6"/>
  </r>
  <r>
    <x v="109"/>
    <n v="408538463.74000001"/>
    <s v="FREEDOM"/>
    <x v="7"/>
  </r>
  <r>
    <x v="109"/>
    <n v="408428909.92000002"/>
    <s v="MATRIX FINANCIAL SERVICES CORPORATION"/>
    <x v="8"/>
  </r>
  <r>
    <x v="109"/>
    <n v="389202209.86000001"/>
    <s v="LAKEVIEW LOAN SERVICING, LLC"/>
    <x v="9"/>
  </r>
  <r>
    <x v="110"/>
    <n v="2763625043.9000001"/>
    <s v="QUICKEN"/>
    <x v="0"/>
  </r>
  <r>
    <x v="110"/>
    <n v="1804841146.53"/>
    <s v="FLAGSTAR"/>
    <x v="1"/>
  </r>
  <r>
    <x v="110"/>
    <n v="1423317774.55"/>
    <s v="PINGORA LOAN SERVICING, INC."/>
    <x v="2"/>
  </r>
  <r>
    <x v="110"/>
    <n v="857931112"/>
    <s v="USAA"/>
    <x v="3"/>
  </r>
  <r>
    <x v="110"/>
    <n v="824054546.41999996"/>
    <s v="PENNYMAC CORP."/>
    <x v="4"/>
  </r>
  <r>
    <x v="110"/>
    <n v="781974394.71000004"/>
    <s v="MATRIX FINANCIAL SERVICES CORPORATION"/>
    <x v="5"/>
  </r>
  <r>
    <x v="110"/>
    <n v="731275737.39999998"/>
    <s v="DITECH FINANCIAL LLC"/>
    <x v="6"/>
  </r>
  <r>
    <x v="110"/>
    <n v="641136203"/>
    <s v="FRANKLIN AMERICAN MORTGAGE COMPANY"/>
    <x v="7"/>
  </r>
  <r>
    <x v="110"/>
    <n v="635482578.19000006"/>
    <s v="NATIONSTAR"/>
    <x v="8"/>
  </r>
  <r>
    <x v="110"/>
    <n v="578264030.12"/>
    <s v="ROUNDPOINT MORTGAGE SERVICING CORPORATIO"/>
    <x v="9"/>
  </r>
  <r>
    <x v="111"/>
    <n v="3188130012.96"/>
    <s v="QUICKEN"/>
    <x v="0"/>
  </r>
  <r>
    <x v="111"/>
    <n v="2004674741.3"/>
    <s v="PINGORA LOAN SERVICING, INC."/>
    <x v="1"/>
  </r>
  <r>
    <x v="111"/>
    <n v="1234692108.76"/>
    <s v="FLAGSTAR"/>
    <x v="2"/>
  </r>
  <r>
    <x v="111"/>
    <n v="1215338536.23"/>
    <s v="PENNYMAC CORP."/>
    <x v="3"/>
  </r>
  <r>
    <x v="111"/>
    <n v="857096635.91999996"/>
    <s v="UNITED SHORE FINANCIAL SERVICES, LLC"/>
    <x v="4"/>
  </r>
  <r>
    <x v="111"/>
    <n v="802866878.74000001"/>
    <s v="MATRIX FINANCIAL SERVICES CORPORATION"/>
    <x v="5"/>
  </r>
  <r>
    <x v="111"/>
    <n v="687418998.48000002"/>
    <s v="DITECH FINANCIAL LLC"/>
    <x v="6"/>
  </r>
  <r>
    <x v="111"/>
    <n v="682495113.16999996"/>
    <s v="FRANKLIN AMERICAN MORTGAGE COMPANY"/>
    <x v="7"/>
  </r>
  <r>
    <x v="111"/>
    <n v="590619084"/>
    <s v="PROVIDENT FUNDING"/>
    <x v="8"/>
  </r>
  <r>
    <x v="111"/>
    <n v="590327879.88"/>
    <s v="NATIONSTAR"/>
    <x v="9"/>
  </r>
  <r>
    <x v="112"/>
    <n v="2937092069.1399999"/>
    <s v="QUICKEN"/>
    <x v="0"/>
  </r>
  <r>
    <x v="112"/>
    <n v="1280909257.0799999"/>
    <s v="PINGORA LOAN SERVICING, INC."/>
    <x v="1"/>
  </r>
  <r>
    <x v="112"/>
    <n v="1252047304.03"/>
    <s v="PENNYMAC CORP."/>
    <x v="2"/>
  </r>
  <r>
    <x v="112"/>
    <n v="1159450901.5999999"/>
    <s v="FLAGSTAR"/>
    <x v="3"/>
  </r>
  <r>
    <x v="112"/>
    <n v="741914214.44000006"/>
    <s v="MATRIX FINANCIAL SERVICES CORPORATION"/>
    <x v="4"/>
  </r>
  <r>
    <x v="112"/>
    <n v="686830333.96000004"/>
    <s v="NATIONSTAR"/>
    <x v="5"/>
  </r>
  <r>
    <x v="112"/>
    <n v="675595998.90999997"/>
    <s v="DITECH FINANCIAL LLC"/>
    <x v="6"/>
  </r>
  <r>
    <x v="112"/>
    <n v="661831657"/>
    <s v="PROVIDENT FUNDING"/>
    <x v="7"/>
  </r>
  <r>
    <x v="112"/>
    <n v="608231552.84000003"/>
    <s v="LAKEVIEW LOAN SERVICING, LLC"/>
    <x v="8"/>
  </r>
  <r>
    <x v="112"/>
    <n v="605365273.25999999"/>
    <s v="FREEDOM"/>
    <x v="9"/>
  </r>
  <r>
    <x v="113"/>
    <n v="3521031350.4699998"/>
    <s v="QUICKEN"/>
    <x v="0"/>
  </r>
  <r>
    <x v="113"/>
    <n v="1639829066.8599999"/>
    <s v="PENNYMAC CORP."/>
    <x v="1"/>
  </r>
  <r>
    <x v="113"/>
    <n v="1060765909.2"/>
    <s v="PINGORA LOAN SERVICING, INC."/>
    <x v="2"/>
  </r>
  <r>
    <x v="113"/>
    <n v="841702871.71000004"/>
    <s v="FLAGSTAR"/>
    <x v="3"/>
  </r>
  <r>
    <x v="113"/>
    <n v="578879231.61000001"/>
    <s v="UNITED SHORE FINANCIAL SERVICES, LLC"/>
    <x v="4"/>
  </r>
  <r>
    <x v="113"/>
    <n v="577145174.16999996"/>
    <s v="DITECH FINANCIAL LLC"/>
    <x v="5"/>
  </r>
  <r>
    <x v="113"/>
    <n v="491165584.95999998"/>
    <s v="FRANKLIN AMERICAN MORTGAGE COMPANY"/>
    <x v="6"/>
  </r>
  <r>
    <x v="113"/>
    <n v="491075236.74000001"/>
    <s v="NATIONSTAR"/>
    <x v="7"/>
  </r>
  <r>
    <x v="113"/>
    <n v="463308992.93000001"/>
    <s v="MATRIX FINANCIAL SERVICES CORPORATION"/>
    <x v="8"/>
  </r>
  <r>
    <x v="113"/>
    <n v="460683093.31"/>
    <s v="US BANK"/>
    <x v="9"/>
  </r>
  <r>
    <x v="114"/>
    <n v="2850720746.8800001"/>
    <s v="QUICKEN"/>
    <x v="0"/>
  </r>
  <r>
    <x v="114"/>
    <n v="1449026969.2"/>
    <s v="PINGORA LOAN SERVICING, INC."/>
    <x v="1"/>
  </r>
  <r>
    <x v="114"/>
    <n v="1409152291.52"/>
    <s v="PENNYMAC CORP."/>
    <x v="2"/>
  </r>
  <r>
    <x v="114"/>
    <n v="1227428800"/>
    <s v="WALKER&amp;DUNLOP"/>
    <x v="3"/>
  </r>
  <r>
    <x v="114"/>
    <n v="763646125.83000004"/>
    <s v="DITECH FINANCIAL LLC"/>
    <x v="4"/>
  </r>
  <r>
    <x v="114"/>
    <n v="629803439.12"/>
    <s v="UNITED SHORE FINANCIAL SERVICES, LLC"/>
    <x v="5"/>
  </r>
  <r>
    <x v="114"/>
    <n v="594410978"/>
    <s v="BERKADIA"/>
    <x v="6"/>
  </r>
  <r>
    <x v="114"/>
    <n v="569159098.88999999"/>
    <s v="MATRIX FINANCIAL SERVICES CORPORATION"/>
    <x v="7"/>
  </r>
  <r>
    <x v="114"/>
    <n v="563362241.84000003"/>
    <s v="FLAGSTAR"/>
    <x v="8"/>
  </r>
  <r>
    <x v="114"/>
    <n v="471926954.41000003"/>
    <s v="NATIONSTAR"/>
    <x v="9"/>
  </r>
  <r>
    <x v="115"/>
    <n v="3389580074.46"/>
    <s v="QUICKEN"/>
    <x v="0"/>
  </r>
  <r>
    <x v="115"/>
    <n v="2310975761.7399998"/>
    <s v="PINGORA LOAN SERVICING, INC."/>
    <x v="1"/>
  </r>
  <r>
    <x v="115"/>
    <n v="2091490885.27"/>
    <s v="PENNYMAC CORP."/>
    <x v="2"/>
  </r>
  <r>
    <x v="115"/>
    <n v="1014315366.6799999"/>
    <s v="FLAGSTAR"/>
    <x v="3"/>
  </r>
  <r>
    <x v="115"/>
    <n v="928880827.73000002"/>
    <s v="FRANKLIN AMERICAN MORTGAGE COMPANY"/>
    <x v="4"/>
  </r>
  <r>
    <x v="115"/>
    <n v="738496827.55999994"/>
    <s v="MATRIX FINANCIAL SERVICES CORPORATION"/>
    <x v="5"/>
  </r>
  <r>
    <x v="115"/>
    <n v="642786711.45000005"/>
    <s v="DITECH FINANCIAL LLC"/>
    <x v="6"/>
  </r>
  <r>
    <x v="115"/>
    <n v="553707873.67999995"/>
    <s v="CALIBER HOME LOANS, INC."/>
    <x v="7"/>
  </r>
  <r>
    <x v="115"/>
    <n v="540861196.14999998"/>
    <s v="NATIONSTAR"/>
    <x v="8"/>
  </r>
  <r>
    <x v="115"/>
    <n v="534510587.26999998"/>
    <s v="US BANK"/>
    <x v="9"/>
  </r>
  <r>
    <x v="116"/>
    <n v="3970110275.9699998"/>
    <s v="QUICKEN"/>
    <x v="0"/>
  </r>
  <r>
    <x v="116"/>
    <n v="2048499727.8800001"/>
    <s v="PINGORA LOAN SERVICING, INC."/>
    <x v="1"/>
  </r>
  <r>
    <x v="116"/>
    <n v="1806473209.3499999"/>
    <s v="PENNYMAC CORP."/>
    <x v="2"/>
  </r>
  <r>
    <x v="116"/>
    <n v="907478686.77999997"/>
    <s v="FRANKLIN AMERICAN MORTGAGE COMPANY"/>
    <x v="3"/>
  </r>
  <r>
    <x v="116"/>
    <n v="885487526.19000006"/>
    <s v="UNITED SHORE FINANCIAL SERVICES, LLC"/>
    <x v="4"/>
  </r>
  <r>
    <x v="116"/>
    <n v="807542659"/>
    <s v="PROVIDENT FUNDING"/>
    <x v="5"/>
  </r>
  <r>
    <x v="116"/>
    <n v="775331317.13"/>
    <s v="DITECH FINANCIAL LLC"/>
    <x v="6"/>
  </r>
  <r>
    <x v="116"/>
    <n v="747975500"/>
    <s v="KEYBANK NATIONAL ASSOCIATION"/>
    <x v="7"/>
  </r>
  <r>
    <x v="116"/>
    <n v="718473654.87"/>
    <s v="CALIBER HOME LOANS, INC."/>
    <x v="8"/>
  </r>
  <r>
    <x v="116"/>
    <n v="707360349.78999996"/>
    <s v="FLAGSTAR"/>
    <x v="9"/>
  </r>
  <r>
    <x v="117"/>
    <n v="4032757087.1700001"/>
    <s v="QUICKEN"/>
    <x v="0"/>
  </r>
  <r>
    <x v="117"/>
    <n v="2465426133.2399998"/>
    <s v="PINGORA LOAN SERVICING, INC."/>
    <x v="1"/>
  </r>
  <r>
    <x v="117"/>
    <n v="2236922873.8899999"/>
    <s v="PENNYMAC CORP."/>
    <x v="2"/>
  </r>
  <r>
    <x v="117"/>
    <n v="1572520947.6900001"/>
    <s v="MATRIX FINANCIAL SERVICES CORPORATION"/>
    <x v="3"/>
  </r>
  <r>
    <x v="117"/>
    <n v="1275051663.8699999"/>
    <s v="UNITED SHORE FINANCIAL SERVICES, LLC"/>
    <x v="4"/>
  </r>
  <r>
    <x v="117"/>
    <n v="1158337773.1300001"/>
    <s v="FLAGSTAR"/>
    <x v="5"/>
  </r>
  <r>
    <x v="117"/>
    <n v="997744145.28999996"/>
    <s v="ROUNDPOINT MORTGAGE SERVICING CORPORATIO"/>
    <x v="6"/>
  </r>
  <r>
    <x v="117"/>
    <n v="933775417.88999999"/>
    <s v="FRANKLIN AMERICAN MORTGAGE COMPANY"/>
    <x v="7"/>
  </r>
  <r>
    <x v="117"/>
    <n v="926375125.04999995"/>
    <s v="DITECH FINANCIAL LLC"/>
    <x v="8"/>
  </r>
  <r>
    <x v="117"/>
    <n v="912326168.63"/>
    <s v="LOANDEPOT.COM, LLC"/>
    <x v="9"/>
  </r>
  <r>
    <x v="118"/>
    <n v="3973644841.7199998"/>
    <s v="QUICKEN"/>
    <x v="0"/>
  </r>
  <r>
    <x v="118"/>
    <n v="1887146320.1199999"/>
    <s v="PENNYMAC CORP."/>
    <x v="1"/>
  </r>
  <r>
    <x v="118"/>
    <n v="1306438150.1600001"/>
    <s v="FLAGSTAR"/>
    <x v="2"/>
  </r>
  <r>
    <x v="118"/>
    <n v="1102868954.6099999"/>
    <s v="LOANDEPOT.COM, LLC"/>
    <x v="3"/>
  </r>
  <r>
    <x v="118"/>
    <n v="1068418382.22"/>
    <s v="MATRIX FINANCIAL SERVICES CORPORATION"/>
    <x v="4"/>
  </r>
  <r>
    <x v="118"/>
    <n v="999132343.71000004"/>
    <s v="NATIONSTAR"/>
    <x v="5"/>
  </r>
  <r>
    <x v="118"/>
    <n v="974653528.35000002"/>
    <s v="DITECH FINANCIAL LLC"/>
    <x v="6"/>
  </r>
  <r>
    <x v="118"/>
    <n v="966244629.35000002"/>
    <s v="UNITED SHORE FINANCIAL SERVICES, LLC"/>
    <x v="7"/>
  </r>
  <r>
    <x v="118"/>
    <n v="905624217.00999999"/>
    <s v="US BANK"/>
    <x v="8"/>
  </r>
  <r>
    <x v="118"/>
    <n v="822272632.26999998"/>
    <s v="FRANKLIN AMERICAN MORTGAGE COMPANY"/>
    <x v="9"/>
  </r>
  <r>
    <x v="119"/>
    <n v="4894612850.8900003"/>
    <s v="QUICKEN"/>
    <x v="0"/>
  </r>
  <r>
    <x v="119"/>
    <n v="2872194376.46"/>
    <s v="PINGORA LOAN SERVICING, INC."/>
    <x v="1"/>
  </r>
  <r>
    <x v="119"/>
    <n v="2456861976.6999998"/>
    <s v="MATRIX FINANCIAL SERVICES CORPORATION"/>
    <x v="2"/>
  </r>
  <r>
    <x v="119"/>
    <n v="2437851866.73"/>
    <s v="PENNYMAC CORP."/>
    <x v="3"/>
  </r>
  <r>
    <x v="119"/>
    <n v="1516841339.9000001"/>
    <s v="UNITED SHORE FINANCIAL SERVICES, LLC"/>
    <x v="4"/>
  </r>
  <r>
    <x v="119"/>
    <n v="1181484459.8"/>
    <s v="DITECH FINANCIAL LLC"/>
    <x v="5"/>
  </r>
  <r>
    <x v="119"/>
    <n v="1123881050.79"/>
    <s v="FLAGSTAR"/>
    <x v="6"/>
  </r>
  <r>
    <x v="119"/>
    <n v="1051252863.46"/>
    <s v="LOANDEPOT.COM, LLC"/>
    <x v="7"/>
  </r>
  <r>
    <x v="119"/>
    <n v="975055034.07000005"/>
    <s v="ROUNDPOINT MORTGAGE SERVICING CORPORATIO"/>
    <x v="8"/>
  </r>
  <r>
    <x v="119"/>
    <n v="939219401.29999995"/>
    <s v="NATIONSTAR"/>
    <x v="9"/>
  </r>
  <r>
    <x v="120"/>
    <n v="3315349330.7399998"/>
    <s v="QUICKEN"/>
    <x v="0"/>
  </r>
  <r>
    <x v="120"/>
    <n v="1977277425.4400001"/>
    <s v="MATRIX FINANCIAL SERVICES CORPORATION"/>
    <x v="1"/>
  </r>
  <r>
    <x v="120"/>
    <n v="1655969125.1800001"/>
    <s v="PINGORA LOAN SERVICING, INC."/>
    <x v="2"/>
  </r>
  <r>
    <x v="120"/>
    <n v="1401511587.6900001"/>
    <s v="PENNYMAC CORP."/>
    <x v="3"/>
  </r>
  <r>
    <x v="120"/>
    <n v="1244035101"/>
    <s v="WALKER&amp;DUNLOP"/>
    <x v="4"/>
  </r>
  <r>
    <x v="120"/>
    <n v="1034321694.63"/>
    <s v="NATIONSTAR"/>
    <x v="5"/>
  </r>
  <r>
    <x v="120"/>
    <n v="986613999.01999998"/>
    <s v="NEW RESIDENTIAL MORTGAGE LLC"/>
    <x v="6"/>
  </r>
  <r>
    <x v="120"/>
    <n v="806085956.25"/>
    <s v="UNITED SHORE FINANCIAL SERVICES, LLC"/>
    <x v="7"/>
  </r>
  <r>
    <x v="120"/>
    <n v="796809466.20000005"/>
    <s v="FREEDOM"/>
    <x v="8"/>
  </r>
  <r>
    <x v="120"/>
    <n v="784903756.13999999"/>
    <s v="FANNIE MAE/SETERUS, INC. AS SUBSERVICER"/>
    <x v="9"/>
  </r>
  <r>
    <x v="121"/>
    <n v="2328517329.25"/>
    <s v="QUICKEN"/>
    <x v="0"/>
  </r>
  <r>
    <x v="121"/>
    <n v="1279868749.28"/>
    <s v="MATRIX FINANCIAL SERVICES CORPORATION"/>
    <x v="1"/>
  </r>
  <r>
    <x v="121"/>
    <n v="1081622457.1099999"/>
    <s v="PENNYMAC CORP."/>
    <x v="2"/>
  </r>
  <r>
    <x v="121"/>
    <n v="974695310.29999995"/>
    <s v="NATIONSTAR"/>
    <x v="3"/>
  </r>
  <r>
    <x v="121"/>
    <n v="794029147.42999995"/>
    <s v="NEW RESIDENTIAL MORTGAGE LLC"/>
    <x v="4"/>
  </r>
  <r>
    <x v="121"/>
    <n v="747663428.07000005"/>
    <s v="US BANK"/>
    <x v="5"/>
  </r>
  <r>
    <x v="121"/>
    <n v="701338239.11000001"/>
    <s v="PINGORA LOAN SERVICING, INC."/>
    <x v="6"/>
  </r>
  <r>
    <x v="121"/>
    <n v="522069750"/>
    <s v="WALKER&amp;DUNLOP"/>
    <x v="7"/>
  </r>
  <r>
    <x v="121"/>
    <n v="521540248.76999998"/>
    <s v="ROUNDPOINT MORTGAGE SERVICING CORPORATIO"/>
    <x v="8"/>
  </r>
  <r>
    <x v="121"/>
    <n v="515631064.81999999"/>
    <s v="FANNIE MAE/SETERUS, INC. AS SUBSERVICER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L3:M145" firstHeaderRow="1" firstDataRow="1" firstDataCol="1" rowPageCount="1" colPageCount="1"/>
  <pivotFields count="4">
    <pivotField showAll="0"/>
    <pivotField axis="axisRow" numFmtId="14"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axis="axisPage" multipleItemSelectionAllowed="1" showAll="0">
      <items count="1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 numFmtId="43"/>
  </dataFields>
  <formats count="1">
    <format dxfId="27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I3:J145" firstHeaderRow="1" firstDataRow="1" firstDataCol="1" rowPageCount="1" colPageCount="1"/>
  <pivotFields count="4">
    <pivotField showAll="0"/>
    <pivotField axis="axisRow" numFmtId="14"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 numFmtId="43"/>
  </dataFields>
  <formats count="1">
    <format dxfId="28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E3:F145" firstHeaderRow="1" firstDataRow="1" firstDataCol="1"/>
  <pivotFields count="4">
    <pivotField showAll="0"/>
    <pivotField axis="axisRow" numFmtId="14"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showAll="0"/>
  </pivotFields>
  <rowFields count="1">
    <field x="1"/>
  </rowFields>
  <rowItems count="1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dataFields count="1">
    <dataField name="Sum of TotalBalance" fld="2" baseField="0" baseItem="0" numFmtId="43"/>
  </dataFields>
  <formats count="1">
    <format dxfId="29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26" firstHeaderRow="1" firstDataRow="1" firstDataCol="1" rowPageCount="1" colPageCount="1"/>
  <pivotFields count="4">
    <pivotField axis="axisRow" numFmtId="14" showAll="0">
      <items count="1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dataField="1"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1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 t="grand">
      <x/>
    </i>
  </rowItems>
  <colItems count="1">
    <i/>
  </colItems>
  <pageFields count="1">
    <pageField fld="3" item="0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26" firstHeaderRow="1" firstDataRow="1" firstDataCol="1" rowPageCount="1" colPageCount="1"/>
  <pivotFields count="4">
    <pivotField axis="axisRow" numFmtId="14" showAll="0">
      <items count="1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dataField="1" showAll="0"/>
    <pivotField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0"/>
  </rowFields>
  <rowItems count="1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 t="grand">
      <x/>
    </i>
  </rowItems>
  <colItems count="1">
    <i/>
  </colItems>
  <pageFields count="1">
    <pageField fld="3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26" firstHeaderRow="1" firstDataRow="1" firstDataCol="1"/>
  <pivotFields count="4">
    <pivotField axis="axisRow" numFmtId="14" showAll="0">
      <items count="1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dataField="1" showAll="0"/>
    <pivotField showAll="0"/>
    <pivotField showAll="0"/>
  </pivotFields>
  <rowFields count="1">
    <field x="0"/>
  </rowFields>
  <rowItems count="1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 t="grand">
      <x/>
    </i>
  </rowItems>
  <colItems count="1">
    <i/>
  </colItem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10">
    <queryTableFields count="12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8" dataBound="0" tableColumnId="8"/>
      <queryTableField id="67" dataBound="0" tableColumnId="9"/>
      <queryTableField id="66" dataBound="0" tableColumnId="10"/>
      <queryTableField id="65" dataBound="0" tableColumnId="11"/>
      <queryTableField id="70" dataBound="0" tableColumnId="13"/>
    </queryTableFields>
  </queryTableRefresh>
</queryTable>
</file>

<file path=xl/queryTables/queryTable2.xml><?xml version="1.0" encoding="utf-8"?>
<queryTable xmlns="http://schemas.openxmlformats.org/spreadsheetml/2006/main" name="temp_6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mp_8" connectionId="1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_9" connectionId="1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4" backgroundRefresh="0" adjustColumnWidth="0" connectionId="10" autoFormatId="16" applyNumberFormats="0" applyBorderFormats="0" applyFontFormats="0" applyPatternFormats="0" applyAlignmentFormats="0" applyWidthHeightFormats="0">
  <queryTableRefresh nextId="69" unboundColumnsRight="9">
    <queryTableFields count="11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5" dataBound="0" tableColumnId="8"/>
      <queryTableField id="66" dataBound="0" tableColumnId="9"/>
      <queryTableField id="67" dataBound="0" tableColumnId="10"/>
      <queryTableField id="68" dataBound="0" tableColumnId="11"/>
    </queryTableFields>
  </queryTableRefresh>
</queryTable>
</file>

<file path=xl/queryTables/queryTable7.xml><?xml version="1.0" encoding="utf-8"?>
<queryTable xmlns="http://schemas.openxmlformats.org/spreadsheetml/2006/main" name="Query from Agency_5" backgroundRefresh="0" adjustColumnWidth="0" connectionId="3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8.xml><?xml version="1.0" encoding="utf-8"?>
<queryTable xmlns="http://schemas.openxmlformats.org/spreadsheetml/2006/main" name="Query from Agency_6" backgroundRefresh="0" adjustColumnWidth="0" connectionId="8" autoFormatId="16" applyNumberFormats="0" applyBorderFormats="0" applyFontFormats="0" applyPatternFormats="0" applyAlignmentFormats="0" applyWidthHeightFormats="0">
  <queryTableRefresh nextId="62">
    <queryTableFields count="4">
      <queryTableField id="57" name="asOf" tableColumnId="2"/>
      <queryTableField id="58" name="TotalBalance" tableColumnId="3"/>
      <queryTableField id="60" name="servicerName" tableColumnId="1"/>
      <queryTableField id="61" name="Rank" tableColumnId="4"/>
    </queryTableFields>
  </queryTableRefresh>
</queryTable>
</file>

<file path=xl/queryTables/queryTable9.xml><?xml version="1.0" encoding="utf-8"?>
<queryTable xmlns="http://schemas.openxmlformats.org/spreadsheetml/2006/main" name="Query from Agency_8" backgroundRefresh="0" adjustColumnWidth="0" connectionId="6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3" name="CurrentMtgRatesDataTable934" displayName="CurrentMtgRatesDataTable934" ref="C3:N100" tableType="queryTable" totalsRowShown="0" headerRowDxfId="43" dataDxfId="42">
  <tableColumns count="12">
    <tableColumn id="2" uniqueName="2" name="asOf" queryTableFieldId="57" dataDxfId="41"/>
    <tableColumn id="3" uniqueName="3" name="TotalBalance" queryTableFieldId="58" dataDxfId="40" dataCellStyle="Normal 2 7"/>
    <tableColumn id="1" uniqueName="1" name="Total Amount" queryTableFieldId="60" dataDxfId="39">
      <calculatedColumnFormula>IF(C4&lt;=DateToChangeLag,VLOOKUP(C4,'Result-lag'!$C$4:$H$100,2,0),VLOOKUP(C4,CurrentMtgRatesDataTable8[],2,0))</calculatedColumnFormula>
    </tableColumn>
    <tableColumn id="4" uniqueName="4" name="Top 10 Amount" queryTableFieldId="61" dataDxfId="38">
      <calculatedColumnFormula>IF($C4&lt;=DateToChangeLag,VLOOKUP($C4,'Result-lag'!$C$4:$I$100,3,0),VLOOKUP($C4,CurrentMtgRatesDataTable8[],3,0))</calculatedColumnFormula>
    </tableColumn>
    <tableColumn id="5" uniqueName="5" name="Top 5 Amount" queryTableFieldId="62" dataDxfId="37">
      <calculatedColumnFormula>IF($C4&lt;=DateToChangeLag,VLOOKUP($C4,'Result-lag'!$C$4:$I$100,4,0),VLOOKUP($C4,CurrentMtgRatesDataTable8[],4,0))</calculatedColumnFormula>
    </tableColumn>
    <tableColumn id="6" uniqueName="6" name="Top 1 Amount" queryTableFieldId="63" dataDxfId="36">
      <calculatedColumnFormula>IF($C4&lt;=DateToChangeLag,VLOOKUP($C4,'Result-lag'!$C$4:$I$100,5,0),VLOOKUP($C4,CurrentMtgRatesDataTable8[],5,0))</calculatedColumnFormula>
    </tableColumn>
    <tableColumn id="7" uniqueName="7" name="N/A Amount" queryTableFieldId="64" dataDxfId="35">
      <calculatedColumnFormula>IF($C4&lt;=DateToChangeLag,VLOOKUP($C4,'Result-lag'!$C$4:$I$100,6,0),VLOOKUP($C4,CurrentMtgRatesDataTable8[],6,0))</calculatedColumnFormula>
    </tableColumn>
    <tableColumn id="8" uniqueName="8" name="Top 10" queryTableFieldId="68" dataDxfId="34" dataCellStyle="Percent">
      <calculatedColumnFormula>CurrentMtgRatesDataTable934[[#This Row],[Top 10 Amount]]/CurrentMtgRatesDataTable934[[#This Row],[Total Amount]]</calculatedColumnFormula>
    </tableColumn>
    <tableColumn id="9" uniqueName="9" name="Top 5" queryTableFieldId="67" dataDxfId="33" dataCellStyle="Percent">
      <calculatedColumnFormula>CurrentMtgRatesDataTable934[[#This Row],[Top 5 Amount]]/CurrentMtgRatesDataTable934[[#This Row],[Total Amount]]</calculatedColumnFormula>
    </tableColumn>
    <tableColumn id="10" uniqueName="10" name="Top 1" queryTableFieldId="66" dataDxfId="32" dataCellStyle="Percent">
      <calculatedColumnFormula>CurrentMtgRatesDataTable934[[#This Row],[Top 1 Amount]]/CurrentMtgRatesDataTable934[[#This Row],[Total Amount]]</calculatedColumnFormula>
    </tableColumn>
    <tableColumn id="11" uniqueName="11" name="NA" queryTableFieldId="65" dataDxfId="31" dataCellStyle="Percent">
      <calculatedColumnFormula>CurrentMtgRatesDataTable934[[#This Row],[N/A Amount]]/CurrentMtgRatesDataTable934[[#This Row],[Total Amount]]</calculatedColumnFormula>
    </tableColumn>
    <tableColumn id="13" uniqueName="13" name="Lag" queryTableFieldId="70" dataDxfId="30" dataCellStyle="Percent">
      <calculatedColumnFormula>IF(C4&lt;=DateToChangeLag,1,0)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N3:X120" tableType="queryTable" totalsRowShown="0" headerRowDxfId="26" dataDxfId="25">
  <tableColumns count="11">
    <tableColumn id="2" uniqueName="2" name="asOf" queryTableFieldId="57" dataDxfId="14"/>
    <tableColumn id="3" uniqueName="3" name="TotalBalance" queryTableFieldId="58" dataDxfId="13" dataCellStyle="Normal 2 7"/>
    <tableColumn id="1" uniqueName="1" name="Top 10 Amount" queryTableFieldId="60" dataDxfId="12">
      <calculatedColumnFormula>VLOOKUP($N4,'Pivot equal'!C:D,2,0)</calculatedColumnFormula>
    </tableColumn>
    <tableColumn id="4" uniqueName="4" name="Top 5 Amount" queryTableFieldId="61" dataDxfId="11">
      <calculatedColumnFormula>VLOOKUP(N4,'Pivot equal'!G:H,2,0)</calculatedColumnFormula>
    </tableColumn>
    <tableColumn id="5" uniqueName="5" name="Top 1 Amount" queryTableFieldId="62" dataDxfId="10">
      <calculatedColumnFormula>VLOOKUP(N4,'Pivot equal'!K:L,2,0)</calculatedColumnFormula>
    </tableColumn>
    <tableColumn id="6" uniqueName="6" name="Remaining Amount" queryTableFieldId="63" dataDxfId="9">
      <calculatedColumnFormula>VLOOKUP(N4,CurrentMtgRatesDataTable9[],2,0)</calculatedColumnFormula>
    </tableColumn>
    <tableColumn id="7" uniqueName="7" name="N/A Amount" queryTableFieldId="64" dataDxfId="8">
      <calculatedColumnFormula>VLOOKUP(N4,CurrentMtgRatesDataTable93[],2,0)</calculatedColumnFormula>
    </tableColumn>
    <tableColumn id="8" uniqueName="8" name="Top 10" queryTableFieldId="65" dataDxfId="7" dataCellStyle="Percent">
      <calculatedColumnFormula>CurrentMtgRatesDataTable8[[#This Row],[Top 10 Amount]]/CurrentMtgRatesDataTable8[[#This Row],[TotalBalance]]</calculatedColumnFormula>
    </tableColumn>
    <tableColumn id="9" uniqueName="9" name="Top 5" queryTableFieldId="66" dataDxfId="6" dataCellStyle="Percent">
      <calculatedColumnFormula>CurrentMtgRatesDataTable8[[#This Row],[Top 5 Amount]]/CurrentMtgRatesDataTable8[[#This Row],[TotalBalance]]</calculatedColumnFormula>
    </tableColumn>
    <tableColumn id="10" uniqueName="10" name="Top 1" queryTableFieldId="67" dataDxfId="5" dataCellStyle="Percent">
      <calculatedColumnFormula>CurrentMtgRatesDataTable8[[#This Row],[Top 1 Amount]]/CurrentMtgRatesDataTable8[[#This Row],[TotalBalance]]</calculatedColumnFormula>
    </tableColumn>
    <tableColumn id="11" uniqueName="11" name="NA" queryTableFieldId="68" dataDxfId="4" dataCellStyle="Percent">
      <calculatedColumnFormula>CurrentMtgRatesDataTable8[[#This Row],[N/A Amount]]/CurrentMtgRatesDataTable8[[#This Row],[TotalBalance]]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8" name="CurrentMtgRatesDataTable9" displayName="CurrentMtgRatesDataTable9" ref="H3:I123" tableType="queryTable" totalsRowShown="0" headerRowDxfId="24" dataDxfId="23">
  <tableColumns count="2">
    <tableColumn id="2" uniqueName="2" name="asOf" queryTableFieldId="57" dataDxfId="3"/>
    <tableColumn id="3" uniqueName="3" name="TotalBalance" queryTableFieldId="58" dataDxfId="2" dataCellStyle="Normal 2 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" displayName="CurrentMtgRatesDataTable82" ref="B3:E1223" tableType="queryTable" totalsRowShown="0" headerRowDxfId="22" dataDxfId="21">
  <tableColumns count="4">
    <tableColumn id="2" uniqueName="2" name="asOf" queryTableFieldId="57" dataDxfId="18"/>
    <tableColumn id="3" uniqueName="3" name="TotalBalance" queryTableFieldId="58" dataDxfId="17" dataCellStyle="Normal 2 7"/>
    <tableColumn id="1" uniqueName="1" name="servicerName" queryTableFieldId="60" dataDxfId="16" dataCellStyle="Normal 2 7"/>
    <tableColumn id="4" uniqueName="4" name="Rank" queryTableFieldId="61" dataDxfId="15" dataCellStyle="Normal 2 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93" displayName="CurrentMtgRatesDataTable93" ref="K3:L122" tableType="queryTable" totalsRowShown="0" headerRowDxfId="20" dataDxfId="19">
  <tableColumns count="2">
    <tableColumn id="2" uniqueName="2" name="asOf" queryTableFieldId="57" dataDxfId="1"/>
    <tableColumn id="3" uniqueName="3" name="TotalBalance" queryTableFieldId="58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tabSelected="1" topLeftCell="C1" zoomScaleNormal="100" workbookViewId="0">
      <selection activeCell="U17" sqref="U17"/>
    </sheetView>
  </sheetViews>
  <sheetFormatPr defaultRowHeight="12.75"/>
  <cols>
    <col min="1" max="1" width="9.140625" style="17" customWidth="1"/>
    <col min="2" max="2" width="9.140625" style="17"/>
    <col min="3" max="11" width="15.7109375" style="17" customWidth="1"/>
    <col min="12" max="14" width="10.28515625" style="17" customWidth="1"/>
    <col min="15" max="15" width="13.140625" style="17" customWidth="1"/>
    <col min="16" max="16" width="15.85546875" style="17" bestFit="1" customWidth="1"/>
    <col min="17" max="17" width="7.5703125" style="17" customWidth="1"/>
    <col min="18" max="18" width="10.28515625" style="17" customWidth="1"/>
    <col min="19" max="19" width="9.140625" style="17"/>
    <col min="20" max="20" width="14.140625" style="17" customWidth="1"/>
    <col min="21" max="21" width="40.85546875" style="17" bestFit="1" customWidth="1"/>
    <col min="22" max="22" width="14.85546875" style="17" bestFit="1" customWidth="1"/>
    <col min="23" max="16384" width="9.140625" style="17"/>
  </cols>
  <sheetData>
    <row r="1" spans="3:23">
      <c r="T1" s="12" t="s">
        <v>75</v>
      </c>
      <c r="U1" s="13" t="s">
        <v>76</v>
      </c>
      <c r="V1" s="17" t="s">
        <v>77</v>
      </c>
      <c r="W1" s="13" t="s">
        <v>78</v>
      </c>
    </row>
    <row r="2" spans="3:23">
      <c r="T2" s="12" t="s">
        <v>79</v>
      </c>
      <c r="U2" s="14">
        <v>42821</v>
      </c>
    </row>
    <row r="3" spans="3:23">
      <c r="T3" s="12" t="s">
        <v>100</v>
      </c>
      <c r="U3" s="38" t="s">
        <v>111</v>
      </c>
    </row>
    <row r="4" spans="3:23">
      <c r="T4" s="12" t="s">
        <v>80</v>
      </c>
      <c r="U4" s="13" t="str">
        <f>PDFReportDir&amp;"Market Concentration - NonBank Lenders " &amp; TEXT(CurrentCloseDate, "yyyy-mm-dd") &amp; ".pdf"</f>
        <v>S:\IT\Production\Daily Reports\Primary Market\tmp\Market Concentration - NonBank Lenders 2017-03-27.pdf</v>
      </c>
    </row>
    <row r="5" spans="3:23">
      <c r="T5" s="24"/>
    </row>
    <row r="6" spans="3:23">
      <c r="T6" s="24"/>
    </row>
    <row r="9" spans="3:23" s="25" customFormat="1"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Q9" s="17"/>
      <c r="R9" s="17"/>
      <c r="T9" s="25" t="s">
        <v>95</v>
      </c>
      <c r="U9" s="31">
        <f>IF(DAY(CurrentCloseDate)&lt;32,(CurrentCloseDate-DAY(CurrentCloseDate))-DAY((CurrentCloseDate-DAY(CurrentCloseDate)))+1,CurrentCloseDate-DAY(CurrentCloseDate)+1)</f>
        <v>42767</v>
      </c>
    </row>
    <row r="10" spans="3:23" s="26" customFormat="1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Q10" s="17"/>
      <c r="R10" s="17"/>
      <c r="T10" s="26" t="s">
        <v>96</v>
      </c>
      <c r="U10" s="32">
        <f>(U9-1)-DAY((U9-1))+1</f>
        <v>42736</v>
      </c>
    </row>
    <row r="11" spans="3:23" s="26" customFormat="1"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Q11" s="17"/>
      <c r="R11" s="17"/>
    </row>
    <row r="12" spans="3:23" s="26" customFormat="1"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Q12" s="17"/>
      <c r="R12" s="17"/>
      <c r="T12" s="26" t="s">
        <v>108</v>
      </c>
      <c r="U12" s="32">
        <v>37773</v>
      </c>
    </row>
    <row r="13" spans="3:23" s="26" customFormat="1"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Q13" s="17"/>
      <c r="R13" s="17"/>
    </row>
    <row r="14" spans="3:23" s="26" customFormat="1"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Q14" s="17"/>
      <c r="R14" s="17"/>
    </row>
    <row r="15" spans="3:23" s="26" customForma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Q15" s="17"/>
      <c r="R15" s="17"/>
    </row>
    <row r="16" spans="3:23" s="26" customFormat="1"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Q16" s="17"/>
      <c r="R16" s="17"/>
    </row>
    <row r="17" spans="3:18" s="26" customFormat="1"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Q17" s="17"/>
      <c r="R17" s="17"/>
    </row>
    <row r="18" spans="3:18" s="26" customFormat="1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Q18" s="17"/>
      <c r="R18" s="17"/>
    </row>
    <row r="19" spans="3:18" s="26" customFormat="1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Q19" s="17"/>
      <c r="R19" s="17"/>
    </row>
    <row r="20" spans="3:18" s="26" customFormat="1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Q20" s="17"/>
      <c r="R20" s="17"/>
    </row>
    <row r="21" spans="3:18" s="26" customFormat="1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Q21" s="17"/>
      <c r="R21" s="17"/>
    </row>
    <row r="39" spans="3:11" ht="15">
      <c r="H39" s="51" t="s">
        <v>112</v>
      </c>
      <c r="I39" s="52">
        <f>U9</f>
        <v>42767</v>
      </c>
    </row>
    <row r="40" spans="3:11">
      <c r="D40" s="20"/>
      <c r="E40" s="21" t="s">
        <v>89</v>
      </c>
      <c r="F40" s="22" t="s">
        <v>90</v>
      </c>
      <c r="G40" s="22" t="s">
        <v>91</v>
      </c>
      <c r="H40" s="22" t="s">
        <v>92</v>
      </c>
      <c r="I40" s="22" t="s">
        <v>93</v>
      </c>
    </row>
    <row r="41" spans="3:11">
      <c r="D41" s="23" t="s">
        <v>86</v>
      </c>
      <c r="E41" s="33">
        <f>'Result Combine'!$J$4</f>
        <v>0.2249275658146232</v>
      </c>
      <c r="F41" s="27">
        <f>'Result Combine'!$J$4-'Result Combine'!$J$5</f>
        <v>-1.3777826594465858E-2</v>
      </c>
      <c r="G41" s="27">
        <f>'Result Combine'!$J$4-'Result Combine'!$J$7</f>
        <v>-4.9576439512342418E-2</v>
      </c>
      <c r="H41" s="27">
        <f>'Result Combine'!$J$4-'Result Combine'!$J$10</f>
        <v>-1.295632782987996E-2</v>
      </c>
      <c r="I41" s="27">
        <f>'Result Combine'!$J$4-'Result Combine'!$J$16</f>
        <v>-2.5623307873494705E-2</v>
      </c>
    </row>
    <row r="42" spans="3:11">
      <c r="D42" s="23" t="s">
        <v>87</v>
      </c>
      <c r="E42" s="33">
        <f>'Result Combine'!$K$4</f>
        <v>0.1617170234822847</v>
      </c>
      <c r="F42" s="27">
        <f>'Result Combine'!$K$4-'Result Combine'!$K$5</f>
        <v>-4.5840051552513139E-3</v>
      </c>
      <c r="G42" s="27">
        <f>'Result Combine'!$K$4-'Result Combine'!$K$7</f>
        <v>-4.4121819101524018E-2</v>
      </c>
      <c r="H42" s="27">
        <f>'Result Combine'!$J$4-'Result Combine'!$J$11</f>
        <v>-4.4968263192679936E-2</v>
      </c>
      <c r="I42" s="27">
        <f>'Result Combine'!$J$4-'Result Combine'!$J$17</f>
        <v>-2.3585077736258647E-2</v>
      </c>
    </row>
    <row r="43" spans="3:11">
      <c r="D43" s="23" t="s">
        <v>88</v>
      </c>
      <c r="E43" s="33">
        <f>'Result Combine'!$L$4</f>
        <v>6.0435622052487828E-2</v>
      </c>
      <c r="F43" s="27">
        <f>'Result Combine'!$L$4-'Result Combine'!$L$5</f>
        <v>-2.0966317192436801E-3</v>
      </c>
      <c r="G43" s="27">
        <f>'Result Combine'!$L$4-'Result Combine'!$L$7</f>
        <v>-2.9760923652158405E-2</v>
      </c>
      <c r="H43" s="27">
        <f>'Result Combine'!$J$4-'Result Combine'!$J$12</f>
        <v>-1.8207463265406704E-2</v>
      </c>
      <c r="I43" s="27">
        <f>'Result Combine'!$J$4-'Result Combine'!$J$18</f>
        <v>-2.5621163834677108E-2</v>
      </c>
      <c r="J43" s="36"/>
    </row>
    <row r="44" spans="3:11">
      <c r="D44" s="34"/>
      <c r="E44" s="35"/>
      <c r="F44" s="35"/>
      <c r="G44" s="36"/>
      <c r="H44" s="36"/>
      <c r="I44" s="36"/>
      <c r="J44" s="36"/>
    </row>
    <row r="47" spans="3:11" ht="15">
      <c r="C47" s="15" t="s">
        <v>98</v>
      </c>
      <c r="E47" s="51" t="s">
        <v>112</v>
      </c>
      <c r="F47" s="52">
        <f>U9</f>
        <v>42767</v>
      </c>
      <c r="H47" s="15" t="s">
        <v>99</v>
      </c>
      <c r="J47" s="51" t="s">
        <v>112</v>
      </c>
      <c r="K47" s="52">
        <f>U10</f>
        <v>42736</v>
      </c>
    </row>
    <row r="48" spans="3:11">
      <c r="C48" s="44" t="s">
        <v>3</v>
      </c>
      <c r="D48" s="45" t="s">
        <v>97</v>
      </c>
      <c r="E48" s="45" t="s">
        <v>94</v>
      </c>
      <c r="F48" s="46" t="s">
        <v>110</v>
      </c>
      <c r="H48" s="44" t="s">
        <v>3</v>
      </c>
      <c r="I48" s="45" t="s">
        <v>97</v>
      </c>
      <c r="J48" s="45" t="s">
        <v>94</v>
      </c>
      <c r="K48" s="46" t="s">
        <v>110</v>
      </c>
    </row>
    <row r="49" spans="3:11">
      <c r="C49" s="44">
        <v>1</v>
      </c>
      <c r="D49" s="47" t="str">
        <f t="array" ref="D49">VLOOKUP(C49&amp;$U$9,IF({1,0},CurrentMtgRatesDataTable82[Rank]&amp;CurrentMtgRatesDataTable82[asOf],CurrentMtgRatesDataTable82[servicerName]),2,0)</f>
        <v>QUICKEN</v>
      </c>
      <c r="E49" s="48">
        <f t="array" ref="E49">VLOOKUP(C49&amp;$U$9,IF({1,0},CurrentMtgRatesDataTable82[Rank]&amp;CurrentMtgRatesDataTable82[asOf],CurrentMtgRatesDataTable82[TotalBalance]),2,0)/VLOOKUP($U$9,CurrentMtgRatesDataTable8[],2,0)</f>
        <v>5.9886129941670974E-2</v>
      </c>
      <c r="F49" s="49">
        <f t="array" ref="F49">VLOOKUP(C49&amp;$U$9,IF({1,0},CurrentMtgRatesDataTable82[Rank]&amp;CurrentMtgRatesDataTable82[asOf],CurrentMtgRatesDataTable82[TotalBalance]),2,0)/1000000</f>
        <v>2328.5173292499999</v>
      </c>
      <c r="H49" s="44">
        <v>1</v>
      </c>
      <c r="I49" s="47" t="str">
        <f t="array" ref="I49">VLOOKUP(C49&amp;$U$10,IF({1,0},CurrentMtgRatesDataTable82[Rank]&amp;CurrentMtgRatesDataTable82[asOf],CurrentMtgRatesDataTable82[servicerName]),2,0)</f>
        <v>QUICKEN</v>
      </c>
      <c r="J49" s="48">
        <f t="array" ref="J49">VLOOKUP(C49&amp;$U$10,IF({1,0},CurrentMtgRatesDataTable82[Rank]&amp;CurrentMtgRatesDataTable82[asOf],CurrentMtgRatesDataTable82[TotalBalance]),2,0)/VLOOKUP($U$10,CurrentMtgRatesDataTable8[],2,0)</f>
        <v>5.4764801029785419E-2</v>
      </c>
      <c r="K49" s="50">
        <f t="array" ref="K49">VLOOKUP(C49&amp;$U$10,IF({1,0},CurrentMtgRatesDataTable82[Rank]&amp;CurrentMtgRatesDataTable82[asOf],CurrentMtgRatesDataTable82[TotalBalance]),2,0)/1000000</f>
        <v>3315.3493307399999</v>
      </c>
    </row>
    <row r="50" spans="3:11">
      <c r="C50" s="44">
        <v>2</v>
      </c>
      <c r="D50" s="47" t="str">
        <f t="array" ref="D50">VLOOKUP(C50&amp;$U$9,IF({1,0},CurrentMtgRatesDataTable82[Rank]&amp;CurrentMtgRatesDataTable82[asOf],CurrentMtgRatesDataTable82[servicerName]),2,0)</f>
        <v>MATRIX FINANCIAL SERVICES CORPORATION</v>
      </c>
      <c r="E50" s="48">
        <f t="array" ref="E50">VLOOKUP(C50&amp;$U$9,IF({1,0},CurrentMtgRatesDataTable82[Rank]&amp;CurrentMtgRatesDataTable82[asOf],CurrentMtgRatesDataTable82[TotalBalance]),2,0)/VLOOKUP($U$9,CurrentMtgRatesDataTable8[],2,0)</f>
        <v>3.291639072849558E-2</v>
      </c>
      <c r="F50" s="49">
        <f t="array" ref="F50">VLOOKUP(C50&amp;$U$9,IF({1,0},CurrentMtgRatesDataTable82[Rank]&amp;CurrentMtgRatesDataTable82[asOf],CurrentMtgRatesDataTable82[TotalBalance]),2,0)/1000000</f>
        <v>1279.86874928</v>
      </c>
      <c r="H50" s="44">
        <v>2</v>
      </c>
      <c r="I50" s="47" t="str">
        <f t="array" ref="I50">VLOOKUP(C50&amp;$U$10,IF({1,0},CurrentMtgRatesDataTable82[Rank]&amp;CurrentMtgRatesDataTable82[asOf],CurrentMtgRatesDataTable82[servicerName]),2,0)</f>
        <v>MATRIX FINANCIAL SERVICES CORPORATION</v>
      </c>
      <c r="J50" s="48">
        <f t="array" ref="J50">VLOOKUP(C50&amp;$U$10,IF({1,0},CurrentMtgRatesDataTable82[Rank]&amp;CurrentMtgRatesDataTable82[asOf],CurrentMtgRatesDataTable82[TotalBalance]),2,0)/VLOOKUP($U$10,CurrentMtgRatesDataTable8[],2,0)</f>
        <v>3.2661778287097813E-2</v>
      </c>
      <c r="K50" s="50">
        <f t="array" ref="K50">VLOOKUP(C50&amp;$U$10,IF({1,0},CurrentMtgRatesDataTable82[Rank]&amp;CurrentMtgRatesDataTable82[asOf],CurrentMtgRatesDataTable82[TotalBalance]),2,0)/1000000</f>
        <v>1977.2774254400001</v>
      </c>
    </row>
    <row r="51" spans="3:11">
      <c r="C51" s="44">
        <v>3</v>
      </c>
      <c r="D51" s="47" t="str">
        <f t="array" ref="D51">VLOOKUP(C51&amp;$U$9,IF({1,0},CurrentMtgRatesDataTable82[Rank]&amp;CurrentMtgRatesDataTable82[asOf],CurrentMtgRatesDataTable82[servicerName]),2,0)</f>
        <v>PENNYMAC CORP.</v>
      </c>
      <c r="E51" s="48">
        <f t="array" ref="E51">VLOOKUP(C51&amp;$U$9,IF({1,0},CurrentMtgRatesDataTable82[Rank]&amp;CurrentMtgRatesDataTable82[asOf],CurrentMtgRatesDataTable82[TotalBalance]),2,0)/VLOOKUP($U$9,CurrentMtgRatesDataTable8[],2,0)</f>
        <v>2.7817780095792641E-2</v>
      </c>
      <c r="F51" s="49">
        <f t="array" ref="F51">VLOOKUP(C51&amp;$U$9,IF({1,0},CurrentMtgRatesDataTable82[Rank]&amp;CurrentMtgRatesDataTable82[asOf],CurrentMtgRatesDataTable82[TotalBalance]),2,0)/1000000</f>
        <v>1081.6224571099999</v>
      </c>
      <c r="H51" s="44">
        <v>3</v>
      </c>
      <c r="I51" s="47" t="str">
        <f t="array" ref="I51">VLOOKUP(C51&amp;$U$10,IF({1,0},CurrentMtgRatesDataTable82[Rank]&amp;CurrentMtgRatesDataTable82[asOf],CurrentMtgRatesDataTable82[servicerName]),2,0)</f>
        <v>PINGORA LOAN SERVICING, INC.</v>
      </c>
      <c r="J51" s="48">
        <f t="array" ref="J51">VLOOKUP(C51&amp;$U$10,IF({1,0},CurrentMtgRatesDataTable82[Rank]&amp;CurrentMtgRatesDataTable82[asOf],CurrentMtgRatesDataTable82[TotalBalance]),2,0)/VLOOKUP($U$10,CurrentMtgRatesDataTable8[],2,0)</f>
        <v>2.7354227444776811E-2</v>
      </c>
      <c r="K51" s="50">
        <f t="array" ref="K51">VLOOKUP(C51&amp;$U$10,IF({1,0},CurrentMtgRatesDataTable82[Rank]&amp;CurrentMtgRatesDataTable82[asOf],CurrentMtgRatesDataTable82[TotalBalance]),2,0)/1000000</f>
        <v>1655.96912518</v>
      </c>
    </row>
    <row r="52" spans="3:11">
      <c r="C52" s="44">
        <v>4</v>
      </c>
      <c r="D52" s="47" t="str">
        <f t="array" ref="D52">VLOOKUP(C52&amp;$U$9,IF({1,0},CurrentMtgRatesDataTable82[Rank]&amp;CurrentMtgRatesDataTable82[asOf],CurrentMtgRatesDataTable82[servicerName]),2,0)</f>
        <v>NATIONSTAR</v>
      </c>
      <c r="E52" s="48">
        <f t="array" ref="E52">VLOOKUP(C52&amp;$U$9,IF({1,0},CurrentMtgRatesDataTable82[Rank]&amp;CurrentMtgRatesDataTable82[asOf],CurrentMtgRatesDataTable82[TotalBalance]),2,0)/VLOOKUP($U$9,CurrentMtgRatesDataTable8[],2,0)</f>
        <v>2.5067767060580105E-2</v>
      </c>
      <c r="F52" s="49">
        <f t="array" ref="F52">VLOOKUP(C52&amp;$U$9,IF({1,0},CurrentMtgRatesDataTable82[Rank]&amp;CurrentMtgRatesDataTable82[asOf],CurrentMtgRatesDataTable82[TotalBalance]),2,0)/1000000</f>
        <v>974.69531029999996</v>
      </c>
      <c r="H52" s="44">
        <v>4</v>
      </c>
      <c r="I52" s="47" t="str">
        <f t="array" ref="I52">VLOOKUP(C52&amp;$U$10,IF({1,0},CurrentMtgRatesDataTable82[Rank]&amp;CurrentMtgRatesDataTable82[asOf],CurrentMtgRatesDataTable82[servicerName]),2,0)</f>
        <v>PENNYMAC CORP.</v>
      </c>
      <c r="J52" s="48">
        <f t="array" ref="J52">VLOOKUP(C52&amp;$U$10,IF({1,0},CurrentMtgRatesDataTable82[Rank]&amp;CurrentMtgRatesDataTable82[asOf],CurrentMtgRatesDataTable82[TotalBalance]),2,0)/VLOOKUP($U$10,CurrentMtgRatesDataTable8[],2,0)</f>
        <v>2.3150955022784827E-2</v>
      </c>
      <c r="K52" s="50">
        <f t="array" ref="K52">VLOOKUP(C52&amp;$U$10,IF({1,0},CurrentMtgRatesDataTable82[Rank]&amp;CurrentMtgRatesDataTable82[asOf],CurrentMtgRatesDataTable82[TotalBalance]),2,0)/1000000</f>
        <v>1401.5115876900002</v>
      </c>
    </row>
    <row r="53" spans="3:11">
      <c r="C53" s="44">
        <v>5</v>
      </c>
      <c r="D53" s="47" t="str">
        <f t="array" ref="D53">VLOOKUP(C53&amp;$U$9,IF({1,0},CurrentMtgRatesDataTable82[Rank]&amp;CurrentMtgRatesDataTable82[asOf],CurrentMtgRatesDataTable82[servicerName]),2,0)</f>
        <v>NEW RESIDENTIAL MORTGAGE LLC</v>
      </c>
      <c r="E53" s="48">
        <f t="array" ref="E53">VLOOKUP(C53&amp;$U$9,IF({1,0},CurrentMtgRatesDataTable82[Rank]&amp;CurrentMtgRatesDataTable82[asOf],CurrentMtgRatesDataTable82[TotalBalance]),2,0)/VLOOKUP($U$9,CurrentMtgRatesDataTable8[],2,0)</f>
        <v>2.0421292168687946E-2</v>
      </c>
      <c r="F53" s="49">
        <f t="array" ref="F53">VLOOKUP(C53&amp;$U$9,IF({1,0},CurrentMtgRatesDataTable82[Rank]&amp;CurrentMtgRatesDataTable82[asOf],CurrentMtgRatesDataTable82[TotalBalance]),2,0)/1000000</f>
        <v>794.02914742999997</v>
      </c>
      <c r="H53" s="44">
        <v>5</v>
      </c>
      <c r="I53" s="47" t="str">
        <f t="array" ref="I53">VLOOKUP(C53&amp;$U$10,IF({1,0},CurrentMtgRatesDataTable82[Rank]&amp;CurrentMtgRatesDataTable82[asOf],CurrentMtgRatesDataTable82[servicerName]),2,0)</f>
        <v>WALKER&amp;DUNLOP</v>
      </c>
      <c r="J53" s="48">
        <f t="array" ref="J53">VLOOKUP(C53&amp;$U$10,IF({1,0},CurrentMtgRatesDataTable82[Rank]&amp;CurrentMtgRatesDataTable82[asOf],CurrentMtgRatesDataTable82[TotalBalance]),2,0)/VLOOKUP($U$10,CurrentMtgRatesDataTable8[],2,0)</f>
        <v>2.0549670029832802E-2</v>
      </c>
      <c r="K53" s="50">
        <f t="array" ref="K53">VLOOKUP(C53&amp;$U$10,IF({1,0},CurrentMtgRatesDataTable82[Rank]&amp;CurrentMtgRatesDataTable82[asOf],CurrentMtgRatesDataTable82[TotalBalance]),2,0)/1000000</f>
        <v>1244.0351009999999</v>
      </c>
    </row>
    <row r="54" spans="3:11">
      <c r="C54" s="44">
        <v>6</v>
      </c>
      <c r="D54" s="47" t="str">
        <f t="array" ref="D54">VLOOKUP(C54&amp;$U$9,IF({1,0},CurrentMtgRatesDataTable82[Rank]&amp;CurrentMtgRatesDataTable82[asOf],CurrentMtgRatesDataTable82[servicerName]),2,0)</f>
        <v>US BANK</v>
      </c>
      <c r="E54" s="48">
        <f t="array" ref="E54">VLOOKUP(C54&amp;$U$9,IF({1,0},CurrentMtgRatesDataTable82[Rank]&amp;CurrentMtgRatesDataTable82[asOf],CurrentMtgRatesDataTable82[TotalBalance]),2,0)/VLOOKUP($U$9,CurrentMtgRatesDataTable8[],2,0)</f>
        <v>1.9228832288938479E-2</v>
      </c>
      <c r="F54" s="49">
        <f t="array" ref="F54">VLOOKUP(C54&amp;$U$9,IF({1,0},CurrentMtgRatesDataTable82[Rank]&amp;CurrentMtgRatesDataTable82[asOf],CurrentMtgRatesDataTable82[TotalBalance]),2,0)/1000000</f>
        <v>747.66342807000001</v>
      </c>
      <c r="H54" s="44">
        <v>6</v>
      </c>
      <c r="I54" s="47" t="str">
        <f t="array" ref="I54">VLOOKUP(C54&amp;$U$10,IF({1,0},CurrentMtgRatesDataTable82[Rank]&amp;CurrentMtgRatesDataTable82[asOf],CurrentMtgRatesDataTable82[servicerName]),2,0)</f>
        <v>NATIONSTAR</v>
      </c>
      <c r="J54" s="48">
        <f t="array" ref="J54">VLOOKUP(C54&amp;$U$10,IF({1,0},CurrentMtgRatesDataTable82[Rank]&amp;CurrentMtgRatesDataTable82[asOf],CurrentMtgRatesDataTable82[TotalBalance]),2,0)/VLOOKUP($U$10,CurrentMtgRatesDataTable8[],2,0)</f>
        <v>1.7085506278929331E-2</v>
      </c>
      <c r="K54" s="50">
        <f t="array" ref="K54">VLOOKUP(C54&amp;$U$10,IF({1,0},CurrentMtgRatesDataTable82[Rank]&amp;CurrentMtgRatesDataTable82[asOf],CurrentMtgRatesDataTable82[TotalBalance]),2,0)/1000000</f>
        <v>1034.3216946299999</v>
      </c>
    </row>
    <row r="55" spans="3:11">
      <c r="C55" s="44">
        <v>7</v>
      </c>
      <c r="D55" s="47" t="str">
        <f t="array" ref="D55">VLOOKUP(C55&amp;$U$9,IF({1,0},CurrentMtgRatesDataTable82[Rank]&amp;CurrentMtgRatesDataTable82[asOf],CurrentMtgRatesDataTable82[servicerName]),2,0)</f>
        <v>PINGORA LOAN SERVICING, INC.</v>
      </c>
      <c r="E55" s="48">
        <f t="array" ref="E55">VLOOKUP(C55&amp;$U$9,IF({1,0},CurrentMtgRatesDataTable82[Rank]&amp;CurrentMtgRatesDataTable82[asOf],CurrentMtgRatesDataTable82[TotalBalance]),2,0)/VLOOKUP($U$9,CurrentMtgRatesDataTable8[],2,0)</f>
        <v>1.8037414793014329E-2</v>
      </c>
      <c r="F55" s="49">
        <f t="array" ref="F55">VLOOKUP(C55&amp;$U$9,IF({1,0},CurrentMtgRatesDataTable82[Rank]&amp;CurrentMtgRatesDataTable82[asOf],CurrentMtgRatesDataTable82[TotalBalance]),2,0)/1000000</f>
        <v>701.33823911000002</v>
      </c>
      <c r="H55" s="44">
        <v>7</v>
      </c>
      <c r="I55" s="47" t="str">
        <f t="array" ref="I55">VLOOKUP(C55&amp;$U$10,IF({1,0},CurrentMtgRatesDataTable82[Rank]&amp;CurrentMtgRatesDataTable82[asOf],CurrentMtgRatesDataTable82[servicerName]),2,0)</f>
        <v>NEW RESIDENTIAL MORTGAGE LLC</v>
      </c>
      <c r="J55" s="48">
        <f t="array" ref="J55">VLOOKUP(C55&amp;$U$10,IF({1,0},CurrentMtgRatesDataTable82[Rank]&amp;CurrentMtgRatesDataTable82[asOf],CurrentMtgRatesDataTable82[TotalBalance]),2,0)/VLOOKUP($U$10,CurrentMtgRatesDataTable8[],2,0)</f>
        <v>1.6297443786254376E-2</v>
      </c>
      <c r="K55" s="50">
        <f t="array" ref="K55">VLOOKUP(C55&amp;$U$10,IF({1,0},CurrentMtgRatesDataTable82[Rank]&amp;CurrentMtgRatesDataTable82[asOf],CurrentMtgRatesDataTable82[TotalBalance]),2,0)/1000000</f>
        <v>986.61399901999994</v>
      </c>
    </row>
    <row r="56" spans="3:11">
      <c r="C56" s="44">
        <v>8</v>
      </c>
      <c r="D56" s="47" t="str">
        <f t="array" ref="D56">VLOOKUP(C56&amp;$U$9,IF({1,0},CurrentMtgRatesDataTable82[Rank]&amp;CurrentMtgRatesDataTable82[asOf],CurrentMtgRatesDataTable82[servicerName]),2,0)</f>
        <v>WALKER&amp;DUNLOP</v>
      </c>
      <c r="E56" s="48">
        <f t="array" ref="E56">VLOOKUP(C56&amp;$U$9,IF({1,0},CurrentMtgRatesDataTable82[Rank]&amp;CurrentMtgRatesDataTable82[asOf],CurrentMtgRatesDataTable82[TotalBalance]),2,0)/VLOOKUP($U$9,CurrentMtgRatesDataTable8[],2,0)</f>
        <v>1.3426886067962329E-2</v>
      </c>
      <c r="F56" s="49">
        <f t="array" ref="F56">VLOOKUP(C56&amp;$U$9,IF({1,0},CurrentMtgRatesDataTable82[Rank]&amp;CurrentMtgRatesDataTable82[asOf],CurrentMtgRatesDataTable82[TotalBalance]),2,0)/1000000</f>
        <v>522.06975</v>
      </c>
      <c r="H56" s="44">
        <v>8</v>
      </c>
      <c r="I56" s="47" t="str">
        <f t="array" ref="I56">VLOOKUP(C56&amp;$U$10,IF({1,0},CurrentMtgRatesDataTable82[Rank]&amp;CurrentMtgRatesDataTable82[asOf],CurrentMtgRatesDataTable82[servicerName]),2,0)</f>
        <v>UNITED SHORE FINANCIAL SERVICES, LLC</v>
      </c>
      <c r="J56" s="48">
        <f t="array" ref="J56">VLOOKUP(C56&amp;$U$10,IF({1,0},CurrentMtgRatesDataTable82[Rank]&amp;CurrentMtgRatesDataTable82[asOf],CurrentMtgRatesDataTable82[TotalBalance]),2,0)/VLOOKUP($U$10,CurrentMtgRatesDataTable8[],2,0)</f>
        <v>1.3315380251975494E-2</v>
      </c>
      <c r="K56" s="50">
        <f t="array" ref="K56">VLOOKUP(C56&amp;$U$10,IF({1,0},CurrentMtgRatesDataTable82[Rank]&amp;CurrentMtgRatesDataTable82[asOf],CurrentMtgRatesDataTable82[TotalBalance]),2,0)/1000000</f>
        <v>806.08595624999998</v>
      </c>
    </row>
    <row r="57" spans="3:11">
      <c r="C57" s="44">
        <v>9</v>
      </c>
      <c r="D57" s="47" t="str">
        <f t="array" ref="D57">VLOOKUP(C57&amp;$U$9,IF({1,0},CurrentMtgRatesDataTable82[Rank]&amp;CurrentMtgRatesDataTable82[asOf],CurrentMtgRatesDataTable82[servicerName]),2,0)</f>
        <v>ROUNDPOINT MORTGAGE SERVICING CORPORATIO</v>
      </c>
      <c r="E57" s="48">
        <f t="array" ref="E57">VLOOKUP(C57&amp;$U$9,IF({1,0},CurrentMtgRatesDataTable82[Rank]&amp;CurrentMtgRatesDataTable82[asOf],CurrentMtgRatesDataTable82[TotalBalance]),2,0)/VLOOKUP($U$9,CurrentMtgRatesDataTable8[],2,0)</f>
        <v>1.341326805487489E-2</v>
      </c>
      <c r="F57" s="49">
        <f t="array" ref="F57">VLOOKUP(C57&amp;$U$9,IF({1,0},CurrentMtgRatesDataTable82[Rank]&amp;CurrentMtgRatesDataTable82[asOf],CurrentMtgRatesDataTable82[TotalBalance]),2,0)/1000000</f>
        <v>521.54024876999995</v>
      </c>
      <c r="H57" s="44">
        <v>9</v>
      </c>
      <c r="I57" s="47" t="str">
        <f t="array" ref="I57">VLOOKUP(C57&amp;$U$10,IF({1,0},CurrentMtgRatesDataTable82[Rank]&amp;CurrentMtgRatesDataTable82[asOf],CurrentMtgRatesDataTable82[servicerName]),2,0)</f>
        <v>FREEDOM</v>
      </c>
      <c r="J57" s="48">
        <f t="array" ref="J57">VLOOKUP(C57&amp;$U$10,IF({1,0},CurrentMtgRatesDataTable82[Rank]&amp;CurrentMtgRatesDataTable82[asOf],CurrentMtgRatesDataTable82[TotalBalance]),2,0)/VLOOKUP($U$10,CurrentMtgRatesDataTable8[],2,0)</f>
        <v>1.3162145982774175E-2</v>
      </c>
      <c r="K57" s="50">
        <f t="array" ref="K57">VLOOKUP(C57&amp;$U$10,IF({1,0},CurrentMtgRatesDataTable82[Rank]&amp;CurrentMtgRatesDataTable82[asOf],CurrentMtgRatesDataTable82[TotalBalance]),2,0)/1000000</f>
        <v>796.80946620000009</v>
      </c>
    </row>
    <row r="58" spans="3:11">
      <c r="C58" s="44">
        <v>10</v>
      </c>
      <c r="D58" s="47" t="str">
        <f t="array" ref="D58">VLOOKUP(C58&amp;$U$9,IF({1,0},CurrentMtgRatesDataTable82[Rank]&amp;CurrentMtgRatesDataTable82[asOf],CurrentMtgRatesDataTable82[servicerName]),2,0)</f>
        <v>FANNIE MAE/SETERUS, INC. AS SUBSERVICER</v>
      </c>
      <c r="E58" s="48">
        <f t="array" ref="E58">VLOOKUP(C58&amp;$U$9,IF({1,0},CurrentMtgRatesDataTable82[Rank]&amp;CurrentMtgRatesDataTable82[asOf],CurrentMtgRatesDataTable82[TotalBalance]),2,0)/VLOOKUP($U$9,CurrentMtgRatesDataTable8[],2,0)</f>
        <v>1.326129230900706E-2</v>
      </c>
      <c r="F58" s="49">
        <f t="array" ref="F58">VLOOKUP(C58&amp;$U$9,IF({1,0},CurrentMtgRatesDataTable82[Rank]&amp;CurrentMtgRatesDataTable82[asOf],CurrentMtgRatesDataTable82[TotalBalance]),2,0)/1000000</f>
        <v>515.63106482000001</v>
      </c>
      <c r="H58" s="44">
        <v>10</v>
      </c>
      <c r="I58" s="47" t="str">
        <f t="array" ref="I58">VLOOKUP(C58&amp;$U$10,IF({1,0},CurrentMtgRatesDataTable82[Rank]&amp;CurrentMtgRatesDataTable82[asOf],CurrentMtgRatesDataTable82[servicerName]),2,0)</f>
        <v>FANNIE MAE/SETERUS, INC. AS SUBSERVICER</v>
      </c>
      <c r="J58" s="48">
        <f t="array" ref="J58">VLOOKUP(C58&amp;$U$10,IF({1,0},CurrentMtgRatesDataTable82[Rank]&amp;CurrentMtgRatesDataTable82[asOf],CurrentMtgRatesDataTable82[TotalBalance]),2,0)/VLOOKUP($U$10,CurrentMtgRatesDataTable8[],2,0)</f>
        <v>1.2965480781762405E-2</v>
      </c>
      <c r="K58" s="50">
        <f t="array" ref="K58">VLOOKUP(C58&amp;$U$10,IF({1,0},CurrentMtgRatesDataTable82[Rank]&amp;CurrentMtgRatesDataTable82[asOf],CurrentMtgRatesDataTable82[TotalBalance]),2,0)/1000000</f>
        <v>784.90375614000004</v>
      </c>
    </row>
    <row r="84" spans="16:17">
      <c r="P84" s="28" t="s">
        <v>85</v>
      </c>
      <c r="Q84" s="29" t="s">
        <v>81</v>
      </c>
    </row>
    <row r="85" spans="16:17">
      <c r="Q85" s="29" t="s">
        <v>82</v>
      </c>
    </row>
    <row r="86" spans="16:17">
      <c r="Q86" s="29" t="s">
        <v>83</v>
      </c>
    </row>
    <row r="87" spans="16:17">
      <c r="Q87" s="30" t="s">
        <v>84</v>
      </c>
    </row>
  </sheetData>
  <dataValidations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Concentration: Non-Bank Lenders&amp;R&amp;"-,Bold"&amp;10&amp;K2E398A
As of 03/27/2017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100"/>
  <sheetViews>
    <sheetView workbookViewId="0">
      <selection activeCell="J16" sqref="J16"/>
    </sheetView>
  </sheetViews>
  <sheetFormatPr defaultRowHeight="15"/>
  <cols>
    <col min="5" max="7" width="12" bestFit="1" customWidth="1"/>
    <col min="8" max="9" width="11" bestFit="1" customWidth="1"/>
  </cols>
  <sheetData>
    <row r="3" spans="3:14">
      <c r="C3" s="16" t="s">
        <v>1</v>
      </c>
      <c r="D3" s="16" t="s">
        <v>2</v>
      </c>
      <c r="E3" t="s">
        <v>107</v>
      </c>
      <c r="F3" s="17" t="s">
        <v>101</v>
      </c>
      <c r="G3" s="17" t="s">
        <v>102</v>
      </c>
      <c r="H3" s="17" t="s">
        <v>103</v>
      </c>
      <c r="I3" s="17" t="s">
        <v>105</v>
      </c>
      <c r="J3" s="17" t="s">
        <v>62</v>
      </c>
      <c r="K3" s="17" t="s">
        <v>63</v>
      </c>
      <c r="L3" s="17" t="s">
        <v>64</v>
      </c>
      <c r="M3" s="17" t="s">
        <v>106</v>
      </c>
      <c r="N3" s="39" t="s">
        <v>113</v>
      </c>
    </row>
    <row r="4" spans="3:14">
      <c r="C4" s="37">
        <v>42156</v>
      </c>
      <c r="D4" s="16">
        <v>46670102078.379997</v>
      </c>
      <c r="E4" s="17">
        <f>IF(C4&lt;=DateToChangeLag,VLOOKUP(C4,'Result-lag'!$C$4:$H$100,2,0),VLOOKUP(C4,CurrentMtgRatesDataTable8[],2,0))</f>
        <v>46670102078.379997</v>
      </c>
      <c r="F4" s="17">
        <f>IF($C4&lt;=DateToChangeLag,VLOOKUP($C4,'Result-lag'!$C$4:$I$100,3,0),VLOOKUP($C4,CurrentMtgRatesDataTable8[],3,0))</f>
        <v>10497392456.809999</v>
      </c>
      <c r="G4" s="17">
        <f>IF($C4&lt;=DateToChangeLag,VLOOKUP($C4,'Result-lag'!$C$4:$I$100,4,0),VLOOKUP($C4,CurrentMtgRatesDataTable8[],4,0))</f>
        <v>7547349993.7300014</v>
      </c>
      <c r="H4" s="39">
        <f>IF($C4&lt;=DateToChangeLag,VLOOKUP($C4,'Result-lag'!$C$4:$I$100,5,0),VLOOKUP($C4,CurrentMtgRatesDataTable8[],5,0))</f>
        <v>2820536650.3600001</v>
      </c>
      <c r="I4" s="39">
        <f>IF($C4&lt;=DateToChangeLag,VLOOKUP($C4,'Result-lag'!$C$4:$I$100,6,0),VLOOKUP($C4,CurrentMtgRatesDataTable8[],6,0))</f>
        <v>505993870</v>
      </c>
      <c r="J4" s="40">
        <f>CurrentMtgRatesDataTable934[[#This Row],[Top 10 Amount]]/CurrentMtgRatesDataTable934[[#This Row],[Total Amount]]</f>
        <v>0.2249275658146232</v>
      </c>
      <c r="K4" s="40">
        <f>CurrentMtgRatesDataTable934[[#This Row],[Top 5 Amount]]/CurrentMtgRatesDataTable934[[#This Row],[Total Amount]]</f>
        <v>0.1617170234822847</v>
      </c>
      <c r="L4" s="41">
        <f>CurrentMtgRatesDataTable934[[#This Row],[Top 1 Amount]]/CurrentMtgRatesDataTable934[[#This Row],[Total Amount]]</f>
        <v>6.0435622052487828E-2</v>
      </c>
      <c r="M4" s="40">
        <f>CurrentMtgRatesDataTable934[[#This Row],[N/A Amount]]/CurrentMtgRatesDataTable934[[#This Row],[Total Amount]]</f>
        <v>1.0841927646745013E-2</v>
      </c>
      <c r="N4" s="42">
        <f t="shared" ref="N4:N35" si="0">IF(C4&lt;=DateToChangeLag,1,0)</f>
        <v>0</v>
      </c>
    </row>
    <row r="5" spans="3:14">
      <c r="C5" s="37">
        <v>42125</v>
      </c>
      <c r="D5" s="16">
        <v>44756506739.489998</v>
      </c>
      <c r="E5" s="17">
        <f>IF(C5&lt;=DateToChangeLag,VLOOKUP(C5,'Result-lag'!$C$4:$H$100,2,0),VLOOKUP(C5,CurrentMtgRatesDataTable8[],2,0))</f>
        <v>44756506739.489998</v>
      </c>
      <c r="F5" s="17">
        <f>IF($C5&lt;=DateToChangeLag,VLOOKUP($C5,'Result-lag'!$C$4:$I$100,3,0),VLOOKUP($C5,CurrentMtgRatesDataTable8[],3,0))</f>
        <v>10683619504.109999</v>
      </c>
      <c r="G5" s="17">
        <f>IF($C5&lt;=DateToChangeLag,VLOOKUP($C5,'Result-lag'!$C$4:$I$100,4,0),VLOOKUP($C5,CurrentMtgRatesDataTable8[],4,0))</f>
        <v>7443053109</v>
      </c>
      <c r="H5" s="39">
        <f>IF($C5&lt;=DateToChangeLag,VLOOKUP($C5,'Result-lag'!$C$4:$I$100,5,0),VLOOKUP($C5,CurrentMtgRatesDataTable8[],5,0))</f>
        <v>2798725237.3699999</v>
      </c>
      <c r="I5" s="39">
        <f>IF($C5&lt;=DateToChangeLag,VLOOKUP($C5,'Result-lag'!$C$4:$I$100,6,0),VLOOKUP($C5,CurrentMtgRatesDataTable8[],6,0))</f>
        <v>574678000</v>
      </c>
      <c r="J5" s="40">
        <f>CurrentMtgRatesDataTable934[[#This Row],[Top 10 Amount]]/CurrentMtgRatesDataTable934[[#This Row],[Total Amount]]</f>
        <v>0.23870539240908906</v>
      </c>
      <c r="K5" s="40">
        <f>CurrentMtgRatesDataTable934[[#This Row],[Top 5 Amount]]/CurrentMtgRatesDataTable934[[#This Row],[Total Amount]]</f>
        <v>0.16630102863753601</v>
      </c>
      <c r="L5" s="40">
        <f>CurrentMtgRatesDataTable934[[#This Row],[Top 1 Amount]]/CurrentMtgRatesDataTable934[[#This Row],[Total Amount]]</f>
        <v>6.2532253771731508E-2</v>
      </c>
      <c r="M5" s="40">
        <f>CurrentMtgRatesDataTable934[[#This Row],[N/A Amount]]/CurrentMtgRatesDataTable934[[#This Row],[Total Amount]]</f>
        <v>1.2840099504301672E-2</v>
      </c>
      <c r="N5" s="42">
        <f t="shared" si="0"/>
        <v>0</v>
      </c>
    </row>
    <row r="6" spans="3:14">
      <c r="C6" s="37">
        <v>42095</v>
      </c>
      <c r="D6" s="16">
        <v>51182654442.220001</v>
      </c>
      <c r="E6" s="17">
        <f>IF(C6&lt;=DateToChangeLag,VLOOKUP(C6,'Result-lag'!$C$4:$H$100,2,0),VLOOKUP(C6,CurrentMtgRatesDataTable8[],2,0))</f>
        <v>51182654442.220001</v>
      </c>
      <c r="F6" s="17">
        <f>IF($C6&lt;=DateToChangeLag,VLOOKUP($C6,'Result-lag'!$C$4:$I$100,3,0),VLOOKUP($C6,CurrentMtgRatesDataTable8[],3,0))</f>
        <v>12158309297.25</v>
      </c>
      <c r="G6" s="17">
        <f>IF($C6&lt;=DateToChangeLag,VLOOKUP($C6,'Result-lag'!$C$4:$I$100,4,0),VLOOKUP($C6,CurrentMtgRatesDataTable8[],4,0))</f>
        <v>8162065792.2399998</v>
      </c>
      <c r="H6" s="39">
        <f>IF($C6&lt;=DateToChangeLag,VLOOKUP($C6,'Result-lag'!$C$4:$I$100,5,0),VLOOKUP($C6,CurrentMtgRatesDataTable8[],5,0))</f>
        <v>2942739567.1399999</v>
      </c>
      <c r="I6" s="39">
        <f>IF($C6&lt;=DateToChangeLag,VLOOKUP($C6,'Result-lag'!$C$4:$I$100,6,0),VLOOKUP($C6,CurrentMtgRatesDataTable8[],6,0))</f>
        <v>807228600</v>
      </c>
      <c r="J6" s="40">
        <f>CurrentMtgRatesDataTable934[[#This Row],[Top 10 Amount]]/CurrentMtgRatesDataTable934[[#This Row],[Total Amount]]</f>
        <v>0.23754745488973206</v>
      </c>
      <c r="K6" s="40">
        <f>CurrentMtgRatesDataTable934[[#This Row],[Top 5 Amount]]/CurrentMtgRatesDataTable934[[#This Row],[Total Amount]]</f>
        <v>0.15946937260657593</v>
      </c>
      <c r="L6" s="40">
        <f>CurrentMtgRatesDataTable934[[#This Row],[Top 1 Amount]]/CurrentMtgRatesDataTable934[[#This Row],[Total Amount]]</f>
        <v>5.7494860303934664E-2</v>
      </c>
      <c r="M6" s="40">
        <f>CurrentMtgRatesDataTable934[[#This Row],[N/A Amount]]/CurrentMtgRatesDataTable934[[#This Row],[Total Amount]]</f>
        <v>1.5771526678267124E-2</v>
      </c>
      <c r="N6" s="42">
        <f t="shared" si="0"/>
        <v>0</v>
      </c>
    </row>
    <row r="7" spans="3:14">
      <c r="C7" s="37">
        <v>42064</v>
      </c>
      <c r="D7" s="16">
        <v>44361653084.169998</v>
      </c>
      <c r="E7" s="17">
        <f>IF(C7&lt;=DateToChangeLag,VLOOKUP(C7,'Result-lag'!$C$4:$H$100,2,0),VLOOKUP(C7,CurrentMtgRatesDataTable8[],2,0))</f>
        <v>44361653084.169998</v>
      </c>
      <c r="F7" s="17">
        <f>IF($C7&lt;=DateToChangeLag,VLOOKUP($C7,'Result-lag'!$C$4:$I$100,3,0),VLOOKUP($C7,CurrentMtgRatesDataTable8[],3,0))</f>
        <v>12177451454.530001</v>
      </c>
      <c r="G7" s="17">
        <f>IF($C7&lt;=DateToChangeLag,VLOOKUP($C7,'Result-lag'!$C$4:$I$100,4,0),VLOOKUP($C7,CurrentMtgRatesDataTable8[],4,0))</f>
        <v>9131351325.9500008</v>
      </c>
      <c r="H7" s="39">
        <f>IF($C7&lt;=DateToChangeLag,VLOOKUP($C7,'Result-lag'!$C$4:$I$100,5,0),VLOOKUP($C7,CurrentMtgRatesDataTable8[],5,0))</f>
        <v>4001267869.9400001</v>
      </c>
      <c r="I7" s="39">
        <f>IF($C7&lt;=DateToChangeLag,VLOOKUP($C7,'Result-lag'!$C$4:$I$100,6,0),VLOOKUP($C7,CurrentMtgRatesDataTable8[],6,0))</f>
        <v>524124870</v>
      </c>
      <c r="J7" s="40">
        <f>CurrentMtgRatesDataTable934[[#This Row],[Top 10 Amount]]/CurrentMtgRatesDataTable934[[#This Row],[Total Amount]]</f>
        <v>0.27450400532696562</v>
      </c>
      <c r="K7" s="40">
        <f>CurrentMtgRatesDataTable934[[#This Row],[Top 5 Amount]]/CurrentMtgRatesDataTable934[[#This Row],[Total Amount]]</f>
        <v>0.20583884258380872</v>
      </c>
      <c r="L7" s="40">
        <f>CurrentMtgRatesDataTable934[[#This Row],[Top 1 Amount]]/CurrentMtgRatesDataTable934[[#This Row],[Total Amount]]</f>
        <v>9.0196545704646233E-2</v>
      </c>
      <c r="M7" s="40">
        <f>CurrentMtgRatesDataTable934[[#This Row],[N/A Amount]]/CurrentMtgRatesDataTable934[[#This Row],[Total Amount]]</f>
        <v>1.1814818284736748E-2</v>
      </c>
      <c r="N7" s="42">
        <f t="shared" si="0"/>
        <v>0</v>
      </c>
    </row>
    <row r="8" spans="3:14">
      <c r="C8" s="37">
        <v>42036</v>
      </c>
      <c r="D8" s="16">
        <v>36583983679.550003</v>
      </c>
      <c r="E8" s="39">
        <f>IF(C8&lt;=DateToChangeLag,VLOOKUP(C8,'Result-lag'!$C$4:$H$100,2,0),VLOOKUP(C8,CurrentMtgRatesDataTable8[],2,0))</f>
        <v>36583983679.550003</v>
      </c>
      <c r="F8" s="39">
        <f>IF($C8&lt;=DateToChangeLag,VLOOKUP($C8,'Result-lag'!$C$4:$I$100,3,0),VLOOKUP($C8,CurrentMtgRatesDataTable8[],3,0))</f>
        <v>9419957114.6100006</v>
      </c>
      <c r="G8" s="39">
        <f>IF($C8&lt;=DateToChangeLag,VLOOKUP($C8,'Result-lag'!$C$4:$I$100,4,0),VLOOKUP($C8,CurrentMtgRatesDataTable8[],4,0))</f>
        <v>6812238309.6199999</v>
      </c>
      <c r="H8" s="39">
        <f>IF($C8&lt;=DateToChangeLag,VLOOKUP($C8,'Result-lag'!$C$4:$I$100,5,0),VLOOKUP($C8,CurrentMtgRatesDataTable8[],5,0))</f>
        <v>2391607148.8299999</v>
      </c>
      <c r="I8" s="39">
        <f>IF($C8&lt;=DateToChangeLag,VLOOKUP($C8,'Result-lag'!$C$4:$I$100,6,0),VLOOKUP($C8,CurrentMtgRatesDataTable8[],6,0))</f>
        <v>697783000</v>
      </c>
      <c r="J8" s="40">
        <f>CurrentMtgRatesDataTable934[[#This Row],[Top 10 Amount]]/CurrentMtgRatesDataTable934[[#This Row],[Total Amount]]</f>
        <v>0.25748855556907657</v>
      </c>
      <c r="K8" s="40">
        <f>CurrentMtgRatesDataTable934[[#This Row],[Top 5 Amount]]/CurrentMtgRatesDataTable934[[#This Row],[Total Amount]]</f>
        <v>0.18620821530236897</v>
      </c>
      <c r="L8" s="40">
        <f>CurrentMtgRatesDataTable934[[#This Row],[Top 1 Amount]]/CurrentMtgRatesDataTable934[[#This Row],[Total Amount]]</f>
        <v>6.53730651582069E-2</v>
      </c>
      <c r="M8" s="40">
        <f>CurrentMtgRatesDataTable934[[#This Row],[N/A Amount]]/CurrentMtgRatesDataTable934[[#This Row],[Total Amount]]</f>
        <v>1.9073455917542739E-2</v>
      </c>
      <c r="N8" s="43">
        <f t="shared" si="0"/>
        <v>0</v>
      </c>
    </row>
    <row r="9" spans="3:14">
      <c r="C9" s="37">
        <v>42005</v>
      </c>
      <c r="D9" s="16">
        <v>36980630899.18</v>
      </c>
      <c r="E9" s="39">
        <f>IF(C9&lt;=DateToChangeLag,VLOOKUP(C9,'Result-lag'!$C$4:$H$100,2,0),VLOOKUP(C9,CurrentMtgRatesDataTable8[],2,0))</f>
        <v>36980630899.18</v>
      </c>
      <c r="F9" s="39">
        <f>IF($C9&lt;=DateToChangeLag,VLOOKUP($C9,'Result-lag'!$C$4:$I$100,3,0),VLOOKUP($C9,CurrentMtgRatesDataTable8[],3,0))</f>
        <v>10141267076.969999</v>
      </c>
      <c r="G9" s="39">
        <f>IF($C9&lt;=DateToChangeLag,VLOOKUP($C9,'Result-lag'!$C$4:$I$100,4,0),VLOOKUP($C9,CurrentMtgRatesDataTable8[],4,0))</f>
        <v>7734974738.789999</v>
      </c>
      <c r="H9" s="39">
        <f>IF($C9&lt;=DateToChangeLag,VLOOKUP($C9,'Result-lag'!$C$4:$I$100,5,0),VLOOKUP($C9,CurrentMtgRatesDataTable8[],5,0))</f>
        <v>3191572944.1500001</v>
      </c>
      <c r="I9" s="39">
        <f>IF($C9&lt;=DateToChangeLag,VLOOKUP($C9,'Result-lag'!$C$4:$I$100,6,0),VLOOKUP($C9,CurrentMtgRatesDataTable8[],6,0))</f>
        <v>855334400</v>
      </c>
      <c r="J9" s="40">
        <f>CurrentMtgRatesDataTable934[[#This Row],[Top 10 Amount]]/CurrentMtgRatesDataTable934[[#This Row],[Total Amount]]</f>
        <v>0.27423185679600909</v>
      </c>
      <c r="K9" s="40">
        <f>CurrentMtgRatesDataTable934[[#This Row],[Top 5 Amount]]/CurrentMtgRatesDataTable934[[#This Row],[Total Amount]]</f>
        <v>0.20916286582232194</v>
      </c>
      <c r="L9" s="40">
        <f>CurrentMtgRatesDataTable934[[#This Row],[Top 1 Amount]]/CurrentMtgRatesDataTable934[[#This Row],[Total Amount]]</f>
        <v>8.6303907384683617E-2</v>
      </c>
      <c r="M9" s="40">
        <f>CurrentMtgRatesDataTable934[[#This Row],[N/A Amount]]/CurrentMtgRatesDataTable934[[#This Row],[Total Amount]]</f>
        <v>2.3129253860808687E-2</v>
      </c>
      <c r="N9" s="43">
        <f t="shared" si="0"/>
        <v>0</v>
      </c>
    </row>
    <row r="10" spans="3:14">
      <c r="C10" s="37">
        <v>41974</v>
      </c>
      <c r="D10" s="16">
        <v>44253011751.110001</v>
      </c>
      <c r="E10" s="39">
        <f>IF(C10&lt;=DateToChangeLag,VLOOKUP(C10,'Result-lag'!$C$4:$H$100,2,0),VLOOKUP(C10,CurrentMtgRatesDataTable8[],2,0))</f>
        <v>44253011751.110001</v>
      </c>
      <c r="F10" s="39">
        <f>IF($C10&lt;=DateToChangeLag,VLOOKUP($C10,'Result-lag'!$C$4:$I$100,3,0),VLOOKUP($C10,CurrentMtgRatesDataTable8[],3,0))</f>
        <v>10527078740.85</v>
      </c>
      <c r="G10" s="39">
        <f>IF($C10&lt;=DateToChangeLag,VLOOKUP($C10,'Result-lag'!$C$4:$I$100,4,0),VLOOKUP($C10,CurrentMtgRatesDataTable8[],4,0))</f>
        <v>7543682119.3500004</v>
      </c>
      <c r="H10" s="39">
        <f>IF($C10&lt;=DateToChangeLag,VLOOKUP($C10,'Result-lag'!$C$4:$I$100,5,0),VLOOKUP($C10,CurrentMtgRatesDataTable8[],5,0))</f>
        <v>2066146511.47</v>
      </c>
      <c r="I10" s="39">
        <f>IF($C10&lt;=DateToChangeLag,VLOOKUP($C10,'Result-lag'!$C$4:$I$100,6,0),VLOOKUP($C10,CurrentMtgRatesDataTable8[],6,0))</f>
        <v>624271500</v>
      </c>
      <c r="J10" s="40">
        <f>CurrentMtgRatesDataTable934[[#This Row],[Top 10 Amount]]/CurrentMtgRatesDataTable934[[#This Row],[Total Amount]]</f>
        <v>0.23788389364450316</v>
      </c>
      <c r="K10" s="40">
        <f>CurrentMtgRatesDataTable934[[#This Row],[Top 5 Amount]]/CurrentMtgRatesDataTable934[[#This Row],[Total Amount]]</f>
        <v>0.17046708960234286</v>
      </c>
      <c r="L10" s="40">
        <f>CurrentMtgRatesDataTable934[[#This Row],[Top 1 Amount]]/CurrentMtgRatesDataTable934[[#This Row],[Total Amount]]</f>
        <v>4.6689398748508339E-2</v>
      </c>
      <c r="M10" s="40">
        <f>CurrentMtgRatesDataTable934[[#This Row],[N/A Amount]]/CurrentMtgRatesDataTable934[[#This Row],[Total Amount]]</f>
        <v>1.4106870364237783E-2</v>
      </c>
      <c r="N10" s="43">
        <f t="shared" si="0"/>
        <v>0</v>
      </c>
    </row>
    <row r="11" spans="3:14">
      <c r="C11" s="37">
        <v>41944</v>
      </c>
      <c r="D11" s="16">
        <v>32492729674.279999</v>
      </c>
      <c r="E11" s="39">
        <f>IF(C11&lt;=DateToChangeLag,VLOOKUP(C11,'Result-lag'!$C$4:$H$100,2,0),VLOOKUP(C11,CurrentMtgRatesDataTable8[],2,0))</f>
        <v>32492729674.279999</v>
      </c>
      <c r="F11" s="39">
        <f>IF($C11&lt;=DateToChangeLag,VLOOKUP($C11,'Result-lag'!$C$4:$I$100,3,0),VLOOKUP($C11,CurrentMtgRatesDataTable8[],3,0))</f>
        <v>8769652212.1499996</v>
      </c>
      <c r="G11" s="39">
        <f>IF($C11&lt;=DateToChangeLag,VLOOKUP($C11,'Result-lag'!$C$4:$I$100,4,0),VLOOKUP($C11,CurrentMtgRatesDataTable8[],4,0))</f>
        <v>6696060483.5299997</v>
      </c>
      <c r="H11" s="39">
        <f>IF($C11&lt;=DateToChangeLag,VLOOKUP($C11,'Result-lag'!$C$4:$I$100,5,0),VLOOKUP($C11,CurrentMtgRatesDataTable8[],5,0))</f>
        <v>2775970767.79</v>
      </c>
      <c r="I11" s="39">
        <f>IF($C11&lt;=DateToChangeLag,VLOOKUP($C11,'Result-lag'!$C$4:$I$100,6,0),VLOOKUP($C11,CurrentMtgRatesDataTable8[],6,0))</f>
        <v>831784416</v>
      </c>
      <c r="J11" s="40">
        <f>CurrentMtgRatesDataTable934[[#This Row],[Top 10 Amount]]/CurrentMtgRatesDataTable934[[#This Row],[Total Amount]]</f>
        <v>0.26989582900730313</v>
      </c>
      <c r="K11" s="40">
        <f>CurrentMtgRatesDataTable934[[#This Row],[Top 5 Amount]]/CurrentMtgRatesDataTable934[[#This Row],[Total Amount]]</f>
        <v>0.20607873055461834</v>
      </c>
      <c r="L11" s="40">
        <f>CurrentMtgRatesDataTable934[[#This Row],[Top 1 Amount]]/CurrentMtgRatesDataTable934[[#This Row],[Total Amount]]</f>
        <v>8.5433596857433375E-2</v>
      </c>
      <c r="M11" s="40">
        <f>CurrentMtgRatesDataTable934[[#This Row],[N/A Amount]]/CurrentMtgRatesDataTable934[[#This Row],[Total Amount]]</f>
        <v>2.559909322294977E-2</v>
      </c>
      <c r="N11" s="43">
        <f t="shared" si="0"/>
        <v>0</v>
      </c>
    </row>
    <row r="12" spans="3:14">
      <c r="C12" s="37">
        <v>41913</v>
      </c>
      <c r="D12" s="16">
        <v>40323740351.139999</v>
      </c>
      <c r="E12" s="39">
        <f>IF(C12&lt;=DateToChangeLag,VLOOKUP(C12,'Result-lag'!$C$4:$H$100,2,0),VLOOKUP(C12,CurrentMtgRatesDataTable8[],2,0))</f>
        <v>40323740351.139999</v>
      </c>
      <c r="F12" s="39">
        <f>IF($C12&lt;=DateToChangeLag,VLOOKUP($C12,'Result-lag'!$C$4:$I$100,3,0),VLOOKUP($C12,CurrentMtgRatesDataTable8[],3,0))</f>
        <v>9804113782.8899994</v>
      </c>
      <c r="G12" s="39">
        <f>IF($C12&lt;=DateToChangeLag,VLOOKUP($C12,'Result-lag'!$C$4:$I$100,4,0),VLOOKUP($C12,CurrentMtgRatesDataTable8[],4,0))</f>
        <v>6864424966.8099995</v>
      </c>
      <c r="H12" s="39">
        <f>IF($C12&lt;=DateToChangeLag,VLOOKUP($C12,'Result-lag'!$C$4:$I$100,5,0),VLOOKUP($C12,CurrentMtgRatesDataTable8[],5,0))</f>
        <v>2043426912.0999999</v>
      </c>
      <c r="I12" s="39">
        <f>IF($C12&lt;=DateToChangeLag,VLOOKUP($C12,'Result-lag'!$C$4:$I$100,6,0),VLOOKUP($C12,CurrentMtgRatesDataTable8[],6,0))</f>
        <v>1116288094</v>
      </c>
      <c r="J12" s="40">
        <f>CurrentMtgRatesDataTable934[[#This Row],[Top 10 Amount]]/CurrentMtgRatesDataTable934[[#This Row],[Total Amount]]</f>
        <v>0.2431350290800299</v>
      </c>
      <c r="K12" s="40">
        <f>CurrentMtgRatesDataTable934[[#This Row],[Top 5 Amount]]/CurrentMtgRatesDataTable934[[#This Row],[Total Amount]]</f>
        <v>0.17023284315974757</v>
      </c>
      <c r="L12" s="40">
        <f>CurrentMtgRatesDataTable934[[#This Row],[Top 1 Amount]]/CurrentMtgRatesDataTable934[[#This Row],[Total Amount]]</f>
        <v>5.0675529955946409E-2</v>
      </c>
      <c r="M12" s="40">
        <f>CurrentMtgRatesDataTable934[[#This Row],[N/A Amount]]/CurrentMtgRatesDataTable934[[#This Row],[Total Amount]]</f>
        <v>2.7683148544240668E-2</v>
      </c>
      <c r="N12" s="43">
        <f t="shared" si="0"/>
        <v>0</v>
      </c>
    </row>
    <row r="13" spans="3:14">
      <c r="C13" s="37">
        <v>41883</v>
      </c>
      <c r="D13" s="16">
        <v>40347506692.199997</v>
      </c>
      <c r="E13" s="39">
        <f>IF(C13&lt;=DateToChangeLag,VLOOKUP(C13,'Result-lag'!$C$4:$H$100,2,0),VLOOKUP(C13,CurrentMtgRatesDataTable8[],2,0))</f>
        <v>40347506692.199997</v>
      </c>
      <c r="F13" s="39">
        <f>IF($C13&lt;=DateToChangeLag,VLOOKUP($C13,'Result-lag'!$C$4:$I$100,3,0),VLOOKUP($C13,CurrentMtgRatesDataTable8[],3,0))</f>
        <v>9687840091.9400005</v>
      </c>
      <c r="G13" s="39">
        <f>IF($C13&lt;=DateToChangeLag,VLOOKUP($C13,'Result-lag'!$C$4:$I$100,4,0),VLOOKUP($C13,CurrentMtgRatesDataTable8[],4,0))</f>
        <v>6940203849.5</v>
      </c>
      <c r="H13" s="39">
        <f>IF($C13&lt;=DateToChangeLag,VLOOKUP($C13,'Result-lag'!$C$4:$I$100,5,0),VLOOKUP($C13,CurrentMtgRatesDataTable8[],5,0))</f>
        <v>2398305642.0999999</v>
      </c>
      <c r="I13" s="39">
        <f>IF($C13&lt;=DateToChangeLag,VLOOKUP($C13,'Result-lag'!$C$4:$I$100,6,0),VLOOKUP($C13,CurrentMtgRatesDataTable8[],6,0))</f>
        <v>692754683</v>
      </c>
      <c r="J13" s="40">
        <f>CurrentMtgRatesDataTable934[[#This Row],[Top 10 Amount]]/CurrentMtgRatesDataTable934[[#This Row],[Total Amount]]</f>
        <v>0.24011000644589667</v>
      </c>
      <c r="K13" s="40">
        <f>CurrentMtgRatesDataTable934[[#This Row],[Top 5 Amount]]/CurrentMtgRatesDataTable934[[#This Row],[Total Amount]]</f>
        <v>0.17201072429195938</v>
      </c>
      <c r="L13" s="40">
        <f>CurrentMtgRatesDataTable934[[#This Row],[Top 1 Amount]]/CurrentMtgRatesDataTable934[[#This Row],[Total Amount]]</f>
        <v>5.9441235375360675E-2</v>
      </c>
      <c r="M13" s="40">
        <f>CurrentMtgRatesDataTable934[[#This Row],[N/A Amount]]/CurrentMtgRatesDataTable934[[#This Row],[Total Amount]]</f>
        <v>1.7169702412712498E-2</v>
      </c>
      <c r="N13" s="43">
        <f t="shared" si="0"/>
        <v>0</v>
      </c>
    </row>
    <row r="14" spans="3:14">
      <c r="C14" s="37">
        <v>41852</v>
      </c>
      <c r="D14" s="16">
        <v>34332054961.080002</v>
      </c>
      <c r="E14" s="39">
        <f>IF(C14&lt;=DateToChangeLag,VLOOKUP(C14,'Result-lag'!$C$4:$H$100,2,0),VLOOKUP(C14,CurrentMtgRatesDataTable8[],2,0))</f>
        <v>34332054961.080002</v>
      </c>
      <c r="F14" s="39">
        <f>IF($C14&lt;=DateToChangeLag,VLOOKUP($C14,'Result-lag'!$C$4:$I$100,3,0),VLOOKUP($C14,CurrentMtgRatesDataTable8[],3,0))</f>
        <v>8669561198.7800007</v>
      </c>
      <c r="G14" s="39">
        <f>IF($C14&lt;=DateToChangeLag,VLOOKUP($C14,'Result-lag'!$C$4:$I$100,4,0),VLOOKUP($C14,CurrentMtgRatesDataTable8[],4,0))</f>
        <v>6142389653.3299999</v>
      </c>
      <c r="H14" s="39">
        <f>IF($C14&lt;=DateToChangeLag,VLOOKUP($C14,'Result-lag'!$C$4:$I$100,5,0),VLOOKUP($C14,CurrentMtgRatesDataTable8[],5,0))</f>
        <v>2194803673.75</v>
      </c>
      <c r="I14" s="39">
        <f>IF($C14&lt;=DateToChangeLag,VLOOKUP($C14,'Result-lag'!$C$4:$I$100,6,0),VLOOKUP($C14,CurrentMtgRatesDataTable8[],6,0))</f>
        <v>866330115</v>
      </c>
      <c r="J14" s="40">
        <f>CurrentMtgRatesDataTable934[[#This Row],[Top 10 Amount]]/CurrentMtgRatesDataTable934[[#This Row],[Total Amount]]</f>
        <v>0.2525208936257417</v>
      </c>
      <c r="K14" s="40">
        <f>CurrentMtgRatesDataTable934[[#This Row],[Top 5 Amount]]/CurrentMtgRatesDataTable934[[#This Row],[Total Amount]]</f>
        <v>0.17891121461541479</v>
      </c>
      <c r="L14" s="40">
        <f>CurrentMtgRatesDataTable934[[#This Row],[Top 1 Amount]]/CurrentMtgRatesDataTable934[[#This Row],[Total Amount]]</f>
        <v>6.3928700925071483E-2</v>
      </c>
      <c r="M14" s="40">
        <f>CurrentMtgRatesDataTable934[[#This Row],[N/A Amount]]/CurrentMtgRatesDataTable934[[#This Row],[Total Amount]]</f>
        <v>2.5233855531866696E-2</v>
      </c>
      <c r="N14" s="43">
        <f t="shared" si="0"/>
        <v>0</v>
      </c>
    </row>
    <row r="15" spans="3:14">
      <c r="C15" s="37">
        <v>41821</v>
      </c>
      <c r="D15" s="16">
        <v>36447478522.989998</v>
      </c>
      <c r="E15" s="39">
        <f>IF(C15&lt;=DateToChangeLag,VLOOKUP(C15,'Result-lag'!$C$4:$H$100,2,0),VLOOKUP(C15,CurrentMtgRatesDataTable8[],2,0))</f>
        <v>36447478522.989998</v>
      </c>
      <c r="F15" s="39">
        <f>IF($C15&lt;=DateToChangeLag,VLOOKUP($C15,'Result-lag'!$C$4:$I$100,3,0),VLOOKUP($C15,CurrentMtgRatesDataTable8[],3,0))</f>
        <v>9230604417.6400013</v>
      </c>
      <c r="G15" s="39">
        <f>IF($C15&lt;=DateToChangeLag,VLOOKUP($C15,'Result-lag'!$C$4:$I$100,4,0),VLOOKUP($C15,CurrentMtgRatesDataTable8[],4,0))</f>
        <v>6345781776.54</v>
      </c>
      <c r="H15" s="39">
        <f>IF($C15&lt;=DateToChangeLag,VLOOKUP($C15,'Result-lag'!$C$4:$I$100,5,0),VLOOKUP($C15,CurrentMtgRatesDataTable8[],5,0))</f>
        <v>2307113272.52</v>
      </c>
      <c r="I15" s="39">
        <f>IF($C15&lt;=DateToChangeLag,VLOOKUP($C15,'Result-lag'!$C$4:$I$100,6,0),VLOOKUP($C15,CurrentMtgRatesDataTable8[],6,0))</f>
        <v>766012000</v>
      </c>
      <c r="J15" s="40">
        <f>CurrentMtgRatesDataTable934[[#This Row],[Top 10 Amount]]/CurrentMtgRatesDataTable934[[#This Row],[Total Amount]]</f>
        <v>0.2532576955033421</v>
      </c>
      <c r="K15" s="40">
        <f>CurrentMtgRatesDataTable934[[#This Row],[Top 5 Amount]]/CurrentMtgRatesDataTable934[[#This Row],[Total Amount]]</f>
        <v>0.17410756611152861</v>
      </c>
      <c r="L15" s="40">
        <f>CurrentMtgRatesDataTable934[[#This Row],[Top 1 Amount]]/CurrentMtgRatesDataTable934[[#This Row],[Total Amount]]</f>
        <v>6.3299667521986208E-2</v>
      </c>
      <c r="M15" s="40">
        <f>CurrentMtgRatesDataTable934[[#This Row],[N/A Amount]]/CurrentMtgRatesDataTable934[[#This Row],[Total Amount]]</f>
        <v>2.1016872251308747E-2</v>
      </c>
      <c r="N15" s="43">
        <f t="shared" si="0"/>
        <v>0</v>
      </c>
    </row>
    <row r="16" spans="3:14">
      <c r="C16" s="37">
        <v>41791</v>
      </c>
      <c r="D16" s="16">
        <v>31582304306.349998</v>
      </c>
      <c r="E16" s="39">
        <f>IF(C16&lt;=DateToChangeLag,VLOOKUP(C16,'Result-lag'!$C$4:$H$100,2,0),VLOOKUP(C16,CurrentMtgRatesDataTable8[],2,0))</f>
        <v>31582304306.349998</v>
      </c>
      <c r="F16" s="39">
        <f>IF($C16&lt;=DateToChangeLag,VLOOKUP($C16,'Result-lag'!$C$4:$I$100,3,0),VLOOKUP($C16,CurrentMtgRatesDataTable8[],3,0))</f>
        <v>7912973937.04</v>
      </c>
      <c r="G16" s="39">
        <f>IF($C16&lt;=DateToChangeLag,VLOOKUP($C16,'Result-lag'!$C$4:$I$100,4,0),VLOOKUP($C16,CurrentMtgRatesDataTable8[],4,0))</f>
        <v>5476718213.8299999</v>
      </c>
      <c r="H16" s="39">
        <f>IF($C16&lt;=DateToChangeLag,VLOOKUP($C16,'Result-lag'!$C$4:$I$100,5,0),VLOOKUP($C16,CurrentMtgRatesDataTable8[],5,0))</f>
        <v>1822050222.5</v>
      </c>
      <c r="I16" s="39">
        <f>IF($C16&lt;=DateToChangeLag,VLOOKUP($C16,'Result-lag'!$C$4:$I$100,6,0),VLOOKUP($C16,CurrentMtgRatesDataTable8[],6,0))</f>
        <v>565998636</v>
      </c>
      <c r="J16" s="40">
        <f>CurrentMtgRatesDataTable934[[#This Row],[Top 10 Amount]]/CurrentMtgRatesDataTable934[[#This Row],[Total Amount]]</f>
        <v>0.2505508736881179</v>
      </c>
      <c r="K16" s="40">
        <f>CurrentMtgRatesDataTable934[[#This Row],[Top 5 Amount]]/CurrentMtgRatesDataTable934[[#This Row],[Total Amount]]</f>
        <v>0.1734109759916676</v>
      </c>
      <c r="L16" s="40">
        <f>CurrentMtgRatesDataTable934[[#This Row],[Top 1 Amount]]/CurrentMtgRatesDataTable934[[#This Row],[Total Amount]]</f>
        <v>5.7692124197969145E-2</v>
      </c>
      <c r="M16" s="40">
        <f>CurrentMtgRatesDataTable934[[#This Row],[N/A Amount]]/CurrentMtgRatesDataTable934[[#This Row],[Total Amount]]</f>
        <v>1.7921385042389045E-2</v>
      </c>
      <c r="N16" s="43">
        <f t="shared" si="0"/>
        <v>0</v>
      </c>
    </row>
    <row r="17" spans="3:14">
      <c r="C17" s="37">
        <v>41760</v>
      </c>
      <c r="D17" s="16">
        <v>27487631130.209999</v>
      </c>
      <c r="E17" s="39">
        <f>IF(C17&lt;=DateToChangeLag,VLOOKUP(C17,'Result-lag'!$C$4:$H$100,2,0),VLOOKUP(C17,CurrentMtgRatesDataTable8[],2,0))</f>
        <v>27487631130.209999</v>
      </c>
      <c r="F17" s="39">
        <f>IF($C17&lt;=DateToChangeLag,VLOOKUP($C17,'Result-lag'!$C$4:$I$100,3,0),VLOOKUP($C17,CurrentMtgRatesDataTable8[],3,0))</f>
        <v>6831023877.1200008</v>
      </c>
      <c r="G17" s="39">
        <f>IF($C17&lt;=DateToChangeLag,VLOOKUP($C17,'Result-lag'!$C$4:$I$100,4,0),VLOOKUP($C17,CurrentMtgRatesDataTable8[],4,0))</f>
        <v>4350973743.6000004</v>
      </c>
      <c r="H17" s="39">
        <f>IF($C17&lt;=DateToChangeLag,VLOOKUP($C17,'Result-lag'!$C$4:$I$100,5,0),VLOOKUP($C17,CurrentMtgRatesDataTable8[],5,0))</f>
        <v>1528205247.9400001</v>
      </c>
      <c r="I17" s="39">
        <f>IF($C17&lt;=DateToChangeLag,VLOOKUP($C17,'Result-lag'!$C$4:$I$100,6,0),VLOOKUP($C17,CurrentMtgRatesDataTable8[],6,0))</f>
        <v>603934000</v>
      </c>
      <c r="J17" s="40">
        <f>CurrentMtgRatesDataTable934[[#This Row],[Top 10 Amount]]/CurrentMtgRatesDataTable934[[#This Row],[Total Amount]]</f>
        <v>0.24851264355088185</v>
      </c>
      <c r="K17" s="40">
        <f>CurrentMtgRatesDataTable934[[#This Row],[Top 5 Amount]]/CurrentMtgRatesDataTable934[[#This Row],[Total Amount]]</f>
        <v>0.15828842154455816</v>
      </c>
      <c r="L17" s="40">
        <f>CurrentMtgRatesDataTable934[[#This Row],[Top 1 Amount]]/CurrentMtgRatesDataTable934[[#This Row],[Total Amount]]</f>
        <v>5.5596105779389692E-2</v>
      </c>
      <c r="M17" s="40">
        <f>CurrentMtgRatesDataTable934[[#This Row],[N/A Amount]]/CurrentMtgRatesDataTable934[[#This Row],[Total Amount]]</f>
        <v>2.197111846921769E-2</v>
      </c>
      <c r="N17" s="43">
        <f t="shared" si="0"/>
        <v>0</v>
      </c>
    </row>
    <row r="18" spans="3:14">
      <c r="C18" s="37">
        <v>41730</v>
      </c>
      <c r="D18" s="16">
        <v>27198516722.27</v>
      </c>
      <c r="E18" s="39">
        <f>IF(C18&lt;=DateToChangeLag,VLOOKUP(C18,'Result-lag'!$C$4:$H$100,2,0),VLOOKUP(C18,CurrentMtgRatesDataTable8[],2,0))</f>
        <v>27198516722.27</v>
      </c>
      <c r="F18" s="39">
        <f>IF($C18&lt;=DateToChangeLag,VLOOKUP($C18,'Result-lag'!$C$4:$I$100,3,0),VLOOKUP($C18,CurrentMtgRatesDataTable8[],3,0))</f>
        <v>6814553813.1099997</v>
      </c>
      <c r="G18" s="39">
        <f>IF($C18&lt;=DateToChangeLag,VLOOKUP($C18,'Result-lag'!$C$4:$I$100,4,0),VLOOKUP($C18,CurrentMtgRatesDataTable8[],4,0))</f>
        <v>4880722854.54</v>
      </c>
      <c r="H18" s="39">
        <f>IF($C18&lt;=DateToChangeLag,VLOOKUP($C18,'Result-lag'!$C$4:$I$100,5,0),VLOOKUP($C18,CurrentMtgRatesDataTable8[],5,0))</f>
        <v>1578860937.1900001</v>
      </c>
      <c r="I18" s="39">
        <f>IF($C18&lt;=DateToChangeLag,VLOOKUP($C18,'Result-lag'!$C$4:$I$100,6,0),VLOOKUP($C18,CurrentMtgRatesDataTable8[],6,0))</f>
        <v>800224200</v>
      </c>
      <c r="J18" s="40">
        <f>CurrentMtgRatesDataTable934[[#This Row],[Top 10 Amount]]/CurrentMtgRatesDataTable934[[#This Row],[Total Amount]]</f>
        <v>0.25054872964930031</v>
      </c>
      <c r="K18" s="40">
        <f>CurrentMtgRatesDataTable934[[#This Row],[Top 5 Amount]]/CurrentMtgRatesDataTable934[[#This Row],[Total Amount]]</f>
        <v>0.17944812595400433</v>
      </c>
      <c r="L18" s="40">
        <f>CurrentMtgRatesDataTable934[[#This Row],[Top 1 Amount]]/CurrentMtgRatesDataTable934[[#This Row],[Total Amount]]</f>
        <v>5.8049523557188586E-2</v>
      </c>
      <c r="M18" s="40">
        <f>CurrentMtgRatesDataTable934[[#This Row],[N/A Amount]]/CurrentMtgRatesDataTable934[[#This Row],[Total Amount]]</f>
        <v>2.9421611780203465E-2</v>
      </c>
      <c r="N18" s="43">
        <f t="shared" si="0"/>
        <v>0</v>
      </c>
    </row>
    <row r="19" spans="3:14">
      <c r="C19" s="37">
        <v>41699</v>
      </c>
      <c r="D19" s="16">
        <v>23463509422.790001</v>
      </c>
      <c r="E19" s="39">
        <f>IF(C19&lt;=DateToChangeLag,VLOOKUP(C19,'Result-lag'!$C$4:$H$100,2,0),VLOOKUP(C19,CurrentMtgRatesDataTable8[],2,0))</f>
        <v>23463509422.790001</v>
      </c>
      <c r="F19" s="39">
        <f>IF($C19&lt;=DateToChangeLag,VLOOKUP($C19,'Result-lag'!$C$4:$I$100,3,0),VLOOKUP($C19,CurrentMtgRatesDataTable8[],3,0))</f>
        <v>5932143925.1300001</v>
      </c>
      <c r="G19" s="39">
        <f>IF($C19&lt;=DateToChangeLag,VLOOKUP($C19,'Result-lag'!$C$4:$I$100,4,0),VLOOKUP($C19,CurrentMtgRatesDataTable8[],4,0))</f>
        <v>4526373596.8400002</v>
      </c>
      <c r="H19" s="39">
        <f>IF($C19&lt;=DateToChangeLag,VLOOKUP($C19,'Result-lag'!$C$4:$I$100,5,0),VLOOKUP($C19,CurrentMtgRatesDataTable8[],5,0))</f>
        <v>1574474809.8399999</v>
      </c>
      <c r="I19" s="39">
        <f>IF($C19&lt;=DateToChangeLag,VLOOKUP($C19,'Result-lag'!$C$4:$I$100,6,0),VLOOKUP($C19,CurrentMtgRatesDataTable8[],6,0))</f>
        <v>619867269</v>
      </c>
      <c r="J19" s="40">
        <f>CurrentMtgRatesDataTable934[[#This Row],[Top 10 Amount]]/CurrentMtgRatesDataTable934[[#This Row],[Total Amount]]</f>
        <v>0.25282423947067934</v>
      </c>
      <c r="K19" s="40">
        <f>CurrentMtgRatesDataTable934[[#This Row],[Top 5 Amount]]/CurrentMtgRatesDataTable934[[#This Row],[Total Amount]]</f>
        <v>0.19291119309047408</v>
      </c>
      <c r="L19" s="40">
        <f>CurrentMtgRatesDataTable934[[#This Row],[Top 1 Amount]]/CurrentMtgRatesDataTable934[[#This Row],[Total Amount]]</f>
        <v>6.7103125174903272E-2</v>
      </c>
      <c r="M19" s="40">
        <f>CurrentMtgRatesDataTable934[[#This Row],[N/A Amount]]/CurrentMtgRatesDataTable934[[#This Row],[Total Amount]]</f>
        <v>2.6418352763458552E-2</v>
      </c>
      <c r="N19" s="43">
        <f t="shared" si="0"/>
        <v>0</v>
      </c>
    </row>
    <row r="20" spans="3:14">
      <c r="C20" s="37">
        <v>41671</v>
      </c>
      <c r="D20" s="16">
        <v>27585216807.849998</v>
      </c>
      <c r="E20" s="39">
        <f>IF(C20&lt;=DateToChangeLag,VLOOKUP(C20,'Result-lag'!$C$4:$H$100,2,0),VLOOKUP(C20,CurrentMtgRatesDataTable8[],2,0))</f>
        <v>27585216807.849998</v>
      </c>
      <c r="F20" s="39">
        <f>IF($C20&lt;=DateToChangeLag,VLOOKUP($C20,'Result-lag'!$C$4:$I$100,3,0),VLOOKUP($C20,CurrentMtgRatesDataTable8[],3,0))</f>
        <v>6867812872.8800001</v>
      </c>
      <c r="G20" s="39">
        <f>IF($C20&lt;=DateToChangeLag,VLOOKUP($C20,'Result-lag'!$C$4:$I$100,4,0),VLOOKUP($C20,CurrentMtgRatesDataTable8[],4,0))</f>
        <v>5530168065.8099995</v>
      </c>
      <c r="H20" s="39">
        <f>IF($C20&lt;=DateToChangeLag,VLOOKUP($C20,'Result-lag'!$C$4:$I$100,5,0),VLOOKUP($C20,CurrentMtgRatesDataTable8[],5,0))</f>
        <v>1922831147.77</v>
      </c>
      <c r="I20" s="39">
        <f>IF($C20&lt;=DateToChangeLag,VLOOKUP($C20,'Result-lag'!$C$4:$I$100,6,0),VLOOKUP($C20,CurrentMtgRatesDataTable8[],6,0))</f>
        <v>732302230</v>
      </c>
      <c r="J20" s="40">
        <f>CurrentMtgRatesDataTable934[[#This Row],[Top 10 Amount]]/CurrentMtgRatesDataTable934[[#This Row],[Total Amount]]</f>
        <v>0.24896715225111474</v>
      </c>
      <c r="K20" s="40">
        <f>CurrentMtgRatesDataTable934[[#This Row],[Top 5 Amount]]/CurrentMtgRatesDataTable934[[#This Row],[Total Amount]]</f>
        <v>0.20047578760505752</v>
      </c>
      <c r="L20" s="40">
        <f>CurrentMtgRatesDataTable934[[#This Row],[Top 1 Amount]]/CurrentMtgRatesDataTable934[[#This Row],[Total Amount]]</f>
        <v>6.970513087367923E-2</v>
      </c>
      <c r="M20" s="40">
        <f>CurrentMtgRatesDataTable934[[#This Row],[N/A Amount]]/CurrentMtgRatesDataTable934[[#This Row],[Total Amount]]</f>
        <v>2.6546908625043209E-2</v>
      </c>
      <c r="N20" s="43">
        <f t="shared" si="0"/>
        <v>0</v>
      </c>
    </row>
    <row r="21" spans="3:14">
      <c r="C21" s="37">
        <v>41640</v>
      </c>
      <c r="D21" s="16">
        <v>28108964119.139999</v>
      </c>
      <c r="E21" s="39">
        <f>IF(C21&lt;=DateToChangeLag,VLOOKUP(C21,'Result-lag'!$C$4:$H$100,2,0),VLOOKUP(C21,CurrentMtgRatesDataTable8[],2,0))</f>
        <v>28108964119.139999</v>
      </c>
      <c r="F21" s="39">
        <f>IF($C21&lt;=DateToChangeLag,VLOOKUP($C21,'Result-lag'!$C$4:$I$100,3,0),VLOOKUP($C21,CurrentMtgRatesDataTable8[],3,0))</f>
        <v>6623785228</v>
      </c>
      <c r="G21" s="39">
        <f>IF($C21&lt;=DateToChangeLag,VLOOKUP($C21,'Result-lag'!$C$4:$I$100,4,0),VLOOKUP($C21,CurrentMtgRatesDataTable8[],4,0))</f>
        <v>5155168920.8899994</v>
      </c>
      <c r="H21" s="39">
        <f>IF($C21&lt;=DateToChangeLag,VLOOKUP($C21,'Result-lag'!$C$4:$I$100,5,0),VLOOKUP($C21,CurrentMtgRatesDataTable8[],5,0))</f>
        <v>1760019879.1099999</v>
      </c>
      <c r="I21" s="39">
        <f>IF($C21&lt;=DateToChangeLag,VLOOKUP($C21,'Result-lag'!$C$4:$I$100,6,0),VLOOKUP($C21,CurrentMtgRatesDataTable8[],6,0))</f>
        <v>690934900</v>
      </c>
      <c r="J21" s="40">
        <f>CurrentMtgRatesDataTable934[[#This Row],[Top 10 Amount]]/CurrentMtgRatesDataTable934[[#This Row],[Total Amount]]</f>
        <v>0.23564672109313775</v>
      </c>
      <c r="K21" s="40">
        <f>CurrentMtgRatesDataTable934[[#This Row],[Top 5 Amount]]/CurrentMtgRatesDataTable934[[#This Row],[Total Amount]]</f>
        <v>0.18339946285604078</v>
      </c>
      <c r="L21" s="40">
        <f>CurrentMtgRatesDataTable934[[#This Row],[Top 1 Amount]]/CurrentMtgRatesDataTable934[[#This Row],[Total Amount]]</f>
        <v>6.2614184985620464E-2</v>
      </c>
      <c r="M21" s="40">
        <f>CurrentMtgRatesDataTable934[[#This Row],[N/A Amount]]/CurrentMtgRatesDataTable934[[#This Row],[Total Amount]]</f>
        <v>2.4580589205332102E-2</v>
      </c>
      <c r="N21" s="43">
        <f t="shared" si="0"/>
        <v>0</v>
      </c>
    </row>
    <row r="22" spans="3:14">
      <c r="C22" s="37">
        <v>41609</v>
      </c>
      <c r="D22" s="16">
        <v>37790142776.290001</v>
      </c>
      <c r="E22" s="39">
        <f>IF(C22&lt;=DateToChangeLag,VLOOKUP(C22,'Result-lag'!$C$4:$H$100,2,0),VLOOKUP(C22,CurrentMtgRatesDataTable8[],2,0))</f>
        <v>37790142776.290001</v>
      </c>
      <c r="F22" s="39">
        <f>IF($C22&lt;=DateToChangeLag,VLOOKUP($C22,'Result-lag'!$C$4:$I$100,3,0),VLOOKUP($C22,CurrentMtgRatesDataTable8[],3,0))</f>
        <v>8262160792.3999996</v>
      </c>
      <c r="G22" s="39">
        <f>IF($C22&lt;=DateToChangeLag,VLOOKUP($C22,'Result-lag'!$C$4:$I$100,4,0),VLOOKUP($C22,CurrentMtgRatesDataTable8[],4,0))</f>
        <v>5870321187.1099997</v>
      </c>
      <c r="H22" s="39">
        <f>IF($C22&lt;=DateToChangeLag,VLOOKUP($C22,'Result-lag'!$C$4:$I$100,5,0),VLOOKUP($C22,CurrentMtgRatesDataTable8[],5,0))</f>
        <v>1561280492.8699999</v>
      </c>
      <c r="I22" s="39">
        <f>IF($C22&lt;=DateToChangeLag,VLOOKUP($C22,'Result-lag'!$C$4:$I$100,6,0),VLOOKUP($C22,CurrentMtgRatesDataTable8[],6,0))</f>
        <v>856201500</v>
      </c>
      <c r="J22" s="40">
        <f>CurrentMtgRatesDataTable934[[#This Row],[Top 10 Amount]]/CurrentMtgRatesDataTable934[[#This Row],[Total Amount]]</f>
        <v>0.21863269586755255</v>
      </c>
      <c r="K22" s="40">
        <f>CurrentMtgRatesDataTable934[[#This Row],[Top 5 Amount]]/CurrentMtgRatesDataTable934[[#This Row],[Total Amount]]</f>
        <v>0.15534001080284648</v>
      </c>
      <c r="L22" s="40">
        <f>CurrentMtgRatesDataTable934[[#This Row],[Top 1 Amount]]/CurrentMtgRatesDataTable934[[#This Row],[Total Amount]]</f>
        <v>4.131449045092167E-2</v>
      </c>
      <c r="M22" s="40">
        <f>CurrentMtgRatesDataTable934[[#This Row],[N/A Amount]]/CurrentMtgRatesDataTable934[[#This Row],[Total Amount]]</f>
        <v>2.2656741602394562E-2</v>
      </c>
      <c r="N22" s="43">
        <f t="shared" si="0"/>
        <v>0</v>
      </c>
    </row>
    <row r="23" spans="3:14">
      <c r="C23" s="37">
        <v>41579</v>
      </c>
      <c r="D23" s="16">
        <v>38757040631.290001</v>
      </c>
      <c r="E23" s="39">
        <f>IF(C23&lt;=DateToChangeLag,VLOOKUP(C23,'Result-lag'!$C$4:$H$100,2,0),VLOOKUP(C23,CurrentMtgRatesDataTable8[],2,0))</f>
        <v>38757040631.290001</v>
      </c>
      <c r="F23" s="39">
        <f>IF($C23&lt;=DateToChangeLag,VLOOKUP($C23,'Result-lag'!$C$4:$I$100,3,0),VLOOKUP($C23,CurrentMtgRatesDataTable8[],3,0))</f>
        <v>8449426135.9799995</v>
      </c>
      <c r="G23" s="39">
        <f>IF($C23&lt;=DateToChangeLag,VLOOKUP($C23,'Result-lag'!$C$4:$I$100,4,0),VLOOKUP($C23,CurrentMtgRatesDataTable8[],4,0))</f>
        <v>6351686990.9899998</v>
      </c>
      <c r="H23" s="39">
        <f>IF($C23&lt;=DateToChangeLag,VLOOKUP($C23,'Result-lag'!$C$4:$I$100,5,0),VLOOKUP($C23,CurrentMtgRatesDataTable8[],5,0))</f>
        <v>1694525112.9400001</v>
      </c>
      <c r="I23" s="39">
        <f>IF($C23&lt;=DateToChangeLag,VLOOKUP($C23,'Result-lag'!$C$4:$I$100,6,0),VLOOKUP($C23,CurrentMtgRatesDataTable8[],6,0))</f>
        <v>1144678013</v>
      </c>
      <c r="J23" s="40">
        <f>CurrentMtgRatesDataTable934[[#This Row],[Top 10 Amount]]/CurrentMtgRatesDataTable934[[#This Row],[Total Amount]]</f>
        <v>0.21801009567171295</v>
      </c>
      <c r="K23" s="40">
        <f>CurrentMtgRatesDataTable934[[#This Row],[Top 5 Amount]]/CurrentMtgRatesDataTable934[[#This Row],[Total Amount]]</f>
        <v>0.16388472616926397</v>
      </c>
      <c r="L23" s="40">
        <f>CurrentMtgRatesDataTable934[[#This Row],[Top 1 Amount]]/CurrentMtgRatesDataTable934[[#This Row],[Total Amount]]</f>
        <v>4.3721736369415856E-2</v>
      </c>
      <c r="M23" s="40">
        <f>CurrentMtgRatesDataTable934[[#This Row],[N/A Amount]]/CurrentMtgRatesDataTable934[[#This Row],[Total Amount]]</f>
        <v>2.9534711483514529E-2</v>
      </c>
      <c r="N23" s="43">
        <f t="shared" si="0"/>
        <v>0</v>
      </c>
    </row>
    <row r="24" spans="3:14">
      <c r="C24" s="37">
        <v>41548</v>
      </c>
      <c r="D24" s="16">
        <v>47175834172.419998</v>
      </c>
      <c r="E24" s="39">
        <f>IF(C24&lt;=DateToChangeLag,VLOOKUP(C24,'Result-lag'!$C$4:$H$100,2,0),VLOOKUP(C24,CurrentMtgRatesDataTable8[],2,0))</f>
        <v>47175834172.419998</v>
      </c>
      <c r="F24" s="39">
        <f>IF($C24&lt;=DateToChangeLag,VLOOKUP($C24,'Result-lag'!$C$4:$I$100,3,0),VLOOKUP($C24,CurrentMtgRatesDataTable8[],3,0))</f>
        <v>10232860575.5</v>
      </c>
      <c r="G24" s="39">
        <f>IF($C24&lt;=DateToChangeLag,VLOOKUP($C24,'Result-lag'!$C$4:$I$100,4,0),VLOOKUP($C24,CurrentMtgRatesDataTable8[],4,0))</f>
        <v>7264474965.46</v>
      </c>
      <c r="H24" s="39">
        <f>IF($C24&lt;=DateToChangeLag,VLOOKUP($C24,'Result-lag'!$C$4:$I$100,5,0),VLOOKUP($C24,CurrentMtgRatesDataTable8[],5,0))</f>
        <v>1853106711.96</v>
      </c>
      <c r="I24" s="39">
        <f>IF($C24&lt;=DateToChangeLag,VLOOKUP($C24,'Result-lag'!$C$4:$I$100,6,0),VLOOKUP($C24,CurrentMtgRatesDataTable8[],6,0))</f>
        <v>1114601890</v>
      </c>
      <c r="J24" s="40">
        <f>CurrentMtgRatesDataTable934[[#This Row],[Top 10 Amount]]/CurrentMtgRatesDataTable934[[#This Row],[Total Amount]]</f>
        <v>0.21690894829968579</v>
      </c>
      <c r="K24" s="40">
        <f>CurrentMtgRatesDataTable934[[#This Row],[Top 5 Amount]]/CurrentMtgRatesDataTable934[[#This Row],[Total Amount]]</f>
        <v>0.15398720749503922</v>
      </c>
      <c r="L24" s="40">
        <f>CurrentMtgRatesDataTable934[[#This Row],[Top 1 Amount]]/CurrentMtgRatesDataTable934[[#This Row],[Total Amount]]</f>
        <v>3.928084674003212E-2</v>
      </c>
      <c r="M24" s="40">
        <f>CurrentMtgRatesDataTable934[[#This Row],[N/A Amount]]/CurrentMtgRatesDataTable934[[#This Row],[Total Amount]]</f>
        <v>2.3626543325684743E-2</v>
      </c>
      <c r="N24" s="43">
        <f t="shared" si="0"/>
        <v>0</v>
      </c>
    </row>
    <row r="25" spans="3:14">
      <c r="C25" s="37">
        <v>41518</v>
      </c>
      <c r="D25" s="16">
        <v>52117579911.449997</v>
      </c>
      <c r="E25" s="39">
        <f>IF(C25&lt;=DateToChangeLag,VLOOKUP(C25,'Result-lag'!$C$4:$H$100,2,0),VLOOKUP(C25,CurrentMtgRatesDataTable8[],2,0))</f>
        <v>52117579911.449997</v>
      </c>
      <c r="F25" s="39">
        <f>IF($C25&lt;=DateToChangeLag,VLOOKUP($C25,'Result-lag'!$C$4:$I$100,3,0),VLOOKUP($C25,CurrentMtgRatesDataTable8[],3,0))</f>
        <v>10302792823.1</v>
      </c>
      <c r="G25" s="39">
        <f>IF($C25&lt;=DateToChangeLag,VLOOKUP($C25,'Result-lag'!$C$4:$I$100,4,0),VLOOKUP($C25,CurrentMtgRatesDataTable8[],4,0))</f>
        <v>7678534091.54</v>
      </c>
      <c r="H25" s="39">
        <f>IF($C25&lt;=DateToChangeLag,VLOOKUP($C25,'Result-lag'!$C$4:$I$100,5,0),VLOOKUP($C25,CurrentMtgRatesDataTable8[],5,0))</f>
        <v>2360176115.9099998</v>
      </c>
      <c r="I25" s="39">
        <f>IF($C25&lt;=DateToChangeLag,VLOOKUP($C25,'Result-lag'!$C$4:$I$100,6,0),VLOOKUP($C25,CurrentMtgRatesDataTable8[],6,0))</f>
        <v>760592802</v>
      </c>
      <c r="J25" s="40">
        <f>CurrentMtgRatesDataTable934[[#This Row],[Top 10 Amount]]/CurrentMtgRatesDataTable934[[#This Row],[Total Amount]]</f>
        <v>0.19768363843073464</v>
      </c>
      <c r="K25" s="40">
        <f>CurrentMtgRatesDataTable934[[#This Row],[Top 5 Amount]]/CurrentMtgRatesDataTable934[[#This Row],[Total Amount]]</f>
        <v>0.14733097938519321</v>
      </c>
      <c r="L25" s="40">
        <f>CurrentMtgRatesDataTable934[[#This Row],[Top 1 Amount]]/CurrentMtgRatesDataTable934[[#This Row],[Total Amount]]</f>
        <v>4.5285604587166947E-2</v>
      </c>
      <c r="M25" s="40">
        <f>CurrentMtgRatesDataTable934[[#This Row],[N/A Amount]]/CurrentMtgRatesDataTable934[[#This Row],[Total Amount]]</f>
        <v>1.4593785883617002E-2</v>
      </c>
      <c r="N25" s="43">
        <f t="shared" si="0"/>
        <v>0</v>
      </c>
    </row>
    <row r="26" spans="3:14">
      <c r="C26" s="37">
        <v>41487</v>
      </c>
      <c r="D26" s="16">
        <v>65043206114.970001</v>
      </c>
      <c r="E26" s="39">
        <f>IF(C26&lt;=DateToChangeLag,VLOOKUP(C26,'Result-lag'!$C$4:$H$100,2,0),VLOOKUP(C26,CurrentMtgRatesDataTable8[],2,0))</f>
        <v>65043206114.970001</v>
      </c>
      <c r="F26" s="39">
        <f>IF($C26&lt;=DateToChangeLag,VLOOKUP($C26,'Result-lag'!$C$4:$I$100,3,0),VLOOKUP($C26,CurrentMtgRatesDataTable8[],3,0))</f>
        <v>15200744969.530001</v>
      </c>
      <c r="G26" s="39">
        <f>IF($C26&lt;=DateToChangeLag,VLOOKUP($C26,'Result-lag'!$C$4:$I$100,4,0),VLOOKUP($C26,CurrentMtgRatesDataTable8[],4,0))</f>
        <v>12257022825.93</v>
      </c>
      <c r="H26" s="39">
        <f>IF($C26&lt;=DateToChangeLag,VLOOKUP($C26,'Result-lag'!$C$4:$I$100,5,0),VLOOKUP($C26,CurrentMtgRatesDataTable8[],5,0))</f>
        <v>4118976924.3200002</v>
      </c>
      <c r="I26" s="39">
        <f>IF($C26&lt;=DateToChangeLag,VLOOKUP($C26,'Result-lag'!$C$4:$I$100,6,0),VLOOKUP($C26,CurrentMtgRatesDataTable8[],6,0))</f>
        <v>1050686660</v>
      </c>
      <c r="J26" s="40">
        <f>CurrentMtgRatesDataTable934[[#This Row],[Top 10 Amount]]/CurrentMtgRatesDataTable934[[#This Row],[Total Amount]]</f>
        <v>0.23370227080536668</v>
      </c>
      <c r="K26" s="40">
        <f>CurrentMtgRatesDataTable934[[#This Row],[Top 5 Amount]]/CurrentMtgRatesDataTable934[[#This Row],[Total Amount]]</f>
        <v>0.18844432121418733</v>
      </c>
      <c r="L26" s="40">
        <f>CurrentMtgRatesDataTable934[[#This Row],[Top 1 Amount]]/CurrentMtgRatesDataTable934[[#This Row],[Total Amount]]</f>
        <v>6.3326781847735492E-2</v>
      </c>
      <c r="M26" s="40">
        <f>CurrentMtgRatesDataTable934[[#This Row],[N/A Amount]]/CurrentMtgRatesDataTable934[[#This Row],[Total Amount]]</f>
        <v>1.6153672654801367E-2</v>
      </c>
      <c r="N26" s="43">
        <f t="shared" si="0"/>
        <v>0</v>
      </c>
    </row>
    <row r="27" spans="3:14">
      <c r="C27" s="37">
        <v>41456</v>
      </c>
      <c r="D27" s="16">
        <v>71866974614.360001</v>
      </c>
      <c r="E27" s="39">
        <f>IF(C27&lt;=DateToChangeLag,VLOOKUP(C27,'Result-lag'!$C$4:$H$100,2,0),VLOOKUP(C27,CurrentMtgRatesDataTable8[],2,0))</f>
        <v>71866974614.360001</v>
      </c>
      <c r="F27" s="39">
        <f>IF($C27&lt;=DateToChangeLag,VLOOKUP($C27,'Result-lag'!$C$4:$I$100,3,0),VLOOKUP($C27,CurrentMtgRatesDataTable8[],3,0))</f>
        <v>14620004381.560001</v>
      </c>
      <c r="G27" s="39">
        <f>IF($C27&lt;=DateToChangeLag,VLOOKUP($C27,'Result-lag'!$C$4:$I$100,4,0),VLOOKUP($C27,CurrentMtgRatesDataTable8[],4,0))</f>
        <v>11682928604.91</v>
      </c>
      <c r="H27" s="39">
        <f>IF($C27&lt;=DateToChangeLag,VLOOKUP($C27,'Result-lag'!$C$4:$I$100,5,0),VLOOKUP($C27,CurrentMtgRatesDataTable8[],5,0))</f>
        <v>4468738110.4300003</v>
      </c>
      <c r="I27" s="39">
        <f>IF($C27&lt;=DateToChangeLag,VLOOKUP($C27,'Result-lag'!$C$4:$I$100,6,0),VLOOKUP($C27,CurrentMtgRatesDataTable8[],6,0))</f>
        <v>689921868</v>
      </c>
      <c r="J27" s="40">
        <f>CurrentMtgRatesDataTable934[[#This Row],[Top 10 Amount]]/CurrentMtgRatesDataTable934[[#This Row],[Total Amount]]</f>
        <v>0.20343147127051492</v>
      </c>
      <c r="K27" s="40">
        <f>CurrentMtgRatesDataTable934[[#This Row],[Top 5 Amount]]/CurrentMtgRatesDataTable934[[#This Row],[Total Amount]]</f>
        <v>0.16256324504545919</v>
      </c>
      <c r="L27" s="40">
        <f>CurrentMtgRatesDataTable934[[#This Row],[Top 1 Amount]]/CurrentMtgRatesDataTable934[[#This Row],[Total Amount]]</f>
        <v>6.2180690566276953E-2</v>
      </c>
      <c r="M27" s="40">
        <f>CurrentMtgRatesDataTable934[[#This Row],[N/A Amount]]/CurrentMtgRatesDataTable934[[#This Row],[Total Amount]]</f>
        <v>9.5999848567737568E-3</v>
      </c>
      <c r="N27" s="43">
        <f t="shared" si="0"/>
        <v>0</v>
      </c>
    </row>
    <row r="28" spans="3:14">
      <c r="C28" s="37">
        <v>41426</v>
      </c>
      <c r="D28" s="16">
        <v>66542000148.940002</v>
      </c>
      <c r="E28" s="39">
        <f>IF(C28&lt;=DateToChangeLag,VLOOKUP(C28,'Result-lag'!$C$4:$H$100,2,0),VLOOKUP(C28,CurrentMtgRatesDataTable8[],2,0))</f>
        <v>66542000148.940002</v>
      </c>
      <c r="F28" s="39">
        <f>IF($C28&lt;=DateToChangeLag,VLOOKUP($C28,'Result-lag'!$C$4:$I$100,3,0),VLOOKUP($C28,CurrentMtgRatesDataTable8[],3,0))</f>
        <v>12381934604.160002</v>
      </c>
      <c r="G28" s="39">
        <f>IF($C28&lt;=DateToChangeLag,VLOOKUP($C28,'Result-lag'!$C$4:$I$100,4,0),VLOOKUP($C28,CurrentMtgRatesDataTable8[],4,0))</f>
        <v>9796236507.5200005</v>
      </c>
      <c r="H28" s="39">
        <f>IF($C28&lt;=DateToChangeLag,VLOOKUP($C28,'Result-lag'!$C$4:$I$100,5,0),VLOOKUP($C28,CurrentMtgRatesDataTable8[],5,0))</f>
        <v>4055990638.6799998</v>
      </c>
      <c r="I28" s="39">
        <f>IF($C28&lt;=DateToChangeLag,VLOOKUP($C28,'Result-lag'!$C$4:$I$100,6,0),VLOOKUP($C28,CurrentMtgRatesDataTable8[],6,0))</f>
        <v>967290699</v>
      </c>
      <c r="J28" s="40">
        <f>CurrentMtgRatesDataTable934[[#This Row],[Top 10 Amount]]/CurrentMtgRatesDataTable934[[#This Row],[Total Amount]]</f>
        <v>0.1860769826041552</v>
      </c>
      <c r="K28" s="40">
        <f>CurrentMtgRatesDataTable934[[#This Row],[Top 5 Amount]]/CurrentMtgRatesDataTable934[[#This Row],[Total Amount]]</f>
        <v>0.14721884652690367</v>
      </c>
      <c r="L28" s="40">
        <f>CurrentMtgRatesDataTable934[[#This Row],[Top 1 Amount]]/CurrentMtgRatesDataTable934[[#This Row],[Total Amount]]</f>
        <v>6.0953843130677379E-2</v>
      </c>
      <c r="M28" s="40">
        <f>CurrentMtgRatesDataTable934[[#This Row],[N/A Amount]]/CurrentMtgRatesDataTable934[[#This Row],[Total Amount]]</f>
        <v>1.4536543789410104E-2</v>
      </c>
      <c r="N28" s="43">
        <f t="shared" si="0"/>
        <v>0</v>
      </c>
    </row>
    <row r="29" spans="3:14">
      <c r="C29" s="37">
        <v>41395</v>
      </c>
      <c r="D29" s="16">
        <v>73509211252.020004</v>
      </c>
      <c r="E29" s="39">
        <f>IF(C29&lt;=DateToChangeLag,VLOOKUP(C29,'Result-lag'!$C$4:$H$100,2,0),VLOOKUP(C29,CurrentMtgRatesDataTable8[],2,0))</f>
        <v>73509211252.020004</v>
      </c>
      <c r="F29" s="39">
        <f>IF($C29&lt;=DateToChangeLag,VLOOKUP($C29,'Result-lag'!$C$4:$I$100,3,0),VLOOKUP($C29,CurrentMtgRatesDataTable8[],3,0))</f>
        <v>11876561564.510002</v>
      </c>
      <c r="G29" s="39">
        <f>IF($C29&lt;=DateToChangeLag,VLOOKUP($C29,'Result-lag'!$C$4:$I$100,4,0),VLOOKUP($C29,CurrentMtgRatesDataTable8[],4,0))</f>
        <v>8298047850.0299997</v>
      </c>
      <c r="H29" s="39">
        <f>IF($C29&lt;=DateToChangeLag,VLOOKUP($C29,'Result-lag'!$C$4:$I$100,5,0),VLOOKUP($C29,CurrentMtgRatesDataTable8[],5,0))</f>
        <v>3459242035.96</v>
      </c>
      <c r="I29" s="39">
        <f>IF($C29&lt;=DateToChangeLag,VLOOKUP($C29,'Result-lag'!$C$4:$I$100,6,0),VLOOKUP($C29,CurrentMtgRatesDataTable8[],6,0))</f>
        <v>1288259374</v>
      </c>
      <c r="J29" s="40">
        <f>CurrentMtgRatesDataTable934[[#This Row],[Top 10 Amount]]/CurrentMtgRatesDataTable934[[#This Row],[Total Amount]]</f>
        <v>0.161565623712003</v>
      </c>
      <c r="K29" s="40">
        <f>CurrentMtgRatesDataTable934[[#This Row],[Top 5 Amount]]/CurrentMtgRatesDataTable934[[#This Row],[Total Amount]]</f>
        <v>0.11288446316721937</v>
      </c>
      <c r="L29" s="40">
        <f>CurrentMtgRatesDataTable934[[#This Row],[Top 1 Amount]]/CurrentMtgRatesDataTable934[[#This Row],[Total Amount]]</f>
        <v>4.7058619961249298E-2</v>
      </c>
      <c r="M29" s="40">
        <f>CurrentMtgRatesDataTable934[[#This Row],[N/A Amount]]/CurrentMtgRatesDataTable934[[#This Row],[Total Amount]]</f>
        <v>1.7525142115636549E-2</v>
      </c>
      <c r="N29" s="43">
        <f t="shared" si="0"/>
        <v>0</v>
      </c>
    </row>
    <row r="30" spans="3:14">
      <c r="C30" s="37">
        <v>41365</v>
      </c>
      <c r="D30" s="16">
        <v>73548428684.190002</v>
      </c>
      <c r="E30" s="39">
        <f>IF(C30&lt;=DateToChangeLag,VLOOKUP(C30,'Result-lag'!$C$4:$H$100,2,0),VLOOKUP(C30,CurrentMtgRatesDataTable8[],2,0))</f>
        <v>73548428684.190002</v>
      </c>
      <c r="F30" s="39">
        <f>IF($C30&lt;=DateToChangeLag,VLOOKUP($C30,'Result-lag'!$C$4:$I$100,3,0),VLOOKUP($C30,CurrentMtgRatesDataTable8[],3,0))</f>
        <v>14258545523.4</v>
      </c>
      <c r="G30" s="39">
        <f>IF($C30&lt;=DateToChangeLag,VLOOKUP($C30,'Result-lag'!$C$4:$I$100,4,0),VLOOKUP($C30,CurrentMtgRatesDataTable8[],4,0))</f>
        <v>10680691157.889999</v>
      </c>
      <c r="H30" s="39">
        <f>IF($C30&lt;=DateToChangeLag,VLOOKUP($C30,'Result-lag'!$C$4:$I$100,5,0),VLOOKUP($C30,CurrentMtgRatesDataTable8[],5,0))</f>
        <v>4125896876.8099999</v>
      </c>
      <c r="I30" s="39">
        <f>IF($C30&lt;=DateToChangeLag,VLOOKUP($C30,'Result-lag'!$C$4:$I$100,6,0),VLOOKUP($C30,CurrentMtgRatesDataTable8[],6,0))</f>
        <v>1534207191</v>
      </c>
      <c r="J30" s="40">
        <f>CurrentMtgRatesDataTable934[[#This Row],[Top 10 Amount]]/CurrentMtgRatesDataTable934[[#This Row],[Total Amount]]</f>
        <v>0.19386607951374252</v>
      </c>
      <c r="K30" s="40">
        <f>CurrentMtgRatesDataTable934[[#This Row],[Top 5 Amount]]/CurrentMtgRatesDataTable934[[#This Row],[Total Amount]]</f>
        <v>0.14521984152444475</v>
      </c>
      <c r="L30" s="40">
        <f>CurrentMtgRatesDataTable934[[#This Row],[Top 1 Amount]]/CurrentMtgRatesDataTable934[[#This Row],[Total Amount]]</f>
        <v>5.6097688973427443E-2</v>
      </c>
      <c r="M30" s="40">
        <f>CurrentMtgRatesDataTable934[[#This Row],[N/A Amount]]/CurrentMtgRatesDataTable934[[#This Row],[Total Amount]]</f>
        <v>2.085982281943426E-2</v>
      </c>
      <c r="N30" s="43">
        <f t="shared" si="0"/>
        <v>0</v>
      </c>
    </row>
    <row r="31" spans="3:14">
      <c r="C31" s="37">
        <v>41334</v>
      </c>
      <c r="D31" s="16">
        <v>66573031434.919998</v>
      </c>
      <c r="E31" s="39">
        <f>IF(C31&lt;=DateToChangeLag,VLOOKUP(C31,'Result-lag'!$C$4:$H$100,2,0),VLOOKUP(C31,CurrentMtgRatesDataTable8[],2,0))</f>
        <v>66573031434.919998</v>
      </c>
      <c r="F31" s="39">
        <f>IF($C31&lt;=DateToChangeLag,VLOOKUP($C31,'Result-lag'!$C$4:$I$100,3,0),VLOOKUP($C31,CurrentMtgRatesDataTable8[],3,0))</f>
        <v>11730365628.620001</v>
      </c>
      <c r="G31" s="39">
        <f>IF($C31&lt;=DateToChangeLag,VLOOKUP($C31,'Result-lag'!$C$4:$I$100,4,0),VLOOKUP($C31,CurrentMtgRatesDataTable8[],4,0))</f>
        <v>8689803136.8100014</v>
      </c>
      <c r="H31" s="39">
        <f>IF($C31&lt;=DateToChangeLag,VLOOKUP($C31,'Result-lag'!$C$4:$I$100,5,0),VLOOKUP($C31,CurrentMtgRatesDataTable8[],5,0))</f>
        <v>4567963477.21</v>
      </c>
      <c r="I31" s="39">
        <f>IF($C31&lt;=DateToChangeLag,VLOOKUP($C31,'Result-lag'!$C$4:$I$100,6,0),VLOOKUP($C31,CurrentMtgRatesDataTable8[],6,0))</f>
        <v>873595500</v>
      </c>
      <c r="J31" s="40">
        <f>CurrentMtgRatesDataTable934[[#This Row],[Top 10 Amount]]/CurrentMtgRatesDataTable934[[#This Row],[Total Amount]]</f>
        <v>0.17620296651335896</v>
      </c>
      <c r="K31" s="40">
        <f>CurrentMtgRatesDataTable934[[#This Row],[Top 5 Amount]]/CurrentMtgRatesDataTable934[[#This Row],[Total Amount]]</f>
        <v>0.13053038068883671</v>
      </c>
      <c r="L31" s="40">
        <f>CurrentMtgRatesDataTable934[[#This Row],[Top 1 Amount]]/CurrentMtgRatesDataTable934[[#This Row],[Total Amount]]</f>
        <v>6.8615825038334299E-2</v>
      </c>
      <c r="M31" s="40">
        <f>CurrentMtgRatesDataTable934[[#This Row],[N/A Amount]]/CurrentMtgRatesDataTable934[[#This Row],[Total Amount]]</f>
        <v>1.3122363232835558E-2</v>
      </c>
      <c r="N31" s="43">
        <f t="shared" si="0"/>
        <v>0</v>
      </c>
    </row>
    <row r="32" spans="3:14">
      <c r="C32" s="37">
        <v>41306</v>
      </c>
      <c r="D32" s="16">
        <v>77430427923.440002</v>
      </c>
      <c r="E32" s="39">
        <f>IF(C32&lt;=DateToChangeLag,VLOOKUP(C32,'Result-lag'!$C$4:$H$100,2,0),VLOOKUP(C32,CurrentMtgRatesDataTable8[],2,0))</f>
        <v>77430427923.440002</v>
      </c>
      <c r="F32" s="39">
        <f>IF($C32&lt;=DateToChangeLag,VLOOKUP($C32,'Result-lag'!$C$4:$I$100,3,0),VLOOKUP($C32,CurrentMtgRatesDataTable8[],3,0))</f>
        <v>16943814108.250002</v>
      </c>
      <c r="G32" s="39">
        <f>IF($C32&lt;=DateToChangeLag,VLOOKUP($C32,'Result-lag'!$C$4:$I$100,4,0),VLOOKUP($C32,CurrentMtgRatesDataTable8[],4,0))</f>
        <v>12624495371.5</v>
      </c>
      <c r="H32" s="39">
        <f>IF($C32&lt;=DateToChangeLag,VLOOKUP($C32,'Result-lag'!$C$4:$I$100,5,0),VLOOKUP($C32,CurrentMtgRatesDataTable8[],5,0))</f>
        <v>5069266638.7200003</v>
      </c>
      <c r="I32" s="39">
        <f>IF($C32&lt;=DateToChangeLag,VLOOKUP($C32,'Result-lag'!$C$4:$I$100,6,0),VLOOKUP($C32,CurrentMtgRatesDataTable8[],6,0))</f>
        <v>1475078768</v>
      </c>
      <c r="J32" s="40">
        <f>CurrentMtgRatesDataTable934[[#This Row],[Top 10 Amount]]/CurrentMtgRatesDataTable934[[#This Row],[Total Amount]]</f>
        <v>0.21882630075354023</v>
      </c>
      <c r="K32" s="40">
        <f>CurrentMtgRatesDataTable934[[#This Row],[Top 5 Amount]]/CurrentMtgRatesDataTable934[[#This Row],[Total Amount]]</f>
        <v>0.16304307892993408</v>
      </c>
      <c r="L32" s="40">
        <f>CurrentMtgRatesDataTable934[[#This Row],[Top 1 Amount]]/CurrentMtgRatesDataTable934[[#This Row],[Total Amount]]</f>
        <v>6.5468663607700595E-2</v>
      </c>
      <c r="M32" s="40">
        <f>CurrentMtgRatesDataTable934[[#This Row],[N/A Amount]]/CurrentMtgRatesDataTable934[[#This Row],[Total Amount]]</f>
        <v>1.9050376028639501E-2</v>
      </c>
      <c r="N32" s="43">
        <f t="shared" si="0"/>
        <v>0</v>
      </c>
    </row>
    <row r="33" spans="3:14">
      <c r="C33" s="37">
        <v>41275</v>
      </c>
      <c r="D33" s="16">
        <v>85482757320.820007</v>
      </c>
      <c r="E33" s="39">
        <f>IF(C33&lt;=DateToChangeLag,VLOOKUP(C33,'Result-lag'!$C$4:$H$100,2,0),VLOOKUP(C33,CurrentMtgRatesDataTable8[],2,0))</f>
        <v>85482757320.820007</v>
      </c>
      <c r="F33" s="39">
        <f>IF($C33&lt;=DateToChangeLag,VLOOKUP($C33,'Result-lag'!$C$4:$I$100,3,0),VLOOKUP($C33,CurrentMtgRatesDataTable8[],3,0))</f>
        <v>20118746725.299999</v>
      </c>
      <c r="G33" s="39">
        <f>IF($C33&lt;=DateToChangeLag,VLOOKUP($C33,'Result-lag'!$C$4:$I$100,4,0),VLOOKUP($C33,CurrentMtgRatesDataTable8[],4,0))</f>
        <v>15691166318.830002</v>
      </c>
      <c r="H33" s="39">
        <f>IF($C33&lt;=DateToChangeLag,VLOOKUP($C33,'Result-lag'!$C$4:$I$100,5,0),VLOOKUP($C33,CurrentMtgRatesDataTable8[],5,0))</f>
        <v>5979329449.8800001</v>
      </c>
      <c r="I33" s="39">
        <f>IF($C33&lt;=DateToChangeLag,VLOOKUP($C33,'Result-lag'!$C$4:$I$100,6,0),VLOOKUP($C33,CurrentMtgRatesDataTable8[],6,0))</f>
        <v>1327173549</v>
      </c>
      <c r="J33" s="40">
        <f>CurrentMtgRatesDataTable934[[#This Row],[Top 10 Amount]]/CurrentMtgRatesDataTable934[[#This Row],[Total Amount]]</f>
        <v>0.23535444288248197</v>
      </c>
      <c r="K33" s="40">
        <f>CurrentMtgRatesDataTable934[[#This Row],[Top 5 Amount]]/CurrentMtgRatesDataTable934[[#This Row],[Total Amount]]</f>
        <v>0.18355943128905475</v>
      </c>
      <c r="L33" s="40">
        <f>CurrentMtgRatesDataTable934[[#This Row],[Top 1 Amount]]/CurrentMtgRatesDataTable934[[#This Row],[Total Amount]]</f>
        <v>6.9947784059413889E-2</v>
      </c>
      <c r="M33" s="40">
        <f>CurrentMtgRatesDataTable934[[#This Row],[N/A Amount]]/CurrentMtgRatesDataTable934[[#This Row],[Total Amount]]</f>
        <v>1.5525628683443933E-2</v>
      </c>
      <c r="N33" s="43">
        <f t="shared" si="0"/>
        <v>0</v>
      </c>
    </row>
    <row r="34" spans="3:14">
      <c r="C34" s="37">
        <v>41244</v>
      </c>
      <c r="D34" s="16">
        <v>66763638723.230003</v>
      </c>
      <c r="E34" s="39">
        <f>IF(C34&lt;=DateToChangeLag,VLOOKUP(C34,'Result-lag'!$C$4:$H$100,2,0),VLOOKUP(C34,CurrentMtgRatesDataTable8[],2,0))</f>
        <v>66763638723.230003</v>
      </c>
      <c r="F34" s="39">
        <f>IF($C34&lt;=DateToChangeLag,VLOOKUP($C34,'Result-lag'!$C$4:$I$100,3,0),VLOOKUP($C34,CurrentMtgRatesDataTable8[],3,0))</f>
        <v>17599336827.099998</v>
      </c>
      <c r="G34" s="39">
        <f>IF($C34&lt;=DateToChangeLag,VLOOKUP($C34,'Result-lag'!$C$4:$I$100,4,0),VLOOKUP($C34,CurrentMtgRatesDataTable8[],4,0))</f>
        <v>13995074584.920002</v>
      </c>
      <c r="H34" s="39">
        <f>IF($C34&lt;=DateToChangeLag,VLOOKUP($C34,'Result-lag'!$C$4:$I$100,5,0),VLOOKUP($C34,CurrentMtgRatesDataTable8[],5,0))</f>
        <v>4866573877.1400003</v>
      </c>
      <c r="I34" s="39">
        <f>IF($C34&lt;=DateToChangeLag,VLOOKUP($C34,'Result-lag'!$C$4:$I$100,6,0),VLOOKUP($C34,CurrentMtgRatesDataTable8[],6,0))</f>
        <v>882436640</v>
      </c>
      <c r="J34" s="40">
        <f>CurrentMtgRatesDataTable934[[#This Row],[Top 10 Amount]]/CurrentMtgRatesDataTable934[[#This Row],[Total Amount]]</f>
        <v>0.26360661527239998</v>
      </c>
      <c r="K34" s="40">
        <f>CurrentMtgRatesDataTable934[[#This Row],[Top 5 Amount]]/CurrentMtgRatesDataTable934[[#This Row],[Total Amount]]</f>
        <v>0.20962120777953494</v>
      </c>
      <c r="L34" s="40">
        <f>CurrentMtgRatesDataTable934[[#This Row],[Top 1 Amount]]/CurrentMtgRatesDataTable934[[#This Row],[Total Amount]]</f>
        <v>7.2892580006228835E-2</v>
      </c>
      <c r="M34" s="40">
        <f>CurrentMtgRatesDataTable934[[#This Row],[N/A Amount]]/CurrentMtgRatesDataTable934[[#This Row],[Total Amount]]</f>
        <v>1.3217323933738223E-2</v>
      </c>
      <c r="N34" s="43">
        <f t="shared" si="0"/>
        <v>0</v>
      </c>
    </row>
    <row r="35" spans="3:14">
      <c r="C35" s="37">
        <v>41214</v>
      </c>
      <c r="D35" s="16">
        <v>107252324964.50999</v>
      </c>
      <c r="E35" s="39">
        <f>IF(C35&lt;=DateToChangeLag,VLOOKUP(C35,'Result-lag'!$C$4:$H$100,2,0),VLOOKUP(C35,CurrentMtgRatesDataTable8[],2,0))</f>
        <v>107252324964.50999</v>
      </c>
      <c r="F35" s="39">
        <f>IF($C35&lt;=DateToChangeLag,VLOOKUP($C35,'Result-lag'!$C$4:$I$100,3,0),VLOOKUP($C35,CurrentMtgRatesDataTable8[],3,0))</f>
        <v>20792513020.660004</v>
      </c>
      <c r="G35" s="39">
        <f>IF($C35&lt;=DateToChangeLag,VLOOKUP($C35,'Result-lag'!$C$4:$I$100,4,0),VLOOKUP($C35,CurrentMtgRatesDataTable8[],4,0))</f>
        <v>15313400296.139999</v>
      </c>
      <c r="H35" s="39">
        <f>IF($C35&lt;=DateToChangeLag,VLOOKUP($C35,'Result-lag'!$C$4:$I$100,5,0),VLOOKUP($C35,CurrentMtgRatesDataTable8[],5,0))</f>
        <v>5319861378.3900003</v>
      </c>
      <c r="I35" s="39">
        <f>IF($C35&lt;=DateToChangeLag,VLOOKUP($C35,'Result-lag'!$C$4:$I$100,6,0),VLOOKUP($C35,CurrentMtgRatesDataTable8[],6,0))</f>
        <v>1786397242</v>
      </c>
      <c r="J35" s="40">
        <f>CurrentMtgRatesDataTable934[[#This Row],[Top 10 Amount]]/CurrentMtgRatesDataTable934[[#This Row],[Total Amount]]</f>
        <v>0.19386538266224335</v>
      </c>
      <c r="K35" s="40">
        <f>CurrentMtgRatesDataTable934[[#This Row],[Top 5 Amount]]/CurrentMtgRatesDataTable934[[#This Row],[Total Amount]]</f>
        <v>0.14277919197749078</v>
      </c>
      <c r="L35" s="40">
        <f>CurrentMtgRatesDataTable934[[#This Row],[Top 1 Amount]]/CurrentMtgRatesDataTable934[[#This Row],[Total Amount]]</f>
        <v>4.9601361836681422E-2</v>
      </c>
      <c r="M35" s="40">
        <f>CurrentMtgRatesDataTable934[[#This Row],[N/A Amount]]/CurrentMtgRatesDataTable934[[#This Row],[Total Amount]]</f>
        <v>1.665602347166947E-2</v>
      </c>
      <c r="N35" s="43">
        <f t="shared" si="0"/>
        <v>0</v>
      </c>
    </row>
    <row r="36" spans="3:14">
      <c r="C36" s="37">
        <v>41183</v>
      </c>
      <c r="D36" s="16">
        <v>61818801001.650002</v>
      </c>
      <c r="E36" s="39">
        <f>IF(C36&lt;=DateToChangeLag,VLOOKUP(C36,'Result-lag'!$C$4:$H$100,2,0),VLOOKUP(C36,CurrentMtgRatesDataTable8[],2,0))</f>
        <v>61818801001.650002</v>
      </c>
      <c r="F36" s="39">
        <f>IF($C36&lt;=DateToChangeLag,VLOOKUP($C36,'Result-lag'!$C$4:$I$100,3,0),VLOOKUP($C36,CurrentMtgRatesDataTable8[],3,0))</f>
        <v>15338386299.920002</v>
      </c>
      <c r="G36" s="39">
        <f>IF($C36&lt;=DateToChangeLag,VLOOKUP($C36,'Result-lag'!$C$4:$I$100,4,0),VLOOKUP($C36,CurrentMtgRatesDataTable8[],4,0))</f>
        <v>11876707977.630001</v>
      </c>
      <c r="H36" s="39">
        <f>IF($C36&lt;=DateToChangeLag,VLOOKUP($C36,'Result-lag'!$C$4:$I$100,5,0),VLOOKUP($C36,CurrentMtgRatesDataTable8[],5,0))</f>
        <v>4269923296.52</v>
      </c>
      <c r="I36" s="39">
        <f>IF($C36&lt;=DateToChangeLag,VLOOKUP($C36,'Result-lag'!$C$4:$I$100,6,0),VLOOKUP($C36,CurrentMtgRatesDataTable8[],6,0))</f>
        <v>1649348778</v>
      </c>
      <c r="J36" s="40">
        <f>CurrentMtgRatesDataTable934[[#This Row],[Top 10 Amount]]/CurrentMtgRatesDataTable934[[#This Row],[Total Amount]]</f>
        <v>0.24811846964664691</v>
      </c>
      <c r="K36" s="40">
        <f>CurrentMtgRatesDataTable934[[#This Row],[Top 5 Amount]]/CurrentMtgRatesDataTable934[[#This Row],[Total Amount]]</f>
        <v>0.1921212929592892</v>
      </c>
      <c r="L36" s="40">
        <f>CurrentMtgRatesDataTable934[[#This Row],[Top 1 Amount]]/CurrentMtgRatesDataTable934[[#This Row],[Total Amount]]</f>
        <v>6.9071596785030359E-2</v>
      </c>
      <c r="M36" s="40">
        <f>CurrentMtgRatesDataTable934[[#This Row],[N/A Amount]]/CurrentMtgRatesDataTable934[[#This Row],[Total Amount]]</f>
        <v>2.6680374761004783E-2</v>
      </c>
      <c r="N36" s="43">
        <f t="shared" ref="N36:N67" si="1">IF(C36&lt;=DateToChangeLag,1,0)</f>
        <v>0</v>
      </c>
    </row>
    <row r="37" spans="3:14">
      <c r="C37" s="37">
        <v>41153</v>
      </c>
      <c r="D37" s="16">
        <v>84049356738.059998</v>
      </c>
      <c r="E37" s="39">
        <f>IF(C37&lt;=DateToChangeLag,VLOOKUP(C37,'Result-lag'!$C$4:$H$100,2,0),VLOOKUP(C37,CurrentMtgRatesDataTable8[],2,0))</f>
        <v>84049356738.059998</v>
      </c>
      <c r="F37" s="39">
        <f>IF($C37&lt;=DateToChangeLag,VLOOKUP($C37,'Result-lag'!$C$4:$I$100,3,0),VLOOKUP($C37,CurrentMtgRatesDataTable8[],3,0))</f>
        <v>17065463542.49</v>
      </c>
      <c r="G37" s="39">
        <f>IF($C37&lt;=DateToChangeLag,VLOOKUP($C37,'Result-lag'!$C$4:$I$100,4,0),VLOOKUP($C37,CurrentMtgRatesDataTable8[],4,0))</f>
        <v>13199073258.299999</v>
      </c>
      <c r="H37" s="39">
        <f>IF($C37&lt;=DateToChangeLag,VLOOKUP($C37,'Result-lag'!$C$4:$I$100,5,0),VLOOKUP($C37,CurrentMtgRatesDataTable8[],5,0))</f>
        <v>4937311483.1499996</v>
      </c>
      <c r="I37" s="39">
        <f>IF($C37&lt;=DateToChangeLag,VLOOKUP($C37,'Result-lag'!$C$4:$I$100,6,0),VLOOKUP($C37,CurrentMtgRatesDataTable8[],6,0))</f>
        <v>842537107</v>
      </c>
      <c r="J37" s="40">
        <f>CurrentMtgRatesDataTable934[[#This Row],[Top 10 Amount]]/CurrentMtgRatesDataTable934[[#This Row],[Total Amount]]</f>
        <v>0.20304097740657973</v>
      </c>
      <c r="K37" s="40">
        <f>CurrentMtgRatesDataTable934[[#This Row],[Top 5 Amount]]/CurrentMtgRatesDataTable934[[#This Row],[Total Amount]]</f>
        <v>0.15703955117033125</v>
      </c>
      <c r="L37" s="40">
        <f>CurrentMtgRatesDataTable934[[#This Row],[Top 1 Amount]]/CurrentMtgRatesDataTable934[[#This Row],[Total Amount]]</f>
        <v>5.8743001431136962E-2</v>
      </c>
      <c r="M37" s="40">
        <f>CurrentMtgRatesDataTable934[[#This Row],[N/A Amount]]/CurrentMtgRatesDataTable934[[#This Row],[Total Amount]]</f>
        <v>1.0024313566441309E-2</v>
      </c>
      <c r="N37" s="43">
        <f t="shared" si="1"/>
        <v>0</v>
      </c>
    </row>
    <row r="38" spans="3:14">
      <c r="C38" s="37">
        <v>41122</v>
      </c>
      <c r="D38" s="16">
        <v>80246484071.139999</v>
      </c>
      <c r="E38" s="39">
        <f>IF(C38&lt;=DateToChangeLag,VLOOKUP(C38,'Result-lag'!$C$4:$H$100,2,0),VLOOKUP(C38,CurrentMtgRatesDataTable8[],2,0))</f>
        <v>80246484071.139999</v>
      </c>
      <c r="F38" s="39">
        <f>IF($C38&lt;=DateToChangeLag,VLOOKUP($C38,'Result-lag'!$C$4:$I$100,3,0),VLOOKUP($C38,CurrentMtgRatesDataTable8[],3,0))</f>
        <v>16174281977.67</v>
      </c>
      <c r="G38" s="39">
        <f>IF($C38&lt;=DateToChangeLag,VLOOKUP($C38,'Result-lag'!$C$4:$I$100,4,0),VLOOKUP($C38,CurrentMtgRatesDataTable8[],4,0))</f>
        <v>12503448649.93</v>
      </c>
      <c r="H38" s="39">
        <f>IF($C38&lt;=DateToChangeLag,VLOOKUP($C38,'Result-lag'!$C$4:$I$100,5,0),VLOOKUP($C38,CurrentMtgRatesDataTable8[],5,0))</f>
        <v>4795732432.7799997</v>
      </c>
      <c r="I38" s="39">
        <f>IF($C38&lt;=DateToChangeLag,VLOOKUP($C38,'Result-lag'!$C$4:$I$100,6,0),VLOOKUP($C38,CurrentMtgRatesDataTable8[],6,0))</f>
        <v>1821001924</v>
      </c>
      <c r="J38" s="40">
        <f>CurrentMtgRatesDataTable934[[#This Row],[Top 10 Amount]]/CurrentMtgRatesDataTable934[[#This Row],[Total Amount]]</f>
        <v>0.20155751575771466</v>
      </c>
      <c r="K38" s="40">
        <f>CurrentMtgRatesDataTable934[[#This Row],[Top 5 Amount]]/CurrentMtgRatesDataTable934[[#This Row],[Total Amount]]</f>
        <v>0.15581304021800457</v>
      </c>
      <c r="L38" s="40">
        <f>CurrentMtgRatesDataTable934[[#This Row],[Top 1 Amount]]/CurrentMtgRatesDataTable934[[#This Row],[Total Amount]]</f>
        <v>5.9762524031937568E-2</v>
      </c>
      <c r="M38" s="40">
        <f>CurrentMtgRatesDataTable934[[#This Row],[N/A Amount]]/CurrentMtgRatesDataTable934[[#This Row],[Total Amount]]</f>
        <v>2.269260697310611E-2</v>
      </c>
      <c r="N38" s="43">
        <f t="shared" si="1"/>
        <v>0</v>
      </c>
    </row>
    <row r="39" spans="3:14">
      <c r="C39" s="37">
        <v>41091</v>
      </c>
      <c r="D39" s="16">
        <v>71798949000.600006</v>
      </c>
      <c r="E39" s="39">
        <f>IF(C39&lt;=DateToChangeLag,VLOOKUP(C39,'Result-lag'!$C$4:$H$100,2,0),VLOOKUP(C39,CurrentMtgRatesDataTable8[],2,0))</f>
        <v>71798949000.600006</v>
      </c>
      <c r="F39" s="39">
        <f>IF($C39&lt;=DateToChangeLag,VLOOKUP($C39,'Result-lag'!$C$4:$I$100,3,0),VLOOKUP($C39,CurrentMtgRatesDataTable8[],3,0))</f>
        <v>13510056806.829998</v>
      </c>
      <c r="G39" s="39">
        <f>IF($C39&lt;=DateToChangeLag,VLOOKUP($C39,'Result-lag'!$C$4:$I$100,4,0),VLOOKUP($C39,CurrentMtgRatesDataTable8[],4,0))</f>
        <v>10615326313.65</v>
      </c>
      <c r="H39" s="39">
        <f>IF($C39&lt;=DateToChangeLag,VLOOKUP($C39,'Result-lag'!$C$4:$I$100,5,0),VLOOKUP($C39,CurrentMtgRatesDataTable8[],5,0))</f>
        <v>3652881360.4099998</v>
      </c>
      <c r="I39" s="39">
        <f>IF($C39&lt;=DateToChangeLag,VLOOKUP($C39,'Result-lag'!$C$4:$I$100,6,0),VLOOKUP($C39,CurrentMtgRatesDataTable8[],6,0))</f>
        <v>1485398807</v>
      </c>
      <c r="J39" s="40">
        <f>CurrentMtgRatesDataTable934[[#This Row],[Top 10 Amount]]/CurrentMtgRatesDataTable934[[#This Row],[Total Amount]]</f>
        <v>0.18816510540728246</v>
      </c>
      <c r="K39" s="40">
        <f>CurrentMtgRatesDataTable934[[#This Row],[Top 5 Amount]]/CurrentMtgRatesDataTable934[[#This Row],[Total Amount]]</f>
        <v>0.14784793456463116</v>
      </c>
      <c r="L39" s="40">
        <f>CurrentMtgRatesDataTable934[[#This Row],[Top 1 Amount]]/CurrentMtgRatesDataTable934[[#This Row],[Total Amount]]</f>
        <v>5.0876529688191868E-2</v>
      </c>
      <c r="M39" s="40">
        <f>CurrentMtgRatesDataTable934[[#This Row],[N/A Amount]]/CurrentMtgRatesDataTable934[[#This Row],[Total Amount]]</f>
        <v>2.0688308501390276E-2</v>
      </c>
      <c r="N39" s="43">
        <f t="shared" si="1"/>
        <v>0</v>
      </c>
    </row>
    <row r="40" spans="3:14">
      <c r="C40" s="37">
        <v>41061</v>
      </c>
      <c r="D40" s="16">
        <v>65107512378.209999</v>
      </c>
      <c r="E40" s="39">
        <f>IF(C40&lt;=DateToChangeLag,VLOOKUP(C40,'Result-lag'!$C$4:$H$100,2,0),VLOOKUP(C40,CurrentMtgRatesDataTable8[],2,0))</f>
        <v>65107512378.209999</v>
      </c>
      <c r="F40" s="39">
        <f>IF($C40&lt;=DateToChangeLag,VLOOKUP($C40,'Result-lag'!$C$4:$I$100,3,0),VLOOKUP($C40,CurrentMtgRatesDataTable8[],3,0))</f>
        <v>11805775213.190001</v>
      </c>
      <c r="G40" s="39">
        <f>IF($C40&lt;=DateToChangeLag,VLOOKUP($C40,'Result-lag'!$C$4:$I$100,4,0),VLOOKUP($C40,CurrentMtgRatesDataTable8[],4,0))</f>
        <v>8849028759.2600002</v>
      </c>
      <c r="H40" s="39">
        <f>IF($C40&lt;=DateToChangeLag,VLOOKUP($C40,'Result-lag'!$C$4:$I$100,5,0),VLOOKUP($C40,CurrentMtgRatesDataTable8[],5,0))</f>
        <v>2599950568.2399998</v>
      </c>
      <c r="I40" s="39">
        <f>IF($C40&lt;=DateToChangeLag,VLOOKUP($C40,'Result-lag'!$C$4:$I$100,6,0),VLOOKUP($C40,CurrentMtgRatesDataTable8[],6,0))</f>
        <v>751265816</v>
      </c>
      <c r="J40" s="40">
        <f>CurrentMtgRatesDataTable934[[#This Row],[Top 10 Amount]]/CurrentMtgRatesDataTable934[[#This Row],[Total Amount]]</f>
        <v>0.18132738883663946</v>
      </c>
      <c r="K40" s="40">
        <f>CurrentMtgRatesDataTable934[[#This Row],[Top 5 Amount]]/CurrentMtgRatesDataTable934[[#This Row],[Total Amount]]</f>
        <v>0.13591409709920924</v>
      </c>
      <c r="L40" s="40">
        <f>CurrentMtgRatesDataTable934[[#This Row],[Top 1 Amount]]/CurrentMtgRatesDataTable934[[#This Row],[Total Amount]]</f>
        <v>3.9933188556442893E-2</v>
      </c>
      <c r="M40" s="40">
        <f>CurrentMtgRatesDataTable934[[#This Row],[N/A Amount]]/CurrentMtgRatesDataTable934[[#This Row],[Total Amount]]</f>
        <v>1.1538849950768992E-2</v>
      </c>
      <c r="N40" s="43">
        <f t="shared" si="1"/>
        <v>0</v>
      </c>
    </row>
    <row r="41" spans="3:14">
      <c r="C41" s="37">
        <v>41030</v>
      </c>
      <c r="D41" s="16">
        <v>66663158668.949997</v>
      </c>
      <c r="E41" s="39">
        <f>IF(C41&lt;=DateToChangeLag,VLOOKUP(C41,'Result-lag'!$C$4:$H$100,2,0),VLOOKUP(C41,CurrentMtgRatesDataTable8[],2,0))</f>
        <v>66663158668.949997</v>
      </c>
      <c r="F41" s="39">
        <f>IF($C41&lt;=DateToChangeLag,VLOOKUP($C41,'Result-lag'!$C$4:$I$100,3,0),VLOOKUP($C41,CurrentMtgRatesDataTable8[],3,0))</f>
        <v>11781122699.619999</v>
      </c>
      <c r="G41" s="39">
        <f>IF($C41&lt;=DateToChangeLag,VLOOKUP($C41,'Result-lag'!$C$4:$I$100,4,0),VLOOKUP($C41,CurrentMtgRatesDataTable8[],4,0))</f>
        <v>8834061053.9799995</v>
      </c>
      <c r="H41" s="39">
        <f>IF($C41&lt;=DateToChangeLag,VLOOKUP($C41,'Result-lag'!$C$4:$I$100,5,0),VLOOKUP($C41,CurrentMtgRatesDataTable8[],5,0))</f>
        <v>2844809039.77</v>
      </c>
      <c r="I41" s="39">
        <f>IF($C41&lt;=DateToChangeLag,VLOOKUP($C41,'Result-lag'!$C$4:$I$100,6,0),VLOOKUP($C41,CurrentMtgRatesDataTable8[],6,0))</f>
        <v>1810114247</v>
      </c>
      <c r="J41" s="40">
        <f>CurrentMtgRatesDataTable934[[#This Row],[Top 10 Amount]]/CurrentMtgRatesDataTable934[[#This Row],[Total Amount]]</f>
        <v>0.17672613981772434</v>
      </c>
      <c r="K41" s="40">
        <f>CurrentMtgRatesDataTable934[[#This Row],[Top 5 Amount]]/CurrentMtgRatesDataTable934[[#This Row],[Total Amount]]</f>
        <v>0.13251788889647501</v>
      </c>
      <c r="L41" s="40">
        <f>CurrentMtgRatesDataTable934[[#This Row],[Top 1 Amount]]/CurrentMtgRatesDataTable934[[#This Row],[Total Amount]]</f>
        <v>4.2674381121022995E-2</v>
      </c>
      <c r="M41" s="40">
        <f>CurrentMtgRatesDataTable934[[#This Row],[N/A Amount]]/CurrentMtgRatesDataTable934[[#This Row],[Total Amount]]</f>
        <v>2.7153142502428482E-2</v>
      </c>
      <c r="N41" s="43">
        <f t="shared" si="1"/>
        <v>0</v>
      </c>
    </row>
    <row r="42" spans="3:14">
      <c r="C42" s="37">
        <v>41000</v>
      </c>
      <c r="D42" s="16">
        <v>48073485668.580002</v>
      </c>
      <c r="E42" s="39">
        <f>IF(C42&lt;=DateToChangeLag,VLOOKUP(C42,'Result-lag'!$C$4:$H$100,2,0),VLOOKUP(C42,CurrentMtgRatesDataTable8[],2,0))</f>
        <v>48073485668.580002</v>
      </c>
      <c r="F42" s="39">
        <f>IF($C42&lt;=DateToChangeLag,VLOOKUP($C42,'Result-lag'!$C$4:$I$100,3,0),VLOOKUP($C42,CurrentMtgRatesDataTable8[],3,0))</f>
        <v>8158867914.6200008</v>
      </c>
      <c r="G42" s="39">
        <f>IF($C42&lt;=DateToChangeLag,VLOOKUP($C42,'Result-lag'!$C$4:$I$100,4,0),VLOOKUP($C42,CurrentMtgRatesDataTable8[],4,0))</f>
        <v>6101284240.1800003</v>
      </c>
      <c r="H42" s="39">
        <f>IF($C42&lt;=DateToChangeLag,VLOOKUP($C42,'Result-lag'!$C$4:$I$100,5,0),VLOOKUP($C42,CurrentMtgRatesDataTable8[],5,0))</f>
        <v>2312712574.1100001</v>
      </c>
      <c r="I42" s="39">
        <f>IF($C42&lt;=DateToChangeLag,VLOOKUP($C42,'Result-lag'!$C$4:$I$100,6,0),VLOOKUP($C42,CurrentMtgRatesDataTable8[],6,0))</f>
        <v>2058237642</v>
      </c>
      <c r="J42" s="40">
        <f>CurrentMtgRatesDataTable934[[#This Row],[Top 10 Amount]]/CurrentMtgRatesDataTable934[[#This Row],[Total Amount]]</f>
        <v>0.16971658703651055</v>
      </c>
      <c r="K42" s="40">
        <f>CurrentMtgRatesDataTable934[[#This Row],[Top 5 Amount]]/CurrentMtgRatesDataTable934[[#This Row],[Total Amount]]</f>
        <v>0.12691578643251356</v>
      </c>
      <c r="L42" s="40">
        <f>CurrentMtgRatesDataTable934[[#This Row],[Top 1 Amount]]/CurrentMtgRatesDataTable934[[#This Row],[Total Amount]]</f>
        <v>4.8107861161845164E-2</v>
      </c>
      <c r="M42" s="40">
        <f>CurrentMtgRatesDataTable934[[#This Row],[N/A Amount]]/CurrentMtgRatesDataTable934[[#This Row],[Total Amount]]</f>
        <v>4.2814404101869159E-2</v>
      </c>
      <c r="N42" s="43">
        <f t="shared" si="1"/>
        <v>0</v>
      </c>
    </row>
    <row r="43" spans="3:14">
      <c r="C43" s="37">
        <v>40969</v>
      </c>
      <c r="D43" s="16">
        <v>86317495811.419998</v>
      </c>
      <c r="E43" s="39">
        <f>IF(C43&lt;=DateToChangeLag,VLOOKUP(C43,'Result-lag'!$C$4:$H$100,2,0),VLOOKUP(C43,CurrentMtgRatesDataTable8[],2,0))</f>
        <v>86317495811.419998</v>
      </c>
      <c r="F43" s="39">
        <f>IF($C43&lt;=DateToChangeLag,VLOOKUP($C43,'Result-lag'!$C$4:$I$100,3,0),VLOOKUP($C43,CurrentMtgRatesDataTable8[],3,0))</f>
        <v>14440917173.190001</v>
      </c>
      <c r="G43" s="39">
        <f>IF($C43&lt;=DateToChangeLag,VLOOKUP($C43,'Result-lag'!$C$4:$I$100,4,0),VLOOKUP($C43,CurrentMtgRatesDataTable8[],4,0))</f>
        <v>10428628066.84</v>
      </c>
      <c r="H43" s="39">
        <f>IF($C43&lt;=DateToChangeLag,VLOOKUP($C43,'Result-lag'!$C$4:$I$100,5,0),VLOOKUP($C43,CurrentMtgRatesDataTable8[],5,0))</f>
        <v>2975788477.54</v>
      </c>
      <c r="I43" s="39">
        <f>IF($C43&lt;=DateToChangeLag,VLOOKUP($C43,'Result-lag'!$C$4:$I$100,6,0),VLOOKUP($C43,CurrentMtgRatesDataTable8[],6,0))</f>
        <v>715758973</v>
      </c>
      <c r="J43" s="40">
        <f>CurrentMtgRatesDataTable934[[#This Row],[Top 10 Amount]]/CurrentMtgRatesDataTable934[[#This Row],[Total Amount]]</f>
        <v>0.1673000014358553</v>
      </c>
      <c r="K43" s="40">
        <f>CurrentMtgRatesDataTable934[[#This Row],[Top 5 Amount]]/CurrentMtgRatesDataTable934[[#This Row],[Total Amount]]</f>
        <v>0.12081708312789433</v>
      </c>
      <c r="L43" s="40">
        <f>CurrentMtgRatesDataTable934[[#This Row],[Top 1 Amount]]/CurrentMtgRatesDataTable934[[#This Row],[Total Amount]]</f>
        <v>3.4474916696393507E-2</v>
      </c>
      <c r="M43" s="40">
        <f>CurrentMtgRatesDataTable934[[#This Row],[N/A Amount]]/CurrentMtgRatesDataTable934[[#This Row],[Total Amount]]</f>
        <v>8.292165641178198E-3</v>
      </c>
      <c r="N43" s="43">
        <f t="shared" si="1"/>
        <v>0</v>
      </c>
    </row>
    <row r="44" spans="3:14">
      <c r="C44" s="37">
        <v>40940</v>
      </c>
      <c r="D44" s="16">
        <v>56063681559.919998</v>
      </c>
      <c r="E44" s="39">
        <f>IF(C44&lt;=DateToChangeLag,VLOOKUP(C44,'Result-lag'!$C$4:$H$100,2,0),VLOOKUP(C44,CurrentMtgRatesDataTable8[],2,0))</f>
        <v>56063681559.919998</v>
      </c>
      <c r="F44" s="39">
        <f>IF($C44&lt;=DateToChangeLag,VLOOKUP($C44,'Result-lag'!$C$4:$I$100,3,0),VLOOKUP($C44,CurrentMtgRatesDataTable8[],3,0))</f>
        <v>10980629490.470001</v>
      </c>
      <c r="G44" s="39">
        <f>IF($C44&lt;=DateToChangeLag,VLOOKUP($C44,'Result-lag'!$C$4:$I$100,4,0),VLOOKUP($C44,CurrentMtgRatesDataTable8[],4,0))</f>
        <v>8427711608.2600002</v>
      </c>
      <c r="H44" s="39">
        <f>IF($C44&lt;=DateToChangeLag,VLOOKUP($C44,'Result-lag'!$C$4:$I$100,5,0),VLOOKUP($C44,CurrentMtgRatesDataTable8[],5,0))</f>
        <v>2741562711.46</v>
      </c>
      <c r="I44" s="39">
        <f>IF($C44&lt;=DateToChangeLag,VLOOKUP($C44,'Result-lag'!$C$4:$I$100,6,0),VLOOKUP($C44,CurrentMtgRatesDataTable8[],6,0))</f>
        <v>2030824500</v>
      </c>
      <c r="J44" s="40">
        <f>CurrentMtgRatesDataTable934[[#This Row],[Top 10 Amount]]/CurrentMtgRatesDataTable934[[#This Row],[Total Amount]]</f>
        <v>0.19585994328135717</v>
      </c>
      <c r="K44" s="40">
        <f>CurrentMtgRatesDataTable934[[#This Row],[Top 5 Amount]]/CurrentMtgRatesDataTable934[[#This Row],[Total Amount]]</f>
        <v>0.15032390620392264</v>
      </c>
      <c r="L44" s="40">
        <f>CurrentMtgRatesDataTable934[[#This Row],[Top 1 Amount]]/CurrentMtgRatesDataTable934[[#This Row],[Total Amount]]</f>
        <v>4.8900868355030519E-2</v>
      </c>
      <c r="M44" s="40">
        <f>CurrentMtgRatesDataTable934[[#This Row],[N/A Amount]]/CurrentMtgRatesDataTable934[[#This Row],[Total Amount]]</f>
        <v>3.6223530875857411E-2</v>
      </c>
      <c r="N44" s="43">
        <f t="shared" si="1"/>
        <v>0</v>
      </c>
    </row>
    <row r="45" spans="3:14">
      <c r="C45" s="37">
        <v>40909</v>
      </c>
      <c r="D45" s="16">
        <v>58331372757.360001</v>
      </c>
      <c r="E45" s="39">
        <f>IF(C45&lt;=DateToChangeLag,VLOOKUP(C45,'Result-lag'!$C$4:$H$100,2,0),VLOOKUP(C45,CurrentMtgRatesDataTable8[],2,0))</f>
        <v>58331372757.360001</v>
      </c>
      <c r="F45" s="39">
        <f>IF($C45&lt;=DateToChangeLag,VLOOKUP($C45,'Result-lag'!$C$4:$I$100,3,0),VLOOKUP($C45,CurrentMtgRatesDataTable8[],3,0))</f>
        <v>10309115791.960001</v>
      </c>
      <c r="G45" s="39">
        <f>IF($C45&lt;=DateToChangeLag,VLOOKUP($C45,'Result-lag'!$C$4:$I$100,4,0),VLOOKUP($C45,CurrentMtgRatesDataTable8[],4,0))</f>
        <v>7606526639.4000006</v>
      </c>
      <c r="H45" s="39">
        <f>IF($C45&lt;=DateToChangeLag,VLOOKUP($C45,'Result-lag'!$C$4:$I$100,5,0),VLOOKUP($C45,CurrentMtgRatesDataTable8[],5,0))</f>
        <v>2078917820.78</v>
      </c>
      <c r="I45" s="39">
        <f>IF($C45&lt;=DateToChangeLag,VLOOKUP($C45,'Result-lag'!$C$4:$I$100,6,0),VLOOKUP($C45,CurrentMtgRatesDataTable8[],6,0))</f>
        <v>1987883207</v>
      </c>
      <c r="J45" s="40">
        <f>CurrentMtgRatesDataTable934[[#This Row],[Top 10 Amount]]/CurrentMtgRatesDataTable934[[#This Row],[Total Amount]]</f>
        <v>0.17673363928606053</v>
      </c>
      <c r="K45" s="40">
        <f>CurrentMtgRatesDataTable934[[#This Row],[Top 5 Amount]]/CurrentMtgRatesDataTable934[[#This Row],[Total Amount]]</f>
        <v>0.13040198232674444</v>
      </c>
      <c r="L45" s="40">
        <f>CurrentMtgRatesDataTable934[[#This Row],[Top 1 Amount]]/CurrentMtgRatesDataTable934[[#This Row],[Total Amount]]</f>
        <v>3.5639789062185082E-2</v>
      </c>
      <c r="M45" s="40">
        <f>CurrentMtgRatesDataTable934[[#This Row],[N/A Amount]]/CurrentMtgRatesDataTable934[[#This Row],[Total Amount]]</f>
        <v>3.407914322998986E-2</v>
      </c>
      <c r="N45" s="43">
        <f t="shared" si="1"/>
        <v>0</v>
      </c>
    </row>
    <row r="46" spans="3:14">
      <c r="C46" s="37">
        <v>40878</v>
      </c>
      <c r="D46" s="16">
        <v>73851865080.610001</v>
      </c>
      <c r="E46" s="39">
        <f>IF(C46&lt;=DateToChangeLag,VLOOKUP(C46,'Result-lag'!$C$4:$H$100,2,0),VLOOKUP(C46,CurrentMtgRatesDataTable8[],2,0))</f>
        <v>73851865080.610001</v>
      </c>
      <c r="F46" s="39">
        <f>IF($C46&lt;=DateToChangeLag,VLOOKUP($C46,'Result-lag'!$C$4:$I$100,3,0),VLOOKUP($C46,CurrentMtgRatesDataTable8[],3,0))</f>
        <v>13931724131.58</v>
      </c>
      <c r="G46" s="39">
        <f>IF($C46&lt;=DateToChangeLag,VLOOKUP($C46,'Result-lag'!$C$4:$I$100,4,0),VLOOKUP($C46,CurrentMtgRatesDataTable8[],4,0))</f>
        <v>11440930773.609999</v>
      </c>
      <c r="H46" s="39">
        <f>IF($C46&lt;=DateToChangeLag,VLOOKUP($C46,'Result-lag'!$C$4:$I$100,5,0),VLOOKUP($C46,CurrentMtgRatesDataTable8[],5,0))</f>
        <v>4076990497.6900001</v>
      </c>
      <c r="I46" s="39">
        <f>IF($C46&lt;=DateToChangeLag,VLOOKUP($C46,'Result-lag'!$C$4:$I$100,6,0),VLOOKUP($C46,CurrentMtgRatesDataTable8[],6,0))</f>
        <v>1033984596</v>
      </c>
      <c r="J46" s="40">
        <f>CurrentMtgRatesDataTable934[[#This Row],[Top 10 Amount]]/CurrentMtgRatesDataTable934[[#This Row],[Total Amount]]</f>
        <v>0.1886441746105314</v>
      </c>
      <c r="K46" s="40">
        <f>CurrentMtgRatesDataTable934[[#This Row],[Top 5 Amount]]/CurrentMtgRatesDataTable934[[#This Row],[Total Amount]]</f>
        <v>0.15491728964626847</v>
      </c>
      <c r="L46" s="40">
        <f>CurrentMtgRatesDataTable934[[#This Row],[Top 1 Amount]]/CurrentMtgRatesDataTable934[[#This Row],[Total Amount]]</f>
        <v>5.5204976790226311E-2</v>
      </c>
      <c r="M46" s="40">
        <f>CurrentMtgRatesDataTable934[[#This Row],[N/A Amount]]/CurrentMtgRatesDataTable934[[#This Row],[Total Amount]]</f>
        <v>1.4000791921387444E-2</v>
      </c>
      <c r="N46" s="43">
        <f t="shared" si="1"/>
        <v>0</v>
      </c>
    </row>
    <row r="47" spans="3:14">
      <c r="C47" s="37">
        <v>40848</v>
      </c>
      <c r="D47" s="16">
        <v>62641454659.599998</v>
      </c>
      <c r="E47" s="39">
        <f>IF(C47&lt;=DateToChangeLag,VLOOKUP(C47,'Result-lag'!$C$4:$H$100,2,0),VLOOKUP(C47,CurrentMtgRatesDataTable8[],2,0))</f>
        <v>62641454659.599998</v>
      </c>
      <c r="F47" s="39">
        <f>IF($C47&lt;=DateToChangeLag,VLOOKUP($C47,'Result-lag'!$C$4:$I$100,3,0),VLOOKUP($C47,CurrentMtgRatesDataTable8[],3,0))</f>
        <v>12522548194.17</v>
      </c>
      <c r="G47" s="39">
        <f>IF($C47&lt;=DateToChangeLag,VLOOKUP($C47,'Result-lag'!$C$4:$I$100,4,0),VLOOKUP($C47,CurrentMtgRatesDataTable8[],4,0))</f>
        <v>10297314402.48</v>
      </c>
      <c r="H47" s="39">
        <f>IF($C47&lt;=DateToChangeLag,VLOOKUP($C47,'Result-lag'!$C$4:$I$100,5,0),VLOOKUP($C47,CurrentMtgRatesDataTable8[],5,0))</f>
        <v>3660860542.1399999</v>
      </c>
      <c r="I47" s="39">
        <f>IF($C47&lt;=DateToChangeLag,VLOOKUP($C47,'Result-lag'!$C$4:$I$100,6,0),VLOOKUP($C47,CurrentMtgRatesDataTable8[],6,0))</f>
        <v>2095343206</v>
      </c>
      <c r="J47" s="40">
        <f>CurrentMtgRatesDataTable934[[#This Row],[Top 10 Amount]]/CurrentMtgRatesDataTable934[[#This Row],[Total Amount]]</f>
        <v>0.19990832368467165</v>
      </c>
      <c r="K47" s="40">
        <f>CurrentMtgRatesDataTable934[[#This Row],[Top 5 Amount]]/CurrentMtgRatesDataTable934[[#This Row],[Total Amount]]</f>
        <v>0.16438498209271557</v>
      </c>
      <c r="L47" s="40">
        <f>CurrentMtgRatesDataTable934[[#This Row],[Top 1 Amount]]/CurrentMtgRatesDataTable934[[#This Row],[Total Amount]]</f>
        <v>5.8441499515512314E-2</v>
      </c>
      <c r="M47" s="40">
        <f>CurrentMtgRatesDataTable934[[#This Row],[N/A Amount]]/CurrentMtgRatesDataTable934[[#This Row],[Total Amount]]</f>
        <v>3.3449785248224312E-2</v>
      </c>
      <c r="N47" s="43">
        <f t="shared" si="1"/>
        <v>0</v>
      </c>
    </row>
    <row r="48" spans="3:14">
      <c r="C48" s="37">
        <v>40817</v>
      </c>
      <c r="D48" s="16">
        <v>51265734201.440002</v>
      </c>
      <c r="E48" s="39">
        <f>IF(C48&lt;=DateToChangeLag,VLOOKUP(C48,'Result-lag'!$C$4:$H$100,2,0),VLOOKUP(C48,CurrentMtgRatesDataTable8[],2,0))</f>
        <v>51265734201.440002</v>
      </c>
      <c r="F48" s="39">
        <f>IF($C48&lt;=DateToChangeLag,VLOOKUP($C48,'Result-lag'!$C$4:$I$100,3,0),VLOOKUP($C48,CurrentMtgRatesDataTable8[],3,0))</f>
        <v>9620394452.5599995</v>
      </c>
      <c r="G48" s="39">
        <f>IF($C48&lt;=DateToChangeLag,VLOOKUP($C48,'Result-lag'!$C$4:$I$100,4,0),VLOOKUP($C48,CurrentMtgRatesDataTable8[],4,0))</f>
        <v>7823983783.4899988</v>
      </c>
      <c r="H48" s="39">
        <f>IF($C48&lt;=DateToChangeLag,VLOOKUP($C48,'Result-lag'!$C$4:$I$100,5,0),VLOOKUP($C48,CurrentMtgRatesDataTable8[],5,0))</f>
        <v>2189275465.2199998</v>
      </c>
      <c r="I48" s="39">
        <f>IF($C48&lt;=DateToChangeLag,VLOOKUP($C48,'Result-lag'!$C$4:$I$100,6,0),VLOOKUP($C48,CurrentMtgRatesDataTable8[],6,0))</f>
        <v>2285618285</v>
      </c>
      <c r="J48" s="40">
        <f>CurrentMtgRatesDataTable934[[#This Row],[Top 10 Amount]]/CurrentMtgRatesDataTable934[[#This Row],[Total Amount]]</f>
        <v>0.18765740123331293</v>
      </c>
      <c r="K48" s="40">
        <f>CurrentMtgRatesDataTable934[[#This Row],[Top 5 Amount]]/CurrentMtgRatesDataTable934[[#This Row],[Total Amount]]</f>
        <v>0.15261624368329502</v>
      </c>
      <c r="L48" s="40">
        <f>CurrentMtgRatesDataTable934[[#This Row],[Top 1 Amount]]/CurrentMtgRatesDataTable934[[#This Row],[Total Amount]]</f>
        <v>4.2704459407869072E-2</v>
      </c>
      <c r="M48" s="40">
        <f>CurrentMtgRatesDataTable934[[#This Row],[N/A Amount]]/CurrentMtgRatesDataTable934[[#This Row],[Total Amount]]</f>
        <v>4.4583742349598485E-2</v>
      </c>
      <c r="N48" s="43">
        <f t="shared" si="1"/>
        <v>0</v>
      </c>
    </row>
    <row r="49" spans="3:14">
      <c r="C49" s="37">
        <v>40787</v>
      </c>
      <c r="D49" s="16">
        <v>45345536322.599998</v>
      </c>
      <c r="E49" s="39">
        <f>IF(C49&lt;=DateToChangeLag,VLOOKUP(C49,'Result-lag'!$C$4:$H$100,2,0),VLOOKUP(C49,CurrentMtgRatesDataTable8[],2,0))</f>
        <v>45345536322.599998</v>
      </c>
      <c r="F49" s="39">
        <f>IF($C49&lt;=DateToChangeLag,VLOOKUP($C49,'Result-lag'!$C$4:$I$100,3,0),VLOOKUP($C49,CurrentMtgRatesDataTable8[],3,0))</f>
        <v>8437516651.4499998</v>
      </c>
      <c r="G49" s="39">
        <f>IF($C49&lt;=DateToChangeLag,VLOOKUP($C49,'Result-lag'!$C$4:$I$100,4,0),VLOOKUP($C49,CurrentMtgRatesDataTable8[],4,0))</f>
        <v>7113857508.8599997</v>
      </c>
      <c r="H49" s="39">
        <f>IF($C49&lt;=DateToChangeLag,VLOOKUP($C49,'Result-lag'!$C$4:$I$100,5,0),VLOOKUP($C49,CurrentMtgRatesDataTable8[],5,0))</f>
        <v>3396559955.0900002</v>
      </c>
      <c r="I49" s="39">
        <f>IF($C49&lt;=DateToChangeLag,VLOOKUP($C49,'Result-lag'!$C$4:$I$100,6,0),VLOOKUP($C49,CurrentMtgRatesDataTable8[],6,0))</f>
        <v>876898783</v>
      </c>
      <c r="J49" s="40">
        <f>CurrentMtgRatesDataTable934[[#This Row],[Top 10 Amount]]/CurrentMtgRatesDataTable934[[#This Row],[Total Amount]]</f>
        <v>0.18607160341920539</v>
      </c>
      <c r="K49" s="40">
        <f>CurrentMtgRatesDataTable934[[#This Row],[Top 5 Amount]]/CurrentMtgRatesDataTable934[[#This Row],[Total Amount]]</f>
        <v>0.15688109758478008</v>
      </c>
      <c r="L49" s="40">
        <f>CurrentMtgRatesDataTable934[[#This Row],[Top 1 Amount]]/CurrentMtgRatesDataTable934[[#This Row],[Total Amount]]</f>
        <v>7.4903953741466078E-2</v>
      </c>
      <c r="M49" s="40">
        <f>CurrentMtgRatesDataTable934[[#This Row],[N/A Amount]]/CurrentMtgRatesDataTable934[[#This Row],[Total Amount]]</f>
        <v>1.9338149994775955E-2</v>
      </c>
      <c r="N49" s="43">
        <f t="shared" si="1"/>
        <v>0</v>
      </c>
    </row>
    <row r="50" spans="3:14">
      <c r="C50" s="37">
        <v>40756</v>
      </c>
      <c r="D50" s="16">
        <v>38171516998.550003</v>
      </c>
      <c r="E50" s="39">
        <f>IF(C50&lt;=DateToChangeLag,VLOOKUP(C50,'Result-lag'!$C$4:$H$100,2,0),VLOOKUP(C50,CurrentMtgRatesDataTable8[],2,0))</f>
        <v>38171516998.550003</v>
      </c>
      <c r="F50" s="39">
        <f>IF($C50&lt;=DateToChangeLag,VLOOKUP($C50,'Result-lag'!$C$4:$I$100,3,0),VLOOKUP($C50,CurrentMtgRatesDataTable8[],3,0))</f>
        <v>6453457227.3000002</v>
      </c>
      <c r="G50" s="39">
        <f>IF($C50&lt;=DateToChangeLag,VLOOKUP($C50,'Result-lag'!$C$4:$I$100,4,0),VLOOKUP($C50,CurrentMtgRatesDataTable8[],4,0))</f>
        <v>5522768596.5700006</v>
      </c>
      <c r="H50" s="39">
        <f>IF($C50&lt;=DateToChangeLag,VLOOKUP($C50,'Result-lag'!$C$4:$I$100,5,0),VLOOKUP($C50,CurrentMtgRatesDataTable8[],5,0))</f>
        <v>2329334472.6700001</v>
      </c>
      <c r="I50" s="39">
        <f>IF($C50&lt;=DateToChangeLag,VLOOKUP($C50,'Result-lag'!$C$4:$I$100,6,0),VLOOKUP($C50,CurrentMtgRatesDataTable8[],6,0))</f>
        <v>1994047984</v>
      </c>
      <c r="J50" s="40">
        <f>CurrentMtgRatesDataTable934[[#This Row],[Top 10 Amount]]/CurrentMtgRatesDataTable934[[#This Row],[Total Amount]]</f>
        <v>0.16906473032091293</v>
      </c>
      <c r="K50" s="40">
        <f>CurrentMtgRatesDataTable934[[#This Row],[Top 5 Amount]]/CurrentMtgRatesDataTable934[[#This Row],[Total Amount]]</f>
        <v>0.14468297387237167</v>
      </c>
      <c r="L50" s="40">
        <f>CurrentMtgRatesDataTable934[[#This Row],[Top 1 Amount]]/CurrentMtgRatesDataTable934[[#This Row],[Total Amount]]</f>
        <v>6.1022842575485882E-2</v>
      </c>
      <c r="M50" s="40">
        <f>CurrentMtgRatesDataTable934[[#This Row],[N/A Amount]]/CurrentMtgRatesDataTable934[[#This Row],[Total Amount]]</f>
        <v>5.2239160001834525E-2</v>
      </c>
      <c r="N50" s="43">
        <f t="shared" si="1"/>
        <v>0</v>
      </c>
    </row>
    <row r="51" spans="3:14">
      <c r="C51" s="37">
        <v>40725</v>
      </c>
      <c r="D51" s="16">
        <v>30621365146.98</v>
      </c>
      <c r="E51" s="39">
        <f>IF(C51&lt;=DateToChangeLag,VLOOKUP(C51,'Result-lag'!$C$4:$H$100,2,0),VLOOKUP(C51,CurrentMtgRatesDataTable8[],2,0))</f>
        <v>30621365146.98</v>
      </c>
      <c r="F51" s="39">
        <f>IF($C51&lt;=DateToChangeLag,VLOOKUP($C51,'Result-lag'!$C$4:$I$100,3,0),VLOOKUP($C51,CurrentMtgRatesDataTable8[],3,0))</f>
        <v>4377970918.3999996</v>
      </c>
      <c r="G51" s="39">
        <f>IF($C51&lt;=DateToChangeLag,VLOOKUP($C51,'Result-lag'!$C$4:$I$100,4,0),VLOOKUP($C51,CurrentMtgRatesDataTable8[],4,0))</f>
        <v>3487040912.9499998</v>
      </c>
      <c r="H51" s="39">
        <f>IF($C51&lt;=DateToChangeLag,VLOOKUP($C51,'Result-lag'!$C$4:$I$100,5,0),VLOOKUP($C51,CurrentMtgRatesDataTable8[],5,0))</f>
        <v>1623998106.96</v>
      </c>
      <c r="I51" s="39">
        <f>IF($C51&lt;=DateToChangeLag,VLOOKUP($C51,'Result-lag'!$C$4:$I$100,6,0),VLOOKUP($C51,CurrentMtgRatesDataTable8[],6,0))</f>
        <v>2279698435</v>
      </c>
      <c r="J51" s="40">
        <f>CurrentMtgRatesDataTable934[[#This Row],[Top 10 Amount]]/CurrentMtgRatesDataTable934[[#This Row],[Total Amount]]</f>
        <v>0.14297112154817737</v>
      </c>
      <c r="K51" s="40">
        <f>CurrentMtgRatesDataTable934[[#This Row],[Top 5 Amount]]/CurrentMtgRatesDataTable934[[#This Row],[Total Amount]]</f>
        <v>0.11387607626937905</v>
      </c>
      <c r="L51" s="40">
        <f>CurrentMtgRatesDataTable934[[#This Row],[Top 1 Amount]]/CurrentMtgRatesDataTable934[[#This Row],[Total Amount]]</f>
        <v>5.3034804267051601E-2</v>
      </c>
      <c r="M51" s="40">
        <f>CurrentMtgRatesDataTable934[[#This Row],[N/A Amount]]/CurrentMtgRatesDataTable934[[#This Row],[Total Amount]]</f>
        <v>7.4447968732211559E-2</v>
      </c>
      <c r="N51" s="43">
        <f t="shared" si="1"/>
        <v>0</v>
      </c>
    </row>
    <row r="52" spans="3:14">
      <c r="C52" s="37">
        <v>40695</v>
      </c>
      <c r="D52" s="16">
        <v>34031377587.419998</v>
      </c>
      <c r="E52" s="39">
        <f>IF(C52&lt;=DateToChangeLag,VLOOKUP(C52,'Result-lag'!$C$4:$H$100,2,0),VLOOKUP(C52,CurrentMtgRatesDataTable8[],2,0))</f>
        <v>34031377587.419998</v>
      </c>
      <c r="F52" s="39">
        <f>IF($C52&lt;=DateToChangeLag,VLOOKUP($C52,'Result-lag'!$C$4:$I$100,3,0),VLOOKUP($C52,CurrentMtgRatesDataTable8[],3,0))</f>
        <v>6745288126.8900003</v>
      </c>
      <c r="G52" s="39">
        <f>IF($C52&lt;=DateToChangeLag,VLOOKUP($C52,'Result-lag'!$C$4:$I$100,4,0),VLOOKUP($C52,CurrentMtgRatesDataTable8[],4,0))</f>
        <v>5763437074.1199999</v>
      </c>
      <c r="H52" s="39">
        <f>IF($C52&lt;=DateToChangeLag,VLOOKUP($C52,'Result-lag'!$C$4:$I$100,5,0),VLOOKUP($C52,CurrentMtgRatesDataTable8[],5,0))</f>
        <v>3143184905.6100001</v>
      </c>
      <c r="I52" s="39">
        <f>IF($C52&lt;=DateToChangeLag,VLOOKUP($C52,'Result-lag'!$C$4:$I$100,6,0),VLOOKUP($C52,CurrentMtgRatesDataTable8[],6,0))</f>
        <v>1087066702</v>
      </c>
      <c r="J52" s="40">
        <f>CurrentMtgRatesDataTable934[[#This Row],[Top 10 Amount]]/CurrentMtgRatesDataTable934[[#This Row],[Total Amount]]</f>
        <v>0.19820790708700126</v>
      </c>
      <c r="K52" s="40">
        <f>CurrentMtgRatesDataTable934[[#This Row],[Top 5 Amount]]/CurrentMtgRatesDataTable934[[#This Row],[Total Amount]]</f>
        <v>0.16935656099477164</v>
      </c>
      <c r="L52" s="40">
        <f>CurrentMtgRatesDataTable934[[#This Row],[Top 1 Amount]]/CurrentMtgRatesDataTable934[[#This Row],[Total Amount]]</f>
        <v>9.236137730645104E-2</v>
      </c>
      <c r="M52" s="40">
        <f>CurrentMtgRatesDataTable934[[#This Row],[N/A Amount]]/CurrentMtgRatesDataTable934[[#This Row],[Total Amount]]</f>
        <v>3.1943070750149238E-2</v>
      </c>
      <c r="N52" s="43">
        <f t="shared" si="1"/>
        <v>0</v>
      </c>
    </row>
    <row r="53" spans="3:14">
      <c r="C53" s="37">
        <v>40664</v>
      </c>
      <c r="D53" s="16">
        <v>30964833391.43</v>
      </c>
      <c r="E53" s="39">
        <f>IF(C53&lt;=DateToChangeLag,VLOOKUP(C53,'Result-lag'!$C$4:$H$100,2,0),VLOOKUP(C53,CurrentMtgRatesDataTable8[],2,0))</f>
        <v>30964833391.43</v>
      </c>
      <c r="F53" s="39">
        <f>IF($C53&lt;=DateToChangeLag,VLOOKUP($C53,'Result-lag'!$C$4:$I$100,3,0),VLOOKUP($C53,CurrentMtgRatesDataTable8[],3,0))</f>
        <v>4998911127.1500006</v>
      </c>
      <c r="G53" s="39">
        <f>IF($C53&lt;=DateToChangeLag,VLOOKUP($C53,'Result-lag'!$C$4:$I$100,4,0),VLOOKUP($C53,CurrentMtgRatesDataTable8[],4,0))</f>
        <v>3872424052.6000004</v>
      </c>
      <c r="H53" s="39">
        <f>IF($C53&lt;=DateToChangeLag,VLOOKUP($C53,'Result-lag'!$C$4:$I$100,5,0),VLOOKUP($C53,CurrentMtgRatesDataTable8[],5,0))</f>
        <v>1714672795.1500001</v>
      </c>
      <c r="I53" s="39">
        <f>IF($C53&lt;=DateToChangeLag,VLOOKUP($C53,'Result-lag'!$C$4:$I$100,6,0),VLOOKUP($C53,CurrentMtgRatesDataTable8[],6,0))</f>
        <v>2161250449</v>
      </c>
      <c r="J53" s="40">
        <f>CurrentMtgRatesDataTable934[[#This Row],[Top 10 Amount]]/CurrentMtgRatesDataTable934[[#This Row],[Total Amount]]</f>
        <v>0.16143833438269128</v>
      </c>
      <c r="K53" s="40">
        <f>CurrentMtgRatesDataTable934[[#This Row],[Top 5 Amount]]/CurrentMtgRatesDataTable934[[#This Row],[Total Amount]]</f>
        <v>0.1250587724354349</v>
      </c>
      <c r="L53" s="40">
        <f>CurrentMtgRatesDataTable934[[#This Row],[Top 1 Amount]]/CurrentMtgRatesDataTable934[[#This Row],[Total Amount]]</f>
        <v>5.5374843244742358E-2</v>
      </c>
      <c r="M53" s="40">
        <f>CurrentMtgRatesDataTable934[[#This Row],[N/A Amount]]/CurrentMtgRatesDataTable934[[#This Row],[Total Amount]]</f>
        <v>6.9796934531485638E-2</v>
      </c>
      <c r="N53" s="43">
        <f t="shared" si="1"/>
        <v>0</v>
      </c>
    </row>
    <row r="54" spans="3:14">
      <c r="C54" s="37">
        <v>40634</v>
      </c>
      <c r="D54" s="16">
        <v>33088841042.959999</v>
      </c>
      <c r="E54" s="39">
        <f>IF(C54&lt;=DateToChangeLag,VLOOKUP(C54,'Result-lag'!$C$4:$H$100,2,0),VLOOKUP(C54,CurrentMtgRatesDataTable8[],2,0))</f>
        <v>33088841042.959999</v>
      </c>
      <c r="F54" s="39">
        <f>IF($C54&lt;=DateToChangeLag,VLOOKUP($C54,'Result-lag'!$C$4:$I$100,3,0),VLOOKUP($C54,CurrentMtgRatesDataTable8[],3,0))</f>
        <v>4432340903.5200005</v>
      </c>
      <c r="G54" s="39">
        <f>IF($C54&lt;=DateToChangeLag,VLOOKUP($C54,'Result-lag'!$C$4:$I$100,4,0),VLOOKUP($C54,CurrentMtgRatesDataTable8[],4,0))</f>
        <v>3171512784.1500001</v>
      </c>
      <c r="H54" s="39">
        <f>IF($C54&lt;=DateToChangeLag,VLOOKUP($C54,'Result-lag'!$C$4:$I$100,5,0),VLOOKUP($C54,CurrentMtgRatesDataTable8[],5,0))</f>
        <v>1116379416.3</v>
      </c>
      <c r="I54" s="39">
        <f>IF($C54&lt;=DateToChangeLag,VLOOKUP($C54,'Result-lag'!$C$4:$I$100,6,0),VLOOKUP($C54,CurrentMtgRatesDataTable8[],6,0))</f>
        <v>2188332466</v>
      </c>
      <c r="J54" s="40">
        <f>CurrentMtgRatesDataTable934[[#This Row],[Top 10 Amount]]/CurrentMtgRatesDataTable934[[#This Row],[Total Amount]]</f>
        <v>0.13395273946782818</v>
      </c>
      <c r="K54" s="40">
        <f>CurrentMtgRatesDataTable934[[#This Row],[Top 5 Amount]]/CurrentMtgRatesDataTable934[[#This Row],[Total Amount]]</f>
        <v>9.5848409439071997E-2</v>
      </c>
      <c r="L54" s="40">
        <f>CurrentMtgRatesDataTable934[[#This Row],[Top 1 Amount]]/CurrentMtgRatesDataTable934[[#This Row],[Total Amount]]</f>
        <v>3.3738849144053701E-2</v>
      </c>
      <c r="M54" s="40">
        <f>CurrentMtgRatesDataTable934[[#This Row],[N/A Amount]]/CurrentMtgRatesDataTable934[[#This Row],[Total Amount]]</f>
        <v>6.6135059343989652E-2</v>
      </c>
      <c r="N54" s="43">
        <f t="shared" si="1"/>
        <v>0</v>
      </c>
    </row>
    <row r="55" spans="3:14">
      <c r="C55" s="37">
        <v>40603</v>
      </c>
      <c r="D55" s="16">
        <v>52478992160.580002</v>
      </c>
      <c r="E55" s="39">
        <f>IF(C55&lt;=DateToChangeLag,VLOOKUP(C55,'Result-lag'!$C$4:$H$100,2,0),VLOOKUP(C55,CurrentMtgRatesDataTable8[],2,0))</f>
        <v>52478992160.580002</v>
      </c>
      <c r="F55" s="39">
        <f>IF($C55&lt;=DateToChangeLag,VLOOKUP($C55,'Result-lag'!$C$4:$I$100,3,0),VLOOKUP($C55,CurrentMtgRatesDataTable8[],3,0))</f>
        <v>7748425558.250001</v>
      </c>
      <c r="G55" s="39">
        <f>IF($C55&lt;=DateToChangeLag,VLOOKUP($C55,'Result-lag'!$C$4:$I$100,4,0),VLOOKUP($C55,CurrentMtgRatesDataTable8[],4,0))</f>
        <v>6303199643.5500002</v>
      </c>
      <c r="H55" s="39">
        <f>IF($C55&lt;=DateToChangeLag,VLOOKUP($C55,'Result-lag'!$C$4:$I$100,5,0),VLOOKUP($C55,CurrentMtgRatesDataTable8[],5,0))</f>
        <v>2586644966.1999998</v>
      </c>
      <c r="I55" s="39">
        <f>IF($C55&lt;=DateToChangeLag,VLOOKUP($C55,'Result-lag'!$C$4:$I$100,6,0),VLOOKUP($C55,CurrentMtgRatesDataTable8[],6,0))</f>
        <v>1193495971</v>
      </c>
      <c r="J55" s="40">
        <f>CurrentMtgRatesDataTable934[[#This Row],[Top 10 Amount]]/CurrentMtgRatesDataTable934[[#This Row],[Total Amount]]</f>
        <v>0.1476481395553608</v>
      </c>
      <c r="K55" s="40">
        <f>CurrentMtgRatesDataTable934[[#This Row],[Top 5 Amount]]/CurrentMtgRatesDataTable934[[#This Row],[Total Amount]]</f>
        <v>0.12010900712923174</v>
      </c>
      <c r="L55" s="40">
        <f>CurrentMtgRatesDataTable934[[#This Row],[Top 1 Amount]]/CurrentMtgRatesDataTable934[[#This Row],[Total Amount]]</f>
        <v>4.928915094796691E-2</v>
      </c>
      <c r="M55" s="40">
        <f>CurrentMtgRatesDataTable934[[#This Row],[N/A Amount]]/CurrentMtgRatesDataTable934[[#This Row],[Total Amount]]</f>
        <v>2.2742356929188585E-2</v>
      </c>
      <c r="N55" s="43">
        <f t="shared" si="1"/>
        <v>0</v>
      </c>
    </row>
    <row r="56" spans="3:14">
      <c r="C56" s="37">
        <v>40575</v>
      </c>
      <c r="D56" s="16">
        <v>51211208108.309998</v>
      </c>
      <c r="E56" s="39">
        <f>IF(C56&lt;=DateToChangeLag,VLOOKUP(C56,'Result-lag'!$C$4:$H$100,2,0),VLOOKUP(C56,CurrentMtgRatesDataTable8[],2,0))</f>
        <v>51211208108.309998</v>
      </c>
      <c r="F56" s="39">
        <f>IF($C56&lt;=DateToChangeLag,VLOOKUP($C56,'Result-lag'!$C$4:$I$100,3,0),VLOOKUP($C56,CurrentMtgRatesDataTable8[],3,0))</f>
        <v>7623069247.4599991</v>
      </c>
      <c r="G56" s="39">
        <f>IF($C56&lt;=DateToChangeLag,VLOOKUP($C56,'Result-lag'!$C$4:$I$100,4,0),VLOOKUP($C56,CurrentMtgRatesDataTable8[],4,0))</f>
        <v>5879680083.6999998</v>
      </c>
      <c r="H56" s="39">
        <f>IF($C56&lt;=DateToChangeLag,VLOOKUP($C56,'Result-lag'!$C$4:$I$100,5,0),VLOOKUP($C56,CurrentMtgRatesDataTable8[],5,0))</f>
        <v>2208311207.8699999</v>
      </c>
      <c r="I56" s="39">
        <f>IF($C56&lt;=DateToChangeLag,VLOOKUP($C56,'Result-lag'!$C$4:$I$100,6,0),VLOOKUP($C56,CurrentMtgRatesDataTable8[],6,0))</f>
        <v>2110053328</v>
      </c>
      <c r="J56" s="40">
        <f>CurrentMtgRatesDataTable934[[#This Row],[Top 10 Amount]]/CurrentMtgRatesDataTable934[[#This Row],[Total Amount]]</f>
        <v>0.14885548552843084</v>
      </c>
      <c r="K56" s="40">
        <f>CurrentMtgRatesDataTable934[[#This Row],[Top 5 Amount]]/CurrentMtgRatesDataTable934[[#This Row],[Total Amount]]</f>
        <v>0.11481236824690158</v>
      </c>
      <c r="L56" s="40">
        <f>CurrentMtgRatesDataTable934[[#This Row],[Top 1 Amount]]/CurrentMtgRatesDataTable934[[#This Row],[Total Amount]]</f>
        <v>4.3121638591292269E-2</v>
      </c>
      <c r="M56" s="40">
        <f>CurrentMtgRatesDataTable934[[#This Row],[N/A Amount]]/CurrentMtgRatesDataTable934[[#This Row],[Total Amount]]</f>
        <v>4.1202959390009071E-2</v>
      </c>
      <c r="N56" s="43">
        <f t="shared" si="1"/>
        <v>0</v>
      </c>
    </row>
    <row r="57" spans="3:14">
      <c r="C57" s="37">
        <v>40544</v>
      </c>
      <c r="D57" s="16">
        <v>66493575674.870003</v>
      </c>
      <c r="E57" s="39">
        <f>IF(C57&lt;=DateToChangeLag,VLOOKUP(C57,'Result-lag'!$C$4:$H$100,2,0),VLOOKUP(C57,CurrentMtgRatesDataTable8[],2,0))</f>
        <v>66493575674.870003</v>
      </c>
      <c r="F57" s="39">
        <f>IF($C57&lt;=DateToChangeLag,VLOOKUP($C57,'Result-lag'!$C$4:$I$100,3,0),VLOOKUP($C57,CurrentMtgRatesDataTable8[],3,0))</f>
        <v>11385628436.73</v>
      </c>
      <c r="G57" s="39">
        <f>IF($C57&lt;=DateToChangeLag,VLOOKUP($C57,'Result-lag'!$C$4:$I$100,4,0),VLOOKUP($C57,CurrentMtgRatesDataTable8[],4,0))</f>
        <v>9266845860.4399986</v>
      </c>
      <c r="H57" s="39">
        <f>IF($C57&lt;=DateToChangeLag,VLOOKUP($C57,'Result-lag'!$C$4:$I$100,5,0),VLOOKUP($C57,CurrentMtgRatesDataTable8[],5,0))</f>
        <v>3768046307.4699998</v>
      </c>
      <c r="I57" s="39">
        <f>IF($C57&lt;=DateToChangeLag,VLOOKUP($C57,'Result-lag'!$C$4:$I$100,6,0),VLOOKUP($C57,CurrentMtgRatesDataTable8[],6,0))</f>
        <v>2120138158</v>
      </c>
      <c r="J57" s="40">
        <f>CurrentMtgRatesDataTable934[[#This Row],[Top 10 Amount]]/CurrentMtgRatesDataTable934[[#This Row],[Total Amount]]</f>
        <v>0.17122899951119613</v>
      </c>
      <c r="K57" s="40">
        <f>CurrentMtgRatesDataTable934[[#This Row],[Top 5 Amount]]/CurrentMtgRatesDataTable934[[#This Row],[Total Amount]]</f>
        <v>0.13936452907498292</v>
      </c>
      <c r="L57" s="40">
        <f>CurrentMtgRatesDataTable934[[#This Row],[Top 1 Amount]]/CurrentMtgRatesDataTable934[[#This Row],[Total Amount]]</f>
        <v>5.6667824962435616E-2</v>
      </c>
      <c r="M57" s="40">
        <f>CurrentMtgRatesDataTable934[[#This Row],[N/A Amount]]/CurrentMtgRatesDataTable934[[#This Row],[Total Amount]]</f>
        <v>3.1884857093062997E-2</v>
      </c>
      <c r="N57" s="43">
        <f t="shared" si="1"/>
        <v>0</v>
      </c>
    </row>
    <row r="58" spans="3:14">
      <c r="C58" s="37">
        <v>40513</v>
      </c>
      <c r="D58" s="16">
        <v>81193901238.820007</v>
      </c>
      <c r="E58" s="39">
        <f>IF(C58&lt;=DateToChangeLag,VLOOKUP(C58,'Result-lag'!$C$4:$H$100,2,0),VLOOKUP(C58,CurrentMtgRatesDataTable8[],2,0))</f>
        <v>81193901238.820007</v>
      </c>
      <c r="F58" s="39">
        <f>IF($C58&lt;=DateToChangeLag,VLOOKUP($C58,'Result-lag'!$C$4:$I$100,3,0),VLOOKUP($C58,CurrentMtgRatesDataTable8[],3,0))</f>
        <v>12341272353.4</v>
      </c>
      <c r="G58" s="39">
        <f>IF($C58&lt;=DateToChangeLag,VLOOKUP($C58,'Result-lag'!$C$4:$I$100,4,0),VLOOKUP($C58,CurrentMtgRatesDataTable8[],4,0))</f>
        <v>9152693473.8100014</v>
      </c>
      <c r="H58" s="39">
        <f>IF($C58&lt;=DateToChangeLag,VLOOKUP($C58,'Result-lag'!$C$4:$I$100,5,0),VLOOKUP($C58,CurrentMtgRatesDataTable8[],5,0))</f>
        <v>4077546240.5599999</v>
      </c>
      <c r="I58" s="39">
        <f>IF($C58&lt;=DateToChangeLag,VLOOKUP($C58,'Result-lag'!$C$4:$I$100,6,0),VLOOKUP($C58,CurrentMtgRatesDataTable8[],6,0))</f>
        <v>1711261234</v>
      </c>
      <c r="J58" s="40">
        <f>CurrentMtgRatesDataTable934[[#This Row],[Top 10 Amount]]/CurrentMtgRatesDataTable934[[#This Row],[Total Amount]]</f>
        <v>0.15199752894124335</v>
      </c>
      <c r="K58" s="40">
        <f>CurrentMtgRatesDataTable934[[#This Row],[Top 5 Amount]]/CurrentMtgRatesDataTable934[[#This Row],[Total Amount]]</f>
        <v>0.11272636656401926</v>
      </c>
      <c r="L58" s="40">
        <f>CurrentMtgRatesDataTable934[[#This Row],[Top 1 Amount]]/CurrentMtgRatesDataTable934[[#This Row],[Total Amount]]</f>
        <v>5.0219858614337212E-2</v>
      </c>
      <c r="M58" s="40">
        <f>CurrentMtgRatesDataTable934[[#This Row],[N/A Amount]]/CurrentMtgRatesDataTable934[[#This Row],[Total Amount]]</f>
        <v>2.1076228730118225E-2</v>
      </c>
      <c r="N58" s="43">
        <f t="shared" si="1"/>
        <v>0</v>
      </c>
    </row>
    <row r="59" spans="3:14">
      <c r="C59" s="37">
        <v>40483</v>
      </c>
      <c r="D59" s="16">
        <v>71397253151.929993</v>
      </c>
      <c r="E59" s="39">
        <f>IF(C59&lt;=DateToChangeLag,VLOOKUP(C59,'Result-lag'!$C$4:$H$100,2,0),VLOOKUP(C59,CurrentMtgRatesDataTable8[],2,0))</f>
        <v>71397253151.929993</v>
      </c>
      <c r="F59" s="39">
        <f>IF($C59&lt;=DateToChangeLag,VLOOKUP($C59,'Result-lag'!$C$4:$I$100,3,0),VLOOKUP($C59,CurrentMtgRatesDataTable8[],3,0))</f>
        <v>14834313042.26</v>
      </c>
      <c r="G59" s="39">
        <f>IF($C59&lt;=DateToChangeLag,VLOOKUP($C59,'Result-lag'!$C$4:$I$100,4,0),VLOOKUP($C59,CurrentMtgRatesDataTable8[],4,0))</f>
        <v>11350936263.34</v>
      </c>
      <c r="H59" s="39">
        <f>IF($C59&lt;=DateToChangeLag,VLOOKUP($C59,'Result-lag'!$C$4:$I$100,5,0),VLOOKUP($C59,CurrentMtgRatesDataTable8[],5,0))</f>
        <v>4631288816.5799999</v>
      </c>
      <c r="I59" s="39">
        <f>IF($C59&lt;=DateToChangeLag,VLOOKUP($C59,'Result-lag'!$C$4:$I$100,6,0),VLOOKUP($C59,CurrentMtgRatesDataTable8[],6,0))</f>
        <v>2036722469</v>
      </c>
      <c r="J59" s="40">
        <f>CurrentMtgRatesDataTable934[[#This Row],[Top 10 Amount]]/CurrentMtgRatesDataTable934[[#This Row],[Total Amount]]</f>
        <v>0.20777148121781774</v>
      </c>
      <c r="K59" s="40">
        <f>CurrentMtgRatesDataTable934[[#This Row],[Top 5 Amount]]/CurrentMtgRatesDataTable934[[#This Row],[Total Amount]]</f>
        <v>0.15898281463553987</v>
      </c>
      <c r="L59" s="40">
        <f>CurrentMtgRatesDataTable934[[#This Row],[Top 1 Amount]]/CurrentMtgRatesDataTable934[[#This Row],[Total Amount]]</f>
        <v>6.4866484523218776E-2</v>
      </c>
      <c r="M59" s="40">
        <f>CurrentMtgRatesDataTable934[[#This Row],[N/A Amount]]/CurrentMtgRatesDataTable934[[#This Row],[Total Amount]]</f>
        <v>2.852662223105349E-2</v>
      </c>
      <c r="N59" s="43">
        <f t="shared" si="1"/>
        <v>0</v>
      </c>
    </row>
    <row r="60" spans="3:14">
      <c r="C60" s="37">
        <v>40452</v>
      </c>
      <c r="D60" s="16">
        <v>68963882096.149994</v>
      </c>
      <c r="E60" s="39">
        <f>IF(C60&lt;=DateToChangeLag,VLOOKUP(C60,'Result-lag'!$C$4:$H$100,2,0),VLOOKUP(C60,CurrentMtgRatesDataTable8[],2,0))</f>
        <v>68963882096.149994</v>
      </c>
      <c r="F60" s="39">
        <f>IF($C60&lt;=DateToChangeLag,VLOOKUP($C60,'Result-lag'!$C$4:$I$100,3,0),VLOOKUP($C60,CurrentMtgRatesDataTable8[],3,0))</f>
        <v>12656435684.909998</v>
      </c>
      <c r="G60" s="39">
        <f>IF($C60&lt;=DateToChangeLag,VLOOKUP($C60,'Result-lag'!$C$4:$I$100,4,0),VLOOKUP($C60,CurrentMtgRatesDataTable8[],4,0))</f>
        <v>10039143710.769999</v>
      </c>
      <c r="H60" s="39">
        <f>IF($C60&lt;=DateToChangeLag,VLOOKUP($C60,'Result-lag'!$C$4:$I$100,5,0),VLOOKUP($C60,CurrentMtgRatesDataTable8[],5,0))</f>
        <v>4867074403.2299995</v>
      </c>
      <c r="I60" s="39">
        <f>IF($C60&lt;=DateToChangeLag,VLOOKUP($C60,'Result-lag'!$C$4:$I$100,6,0),VLOOKUP($C60,CurrentMtgRatesDataTable8[],6,0))</f>
        <v>2453232976</v>
      </c>
      <c r="J60" s="40">
        <f>CurrentMtgRatesDataTable934[[#This Row],[Top 10 Amount]]/CurrentMtgRatesDataTable934[[#This Row],[Total Amount]]</f>
        <v>0.18352266868132938</v>
      </c>
      <c r="K60" s="40">
        <f>CurrentMtgRatesDataTable934[[#This Row],[Top 5 Amount]]/CurrentMtgRatesDataTable934[[#This Row],[Total Amount]]</f>
        <v>0.14557103523803003</v>
      </c>
      <c r="L60" s="40">
        <f>CurrentMtgRatesDataTable934[[#This Row],[Top 1 Amount]]/CurrentMtgRatesDataTable934[[#This Row],[Total Amount]]</f>
        <v>7.0574252134534499E-2</v>
      </c>
      <c r="M60" s="40">
        <f>CurrentMtgRatesDataTable934[[#This Row],[N/A Amount]]/CurrentMtgRatesDataTable934[[#This Row],[Total Amount]]</f>
        <v>3.5572721567206485E-2</v>
      </c>
      <c r="N60" s="43">
        <f t="shared" si="1"/>
        <v>0</v>
      </c>
    </row>
    <row r="61" spans="3:14">
      <c r="C61" s="37">
        <v>40422</v>
      </c>
      <c r="D61" s="16">
        <v>69384338986.350006</v>
      </c>
      <c r="E61" s="39">
        <f>IF(C61&lt;=DateToChangeLag,VLOOKUP(C61,'Result-lag'!$C$4:$H$100,2,0),VLOOKUP(C61,CurrentMtgRatesDataTable8[],2,0))</f>
        <v>69384338986.350006</v>
      </c>
      <c r="F61" s="39">
        <f>IF($C61&lt;=DateToChangeLag,VLOOKUP($C61,'Result-lag'!$C$4:$I$100,3,0),VLOOKUP($C61,CurrentMtgRatesDataTable8[],3,0))</f>
        <v>11576976297.039999</v>
      </c>
      <c r="G61" s="39">
        <f>IF($C61&lt;=DateToChangeLag,VLOOKUP($C61,'Result-lag'!$C$4:$I$100,4,0),VLOOKUP($C61,CurrentMtgRatesDataTable8[],4,0))</f>
        <v>9432107049.0699997</v>
      </c>
      <c r="H61" s="39">
        <f>IF($C61&lt;=DateToChangeLag,VLOOKUP($C61,'Result-lag'!$C$4:$I$100,5,0),VLOOKUP($C61,CurrentMtgRatesDataTable8[],5,0))</f>
        <v>3646842839.0100002</v>
      </c>
      <c r="I61" s="39">
        <f>IF($C61&lt;=DateToChangeLag,VLOOKUP($C61,'Result-lag'!$C$4:$I$100,6,0),VLOOKUP($C61,CurrentMtgRatesDataTable8[],6,0))</f>
        <v>1655819481</v>
      </c>
      <c r="J61" s="40">
        <f>CurrentMtgRatesDataTable934[[#This Row],[Top 10 Amount]]/CurrentMtgRatesDataTable934[[#This Row],[Total Amount]]</f>
        <v>0.16685287294179657</v>
      </c>
      <c r="K61" s="40">
        <f>CurrentMtgRatesDataTable934[[#This Row],[Top 5 Amount]]/CurrentMtgRatesDataTable934[[#This Row],[Total Amount]]</f>
        <v>0.13594000010471499</v>
      </c>
      <c r="L61" s="40">
        <f>CurrentMtgRatesDataTable934[[#This Row],[Top 1 Amount]]/CurrentMtgRatesDataTable934[[#This Row],[Total Amount]]</f>
        <v>5.2560028563901781E-2</v>
      </c>
      <c r="M61" s="40">
        <f>CurrentMtgRatesDataTable934[[#This Row],[N/A Amount]]/CurrentMtgRatesDataTable934[[#This Row],[Total Amount]]</f>
        <v>2.386445565656754E-2</v>
      </c>
      <c r="N61" s="43">
        <f t="shared" si="1"/>
        <v>0</v>
      </c>
    </row>
    <row r="62" spans="3:14">
      <c r="C62" s="37">
        <v>40391</v>
      </c>
      <c r="D62" s="16">
        <v>46909004959.040001</v>
      </c>
      <c r="E62" s="39">
        <f>IF(C62&lt;=DateToChangeLag,VLOOKUP(C62,'Result-lag'!$C$4:$H$100,2,0),VLOOKUP(C62,CurrentMtgRatesDataTable8[],2,0))</f>
        <v>46909004959.040001</v>
      </c>
      <c r="F62" s="39">
        <f>IF($C62&lt;=DateToChangeLag,VLOOKUP($C62,'Result-lag'!$C$4:$I$100,3,0),VLOOKUP($C62,CurrentMtgRatesDataTable8[],3,0))</f>
        <v>8484312750.2099991</v>
      </c>
      <c r="G62" s="39">
        <f>IF($C62&lt;=DateToChangeLag,VLOOKUP($C62,'Result-lag'!$C$4:$I$100,4,0),VLOOKUP($C62,CurrentMtgRatesDataTable8[],4,0))</f>
        <v>6824069886.7099991</v>
      </c>
      <c r="H62" s="39">
        <f>IF($C62&lt;=DateToChangeLag,VLOOKUP($C62,'Result-lag'!$C$4:$I$100,5,0),VLOOKUP($C62,CurrentMtgRatesDataTable8[],5,0))</f>
        <v>2690541294.77</v>
      </c>
      <c r="I62" s="39">
        <f>IF($C62&lt;=DateToChangeLag,VLOOKUP($C62,'Result-lag'!$C$4:$I$100,6,0),VLOOKUP($C62,CurrentMtgRatesDataTable8[],6,0))</f>
        <v>2325261137</v>
      </c>
      <c r="J62" s="40">
        <f>CurrentMtgRatesDataTable934[[#This Row],[Top 10 Amount]]/CurrentMtgRatesDataTable934[[#This Row],[Total Amount]]</f>
        <v>0.18086746366967985</v>
      </c>
      <c r="K62" s="40">
        <f>CurrentMtgRatesDataTable934[[#This Row],[Top 5 Amount]]/CurrentMtgRatesDataTable934[[#This Row],[Total Amount]]</f>
        <v>0.1454746245985955</v>
      </c>
      <c r="L62" s="40">
        <f>CurrentMtgRatesDataTable934[[#This Row],[Top 1 Amount]]/CurrentMtgRatesDataTable934[[#This Row],[Total Amount]]</f>
        <v>5.7356605562606293E-2</v>
      </c>
      <c r="M62" s="40">
        <f>CurrentMtgRatesDataTable934[[#This Row],[N/A Amount]]/CurrentMtgRatesDataTable934[[#This Row],[Total Amount]]</f>
        <v>4.9569611187241583E-2</v>
      </c>
      <c r="N62" s="43">
        <f t="shared" si="1"/>
        <v>0</v>
      </c>
    </row>
    <row r="63" spans="3:14">
      <c r="C63" s="37">
        <v>40360</v>
      </c>
      <c r="D63" s="16">
        <v>40829244339.580002</v>
      </c>
      <c r="E63" s="39">
        <f>IF(C63&lt;=DateToChangeLag,VLOOKUP(C63,'Result-lag'!$C$4:$H$100,2,0),VLOOKUP(C63,CurrentMtgRatesDataTable8[],2,0))</f>
        <v>40829244339.580002</v>
      </c>
      <c r="F63" s="39">
        <f>IF($C63&lt;=DateToChangeLag,VLOOKUP($C63,'Result-lag'!$C$4:$I$100,3,0),VLOOKUP($C63,CurrentMtgRatesDataTable8[],3,0))</f>
        <v>6454731916.5699997</v>
      </c>
      <c r="G63" s="39">
        <f>IF($C63&lt;=DateToChangeLag,VLOOKUP($C63,'Result-lag'!$C$4:$I$100,4,0),VLOOKUP($C63,CurrentMtgRatesDataTable8[],4,0))</f>
        <v>5265427102.4799995</v>
      </c>
      <c r="H63" s="39">
        <f>IF($C63&lt;=DateToChangeLag,VLOOKUP($C63,'Result-lag'!$C$4:$I$100,5,0),VLOOKUP($C63,CurrentMtgRatesDataTable8[],5,0))</f>
        <v>2520047942.54</v>
      </c>
      <c r="I63" s="39">
        <f>IF($C63&lt;=DateToChangeLag,VLOOKUP($C63,'Result-lag'!$C$4:$I$100,6,0),VLOOKUP($C63,CurrentMtgRatesDataTable8[],6,0))</f>
        <v>1567537459</v>
      </c>
      <c r="J63" s="40">
        <f>CurrentMtgRatesDataTable934[[#This Row],[Top 10 Amount]]/CurrentMtgRatesDataTable934[[#This Row],[Total Amount]]</f>
        <v>0.15809089834936674</v>
      </c>
      <c r="K63" s="40">
        <f>CurrentMtgRatesDataTable934[[#This Row],[Top 5 Amount]]/CurrentMtgRatesDataTable934[[#This Row],[Total Amount]]</f>
        <v>0.12896214925476046</v>
      </c>
      <c r="L63" s="40">
        <f>CurrentMtgRatesDataTable934[[#This Row],[Top 1 Amount]]/CurrentMtgRatesDataTable934[[#This Row],[Total Amount]]</f>
        <v>6.1721640537369858E-2</v>
      </c>
      <c r="M63" s="40">
        <f>CurrentMtgRatesDataTable934[[#This Row],[N/A Amount]]/CurrentMtgRatesDataTable934[[#This Row],[Total Amount]]</f>
        <v>3.8392517039077895E-2</v>
      </c>
      <c r="N63" s="43">
        <f t="shared" si="1"/>
        <v>0</v>
      </c>
    </row>
    <row r="64" spans="3:14">
      <c r="C64" s="37">
        <v>40330</v>
      </c>
      <c r="D64" s="16">
        <v>37643702495.970001</v>
      </c>
      <c r="E64" s="39">
        <f>IF(C64&lt;=DateToChangeLag,VLOOKUP(C64,'Result-lag'!$C$4:$H$100,2,0),VLOOKUP(C64,CurrentMtgRatesDataTable8[],2,0))</f>
        <v>37643702495.970001</v>
      </c>
      <c r="F64" s="39">
        <f>IF($C64&lt;=DateToChangeLag,VLOOKUP($C64,'Result-lag'!$C$4:$I$100,3,0),VLOOKUP($C64,CurrentMtgRatesDataTable8[],3,0))</f>
        <v>5374440537.4000006</v>
      </c>
      <c r="G64" s="39">
        <f>IF($C64&lt;=DateToChangeLag,VLOOKUP($C64,'Result-lag'!$C$4:$I$100,4,0),VLOOKUP($C64,CurrentMtgRatesDataTable8[],4,0))</f>
        <v>4368467478.8699999</v>
      </c>
      <c r="H64" s="39">
        <f>IF($C64&lt;=DateToChangeLag,VLOOKUP($C64,'Result-lag'!$C$4:$I$100,5,0),VLOOKUP($C64,CurrentMtgRatesDataTable8[],5,0))</f>
        <v>1873141654.6800001</v>
      </c>
      <c r="I64" s="39">
        <f>IF($C64&lt;=DateToChangeLag,VLOOKUP($C64,'Result-lag'!$C$4:$I$100,6,0),VLOOKUP($C64,CurrentMtgRatesDataTable8[],6,0))</f>
        <v>1496216485</v>
      </c>
      <c r="J64" s="40">
        <f>CurrentMtgRatesDataTable934[[#This Row],[Top 10 Amount]]/CurrentMtgRatesDataTable934[[#This Row],[Total Amount]]</f>
        <v>0.14277130518644834</v>
      </c>
      <c r="K64" s="40">
        <f>CurrentMtgRatesDataTable934[[#This Row],[Top 5 Amount]]/CurrentMtgRatesDataTable934[[#This Row],[Total Amount]]</f>
        <v>0.11604776334999652</v>
      </c>
      <c r="L64" s="40">
        <f>CurrentMtgRatesDataTable934[[#This Row],[Top 1 Amount]]/CurrentMtgRatesDataTable934[[#This Row],[Total Amount]]</f>
        <v>4.9759761407118012E-2</v>
      </c>
      <c r="M64" s="40">
        <f>CurrentMtgRatesDataTable934[[#This Row],[N/A Amount]]/CurrentMtgRatesDataTable934[[#This Row],[Total Amount]]</f>
        <v>3.974679390690062E-2</v>
      </c>
      <c r="N64" s="43">
        <f t="shared" si="1"/>
        <v>0</v>
      </c>
    </row>
    <row r="65" spans="3:14">
      <c r="C65" s="37">
        <v>40299</v>
      </c>
      <c r="D65" s="16">
        <v>36336611081.309998</v>
      </c>
      <c r="E65" s="39">
        <f>IF(C65&lt;=DateToChangeLag,VLOOKUP(C65,'Result-lag'!$C$4:$H$100,2,0),VLOOKUP(C65,CurrentMtgRatesDataTable8[],2,0))</f>
        <v>36336611081.309998</v>
      </c>
      <c r="F65" s="39">
        <f>IF($C65&lt;=DateToChangeLag,VLOOKUP($C65,'Result-lag'!$C$4:$I$100,3,0),VLOOKUP($C65,CurrentMtgRatesDataTable8[],3,0))</f>
        <v>4381569427.4099998</v>
      </c>
      <c r="G65" s="39">
        <f>IF($C65&lt;=DateToChangeLag,VLOOKUP($C65,'Result-lag'!$C$4:$I$100,4,0),VLOOKUP($C65,CurrentMtgRatesDataTable8[],4,0))</f>
        <v>3479178192.2999997</v>
      </c>
      <c r="H65" s="39">
        <f>IF($C65&lt;=DateToChangeLag,VLOOKUP($C65,'Result-lag'!$C$4:$I$100,5,0),VLOOKUP($C65,CurrentMtgRatesDataTable8[],5,0))</f>
        <v>1280550786.26</v>
      </c>
      <c r="I65" s="39">
        <f>IF($C65&lt;=DateToChangeLag,VLOOKUP($C65,'Result-lag'!$C$4:$I$100,6,0),VLOOKUP($C65,CurrentMtgRatesDataTable8[],6,0))</f>
        <v>7568970433</v>
      </c>
      <c r="J65" s="40">
        <f>CurrentMtgRatesDataTable934[[#This Row],[Top 10 Amount]]/CurrentMtgRatesDataTable934[[#This Row],[Total Amount]]</f>
        <v>0.12058277580166776</v>
      </c>
      <c r="K65" s="40">
        <f>CurrentMtgRatesDataTable934[[#This Row],[Top 5 Amount]]/CurrentMtgRatesDataTable934[[#This Row],[Total Amount]]</f>
        <v>9.5748560164696822E-2</v>
      </c>
      <c r="L65" s="40">
        <f>CurrentMtgRatesDataTable934[[#This Row],[Top 1 Amount]]/CurrentMtgRatesDataTable934[[#This Row],[Total Amount]]</f>
        <v>3.5241337817512118E-2</v>
      </c>
      <c r="M65" s="40">
        <f>CurrentMtgRatesDataTable934[[#This Row],[N/A Amount]]/CurrentMtgRatesDataTable934[[#This Row],[Total Amount]]</f>
        <v>0.20830149559250327</v>
      </c>
      <c r="N65" s="43">
        <f t="shared" si="1"/>
        <v>0</v>
      </c>
    </row>
    <row r="66" spans="3:14">
      <c r="C66" s="37">
        <v>40269</v>
      </c>
      <c r="D66" s="16">
        <v>36544416365.050003</v>
      </c>
      <c r="E66" s="39">
        <f>IF(C66&lt;=DateToChangeLag,VLOOKUP(C66,'Result-lag'!$C$4:$H$100,2,0),VLOOKUP(C66,CurrentMtgRatesDataTable8[],2,0))</f>
        <v>36544416365.050003</v>
      </c>
      <c r="F66" s="39">
        <f>IF($C66&lt;=DateToChangeLag,VLOOKUP($C66,'Result-lag'!$C$4:$I$100,3,0),VLOOKUP($C66,CurrentMtgRatesDataTable8[],3,0))</f>
        <v>4192321864.4699998</v>
      </c>
      <c r="G66" s="39">
        <f>IF($C66&lt;=DateToChangeLag,VLOOKUP($C66,'Result-lag'!$C$4:$I$100,4,0),VLOOKUP($C66,CurrentMtgRatesDataTable8[],4,0))</f>
        <v>3058674109.3299999</v>
      </c>
      <c r="H66" s="39">
        <f>IF($C66&lt;=DateToChangeLag,VLOOKUP($C66,'Result-lag'!$C$4:$I$100,5,0),VLOOKUP($C66,CurrentMtgRatesDataTable8[],5,0))</f>
        <v>1206641880.98</v>
      </c>
      <c r="I66" s="39">
        <f>IF($C66&lt;=DateToChangeLag,VLOOKUP($C66,'Result-lag'!$C$4:$I$100,6,0),VLOOKUP($C66,CurrentMtgRatesDataTable8[],6,0))</f>
        <v>8738434979</v>
      </c>
      <c r="J66" s="40">
        <f>CurrentMtgRatesDataTable934[[#This Row],[Top 10 Amount]]/CurrentMtgRatesDataTable934[[#This Row],[Total Amount]]</f>
        <v>0.11471853381353798</v>
      </c>
      <c r="K66" s="40">
        <f>CurrentMtgRatesDataTable934[[#This Row],[Top 5 Amount]]/CurrentMtgRatesDataTable934[[#This Row],[Total Amount]]</f>
        <v>8.3697440363426495E-2</v>
      </c>
      <c r="L66" s="40">
        <f>CurrentMtgRatesDataTable934[[#This Row],[Top 1 Amount]]/CurrentMtgRatesDataTable934[[#This Row],[Total Amount]]</f>
        <v>3.3018501894423374E-2</v>
      </c>
      <c r="M66" s="40">
        <f>CurrentMtgRatesDataTable934[[#This Row],[N/A Amount]]/CurrentMtgRatesDataTable934[[#This Row],[Total Amount]]</f>
        <v>0.23911819774900497</v>
      </c>
      <c r="N66" s="43">
        <f t="shared" si="1"/>
        <v>0</v>
      </c>
    </row>
    <row r="67" spans="3:14">
      <c r="C67" s="37">
        <v>40238</v>
      </c>
      <c r="D67" s="16">
        <v>36714521904.68</v>
      </c>
      <c r="E67" s="39">
        <f>IF(C67&lt;=DateToChangeLag,VLOOKUP(C67,'Result-lag'!$C$4:$H$100,2,0),VLOOKUP(C67,CurrentMtgRatesDataTable8[],2,0))</f>
        <v>36714521904.68</v>
      </c>
      <c r="F67" s="39">
        <f>IF($C67&lt;=DateToChangeLag,VLOOKUP($C67,'Result-lag'!$C$4:$I$100,3,0),VLOOKUP($C67,CurrentMtgRatesDataTable8[],3,0))</f>
        <v>3559555993.6900005</v>
      </c>
      <c r="G67" s="39">
        <f>IF($C67&lt;=DateToChangeLag,VLOOKUP($C67,'Result-lag'!$C$4:$I$100,4,0),VLOOKUP($C67,CurrentMtgRatesDataTable8[],4,0))</f>
        <v>2603533805.5</v>
      </c>
      <c r="H67" s="39">
        <f>IF($C67&lt;=DateToChangeLag,VLOOKUP($C67,'Result-lag'!$C$4:$I$100,5,0),VLOOKUP($C67,CurrentMtgRatesDataTable8[],5,0))</f>
        <v>1009165492.87</v>
      </c>
      <c r="I67" s="39">
        <f>IF($C67&lt;=DateToChangeLag,VLOOKUP($C67,'Result-lag'!$C$4:$I$100,6,0),VLOOKUP($C67,CurrentMtgRatesDataTable8[],6,0))</f>
        <v>12061455302</v>
      </c>
      <c r="J67" s="40">
        <f>CurrentMtgRatesDataTable934[[#This Row],[Top 10 Amount]]/CurrentMtgRatesDataTable934[[#This Row],[Total Amount]]</f>
        <v>9.6952263274229483E-2</v>
      </c>
      <c r="K67" s="40">
        <f>CurrentMtgRatesDataTable934[[#This Row],[Top 5 Amount]]/CurrentMtgRatesDataTable934[[#This Row],[Total Amount]]</f>
        <v>7.0912915937171098E-2</v>
      </c>
      <c r="L67" s="40">
        <f>CurrentMtgRatesDataTable934[[#This Row],[Top 1 Amount]]/CurrentMtgRatesDataTable934[[#This Row],[Total Amount]]</f>
        <v>2.7486821032016807E-2</v>
      </c>
      <c r="M67" s="40">
        <f>CurrentMtgRatesDataTable934[[#This Row],[N/A Amount]]/CurrentMtgRatesDataTable934[[#This Row],[Total Amount]]</f>
        <v>0.32852001541282566</v>
      </c>
      <c r="N67" s="43">
        <f t="shared" si="1"/>
        <v>0</v>
      </c>
    </row>
    <row r="68" spans="3:14">
      <c r="C68" s="37">
        <v>40210</v>
      </c>
      <c r="D68" s="16">
        <v>43331380880.580002</v>
      </c>
      <c r="E68" s="39">
        <f>IF(C68&lt;=DateToChangeLag,VLOOKUP(C68,'Result-lag'!$C$4:$H$100,2,0),VLOOKUP(C68,CurrentMtgRatesDataTable8[],2,0))</f>
        <v>43331380880.580002</v>
      </c>
      <c r="F68" s="39">
        <f>IF($C68&lt;=DateToChangeLag,VLOOKUP($C68,'Result-lag'!$C$4:$I$100,3,0),VLOOKUP($C68,CurrentMtgRatesDataTable8[],3,0))</f>
        <v>5161258670.1899996</v>
      </c>
      <c r="G68" s="39">
        <f>IF($C68&lt;=DateToChangeLag,VLOOKUP($C68,'Result-lag'!$C$4:$I$100,4,0),VLOOKUP($C68,CurrentMtgRatesDataTable8[],4,0))</f>
        <v>3784686684.2799997</v>
      </c>
      <c r="H68" s="39">
        <f>IF($C68&lt;=DateToChangeLag,VLOOKUP($C68,'Result-lag'!$C$4:$I$100,5,0),VLOOKUP($C68,CurrentMtgRatesDataTable8[],5,0))</f>
        <v>2017223525.6800001</v>
      </c>
      <c r="I68" s="39">
        <f>IF($C68&lt;=DateToChangeLag,VLOOKUP($C68,'Result-lag'!$C$4:$I$100,6,0),VLOOKUP($C68,CurrentMtgRatesDataTable8[],6,0))</f>
        <v>10644755641</v>
      </c>
      <c r="J68" s="40">
        <f>CurrentMtgRatesDataTable934[[#This Row],[Top 10 Amount]]/CurrentMtgRatesDataTable934[[#This Row],[Total Amount]]</f>
        <v>0.11911133606413964</v>
      </c>
      <c r="K68" s="40">
        <f>CurrentMtgRatesDataTable934[[#This Row],[Top 5 Amount]]/CurrentMtgRatesDataTable934[[#This Row],[Total Amount]]</f>
        <v>8.734285885581361E-2</v>
      </c>
      <c r="L68" s="40">
        <f>CurrentMtgRatesDataTable934[[#This Row],[Top 1 Amount]]/CurrentMtgRatesDataTable934[[#This Row],[Total Amount]]</f>
        <v>4.6553409669528145E-2</v>
      </c>
      <c r="M68" s="40">
        <f>CurrentMtgRatesDataTable934[[#This Row],[N/A Amount]]/CurrentMtgRatesDataTable934[[#This Row],[Total Amount]]</f>
        <v>0.24565927567221157</v>
      </c>
      <c r="N68" s="43">
        <f t="shared" ref="N68:N100" si="2">IF(C68&lt;=DateToChangeLag,1,0)</f>
        <v>0</v>
      </c>
    </row>
    <row r="69" spans="3:14">
      <c r="C69" s="37">
        <v>40179</v>
      </c>
      <c r="D69" s="16">
        <v>41171224451.529999</v>
      </c>
      <c r="E69" s="39">
        <f>IF(C69&lt;=DateToChangeLag,VLOOKUP(C69,'Result-lag'!$C$4:$H$100,2,0),VLOOKUP(C69,CurrentMtgRatesDataTable8[],2,0))</f>
        <v>41171224451.529999</v>
      </c>
      <c r="F69" s="39">
        <f>IF($C69&lt;=DateToChangeLag,VLOOKUP($C69,'Result-lag'!$C$4:$I$100,3,0),VLOOKUP($C69,CurrentMtgRatesDataTable8[],3,0))</f>
        <v>5779565710</v>
      </c>
      <c r="G69" s="39">
        <f>IF($C69&lt;=DateToChangeLag,VLOOKUP($C69,'Result-lag'!$C$4:$I$100,4,0),VLOOKUP($C69,CurrentMtgRatesDataTable8[],4,0))</f>
        <v>4166678306.75</v>
      </c>
      <c r="H69" s="39">
        <f>IF($C69&lt;=DateToChangeLag,VLOOKUP($C69,'Result-lag'!$C$4:$I$100,5,0),VLOOKUP($C69,CurrentMtgRatesDataTable8[],5,0))</f>
        <v>1887253190.6600001</v>
      </c>
      <c r="I69" s="39">
        <f>IF($C69&lt;=DateToChangeLag,VLOOKUP($C69,'Result-lag'!$C$4:$I$100,6,0),VLOOKUP($C69,CurrentMtgRatesDataTable8[],6,0))</f>
        <v>8643108800</v>
      </c>
      <c r="J69" s="40">
        <f>CurrentMtgRatesDataTable934[[#This Row],[Top 10 Amount]]/CurrentMtgRatesDataTable934[[#This Row],[Total Amount]]</f>
        <v>0.14037876665058041</v>
      </c>
      <c r="K69" s="40">
        <f>CurrentMtgRatesDataTable934[[#This Row],[Top 5 Amount]]/CurrentMtgRatesDataTable934[[#This Row],[Total Amount]]</f>
        <v>0.1012036528487352</v>
      </c>
      <c r="L69" s="40">
        <f>CurrentMtgRatesDataTable934[[#This Row],[Top 1 Amount]]/CurrentMtgRatesDataTable934[[#This Row],[Total Amount]]</f>
        <v>4.583913196173757E-2</v>
      </c>
      <c r="M69" s="40">
        <f>CurrentMtgRatesDataTable934[[#This Row],[N/A Amount]]/CurrentMtgRatesDataTable934[[#This Row],[Total Amount]]</f>
        <v>0.20993081734004163</v>
      </c>
      <c r="N69" s="43">
        <f t="shared" si="2"/>
        <v>0</v>
      </c>
    </row>
    <row r="70" spans="3:14">
      <c r="C70" s="37">
        <v>40148</v>
      </c>
      <c r="D70" s="16">
        <v>49380885366.279999</v>
      </c>
      <c r="E70" s="39">
        <f>IF(C70&lt;=DateToChangeLag,VLOOKUP(C70,'Result-lag'!$C$4:$H$100,2,0),VLOOKUP(C70,CurrentMtgRatesDataTable8[],2,0))</f>
        <v>49380885366.279999</v>
      </c>
      <c r="F70" s="39">
        <f>IF($C70&lt;=DateToChangeLag,VLOOKUP($C70,'Result-lag'!$C$4:$I$100,3,0),VLOOKUP($C70,CurrentMtgRatesDataTable8[],3,0))</f>
        <v>6267023192.8300009</v>
      </c>
      <c r="G70" s="39">
        <f>IF($C70&lt;=DateToChangeLag,VLOOKUP($C70,'Result-lag'!$C$4:$I$100,4,0),VLOOKUP($C70,CurrentMtgRatesDataTable8[],4,0))</f>
        <v>4953854976.7700005</v>
      </c>
      <c r="H70" s="39">
        <f>IF($C70&lt;=DateToChangeLag,VLOOKUP($C70,'Result-lag'!$C$4:$I$100,5,0),VLOOKUP($C70,CurrentMtgRatesDataTable8[],5,0))</f>
        <v>1731178948.49</v>
      </c>
      <c r="I70" s="39">
        <f>IF($C70&lt;=DateToChangeLag,VLOOKUP($C70,'Result-lag'!$C$4:$I$100,6,0),VLOOKUP($C70,CurrentMtgRatesDataTable8[],6,0))</f>
        <v>12468205867</v>
      </c>
      <c r="J70" s="40">
        <f>CurrentMtgRatesDataTable934[[#This Row],[Top 10 Amount]]/CurrentMtgRatesDataTable934[[#This Row],[Total Amount]]</f>
        <v>0.12691192444899888</v>
      </c>
      <c r="K70" s="40">
        <f>CurrentMtgRatesDataTable934[[#This Row],[Top 5 Amount]]/CurrentMtgRatesDataTable934[[#This Row],[Total Amount]]</f>
        <v>0.10031928224909403</v>
      </c>
      <c r="L70" s="40">
        <f>CurrentMtgRatesDataTable934[[#This Row],[Top 1 Amount]]/CurrentMtgRatesDataTable934[[#This Row],[Total Amount]]</f>
        <v>3.5057673341599191E-2</v>
      </c>
      <c r="M70" s="40">
        <f>CurrentMtgRatesDataTable934[[#This Row],[N/A Amount]]/CurrentMtgRatesDataTable934[[#This Row],[Total Amount]]</f>
        <v>0.25249052896718577</v>
      </c>
      <c r="N70" s="43">
        <f t="shared" si="2"/>
        <v>0</v>
      </c>
    </row>
    <row r="71" spans="3:14">
      <c r="C71" s="37">
        <v>40118</v>
      </c>
      <c r="D71" s="16">
        <v>39630338873.360001</v>
      </c>
      <c r="E71" s="39">
        <f>IF(C71&lt;=DateToChangeLag,VLOOKUP(C71,'Result-lag'!$C$4:$H$100,2,0),VLOOKUP(C71,CurrentMtgRatesDataTable8[],2,0))</f>
        <v>39630338873.360001</v>
      </c>
      <c r="F71" s="39">
        <f>IF($C71&lt;=DateToChangeLag,VLOOKUP($C71,'Result-lag'!$C$4:$I$100,3,0),VLOOKUP($C71,CurrentMtgRatesDataTable8[],3,0))</f>
        <v>5187264580.5900002</v>
      </c>
      <c r="G71" s="39">
        <f>IF($C71&lt;=DateToChangeLag,VLOOKUP($C71,'Result-lag'!$C$4:$I$100,4,0),VLOOKUP($C71,CurrentMtgRatesDataTable8[],4,0))</f>
        <v>4209164136.5900002</v>
      </c>
      <c r="H71" s="39">
        <f>IF($C71&lt;=DateToChangeLag,VLOOKUP($C71,'Result-lag'!$C$4:$I$100,5,0),VLOOKUP($C71,CurrentMtgRatesDataTable8[],5,0))</f>
        <v>1807093775.6700001</v>
      </c>
      <c r="I71" s="39">
        <f>IF($C71&lt;=DateToChangeLag,VLOOKUP($C71,'Result-lag'!$C$4:$I$100,6,0),VLOOKUP($C71,CurrentMtgRatesDataTable8[],6,0))</f>
        <v>10790428166</v>
      </c>
      <c r="J71" s="40">
        <f>CurrentMtgRatesDataTable934[[#This Row],[Top 10 Amount]]/CurrentMtgRatesDataTable934[[#This Row],[Total Amount]]</f>
        <v>0.13089124968540056</v>
      </c>
      <c r="K71" s="40">
        <f>CurrentMtgRatesDataTable934[[#This Row],[Top 5 Amount]]/CurrentMtgRatesDataTable934[[#This Row],[Total Amount]]</f>
        <v>0.10621065214810595</v>
      </c>
      <c r="L71" s="40">
        <f>CurrentMtgRatesDataTable934[[#This Row],[Top 1 Amount]]/CurrentMtgRatesDataTable934[[#This Row],[Total Amount]]</f>
        <v>4.5598746491788154E-2</v>
      </c>
      <c r="M71" s="40">
        <f>CurrentMtgRatesDataTable934[[#This Row],[N/A Amount]]/CurrentMtgRatesDataTable934[[#This Row],[Total Amount]]</f>
        <v>0.27227695933868123</v>
      </c>
      <c r="N71" s="43">
        <f t="shared" si="2"/>
        <v>0</v>
      </c>
    </row>
    <row r="72" spans="3:14">
      <c r="C72" s="37">
        <v>40087</v>
      </c>
      <c r="D72" s="16">
        <v>40018067422.019997</v>
      </c>
      <c r="E72" s="39">
        <f>IF(C72&lt;=DateToChangeLag,VLOOKUP(C72,'Result-lag'!$C$4:$H$100,2,0),VLOOKUP(C72,CurrentMtgRatesDataTable8[],2,0))</f>
        <v>40018067422.019997</v>
      </c>
      <c r="F72" s="39">
        <f>IF($C72&lt;=DateToChangeLag,VLOOKUP($C72,'Result-lag'!$C$4:$I$100,3,0),VLOOKUP($C72,CurrentMtgRatesDataTable8[],3,0))</f>
        <v>4673266833.21</v>
      </c>
      <c r="G72" s="39">
        <f>IF($C72&lt;=DateToChangeLag,VLOOKUP($C72,'Result-lag'!$C$4:$I$100,4,0),VLOOKUP($C72,CurrentMtgRatesDataTable8[],4,0))</f>
        <v>3647023090.8199997</v>
      </c>
      <c r="H72" s="39">
        <f>IF($C72&lt;=DateToChangeLag,VLOOKUP($C72,'Result-lag'!$C$4:$I$100,5,0),VLOOKUP($C72,CurrentMtgRatesDataTable8[],5,0))</f>
        <v>1418743217.1300001</v>
      </c>
      <c r="I72" s="39">
        <f>IF($C72&lt;=DateToChangeLag,VLOOKUP($C72,'Result-lag'!$C$4:$I$100,6,0),VLOOKUP($C72,CurrentMtgRatesDataTable8[],6,0))</f>
        <v>13765119592</v>
      </c>
      <c r="J72" s="40">
        <f>CurrentMtgRatesDataTable934[[#This Row],[Top 10 Amount]]/CurrentMtgRatesDataTable934[[#This Row],[Total Amount]]</f>
        <v>0.11677892347791209</v>
      </c>
      <c r="K72" s="40">
        <f>CurrentMtgRatesDataTable934[[#This Row],[Top 5 Amount]]/CurrentMtgRatesDataTable934[[#This Row],[Total Amount]]</f>
        <v>9.1134413172916498E-2</v>
      </c>
      <c r="L72" s="40">
        <f>CurrentMtgRatesDataTable934[[#This Row],[Top 1 Amount]]/CurrentMtgRatesDataTable934[[#This Row],[Total Amount]]</f>
        <v>3.5452567016000747E-2</v>
      </c>
      <c r="M72" s="40">
        <f>CurrentMtgRatesDataTable934[[#This Row],[N/A Amount]]/CurrentMtgRatesDataTable934[[#This Row],[Total Amount]]</f>
        <v>0.34397262233672293</v>
      </c>
      <c r="N72" s="43">
        <f t="shared" si="2"/>
        <v>0</v>
      </c>
    </row>
    <row r="73" spans="3:14">
      <c r="C73" s="37">
        <v>40057</v>
      </c>
      <c r="D73" s="16">
        <v>58721966516.220001</v>
      </c>
      <c r="E73" s="39">
        <f>IF(C73&lt;=DateToChangeLag,VLOOKUP(C73,'Result-lag'!$C$4:$H$100,2,0),VLOOKUP(C73,CurrentMtgRatesDataTable8[],2,0))</f>
        <v>58721966516.220001</v>
      </c>
      <c r="F73" s="39">
        <f>IF($C73&lt;=DateToChangeLag,VLOOKUP($C73,'Result-lag'!$C$4:$I$100,3,0),VLOOKUP($C73,CurrentMtgRatesDataTable8[],3,0))</f>
        <v>6144541151.1600008</v>
      </c>
      <c r="G73" s="39">
        <f>IF($C73&lt;=DateToChangeLag,VLOOKUP($C73,'Result-lag'!$C$4:$I$100,4,0),VLOOKUP($C73,CurrentMtgRatesDataTable8[],4,0))</f>
        <v>4431818259.2700005</v>
      </c>
      <c r="H73" s="39">
        <f>IF($C73&lt;=DateToChangeLag,VLOOKUP($C73,'Result-lag'!$C$4:$I$100,5,0),VLOOKUP($C73,CurrentMtgRatesDataTable8[],5,0))</f>
        <v>1455262864.3900001</v>
      </c>
      <c r="I73" s="39">
        <f>IF($C73&lt;=DateToChangeLag,VLOOKUP($C73,'Result-lag'!$C$4:$I$100,6,0),VLOOKUP($C73,CurrentMtgRatesDataTable8[],6,0))</f>
        <v>15838054203</v>
      </c>
      <c r="J73" s="40">
        <f>CurrentMtgRatesDataTable934[[#This Row],[Top 10 Amount]]/CurrentMtgRatesDataTable934[[#This Row],[Total Amount]]</f>
        <v>0.1046378640855424</v>
      </c>
      <c r="K73" s="40">
        <f>CurrentMtgRatesDataTable934[[#This Row],[Top 5 Amount]]/CurrentMtgRatesDataTable934[[#This Row],[Total Amount]]</f>
        <v>7.5471216687640341E-2</v>
      </c>
      <c r="L73" s="40">
        <f>CurrentMtgRatesDataTable934[[#This Row],[Top 1 Amount]]/CurrentMtgRatesDataTable934[[#This Row],[Total Amount]]</f>
        <v>2.4782256976833904E-2</v>
      </c>
      <c r="M73" s="40">
        <f>CurrentMtgRatesDataTable934[[#This Row],[N/A Amount]]/CurrentMtgRatesDataTable934[[#This Row],[Total Amount]]</f>
        <v>0.26971259892369681</v>
      </c>
      <c r="N73" s="43">
        <f t="shared" si="2"/>
        <v>0</v>
      </c>
    </row>
    <row r="74" spans="3:14">
      <c r="C74" s="37">
        <v>40026</v>
      </c>
      <c r="D74" s="16">
        <v>62725888062.300003</v>
      </c>
      <c r="E74" s="39">
        <f>IF(C74&lt;=DateToChangeLag,VLOOKUP(C74,'Result-lag'!$C$4:$H$100,2,0),VLOOKUP(C74,CurrentMtgRatesDataTable8[],2,0))</f>
        <v>62725888062.300003</v>
      </c>
      <c r="F74" s="39">
        <f>IF($C74&lt;=DateToChangeLag,VLOOKUP($C74,'Result-lag'!$C$4:$I$100,3,0),VLOOKUP($C74,CurrentMtgRatesDataTable8[],3,0))</f>
        <v>7191663293.3400002</v>
      </c>
      <c r="G74" s="39">
        <f>IF($C74&lt;=DateToChangeLag,VLOOKUP($C74,'Result-lag'!$C$4:$I$100,4,0),VLOOKUP($C74,CurrentMtgRatesDataTable8[],4,0))</f>
        <v>5426106598.6499996</v>
      </c>
      <c r="H74" s="39">
        <f>IF($C74&lt;=DateToChangeLag,VLOOKUP($C74,'Result-lag'!$C$4:$I$100,5,0),VLOOKUP($C74,CurrentMtgRatesDataTable8[],5,0))</f>
        <v>1508806380.53</v>
      </c>
      <c r="I74" s="39">
        <f>IF($C74&lt;=DateToChangeLag,VLOOKUP($C74,'Result-lag'!$C$4:$I$100,6,0),VLOOKUP($C74,CurrentMtgRatesDataTable8[],6,0))</f>
        <v>10784987411</v>
      </c>
      <c r="J74" s="40">
        <f>CurrentMtgRatesDataTable934[[#This Row],[Top 10 Amount]]/CurrentMtgRatesDataTable934[[#This Row],[Total Amount]]</f>
        <v>0.11465223555220398</v>
      </c>
      <c r="K74" s="40">
        <f>CurrentMtgRatesDataTable934[[#This Row],[Top 5 Amount]]/CurrentMtgRatesDataTable934[[#This Row],[Total Amount]]</f>
        <v>8.6505058218717193E-2</v>
      </c>
      <c r="L74" s="40">
        <f>CurrentMtgRatesDataTable934[[#This Row],[Top 1 Amount]]/CurrentMtgRatesDataTable934[[#This Row],[Total Amount]]</f>
        <v>2.4053966028052688E-2</v>
      </c>
      <c r="M74" s="40">
        <f>CurrentMtgRatesDataTable934[[#This Row],[N/A Amount]]/CurrentMtgRatesDataTable934[[#This Row],[Total Amount]]</f>
        <v>0.17193837734570197</v>
      </c>
      <c r="N74" s="43">
        <f t="shared" si="2"/>
        <v>0</v>
      </c>
    </row>
    <row r="75" spans="3:14">
      <c r="C75" s="37">
        <v>39904</v>
      </c>
      <c r="D75" s="16">
        <v>58732734355.699997</v>
      </c>
      <c r="E75" s="39">
        <f>IF(C75&lt;=DateToChangeLag,VLOOKUP(C75,'Result-lag'!$C$4:$H$100,2,0),VLOOKUP(C75,CurrentMtgRatesDataTable8[],2,0))</f>
        <v>58732734355.699997</v>
      </c>
      <c r="F75" s="39">
        <f>IF($C75&lt;=DateToChangeLag,VLOOKUP($C75,'Result-lag'!$C$4:$I$100,3,0),VLOOKUP($C75,CurrentMtgRatesDataTable8[],3,0))</f>
        <v>9675994781.2399998</v>
      </c>
      <c r="G75" s="39">
        <f>IF($C75&lt;=DateToChangeLag,VLOOKUP($C75,'Result-lag'!$C$4:$I$100,4,0),VLOOKUP($C75,CurrentMtgRatesDataTable8[],4,0))</f>
        <v>7894298749.4099998</v>
      </c>
      <c r="H75" s="39">
        <f>IF($C75&lt;=DateToChangeLag,VLOOKUP($C75,'Result-lag'!$C$4:$I$100,5,0),VLOOKUP($C75,CurrentMtgRatesDataTable8[],5,0))</f>
        <v>2635227445.8499999</v>
      </c>
      <c r="I75" s="39">
        <f>IF($C75&lt;=DateToChangeLag,VLOOKUP($C75,'Result-lag'!$C$4:$I$100,6,0),VLOOKUP($C75,CurrentMtgRatesDataTable8[],6,0))</f>
        <v>8532635208</v>
      </c>
      <c r="J75" s="40">
        <f>CurrentMtgRatesDataTable934[[#This Row],[Top 10 Amount]]/CurrentMtgRatesDataTable934[[#This Row],[Total Amount]]</f>
        <v>0.16474619966848089</v>
      </c>
      <c r="K75" s="40">
        <f>CurrentMtgRatesDataTable934[[#This Row],[Top 5 Amount]]/CurrentMtgRatesDataTable934[[#This Row],[Total Amount]]</f>
        <v>0.13441054355821697</v>
      </c>
      <c r="L75" s="40">
        <f>CurrentMtgRatesDataTable934[[#This Row],[Top 1 Amount]]/CurrentMtgRatesDataTable934[[#This Row],[Total Amount]]</f>
        <v>4.4868121240370137E-2</v>
      </c>
      <c r="M75" s="40">
        <f>CurrentMtgRatesDataTable934[[#This Row],[N/A Amount]]/CurrentMtgRatesDataTable934[[#This Row],[Total Amount]]</f>
        <v>0.14527903905042538</v>
      </c>
      <c r="N75" s="43">
        <f t="shared" si="2"/>
        <v>0</v>
      </c>
    </row>
    <row r="76" spans="3:14">
      <c r="C76" s="37">
        <v>39873</v>
      </c>
      <c r="D76" s="16">
        <v>91030919352.979996</v>
      </c>
      <c r="E76" s="39">
        <f>IF(C76&lt;=DateToChangeLag,VLOOKUP(C76,'Result-lag'!$C$4:$H$100,2,0),VLOOKUP(C76,CurrentMtgRatesDataTable8[],2,0))</f>
        <v>91030919352.979996</v>
      </c>
      <c r="F76" s="39">
        <f>IF($C76&lt;=DateToChangeLag,VLOOKUP($C76,'Result-lag'!$C$4:$I$100,3,0),VLOOKUP($C76,CurrentMtgRatesDataTable8[],3,0))</f>
        <v>8099774292.1999989</v>
      </c>
      <c r="G76" s="39">
        <f>IF($C76&lt;=DateToChangeLag,VLOOKUP($C76,'Result-lag'!$C$4:$I$100,4,0),VLOOKUP($C76,CurrentMtgRatesDataTable8[],4,0))</f>
        <v>6753243174.9599991</v>
      </c>
      <c r="H76" s="39">
        <f>IF($C76&lt;=DateToChangeLag,VLOOKUP($C76,'Result-lag'!$C$4:$I$100,5,0),VLOOKUP($C76,CurrentMtgRatesDataTable8[],5,0))</f>
        <v>2137733570.1199999</v>
      </c>
      <c r="I76" s="39">
        <f>IF($C76&lt;=DateToChangeLag,VLOOKUP($C76,'Result-lag'!$C$4:$I$100,6,0),VLOOKUP($C76,CurrentMtgRatesDataTable8[],6,0))</f>
        <v>22744846785</v>
      </c>
      <c r="J76" s="40">
        <f>CurrentMtgRatesDataTable934[[#This Row],[Top 10 Amount]]/CurrentMtgRatesDataTable934[[#This Row],[Total Amount]]</f>
        <v>8.8978276279869775E-2</v>
      </c>
      <c r="K76" s="40">
        <f>CurrentMtgRatesDataTable934[[#This Row],[Top 5 Amount]]/CurrentMtgRatesDataTable934[[#This Row],[Total Amount]]</f>
        <v>7.4186256965874803E-2</v>
      </c>
      <c r="L76" s="40">
        <f>CurrentMtgRatesDataTable934[[#This Row],[Top 1 Amount]]/CurrentMtgRatesDataTable934[[#This Row],[Total Amount]]</f>
        <v>2.3483598598304376E-2</v>
      </c>
      <c r="M76" s="40">
        <f>CurrentMtgRatesDataTable934[[#This Row],[N/A Amount]]/CurrentMtgRatesDataTable934[[#This Row],[Total Amount]]</f>
        <v>0.24985847607234368</v>
      </c>
      <c r="N76" s="43">
        <f t="shared" si="2"/>
        <v>0</v>
      </c>
    </row>
    <row r="77" spans="3:14">
      <c r="C77" s="37">
        <v>39845</v>
      </c>
      <c r="D77" s="16">
        <v>47498482306.410004</v>
      </c>
      <c r="E77" s="39">
        <f>IF(C77&lt;=DateToChangeLag,VLOOKUP(C77,'Result-lag'!$C$4:$H$100,2,0),VLOOKUP(C77,CurrentMtgRatesDataTable8[],2,0))</f>
        <v>47498482306.410004</v>
      </c>
      <c r="F77" s="39">
        <f>IF($C77&lt;=DateToChangeLag,VLOOKUP($C77,'Result-lag'!$C$4:$I$100,3,0),VLOOKUP($C77,CurrentMtgRatesDataTable8[],3,0))</f>
        <v>5201422850.5599995</v>
      </c>
      <c r="G77" s="39">
        <f>IF($C77&lt;=DateToChangeLag,VLOOKUP($C77,'Result-lag'!$C$4:$I$100,4,0),VLOOKUP($C77,CurrentMtgRatesDataTable8[],4,0))</f>
        <v>4164887653.8199997</v>
      </c>
      <c r="H77" s="39">
        <f>IF($C77&lt;=DateToChangeLag,VLOOKUP($C77,'Result-lag'!$C$4:$I$100,5,0),VLOOKUP($C77,CurrentMtgRatesDataTable8[],5,0))</f>
        <v>1405817023</v>
      </c>
      <c r="I77" s="39">
        <f>IF($C77&lt;=DateToChangeLag,VLOOKUP($C77,'Result-lag'!$C$4:$I$100,6,0),VLOOKUP($C77,CurrentMtgRatesDataTable8[],6,0))</f>
        <v>8316023418</v>
      </c>
      <c r="J77" s="40">
        <f>CurrentMtgRatesDataTable934[[#This Row],[Top 10 Amount]]/CurrentMtgRatesDataTable934[[#This Row],[Total Amount]]</f>
        <v>0.10950713787034114</v>
      </c>
      <c r="K77" s="40">
        <f>CurrentMtgRatesDataTable934[[#This Row],[Top 5 Amount]]/CurrentMtgRatesDataTable934[[#This Row],[Total Amount]]</f>
        <v>8.7684646994667048E-2</v>
      </c>
      <c r="L77" s="40">
        <f>CurrentMtgRatesDataTable934[[#This Row],[Top 1 Amount]]/CurrentMtgRatesDataTable934[[#This Row],[Total Amount]]</f>
        <v>2.9597093522507823E-2</v>
      </c>
      <c r="M77" s="40">
        <f>CurrentMtgRatesDataTable934[[#This Row],[N/A Amount]]/CurrentMtgRatesDataTable934[[#This Row],[Total Amount]]</f>
        <v>0.17507977127255997</v>
      </c>
      <c r="N77" s="43">
        <f t="shared" si="2"/>
        <v>0</v>
      </c>
    </row>
    <row r="78" spans="3:14">
      <c r="C78" s="37">
        <v>39814</v>
      </c>
      <c r="D78" s="16">
        <v>26074589597.5</v>
      </c>
      <c r="E78" s="39">
        <f>IF(C78&lt;=DateToChangeLag,VLOOKUP(C78,'Result-lag'!$C$4:$H$100,2,0),VLOOKUP(C78,CurrentMtgRatesDataTable8[],2,0))</f>
        <v>26074589597.5</v>
      </c>
      <c r="F78" s="39">
        <f>IF($C78&lt;=DateToChangeLag,VLOOKUP($C78,'Result-lag'!$C$4:$I$100,3,0),VLOOKUP($C78,CurrentMtgRatesDataTable8[],3,0))</f>
        <v>3300283119.5700002</v>
      </c>
      <c r="G78" s="39">
        <f>IF($C78&lt;=DateToChangeLag,VLOOKUP($C78,'Result-lag'!$C$4:$I$100,4,0),VLOOKUP($C78,CurrentMtgRatesDataTable8[],4,0))</f>
        <v>2608839545.5</v>
      </c>
      <c r="H78" s="39">
        <f>IF($C78&lt;=DateToChangeLag,VLOOKUP($C78,'Result-lag'!$C$4:$I$100,5,0),VLOOKUP($C78,CurrentMtgRatesDataTable8[],5,0))</f>
        <v>923120637.58000004</v>
      </c>
      <c r="I78" s="39">
        <f>IF($C78&lt;=DateToChangeLag,VLOOKUP($C78,'Result-lag'!$C$4:$I$100,6,0),VLOOKUP($C78,CurrentMtgRatesDataTable8[],6,0))</f>
        <v>4907185637</v>
      </c>
      <c r="J78" s="40">
        <f>CurrentMtgRatesDataTable934[[#This Row],[Top 10 Amount]]/CurrentMtgRatesDataTable934[[#This Row],[Total Amount]]</f>
        <v>0.12657085578391719</v>
      </c>
      <c r="K78" s="40">
        <f>CurrentMtgRatesDataTable934[[#This Row],[Top 5 Amount]]/CurrentMtgRatesDataTable934[[#This Row],[Total Amount]]</f>
        <v>0.10005294755435508</v>
      </c>
      <c r="L78" s="40">
        <f>CurrentMtgRatesDataTable934[[#This Row],[Top 1 Amount]]/CurrentMtgRatesDataTable934[[#This Row],[Total Amount]]</f>
        <v>3.5403074480930954E-2</v>
      </c>
      <c r="M78" s="40">
        <f>CurrentMtgRatesDataTable934[[#This Row],[N/A Amount]]/CurrentMtgRatesDataTable934[[#This Row],[Total Amount]]</f>
        <v>0.18819800091774005</v>
      </c>
      <c r="N78" s="43">
        <f t="shared" si="2"/>
        <v>0</v>
      </c>
    </row>
    <row r="79" spans="3:14">
      <c r="C79" s="37">
        <v>39783</v>
      </c>
      <c r="D79" s="16">
        <v>41233749209.5</v>
      </c>
      <c r="E79" s="39">
        <f>IF(C79&lt;=DateToChangeLag,VLOOKUP(C79,'Result-lag'!$C$4:$H$100,2,0),VLOOKUP(C79,CurrentMtgRatesDataTable8[],2,0))</f>
        <v>41233749209.5</v>
      </c>
      <c r="F79" s="39">
        <f>IF($C79&lt;=DateToChangeLag,VLOOKUP($C79,'Result-lag'!$C$4:$I$100,3,0),VLOOKUP($C79,CurrentMtgRatesDataTable8[],3,0))</f>
        <v>7917901194</v>
      </c>
      <c r="G79" s="39">
        <f>IF($C79&lt;=DateToChangeLag,VLOOKUP($C79,'Result-lag'!$C$4:$I$100,4,0),VLOOKUP($C79,CurrentMtgRatesDataTable8[],4,0))</f>
        <v>6408212298.7800007</v>
      </c>
      <c r="H79" s="39">
        <f>IF($C79&lt;=DateToChangeLag,VLOOKUP($C79,'Result-lag'!$C$4:$I$100,5,0),VLOOKUP($C79,CurrentMtgRatesDataTable8[],5,0))</f>
        <v>2336672835.98</v>
      </c>
      <c r="I79" s="39">
        <f>IF($C79&lt;=DateToChangeLag,VLOOKUP($C79,'Result-lag'!$C$4:$I$100,6,0),VLOOKUP($C79,CurrentMtgRatesDataTable8[],6,0))</f>
        <v>5749174682</v>
      </c>
      <c r="J79" s="40">
        <f>CurrentMtgRatesDataTable934[[#This Row],[Top 10 Amount]]/CurrentMtgRatesDataTable934[[#This Row],[Total Amount]]</f>
        <v>0.19202476965581788</v>
      </c>
      <c r="K79" s="40">
        <f>CurrentMtgRatesDataTable934[[#This Row],[Top 5 Amount]]/CurrentMtgRatesDataTable934[[#This Row],[Total Amount]]</f>
        <v>0.1554118270017413</v>
      </c>
      <c r="L79" s="40">
        <f>CurrentMtgRatesDataTable934[[#This Row],[Top 1 Amount]]/CurrentMtgRatesDataTable934[[#This Row],[Total Amount]]</f>
        <v>5.6668939419208697E-2</v>
      </c>
      <c r="M79" s="40">
        <f>CurrentMtgRatesDataTable934[[#This Row],[N/A Amount]]/CurrentMtgRatesDataTable934[[#This Row],[Total Amount]]</f>
        <v>0.13942886087776432</v>
      </c>
      <c r="N79" s="43">
        <f t="shared" si="2"/>
        <v>0</v>
      </c>
    </row>
    <row r="80" spans="3:14">
      <c r="C80" s="37">
        <v>39753</v>
      </c>
      <c r="D80" s="16">
        <v>27385866902.009998</v>
      </c>
      <c r="E80" s="39">
        <f>IF(C80&lt;=DateToChangeLag,VLOOKUP(C80,'Result-lag'!$C$4:$H$100,2,0),VLOOKUP(C80,CurrentMtgRatesDataTable8[],2,0))</f>
        <v>27385866902.009998</v>
      </c>
      <c r="F80" s="39">
        <f>IF($C80&lt;=DateToChangeLag,VLOOKUP($C80,'Result-lag'!$C$4:$I$100,3,0),VLOOKUP($C80,CurrentMtgRatesDataTable8[],3,0))</f>
        <v>3302187082.1700001</v>
      </c>
      <c r="G80" s="39">
        <f>IF($C80&lt;=DateToChangeLag,VLOOKUP($C80,'Result-lag'!$C$4:$I$100,4,0),VLOOKUP($C80,CurrentMtgRatesDataTable8[],4,0))</f>
        <v>2559996551.1800003</v>
      </c>
      <c r="H80" s="39">
        <f>IF($C80&lt;=DateToChangeLag,VLOOKUP($C80,'Result-lag'!$C$4:$I$100,5,0),VLOOKUP($C80,CurrentMtgRatesDataTable8[],5,0))</f>
        <v>715357720.58000004</v>
      </c>
      <c r="I80" s="39">
        <f>IF($C80&lt;=DateToChangeLag,VLOOKUP($C80,'Result-lag'!$C$4:$I$100,6,0),VLOOKUP($C80,CurrentMtgRatesDataTable8[],6,0))</f>
        <v>6244262829</v>
      </c>
      <c r="J80" s="40">
        <f>CurrentMtgRatesDataTable934[[#This Row],[Top 10 Amount]]/CurrentMtgRatesDataTable934[[#This Row],[Total Amount]]</f>
        <v>0.1205799726547139</v>
      </c>
      <c r="K80" s="40">
        <f>CurrentMtgRatesDataTable934[[#This Row],[Top 5 Amount]]/CurrentMtgRatesDataTable934[[#This Row],[Total Amount]]</f>
        <v>9.3478748010423884E-2</v>
      </c>
      <c r="L80" s="40">
        <f>CurrentMtgRatesDataTable934[[#This Row],[Top 1 Amount]]/CurrentMtgRatesDataTable934[[#This Row],[Total Amount]]</f>
        <v>2.6121419604485701E-2</v>
      </c>
      <c r="M80" s="40">
        <f>CurrentMtgRatesDataTable934[[#This Row],[N/A Amount]]/CurrentMtgRatesDataTable934[[#This Row],[Total Amount]]</f>
        <v>0.22801041323039875</v>
      </c>
      <c r="N80" s="43">
        <f t="shared" si="2"/>
        <v>0</v>
      </c>
    </row>
    <row r="81" spans="3:14">
      <c r="C81" s="37">
        <v>39722</v>
      </c>
      <c r="D81" s="16">
        <v>32554558169.93</v>
      </c>
      <c r="E81" s="39">
        <f>IF(C81&lt;=DateToChangeLag,VLOOKUP(C81,'Result-lag'!$C$4:$H$100,2,0),VLOOKUP(C81,CurrentMtgRatesDataTable8[],2,0))</f>
        <v>32554558169.93</v>
      </c>
      <c r="F81" s="39">
        <f>IF($C81&lt;=DateToChangeLag,VLOOKUP($C81,'Result-lag'!$C$4:$I$100,3,0),VLOOKUP($C81,CurrentMtgRatesDataTable8[],3,0))</f>
        <v>4422769604.5500002</v>
      </c>
      <c r="G81" s="39">
        <f>IF($C81&lt;=DateToChangeLag,VLOOKUP($C81,'Result-lag'!$C$4:$I$100,4,0),VLOOKUP($C81,CurrentMtgRatesDataTable8[],4,0))</f>
        <v>3771393714.1300001</v>
      </c>
      <c r="H81" s="39">
        <f>IF($C81&lt;=DateToChangeLag,VLOOKUP($C81,'Result-lag'!$C$4:$I$100,5,0),VLOOKUP($C81,CurrentMtgRatesDataTable8[],5,0))</f>
        <v>1065916156.21</v>
      </c>
      <c r="I81" s="39">
        <f>IF($C81&lt;=DateToChangeLag,VLOOKUP($C81,'Result-lag'!$C$4:$I$100,6,0),VLOOKUP($C81,CurrentMtgRatesDataTable8[],6,0))</f>
        <v>11004808168.200001</v>
      </c>
      <c r="J81" s="40">
        <f>CurrentMtgRatesDataTable934[[#This Row],[Top 10 Amount]]/CurrentMtgRatesDataTable934[[#This Row],[Total Amount]]</f>
        <v>0.13585715344265445</v>
      </c>
      <c r="K81" s="40">
        <f>CurrentMtgRatesDataTable934[[#This Row],[Top 5 Amount]]/CurrentMtgRatesDataTable934[[#This Row],[Total Amount]]</f>
        <v>0.11584840729350035</v>
      </c>
      <c r="L81" s="40">
        <f>CurrentMtgRatesDataTable934[[#This Row],[Top 1 Amount]]/CurrentMtgRatesDataTable934[[#This Row],[Total Amount]]</f>
        <v>3.2742455008790923E-2</v>
      </c>
      <c r="M81" s="40">
        <f>CurrentMtgRatesDataTable934[[#This Row],[N/A Amount]]/CurrentMtgRatesDataTable934[[#This Row],[Total Amount]]</f>
        <v>0.33804200661414363</v>
      </c>
      <c r="N81" s="43">
        <f t="shared" si="2"/>
        <v>0</v>
      </c>
    </row>
    <row r="82" spans="3:14">
      <c r="C82" s="37">
        <v>39692</v>
      </c>
      <c r="D82" s="16">
        <v>41506327516.75</v>
      </c>
      <c r="E82" s="39">
        <f>IF(C82&lt;=DateToChangeLag,VLOOKUP(C82,'Result-lag'!$C$4:$H$100,2,0),VLOOKUP(C82,CurrentMtgRatesDataTable8[],2,0))</f>
        <v>41506327516.75</v>
      </c>
      <c r="F82" s="39">
        <f>IF($C82&lt;=DateToChangeLag,VLOOKUP($C82,'Result-lag'!$C$4:$I$100,3,0),VLOOKUP($C82,CurrentMtgRatesDataTable8[],3,0))</f>
        <v>4439787050.0500002</v>
      </c>
      <c r="G82" s="39">
        <f>IF($C82&lt;=DateToChangeLag,VLOOKUP($C82,'Result-lag'!$C$4:$I$100,4,0),VLOOKUP($C82,CurrentMtgRatesDataTable8[],4,0))</f>
        <v>3783609627.0999999</v>
      </c>
      <c r="H82" s="39">
        <f>IF($C82&lt;=DateToChangeLag,VLOOKUP($C82,'Result-lag'!$C$4:$I$100,5,0),VLOOKUP($C82,CurrentMtgRatesDataTable8[],5,0))</f>
        <v>1097946836.3599999</v>
      </c>
      <c r="I82" s="39">
        <f>IF($C82&lt;=DateToChangeLag,VLOOKUP($C82,'Result-lag'!$C$4:$I$100,6,0),VLOOKUP($C82,CurrentMtgRatesDataTable8[],6,0))</f>
        <v>12108914961.860001</v>
      </c>
      <c r="J82" s="40">
        <f>CurrentMtgRatesDataTable934[[#This Row],[Top 10 Amount]]/CurrentMtgRatesDataTable934[[#This Row],[Total Amount]]</f>
        <v>0.10696651126887367</v>
      </c>
      <c r="K82" s="40">
        <f>CurrentMtgRatesDataTable934[[#This Row],[Top 5 Amount]]/CurrentMtgRatesDataTable934[[#This Row],[Total Amount]]</f>
        <v>9.1157417518403991E-2</v>
      </c>
      <c r="L82" s="40">
        <f>CurrentMtgRatesDataTable934[[#This Row],[Top 1 Amount]]/CurrentMtgRatesDataTable934[[#This Row],[Total Amount]]</f>
        <v>2.6452517050970608E-2</v>
      </c>
      <c r="M82" s="40">
        <f>CurrentMtgRatesDataTable934[[#This Row],[N/A Amount]]/CurrentMtgRatesDataTable934[[#This Row],[Total Amount]]</f>
        <v>0.2917366022559672</v>
      </c>
      <c r="N82" s="43">
        <f t="shared" si="2"/>
        <v>0</v>
      </c>
    </row>
    <row r="83" spans="3:14">
      <c r="C83" s="37">
        <v>39661</v>
      </c>
      <c r="D83" s="16">
        <v>33987473164.599998</v>
      </c>
      <c r="E83" s="39">
        <f>IF(C83&lt;=DateToChangeLag,VLOOKUP(C83,'Result-lag'!$C$4:$H$100,2,0),VLOOKUP(C83,CurrentMtgRatesDataTable8[],2,0))</f>
        <v>33987473164.599998</v>
      </c>
      <c r="F83" s="39">
        <f>IF($C83&lt;=DateToChangeLag,VLOOKUP($C83,'Result-lag'!$C$4:$I$100,3,0),VLOOKUP($C83,CurrentMtgRatesDataTable8[],3,0))</f>
        <v>5214013862.3999996</v>
      </c>
      <c r="G83" s="39">
        <f>IF($C83&lt;=DateToChangeLag,VLOOKUP($C83,'Result-lag'!$C$4:$I$100,4,0),VLOOKUP($C83,CurrentMtgRatesDataTable8[],4,0))</f>
        <v>4521213770.9700003</v>
      </c>
      <c r="H83" s="39">
        <f>IF($C83&lt;=DateToChangeLag,VLOOKUP($C83,'Result-lag'!$C$4:$I$100,5,0),VLOOKUP($C83,CurrentMtgRatesDataTable8[],5,0))</f>
        <v>1212308338</v>
      </c>
      <c r="I83" s="39">
        <f>IF($C83&lt;=DateToChangeLag,VLOOKUP($C83,'Result-lag'!$C$4:$I$100,6,0),VLOOKUP($C83,CurrentMtgRatesDataTable8[],6,0))</f>
        <v>8102585690.9200001</v>
      </c>
      <c r="J83" s="40">
        <f>CurrentMtgRatesDataTable934[[#This Row],[Top 10 Amount]]/CurrentMtgRatesDataTable934[[#This Row],[Total Amount]]</f>
        <v>0.15340987066466327</v>
      </c>
      <c r="K83" s="40">
        <f>CurrentMtgRatesDataTable934[[#This Row],[Top 5 Amount]]/CurrentMtgRatesDataTable934[[#This Row],[Total Amount]]</f>
        <v>0.1330258871871392</v>
      </c>
      <c r="L83" s="40">
        <f>CurrentMtgRatesDataTable934[[#This Row],[Top 1 Amount]]/CurrentMtgRatesDataTable934[[#This Row],[Total Amount]]</f>
        <v>3.5669269443151547E-2</v>
      </c>
      <c r="M83" s="40">
        <f>CurrentMtgRatesDataTable934[[#This Row],[N/A Amount]]/CurrentMtgRatesDataTable934[[#This Row],[Total Amount]]</f>
        <v>0.23839917877035152</v>
      </c>
      <c r="N83" s="43">
        <f t="shared" si="2"/>
        <v>0</v>
      </c>
    </row>
    <row r="84" spans="3:14">
      <c r="C84" s="37">
        <v>39630</v>
      </c>
      <c r="D84" s="16">
        <v>39254673980.809998</v>
      </c>
      <c r="E84" s="39">
        <f>IF(C84&lt;=DateToChangeLag,VLOOKUP(C84,'Result-lag'!$C$4:$H$100,2,0),VLOOKUP(C84,CurrentMtgRatesDataTable8[],2,0))</f>
        <v>39254673980.809998</v>
      </c>
      <c r="F84" s="39">
        <f>IF($C84&lt;=DateToChangeLag,VLOOKUP($C84,'Result-lag'!$C$4:$I$100,3,0),VLOOKUP($C84,CurrentMtgRatesDataTable8[],3,0))</f>
        <v>6395815397.420001</v>
      </c>
      <c r="G84" s="39">
        <f>IF($C84&lt;=DateToChangeLag,VLOOKUP($C84,'Result-lag'!$C$4:$I$100,4,0),VLOOKUP($C84,CurrentMtgRatesDataTable8[],4,0))</f>
        <v>5234712408.25</v>
      </c>
      <c r="H84" s="39">
        <f>IF($C84&lt;=DateToChangeLag,VLOOKUP($C84,'Result-lag'!$C$4:$I$100,5,0),VLOOKUP($C84,CurrentMtgRatesDataTable8[],5,0))</f>
        <v>1349863752</v>
      </c>
      <c r="I84" s="39">
        <f>IF($C84&lt;=DateToChangeLag,VLOOKUP($C84,'Result-lag'!$C$4:$I$100,6,0),VLOOKUP($C84,CurrentMtgRatesDataTable8[],6,0))</f>
        <v>8508893476.4399996</v>
      </c>
      <c r="J84" s="40">
        <f>CurrentMtgRatesDataTable934[[#This Row],[Top 10 Amount]]/CurrentMtgRatesDataTable934[[#This Row],[Total Amount]]</f>
        <v>0.16293130852511101</v>
      </c>
      <c r="K84" s="40">
        <f>CurrentMtgRatesDataTable934[[#This Row],[Top 5 Amount]]/CurrentMtgRatesDataTable934[[#This Row],[Total Amount]]</f>
        <v>0.13335258906516551</v>
      </c>
      <c r="L84" s="40">
        <f>CurrentMtgRatesDataTable934[[#This Row],[Top 1 Amount]]/CurrentMtgRatesDataTable934[[#This Row],[Total Amount]]</f>
        <v>3.4387338248176337E-2</v>
      </c>
      <c r="M84" s="40">
        <f>CurrentMtgRatesDataTable934[[#This Row],[N/A Amount]]/CurrentMtgRatesDataTable934[[#This Row],[Total Amount]]</f>
        <v>0.21676128250612015</v>
      </c>
      <c r="N84" s="43">
        <f t="shared" si="2"/>
        <v>0</v>
      </c>
    </row>
    <row r="85" spans="3:14">
      <c r="C85" s="37">
        <v>39600</v>
      </c>
      <c r="D85" s="16">
        <v>54754255797.940002</v>
      </c>
      <c r="E85" s="39">
        <f>IF(C85&lt;=DateToChangeLag,VLOOKUP(C85,'Result-lag'!$C$4:$H$100,2,0),VLOOKUP(C85,CurrentMtgRatesDataTable8[],2,0))</f>
        <v>54754255797.940002</v>
      </c>
      <c r="F85" s="39">
        <f>IF($C85&lt;=DateToChangeLag,VLOOKUP($C85,'Result-lag'!$C$4:$I$100,3,0),VLOOKUP($C85,CurrentMtgRatesDataTable8[],3,0))</f>
        <v>6138207195.4199991</v>
      </c>
      <c r="G85" s="39">
        <f>IF($C85&lt;=DateToChangeLag,VLOOKUP($C85,'Result-lag'!$C$4:$I$100,4,0),VLOOKUP($C85,CurrentMtgRatesDataTable8[],4,0))</f>
        <v>5281965976.7699995</v>
      </c>
      <c r="H85" s="39">
        <f>IF($C85&lt;=DateToChangeLag,VLOOKUP($C85,'Result-lag'!$C$4:$I$100,5,0),VLOOKUP($C85,CurrentMtgRatesDataTable8[],5,0))</f>
        <v>1731032257</v>
      </c>
      <c r="I85" s="39">
        <f>IF($C85&lt;=DateToChangeLag,VLOOKUP($C85,'Result-lag'!$C$4:$I$100,6,0),VLOOKUP($C85,CurrentMtgRatesDataTable8[],6,0))</f>
        <v>12792640351.440001</v>
      </c>
      <c r="J85" s="40">
        <f>CurrentMtgRatesDataTable934[[#This Row],[Top 10 Amount]]/CurrentMtgRatesDataTable934[[#This Row],[Total Amount]]</f>
        <v>0.1121046593724489</v>
      </c>
      <c r="K85" s="40">
        <f>CurrentMtgRatesDataTable934[[#This Row],[Top 5 Amount]]/CurrentMtgRatesDataTable934[[#This Row],[Total Amount]]</f>
        <v>9.6466765912444755E-2</v>
      </c>
      <c r="L85" s="40">
        <f>CurrentMtgRatesDataTable934[[#This Row],[Top 1 Amount]]/CurrentMtgRatesDataTable934[[#This Row],[Total Amount]]</f>
        <v>3.1614570078133106E-2</v>
      </c>
      <c r="M85" s="40">
        <f>CurrentMtgRatesDataTable934[[#This Row],[N/A Amount]]/CurrentMtgRatesDataTable934[[#This Row],[Total Amount]]</f>
        <v>0.23363737055707171</v>
      </c>
      <c r="N85" s="43">
        <f t="shared" si="2"/>
        <v>0</v>
      </c>
    </row>
    <row r="86" spans="3:14">
      <c r="C86" s="54">
        <v>39569</v>
      </c>
      <c r="D86" s="55">
        <v>67752280712.029999</v>
      </c>
      <c r="E86" s="56">
        <f>IF(C86&lt;=DateToChangeLag,VLOOKUP(C86,'Result-lag'!$C$4:$H$100,2,0),VLOOKUP(C86,CurrentMtgRatesDataTable8[],2,0))</f>
        <v>67752280712.029999</v>
      </c>
      <c r="F86" s="56">
        <f>IF($C86&lt;=DateToChangeLag,VLOOKUP($C86,'Result-lag'!$C$4:$I$100,3,0),VLOOKUP($C86,CurrentMtgRatesDataTable8[],3,0))</f>
        <v>7445184705.0599995</v>
      </c>
      <c r="G86" s="56">
        <f>IF($C86&lt;=DateToChangeLag,VLOOKUP($C86,'Result-lag'!$C$4:$I$100,4,0),VLOOKUP($C86,CurrentMtgRatesDataTable8[],4,0))</f>
        <v>6162502436.0100002</v>
      </c>
      <c r="H86" s="56">
        <f>IF($C86&lt;=DateToChangeLag,VLOOKUP($C86,'Result-lag'!$C$4:$I$100,5,0),VLOOKUP($C86,CurrentMtgRatesDataTable8[],5,0))</f>
        <v>2135218352.8499999</v>
      </c>
      <c r="I86" s="56">
        <f>IF($C86&lt;=DateToChangeLag,VLOOKUP($C86,'Result-lag'!$C$4:$I$100,6,0),VLOOKUP($C86,CurrentMtgRatesDataTable8[],6,0))</f>
        <v>22906093935.959999</v>
      </c>
      <c r="J86" s="57">
        <f>CurrentMtgRatesDataTable934[[#This Row],[Top 10 Amount]]/CurrentMtgRatesDataTable934[[#This Row],[Total Amount]]</f>
        <v>0.10988832592521189</v>
      </c>
      <c r="K86" s="57">
        <f>CurrentMtgRatesDataTable934[[#This Row],[Top 5 Amount]]/CurrentMtgRatesDataTable934[[#This Row],[Total Amount]]</f>
        <v>9.0956383626445134E-2</v>
      </c>
      <c r="L86" s="57">
        <f>CurrentMtgRatesDataTable934[[#This Row],[Top 1 Amount]]/CurrentMtgRatesDataTable934[[#This Row],[Total Amount]]</f>
        <v>3.1515077137039813E-2</v>
      </c>
      <c r="M86" s="57">
        <f>CurrentMtgRatesDataTable934[[#This Row],[N/A Amount]]/CurrentMtgRatesDataTable934[[#This Row],[Total Amount]]</f>
        <v>0.33808594626236438</v>
      </c>
      <c r="N86" s="58">
        <f t="shared" si="2"/>
        <v>0</v>
      </c>
    </row>
    <row r="87" spans="3:14">
      <c r="C87" s="54">
        <v>39539</v>
      </c>
      <c r="D87" s="55">
        <v>61021756747.739998</v>
      </c>
      <c r="E87" s="56">
        <f>IF(C87&lt;=DateToChangeLag,VLOOKUP(C87,'Result-lag'!$C$4:$H$100,2,0),VLOOKUP(C87,CurrentMtgRatesDataTable8[],2,0))</f>
        <v>61021756747.739998</v>
      </c>
      <c r="F87" s="56">
        <f>IF($C87&lt;=DateToChangeLag,VLOOKUP($C87,'Result-lag'!$C$4:$I$100,3,0),VLOOKUP($C87,CurrentMtgRatesDataTable8[],3,0))</f>
        <v>10085614923.200001</v>
      </c>
      <c r="G87" s="56">
        <f>IF($C87&lt;=DateToChangeLag,VLOOKUP($C87,'Result-lag'!$C$4:$I$100,4,0),VLOOKUP($C87,CurrentMtgRatesDataTable8[],4,0))</f>
        <v>8533686552.0299997</v>
      </c>
      <c r="H87" s="56">
        <f>IF($C87&lt;=DateToChangeLag,VLOOKUP($C87,'Result-lag'!$C$4:$I$100,5,0),VLOOKUP($C87,CurrentMtgRatesDataTable8[],5,0))</f>
        <v>3682275010.96</v>
      </c>
      <c r="I87" s="56">
        <f>IF($C87&lt;=DateToChangeLag,VLOOKUP($C87,'Result-lag'!$C$4:$I$100,6,0),VLOOKUP($C87,CurrentMtgRatesDataTable8[],6,0))</f>
        <v>12460921559.299999</v>
      </c>
      <c r="J87" s="57">
        <f>CurrentMtgRatesDataTable934[[#This Row],[Top 10 Amount]]/CurrentMtgRatesDataTable934[[#This Row],[Total Amount]]</f>
        <v>0.16527899983104849</v>
      </c>
      <c r="K87" s="57">
        <f>CurrentMtgRatesDataTable934[[#This Row],[Top 5 Amount]]/CurrentMtgRatesDataTable934[[#This Row],[Total Amount]]</f>
        <v>0.13984662203855763</v>
      </c>
      <c r="L87" s="57">
        <f>CurrentMtgRatesDataTable934[[#This Row],[Top 1 Amount]]/CurrentMtgRatesDataTable934[[#This Row],[Total Amount]]</f>
        <v>6.0343641468440297E-2</v>
      </c>
      <c r="M87" s="57">
        <f>CurrentMtgRatesDataTable934[[#This Row],[N/A Amount]]/CurrentMtgRatesDataTable934[[#This Row],[Total Amount]]</f>
        <v>0.20420456937699524</v>
      </c>
      <c r="N87" s="58">
        <f t="shared" si="2"/>
        <v>0</v>
      </c>
    </row>
    <row r="88" spans="3:14">
      <c r="C88" s="54">
        <v>39508</v>
      </c>
      <c r="D88" s="55">
        <v>54036130386.260002</v>
      </c>
      <c r="E88" s="56">
        <f>IF(C88&lt;=DateToChangeLag,VLOOKUP(C88,'Result-lag'!$C$4:$H$100,2,0),VLOOKUP(C88,CurrentMtgRatesDataTable8[],2,0))</f>
        <v>54036130386.260002</v>
      </c>
      <c r="F88" s="56">
        <f>IF($C88&lt;=DateToChangeLag,VLOOKUP($C88,'Result-lag'!$C$4:$I$100,3,0),VLOOKUP($C88,CurrentMtgRatesDataTable8[],3,0))</f>
        <v>7284626050.46</v>
      </c>
      <c r="G88" s="56">
        <f>IF($C88&lt;=DateToChangeLag,VLOOKUP($C88,'Result-lag'!$C$4:$I$100,4,0),VLOOKUP($C88,CurrentMtgRatesDataTable8[],4,0))</f>
        <v>5954371435.4099998</v>
      </c>
      <c r="H88" s="56">
        <f>IF($C88&lt;=DateToChangeLag,VLOOKUP($C88,'Result-lag'!$C$4:$I$100,5,0),VLOOKUP($C88,CurrentMtgRatesDataTable8[],5,0))</f>
        <v>2845541368.1100001</v>
      </c>
      <c r="I88" s="56">
        <f>IF($C88&lt;=DateToChangeLag,VLOOKUP($C88,'Result-lag'!$C$4:$I$100,6,0),VLOOKUP($C88,CurrentMtgRatesDataTable8[],6,0))</f>
        <v>18304362684</v>
      </c>
      <c r="J88" s="57">
        <f>CurrentMtgRatesDataTable934[[#This Row],[Top 10 Amount]]/CurrentMtgRatesDataTable934[[#This Row],[Total Amount]]</f>
        <v>0.13481028338610074</v>
      </c>
      <c r="K88" s="57">
        <f>CurrentMtgRatesDataTable934[[#This Row],[Top 5 Amount]]/CurrentMtgRatesDataTable934[[#This Row],[Total Amount]]</f>
        <v>0.11019241001987151</v>
      </c>
      <c r="L88" s="57">
        <f>CurrentMtgRatesDataTable934[[#This Row],[Top 1 Amount]]/CurrentMtgRatesDataTable934[[#This Row],[Total Amount]]</f>
        <v>5.2659976718716854E-2</v>
      </c>
      <c r="M88" s="57">
        <f>CurrentMtgRatesDataTable934[[#This Row],[N/A Amount]]/CurrentMtgRatesDataTable934[[#This Row],[Total Amount]]</f>
        <v>0.33874303272934453</v>
      </c>
      <c r="N88" s="58">
        <f t="shared" si="2"/>
        <v>0</v>
      </c>
    </row>
    <row r="89" spans="3:14">
      <c r="C89" s="54">
        <v>39479</v>
      </c>
      <c r="D89" s="55">
        <v>76264291344.479996</v>
      </c>
      <c r="E89" s="56">
        <f>IF(C89&lt;=DateToChangeLag,VLOOKUP(C89,'Result-lag'!$C$4:$H$100,2,0),VLOOKUP(C89,CurrentMtgRatesDataTable8[],2,0))</f>
        <v>76264291344.479996</v>
      </c>
      <c r="F89" s="56">
        <f>IF($C89&lt;=DateToChangeLag,VLOOKUP($C89,'Result-lag'!$C$4:$I$100,3,0),VLOOKUP($C89,CurrentMtgRatesDataTable8[],3,0))</f>
        <v>9584012565.3600006</v>
      </c>
      <c r="G89" s="56">
        <f>IF($C89&lt;=DateToChangeLag,VLOOKUP($C89,'Result-lag'!$C$4:$I$100,4,0),VLOOKUP($C89,CurrentMtgRatesDataTable8[],4,0))</f>
        <v>7959506788.3299999</v>
      </c>
      <c r="H89" s="56">
        <f>IF($C89&lt;=DateToChangeLag,VLOOKUP($C89,'Result-lag'!$C$4:$I$100,5,0),VLOOKUP($C89,CurrentMtgRatesDataTable8[],5,0))</f>
        <v>2798703942.1700001</v>
      </c>
      <c r="I89" s="56">
        <f>IF($C89&lt;=DateToChangeLag,VLOOKUP($C89,'Result-lag'!$C$4:$I$100,6,0),VLOOKUP($C89,CurrentMtgRatesDataTable8[],6,0))</f>
        <v>27291717471</v>
      </c>
      <c r="J89" s="57">
        <f>CurrentMtgRatesDataTable934[[#This Row],[Top 10 Amount]]/CurrentMtgRatesDataTable934[[#This Row],[Total Amount]]</f>
        <v>0.12566841435751033</v>
      </c>
      <c r="K89" s="57">
        <f>CurrentMtgRatesDataTable934[[#This Row],[Top 5 Amount]]/CurrentMtgRatesDataTable934[[#This Row],[Total Amount]]</f>
        <v>0.10436741295316722</v>
      </c>
      <c r="L89" s="57">
        <f>CurrentMtgRatesDataTable934[[#This Row],[Top 1 Amount]]/CurrentMtgRatesDataTable934[[#This Row],[Total Amount]]</f>
        <v>3.6697435888159866E-2</v>
      </c>
      <c r="M89" s="57">
        <f>CurrentMtgRatesDataTable934[[#This Row],[N/A Amount]]/CurrentMtgRatesDataTable934[[#This Row],[Total Amount]]</f>
        <v>0.35785709130535798</v>
      </c>
      <c r="N89" s="58">
        <f t="shared" si="2"/>
        <v>0</v>
      </c>
    </row>
    <row r="90" spans="3:14">
      <c r="C90" s="54">
        <v>39448</v>
      </c>
      <c r="D90" s="55">
        <v>55380966103.379997</v>
      </c>
      <c r="E90" s="56">
        <f>IF(C90&lt;=DateToChangeLag,VLOOKUP(C90,'Result-lag'!$C$4:$H$100,2,0),VLOOKUP(C90,CurrentMtgRatesDataTable8[],2,0))</f>
        <v>55380966103.379997</v>
      </c>
      <c r="F90" s="56">
        <f>IF($C90&lt;=DateToChangeLag,VLOOKUP($C90,'Result-lag'!$C$4:$I$100,3,0),VLOOKUP($C90,CurrentMtgRatesDataTable8[],3,0))</f>
        <v>9982528198.8299999</v>
      </c>
      <c r="G90" s="56">
        <f>IF($C90&lt;=DateToChangeLag,VLOOKUP($C90,'Result-lag'!$C$4:$I$100,4,0),VLOOKUP($C90,CurrentMtgRatesDataTable8[],4,0))</f>
        <v>7780668060.5</v>
      </c>
      <c r="H90" s="56">
        <f>IF($C90&lt;=DateToChangeLag,VLOOKUP($C90,'Result-lag'!$C$4:$I$100,5,0),VLOOKUP($C90,CurrentMtgRatesDataTable8[],5,0))</f>
        <v>2858003053.02</v>
      </c>
      <c r="I90" s="56">
        <f>IF($C90&lt;=DateToChangeLag,VLOOKUP($C90,'Result-lag'!$C$4:$I$100,6,0),VLOOKUP($C90,CurrentMtgRatesDataTable8[],6,0))</f>
        <v>11369438069</v>
      </c>
      <c r="J90" s="57">
        <f>CurrentMtgRatesDataTable934[[#This Row],[Top 10 Amount]]/CurrentMtgRatesDataTable934[[#This Row],[Total Amount]]</f>
        <v>0.18025196924509321</v>
      </c>
      <c r="K90" s="57">
        <f>CurrentMtgRatesDataTable934[[#This Row],[Top 5 Amount]]/CurrentMtgRatesDataTable934[[#This Row],[Total Amount]]</f>
        <v>0.14049354151705801</v>
      </c>
      <c r="L90" s="57">
        <f>CurrentMtgRatesDataTable934[[#This Row],[Top 1 Amount]]/CurrentMtgRatesDataTable934[[#This Row],[Total Amount]]</f>
        <v>5.1606233226140323E-2</v>
      </c>
      <c r="M90" s="57">
        <f>CurrentMtgRatesDataTable934[[#This Row],[N/A Amount]]/CurrentMtgRatesDataTable934[[#This Row],[Total Amount]]</f>
        <v>0.20529504753991829</v>
      </c>
      <c r="N90" s="58">
        <f t="shared" si="2"/>
        <v>0</v>
      </c>
    </row>
    <row r="91" spans="3:14">
      <c r="C91" s="54">
        <v>39417</v>
      </c>
      <c r="D91" s="55">
        <v>70720993110.179993</v>
      </c>
      <c r="E91" s="56">
        <f>IF(C91&lt;=DateToChangeLag,VLOOKUP(C91,'Result-lag'!$C$4:$H$100,2,0),VLOOKUP(C91,CurrentMtgRatesDataTable8[],2,0))</f>
        <v>70720993110.179993</v>
      </c>
      <c r="F91" s="56">
        <f>IF($C91&lt;=DateToChangeLag,VLOOKUP($C91,'Result-lag'!$C$4:$I$100,3,0),VLOOKUP($C91,CurrentMtgRatesDataTable8[],3,0))</f>
        <v>9869729214.1999969</v>
      </c>
      <c r="G91" s="56">
        <f>IF($C91&lt;=DateToChangeLag,VLOOKUP($C91,'Result-lag'!$C$4:$I$100,4,0),VLOOKUP($C91,CurrentMtgRatesDataTable8[],4,0))</f>
        <v>8221797129.8999996</v>
      </c>
      <c r="H91" s="56">
        <f>IF($C91&lt;=DateToChangeLag,VLOOKUP($C91,'Result-lag'!$C$4:$I$100,5,0),VLOOKUP($C91,CurrentMtgRatesDataTable8[],5,0))</f>
        <v>2828027093.6300001</v>
      </c>
      <c r="I91" s="56">
        <f>IF($C91&lt;=DateToChangeLag,VLOOKUP($C91,'Result-lag'!$C$4:$I$100,6,0),VLOOKUP($C91,CurrentMtgRatesDataTable8[],6,0))</f>
        <v>17719338930</v>
      </c>
      <c r="J91" s="57">
        <f>CurrentMtgRatesDataTable934[[#This Row],[Top 10 Amount]]/CurrentMtgRatesDataTable934[[#This Row],[Total Amount]]</f>
        <v>0.1395586908518581</v>
      </c>
      <c r="K91" s="57">
        <f>CurrentMtgRatesDataTable934[[#This Row],[Top 5 Amount]]/CurrentMtgRatesDataTable934[[#This Row],[Total Amount]]</f>
        <v>0.1162568110022271</v>
      </c>
      <c r="L91" s="57">
        <f>CurrentMtgRatesDataTable934[[#This Row],[Top 1 Amount]]/CurrentMtgRatesDataTable934[[#This Row],[Total Amount]]</f>
        <v>3.9988509341548226E-2</v>
      </c>
      <c r="M91" s="57">
        <f>CurrentMtgRatesDataTable934[[#This Row],[N/A Amount]]/CurrentMtgRatesDataTable934[[#This Row],[Total Amount]]</f>
        <v>0.25055274467645133</v>
      </c>
      <c r="N91" s="58">
        <f t="shared" si="2"/>
        <v>0</v>
      </c>
    </row>
    <row r="92" spans="3:14">
      <c r="C92" s="54">
        <v>39387</v>
      </c>
      <c r="D92" s="55">
        <v>56318004683</v>
      </c>
      <c r="E92" s="56">
        <f>IF(C92&lt;=DateToChangeLag,VLOOKUP(C92,'Result-lag'!$C$4:$H$100,2,0),VLOOKUP(C92,CurrentMtgRatesDataTable8[],2,0))</f>
        <v>56318004683</v>
      </c>
      <c r="F92" s="56">
        <f>IF($C92&lt;=DateToChangeLag,VLOOKUP($C92,'Result-lag'!$C$4:$I$100,3,0),VLOOKUP($C92,CurrentMtgRatesDataTable8[],3,0))</f>
        <v>9612570976.6300011</v>
      </c>
      <c r="G92" s="56">
        <f>IF($C92&lt;=DateToChangeLag,VLOOKUP($C92,'Result-lag'!$C$4:$I$100,4,0),VLOOKUP($C92,CurrentMtgRatesDataTable8[],4,0))</f>
        <v>7421703057.6300001</v>
      </c>
      <c r="H92" s="56">
        <f>IF($C92&lt;=DateToChangeLag,VLOOKUP($C92,'Result-lag'!$C$4:$I$100,5,0),VLOOKUP($C92,CurrentMtgRatesDataTable8[],5,0))</f>
        <v>2316613344.4400001</v>
      </c>
      <c r="I92" s="56">
        <f>IF($C92&lt;=DateToChangeLag,VLOOKUP($C92,'Result-lag'!$C$4:$I$100,6,0),VLOOKUP($C92,CurrentMtgRatesDataTable8[],6,0))</f>
        <v>10286727579.799999</v>
      </c>
      <c r="J92" s="57">
        <f>CurrentMtgRatesDataTable934[[#This Row],[Top 10 Amount]]/CurrentMtgRatesDataTable934[[#This Row],[Total Amount]]</f>
        <v>0.17068379873784176</v>
      </c>
      <c r="K92" s="57">
        <f>CurrentMtgRatesDataTable934[[#This Row],[Top 5 Amount]]/CurrentMtgRatesDataTable934[[#This Row],[Total Amount]]</f>
        <v>0.13178206684354168</v>
      </c>
      <c r="L92" s="57">
        <f>CurrentMtgRatesDataTable934[[#This Row],[Top 1 Amount]]/CurrentMtgRatesDataTable934[[#This Row],[Total Amount]]</f>
        <v>4.113450676172991E-2</v>
      </c>
      <c r="M92" s="57">
        <f>CurrentMtgRatesDataTable934[[#This Row],[N/A Amount]]/CurrentMtgRatesDataTable934[[#This Row],[Total Amount]]</f>
        <v>0.18265433297400047</v>
      </c>
      <c r="N92" s="58">
        <f t="shared" si="2"/>
        <v>0</v>
      </c>
    </row>
    <row r="93" spans="3:14">
      <c r="C93" s="54">
        <v>39356</v>
      </c>
      <c r="D93" s="55">
        <v>53589853815.260002</v>
      </c>
      <c r="E93" s="56">
        <f>IF(C93&lt;=DateToChangeLag,VLOOKUP(C93,'Result-lag'!$C$4:$H$100,2,0),VLOOKUP(C93,CurrentMtgRatesDataTable8[],2,0))</f>
        <v>53589853815.260002</v>
      </c>
      <c r="F93" s="56">
        <f>IF($C93&lt;=DateToChangeLag,VLOOKUP($C93,'Result-lag'!$C$4:$I$100,3,0),VLOOKUP($C93,CurrentMtgRatesDataTable8[],3,0))</f>
        <v>9416468641.1799984</v>
      </c>
      <c r="G93" s="56">
        <f>IF($C93&lt;=DateToChangeLag,VLOOKUP($C93,'Result-lag'!$C$4:$I$100,4,0),VLOOKUP($C93,CurrentMtgRatesDataTable8[],4,0))</f>
        <v>7606274729.2600002</v>
      </c>
      <c r="H93" s="56">
        <f>IF($C93&lt;=DateToChangeLag,VLOOKUP($C93,'Result-lag'!$C$4:$I$100,5,0),VLOOKUP($C93,CurrentMtgRatesDataTable8[],5,0))</f>
        <v>1995857574.76</v>
      </c>
      <c r="I93" s="56">
        <f>IF($C93&lt;=DateToChangeLag,VLOOKUP($C93,'Result-lag'!$C$4:$I$100,6,0),VLOOKUP($C93,CurrentMtgRatesDataTable8[],6,0))</f>
        <v>11684087724</v>
      </c>
      <c r="J93" s="57">
        <f>CurrentMtgRatesDataTable934[[#This Row],[Top 10 Amount]]/CurrentMtgRatesDataTable934[[#This Row],[Total Amount]]</f>
        <v>0.17571364672203318</v>
      </c>
      <c r="K93" s="57">
        <f>CurrentMtgRatesDataTable934[[#This Row],[Top 5 Amount]]/CurrentMtgRatesDataTable934[[#This Row],[Total Amount]]</f>
        <v>0.14193497813002193</v>
      </c>
      <c r="L93" s="57">
        <f>CurrentMtgRatesDataTable934[[#This Row],[Top 1 Amount]]/CurrentMtgRatesDataTable934[[#This Row],[Total Amount]]</f>
        <v>3.7243198715195387E-2</v>
      </c>
      <c r="M93" s="57">
        <f>CurrentMtgRatesDataTable934[[#This Row],[N/A Amount]]/CurrentMtgRatesDataTable934[[#This Row],[Total Amount]]</f>
        <v>0.21802798276476903</v>
      </c>
      <c r="N93" s="58">
        <f t="shared" si="2"/>
        <v>0</v>
      </c>
    </row>
    <row r="94" spans="3:14">
      <c r="C94" s="54">
        <v>39326</v>
      </c>
      <c r="D94" s="55">
        <v>59519283040.339996</v>
      </c>
      <c r="E94" s="56">
        <f>IF(C94&lt;=DateToChangeLag,VLOOKUP(C94,'Result-lag'!$C$4:$H$100,2,0),VLOOKUP(C94,CurrentMtgRatesDataTable8[],2,0))</f>
        <v>59519283040.339996</v>
      </c>
      <c r="F94" s="56">
        <f>IF($C94&lt;=DateToChangeLag,VLOOKUP($C94,'Result-lag'!$C$4:$I$100,3,0),VLOOKUP($C94,CurrentMtgRatesDataTable8[],3,0))</f>
        <v>11042488079.07</v>
      </c>
      <c r="G94" s="56">
        <f>IF($C94&lt;=DateToChangeLag,VLOOKUP($C94,'Result-lag'!$C$4:$I$100,4,0),VLOOKUP($C94,CurrentMtgRatesDataTable8[],4,0))</f>
        <v>7954955059.3899994</v>
      </c>
      <c r="H94" s="56">
        <f>IF($C94&lt;=DateToChangeLag,VLOOKUP($C94,'Result-lag'!$C$4:$I$100,5,0),VLOOKUP($C94,CurrentMtgRatesDataTable8[],5,0))</f>
        <v>1933443256.51</v>
      </c>
      <c r="I94" s="56">
        <f>IF($C94&lt;=DateToChangeLag,VLOOKUP($C94,'Result-lag'!$C$4:$I$100,6,0),VLOOKUP($C94,CurrentMtgRatesDataTable8[],6,0))</f>
        <v>9103829164</v>
      </c>
      <c r="J94" s="57">
        <f>CurrentMtgRatesDataTable934[[#This Row],[Top 10 Amount]]/CurrentMtgRatesDataTable934[[#This Row],[Total Amount]]</f>
        <v>0.1855279081837361</v>
      </c>
      <c r="K94" s="57">
        <f>CurrentMtgRatesDataTable934[[#This Row],[Top 5 Amount]]/CurrentMtgRatesDataTable934[[#This Row],[Total Amount]]</f>
        <v>0.13365340866082714</v>
      </c>
      <c r="L94" s="57">
        <f>CurrentMtgRatesDataTable934[[#This Row],[Top 1 Amount]]/CurrentMtgRatesDataTable934[[#This Row],[Total Amount]]</f>
        <v>3.2484316976728073E-2</v>
      </c>
      <c r="M94" s="57">
        <f>CurrentMtgRatesDataTable934[[#This Row],[N/A Amount]]/CurrentMtgRatesDataTable934[[#This Row],[Total Amount]]</f>
        <v>0.15295596147940418</v>
      </c>
      <c r="N94" s="58">
        <f t="shared" si="2"/>
        <v>0</v>
      </c>
    </row>
    <row r="95" spans="3:14">
      <c r="C95" s="54">
        <v>39295</v>
      </c>
      <c r="D95" s="55">
        <v>55852222730.150002</v>
      </c>
      <c r="E95" s="56">
        <f>IF(C95&lt;=DateToChangeLag,VLOOKUP(C95,'Result-lag'!$C$4:$H$100,2,0),VLOOKUP(C95,CurrentMtgRatesDataTable8[],2,0))</f>
        <v>55852222730.150002</v>
      </c>
      <c r="F95" s="56">
        <f>IF($C95&lt;=DateToChangeLag,VLOOKUP($C95,'Result-lag'!$C$4:$I$100,3,0),VLOOKUP($C95,CurrentMtgRatesDataTable8[],3,0))</f>
        <v>9612397022.6000004</v>
      </c>
      <c r="G95" s="56">
        <f>IF($C95&lt;=DateToChangeLag,VLOOKUP($C95,'Result-lag'!$C$4:$I$100,4,0),VLOOKUP($C95,CurrentMtgRatesDataTable8[],4,0))</f>
        <v>7239390881.3999996</v>
      </c>
      <c r="H95" s="56">
        <f>IF($C95&lt;=DateToChangeLag,VLOOKUP($C95,'Result-lag'!$C$4:$I$100,5,0),VLOOKUP($C95,CurrentMtgRatesDataTable8[],5,0))</f>
        <v>2776259321.4400001</v>
      </c>
      <c r="I95" s="56">
        <f>IF($C95&lt;=DateToChangeLag,VLOOKUP($C95,'Result-lag'!$C$4:$I$100,6,0),VLOOKUP($C95,CurrentMtgRatesDataTable8[],6,0))</f>
        <v>10763644956</v>
      </c>
      <c r="J95" s="57">
        <f>CurrentMtgRatesDataTable934[[#This Row],[Top 10 Amount]]/CurrentMtgRatesDataTable934[[#This Row],[Total Amount]]</f>
        <v>0.17210410889182143</v>
      </c>
      <c r="K95" s="57">
        <f>CurrentMtgRatesDataTable934[[#This Row],[Top 5 Amount]]/CurrentMtgRatesDataTable934[[#This Row],[Total Amount]]</f>
        <v>0.12961688053807841</v>
      </c>
      <c r="L95" s="57">
        <f>CurrentMtgRatesDataTable934[[#This Row],[Top 1 Amount]]/CurrentMtgRatesDataTable934[[#This Row],[Total Amount]]</f>
        <v>4.9707230719420001E-2</v>
      </c>
      <c r="M95" s="57">
        <f>CurrentMtgRatesDataTable934[[#This Row],[N/A Amount]]/CurrentMtgRatesDataTable934[[#This Row],[Total Amount]]</f>
        <v>0.19271650132895421</v>
      </c>
      <c r="N95" s="58">
        <f t="shared" si="2"/>
        <v>0</v>
      </c>
    </row>
    <row r="96" spans="3:14">
      <c r="C96" s="54">
        <v>39203</v>
      </c>
      <c r="D96" s="55">
        <v>58241869995.239998</v>
      </c>
      <c r="E96" s="56">
        <f>IF(C96&lt;=DateToChangeLag,VLOOKUP(C96,'Result-lag'!$C$4:$H$100,2,0),VLOOKUP(C96,CurrentMtgRatesDataTable8[],2,0))</f>
        <v>58241869995.239998</v>
      </c>
      <c r="F96" s="56">
        <f>IF($C96&lt;=DateToChangeLag,VLOOKUP($C96,'Result-lag'!$C$4:$I$100,3,0),VLOOKUP($C96,CurrentMtgRatesDataTable8[],3,0))</f>
        <v>9198286813.7699986</v>
      </c>
      <c r="G96" s="56">
        <f>IF($C96&lt;=DateToChangeLag,VLOOKUP($C96,'Result-lag'!$C$4:$I$100,4,0),VLOOKUP($C96,CurrentMtgRatesDataTable8[],4,0))</f>
        <v>7610201505.5699997</v>
      </c>
      <c r="H96" s="56">
        <f>IF($C96&lt;=DateToChangeLag,VLOOKUP($C96,'Result-lag'!$C$4:$I$100,5,0),VLOOKUP($C96,CurrentMtgRatesDataTable8[],5,0))</f>
        <v>2391529898.25</v>
      </c>
      <c r="I96" s="56">
        <f>IF($C96&lt;=DateToChangeLag,VLOOKUP($C96,'Result-lag'!$C$4:$I$100,6,0),VLOOKUP($C96,CurrentMtgRatesDataTable8[],6,0))</f>
        <v>13735083658</v>
      </c>
      <c r="J96" s="57">
        <f>CurrentMtgRatesDataTable934[[#This Row],[Top 10 Amount]]/CurrentMtgRatesDataTable934[[#This Row],[Total Amount]]</f>
        <v>0.15793254602782772</v>
      </c>
      <c r="K96" s="57">
        <f>CurrentMtgRatesDataTable934[[#This Row],[Top 5 Amount]]/CurrentMtgRatesDataTable934[[#This Row],[Total Amount]]</f>
        <v>0.13066547324445399</v>
      </c>
      <c r="L96" s="57">
        <f>CurrentMtgRatesDataTable934[[#This Row],[Top 1 Amount]]/CurrentMtgRatesDataTable934[[#This Row],[Total Amount]]</f>
        <v>4.106203833162389E-2</v>
      </c>
      <c r="M96" s="57">
        <f>CurrentMtgRatesDataTable934[[#This Row],[N/A Amount]]/CurrentMtgRatesDataTable934[[#This Row],[Total Amount]]</f>
        <v>0.23582834237847347</v>
      </c>
      <c r="N96" s="58">
        <f t="shared" si="2"/>
        <v>0</v>
      </c>
    </row>
    <row r="97" spans="3:14">
      <c r="C97" s="54">
        <v>39173</v>
      </c>
      <c r="D97" s="55">
        <v>51130390876.290001</v>
      </c>
      <c r="E97" s="56">
        <f>IF(C97&lt;=DateToChangeLag,VLOOKUP(C97,'Result-lag'!$C$4:$H$100,2,0),VLOOKUP(C97,CurrentMtgRatesDataTable8[],2,0))</f>
        <v>51130390876.290001</v>
      </c>
      <c r="F97" s="56">
        <f>IF($C97&lt;=DateToChangeLag,VLOOKUP($C97,'Result-lag'!$C$4:$I$100,3,0),VLOOKUP($C97,CurrentMtgRatesDataTable8[],3,0))</f>
        <v>6859596823.1999998</v>
      </c>
      <c r="G97" s="56">
        <f>IF($C97&lt;=DateToChangeLag,VLOOKUP($C97,'Result-lag'!$C$4:$I$100,4,0),VLOOKUP($C97,CurrentMtgRatesDataTable8[],4,0))</f>
        <v>5109808044.1499996</v>
      </c>
      <c r="H97" s="56">
        <f>IF($C97&lt;=DateToChangeLag,VLOOKUP($C97,'Result-lag'!$C$4:$I$100,5,0),VLOOKUP($C97,CurrentMtgRatesDataTable8[],5,0))</f>
        <v>1447162932</v>
      </c>
      <c r="I97" s="56">
        <f>IF($C97&lt;=DateToChangeLag,VLOOKUP($C97,'Result-lag'!$C$4:$I$100,6,0),VLOOKUP($C97,CurrentMtgRatesDataTable8[],6,0))</f>
        <v>11172945973</v>
      </c>
      <c r="J97" s="57">
        <f>CurrentMtgRatesDataTable934[[#This Row],[Top 10 Amount]]/CurrentMtgRatesDataTable934[[#This Row],[Total Amount]]</f>
        <v>0.13415889660997893</v>
      </c>
      <c r="K97" s="57">
        <f>CurrentMtgRatesDataTable934[[#This Row],[Top 5 Amount]]/CurrentMtgRatesDataTable934[[#This Row],[Total Amount]]</f>
        <v>9.993680776885086E-2</v>
      </c>
      <c r="L97" s="57">
        <f>CurrentMtgRatesDataTable934[[#This Row],[Top 1 Amount]]/CurrentMtgRatesDataTable934[[#This Row],[Total Amount]]</f>
        <v>2.8303380967718617E-2</v>
      </c>
      <c r="M97" s="57">
        <f>CurrentMtgRatesDataTable934[[#This Row],[N/A Amount]]/CurrentMtgRatesDataTable934[[#This Row],[Total Amount]]</f>
        <v>0.21851868881724271</v>
      </c>
      <c r="N97" s="58">
        <f t="shared" si="2"/>
        <v>0</v>
      </c>
    </row>
    <row r="98" spans="3:14">
      <c r="C98" s="54">
        <v>39142</v>
      </c>
      <c r="D98" s="55">
        <v>47629783273.940002</v>
      </c>
      <c r="E98" s="56">
        <f>IF(C98&lt;=DateToChangeLag,VLOOKUP(C98,'Result-lag'!$C$4:$H$100,2,0),VLOOKUP(C98,CurrentMtgRatesDataTable8[],2,0))</f>
        <v>47629783273.940002</v>
      </c>
      <c r="F98" s="56">
        <f>IF($C98&lt;=DateToChangeLag,VLOOKUP($C98,'Result-lag'!$C$4:$I$100,3,0),VLOOKUP($C98,CurrentMtgRatesDataTable8[],3,0))</f>
        <v>6809494426.5699997</v>
      </c>
      <c r="G98" s="56">
        <f>IF($C98&lt;=DateToChangeLag,VLOOKUP($C98,'Result-lag'!$C$4:$I$100,4,0),VLOOKUP($C98,CurrentMtgRatesDataTable8[],4,0))</f>
        <v>5575179869.1799994</v>
      </c>
      <c r="H98" s="56">
        <f>IF($C98&lt;=DateToChangeLag,VLOOKUP($C98,'Result-lag'!$C$4:$I$100,5,0),VLOOKUP($C98,CurrentMtgRatesDataTable8[],5,0))</f>
        <v>1782572404.98</v>
      </c>
      <c r="I98" s="56">
        <f>IF($C98&lt;=DateToChangeLag,VLOOKUP($C98,'Result-lag'!$C$4:$I$100,6,0),VLOOKUP($C98,CurrentMtgRatesDataTable8[],6,0))</f>
        <v>14264823452.200001</v>
      </c>
      <c r="J98" s="57">
        <f>CurrentMtgRatesDataTable934[[#This Row],[Top 10 Amount]]/CurrentMtgRatesDataTable934[[#This Row],[Total Amount]]</f>
        <v>0.14296715119205095</v>
      </c>
      <c r="K98" s="57">
        <f>CurrentMtgRatesDataTable934[[#This Row],[Top 5 Amount]]/CurrentMtgRatesDataTable934[[#This Row],[Total Amount]]</f>
        <v>0.11705238793791414</v>
      </c>
      <c r="L98" s="57">
        <f>CurrentMtgRatesDataTable934[[#This Row],[Top 1 Amount]]/CurrentMtgRatesDataTable934[[#This Row],[Total Amount]]</f>
        <v>3.7425582953582545E-2</v>
      </c>
      <c r="M98" s="57">
        <f>CurrentMtgRatesDataTable934[[#This Row],[N/A Amount]]/CurrentMtgRatesDataTable934[[#This Row],[Total Amount]]</f>
        <v>0.29949377199884947</v>
      </c>
      <c r="N98" s="58">
        <f t="shared" si="2"/>
        <v>0</v>
      </c>
    </row>
    <row r="99" spans="3:14">
      <c r="C99" s="54">
        <v>39114</v>
      </c>
      <c r="D99" s="55">
        <v>46067240921.730003</v>
      </c>
      <c r="E99" s="56">
        <f>IF(C99&lt;=DateToChangeLag,VLOOKUP(C99,'Result-lag'!$C$4:$H$100,2,0),VLOOKUP(C99,CurrentMtgRatesDataTable8[],2,0))</f>
        <v>46067240921.730003</v>
      </c>
      <c r="F99" s="56">
        <f>IF($C99&lt;=DateToChangeLag,VLOOKUP($C99,'Result-lag'!$C$4:$I$100,3,0),VLOOKUP($C99,CurrentMtgRatesDataTable8[],3,0))</f>
        <v>6799728108.1700001</v>
      </c>
      <c r="G99" s="56">
        <f>IF($C99&lt;=DateToChangeLag,VLOOKUP($C99,'Result-lag'!$C$4:$I$100,4,0),VLOOKUP($C99,CurrentMtgRatesDataTable8[],4,0))</f>
        <v>5488484085.8400002</v>
      </c>
      <c r="H99" s="56">
        <f>IF($C99&lt;=DateToChangeLag,VLOOKUP($C99,'Result-lag'!$C$4:$I$100,5,0),VLOOKUP($C99,CurrentMtgRatesDataTable8[],5,0))</f>
        <v>1685524401.6800001</v>
      </c>
      <c r="I99" s="56">
        <f>IF($C99&lt;=DateToChangeLag,VLOOKUP($C99,'Result-lag'!$C$4:$I$100,6,0),VLOOKUP($C99,CurrentMtgRatesDataTable8[],6,0))</f>
        <v>10090446420</v>
      </c>
      <c r="J99" s="57">
        <f>CurrentMtgRatesDataTable934[[#This Row],[Top 10 Amount]]/CurrentMtgRatesDataTable934[[#This Row],[Total Amount]]</f>
        <v>0.14760441415892472</v>
      </c>
      <c r="K99" s="57">
        <f>CurrentMtgRatesDataTable934[[#This Row],[Top 5 Amount]]/CurrentMtgRatesDataTable934[[#This Row],[Total Amount]]</f>
        <v>0.11914071639682401</v>
      </c>
      <c r="L99" s="57">
        <f>CurrentMtgRatesDataTable934[[#This Row],[Top 1 Amount]]/CurrentMtgRatesDataTable934[[#This Row],[Total Amount]]</f>
        <v>3.6588351460938806E-2</v>
      </c>
      <c r="M99" s="57">
        <f>CurrentMtgRatesDataTable934[[#This Row],[N/A Amount]]/CurrentMtgRatesDataTable934[[#This Row],[Total Amount]]</f>
        <v>0.21903735101357716</v>
      </c>
      <c r="N99" s="58">
        <f t="shared" si="2"/>
        <v>0</v>
      </c>
    </row>
    <row r="100" spans="3:14">
      <c r="C100" s="54">
        <v>39083</v>
      </c>
      <c r="D100" s="55">
        <v>49068464062.099998</v>
      </c>
      <c r="E100" s="56">
        <f>IF(C100&lt;=DateToChangeLag,VLOOKUP(C100,'Result-lag'!$C$4:$H$100,2,0),VLOOKUP(C100,CurrentMtgRatesDataTable8[],2,0))</f>
        <v>49068464062.099998</v>
      </c>
      <c r="F100" s="56">
        <f>IF($C100&lt;=DateToChangeLag,VLOOKUP($C100,'Result-lag'!$C$4:$I$100,3,0),VLOOKUP($C100,CurrentMtgRatesDataTable8[],3,0))</f>
        <v>6674311435.8299999</v>
      </c>
      <c r="G100" s="56">
        <f>IF($C100&lt;=DateToChangeLag,VLOOKUP($C100,'Result-lag'!$C$4:$I$100,4,0),VLOOKUP($C100,CurrentMtgRatesDataTable8[],4,0))</f>
        <v>5323047293.8299999</v>
      </c>
      <c r="H100" s="56">
        <f>IF($C100&lt;=DateToChangeLag,VLOOKUP($C100,'Result-lag'!$C$4:$I$100,5,0),VLOOKUP($C100,CurrentMtgRatesDataTable8[],5,0))</f>
        <v>2473400845.6300001</v>
      </c>
      <c r="I100" s="56">
        <f>IF($C100&lt;=DateToChangeLag,VLOOKUP($C100,'Result-lag'!$C$4:$I$100,6,0),VLOOKUP($C100,CurrentMtgRatesDataTable8[],6,0))</f>
        <v>12755199686.66</v>
      </c>
      <c r="J100" s="57">
        <f>CurrentMtgRatesDataTable934[[#This Row],[Top 10 Amount]]/CurrentMtgRatesDataTable934[[#This Row],[Total Amount]]</f>
        <v>0.13602038627871324</v>
      </c>
      <c r="K100" s="57">
        <f>CurrentMtgRatesDataTable934[[#This Row],[Top 5 Amount]]/CurrentMtgRatesDataTable934[[#This Row],[Total Amount]]</f>
        <v>0.10848204433489635</v>
      </c>
      <c r="L100" s="57">
        <f>CurrentMtgRatesDataTable934[[#This Row],[Top 1 Amount]]/CurrentMtgRatesDataTable934[[#This Row],[Total Amount]]</f>
        <v>5.0407138126429163E-2</v>
      </c>
      <c r="M100" s="57">
        <f>CurrentMtgRatesDataTable934[[#This Row],[N/A Amount]]/CurrentMtgRatesDataTable934[[#This Row],[Total Amount]]</f>
        <v>0.25994699305275365</v>
      </c>
      <c r="N100" s="58">
        <f t="shared" si="2"/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P100"/>
  <sheetViews>
    <sheetView workbookViewId="0">
      <selection activeCell="L10" sqref="L10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57</v>
      </c>
      <c r="E3" s="10" t="s">
        <v>62</v>
      </c>
      <c r="F3" s="10" t="s">
        <v>63</v>
      </c>
      <c r="G3" s="10" t="s">
        <v>64</v>
      </c>
      <c r="H3" s="10" t="s">
        <v>65</v>
      </c>
      <c r="I3" s="10" t="s">
        <v>66</v>
      </c>
      <c r="J3" s="10"/>
      <c r="K3" s="10"/>
      <c r="L3" s="10" t="s">
        <v>62</v>
      </c>
      <c r="M3" s="10" t="s">
        <v>63</v>
      </c>
      <c r="N3" s="10" t="s">
        <v>64</v>
      </c>
      <c r="O3" s="10" t="s">
        <v>65</v>
      </c>
      <c r="P3" s="10" t="s">
        <v>66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22005390819.379997</v>
      </c>
      <c r="F4" s="8">
        <f>VLOOKUP(C4,'Pivot - lag'!I3:J145,2,0)</f>
        <v>18394890812.089996</v>
      </c>
      <c r="G4" s="8">
        <f>VLOOKUP(C4,'Pivot - lag'!L3:M145,2,0)</f>
        <v>11681700587.98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0.44920902705935184</v>
      </c>
      <c r="M4" s="7">
        <f>F4/$D4</f>
        <v>0.37550576003788383</v>
      </c>
      <c r="N4" s="7">
        <f>G4/$D4</f>
        <v>0.238465446880575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24390037801.610001</v>
      </c>
      <c r="F5" s="8">
        <f>VLOOKUP(C5,'Pivot - lag'!I4:J146,2,0)</f>
        <v>21144777769</v>
      </c>
      <c r="G5" s="8">
        <f>VLOOKUP(C5,'Pivot - lag'!L4:M146,2,0)</f>
        <v>14601314801.620001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6" si="1">C5</f>
        <v>39114</v>
      </c>
      <c r="L5" s="7">
        <f t="shared" ref="L5:L34" si="2">E5/$D5</f>
        <v>0.46498457848281755</v>
      </c>
      <c r="M5" s="7">
        <f t="shared" ref="M5:M34" si="3">F5/$D5</f>
        <v>0.40311522507694925</v>
      </c>
      <c r="N5" s="7">
        <f t="shared" ref="N5:N34" si="4">G5/$D5</f>
        <v>0.27836718678140093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19953152614.189999</v>
      </c>
      <c r="F6" s="8">
        <f>VLOOKUP(C6,'Pivot - lag'!I5:J147,2,0)</f>
        <v>16245709059.530001</v>
      </c>
      <c r="G6" s="8">
        <f>VLOOKUP(C6,'Pivot - lag'!L5:M147,2,0)</f>
        <v>9206220291.1299992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0.41780456535724247</v>
      </c>
      <c r="M6" s="7">
        <f t="shared" si="3"/>
        <v>0.34017338231102834</v>
      </c>
      <c r="N6" s="7">
        <f t="shared" si="4"/>
        <v>0.19277158560813931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23546878007.560005</v>
      </c>
      <c r="F7" s="8">
        <f>VLOOKUP(C7,'Pivot - lag'!I6:J148,2,0)</f>
        <v>20048597625.550003</v>
      </c>
      <c r="G7" s="8">
        <f>VLOOKUP(C7,'Pivot - lag'!L6:M148,2,0)</f>
        <v>12829856145.469999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0.44816498452972214</v>
      </c>
      <c r="M7" s="7">
        <f t="shared" si="3"/>
        <v>0.38158262177314861</v>
      </c>
      <c r="N7" s="7">
        <f t="shared" si="4"/>
        <v>0.24418915658827686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24005656754.129997</v>
      </c>
      <c r="F8" s="8">
        <f>VLOOKUP(C8,'Pivot - lag'!I7:J149,2,0)</f>
        <v>20119541224.099998</v>
      </c>
      <c r="G8" s="8">
        <f>VLOOKUP(C8,'Pivot - lag'!L7:M149,2,0)</f>
        <v>14193408528.25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0.43622756070670909</v>
      </c>
      <c r="M8" s="7">
        <f t="shared" si="3"/>
        <v>0.36560959279804967</v>
      </c>
      <c r="N8" s="7">
        <f t="shared" si="4"/>
        <v>0.2579207077651432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28821596097.220001</v>
      </c>
      <c r="F9" s="8">
        <f>VLOOKUP(C9,'Pivot - lag'!I8:J150,2,0)</f>
        <v>23334382277.509998</v>
      </c>
      <c r="G9" s="8">
        <f>VLOOKUP(C9,'Pivot - lag'!L8:M150,2,0)</f>
        <v>14703375942.889999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>E9/$D9</f>
        <v>0.45181178238396941</v>
      </c>
      <c r="M9" s="7">
        <f t="shared" si="3"/>
        <v>0.3657933728606933</v>
      </c>
      <c r="N9" s="7">
        <f t="shared" si="4"/>
        <v>0.23049238735461552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30237910353.380005</v>
      </c>
      <c r="F10" s="8">
        <f>VLOOKUP(C10,'Pivot - lag'!I9:J151,2,0)</f>
        <v>25029740136.720001</v>
      </c>
      <c r="G10" s="8">
        <f>VLOOKUP(C10,'Pivot - lag'!L9:M151,2,0)</f>
        <v>17142662362.059999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0.45440896894088573</v>
      </c>
      <c r="M10" s="7">
        <f t="shared" si="3"/>
        <v>0.37614168027698641</v>
      </c>
      <c r="N10" s="7">
        <f t="shared" si="4"/>
        <v>0.2576163312149865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29936229989.770004</v>
      </c>
      <c r="F11" s="8">
        <f>VLOOKUP(C11,'Pivot - lag'!I10:J152,2,0)</f>
        <v>23483119545.73</v>
      </c>
      <c r="G11" s="8">
        <f>VLOOKUP(C11,'Pivot - lag'!L10:M152,2,0)</f>
        <v>14698388639.51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0.44786710964390392</v>
      </c>
      <c r="M11" s="7">
        <f t="shared" si="3"/>
        <v>0.35132402710569782</v>
      </c>
      <c r="N11" s="7">
        <f t="shared" si="4"/>
        <v>0.2198982583528285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24063220176.149998</v>
      </c>
      <c r="F12" s="8">
        <f>VLOOKUP(C12,'Pivot - lag'!I11:J153,2,0)</f>
        <v>19331781875.389999</v>
      </c>
      <c r="G12" s="8">
        <f>VLOOKUP(C12,'Pivot - lag'!L11:M153,2,0)</f>
        <v>10643238075.370001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0.4089273842968838</v>
      </c>
      <c r="M12" s="7">
        <f t="shared" si="3"/>
        <v>0.32852190763463934</v>
      </c>
      <c r="N12" s="7">
        <f t="shared" si="4"/>
        <v>0.18086987006517943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27225203135.370003</v>
      </c>
      <c r="F13" s="8">
        <f>VLOOKUP(C13,'Pivot - lag'!I12:J154,2,0)</f>
        <v>19740910094.049999</v>
      </c>
      <c r="G13" s="8">
        <f>VLOOKUP(C13,'Pivot - lag'!L12:M154,2,0)</f>
        <v>12406881529.92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0.44110264383127196</v>
      </c>
      <c r="M13" s="7">
        <f t="shared" si="3"/>
        <v>0.31984215474256944</v>
      </c>
      <c r="N13" s="7">
        <f t="shared" si="4"/>
        <v>0.20101625017589467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26358511500.539997</v>
      </c>
      <c r="F14" s="8">
        <f>VLOOKUP(C14,'Pivot - lag'!I13:J155,2,0)</f>
        <v>20565243361.380001</v>
      </c>
      <c r="G14" s="8">
        <f>VLOOKUP(C14,'Pivot - lag'!L13:M155,2,0)</f>
        <v>11532643036.76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0.46229137585542684</v>
      </c>
      <c r="M14" s="7">
        <f t="shared" si="3"/>
        <v>0.36068556633553739</v>
      </c>
      <c r="N14" s="7">
        <f t="shared" si="4"/>
        <v>0.20226640706187318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24049328432.510002</v>
      </c>
      <c r="F15" s="8">
        <f>VLOOKUP(C15,'Pivot - lag'!I14:J156,2,0)</f>
        <v>18513922693.950001</v>
      </c>
      <c r="G15" s="8">
        <f>VLOOKUP(C15,'Pivot - lag'!L14:M156,2,0)</f>
        <v>8830293939.6599998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0.41941919811603395</v>
      </c>
      <c r="M15" s="7">
        <f t="shared" si="3"/>
        <v>0.32288197286132359</v>
      </c>
      <c r="N15" s="7">
        <f t="shared" si="4"/>
        <v>0.15399992618066347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34021754168.699993</v>
      </c>
      <c r="F16" s="8">
        <f>VLOOKUP(C16,'Pivot - lag'!I15:J157,2,0)</f>
        <v>27276578750.459999</v>
      </c>
      <c r="G16" s="8">
        <f>VLOOKUP(C16,'Pivot - lag'!L15:M157,2,0)</f>
        <v>16764636099.889999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0.4414684661026802</v>
      </c>
      <c r="M16" s="7">
        <f t="shared" si="3"/>
        <v>0.35394263687240868</v>
      </c>
      <c r="N16" s="7">
        <f t="shared" si="4"/>
        <v>0.21753899422966935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25450724850.16</v>
      </c>
      <c r="F17" s="8">
        <f>VLOOKUP(C17,'Pivot - lag'!I16:J158,2,0)</f>
        <v>21258162622.960003</v>
      </c>
      <c r="G17" s="8">
        <f>VLOOKUP(C17,'Pivot - lag'!L16:M158,2,0)</f>
        <v>12621973781.870001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0.43206883523556666</v>
      </c>
      <c r="M17" s="7">
        <f t="shared" si="3"/>
        <v>0.36089304402239231</v>
      </c>
      <c r="N17" s="7">
        <f t="shared" si="4"/>
        <v>0.21427922161015178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33681296401.139999</v>
      </c>
      <c r="F18" s="8">
        <f>VLOOKUP(C18,'Pivot - lag'!I17:J159,2,0)</f>
        <v>28463532828.130001</v>
      </c>
      <c r="G18" s="8">
        <f>VLOOKUP(C18,'Pivot - lag'!L17:M159,2,0)</f>
        <v>15666973862.35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0.40930742132378306</v>
      </c>
      <c r="M18" s="7">
        <f t="shared" si="3"/>
        <v>0.3458992517655114</v>
      </c>
      <c r="N18" s="7">
        <f t="shared" si="4"/>
        <v>0.19039079123238686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21147704415.139999</v>
      </c>
      <c r="F19" s="8">
        <f>VLOOKUP(C19,'Pivot - lag'!I18:J160,2,0)</f>
        <v>17460753390.959999</v>
      </c>
      <c r="G19" s="8">
        <f>VLOOKUP(C19,'Pivot - lag'!L18:M160,2,0)</f>
        <v>9604764183.2199993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0.3713595344280643</v>
      </c>
      <c r="M19" s="7">
        <f t="shared" si="3"/>
        <v>0.30661565542726188</v>
      </c>
      <c r="N19" s="7">
        <f t="shared" si="4"/>
        <v>0.1686623136655144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23997953224.269997</v>
      </c>
      <c r="F20" s="8">
        <f>VLOOKUP(C20,'Pivot - lag'!I19:J161,2,0)</f>
        <v>20957564016.290001</v>
      </c>
      <c r="G20" s="8">
        <f>VLOOKUP(C20,'Pivot - lag'!L19:M161,2,0)</f>
        <v>11260841584.469999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0.37994057509047657</v>
      </c>
      <c r="M20" s="7">
        <f t="shared" si="3"/>
        <v>0.33180450226029301</v>
      </c>
      <c r="N20" s="7">
        <f t="shared" si="4"/>
        <v>0.17828398062211961</v>
      </c>
      <c r="O20" s="7">
        <f t="shared" ref="O20:P81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25522480419.200001</v>
      </c>
      <c r="F21" s="8">
        <f>VLOOKUP(C21,'Pivot - lag'!I20:J162,2,0)</f>
        <v>21632476144.400002</v>
      </c>
      <c r="G21" s="8">
        <f>VLOOKUP(C21,'Pivot - lag'!L20:M162,2,0)</f>
        <v>11100913368.030001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0.35153765466811132</v>
      </c>
      <c r="M21" s="7">
        <f t="shared" si="3"/>
        <v>0.29795810609165746</v>
      </c>
      <c r="N21" s="7">
        <f t="shared" si="4"/>
        <v>0.15290007029001262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14700079946.939999</v>
      </c>
      <c r="F22" s="8">
        <f>VLOOKUP(C22,'Pivot - lag'!I21:J163,2,0)</f>
        <v>11673692707.009998</v>
      </c>
      <c r="G22" s="8">
        <f>VLOOKUP(C22,'Pivot - lag'!L21:M163,2,0)</f>
        <v>5626585790.7399998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0.26385407533116129</v>
      </c>
      <c r="M22" s="7">
        <f t="shared" si="3"/>
        <v>0.20953296893799653</v>
      </c>
      <c r="N22" s="7">
        <f t="shared" si="4"/>
        <v>0.10099248415286277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13366886629.699999</v>
      </c>
      <c r="F23" s="8">
        <f>VLOOKUP(C23,'Pivot - lag'!I22:J164,2,0)</f>
        <v>10350628746.73</v>
      </c>
      <c r="G23" s="8">
        <f>VLOOKUP(C23,'Pivot - lag'!L22:M164,2,0)</f>
        <v>5186273977.5699997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0.34362071972119962</v>
      </c>
      <c r="M23" s="7">
        <f t="shared" si="3"/>
        <v>0.2660821923645002</v>
      </c>
      <c r="N23" s="7">
        <f t="shared" si="4"/>
        <v>0.13332283322312646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9952524903.1999989</v>
      </c>
      <c r="F24" s="8">
        <f>VLOOKUP(C24,'Pivot - lag'!I23:J165,2,0)</f>
        <v>7953039985.5299997</v>
      </c>
      <c r="G24" s="8">
        <f>VLOOKUP(C24,'Pivot - lag'!L23:M165,2,0)</f>
        <v>3597810473.3000002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0.30423155583135447</v>
      </c>
      <c r="M24" s="7">
        <f t="shared" si="3"/>
        <v>0.24311074344650077</v>
      </c>
      <c r="N24" s="7">
        <f t="shared" si="4"/>
        <v>0.10997887355463624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9807098119.539999</v>
      </c>
      <c r="F25" s="8">
        <f>VLOOKUP(C25,'Pivot - lag'!I24:J166,2,0)</f>
        <v>7956950339.1900005</v>
      </c>
      <c r="G25" s="8">
        <f>VLOOKUP(C25,'Pivot - lag'!L24:M166,2,0)</f>
        <v>3209041996.9899998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0.251604814510275</v>
      </c>
      <c r="M25" s="7">
        <f t="shared" si="3"/>
        <v>0.20413857287412085</v>
      </c>
      <c r="N25" s="7">
        <f t="shared" si="4"/>
        <v>8.2329187142488061E-2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11195347659.550001</v>
      </c>
      <c r="F26" s="8">
        <f>VLOOKUP(C26,'Pivot - lag'!I25:J167,2,0)</f>
        <v>9317543726.3699989</v>
      </c>
      <c r="G26" s="8">
        <f>VLOOKUP(C26,'Pivot - lag'!L25:M167,2,0)</f>
        <v>3683826115.2199998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0.34101363302454196</v>
      </c>
      <c r="M26" s="7">
        <f t="shared" si="3"/>
        <v>0.28381516444324323</v>
      </c>
      <c r="N26" s="7">
        <f t="shared" si="4"/>
        <v>0.11221044358638091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7328279626.000001</v>
      </c>
      <c r="F27" s="8">
        <f>VLOOKUP(C27,'Pivot - lag'!I26:J168,2,0)</f>
        <v>5685169215.3000002</v>
      </c>
      <c r="G27" s="8">
        <f>VLOOKUP(C27,'Pivot - lag'!L26:M168,2,0)</f>
        <v>2158341504.3499999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0.27909235576754277</v>
      </c>
      <c r="M27" s="7">
        <f t="shared" si="3"/>
        <v>0.21651565581719651</v>
      </c>
      <c r="N27" s="7">
        <f t="shared" si="4"/>
        <v>8.2198912397219645E-2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13738092032.040001</v>
      </c>
      <c r="F28" s="8">
        <f>VLOOKUP(C28,'Pivot - lag'!I27:J169,2,0)</f>
        <v>9931326516.3299999</v>
      </c>
      <c r="G28" s="8">
        <f>VLOOKUP(C28,'Pivot - lag'!L27:M169,2,0)</f>
        <v>2969647031.0900002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0.34269098340700405</v>
      </c>
      <c r="M28" s="7">
        <f t="shared" si="3"/>
        <v>0.24773280325097721</v>
      </c>
      <c r="N28" s="7">
        <f t="shared" si="4"/>
        <v>7.4076608242433326E-2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7927790496.3399982</v>
      </c>
      <c r="F29" s="8">
        <f>VLOOKUP(C29,'Pivot - lag'!I28:J170,2,0)</f>
        <v>5774138390.8099995</v>
      </c>
      <c r="G29" s="8">
        <f>VLOOKUP(C29,'Pivot - lag'!L28:M170,2,0)</f>
        <v>3317104858.1599998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0.32506866904348403</v>
      </c>
      <c r="M29" s="7">
        <f t="shared" si="3"/>
        <v>0.23676098434236334</v>
      </c>
      <c r="N29" s="7">
        <f t="shared" si="4"/>
        <v>0.13601354145490546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9514431950.8000011</v>
      </c>
      <c r="F30" s="8">
        <f>VLOOKUP(C30,'Pivot - lag'!I29:J171,2,0)</f>
        <v>6841953982.4899998</v>
      </c>
      <c r="G30" s="8">
        <f>VLOOKUP(C30,'Pivot - lag'!L29:M171,2,0)</f>
        <v>2229672563.8899999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0.21259780895775382</v>
      </c>
      <c r="M30" s="7">
        <f t="shared" si="3"/>
        <v>0.15288189911798636</v>
      </c>
      <c r="N30" s="7">
        <f t="shared" si="4"/>
        <v>4.9821524209479905E-2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15341231965.27</v>
      </c>
      <c r="F31" s="8">
        <f>VLOOKUP(C31,'Pivot - lag'!I30:J172,2,0)</f>
        <v>11152352862.92</v>
      </c>
      <c r="G31" s="8">
        <f>VLOOKUP(C31,'Pivot - lag'!L30:M172,2,0)</f>
        <v>3407769717.4299998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0.17216562052385181</v>
      </c>
      <c r="M31" s="7">
        <f t="shared" si="3"/>
        <v>0.12515629483292184</v>
      </c>
      <c r="N31" s="7">
        <f t="shared" si="4"/>
        <v>3.8243394619931446E-2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11909663121.58</v>
      </c>
      <c r="F32" s="8">
        <f>VLOOKUP(C32,'Pivot - lag'!I31:J173,2,0)</f>
        <v>9327202731.6400013</v>
      </c>
      <c r="G32" s="8">
        <f>VLOOKUP(C32,'Pivot - lag'!L31:M173,2,0)</f>
        <v>2815227706.5700002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0.21138208495893954</v>
      </c>
      <c r="M32" s="7">
        <f t="shared" si="3"/>
        <v>0.16554654318276099</v>
      </c>
      <c r="N32" s="7">
        <f t="shared" si="4"/>
        <v>4.9966879514052334E-2</v>
      </c>
      <c r="O32" s="7">
        <f t="shared" si="5"/>
        <v>0.26474542343632856</v>
      </c>
      <c r="P32" s="7">
        <f t="shared" si="5"/>
        <v>9.1137384150389716E-3</v>
      </c>
    </row>
    <row r="33" spans="3:16">
      <c r="C33" s="1">
        <f>'Input-lag'!H35</f>
        <v>40026</v>
      </c>
      <c r="D33" s="8">
        <f>VLOOKUP(C33,'Input-lag'!H$4:$I$102,2,0)</f>
        <v>78436521989.979996</v>
      </c>
      <c r="E33" s="8">
        <f>VLOOKUP(C33,'Pivot - lag'!$E$4:$F$144,2,0)</f>
        <v>14334239995.679998</v>
      </c>
      <c r="F33" s="8">
        <f>VLOOKUP(C33,'Pivot - lag'!I32:J174,2,0)</f>
        <v>11292690345.33</v>
      </c>
      <c r="G33" s="8">
        <f>VLOOKUP(C33,'Pivot - lag'!L32:M174,2,0)</f>
        <v>4882309364.7299995</v>
      </c>
      <c r="H33" s="8">
        <f>VLOOKUP(C33,'Input-lag'!$K$3:$L$102,2,0)</f>
        <v>16641693291.17</v>
      </c>
      <c r="I33" s="8">
        <f>VLOOKUP(C33,'Input-lag'!temp_8,2,0)</f>
        <v>1022514881.83</v>
      </c>
      <c r="K33" s="1">
        <f t="shared" si="1"/>
        <v>40026</v>
      </c>
      <c r="L33" s="7">
        <f t="shared" si="2"/>
        <v>0.18274956145443508</v>
      </c>
      <c r="M33" s="7">
        <f t="shared" si="3"/>
        <v>0.1439723493447683</v>
      </c>
      <c r="N33" s="7">
        <f t="shared" si="4"/>
        <v>6.2245357658179928E-2</v>
      </c>
      <c r="O33" s="7">
        <f t="shared" si="5"/>
        <v>0.21216765951575364</v>
      </c>
      <c r="P33" s="7">
        <f t="shared" si="5"/>
        <v>1.3036208846188042E-2</v>
      </c>
    </row>
    <row r="34" spans="3:16">
      <c r="C34" s="1">
        <f>'Input-lag'!H36</f>
        <v>40057</v>
      </c>
      <c r="D34" s="8">
        <f>VLOOKUP(C34,'Input-lag'!H$4:$I$102,2,0)</f>
        <v>59684456334.959999</v>
      </c>
      <c r="E34" s="8">
        <f>VLOOKUP(C34,'Pivot - lag'!$E$4:$F$144,2,0)</f>
        <v>8428907060.6899996</v>
      </c>
      <c r="F34" s="8">
        <f>VLOOKUP(C34,'Pivot - lag'!I33:J175,2,0)</f>
        <v>6426995490.3899994</v>
      </c>
      <c r="G34" s="8">
        <f>VLOOKUP(C34,'Pivot - lag'!L33:M175,2,0)</f>
        <v>1858141620.6099999</v>
      </c>
      <c r="H34" s="8">
        <f>VLOOKUP(C34,'Input-lag'!$K$3:$L$102,2,0)</f>
        <v>13851899196.700001</v>
      </c>
      <c r="I34" s="8">
        <f>VLOOKUP(C34,'Input-lag'!temp_8,2,0)</f>
        <v>1099497321.99</v>
      </c>
      <c r="K34" s="1">
        <f t="shared" si="1"/>
        <v>40057</v>
      </c>
      <c r="L34" s="7">
        <f t="shared" si="2"/>
        <v>0.14122449257785719</v>
      </c>
      <c r="M34" s="7">
        <f t="shared" si="3"/>
        <v>0.1076829024682831</v>
      </c>
      <c r="N34" s="7">
        <f t="shared" si="4"/>
        <v>3.1132756076084064E-2</v>
      </c>
      <c r="O34" s="7">
        <f t="shared" si="5"/>
        <v>0.23208553863606679</v>
      </c>
      <c r="P34" s="7">
        <f t="shared" si="5"/>
        <v>1.8421836932205959E-2</v>
      </c>
    </row>
    <row r="35" spans="3:16">
      <c r="C35" s="1">
        <f>'Input-lag'!H37</f>
        <v>40087</v>
      </c>
      <c r="D35" s="8">
        <f>VLOOKUP(C35,'Input-lag'!H$4:$I$102,2,0)</f>
        <v>56386030208.150002</v>
      </c>
      <c r="E35" s="8">
        <f>VLOOKUP(C35,'Pivot - lag'!$E$4:$F$144,2,0)</f>
        <v>6404692738.1400013</v>
      </c>
      <c r="F35" s="8">
        <f>VLOOKUP(C35,'Pivot - lag'!I34:J176,2,0)</f>
        <v>4799569384.6999998</v>
      </c>
      <c r="G35" s="8">
        <f>VLOOKUP(C35,'Pivot - lag'!L34:M176,2,0)</f>
        <v>1620000882.77</v>
      </c>
      <c r="H35" s="8">
        <f>VLOOKUP(C35,'Input-lag'!$K$3:$L$102,2,0)</f>
        <v>12597168617.459999</v>
      </c>
      <c r="I35" s="8">
        <f>VLOOKUP(C35,'Input-lag'!temp_8,2,0)</f>
        <v>719266463.65999997</v>
      </c>
      <c r="K35" s="1">
        <f t="shared" si="1"/>
        <v>40087</v>
      </c>
      <c r="L35" s="7">
        <f t="shared" ref="L35:L66" si="6">E35/$D35</f>
        <v>0.11358651627888978</v>
      </c>
      <c r="M35" s="7">
        <f t="shared" ref="M35:M66" si="7">F35/$D35</f>
        <v>8.5119831401187618E-2</v>
      </c>
      <c r="N35" s="7">
        <f t="shared" ref="N35:N66" si="8">G35/$D35</f>
        <v>2.8730536212422452E-2</v>
      </c>
      <c r="O35" s="7">
        <f t="shared" si="5"/>
        <v>0.22340939007334501</v>
      </c>
      <c r="P35" s="7">
        <f t="shared" si="5"/>
        <v>1.2756111061637349E-2</v>
      </c>
    </row>
    <row r="36" spans="3:16">
      <c r="C36" s="1">
        <f>'Input-lag'!H38</f>
        <v>40118</v>
      </c>
      <c r="D36" s="8">
        <f>VLOOKUP(C36,'Input-lag'!H$4:$I$102,2,0)</f>
        <v>37508648146.959999</v>
      </c>
      <c r="E36" s="8">
        <f>VLOOKUP(C36,'Pivot - lag'!$E$4:$F$144,2,0)</f>
        <v>6160577899.3200006</v>
      </c>
      <c r="F36" s="8">
        <f>VLOOKUP(C36,'Pivot - lag'!I35:J177,2,0)</f>
        <v>4966938610.75</v>
      </c>
      <c r="G36" s="8">
        <f>VLOOKUP(C36,'Pivot - lag'!L35:M177,2,0)</f>
        <v>1785454973.51</v>
      </c>
      <c r="H36" s="8">
        <f>VLOOKUP(C36,'Input-lag'!$K$3:$L$102,2,0)</f>
        <v>7065936096.5500002</v>
      </c>
      <c r="I36" s="8">
        <f>VLOOKUP(C36,'Input-lag'!temp_8,2,0)</f>
        <v>752409534.13</v>
      </c>
      <c r="K36" s="1">
        <f t="shared" si="1"/>
        <v>40118</v>
      </c>
      <c r="L36" s="7">
        <f t="shared" si="6"/>
        <v>0.16424419976914853</v>
      </c>
      <c r="M36" s="7">
        <f t="shared" si="7"/>
        <v>0.13242115768313981</v>
      </c>
      <c r="N36" s="7">
        <f t="shared" si="8"/>
        <v>4.7601154979367274E-2</v>
      </c>
      <c r="O36" s="7">
        <f t="shared" si="5"/>
        <v>0.18838151854648166</v>
      </c>
      <c r="P36" s="7">
        <f t="shared" si="5"/>
        <v>2.0059628147141881E-2</v>
      </c>
    </row>
    <row r="37" spans="3:16">
      <c r="C37" s="1">
        <f>'Input-lag'!H39</f>
        <v>40148</v>
      </c>
      <c r="D37" s="8">
        <f>VLOOKUP(C37,'Input-lag'!H$4:$I$102,2,0)</f>
        <v>36508839962.290001</v>
      </c>
      <c r="E37" s="8">
        <f>VLOOKUP(C37,'Pivot - lag'!$E$4:$F$144,2,0)</f>
        <v>7230556956.3800001</v>
      </c>
      <c r="F37" s="8">
        <f>VLOOKUP(C37,'Pivot - lag'!I36:J178,2,0)</f>
        <v>5692472765.5499992</v>
      </c>
      <c r="G37" s="8">
        <f>VLOOKUP(C37,'Pivot - lag'!L36:M178,2,0)</f>
        <v>1884115395.5999999</v>
      </c>
      <c r="H37" s="8">
        <f>VLOOKUP(C37,'Input-lag'!$K$3:$L$102,2,0)</f>
        <v>6367737885.9099998</v>
      </c>
      <c r="I37" s="8">
        <f>VLOOKUP(C37,'Input-lag'!temp_8,2,0)</f>
        <v>591086562.80999994</v>
      </c>
      <c r="K37" s="1">
        <f t="shared" si="1"/>
        <v>40148</v>
      </c>
      <c r="L37" s="7">
        <f t="shared" si="6"/>
        <v>0.19804948510685211</v>
      </c>
      <c r="M37" s="7">
        <f t="shared" si="7"/>
        <v>0.1559203954831147</v>
      </c>
      <c r="N37" s="7">
        <f t="shared" si="8"/>
        <v>5.1607101117047367E-2</v>
      </c>
      <c r="O37" s="7">
        <f t="shared" si="5"/>
        <v>0.17441633019529626</v>
      </c>
      <c r="P37" s="7">
        <f t="shared" si="5"/>
        <v>1.6190231281534379E-2</v>
      </c>
    </row>
    <row r="38" spans="3:16">
      <c r="C38" s="1">
        <f>'Input-lag'!H40</f>
        <v>40179</v>
      </c>
      <c r="D38" s="8">
        <f>VLOOKUP(C38,'Input-lag'!H$4:$I$102,2,0)</f>
        <v>47221077996.639999</v>
      </c>
      <c r="E38" s="8">
        <f>VLOOKUP(C38,'Pivot - lag'!$E$4:$F$144,2,0)</f>
        <v>7797028090.750001</v>
      </c>
      <c r="F38" s="8">
        <f>VLOOKUP(C38,'Pivot - lag'!I37:J179,2,0)</f>
        <v>6194380368.7000008</v>
      </c>
      <c r="G38" s="8">
        <f>VLOOKUP(C38,'Pivot - lag'!L37:M179,2,0)</f>
        <v>1770204493.27</v>
      </c>
      <c r="H38" s="8">
        <f>VLOOKUP(C38,'Input-lag'!$K$3:$L$102,2,0)</f>
        <v>7787526961.9899998</v>
      </c>
      <c r="I38" s="8">
        <f>VLOOKUP(C38,'Input-lag'!temp_8,2,0)</f>
        <v>722138217.29999995</v>
      </c>
      <c r="K38" s="1">
        <f t="shared" si="1"/>
        <v>40179</v>
      </c>
      <c r="L38" s="7">
        <f t="shared" si="6"/>
        <v>0.16511753694620857</v>
      </c>
      <c r="M38" s="7">
        <f t="shared" si="7"/>
        <v>0.13117829222663574</v>
      </c>
      <c r="N38" s="7">
        <f t="shared" si="8"/>
        <v>3.7487591735960758E-2</v>
      </c>
      <c r="O38" s="7">
        <f t="shared" si="5"/>
        <v>0.16491633169713149</v>
      </c>
      <c r="P38" s="7">
        <f t="shared" si="5"/>
        <v>1.5292709271723604E-2</v>
      </c>
    </row>
    <row r="39" spans="3:16">
      <c r="C39" s="1">
        <f>'Input-lag'!H41</f>
        <v>40210</v>
      </c>
      <c r="D39" s="8">
        <f>VLOOKUP(C39,'Input-lag'!H$4:$I$102,2,0)</f>
        <v>39245939454.400002</v>
      </c>
      <c r="E39" s="8">
        <f>VLOOKUP(C39,'Pivot - lag'!$E$4:$F$144,2,0)</f>
        <v>6238011314.2699995</v>
      </c>
      <c r="F39" s="8">
        <f>VLOOKUP(C39,'Pivot - lag'!I38:J180,2,0)</f>
        <v>4823189023.5499992</v>
      </c>
      <c r="G39" s="8">
        <f>VLOOKUP(C39,'Pivot - lag'!L38:M180,2,0)</f>
        <v>1937402814.29</v>
      </c>
      <c r="H39" s="8">
        <f>VLOOKUP(C39,'Input-lag'!$K$3:$L$102,2,0)</f>
        <v>7313276582.3500004</v>
      </c>
      <c r="I39" s="8">
        <f>VLOOKUP(C39,'Input-lag'!temp_8,2,0)</f>
        <v>730114182.90999997</v>
      </c>
      <c r="K39" s="1">
        <f t="shared" si="1"/>
        <v>40210</v>
      </c>
      <c r="L39" s="7">
        <f t="shared" si="6"/>
        <v>0.15894666813920882</v>
      </c>
      <c r="M39" s="7">
        <f t="shared" si="7"/>
        <v>0.12289651083914248</v>
      </c>
      <c r="N39" s="7">
        <f t="shared" si="8"/>
        <v>4.9365688303654322E-2</v>
      </c>
      <c r="O39" s="7">
        <f t="shared" si="5"/>
        <v>0.18634479602271523</v>
      </c>
      <c r="P39" s="7">
        <f t="shared" si="5"/>
        <v>1.8603559834726908E-2</v>
      </c>
    </row>
    <row r="40" spans="3:16">
      <c r="C40" s="1">
        <f>'Input-lag'!H42</f>
        <v>40238</v>
      </c>
      <c r="D40" s="8">
        <f>VLOOKUP(C40,'Input-lag'!H$4:$I$102,2,0)</f>
        <v>40750598821.720001</v>
      </c>
      <c r="E40" s="8">
        <f>VLOOKUP(C40,'Pivot - lag'!$E$4:$F$144,2,0)</f>
        <v>6004088480.1500006</v>
      </c>
      <c r="F40" s="8">
        <f>VLOOKUP(C40,'Pivot - lag'!I39:J181,2,0)</f>
        <v>4618025500.75</v>
      </c>
      <c r="G40" s="8">
        <f>VLOOKUP(C40,'Pivot - lag'!L39:M181,2,0)</f>
        <v>2201280079.0100002</v>
      </c>
      <c r="H40" s="8">
        <f>VLOOKUP(C40,'Input-lag'!$K$3:$L$102,2,0)</f>
        <v>5513307940.1800003</v>
      </c>
      <c r="I40" s="8">
        <f>VLOOKUP(C40,'Input-lag'!temp_8,2,0)</f>
        <v>822700181.63999999</v>
      </c>
      <c r="K40" s="1">
        <f t="shared" si="1"/>
        <v>40238</v>
      </c>
      <c r="L40" s="7">
        <f t="shared" si="6"/>
        <v>0.14733742947968242</v>
      </c>
      <c r="M40" s="7">
        <f t="shared" si="7"/>
        <v>0.11332411386034898</v>
      </c>
      <c r="N40" s="7">
        <f t="shared" si="8"/>
        <v>5.4018349242925028E-2</v>
      </c>
      <c r="O40" s="7">
        <f t="shared" si="5"/>
        <v>0.13529391222691473</v>
      </c>
      <c r="P40" s="7">
        <f t="shared" si="5"/>
        <v>2.0188664839975362E-2</v>
      </c>
    </row>
    <row r="41" spans="3:16">
      <c r="C41" s="1">
        <f>'Input-lag'!H43</f>
        <v>40269</v>
      </c>
      <c r="D41" s="8">
        <f>VLOOKUP(C41,'Input-lag'!H$4:$I$102,2,0)</f>
        <v>34495230505.029999</v>
      </c>
      <c r="E41" s="8">
        <f>VLOOKUP(C41,'Pivot - lag'!$E$4:$F$144,2,0)</f>
        <v>4154879680.1599998</v>
      </c>
      <c r="F41" s="8">
        <f>VLOOKUP(C41,'Pivot - lag'!I40:J182,2,0)</f>
        <v>3042199641.9899998</v>
      </c>
      <c r="G41" s="8">
        <f>VLOOKUP(C41,'Pivot - lag'!L40:M182,2,0)</f>
        <v>1001151097.79</v>
      </c>
      <c r="H41" s="8">
        <f>VLOOKUP(C41,'Input-lag'!$K$3:$L$102,2,0)</f>
        <v>4384186680.7299995</v>
      </c>
      <c r="I41" s="8">
        <f>VLOOKUP(C41,'Input-lag'!temp_8,2,0)</f>
        <v>631906810.01999998</v>
      </c>
      <c r="K41" s="1">
        <f t="shared" si="1"/>
        <v>40269</v>
      </c>
      <c r="L41" s="7">
        <f t="shared" si="6"/>
        <v>0.12044794655174566</v>
      </c>
      <c r="M41" s="7">
        <f t="shared" si="7"/>
        <v>8.8191891964496213E-2</v>
      </c>
      <c r="N41" s="7">
        <f t="shared" si="8"/>
        <v>2.902288470413366E-2</v>
      </c>
      <c r="O41" s="7">
        <f t="shared" si="5"/>
        <v>0.12709544527005581</v>
      </c>
      <c r="P41" s="7">
        <f t="shared" si="5"/>
        <v>1.8318671908218068E-2</v>
      </c>
    </row>
    <row r="42" spans="3:16">
      <c r="C42" s="1">
        <f>'Input-lag'!H44</f>
        <v>40299</v>
      </c>
      <c r="D42" s="8">
        <f>VLOOKUP(C42,'Input-lag'!H$4:$I$102,2,0)</f>
        <v>34561761859.559998</v>
      </c>
      <c r="E42" s="8">
        <f>VLOOKUP(C42,'Pivot - lag'!$E$4:$F$144,2,0)</f>
        <v>5051886995.9699993</v>
      </c>
      <c r="F42" s="8">
        <f>VLOOKUP(C42,'Pivot - lag'!I41:J183,2,0)</f>
        <v>3805994412.5200005</v>
      </c>
      <c r="G42" s="8">
        <f>VLOOKUP(C42,'Pivot - lag'!L41:M183,2,0)</f>
        <v>1373292642.55</v>
      </c>
      <c r="H42" s="8">
        <f>VLOOKUP(C42,'Input-lag'!$K$3:$L$102,2,0)</f>
        <v>4878666055.8000002</v>
      </c>
      <c r="I42" s="8">
        <f>VLOOKUP(C42,'Input-lag'!temp_8,2,0)</f>
        <v>560343522.29999995</v>
      </c>
      <c r="K42" s="1">
        <f t="shared" si="1"/>
        <v>40299</v>
      </c>
      <c r="L42" s="7">
        <f t="shared" si="6"/>
        <v>0.14616983406396036</v>
      </c>
      <c r="M42" s="7">
        <f t="shared" si="7"/>
        <v>0.11012153917342148</v>
      </c>
      <c r="N42" s="7">
        <f t="shared" si="8"/>
        <v>3.9734451273934081E-2</v>
      </c>
      <c r="O42" s="7">
        <f t="shared" si="5"/>
        <v>0.14115790958875932</v>
      </c>
      <c r="P42" s="7">
        <f t="shared" si="5"/>
        <v>1.6212817059990402E-2</v>
      </c>
    </row>
    <row r="43" spans="3:16">
      <c r="C43" s="1">
        <f>'Input-lag'!H45</f>
        <v>40330</v>
      </c>
      <c r="D43" s="8">
        <f>VLOOKUP(C43,'Input-lag'!H$4:$I$102,2,0)</f>
        <v>33643649195.490002</v>
      </c>
      <c r="E43" s="8">
        <f>VLOOKUP(C43,'Pivot - lag'!$E$4:$F$144,2,0)</f>
        <v>5285691952.5100002</v>
      </c>
      <c r="F43" s="8">
        <f>VLOOKUP(C43,'Pivot - lag'!I42:J184,2,0)</f>
        <v>4219975635.0900002</v>
      </c>
      <c r="G43" s="8">
        <f>VLOOKUP(C43,'Pivot - lag'!L42:M184,2,0)</f>
        <v>1375076321.3399999</v>
      </c>
      <c r="H43" s="8">
        <f>VLOOKUP(C43,'Input-lag'!$K$3:$L$102,2,0)</f>
        <v>4255466989.4200001</v>
      </c>
      <c r="I43" s="8">
        <f>VLOOKUP(C43,'Input-lag'!temp_8,2,0)</f>
        <v>701407413.24000001</v>
      </c>
      <c r="K43" s="1">
        <f t="shared" si="1"/>
        <v>40330</v>
      </c>
      <c r="L43" s="7">
        <f t="shared" si="6"/>
        <v>0.15710816391518426</v>
      </c>
      <c r="M43" s="7">
        <f t="shared" si="7"/>
        <v>0.12543156690789942</v>
      </c>
      <c r="N43" s="7">
        <f t="shared" si="8"/>
        <v>4.0871794654318644E-2</v>
      </c>
      <c r="O43" s="7">
        <f t="shared" si="5"/>
        <v>0.12648648678664901</v>
      </c>
      <c r="P43" s="7">
        <f t="shared" si="5"/>
        <v>2.0848137167415987E-2</v>
      </c>
    </row>
    <row r="44" spans="3:16">
      <c r="C44" s="1">
        <f>'Input-lag'!H46</f>
        <v>40360</v>
      </c>
      <c r="D44" s="8">
        <f>VLOOKUP(C44,'Input-lag'!H$4:$I$102,2,0)</f>
        <v>37058941299.720001</v>
      </c>
      <c r="E44" s="8">
        <f>VLOOKUP(C44,'Pivot - lag'!$E$4:$F$144,2,0)</f>
        <v>5866095487.9900017</v>
      </c>
      <c r="F44" s="8">
        <f>VLOOKUP(C44,'Pivot - lag'!I43:J185,2,0)</f>
        <v>4805370506.46</v>
      </c>
      <c r="G44" s="8">
        <f>VLOOKUP(C44,'Pivot - lag'!L43:M185,2,0)</f>
        <v>1866229299.05</v>
      </c>
      <c r="H44" s="8">
        <f>VLOOKUP(C44,'Input-lag'!$K$3:$L$102,2,0)</f>
        <v>7398138252.6400003</v>
      </c>
      <c r="I44" s="8">
        <f>VLOOKUP(C44,'Input-lag'!temp_8,2,0)</f>
        <v>526314688.00999999</v>
      </c>
      <c r="K44" s="1">
        <f t="shared" si="1"/>
        <v>40360</v>
      </c>
      <c r="L44" s="7">
        <f t="shared" si="6"/>
        <v>0.15829096251150387</v>
      </c>
      <c r="M44" s="7">
        <f t="shared" si="7"/>
        <v>0.12966831587540001</v>
      </c>
      <c r="N44" s="7">
        <f t="shared" si="8"/>
        <v>5.0358408351619595E-2</v>
      </c>
      <c r="O44" s="7">
        <f t="shared" si="5"/>
        <v>0.19963166764010867</v>
      </c>
      <c r="P44" s="7">
        <f t="shared" si="5"/>
        <v>1.4202097241617006E-2</v>
      </c>
    </row>
    <row r="45" spans="3:16">
      <c r="C45" s="1">
        <f>'Input-lag'!H47</f>
        <v>40391</v>
      </c>
      <c r="D45" s="8">
        <f>VLOOKUP(C45,'Input-lag'!H$4:$I$102,2,0)</f>
        <v>38950467364.989998</v>
      </c>
      <c r="E45" s="8">
        <f>VLOOKUP(C45,'Pivot - lag'!$E$4:$F$144,2,0)</f>
        <v>6361823466.4899998</v>
      </c>
      <c r="F45" s="8">
        <f>VLOOKUP(C45,'Pivot - lag'!I44:J186,2,0)</f>
        <v>5185918822.6800003</v>
      </c>
      <c r="G45" s="8">
        <f>VLOOKUP(C45,'Pivot - lag'!L44:M186,2,0)</f>
        <v>2503047050.4899998</v>
      </c>
      <c r="H45" s="8">
        <f>VLOOKUP(C45,'Input-lag'!$K$3:$L$102,2,0)</f>
        <v>7511074364.2700005</v>
      </c>
      <c r="I45" s="8">
        <f>VLOOKUP(C45,'Input-lag'!temp_8,2,0)</f>
        <v>668984431.85000002</v>
      </c>
      <c r="K45" s="1">
        <f t="shared" si="1"/>
        <v>40391</v>
      </c>
      <c r="L45" s="7">
        <f t="shared" si="6"/>
        <v>0.16333112018594731</v>
      </c>
      <c r="M45" s="7">
        <f t="shared" si="7"/>
        <v>0.13314137604780785</v>
      </c>
      <c r="N45" s="7">
        <f t="shared" si="8"/>
        <v>6.4262311079220161E-2</v>
      </c>
      <c r="O45" s="7">
        <f t="shared" si="5"/>
        <v>0.19283656583338482</v>
      </c>
      <c r="P45" s="7">
        <f t="shared" si="5"/>
        <v>1.7175260712052609E-2</v>
      </c>
    </row>
    <row r="46" spans="3:16">
      <c r="C46" s="1">
        <f>'Input-lag'!H48</f>
        <v>40422</v>
      </c>
      <c r="D46" s="8">
        <f>VLOOKUP(C46,'Input-lag'!H$4:$I$102,2,0)</f>
        <v>44231744040.459999</v>
      </c>
      <c r="E46" s="8">
        <f>VLOOKUP(C46,'Pivot - lag'!$E$4:$F$144,2,0)</f>
        <v>8968001330.2399998</v>
      </c>
      <c r="F46" s="8">
        <f>VLOOKUP(C46,'Pivot - lag'!I45:J187,2,0)</f>
        <v>7070073918.9099998</v>
      </c>
      <c r="G46" s="8">
        <f>VLOOKUP(C46,'Pivot - lag'!L45:M187,2,0)</f>
        <v>2676228021.5100002</v>
      </c>
      <c r="H46" s="8">
        <f>VLOOKUP(C46,'Input-lag'!$K$3:$L$102,2,0)</f>
        <v>9514071989.3199997</v>
      </c>
      <c r="I46" s="8">
        <f>VLOOKUP(C46,'Input-lag'!temp_8,2,0)</f>
        <v>1042608524.67</v>
      </c>
      <c r="K46" s="1">
        <f t="shared" si="1"/>
        <v>40422</v>
      </c>
      <c r="L46" s="7">
        <f t="shared" si="6"/>
        <v>0.20275034423324392</v>
      </c>
      <c r="M46" s="7">
        <f t="shared" si="7"/>
        <v>0.15984162669332702</v>
      </c>
      <c r="N46" s="7">
        <f t="shared" si="8"/>
        <v>6.0504691360620567E-2</v>
      </c>
      <c r="O46" s="7">
        <f t="shared" si="5"/>
        <v>0.21509601748050483</v>
      </c>
      <c r="P46" s="7">
        <f t="shared" si="5"/>
        <v>2.357149932221296E-2</v>
      </c>
    </row>
    <row r="47" spans="3:16">
      <c r="C47" s="1">
        <f>'Input-lag'!H49</f>
        <v>40452</v>
      </c>
      <c r="D47" s="8">
        <f>VLOOKUP(C47,'Input-lag'!H$4:$I$102,2,0)</f>
        <v>66478903663.989998</v>
      </c>
      <c r="E47" s="8">
        <f>VLOOKUP(C47,'Pivot - lag'!$E$4:$F$144,2,0)</f>
        <v>12073275010.889999</v>
      </c>
      <c r="F47" s="8">
        <f>VLOOKUP(C47,'Pivot - lag'!I46:J188,2,0)</f>
        <v>9504753868.2799988</v>
      </c>
      <c r="G47" s="8">
        <f>VLOOKUP(C47,'Pivot - lag'!L46:M188,2,0)</f>
        <v>3628017416.1300001</v>
      </c>
      <c r="H47" s="8">
        <f>VLOOKUP(C47,'Input-lag'!$K$3:$L$102,2,0)</f>
        <v>11239609971.59</v>
      </c>
      <c r="I47" s="8">
        <f>VLOOKUP(C47,'Input-lag'!temp_8,2,0)</f>
        <v>1340838185.2</v>
      </c>
      <c r="K47" s="1">
        <f t="shared" si="1"/>
        <v>40452</v>
      </c>
      <c r="L47" s="7">
        <f t="shared" si="6"/>
        <v>0.1816106214975052</v>
      </c>
      <c r="M47" s="7">
        <f t="shared" si="7"/>
        <v>0.14297398639906411</v>
      </c>
      <c r="N47" s="7">
        <f t="shared" si="8"/>
        <v>5.4573965817297447E-2</v>
      </c>
      <c r="O47" s="7">
        <f t="shared" si="5"/>
        <v>0.16907032685736398</v>
      </c>
      <c r="P47" s="7">
        <f t="shared" si="5"/>
        <v>2.0169378724672012E-2</v>
      </c>
    </row>
    <row r="48" spans="3:16">
      <c r="C48" s="1">
        <f>'Input-lag'!H50</f>
        <v>40483</v>
      </c>
      <c r="D48" s="8">
        <f>VLOOKUP(C48,'Input-lag'!H$4:$I$102,2,0)</f>
        <v>66148630556.470001</v>
      </c>
      <c r="E48" s="8">
        <f>VLOOKUP(C48,'Pivot - lag'!$E$4:$F$144,2,0)</f>
        <v>13373670738.929998</v>
      </c>
      <c r="F48" s="8">
        <f>VLOOKUP(C48,'Pivot - lag'!I47:J189,2,0)</f>
        <v>10341295477.15</v>
      </c>
      <c r="G48" s="8">
        <f>VLOOKUP(C48,'Pivot - lag'!L47:M189,2,0)</f>
        <v>4793824904.6700001</v>
      </c>
      <c r="H48" s="8">
        <f>VLOOKUP(C48,'Input-lag'!$K$3:$L$102,2,0)</f>
        <v>14263271296.870001</v>
      </c>
      <c r="I48" s="8">
        <f>VLOOKUP(C48,'Input-lag'!temp_8,2,0)</f>
        <v>1494751501.72</v>
      </c>
      <c r="K48" s="1">
        <f t="shared" si="1"/>
        <v>40483</v>
      </c>
      <c r="L48" s="7">
        <f t="shared" si="6"/>
        <v>0.202176078724912</v>
      </c>
      <c r="M48" s="7">
        <f t="shared" si="7"/>
        <v>0.15633423383303158</v>
      </c>
      <c r="N48" s="7">
        <f t="shared" si="8"/>
        <v>7.2470508676329898E-2</v>
      </c>
      <c r="O48" s="7">
        <f t="shared" si="5"/>
        <v>0.21562458930564979</v>
      </c>
      <c r="P48" s="7">
        <f t="shared" si="5"/>
        <v>2.259686238619793E-2</v>
      </c>
    </row>
    <row r="49" spans="3:16">
      <c r="C49" s="1">
        <f>'Input-lag'!H51</f>
        <v>40513</v>
      </c>
      <c r="D49" s="8">
        <f>VLOOKUP(C49,'Input-lag'!H$4:$I$102,2,0)</f>
        <v>69073769739.929993</v>
      </c>
      <c r="E49" s="8">
        <f>VLOOKUP(C49,'Pivot - lag'!$E$4:$F$144,2,0)</f>
        <v>15226986609.73</v>
      </c>
      <c r="F49" s="8">
        <f>VLOOKUP(C49,'Pivot - lag'!I48:J190,2,0)</f>
        <v>11762195431.5</v>
      </c>
      <c r="G49" s="8">
        <f>VLOOKUP(C49,'Pivot - lag'!L48:M190,2,0)</f>
        <v>4603146722.4499998</v>
      </c>
      <c r="H49" s="8">
        <f>VLOOKUP(C49,'Input-lag'!$K$3:$L$102,2,0)</f>
        <v>16380557214.389999</v>
      </c>
      <c r="I49" s="8">
        <f>VLOOKUP(C49,'Input-lag'!temp_8,2,0)</f>
        <v>1607350392.05</v>
      </c>
      <c r="K49" s="1">
        <f t="shared" si="1"/>
        <v>40513</v>
      </c>
      <c r="L49" s="7">
        <f t="shared" si="6"/>
        <v>0.22044528142971212</v>
      </c>
      <c r="M49" s="7">
        <f t="shared" si="7"/>
        <v>0.1702845447090249</v>
      </c>
      <c r="N49" s="7">
        <f t="shared" si="8"/>
        <v>6.6641023644450431E-2</v>
      </c>
      <c r="O49" s="7">
        <f t="shared" si="5"/>
        <v>0.23714584097645922</v>
      </c>
      <c r="P49" s="7">
        <f t="shared" si="5"/>
        <v>2.3270054582250878E-2</v>
      </c>
    </row>
    <row r="50" spans="3:16">
      <c r="C50" s="1">
        <f>'Input-lag'!H52</f>
        <v>40544</v>
      </c>
      <c r="D50" s="8">
        <f>VLOOKUP(C50,'Input-lag'!H$4:$I$102,2,0)</f>
        <v>79153858723.479996</v>
      </c>
      <c r="E50" s="8">
        <f>VLOOKUP(C50,'Pivot - lag'!$E$4:$F$144,2,0)</f>
        <v>12127537208.439999</v>
      </c>
      <c r="F50" s="8">
        <f>VLOOKUP(C50,'Pivot - lag'!I49:J191,2,0)</f>
        <v>9507412753.0099983</v>
      </c>
      <c r="G50" s="8">
        <f>VLOOKUP(C50,'Pivot - lag'!L49:M191,2,0)</f>
        <v>4060874385.6599998</v>
      </c>
      <c r="H50" s="8">
        <f>VLOOKUP(C50,'Input-lag'!$K$3:$L$102,2,0)</f>
        <v>17444293018.130001</v>
      </c>
      <c r="I50" s="8">
        <f>VLOOKUP(C50,'Input-lag'!temp_8,2,0)</f>
        <v>1869879274.6800001</v>
      </c>
      <c r="K50" s="1">
        <f t="shared" si="1"/>
        <v>40544</v>
      </c>
      <c r="L50" s="7">
        <f t="shared" si="6"/>
        <v>0.15321473146125367</v>
      </c>
      <c r="M50" s="7">
        <f t="shared" si="7"/>
        <v>0.12011306721285268</v>
      </c>
      <c r="N50" s="7">
        <f t="shared" si="8"/>
        <v>5.1303555520223712E-2</v>
      </c>
      <c r="O50" s="7">
        <f t="shared" si="5"/>
        <v>0.22038461926500333</v>
      </c>
      <c r="P50" s="7">
        <f t="shared" si="5"/>
        <v>2.3623349573042657E-2</v>
      </c>
    </row>
    <row r="51" spans="3:16">
      <c r="C51" s="1">
        <f>'Input-lag'!H53</f>
        <v>40575</v>
      </c>
      <c r="D51" s="8">
        <f>VLOOKUP(C51,'Input-lag'!H$4:$I$102,2,0)</f>
        <v>63764397417.18</v>
      </c>
      <c r="E51" s="8">
        <f>VLOOKUP(C51,'Pivot - lag'!$E$4:$F$144,2,0)</f>
        <v>12458986036.26</v>
      </c>
      <c r="F51" s="8">
        <f>VLOOKUP(C51,'Pivot - lag'!I50:J192,2,0)</f>
        <v>9878132508.710001</v>
      </c>
      <c r="G51" s="8">
        <f>VLOOKUP(C51,'Pivot - lag'!L50:M192,2,0)</f>
        <v>3530173574.9400001</v>
      </c>
      <c r="H51" s="8">
        <f>VLOOKUP(C51,'Input-lag'!$K$3:$L$102,2,0)</f>
        <v>11490900350.65</v>
      </c>
      <c r="I51" s="8">
        <f>VLOOKUP(C51,'Input-lag'!temp_8,2,0)</f>
        <v>1481460250.46</v>
      </c>
      <c r="K51" s="1">
        <f t="shared" si="1"/>
        <v>40575</v>
      </c>
      <c r="L51" s="7">
        <f t="shared" si="6"/>
        <v>0.19539094762782441</v>
      </c>
      <c r="M51" s="7">
        <f t="shared" si="7"/>
        <v>0.15491611163643715</v>
      </c>
      <c r="N51" s="7">
        <f t="shared" si="8"/>
        <v>5.5362768534355629E-2</v>
      </c>
      <c r="O51" s="7">
        <f t="shared" si="5"/>
        <v>0.18020871859684529</v>
      </c>
      <c r="P51" s="7">
        <f t="shared" si="5"/>
        <v>2.3233345102714815E-2</v>
      </c>
    </row>
    <row r="52" spans="3:16">
      <c r="C52" s="1">
        <f>'Input-lag'!H54</f>
        <v>40603</v>
      </c>
      <c r="D52" s="8">
        <f>VLOOKUP(C52,'Input-lag'!H$4:$I$102,2,0)</f>
        <v>48877979273.129997</v>
      </c>
      <c r="E52" s="8">
        <f>VLOOKUP(C52,'Pivot - lag'!$E$4:$F$144,2,0)</f>
        <v>8532195379.0099993</v>
      </c>
      <c r="F52" s="8">
        <f>VLOOKUP(C52,'Pivot - lag'!I51:J193,2,0)</f>
        <v>6699348098.6199999</v>
      </c>
      <c r="G52" s="8">
        <f>VLOOKUP(C52,'Pivot - lag'!L51:M193,2,0)</f>
        <v>2155592538.1999998</v>
      </c>
      <c r="H52" s="8">
        <f>VLOOKUP(C52,'Input-lag'!$K$3:$L$102,2,0)</f>
        <v>7652424808.5900002</v>
      </c>
      <c r="I52" s="8">
        <f>VLOOKUP(C52,'Input-lag'!temp_8,2,0)</f>
        <v>1085385963.24</v>
      </c>
      <c r="K52" s="1">
        <f t="shared" si="1"/>
        <v>40603</v>
      </c>
      <c r="L52" s="7">
        <f t="shared" si="6"/>
        <v>0.1745611317385303</v>
      </c>
      <c r="M52" s="7">
        <f t="shared" si="7"/>
        <v>0.13706270591065281</v>
      </c>
      <c r="N52" s="7">
        <f t="shared" si="8"/>
        <v>4.4101506859654638E-2</v>
      </c>
      <c r="O52" s="7">
        <f t="shared" si="5"/>
        <v>0.1565618080450559</v>
      </c>
      <c r="P52" s="7">
        <f t="shared" si="5"/>
        <v>2.220603182416496E-2</v>
      </c>
    </row>
    <row r="53" spans="3:16">
      <c r="C53" s="1">
        <f>'Input-lag'!H55</f>
        <v>40634</v>
      </c>
      <c r="D53" s="8">
        <f>VLOOKUP(C53,'Input-lag'!H$4:$I$102,2,0)</f>
        <v>50756307252.699997</v>
      </c>
      <c r="E53" s="8">
        <f>VLOOKUP(C53,'Pivot - lag'!$E$4:$F$144,2,0)</f>
        <v>8106993986.1700001</v>
      </c>
      <c r="F53" s="8">
        <f>VLOOKUP(C53,'Pivot - lag'!I52:J194,2,0)</f>
        <v>6708788886.25</v>
      </c>
      <c r="G53" s="8">
        <f>VLOOKUP(C53,'Pivot - lag'!L52:M194,2,0)</f>
        <v>2120752517.71</v>
      </c>
      <c r="H53" s="8">
        <f>VLOOKUP(C53,'Input-lag'!$K$3:$L$102,2,0)</f>
        <v>9394709143.4799995</v>
      </c>
      <c r="I53" s="8">
        <f>VLOOKUP(C53,'Input-lag'!temp_8,2,0)</f>
        <v>829446925.97000003</v>
      </c>
      <c r="K53" s="1">
        <f t="shared" si="1"/>
        <v>40634</v>
      </c>
      <c r="L53" s="7">
        <f t="shared" si="6"/>
        <v>0.15972387324806309</v>
      </c>
      <c r="M53" s="7">
        <f t="shared" si="7"/>
        <v>0.13217645745678483</v>
      </c>
      <c r="N53" s="7">
        <f t="shared" si="8"/>
        <v>4.1783034119315013E-2</v>
      </c>
      <c r="O53" s="7">
        <f t="shared" si="5"/>
        <v>0.18509441785641814</v>
      </c>
      <c r="P53" s="7">
        <f t="shared" si="5"/>
        <v>1.6341750825970055E-2</v>
      </c>
    </row>
    <row r="54" spans="3:16">
      <c r="C54" s="1">
        <f>'Input-lag'!H56</f>
        <v>40664</v>
      </c>
      <c r="D54" s="8">
        <f>VLOOKUP(C54,'Input-lag'!H$4:$I$102,2,0)</f>
        <v>30805015553.650002</v>
      </c>
      <c r="E54" s="8">
        <f>VLOOKUP(C54,'Pivot - lag'!$E$4:$F$144,2,0)</f>
        <v>4872590997.6100006</v>
      </c>
      <c r="F54" s="8">
        <f>VLOOKUP(C54,'Pivot - lag'!I53:J195,2,0)</f>
        <v>3593495168.8399997</v>
      </c>
      <c r="G54" s="8">
        <f>VLOOKUP(C54,'Pivot - lag'!L53:M195,2,0)</f>
        <v>1108476066.48</v>
      </c>
      <c r="H54" s="8">
        <f>VLOOKUP(C54,'Input-lag'!$K$3:$L$102,2,0)</f>
        <v>5833468204.71</v>
      </c>
      <c r="I54" s="8">
        <f>VLOOKUP(C54,'Input-lag'!temp_8,2,0)</f>
        <v>591091643.78999996</v>
      </c>
      <c r="K54" s="1">
        <f t="shared" si="1"/>
        <v>40664</v>
      </c>
      <c r="L54" s="7">
        <f t="shared" si="6"/>
        <v>0.15817524873908595</v>
      </c>
      <c r="M54" s="7">
        <f t="shared" si="7"/>
        <v>0.11665292499468374</v>
      </c>
      <c r="N54" s="7">
        <f t="shared" si="8"/>
        <v>3.5983623009359582E-2</v>
      </c>
      <c r="O54" s="7">
        <f t="shared" si="5"/>
        <v>0.18936748123208813</v>
      </c>
      <c r="P54" s="7">
        <f t="shared" si="5"/>
        <v>1.9188162484792614E-2</v>
      </c>
    </row>
    <row r="55" spans="3:16">
      <c r="C55" s="1">
        <f>'Input-lag'!H57</f>
        <v>40695</v>
      </c>
      <c r="D55" s="8">
        <f>VLOOKUP(C55,'Input-lag'!H$4:$I$102,2,0)</f>
        <v>28676295277.299999</v>
      </c>
      <c r="E55" s="8">
        <f>VLOOKUP(C55,'Pivot - lag'!$E$4:$F$144,2,0)</f>
        <v>5242895649.54</v>
      </c>
      <c r="F55" s="8">
        <f>VLOOKUP(C55,'Pivot - lag'!I54:J196,2,0)</f>
        <v>4215729366.04</v>
      </c>
      <c r="G55" s="8">
        <f>VLOOKUP(C55,'Pivot - lag'!L54:M196,2,0)</f>
        <v>1705305796.3599999</v>
      </c>
      <c r="H55" s="8">
        <f>VLOOKUP(C55,'Input-lag'!$K$3:$L$102,2,0)</f>
        <v>5749274469.8800001</v>
      </c>
      <c r="I55" s="8">
        <f>VLOOKUP(C55,'Input-lag'!temp_8,2,0)</f>
        <v>614267708.50999999</v>
      </c>
      <c r="K55" s="1">
        <f t="shared" si="1"/>
        <v>40695</v>
      </c>
      <c r="L55" s="7">
        <f t="shared" si="6"/>
        <v>0.18283029934101172</v>
      </c>
      <c r="M55" s="7">
        <f t="shared" si="7"/>
        <v>0.14701094842530613</v>
      </c>
      <c r="N55" s="7">
        <f t="shared" si="8"/>
        <v>5.946743747299571E-2</v>
      </c>
      <c r="O55" s="7">
        <f t="shared" si="5"/>
        <v>0.20048874564459848</v>
      </c>
      <c r="P55" s="7">
        <f t="shared" si="5"/>
        <v>2.1420748481281365E-2</v>
      </c>
    </row>
    <row r="56" spans="3:16">
      <c r="C56" s="1">
        <f>'Input-lag'!H58</f>
        <v>40725</v>
      </c>
      <c r="D56" s="8">
        <f>VLOOKUP(C56,'Input-lag'!H$4:$I$102,2,0)</f>
        <v>32780042718.380001</v>
      </c>
      <c r="E56" s="8">
        <f>VLOOKUP(C56,'Pivot - lag'!$E$4:$F$144,2,0)</f>
        <v>6947560135.4100008</v>
      </c>
      <c r="F56" s="8">
        <f>VLOOKUP(C56,'Pivot - lag'!I55:J197,2,0)</f>
        <v>5898835835.3999996</v>
      </c>
      <c r="G56" s="8">
        <f>VLOOKUP(C56,'Pivot - lag'!L55:M197,2,0)</f>
        <v>3125723742.4400001</v>
      </c>
      <c r="H56" s="8">
        <f>VLOOKUP(C56,'Input-lag'!$K$3:$L$102,2,0)</f>
        <v>5857655726.2700005</v>
      </c>
      <c r="I56" s="8">
        <f>VLOOKUP(C56,'Input-lag'!temp_8,2,0)</f>
        <v>757313398.25999999</v>
      </c>
      <c r="K56" s="1">
        <f t="shared" si="1"/>
        <v>40725</v>
      </c>
      <c r="L56" s="7">
        <f t="shared" si="6"/>
        <v>0.21194481639630247</v>
      </c>
      <c r="M56" s="7">
        <f t="shared" si="7"/>
        <v>0.17995204844844453</v>
      </c>
      <c r="N56" s="7">
        <f t="shared" si="8"/>
        <v>9.5354474345678161E-2</v>
      </c>
      <c r="O56" s="7">
        <f t="shared" si="5"/>
        <v>0.17869579294311205</v>
      </c>
      <c r="P56" s="7">
        <f t="shared" si="5"/>
        <v>2.3102880150774455E-2</v>
      </c>
    </row>
    <row r="57" spans="3:16">
      <c r="C57" s="1">
        <f>'Input-lag'!H59</f>
        <v>40756</v>
      </c>
      <c r="D57" s="8">
        <f>VLOOKUP(C57,'Input-lag'!H$4:$I$102,2,0)</f>
        <v>28164427848.759998</v>
      </c>
      <c r="E57" s="8">
        <f>VLOOKUP(C57,'Pivot - lag'!$E$4:$F$144,2,0)</f>
        <v>4849022287.4300003</v>
      </c>
      <c r="F57" s="8">
        <f>VLOOKUP(C57,'Pivot - lag'!I56:J198,2,0)</f>
        <v>4000010514.0100002</v>
      </c>
      <c r="G57" s="8">
        <f>VLOOKUP(C57,'Pivot - lag'!L56:M198,2,0)</f>
        <v>1613391642.05</v>
      </c>
      <c r="H57" s="8">
        <f>VLOOKUP(C57,'Input-lag'!$K$3:$L$102,2,0)</f>
        <v>6097501802.75</v>
      </c>
      <c r="I57" s="8">
        <f>VLOOKUP(C57,'Input-lag'!temp_8,2,0)</f>
        <v>648715819.03999996</v>
      </c>
      <c r="K57" s="1">
        <f t="shared" si="1"/>
        <v>40756</v>
      </c>
      <c r="L57" s="7">
        <f t="shared" si="6"/>
        <v>0.17216832216399841</v>
      </c>
      <c r="M57" s="7">
        <f t="shared" si="7"/>
        <v>0.14202349628721855</v>
      </c>
      <c r="N57" s="7">
        <f t="shared" si="8"/>
        <v>5.728472989807365E-2</v>
      </c>
      <c r="O57" s="7">
        <f t="shared" si="5"/>
        <v>0.21649656209928853</v>
      </c>
      <c r="P57" s="7">
        <f t="shared" si="5"/>
        <v>2.3033161636498899E-2</v>
      </c>
    </row>
    <row r="58" spans="3:16">
      <c r="C58" s="1">
        <f>'Input-lag'!H60</f>
        <v>40787</v>
      </c>
      <c r="D58" s="8">
        <f>VLOOKUP(C58,'Input-lag'!H$4:$I$102,2,0)</f>
        <v>35806727761.07</v>
      </c>
      <c r="E58" s="8">
        <f>VLOOKUP(C58,'Pivot - lag'!$E$4:$F$144,2,0)</f>
        <v>7015805075.4900007</v>
      </c>
      <c r="F58" s="8">
        <f>VLOOKUP(C58,'Pivot - lag'!I57:J199,2,0)</f>
        <v>6017239466.0100002</v>
      </c>
      <c r="G58" s="8">
        <f>VLOOKUP(C58,'Pivot - lag'!L57:M199,2,0)</f>
        <v>2312378626.5700002</v>
      </c>
      <c r="H58" s="8">
        <f>VLOOKUP(C58,'Input-lag'!$K$3:$L$102,2,0)</f>
        <v>8570383969.2799997</v>
      </c>
      <c r="I58" s="8">
        <f>VLOOKUP(C58,'Input-lag'!temp_8,2,0)</f>
        <v>738808001.14999998</v>
      </c>
      <c r="K58" s="1">
        <f t="shared" si="1"/>
        <v>40787</v>
      </c>
      <c r="L58" s="7">
        <f t="shared" si="6"/>
        <v>0.19593538740274852</v>
      </c>
      <c r="M58" s="7">
        <f t="shared" si="7"/>
        <v>0.16804773410632901</v>
      </c>
      <c r="N58" s="7">
        <f t="shared" si="8"/>
        <v>6.4579445572350735E-2</v>
      </c>
      <c r="O58" s="7">
        <f t="shared" si="5"/>
        <v>0.23935121987320893</v>
      </c>
      <c r="P58" s="7">
        <f t="shared" si="5"/>
        <v>2.0633217480242671E-2</v>
      </c>
    </row>
    <row r="59" spans="3:16">
      <c r="C59" s="1">
        <f>'Input-lag'!H61</f>
        <v>40817</v>
      </c>
      <c r="D59" s="8">
        <f>VLOOKUP(C59,'Input-lag'!H$4:$I$102,2,0)</f>
        <v>43873920654.160004</v>
      </c>
      <c r="E59" s="8">
        <f>VLOOKUP(C59,'Pivot - lag'!$E$4:$F$144,2,0)</f>
        <v>8810868724.7900009</v>
      </c>
      <c r="F59" s="8">
        <f>VLOOKUP(C59,'Pivot - lag'!I58:J200,2,0)</f>
        <v>7348224221.46</v>
      </c>
      <c r="G59" s="8">
        <f>VLOOKUP(C59,'Pivot - lag'!L58:M200,2,0)</f>
        <v>3379466287.0999999</v>
      </c>
      <c r="H59" s="8">
        <f>VLOOKUP(C59,'Input-lag'!$K$3:$L$102,2,0)</f>
        <v>8222757284.5900002</v>
      </c>
      <c r="I59" s="8">
        <f>VLOOKUP(C59,'Input-lag'!temp_8,2,0)</f>
        <v>956590474.38</v>
      </c>
      <c r="K59" s="1">
        <f t="shared" si="1"/>
        <v>40817</v>
      </c>
      <c r="L59" s="7">
        <f t="shared" si="6"/>
        <v>0.20082246112086585</v>
      </c>
      <c r="M59" s="7">
        <f t="shared" si="7"/>
        <v>0.16748501414731126</v>
      </c>
      <c r="N59" s="7">
        <f t="shared" si="8"/>
        <v>7.702676753552383E-2</v>
      </c>
      <c r="O59" s="7">
        <f t="shared" si="5"/>
        <v>0.18741788201256504</v>
      </c>
      <c r="P59" s="7">
        <f t="shared" si="5"/>
        <v>2.1803168262996317E-2</v>
      </c>
    </row>
    <row r="60" spans="3:16">
      <c r="C60" s="1">
        <f>'Input-lag'!H62</f>
        <v>40848</v>
      </c>
      <c r="D60" s="8">
        <f>VLOOKUP(C60,'Input-lag'!H$4:$I$102,2,0)</f>
        <v>48753124897.230003</v>
      </c>
      <c r="E60" s="8">
        <f>VLOOKUP(C60,'Pivot - lag'!$E$4:$F$144,2,0)</f>
        <v>9799243620.7600002</v>
      </c>
      <c r="F60" s="8">
        <f>VLOOKUP(C60,'Pivot - lag'!I59:J201,2,0)</f>
        <v>7996792829.9799995</v>
      </c>
      <c r="G60" s="8">
        <f>VLOOKUP(C60,'Pivot - lag'!L59:M201,2,0)</f>
        <v>2184906446.2199998</v>
      </c>
      <c r="H60" s="8">
        <f>VLOOKUP(C60,'Input-lag'!$K$3:$L$102,2,0)</f>
        <v>12339709417.91</v>
      </c>
      <c r="I60" s="8">
        <f>VLOOKUP(C60,'Input-lag'!temp_8,2,0)</f>
        <v>1593261256.0899999</v>
      </c>
      <c r="K60" s="1">
        <f t="shared" si="1"/>
        <v>40848</v>
      </c>
      <c r="L60" s="7">
        <f t="shared" si="6"/>
        <v>0.20099724153921386</v>
      </c>
      <c r="M60" s="7">
        <f t="shared" si="7"/>
        <v>0.16402626184140973</v>
      </c>
      <c r="N60" s="7">
        <f t="shared" si="8"/>
        <v>4.4815721060459432E-2</v>
      </c>
      <c r="O60" s="7">
        <f t="shared" si="5"/>
        <v>0.25310602025863377</v>
      </c>
      <c r="P60" s="7">
        <f t="shared" si="5"/>
        <v>3.2680187361293099E-2</v>
      </c>
    </row>
    <row r="61" spans="3:16">
      <c r="C61" s="1">
        <f>'Input-lag'!H63</f>
        <v>40878</v>
      </c>
      <c r="D61" s="8">
        <f>VLOOKUP(C61,'Input-lag'!H$4:$I$102,2,0)</f>
        <v>60317961040.480003</v>
      </c>
      <c r="E61" s="8">
        <f>VLOOKUP(C61,'Pivot - lag'!$E$4:$F$144,2,0)</f>
        <v>12425542198.549999</v>
      </c>
      <c r="F61" s="8">
        <f>VLOOKUP(C61,'Pivot - lag'!I60:J202,2,0)</f>
        <v>10263888687.719999</v>
      </c>
      <c r="G61" s="8">
        <f>VLOOKUP(C61,'Pivot - lag'!L60:M202,2,0)</f>
        <v>3647920798.0700002</v>
      </c>
      <c r="H61" s="8">
        <f>VLOOKUP(C61,'Input-lag'!$K$3:$L$102,2,0)</f>
        <v>12933874632.5</v>
      </c>
      <c r="I61" s="8">
        <f>VLOOKUP(C61,'Input-lag'!temp_8,2,0)</f>
        <v>2303398729.9200001</v>
      </c>
      <c r="K61" s="1">
        <f t="shared" si="1"/>
        <v>40878</v>
      </c>
      <c r="L61" s="7">
        <f t="shared" si="6"/>
        <v>0.20600070002716256</v>
      </c>
      <c r="M61" s="7">
        <f t="shared" si="7"/>
        <v>0.17016305774712442</v>
      </c>
      <c r="N61" s="7">
        <f t="shared" si="8"/>
        <v>6.0478184858102926E-2</v>
      </c>
      <c r="O61" s="7">
        <f t="shared" si="5"/>
        <v>0.21442824673433414</v>
      </c>
      <c r="P61" s="7">
        <f t="shared" si="5"/>
        <v>3.818760929889798E-2</v>
      </c>
    </row>
    <row r="62" spans="3:16">
      <c r="C62" s="1">
        <f>'Input-lag'!H64</f>
        <v>40909</v>
      </c>
      <c r="D62" s="8">
        <f>VLOOKUP(C62,'Input-lag'!H$4:$I$102,2,0)</f>
        <v>72548286074.940002</v>
      </c>
      <c r="E62" s="8">
        <f>VLOOKUP(C62,'Pivot - lag'!$E$4:$F$144,2,0)</f>
        <v>12862242196.629997</v>
      </c>
      <c r="F62" s="8">
        <f>VLOOKUP(C62,'Pivot - lag'!I61:J203,2,0)</f>
        <v>10537808398.119999</v>
      </c>
      <c r="G62" s="8">
        <f>VLOOKUP(C62,'Pivot - lag'!L61:M203,2,0)</f>
        <v>4059865643.29</v>
      </c>
      <c r="H62" s="8">
        <f>VLOOKUP(C62,'Input-lag'!$K$3:$L$102,2,0)</f>
        <v>16481604606.09</v>
      </c>
      <c r="I62" s="8">
        <f>VLOOKUP(C62,'Input-lag'!temp_8,2,0)</f>
        <v>1822022545.7</v>
      </c>
      <c r="K62" s="1">
        <f t="shared" si="1"/>
        <v>40909</v>
      </c>
      <c r="L62" s="7">
        <f t="shared" si="6"/>
        <v>0.1772921579890078</v>
      </c>
      <c r="M62" s="7">
        <f t="shared" si="7"/>
        <v>0.14525234114055827</v>
      </c>
      <c r="N62" s="7">
        <f t="shared" si="8"/>
        <v>5.5960876030845055E-2</v>
      </c>
      <c r="O62" s="7">
        <f t="shared" si="5"/>
        <v>0.22718117129693516</v>
      </c>
      <c r="P62" s="7">
        <f t="shared" si="5"/>
        <v>2.5114618749475494E-2</v>
      </c>
    </row>
    <row r="63" spans="3:16">
      <c r="C63" s="1">
        <f>'Input-lag'!H65</f>
        <v>40940</v>
      </c>
      <c r="D63" s="8">
        <f>VLOOKUP(C63,'Input-lag'!H$4:$I$102,2,0)</f>
        <v>56058928986.629997</v>
      </c>
      <c r="E63" s="8">
        <f>VLOOKUP(C63,'Pivot - lag'!$E$4:$F$144,2,0)</f>
        <v>10019737125.759998</v>
      </c>
      <c r="F63" s="8">
        <f>VLOOKUP(C63,'Pivot - lag'!I62:J204,2,0)</f>
        <v>7586189484.0900002</v>
      </c>
      <c r="G63" s="8">
        <f>VLOOKUP(C63,'Pivot - lag'!L62:M204,2,0)</f>
        <v>2074382019.1199999</v>
      </c>
      <c r="H63" s="8">
        <f>VLOOKUP(C63,'Input-lag'!$K$3:$L$102,2,0)</f>
        <v>14136133994.99</v>
      </c>
      <c r="I63" s="8">
        <f>VLOOKUP(C63,'Input-lag'!temp_8,2,0)</f>
        <v>2257480078.21</v>
      </c>
      <c r="K63" s="1">
        <f t="shared" si="1"/>
        <v>40940</v>
      </c>
      <c r="L63" s="7">
        <f t="shared" si="6"/>
        <v>0.17873579297509762</v>
      </c>
      <c r="M63" s="7">
        <f t="shared" si="7"/>
        <v>0.13532526613020557</v>
      </c>
      <c r="N63" s="7">
        <f t="shared" si="8"/>
        <v>3.70035970472204E-2</v>
      </c>
      <c r="O63" s="7">
        <f t="shared" si="5"/>
        <v>0.252165609485002</v>
      </c>
      <c r="P63" s="7">
        <f t="shared" si="5"/>
        <v>4.0269768242422309E-2</v>
      </c>
    </row>
    <row r="64" spans="3:16">
      <c r="C64" s="1">
        <f>'Input-lag'!H66</f>
        <v>40969</v>
      </c>
      <c r="D64" s="8">
        <f>VLOOKUP(C64,'Input-lag'!H$4:$I$102,2,0)</f>
        <v>53815099982.089996</v>
      </c>
      <c r="E64" s="8">
        <f>VLOOKUP(C64,'Pivot - lag'!$E$4:$F$144,2,0)</f>
        <v>10915430866.340002</v>
      </c>
      <c r="F64" s="8">
        <f>VLOOKUP(C64,'Pivot - lag'!I63:J205,2,0)</f>
        <v>8688598177.5499992</v>
      </c>
      <c r="G64" s="8">
        <f>VLOOKUP(C64,'Pivot - lag'!L63:M205,2,0)</f>
        <v>2735353783.9699998</v>
      </c>
      <c r="H64" s="8">
        <f>VLOOKUP(C64,'Input-lag'!$K$3:$L$102,2,0)</f>
        <v>14574301137.59</v>
      </c>
      <c r="I64" s="8">
        <f>VLOOKUP(C64,'Input-lag'!temp_8,2,0)</f>
        <v>1447607542.4300001</v>
      </c>
      <c r="K64" s="1">
        <f t="shared" si="1"/>
        <v>40969</v>
      </c>
      <c r="L64" s="7">
        <f t="shared" si="6"/>
        <v>0.20283212090979533</v>
      </c>
      <c r="M64" s="7">
        <f t="shared" si="7"/>
        <v>0.1614527926258916</v>
      </c>
      <c r="N64" s="7">
        <f t="shared" si="8"/>
        <v>5.0828741094606208E-2</v>
      </c>
      <c r="O64" s="7">
        <f t="shared" si="5"/>
        <v>0.27082177943440444</v>
      </c>
      <c r="P64" s="7">
        <f t="shared" si="5"/>
        <v>2.6899653497099753E-2</v>
      </c>
    </row>
    <row r="65" spans="3:16">
      <c r="C65" s="1">
        <f>'Input-lag'!H67</f>
        <v>41000</v>
      </c>
      <c r="D65" s="8">
        <f>VLOOKUP(C65,'Input-lag'!H$4:$I$102,2,0)</f>
        <v>85338937021.710007</v>
      </c>
      <c r="E65" s="8">
        <f>VLOOKUP(C65,'Pivot - lag'!$E$4:$F$144,2,0)</f>
        <v>14934458781.629999</v>
      </c>
      <c r="F65" s="8">
        <f>VLOOKUP(C65,'Pivot - lag'!I64:J206,2,0)</f>
        <v>10688753867.139999</v>
      </c>
      <c r="G65" s="8">
        <f>VLOOKUP(C65,'Pivot - lag'!L64:M206,2,0)</f>
        <v>2968862432.2199998</v>
      </c>
      <c r="H65" s="8">
        <f>VLOOKUP(C65,'Input-lag'!$K$3:$L$102,2,0)</f>
        <v>15564169734.09</v>
      </c>
      <c r="I65" s="8">
        <f>VLOOKUP(C65,'Input-lag'!temp_8,2,0)</f>
        <v>2953526040.23</v>
      </c>
      <c r="K65" s="1">
        <f t="shared" si="1"/>
        <v>41000</v>
      </c>
      <c r="L65" s="7">
        <f t="shared" si="6"/>
        <v>0.17500169679674721</v>
      </c>
      <c r="M65" s="7">
        <f t="shared" si="7"/>
        <v>0.12525060939557764</v>
      </c>
      <c r="N65" s="7">
        <f t="shared" si="8"/>
        <v>3.4789072091028377E-2</v>
      </c>
      <c r="O65" s="7">
        <f t="shared" si="5"/>
        <v>0.18238063745896571</v>
      </c>
      <c r="P65" s="7">
        <f t="shared" si="5"/>
        <v>3.4609360548733231E-2</v>
      </c>
    </row>
    <row r="66" spans="3:16">
      <c r="C66" s="1">
        <f>'Input-lag'!H68</f>
        <v>41030</v>
      </c>
      <c r="D66" s="8">
        <f>VLOOKUP(C66,'Input-lag'!H$4:$I$102,2,0)</f>
        <v>45858172487.629997</v>
      </c>
      <c r="E66" s="8">
        <f>VLOOKUP(C66,'Pivot - lag'!$E$4:$F$144,2,0)</f>
        <v>8198030561.4099998</v>
      </c>
      <c r="F66" s="8">
        <f>VLOOKUP(C66,'Pivot - lag'!I65:J207,2,0)</f>
        <v>6246323074.2000008</v>
      </c>
      <c r="G66" s="8">
        <f>VLOOKUP(C66,'Pivot - lag'!L65:M207,2,0)</f>
        <v>2307288287.8400002</v>
      </c>
      <c r="H66" s="8">
        <f>VLOOKUP(C66,'Input-lag'!$K$3:$L$102,2,0)</f>
        <v>15200655634.24</v>
      </c>
      <c r="I66" s="8">
        <f>VLOOKUP(C66,'Input-lag'!temp_8,2,0)</f>
        <v>1245552918.52</v>
      </c>
      <c r="K66" s="1">
        <f t="shared" si="1"/>
        <v>41030</v>
      </c>
      <c r="L66" s="7">
        <f t="shared" si="6"/>
        <v>0.17876923821204119</v>
      </c>
      <c r="M66" s="7">
        <f t="shared" si="7"/>
        <v>0.13620959439421435</v>
      </c>
      <c r="N66" s="7">
        <f t="shared" si="8"/>
        <v>5.0313568175059289E-2</v>
      </c>
      <c r="O66" s="7">
        <f t="shared" si="5"/>
        <v>0.33147102925526084</v>
      </c>
      <c r="P66" s="7">
        <f t="shared" si="5"/>
        <v>2.7160980277964226E-2</v>
      </c>
    </row>
    <row r="67" spans="3:16">
      <c r="C67" s="1">
        <f>'Input-lag'!H69</f>
        <v>41061</v>
      </c>
      <c r="D67" s="8">
        <f>VLOOKUP(C67,'Input-lag'!H$4:$I$102,2,0)</f>
        <v>64624114881.870003</v>
      </c>
      <c r="E67" s="8">
        <f>VLOOKUP(C67,'Pivot - lag'!$E$4:$F$144,2,0)</f>
        <v>11723751399.540001</v>
      </c>
      <c r="F67" s="8">
        <f>VLOOKUP(C67,'Pivot - lag'!I66:J208,2,0)</f>
        <v>8875387740.6100006</v>
      </c>
      <c r="G67" s="8">
        <f>VLOOKUP(C67,'Pivot - lag'!L66:M208,2,0)</f>
        <v>2837371203.46</v>
      </c>
      <c r="H67" s="8">
        <f>VLOOKUP(C67,'Input-lag'!$K$3:$L$102,2,0)</f>
        <v>16743096910.440001</v>
      </c>
      <c r="I67" s="8">
        <f>VLOOKUP(C67,'Input-lag'!temp_8,2,0)</f>
        <v>1540553806.8800001</v>
      </c>
      <c r="K67" s="1">
        <f t="shared" ref="K67:K100" si="9">C67</f>
        <v>41061</v>
      </c>
      <c r="L67" s="7">
        <f t="shared" ref="L67:L100" si="10">E67/$D67</f>
        <v>0.18141449861201961</v>
      </c>
      <c r="M67" s="7">
        <f t="shared" ref="M67:M100" si="11">F67/$D67</f>
        <v>0.13733863522670775</v>
      </c>
      <c r="N67" s="7">
        <f t="shared" ref="N67:N100" si="12">G67/$D67</f>
        <v>4.3905765032860998E-2</v>
      </c>
      <c r="O67" s="7">
        <f t="shared" si="5"/>
        <v>0.25908435173225403</v>
      </c>
      <c r="P67" s="7">
        <f t="shared" si="5"/>
        <v>2.3838683279392897E-2</v>
      </c>
    </row>
    <row r="68" spans="3:16">
      <c r="C68" s="1">
        <f>'Input-lag'!H70</f>
        <v>41091</v>
      </c>
      <c r="D68" s="8">
        <f>VLOOKUP(C68,'Input-lag'!H$4:$I$102,2,0)</f>
        <v>64031205593.419998</v>
      </c>
      <c r="E68" s="8">
        <f>VLOOKUP(C68,'Pivot - lag'!$E$4:$F$144,2,0)</f>
        <v>13035502174.419998</v>
      </c>
      <c r="F68" s="8">
        <f>VLOOKUP(C68,'Pivot - lag'!I67:J209,2,0)</f>
        <v>9314127919.960001</v>
      </c>
      <c r="G68" s="8">
        <f>VLOOKUP(C68,'Pivot - lag'!L67:M209,2,0)</f>
        <v>2594295416.6100001</v>
      </c>
      <c r="H68" s="8">
        <f>VLOOKUP(C68,'Input-lag'!$K$3:$L$102,2,0)</f>
        <v>18490738170.709999</v>
      </c>
      <c r="I68" s="8">
        <f>VLOOKUP(C68,'Input-lag'!temp_8,2,0)</f>
        <v>2089196644.4200001</v>
      </c>
      <c r="K68" s="1">
        <f t="shared" si="9"/>
        <v>41091</v>
      </c>
      <c r="L68" s="7">
        <f t="shared" si="10"/>
        <v>0.20358045820957582</v>
      </c>
      <c r="M68" s="7">
        <f t="shared" si="11"/>
        <v>0.14546232315383958</v>
      </c>
      <c r="N68" s="7">
        <f t="shared" si="12"/>
        <v>4.0516110739551595E-2</v>
      </c>
      <c r="O68" s="7">
        <f t="shared" si="5"/>
        <v>0.28877697990134599</v>
      </c>
      <c r="P68" s="7">
        <f t="shared" si="5"/>
        <v>3.2627788670508667E-2</v>
      </c>
    </row>
    <row r="69" spans="3:16">
      <c r="C69" s="1">
        <f>'Input-lag'!H71</f>
        <v>41122</v>
      </c>
      <c r="D69" s="8">
        <f>VLOOKUP(C69,'Input-lag'!H$4:$I$102,2,0)</f>
        <v>70029025970.190002</v>
      </c>
      <c r="E69" s="8">
        <f>VLOOKUP(C69,'Pivot - lag'!$E$4:$F$144,2,0)</f>
        <v>14399983724.400002</v>
      </c>
      <c r="F69" s="8">
        <f>VLOOKUP(C69,'Pivot - lag'!I68:J210,2,0)</f>
        <v>11096794876.34</v>
      </c>
      <c r="G69" s="8">
        <f>VLOOKUP(C69,'Pivot - lag'!L68:M210,2,0)</f>
        <v>3642919334.4899998</v>
      </c>
      <c r="H69" s="8">
        <f>VLOOKUP(C69,'Input-lag'!$K$3:$L$102,2,0)</f>
        <v>19497067174.220001</v>
      </c>
      <c r="I69" s="8">
        <f>VLOOKUP(C69,'Input-lag'!temp_8,2,0)</f>
        <v>2184176355.4499998</v>
      </c>
      <c r="K69" s="1">
        <f t="shared" si="9"/>
        <v>41122</v>
      </c>
      <c r="L69" s="7">
        <f t="shared" si="10"/>
        <v>0.20562878784762473</v>
      </c>
      <c r="M69" s="7">
        <f t="shared" si="11"/>
        <v>0.15845993461430821</v>
      </c>
      <c r="N69" s="7">
        <f t="shared" si="12"/>
        <v>5.2020134280329984E-2</v>
      </c>
      <c r="O69" s="7">
        <f t="shared" si="5"/>
        <v>0.27841408478992019</v>
      </c>
      <c r="P69" s="7">
        <f t="shared" si="5"/>
        <v>3.11895863920735E-2</v>
      </c>
    </row>
    <row r="70" spans="3:16">
      <c r="C70" s="1">
        <f>'Input-lag'!H72</f>
        <v>41153</v>
      </c>
      <c r="D70" s="8">
        <f>VLOOKUP(C70,'Input-lag'!H$4:$I$102,2,0)</f>
        <v>78101172544.710007</v>
      </c>
      <c r="E70" s="8">
        <f>VLOOKUP(C70,'Pivot - lag'!$E$4:$F$144,2,0)</f>
        <v>16691460515.200003</v>
      </c>
      <c r="F70" s="8">
        <f>VLOOKUP(C70,'Pivot - lag'!I69:J211,2,0)</f>
        <v>12787060899.860001</v>
      </c>
      <c r="G70" s="8">
        <f>VLOOKUP(C70,'Pivot - lag'!L69:M211,2,0)</f>
        <v>4782260991.4399996</v>
      </c>
      <c r="H70" s="8">
        <f>VLOOKUP(C70,'Input-lag'!$K$3:$L$102,2,0)</f>
        <v>22876874384.77</v>
      </c>
      <c r="I70" s="8">
        <f>VLOOKUP(C70,'Input-lag'!temp_8,2,0)</f>
        <v>2621325386.98</v>
      </c>
      <c r="K70" s="1">
        <f t="shared" si="9"/>
        <v>41153</v>
      </c>
      <c r="L70" s="7">
        <f t="shared" si="10"/>
        <v>0.21371587610473791</v>
      </c>
      <c r="M70" s="7">
        <f t="shared" si="11"/>
        <v>0.16372431403049531</v>
      </c>
      <c r="N70" s="7">
        <f t="shared" si="12"/>
        <v>6.1231615808358494E-2</v>
      </c>
      <c r="O70" s="7">
        <f t="shared" si="5"/>
        <v>0.29291332817921323</v>
      </c>
      <c r="P70" s="7">
        <f t="shared" si="5"/>
        <v>3.3563201442070402E-2</v>
      </c>
    </row>
    <row r="71" spans="3:16">
      <c r="C71" s="1">
        <f>'Input-lag'!H73</f>
        <v>41183</v>
      </c>
      <c r="D71" s="8">
        <f>VLOOKUP(C71,'Input-lag'!H$4:$I$102,2,0)</f>
        <v>82853256609.399994</v>
      </c>
      <c r="E71" s="8">
        <f>VLOOKUP(C71,'Pivot - lag'!$E$4:$F$144,2,0)</f>
        <v>17756215041.990002</v>
      </c>
      <c r="F71" s="8">
        <f>VLOOKUP(C71,'Pivot - lag'!I70:J212,2,0)</f>
        <v>13503735194.82</v>
      </c>
      <c r="G71" s="8">
        <f>VLOOKUP(C71,'Pivot - lag'!L70:M212,2,0)</f>
        <v>4912389510.3100004</v>
      </c>
      <c r="H71" s="8">
        <f>VLOOKUP(C71,'Input-lag'!$K$3:$L$102,2,0)</f>
        <v>24895027083.639999</v>
      </c>
      <c r="I71" s="8">
        <f>VLOOKUP(C71,'Input-lag'!temp_8,2,0)</f>
        <v>2632400688.9699998</v>
      </c>
      <c r="K71" s="1">
        <f t="shared" si="9"/>
        <v>41183</v>
      </c>
      <c r="L71" s="7">
        <f t="shared" si="10"/>
        <v>0.21430919880070828</v>
      </c>
      <c r="M71" s="7">
        <f t="shared" si="11"/>
        <v>0.1629837588458527</v>
      </c>
      <c r="N71" s="7">
        <f t="shared" si="12"/>
        <v>5.9290240496746784E-2</v>
      </c>
      <c r="O71" s="7">
        <f t="shared" si="5"/>
        <v>0.30047131642639102</v>
      </c>
      <c r="P71" s="7">
        <f t="shared" si="5"/>
        <v>3.1771843337191706E-2</v>
      </c>
    </row>
    <row r="72" spans="3:16">
      <c r="C72" s="1">
        <f>'Input-lag'!H74</f>
        <v>41214</v>
      </c>
      <c r="D72" s="8">
        <f>VLOOKUP(C72,'Input-lag'!H$4:$I$102,2,0)</f>
        <v>59855355813.010002</v>
      </c>
      <c r="E72" s="8">
        <f>VLOOKUP(C72,'Pivot - lag'!$E$4:$F$144,2,0)</f>
        <v>16666680166.549999</v>
      </c>
      <c r="F72" s="8">
        <f>VLOOKUP(C72,'Pivot - lag'!I71:J213,2,0)</f>
        <v>12740939980.459999</v>
      </c>
      <c r="G72" s="8">
        <f>VLOOKUP(C72,'Pivot - lag'!L71:M213,2,0)</f>
        <v>4259407226.3299999</v>
      </c>
      <c r="H72" s="8">
        <f>VLOOKUP(C72,'Input-lag'!$K$3:$L$102,2,0)</f>
        <v>13041567478.99</v>
      </c>
      <c r="I72" s="8">
        <f>VLOOKUP(C72,'Input-lag'!temp_8,2,0)</f>
        <v>1969884029.05</v>
      </c>
      <c r="K72" s="1">
        <f t="shared" si="9"/>
        <v>41214</v>
      </c>
      <c r="L72" s="7">
        <f t="shared" si="10"/>
        <v>0.27844927058185448</v>
      </c>
      <c r="M72" s="7">
        <f t="shared" si="11"/>
        <v>0.21286215422832158</v>
      </c>
      <c r="N72" s="7">
        <f t="shared" si="12"/>
        <v>7.116167247650354E-2</v>
      </c>
      <c r="O72" s="7">
        <f t="shared" si="5"/>
        <v>0.21788472062102954</v>
      </c>
      <c r="P72" s="7">
        <f t="shared" si="5"/>
        <v>3.2910739603720325E-2</v>
      </c>
    </row>
    <row r="73" spans="3:16">
      <c r="C73" s="1">
        <f>'Input-lag'!H75</f>
        <v>41244</v>
      </c>
      <c r="D73" s="8">
        <f>VLOOKUP(C73,'Input-lag'!H$4:$I$102,2,0)</f>
        <v>105127205844.42999</v>
      </c>
      <c r="E73" s="8">
        <f>VLOOKUP(C73,'Pivot - lag'!$E$4:$F$144,2,0)</f>
        <v>20877301267.939995</v>
      </c>
      <c r="F73" s="8">
        <f>VLOOKUP(C73,'Pivot - lag'!I72:J214,2,0)</f>
        <v>15010086040.18</v>
      </c>
      <c r="G73" s="8">
        <f>VLOOKUP(C73,'Pivot - lag'!L72:M214,2,0)</f>
        <v>5306609068.2399998</v>
      </c>
      <c r="H73" s="8">
        <f>VLOOKUP(C73,'Input-lag'!$K$3:$L$102,2,0)</f>
        <v>37186920455.010002</v>
      </c>
      <c r="I73" s="8">
        <f>VLOOKUP(C73,'Input-lag'!temp_8,2,0)</f>
        <v>3221286266.1399999</v>
      </c>
      <c r="K73" s="1">
        <f t="shared" si="9"/>
        <v>41244</v>
      </c>
      <c r="L73" s="7">
        <f t="shared" si="10"/>
        <v>0.19859085096235485</v>
      </c>
      <c r="M73" s="7">
        <f t="shared" si="11"/>
        <v>0.14278022439207907</v>
      </c>
      <c r="N73" s="7">
        <f t="shared" si="12"/>
        <v>5.0477980705516512E-2</v>
      </c>
      <c r="O73" s="7">
        <f t="shared" si="5"/>
        <v>0.35373260571616627</v>
      </c>
      <c r="P73" s="7">
        <f t="shared" si="5"/>
        <v>3.0641794769157512E-2</v>
      </c>
    </row>
    <row r="74" spans="3:16">
      <c r="C74" s="1">
        <f>'Input-lag'!H76</f>
        <v>41275</v>
      </c>
      <c r="D74" s="8">
        <f>VLOOKUP(C74,'Input-lag'!H$4:$I$102,2,0)</f>
        <v>65639534877.540001</v>
      </c>
      <c r="E74" s="8">
        <f>VLOOKUP(C74,'Pivot - lag'!$E$4:$F$144,2,0)</f>
        <v>17530813789.799999</v>
      </c>
      <c r="F74" s="8">
        <f>VLOOKUP(C74,'Pivot - lag'!I73:J215,2,0)</f>
        <v>13779796645.559999</v>
      </c>
      <c r="G74" s="8">
        <f>VLOOKUP(C74,'Pivot - lag'!L73:M215,2,0)</f>
        <v>4854996551.6700001</v>
      </c>
      <c r="H74" s="8">
        <f>VLOOKUP(C74,'Input-lag'!$K$3:$L$102,2,0)</f>
        <v>27443376640.200001</v>
      </c>
      <c r="I74" s="8">
        <f>VLOOKUP(C74,'Input-lag'!temp_8,2,0)</f>
        <v>1423282594.6900001</v>
      </c>
      <c r="K74" s="1">
        <f t="shared" si="9"/>
        <v>41275</v>
      </c>
      <c r="L74" s="7">
        <f t="shared" si="10"/>
        <v>0.26707705687595523</v>
      </c>
      <c r="M74" s="7">
        <f t="shared" si="11"/>
        <v>0.20993135724176282</v>
      </c>
      <c r="N74" s="7">
        <f t="shared" si="12"/>
        <v>7.3964517888917017E-2</v>
      </c>
      <c r="O74" s="7">
        <f t="shared" si="5"/>
        <v>0.41809218623196476</v>
      </c>
      <c r="P74" s="7">
        <f t="shared" si="5"/>
        <v>2.1683313224954117E-2</v>
      </c>
    </row>
    <row r="75" spans="3:16">
      <c r="C75" s="1">
        <f>'Input-lag'!H77</f>
        <v>41306</v>
      </c>
      <c r="D75" s="8">
        <f>VLOOKUP(C75,'Input-lag'!H$4:$I$102,2,0)</f>
        <v>83795259138.630005</v>
      </c>
      <c r="E75" s="8">
        <f>VLOOKUP(C75,'Pivot - lag'!$E$4:$F$144,2,0)</f>
        <v>20523012824.300003</v>
      </c>
      <c r="F75" s="8">
        <f>VLOOKUP(C75,'Pivot - lag'!I74:J216,2,0)</f>
        <v>15457592447.299999</v>
      </c>
      <c r="G75" s="8">
        <f>VLOOKUP(C75,'Pivot - lag'!L74:M216,2,0)</f>
        <v>5966617258.3500004</v>
      </c>
      <c r="H75" s="8">
        <f>VLOOKUP(C75,'Input-lag'!$K$3:$L$102,2,0)</f>
        <v>28358709079.119999</v>
      </c>
      <c r="I75" s="8">
        <f>VLOOKUP(C75,'Input-lag'!temp_8,2,0)</f>
        <v>2283134573.5300002</v>
      </c>
      <c r="K75" s="1">
        <f t="shared" si="9"/>
        <v>41306</v>
      </c>
      <c r="L75" s="7">
        <f t="shared" si="10"/>
        <v>0.24491854354608467</v>
      </c>
      <c r="M75" s="7">
        <f t="shared" si="11"/>
        <v>0.18446857980028583</v>
      </c>
      <c r="N75" s="7">
        <f t="shared" si="12"/>
        <v>7.1204711575375529E-2</v>
      </c>
      <c r="O75" s="7">
        <f t="shared" si="5"/>
        <v>0.3384285623152456</v>
      </c>
      <c r="P75" s="7">
        <f t="shared" si="5"/>
        <v>2.7246584078853508E-2</v>
      </c>
    </row>
    <row r="76" spans="3:16">
      <c r="C76" s="1">
        <f>'Input-lag'!H78</f>
        <v>41334</v>
      </c>
      <c r="D76" s="8">
        <f>VLOOKUP(C76,'Input-lag'!H$4:$I$102,2,0)</f>
        <v>75678490996.460007</v>
      </c>
      <c r="E76" s="8">
        <f>VLOOKUP(C76,'Pivot - lag'!$E$4:$F$144,2,0)</f>
        <v>17945523724.209995</v>
      </c>
      <c r="F76" s="8">
        <f>VLOOKUP(C76,'Pivot - lag'!I75:J217,2,0)</f>
        <v>13159688841.609999</v>
      </c>
      <c r="G76" s="8">
        <f>VLOOKUP(C76,'Pivot - lag'!L75:M217,2,0)</f>
        <v>5058886938.4799995</v>
      </c>
      <c r="H76" s="8">
        <f>VLOOKUP(C76,'Input-lag'!$K$3:$L$102,2,0)</f>
        <v>21016931411.259998</v>
      </c>
      <c r="I76" s="8">
        <f>VLOOKUP(C76,'Input-lag'!temp_8,2,0)</f>
        <v>1853862175.5699999</v>
      </c>
      <c r="K76" s="1">
        <f t="shared" si="9"/>
        <v>41334</v>
      </c>
      <c r="L76" s="7">
        <f t="shared" si="10"/>
        <v>0.23712845602391078</v>
      </c>
      <c r="M76" s="7">
        <f t="shared" si="11"/>
        <v>0.17388941915115044</v>
      </c>
      <c r="N76" s="7">
        <f t="shared" si="12"/>
        <v>6.6847090525584574E-2</v>
      </c>
      <c r="O76" s="7">
        <f t="shared" si="5"/>
        <v>0.27771340488598145</v>
      </c>
      <c r="P76" s="7">
        <f t="shared" si="5"/>
        <v>2.449655313101734E-2</v>
      </c>
    </row>
    <row r="77" spans="3:16">
      <c r="C77" s="1">
        <f>'Input-lag'!H79</f>
        <v>41365</v>
      </c>
      <c r="D77" s="8">
        <f>VLOOKUP(C77,'Input-lag'!H$4:$I$102,2,0)</f>
        <v>65489883342.510002</v>
      </c>
      <c r="E77" s="8">
        <f>VLOOKUP(C77,'Pivot - lag'!$E$4:$F$144,2,0)</f>
        <v>12744461759.449999</v>
      </c>
      <c r="F77" s="8">
        <f>VLOOKUP(C77,'Pivot - lag'!I76:J218,2,0)</f>
        <v>9819952533.6500015</v>
      </c>
      <c r="G77" s="8">
        <f>VLOOKUP(C77,'Pivot - lag'!L76:M218,2,0)</f>
        <v>4559782207.0600004</v>
      </c>
      <c r="H77" s="8">
        <f>VLOOKUP(C77,'Input-lag'!$K$3:$L$102,2,0)</f>
        <v>21972503329.41</v>
      </c>
      <c r="I77" s="8">
        <f>VLOOKUP(C77,'Input-lag'!temp_8,2,0)</f>
        <v>1707781437.2</v>
      </c>
      <c r="K77" s="1">
        <f t="shared" si="9"/>
        <v>41365</v>
      </c>
      <c r="L77" s="7">
        <f t="shared" si="10"/>
        <v>0.1946019920786371</v>
      </c>
      <c r="M77" s="7">
        <f t="shared" si="11"/>
        <v>0.14994609903780043</v>
      </c>
      <c r="N77" s="7">
        <f t="shared" si="12"/>
        <v>6.9625749418616073E-2</v>
      </c>
      <c r="O77" s="7">
        <f t="shared" si="5"/>
        <v>0.33550988653460423</v>
      </c>
      <c r="P77" s="7">
        <f t="shared" si="5"/>
        <v>2.6077026710650215E-2</v>
      </c>
    </row>
    <row r="78" spans="3:16">
      <c r="C78" s="1">
        <f>'Input-lag'!H80</f>
        <v>41395</v>
      </c>
      <c r="D78" s="8">
        <f>VLOOKUP(C78,'Input-lag'!H$4:$I$102,2,0)</f>
        <v>71783179195.610001</v>
      </c>
      <c r="E78" s="8">
        <f>VLOOKUP(C78,'Pivot - lag'!$E$4:$F$144,2,0)</f>
        <v>14757947846.709999</v>
      </c>
      <c r="F78" s="8">
        <f>VLOOKUP(C78,'Pivot - lag'!I77:J219,2,0)</f>
        <v>10653227547.629999</v>
      </c>
      <c r="G78" s="8">
        <f>VLOOKUP(C78,'Pivot - lag'!L77:M219,2,0)</f>
        <v>4116486836.2199998</v>
      </c>
      <c r="H78" s="8">
        <f>VLOOKUP(C78,'Input-lag'!$K$3:$L$102,2,0)</f>
        <v>21696546357.110001</v>
      </c>
      <c r="I78" s="8">
        <f>VLOOKUP(C78,'Input-lag'!temp_8,2,0)</f>
        <v>2167430489.98</v>
      </c>
      <c r="K78" s="1">
        <f t="shared" si="9"/>
        <v>41395</v>
      </c>
      <c r="L78" s="7">
        <f t="shared" si="10"/>
        <v>0.20559061345687155</v>
      </c>
      <c r="M78" s="7">
        <f t="shared" si="11"/>
        <v>0.14840841081445877</v>
      </c>
      <c r="N78" s="7">
        <f t="shared" si="12"/>
        <v>5.7346120391276137E-2</v>
      </c>
      <c r="O78" s="7">
        <f t="shared" si="5"/>
        <v>0.30225112066974158</v>
      </c>
      <c r="P78" s="7">
        <f t="shared" si="5"/>
        <v>3.0194127848165189E-2</v>
      </c>
    </row>
    <row r="79" spans="3:16">
      <c r="C79" s="1">
        <f>'Input-lag'!H81</f>
        <v>41426</v>
      </c>
      <c r="D79" s="8">
        <f>VLOOKUP(C79,'Input-lag'!H$4:$I$102,2,0)</f>
        <v>71962352414.850006</v>
      </c>
      <c r="E79" s="8">
        <f>VLOOKUP(C79,'Pivot - lag'!$E$4:$F$144,2,0)</f>
        <v>12961343991.450001</v>
      </c>
      <c r="F79" s="8">
        <f>VLOOKUP(C79,'Pivot - lag'!I78:J220,2,0)</f>
        <v>9259329012.5100002</v>
      </c>
      <c r="G79" s="8">
        <f>VLOOKUP(C79,'Pivot - lag'!L78:M220,2,0)</f>
        <v>3451450904.1700001</v>
      </c>
      <c r="H79" s="8">
        <f>VLOOKUP(C79,'Input-lag'!$K$3:$L$102,2,0)</f>
        <v>22199417142.48</v>
      </c>
      <c r="I79" s="8">
        <f>VLOOKUP(C79,'Input-lag'!temp_8,2,0)</f>
        <v>1785740932.23</v>
      </c>
      <c r="K79" s="1">
        <f t="shared" si="9"/>
        <v>41426</v>
      </c>
      <c r="L79" s="7">
        <f t="shared" si="10"/>
        <v>0.1801128445152847</v>
      </c>
      <c r="M79" s="7">
        <f t="shared" si="11"/>
        <v>0.12866907072647701</v>
      </c>
      <c r="N79" s="7">
        <f t="shared" si="12"/>
        <v>4.7961896579936783E-2</v>
      </c>
      <c r="O79" s="7">
        <f t="shared" si="5"/>
        <v>0.30848654049695812</v>
      </c>
      <c r="P79" s="7">
        <f t="shared" si="5"/>
        <v>2.4814932701692754E-2</v>
      </c>
    </row>
    <row r="80" spans="3:16">
      <c r="C80" s="1">
        <f>'Input-lag'!H82</f>
        <v>41456</v>
      </c>
      <c r="D80" s="8">
        <f>VLOOKUP(C80,'Input-lag'!H$4:$I$102,2,0)</f>
        <v>65362029192.18</v>
      </c>
      <c r="E80" s="8">
        <f>VLOOKUP(C80,'Pivot - lag'!$E$4:$F$144,2,0)</f>
        <v>12346774605.460001</v>
      </c>
      <c r="F80" s="8">
        <f>VLOOKUP(C80,'Pivot - lag'!I79:J221,2,0)</f>
        <v>9758455919.0400009</v>
      </c>
      <c r="G80" s="8">
        <f>VLOOKUP(C80,'Pivot - lag'!L79:M221,2,0)</f>
        <v>4046227360.8000002</v>
      </c>
      <c r="H80" s="8">
        <f>VLOOKUP(C80,'Input-lag'!$K$3:$L$102,2,0)</f>
        <v>19210507021.110001</v>
      </c>
      <c r="I80" s="8">
        <f>VLOOKUP(C80,'Input-lag'!temp_8,2,0)</f>
        <v>2166891536.6399999</v>
      </c>
      <c r="K80" s="1">
        <f t="shared" si="9"/>
        <v>41456</v>
      </c>
      <c r="L80" s="7">
        <f t="shared" si="10"/>
        <v>0.18889827562050637</v>
      </c>
      <c r="M80" s="7">
        <f t="shared" si="11"/>
        <v>0.14929854595468275</v>
      </c>
      <c r="N80" s="7">
        <f t="shared" si="12"/>
        <v>6.1904861443379061E-2</v>
      </c>
      <c r="O80" s="7">
        <f t="shared" si="5"/>
        <v>0.29390928125298121</v>
      </c>
      <c r="P80" s="7">
        <f t="shared" si="5"/>
        <v>3.3152146030668975E-2</v>
      </c>
    </row>
    <row r="81" spans="3:16">
      <c r="C81" s="1">
        <f>'Input-lag'!H83</f>
        <v>41487</v>
      </c>
      <c r="D81" s="8">
        <f>VLOOKUP(C81,'Input-lag'!H$4:$I$102,2,0)</f>
        <v>70737725860.339996</v>
      </c>
      <c r="E81" s="8">
        <f>VLOOKUP(C81,'Pivot - lag'!$E$4:$F$144,2,0)</f>
        <v>14735100872.160002</v>
      </c>
      <c r="F81" s="8">
        <f>VLOOKUP(C81,'Pivot - lag'!I80:J222,2,0)</f>
        <v>11584577873.139999</v>
      </c>
      <c r="G81" s="8">
        <f>VLOOKUP(C81,'Pivot - lag'!L80:M222,2,0)</f>
        <v>4431900841.0100002</v>
      </c>
      <c r="H81" s="8">
        <f>VLOOKUP(C81,'Input-lag'!$K$3:$L$102,2,0)</f>
        <v>21283813715.68</v>
      </c>
      <c r="I81" s="8">
        <f>VLOOKUP(C81,'Input-lag'!temp_8,2,0)</f>
        <v>2292046134.2399998</v>
      </c>
      <c r="K81" s="1">
        <f t="shared" si="9"/>
        <v>41487</v>
      </c>
      <c r="L81" s="7">
        <f t="shared" si="10"/>
        <v>0.20830611520155504</v>
      </c>
      <c r="M81" s="7">
        <f t="shared" si="11"/>
        <v>0.16376802805354307</v>
      </c>
      <c r="N81" s="7">
        <f t="shared" si="12"/>
        <v>6.2652577349744873E-2</v>
      </c>
      <c r="O81" s="7">
        <f t="shared" si="5"/>
        <v>0.30088348836236817</v>
      </c>
      <c r="P81" s="7">
        <f t="shared" si="5"/>
        <v>3.2402033092854408E-2</v>
      </c>
    </row>
    <row r="82" spans="3:16">
      <c r="C82" s="1">
        <f>'Input-lag'!H84</f>
        <v>41518</v>
      </c>
      <c r="D82" s="8">
        <f>VLOOKUP(C82,'Input-lag'!H$4:$I$102,2,0)</f>
        <v>63694656425.440002</v>
      </c>
      <c r="E82" s="8">
        <f>VLOOKUP(C82,'Pivot - lag'!$E$4:$F$144,2,0)</f>
        <v>15560674003.129999</v>
      </c>
      <c r="F82" s="8">
        <f>VLOOKUP(C82,'Pivot - lag'!I81:J223,2,0)</f>
        <v>12200710557.860001</v>
      </c>
      <c r="G82" s="8">
        <f>VLOOKUP(C82,'Pivot - lag'!L81:M223,2,0)</f>
        <v>4099763945.7399998</v>
      </c>
      <c r="H82" s="8">
        <f>VLOOKUP(C82,'Input-lag'!$K$3:$L$102,2,0)</f>
        <v>18067551518.43</v>
      </c>
      <c r="I82" s="8">
        <f>VLOOKUP(C82,'Input-lag'!temp_8,2,0)</f>
        <v>1691558930.4300001</v>
      </c>
      <c r="K82" s="1">
        <f t="shared" si="9"/>
        <v>41518</v>
      </c>
      <c r="L82" s="7">
        <f t="shared" si="10"/>
        <v>0.24430109017614512</v>
      </c>
      <c r="M82" s="7">
        <f t="shared" si="11"/>
        <v>0.1915499861772858</v>
      </c>
      <c r="N82" s="7">
        <f t="shared" si="12"/>
        <v>6.4365900937688875E-2</v>
      </c>
      <c r="O82" s="7">
        <f t="shared" ref="O82:P100" si="13">H82/$D82</f>
        <v>0.28365882685276123</v>
      </c>
      <c r="P82" s="7">
        <f t="shared" si="13"/>
        <v>2.6557313052000105E-2</v>
      </c>
    </row>
    <row r="83" spans="3:16">
      <c r="C83" s="1">
        <f>'Input-lag'!H85</f>
        <v>41548</v>
      </c>
      <c r="D83" s="8">
        <f>VLOOKUP(C83,'Input-lag'!H$4:$I$102,2,0)</f>
        <v>51117895079.279999</v>
      </c>
      <c r="E83" s="8">
        <f>VLOOKUP(C83,'Pivot - lag'!$E$4:$F$144,2,0)</f>
        <v>10318630965.529999</v>
      </c>
      <c r="F83" s="8">
        <f>VLOOKUP(C83,'Pivot - lag'!I82:J224,2,0)</f>
        <v>7647363289.21</v>
      </c>
      <c r="G83" s="8">
        <f>VLOOKUP(C83,'Pivot - lag'!L82:M224,2,0)</f>
        <v>2353070457.5900002</v>
      </c>
      <c r="H83" s="8">
        <f>VLOOKUP(C83,'Input-lag'!$K$3:$L$102,2,0)</f>
        <v>14225597347.620001</v>
      </c>
      <c r="I83" s="8">
        <f>VLOOKUP(C83,'Input-lag'!temp_8,2,0)</f>
        <v>1368985059.04</v>
      </c>
      <c r="K83" s="1">
        <f t="shared" si="9"/>
        <v>41548</v>
      </c>
      <c r="L83" s="7">
        <f t="shared" si="10"/>
        <v>0.20185946525236576</v>
      </c>
      <c r="M83" s="7">
        <f t="shared" si="11"/>
        <v>0.14960246851615303</v>
      </c>
      <c r="N83" s="7">
        <f t="shared" si="12"/>
        <v>4.6032225191208781E-2</v>
      </c>
      <c r="O83" s="7">
        <f t="shared" si="13"/>
        <v>0.27828996725231298</v>
      </c>
      <c r="P83" s="7">
        <f t="shared" si="13"/>
        <v>2.6780935657010278E-2</v>
      </c>
    </row>
    <row r="84" spans="3:16">
      <c r="C84" s="1">
        <f>'Input-lag'!H86</f>
        <v>41579</v>
      </c>
      <c r="D84" s="8">
        <f>VLOOKUP(C84,'Input-lag'!H$4:$I$102,2,0)</f>
        <v>45895739831.089996</v>
      </c>
      <c r="E84" s="8">
        <f>VLOOKUP(C84,'Pivot - lag'!$E$4:$F$144,2,0)</f>
        <v>10141947225.709999</v>
      </c>
      <c r="F84" s="8">
        <f>VLOOKUP(C84,'Pivot - lag'!I83:J225,2,0)</f>
        <v>7229453996.4300003</v>
      </c>
      <c r="G84" s="8">
        <f>VLOOKUP(C84,'Pivot - lag'!L83:M225,2,0)</f>
        <v>1845973493.28</v>
      </c>
      <c r="H84" s="8">
        <f>VLOOKUP(C84,'Input-lag'!$K$3:$L$102,2,0)</f>
        <v>15678517420.42</v>
      </c>
      <c r="I84" s="8">
        <f>VLOOKUP(C84,'Input-lag'!temp_8,2,0)</f>
        <v>953042554.79999995</v>
      </c>
      <c r="K84" s="1">
        <f t="shared" si="9"/>
        <v>41579</v>
      </c>
      <c r="L84" s="7">
        <f t="shared" si="10"/>
        <v>0.22097796577711543</v>
      </c>
      <c r="M84" s="7">
        <f t="shared" si="11"/>
        <v>0.15751906436276103</v>
      </c>
      <c r="N84" s="7">
        <f t="shared" si="12"/>
        <v>4.022102051462146E-2</v>
      </c>
      <c r="O84" s="7">
        <f t="shared" si="13"/>
        <v>0.34161160661363382</v>
      </c>
      <c r="P84" s="7">
        <f t="shared" si="13"/>
        <v>2.0765381673930536E-2</v>
      </c>
    </row>
    <row r="85" spans="3:16">
      <c r="C85" s="1">
        <f>'Input-lag'!H87</f>
        <v>41609</v>
      </c>
      <c r="D85" s="8">
        <f>VLOOKUP(C85,'Input-lag'!H$4:$I$102,2,0)</f>
        <v>37273656807.68</v>
      </c>
      <c r="E85" s="8">
        <f>VLOOKUP(C85,'Pivot - lag'!$E$4:$F$144,2,0)</f>
        <v>7818864422.4299994</v>
      </c>
      <c r="F85" s="8">
        <f>VLOOKUP(C85,'Pivot - lag'!I84:J226,2,0)</f>
        <v>5745769878.6399994</v>
      </c>
      <c r="G85" s="8">
        <f>VLOOKUP(C85,'Pivot - lag'!L84:M226,2,0)</f>
        <v>1689487463.0999999</v>
      </c>
      <c r="H85" s="8">
        <f>VLOOKUP(C85,'Input-lag'!$K$3:$L$102,2,0)</f>
        <v>11069607939.91</v>
      </c>
      <c r="I85" s="8">
        <f>VLOOKUP(C85,'Input-lag'!temp_8,2,0)</f>
        <v>889724629.33000004</v>
      </c>
      <c r="K85" s="1">
        <f t="shared" si="9"/>
        <v>41609</v>
      </c>
      <c r="L85" s="7">
        <f t="shared" si="10"/>
        <v>0.20976917995389635</v>
      </c>
      <c r="M85" s="7">
        <f t="shared" si="11"/>
        <v>0.15415095729099806</v>
      </c>
      <c r="N85" s="7">
        <f t="shared" si="12"/>
        <v>4.5326582036670247E-2</v>
      </c>
      <c r="O85" s="7">
        <f t="shared" si="13"/>
        <v>0.29698207495512424</v>
      </c>
      <c r="P85" s="7">
        <f t="shared" si="13"/>
        <v>2.3870065497482339E-2</v>
      </c>
    </row>
    <row r="86" spans="3:16">
      <c r="C86" s="1">
        <f>'Input-lag'!H88</f>
        <v>41640</v>
      </c>
      <c r="D86" s="8">
        <f>VLOOKUP(C86,'Input-lag'!H$4:$I$102,2,0)</f>
        <v>36772692491.720001</v>
      </c>
      <c r="E86" s="8">
        <f>VLOOKUP(C86,'Pivot - lag'!$E$4:$F$144,2,0)</f>
        <v>7052067476.9300013</v>
      </c>
      <c r="F86" s="8">
        <f>VLOOKUP(C86,'Pivot - lag'!I85:J227,2,0)</f>
        <v>5431150358.5900002</v>
      </c>
      <c r="G86" s="8">
        <f>VLOOKUP(C86,'Pivot - lag'!L85:M227,2,0)</f>
        <v>1555357392.6700001</v>
      </c>
      <c r="H86" s="8">
        <f>VLOOKUP(C86,'Input-lag'!$K$3:$L$102,2,0)</f>
        <v>15492498245.49</v>
      </c>
      <c r="I86" s="8">
        <f>VLOOKUP(C86,'Input-lag'!temp_8,2,0)</f>
        <v>682224095.88999999</v>
      </c>
      <c r="K86" s="1">
        <f t="shared" si="9"/>
        <v>41640</v>
      </c>
      <c r="L86" s="7">
        <f t="shared" si="10"/>
        <v>0.19177457507409593</v>
      </c>
      <c r="M86" s="7">
        <f t="shared" si="11"/>
        <v>0.14769520507134246</v>
      </c>
      <c r="N86" s="7">
        <f t="shared" si="12"/>
        <v>4.2296532760559086E-2</v>
      </c>
      <c r="O86" s="7">
        <f t="shared" si="13"/>
        <v>0.42130442988308242</v>
      </c>
      <c r="P86" s="7">
        <f t="shared" si="13"/>
        <v>1.855246514906719E-2</v>
      </c>
    </row>
    <row r="87" spans="3:16">
      <c r="C87" s="1">
        <f>'Input-lag'!H89</f>
        <v>41671</v>
      </c>
      <c r="D87" s="8">
        <f>VLOOKUP(C87,'Input-lag'!H$4:$I$102,2,0)</f>
        <v>27279227748.369999</v>
      </c>
      <c r="E87" s="8">
        <f>VLOOKUP(C87,'Pivot - lag'!$E$4:$F$144,2,0)</f>
        <v>6546635557.960001</v>
      </c>
      <c r="F87" s="8">
        <f>VLOOKUP(C87,'Pivot - lag'!I86:J228,2,0)</f>
        <v>5137202461.1599998</v>
      </c>
      <c r="G87" s="8">
        <f>VLOOKUP(C87,'Pivot - lag'!L86:M228,2,0)</f>
        <v>1754359485.8099999</v>
      </c>
      <c r="H87" s="8">
        <f>VLOOKUP(C87,'Input-lag'!$K$3:$L$102,2,0)</f>
        <v>10905734407.190001</v>
      </c>
      <c r="I87" s="8">
        <f>VLOOKUP(C87,'Input-lag'!temp_8,2,0)</f>
        <v>656304826.80999994</v>
      </c>
      <c r="K87" s="1">
        <f t="shared" si="9"/>
        <v>41671</v>
      </c>
      <c r="L87" s="7">
        <f t="shared" si="10"/>
        <v>0.23998610291859082</v>
      </c>
      <c r="M87" s="7">
        <f t="shared" si="11"/>
        <v>0.18831920421453135</v>
      </c>
      <c r="N87" s="7">
        <f t="shared" si="12"/>
        <v>6.4311185858801564E-2</v>
      </c>
      <c r="O87" s="7">
        <f t="shared" si="13"/>
        <v>0.3997816400004815</v>
      </c>
      <c r="P87" s="7">
        <f t="shared" si="13"/>
        <v>2.4058775888522569E-2</v>
      </c>
    </row>
    <row r="88" spans="3:16">
      <c r="C88" s="1">
        <f>'Input-lag'!H90</f>
        <v>41699</v>
      </c>
      <c r="D88" s="8">
        <f>VLOOKUP(C88,'Input-lag'!H$4:$I$102,2,0)</f>
        <v>26678236242.540001</v>
      </c>
      <c r="E88" s="8">
        <f>VLOOKUP(C88,'Pivot - lag'!$E$4:$F$144,2,0)</f>
        <v>6652504509.710001</v>
      </c>
      <c r="F88" s="8">
        <f>VLOOKUP(C88,'Pivot - lag'!I87:J229,2,0)</f>
        <v>5485628824.9200001</v>
      </c>
      <c r="G88" s="8">
        <f>VLOOKUP(C88,'Pivot - lag'!L87:M229,2,0)</f>
        <v>1916682883.5699999</v>
      </c>
      <c r="H88" s="8">
        <f>VLOOKUP(C88,'Input-lag'!$K$3:$L$102,2,0)</f>
        <v>9006227464.5200005</v>
      </c>
      <c r="I88" s="8">
        <f>VLOOKUP(C88,'Input-lag'!temp_8,2,0)</f>
        <v>682995391.41999996</v>
      </c>
      <c r="K88" s="1">
        <f t="shared" si="9"/>
        <v>41699</v>
      </c>
      <c r="L88" s="7">
        <f t="shared" si="10"/>
        <v>0.24936073169268197</v>
      </c>
      <c r="M88" s="7">
        <f t="shared" si="11"/>
        <v>0.20562187001601123</v>
      </c>
      <c r="N88" s="7">
        <f t="shared" si="12"/>
        <v>7.1844437771104885E-2</v>
      </c>
      <c r="O88" s="7">
        <f t="shared" si="13"/>
        <v>0.33758706470104072</v>
      </c>
      <c r="P88" s="7">
        <f t="shared" si="13"/>
        <v>2.5601219856165904E-2</v>
      </c>
    </row>
    <row r="89" spans="3:16">
      <c r="C89" s="1">
        <f>'Input-lag'!H91</f>
        <v>41730</v>
      </c>
      <c r="D89" s="8">
        <f>VLOOKUP(C89,'Input-lag'!H$4:$I$102,2,0)</f>
        <v>22770371557.509998</v>
      </c>
      <c r="E89" s="8">
        <f>VLOOKUP(C89,'Pivot - lag'!$E$4:$F$144,2,0)</f>
        <v>5362630220.0200005</v>
      </c>
      <c r="F89" s="8">
        <f>VLOOKUP(C89,'Pivot - lag'!I88:J230,2,0)</f>
        <v>4236847240.46</v>
      </c>
      <c r="G89" s="8">
        <f>VLOOKUP(C89,'Pivot - lag'!L88:M230,2,0)</f>
        <v>1569133883.05</v>
      </c>
      <c r="H89" s="8">
        <f>VLOOKUP(C89,'Input-lag'!$K$3:$L$102,2,0)</f>
        <v>9228070670.6800003</v>
      </c>
      <c r="I89" s="8">
        <f>VLOOKUP(C89,'Input-lag'!temp_8,2,0)</f>
        <v>539502272.57000005</v>
      </c>
      <c r="K89" s="1">
        <f t="shared" si="9"/>
        <v>41730</v>
      </c>
      <c r="L89" s="7">
        <f t="shared" si="10"/>
        <v>0.23550912230289572</v>
      </c>
      <c r="M89" s="7">
        <f t="shared" si="11"/>
        <v>0.18606842799025941</v>
      </c>
      <c r="N89" s="7">
        <f t="shared" si="12"/>
        <v>6.8911211180147688E-2</v>
      </c>
      <c r="O89" s="7">
        <f t="shared" si="13"/>
        <v>0.40526658282115069</v>
      </c>
      <c r="P89" s="7">
        <f t="shared" si="13"/>
        <v>2.3693169485943869E-2</v>
      </c>
    </row>
    <row r="90" spans="3:16">
      <c r="C90" s="1">
        <f>'Input-lag'!H92</f>
        <v>41760</v>
      </c>
      <c r="D90" s="8">
        <f>VLOOKUP(C90,'Input-lag'!H$4:$I$102,2,0)</f>
        <v>26290450001.990002</v>
      </c>
      <c r="E90" s="8">
        <f>VLOOKUP(C90,'Pivot - lag'!$E$4:$F$144,2,0)</f>
        <v>6121331261.9400015</v>
      </c>
      <c r="F90" s="8">
        <f>VLOOKUP(C90,'Pivot - lag'!I89:J231,2,0)</f>
        <v>4570019103.7800007</v>
      </c>
      <c r="G90" s="8">
        <f>VLOOKUP(C90,'Pivot - lag'!L89:M231,2,0)</f>
        <v>1572084510.04</v>
      </c>
      <c r="H90" s="8">
        <f>VLOOKUP(C90,'Input-lag'!$K$3:$L$102,2,0)</f>
        <v>9943731080.6599998</v>
      </c>
      <c r="I90" s="8">
        <f>VLOOKUP(C90,'Input-lag'!temp_8,2,0)</f>
        <v>784392049.47000003</v>
      </c>
      <c r="K90" s="1">
        <f t="shared" si="9"/>
        <v>41760</v>
      </c>
      <c r="L90" s="7">
        <f t="shared" si="10"/>
        <v>0.23283478455015641</v>
      </c>
      <c r="M90" s="7">
        <f t="shared" si="11"/>
        <v>0.17382810501281198</v>
      </c>
      <c r="N90" s="7">
        <f t="shared" si="12"/>
        <v>5.9796789705805882E-2</v>
      </c>
      <c r="O90" s="7">
        <f t="shared" si="13"/>
        <v>0.37822597482764003</v>
      </c>
      <c r="P90" s="7">
        <f t="shared" si="13"/>
        <v>2.9835626602459336E-2</v>
      </c>
    </row>
    <row r="91" spans="3:16">
      <c r="C91" s="1">
        <f>'Input-lag'!H93</f>
        <v>41791</v>
      </c>
      <c r="D91" s="8">
        <f>VLOOKUP(C91,'Input-lag'!H$4:$I$102,2,0)</f>
        <v>26795968721.740002</v>
      </c>
      <c r="E91" s="8">
        <f>VLOOKUP(C91,'Pivot - lag'!$E$4:$F$144,2,0)</f>
        <v>6273132178.3599997</v>
      </c>
      <c r="F91" s="8">
        <f>VLOOKUP(C91,'Pivot - lag'!I90:J232,2,0)</f>
        <v>4207797841.7200003</v>
      </c>
      <c r="G91" s="8">
        <f>VLOOKUP(C91,'Pivot - lag'!L90:M232,2,0)</f>
        <v>1523092086.4300001</v>
      </c>
      <c r="H91" s="8">
        <f>VLOOKUP(C91,'Input-lag'!$K$3:$L$102,2,0)</f>
        <v>11280710955.59</v>
      </c>
      <c r="I91" s="8">
        <f>VLOOKUP(C91,'Input-lag'!temp_8,2,0)</f>
        <v>795592961.65999997</v>
      </c>
      <c r="K91" s="1">
        <f t="shared" si="9"/>
        <v>41791</v>
      </c>
      <c r="L91" s="7">
        <f t="shared" si="10"/>
        <v>0.23410731082360559</v>
      </c>
      <c r="M91" s="7">
        <f t="shared" si="11"/>
        <v>0.15703100288761518</v>
      </c>
      <c r="N91" s="7">
        <f t="shared" si="12"/>
        <v>5.6840344241568357E-2</v>
      </c>
      <c r="O91" s="7">
        <f t="shared" si="13"/>
        <v>0.42098537555157606</v>
      </c>
      <c r="P91" s="7">
        <f t="shared" si="13"/>
        <v>2.9690770649934466E-2</v>
      </c>
    </row>
    <row r="92" spans="3:16">
      <c r="C92" s="1">
        <f>'Input-lag'!H94</f>
        <v>41821</v>
      </c>
      <c r="D92" s="8">
        <f>VLOOKUP(C92,'Input-lag'!H$4:$I$102,2,0)</f>
        <v>30892195848.830002</v>
      </c>
      <c r="E92" s="8">
        <f>VLOOKUP(C92,'Pivot - lag'!$E$4:$F$144,2,0)</f>
        <v>7133901636.4100008</v>
      </c>
      <c r="F92" s="8">
        <f>VLOOKUP(C92,'Pivot - lag'!I91:J233,2,0)</f>
        <v>5295565399.1900005</v>
      </c>
      <c r="G92" s="8">
        <f>VLOOKUP(C92,'Pivot - lag'!L91:M233,2,0)</f>
        <v>1815521830.9200001</v>
      </c>
      <c r="H92" s="8">
        <f>VLOOKUP(C92,'Input-lag'!$K$3:$L$102,2,0)</f>
        <v>12840798608.01</v>
      </c>
      <c r="I92" s="8">
        <f>VLOOKUP(C92,'Input-lag'!temp_8,2,0)</f>
        <v>714415679.88</v>
      </c>
      <c r="K92" s="1">
        <f t="shared" si="9"/>
        <v>41821</v>
      </c>
      <c r="L92" s="7">
        <f t="shared" si="10"/>
        <v>0.23092892688235975</v>
      </c>
      <c r="M92" s="7">
        <f t="shared" si="11"/>
        <v>0.17142081531218062</v>
      </c>
      <c r="N92" s="7">
        <f t="shared" si="12"/>
        <v>5.8769594748272334E-2</v>
      </c>
      <c r="O92" s="7">
        <f t="shared" si="13"/>
        <v>0.41566480643998399</v>
      </c>
      <c r="P92" s="7">
        <f t="shared" si="13"/>
        <v>2.3126089300222325E-2</v>
      </c>
    </row>
    <row r="93" spans="3:16">
      <c r="C93" s="1">
        <f>'Input-lag'!H95</f>
        <v>41852</v>
      </c>
      <c r="D93" s="8">
        <f>VLOOKUP(C93,'Input-lag'!H$4:$I$102,2,0)</f>
        <v>35541456256.889999</v>
      </c>
      <c r="E93" s="8">
        <f>VLOOKUP(C93,'Pivot - lag'!$E$4:$F$144,2,0)</f>
        <v>8496813375.6799994</v>
      </c>
      <c r="F93" s="8">
        <f>VLOOKUP(C93,'Pivot - lag'!I92:J234,2,0)</f>
        <v>6093734069.5600004</v>
      </c>
      <c r="G93" s="8">
        <f>VLOOKUP(C93,'Pivot - lag'!L92:M234,2,0)</f>
        <v>2299190742.25</v>
      </c>
      <c r="H93" s="8">
        <f>VLOOKUP(C93,'Input-lag'!$K$3:$L$102,2,0)</f>
        <v>15576559728.469999</v>
      </c>
      <c r="I93" s="8">
        <f>VLOOKUP(C93,'Input-lag'!temp_8,2,0)</f>
        <v>766180521.16999996</v>
      </c>
      <c r="K93" s="1">
        <f t="shared" si="9"/>
        <v>41852</v>
      </c>
      <c r="L93" s="7">
        <f t="shared" si="10"/>
        <v>0.23906767675094415</v>
      </c>
      <c r="M93" s="7">
        <f t="shared" si="11"/>
        <v>0.17145425965427855</v>
      </c>
      <c r="N93" s="7">
        <f t="shared" si="12"/>
        <v>6.4690392133391644E-2</v>
      </c>
      <c r="O93" s="7">
        <f t="shared" si="13"/>
        <v>0.43826453299730389</v>
      </c>
      <c r="P93" s="7">
        <f t="shared" si="13"/>
        <v>2.1557375579439562E-2</v>
      </c>
    </row>
    <row r="94" spans="3:16">
      <c r="C94" s="1">
        <f>'Input-lag'!H96</f>
        <v>41883</v>
      </c>
      <c r="D94" s="8">
        <f>VLOOKUP(C94,'Input-lag'!H$4:$I$102,2,0)</f>
        <v>33356083132.919998</v>
      </c>
      <c r="E94" s="8">
        <f>VLOOKUP(C94,'Pivot - lag'!$E$4:$F$144,2,0)</f>
        <v>8007352977.8699989</v>
      </c>
      <c r="F94" s="8">
        <f>VLOOKUP(C94,'Pivot - lag'!I93:J235,2,0)</f>
        <v>6130165113.5999994</v>
      </c>
      <c r="G94" s="8">
        <f>VLOOKUP(C94,'Pivot - lag'!L93:M235,2,0)</f>
        <v>2188451666.4499998</v>
      </c>
      <c r="H94" s="8">
        <f>VLOOKUP(C94,'Input-lag'!$K$3:$L$102,2,0)</f>
        <v>14087004899.709999</v>
      </c>
      <c r="I94" s="8">
        <f>VLOOKUP(C94,'Input-lag'!temp_8,2,0)</f>
        <v>693663556.71000004</v>
      </c>
      <c r="K94" s="1">
        <f t="shared" si="9"/>
        <v>41883</v>
      </c>
      <c r="L94" s="7">
        <f t="shared" si="10"/>
        <v>0.24005675204614571</v>
      </c>
      <c r="M94" s="7">
        <f t="shared" si="11"/>
        <v>0.18377952498715228</v>
      </c>
      <c r="N94" s="7">
        <f t="shared" si="12"/>
        <v>6.5608772400802637E-2</v>
      </c>
      <c r="O94" s="7">
        <f t="shared" si="13"/>
        <v>0.42232191482360115</v>
      </c>
      <c r="P94" s="7">
        <f t="shared" si="13"/>
        <v>2.0795713751696619E-2</v>
      </c>
    </row>
    <row r="95" spans="3:16">
      <c r="C95" s="1">
        <f>'Input-lag'!H97</f>
        <v>41913</v>
      </c>
      <c r="D95" s="8">
        <f>VLOOKUP(C95,'Input-lag'!H$4:$I$102,2,0)</f>
        <v>39426526391.220001</v>
      </c>
      <c r="E95" s="8">
        <f>VLOOKUP(C95,'Pivot - lag'!$E$4:$F$144,2,0)</f>
        <v>10838122410.58</v>
      </c>
      <c r="F95" s="8">
        <f>VLOOKUP(C95,'Pivot - lag'!I94:J236,2,0)</f>
        <v>8665748338.039999</v>
      </c>
      <c r="G95" s="8">
        <f>VLOOKUP(C95,'Pivot - lag'!L94:M236,2,0)</f>
        <v>2783280665.23</v>
      </c>
      <c r="H95" s="8">
        <f>VLOOKUP(C95,'Input-lag'!$K$3:$L$102,2,0)</f>
        <v>13119687804.309999</v>
      </c>
      <c r="I95" s="8">
        <f>VLOOKUP(C95,'Input-lag'!temp_8,2,0)</f>
        <v>757494824.39999998</v>
      </c>
      <c r="K95" s="1">
        <f t="shared" si="9"/>
        <v>41913</v>
      </c>
      <c r="L95" s="7">
        <f t="shared" si="10"/>
        <v>0.27489417411607353</v>
      </c>
      <c r="M95" s="7">
        <f t="shared" si="11"/>
        <v>0.21979487241792109</v>
      </c>
      <c r="N95" s="7">
        <f t="shared" si="12"/>
        <v>7.0594113151439486E-2</v>
      </c>
      <c r="O95" s="7">
        <f t="shared" si="13"/>
        <v>0.33276296456163729</v>
      </c>
      <c r="P95" s="7">
        <f t="shared" si="13"/>
        <v>1.9212821765822324E-2</v>
      </c>
    </row>
    <row r="96" spans="3:16">
      <c r="C96" s="1">
        <f>'Input-lag'!H98</f>
        <v>41944</v>
      </c>
      <c r="D96" s="8">
        <f>VLOOKUP(C96,'Input-lag'!H$4:$I$102,2,0)</f>
        <v>38810259856.690002</v>
      </c>
      <c r="E96" s="8">
        <f>VLOOKUP(C96,'Pivot - lag'!$E$4:$F$144,2,0)</f>
        <v>8503135850.2900019</v>
      </c>
      <c r="F96" s="8">
        <f>VLOOKUP(C96,'Pivot - lag'!I95:J237,2,0)</f>
        <v>6193777592.4499998</v>
      </c>
      <c r="G96" s="8">
        <f>VLOOKUP(C96,'Pivot - lag'!L95:M237,2,0)</f>
        <v>2036061242.9100001</v>
      </c>
      <c r="H96" s="8">
        <f>VLOOKUP(C96,'Input-lag'!$K$3:$L$102,2,0)</f>
        <v>17933393094.610001</v>
      </c>
      <c r="I96" s="8">
        <f>VLOOKUP(C96,'Input-lag'!temp_8,2,0)</f>
        <v>755662317.37</v>
      </c>
      <c r="K96" s="1">
        <f t="shared" si="9"/>
        <v>41944</v>
      </c>
      <c r="L96" s="7">
        <f t="shared" si="10"/>
        <v>0.21909505068217819</v>
      </c>
      <c r="M96" s="7">
        <f t="shared" si="11"/>
        <v>0.15959124250445683</v>
      </c>
      <c r="N96" s="7">
        <f t="shared" si="12"/>
        <v>5.2461932757686229E-2</v>
      </c>
      <c r="O96" s="7">
        <f t="shared" si="13"/>
        <v>0.46207866581750529</v>
      </c>
      <c r="P96" s="7">
        <f t="shared" si="13"/>
        <v>1.9470684302561842E-2</v>
      </c>
    </row>
    <row r="97" spans="3:16">
      <c r="C97" s="1">
        <f>'Input-lag'!H99</f>
        <v>41974</v>
      </c>
      <c r="D97" s="8">
        <f>VLOOKUP(C97,'Input-lag'!H$4:$I$102,2,0)</f>
        <v>31524018987.950001</v>
      </c>
      <c r="E97" s="8">
        <f>VLOOKUP(C97,'Pivot - lag'!$E$4:$F$144,2,0)</f>
        <v>8567418005.9099989</v>
      </c>
      <c r="F97" s="8">
        <f>VLOOKUP(C97,'Pivot - lag'!I96:J238,2,0)</f>
        <v>6447776468.79</v>
      </c>
      <c r="G97" s="8">
        <f>VLOOKUP(C97,'Pivot - lag'!L96:M238,2,0)</f>
        <v>2764147676.1700001</v>
      </c>
      <c r="H97" s="8">
        <f>VLOOKUP(C97,'Input-lag'!$K$3:$L$102,2,0)</f>
        <v>6826393495</v>
      </c>
      <c r="I97" s="8">
        <f>VLOOKUP(C97,'Input-lag'!temp_8,2,0)</f>
        <v>784810724.87</v>
      </c>
      <c r="K97" s="1">
        <f t="shared" si="9"/>
        <v>41974</v>
      </c>
      <c r="L97" s="7">
        <f t="shared" si="10"/>
        <v>0.27177429404495912</v>
      </c>
      <c r="M97" s="7">
        <f t="shared" si="11"/>
        <v>0.20453535671497505</v>
      </c>
      <c r="N97" s="7">
        <f t="shared" si="12"/>
        <v>8.7683860272593755E-2</v>
      </c>
      <c r="O97" s="7">
        <f t="shared" si="13"/>
        <v>0.21654578680495581</v>
      </c>
      <c r="P97" s="7">
        <f t="shared" si="13"/>
        <v>2.4895643070447091E-2</v>
      </c>
    </row>
    <row r="98" spans="3:16">
      <c r="C98" s="1">
        <f>'Input-lag'!H100</f>
        <v>42005</v>
      </c>
      <c r="D98" s="8">
        <f>VLOOKUP(C98,'Input-lag'!H$4:$I$102,2,0)</f>
        <v>43458210964.160004</v>
      </c>
      <c r="E98" s="8">
        <f>VLOOKUP(C98,'Pivot - lag'!$E$4:$F$144,2,0)</f>
        <v>7854577790.5299997</v>
      </c>
      <c r="F98" s="8">
        <f>VLOOKUP(C98,'Pivot - lag'!I97:J239,2,0)</f>
        <v>5654206232.7299995</v>
      </c>
      <c r="G98" s="8">
        <f>VLOOKUP(C98,'Pivot - lag'!L97:M239,2,0)</f>
        <v>2059485374.03</v>
      </c>
      <c r="H98" s="8">
        <f>VLOOKUP(C98,'Input-lag'!$K$3:$L$102,2,0)</f>
        <v>22766112030.75</v>
      </c>
      <c r="I98" s="8">
        <f>VLOOKUP(C98,'Input-lag'!temp_8,2,0)</f>
        <v>993991215.26999998</v>
      </c>
      <c r="K98" s="1">
        <f t="shared" si="9"/>
        <v>42005</v>
      </c>
      <c r="L98" s="7">
        <f t="shared" si="10"/>
        <v>0.18073863641114155</v>
      </c>
      <c r="M98" s="7">
        <f t="shared" si="11"/>
        <v>0.13010674179369749</v>
      </c>
      <c r="N98" s="7">
        <f t="shared" si="12"/>
        <v>4.7390017406111311E-2</v>
      </c>
      <c r="O98" s="7">
        <f t="shared" si="13"/>
        <v>0.52386215460008734</v>
      </c>
      <c r="P98" s="7">
        <f t="shared" si="13"/>
        <v>2.2872345483566838E-2</v>
      </c>
    </row>
    <row r="99" spans="3:16">
      <c r="C99" s="1">
        <f>'Input-lag'!H101</f>
        <v>42036</v>
      </c>
      <c r="D99" s="8">
        <f>VLOOKUP(C99,'Input-lag'!H$4:$I$102,2,0)</f>
        <v>35989324161.910004</v>
      </c>
      <c r="E99" s="8">
        <f>VLOOKUP(C99,'Pivot - lag'!$E$4:$F$144,2,0)</f>
        <v>9240385217.960001</v>
      </c>
      <c r="F99" s="8">
        <f>VLOOKUP(C99,'Pivot - lag'!I98:J240,2,0)</f>
        <v>7121739613.5100002</v>
      </c>
      <c r="G99" s="8">
        <f>VLOOKUP(C99,'Pivot - lag'!L98:M240,2,0)</f>
        <v>3177985156.9499998</v>
      </c>
      <c r="H99" s="8">
        <f>VLOOKUP(C99,'Input-lag'!$K$3:$L$102,2,0)</f>
        <v>13043428717.370001</v>
      </c>
      <c r="I99" s="8">
        <f>VLOOKUP(C99,'Input-lag'!temp_8,2,0)</f>
        <v>923852995.29999995</v>
      </c>
      <c r="K99" s="1">
        <f t="shared" si="9"/>
        <v>42036</v>
      </c>
      <c r="L99" s="7">
        <f t="shared" si="10"/>
        <v>0.2567535076899205</v>
      </c>
      <c r="M99" s="7">
        <f t="shared" si="11"/>
        <v>0.19788478331714357</v>
      </c>
      <c r="N99" s="7">
        <f t="shared" si="12"/>
        <v>8.8303551982603826E-2</v>
      </c>
      <c r="O99" s="7">
        <f t="shared" si="13"/>
        <v>0.36242494187136653</v>
      </c>
      <c r="P99" s="7">
        <f t="shared" si="13"/>
        <v>2.5670195726480955E-2</v>
      </c>
    </row>
    <row r="100" spans="3:16">
      <c r="C100" s="1">
        <f>'Input-lag'!H102</f>
        <v>42064</v>
      </c>
      <c r="D100" s="8">
        <f>VLOOKUP(C100,'Input-lag'!H$4:$I$102,2,0)</f>
        <v>35738947030.139999</v>
      </c>
      <c r="E100" s="8">
        <f>VLOOKUP(C100,'Pivot - lag'!$E$4:$F$144,2,0)</f>
        <v>8285514369.2599993</v>
      </c>
      <c r="F100" s="8">
        <f>VLOOKUP(C100,'Pivot - lag'!I99:J241,2,0)</f>
        <v>6088856589.0200005</v>
      </c>
      <c r="G100" s="8">
        <f>VLOOKUP(C100,'Pivot - lag'!L99:M241,2,0)</f>
        <v>2385777676.1799998</v>
      </c>
      <c r="H100" s="8">
        <f>VLOOKUP(C100,'Input-lag'!$K$3:$L$102,2,0)</f>
        <v>14718339614.48</v>
      </c>
      <c r="I100" s="8">
        <f>VLOOKUP(C100,'Input-lag'!temp_8,2,0)</f>
        <v>986969341.98000002</v>
      </c>
      <c r="K100" s="1">
        <f t="shared" si="9"/>
        <v>42064</v>
      </c>
      <c r="L100" s="7">
        <f t="shared" si="10"/>
        <v>0.23183431683850431</v>
      </c>
      <c r="M100" s="7">
        <f t="shared" si="11"/>
        <v>0.17037034090246247</v>
      </c>
      <c r="N100" s="7">
        <f t="shared" si="12"/>
        <v>6.6755679012254723E-2</v>
      </c>
      <c r="O100" s="7">
        <f t="shared" si="13"/>
        <v>0.41182913425142237</v>
      </c>
      <c r="P100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M145"/>
  <sheetViews>
    <sheetView topLeftCell="A98" workbookViewId="0">
      <selection activeCell="Q11" sqref="Q11"/>
    </sheetView>
  </sheetViews>
  <sheetFormatPr defaultRowHeight="15"/>
  <cols>
    <col min="5" max="5" width="13.140625" bestFit="1" customWidth="1"/>
    <col min="6" max="6" width="20.5703125" bestFit="1" customWidth="1"/>
    <col min="9" max="9" width="13.140625" bestFit="1" customWidth="1"/>
    <col min="10" max="10" width="20.5703125" bestFit="1" customWidth="1"/>
    <col min="12" max="12" width="13.140625" bestFit="1" customWidth="1"/>
    <col min="13" max="13" width="19.140625" bestFit="1" customWidth="1"/>
  </cols>
  <sheetData>
    <row r="1" spans="5:13">
      <c r="I1" s="2" t="s">
        <v>3</v>
      </c>
      <c r="J1" t="s">
        <v>59</v>
      </c>
      <c r="L1" s="2" t="s">
        <v>3</v>
      </c>
      <c r="M1" s="5">
        <v>1</v>
      </c>
    </row>
    <row r="2" spans="5:13">
      <c r="E2" t="s">
        <v>58</v>
      </c>
      <c r="I2" t="s">
        <v>60</v>
      </c>
      <c r="L2" t="s">
        <v>61</v>
      </c>
    </row>
    <row r="3" spans="5:13">
      <c r="E3" s="2" t="s">
        <v>54</v>
      </c>
      <c r="F3" t="s">
        <v>56</v>
      </c>
      <c r="I3" s="2" t="s">
        <v>54</v>
      </c>
      <c r="J3" t="s">
        <v>56</v>
      </c>
      <c r="L3" s="2" t="s">
        <v>54</v>
      </c>
      <c r="M3" t="s">
        <v>56</v>
      </c>
    </row>
    <row r="4" spans="5:13">
      <c r="E4" s="3">
        <v>37773</v>
      </c>
      <c r="F4" s="53">
        <v>61215902218.640015</v>
      </c>
      <c r="I4" s="3">
        <v>37773</v>
      </c>
      <c r="J4" s="53">
        <v>54112819776.380005</v>
      </c>
      <c r="L4" s="3">
        <v>37773</v>
      </c>
      <c r="M4" s="53">
        <v>23300241072.73</v>
      </c>
    </row>
    <row r="5" spans="5:13">
      <c r="E5" s="3">
        <v>37803</v>
      </c>
      <c r="F5" s="53">
        <v>64016716934.730003</v>
      </c>
      <c r="I5" s="3">
        <v>37803</v>
      </c>
      <c r="J5" s="53">
        <v>56722677424.159996</v>
      </c>
      <c r="L5" s="3">
        <v>37803</v>
      </c>
      <c r="M5" s="53">
        <v>23865657170.52</v>
      </c>
    </row>
    <row r="6" spans="5:13">
      <c r="E6" s="3">
        <v>37834</v>
      </c>
      <c r="F6" s="53">
        <v>66997282572.650009</v>
      </c>
      <c r="I6" s="3">
        <v>37834</v>
      </c>
      <c r="J6" s="53">
        <v>59512451935.470009</v>
      </c>
      <c r="L6" s="3">
        <v>37834</v>
      </c>
      <c r="M6" s="53">
        <v>25312850976.130001</v>
      </c>
    </row>
    <row r="7" spans="5:13">
      <c r="E7" s="3">
        <v>37865</v>
      </c>
      <c r="F7" s="53">
        <v>60678372576.339996</v>
      </c>
      <c r="I7" s="3">
        <v>37865</v>
      </c>
      <c r="J7" s="53">
        <v>52266410927.489998</v>
      </c>
      <c r="L7" s="3">
        <v>37865</v>
      </c>
      <c r="M7" s="53">
        <v>19826816440.5</v>
      </c>
    </row>
    <row r="8" spans="5:13">
      <c r="E8" s="3">
        <v>37895</v>
      </c>
      <c r="F8" s="53">
        <v>61444386151.590004</v>
      </c>
      <c r="I8" s="3">
        <v>37895</v>
      </c>
      <c r="J8" s="53">
        <v>53038259417.440002</v>
      </c>
      <c r="L8" s="3">
        <v>37895</v>
      </c>
      <c r="M8" s="53">
        <v>23304462130.580002</v>
      </c>
    </row>
    <row r="9" spans="5:13">
      <c r="E9" s="3">
        <v>37926</v>
      </c>
      <c r="F9" s="53">
        <v>39263152049.950005</v>
      </c>
      <c r="I9" s="3">
        <v>37926</v>
      </c>
      <c r="J9" s="53">
        <v>33002499061.889999</v>
      </c>
      <c r="L9" s="3">
        <v>37926</v>
      </c>
      <c r="M9" s="53">
        <v>11162561398.85</v>
      </c>
    </row>
    <row r="10" spans="5:13">
      <c r="E10" s="3">
        <v>37956</v>
      </c>
      <c r="F10" s="53">
        <v>31125405601.130001</v>
      </c>
      <c r="I10" s="3">
        <v>37956</v>
      </c>
      <c r="J10" s="53">
        <v>25645143016.68</v>
      </c>
      <c r="L10" s="3">
        <v>37956</v>
      </c>
      <c r="M10" s="53">
        <v>9589883533.4500008</v>
      </c>
    </row>
    <row r="11" spans="5:13">
      <c r="E11" s="3">
        <v>37987</v>
      </c>
      <c r="F11" s="53">
        <v>29539318476.700005</v>
      </c>
      <c r="I11" s="3">
        <v>37987</v>
      </c>
      <c r="J11" s="53">
        <v>25518281110.160004</v>
      </c>
      <c r="L11" s="3">
        <v>37987</v>
      </c>
      <c r="M11" s="53">
        <v>11409757594.76</v>
      </c>
    </row>
    <row r="12" spans="5:13">
      <c r="E12" s="3">
        <v>38018</v>
      </c>
      <c r="F12" s="53">
        <v>22770411496.769997</v>
      </c>
      <c r="I12" s="3">
        <v>38018</v>
      </c>
      <c r="J12" s="53">
        <v>18735161266.849998</v>
      </c>
      <c r="L12" s="3">
        <v>38018</v>
      </c>
      <c r="M12" s="53">
        <v>9452100315.2600002</v>
      </c>
    </row>
    <row r="13" spans="5:13">
      <c r="E13" s="3">
        <v>38047</v>
      </c>
      <c r="F13" s="53">
        <v>20667768735.43</v>
      </c>
      <c r="I13" s="3">
        <v>38047</v>
      </c>
      <c r="J13" s="53">
        <v>18121763769.68</v>
      </c>
      <c r="L13" s="3">
        <v>38047</v>
      </c>
      <c r="M13" s="53">
        <v>11307603614.940001</v>
      </c>
    </row>
    <row r="14" spans="5:13">
      <c r="E14" s="3">
        <v>38078</v>
      </c>
      <c r="F14" s="53">
        <v>19785378157.639999</v>
      </c>
      <c r="I14" s="3">
        <v>38078</v>
      </c>
      <c r="J14" s="53">
        <v>16571513595</v>
      </c>
      <c r="L14" s="3">
        <v>38078</v>
      </c>
      <c r="M14" s="53">
        <v>11373820582.950001</v>
      </c>
    </row>
    <row r="15" spans="5:13">
      <c r="E15" s="3">
        <v>38108</v>
      </c>
      <c r="F15" s="53">
        <v>28287429852.649998</v>
      </c>
      <c r="I15" s="3">
        <v>38108</v>
      </c>
      <c r="J15" s="53">
        <v>24525176024.059998</v>
      </c>
      <c r="L15" s="3">
        <v>38108</v>
      </c>
      <c r="M15" s="53">
        <v>11452206892.49</v>
      </c>
    </row>
    <row r="16" spans="5:13">
      <c r="E16" s="3">
        <v>38139</v>
      </c>
      <c r="F16" s="53">
        <v>26114815636.919998</v>
      </c>
      <c r="I16" s="3">
        <v>38139</v>
      </c>
      <c r="J16" s="53">
        <v>22210164080.139999</v>
      </c>
      <c r="L16" s="3">
        <v>38139</v>
      </c>
      <c r="M16" s="53">
        <v>10261824878.860001</v>
      </c>
    </row>
    <row r="17" spans="5:13">
      <c r="E17" s="3">
        <v>38169</v>
      </c>
      <c r="F17" s="53">
        <v>24064429093.420002</v>
      </c>
      <c r="I17" s="3">
        <v>38169</v>
      </c>
      <c r="J17" s="53">
        <v>19997286507.25</v>
      </c>
      <c r="L17" s="3">
        <v>38169</v>
      </c>
      <c r="M17" s="53">
        <v>9249527769.5100002</v>
      </c>
    </row>
    <row r="18" spans="5:13">
      <c r="E18" s="3">
        <v>38200</v>
      </c>
      <c r="F18" s="53">
        <v>19197591848.040001</v>
      </c>
      <c r="I18" s="3">
        <v>38200</v>
      </c>
      <c r="J18" s="53">
        <v>16046105096.290001</v>
      </c>
      <c r="L18" s="3">
        <v>38200</v>
      </c>
      <c r="M18" s="53">
        <v>7770091037.8599997</v>
      </c>
    </row>
    <row r="19" spans="5:13">
      <c r="E19" s="3">
        <v>38231</v>
      </c>
      <c r="F19" s="53">
        <v>16019978970.980001</v>
      </c>
      <c r="I19" s="3">
        <v>38231</v>
      </c>
      <c r="J19" s="53">
        <v>13480977137.32</v>
      </c>
      <c r="L19" s="3">
        <v>38231</v>
      </c>
      <c r="M19" s="53">
        <v>8096770488.9700003</v>
      </c>
    </row>
    <row r="20" spans="5:13">
      <c r="E20" s="3">
        <v>38261</v>
      </c>
      <c r="F20" s="53">
        <v>16564051545.43</v>
      </c>
      <c r="I20" s="3">
        <v>38261</v>
      </c>
      <c r="J20" s="53">
        <v>13675847296.390001</v>
      </c>
      <c r="L20" s="3">
        <v>38261</v>
      </c>
      <c r="M20" s="53">
        <v>7344628182.6999998</v>
      </c>
    </row>
    <row r="21" spans="5:13">
      <c r="E21" s="3">
        <v>38292</v>
      </c>
      <c r="F21" s="53">
        <v>14506974074.710001</v>
      </c>
      <c r="I21" s="3">
        <v>38292</v>
      </c>
      <c r="J21" s="53">
        <v>12156453357.210001</v>
      </c>
      <c r="L21" s="3">
        <v>38292</v>
      </c>
      <c r="M21" s="53">
        <v>6206174286.2700005</v>
      </c>
    </row>
    <row r="22" spans="5:13">
      <c r="E22" s="3">
        <v>38322</v>
      </c>
      <c r="F22" s="53">
        <v>13858682523.450001</v>
      </c>
      <c r="I22" s="3">
        <v>38322</v>
      </c>
      <c r="J22" s="53">
        <v>11346410373.710001</v>
      </c>
      <c r="L22" s="3">
        <v>38322</v>
      </c>
      <c r="M22" s="53">
        <v>5221389376.7700005</v>
      </c>
    </row>
    <row r="23" spans="5:13">
      <c r="E23" s="3">
        <v>38353</v>
      </c>
      <c r="F23" s="53">
        <v>15446878746.890001</v>
      </c>
      <c r="I23" s="3">
        <v>38353</v>
      </c>
      <c r="J23" s="53">
        <v>12901623162.790001</v>
      </c>
      <c r="L23" s="3">
        <v>38353</v>
      </c>
      <c r="M23" s="53">
        <v>6335052438.8400002</v>
      </c>
    </row>
    <row r="24" spans="5:13">
      <c r="E24" s="3">
        <v>38384</v>
      </c>
      <c r="F24" s="53">
        <v>15558212525.769999</v>
      </c>
      <c r="I24" s="3">
        <v>38384</v>
      </c>
      <c r="J24" s="53">
        <v>12643376641.039999</v>
      </c>
      <c r="L24" s="3">
        <v>38384</v>
      </c>
      <c r="M24" s="53">
        <v>4899040406.6099997</v>
      </c>
    </row>
    <row r="25" spans="5:13">
      <c r="E25" s="3">
        <v>38412</v>
      </c>
      <c r="F25" s="53">
        <v>12580845349.449999</v>
      </c>
      <c r="I25" s="3">
        <v>38412</v>
      </c>
      <c r="J25" s="53">
        <v>10197309793.23</v>
      </c>
      <c r="L25" s="3">
        <v>38412</v>
      </c>
      <c r="M25" s="53">
        <v>4257395851.2199998</v>
      </c>
    </row>
    <row r="26" spans="5:13">
      <c r="E26" s="3">
        <v>38443</v>
      </c>
      <c r="F26" s="53">
        <v>13730827820.610003</v>
      </c>
      <c r="I26" s="3">
        <v>38443</v>
      </c>
      <c r="J26" s="53">
        <v>11219686164.300001</v>
      </c>
      <c r="L26" s="3">
        <v>38443</v>
      </c>
      <c r="M26" s="53">
        <v>4545288580.9300003</v>
      </c>
    </row>
    <row r="27" spans="5:13">
      <c r="E27" s="3">
        <v>38473</v>
      </c>
      <c r="F27" s="53">
        <v>14713171382.869999</v>
      </c>
      <c r="I27" s="3">
        <v>38473</v>
      </c>
      <c r="J27" s="53">
        <v>12182670753.069998</v>
      </c>
      <c r="L27" s="3">
        <v>38473</v>
      </c>
      <c r="M27" s="53">
        <v>5978111138.7600002</v>
      </c>
    </row>
    <row r="28" spans="5:13">
      <c r="E28" s="3">
        <v>38504</v>
      </c>
      <c r="F28" s="53">
        <v>14644622451.489998</v>
      </c>
      <c r="I28" s="3">
        <v>38504</v>
      </c>
      <c r="J28" s="53">
        <v>11466031617.909998</v>
      </c>
      <c r="L28" s="3">
        <v>38504</v>
      </c>
      <c r="M28" s="53">
        <v>6496219206.3999996</v>
      </c>
    </row>
    <row r="29" spans="5:13">
      <c r="E29" s="3">
        <v>38534</v>
      </c>
      <c r="F29" s="53">
        <v>14836701594.940002</v>
      </c>
      <c r="I29" s="3">
        <v>38534</v>
      </c>
      <c r="J29" s="53">
        <v>11794685922.800001</v>
      </c>
      <c r="L29" s="3">
        <v>38534</v>
      </c>
      <c r="M29" s="53">
        <v>6969425037.3100004</v>
      </c>
    </row>
    <row r="30" spans="5:13">
      <c r="E30" s="3">
        <v>38565</v>
      </c>
      <c r="F30" s="53">
        <v>19180090777.090004</v>
      </c>
      <c r="I30" s="3">
        <v>38565</v>
      </c>
      <c r="J30" s="53">
        <v>15789665703.299999</v>
      </c>
      <c r="L30" s="3">
        <v>38565</v>
      </c>
      <c r="M30" s="53">
        <v>10109655227.870001</v>
      </c>
    </row>
    <row r="31" spans="5:13">
      <c r="E31" s="3">
        <v>38596</v>
      </c>
      <c r="F31" s="53">
        <v>21135035782.970005</v>
      </c>
      <c r="I31" s="3">
        <v>38596</v>
      </c>
      <c r="J31" s="53">
        <v>17170960257.350002</v>
      </c>
      <c r="L31" s="3">
        <v>38596</v>
      </c>
      <c r="M31" s="53">
        <v>10660200646.540001</v>
      </c>
    </row>
    <row r="32" spans="5:13">
      <c r="E32" s="3">
        <v>38626</v>
      </c>
      <c r="F32" s="53">
        <v>23479592941.030003</v>
      </c>
      <c r="I32" s="3">
        <v>38626</v>
      </c>
      <c r="J32" s="53">
        <v>18863343465.080002</v>
      </c>
      <c r="L32" s="3">
        <v>38626</v>
      </c>
      <c r="M32" s="53">
        <v>11843596722.15</v>
      </c>
    </row>
    <row r="33" spans="5:13">
      <c r="E33" s="3">
        <v>38657</v>
      </c>
      <c r="F33" s="53">
        <v>19028581232.100002</v>
      </c>
      <c r="I33" s="3">
        <v>38657</v>
      </c>
      <c r="J33" s="53">
        <v>16246903151.190001</v>
      </c>
      <c r="L33" s="3">
        <v>38657</v>
      </c>
      <c r="M33" s="53">
        <v>10651056537.49</v>
      </c>
    </row>
    <row r="34" spans="5:13">
      <c r="E34" s="3">
        <v>38687</v>
      </c>
      <c r="F34" s="53">
        <v>4855360685.6700001</v>
      </c>
      <c r="I34" s="3">
        <v>38687</v>
      </c>
      <c r="J34" s="53">
        <v>4086469337.3099999</v>
      </c>
      <c r="L34" s="3">
        <v>38687</v>
      </c>
      <c r="M34" s="53">
        <v>2070651256.24</v>
      </c>
    </row>
    <row r="35" spans="5:13">
      <c r="E35" s="3">
        <v>38718</v>
      </c>
      <c r="F35" s="53">
        <v>15947462094.260002</v>
      </c>
      <c r="I35" s="3">
        <v>38718</v>
      </c>
      <c r="J35" s="53">
        <v>13003936488.780001</v>
      </c>
      <c r="L35" s="3">
        <v>38718</v>
      </c>
      <c r="M35" s="53">
        <v>8758732482.6900005</v>
      </c>
    </row>
    <row r="36" spans="5:13">
      <c r="E36" s="3">
        <v>38749</v>
      </c>
      <c r="F36" s="53">
        <v>18021292593.770004</v>
      </c>
      <c r="I36" s="3">
        <v>38749</v>
      </c>
      <c r="J36" s="53">
        <v>15086904141.400002</v>
      </c>
      <c r="L36" s="3">
        <v>38749</v>
      </c>
      <c r="M36" s="53">
        <v>9032989047.8700008</v>
      </c>
    </row>
    <row r="37" spans="5:13">
      <c r="E37" s="3">
        <v>38777</v>
      </c>
      <c r="F37" s="53">
        <v>15301814925.780001</v>
      </c>
      <c r="I37" s="3">
        <v>38777</v>
      </c>
      <c r="J37" s="53">
        <v>11830633120.469999</v>
      </c>
      <c r="L37" s="3">
        <v>38777</v>
      </c>
      <c r="M37" s="53">
        <v>5495137439.1999998</v>
      </c>
    </row>
    <row r="38" spans="5:13">
      <c r="E38" s="3">
        <v>38808</v>
      </c>
      <c r="F38" s="53">
        <v>17025982268.269999</v>
      </c>
      <c r="I38" s="3">
        <v>38808</v>
      </c>
      <c r="J38" s="53">
        <v>13528228653.65</v>
      </c>
      <c r="L38" s="3">
        <v>38808</v>
      </c>
      <c r="M38" s="53">
        <v>7674012077.6199999</v>
      </c>
    </row>
    <row r="39" spans="5:13">
      <c r="E39" s="3">
        <v>38838</v>
      </c>
      <c r="F39" s="53">
        <v>18373187778.120003</v>
      </c>
      <c r="I39" s="3">
        <v>38838</v>
      </c>
      <c r="J39" s="53">
        <v>14437659310.23</v>
      </c>
      <c r="L39" s="3">
        <v>38838</v>
      </c>
      <c r="M39" s="53">
        <v>8585208581.6700001</v>
      </c>
    </row>
    <row r="40" spans="5:13">
      <c r="E40" s="3">
        <v>38869</v>
      </c>
      <c r="F40" s="53">
        <v>16979072439.219999</v>
      </c>
      <c r="I40" s="3">
        <v>38869</v>
      </c>
      <c r="J40" s="53">
        <v>13086188710.440001</v>
      </c>
      <c r="L40" s="3">
        <v>38869</v>
      </c>
      <c r="M40" s="53">
        <v>5813663933.3800001</v>
      </c>
    </row>
    <row r="41" spans="5:13">
      <c r="E41" s="3">
        <v>38899</v>
      </c>
      <c r="F41" s="53">
        <v>18210091589.160004</v>
      </c>
      <c r="I41" s="3">
        <v>38899</v>
      </c>
      <c r="J41" s="53">
        <v>15090295818.040001</v>
      </c>
      <c r="L41" s="3">
        <v>38899</v>
      </c>
      <c r="M41" s="53">
        <v>8021599510.5100002</v>
      </c>
    </row>
    <row r="42" spans="5:13">
      <c r="E42" s="3">
        <v>38930</v>
      </c>
      <c r="F42" s="53">
        <v>16143844477.790003</v>
      </c>
      <c r="I42" s="3">
        <v>38930</v>
      </c>
      <c r="J42" s="53">
        <v>12930066989.630001</v>
      </c>
      <c r="L42" s="3">
        <v>38930</v>
      </c>
      <c r="M42" s="53">
        <v>7482650729.9300003</v>
      </c>
    </row>
    <row r="43" spans="5:13">
      <c r="E43" s="3">
        <v>39022</v>
      </c>
      <c r="F43" s="53">
        <v>20527788119.809998</v>
      </c>
      <c r="I43" s="3">
        <v>39022</v>
      </c>
      <c r="J43" s="53">
        <v>17371824046.799999</v>
      </c>
      <c r="L43" s="3">
        <v>39022</v>
      </c>
      <c r="M43" s="53">
        <v>11793300856.860001</v>
      </c>
    </row>
    <row r="44" spans="5:13">
      <c r="E44" s="3">
        <v>39052</v>
      </c>
      <c r="F44" s="53">
        <v>19061087993.899998</v>
      </c>
      <c r="I44" s="3">
        <v>39052</v>
      </c>
      <c r="J44" s="53">
        <v>16181530543.339998</v>
      </c>
      <c r="L44" s="3">
        <v>39052</v>
      </c>
      <c r="M44" s="53">
        <v>10270535420.92</v>
      </c>
    </row>
    <row r="45" spans="5:13">
      <c r="E45" s="3">
        <v>39083</v>
      </c>
      <c r="F45" s="53">
        <v>22005390819.379997</v>
      </c>
      <c r="I45" s="3">
        <v>39083</v>
      </c>
      <c r="J45" s="53">
        <v>18394890812.089996</v>
      </c>
      <c r="L45" s="3">
        <v>39083</v>
      </c>
      <c r="M45" s="53">
        <v>11681700587.98</v>
      </c>
    </row>
    <row r="46" spans="5:13">
      <c r="E46" s="3">
        <v>39114</v>
      </c>
      <c r="F46" s="53">
        <v>24390037801.610001</v>
      </c>
      <c r="I46" s="3">
        <v>39114</v>
      </c>
      <c r="J46" s="53">
        <v>21144777769</v>
      </c>
      <c r="L46" s="3">
        <v>39114</v>
      </c>
      <c r="M46" s="53">
        <v>14601314801.620001</v>
      </c>
    </row>
    <row r="47" spans="5:13">
      <c r="E47" s="3">
        <v>39142</v>
      </c>
      <c r="F47" s="53">
        <v>19953152614.189999</v>
      </c>
      <c r="I47" s="3">
        <v>39142</v>
      </c>
      <c r="J47" s="53">
        <v>16245709059.530001</v>
      </c>
      <c r="L47" s="3">
        <v>39142</v>
      </c>
      <c r="M47" s="53">
        <v>9206220291.1299992</v>
      </c>
    </row>
    <row r="48" spans="5:13">
      <c r="E48" s="3">
        <v>39173</v>
      </c>
      <c r="F48" s="53">
        <v>23546878007.560005</v>
      </c>
      <c r="I48" s="3">
        <v>39173</v>
      </c>
      <c r="J48" s="53">
        <v>20048597625.550003</v>
      </c>
      <c r="L48" s="3">
        <v>39173</v>
      </c>
      <c r="M48" s="53">
        <v>12829856145.469999</v>
      </c>
    </row>
    <row r="49" spans="5:13">
      <c r="E49" s="3">
        <v>39203</v>
      </c>
      <c r="F49" s="53">
        <v>24005656754.129997</v>
      </c>
      <c r="I49" s="3">
        <v>39203</v>
      </c>
      <c r="J49" s="53">
        <v>20119541224.099998</v>
      </c>
      <c r="L49" s="3">
        <v>39203</v>
      </c>
      <c r="M49" s="53">
        <v>14193408528.25</v>
      </c>
    </row>
    <row r="50" spans="5:13">
      <c r="E50" s="3">
        <v>39234</v>
      </c>
      <c r="F50" s="53">
        <v>28821596097.220001</v>
      </c>
      <c r="I50" s="3">
        <v>39234</v>
      </c>
      <c r="J50" s="53">
        <v>23334382277.509998</v>
      </c>
      <c r="L50" s="3">
        <v>39234</v>
      </c>
      <c r="M50" s="53">
        <v>14703375942.889999</v>
      </c>
    </row>
    <row r="51" spans="5:13">
      <c r="E51" s="3">
        <v>39264</v>
      </c>
      <c r="F51" s="53">
        <v>30237910353.380005</v>
      </c>
      <c r="I51" s="3">
        <v>39264</v>
      </c>
      <c r="J51" s="53">
        <v>25029740136.720001</v>
      </c>
      <c r="L51" s="3">
        <v>39264</v>
      </c>
      <c r="M51" s="53">
        <v>17142662362.059999</v>
      </c>
    </row>
    <row r="52" spans="5:13">
      <c r="E52" s="3">
        <v>39295</v>
      </c>
      <c r="F52" s="53">
        <v>29936229989.770004</v>
      </c>
      <c r="I52" s="3">
        <v>39295</v>
      </c>
      <c r="J52" s="53">
        <v>23483119545.73</v>
      </c>
      <c r="L52" s="3">
        <v>39295</v>
      </c>
      <c r="M52" s="53">
        <v>14698388639.51</v>
      </c>
    </row>
    <row r="53" spans="5:13">
      <c r="E53" s="3">
        <v>39326</v>
      </c>
      <c r="F53" s="53">
        <v>24063220176.149998</v>
      </c>
      <c r="I53" s="3">
        <v>39326</v>
      </c>
      <c r="J53" s="53">
        <v>19331781875.389999</v>
      </c>
      <c r="L53" s="3">
        <v>39326</v>
      </c>
      <c r="M53" s="53">
        <v>10643238075.370001</v>
      </c>
    </row>
    <row r="54" spans="5:13">
      <c r="E54" s="3">
        <v>39356</v>
      </c>
      <c r="F54" s="53">
        <v>27225203135.370003</v>
      </c>
      <c r="I54" s="3">
        <v>39356</v>
      </c>
      <c r="J54" s="53">
        <v>19740910094.049999</v>
      </c>
      <c r="L54" s="3">
        <v>39356</v>
      </c>
      <c r="M54" s="53">
        <v>12406881529.92</v>
      </c>
    </row>
    <row r="55" spans="5:13">
      <c r="E55" s="3">
        <v>39387</v>
      </c>
      <c r="F55" s="53">
        <v>26358511500.539997</v>
      </c>
      <c r="I55" s="3">
        <v>39387</v>
      </c>
      <c r="J55" s="53">
        <v>20565243361.380001</v>
      </c>
      <c r="L55" s="3">
        <v>39387</v>
      </c>
      <c r="M55" s="53">
        <v>11532643036.76</v>
      </c>
    </row>
    <row r="56" spans="5:13">
      <c r="E56" s="3">
        <v>39417</v>
      </c>
      <c r="F56" s="53">
        <v>24049328432.510002</v>
      </c>
      <c r="I56" s="3">
        <v>39417</v>
      </c>
      <c r="J56" s="53">
        <v>18513922693.950001</v>
      </c>
      <c r="L56" s="3">
        <v>39417</v>
      </c>
      <c r="M56" s="53">
        <v>8830293939.6599998</v>
      </c>
    </row>
    <row r="57" spans="5:13">
      <c r="E57" s="3">
        <v>39448</v>
      </c>
      <c r="F57" s="53">
        <v>34021754168.699993</v>
      </c>
      <c r="I57" s="3">
        <v>39448</v>
      </c>
      <c r="J57" s="53">
        <v>27276578750.459999</v>
      </c>
      <c r="L57" s="3">
        <v>39448</v>
      </c>
      <c r="M57" s="53">
        <v>16764636099.889999</v>
      </c>
    </row>
    <row r="58" spans="5:13">
      <c r="E58" s="3">
        <v>39479</v>
      </c>
      <c r="F58" s="53">
        <v>25450724850.16</v>
      </c>
      <c r="I58" s="3">
        <v>39479</v>
      </c>
      <c r="J58" s="53">
        <v>21258162622.960003</v>
      </c>
      <c r="L58" s="3">
        <v>39479</v>
      </c>
      <c r="M58" s="53">
        <v>12621973781.870001</v>
      </c>
    </row>
    <row r="59" spans="5:13">
      <c r="E59" s="3">
        <v>39508</v>
      </c>
      <c r="F59" s="53">
        <v>33681296401.139999</v>
      </c>
      <c r="I59" s="3">
        <v>39508</v>
      </c>
      <c r="J59" s="53">
        <v>28463532828.130001</v>
      </c>
      <c r="L59" s="3">
        <v>39508</v>
      </c>
      <c r="M59" s="53">
        <v>15666973862.35</v>
      </c>
    </row>
    <row r="60" spans="5:13">
      <c r="E60" s="3">
        <v>39539</v>
      </c>
      <c r="F60" s="53">
        <v>21147704415.139999</v>
      </c>
      <c r="I60" s="3">
        <v>39539</v>
      </c>
      <c r="J60" s="53">
        <v>17460753390.959999</v>
      </c>
      <c r="L60" s="3">
        <v>39539</v>
      </c>
      <c r="M60" s="53">
        <v>9604764183.2199993</v>
      </c>
    </row>
    <row r="61" spans="5:13">
      <c r="E61" s="3">
        <v>39569</v>
      </c>
      <c r="F61" s="53">
        <v>23997953224.269997</v>
      </c>
      <c r="I61" s="3">
        <v>39569</v>
      </c>
      <c r="J61" s="53">
        <v>20957564016.290001</v>
      </c>
      <c r="L61" s="3">
        <v>39569</v>
      </c>
      <c r="M61" s="53">
        <v>11260841584.469999</v>
      </c>
    </row>
    <row r="62" spans="5:13">
      <c r="E62" s="3">
        <v>39600</v>
      </c>
      <c r="F62" s="53">
        <v>25522480419.200001</v>
      </c>
      <c r="I62" s="3">
        <v>39600</v>
      </c>
      <c r="J62" s="53">
        <v>21632476144.400002</v>
      </c>
      <c r="L62" s="3">
        <v>39600</v>
      </c>
      <c r="M62" s="53">
        <v>11100913368.030001</v>
      </c>
    </row>
    <row r="63" spans="5:13">
      <c r="E63" s="3">
        <v>39630</v>
      </c>
      <c r="F63" s="53">
        <v>14700079946.939999</v>
      </c>
      <c r="I63" s="3">
        <v>39630</v>
      </c>
      <c r="J63" s="53">
        <v>11673692707.009998</v>
      </c>
      <c r="L63" s="3">
        <v>39630</v>
      </c>
      <c r="M63" s="53">
        <v>5626585790.7399998</v>
      </c>
    </row>
    <row r="64" spans="5:13">
      <c r="E64" s="3">
        <v>39661</v>
      </c>
      <c r="F64" s="53">
        <v>13366886629.699999</v>
      </c>
      <c r="I64" s="3">
        <v>39661</v>
      </c>
      <c r="J64" s="53">
        <v>10350628746.73</v>
      </c>
      <c r="L64" s="3">
        <v>39661</v>
      </c>
      <c r="M64" s="53">
        <v>5186273977.5699997</v>
      </c>
    </row>
    <row r="65" spans="5:13">
      <c r="E65" s="3">
        <v>39692</v>
      </c>
      <c r="F65" s="53">
        <v>9952524903.1999989</v>
      </c>
      <c r="I65" s="3">
        <v>39692</v>
      </c>
      <c r="J65" s="53">
        <v>7953039985.5299997</v>
      </c>
      <c r="L65" s="3">
        <v>39692</v>
      </c>
      <c r="M65" s="53">
        <v>3597810473.3000002</v>
      </c>
    </row>
    <row r="66" spans="5:13">
      <c r="E66" s="3">
        <v>39722</v>
      </c>
      <c r="F66" s="53">
        <v>9807098119.539999</v>
      </c>
      <c r="I66" s="3">
        <v>39722</v>
      </c>
      <c r="J66" s="53">
        <v>7956950339.1900005</v>
      </c>
      <c r="L66" s="3">
        <v>39722</v>
      </c>
      <c r="M66" s="53">
        <v>3209041996.9899998</v>
      </c>
    </row>
    <row r="67" spans="5:13">
      <c r="E67" s="3">
        <v>39753</v>
      </c>
      <c r="F67" s="53">
        <v>11195347659.550001</v>
      </c>
      <c r="I67" s="3">
        <v>39753</v>
      </c>
      <c r="J67" s="53">
        <v>9317543726.3699989</v>
      </c>
      <c r="L67" s="3">
        <v>39753</v>
      </c>
      <c r="M67" s="53">
        <v>3683826115.2199998</v>
      </c>
    </row>
    <row r="68" spans="5:13">
      <c r="E68" s="3">
        <v>39783</v>
      </c>
      <c r="F68" s="53">
        <v>7328279626.000001</v>
      </c>
      <c r="I68" s="3">
        <v>39783</v>
      </c>
      <c r="J68" s="53">
        <v>5685169215.3000002</v>
      </c>
      <c r="L68" s="3">
        <v>39783</v>
      </c>
      <c r="M68" s="53">
        <v>2158341504.3499999</v>
      </c>
    </row>
    <row r="69" spans="5:13">
      <c r="E69" s="3">
        <v>39814</v>
      </c>
      <c r="F69" s="53">
        <v>13738092032.040001</v>
      </c>
      <c r="I69" s="3">
        <v>39814</v>
      </c>
      <c r="J69" s="53">
        <v>9931326516.3299999</v>
      </c>
      <c r="L69" s="3">
        <v>39814</v>
      </c>
      <c r="M69" s="53">
        <v>2969647031.0900002</v>
      </c>
    </row>
    <row r="70" spans="5:13">
      <c r="E70" s="3">
        <v>39845</v>
      </c>
      <c r="F70" s="53">
        <v>7927790496.3399982</v>
      </c>
      <c r="I70" s="3">
        <v>39845</v>
      </c>
      <c r="J70" s="53">
        <v>5774138390.8099995</v>
      </c>
      <c r="L70" s="3">
        <v>39845</v>
      </c>
      <c r="M70" s="53">
        <v>3317104858.1599998</v>
      </c>
    </row>
    <row r="71" spans="5:13">
      <c r="E71" s="3">
        <v>39873</v>
      </c>
      <c r="F71" s="53">
        <v>9514431950.8000011</v>
      </c>
      <c r="I71" s="3">
        <v>39873</v>
      </c>
      <c r="J71" s="53">
        <v>6841953982.4899998</v>
      </c>
      <c r="L71" s="3">
        <v>39873</v>
      </c>
      <c r="M71" s="53">
        <v>2229672563.8899999</v>
      </c>
    </row>
    <row r="72" spans="5:13">
      <c r="E72" s="3">
        <v>39904</v>
      </c>
      <c r="F72" s="53">
        <v>15341231965.27</v>
      </c>
      <c r="I72" s="3">
        <v>39904</v>
      </c>
      <c r="J72" s="53">
        <v>11152352862.92</v>
      </c>
      <c r="L72" s="3">
        <v>39904</v>
      </c>
      <c r="M72" s="53">
        <v>3407769717.4299998</v>
      </c>
    </row>
    <row r="73" spans="5:13">
      <c r="E73" s="3">
        <v>39934</v>
      </c>
      <c r="F73" s="53">
        <v>11909663121.58</v>
      </c>
      <c r="I73" s="3">
        <v>39934</v>
      </c>
      <c r="J73" s="53">
        <v>9327202731.6400013</v>
      </c>
      <c r="L73" s="3">
        <v>39934</v>
      </c>
      <c r="M73" s="53">
        <v>2815227706.5700002</v>
      </c>
    </row>
    <row r="74" spans="5:13">
      <c r="E74" s="3">
        <v>39965</v>
      </c>
      <c r="F74" s="53">
        <v>12004432621.049999</v>
      </c>
      <c r="I74" s="3">
        <v>39965</v>
      </c>
      <c r="J74" s="53">
        <v>8712160315.1199989</v>
      </c>
      <c r="L74" s="3">
        <v>39965</v>
      </c>
      <c r="M74" s="53">
        <v>2989564840.3499999</v>
      </c>
    </row>
    <row r="75" spans="5:13">
      <c r="E75" s="3">
        <v>39995</v>
      </c>
      <c r="F75" s="53">
        <v>14726756293.529999</v>
      </c>
      <c r="I75" s="3">
        <v>39995</v>
      </c>
      <c r="J75" s="53">
        <v>11417667709.299999</v>
      </c>
      <c r="L75" s="3">
        <v>39995</v>
      </c>
      <c r="M75" s="53">
        <v>3693076130.73</v>
      </c>
    </row>
    <row r="76" spans="5:13">
      <c r="E76" s="3">
        <v>40026</v>
      </c>
      <c r="F76" s="53">
        <v>14334239995.679998</v>
      </c>
      <c r="I76" s="3">
        <v>40026</v>
      </c>
      <c r="J76" s="53">
        <v>11292690345.33</v>
      </c>
      <c r="L76" s="3">
        <v>40026</v>
      </c>
      <c r="M76" s="53">
        <v>4882309364.7299995</v>
      </c>
    </row>
    <row r="77" spans="5:13">
      <c r="E77" s="3">
        <v>40057</v>
      </c>
      <c r="F77" s="53">
        <v>8428907060.6899996</v>
      </c>
      <c r="I77" s="3">
        <v>40057</v>
      </c>
      <c r="J77" s="53">
        <v>6426995490.3899994</v>
      </c>
      <c r="L77" s="3">
        <v>40057</v>
      </c>
      <c r="M77" s="53">
        <v>1858141620.6099999</v>
      </c>
    </row>
    <row r="78" spans="5:13">
      <c r="E78" s="3">
        <v>40087</v>
      </c>
      <c r="F78" s="53">
        <v>6404692738.1400013</v>
      </c>
      <c r="I78" s="3">
        <v>40087</v>
      </c>
      <c r="J78" s="53">
        <v>4799569384.6999998</v>
      </c>
      <c r="L78" s="3">
        <v>40087</v>
      </c>
      <c r="M78" s="53">
        <v>1620000882.77</v>
      </c>
    </row>
    <row r="79" spans="5:13">
      <c r="E79" s="3">
        <v>40118</v>
      </c>
      <c r="F79" s="53">
        <v>6160577899.3200006</v>
      </c>
      <c r="I79" s="3">
        <v>40118</v>
      </c>
      <c r="J79" s="53">
        <v>4966938610.75</v>
      </c>
      <c r="L79" s="3">
        <v>40118</v>
      </c>
      <c r="M79" s="53">
        <v>1785454973.51</v>
      </c>
    </row>
    <row r="80" spans="5:13">
      <c r="E80" s="3">
        <v>40148</v>
      </c>
      <c r="F80" s="53">
        <v>7230556956.3800001</v>
      </c>
      <c r="I80" s="3">
        <v>40148</v>
      </c>
      <c r="J80" s="53">
        <v>5692472765.5499992</v>
      </c>
      <c r="L80" s="3">
        <v>40148</v>
      </c>
      <c r="M80" s="53">
        <v>1884115395.5999999</v>
      </c>
    </row>
    <row r="81" spans="5:13">
      <c r="E81" s="3">
        <v>40179</v>
      </c>
      <c r="F81" s="53">
        <v>7797028090.750001</v>
      </c>
      <c r="I81" s="3">
        <v>40179</v>
      </c>
      <c r="J81" s="53">
        <v>6194380368.7000008</v>
      </c>
      <c r="L81" s="3">
        <v>40179</v>
      </c>
      <c r="M81" s="53">
        <v>1770204493.27</v>
      </c>
    </row>
    <row r="82" spans="5:13">
      <c r="E82" s="3">
        <v>40210</v>
      </c>
      <c r="F82" s="53">
        <v>6238011314.2699995</v>
      </c>
      <c r="I82" s="3">
        <v>40210</v>
      </c>
      <c r="J82" s="53">
        <v>4823189023.5499992</v>
      </c>
      <c r="L82" s="3">
        <v>40210</v>
      </c>
      <c r="M82" s="53">
        <v>1937402814.29</v>
      </c>
    </row>
    <row r="83" spans="5:13">
      <c r="E83" s="3">
        <v>40238</v>
      </c>
      <c r="F83" s="53">
        <v>6004088480.1500006</v>
      </c>
      <c r="I83" s="3">
        <v>40238</v>
      </c>
      <c r="J83" s="53">
        <v>4618025500.75</v>
      </c>
      <c r="L83" s="3">
        <v>40238</v>
      </c>
      <c r="M83" s="53">
        <v>2201280079.0100002</v>
      </c>
    </row>
    <row r="84" spans="5:13">
      <c r="E84" s="3">
        <v>40269</v>
      </c>
      <c r="F84" s="53">
        <v>4154879680.1599998</v>
      </c>
      <c r="I84" s="3">
        <v>40269</v>
      </c>
      <c r="J84" s="53">
        <v>3042199641.9899998</v>
      </c>
      <c r="L84" s="3">
        <v>40269</v>
      </c>
      <c r="M84" s="53">
        <v>1001151097.79</v>
      </c>
    </row>
    <row r="85" spans="5:13">
      <c r="E85" s="3">
        <v>40299</v>
      </c>
      <c r="F85" s="53">
        <v>5051886995.9699993</v>
      </c>
      <c r="I85" s="3">
        <v>40299</v>
      </c>
      <c r="J85" s="53">
        <v>3805994412.5200005</v>
      </c>
      <c r="L85" s="3">
        <v>40299</v>
      </c>
      <c r="M85" s="53">
        <v>1373292642.55</v>
      </c>
    </row>
    <row r="86" spans="5:13">
      <c r="E86" s="3">
        <v>40330</v>
      </c>
      <c r="F86" s="53">
        <v>5285691952.5100002</v>
      </c>
      <c r="I86" s="3">
        <v>40330</v>
      </c>
      <c r="J86" s="53">
        <v>4219975635.0900002</v>
      </c>
      <c r="L86" s="3">
        <v>40330</v>
      </c>
      <c r="M86" s="53">
        <v>1375076321.3399999</v>
      </c>
    </row>
    <row r="87" spans="5:13">
      <c r="E87" s="3">
        <v>40360</v>
      </c>
      <c r="F87" s="53">
        <v>5866095487.9900017</v>
      </c>
      <c r="I87" s="3">
        <v>40360</v>
      </c>
      <c r="J87" s="53">
        <v>4805370506.46</v>
      </c>
      <c r="L87" s="3">
        <v>40360</v>
      </c>
      <c r="M87" s="53">
        <v>1866229299.05</v>
      </c>
    </row>
    <row r="88" spans="5:13">
      <c r="E88" s="3">
        <v>40391</v>
      </c>
      <c r="F88" s="53">
        <v>6361823466.4899998</v>
      </c>
      <c r="I88" s="3">
        <v>40391</v>
      </c>
      <c r="J88" s="53">
        <v>5185918822.6800003</v>
      </c>
      <c r="L88" s="3">
        <v>40391</v>
      </c>
      <c r="M88" s="53">
        <v>2503047050.4899998</v>
      </c>
    </row>
    <row r="89" spans="5:13">
      <c r="E89" s="3">
        <v>40422</v>
      </c>
      <c r="F89" s="53">
        <v>8968001330.2399998</v>
      </c>
      <c r="I89" s="3">
        <v>40422</v>
      </c>
      <c r="J89" s="53">
        <v>7070073918.9099998</v>
      </c>
      <c r="L89" s="3">
        <v>40422</v>
      </c>
      <c r="M89" s="53">
        <v>2676228021.5100002</v>
      </c>
    </row>
    <row r="90" spans="5:13">
      <c r="E90" s="3">
        <v>40452</v>
      </c>
      <c r="F90" s="53">
        <v>12073275010.889999</v>
      </c>
      <c r="I90" s="3">
        <v>40452</v>
      </c>
      <c r="J90" s="53">
        <v>9504753868.2799988</v>
      </c>
      <c r="L90" s="3">
        <v>40452</v>
      </c>
      <c r="M90" s="53">
        <v>3628017416.1300001</v>
      </c>
    </row>
    <row r="91" spans="5:13">
      <c r="E91" s="3">
        <v>40483</v>
      </c>
      <c r="F91" s="53">
        <v>13373670738.929998</v>
      </c>
      <c r="I91" s="3">
        <v>40483</v>
      </c>
      <c r="J91" s="53">
        <v>10341295477.15</v>
      </c>
      <c r="L91" s="3">
        <v>40483</v>
      </c>
      <c r="M91" s="53">
        <v>4793824904.6700001</v>
      </c>
    </row>
    <row r="92" spans="5:13">
      <c r="E92" s="3">
        <v>40513</v>
      </c>
      <c r="F92" s="53">
        <v>15226986609.73</v>
      </c>
      <c r="I92" s="3">
        <v>40513</v>
      </c>
      <c r="J92" s="53">
        <v>11762195431.5</v>
      </c>
      <c r="L92" s="3">
        <v>40513</v>
      </c>
      <c r="M92" s="53">
        <v>4603146722.4499998</v>
      </c>
    </row>
    <row r="93" spans="5:13">
      <c r="E93" s="3">
        <v>40544</v>
      </c>
      <c r="F93" s="53">
        <v>12127537208.439999</v>
      </c>
      <c r="I93" s="3">
        <v>40544</v>
      </c>
      <c r="J93" s="53">
        <v>9507412753.0099983</v>
      </c>
      <c r="L93" s="3">
        <v>40544</v>
      </c>
      <c r="M93" s="53">
        <v>4060874385.6599998</v>
      </c>
    </row>
    <row r="94" spans="5:13">
      <c r="E94" s="3">
        <v>40575</v>
      </c>
      <c r="F94" s="53">
        <v>12458986036.26</v>
      </c>
      <c r="I94" s="3">
        <v>40575</v>
      </c>
      <c r="J94" s="53">
        <v>9878132508.710001</v>
      </c>
      <c r="L94" s="3">
        <v>40575</v>
      </c>
      <c r="M94" s="53">
        <v>3530173574.9400001</v>
      </c>
    </row>
    <row r="95" spans="5:13">
      <c r="E95" s="3">
        <v>40603</v>
      </c>
      <c r="F95" s="53">
        <v>8532195379.0099993</v>
      </c>
      <c r="I95" s="3">
        <v>40603</v>
      </c>
      <c r="J95" s="53">
        <v>6699348098.6199999</v>
      </c>
      <c r="L95" s="3">
        <v>40603</v>
      </c>
      <c r="M95" s="53">
        <v>2155592538.1999998</v>
      </c>
    </row>
    <row r="96" spans="5:13">
      <c r="E96" s="3">
        <v>40634</v>
      </c>
      <c r="F96" s="53">
        <v>8106993986.1700001</v>
      </c>
      <c r="I96" s="3">
        <v>40634</v>
      </c>
      <c r="J96" s="53">
        <v>6708788886.25</v>
      </c>
      <c r="L96" s="3">
        <v>40634</v>
      </c>
      <c r="M96" s="53">
        <v>2120752517.71</v>
      </c>
    </row>
    <row r="97" spans="5:13">
      <c r="E97" s="3">
        <v>40664</v>
      </c>
      <c r="F97" s="53">
        <v>4872590997.6100006</v>
      </c>
      <c r="I97" s="3">
        <v>40664</v>
      </c>
      <c r="J97" s="53">
        <v>3593495168.8399997</v>
      </c>
      <c r="L97" s="3">
        <v>40664</v>
      </c>
      <c r="M97" s="53">
        <v>1108476066.48</v>
      </c>
    </row>
    <row r="98" spans="5:13">
      <c r="E98" s="3">
        <v>40695</v>
      </c>
      <c r="F98" s="53">
        <v>5242895649.54</v>
      </c>
      <c r="I98" s="3">
        <v>40695</v>
      </c>
      <c r="J98" s="53">
        <v>4215729366.04</v>
      </c>
      <c r="L98" s="3">
        <v>40695</v>
      </c>
      <c r="M98" s="53">
        <v>1705305796.3599999</v>
      </c>
    </row>
    <row r="99" spans="5:13">
      <c r="E99" s="3">
        <v>40725</v>
      </c>
      <c r="F99" s="53">
        <v>6947560135.4100008</v>
      </c>
      <c r="I99" s="3">
        <v>40725</v>
      </c>
      <c r="J99" s="53">
        <v>5898835835.3999996</v>
      </c>
      <c r="L99" s="3">
        <v>40725</v>
      </c>
      <c r="M99" s="53">
        <v>3125723742.4400001</v>
      </c>
    </row>
    <row r="100" spans="5:13">
      <c r="E100" s="3">
        <v>40756</v>
      </c>
      <c r="F100" s="53">
        <v>4849022287.4300003</v>
      </c>
      <c r="I100" s="3">
        <v>40756</v>
      </c>
      <c r="J100" s="53">
        <v>4000010514.0100002</v>
      </c>
      <c r="L100" s="3">
        <v>40756</v>
      </c>
      <c r="M100" s="53">
        <v>1613391642.05</v>
      </c>
    </row>
    <row r="101" spans="5:13">
      <c r="E101" s="3">
        <v>40787</v>
      </c>
      <c r="F101" s="53">
        <v>7015805075.4900007</v>
      </c>
      <c r="I101" s="3">
        <v>40787</v>
      </c>
      <c r="J101" s="53">
        <v>6017239466.0100002</v>
      </c>
      <c r="L101" s="3">
        <v>40787</v>
      </c>
      <c r="M101" s="53">
        <v>2312378626.5700002</v>
      </c>
    </row>
    <row r="102" spans="5:13">
      <c r="E102" s="3">
        <v>40817</v>
      </c>
      <c r="F102" s="53">
        <v>8810868724.7900009</v>
      </c>
      <c r="I102" s="3">
        <v>40817</v>
      </c>
      <c r="J102" s="53">
        <v>7348224221.46</v>
      </c>
      <c r="L102" s="3">
        <v>40817</v>
      </c>
      <c r="M102" s="53">
        <v>3379466287.0999999</v>
      </c>
    </row>
    <row r="103" spans="5:13">
      <c r="E103" s="3">
        <v>40848</v>
      </c>
      <c r="F103" s="53">
        <v>9799243620.7600002</v>
      </c>
      <c r="I103" s="3">
        <v>40848</v>
      </c>
      <c r="J103" s="53">
        <v>7996792829.9799995</v>
      </c>
      <c r="L103" s="3">
        <v>40848</v>
      </c>
      <c r="M103" s="53">
        <v>2184906446.2199998</v>
      </c>
    </row>
    <row r="104" spans="5:13">
      <c r="E104" s="3">
        <v>40878</v>
      </c>
      <c r="F104" s="53">
        <v>12425542198.549999</v>
      </c>
      <c r="I104" s="3">
        <v>40878</v>
      </c>
      <c r="J104" s="53">
        <v>10263888687.719999</v>
      </c>
      <c r="L104" s="3">
        <v>40878</v>
      </c>
      <c r="M104" s="53">
        <v>3647920798.0700002</v>
      </c>
    </row>
    <row r="105" spans="5:13">
      <c r="E105" s="3">
        <v>40909</v>
      </c>
      <c r="F105" s="53">
        <v>12862242196.629997</v>
      </c>
      <c r="I105" s="3">
        <v>40909</v>
      </c>
      <c r="J105" s="53">
        <v>10537808398.119999</v>
      </c>
      <c r="L105" s="3">
        <v>40909</v>
      </c>
      <c r="M105" s="53">
        <v>4059865643.29</v>
      </c>
    </row>
    <row r="106" spans="5:13">
      <c r="E106" s="3">
        <v>40940</v>
      </c>
      <c r="F106" s="53">
        <v>10019737125.759998</v>
      </c>
      <c r="I106" s="3">
        <v>40940</v>
      </c>
      <c r="J106" s="53">
        <v>7586189484.0900002</v>
      </c>
      <c r="L106" s="3">
        <v>40940</v>
      </c>
      <c r="M106" s="53">
        <v>2074382019.1199999</v>
      </c>
    </row>
    <row r="107" spans="5:13">
      <c r="E107" s="3">
        <v>40969</v>
      </c>
      <c r="F107" s="53">
        <v>10915430866.340002</v>
      </c>
      <c r="I107" s="3">
        <v>40969</v>
      </c>
      <c r="J107" s="53">
        <v>8688598177.5499992</v>
      </c>
      <c r="L107" s="3">
        <v>40969</v>
      </c>
      <c r="M107" s="53">
        <v>2735353783.9699998</v>
      </c>
    </row>
    <row r="108" spans="5:13">
      <c r="E108" s="3">
        <v>41000</v>
      </c>
      <c r="F108" s="53">
        <v>14934458781.629999</v>
      </c>
      <c r="I108" s="3">
        <v>41000</v>
      </c>
      <c r="J108" s="53">
        <v>10688753867.139999</v>
      </c>
      <c r="L108" s="3">
        <v>41000</v>
      </c>
      <c r="M108" s="53">
        <v>2968862432.2199998</v>
      </c>
    </row>
    <row r="109" spans="5:13">
      <c r="E109" s="3">
        <v>41030</v>
      </c>
      <c r="F109" s="53">
        <v>8198030561.4099998</v>
      </c>
      <c r="I109" s="3">
        <v>41030</v>
      </c>
      <c r="J109" s="53">
        <v>6246323074.2000008</v>
      </c>
      <c r="L109" s="3">
        <v>41030</v>
      </c>
      <c r="M109" s="53">
        <v>2307288287.8400002</v>
      </c>
    </row>
    <row r="110" spans="5:13">
      <c r="E110" s="3">
        <v>41061</v>
      </c>
      <c r="F110" s="53">
        <v>11723751399.540001</v>
      </c>
      <c r="I110" s="3">
        <v>41061</v>
      </c>
      <c r="J110" s="53">
        <v>8875387740.6100006</v>
      </c>
      <c r="L110" s="3">
        <v>41061</v>
      </c>
      <c r="M110" s="53">
        <v>2837371203.46</v>
      </c>
    </row>
    <row r="111" spans="5:13">
      <c r="E111" s="3">
        <v>41091</v>
      </c>
      <c r="F111" s="53">
        <v>13035502174.419998</v>
      </c>
      <c r="I111" s="3">
        <v>41091</v>
      </c>
      <c r="J111" s="53">
        <v>9314127919.960001</v>
      </c>
      <c r="L111" s="3">
        <v>41091</v>
      </c>
      <c r="M111" s="53">
        <v>2594295416.6100001</v>
      </c>
    </row>
    <row r="112" spans="5:13">
      <c r="E112" s="3">
        <v>41122</v>
      </c>
      <c r="F112" s="53">
        <v>14399983724.400002</v>
      </c>
      <c r="I112" s="3">
        <v>41122</v>
      </c>
      <c r="J112" s="53">
        <v>11096794876.34</v>
      </c>
      <c r="L112" s="3">
        <v>41122</v>
      </c>
      <c r="M112" s="53">
        <v>3642919334.4899998</v>
      </c>
    </row>
    <row r="113" spans="5:13">
      <c r="E113" s="3">
        <v>41153</v>
      </c>
      <c r="F113" s="53">
        <v>16691460515.200003</v>
      </c>
      <c r="I113" s="3">
        <v>41153</v>
      </c>
      <c r="J113" s="53">
        <v>12787060899.860001</v>
      </c>
      <c r="L113" s="3">
        <v>41153</v>
      </c>
      <c r="M113" s="53">
        <v>4782260991.4399996</v>
      </c>
    </row>
    <row r="114" spans="5:13">
      <c r="E114" s="3">
        <v>41183</v>
      </c>
      <c r="F114" s="53">
        <v>17756215041.990002</v>
      </c>
      <c r="I114" s="3">
        <v>41183</v>
      </c>
      <c r="J114" s="53">
        <v>13503735194.82</v>
      </c>
      <c r="L114" s="3">
        <v>41183</v>
      </c>
      <c r="M114" s="53">
        <v>4912389510.3100004</v>
      </c>
    </row>
    <row r="115" spans="5:13">
      <c r="E115" s="3">
        <v>41214</v>
      </c>
      <c r="F115" s="53">
        <v>16666680166.549999</v>
      </c>
      <c r="I115" s="3">
        <v>41214</v>
      </c>
      <c r="J115" s="53">
        <v>12740939980.459999</v>
      </c>
      <c r="L115" s="3">
        <v>41214</v>
      </c>
      <c r="M115" s="53">
        <v>4259407226.3299999</v>
      </c>
    </row>
    <row r="116" spans="5:13">
      <c r="E116" s="3">
        <v>41244</v>
      </c>
      <c r="F116" s="53">
        <v>20877301267.939995</v>
      </c>
      <c r="I116" s="3">
        <v>41244</v>
      </c>
      <c r="J116" s="53">
        <v>15010086040.18</v>
      </c>
      <c r="L116" s="3">
        <v>41244</v>
      </c>
      <c r="M116" s="53">
        <v>5306609068.2399998</v>
      </c>
    </row>
    <row r="117" spans="5:13">
      <c r="E117" s="3">
        <v>41275</v>
      </c>
      <c r="F117" s="53">
        <v>17530813789.799999</v>
      </c>
      <c r="I117" s="3">
        <v>41275</v>
      </c>
      <c r="J117" s="53">
        <v>13779796645.559999</v>
      </c>
      <c r="L117" s="3">
        <v>41275</v>
      </c>
      <c r="M117" s="53">
        <v>4854996551.6700001</v>
      </c>
    </row>
    <row r="118" spans="5:13">
      <c r="E118" s="3">
        <v>41306</v>
      </c>
      <c r="F118" s="53">
        <v>20523012824.300003</v>
      </c>
      <c r="I118" s="3">
        <v>41306</v>
      </c>
      <c r="J118" s="53">
        <v>15457592447.299999</v>
      </c>
      <c r="L118" s="3">
        <v>41306</v>
      </c>
      <c r="M118" s="53">
        <v>5966617258.3500004</v>
      </c>
    </row>
    <row r="119" spans="5:13">
      <c r="E119" s="3">
        <v>41334</v>
      </c>
      <c r="F119" s="53">
        <v>17945523724.209995</v>
      </c>
      <c r="I119" s="3">
        <v>41334</v>
      </c>
      <c r="J119" s="53">
        <v>13159688841.609999</v>
      </c>
      <c r="L119" s="3">
        <v>41334</v>
      </c>
      <c r="M119" s="53">
        <v>5058886938.4799995</v>
      </c>
    </row>
    <row r="120" spans="5:13">
      <c r="E120" s="3">
        <v>41365</v>
      </c>
      <c r="F120" s="53">
        <v>12744461759.449999</v>
      </c>
      <c r="I120" s="3">
        <v>41365</v>
      </c>
      <c r="J120" s="53">
        <v>9819952533.6500015</v>
      </c>
      <c r="L120" s="3">
        <v>41365</v>
      </c>
      <c r="M120" s="53">
        <v>4559782207.0600004</v>
      </c>
    </row>
    <row r="121" spans="5:13">
      <c r="E121" s="3">
        <v>41395</v>
      </c>
      <c r="F121" s="53">
        <v>14757947846.709999</v>
      </c>
      <c r="I121" s="3">
        <v>41395</v>
      </c>
      <c r="J121" s="53">
        <v>10653227547.629999</v>
      </c>
      <c r="L121" s="3">
        <v>41395</v>
      </c>
      <c r="M121" s="53">
        <v>4116486836.2199998</v>
      </c>
    </row>
    <row r="122" spans="5:13">
      <c r="E122" s="3">
        <v>41426</v>
      </c>
      <c r="F122" s="53">
        <v>12961343991.450001</v>
      </c>
      <c r="I122" s="3">
        <v>41426</v>
      </c>
      <c r="J122" s="53">
        <v>9259329012.5100002</v>
      </c>
      <c r="L122" s="3">
        <v>41426</v>
      </c>
      <c r="M122" s="53">
        <v>3451450904.1700001</v>
      </c>
    </row>
    <row r="123" spans="5:13">
      <c r="E123" s="3">
        <v>41456</v>
      </c>
      <c r="F123" s="53">
        <v>12346774605.460001</v>
      </c>
      <c r="I123" s="3">
        <v>41456</v>
      </c>
      <c r="J123" s="53">
        <v>9758455919.0400009</v>
      </c>
      <c r="L123" s="3">
        <v>41456</v>
      </c>
      <c r="M123" s="53">
        <v>4046227360.8000002</v>
      </c>
    </row>
    <row r="124" spans="5:13">
      <c r="E124" s="3">
        <v>41487</v>
      </c>
      <c r="F124" s="53">
        <v>14735100872.160002</v>
      </c>
      <c r="I124" s="3">
        <v>41487</v>
      </c>
      <c r="J124" s="53">
        <v>11584577873.139999</v>
      </c>
      <c r="L124" s="3">
        <v>41487</v>
      </c>
      <c r="M124" s="53">
        <v>4431900841.0100002</v>
      </c>
    </row>
    <row r="125" spans="5:13">
      <c r="E125" s="3">
        <v>41518</v>
      </c>
      <c r="F125" s="53">
        <v>15560674003.129999</v>
      </c>
      <c r="I125" s="3">
        <v>41518</v>
      </c>
      <c r="J125" s="53">
        <v>12200710557.860001</v>
      </c>
      <c r="L125" s="3">
        <v>41518</v>
      </c>
      <c r="M125" s="53">
        <v>4099763945.7399998</v>
      </c>
    </row>
    <row r="126" spans="5:13">
      <c r="E126" s="3">
        <v>41548</v>
      </c>
      <c r="F126" s="53">
        <v>10318630965.529999</v>
      </c>
      <c r="I126" s="3">
        <v>41548</v>
      </c>
      <c r="J126" s="53">
        <v>7647363289.21</v>
      </c>
      <c r="L126" s="3">
        <v>41548</v>
      </c>
      <c r="M126" s="53">
        <v>2353070457.5900002</v>
      </c>
    </row>
    <row r="127" spans="5:13">
      <c r="E127" s="3">
        <v>41579</v>
      </c>
      <c r="F127" s="53">
        <v>10141947225.709999</v>
      </c>
      <c r="I127" s="3">
        <v>41579</v>
      </c>
      <c r="J127" s="53">
        <v>7229453996.4300003</v>
      </c>
      <c r="L127" s="3">
        <v>41579</v>
      </c>
      <c r="M127" s="53">
        <v>1845973493.28</v>
      </c>
    </row>
    <row r="128" spans="5:13">
      <c r="E128" s="3">
        <v>41609</v>
      </c>
      <c r="F128" s="53">
        <v>7818864422.4299994</v>
      </c>
      <c r="I128" s="3">
        <v>41609</v>
      </c>
      <c r="J128" s="53">
        <v>5745769878.6399994</v>
      </c>
      <c r="L128" s="3">
        <v>41609</v>
      </c>
      <c r="M128" s="53">
        <v>1689487463.0999999</v>
      </c>
    </row>
    <row r="129" spans="5:13">
      <c r="E129" s="3">
        <v>41640</v>
      </c>
      <c r="F129" s="53">
        <v>7052067476.9300013</v>
      </c>
      <c r="I129" s="3">
        <v>41640</v>
      </c>
      <c r="J129" s="53">
        <v>5431150358.5900002</v>
      </c>
      <c r="L129" s="3">
        <v>41640</v>
      </c>
      <c r="M129" s="53">
        <v>1555357392.6700001</v>
      </c>
    </row>
    <row r="130" spans="5:13">
      <c r="E130" s="3">
        <v>41671</v>
      </c>
      <c r="F130" s="53">
        <v>6546635557.960001</v>
      </c>
      <c r="I130" s="3">
        <v>41671</v>
      </c>
      <c r="J130" s="53">
        <v>5137202461.1599998</v>
      </c>
      <c r="L130" s="3">
        <v>41671</v>
      </c>
      <c r="M130" s="53">
        <v>1754359485.8099999</v>
      </c>
    </row>
    <row r="131" spans="5:13">
      <c r="E131" s="3">
        <v>41699</v>
      </c>
      <c r="F131" s="53">
        <v>6652504509.710001</v>
      </c>
      <c r="I131" s="3">
        <v>41699</v>
      </c>
      <c r="J131" s="53">
        <v>5485628824.9200001</v>
      </c>
      <c r="L131" s="3">
        <v>41699</v>
      </c>
      <c r="M131" s="53">
        <v>1916682883.5699999</v>
      </c>
    </row>
    <row r="132" spans="5:13">
      <c r="E132" s="3">
        <v>41730</v>
      </c>
      <c r="F132" s="53">
        <v>5362630220.0200005</v>
      </c>
      <c r="I132" s="3">
        <v>41730</v>
      </c>
      <c r="J132" s="53">
        <v>4236847240.46</v>
      </c>
      <c r="L132" s="3">
        <v>41730</v>
      </c>
      <c r="M132" s="53">
        <v>1569133883.05</v>
      </c>
    </row>
    <row r="133" spans="5:13">
      <c r="E133" s="3">
        <v>41760</v>
      </c>
      <c r="F133" s="53">
        <v>6121331261.9400015</v>
      </c>
      <c r="I133" s="3">
        <v>41760</v>
      </c>
      <c r="J133" s="53">
        <v>4570019103.7800007</v>
      </c>
      <c r="L133" s="3">
        <v>41760</v>
      </c>
      <c r="M133" s="53">
        <v>1572084510.04</v>
      </c>
    </row>
    <row r="134" spans="5:13">
      <c r="E134" s="3">
        <v>41791</v>
      </c>
      <c r="F134" s="53">
        <v>6273132178.3599997</v>
      </c>
      <c r="I134" s="3">
        <v>41791</v>
      </c>
      <c r="J134" s="53">
        <v>4207797841.7200003</v>
      </c>
      <c r="L134" s="3">
        <v>41791</v>
      </c>
      <c r="M134" s="53">
        <v>1523092086.4300001</v>
      </c>
    </row>
    <row r="135" spans="5:13">
      <c r="E135" s="3">
        <v>41821</v>
      </c>
      <c r="F135" s="53">
        <v>7133901636.4100008</v>
      </c>
      <c r="I135" s="3">
        <v>41821</v>
      </c>
      <c r="J135" s="53">
        <v>5295565399.1900005</v>
      </c>
      <c r="L135" s="3">
        <v>41821</v>
      </c>
      <c r="M135" s="53">
        <v>1815521830.9200001</v>
      </c>
    </row>
    <row r="136" spans="5:13">
      <c r="E136" s="3">
        <v>41852</v>
      </c>
      <c r="F136" s="53">
        <v>8496813375.6799994</v>
      </c>
      <c r="I136" s="3">
        <v>41852</v>
      </c>
      <c r="J136" s="53">
        <v>6093734069.5600004</v>
      </c>
      <c r="L136" s="3">
        <v>41852</v>
      </c>
      <c r="M136" s="53">
        <v>2299190742.25</v>
      </c>
    </row>
    <row r="137" spans="5:13">
      <c r="E137" s="3">
        <v>41883</v>
      </c>
      <c r="F137" s="53">
        <v>8007352977.8699989</v>
      </c>
      <c r="I137" s="3">
        <v>41883</v>
      </c>
      <c r="J137" s="53">
        <v>6130165113.5999994</v>
      </c>
      <c r="L137" s="3">
        <v>41883</v>
      </c>
      <c r="M137" s="53">
        <v>2188451666.4499998</v>
      </c>
    </row>
    <row r="138" spans="5:13">
      <c r="E138" s="3">
        <v>41913</v>
      </c>
      <c r="F138" s="53">
        <v>10838122410.58</v>
      </c>
      <c r="I138" s="3">
        <v>41913</v>
      </c>
      <c r="J138" s="53">
        <v>8665748338.039999</v>
      </c>
      <c r="L138" s="3">
        <v>41913</v>
      </c>
      <c r="M138" s="53">
        <v>2783280665.23</v>
      </c>
    </row>
    <row r="139" spans="5:13">
      <c r="E139" s="3">
        <v>41944</v>
      </c>
      <c r="F139" s="53">
        <v>8503135850.2900019</v>
      </c>
      <c r="I139" s="3">
        <v>41944</v>
      </c>
      <c r="J139" s="53">
        <v>6193777592.4499998</v>
      </c>
      <c r="L139" s="3">
        <v>41944</v>
      </c>
      <c r="M139" s="53">
        <v>2036061242.9100001</v>
      </c>
    </row>
    <row r="140" spans="5:13">
      <c r="E140" s="3">
        <v>41974</v>
      </c>
      <c r="F140" s="53">
        <v>8567418005.9099989</v>
      </c>
      <c r="I140" s="3">
        <v>41974</v>
      </c>
      <c r="J140" s="53">
        <v>6447776468.79</v>
      </c>
      <c r="L140" s="3">
        <v>41974</v>
      </c>
      <c r="M140" s="53">
        <v>2764147676.1700001</v>
      </c>
    </row>
    <row r="141" spans="5:13">
      <c r="E141" s="3">
        <v>42005</v>
      </c>
      <c r="F141" s="53">
        <v>7854577790.5299997</v>
      </c>
      <c r="I141" s="3">
        <v>42005</v>
      </c>
      <c r="J141" s="53">
        <v>5654206232.7299995</v>
      </c>
      <c r="L141" s="3">
        <v>42005</v>
      </c>
      <c r="M141" s="53">
        <v>2059485374.03</v>
      </c>
    </row>
    <row r="142" spans="5:13">
      <c r="E142" s="3">
        <v>42036</v>
      </c>
      <c r="F142" s="53">
        <v>9240385217.960001</v>
      </c>
      <c r="I142" s="3">
        <v>42036</v>
      </c>
      <c r="J142" s="53">
        <v>7121739613.5100002</v>
      </c>
      <c r="L142" s="3">
        <v>42036</v>
      </c>
      <c r="M142" s="53">
        <v>3177985156.9499998</v>
      </c>
    </row>
    <row r="143" spans="5:13">
      <c r="E143" s="3">
        <v>42064</v>
      </c>
      <c r="F143" s="53">
        <v>8285514369.2599993</v>
      </c>
      <c r="I143" s="3">
        <v>42064</v>
      </c>
      <c r="J143" s="53">
        <v>6088856589.0200005</v>
      </c>
      <c r="L143" s="3">
        <v>42064</v>
      </c>
      <c r="M143" s="53">
        <v>2385777676.1799998</v>
      </c>
    </row>
    <row r="144" spans="5:13">
      <c r="E144" s="3">
        <v>42095</v>
      </c>
      <c r="F144" s="53">
        <v>10101582758.619999</v>
      </c>
      <c r="I144" s="3">
        <v>42095</v>
      </c>
      <c r="J144" s="53">
        <v>7796723600.5799999</v>
      </c>
      <c r="L144" s="3">
        <v>42095</v>
      </c>
      <c r="M144" s="53">
        <v>3989498244.73</v>
      </c>
    </row>
    <row r="145" spans="5:13">
      <c r="E145" s="3" t="s">
        <v>55</v>
      </c>
      <c r="F145" s="53">
        <v>2321479889172.0186</v>
      </c>
      <c r="I145" s="3" t="s">
        <v>55</v>
      </c>
      <c r="J145" s="53">
        <v>1881499507007.0203</v>
      </c>
      <c r="L145" s="3" t="s">
        <v>55</v>
      </c>
      <c r="M145" s="53">
        <v>884675565555.69971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B2:T1413"/>
  <sheetViews>
    <sheetView topLeftCell="A7" workbookViewId="0">
      <selection activeCell="I102" sqref="I102"/>
    </sheetView>
  </sheetViews>
  <sheetFormatPr defaultRowHeight="15"/>
  <cols>
    <col min="2" max="2" width="48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67</v>
      </c>
      <c r="K2" t="s">
        <v>68</v>
      </c>
      <c r="N2" t="s">
        <v>69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5</v>
      </c>
      <c r="C4" s="1">
        <v>37773</v>
      </c>
      <c r="D4">
        <v>23300241072.73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10</v>
      </c>
      <c r="C5" s="1">
        <v>37773</v>
      </c>
      <c r="D5">
        <v>17817818276.099998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16</v>
      </c>
      <c r="C6" s="1">
        <v>37773</v>
      </c>
      <c r="D6">
        <v>5591763689.3800001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8</v>
      </c>
      <c r="C7" s="1">
        <v>37773</v>
      </c>
      <c r="D7">
        <v>4371995001.1899996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11</v>
      </c>
      <c r="C8" s="1">
        <v>37773</v>
      </c>
      <c r="D8">
        <v>3031001736.98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30</v>
      </c>
      <c r="C9" s="1">
        <v>37773</v>
      </c>
      <c r="D9">
        <v>2160965900.48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7</v>
      </c>
      <c r="C10" s="1">
        <v>37773</v>
      </c>
      <c r="D10">
        <v>1659941249.73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21</v>
      </c>
      <c r="C11" s="1">
        <v>37773</v>
      </c>
      <c r="D11">
        <v>1198886665.48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136</v>
      </c>
      <c r="C12" s="1">
        <v>37773</v>
      </c>
      <c r="D12">
        <v>1051765871.46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1031522755.11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5</v>
      </c>
      <c r="C14" s="1">
        <v>37803</v>
      </c>
      <c r="D14">
        <v>23865657170.52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10</v>
      </c>
      <c r="C15" s="1">
        <v>37803</v>
      </c>
      <c r="D15">
        <v>20341432059.669998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16</v>
      </c>
      <c r="C16" s="1">
        <v>37803</v>
      </c>
      <c r="D16">
        <v>6153977891.3500004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8</v>
      </c>
      <c r="C17" s="1">
        <v>37803</v>
      </c>
      <c r="D17">
        <v>3946035702.4200001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11</v>
      </c>
      <c r="C18" s="1">
        <v>37803</v>
      </c>
      <c r="D18">
        <v>2415574600.1999998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30</v>
      </c>
      <c r="C19" s="1">
        <v>37803</v>
      </c>
      <c r="D19">
        <v>1957977856.9100001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18"/>
    </row>
    <row r="20" spans="2:20">
      <c r="B20" s="1" t="s">
        <v>7</v>
      </c>
      <c r="C20" s="1">
        <v>37803</v>
      </c>
      <c r="D20">
        <v>1715880812.6199999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19"/>
    </row>
    <row r="21" spans="2:20">
      <c r="B21" s="1" t="s">
        <v>21</v>
      </c>
      <c r="C21" s="1">
        <v>37803</v>
      </c>
      <c r="D21">
        <v>1296979916.24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136</v>
      </c>
      <c r="C22" s="1">
        <v>37803</v>
      </c>
      <c r="D22">
        <v>1176441031.4400001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9</v>
      </c>
      <c r="C23" s="1">
        <v>37803</v>
      </c>
      <c r="D23">
        <v>1146759893.3599999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5</v>
      </c>
      <c r="C24" s="1">
        <v>37834</v>
      </c>
      <c r="D24">
        <v>25312850976.130001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10</v>
      </c>
      <c r="C25" s="1">
        <v>37834</v>
      </c>
      <c r="D25">
        <v>19350033281.610001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16</v>
      </c>
      <c r="C26" s="1">
        <v>37834</v>
      </c>
      <c r="D26">
        <v>6553272141.8500004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8</v>
      </c>
      <c r="C27" s="1">
        <v>37834</v>
      </c>
      <c r="D27">
        <v>5198344897.3400002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11</v>
      </c>
      <c r="C28" s="1">
        <v>37834</v>
      </c>
      <c r="D28">
        <v>3097950638.54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7</v>
      </c>
      <c r="C29" s="1">
        <v>37834</v>
      </c>
      <c r="D29">
        <v>1897629658.1199999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21</v>
      </c>
      <c r="C30" s="1">
        <v>37834</v>
      </c>
      <c r="D30">
        <v>1635620122.54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30</v>
      </c>
      <c r="C31" s="1">
        <v>37834</v>
      </c>
      <c r="D31">
        <v>1443958844.49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136</v>
      </c>
      <c r="C32" s="1">
        <v>37834</v>
      </c>
      <c r="D32">
        <v>1337755989.25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1169866022.78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5</v>
      </c>
      <c r="C34" s="1">
        <v>37865</v>
      </c>
      <c r="D34">
        <v>19826816440.5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10</v>
      </c>
      <c r="C35" s="1">
        <v>37865</v>
      </c>
      <c r="D35">
        <v>14426975099.549999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16</v>
      </c>
      <c r="C36" s="1">
        <v>37865</v>
      </c>
      <c r="D36">
        <v>7515096015.8900003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8</v>
      </c>
      <c r="C37" s="1">
        <v>37865</v>
      </c>
      <c r="D37">
        <v>5929568065.8800001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11</v>
      </c>
      <c r="C38" s="1">
        <v>37865</v>
      </c>
      <c r="D38">
        <v>4567955305.6700001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21</v>
      </c>
      <c r="C39" s="1">
        <v>37865</v>
      </c>
      <c r="D39">
        <v>2004877979.8800001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7</v>
      </c>
      <c r="C40" s="1">
        <v>37865</v>
      </c>
      <c r="D40">
        <v>1923326219.5599999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30</v>
      </c>
      <c r="C41" s="1">
        <v>37865</v>
      </c>
      <c r="D41">
        <v>1784639708.6300001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136</v>
      </c>
      <c r="C42" s="1">
        <v>37865</v>
      </c>
      <c r="D42">
        <v>1458577671.3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137</v>
      </c>
      <c r="C43" s="1">
        <v>37865</v>
      </c>
      <c r="D43">
        <v>1240540069.48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10</v>
      </c>
      <c r="C44" s="1">
        <v>37895</v>
      </c>
      <c r="D44">
        <v>23304462130.580002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5</v>
      </c>
      <c r="C45" s="1">
        <v>37895</v>
      </c>
      <c r="D45">
        <v>15233136435.33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16</v>
      </c>
      <c r="C46" s="1">
        <v>37895</v>
      </c>
      <c r="D46">
        <v>8298069354.0699997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8</v>
      </c>
      <c r="C47" s="1">
        <v>37895</v>
      </c>
      <c r="D47">
        <v>3618514005.9400001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11</v>
      </c>
      <c r="C48" s="1">
        <v>37895</v>
      </c>
      <c r="D48">
        <v>2584077491.52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30</v>
      </c>
      <c r="C49" s="1">
        <v>37895</v>
      </c>
      <c r="D49">
        <v>2423012172.8200002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7</v>
      </c>
      <c r="C50" s="1">
        <v>37895</v>
      </c>
      <c r="D50">
        <v>2100455965.24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137</v>
      </c>
      <c r="C51" s="1">
        <v>37895</v>
      </c>
      <c r="D51">
        <v>1407805776.6700001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9</v>
      </c>
      <c r="C52" s="1">
        <v>37895</v>
      </c>
      <c r="D52">
        <v>1240557828.4400001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136</v>
      </c>
      <c r="C53" s="1">
        <v>37895</v>
      </c>
      <c r="D53">
        <v>1234294990.98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10</v>
      </c>
      <c r="C54" s="1">
        <v>37926</v>
      </c>
      <c r="D54">
        <v>11162561398.85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5</v>
      </c>
      <c r="C55" s="1">
        <v>37926</v>
      </c>
      <c r="D55">
        <v>11145599480.370001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16</v>
      </c>
      <c r="C56" s="1">
        <v>37926</v>
      </c>
      <c r="D56">
        <v>7145846167.6000004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1885440241.96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8</v>
      </c>
      <c r="C58" s="1">
        <v>37926</v>
      </c>
      <c r="D58">
        <v>1663051773.1099999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30</v>
      </c>
      <c r="C59" s="1">
        <v>37926</v>
      </c>
      <c r="D59">
        <v>1617063031.6199999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136</v>
      </c>
      <c r="C60" s="1">
        <v>37926</v>
      </c>
      <c r="D60">
        <v>1595316665.6199999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11</v>
      </c>
      <c r="C61" s="1">
        <v>37926</v>
      </c>
      <c r="D61">
        <v>1167408177.6300001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9</v>
      </c>
      <c r="C62" s="1">
        <v>37926</v>
      </c>
      <c r="D62">
        <v>942792079.69000006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137</v>
      </c>
      <c r="C63" s="1">
        <v>37926</v>
      </c>
      <c r="D63">
        <v>938073033.5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10</v>
      </c>
      <c r="C64" s="1">
        <v>37956</v>
      </c>
      <c r="D64">
        <v>9589883533.4500008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5</v>
      </c>
      <c r="C65" s="1">
        <v>37956</v>
      </c>
      <c r="D65">
        <v>8284866996.75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16</v>
      </c>
      <c r="C66" s="1">
        <v>37956</v>
      </c>
      <c r="D66">
        <v>4320462524.4099998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30</v>
      </c>
      <c r="C67" s="1">
        <v>37956</v>
      </c>
      <c r="D67">
        <v>1782826073.9200001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8</v>
      </c>
      <c r="C68" s="1">
        <v>37956</v>
      </c>
      <c r="D68">
        <v>1667103888.1500001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7</v>
      </c>
      <c r="C69" s="1">
        <v>37956</v>
      </c>
      <c r="D69">
        <v>1527950917.3199999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13</v>
      </c>
      <c r="C70" s="1">
        <v>37956</v>
      </c>
      <c r="D70">
        <v>1431187766.27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11</v>
      </c>
      <c r="C71" s="1">
        <v>37956</v>
      </c>
      <c r="D71">
        <v>989327891.21000004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138</v>
      </c>
      <c r="C72" s="1">
        <v>37956</v>
      </c>
      <c r="D72">
        <v>812498504.5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136</v>
      </c>
      <c r="C73" s="1">
        <v>37956</v>
      </c>
      <c r="D73">
        <v>719297505.14999998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5</v>
      </c>
      <c r="C74" s="1">
        <v>37987</v>
      </c>
      <c r="D74">
        <v>11409757594.76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10</v>
      </c>
      <c r="C75" s="1">
        <v>37987</v>
      </c>
      <c r="D75">
        <v>8617995788.6800003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16</v>
      </c>
      <c r="C76" s="1">
        <v>37987</v>
      </c>
      <c r="D76">
        <v>3151419601.3600001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8</v>
      </c>
      <c r="C77" s="1">
        <v>37987</v>
      </c>
      <c r="D77">
        <v>1254293674.6300001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70</v>
      </c>
      <c r="C78" s="1">
        <v>37987</v>
      </c>
      <c r="D78">
        <v>1084814450.73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7</v>
      </c>
      <c r="C79" s="1">
        <v>37987</v>
      </c>
      <c r="D79">
        <v>980747613.04999995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30</v>
      </c>
      <c r="C80" s="1">
        <v>37987</v>
      </c>
      <c r="D80">
        <v>958123909.07000005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11</v>
      </c>
      <c r="C81" s="1">
        <v>37987</v>
      </c>
      <c r="D81">
        <v>827503569.36000001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138</v>
      </c>
      <c r="C82" s="1">
        <v>37987</v>
      </c>
      <c r="D82">
        <v>639933908.88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18</v>
      </c>
      <c r="C83" s="1">
        <v>37987</v>
      </c>
      <c r="D83">
        <v>614728366.17999995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5</v>
      </c>
      <c r="C84" s="1">
        <v>38018</v>
      </c>
      <c r="D84">
        <v>9452100315.2600002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10</v>
      </c>
      <c r="C85" s="1">
        <v>38018</v>
      </c>
      <c r="D85">
        <v>4417879288.3599997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16</v>
      </c>
      <c r="C86" s="1">
        <v>38018</v>
      </c>
      <c r="D86">
        <v>2100740735.3499999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8</v>
      </c>
      <c r="C87" s="1">
        <v>38018</v>
      </c>
      <c r="D87">
        <v>1616933411.3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18</v>
      </c>
      <c r="C88" s="1">
        <v>38018</v>
      </c>
      <c r="D88">
        <v>1147507516.5799999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30</v>
      </c>
      <c r="C89" s="1">
        <v>38018</v>
      </c>
      <c r="D89">
        <v>1102545266.3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7</v>
      </c>
      <c r="C90" s="1">
        <v>38018</v>
      </c>
      <c r="D90">
        <v>948500296.40999997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11</v>
      </c>
      <c r="C91" s="1">
        <v>38018</v>
      </c>
      <c r="D91">
        <v>841154130.44000006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139</v>
      </c>
      <c r="C92" s="1">
        <v>38018</v>
      </c>
      <c r="D92">
        <v>577938078.98000002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136</v>
      </c>
      <c r="C93" s="1">
        <v>38018</v>
      </c>
      <c r="D93">
        <v>565112457.78999996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5</v>
      </c>
      <c r="C94" s="1">
        <v>38047</v>
      </c>
      <c r="D94">
        <v>11307603614.940001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10</v>
      </c>
      <c r="C95" s="1">
        <v>38047</v>
      </c>
      <c r="D95">
        <v>3105251049.5100002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16</v>
      </c>
      <c r="C96" s="1">
        <v>38047</v>
      </c>
      <c r="D96">
        <v>1435016521.97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8</v>
      </c>
      <c r="C97" s="1">
        <v>38047</v>
      </c>
      <c r="D97">
        <v>1294632427.0599999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30</v>
      </c>
      <c r="C98" s="1">
        <v>38047</v>
      </c>
      <c r="D98">
        <v>979260156.20000005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7</v>
      </c>
      <c r="C99" s="1">
        <v>38047</v>
      </c>
      <c r="D99">
        <v>726244089.71000004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11</v>
      </c>
      <c r="C100" s="1">
        <v>38047</v>
      </c>
      <c r="D100">
        <v>683107657.67999995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136</v>
      </c>
      <c r="C101" s="1">
        <v>38047</v>
      </c>
      <c r="D101">
        <v>393600983.31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140</v>
      </c>
      <c r="C102" s="1">
        <v>38047</v>
      </c>
      <c r="D102">
        <v>373154271.91000003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369897963.13999999</v>
      </c>
      <c r="E103">
        <v>10</v>
      </c>
      <c r="H103" s="1"/>
    </row>
    <row r="104" spans="2:15">
      <c r="B104" s="1" t="s">
        <v>5</v>
      </c>
      <c r="C104" s="1">
        <v>38078</v>
      </c>
      <c r="D104">
        <v>11373820582.950001</v>
      </c>
      <c r="E104">
        <v>1</v>
      </c>
      <c r="H104" s="1"/>
    </row>
    <row r="105" spans="2:15">
      <c r="B105" s="1" t="s">
        <v>16</v>
      </c>
      <c r="C105" s="1">
        <v>38078</v>
      </c>
      <c r="D105">
        <v>2008197969.97</v>
      </c>
      <c r="E105">
        <v>2</v>
      </c>
      <c r="H105" s="1"/>
    </row>
    <row r="106" spans="2:15">
      <c r="B106" s="1" t="s">
        <v>8</v>
      </c>
      <c r="C106" s="1">
        <v>38078</v>
      </c>
      <c r="D106">
        <v>1302384256.4400001</v>
      </c>
      <c r="E106">
        <v>3</v>
      </c>
      <c r="H106" s="1"/>
    </row>
    <row r="107" spans="2:15">
      <c r="B107" s="1" t="s">
        <v>10</v>
      </c>
      <c r="C107" s="1">
        <v>38078</v>
      </c>
      <c r="D107">
        <v>1116001703.6800001</v>
      </c>
      <c r="E107">
        <v>4</v>
      </c>
      <c r="H107" s="1"/>
    </row>
    <row r="108" spans="2:15">
      <c r="B108" s="1" t="s">
        <v>7</v>
      </c>
      <c r="C108" s="1">
        <v>38078</v>
      </c>
      <c r="D108">
        <v>771109081.96000004</v>
      </c>
      <c r="E108">
        <v>5</v>
      </c>
      <c r="H108" s="1"/>
    </row>
    <row r="109" spans="2:15">
      <c r="B109" s="1" t="s">
        <v>11</v>
      </c>
      <c r="C109" s="1">
        <v>38078</v>
      </c>
      <c r="D109">
        <v>758406395.63999999</v>
      </c>
      <c r="E109">
        <v>6</v>
      </c>
      <c r="H109" s="1"/>
    </row>
    <row r="110" spans="2:15">
      <c r="B110" s="1" t="s">
        <v>30</v>
      </c>
      <c r="C110" s="1">
        <v>38078</v>
      </c>
      <c r="D110">
        <v>742555474.46000004</v>
      </c>
      <c r="E110">
        <v>7</v>
      </c>
      <c r="H110" s="1"/>
    </row>
    <row r="111" spans="2:15">
      <c r="B111" s="1" t="s">
        <v>17</v>
      </c>
      <c r="C111" s="1">
        <v>38078</v>
      </c>
      <c r="D111">
        <v>606404320.96000004</v>
      </c>
      <c r="E111">
        <v>8</v>
      </c>
      <c r="H111" s="1"/>
    </row>
    <row r="112" spans="2:15">
      <c r="B112" s="1" t="s">
        <v>18</v>
      </c>
      <c r="C112" s="1">
        <v>38078</v>
      </c>
      <c r="D112">
        <v>593909759.13</v>
      </c>
      <c r="E112">
        <v>9</v>
      </c>
      <c r="H112" s="1"/>
    </row>
    <row r="113" spans="2:8">
      <c r="B113" s="1" t="s">
        <v>9</v>
      </c>
      <c r="C113" s="1">
        <v>38078</v>
      </c>
      <c r="D113">
        <v>512588612.44999999</v>
      </c>
      <c r="E113">
        <v>10</v>
      </c>
      <c r="H113" s="1"/>
    </row>
    <row r="114" spans="2:8">
      <c r="B114" s="1" t="s">
        <v>5</v>
      </c>
      <c r="C114" s="1">
        <v>38108</v>
      </c>
      <c r="D114">
        <v>11452206892.49</v>
      </c>
      <c r="E114">
        <v>1</v>
      </c>
      <c r="H114" s="1"/>
    </row>
    <row r="115" spans="2:8">
      <c r="B115" s="1" t="s">
        <v>10</v>
      </c>
      <c r="C115" s="1">
        <v>38108</v>
      </c>
      <c r="D115">
        <v>8971864064.2900009</v>
      </c>
      <c r="E115">
        <v>2</v>
      </c>
      <c r="H115" s="1"/>
    </row>
    <row r="116" spans="2:8">
      <c r="B116" s="1" t="s">
        <v>8</v>
      </c>
      <c r="C116" s="1">
        <v>38108</v>
      </c>
      <c r="D116">
        <v>1595357433.5999999</v>
      </c>
      <c r="E116">
        <v>3</v>
      </c>
      <c r="H116" s="1"/>
    </row>
    <row r="117" spans="2:8">
      <c r="B117" s="1" t="s">
        <v>16</v>
      </c>
      <c r="C117" s="1">
        <v>38108</v>
      </c>
      <c r="D117">
        <v>1453780757.1600001</v>
      </c>
      <c r="E117">
        <v>4</v>
      </c>
      <c r="H117" s="1"/>
    </row>
    <row r="118" spans="2:8">
      <c r="B118" s="1" t="s">
        <v>11</v>
      </c>
      <c r="C118" s="1">
        <v>38108</v>
      </c>
      <c r="D118">
        <v>1051966876.52</v>
      </c>
      <c r="E118">
        <v>5</v>
      </c>
      <c r="H118" s="1"/>
    </row>
    <row r="119" spans="2:8">
      <c r="B119" s="1" t="s">
        <v>30</v>
      </c>
      <c r="C119" s="1">
        <v>38108</v>
      </c>
      <c r="D119">
        <v>1041533333.22</v>
      </c>
      <c r="E119">
        <v>6</v>
      </c>
      <c r="H119" s="1"/>
    </row>
    <row r="120" spans="2:8">
      <c r="B120" s="1" t="s">
        <v>7</v>
      </c>
      <c r="C120" s="1">
        <v>38108</v>
      </c>
      <c r="D120">
        <v>991309388.50999999</v>
      </c>
      <c r="E120">
        <v>7</v>
      </c>
      <c r="H120" s="1"/>
    </row>
    <row r="121" spans="2:8">
      <c r="B121" s="1" t="s">
        <v>9</v>
      </c>
      <c r="C121" s="1">
        <v>38108</v>
      </c>
      <c r="D121">
        <v>607079548.82000005</v>
      </c>
      <c r="E121">
        <v>8</v>
      </c>
      <c r="H121" s="1"/>
    </row>
    <row r="122" spans="2:8">
      <c r="B122" s="1" t="s">
        <v>138</v>
      </c>
      <c r="C122" s="1">
        <v>38108</v>
      </c>
      <c r="D122">
        <v>565973791.83000004</v>
      </c>
      <c r="E122">
        <v>9</v>
      </c>
    </row>
    <row r="123" spans="2:8">
      <c r="B123" s="1" t="s">
        <v>21</v>
      </c>
      <c r="C123" s="1">
        <v>38108</v>
      </c>
      <c r="D123">
        <v>556357766.21000004</v>
      </c>
      <c r="E123">
        <v>10</v>
      </c>
    </row>
    <row r="124" spans="2:8">
      <c r="B124" s="1" t="s">
        <v>5</v>
      </c>
      <c r="C124" s="1">
        <v>38139</v>
      </c>
      <c r="D124">
        <v>10261824878.860001</v>
      </c>
      <c r="E124">
        <v>1</v>
      </c>
    </row>
    <row r="125" spans="2:8">
      <c r="B125" s="1" t="s">
        <v>10</v>
      </c>
      <c r="C125" s="1">
        <v>38139</v>
      </c>
      <c r="D125">
        <v>5955115177.5200005</v>
      </c>
      <c r="E125">
        <v>2</v>
      </c>
    </row>
    <row r="126" spans="2:8">
      <c r="B126" s="1" t="s">
        <v>16</v>
      </c>
      <c r="C126" s="1">
        <v>38139</v>
      </c>
      <c r="D126">
        <v>2787328884.0300002</v>
      </c>
      <c r="E126">
        <v>3</v>
      </c>
    </row>
    <row r="127" spans="2:8">
      <c r="B127" s="1" t="s">
        <v>8</v>
      </c>
      <c r="C127" s="1">
        <v>38139</v>
      </c>
      <c r="D127">
        <v>1965057030.0799999</v>
      </c>
      <c r="E127">
        <v>4</v>
      </c>
    </row>
    <row r="128" spans="2:8">
      <c r="B128" s="1" t="s">
        <v>11</v>
      </c>
      <c r="C128" s="1">
        <v>38139</v>
      </c>
      <c r="D128">
        <v>1240838109.6500001</v>
      </c>
      <c r="E128">
        <v>5</v>
      </c>
    </row>
    <row r="129" spans="2:5">
      <c r="B129" s="1" t="s">
        <v>7</v>
      </c>
      <c r="C129" s="1">
        <v>38139</v>
      </c>
      <c r="D129">
        <v>896114085.15999997</v>
      </c>
      <c r="E129">
        <v>6</v>
      </c>
    </row>
    <row r="130" spans="2:5">
      <c r="B130" s="1" t="s">
        <v>30</v>
      </c>
      <c r="C130" s="1">
        <v>38139</v>
      </c>
      <c r="D130">
        <v>843678740.34000003</v>
      </c>
      <c r="E130">
        <v>7</v>
      </c>
    </row>
    <row r="131" spans="2:5">
      <c r="B131" s="1" t="s">
        <v>18</v>
      </c>
      <c r="C131" s="1">
        <v>38139</v>
      </c>
      <c r="D131">
        <v>841082129.12</v>
      </c>
      <c r="E131">
        <v>8</v>
      </c>
    </row>
    <row r="132" spans="2:5">
      <c r="B132" s="1" t="s">
        <v>138</v>
      </c>
      <c r="C132" s="1">
        <v>38139</v>
      </c>
      <c r="D132">
        <v>669998675.44000006</v>
      </c>
      <c r="E132">
        <v>9</v>
      </c>
    </row>
    <row r="133" spans="2:5">
      <c r="B133" s="1" t="s">
        <v>9</v>
      </c>
      <c r="C133" s="1">
        <v>38139</v>
      </c>
      <c r="D133">
        <v>653777926.72000003</v>
      </c>
      <c r="E133">
        <v>10</v>
      </c>
    </row>
    <row r="134" spans="2:5">
      <c r="B134" s="1" t="s">
        <v>5</v>
      </c>
      <c r="C134" s="1">
        <v>38169</v>
      </c>
      <c r="D134">
        <v>9249527769.5100002</v>
      </c>
      <c r="E134">
        <v>1</v>
      </c>
    </row>
    <row r="135" spans="2:5">
      <c r="B135" s="1" t="s">
        <v>10</v>
      </c>
      <c r="C135" s="1">
        <v>38169</v>
      </c>
      <c r="D135">
        <v>5987766742.6999998</v>
      </c>
      <c r="E135">
        <v>2</v>
      </c>
    </row>
    <row r="136" spans="2:5">
      <c r="B136" s="1" t="s">
        <v>16</v>
      </c>
      <c r="C136" s="1">
        <v>38169</v>
      </c>
      <c r="D136">
        <v>2115295841.5</v>
      </c>
      <c r="E136">
        <v>3</v>
      </c>
    </row>
    <row r="137" spans="2:5">
      <c r="B137" s="1" t="s">
        <v>8</v>
      </c>
      <c r="C137" s="1">
        <v>38169</v>
      </c>
      <c r="D137">
        <v>1433903943.5799999</v>
      </c>
      <c r="E137">
        <v>4</v>
      </c>
    </row>
    <row r="138" spans="2:5">
      <c r="B138" s="1" t="s">
        <v>7</v>
      </c>
      <c r="C138" s="1">
        <v>38169</v>
      </c>
      <c r="D138">
        <v>1210792209.96</v>
      </c>
      <c r="E138">
        <v>5</v>
      </c>
    </row>
    <row r="139" spans="2:5">
      <c r="B139" s="1" t="s">
        <v>11</v>
      </c>
      <c r="C139" s="1">
        <v>38169</v>
      </c>
      <c r="D139">
        <v>949320265.55999994</v>
      </c>
      <c r="E139">
        <v>6</v>
      </c>
    </row>
    <row r="140" spans="2:5">
      <c r="B140" s="1" t="s">
        <v>18</v>
      </c>
      <c r="C140" s="1">
        <v>38169</v>
      </c>
      <c r="D140">
        <v>877914169.88999999</v>
      </c>
      <c r="E140">
        <v>7</v>
      </c>
    </row>
    <row r="141" spans="2:5">
      <c r="B141" s="1" t="s">
        <v>30</v>
      </c>
      <c r="C141" s="1">
        <v>38169</v>
      </c>
      <c r="D141">
        <v>869573846.80999994</v>
      </c>
      <c r="E141">
        <v>8</v>
      </c>
    </row>
    <row r="142" spans="2:5">
      <c r="B142" s="1" t="s">
        <v>9</v>
      </c>
      <c r="C142" s="1">
        <v>38169</v>
      </c>
      <c r="D142">
        <v>727168475.23000002</v>
      </c>
      <c r="E142">
        <v>9</v>
      </c>
    </row>
    <row r="143" spans="2:5">
      <c r="B143" s="1" t="s">
        <v>137</v>
      </c>
      <c r="C143" s="1">
        <v>38169</v>
      </c>
      <c r="D143">
        <v>643165828.67999995</v>
      </c>
      <c r="E143">
        <v>10</v>
      </c>
    </row>
    <row r="144" spans="2:5">
      <c r="B144" s="1" t="s">
        <v>5</v>
      </c>
      <c r="C144" s="1">
        <v>38200</v>
      </c>
      <c r="D144">
        <v>7770091037.8599997</v>
      </c>
      <c r="E144">
        <v>1</v>
      </c>
    </row>
    <row r="145" spans="2:5">
      <c r="B145" s="1" t="s">
        <v>10</v>
      </c>
      <c r="C145" s="1">
        <v>38200</v>
      </c>
      <c r="D145">
        <v>4380249369.75</v>
      </c>
      <c r="E145">
        <v>2</v>
      </c>
    </row>
    <row r="146" spans="2:5">
      <c r="B146" s="1" t="s">
        <v>16</v>
      </c>
      <c r="C146" s="1">
        <v>38200</v>
      </c>
      <c r="D146">
        <v>1946508724.6099999</v>
      </c>
      <c r="E146">
        <v>3</v>
      </c>
    </row>
    <row r="147" spans="2:5">
      <c r="B147" s="1" t="s">
        <v>30</v>
      </c>
      <c r="C147" s="1">
        <v>38200</v>
      </c>
      <c r="D147">
        <v>979790921.73000002</v>
      </c>
      <c r="E147">
        <v>4</v>
      </c>
    </row>
    <row r="148" spans="2:5">
      <c r="B148" s="1" t="s">
        <v>8</v>
      </c>
      <c r="C148" s="1">
        <v>38200</v>
      </c>
      <c r="D148">
        <v>969465042.34000003</v>
      </c>
      <c r="E148">
        <v>5</v>
      </c>
    </row>
    <row r="149" spans="2:5">
      <c r="B149" s="1" t="s">
        <v>7</v>
      </c>
      <c r="C149" s="1">
        <v>38200</v>
      </c>
      <c r="D149">
        <v>905512217.89999998</v>
      </c>
      <c r="E149">
        <v>6</v>
      </c>
    </row>
    <row r="150" spans="2:5">
      <c r="B150" s="1" t="s">
        <v>11</v>
      </c>
      <c r="C150" s="1">
        <v>38200</v>
      </c>
      <c r="D150">
        <v>747367268.19000006</v>
      </c>
      <c r="E150">
        <v>7</v>
      </c>
    </row>
    <row r="151" spans="2:5">
      <c r="B151" s="1" t="s">
        <v>136</v>
      </c>
      <c r="C151" s="1">
        <v>38200</v>
      </c>
      <c r="D151">
        <v>586467189.25</v>
      </c>
      <c r="E151">
        <v>8</v>
      </c>
    </row>
    <row r="152" spans="2:5">
      <c r="B152" s="1" t="s">
        <v>137</v>
      </c>
      <c r="C152" s="1">
        <v>38200</v>
      </c>
      <c r="D152">
        <v>492350449.87</v>
      </c>
      <c r="E152">
        <v>9</v>
      </c>
    </row>
    <row r="153" spans="2:5">
      <c r="B153" s="1" t="s">
        <v>9</v>
      </c>
      <c r="C153" s="1">
        <v>38200</v>
      </c>
      <c r="D153">
        <v>419789626.54000002</v>
      </c>
      <c r="E153">
        <v>10</v>
      </c>
    </row>
    <row r="154" spans="2:5">
      <c r="B154" s="1" t="s">
        <v>5</v>
      </c>
      <c r="C154" s="1">
        <v>38231</v>
      </c>
      <c r="D154">
        <v>8096770488.9700003</v>
      </c>
      <c r="E154">
        <v>1</v>
      </c>
    </row>
    <row r="155" spans="2:5">
      <c r="B155" s="1" t="s">
        <v>10</v>
      </c>
      <c r="C155" s="1">
        <v>38231</v>
      </c>
      <c r="D155">
        <v>2189526792.29</v>
      </c>
      <c r="E155">
        <v>2</v>
      </c>
    </row>
    <row r="156" spans="2:5">
      <c r="B156" s="1" t="s">
        <v>16</v>
      </c>
      <c r="C156" s="1">
        <v>38231</v>
      </c>
      <c r="D156">
        <v>1314841883.22</v>
      </c>
      <c r="E156">
        <v>3</v>
      </c>
    </row>
    <row r="157" spans="2:5">
      <c r="B157" s="1" t="s">
        <v>8</v>
      </c>
      <c r="C157" s="1">
        <v>38231</v>
      </c>
      <c r="D157">
        <v>977772680.30999994</v>
      </c>
      <c r="E157">
        <v>4</v>
      </c>
    </row>
    <row r="158" spans="2:5">
      <c r="B158" s="1" t="s">
        <v>30</v>
      </c>
      <c r="C158" s="1">
        <v>38231</v>
      </c>
      <c r="D158">
        <v>902065292.52999997</v>
      </c>
      <c r="E158">
        <v>5</v>
      </c>
    </row>
    <row r="159" spans="2:5">
      <c r="B159" s="1" t="s">
        <v>7</v>
      </c>
      <c r="C159" s="1">
        <v>38231</v>
      </c>
      <c r="D159">
        <v>761655238.01999998</v>
      </c>
      <c r="E159">
        <v>6</v>
      </c>
    </row>
    <row r="160" spans="2:5">
      <c r="B160" s="1" t="s">
        <v>11</v>
      </c>
      <c r="C160" s="1">
        <v>38231</v>
      </c>
      <c r="D160">
        <v>581763827.16999996</v>
      </c>
      <c r="E160">
        <v>7</v>
      </c>
    </row>
    <row r="161" spans="2:5">
      <c r="B161" s="1" t="s">
        <v>9</v>
      </c>
      <c r="C161" s="1">
        <v>38231</v>
      </c>
      <c r="D161">
        <v>432867966.08999997</v>
      </c>
      <c r="E161">
        <v>8</v>
      </c>
    </row>
    <row r="162" spans="2:5">
      <c r="B162" s="1" t="s">
        <v>136</v>
      </c>
      <c r="C162" s="1">
        <v>38231</v>
      </c>
      <c r="D162">
        <v>397566696.60000002</v>
      </c>
      <c r="E162">
        <v>9</v>
      </c>
    </row>
    <row r="163" spans="2:5">
      <c r="B163" s="1" t="s">
        <v>137</v>
      </c>
      <c r="C163" s="1">
        <v>38231</v>
      </c>
      <c r="D163">
        <v>365148105.77999997</v>
      </c>
      <c r="E163">
        <v>10</v>
      </c>
    </row>
    <row r="164" spans="2:5">
      <c r="B164" s="1" t="s">
        <v>5</v>
      </c>
      <c r="C164" s="1">
        <v>38261</v>
      </c>
      <c r="D164">
        <v>7344628182.6999998</v>
      </c>
      <c r="E164">
        <v>1</v>
      </c>
    </row>
    <row r="165" spans="2:5">
      <c r="B165" s="1" t="s">
        <v>10</v>
      </c>
      <c r="C165" s="1">
        <v>38261</v>
      </c>
      <c r="D165">
        <v>2846023471.5300002</v>
      </c>
      <c r="E165">
        <v>2</v>
      </c>
    </row>
    <row r="166" spans="2:5">
      <c r="B166" s="1" t="s">
        <v>16</v>
      </c>
      <c r="C166" s="1">
        <v>38261</v>
      </c>
      <c r="D166">
        <v>1530308531.2</v>
      </c>
      <c r="E166">
        <v>3</v>
      </c>
    </row>
    <row r="167" spans="2:5">
      <c r="B167" s="1" t="s">
        <v>8</v>
      </c>
      <c r="C167" s="1">
        <v>38261</v>
      </c>
      <c r="D167">
        <v>1119369329.79</v>
      </c>
      <c r="E167">
        <v>4</v>
      </c>
    </row>
    <row r="168" spans="2:5">
      <c r="B168" s="1" t="s">
        <v>7</v>
      </c>
      <c r="C168" s="1">
        <v>38261</v>
      </c>
      <c r="D168">
        <v>835517781.16999996</v>
      </c>
      <c r="E168">
        <v>5</v>
      </c>
    </row>
    <row r="169" spans="2:5">
      <c r="B169" s="1" t="s">
        <v>11</v>
      </c>
      <c r="C169" s="1">
        <v>38261</v>
      </c>
      <c r="D169">
        <v>721103970.91999996</v>
      </c>
      <c r="E169">
        <v>6</v>
      </c>
    </row>
    <row r="170" spans="2:5">
      <c r="B170" s="1" t="s">
        <v>30</v>
      </c>
      <c r="C170" s="1">
        <v>38261</v>
      </c>
      <c r="D170">
        <v>634565626.85000002</v>
      </c>
      <c r="E170">
        <v>7</v>
      </c>
    </row>
    <row r="171" spans="2:5">
      <c r="B171" s="1" t="s">
        <v>18</v>
      </c>
      <c r="C171" s="1">
        <v>38261</v>
      </c>
      <c r="D171">
        <v>598654323.79999995</v>
      </c>
      <c r="E171">
        <v>8</v>
      </c>
    </row>
    <row r="172" spans="2:5">
      <c r="B172" s="1" t="s">
        <v>21</v>
      </c>
      <c r="C172" s="1">
        <v>38261</v>
      </c>
      <c r="D172">
        <v>483415550.00999999</v>
      </c>
      <c r="E172">
        <v>9</v>
      </c>
    </row>
    <row r="173" spans="2:5">
      <c r="B173" s="1" t="s">
        <v>136</v>
      </c>
      <c r="C173" s="1">
        <v>38261</v>
      </c>
      <c r="D173">
        <v>450464777.45999998</v>
      </c>
      <c r="E173">
        <v>10</v>
      </c>
    </row>
    <row r="174" spans="2:5">
      <c r="B174" s="1" t="s">
        <v>5</v>
      </c>
      <c r="C174" s="1">
        <v>38292</v>
      </c>
      <c r="D174">
        <v>6206174286.2700005</v>
      </c>
      <c r="E174">
        <v>1</v>
      </c>
    </row>
    <row r="175" spans="2:5">
      <c r="B175" s="1" t="s">
        <v>10</v>
      </c>
      <c r="C175" s="1">
        <v>38292</v>
      </c>
      <c r="D175">
        <v>2141612616.1400001</v>
      </c>
      <c r="E175">
        <v>2</v>
      </c>
    </row>
    <row r="176" spans="2:5">
      <c r="B176" s="1" t="s">
        <v>16</v>
      </c>
      <c r="C176" s="1">
        <v>38292</v>
      </c>
      <c r="D176">
        <v>2100084686.99</v>
      </c>
      <c r="E176">
        <v>3</v>
      </c>
    </row>
    <row r="177" spans="2:5">
      <c r="B177" s="1" t="s">
        <v>8</v>
      </c>
      <c r="C177" s="1">
        <v>38292</v>
      </c>
      <c r="D177">
        <v>1038774031.25</v>
      </c>
      <c r="E177">
        <v>4</v>
      </c>
    </row>
    <row r="178" spans="2:5">
      <c r="B178" s="1" t="s">
        <v>7</v>
      </c>
      <c r="C178" s="1">
        <v>38292</v>
      </c>
      <c r="D178">
        <v>669807736.55999994</v>
      </c>
      <c r="E178">
        <v>5</v>
      </c>
    </row>
    <row r="179" spans="2:5">
      <c r="B179" s="1" t="s">
        <v>30</v>
      </c>
      <c r="C179" s="1">
        <v>38292</v>
      </c>
      <c r="D179">
        <v>580779347</v>
      </c>
      <c r="E179">
        <v>6</v>
      </c>
    </row>
    <row r="180" spans="2:5">
      <c r="B180" s="1" t="s">
        <v>11</v>
      </c>
      <c r="C180" s="1">
        <v>38292</v>
      </c>
      <c r="D180">
        <v>497094184.94</v>
      </c>
      <c r="E180">
        <v>7</v>
      </c>
    </row>
    <row r="181" spans="2:5">
      <c r="B181" s="1" t="s">
        <v>21</v>
      </c>
      <c r="C181" s="1">
        <v>38292</v>
      </c>
      <c r="D181">
        <v>436314105.33999997</v>
      </c>
      <c r="E181">
        <v>8</v>
      </c>
    </row>
    <row r="182" spans="2:5">
      <c r="B182" s="1" t="s">
        <v>136</v>
      </c>
      <c r="C182" s="1">
        <v>38292</v>
      </c>
      <c r="D182">
        <v>418324804.48000002</v>
      </c>
      <c r="E182">
        <v>9</v>
      </c>
    </row>
    <row r="183" spans="2:5">
      <c r="B183" s="1" t="s">
        <v>137</v>
      </c>
      <c r="C183" s="1">
        <v>38292</v>
      </c>
      <c r="D183">
        <v>418008275.74000001</v>
      </c>
      <c r="E183">
        <v>10</v>
      </c>
    </row>
    <row r="184" spans="2:5">
      <c r="B184" s="1" t="s">
        <v>5</v>
      </c>
      <c r="C184" s="1">
        <v>38322</v>
      </c>
      <c r="D184">
        <v>5221389376.7700005</v>
      </c>
      <c r="E184">
        <v>1</v>
      </c>
    </row>
    <row r="185" spans="2:5">
      <c r="B185" s="1" t="s">
        <v>10</v>
      </c>
      <c r="C185" s="1">
        <v>38322</v>
      </c>
      <c r="D185">
        <v>2296991670.52</v>
      </c>
      <c r="E185">
        <v>2</v>
      </c>
    </row>
    <row r="186" spans="2:5">
      <c r="B186" s="1" t="s">
        <v>16</v>
      </c>
      <c r="C186" s="1">
        <v>38322</v>
      </c>
      <c r="D186">
        <v>1933615871.8099999</v>
      </c>
      <c r="E186">
        <v>3</v>
      </c>
    </row>
    <row r="187" spans="2:5">
      <c r="B187" s="1" t="s">
        <v>8</v>
      </c>
      <c r="C187" s="1">
        <v>38322</v>
      </c>
      <c r="D187">
        <v>1111679216.8499999</v>
      </c>
      <c r="E187">
        <v>4</v>
      </c>
    </row>
    <row r="188" spans="2:5">
      <c r="B188" s="1" t="s">
        <v>7</v>
      </c>
      <c r="C188" s="1">
        <v>38322</v>
      </c>
      <c r="D188">
        <v>782734237.75999999</v>
      </c>
      <c r="E188">
        <v>5</v>
      </c>
    </row>
    <row r="189" spans="2:5">
      <c r="B189" s="1" t="s">
        <v>11</v>
      </c>
      <c r="C189" s="1">
        <v>38322</v>
      </c>
      <c r="D189">
        <v>619260066.98000002</v>
      </c>
      <c r="E189">
        <v>6</v>
      </c>
    </row>
    <row r="190" spans="2:5">
      <c r="B190" s="1" t="s">
        <v>30</v>
      </c>
      <c r="C190" s="1">
        <v>38322</v>
      </c>
      <c r="D190">
        <v>514627619.87</v>
      </c>
      <c r="E190">
        <v>7</v>
      </c>
    </row>
    <row r="191" spans="2:5">
      <c r="B191" s="1" t="s">
        <v>21</v>
      </c>
      <c r="C191" s="1">
        <v>38322</v>
      </c>
      <c r="D191">
        <v>483136683.55000001</v>
      </c>
      <c r="E191">
        <v>8</v>
      </c>
    </row>
    <row r="192" spans="2:5">
      <c r="B192" s="1" t="s">
        <v>17</v>
      </c>
      <c r="C192" s="1">
        <v>38322</v>
      </c>
      <c r="D192">
        <v>451077929.11000001</v>
      </c>
      <c r="E192">
        <v>9</v>
      </c>
    </row>
    <row r="193" spans="2:5">
      <c r="B193" s="1" t="s">
        <v>9</v>
      </c>
      <c r="C193" s="1">
        <v>38322</v>
      </c>
      <c r="D193">
        <v>444169850.23000002</v>
      </c>
      <c r="E193">
        <v>10</v>
      </c>
    </row>
    <row r="194" spans="2:5">
      <c r="B194" s="1" t="s">
        <v>5</v>
      </c>
      <c r="C194" s="1">
        <v>38353</v>
      </c>
      <c r="D194">
        <v>6335052438.8400002</v>
      </c>
      <c r="E194">
        <v>1</v>
      </c>
    </row>
    <row r="195" spans="2:5">
      <c r="B195" s="1" t="s">
        <v>16</v>
      </c>
      <c r="C195" s="1">
        <v>38353</v>
      </c>
      <c r="D195">
        <v>2327791831.7600002</v>
      </c>
      <c r="E195">
        <v>2</v>
      </c>
    </row>
    <row r="196" spans="2:5">
      <c r="B196" s="1" t="s">
        <v>10</v>
      </c>
      <c r="C196" s="1">
        <v>38353</v>
      </c>
      <c r="D196">
        <v>2301561192.1199999</v>
      </c>
      <c r="E196">
        <v>3</v>
      </c>
    </row>
    <row r="197" spans="2:5">
      <c r="B197" s="1" t="s">
        <v>70</v>
      </c>
      <c r="C197" s="1">
        <v>38353</v>
      </c>
      <c r="D197">
        <v>1044130065.28</v>
      </c>
      <c r="E197">
        <v>4</v>
      </c>
    </row>
    <row r="198" spans="2:5">
      <c r="B198" s="1" t="s">
        <v>8</v>
      </c>
      <c r="C198" s="1">
        <v>38353</v>
      </c>
      <c r="D198">
        <v>893087634.78999996</v>
      </c>
      <c r="E198">
        <v>5</v>
      </c>
    </row>
    <row r="199" spans="2:5">
      <c r="B199" s="1" t="s">
        <v>7</v>
      </c>
      <c r="C199" s="1">
        <v>38353</v>
      </c>
      <c r="D199">
        <v>673685780.14999998</v>
      </c>
      <c r="E199">
        <v>6</v>
      </c>
    </row>
    <row r="200" spans="2:5">
      <c r="B200" s="1" t="s">
        <v>11</v>
      </c>
      <c r="C200" s="1">
        <v>38353</v>
      </c>
      <c r="D200">
        <v>553669511.69000006</v>
      </c>
      <c r="E200">
        <v>7</v>
      </c>
    </row>
    <row r="201" spans="2:5">
      <c r="B201" s="1" t="s">
        <v>17</v>
      </c>
      <c r="C201" s="1">
        <v>38353</v>
      </c>
      <c r="D201">
        <v>462763610.32999998</v>
      </c>
      <c r="E201">
        <v>8</v>
      </c>
    </row>
    <row r="202" spans="2:5">
      <c r="B202" s="1" t="s">
        <v>9</v>
      </c>
      <c r="C202" s="1">
        <v>38353</v>
      </c>
      <c r="D202">
        <v>462597391.94999999</v>
      </c>
      <c r="E202">
        <v>9</v>
      </c>
    </row>
    <row r="203" spans="2:5">
      <c r="B203" s="1" t="s">
        <v>21</v>
      </c>
      <c r="C203" s="1">
        <v>38353</v>
      </c>
      <c r="D203">
        <v>392539289.98000002</v>
      </c>
      <c r="E203">
        <v>10</v>
      </c>
    </row>
    <row r="204" spans="2:5">
      <c r="B204" s="1" t="s">
        <v>5</v>
      </c>
      <c r="C204" s="1">
        <v>38384</v>
      </c>
      <c r="D204">
        <v>4899040406.6099997</v>
      </c>
      <c r="E204">
        <v>1</v>
      </c>
    </row>
    <row r="205" spans="2:5">
      <c r="B205" s="1" t="s">
        <v>10</v>
      </c>
      <c r="C205" s="1">
        <v>38384</v>
      </c>
      <c r="D205">
        <v>2940366449.5</v>
      </c>
      <c r="E205">
        <v>2</v>
      </c>
    </row>
    <row r="206" spans="2:5">
      <c r="B206" s="1" t="s">
        <v>16</v>
      </c>
      <c r="C206" s="1">
        <v>38384</v>
      </c>
      <c r="D206">
        <v>2341434701.0799999</v>
      </c>
      <c r="E206">
        <v>3</v>
      </c>
    </row>
    <row r="207" spans="2:5">
      <c r="B207" s="1" t="s">
        <v>8</v>
      </c>
      <c r="C207" s="1">
        <v>38384</v>
      </c>
      <c r="D207">
        <v>1584384715.02</v>
      </c>
      <c r="E207">
        <v>4</v>
      </c>
    </row>
    <row r="208" spans="2:5">
      <c r="B208" s="1" t="s">
        <v>30</v>
      </c>
      <c r="C208" s="1">
        <v>38384</v>
      </c>
      <c r="D208">
        <v>878150368.83000004</v>
      </c>
      <c r="E208">
        <v>5</v>
      </c>
    </row>
    <row r="209" spans="2:5">
      <c r="B209" s="1" t="s">
        <v>7</v>
      </c>
      <c r="C209" s="1">
        <v>38384</v>
      </c>
      <c r="D209">
        <v>680138468.63999999</v>
      </c>
      <c r="E209">
        <v>6</v>
      </c>
    </row>
    <row r="210" spans="2:5">
      <c r="B210" s="1" t="s">
        <v>139</v>
      </c>
      <c r="C210" s="1">
        <v>38384</v>
      </c>
      <c r="D210">
        <v>648018420.23000002</v>
      </c>
      <c r="E210">
        <v>7</v>
      </c>
    </row>
    <row r="211" spans="2:5">
      <c r="B211" s="1" t="s">
        <v>11</v>
      </c>
      <c r="C211" s="1">
        <v>38384</v>
      </c>
      <c r="D211">
        <v>640892759.96000004</v>
      </c>
      <c r="E211">
        <v>8</v>
      </c>
    </row>
    <row r="212" spans="2:5">
      <c r="B212" s="1" t="s">
        <v>9</v>
      </c>
      <c r="C212" s="1">
        <v>38384</v>
      </c>
      <c r="D212">
        <v>489224138.67000002</v>
      </c>
      <c r="E212">
        <v>9</v>
      </c>
    </row>
    <row r="213" spans="2:5">
      <c r="B213" s="1" t="s">
        <v>21</v>
      </c>
      <c r="C213" s="1">
        <v>38384</v>
      </c>
      <c r="D213">
        <v>456562097.23000002</v>
      </c>
      <c r="E213">
        <v>10</v>
      </c>
    </row>
    <row r="214" spans="2:5">
      <c r="B214" s="1" t="s">
        <v>5</v>
      </c>
      <c r="C214" s="1">
        <v>38412</v>
      </c>
      <c r="D214">
        <v>4257395851.2199998</v>
      </c>
      <c r="E214">
        <v>1</v>
      </c>
    </row>
    <row r="215" spans="2:5">
      <c r="B215" s="1" t="s">
        <v>10</v>
      </c>
      <c r="C215" s="1">
        <v>38412</v>
      </c>
      <c r="D215">
        <v>2288475168.52</v>
      </c>
      <c r="E215">
        <v>2</v>
      </c>
    </row>
    <row r="216" spans="2:5">
      <c r="B216" s="1" t="s">
        <v>16</v>
      </c>
      <c r="C216" s="1">
        <v>38412</v>
      </c>
      <c r="D216">
        <v>1607330806.52</v>
      </c>
      <c r="E216">
        <v>3</v>
      </c>
    </row>
    <row r="217" spans="2:5">
      <c r="B217" s="1" t="s">
        <v>8</v>
      </c>
      <c r="C217" s="1">
        <v>38412</v>
      </c>
      <c r="D217">
        <v>1156931085.5699999</v>
      </c>
      <c r="E217">
        <v>4</v>
      </c>
    </row>
    <row r="218" spans="2:5">
      <c r="B218" s="1" t="s">
        <v>7</v>
      </c>
      <c r="C218" s="1">
        <v>38412</v>
      </c>
      <c r="D218">
        <v>887176881.39999998</v>
      </c>
      <c r="E218">
        <v>5</v>
      </c>
    </row>
    <row r="219" spans="2:5">
      <c r="B219" s="1" t="s">
        <v>30</v>
      </c>
      <c r="C219" s="1">
        <v>38412</v>
      </c>
      <c r="D219">
        <v>665791396.12</v>
      </c>
      <c r="E219">
        <v>6</v>
      </c>
    </row>
    <row r="220" spans="2:5">
      <c r="B220" s="1" t="s">
        <v>11</v>
      </c>
      <c r="C220" s="1">
        <v>38412</v>
      </c>
      <c r="D220">
        <v>484190860.20999998</v>
      </c>
      <c r="E220">
        <v>7</v>
      </c>
    </row>
    <row r="221" spans="2:5">
      <c r="B221" s="1" t="s">
        <v>139</v>
      </c>
      <c r="C221" s="1">
        <v>38412</v>
      </c>
      <c r="D221">
        <v>429069335.48000002</v>
      </c>
      <c r="E221">
        <v>8</v>
      </c>
    </row>
    <row r="222" spans="2:5">
      <c r="B222" s="1" t="s">
        <v>17</v>
      </c>
      <c r="C222" s="1">
        <v>38412</v>
      </c>
      <c r="D222">
        <v>411165766.77999997</v>
      </c>
      <c r="E222">
        <v>9</v>
      </c>
    </row>
    <row r="223" spans="2:5">
      <c r="B223" s="1" t="s">
        <v>21</v>
      </c>
      <c r="C223" s="1">
        <v>38412</v>
      </c>
      <c r="D223">
        <v>393318197.63</v>
      </c>
      <c r="E223">
        <v>10</v>
      </c>
    </row>
    <row r="224" spans="2:5">
      <c r="B224" s="1" t="s">
        <v>5</v>
      </c>
      <c r="C224" s="1">
        <v>38443</v>
      </c>
      <c r="D224">
        <v>4545288580.9300003</v>
      </c>
      <c r="E224">
        <v>1</v>
      </c>
    </row>
    <row r="225" spans="2:5">
      <c r="B225" s="1" t="s">
        <v>10</v>
      </c>
      <c r="C225" s="1">
        <v>38443</v>
      </c>
      <c r="D225">
        <v>2240641016.6799998</v>
      </c>
      <c r="E225">
        <v>2</v>
      </c>
    </row>
    <row r="226" spans="2:5">
      <c r="B226" s="1" t="s">
        <v>16</v>
      </c>
      <c r="C226" s="1">
        <v>38443</v>
      </c>
      <c r="D226">
        <v>2162657746.1500001</v>
      </c>
      <c r="E226">
        <v>3</v>
      </c>
    </row>
    <row r="227" spans="2:5">
      <c r="B227" s="1" t="s">
        <v>8</v>
      </c>
      <c r="C227" s="1">
        <v>38443</v>
      </c>
      <c r="D227">
        <v>1240894459.51</v>
      </c>
      <c r="E227">
        <v>4</v>
      </c>
    </row>
    <row r="228" spans="2:5">
      <c r="B228" s="1" t="s">
        <v>30</v>
      </c>
      <c r="C228" s="1">
        <v>38443</v>
      </c>
      <c r="D228">
        <v>1030204361.03</v>
      </c>
      <c r="E228">
        <v>5</v>
      </c>
    </row>
    <row r="229" spans="2:5">
      <c r="B229" s="1" t="s">
        <v>7</v>
      </c>
      <c r="C229" s="1">
        <v>38443</v>
      </c>
      <c r="D229">
        <v>755896256.55999994</v>
      </c>
      <c r="E229">
        <v>6</v>
      </c>
    </row>
    <row r="230" spans="2:5">
      <c r="B230" s="1" t="s">
        <v>11</v>
      </c>
      <c r="C230" s="1">
        <v>38443</v>
      </c>
      <c r="D230">
        <v>539230414.86000001</v>
      </c>
      <c r="E230">
        <v>7</v>
      </c>
    </row>
    <row r="231" spans="2:5">
      <c r="B231" s="1" t="s">
        <v>9</v>
      </c>
      <c r="C231" s="1">
        <v>38443</v>
      </c>
      <c r="D231">
        <v>415433112.69</v>
      </c>
      <c r="E231">
        <v>8</v>
      </c>
    </row>
    <row r="232" spans="2:5">
      <c r="B232" s="1" t="s">
        <v>14</v>
      </c>
      <c r="C232" s="1">
        <v>38443</v>
      </c>
      <c r="D232">
        <v>400890037.27999997</v>
      </c>
      <c r="E232">
        <v>9</v>
      </c>
    </row>
    <row r="233" spans="2:5">
      <c r="B233" s="1" t="s">
        <v>21</v>
      </c>
      <c r="C233" s="1">
        <v>38443</v>
      </c>
      <c r="D233">
        <v>399691834.92000002</v>
      </c>
      <c r="E233">
        <v>10</v>
      </c>
    </row>
    <row r="234" spans="2:5">
      <c r="B234" s="1" t="s">
        <v>5</v>
      </c>
      <c r="C234" s="1">
        <v>38473</v>
      </c>
      <c r="D234">
        <v>5978111138.7600002</v>
      </c>
      <c r="E234">
        <v>1</v>
      </c>
    </row>
    <row r="235" spans="2:5">
      <c r="B235" s="1" t="s">
        <v>16</v>
      </c>
      <c r="C235" s="1">
        <v>38473</v>
      </c>
      <c r="D235">
        <v>2681093688.6500001</v>
      </c>
      <c r="E235">
        <v>2</v>
      </c>
    </row>
    <row r="236" spans="2:5">
      <c r="B236" s="1" t="s">
        <v>8</v>
      </c>
      <c r="C236" s="1">
        <v>38473</v>
      </c>
      <c r="D236">
        <v>1533778537.5599999</v>
      </c>
      <c r="E236">
        <v>3</v>
      </c>
    </row>
    <row r="237" spans="2:5">
      <c r="B237" s="1" t="s">
        <v>30</v>
      </c>
      <c r="C237" s="1">
        <v>38473</v>
      </c>
      <c r="D237">
        <v>1259546433.72</v>
      </c>
      <c r="E237">
        <v>4</v>
      </c>
    </row>
    <row r="238" spans="2:5">
      <c r="B238" s="1" t="s">
        <v>7</v>
      </c>
      <c r="C238" s="1">
        <v>38473</v>
      </c>
      <c r="D238">
        <v>730140954.38</v>
      </c>
      <c r="E238">
        <v>5</v>
      </c>
    </row>
    <row r="239" spans="2:5">
      <c r="B239" s="1" t="s">
        <v>11</v>
      </c>
      <c r="C239" s="1">
        <v>38473</v>
      </c>
      <c r="D239">
        <v>695502661.55999994</v>
      </c>
      <c r="E239">
        <v>6</v>
      </c>
    </row>
    <row r="240" spans="2:5">
      <c r="B240" s="1" t="s">
        <v>9</v>
      </c>
      <c r="C240" s="1">
        <v>38473</v>
      </c>
      <c r="D240">
        <v>631900389.87</v>
      </c>
      <c r="E240">
        <v>7</v>
      </c>
    </row>
    <row r="241" spans="2:5">
      <c r="B241" s="1" t="s">
        <v>21</v>
      </c>
      <c r="C241" s="1">
        <v>38473</v>
      </c>
      <c r="D241">
        <v>437619440.25</v>
      </c>
      <c r="E241">
        <v>8</v>
      </c>
    </row>
    <row r="242" spans="2:5">
      <c r="B242" s="1" t="s">
        <v>137</v>
      </c>
      <c r="C242" s="1">
        <v>38473</v>
      </c>
      <c r="D242">
        <v>429169060.04000002</v>
      </c>
      <c r="E242">
        <v>9</v>
      </c>
    </row>
    <row r="243" spans="2:5">
      <c r="B243" s="1" t="s">
        <v>139</v>
      </c>
      <c r="C243" s="1">
        <v>38473</v>
      </c>
      <c r="D243">
        <v>336309078.07999998</v>
      </c>
      <c r="E243">
        <v>10</v>
      </c>
    </row>
    <row r="244" spans="2:5">
      <c r="B244" s="1" t="s">
        <v>5</v>
      </c>
      <c r="C244" s="1">
        <v>38504</v>
      </c>
      <c r="D244">
        <v>6496219206.3999996</v>
      </c>
      <c r="E244">
        <v>1</v>
      </c>
    </row>
    <row r="245" spans="2:5">
      <c r="B245" s="1" t="s">
        <v>16</v>
      </c>
      <c r="C245" s="1">
        <v>38504</v>
      </c>
      <c r="D245">
        <v>1560042290.1199999</v>
      </c>
      <c r="E245">
        <v>2</v>
      </c>
    </row>
    <row r="246" spans="2:5">
      <c r="B246" s="1" t="s">
        <v>30</v>
      </c>
      <c r="C246" s="1">
        <v>38504</v>
      </c>
      <c r="D246">
        <v>1394421152.3599999</v>
      </c>
      <c r="E246">
        <v>3</v>
      </c>
    </row>
    <row r="247" spans="2:5">
      <c r="B247" s="1" t="s">
        <v>8</v>
      </c>
      <c r="C247" s="1">
        <v>38504</v>
      </c>
      <c r="D247">
        <v>1153524647.54</v>
      </c>
      <c r="E247">
        <v>4</v>
      </c>
    </row>
    <row r="248" spans="2:5">
      <c r="B248" s="1" t="s">
        <v>9</v>
      </c>
      <c r="C248" s="1">
        <v>38504</v>
      </c>
      <c r="D248">
        <v>861824321.49000001</v>
      </c>
      <c r="E248">
        <v>5</v>
      </c>
    </row>
    <row r="249" spans="2:5">
      <c r="B249" s="1" t="s">
        <v>10</v>
      </c>
      <c r="C249" s="1">
        <v>38504</v>
      </c>
      <c r="D249">
        <v>855475060.36000001</v>
      </c>
      <c r="E249">
        <v>6</v>
      </c>
    </row>
    <row r="250" spans="2:5">
      <c r="B250" s="1" t="s">
        <v>7</v>
      </c>
      <c r="C250" s="1">
        <v>38504</v>
      </c>
      <c r="D250">
        <v>775635003.97000003</v>
      </c>
      <c r="E250">
        <v>7</v>
      </c>
    </row>
    <row r="251" spans="2:5">
      <c r="B251" s="1" t="s">
        <v>11</v>
      </c>
      <c r="C251" s="1">
        <v>38504</v>
      </c>
      <c r="D251">
        <v>631099447.97000003</v>
      </c>
      <c r="E251">
        <v>8</v>
      </c>
    </row>
    <row r="252" spans="2:5">
      <c r="B252" s="1" t="s">
        <v>14</v>
      </c>
      <c r="C252" s="1">
        <v>38504</v>
      </c>
      <c r="D252">
        <v>532799880.29000002</v>
      </c>
      <c r="E252">
        <v>9</v>
      </c>
    </row>
    <row r="253" spans="2:5">
      <c r="B253" s="1" t="s">
        <v>21</v>
      </c>
      <c r="C253" s="1">
        <v>38504</v>
      </c>
      <c r="D253">
        <v>383581440.99000001</v>
      </c>
      <c r="E253">
        <v>10</v>
      </c>
    </row>
    <row r="254" spans="2:5">
      <c r="B254" s="1" t="s">
        <v>5</v>
      </c>
      <c r="C254" s="1">
        <v>38534</v>
      </c>
      <c r="D254">
        <v>6969425037.3100004</v>
      </c>
      <c r="E254">
        <v>1</v>
      </c>
    </row>
    <row r="255" spans="2:5">
      <c r="B255" s="1" t="s">
        <v>16</v>
      </c>
      <c r="C255" s="1">
        <v>38534</v>
      </c>
      <c r="D255">
        <v>1723209508.3699999</v>
      </c>
      <c r="E255">
        <v>2</v>
      </c>
    </row>
    <row r="256" spans="2:5">
      <c r="B256" s="1" t="s">
        <v>30</v>
      </c>
      <c r="C256" s="1">
        <v>38534</v>
      </c>
      <c r="D256">
        <v>1275430461.9200001</v>
      </c>
      <c r="E256">
        <v>3</v>
      </c>
    </row>
    <row r="257" spans="2:5">
      <c r="B257" s="1" t="s">
        <v>8</v>
      </c>
      <c r="C257" s="1">
        <v>38534</v>
      </c>
      <c r="D257">
        <v>977044639.59000003</v>
      </c>
      <c r="E257">
        <v>4</v>
      </c>
    </row>
    <row r="258" spans="2:5">
      <c r="B258" s="1" t="s">
        <v>7</v>
      </c>
      <c r="C258" s="1">
        <v>38534</v>
      </c>
      <c r="D258">
        <v>849576275.61000001</v>
      </c>
      <c r="E258">
        <v>5</v>
      </c>
    </row>
    <row r="259" spans="2:5">
      <c r="B259" s="1" t="s">
        <v>11</v>
      </c>
      <c r="C259" s="1">
        <v>38534</v>
      </c>
      <c r="D259">
        <v>787803743.65999997</v>
      </c>
      <c r="E259">
        <v>6</v>
      </c>
    </row>
    <row r="260" spans="2:5">
      <c r="B260" s="1" t="s">
        <v>10</v>
      </c>
      <c r="C260" s="1">
        <v>38534</v>
      </c>
      <c r="D260">
        <v>626473498.15999997</v>
      </c>
      <c r="E260">
        <v>7</v>
      </c>
    </row>
    <row r="261" spans="2:5">
      <c r="B261" s="1" t="s">
        <v>141</v>
      </c>
      <c r="C261" s="1">
        <v>38534</v>
      </c>
      <c r="D261">
        <v>625439653.95000005</v>
      </c>
      <c r="E261">
        <v>8</v>
      </c>
    </row>
    <row r="262" spans="2:5">
      <c r="B262" s="1" t="s">
        <v>9</v>
      </c>
      <c r="C262" s="1">
        <v>38534</v>
      </c>
      <c r="D262">
        <v>527556446.12</v>
      </c>
      <c r="E262">
        <v>9</v>
      </c>
    </row>
    <row r="263" spans="2:5">
      <c r="B263" s="1" t="s">
        <v>21</v>
      </c>
      <c r="C263" s="1">
        <v>38534</v>
      </c>
      <c r="D263">
        <v>474742330.25</v>
      </c>
      <c r="E263">
        <v>10</v>
      </c>
    </row>
    <row r="264" spans="2:5">
      <c r="B264" s="1" t="s">
        <v>5</v>
      </c>
      <c r="C264" s="1">
        <v>38565</v>
      </c>
      <c r="D264">
        <v>10109655227.870001</v>
      </c>
      <c r="E264">
        <v>1</v>
      </c>
    </row>
    <row r="265" spans="2:5">
      <c r="B265" s="1" t="s">
        <v>16</v>
      </c>
      <c r="C265" s="1">
        <v>38565</v>
      </c>
      <c r="D265">
        <v>1927742772.05</v>
      </c>
      <c r="E265">
        <v>2</v>
      </c>
    </row>
    <row r="266" spans="2:5">
      <c r="B266" s="1" t="s">
        <v>8</v>
      </c>
      <c r="C266" s="1">
        <v>38565</v>
      </c>
      <c r="D266">
        <v>1437691276.5</v>
      </c>
      <c r="E266">
        <v>3</v>
      </c>
    </row>
    <row r="267" spans="2:5">
      <c r="B267" s="1" t="s">
        <v>30</v>
      </c>
      <c r="C267" s="1">
        <v>38565</v>
      </c>
      <c r="D267">
        <v>1201400093.04</v>
      </c>
      <c r="E267">
        <v>4</v>
      </c>
    </row>
    <row r="268" spans="2:5">
      <c r="B268" s="1" t="s">
        <v>10</v>
      </c>
      <c r="C268" s="1">
        <v>38565</v>
      </c>
      <c r="D268">
        <v>1113176333.8399999</v>
      </c>
      <c r="E268">
        <v>5</v>
      </c>
    </row>
    <row r="269" spans="2:5">
      <c r="B269" s="1" t="s">
        <v>11</v>
      </c>
      <c r="C269" s="1">
        <v>38565</v>
      </c>
      <c r="D269">
        <v>1074105836.53</v>
      </c>
      <c r="E269">
        <v>6</v>
      </c>
    </row>
    <row r="270" spans="2:5">
      <c r="B270" s="1" t="s">
        <v>7</v>
      </c>
      <c r="C270" s="1">
        <v>38565</v>
      </c>
      <c r="D270">
        <v>656565959.57000005</v>
      </c>
      <c r="E270">
        <v>7</v>
      </c>
    </row>
    <row r="271" spans="2:5">
      <c r="B271" s="1" t="s">
        <v>9</v>
      </c>
      <c r="C271" s="1">
        <v>38565</v>
      </c>
      <c r="D271">
        <v>633595630.89999998</v>
      </c>
      <c r="E271">
        <v>8</v>
      </c>
    </row>
    <row r="272" spans="2:5">
      <c r="B272" s="1" t="s">
        <v>21</v>
      </c>
      <c r="C272" s="1">
        <v>38565</v>
      </c>
      <c r="D272">
        <v>529636341.97000003</v>
      </c>
      <c r="E272">
        <v>9</v>
      </c>
    </row>
    <row r="273" spans="2:5">
      <c r="B273" s="1" t="s">
        <v>139</v>
      </c>
      <c r="C273" s="1">
        <v>38565</v>
      </c>
      <c r="D273">
        <v>496521304.81999999</v>
      </c>
      <c r="E273">
        <v>10</v>
      </c>
    </row>
    <row r="274" spans="2:5">
      <c r="B274" s="1" t="s">
        <v>5</v>
      </c>
      <c r="C274" s="1">
        <v>38596</v>
      </c>
      <c r="D274">
        <v>10660200646.540001</v>
      </c>
      <c r="E274">
        <v>1</v>
      </c>
    </row>
    <row r="275" spans="2:5">
      <c r="B275" s="1" t="s">
        <v>16</v>
      </c>
      <c r="C275" s="1">
        <v>38596</v>
      </c>
      <c r="D275">
        <v>2905608116.7800002</v>
      </c>
      <c r="E275">
        <v>2</v>
      </c>
    </row>
    <row r="276" spans="2:5">
      <c r="B276" s="1" t="s">
        <v>10</v>
      </c>
      <c r="C276" s="1">
        <v>38596</v>
      </c>
      <c r="D276">
        <v>1284343140.3699999</v>
      </c>
      <c r="E276">
        <v>3</v>
      </c>
    </row>
    <row r="277" spans="2:5">
      <c r="B277" s="1" t="s">
        <v>8</v>
      </c>
      <c r="C277" s="1">
        <v>38596</v>
      </c>
      <c r="D277">
        <v>1164280047.74</v>
      </c>
      <c r="E277">
        <v>4</v>
      </c>
    </row>
    <row r="278" spans="2:5">
      <c r="B278" s="1" t="s">
        <v>30</v>
      </c>
      <c r="C278" s="1">
        <v>38596</v>
      </c>
      <c r="D278">
        <v>1156528305.9200001</v>
      </c>
      <c r="E278">
        <v>5</v>
      </c>
    </row>
    <row r="279" spans="2:5">
      <c r="B279" s="1" t="s">
        <v>11</v>
      </c>
      <c r="C279" s="1">
        <v>38596</v>
      </c>
      <c r="D279">
        <v>1112522484.8199999</v>
      </c>
      <c r="E279">
        <v>6</v>
      </c>
    </row>
    <row r="280" spans="2:5">
      <c r="B280" s="1" t="s">
        <v>9</v>
      </c>
      <c r="C280" s="1">
        <v>38596</v>
      </c>
      <c r="D280">
        <v>855035148.14999998</v>
      </c>
      <c r="E280">
        <v>7</v>
      </c>
    </row>
    <row r="281" spans="2:5">
      <c r="B281" s="1" t="s">
        <v>7</v>
      </c>
      <c r="C281" s="1">
        <v>38596</v>
      </c>
      <c r="D281">
        <v>814362211.75</v>
      </c>
      <c r="E281">
        <v>8</v>
      </c>
    </row>
    <row r="282" spans="2:5">
      <c r="B282" s="1" t="s">
        <v>139</v>
      </c>
      <c r="C282" s="1">
        <v>38596</v>
      </c>
      <c r="D282">
        <v>606942208.76999998</v>
      </c>
      <c r="E282">
        <v>9</v>
      </c>
    </row>
    <row r="283" spans="2:5">
      <c r="B283" s="1" t="s">
        <v>21</v>
      </c>
      <c r="C283" s="1">
        <v>38596</v>
      </c>
      <c r="D283">
        <v>575213472.13</v>
      </c>
      <c r="E283">
        <v>10</v>
      </c>
    </row>
    <row r="284" spans="2:5">
      <c r="B284" s="1" t="s">
        <v>5</v>
      </c>
      <c r="C284" s="1">
        <v>38626</v>
      </c>
      <c r="D284">
        <v>11843596722.15</v>
      </c>
      <c r="E284">
        <v>1</v>
      </c>
    </row>
    <row r="285" spans="2:5">
      <c r="B285" s="1" t="s">
        <v>16</v>
      </c>
      <c r="C285" s="1">
        <v>38626</v>
      </c>
      <c r="D285">
        <v>1975709975.3199999</v>
      </c>
      <c r="E285">
        <v>2</v>
      </c>
    </row>
    <row r="286" spans="2:5">
      <c r="B286" s="1" t="s">
        <v>10</v>
      </c>
      <c r="C286" s="1">
        <v>38626</v>
      </c>
      <c r="D286">
        <v>1945707796.5999999</v>
      </c>
      <c r="E286">
        <v>3</v>
      </c>
    </row>
    <row r="287" spans="2:5">
      <c r="B287" s="1" t="s">
        <v>7</v>
      </c>
      <c r="C287" s="1">
        <v>38626</v>
      </c>
      <c r="D287">
        <v>1688999836.3399999</v>
      </c>
      <c r="E287">
        <v>4</v>
      </c>
    </row>
    <row r="288" spans="2:5">
      <c r="B288" s="1" t="s">
        <v>8</v>
      </c>
      <c r="C288" s="1">
        <v>38626</v>
      </c>
      <c r="D288">
        <v>1409329134.6700001</v>
      </c>
      <c r="E288">
        <v>5</v>
      </c>
    </row>
    <row r="289" spans="2:5">
      <c r="B289" s="1" t="s">
        <v>30</v>
      </c>
      <c r="C289" s="1">
        <v>38626</v>
      </c>
      <c r="D289">
        <v>1380698248.48</v>
      </c>
      <c r="E289">
        <v>6</v>
      </c>
    </row>
    <row r="290" spans="2:5">
      <c r="B290" s="1" t="s">
        <v>11</v>
      </c>
      <c r="C290" s="1">
        <v>38626</v>
      </c>
      <c r="D290">
        <v>1058640737.6</v>
      </c>
      <c r="E290">
        <v>7</v>
      </c>
    </row>
    <row r="291" spans="2:5">
      <c r="B291" s="1" t="s">
        <v>9</v>
      </c>
      <c r="C291" s="1">
        <v>38626</v>
      </c>
      <c r="D291">
        <v>859598325.20000005</v>
      </c>
      <c r="E291">
        <v>8</v>
      </c>
    </row>
    <row r="292" spans="2:5">
      <c r="B292" s="1" t="s">
        <v>14</v>
      </c>
      <c r="C292" s="1">
        <v>38626</v>
      </c>
      <c r="D292">
        <v>677090668.36000001</v>
      </c>
      <c r="E292">
        <v>9</v>
      </c>
    </row>
    <row r="293" spans="2:5">
      <c r="B293" s="1" t="s">
        <v>21</v>
      </c>
      <c r="C293" s="1">
        <v>38626</v>
      </c>
      <c r="D293">
        <v>640221496.30999994</v>
      </c>
      <c r="E293">
        <v>10</v>
      </c>
    </row>
    <row r="294" spans="2:5">
      <c r="B294" s="1" t="s">
        <v>5</v>
      </c>
      <c r="C294" s="1">
        <v>38657</v>
      </c>
      <c r="D294">
        <v>10651056537.49</v>
      </c>
      <c r="E294">
        <v>1</v>
      </c>
    </row>
    <row r="295" spans="2:5">
      <c r="B295" s="1" t="s">
        <v>16</v>
      </c>
      <c r="C295" s="1">
        <v>38657</v>
      </c>
      <c r="D295">
        <v>1727565585.48</v>
      </c>
      <c r="E295">
        <v>2</v>
      </c>
    </row>
    <row r="296" spans="2:5">
      <c r="B296" s="1" t="s">
        <v>8</v>
      </c>
      <c r="C296" s="1">
        <v>38657</v>
      </c>
      <c r="D296">
        <v>1318196737.45</v>
      </c>
      <c r="E296">
        <v>3</v>
      </c>
    </row>
    <row r="297" spans="2:5">
      <c r="B297" s="1" t="s">
        <v>7</v>
      </c>
      <c r="C297" s="1">
        <v>38657</v>
      </c>
      <c r="D297">
        <v>1280788007.3599999</v>
      </c>
      <c r="E297">
        <v>4</v>
      </c>
    </row>
    <row r="298" spans="2:5">
      <c r="B298" s="1" t="s">
        <v>30</v>
      </c>
      <c r="C298" s="1">
        <v>38657</v>
      </c>
      <c r="D298">
        <v>1269296283.4100001</v>
      </c>
      <c r="E298">
        <v>5</v>
      </c>
    </row>
    <row r="299" spans="2:5">
      <c r="B299" s="1" t="s">
        <v>11</v>
      </c>
      <c r="C299" s="1">
        <v>38657</v>
      </c>
      <c r="D299">
        <v>805832053.38999999</v>
      </c>
      <c r="E299">
        <v>6</v>
      </c>
    </row>
    <row r="300" spans="2:5">
      <c r="B300" s="1" t="s">
        <v>4</v>
      </c>
      <c r="C300" s="1">
        <v>38657</v>
      </c>
      <c r="D300">
        <v>517239946.75</v>
      </c>
      <c r="E300">
        <v>7</v>
      </c>
    </row>
    <row r="301" spans="2:5">
      <c r="B301" s="1" t="s">
        <v>9</v>
      </c>
      <c r="C301" s="1">
        <v>38657</v>
      </c>
      <c r="D301">
        <v>514185616.75</v>
      </c>
      <c r="E301">
        <v>8</v>
      </c>
    </row>
    <row r="302" spans="2:5">
      <c r="B302" s="1" t="s">
        <v>21</v>
      </c>
      <c r="C302" s="1">
        <v>38657</v>
      </c>
      <c r="D302">
        <v>476401850.62</v>
      </c>
      <c r="E302">
        <v>9</v>
      </c>
    </row>
    <row r="303" spans="2:5">
      <c r="B303" s="1" t="s">
        <v>40</v>
      </c>
      <c r="C303" s="1">
        <v>38657</v>
      </c>
      <c r="D303">
        <v>468018613.39999998</v>
      </c>
      <c r="E303">
        <v>10</v>
      </c>
    </row>
    <row r="304" spans="2:5">
      <c r="B304" s="1" t="s">
        <v>5</v>
      </c>
      <c r="C304" s="1">
        <v>38687</v>
      </c>
      <c r="D304">
        <v>2070651256.24</v>
      </c>
      <c r="E304">
        <v>1</v>
      </c>
    </row>
    <row r="305" spans="2:5">
      <c r="B305" s="1" t="s">
        <v>16</v>
      </c>
      <c r="C305" s="1">
        <v>38687</v>
      </c>
      <c r="D305">
        <v>725327641.04999995</v>
      </c>
      <c r="E305">
        <v>2</v>
      </c>
    </row>
    <row r="306" spans="2:5">
      <c r="B306" s="1" t="s">
        <v>7</v>
      </c>
      <c r="C306" s="1">
        <v>38687</v>
      </c>
      <c r="D306">
        <v>538393225.62</v>
      </c>
      <c r="E306">
        <v>3</v>
      </c>
    </row>
    <row r="307" spans="2:5">
      <c r="B307" s="1" t="s">
        <v>4</v>
      </c>
      <c r="C307" s="1">
        <v>38687</v>
      </c>
      <c r="D307">
        <v>387185771.39999998</v>
      </c>
      <c r="E307">
        <v>4</v>
      </c>
    </row>
    <row r="308" spans="2:5">
      <c r="B308" s="1" t="s">
        <v>8</v>
      </c>
      <c r="C308" s="1">
        <v>38687</v>
      </c>
      <c r="D308">
        <v>364911443</v>
      </c>
      <c r="E308">
        <v>5</v>
      </c>
    </row>
    <row r="309" spans="2:5">
      <c r="B309" s="1" t="s">
        <v>14</v>
      </c>
      <c r="C309" s="1">
        <v>38687</v>
      </c>
      <c r="D309">
        <v>270607282.56999999</v>
      </c>
      <c r="E309">
        <v>6</v>
      </c>
    </row>
    <row r="310" spans="2:5">
      <c r="B310" s="1" t="s">
        <v>30</v>
      </c>
      <c r="C310" s="1">
        <v>38687</v>
      </c>
      <c r="D310">
        <v>233071797.31999999</v>
      </c>
      <c r="E310">
        <v>7</v>
      </c>
    </row>
    <row r="311" spans="2:5">
      <c r="B311" s="1" t="s">
        <v>21</v>
      </c>
      <c r="C311" s="1">
        <v>38687</v>
      </c>
      <c r="D311">
        <v>205137323.12</v>
      </c>
      <c r="E311">
        <v>8</v>
      </c>
    </row>
    <row r="312" spans="2:5">
      <c r="B312" s="1" t="s">
        <v>22</v>
      </c>
      <c r="C312" s="1">
        <v>38687</v>
      </c>
      <c r="D312">
        <v>30964114.18</v>
      </c>
      <c r="E312">
        <v>9</v>
      </c>
    </row>
    <row r="313" spans="2:5">
      <c r="B313" s="1" t="s">
        <v>142</v>
      </c>
      <c r="C313" s="1">
        <v>38687</v>
      </c>
      <c r="D313">
        <v>29110831.170000002</v>
      </c>
      <c r="E313">
        <v>10</v>
      </c>
    </row>
    <row r="314" spans="2:5">
      <c r="B314" s="1" t="s">
        <v>5</v>
      </c>
      <c r="C314" s="1">
        <v>38718</v>
      </c>
      <c r="D314">
        <v>8758732482.6900005</v>
      </c>
      <c r="E314">
        <v>1</v>
      </c>
    </row>
    <row r="315" spans="2:5">
      <c r="B315" s="1" t="s">
        <v>16</v>
      </c>
      <c r="C315" s="1">
        <v>38718</v>
      </c>
      <c r="D315">
        <v>1589051101.3399999</v>
      </c>
      <c r="E315">
        <v>2</v>
      </c>
    </row>
    <row r="316" spans="2:5">
      <c r="B316" s="1" t="s">
        <v>7</v>
      </c>
      <c r="C316" s="1">
        <v>38718</v>
      </c>
      <c r="D316">
        <v>1190759562.4300001</v>
      </c>
      <c r="E316">
        <v>3</v>
      </c>
    </row>
    <row r="317" spans="2:5">
      <c r="B317" s="1" t="s">
        <v>8</v>
      </c>
      <c r="C317" s="1">
        <v>38718</v>
      </c>
      <c r="D317">
        <v>759528959.26999998</v>
      </c>
      <c r="E317">
        <v>4</v>
      </c>
    </row>
    <row r="318" spans="2:5">
      <c r="B318" s="1" t="s">
        <v>10</v>
      </c>
      <c r="C318" s="1">
        <v>38718</v>
      </c>
      <c r="D318">
        <v>705864383.04999995</v>
      </c>
      <c r="E318">
        <v>5</v>
      </c>
    </row>
    <row r="319" spans="2:5">
      <c r="B319" s="1" t="s">
        <v>11</v>
      </c>
      <c r="C319" s="1">
        <v>38718</v>
      </c>
      <c r="D319">
        <v>696537956.32000005</v>
      </c>
      <c r="E319">
        <v>6</v>
      </c>
    </row>
    <row r="320" spans="2:5">
      <c r="B320" s="1" t="s">
        <v>9</v>
      </c>
      <c r="C320" s="1">
        <v>38718</v>
      </c>
      <c r="D320">
        <v>674405586.71000004</v>
      </c>
      <c r="E320">
        <v>7</v>
      </c>
    </row>
    <row r="321" spans="2:5">
      <c r="B321" s="1" t="s">
        <v>30</v>
      </c>
      <c r="C321" s="1">
        <v>38718</v>
      </c>
      <c r="D321">
        <v>667940208.36000001</v>
      </c>
      <c r="E321">
        <v>8</v>
      </c>
    </row>
    <row r="322" spans="2:5">
      <c r="B322" s="1" t="s">
        <v>17</v>
      </c>
      <c r="C322" s="1">
        <v>38718</v>
      </c>
      <c r="D322">
        <v>459543528.06999999</v>
      </c>
      <c r="E322">
        <v>9</v>
      </c>
    </row>
    <row r="323" spans="2:5">
      <c r="B323" s="1" t="s">
        <v>4</v>
      </c>
      <c r="C323" s="1">
        <v>38718</v>
      </c>
      <c r="D323">
        <v>445098326.01999998</v>
      </c>
      <c r="E323">
        <v>10</v>
      </c>
    </row>
    <row r="324" spans="2:5">
      <c r="B324" s="1" t="s">
        <v>5</v>
      </c>
      <c r="C324" s="1">
        <v>38749</v>
      </c>
      <c r="D324">
        <v>9032989047.8700008</v>
      </c>
      <c r="E324">
        <v>1</v>
      </c>
    </row>
    <row r="325" spans="2:5">
      <c r="B325" s="1" t="s">
        <v>30</v>
      </c>
      <c r="C325" s="1">
        <v>38749</v>
      </c>
      <c r="D325">
        <v>2338045896.1799998</v>
      </c>
      <c r="E325">
        <v>2</v>
      </c>
    </row>
    <row r="326" spans="2:5">
      <c r="B326" s="1" t="s">
        <v>16</v>
      </c>
      <c r="C326" s="1">
        <v>38749</v>
      </c>
      <c r="D326">
        <v>1915009538.51</v>
      </c>
      <c r="E326">
        <v>3</v>
      </c>
    </row>
    <row r="327" spans="2:5">
      <c r="B327" s="1" t="s">
        <v>7</v>
      </c>
      <c r="C327" s="1">
        <v>38749</v>
      </c>
      <c r="D327">
        <v>990721792.80999994</v>
      </c>
      <c r="E327">
        <v>4</v>
      </c>
    </row>
    <row r="328" spans="2:5">
      <c r="B328" s="1" t="s">
        <v>10</v>
      </c>
      <c r="C328" s="1">
        <v>38749</v>
      </c>
      <c r="D328">
        <v>810137866.02999997</v>
      </c>
      <c r="E328">
        <v>5</v>
      </c>
    </row>
    <row r="329" spans="2:5">
      <c r="B329" s="1" t="s">
        <v>11</v>
      </c>
      <c r="C329" s="1">
        <v>38749</v>
      </c>
      <c r="D329">
        <v>808998797.29999995</v>
      </c>
      <c r="E329">
        <v>6</v>
      </c>
    </row>
    <row r="330" spans="2:5">
      <c r="B330" s="1" t="s">
        <v>4</v>
      </c>
      <c r="C330" s="1">
        <v>38749</v>
      </c>
      <c r="D330">
        <v>658745978.95000005</v>
      </c>
      <c r="E330">
        <v>7</v>
      </c>
    </row>
    <row r="331" spans="2:5">
      <c r="B331" s="1" t="s">
        <v>9</v>
      </c>
      <c r="C331" s="1">
        <v>38749</v>
      </c>
      <c r="D331">
        <v>554721461.01999998</v>
      </c>
      <c r="E331">
        <v>8</v>
      </c>
    </row>
    <row r="332" spans="2:5">
      <c r="B332" s="1" t="s">
        <v>8</v>
      </c>
      <c r="C332" s="1">
        <v>38749</v>
      </c>
      <c r="D332">
        <v>533768748.57999998</v>
      </c>
      <c r="E332">
        <v>9</v>
      </c>
    </row>
    <row r="333" spans="2:5">
      <c r="B333" s="1" t="s">
        <v>21</v>
      </c>
      <c r="C333" s="1">
        <v>38749</v>
      </c>
      <c r="D333">
        <v>378153466.51999998</v>
      </c>
      <c r="E333">
        <v>10</v>
      </c>
    </row>
    <row r="334" spans="2:5">
      <c r="B334" s="1" t="s">
        <v>5</v>
      </c>
      <c r="C334" s="1">
        <v>38777</v>
      </c>
      <c r="D334">
        <v>5495137439.1999998</v>
      </c>
      <c r="E334">
        <v>1</v>
      </c>
    </row>
    <row r="335" spans="2:5">
      <c r="B335" s="1" t="s">
        <v>30</v>
      </c>
      <c r="C335" s="1">
        <v>38777</v>
      </c>
      <c r="D335">
        <v>1883780544.9400001</v>
      </c>
      <c r="E335">
        <v>2</v>
      </c>
    </row>
    <row r="336" spans="2:5">
      <c r="B336" s="1" t="s">
        <v>16</v>
      </c>
      <c r="C336" s="1">
        <v>38777</v>
      </c>
      <c r="D336">
        <v>1740811595.75</v>
      </c>
      <c r="E336">
        <v>3</v>
      </c>
    </row>
    <row r="337" spans="2:5">
      <c r="B337" s="1" t="s">
        <v>10</v>
      </c>
      <c r="C337" s="1">
        <v>38777</v>
      </c>
      <c r="D337">
        <v>1589118989.3299999</v>
      </c>
      <c r="E337">
        <v>4</v>
      </c>
    </row>
    <row r="338" spans="2:5">
      <c r="B338" s="1" t="s">
        <v>17</v>
      </c>
      <c r="C338" s="1">
        <v>38777</v>
      </c>
      <c r="D338">
        <v>1121784551.25</v>
      </c>
      <c r="E338">
        <v>5</v>
      </c>
    </row>
    <row r="339" spans="2:5">
      <c r="B339" s="1" t="s">
        <v>7</v>
      </c>
      <c r="C339" s="1">
        <v>38777</v>
      </c>
      <c r="D339">
        <v>1120473577.1900001</v>
      </c>
      <c r="E339">
        <v>6</v>
      </c>
    </row>
    <row r="340" spans="2:5">
      <c r="B340" s="1" t="s">
        <v>11</v>
      </c>
      <c r="C340" s="1">
        <v>38777</v>
      </c>
      <c r="D340">
        <v>676781654.77999997</v>
      </c>
      <c r="E340">
        <v>7</v>
      </c>
    </row>
    <row r="341" spans="2:5">
      <c r="B341" s="1" t="s">
        <v>8</v>
      </c>
      <c r="C341" s="1">
        <v>38777</v>
      </c>
      <c r="D341">
        <v>594864130.02999997</v>
      </c>
      <c r="E341">
        <v>8</v>
      </c>
    </row>
    <row r="342" spans="2:5">
      <c r="B342" s="1" t="s">
        <v>139</v>
      </c>
      <c r="C342" s="1">
        <v>38777</v>
      </c>
      <c r="D342">
        <v>574664377.80999994</v>
      </c>
      <c r="E342">
        <v>9</v>
      </c>
    </row>
    <row r="343" spans="2:5">
      <c r="B343" s="1" t="s">
        <v>9</v>
      </c>
      <c r="C343" s="1">
        <v>38777</v>
      </c>
      <c r="D343">
        <v>504398065.5</v>
      </c>
      <c r="E343">
        <v>10</v>
      </c>
    </row>
    <row r="344" spans="2:5">
      <c r="B344" s="1" t="s">
        <v>5</v>
      </c>
      <c r="C344" s="1">
        <v>38808</v>
      </c>
      <c r="D344">
        <v>7674012077.6199999</v>
      </c>
      <c r="E344">
        <v>1</v>
      </c>
    </row>
    <row r="345" spans="2:5">
      <c r="B345" s="1" t="s">
        <v>30</v>
      </c>
      <c r="C345" s="1">
        <v>38808</v>
      </c>
      <c r="D345">
        <v>2287379973.8099999</v>
      </c>
      <c r="E345">
        <v>2</v>
      </c>
    </row>
    <row r="346" spans="2:5">
      <c r="B346" s="1" t="s">
        <v>16</v>
      </c>
      <c r="C346" s="1">
        <v>38808</v>
      </c>
      <c r="D346">
        <v>1318407636.3199999</v>
      </c>
      <c r="E346">
        <v>3</v>
      </c>
    </row>
    <row r="347" spans="2:5">
      <c r="B347" s="1" t="s">
        <v>10</v>
      </c>
      <c r="C347" s="1">
        <v>38808</v>
      </c>
      <c r="D347">
        <v>1253851453.8900001</v>
      </c>
      <c r="E347">
        <v>4</v>
      </c>
    </row>
    <row r="348" spans="2:5">
      <c r="B348" s="1" t="s">
        <v>7</v>
      </c>
      <c r="C348" s="1">
        <v>38808</v>
      </c>
      <c r="D348">
        <v>994577512.00999999</v>
      </c>
      <c r="E348">
        <v>5</v>
      </c>
    </row>
    <row r="349" spans="2:5">
      <c r="B349" s="1" t="s">
        <v>17</v>
      </c>
      <c r="C349" s="1">
        <v>38808</v>
      </c>
      <c r="D349">
        <v>810849624.72000003</v>
      </c>
      <c r="E349">
        <v>6</v>
      </c>
    </row>
    <row r="350" spans="2:5">
      <c r="B350" s="1" t="s">
        <v>11</v>
      </c>
      <c r="C350" s="1">
        <v>38808</v>
      </c>
      <c r="D350">
        <v>770835391.25999999</v>
      </c>
      <c r="E350">
        <v>7</v>
      </c>
    </row>
    <row r="351" spans="2:5">
      <c r="B351" s="1" t="s">
        <v>8</v>
      </c>
      <c r="C351" s="1">
        <v>38808</v>
      </c>
      <c r="D351">
        <v>732307941.04999995</v>
      </c>
      <c r="E351">
        <v>8</v>
      </c>
    </row>
    <row r="352" spans="2:5">
      <c r="B352" s="1" t="s">
        <v>139</v>
      </c>
      <c r="C352" s="1">
        <v>38808</v>
      </c>
      <c r="D352">
        <v>626158452.39999998</v>
      </c>
      <c r="E352">
        <v>9</v>
      </c>
    </row>
    <row r="353" spans="2:5">
      <c r="B353" s="1" t="s">
        <v>9</v>
      </c>
      <c r="C353" s="1">
        <v>38808</v>
      </c>
      <c r="D353">
        <v>557602205.19000006</v>
      </c>
      <c r="E353">
        <v>10</v>
      </c>
    </row>
    <row r="354" spans="2:5">
      <c r="B354" s="1" t="s">
        <v>5</v>
      </c>
      <c r="C354" s="1">
        <v>38838</v>
      </c>
      <c r="D354">
        <v>8585208581.6700001</v>
      </c>
      <c r="E354">
        <v>1</v>
      </c>
    </row>
    <row r="355" spans="2:5">
      <c r="B355" s="1" t="s">
        <v>30</v>
      </c>
      <c r="C355" s="1">
        <v>38838</v>
      </c>
      <c r="D355">
        <v>1855245672.23</v>
      </c>
      <c r="E355">
        <v>2</v>
      </c>
    </row>
    <row r="356" spans="2:5">
      <c r="B356" s="1" t="s">
        <v>16</v>
      </c>
      <c r="C356" s="1">
        <v>38838</v>
      </c>
      <c r="D356">
        <v>1682540462.5999999</v>
      </c>
      <c r="E356">
        <v>3</v>
      </c>
    </row>
    <row r="357" spans="2:5">
      <c r="B357" s="1" t="s">
        <v>13</v>
      </c>
      <c r="C357" s="1">
        <v>38838</v>
      </c>
      <c r="D357">
        <v>1208592361.22</v>
      </c>
      <c r="E357">
        <v>4</v>
      </c>
    </row>
    <row r="358" spans="2:5">
      <c r="B358" s="1" t="s">
        <v>7</v>
      </c>
      <c r="C358" s="1">
        <v>38838</v>
      </c>
      <c r="D358">
        <v>1106072232.51</v>
      </c>
      <c r="E358">
        <v>5</v>
      </c>
    </row>
    <row r="359" spans="2:5">
      <c r="B359" s="1" t="s">
        <v>8</v>
      </c>
      <c r="C359" s="1">
        <v>38838</v>
      </c>
      <c r="D359">
        <v>1084688488.78</v>
      </c>
      <c r="E359">
        <v>6</v>
      </c>
    </row>
    <row r="360" spans="2:5">
      <c r="B360" s="1" t="s">
        <v>11</v>
      </c>
      <c r="C360" s="1">
        <v>38838</v>
      </c>
      <c r="D360">
        <v>853288445.96000004</v>
      </c>
      <c r="E360">
        <v>7</v>
      </c>
    </row>
    <row r="361" spans="2:5">
      <c r="B361" s="1" t="s">
        <v>10</v>
      </c>
      <c r="C361" s="1">
        <v>38838</v>
      </c>
      <c r="D361">
        <v>777114579.58000004</v>
      </c>
      <c r="E361">
        <v>8</v>
      </c>
    </row>
    <row r="362" spans="2:5">
      <c r="B362" s="1" t="s">
        <v>139</v>
      </c>
      <c r="C362" s="1">
        <v>38838</v>
      </c>
      <c r="D362">
        <v>635637797.38999999</v>
      </c>
      <c r="E362">
        <v>9</v>
      </c>
    </row>
    <row r="363" spans="2:5">
      <c r="B363" s="1" t="s">
        <v>9</v>
      </c>
      <c r="C363" s="1">
        <v>38838</v>
      </c>
      <c r="D363">
        <v>584799156.17999995</v>
      </c>
      <c r="E363">
        <v>10</v>
      </c>
    </row>
    <row r="364" spans="2:5">
      <c r="B364" s="1" t="s">
        <v>5</v>
      </c>
      <c r="C364" s="1">
        <v>38869</v>
      </c>
      <c r="D364">
        <v>5813663933.3800001</v>
      </c>
      <c r="E364">
        <v>1</v>
      </c>
    </row>
    <row r="365" spans="2:5">
      <c r="B365" s="1" t="s">
        <v>16</v>
      </c>
      <c r="C365" s="1">
        <v>38869</v>
      </c>
      <c r="D365">
        <v>2990450428.04</v>
      </c>
      <c r="E365">
        <v>2</v>
      </c>
    </row>
    <row r="366" spans="2:5">
      <c r="B366" s="1" t="s">
        <v>30</v>
      </c>
      <c r="C366" s="1">
        <v>38869</v>
      </c>
      <c r="D366">
        <v>2038759426.5999999</v>
      </c>
      <c r="E366">
        <v>3</v>
      </c>
    </row>
    <row r="367" spans="2:5">
      <c r="B367" s="1" t="s">
        <v>7</v>
      </c>
      <c r="C367" s="1">
        <v>38869</v>
      </c>
      <c r="D367">
        <v>1289293850.24</v>
      </c>
      <c r="E367">
        <v>4</v>
      </c>
    </row>
    <row r="368" spans="2:5">
      <c r="B368" s="1" t="s">
        <v>8</v>
      </c>
      <c r="C368" s="1">
        <v>38869</v>
      </c>
      <c r="D368">
        <v>954021072.17999995</v>
      </c>
      <c r="E368">
        <v>5</v>
      </c>
    </row>
    <row r="369" spans="2:5">
      <c r="B369" s="1" t="s">
        <v>17</v>
      </c>
      <c r="C369" s="1">
        <v>38869</v>
      </c>
      <c r="D369">
        <v>921241768.96000004</v>
      </c>
      <c r="E369">
        <v>6</v>
      </c>
    </row>
    <row r="370" spans="2:5">
      <c r="B370" s="1" t="s">
        <v>10</v>
      </c>
      <c r="C370" s="1">
        <v>38869</v>
      </c>
      <c r="D370">
        <v>898145841.22000003</v>
      </c>
      <c r="E370">
        <v>7</v>
      </c>
    </row>
    <row r="371" spans="2:5">
      <c r="B371" s="1" t="s">
        <v>11</v>
      </c>
      <c r="C371" s="1">
        <v>38869</v>
      </c>
      <c r="D371">
        <v>854612126.97000003</v>
      </c>
      <c r="E371">
        <v>8</v>
      </c>
    </row>
    <row r="372" spans="2:5">
      <c r="B372" s="1" t="s">
        <v>13</v>
      </c>
      <c r="C372" s="1">
        <v>38869</v>
      </c>
      <c r="D372">
        <v>703865349.49000001</v>
      </c>
      <c r="E372">
        <v>9</v>
      </c>
    </row>
    <row r="373" spans="2:5">
      <c r="B373" s="1" t="s">
        <v>139</v>
      </c>
      <c r="C373" s="1">
        <v>38869</v>
      </c>
      <c r="D373">
        <v>515018642.13999999</v>
      </c>
      <c r="E373">
        <v>10</v>
      </c>
    </row>
    <row r="374" spans="2:5">
      <c r="B374" s="1" t="s">
        <v>5</v>
      </c>
      <c r="C374" s="1">
        <v>38899</v>
      </c>
      <c r="D374">
        <v>8021599510.5100002</v>
      </c>
      <c r="E374">
        <v>1</v>
      </c>
    </row>
    <row r="375" spans="2:5">
      <c r="B375" s="1" t="s">
        <v>16</v>
      </c>
      <c r="C375" s="1">
        <v>38899</v>
      </c>
      <c r="D375">
        <v>3176378793.3400002</v>
      </c>
      <c r="E375">
        <v>2</v>
      </c>
    </row>
    <row r="376" spans="2:5">
      <c r="B376" s="1" t="s">
        <v>7</v>
      </c>
      <c r="C376" s="1">
        <v>38899</v>
      </c>
      <c r="D376">
        <v>1567093191.0799999</v>
      </c>
      <c r="E376">
        <v>3</v>
      </c>
    </row>
    <row r="377" spans="2:5">
      <c r="B377" s="1" t="s">
        <v>30</v>
      </c>
      <c r="C377" s="1">
        <v>38899</v>
      </c>
      <c r="D377">
        <v>1485499260.4200001</v>
      </c>
      <c r="E377">
        <v>4</v>
      </c>
    </row>
    <row r="378" spans="2:5">
      <c r="B378" s="1" t="s">
        <v>8</v>
      </c>
      <c r="C378" s="1">
        <v>38899</v>
      </c>
      <c r="D378">
        <v>839725062.69000006</v>
      </c>
      <c r="E378">
        <v>5</v>
      </c>
    </row>
    <row r="379" spans="2:5">
      <c r="B379" s="1" t="s">
        <v>17</v>
      </c>
      <c r="C379" s="1">
        <v>38899</v>
      </c>
      <c r="D379">
        <v>799350786.94000006</v>
      </c>
      <c r="E379">
        <v>6</v>
      </c>
    </row>
    <row r="380" spans="2:5">
      <c r="B380" s="1" t="s">
        <v>13</v>
      </c>
      <c r="C380" s="1">
        <v>38899</v>
      </c>
      <c r="D380">
        <v>743316652.52999997</v>
      </c>
      <c r="E380">
        <v>7</v>
      </c>
    </row>
    <row r="381" spans="2:5">
      <c r="B381" s="1" t="s">
        <v>11</v>
      </c>
      <c r="C381" s="1">
        <v>38899</v>
      </c>
      <c r="D381">
        <v>625177176.34000003</v>
      </c>
      <c r="E381">
        <v>8</v>
      </c>
    </row>
    <row r="382" spans="2:5">
      <c r="B382" s="1" t="s">
        <v>9</v>
      </c>
      <c r="C382" s="1">
        <v>38899</v>
      </c>
      <c r="D382">
        <v>516633478.49000001</v>
      </c>
      <c r="E382">
        <v>9</v>
      </c>
    </row>
    <row r="383" spans="2:5">
      <c r="B383" s="1" t="s">
        <v>4</v>
      </c>
      <c r="C383" s="1">
        <v>38899</v>
      </c>
      <c r="D383">
        <v>435317676.81999999</v>
      </c>
      <c r="E383">
        <v>10</v>
      </c>
    </row>
    <row r="384" spans="2:5">
      <c r="B384" s="1" t="s">
        <v>5</v>
      </c>
      <c r="C384" s="1">
        <v>38930</v>
      </c>
      <c r="D384">
        <v>7482650729.9300003</v>
      </c>
      <c r="E384">
        <v>1</v>
      </c>
    </row>
    <row r="385" spans="2:5">
      <c r="B385" s="1" t="s">
        <v>16</v>
      </c>
      <c r="C385" s="1">
        <v>38930</v>
      </c>
      <c r="D385">
        <v>1925461790.45</v>
      </c>
      <c r="E385">
        <v>2</v>
      </c>
    </row>
    <row r="386" spans="2:5">
      <c r="B386" s="1" t="s">
        <v>30</v>
      </c>
      <c r="C386" s="1">
        <v>38930</v>
      </c>
      <c r="D386">
        <v>1752991870.7</v>
      </c>
      <c r="E386">
        <v>3</v>
      </c>
    </row>
    <row r="387" spans="2:5">
      <c r="B387" s="1" t="s">
        <v>11</v>
      </c>
      <c r="C387" s="1">
        <v>38930</v>
      </c>
      <c r="D387">
        <v>914924139.89999998</v>
      </c>
      <c r="E387">
        <v>4</v>
      </c>
    </row>
    <row r="388" spans="2:5">
      <c r="B388" s="1" t="s">
        <v>7</v>
      </c>
      <c r="C388" s="1">
        <v>38930</v>
      </c>
      <c r="D388">
        <v>854038458.64999998</v>
      </c>
      <c r="E388">
        <v>5</v>
      </c>
    </row>
    <row r="389" spans="2:5">
      <c r="B389" s="1" t="s">
        <v>8</v>
      </c>
      <c r="C389" s="1">
        <v>38930</v>
      </c>
      <c r="D389">
        <v>813164836.91999996</v>
      </c>
      <c r="E389">
        <v>6</v>
      </c>
    </row>
    <row r="390" spans="2:5">
      <c r="B390" s="1" t="s">
        <v>13</v>
      </c>
      <c r="C390" s="1">
        <v>38930</v>
      </c>
      <c r="D390">
        <v>778265571.16999996</v>
      </c>
      <c r="E390">
        <v>7</v>
      </c>
    </row>
    <row r="391" spans="2:5">
      <c r="B391" s="1" t="s">
        <v>139</v>
      </c>
      <c r="C391" s="1">
        <v>38930</v>
      </c>
      <c r="D391">
        <v>593537911.61000001</v>
      </c>
      <c r="E391">
        <v>8</v>
      </c>
    </row>
    <row r="392" spans="2:5">
      <c r="B392" s="1" t="s">
        <v>4</v>
      </c>
      <c r="C392" s="1">
        <v>38930</v>
      </c>
      <c r="D392">
        <v>542343161.45000005</v>
      </c>
      <c r="E392">
        <v>9</v>
      </c>
    </row>
    <row r="393" spans="2:5">
      <c r="B393" s="1" t="s">
        <v>9</v>
      </c>
      <c r="C393" s="1">
        <v>38930</v>
      </c>
      <c r="D393">
        <v>486466007.00999999</v>
      </c>
      <c r="E393">
        <v>10</v>
      </c>
    </row>
    <row r="394" spans="2:5">
      <c r="B394" s="1" t="s">
        <v>5</v>
      </c>
      <c r="C394" s="1">
        <v>39022</v>
      </c>
      <c r="D394">
        <v>11793300856.860001</v>
      </c>
      <c r="E394">
        <v>1</v>
      </c>
    </row>
    <row r="395" spans="2:5">
      <c r="B395" s="1" t="s">
        <v>16</v>
      </c>
      <c r="C395" s="1">
        <v>39022</v>
      </c>
      <c r="D395">
        <v>1937299624.6199999</v>
      </c>
      <c r="E395">
        <v>2</v>
      </c>
    </row>
    <row r="396" spans="2:5">
      <c r="B396" s="1" t="s">
        <v>30</v>
      </c>
      <c r="C396" s="1">
        <v>39022</v>
      </c>
      <c r="D396">
        <v>1566716834.5999999</v>
      </c>
      <c r="E396">
        <v>3</v>
      </c>
    </row>
    <row r="397" spans="2:5">
      <c r="B397" s="1" t="s">
        <v>17</v>
      </c>
      <c r="C397" s="1">
        <v>39022</v>
      </c>
      <c r="D397">
        <v>1043534022.4400001</v>
      </c>
      <c r="E397">
        <v>4</v>
      </c>
    </row>
    <row r="398" spans="2:5">
      <c r="B398" s="1" t="s">
        <v>7</v>
      </c>
      <c r="C398" s="1">
        <v>39022</v>
      </c>
      <c r="D398">
        <v>1030972708.28</v>
      </c>
      <c r="E398">
        <v>5</v>
      </c>
    </row>
    <row r="399" spans="2:5">
      <c r="B399" s="1" t="s">
        <v>13</v>
      </c>
      <c r="C399" s="1">
        <v>39022</v>
      </c>
      <c r="D399">
        <v>960615545.09000003</v>
      </c>
      <c r="E399">
        <v>6</v>
      </c>
    </row>
    <row r="400" spans="2:5">
      <c r="B400" s="1" t="s">
        <v>8</v>
      </c>
      <c r="C400" s="1">
        <v>39022</v>
      </c>
      <c r="D400">
        <v>691360064.34000003</v>
      </c>
      <c r="E400">
        <v>7</v>
      </c>
    </row>
    <row r="401" spans="2:5">
      <c r="B401" s="1" t="s">
        <v>11</v>
      </c>
      <c r="C401" s="1">
        <v>39022</v>
      </c>
      <c r="D401">
        <v>665546179.91999996</v>
      </c>
      <c r="E401">
        <v>8</v>
      </c>
    </row>
    <row r="402" spans="2:5">
      <c r="B402" s="1" t="s">
        <v>9</v>
      </c>
      <c r="C402" s="1">
        <v>39022</v>
      </c>
      <c r="D402">
        <v>476468165.54000002</v>
      </c>
      <c r="E402">
        <v>9</v>
      </c>
    </row>
    <row r="403" spans="2:5">
      <c r="B403" s="1" t="s">
        <v>139</v>
      </c>
      <c r="C403" s="1">
        <v>39022</v>
      </c>
      <c r="D403">
        <v>361974118.12</v>
      </c>
      <c r="E403">
        <v>10</v>
      </c>
    </row>
    <row r="404" spans="2:5">
      <c r="B404" s="1" t="s">
        <v>5</v>
      </c>
      <c r="C404" s="1">
        <v>39052</v>
      </c>
      <c r="D404">
        <v>10270535420.92</v>
      </c>
      <c r="E404">
        <v>1</v>
      </c>
    </row>
    <row r="405" spans="2:5">
      <c r="B405" s="1" t="s">
        <v>16</v>
      </c>
      <c r="C405" s="1">
        <v>39052</v>
      </c>
      <c r="D405">
        <v>2246071129.2399998</v>
      </c>
      <c r="E405">
        <v>2</v>
      </c>
    </row>
    <row r="406" spans="2:5">
      <c r="B406" s="1" t="s">
        <v>30</v>
      </c>
      <c r="C406" s="1">
        <v>39052</v>
      </c>
      <c r="D406">
        <v>1843249690.05</v>
      </c>
      <c r="E406">
        <v>3</v>
      </c>
    </row>
    <row r="407" spans="2:5">
      <c r="B407" s="1" t="s">
        <v>7</v>
      </c>
      <c r="C407" s="1">
        <v>39052</v>
      </c>
      <c r="D407">
        <v>1040302257.8200001</v>
      </c>
      <c r="E407">
        <v>4</v>
      </c>
    </row>
    <row r="408" spans="2:5">
      <c r="B408" s="1" t="s">
        <v>13</v>
      </c>
      <c r="C408" s="1">
        <v>39052</v>
      </c>
      <c r="D408">
        <v>781372045.30999994</v>
      </c>
      <c r="E408">
        <v>5</v>
      </c>
    </row>
    <row r="409" spans="2:5">
      <c r="B409" s="1" t="s">
        <v>11</v>
      </c>
      <c r="C409" s="1">
        <v>39052</v>
      </c>
      <c r="D409">
        <v>751171822.16999996</v>
      </c>
      <c r="E409">
        <v>6</v>
      </c>
    </row>
    <row r="410" spans="2:5">
      <c r="B410" s="1" t="s">
        <v>8</v>
      </c>
      <c r="C410" s="1">
        <v>39052</v>
      </c>
      <c r="D410">
        <v>735480501.76999998</v>
      </c>
      <c r="E410">
        <v>7</v>
      </c>
    </row>
    <row r="411" spans="2:5">
      <c r="B411" s="1" t="s">
        <v>17</v>
      </c>
      <c r="C411" s="1">
        <v>39052</v>
      </c>
      <c r="D411">
        <v>522213111.63999999</v>
      </c>
      <c r="E411">
        <v>8</v>
      </c>
    </row>
    <row r="412" spans="2:5">
      <c r="B412" s="1" t="s">
        <v>9</v>
      </c>
      <c r="C412" s="1">
        <v>39052</v>
      </c>
      <c r="D412">
        <v>495079243.08999997</v>
      </c>
      <c r="E412">
        <v>9</v>
      </c>
    </row>
    <row r="413" spans="2:5">
      <c r="B413" s="1" t="s">
        <v>139</v>
      </c>
      <c r="C413" s="1">
        <v>39052</v>
      </c>
      <c r="D413">
        <v>375612771.88999999</v>
      </c>
      <c r="E413">
        <v>10</v>
      </c>
    </row>
    <row r="414" spans="2:5">
      <c r="B414" s="1" t="s">
        <v>5</v>
      </c>
      <c r="C414" s="1">
        <v>39083</v>
      </c>
      <c r="D414">
        <v>11681700587.98</v>
      </c>
      <c r="E414">
        <v>1</v>
      </c>
    </row>
    <row r="415" spans="2:5">
      <c r="B415" s="1" t="s">
        <v>30</v>
      </c>
      <c r="C415" s="1">
        <v>39083</v>
      </c>
      <c r="D415">
        <v>2997445484.7600002</v>
      </c>
      <c r="E415">
        <v>2</v>
      </c>
    </row>
    <row r="416" spans="2:5">
      <c r="B416" s="1" t="s">
        <v>16</v>
      </c>
      <c r="C416" s="1">
        <v>39083</v>
      </c>
      <c r="D416">
        <v>1624971289.8099999</v>
      </c>
      <c r="E416">
        <v>3</v>
      </c>
    </row>
    <row r="417" spans="2:5">
      <c r="B417" s="1" t="s">
        <v>7</v>
      </c>
      <c r="C417" s="1">
        <v>39083</v>
      </c>
      <c r="D417">
        <v>1126766081.78</v>
      </c>
      <c r="E417">
        <v>4</v>
      </c>
    </row>
    <row r="418" spans="2:5">
      <c r="B418" s="1" t="s">
        <v>9</v>
      </c>
      <c r="C418" s="1">
        <v>39083</v>
      </c>
      <c r="D418">
        <v>964007367.75999999</v>
      </c>
      <c r="E418">
        <v>5</v>
      </c>
    </row>
    <row r="419" spans="2:5">
      <c r="B419" s="1" t="s">
        <v>13</v>
      </c>
      <c r="C419" s="1">
        <v>39083</v>
      </c>
      <c r="D419">
        <v>893985913.90999997</v>
      </c>
      <c r="E419">
        <v>6</v>
      </c>
    </row>
    <row r="420" spans="2:5">
      <c r="B420" s="1" t="s">
        <v>10</v>
      </c>
      <c r="C420" s="1">
        <v>39083</v>
      </c>
      <c r="D420">
        <v>719377615.53999996</v>
      </c>
      <c r="E420">
        <v>7</v>
      </c>
    </row>
    <row r="421" spans="2:5">
      <c r="B421" s="1" t="s">
        <v>17</v>
      </c>
      <c r="C421" s="1">
        <v>39083</v>
      </c>
      <c r="D421">
        <v>681689944.01999998</v>
      </c>
      <c r="E421">
        <v>8</v>
      </c>
    </row>
    <row r="422" spans="2:5">
      <c r="B422" s="1" t="s">
        <v>11</v>
      </c>
      <c r="C422" s="1">
        <v>39083</v>
      </c>
      <c r="D422">
        <v>660571284.46000004</v>
      </c>
      <c r="E422">
        <v>9</v>
      </c>
    </row>
    <row r="423" spans="2:5">
      <c r="B423" s="1" t="s">
        <v>8</v>
      </c>
      <c r="C423" s="1">
        <v>39083</v>
      </c>
      <c r="D423">
        <v>654875249.36000001</v>
      </c>
      <c r="E423">
        <v>10</v>
      </c>
    </row>
    <row r="424" spans="2:5">
      <c r="B424" s="1" t="s">
        <v>5</v>
      </c>
      <c r="C424" s="1">
        <v>39114</v>
      </c>
      <c r="D424">
        <v>14601314801.620001</v>
      </c>
      <c r="E424">
        <v>1</v>
      </c>
    </row>
    <row r="425" spans="2:5">
      <c r="B425" s="1" t="s">
        <v>16</v>
      </c>
      <c r="C425" s="1">
        <v>39114</v>
      </c>
      <c r="D425">
        <v>2460469083.1599998</v>
      </c>
      <c r="E425">
        <v>2</v>
      </c>
    </row>
    <row r="426" spans="2:5">
      <c r="B426" s="1" t="s">
        <v>30</v>
      </c>
      <c r="C426" s="1">
        <v>39114</v>
      </c>
      <c r="D426">
        <v>1681152905.8</v>
      </c>
      <c r="E426">
        <v>3</v>
      </c>
    </row>
    <row r="427" spans="2:5">
      <c r="B427" s="1" t="s">
        <v>17</v>
      </c>
      <c r="C427" s="1">
        <v>39114</v>
      </c>
      <c r="D427">
        <v>1318374534.23</v>
      </c>
      <c r="E427">
        <v>4</v>
      </c>
    </row>
    <row r="428" spans="2:5">
      <c r="B428" s="1" t="s">
        <v>7</v>
      </c>
      <c r="C428" s="1">
        <v>39114</v>
      </c>
      <c r="D428">
        <v>1083466444.1900001</v>
      </c>
      <c r="E428">
        <v>5</v>
      </c>
    </row>
    <row r="429" spans="2:5">
      <c r="B429" s="1" t="s">
        <v>13</v>
      </c>
      <c r="C429" s="1">
        <v>39114</v>
      </c>
      <c r="D429">
        <v>901782761.33000004</v>
      </c>
      <c r="E429">
        <v>6</v>
      </c>
    </row>
    <row r="430" spans="2:5">
      <c r="B430" s="1" t="s">
        <v>11</v>
      </c>
      <c r="C430" s="1">
        <v>39114</v>
      </c>
      <c r="D430">
        <v>812034763.34000003</v>
      </c>
      <c r="E430">
        <v>7</v>
      </c>
    </row>
    <row r="431" spans="2:5">
      <c r="B431" s="1" t="s">
        <v>117</v>
      </c>
      <c r="C431" s="1">
        <v>39114</v>
      </c>
      <c r="D431">
        <v>632712667.90999997</v>
      </c>
      <c r="E431">
        <v>8</v>
      </c>
    </row>
    <row r="432" spans="2:5">
      <c r="B432" s="1" t="s">
        <v>9</v>
      </c>
      <c r="C432" s="1">
        <v>39114</v>
      </c>
      <c r="D432">
        <v>477703713.10000002</v>
      </c>
      <c r="E432">
        <v>9</v>
      </c>
    </row>
    <row r="433" spans="2:5">
      <c r="B433" s="1" t="s">
        <v>8</v>
      </c>
      <c r="C433" s="1">
        <v>39114</v>
      </c>
      <c r="D433">
        <v>421026126.93000001</v>
      </c>
      <c r="E433">
        <v>10</v>
      </c>
    </row>
    <row r="434" spans="2:5">
      <c r="B434" s="1" t="s">
        <v>5</v>
      </c>
      <c r="C434" s="1">
        <v>39142</v>
      </c>
      <c r="D434">
        <v>9206220291.1299992</v>
      </c>
      <c r="E434">
        <v>1</v>
      </c>
    </row>
    <row r="435" spans="2:5">
      <c r="B435" s="1" t="s">
        <v>30</v>
      </c>
      <c r="C435" s="1">
        <v>39142</v>
      </c>
      <c r="D435">
        <v>2779190717.4200001</v>
      </c>
      <c r="E435">
        <v>2</v>
      </c>
    </row>
    <row r="436" spans="2:5">
      <c r="B436" s="1" t="s">
        <v>16</v>
      </c>
      <c r="C436" s="1">
        <v>39142</v>
      </c>
      <c r="D436">
        <v>1783123280.8499999</v>
      </c>
      <c r="E436">
        <v>3</v>
      </c>
    </row>
    <row r="437" spans="2:5">
      <c r="B437" s="1" t="s">
        <v>7</v>
      </c>
      <c r="C437" s="1">
        <v>39142</v>
      </c>
      <c r="D437">
        <v>1400648261.4300001</v>
      </c>
      <c r="E437">
        <v>4</v>
      </c>
    </row>
    <row r="438" spans="2:5">
      <c r="B438" s="1" t="s">
        <v>13</v>
      </c>
      <c r="C438" s="1">
        <v>39142</v>
      </c>
      <c r="D438">
        <v>1076526508.7</v>
      </c>
      <c r="E438">
        <v>5</v>
      </c>
    </row>
    <row r="439" spans="2:5">
      <c r="B439" s="1" t="s">
        <v>8</v>
      </c>
      <c r="C439" s="1">
        <v>39142</v>
      </c>
      <c r="D439">
        <v>930831114.73000002</v>
      </c>
      <c r="E439">
        <v>6</v>
      </c>
    </row>
    <row r="440" spans="2:5">
      <c r="B440" s="1" t="s">
        <v>17</v>
      </c>
      <c r="C440" s="1">
        <v>39142</v>
      </c>
      <c r="D440">
        <v>927607864.86000001</v>
      </c>
      <c r="E440">
        <v>7</v>
      </c>
    </row>
    <row r="441" spans="2:5">
      <c r="B441" s="1" t="s">
        <v>11</v>
      </c>
      <c r="C441" s="1">
        <v>39142</v>
      </c>
      <c r="D441">
        <v>746360820.79999995</v>
      </c>
      <c r="E441">
        <v>8</v>
      </c>
    </row>
    <row r="442" spans="2:5">
      <c r="B442" s="1" t="s">
        <v>10</v>
      </c>
      <c r="C442" s="1">
        <v>39142</v>
      </c>
      <c r="D442">
        <v>627280978.21000004</v>
      </c>
      <c r="E442">
        <v>9</v>
      </c>
    </row>
    <row r="443" spans="2:5">
      <c r="B443" s="1" t="s">
        <v>139</v>
      </c>
      <c r="C443" s="1">
        <v>39142</v>
      </c>
      <c r="D443">
        <v>475362776.06</v>
      </c>
      <c r="E443">
        <v>10</v>
      </c>
    </row>
    <row r="444" spans="2:5">
      <c r="B444" s="1" t="s">
        <v>5</v>
      </c>
      <c r="C444" s="1">
        <v>39173</v>
      </c>
      <c r="D444">
        <v>12829856145.469999</v>
      </c>
      <c r="E444">
        <v>1</v>
      </c>
    </row>
    <row r="445" spans="2:5">
      <c r="B445" s="1" t="s">
        <v>17</v>
      </c>
      <c r="C445" s="1">
        <v>39173</v>
      </c>
      <c r="D445">
        <v>2050143179.3699999</v>
      </c>
      <c r="E445">
        <v>2</v>
      </c>
    </row>
    <row r="446" spans="2:5">
      <c r="B446" s="1" t="s">
        <v>30</v>
      </c>
      <c r="C446" s="1">
        <v>39173</v>
      </c>
      <c r="D446">
        <v>1966470786.1099999</v>
      </c>
      <c r="E446">
        <v>3</v>
      </c>
    </row>
    <row r="447" spans="2:5">
      <c r="B447" s="1" t="s">
        <v>16</v>
      </c>
      <c r="C447" s="1">
        <v>39173</v>
      </c>
      <c r="D447">
        <v>1754639598.27</v>
      </c>
      <c r="E447">
        <v>4</v>
      </c>
    </row>
    <row r="448" spans="2:5">
      <c r="B448" s="1" t="s">
        <v>7</v>
      </c>
      <c r="C448" s="1">
        <v>39173</v>
      </c>
      <c r="D448">
        <v>1447487916.3299999</v>
      </c>
      <c r="E448">
        <v>5</v>
      </c>
    </row>
    <row r="449" spans="2:5">
      <c r="B449" s="1" t="s">
        <v>11</v>
      </c>
      <c r="C449" s="1">
        <v>39173</v>
      </c>
      <c r="D449">
        <v>936668361.33000004</v>
      </c>
      <c r="E449">
        <v>6</v>
      </c>
    </row>
    <row r="450" spans="2:5">
      <c r="B450" s="1" t="s">
        <v>13</v>
      </c>
      <c r="C450" s="1">
        <v>39173</v>
      </c>
      <c r="D450">
        <v>866632340.47000003</v>
      </c>
      <c r="E450">
        <v>7</v>
      </c>
    </row>
    <row r="451" spans="2:5">
      <c r="B451" s="1" t="s">
        <v>8</v>
      </c>
      <c r="C451" s="1">
        <v>39173</v>
      </c>
      <c r="D451">
        <v>844108913.11000001</v>
      </c>
      <c r="E451">
        <v>8</v>
      </c>
    </row>
    <row r="452" spans="2:5">
      <c r="B452" s="1" t="s">
        <v>10</v>
      </c>
      <c r="C452" s="1">
        <v>39173</v>
      </c>
      <c r="D452">
        <v>435412291.19</v>
      </c>
      <c r="E452">
        <v>9</v>
      </c>
    </row>
    <row r="453" spans="2:5">
      <c r="B453" s="1" t="s">
        <v>9</v>
      </c>
      <c r="C453" s="1">
        <v>39173</v>
      </c>
      <c r="D453">
        <v>415458475.91000003</v>
      </c>
      <c r="E453">
        <v>10</v>
      </c>
    </row>
    <row r="454" spans="2:5">
      <c r="B454" s="1" t="s">
        <v>5</v>
      </c>
      <c r="C454" s="1">
        <v>39203</v>
      </c>
      <c r="D454">
        <v>14193408528.25</v>
      </c>
      <c r="E454">
        <v>1</v>
      </c>
    </row>
    <row r="455" spans="2:5">
      <c r="B455" s="1" t="s">
        <v>30</v>
      </c>
      <c r="C455" s="1">
        <v>39203</v>
      </c>
      <c r="D455">
        <v>2073037813.0799999</v>
      </c>
      <c r="E455">
        <v>2</v>
      </c>
    </row>
    <row r="456" spans="2:5">
      <c r="B456" s="1" t="s">
        <v>31</v>
      </c>
      <c r="C456" s="1">
        <v>39203</v>
      </c>
      <c r="D456">
        <v>1477365224.1900001</v>
      </c>
      <c r="E456">
        <v>3</v>
      </c>
    </row>
    <row r="457" spans="2:5">
      <c r="B457" s="1" t="s">
        <v>16</v>
      </c>
      <c r="C457" s="1">
        <v>39203</v>
      </c>
      <c r="D457">
        <v>1294136276.6199999</v>
      </c>
      <c r="E457">
        <v>4</v>
      </c>
    </row>
    <row r="458" spans="2:5">
      <c r="B458" s="1" t="s">
        <v>11</v>
      </c>
      <c r="C458" s="1">
        <v>39203</v>
      </c>
      <c r="D458">
        <v>1081593381.96</v>
      </c>
      <c r="E458">
        <v>5</v>
      </c>
    </row>
    <row r="459" spans="2:5">
      <c r="B459" s="1" t="s">
        <v>13</v>
      </c>
      <c r="C459" s="1">
        <v>39203</v>
      </c>
      <c r="D459">
        <v>1052940216.6</v>
      </c>
      <c r="E459">
        <v>6</v>
      </c>
    </row>
    <row r="460" spans="2:5">
      <c r="B460" s="1" t="s">
        <v>8</v>
      </c>
      <c r="C460" s="1">
        <v>39203</v>
      </c>
      <c r="D460">
        <v>914995850.85000002</v>
      </c>
      <c r="E460">
        <v>7</v>
      </c>
    </row>
    <row r="461" spans="2:5">
      <c r="B461" s="1" t="s">
        <v>17</v>
      </c>
      <c r="C461" s="1">
        <v>39203</v>
      </c>
      <c r="D461">
        <v>898394467.75</v>
      </c>
      <c r="E461">
        <v>8</v>
      </c>
    </row>
    <row r="462" spans="2:5">
      <c r="B462" s="1" t="s">
        <v>10</v>
      </c>
      <c r="C462" s="1">
        <v>39203</v>
      </c>
      <c r="D462">
        <v>609411274.61000001</v>
      </c>
      <c r="E462">
        <v>9</v>
      </c>
    </row>
    <row r="463" spans="2:5">
      <c r="B463" s="1" t="s">
        <v>9</v>
      </c>
      <c r="C463" s="1">
        <v>39203</v>
      </c>
      <c r="D463">
        <v>410373720.22000003</v>
      </c>
      <c r="E463">
        <v>10</v>
      </c>
    </row>
    <row r="464" spans="2:5">
      <c r="B464" s="1" t="s">
        <v>5</v>
      </c>
      <c r="C464" s="1">
        <v>39234</v>
      </c>
      <c r="D464">
        <v>14703375942.889999</v>
      </c>
      <c r="E464">
        <v>1</v>
      </c>
    </row>
    <row r="465" spans="2:5">
      <c r="B465" s="1" t="s">
        <v>30</v>
      </c>
      <c r="C465" s="1">
        <v>39234</v>
      </c>
      <c r="D465">
        <v>3057896153.2199998</v>
      </c>
      <c r="E465">
        <v>2</v>
      </c>
    </row>
    <row r="466" spans="2:5">
      <c r="B466" s="1" t="s">
        <v>16</v>
      </c>
      <c r="C466" s="1">
        <v>39234</v>
      </c>
      <c r="D466">
        <v>2404088259.6199999</v>
      </c>
      <c r="E466">
        <v>3</v>
      </c>
    </row>
    <row r="467" spans="2:5">
      <c r="B467" s="1" t="s">
        <v>17</v>
      </c>
      <c r="C467" s="1">
        <v>39234</v>
      </c>
      <c r="D467">
        <v>1615440788.0799999</v>
      </c>
      <c r="E467">
        <v>4</v>
      </c>
    </row>
    <row r="468" spans="2:5">
      <c r="B468" s="1" t="s">
        <v>31</v>
      </c>
      <c r="C468" s="1">
        <v>39234</v>
      </c>
      <c r="D468">
        <v>1553581133.7</v>
      </c>
      <c r="E468">
        <v>5</v>
      </c>
    </row>
    <row r="469" spans="2:5">
      <c r="B469" s="1" t="s">
        <v>8</v>
      </c>
      <c r="C469" s="1">
        <v>39234</v>
      </c>
      <c r="D469">
        <v>1300992636.03</v>
      </c>
      <c r="E469">
        <v>6</v>
      </c>
    </row>
    <row r="470" spans="2:5">
      <c r="B470" s="1" t="s">
        <v>11</v>
      </c>
      <c r="C470" s="1">
        <v>39234</v>
      </c>
      <c r="D470">
        <v>1216117904.6099999</v>
      </c>
      <c r="E470">
        <v>7</v>
      </c>
    </row>
    <row r="471" spans="2:5">
      <c r="B471" s="1" t="s">
        <v>13</v>
      </c>
      <c r="C471" s="1">
        <v>39234</v>
      </c>
      <c r="D471">
        <v>1139574174.24</v>
      </c>
      <c r="E471">
        <v>8</v>
      </c>
    </row>
    <row r="472" spans="2:5">
      <c r="B472" s="1" t="s">
        <v>9</v>
      </c>
      <c r="C472" s="1">
        <v>39234</v>
      </c>
      <c r="D472">
        <v>1031602820.49</v>
      </c>
      <c r="E472">
        <v>9</v>
      </c>
    </row>
    <row r="473" spans="2:5">
      <c r="B473" s="1" t="s">
        <v>10</v>
      </c>
      <c r="C473" s="1">
        <v>39234</v>
      </c>
      <c r="D473">
        <v>798926284.34000003</v>
      </c>
      <c r="E473">
        <v>10</v>
      </c>
    </row>
    <row r="474" spans="2:5">
      <c r="B474" s="1" t="s">
        <v>5</v>
      </c>
      <c r="C474" s="1">
        <v>39264</v>
      </c>
      <c r="D474">
        <v>17142662362.059999</v>
      </c>
      <c r="E474">
        <v>1</v>
      </c>
    </row>
    <row r="475" spans="2:5">
      <c r="B475" s="1" t="s">
        <v>30</v>
      </c>
      <c r="C475" s="1">
        <v>39264</v>
      </c>
      <c r="D475">
        <v>2307181922.4299998</v>
      </c>
      <c r="E475">
        <v>2</v>
      </c>
    </row>
    <row r="476" spans="2:5">
      <c r="B476" s="1" t="s">
        <v>16</v>
      </c>
      <c r="C476" s="1">
        <v>39264</v>
      </c>
      <c r="D476">
        <v>2278819237.3600001</v>
      </c>
      <c r="E476">
        <v>3</v>
      </c>
    </row>
    <row r="477" spans="2:5">
      <c r="B477" s="1" t="s">
        <v>31</v>
      </c>
      <c r="C477" s="1">
        <v>39264</v>
      </c>
      <c r="D477">
        <v>1906852083.95</v>
      </c>
      <c r="E477">
        <v>4</v>
      </c>
    </row>
    <row r="478" spans="2:5">
      <c r="B478" s="1" t="s">
        <v>13</v>
      </c>
      <c r="C478" s="1">
        <v>39264</v>
      </c>
      <c r="D478">
        <v>1394224530.9200001</v>
      </c>
      <c r="E478">
        <v>5</v>
      </c>
    </row>
    <row r="479" spans="2:5">
      <c r="B479" s="1" t="s">
        <v>17</v>
      </c>
      <c r="C479" s="1">
        <v>39264</v>
      </c>
      <c r="D479">
        <v>1316223375.74</v>
      </c>
      <c r="E479">
        <v>6</v>
      </c>
    </row>
    <row r="480" spans="2:5">
      <c r="B480" s="1" t="s">
        <v>8</v>
      </c>
      <c r="C480" s="1">
        <v>39264</v>
      </c>
      <c r="D480">
        <v>1251689496.23</v>
      </c>
      <c r="E480">
        <v>7</v>
      </c>
    </row>
    <row r="481" spans="2:5">
      <c r="B481" s="1" t="s">
        <v>11</v>
      </c>
      <c r="C481" s="1">
        <v>39264</v>
      </c>
      <c r="D481">
        <v>968887421.30999994</v>
      </c>
      <c r="E481">
        <v>8</v>
      </c>
    </row>
    <row r="482" spans="2:5">
      <c r="B482" s="1" t="s">
        <v>10</v>
      </c>
      <c r="C482" s="1">
        <v>39264</v>
      </c>
      <c r="D482">
        <v>837549094.72000003</v>
      </c>
      <c r="E482">
        <v>9</v>
      </c>
    </row>
    <row r="483" spans="2:5">
      <c r="B483" s="1" t="s">
        <v>18</v>
      </c>
      <c r="C483" s="1">
        <v>39264</v>
      </c>
      <c r="D483">
        <v>833820828.65999997</v>
      </c>
      <c r="E483">
        <v>10</v>
      </c>
    </row>
    <row r="484" spans="2:5">
      <c r="B484" s="1" t="s">
        <v>5</v>
      </c>
      <c r="C484" s="1">
        <v>39295</v>
      </c>
      <c r="D484">
        <v>14698388639.51</v>
      </c>
      <c r="E484">
        <v>1</v>
      </c>
    </row>
    <row r="485" spans="2:5">
      <c r="B485" s="1" t="s">
        <v>30</v>
      </c>
      <c r="C485" s="1">
        <v>39295</v>
      </c>
      <c r="D485">
        <v>2842855885.04</v>
      </c>
      <c r="E485">
        <v>2</v>
      </c>
    </row>
    <row r="486" spans="2:5">
      <c r="B486" s="1" t="s">
        <v>17</v>
      </c>
      <c r="C486" s="1">
        <v>39295</v>
      </c>
      <c r="D486">
        <v>2292513360.1999998</v>
      </c>
      <c r="E486">
        <v>3</v>
      </c>
    </row>
    <row r="487" spans="2:5">
      <c r="B487" s="1" t="s">
        <v>16</v>
      </c>
      <c r="C487" s="1">
        <v>39295</v>
      </c>
      <c r="D487">
        <v>1841737385.8499999</v>
      </c>
      <c r="E487">
        <v>4</v>
      </c>
    </row>
    <row r="488" spans="2:5">
      <c r="B488" s="1" t="s">
        <v>18</v>
      </c>
      <c r="C488" s="1">
        <v>39295</v>
      </c>
      <c r="D488">
        <v>1807624275.1300001</v>
      </c>
      <c r="E488">
        <v>5</v>
      </c>
    </row>
    <row r="489" spans="2:5">
      <c r="B489" s="1" t="s">
        <v>31</v>
      </c>
      <c r="C489" s="1">
        <v>39295</v>
      </c>
      <c r="D489">
        <v>1714739832.1500001</v>
      </c>
      <c r="E489">
        <v>6</v>
      </c>
    </row>
    <row r="490" spans="2:5">
      <c r="B490" s="1" t="s">
        <v>13</v>
      </c>
      <c r="C490" s="1">
        <v>39295</v>
      </c>
      <c r="D490">
        <v>1450599455.8199999</v>
      </c>
      <c r="E490">
        <v>7</v>
      </c>
    </row>
    <row r="491" spans="2:5">
      <c r="B491" s="1" t="s">
        <v>8</v>
      </c>
      <c r="C491" s="1">
        <v>39295</v>
      </c>
      <c r="D491">
        <v>1299457803.74</v>
      </c>
      <c r="E491">
        <v>8</v>
      </c>
    </row>
    <row r="492" spans="2:5">
      <c r="B492" s="1" t="s">
        <v>11</v>
      </c>
      <c r="C492" s="1">
        <v>39295</v>
      </c>
      <c r="D492">
        <v>1256443324.6500001</v>
      </c>
      <c r="E492">
        <v>9</v>
      </c>
    </row>
    <row r="493" spans="2:5">
      <c r="B493" s="1" t="s">
        <v>9</v>
      </c>
      <c r="C493" s="1">
        <v>39295</v>
      </c>
      <c r="D493">
        <v>731870027.67999995</v>
      </c>
      <c r="E493">
        <v>10</v>
      </c>
    </row>
    <row r="494" spans="2:5">
      <c r="B494" s="1" t="s">
        <v>5</v>
      </c>
      <c r="C494" s="1">
        <v>39326</v>
      </c>
      <c r="D494">
        <v>10643238075.370001</v>
      </c>
      <c r="E494">
        <v>1</v>
      </c>
    </row>
    <row r="495" spans="2:5">
      <c r="B495" s="1" t="s">
        <v>16</v>
      </c>
      <c r="C495" s="1">
        <v>39326</v>
      </c>
      <c r="D495">
        <v>2847267157.4000001</v>
      </c>
      <c r="E495">
        <v>2</v>
      </c>
    </row>
    <row r="496" spans="2:5">
      <c r="B496" s="1" t="s">
        <v>30</v>
      </c>
      <c r="C496" s="1">
        <v>39326</v>
      </c>
      <c r="D496">
        <v>2458473903.25</v>
      </c>
      <c r="E496">
        <v>3</v>
      </c>
    </row>
    <row r="497" spans="2:5">
      <c r="B497" s="1" t="s">
        <v>13</v>
      </c>
      <c r="C497" s="1">
        <v>39326</v>
      </c>
      <c r="D497">
        <v>1994254729.6099999</v>
      </c>
      <c r="E497">
        <v>4</v>
      </c>
    </row>
    <row r="498" spans="2:5">
      <c r="B498" s="1" t="s">
        <v>31</v>
      </c>
      <c r="C498" s="1">
        <v>39326</v>
      </c>
      <c r="D498">
        <v>1388548009.76</v>
      </c>
      <c r="E498">
        <v>5</v>
      </c>
    </row>
    <row r="499" spans="2:5">
      <c r="B499" s="1" t="s">
        <v>18</v>
      </c>
      <c r="C499" s="1">
        <v>39326</v>
      </c>
      <c r="D499">
        <v>1387272814.27</v>
      </c>
      <c r="E499">
        <v>6</v>
      </c>
    </row>
    <row r="500" spans="2:5">
      <c r="B500" s="1" t="s">
        <v>8</v>
      </c>
      <c r="C500" s="1">
        <v>39326</v>
      </c>
      <c r="D500">
        <v>1247642192.71</v>
      </c>
      <c r="E500">
        <v>7</v>
      </c>
    </row>
    <row r="501" spans="2:5">
      <c r="B501" s="1" t="s">
        <v>11</v>
      </c>
      <c r="C501" s="1">
        <v>39326</v>
      </c>
      <c r="D501">
        <v>1061899721.51</v>
      </c>
      <c r="E501">
        <v>8</v>
      </c>
    </row>
    <row r="502" spans="2:5">
      <c r="B502" s="1" t="s">
        <v>9</v>
      </c>
      <c r="C502" s="1">
        <v>39326</v>
      </c>
      <c r="D502">
        <v>559204954.28999996</v>
      </c>
      <c r="E502">
        <v>9</v>
      </c>
    </row>
    <row r="503" spans="2:5">
      <c r="B503" s="1" t="s">
        <v>17</v>
      </c>
      <c r="C503" s="1">
        <v>39326</v>
      </c>
      <c r="D503">
        <v>475418617.98000002</v>
      </c>
      <c r="E503">
        <v>10</v>
      </c>
    </row>
    <row r="504" spans="2:5">
      <c r="B504" s="1" t="s">
        <v>5</v>
      </c>
      <c r="C504" s="1">
        <v>39356</v>
      </c>
      <c r="D504">
        <v>12406881529.92</v>
      </c>
      <c r="E504">
        <v>1</v>
      </c>
    </row>
    <row r="505" spans="2:5">
      <c r="B505" s="1" t="s">
        <v>30</v>
      </c>
      <c r="C505" s="1">
        <v>39356</v>
      </c>
      <c r="D505">
        <v>2052835599.0899999</v>
      </c>
      <c r="E505">
        <v>2</v>
      </c>
    </row>
    <row r="506" spans="2:5">
      <c r="B506" s="1" t="s">
        <v>16</v>
      </c>
      <c r="C506" s="1">
        <v>39356</v>
      </c>
      <c r="D506">
        <v>1932771583.74</v>
      </c>
      <c r="E506">
        <v>3</v>
      </c>
    </row>
    <row r="507" spans="2:5">
      <c r="B507" s="1" t="s">
        <v>18</v>
      </c>
      <c r="C507" s="1">
        <v>39356</v>
      </c>
      <c r="D507">
        <v>1716047375.54</v>
      </c>
      <c r="E507">
        <v>4</v>
      </c>
    </row>
    <row r="508" spans="2:5">
      <c r="B508" s="1" t="s">
        <v>8</v>
      </c>
      <c r="C508" s="1">
        <v>39356</v>
      </c>
      <c r="D508">
        <v>1632374005.76</v>
      </c>
      <c r="E508">
        <v>5</v>
      </c>
    </row>
    <row r="509" spans="2:5">
      <c r="B509" s="1" t="s">
        <v>17</v>
      </c>
      <c r="C509" s="1">
        <v>39356</v>
      </c>
      <c r="D509">
        <v>1627179406.9100001</v>
      </c>
      <c r="E509">
        <v>6</v>
      </c>
    </row>
    <row r="510" spans="2:5">
      <c r="B510" s="1" t="s">
        <v>13</v>
      </c>
      <c r="C510" s="1">
        <v>39356</v>
      </c>
      <c r="D510">
        <v>1538377040.47</v>
      </c>
      <c r="E510">
        <v>7</v>
      </c>
    </row>
    <row r="511" spans="2:5">
      <c r="B511" s="1" t="s">
        <v>14</v>
      </c>
      <c r="C511" s="1">
        <v>39356</v>
      </c>
      <c r="D511">
        <v>1531838430.3099999</v>
      </c>
      <c r="E511">
        <v>8</v>
      </c>
    </row>
    <row r="512" spans="2:5">
      <c r="B512" s="1" t="s">
        <v>31</v>
      </c>
      <c r="C512" s="1">
        <v>39356</v>
      </c>
      <c r="D512">
        <v>1433091565.1600001</v>
      </c>
      <c r="E512">
        <v>9</v>
      </c>
    </row>
    <row r="513" spans="2:5">
      <c r="B513" s="1" t="s">
        <v>11</v>
      </c>
      <c r="C513" s="1">
        <v>39356</v>
      </c>
      <c r="D513">
        <v>1353806598.47</v>
      </c>
      <c r="E513">
        <v>10</v>
      </c>
    </row>
    <row r="514" spans="2:5">
      <c r="B514" s="1" t="s">
        <v>5</v>
      </c>
      <c r="C514" s="1">
        <v>39387</v>
      </c>
      <c r="D514">
        <v>11532643036.76</v>
      </c>
      <c r="E514">
        <v>1</v>
      </c>
    </row>
    <row r="515" spans="2:5">
      <c r="B515" s="1" t="s">
        <v>17</v>
      </c>
      <c r="C515" s="1">
        <v>39387</v>
      </c>
      <c r="D515">
        <v>3005795776.6599998</v>
      </c>
      <c r="E515">
        <v>2</v>
      </c>
    </row>
    <row r="516" spans="2:5">
      <c r="B516" s="1" t="s">
        <v>30</v>
      </c>
      <c r="C516" s="1">
        <v>39387</v>
      </c>
      <c r="D516">
        <v>2295059599.6599998</v>
      </c>
      <c r="E516">
        <v>3</v>
      </c>
    </row>
    <row r="517" spans="2:5">
      <c r="B517" s="1" t="s">
        <v>16</v>
      </c>
      <c r="C517" s="1">
        <v>39387</v>
      </c>
      <c r="D517">
        <v>1898061596.96</v>
      </c>
      <c r="E517">
        <v>4</v>
      </c>
    </row>
    <row r="518" spans="2:5">
      <c r="B518" s="1" t="s">
        <v>13</v>
      </c>
      <c r="C518" s="1">
        <v>39387</v>
      </c>
      <c r="D518">
        <v>1833683351.3399999</v>
      </c>
      <c r="E518">
        <v>5</v>
      </c>
    </row>
    <row r="519" spans="2:5">
      <c r="B519" s="1" t="s">
        <v>8</v>
      </c>
      <c r="C519" s="1">
        <v>39387</v>
      </c>
      <c r="D519">
        <v>1784157712.8499999</v>
      </c>
      <c r="E519">
        <v>6</v>
      </c>
    </row>
    <row r="520" spans="2:5">
      <c r="B520" s="1" t="s">
        <v>31</v>
      </c>
      <c r="C520" s="1">
        <v>39387</v>
      </c>
      <c r="D520">
        <v>1267030087.24</v>
      </c>
      <c r="E520">
        <v>7</v>
      </c>
    </row>
    <row r="521" spans="2:5">
      <c r="B521" s="1" t="s">
        <v>11</v>
      </c>
      <c r="C521" s="1">
        <v>39387</v>
      </c>
      <c r="D521">
        <v>1127645909.4200001</v>
      </c>
      <c r="E521">
        <v>8</v>
      </c>
    </row>
    <row r="522" spans="2:5">
      <c r="B522" s="1" t="s">
        <v>18</v>
      </c>
      <c r="C522" s="1">
        <v>39387</v>
      </c>
      <c r="D522">
        <v>809889642.94000006</v>
      </c>
      <c r="E522">
        <v>9</v>
      </c>
    </row>
    <row r="523" spans="2:5">
      <c r="B523" s="1" t="s">
        <v>14</v>
      </c>
      <c r="C523" s="1">
        <v>39387</v>
      </c>
      <c r="D523">
        <v>804544786.71000004</v>
      </c>
      <c r="E523">
        <v>10</v>
      </c>
    </row>
    <row r="524" spans="2:5">
      <c r="B524" s="1" t="s">
        <v>5</v>
      </c>
      <c r="C524" s="1">
        <v>39417</v>
      </c>
      <c r="D524">
        <v>8830293939.6599998</v>
      </c>
      <c r="E524">
        <v>1</v>
      </c>
    </row>
    <row r="525" spans="2:5">
      <c r="B525" s="1" t="s">
        <v>13</v>
      </c>
      <c r="C525" s="1">
        <v>39417</v>
      </c>
      <c r="D525">
        <v>2979385823.8600001</v>
      </c>
      <c r="E525">
        <v>2</v>
      </c>
    </row>
    <row r="526" spans="2:5">
      <c r="B526" s="1" t="s">
        <v>30</v>
      </c>
      <c r="C526" s="1">
        <v>39417</v>
      </c>
      <c r="D526">
        <v>2878585849.6500001</v>
      </c>
      <c r="E526">
        <v>3</v>
      </c>
    </row>
    <row r="527" spans="2:5">
      <c r="B527" s="1" t="s">
        <v>16</v>
      </c>
      <c r="C527" s="1">
        <v>39417</v>
      </c>
      <c r="D527">
        <v>2238443049.8499999</v>
      </c>
      <c r="E527">
        <v>4</v>
      </c>
    </row>
    <row r="528" spans="2:5">
      <c r="B528" s="1" t="s">
        <v>31</v>
      </c>
      <c r="C528" s="1">
        <v>39417</v>
      </c>
      <c r="D528">
        <v>1587214030.9300001</v>
      </c>
      <c r="E528">
        <v>5</v>
      </c>
    </row>
    <row r="529" spans="2:5">
      <c r="B529" s="1" t="s">
        <v>8</v>
      </c>
      <c r="C529" s="1">
        <v>39417</v>
      </c>
      <c r="D529">
        <v>1533313968.5899999</v>
      </c>
      <c r="E529">
        <v>6</v>
      </c>
    </row>
    <row r="530" spans="2:5">
      <c r="B530" s="1" t="s">
        <v>18</v>
      </c>
      <c r="C530" s="1">
        <v>39417</v>
      </c>
      <c r="D530">
        <v>1360073178.4100001</v>
      </c>
      <c r="E530">
        <v>7</v>
      </c>
    </row>
    <row r="531" spans="2:5">
      <c r="B531" s="1" t="s">
        <v>17</v>
      </c>
      <c r="C531" s="1">
        <v>39417</v>
      </c>
      <c r="D531">
        <v>1230881722.3199999</v>
      </c>
      <c r="E531">
        <v>8</v>
      </c>
    </row>
    <row r="532" spans="2:5">
      <c r="B532" s="1" t="s">
        <v>11</v>
      </c>
      <c r="C532" s="1">
        <v>39417</v>
      </c>
      <c r="D532">
        <v>851553621.28999996</v>
      </c>
      <c r="E532">
        <v>9</v>
      </c>
    </row>
    <row r="533" spans="2:5">
      <c r="B533" s="1" t="s">
        <v>14</v>
      </c>
      <c r="C533" s="1">
        <v>39417</v>
      </c>
      <c r="D533">
        <v>559583247.95000005</v>
      </c>
      <c r="E533">
        <v>10</v>
      </c>
    </row>
    <row r="534" spans="2:5">
      <c r="B534" s="1" t="s">
        <v>5</v>
      </c>
      <c r="C534" s="1">
        <v>39448</v>
      </c>
      <c r="D534">
        <v>16764636099.889999</v>
      </c>
      <c r="E534">
        <v>1</v>
      </c>
    </row>
    <row r="535" spans="2:5">
      <c r="B535" s="1" t="s">
        <v>16</v>
      </c>
      <c r="C535" s="1">
        <v>39448</v>
      </c>
      <c r="D535">
        <v>2777009284.9299998</v>
      </c>
      <c r="E535">
        <v>2</v>
      </c>
    </row>
    <row r="536" spans="2:5">
      <c r="B536" s="1" t="s">
        <v>13</v>
      </c>
      <c r="C536" s="1">
        <v>39448</v>
      </c>
      <c r="D536">
        <v>2709598977.0999999</v>
      </c>
      <c r="E536">
        <v>3</v>
      </c>
    </row>
    <row r="537" spans="2:5">
      <c r="B537" s="1" t="s">
        <v>30</v>
      </c>
      <c r="C537" s="1">
        <v>39448</v>
      </c>
      <c r="D537">
        <v>2693818093.54</v>
      </c>
      <c r="E537">
        <v>4</v>
      </c>
    </row>
    <row r="538" spans="2:5">
      <c r="B538" s="1" t="s">
        <v>17</v>
      </c>
      <c r="C538" s="1">
        <v>39448</v>
      </c>
      <c r="D538">
        <v>2331516295</v>
      </c>
      <c r="E538">
        <v>5</v>
      </c>
    </row>
    <row r="539" spans="2:5">
      <c r="B539" s="1" t="s">
        <v>9</v>
      </c>
      <c r="C539" s="1">
        <v>39448</v>
      </c>
      <c r="D539">
        <v>2149075513.8000002</v>
      </c>
      <c r="E539">
        <v>6</v>
      </c>
    </row>
    <row r="540" spans="2:5">
      <c r="B540" s="1" t="s">
        <v>8</v>
      </c>
      <c r="C540" s="1">
        <v>39448</v>
      </c>
      <c r="D540">
        <v>1648964682.8299999</v>
      </c>
      <c r="E540">
        <v>7</v>
      </c>
    </row>
    <row r="541" spans="2:5">
      <c r="B541" s="1" t="s">
        <v>31</v>
      </c>
      <c r="C541" s="1">
        <v>39448</v>
      </c>
      <c r="D541">
        <v>1296695926.96</v>
      </c>
      <c r="E541">
        <v>8</v>
      </c>
    </row>
    <row r="542" spans="2:5">
      <c r="B542" s="1" t="s">
        <v>11</v>
      </c>
      <c r="C542" s="1">
        <v>39448</v>
      </c>
      <c r="D542">
        <v>902514226.52999997</v>
      </c>
      <c r="E542">
        <v>9</v>
      </c>
    </row>
    <row r="543" spans="2:5">
      <c r="B543" s="1" t="s">
        <v>115</v>
      </c>
      <c r="C543" s="1">
        <v>39448</v>
      </c>
      <c r="D543">
        <v>747925068.12</v>
      </c>
      <c r="E543">
        <v>10</v>
      </c>
    </row>
    <row r="544" spans="2:5">
      <c r="B544" s="1" t="s">
        <v>5</v>
      </c>
      <c r="C544" s="1">
        <v>39479</v>
      </c>
      <c r="D544">
        <v>12621973781.870001</v>
      </c>
      <c r="E544">
        <v>1</v>
      </c>
    </row>
    <row r="545" spans="2:5">
      <c r="B545" s="1" t="s">
        <v>30</v>
      </c>
      <c r="C545" s="1">
        <v>39479</v>
      </c>
      <c r="D545">
        <v>2827494752.0799999</v>
      </c>
      <c r="E545">
        <v>2</v>
      </c>
    </row>
    <row r="546" spans="2:5">
      <c r="B546" s="1" t="s">
        <v>16</v>
      </c>
      <c r="C546" s="1">
        <v>39479</v>
      </c>
      <c r="D546">
        <v>2775332433.4299998</v>
      </c>
      <c r="E546">
        <v>3</v>
      </c>
    </row>
    <row r="547" spans="2:5">
      <c r="B547" s="1" t="s">
        <v>17</v>
      </c>
      <c r="C547" s="1">
        <v>39479</v>
      </c>
      <c r="D547">
        <v>1603611344.5899999</v>
      </c>
      <c r="E547">
        <v>4</v>
      </c>
    </row>
    <row r="548" spans="2:5">
      <c r="B548" s="1" t="s">
        <v>31</v>
      </c>
      <c r="C548" s="1">
        <v>39479</v>
      </c>
      <c r="D548">
        <v>1429750310.99</v>
      </c>
      <c r="E548">
        <v>5</v>
      </c>
    </row>
    <row r="549" spans="2:5">
      <c r="B549" s="1" t="s">
        <v>13</v>
      </c>
      <c r="C549" s="1">
        <v>39479</v>
      </c>
      <c r="D549">
        <v>1136876862.78</v>
      </c>
      <c r="E549">
        <v>6</v>
      </c>
    </row>
    <row r="550" spans="2:5">
      <c r="B550" s="1" t="s">
        <v>8</v>
      </c>
      <c r="C550" s="1">
        <v>39479</v>
      </c>
      <c r="D550">
        <v>1055663597.4400001</v>
      </c>
      <c r="E550">
        <v>7</v>
      </c>
    </row>
    <row r="551" spans="2:5">
      <c r="B551" s="1" t="s">
        <v>18</v>
      </c>
      <c r="C551" s="1">
        <v>39479</v>
      </c>
      <c r="D551">
        <v>1000561362.8</v>
      </c>
      <c r="E551">
        <v>8</v>
      </c>
    </row>
    <row r="552" spans="2:5">
      <c r="B552" s="1" t="s">
        <v>11</v>
      </c>
      <c r="C552" s="1">
        <v>39479</v>
      </c>
      <c r="D552">
        <v>511412695.35000002</v>
      </c>
      <c r="E552">
        <v>9</v>
      </c>
    </row>
    <row r="553" spans="2:5">
      <c r="B553" s="1" t="s">
        <v>9</v>
      </c>
      <c r="C553" s="1">
        <v>39479</v>
      </c>
      <c r="D553">
        <v>488047708.82999998</v>
      </c>
      <c r="E553">
        <v>10</v>
      </c>
    </row>
    <row r="554" spans="2:5">
      <c r="B554" s="1" t="s">
        <v>5</v>
      </c>
      <c r="C554" s="1">
        <v>39508</v>
      </c>
      <c r="D554">
        <v>15666973862.35</v>
      </c>
      <c r="E554">
        <v>1</v>
      </c>
    </row>
    <row r="555" spans="2:5">
      <c r="B555" s="1" t="s">
        <v>30</v>
      </c>
      <c r="C555" s="1">
        <v>39508</v>
      </c>
      <c r="D555">
        <v>4670013910.6199999</v>
      </c>
      <c r="E555">
        <v>2</v>
      </c>
    </row>
    <row r="556" spans="2:5">
      <c r="B556" s="1" t="s">
        <v>17</v>
      </c>
      <c r="C556" s="1">
        <v>39508</v>
      </c>
      <c r="D556">
        <v>3021716833.79</v>
      </c>
      <c r="E556">
        <v>3</v>
      </c>
    </row>
    <row r="557" spans="2:5">
      <c r="B557" s="1" t="s">
        <v>16</v>
      </c>
      <c r="C557" s="1">
        <v>39508</v>
      </c>
      <c r="D557">
        <v>2956410222.3499999</v>
      </c>
      <c r="E557">
        <v>4</v>
      </c>
    </row>
    <row r="558" spans="2:5">
      <c r="B558" s="1" t="s">
        <v>8</v>
      </c>
      <c r="C558" s="1">
        <v>39508</v>
      </c>
      <c r="D558">
        <v>2148417999.02</v>
      </c>
      <c r="E558">
        <v>5</v>
      </c>
    </row>
    <row r="559" spans="2:5">
      <c r="B559" s="1" t="s">
        <v>13</v>
      </c>
      <c r="C559" s="1">
        <v>39508</v>
      </c>
      <c r="D559">
        <v>1446007033.96</v>
      </c>
      <c r="E559">
        <v>6</v>
      </c>
    </row>
    <row r="560" spans="2:5">
      <c r="B560" s="1" t="s">
        <v>31</v>
      </c>
      <c r="C560" s="1">
        <v>39508</v>
      </c>
      <c r="D560">
        <v>1347790122.25</v>
      </c>
      <c r="E560">
        <v>7</v>
      </c>
    </row>
    <row r="561" spans="2:5">
      <c r="B561" s="1" t="s">
        <v>9</v>
      </c>
      <c r="C561" s="1">
        <v>39508</v>
      </c>
      <c r="D561">
        <v>1033822207.9299999</v>
      </c>
      <c r="E561">
        <v>8</v>
      </c>
    </row>
    <row r="562" spans="2:5">
      <c r="B562" s="1" t="s">
        <v>18</v>
      </c>
      <c r="C562" s="1">
        <v>39508</v>
      </c>
      <c r="D562">
        <v>952276854.88999999</v>
      </c>
      <c r="E562">
        <v>9</v>
      </c>
    </row>
    <row r="563" spans="2:5">
      <c r="B563" s="1" t="s">
        <v>11</v>
      </c>
      <c r="C563" s="1">
        <v>39508</v>
      </c>
      <c r="D563">
        <v>437867353.98000002</v>
      </c>
      <c r="E563">
        <v>10</v>
      </c>
    </row>
    <row r="564" spans="2:5">
      <c r="B564" s="1" t="s">
        <v>5</v>
      </c>
      <c r="C564" s="1">
        <v>39539</v>
      </c>
      <c r="D564">
        <v>9604764183.2199993</v>
      </c>
      <c r="E564">
        <v>1</v>
      </c>
    </row>
    <row r="565" spans="2:5">
      <c r="B565" s="1" t="s">
        <v>16</v>
      </c>
      <c r="C565" s="1">
        <v>39539</v>
      </c>
      <c r="D565">
        <v>2689977192.96</v>
      </c>
      <c r="E565">
        <v>2</v>
      </c>
    </row>
    <row r="566" spans="2:5">
      <c r="B566" s="1" t="s">
        <v>9</v>
      </c>
      <c r="C566" s="1">
        <v>39539</v>
      </c>
      <c r="D566">
        <v>2282514196.4699998</v>
      </c>
      <c r="E566">
        <v>3</v>
      </c>
    </row>
    <row r="567" spans="2:5">
      <c r="B567" s="1" t="s">
        <v>31</v>
      </c>
      <c r="C567" s="1">
        <v>39539</v>
      </c>
      <c r="D567">
        <v>1448382903.7</v>
      </c>
      <c r="E567">
        <v>4</v>
      </c>
    </row>
    <row r="568" spans="2:5">
      <c r="B568" s="1" t="s">
        <v>17</v>
      </c>
      <c r="C568" s="1">
        <v>39539</v>
      </c>
      <c r="D568">
        <v>1435114914.6099999</v>
      </c>
      <c r="E568">
        <v>5</v>
      </c>
    </row>
    <row r="569" spans="2:5">
      <c r="B569" s="1" t="s">
        <v>30</v>
      </c>
      <c r="C569" s="1">
        <v>39539</v>
      </c>
      <c r="D569">
        <v>1287479108.4200001</v>
      </c>
      <c r="E569">
        <v>6</v>
      </c>
    </row>
    <row r="570" spans="2:5">
      <c r="B570" s="1" t="s">
        <v>8</v>
      </c>
      <c r="C570" s="1">
        <v>39539</v>
      </c>
      <c r="D570">
        <v>878672112.01999998</v>
      </c>
      <c r="E570">
        <v>7</v>
      </c>
    </row>
    <row r="571" spans="2:5">
      <c r="B571" s="1" t="s">
        <v>33</v>
      </c>
      <c r="C571" s="1">
        <v>39539</v>
      </c>
      <c r="D571">
        <v>783690008.76999998</v>
      </c>
      <c r="E571">
        <v>8</v>
      </c>
    </row>
    <row r="572" spans="2:5">
      <c r="B572" s="1" t="s">
        <v>22</v>
      </c>
      <c r="C572" s="1">
        <v>39539</v>
      </c>
      <c r="D572">
        <v>390455441.06</v>
      </c>
      <c r="E572">
        <v>9</v>
      </c>
    </row>
    <row r="573" spans="2:5">
      <c r="B573" s="1" t="s">
        <v>14</v>
      </c>
      <c r="C573" s="1">
        <v>39539</v>
      </c>
      <c r="D573">
        <v>346654353.91000003</v>
      </c>
      <c r="E573">
        <v>10</v>
      </c>
    </row>
    <row r="574" spans="2:5">
      <c r="B574" s="1" t="s">
        <v>5</v>
      </c>
      <c r="C574" s="1">
        <v>39569</v>
      </c>
      <c r="D574">
        <v>11260841584.469999</v>
      </c>
      <c r="E574">
        <v>1</v>
      </c>
    </row>
    <row r="575" spans="2:5">
      <c r="B575" s="1" t="s">
        <v>16</v>
      </c>
      <c r="C575" s="1">
        <v>39569</v>
      </c>
      <c r="D575">
        <v>3658268824.0300002</v>
      </c>
      <c r="E575">
        <v>2</v>
      </c>
    </row>
    <row r="576" spans="2:5">
      <c r="B576" s="1" t="s">
        <v>30</v>
      </c>
      <c r="C576" s="1">
        <v>39569</v>
      </c>
      <c r="D576">
        <v>2994126799.2199998</v>
      </c>
      <c r="E576">
        <v>3</v>
      </c>
    </row>
    <row r="577" spans="2:5">
      <c r="B577" s="1" t="s">
        <v>31</v>
      </c>
      <c r="C577" s="1">
        <v>39569</v>
      </c>
      <c r="D577">
        <v>1694093260.71</v>
      </c>
      <c r="E577">
        <v>4</v>
      </c>
    </row>
    <row r="578" spans="2:5">
      <c r="B578" s="1" t="s">
        <v>8</v>
      </c>
      <c r="C578" s="1">
        <v>39569</v>
      </c>
      <c r="D578">
        <v>1350233547.8599999</v>
      </c>
      <c r="E578">
        <v>5</v>
      </c>
    </row>
    <row r="579" spans="2:5">
      <c r="B579" s="1" t="s">
        <v>9</v>
      </c>
      <c r="C579" s="1">
        <v>39569</v>
      </c>
      <c r="D579">
        <v>923555801.51999998</v>
      </c>
      <c r="E579">
        <v>6</v>
      </c>
    </row>
    <row r="580" spans="2:5">
      <c r="B580" s="1" t="s">
        <v>17</v>
      </c>
      <c r="C580" s="1">
        <v>39569</v>
      </c>
      <c r="D580">
        <v>778795391.29999995</v>
      </c>
      <c r="E580">
        <v>7</v>
      </c>
    </row>
    <row r="581" spans="2:5">
      <c r="B581" s="1" t="s">
        <v>22</v>
      </c>
      <c r="C581" s="1">
        <v>39569</v>
      </c>
      <c r="D581">
        <v>528515853.60000002</v>
      </c>
      <c r="E581">
        <v>8</v>
      </c>
    </row>
    <row r="582" spans="2:5">
      <c r="B582" s="1" t="s">
        <v>14</v>
      </c>
      <c r="C582" s="1">
        <v>39569</v>
      </c>
      <c r="D582">
        <v>412864874.60000002</v>
      </c>
      <c r="E582">
        <v>9</v>
      </c>
    </row>
    <row r="583" spans="2:5">
      <c r="B583" s="1" t="s">
        <v>11</v>
      </c>
      <c r="C583" s="1">
        <v>39569</v>
      </c>
      <c r="D583">
        <v>396657286.95999998</v>
      </c>
      <c r="E583">
        <v>10</v>
      </c>
    </row>
    <row r="584" spans="2:5">
      <c r="B584" s="1" t="s">
        <v>5</v>
      </c>
      <c r="C584" s="1">
        <v>39600</v>
      </c>
      <c r="D584">
        <v>11100913368.030001</v>
      </c>
      <c r="E584">
        <v>1</v>
      </c>
    </row>
    <row r="585" spans="2:5">
      <c r="B585" s="1" t="s">
        <v>16</v>
      </c>
      <c r="C585" s="1">
        <v>39600</v>
      </c>
      <c r="D585">
        <v>3305671422.6199999</v>
      </c>
      <c r="E585">
        <v>2</v>
      </c>
    </row>
    <row r="586" spans="2:5">
      <c r="B586" s="1" t="s">
        <v>9</v>
      </c>
      <c r="C586" s="1">
        <v>39600</v>
      </c>
      <c r="D586">
        <v>3073082012.29</v>
      </c>
      <c r="E586">
        <v>3</v>
      </c>
    </row>
    <row r="587" spans="2:5">
      <c r="B587" s="1" t="s">
        <v>30</v>
      </c>
      <c r="C587" s="1">
        <v>39600</v>
      </c>
      <c r="D587">
        <v>2181523294.0300002</v>
      </c>
      <c r="E587">
        <v>4</v>
      </c>
    </row>
    <row r="588" spans="2:5">
      <c r="B588" s="1" t="s">
        <v>8</v>
      </c>
      <c r="C588" s="1">
        <v>39600</v>
      </c>
      <c r="D588">
        <v>1971286047.4300001</v>
      </c>
      <c r="E588">
        <v>5</v>
      </c>
    </row>
    <row r="589" spans="2:5">
      <c r="B589" s="1" t="s">
        <v>31</v>
      </c>
      <c r="C589" s="1">
        <v>39600</v>
      </c>
      <c r="D589">
        <v>1063977303.1900001</v>
      </c>
      <c r="E589">
        <v>6</v>
      </c>
    </row>
    <row r="590" spans="2:5">
      <c r="B590" s="1" t="s">
        <v>17</v>
      </c>
      <c r="C590" s="1">
        <v>39600</v>
      </c>
      <c r="D590">
        <v>851004244.74000001</v>
      </c>
      <c r="E590">
        <v>7</v>
      </c>
    </row>
    <row r="591" spans="2:5">
      <c r="B591" s="1" t="s">
        <v>13</v>
      </c>
      <c r="C591" s="1">
        <v>39600</v>
      </c>
      <c r="D591">
        <v>802023002.95000005</v>
      </c>
      <c r="E591">
        <v>8</v>
      </c>
    </row>
    <row r="592" spans="2:5">
      <c r="B592" s="1" t="s">
        <v>14</v>
      </c>
      <c r="C592" s="1">
        <v>39600</v>
      </c>
      <c r="D592">
        <v>629582622.12</v>
      </c>
      <c r="E592">
        <v>9</v>
      </c>
    </row>
    <row r="593" spans="2:5">
      <c r="B593" s="1" t="s">
        <v>10</v>
      </c>
      <c r="C593" s="1">
        <v>39600</v>
      </c>
      <c r="D593">
        <v>543417101.79999995</v>
      </c>
      <c r="E593">
        <v>10</v>
      </c>
    </row>
    <row r="594" spans="2:5">
      <c r="B594" s="1" t="s">
        <v>5</v>
      </c>
      <c r="C594" s="1">
        <v>39630</v>
      </c>
      <c r="D594">
        <v>5626585790.7399998</v>
      </c>
      <c r="E594">
        <v>1</v>
      </c>
    </row>
    <row r="595" spans="2:5">
      <c r="B595" s="1" t="s">
        <v>10</v>
      </c>
      <c r="C595" s="1">
        <v>39630</v>
      </c>
      <c r="D595">
        <v>2184280083.5799999</v>
      </c>
      <c r="E595">
        <v>2</v>
      </c>
    </row>
    <row r="596" spans="2:5">
      <c r="B596" s="1" t="s">
        <v>31</v>
      </c>
      <c r="C596" s="1">
        <v>39630</v>
      </c>
      <c r="D596">
        <v>1798969583.0799999</v>
      </c>
      <c r="E596">
        <v>3</v>
      </c>
    </row>
    <row r="597" spans="2:5">
      <c r="B597" s="1" t="s">
        <v>30</v>
      </c>
      <c r="C597" s="1">
        <v>39630</v>
      </c>
      <c r="D597">
        <v>1033094421.8</v>
      </c>
      <c r="E597">
        <v>4</v>
      </c>
    </row>
    <row r="598" spans="2:5">
      <c r="B598" s="1" t="s">
        <v>16</v>
      </c>
      <c r="C598" s="1">
        <v>39630</v>
      </c>
      <c r="D598">
        <v>1030762827.8099999</v>
      </c>
      <c r="E598">
        <v>5</v>
      </c>
    </row>
    <row r="599" spans="2:5">
      <c r="B599" s="1" t="s">
        <v>9</v>
      </c>
      <c r="C599" s="1">
        <v>39630</v>
      </c>
      <c r="D599">
        <v>783961745.63999999</v>
      </c>
      <c r="E599">
        <v>6</v>
      </c>
    </row>
    <row r="600" spans="2:5">
      <c r="B600" s="1" t="s">
        <v>13</v>
      </c>
      <c r="C600" s="1">
        <v>39630</v>
      </c>
      <c r="D600">
        <v>698601958.62</v>
      </c>
      <c r="E600">
        <v>7</v>
      </c>
    </row>
    <row r="601" spans="2:5">
      <c r="B601" s="1" t="s">
        <v>33</v>
      </c>
      <c r="C601" s="1">
        <v>39630</v>
      </c>
      <c r="D601">
        <v>682516009.75999999</v>
      </c>
      <c r="E601">
        <v>8</v>
      </c>
    </row>
    <row r="602" spans="2:5">
      <c r="B602" s="1" t="s">
        <v>8</v>
      </c>
      <c r="C602" s="1">
        <v>39630</v>
      </c>
      <c r="D602">
        <v>478441572.16000003</v>
      </c>
      <c r="E602">
        <v>9</v>
      </c>
    </row>
    <row r="603" spans="2:5">
      <c r="B603" s="1" t="s">
        <v>115</v>
      </c>
      <c r="C603" s="1">
        <v>39630</v>
      </c>
      <c r="D603">
        <v>382865953.75</v>
      </c>
      <c r="E603">
        <v>10</v>
      </c>
    </row>
    <row r="604" spans="2:5">
      <c r="B604" s="1" t="s">
        <v>5</v>
      </c>
      <c r="C604" s="1">
        <v>39661</v>
      </c>
      <c r="D604">
        <v>5186273977.5699997</v>
      </c>
      <c r="E604">
        <v>1</v>
      </c>
    </row>
    <row r="605" spans="2:5">
      <c r="B605" s="1" t="s">
        <v>31</v>
      </c>
      <c r="C605" s="1">
        <v>39661</v>
      </c>
      <c r="D605">
        <v>1499404802.6700001</v>
      </c>
      <c r="E605">
        <v>2</v>
      </c>
    </row>
    <row r="606" spans="2:5">
      <c r="B606" s="1" t="s">
        <v>30</v>
      </c>
      <c r="C606" s="1">
        <v>39661</v>
      </c>
      <c r="D606">
        <v>1386167136.9100001</v>
      </c>
      <c r="E606">
        <v>3</v>
      </c>
    </row>
    <row r="607" spans="2:5">
      <c r="B607" s="1" t="s">
        <v>16</v>
      </c>
      <c r="C607" s="1">
        <v>39661</v>
      </c>
      <c r="D607">
        <v>1268489048.78</v>
      </c>
      <c r="E607">
        <v>4</v>
      </c>
    </row>
    <row r="608" spans="2:5">
      <c r="B608" s="1" t="s">
        <v>8</v>
      </c>
      <c r="C608" s="1">
        <v>39661</v>
      </c>
      <c r="D608">
        <v>1010293780.8</v>
      </c>
      <c r="E608">
        <v>5</v>
      </c>
    </row>
    <row r="609" spans="2:5">
      <c r="B609" s="1" t="s">
        <v>17</v>
      </c>
      <c r="C609" s="1">
        <v>39661</v>
      </c>
      <c r="D609">
        <v>829429089.38</v>
      </c>
      <c r="E609">
        <v>6</v>
      </c>
    </row>
    <row r="610" spans="2:5">
      <c r="B610" s="1" t="s">
        <v>9</v>
      </c>
      <c r="C610" s="1">
        <v>39661</v>
      </c>
      <c r="D610">
        <v>790012813.88</v>
      </c>
      <c r="E610">
        <v>7</v>
      </c>
    </row>
    <row r="611" spans="2:5">
      <c r="B611" s="1" t="s">
        <v>13</v>
      </c>
      <c r="C611" s="1">
        <v>39661</v>
      </c>
      <c r="D611">
        <v>738381064.39999998</v>
      </c>
      <c r="E611">
        <v>8</v>
      </c>
    </row>
    <row r="612" spans="2:5">
      <c r="B612" s="1" t="s">
        <v>115</v>
      </c>
      <c r="C612" s="1">
        <v>39661</v>
      </c>
      <c r="D612">
        <v>339333720.12</v>
      </c>
      <c r="E612">
        <v>9</v>
      </c>
    </row>
    <row r="613" spans="2:5">
      <c r="B613" s="1" t="s">
        <v>14</v>
      </c>
      <c r="C613" s="1">
        <v>39661</v>
      </c>
      <c r="D613">
        <v>319101195.19</v>
      </c>
      <c r="E613">
        <v>10</v>
      </c>
    </row>
    <row r="614" spans="2:5">
      <c r="B614" s="1" t="s">
        <v>5</v>
      </c>
      <c r="C614" s="1">
        <v>39692</v>
      </c>
      <c r="D614">
        <v>3597810473.3000002</v>
      </c>
      <c r="E614">
        <v>1</v>
      </c>
    </row>
    <row r="615" spans="2:5">
      <c r="B615" s="1" t="s">
        <v>31</v>
      </c>
      <c r="C615" s="1">
        <v>39692</v>
      </c>
      <c r="D615">
        <v>1321486905.6099999</v>
      </c>
      <c r="E615">
        <v>2</v>
      </c>
    </row>
    <row r="616" spans="2:5">
      <c r="B616" s="1" t="s">
        <v>30</v>
      </c>
      <c r="C616" s="1">
        <v>39692</v>
      </c>
      <c r="D616">
        <v>1212867361.9300001</v>
      </c>
      <c r="E616">
        <v>3</v>
      </c>
    </row>
    <row r="617" spans="2:5">
      <c r="B617" s="1" t="s">
        <v>16</v>
      </c>
      <c r="C617" s="1">
        <v>39692</v>
      </c>
      <c r="D617">
        <v>997632890.15999997</v>
      </c>
      <c r="E617">
        <v>4</v>
      </c>
    </row>
    <row r="618" spans="2:5">
      <c r="B618" s="1" t="s">
        <v>8</v>
      </c>
      <c r="C618" s="1">
        <v>39692</v>
      </c>
      <c r="D618">
        <v>823242354.52999997</v>
      </c>
      <c r="E618">
        <v>5</v>
      </c>
    </row>
    <row r="619" spans="2:5">
      <c r="B619" s="1" t="s">
        <v>9</v>
      </c>
      <c r="C619" s="1">
        <v>39692</v>
      </c>
      <c r="D619">
        <v>572407246.50999999</v>
      </c>
      <c r="E619">
        <v>6</v>
      </c>
    </row>
    <row r="620" spans="2:5">
      <c r="B620" s="1" t="s">
        <v>13</v>
      </c>
      <c r="C620" s="1">
        <v>39692</v>
      </c>
      <c r="D620">
        <v>491013136.44</v>
      </c>
      <c r="E620">
        <v>7</v>
      </c>
    </row>
    <row r="621" spans="2:5">
      <c r="B621" s="1" t="s">
        <v>14</v>
      </c>
      <c r="C621" s="1">
        <v>39692</v>
      </c>
      <c r="D621">
        <v>417996191.77999997</v>
      </c>
      <c r="E621">
        <v>8</v>
      </c>
    </row>
    <row r="622" spans="2:5">
      <c r="B622" s="1" t="s">
        <v>22</v>
      </c>
      <c r="C622" s="1">
        <v>39692</v>
      </c>
      <c r="D622">
        <v>263690234.31</v>
      </c>
      <c r="E622">
        <v>9</v>
      </c>
    </row>
    <row r="623" spans="2:5">
      <c r="B623" s="1" t="s">
        <v>4</v>
      </c>
      <c r="C623" s="1">
        <v>39692</v>
      </c>
      <c r="D623">
        <v>254378108.63</v>
      </c>
      <c r="E623">
        <v>10</v>
      </c>
    </row>
    <row r="624" spans="2:5">
      <c r="B624" s="1" t="s">
        <v>5</v>
      </c>
      <c r="C624" s="1">
        <v>39722</v>
      </c>
      <c r="D624">
        <v>3209041996.9899998</v>
      </c>
      <c r="E624">
        <v>1</v>
      </c>
    </row>
    <row r="625" spans="2:5">
      <c r="B625" s="1" t="s">
        <v>30</v>
      </c>
      <c r="C625" s="1">
        <v>39722</v>
      </c>
      <c r="D625">
        <v>1360853316.3699999</v>
      </c>
      <c r="E625">
        <v>2</v>
      </c>
    </row>
    <row r="626" spans="2:5">
      <c r="B626" s="1" t="s">
        <v>31</v>
      </c>
      <c r="C626" s="1">
        <v>39722</v>
      </c>
      <c r="D626">
        <v>1248096513.3399999</v>
      </c>
      <c r="E626">
        <v>3</v>
      </c>
    </row>
    <row r="627" spans="2:5">
      <c r="B627" s="1" t="s">
        <v>16</v>
      </c>
      <c r="C627" s="1">
        <v>39722</v>
      </c>
      <c r="D627">
        <v>1136669931.97</v>
      </c>
      <c r="E627">
        <v>4</v>
      </c>
    </row>
    <row r="628" spans="2:5">
      <c r="B628" s="1" t="s">
        <v>8</v>
      </c>
      <c r="C628" s="1">
        <v>39722</v>
      </c>
      <c r="D628">
        <v>1002288580.52</v>
      </c>
      <c r="E628">
        <v>5</v>
      </c>
    </row>
    <row r="629" spans="2:5">
      <c r="B629" s="1" t="s">
        <v>9</v>
      </c>
      <c r="C629" s="1">
        <v>39722</v>
      </c>
      <c r="D629">
        <v>604924280.78999996</v>
      </c>
      <c r="E629">
        <v>6</v>
      </c>
    </row>
    <row r="630" spans="2:5">
      <c r="B630" s="1" t="s">
        <v>13</v>
      </c>
      <c r="C630" s="1">
        <v>39722</v>
      </c>
      <c r="D630">
        <v>413496729.44999999</v>
      </c>
      <c r="E630">
        <v>7</v>
      </c>
    </row>
    <row r="631" spans="2:5">
      <c r="B631" s="1" t="s">
        <v>17</v>
      </c>
      <c r="C631" s="1">
        <v>39722</v>
      </c>
      <c r="D631">
        <v>284930845.20999998</v>
      </c>
      <c r="E631">
        <v>8</v>
      </c>
    </row>
    <row r="632" spans="2:5">
      <c r="B632" s="1" t="s">
        <v>4</v>
      </c>
      <c r="C632" s="1">
        <v>39722</v>
      </c>
      <c r="D632">
        <v>282884368.74000001</v>
      </c>
      <c r="E632">
        <v>9</v>
      </c>
    </row>
    <row r="633" spans="2:5">
      <c r="B633" s="1" t="s">
        <v>14</v>
      </c>
      <c r="C633" s="1">
        <v>39722</v>
      </c>
      <c r="D633">
        <v>263911556.16</v>
      </c>
      <c r="E633">
        <v>10</v>
      </c>
    </row>
    <row r="634" spans="2:5">
      <c r="B634" s="1" t="s">
        <v>5</v>
      </c>
      <c r="C634" s="1">
        <v>39753</v>
      </c>
      <c r="D634">
        <v>3683826115.2199998</v>
      </c>
      <c r="E634">
        <v>1</v>
      </c>
    </row>
    <row r="635" spans="2:5">
      <c r="B635" s="1" t="s">
        <v>9</v>
      </c>
      <c r="C635" s="1">
        <v>39753</v>
      </c>
      <c r="D635">
        <v>2094966319.4200001</v>
      </c>
      <c r="E635">
        <v>2</v>
      </c>
    </row>
    <row r="636" spans="2:5">
      <c r="B636" s="1" t="s">
        <v>16</v>
      </c>
      <c r="C636" s="1">
        <v>39753</v>
      </c>
      <c r="D636">
        <v>1470669632.5</v>
      </c>
      <c r="E636">
        <v>3</v>
      </c>
    </row>
    <row r="637" spans="2:5">
      <c r="B637" s="1" t="s">
        <v>30</v>
      </c>
      <c r="C637" s="1">
        <v>39753</v>
      </c>
      <c r="D637">
        <v>1224686047.46</v>
      </c>
      <c r="E637">
        <v>4</v>
      </c>
    </row>
    <row r="638" spans="2:5">
      <c r="B638" s="1" t="s">
        <v>31</v>
      </c>
      <c r="C638" s="1">
        <v>39753</v>
      </c>
      <c r="D638">
        <v>843395611.76999998</v>
      </c>
      <c r="E638">
        <v>5</v>
      </c>
    </row>
    <row r="639" spans="2:5">
      <c r="B639" s="1" t="s">
        <v>8</v>
      </c>
      <c r="C639" s="1">
        <v>39753</v>
      </c>
      <c r="D639">
        <v>802393897.53999996</v>
      </c>
      <c r="E639">
        <v>6</v>
      </c>
    </row>
    <row r="640" spans="2:5">
      <c r="B640" s="1" t="s">
        <v>13</v>
      </c>
      <c r="C640" s="1">
        <v>39753</v>
      </c>
      <c r="D640">
        <v>376892203.77999997</v>
      </c>
      <c r="E640">
        <v>7</v>
      </c>
    </row>
    <row r="641" spans="2:5">
      <c r="B641" s="1" t="s">
        <v>22</v>
      </c>
      <c r="C641" s="1">
        <v>39753</v>
      </c>
      <c r="D641">
        <v>309858954.07999998</v>
      </c>
      <c r="E641">
        <v>8</v>
      </c>
    </row>
    <row r="642" spans="2:5">
      <c r="B642" s="1" t="s">
        <v>4</v>
      </c>
      <c r="C642" s="1">
        <v>39753</v>
      </c>
      <c r="D642">
        <v>208949608.93000001</v>
      </c>
      <c r="E642">
        <v>9</v>
      </c>
    </row>
    <row r="643" spans="2:5">
      <c r="B643" s="1" t="s">
        <v>40</v>
      </c>
      <c r="C643" s="1">
        <v>39753</v>
      </c>
      <c r="D643">
        <v>179709268.84999999</v>
      </c>
      <c r="E643">
        <v>10</v>
      </c>
    </row>
    <row r="644" spans="2:5">
      <c r="B644" s="1" t="s">
        <v>5</v>
      </c>
      <c r="C644" s="1">
        <v>39783</v>
      </c>
      <c r="D644">
        <v>2158341504.3499999</v>
      </c>
      <c r="E644">
        <v>1</v>
      </c>
    </row>
    <row r="645" spans="2:5">
      <c r="B645" s="1" t="s">
        <v>30</v>
      </c>
      <c r="C645" s="1">
        <v>39783</v>
      </c>
      <c r="D645">
        <v>1270133878.5</v>
      </c>
      <c r="E645">
        <v>2</v>
      </c>
    </row>
    <row r="646" spans="2:5">
      <c r="B646" s="1" t="s">
        <v>9</v>
      </c>
      <c r="C646" s="1">
        <v>39783</v>
      </c>
      <c r="D646">
        <v>1047883427.5599999</v>
      </c>
      <c r="E646">
        <v>3</v>
      </c>
    </row>
    <row r="647" spans="2:5">
      <c r="B647" s="1" t="s">
        <v>16</v>
      </c>
      <c r="C647" s="1">
        <v>39783</v>
      </c>
      <c r="D647">
        <v>620839697.44000006</v>
      </c>
      <c r="E647">
        <v>4</v>
      </c>
    </row>
    <row r="648" spans="2:5">
      <c r="B648" s="1" t="s">
        <v>8</v>
      </c>
      <c r="C648" s="1">
        <v>39783</v>
      </c>
      <c r="D648">
        <v>587970707.45000005</v>
      </c>
      <c r="E648">
        <v>5</v>
      </c>
    </row>
    <row r="649" spans="2:5">
      <c r="B649" s="1" t="s">
        <v>31</v>
      </c>
      <c r="C649" s="1">
        <v>39783</v>
      </c>
      <c r="D649">
        <v>542265349.04999995</v>
      </c>
      <c r="E649">
        <v>6</v>
      </c>
    </row>
    <row r="650" spans="2:5">
      <c r="B650" s="1" t="s">
        <v>10</v>
      </c>
      <c r="C650" s="1">
        <v>39783</v>
      </c>
      <c r="D650">
        <v>348128925.05000001</v>
      </c>
      <c r="E650">
        <v>7</v>
      </c>
    </row>
    <row r="651" spans="2:5">
      <c r="B651" s="1" t="s">
        <v>13</v>
      </c>
      <c r="C651" s="1">
        <v>39783</v>
      </c>
      <c r="D651">
        <v>318304226.47000003</v>
      </c>
      <c r="E651">
        <v>8</v>
      </c>
    </row>
    <row r="652" spans="2:5">
      <c r="B652" s="1" t="s">
        <v>22</v>
      </c>
      <c r="C652" s="1">
        <v>39783</v>
      </c>
      <c r="D652">
        <v>244829965.52000001</v>
      </c>
      <c r="E652">
        <v>9</v>
      </c>
    </row>
    <row r="653" spans="2:5">
      <c r="B653" s="1" t="s">
        <v>14</v>
      </c>
      <c r="C653" s="1">
        <v>39783</v>
      </c>
      <c r="D653">
        <v>189581944.61000001</v>
      </c>
      <c r="E653">
        <v>10</v>
      </c>
    </row>
    <row r="654" spans="2:5">
      <c r="B654" s="1" t="s">
        <v>5</v>
      </c>
      <c r="C654" s="1">
        <v>39814</v>
      </c>
      <c r="D654">
        <v>2969647031.0900002</v>
      </c>
      <c r="E654">
        <v>1</v>
      </c>
    </row>
    <row r="655" spans="2:5">
      <c r="B655" s="1" t="s">
        <v>22</v>
      </c>
      <c r="C655" s="1">
        <v>39814</v>
      </c>
      <c r="D655">
        <v>2255179789.8299999</v>
      </c>
      <c r="E655">
        <v>2</v>
      </c>
    </row>
    <row r="656" spans="2:5">
      <c r="B656" s="1" t="s">
        <v>13</v>
      </c>
      <c r="C656" s="1">
        <v>39814</v>
      </c>
      <c r="D656">
        <v>1726263195.97</v>
      </c>
      <c r="E656">
        <v>3</v>
      </c>
    </row>
    <row r="657" spans="2:5">
      <c r="B657" s="1" t="s">
        <v>34</v>
      </c>
      <c r="C657" s="1">
        <v>39814</v>
      </c>
      <c r="D657">
        <v>1515379715.46</v>
      </c>
      <c r="E657">
        <v>4</v>
      </c>
    </row>
    <row r="658" spans="2:5">
      <c r="B658" s="1" t="s">
        <v>30</v>
      </c>
      <c r="C658" s="1">
        <v>39814</v>
      </c>
      <c r="D658">
        <v>1464856783.98</v>
      </c>
      <c r="E658">
        <v>5</v>
      </c>
    </row>
    <row r="659" spans="2:5">
      <c r="B659" s="1" t="s">
        <v>16</v>
      </c>
      <c r="C659" s="1">
        <v>39814</v>
      </c>
      <c r="D659">
        <v>1311346711.4000001</v>
      </c>
      <c r="E659">
        <v>6</v>
      </c>
    </row>
    <row r="660" spans="2:5">
      <c r="B660" s="1" t="s">
        <v>8</v>
      </c>
      <c r="C660" s="1">
        <v>39814</v>
      </c>
      <c r="D660">
        <v>729862860.11000001</v>
      </c>
      <c r="E660">
        <v>7</v>
      </c>
    </row>
    <row r="661" spans="2:5">
      <c r="B661" s="1" t="s">
        <v>9</v>
      </c>
      <c r="C661" s="1">
        <v>39814</v>
      </c>
      <c r="D661">
        <v>725872145.41999996</v>
      </c>
      <c r="E661">
        <v>8</v>
      </c>
    </row>
    <row r="662" spans="2:5">
      <c r="B662" s="1" t="s">
        <v>31</v>
      </c>
      <c r="C662" s="1">
        <v>39814</v>
      </c>
      <c r="D662">
        <v>578012337.17999995</v>
      </c>
      <c r="E662">
        <v>9</v>
      </c>
    </row>
    <row r="663" spans="2:5">
      <c r="B663" s="1" t="s">
        <v>117</v>
      </c>
      <c r="C663" s="1">
        <v>39814</v>
      </c>
      <c r="D663">
        <v>461671461.60000002</v>
      </c>
      <c r="E663">
        <v>10</v>
      </c>
    </row>
    <row r="664" spans="2:5">
      <c r="B664" s="1" t="s">
        <v>5</v>
      </c>
      <c r="C664" s="1">
        <v>39845</v>
      </c>
      <c r="D664">
        <v>3317104858.1599998</v>
      </c>
      <c r="E664">
        <v>1</v>
      </c>
    </row>
    <row r="665" spans="2:5">
      <c r="B665" s="1" t="s">
        <v>30</v>
      </c>
      <c r="C665" s="1">
        <v>39845</v>
      </c>
      <c r="D665">
        <v>724463965.13</v>
      </c>
      <c r="E665">
        <v>2</v>
      </c>
    </row>
    <row r="666" spans="2:5">
      <c r="B666" s="1" t="s">
        <v>31</v>
      </c>
      <c r="C666" s="1">
        <v>39845</v>
      </c>
      <c r="D666">
        <v>596455268.49000001</v>
      </c>
      <c r="E666">
        <v>3</v>
      </c>
    </row>
    <row r="667" spans="2:5">
      <c r="B667" s="1" t="s">
        <v>71</v>
      </c>
      <c r="C667" s="1">
        <v>39845</v>
      </c>
      <c r="D667">
        <v>583492367.36000001</v>
      </c>
      <c r="E667">
        <v>4</v>
      </c>
    </row>
    <row r="668" spans="2:5">
      <c r="B668" s="1" t="s">
        <v>8</v>
      </c>
      <c r="C668" s="1">
        <v>39845</v>
      </c>
      <c r="D668">
        <v>552621931.66999996</v>
      </c>
      <c r="E668">
        <v>5</v>
      </c>
    </row>
    <row r="669" spans="2:5">
      <c r="B669" s="1" t="s">
        <v>16</v>
      </c>
      <c r="C669" s="1">
        <v>39845</v>
      </c>
      <c r="D669">
        <v>548905355.99000001</v>
      </c>
      <c r="E669">
        <v>6</v>
      </c>
    </row>
    <row r="670" spans="2:5">
      <c r="B670" s="1" t="s">
        <v>4</v>
      </c>
      <c r="C670" s="1">
        <v>39845</v>
      </c>
      <c r="D670">
        <v>484518538.19</v>
      </c>
      <c r="E670">
        <v>7</v>
      </c>
    </row>
    <row r="671" spans="2:5">
      <c r="B671" s="1" t="s">
        <v>9</v>
      </c>
      <c r="C671" s="1">
        <v>39845</v>
      </c>
      <c r="D671">
        <v>480118054.92000002</v>
      </c>
      <c r="E671">
        <v>8</v>
      </c>
    </row>
    <row r="672" spans="2:5">
      <c r="B672" s="1" t="s">
        <v>13</v>
      </c>
      <c r="C672" s="1">
        <v>39845</v>
      </c>
      <c r="D672">
        <v>379356034.81999999</v>
      </c>
      <c r="E672">
        <v>9</v>
      </c>
    </row>
    <row r="673" spans="2:5">
      <c r="B673" s="1" t="s">
        <v>22</v>
      </c>
      <c r="C673" s="1">
        <v>39845</v>
      </c>
      <c r="D673">
        <v>260754121.61000001</v>
      </c>
      <c r="E673">
        <v>10</v>
      </c>
    </row>
    <row r="674" spans="2:5">
      <c r="B674" s="1" t="s">
        <v>30</v>
      </c>
      <c r="C674" s="1">
        <v>39873</v>
      </c>
      <c r="D674">
        <v>2229672563.8899999</v>
      </c>
      <c r="E674">
        <v>1</v>
      </c>
    </row>
    <row r="675" spans="2:5">
      <c r="B675" s="1" t="s">
        <v>8</v>
      </c>
      <c r="C675" s="1">
        <v>39873</v>
      </c>
      <c r="D675">
        <v>1559389357.8900001</v>
      </c>
      <c r="E675">
        <v>2</v>
      </c>
    </row>
    <row r="676" spans="2:5">
      <c r="B676" s="1" t="s">
        <v>9</v>
      </c>
      <c r="C676" s="1">
        <v>39873</v>
      </c>
      <c r="D676">
        <v>1254259027.49</v>
      </c>
      <c r="E676">
        <v>3</v>
      </c>
    </row>
    <row r="677" spans="2:5">
      <c r="B677" s="1" t="s">
        <v>31</v>
      </c>
      <c r="C677" s="1">
        <v>39873</v>
      </c>
      <c r="D677">
        <v>956909872.99000001</v>
      </c>
      <c r="E677">
        <v>4</v>
      </c>
    </row>
    <row r="678" spans="2:5">
      <c r="B678" s="1" t="s">
        <v>71</v>
      </c>
      <c r="C678" s="1">
        <v>39873</v>
      </c>
      <c r="D678">
        <v>841723160.23000002</v>
      </c>
      <c r="E678">
        <v>5</v>
      </c>
    </row>
    <row r="679" spans="2:5">
      <c r="B679" s="1" t="s">
        <v>13</v>
      </c>
      <c r="C679" s="1">
        <v>39873</v>
      </c>
      <c r="D679">
        <v>758409018.50999999</v>
      </c>
      <c r="E679">
        <v>6</v>
      </c>
    </row>
    <row r="680" spans="2:5">
      <c r="B680" s="1" t="s">
        <v>16</v>
      </c>
      <c r="C680" s="1">
        <v>39873</v>
      </c>
      <c r="D680">
        <v>692586940.16999996</v>
      </c>
      <c r="E680">
        <v>7</v>
      </c>
    </row>
    <row r="681" spans="2:5">
      <c r="B681" s="1" t="s">
        <v>4</v>
      </c>
      <c r="C681" s="1">
        <v>39873</v>
      </c>
      <c r="D681">
        <v>618757763.75</v>
      </c>
      <c r="E681">
        <v>8</v>
      </c>
    </row>
    <row r="682" spans="2:5">
      <c r="B682" s="1" t="s">
        <v>119</v>
      </c>
      <c r="C682" s="1">
        <v>39873</v>
      </c>
      <c r="D682">
        <v>333206775.54000002</v>
      </c>
      <c r="E682">
        <v>9</v>
      </c>
    </row>
    <row r="683" spans="2:5">
      <c r="B683" s="1" t="s">
        <v>22</v>
      </c>
      <c r="C683" s="1">
        <v>39873</v>
      </c>
      <c r="D683">
        <v>269517470.33999997</v>
      </c>
      <c r="E683">
        <v>10</v>
      </c>
    </row>
    <row r="684" spans="2:5">
      <c r="B684" s="1" t="s">
        <v>30</v>
      </c>
      <c r="C684" s="1">
        <v>39904</v>
      </c>
      <c r="D684">
        <v>3407769717.4299998</v>
      </c>
      <c r="E684">
        <v>1</v>
      </c>
    </row>
    <row r="685" spans="2:5">
      <c r="B685" s="1" t="s">
        <v>16</v>
      </c>
      <c r="C685" s="1">
        <v>39904</v>
      </c>
      <c r="D685">
        <v>2441399554.0999999</v>
      </c>
      <c r="E685">
        <v>2</v>
      </c>
    </row>
    <row r="686" spans="2:5">
      <c r="B686" s="1" t="s">
        <v>13</v>
      </c>
      <c r="C686" s="1">
        <v>39904</v>
      </c>
      <c r="D686">
        <v>1922349871.71</v>
      </c>
      <c r="E686">
        <v>3</v>
      </c>
    </row>
    <row r="687" spans="2:5">
      <c r="B687" s="1" t="s">
        <v>9</v>
      </c>
      <c r="C687" s="1">
        <v>39904</v>
      </c>
      <c r="D687">
        <v>1737171982.3699999</v>
      </c>
      <c r="E687">
        <v>4</v>
      </c>
    </row>
    <row r="688" spans="2:5">
      <c r="B688" s="1" t="s">
        <v>8</v>
      </c>
      <c r="C688" s="1">
        <v>39904</v>
      </c>
      <c r="D688">
        <v>1643661737.3099999</v>
      </c>
      <c r="E688">
        <v>5</v>
      </c>
    </row>
    <row r="689" spans="2:5">
      <c r="B689" s="1" t="s">
        <v>31</v>
      </c>
      <c r="C689" s="1">
        <v>39904</v>
      </c>
      <c r="D689">
        <v>1631140291.73</v>
      </c>
      <c r="E689">
        <v>6</v>
      </c>
    </row>
    <row r="690" spans="2:5">
      <c r="B690" s="1" t="s">
        <v>4</v>
      </c>
      <c r="C690" s="1">
        <v>39904</v>
      </c>
      <c r="D690">
        <v>1214333024.3499999</v>
      </c>
      <c r="E690">
        <v>7</v>
      </c>
    </row>
    <row r="691" spans="2:5">
      <c r="B691" s="1" t="s">
        <v>71</v>
      </c>
      <c r="C691" s="1">
        <v>39904</v>
      </c>
      <c r="D691">
        <v>606100424.61000001</v>
      </c>
      <c r="E691">
        <v>8</v>
      </c>
    </row>
    <row r="692" spans="2:5">
      <c r="B692" s="1" t="s">
        <v>12</v>
      </c>
      <c r="C692" s="1">
        <v>39904</v>
      </c>
      <c r="D692">
        <v>413357699.44</v>
      </c>
      <c r="E692">
        <v>9</v>
      </c>
    </row>
    <row r="693" spans="2:5">
      <c r="B693" s="1" t="s">
        <v>121</v>
      </c>
      <c r="C693" s="1">
        <v>39904</v>
      </c>
      <c r="D693">
        <v>323947662.22000003</v>
      </c>
      <c r="E693">
        <v>10</v>
      </c>
    </row>
    <row r="694" spans="2:5">
      <c r="B694" s="1" t="s">
        <v>4</v>
      </c>
      <c r="C694" s="1">
        <v>39934</v>
      </c>
      <c r="D694">
        <v>2815227706.5700002</v>
      </c>
      <c r="E694">
        <v>1</v>
      </c>
    </row>
    <row r="695" spans="2:5">
      <c r="B695" s="1" t="s">
        <v>30</v>
      </c>
      <c r="C695" s="1">
        <v>39934</v>
      </c>
      <c r="D695">
        <v>2714587852.3600001</v>
      </c>
      <c r="E695">
        <v>2</v>
      </c>
    </row>
    <row r="696" spans="2:5">
      <c r="B696" s="1" t="s">
        <v>31</v>
      </c>
      <c r="C696" s="1">
        <v>39934</v>
      </c>
      <c r="D696">
        <v>1520805155.21</v>
      </c>
      <c r="E696">
        <v>3</v>
      </c>
    </row>
    <row r="697" spans="2:5">
      <c r="B697" s="1" t="s">
        <v>8</v>
      </c>
      <c r="C697" s="1">
        <v>39934</v>
      </c>
      <c r="D697">
        <v>1193867589.9300001</v>
      </c>
      <c r="E697">
        <v>4</v>
      </c>
    </row>
    <row r="698" spans="2:5">
      <c r="B698" s="1" t="s">
        <v>16</v>
      </c>
      <c r="C698" s="1">
        <v>39934</v>
      </c>
      <c r="D698">
        <v>1082714427.5699999</v>
      </c>
      <c r="E698">
        <v>5</v>
      </c>
    </row>
    <row r="699" spans="2:5">
      <c r="B699" s="1" t="s">
        <v>9</v>
      </c>
      <c r="C699" s="1">
        <v>39934</v>
      </c>
      <c r="D699">
        <v>1028962633.39</v>
      </c>
      <c r="E699">
        <v>6</v>
      </c>
    </row>
    <row r="700" spans="2:5">
      <c r="B700" s="1" t="s">
        <v>14</v>
      </c>
      <c r="C700" s="1">
        <v>39934</v>
      </c>
      <c r="D700">
        <v>415100159.16000003</v>
      </c>
      <c r="E700">
        <v>7</v>
      </c>
    </row>
    <row r="701" spans="2:5">
      <c r="B701" s="1" t="s">
        <v>71</v>
      </c>
      <c r="C701" s="1">
        <v>39934</v>
      </c>
      <c r="D701">
        <v>385497497.38</v>
      </c>
      <c r="E701">
        <v>8</v>
      </c>
    </row>
    <row r="702" spans="2:5">
      <c r="B702" s="1" t="s">
        <v>13</v>
      </c>
      <c r="C702" s="1">
        <v>39934</v>
      </c>
      <c r="D702">
        <v>383407198.56</v>
      </c>
      <c r="E702">
        <v>9</v>
      </c>
    </row>
    <row r="703" spans="2:5">
      <c r="B703" s="1" t="s">
        <v>34</v>
      </c>
      <c r="C703" s="1">
        <v>39934</v>
      </c>
      <c r="D703">
        <v>369492901.44999999</v>
      </c>
      <c r="E703">
        <v>10</v>
      </c>
    </row>
    <row r="704" spans="2:5">
      <c r="B704" s="1" t="s">
        <v>30</v>
      </c>
      <c r="C704" s="1">
        <v>39965</v>
      </c>
      <c r="D704">
        <v>2989564840.3499999</v>
      </c>
      <c r="E704">
        <v>1</v>
      </c>
    </row>
    <row r="705" spans="2:5">
      <c r="B705" s="1" t="s">
        <v>8</v>
      </c>
      <c r="C705" s="1">
        <v>39965</v>
      </c>
      <c r="D705">
        <v>1665474577.04</v>
      </c>
      <c r="E705">
        <v>2</v>
      </c>
    </row>
    <row r="706" spans="2:5">
      <c r="B706" s="1" t="s">
        <v>16</v>
      </c>
      <c r="C706" s="1">
        <v>39965</v>
      </c>
      <c r="D706">
        <v>1562894759.0899999</v>
      </c>
      <c r="E706">
        <v>3</v>
      </c>
    </row>
    <row r="707" spans="2:5">
      <c r="B707" s="1" t="s">
        <v>4</v>
      </c>
      <c r="C707" s="1">
        <v>39965</v>
      </c>
      <c r="D707">
        <v>1515846536.6400001</v>
      </c>
      <c r="E707">
        <v>4</v>
      </c>
    </row>
    <row r="708" spans="2:5">
      <c r="B708" s="1" t="s">
        <v>34</v>
      </c>
      <c r="C708" s="1">
        <v>39965</v>
      </c>
      <c r="D708">
        <v>978379602</v>
      </c>
      <c r="E708">
        <v>5</v>
      </c>
    </row>
    <row r="709" spans="2:5">
      <c r="B709" s="1" t="s">
        <v>9</v>
      </c>
      <c r="C709" s="1">
        <v>39965</v>
      </c>
      <c r="D709">
        <v>936122247.58000004</v>
      </c>
      <c r="E709">
        <v>6</v>
      </c>
    </row>
    <row r="710" spans="2:5">
      <c r="B710" s="1" t="s">
        <v>31</v>
      </c>
      <c r="C710" s="1">
        <v>39965</v>
      </c>
      <c r="D710">
        <v>816930406.16999996</v>
      </c>
      <c r="E710">
        <v>7</v>
      </c>
    </row>
    <row r="711" spans="2:5">
      <c r="B711" s="1" t="s">
        <v>13</v>
      </c>
      <c r="C711" s="1">
        <v>39965</v>
      </c>
      <c r="D711">
        <v>666350398.66999996</v>
      </c>
      <c r="E711">
        <v>8</v>
      </c>
    </row>
    <row r="712" spans="2:5">
      <c r="B712" s="1" t="s">
        <v>12</v>
      </c>
      <c r="C712" s="1">
        <v>39965</v>
      </c>
      <c r="D712">
        <v>539005086.36000001</v>
      </c>
      <c r="E712">
        <v>9</v>
      </c>
    </row>
    <row r="713" spans="2:5">
      <c r="B713" s="1" t="s">
        <v>143</v>
      </c>
      <c r="C713" s="1">
        <v>39965</v>
      </c>
      <c r="D713">
        <v>333864167.14999998</v>
      </c>
      <c r="E713">
        <v>10</v>
      </c>
    </row>
    <row r="714" spans="2:5">
      <c r="B714" s="1" t="s">
        <v>30</v>
      </c>
      <c r="C714" s="1">
        <v>39995</v>
      </c>
      <c r="D714">
        <v>3693076130.73</v>
      </c>
      <c r="E714">
        <v>1</v>
      </c>
    </row>
    <row r="715" spans="2:5">
      <c r="B715" s="1" t="s">
        <v>16</v>
      </c>
      <c r="C715" s="1">
        <v>39995</v>
      </c>
      <c r="D715">
        <v>2869622330.21</v>
      </c>
      <c r="E715">
        <v>2</v>
      </c>
    </row>
    <row r="716" spans="2:5">
      <c r="B716" s="1" t="s">
        <v>8</v>
      </c>
      <c r="C716" s="1">
        <v>39995</v>
      </c>
      <c r="D716">
        <v>2100851837.9300001</v>
      </c>
      <c r="E716">
        <v>3</v>
      </c>
    </row>
    <row r="717" spans="2:5">
      <c r="B717" s="1" t="s">
        <v>4</v>
      </c>
      <c r="C717" s="1">
        <v>39995</v>
      </c>
      <c r="D717">
        <v>1870162161.0899999</v>
      </c>
      <c r="E717">
        <v>4</v>
      </c>
    </row>
    <row r="718" spans="2:5">
      <c r="B718" s="1" t="s">
        <v>9</v>
      </c>
      <c r="C718" s="1">
        <v>39995</v>
      </c>
      <c r="D718">
        <v>883955249.34000003</v>
      </c>
      <c r="E718">
        <v>5</v>
      </c>
    </row>
    <row r="719" spans="2:5">
      <c r="B719" s="1" t="s">
        <v>13</v>
      </c>
      <c r="C719" s="1">
        <v>39995</v>
      </c>
      <c r="D719">
        <v>805872940.15999997</v>
      </c>
      <c r="E719">
        <v>6</v>
      </c>
    </row>
    <row r="720" spans="2:5">
      <c r="B720" s="1" t="s">
        <v>31</v>
      </c>
      <c r="C720" s="1">
        <v>39995</v>
      </c>
      <c r="D720">
        <v>755680933.53999996</v>
      </c>
      <c r="E720">
        <v>7</v>
      </c>
    </row>
    <row r="721" spans="2:5">
      <c r="B721" s="1" t="s">
        <v>71</v>
      </c>
      <c r="C721" s="1">
        <v>39995</v>
      </c>
      <c r="D721">
        <v>675429349.71000004</v>
      </c>
      <c r="E721">
        <v>8</v>
      </c>
    </row>
    <row r="722" spans="2:5">
      <c r="B722" s="1" t="s">
        <v>12</v>
      </c>
      <c r="C722" s="1">
        <v>39995</v>
      </c>
      <c r="D722">
        <v>633344752.33000004</v>
      </c>
      <c r="E722">
        <v>9</v>
      </c>
    </row>
    <row r="723" spans="2:5">
      <c r="B723" s="1" t="s">
        <v>144</v>
      </c>
      <c r="C723" s="1">
        <v>39995</v>
      </c>
      <c r="D723">
        <v>438760608.49000001</v>
      </c>
      <c r="E723">
        <v>10</v>
      </c>
    </row>
    <row r="724" spans="2:5">
      <c r="B724" s="1" t="s">
        <v>30</v>
      </c>
      <c r="C724" s="1">
        <v>40026</v>
      </c>
      <c r="D724">
        <v>4882309364.7299995</v>
      </c>
      <c r="E724">
        <v>1</v>
      </c>
    </row>
    <row r="725" spans="2:5">
      <c r="B725" s="1" t="s">
        <v>16</v>
      </c>
      <c r="C725" s="1">
        <v>40026</v>
      </c>
      <c r="D725">
        <v>2229551006.6300001</v>
      </c>
      <c r="E725">
        <v>2</v>
      </c>
    </row>
    <row r="726" spans="2:5">
      <c r="B726" s="1" t="s">
        <v>4</v>
      </c>
      <c r="C726" s="1">
        <v>40026</v>
      </c>
      <c r="D726">
        <v>2009262252.27</v>
      </c>
      <c r="E726">
        <v>3</v>
      </c>
    </row>
    <row r="727" spans="2:5">
      <c r="B727" s="1" t="s">
        <v>8</v>
      </c>
      <c r="C727" s="1">
        <v>40026</v>
      </c>
      <c r="D727">
        <v>1257913308.8199999</v>
      </c>
      <c r="E727">
        <v>4</v>
      </c>
    </row>
    <row r="728" spans="2:5">
      <c r="B728" s="1" t="s">
        <v>71</v>
      </c>
      <c r="C728" s="1">
        <v>40026</v>
      </c>
      <c r="D728">
        <v>913654412.88</v>
      </c>
      <c r="E728">
        <v>5</v>
      </c>
    </row>
    <row r="729" spans="2:5">
      <c r="B729" s="1" t="s">
        <v>13</v>
      </c>
      <c r="C729" s="1">
        <v>40026</v>
      </c>
      <c r="D729">
        <v>832077834.90999997</v>
      </c>
      <c r="E729">
        <v>6</v>
      </c>
    </row>
    <row r="730" spans="2:5">
      <c r="B730" s="1" t="s">
        <v>12</v>
      </c>
      <c r="C730" s="1">
        <v>40026</v>
      </c>
      <c r="D730">
        <v>829956827.59000003</v>
      </c>
      <c r="E730">
        <v>7</v>
      </c>
    </row>
    <row r="731" spans="2:5">
      <c r="B731" s="1" t="s">
        <v>9</v>
      </c>
      <c r="C731" s="1">
        <v>40026</v>
      </c>
      <c r="D731">
        <v>564529880.10000002</v>
      </c>
      <c r="E731">
        <v>8</v>
      </c>
    </row>
    <row r="732" spans="2:5">
      <c r="B732" s="1" t="s">
        <v>20</v>
      </c>
      <c r="C732" s="1">
        <v>40026</v>
      </c>
      <c r="D732">
        <v>427705202.57999998</v>
      </c>
      <c r="E732">
        <v>9</v>
      </c>
    </row>
    <row r="733" spans="2:5">
      <c r="B733" s="1" t="s">
        <v>34</v>
      </c>
      <c r="C733" s="1">
        <v>40026</v>
      </c>
      <c r="D733">
        <v>387279905.17000002</v>
      </c>
      <c r="E733">
        <v>10</v>
      </c>
    </row>
    <row r="734" spans="2:5">
      <c r="B734" s="1" t="s">
        <v>30</v>
      </c>
      <c r="C734" s="1">
        <v>40057</v>
      </c>
      <c r="D734">
        <v>1858141620.6099999</v>
      </c>
      <c r="E734">
        <v>1</v>
      </c>
    </row>
    <row r="735" spans="2:5">
      <c r="B735" s="1" t="s">
        <v>4</v>
      </c>
      <c r="C735" s="1">
        <v>40057</v>
      </c>
      <c r="D735">
        <v>1517335208.99</v>
      </c>
      <c r="E735">
        <v>2</v>
      </c>
    </row>
    <row r="736" spans="2:5">
      <c r="B736" s="1" t="s">
        <v>16</v>
      </c>
      <c r="C736" s="1">
        <v>40057</v>
      </c>
      <c r="D736">
        <v>1462808894.8</v>
      </c>
      <c r="E736">
        <v>3</v>
      </c>
    </row>
    <row r="737" spans="2:5">
      <c r="B737" s="1" t="s">
        <v>8</v>
      </c>
      <c r="C737" s="1">
        <v>40057</v>
      </c>
      <c r="D737">
        <v>1018336962.6</v>
      </c>
      <c r="E737">
        <v>4</v>
      </c>
    </row>
    <row r="738" spans="2:5">
      <c r="B738" s="1" t="s">
        <v>13</v>
      </c>
      <c r="C738" s="1">
        <v>40057</v>
      </c>
      <c r="D738">
        <v>570372803.38999999</v>
      </c>
      <c r="E738">
        <v>5</v>
      </c>
    </row>
    <row r="739" spans="2:5">
      <c r="B739" s="1" t="s">
        <v>71</v>
      </c>
      <c r="C739" s="1">
        <v>40057</v>
      </c>
      <c r="D739">
        <v>557695919.63</v>
      </c>
      <c r="E739">
        <v>6</v>
      </c>
    </row>
    <row r="740" spans="2:5">
      <c r="B740" s="1" t="s">
        <v>12</v>
      </c>
      <c r="C740" s="1">
        <v>40057</v>
      </c>
      <c r="D740">
        <v>401908002.37</v>
      </c>
      <c r="E740">
        <v>7</v>
      </c>
    </row>
    <row r="741" spans="2:5">
      <c r="B741" s="1" t="s">
        <v>22</v>
      </c>
      <c r="C741" s="1">
        <v>40057</v>
      </c>
      <c r="D741">
        <v>361682013.87</v>
      </c>
      <c r="E741">
        <v>8</v>
      </c>
    </row>
    <row r="742" spans="2:5">
      <c r="B742" s="1" t="s">
        <v>14</v>
      </c>
      <c r="C742" s="1">
        <v>40057</v>
      </c>
      <c r="D742">
        <v>354933815.98000002</v>
      </c>
      <c r="E742">
        <v>9</v>
      </c>
    </row>
    <row r="743" spans="2:5">
      <c r="B743" s="1" t="s">
        <v>46</v>
      </c>
      <c r="C743" s="1">
        <v>40057</v>
      </c>
      <c r="D743">
        <v>325691818.44999999</v>
      </c>
      <c r="E743">
        <v>10</v>
      </c>
    </row>
    <row r="744" spans="2:5">
      <c r="B744" s="1" t="s">
        <v>30</v>
      </c>
      <c r="C744" s="1">
        <v>40087</v>
      </c>
      <c r="D744">
        <v>1620000882.77</v>
      </c>
      <c r="E744">
        <v>1</v>
      </c>
    </row>
    <row r="745" spans="2:5">
      <c r="B745" s="1" t="s">
        <v>16</v>
      </c>
      <c r="C745" s="1">
        <v>40087</v>
      </c>
      <c r="D745">
        <v>1436034214.4200001</v>
      </c>
      <c r="E745">
        <v>2</v>
      </c>
    </row>
    <row r="746" spans="2:5">
      <c r="B746" s="1" t="s">
        <v>8</v>
      </c>
      <c r="C746" s="1">
        <v>40087</v>
      </c>
      <c r="D746">
        <v>732944580.41999996</v>
      </c>
      <c r="E746">
        <v>3</v>
      </c>
    </row>
    <row r="747" spans="2:5">
      <c r="B747" s="1" t="s">
        <v>4</v>
      </c>
      <c r="C747" s="1">
        <v>40087</v>
      </c>
      <c r="D747">
        <v>619067015.65999997</v>
      </c>
      <c r="E747">
        <v>4</v>
      </c>
    </row>
    <row r="748" spans="2:5">
      <c r="B748" s="1" t="s">
        <v>14</v>
      </c>
      <c r="C748" s="1">
        <v>40087</v>
      </c>
      <c r="D748">
        <v>391522691.43000001</v>
      </c>
      <c r="E748">
        <v>5</v>
      </c>
    </row>
    <row r="749" spans="2:5">
      <c r="B749" s="1" t="s">
        <v>6</v>
      </c>
      <c r="C749" s="1">
        <v>40087</v>
      </c>
      <c r="D749">
        <v>380504911.83999997</v>
      </c>
      <c r="E749">
        <v>6</v>
      </c>
    </row>
    <row r="750" spans="2:5">
      <c r="B750" s="1" t="s">
        <v>13</v>
      </c>
      <c r="C750" s="1">
        <v>40087</v>
      </c>
      <c r="D750">
        <v>319323334.16000003</v>
      </c>
      <c r="E750">
        <v>7</v>
      </c>
    </row>
    <row r="751" spans="2:5">
      <c r="B751" s="1" t="s">
        <v>22</v>
      </c>
      <c r="C751" s="1">
        <v>40087</v>
      </c>
      <c r="D751">
        <v>313436965.51999998</v>
      </c>
      <c r="E751">
        <v>8</v>
      </c>
    </row>
    <row r="752" spans="2:5">
      <c r="B752" s="1" t="s">
        <v>46</v>
      </c>
      <c r="C752" s="1">
        <v>40087</v>
      </c>
      <c r="D752">
        <v>308483666.88999999</v>
      </c>
      <c r="E752">
        <v>9</v>
      </c>
    </row>
    <row r="753" spans="2:5">
      <c r="B753" s="1" t="s">
        <v>71</v>
      </c>
      <c r="C753" s="1">
        <v>40087</v>
      </c>
      <c r="D753">
        <v>283374475.02999997</v>
      </c>
      <c r="E753">
        <v>10</v>
      </c>
    </row>
    <row r="754" spans="2:5">
      <c r="B754" s="1" t="s">
        <v>16</v>
      </c>
      <c r="C754" s="1">
        <v>40118</v>
      </c>
      <c r="D754">
        <v>1785454973.51</v>
      </c>
      <c r="E754">
        <v>1</v>
      </c>
    </row>
    <row r="755" spans="2:5">
      <c r="B755" s="1" t="s">
        <v>30</v>
      </c>
      <c r="C755" s="1">
        <v>40118</v>
      </c>
      <c r="D755">
        <v>1151997463.1199999</v>
      </c>
      <c r="E755">
        <v>2</v>
      </c>
    </row>
    <row r="756" spans="2:5">
      <c r="B756" s="1" t="s">
        <v>8</v>
      </c>
      <c r="C756" s="1">
        <v>40118</v>
      </c>
      <c r="D756">
        <v>1021924928.27</v>
      </c>
      <c r="E756">
        <v>3</v>
      </c>
    </row>
    <row r="757" spans="2:5">
      <c r="B757" s="1" t="s">
        <v>4</v>
      </c>
      <c r="C757" s="1">
        <v>40118</v>
      </c>
      <c r="D757">
        <v>593395364.09000003</v>
      </c>
      <c r="E757">
        <v>4</v>
      </c>
    </row>
    <row r="758" spans="2:5">
      <c r="B758" s="1" t="s">
        <v>6</v>
      </c>
      <c r="C758" s="1">
        <v>40118</v>
      </c>
      <c r="D758">
        <v>414165881.75999999</v>
      </c>
      <c r="E758">
        <v>5</v>
      </c>
    </row>
    <row r="759" spans="2:5">
      <c r="B759" s="1" t="s">
        <v>14</v>
      </c>
      <c r="C759" s="1">
        <v>40118</v>
      </c>
      <c r="D759">
        <v>312290532.80000001</v>
      </c>
      <c r="E759">
        <v>6</v>
      </c>
    </row>
    <row r="760" spans="2:5">
      <c r="B760" s="1" t="s">
        <v>13</v>
      </c>
      <c r="C760" s="1">
        <v>40118</v>
      </c>
      <c r="D760">
        <v>294850100.47000003</v>
      </c>
      <c r="E760">
        <v>7</v>
      </c>
    </row>
    <row r="761" spans="2:5">
      <c r="B761" s="1" t="s">
        <v>22</v>
      </c>
      <c r="C761" s="1">
        <v>40118</v>
      </c>
      <c r="D761">
        <v>228719202.66999999</v>
      </c>
      <c r="E761">
        <v>8</v>
      </c>
    </row>
    <row r="762" spans="2:5">
      <c r="B762" s="1" t="s">
        <v>71</v>
      </c>
      <c r="C762" s="1">
        <v>40118</v>
      </c>
      <c r="D762">
        <v>184579717.09</v>
      </c>
      <c r="E762">
        <v>9</v>
      </c>
    </row>
    <row r="763" spans="2:5">
      <c r="B763" s="1" t="s">
        <v>46</v>
      </c>
      <c r="C763" s="1">
        <v>40118</v>
      </c>
      <c r="D763">
        <v>173199735.53999999</v>
      </c>
      <c r="E763">
        <v>10</v>
      </c>
    </row>
    <row r="764" spans="2:5">
      <c r="B764" s="1" t="s">
        <v>16</v>
      </c>
      <c r="C764" s="1">
        <v>40148</v>
      </c>
      <c r="D764">
        <v>1884115395.5999999</v>
      </c>
      <c r="E764">
        <v>1</v>
      </c>
    </row>
    <row r="765" spans="2:5">
      <c r="B765" s="1" t="s">
        <v>30</v>
      </c>
      <c r="C765" s="1">
        <v>40148</v>
      </c>
      <c r="D765">
        <v>1273297833.0799999</v>
      </c>
      <c r="E765">
        <v>2</v>
      </c>
    </row>
    <row r="766" spans="2:5">
      <c r="B766" s="1" t="s">
        <v>13</v>
      </c>
      <c r="C766" s="1">
        <v>40148</v>
      </c>
      <c r="D766">
        <v>995351291.99000001</v>
      </c>
      <c r="E766">
        <v>3</v>
      </c>
    </row>
    <row r="767" spans="2:5">
      <c r="B767" s="1" t="s">
        <v>8</v>
      </c>
      <c r="C767" s="1">
        <v>40148</v>
      </c>
      <c r="D767">
        <v>872600518.03999996</v>
      </c>
      <c r="E767">
        <v>4</v>
      </c>
    </row>
    <row r="768" spans="2:5">
      <c r="B768" s="1" t="s">
        <v>4</v>
      </c>
      <c r="C768" s="1">
        <v>40148</v>
      </c>
      <c r="D768">
        <v>667107726.84000003</v>
      </c>
      <c r="E768">
        <v>5</v>
      </c>
    </row>
    <row r="769" spans="2:5">
      <c r="B769" s="1" t="s">
        <v>31</v>
      </c>
      <c r="C769" s="1">
        <v>40148</v>
      </c>
      <c r="D769">
        <v>349406856.70999998</v>
      </c>
      <c r="E769">
        <v>6</v>
      </c>
    </row>
    <row r="770" spans="2:5">
      <c r="B770" s="1" t="s">
        <v>71</v>
      </c>
      <c r="C770" s="1">
        <v>40148</v>
      </c>
      <c r="D770">
        <v>329415172.85000002</v>
      </c>
      <c r="E770">
        <v>7</v>
      </c>
    </row>
    <row r="771" spans="2:5">
      <c r="B771" s="1" t="s">
        <v>22</v>
      </c>
      <c r="C771" s="1">
        <v>40148</v>
      </c>
      <c r="D771">
        <v>303240263.52999997</v>
      </c>
      <c r="E771">
        <v>8</v>
      </c>
    </row>
    <row r="772" spans="2:5">
      <c r="B772" s="1" t="s">
        <v>6</v>
      </c>
      <c r="C772" s="1">
        <v>40148</v>
      </c>
      <c r="D772">
        <v>281827960.61000001</v>
      </c>
      <c r="E772">
        <v>9</v>
      </c>
    </row>
    <row r="773" spans="2:5">
      <c r="B773" s="1" t="s">
        <v>14</v>
      </c>
      <c r="C773" s="1">
        <v>40148</v>
      </c>
      <c r="D773">
        <v>274193937.13</v>
      </c>
      <c r="E773">
        <v>10</v>
      </c>
    </row>
    <row r="774" spans="2:5">
      <c r="B774" s="1" t="s">
        <v>16</v>
      </c>
      <c r="C774" s="1">
        <v>40179</v>
      </c>
      <c r="D774">
        <v>1770204493.27</v>
      </c>
      <c r="E774">
        <v>1</v>
      </c>
    </row>
    <row r="775" spans="2:5">
      <c r="B775" s="1" t="s">
        <v>30</v>
      </c>
      <c r="C775" s="1">
        <v>40179</v>
      </c>
      <c r="D775">
        <v>1217766175.1800001</v>
      </c>
      <c r="E775">
        <v>2</v>
      </c>
    </row>
    <row r="776" spans="2:5">
      <c r="B776" s="1" t="s">
        <v>4</v>
      </c>
      <c r="C776" s="1">
        <v>40179</v>
      </c>
      <c r="D776">
        <v>1200958066.97</v>
      </c>
      <c r="E776">
        <v>3</v>
      </c>
    </row>
    <row r="777" spans="2:5">
      <c r="B777" s="1" t="s">
        <v>8</v>
      </c>
      <c r="C777" s="1">
        <v>40179</v>
      </c>
      <c r="D777">
        <v>1196133935.4400001</v>
      </c>
      <c r="E777">
        <v>4</v>
      </c>
    </row>
    <row r="778" spans="2:5">
      <c r="B778" s="1" t="s">
        <v>22</v>
      </c>
      <c r="C778" s="1">
        <v>40179</v>
      </c>
      <c r="D778">
        <v>809317697.84000003</v>
      </c>
      <c r="E778">
        <v>5</v>
      </c>
    </row>
    <row r="779" spans="2:5">
      <c r="B779" s="1" t="s">
        <v>14</v>
      </c>
      <c r="C779" s="1">
        <v>40179</v>
      </c>
      <c r="D779">
        <v>421132970.56</v>
      </c>
      <c r="E779">
        <v>6</v>
      </c>
    </row>
    <row r="780" spans="2:5">
      <c r="B780" s="1" t="s">
        <v>71</v>
      </c>
      <c r="C780" s="1">
        <v>40179</v>
      </c>
      <c r="D780">
        <v>333814438.87</v>
      </c>
      <c r="E780">
        <v>7</v>
      </c>
    </row>
    <row r="781" spans="2:5">
      <c r="B781" s="1" t="s">
        <v>33</v>
      </c>
      <c r="C781" s="1">
        <v>40179</v>
      </c>
      <c r="D781">
        <v>297563132.50999999</v>
      </c>
      <c r="E781">
        <v>8</v>
      </c>
    </row>
    <row r="782" spans="2:5">
      <c r="B782" s="1" t="s">
        <v>6</v>
      </c>
      <c r="C782" s="1">
        <v>40179</v>
      </c>
      <c r="D782">
        <v>283941040.91000003</v>
      </c>
      <c r="E782">
        <v>9</v>
      </c>
    </row>
    <row r="783" spans="2:5">
      <c r="B783" s="1" t="s">
        <v>13</v>
      </c>
      <c r="C783" s="1">
        <v>40179</v>
      </c>
      <c r="D783">
        <v>266196139.19999999</v>
      </c>
      <c r="E783">
        <v>10</v>
      </c>
    </row>
    <row r="784" spans="2:5">
      <c r="B784" s="1" t="s">
        <v>16</v>
      </c>
      <c r="C784" s="1">
        <v>40210</v>
      </c>
      <c r="D784">
        <v>1937402814.29</v>
      </c>
      <c r="E784">
        <v>1</v>
      </c>
    </row>
    <row r="785" spans="2:5">
      <c r="B785" s="1" t="s">
        <v>8</v>
      </c>
      <c r="C785" s="1">
        <v>40210</v>
      </c>
      <c r="D785">
        <v>925689123.63</v>
      </c>
      <c r="E785">
        <v>2</v>
      </c>
    </row>
    <row r="786" spans="2:5">
      <c r="B786" s="1" t="s">
        <v>30</v>
      </c>
      <c r="C786" s="1">
        <v>40210</v>
      </c>
      <c r="D786">
        <v>903822744.26999998</v>
      </c>
      <c r="E786">
        <v>3</v>
      </c>
    </row>
    <row r="787" spans="2:5">
      <c r="B787" s="1" t="s">
        <v>4</v>
      </c>
      <c r="C787" s="1">
        <v>40210</v>
      </c>
      <c r="D787">
        <v>558505182.92999995</v>
      </c>
      <c r="E787">
        <v>4</v>
      </c>
    </row>
    <row r="788" spans="2:5">
      <c r="B788" s="1" t="s">
        <v>14</v>
      </c>
      <c r="C788" s="1">
        <v>40210</v>
      </c>
      <c r="D788">
        <v>497769158.43000001</v>
      </c>
      <c r="E788">
        <v>5</v>
      </c>
    </row>
    <row r="789" spans="2:5">
      <c r="B789" s="1" t="s">
        <v>33</v>
      </c>
      <c r="C789" s="1">
        <v>40210</v>
      </c>
      <c r="D789">
        <v>312877619.31</v>
      </c>
      <c r="E789">
        <v>6</v>
      </c>
    </row>
    <row r="790" spans="2:5">
      <c r="B790" s="1" t="s">
        <v>22</v>
      </c>
      <c r="C790" s="1">
        <v>40210</v>
      </c>
      <c r="D790">
        <v>299232560.36000001</v>
      </c>
      <c r="E790">
        <v>7</v>
      </c>
    </row>
    <row r="791" spans="2:5">
      <c r="B791" s="1" t="s">
        <v>12</v>
      </c>
      <c r="C791" s="1">
        <v>40210</v>
      </c>
      <c r="D791">
        <v>272583827.69</v>
      </c>
      <c r="E791">
        <v>8</v>
      </c>
    </row>
    <row r="792" spans="2:5">
      <c r="B792" s="1" t="s">
        <v>71</v>
      </c>
      <c r="C792" s="1">
        <v>40210</v>
      </c>
      <c r="D792">
        <v>265082254</v>
      </c>
      <c r="E792">
        <v>9</v>
      </c>
    </row>
    <row r="793" spans="2:5">
      <c r="B793" s="1" t="s">
        <v>6</v>
      </c>
      <c r="C793" s="1">
        <v>40210</v>
      </c>
      <c r="D793">
        <v>265046029.36000001</v>
      </c>
      <c r="E793">
        <v>10</v>
      </c>
    </row>
    <row r="794" spans="2:5">
      <c r="B794" s="1" t="s">
        <v>16</v>
      </c>
      <c r="C794" s="1">
        <v>40238</v>
      </c>
      <c r="D794">
        <v>2201280079.0100002</v>
      </c>
      <c r="E794">
        <v>1</v>
      </c>
    </row>
    <row r="795" spans="2:5">
      <c r="B795" s="1" t="s">
        <v>30</v>
      </c>
      <c r="C795" s="1">
        <v>40238</v>
      </c>
      <c r="D795">
        <v>730114015.47000003</v>
      </c>
      <c r="E795">
        <v>2</v>
      </c>
    </row>
    <row r="796" spans="2:5">
      <c r="B796" s="1" t="s">
        <v>8</v>
      </c>
      <c r="C796" s="1">
        <v>40238</v>
      </c>
      <c r="D796">
        <v>626985782.29999995</v>
      </c>
      <c r="E796">
        <v>3</v>
      </c>
    </row>
    <row r="797" spans="2:5">
      <c r="B797" s="1" t="s">
        <v>4</v>
      </c>
      <c r="C797" s="1">
        <v>40238</v>
      </c>
      <c r="D797">
        <v>612143303.38</v>
      </c>
      <c r="E797">
        <v>4</v>
      </c>
    </row>
    <row r="798" spans="2:5">
      <c r="B798" s="1" t="s">
        <v>14</v>
      </c>
      <c r="C798" s="1">
        <v>40238</v>
      </c>
      <c r="D798">
        <v>447502320.58999997</v>
      </c>
      <c r="E798">
        <v>5</v>
      </c>
    </row>
    <row r="799" spans="2:5">
      <c r="B799" s="1" t="s">
        <v>6</v>
      </c>
      <c r="C799" s="1">
        <v>40238</v>
      </c>
      <c r="D799">
        <v>322874976.30000001</v>
      </c>
      <c r="E799">
        <v>6</v>
      </c>
    </row>
    <row r="800" spans="2:5">
      <c r="B800" s="1" t="s">
        <v>22</v>
      </c>
      <c r="C800" s="1">
        <v>40238</v>
      </c>
      <c r="D800">
        <v>299821804.63999999</v>
      </c>
      <c r="E800">
        <v>7</v>
      </c>
    </row>
    <row r="801" spans="2:5">
      <c r="B801" s="1" t="s">
        <v>71</v>
      </c>
      <c r="C801" s="1">
        <v>40238</v>
      </c>
      <c r="D801">
        <v>277284053</v>
      </c>
      <c r="E801">
        <v>8</v>
      </c>
    </row>
    <row r="802" spans="2:5">
      <c r="B802" s="1" t="s">
        <v>38</v>
      </c>
      <c r="C802" s="1">
        <v>40238</v>
      </c>
      <c r="D802">
        <v>268675498.51999998</v>
      </c>
      <c r="E802">
        <v>9</v>
      </c>
    </row>
    <row r="803" spans="2:5">
      <c r="B803" s="1" t="s">
        <v>33</v>
      </c>
      <c r="C803" s="1">
        <v>40238</v>
      </c>
      <c r="D803">
        <v>217406646.94</v>
      </c>
      <c r="E803">
        <v>10</v>
      </c>
    </row>
    <row r="804" spans="2:5">
      <c r="B804" s="1" t="s">
        <v>16</v>
      </c>
      <c r="C804" s="1">
        <v>40269</v>
      </c>
      <c r="D804">
        <v>1001151097.79</v>
      </c>
      <c r="E804">
        <v>1</v>
      </c>
    </row>
    <row r="805" spans="2:5">
      <c r="B805" s="1" t="s">
        <v>4</v>
      </c>
      <c r="C805" s="1">
        <v>40269</v>
      </c>
      <c r="D805">
        <v>642473994.00999999</v>
      </c>
      <c r="E805">
        <v>2</v>
      </c>
    </row>
    <row r="806" spans="2:5">
      <c r="B806" s="1" t="s">
        <v>8</v>
      </c>
      <c r="C806" s="1">
        <v>40269</v>
      </c>
      <c r="D806">
        <v>533160065.02999997</v>
      </c>
      <c r="E806">
        <v>3</v>
      </c>
    </row>
    <row r="807" spans="2:5">
      <c r="B807" s="1" t="s">
        <v>30</v>
      </c>
      <c r="C807" s="1">
        <v>40269</v>
      </c>
      <c r="D807">
        <v>508230714.5</v>
      </c>
      <c r="E807">
        <v>4</v>
      </c>
    </row>
    <row r="808" spans="2:5">
      <c r="B808" s="1" t="s">
        <v>14</v>
      </c>
      <c r="C808" s="1">
        <v>40269</v>
      </c>
      <c r="D808">
        <v>357183770.66000003</v>
      </c>
      <c r="E808">
        <v>5</v>
      </c>
    </row>
    <row r="809" spans="2:5">
      <c r="B809" s="1" t="s">
        <v>6</v>
      </c>
      <c r="C809" s="1">
        <v>40269</v>
      </c>
      <c r="D809">
        <v>256781804.44999999</v>
      </c>
      <c r="E809">
        <v>6</v>
      </c>
    </row>
    <row r="810" spans="2:5">
      <c r="B810" s="1" t="s">
        <v>33</v>
      </c>
      <c r="C810" s="1">
        <v>40269</v>
      </c>
      <c r="D810">
        <v>237358730.37</v>
      </c>
      <c r="E810">
        <v>7</v>
      </c>
    </row>
    <row r="811" spans="2:5">
      <c r="B811" s="1" t="s">
        <v>38</v>
      </c>
      <c r="C811" s="1">
        <v>40269</v>
      </c>
      <c r="D811">
        <v>214229274.56999999</v>
      </c>
      <c r="E811">
        <v>8</v>
      </c>
    </row>
    <row r="812" spans="2:5">
      <c r="B812" s="1" t="s">
        <v>12</v>
      </c>
      <c r="C812" s="1">
        <v>40269</v>
      </c>
      <c r="D812">
        <v>211920187.96000001</v>
      </c>
      <c r="E812">
        <v>9</v>
      </c>
    </row>
    <row r="813" spans="2:5">
      <c r="B813" s="1" t="s">
        <v>22</v>
      </c>
      <c r="C813" s="1">
        <v>40269</v>
      </c>
      <c r="D813">
        <v>192390040.81999999</v>
      </c>
      <c r="E813">
        <v>10</v>
      </c>
    </row>
    <row r="814" spans="2:5">
      <c r="B814" s="1" t="s">
        <v>16</v>
      </c>
      <c r="C814" s="1">
        <v>40299</v>
      </c>
      <c r="D814">
        <v>1373292642.55</v>
      </c>
      <c r="E814">
        <v>1</v>
      </c>
    </row>
    <row r="815" spans="2:5">
      <c r="B815" s="1" t="s">
        <v>30</v>
      </c>
      <c r="C815" s="1">
        <v>40299</v>
      </c>
      <c r="D815">
        <v>799912498.09000003</v>
      </c>
      <c r="E815">
        <v>2</v>
      </c>
    </row>
    <row r="816" spans="2:5">
      <c r="B816" s="1" t="s">
        <v>4</v>
      </c>
      <c r="C816" s="1">
        <v>40299</v>
      </c>
      <c r="D816">
        <v>648973588.63999999</v>
      </c>
      <c r="E816">
        <v>3</v>
      </c>
    </row>
    <row r="817" spans="2:5">
      <c r="B817" s="1" t="s">
        <v>8</v>
      </c>
      <c r="C817" s="1">
        <v>40299</v>
      </c>
      <c r="D817">
        <v>609364105.82000005</v>
      </c>
      <c r="E817">
        <v>4</v>
      </c>
    </row>
    <row r="818" spans="2:5">
      <c r="B818" s="1" t="s">
        <v>14</v>
      </c>
      <c r="C818" s="1">
        <v>40299</v>
      </c>
      <c r="D818">
        <v>374451577.42000002</v>
      </c>
      <c r="E818">
        <v>5</v>
      </c>
    </row>
    <row r="819" spans="2:5">
      <c r="B819" s="1" t="s">
        <v>38</v>
      </c>
      <c r="C819" s="1">
        <v>40299</v>
      </c>
      <c r="D819">
        <v>320595795.07999998</v>
      </c>
      <c r="E819">
        <v>6</v>
      </c>
    </row>
    <row r="820" spans="2:5">
      <c r="B820" s="1" t="s">
        <v>33</v>
      </c>
      <c r="C820" s="1">
        <v>40299</v>
      </c>
      <c r="D820">
        <v>265818017.44999999</v>
      </c>
      <c r="E820">
        <v>7</v>
      </c>
    </row>
    <row r="821" spans="2:5">
      <c r="B821" s="1" t="s">
        <v>13</v>
      </c>
      <c r="C821" s="1">
        <v>40299</v>
      </c>
      <c r="D821">
        <v>256956919.44999999</v>
      </c>
      <c r="E821">
        <v>8</v>
      </c>
    </row>
    <row r="822" spans="2:5">
      <c r="B822" s="1" t="s">
        <v>6</v>
      </c>
      <c r="C822" s="1">
        <v>40299</v>
      </c>
      <c r="D822">
        <v>203519280.99000001</v>
      </c>
      <c r="E822">
        <v>9</v>
      </c>
    </row>
    <row r="823" spans="2:5">
      <c r="B823" s="1" t="s">
        <v>34</v>
      </c>
      <c r="C823" s="1">
        <v>40299</v>
      </c>
      <c r="D823">
        <v>199002570.47999999</v>
      </c>
      <c r="E823">
        <v>10</v>
      </c>
    </row>
    <row r="824" spans="2:5">
      <c r="B824" s="1" t="s">
        <v>16</v>
      </c>
      <c r="C824" s="1">
        <v>40330</v>
      </c>
      <c r="D824">
        <v>1375076321.3399999</v>
      </c>
      <c r="E824">
        <v>1</v>
      </c>
    </row>
    <row r="825" spans="2:5">
      <c r="B825" s="1" t="s">
        <v>4</v>
      </c>
      <c r="C825" s="1">
        <v>40330</v>
      </c>
      <c r="D825">
        <v>917979863.50999999</v>
      </c>
      <c r="E825">
        <v>2</v>
      </c>
    </row>
    <row r="826" spans="2:5">
      <c r="B826" s="1" t="s">
        <v>30</v>
      </c>
      <c r="C826" s="1">
        <v>40330</v>
      </c>
      <c r="D826">
        <v>851895011.08000004</v>
      </c>
      <c r="E826">
        <v>3</v>
      </c>
    </row>
    <row r="827" spans="2:5">
      <c r="B827" s="1" t="s">
        <v>8</v>
      </c>
      <c r="C827" s="1">
        <v>40330</v>
      </c>
      <c r="D827">
        <v>748753735.46000004</v>
      </c>
      <c r="E827">
        <v>4</v>
      </c>
    </row>
    <row r="828" spans="2:5">
      <c r="B828" s="1" t="s">
        <v>38</v>
      </c>
      <c r="C828" s="1">
        <v>40330</v>
      </c>
      <c r="D828">
        <v>326270703.69999999</v>
      </c>
      <c r="E828">
        <v>5</v>
      </c>
    </row>
    <row r="829" spans="2:5">
      <c r="B829" s="1" t="s">
        <v>13</v>
      </c>
      <c r="C829" s="1">
        <v>40330</v>
      </c>
      <c r="D829">
        <v>254275737.40000001</v>
      </c>
      <c r="E829">
        <v>6</v>
      </c>
    </row>
    <row r="830" spans="2:5">
      <c r="B830" s="1" t="s">
        <v>14</v>
      </c>
      <c r="C830" s="1">
        <v>40330</v>
      </c>
      <c r="D830">
        <v>223510332</v>
      </c>
      <c r="E830">
        <v>7</v>
      </c>
    </row>
    <row r="831" spans="2:5">
      <c r="B831" s="1" t="s">
        <v>12</v>
      </c>
      <c r="C831" s="1">
        <v>40330</v>
      </c>
      <c r="D831">
        <v>212364397.13999999</v>
      </c>
      <c r="E831">
        <v>8</v>
      </c>
    </row>
    <row r="832" spans="2:5">
      <c r="B832" s="1" t="s">
        <v>34</v>
      </c>
      <c r="C832" s="1">
        <v>40330</v>
      </c>
      <c r="D832">
        <v>196971420</v>
      </c>
      <c r="E832">
        <v>9</v>
      </c>
    </row>
    <row r="833" spans="2:5">
      <c r="B833" s="1" t="s">
        <v>71</v>
      </c>
      <c r="C833" s="1">
        <v>40330</v>
      </c>
      <c r="D833">
        <v>178594430.88</v>
      </c>
      <c r="E833">
        <v>10</v>
      </c>
    </row>
    <row r="834" spans="2:5">
      <c r="B834" s="1" t="s">
        <v>16</v>
      </c>
      <c r="C834" s="1">
        <v>40360</v>
      </c>
      <c r="D834">
        <v>1866229299.05</v>
      </c>
      <c r="E834">
        <v>1</v>
      </c>
    </row>
    <row r="835" spans="2:5">
      <c r="B835" s="1" t="s">
        <v>4</v>
      </c>
      <c r="C835" s="1">
        <v>40360</v>
      </c>
      <c r="D835">
        <v>944390561.76999998</v>
      </c>
      <c r="E835">
        <v>2</v>
      </c>
    </row>
    <row r="836" spans="2:5">
      <c r="B836" s="1" t="s">
        <v>8</v>
      </c>
      <c r="C836" s="1">
        <v>40360</v>
      </c>
      <c r="D836">
        <v>918705846.91999996</v>
      </c>
      <c r="E836">
        <v>3</v>
      </c>
    </row>
    <row r="837" spans="2:5">
      <c r="B837" s="1" t="s">
        <v>30</v>
      </c>
      <c r="C837" s="1">
        <v>40360</v>
      </c>
      <c r="D837">
        <v>775601724.25999999</v>
      </c>
      <c r="E837">
        <v>4</v>
      </c>
    </row>
    <row r="838" spans="2:5">
      <c r="B838" s="1" t="s">
        <v>38</v>
      </c>
      <c r="C838" s="1">
        <v>40360</v>
      </c>
      <c r="D838">
        <v>300443074.45999998</v>
      </c>
      <c r="E838">
        <v>5</v>
      </c>
    </row>
    <row r="839" spans="2:5">
      <c r="B839" s="1" t="s">
        <v>14</v>
      </c>
      <c r="C839" s="1">
        <v>40360</v>
      </c>
      <c r="D839">
        <v>245275653.34</v>
      </c>
      <c r="E839">
        <v>6</v>
      </c>
    </row>
    <row r="840" spans="2:5">
      <c r="B840" s="1" t="s">
        <v>34</v>
      </c>
      <c r="C840" s="1">
        <v>40360</v>
      </c>
      <c r="D840">
        <v>211979293.93000001</v>
      </c>
      <c r="E840">
        <v>7</v>
      </c>
    </row>
    <row r="841" spans="2:5">
      <c r="B841" s="1" t="s">
        <v>13</v>
      </c>
      <c r="C841" s="1">
        <v>40360</v>
      </c>
      <c r="D841">
        <v>208051201.34999999</v>
      </c>
      <c r="E841">
        <v>8</v>
      </c>
    </row>
    <row r="842" spans="2:5">
      <c r="B842" s="1" t="s">
        <v>33</v>
      </c>
      <c r="C842" s="1">
        <v>40360</v>
      </c>
      <c r="D842">
        <v>199838963.02000001</v>
      </c>
      <c r="E842">
        <v>9</v>
      </c>
    </row>
    <row r="843" spans="2:5">
      <c r="B843" s="1" t="s">
        <v>119</v>
      </c>
      <c r="C843" s="1">
        <v>40360</v>
      </c>
      <c r="D843">
        <v>195579869.88999999</v>
      </c>
      <c r="E843">
        <v>10</v>
      </c>
    </row>
    <row r="844" spans="2:5">
      <c r="B844" s="1" t="s">
        <v>16</v>
      </c>
      <c r="C844" s="1">
        <v>40391</v>
      </c>
      <c r="D844">
        <v>2503047050.4899998</v>
      </c>
      <c r="E844">
        <v>1</v>
      </c>
    </row>
    <row r="845" spans="2:5">
      <c r="B845" s="1" t="s">
        <v>4</v>
      </c>
      <c r="C845" s="1">
        <v>40391</v>
      </c>
      <c r="D845">
        <v>932411839.5</v>
      </c>
      <c r="E845">
        <v>2</v>
      </c>
    </row>
    <row r="846" spans="2:5">
      <c r="B846" s="1" t="s">
        <v>30</v>
      </c>
      <c r="C846" s="1">
        <v>40391</v>
      </c>
      <c r="D846">
        <v>649866638.75999999</v>
      </c>
      <c r="E846">
        <v>3</v>
      </c>
    </row>
    <row r="847" spans="2:5">
      <c r="B847" s="1" t="s">
        <v>8</v>
      </c>
      <c r="C847" s="1">
        <v>40391</v>
      </c>
      <c r="D847">
        <v>619739523.94000006</v>
      </c>
      <c r="E847">
        <v>4</v>
      </c>
    </row>
    <row r="848" spans="2:5">
      <c r="B848" s="1" t="s">
        <v>38</v>
      </c>
      <c r="C848" s="1">
        <v>40391</v>
      </c>
      <c r="D848">
        <v>480853769.99000001</v>
      </c>
      <c r="E848">
        <v>5</v>
      </c>
    </row>
    <row r="849" spans="2:5">
      <c r="B849" s="1" t="s">
        <v>33</v>
      </c>
      <c r="C849" s="1">
        <v>40391</v>
      </c>
      <c r="D849">
        <v>264978699.94999999</v>
      </c>
      <c r="E849">
        <v>6</v>
      </c>
    </row>
    <row r="850" spans="2:5">
      <c r="B850" s="1" t="s">
        <v>34</v>
      </c>
      <c r="C850" s="1">
        <v>40391</v>
      </c>
      <c r="D850">
        <v>251197279.24000001</v>
      </c>
      <c r="E850">
        <v>7</v>
      </c>
    </row>
    <row r="851" spans="2:5">
      <c r="B851" s="1" t="s">
        <v>14</v>
      </c>
      <c r="C851" s="1">
        <v>40391</v>
      </c>
      <c r="D851">
        <v>233573188.53999999</v>
      </c>
      <c r="E851">
        <v>8</v>
      </c>
    </row>
    <row r="852" spans="2:5">
      <c r="B852" s="1" t="s">
        <v>22</v>
      </c>
      <c r="C852" s="1">
        <v>40391</v>
      </c>
      <c r="D852">
        <v>218061433.30000001</v>
      </c>
      <c r="E852">
        <v>9</v>
      </c>
    </row>
    <row r="853" spans="2:5">
      <c r="B853" s="1" t="s">
        <v>71</v>
      </c>
      <c r="C853" s="1">
        <v>40391</v>
      </c>
      <c r="D853">
        <v>208094042.78</v>
      </c>
      <c r="E853">
        <v>10</v>
      </c>
    </row>
    <row r="854" spans="2:5">
      <c r="B854" s="1" t="s">
        <v>16</v>
      </c>
      <c r="C854" s="1">
        <v>40422</v>
      </c>
      <c r="D854">
        <v>2676228021.5100002</v>
      </c>
      <c r="E854">
        <v>1</v>
      </c>
    </row>
    <row r="855" spans="2:5">
      <c r="B855" s="1" t="s">
        <v>8</v>
      </c>
      <c r="C855" s="1">
        <v>40422</v>
      </c>
      <c r="D855">
        <v>1433781043.1500001</v>
      </c>
      <c r="E855">
        <v>2</v>
      </c>
    </row>
    <row r="856" spans="2:5">
      <c r="B856" s="1" t="s">
        <v>4</v>
      </c>
      <c r="C856" s="1">
        <v>40422</v>
      </c>
      <c r="D856">
        <v>1342708519.8399999</v>
      </c>
      <c r="E856">
        <v>3</v>
      </c>
    </row>
    <row r="857" spans="2:5">
      <c r="B857" s="1" t="s">
        <v>30</v>
      </c>
      <c r="C857" s="1">
        <v>40422</v>
      </c>
      <c r="D857">
        <v>1023917028.28</v>
      </c>
      <c r="E857">
        <v>4</v>
      </c>
    </row>
    <row r="858" spans="2:5">
      <c r="B858" s="1" t="s">
        <v>41</v>
      </c>
      <c r="C858" s="1">
        <v>40422</v>
      </c>
      <c r="D858">
        <v>593439306.13</v>
      </c>
      <c r="E858">
        <v>5</v>
      </c>
    </row>
    <row r="859" spans="2:5">
      <c r="B859" s="1" t="s">
        <v>38</v>
      </c>
      <c r="C859" s="1">
        <v>40422</v>
      </c>
      <c r="D859">
        <v>539726270.10000002</v>
      </c>
      <c r="E859">
        <v>6</v>
      </c>
    </row>
    <row r="860" spans="2:5">
      <c r="B860" s="1" t="s">
        <v>49</v>
      </c>
      <c r="C860" s="1">
        <v>40422</v>
      </c>
      <c r="D860">
        <v>453324479.58999997</v>
      </c>
      <c r="E860">
        <v>7</v>
      </c>
    </row>
    <row r="861" spans="2:5">
      <c r="B861" s="1" t="s">
        <v>33</v>
      </c>
      <c r="C861" s="1">
        <v>40422</v>
      </c>
      <c r="D861">
        <v>358599271.37</v>
      </c>
      <c r="E861">
        <v>8</v>
      </c>
    </row>
    <row r="862" spans="2:5">
      <c r="B862" s="1" t="s">
        <v>14</v>
      </c>
      <c r="C862" s="1">
        <v>40422</v>
      </c>
      <c r="D862">
        <v>279616125.25999999</v>
      </c>
      <c r="E862">
        <v>9</v>
      </c>
    </row>
    <row r="863" spans="2:5">
      <c r="B863" s="1" t="s">
        <v>71</v>
      </c>
      <c r="C863" s="1">
        <v>40422</v>
      </c>
      <c r="D863">
        <v>266661265.00999999</v>
      </c>
      <c r="E863">
        <v>10</v>
      </c>
    </row>
    <row r="864" spans="2:5">
      <c r="B864" s="1" t="s">
        <v>16</v>
      </c>
      <c r="C864" s="1">
        <v>40452</v>
      </c>
      <c r="D864">
        <v>3628017416.1300001</v>
      </c>
      <c r="E864">
        <v>1</v>
      </c>
    </row>
    <row r="865" spans="2:5">
      <c r="B865" s="1" t="s">
        <v>8</v>
      </c>
      <c r="C865" s="1">
        <v>40452</v>
      </c>
      <c r="D865">
        <v>2078576416.8699999</v>
      </c>
      <c r="E865">
        <v>2</v>
      </c>
    </row>
    <row r="866" spans="2:5">
      <c r="B866" s="1" t="s">
        <v>4</v>
      </c>
      <c r="C866" s="1">
        <v>40452</v>
      </c>
      <c r="D866">
        <v>1723198955.49</v>
      </c>
      <c r="E866">
        <v>3</v>
      </c>
    </row>
    <row r="867" spans="2:5">
      <c r="B867" s="1" t="s">
        <v>30</v>
      </c>
      <c r="C867" s="1">
        <v>40452</v>
      </c>
      <c r="D867">
        <v>1111899953.1300001</v>
      </c>
      <c r="E867">
        <v>4</v>
      </c>
    </row>
    <row r="868" spans="2:5">
      <c r="B868" s="1" t="s">
        <v>38</v>
      </c>
      <c r="C868" s="1">
        <v>40452</v>
      </c>
      <c r="D868">
        <v>963061126.65999997</v>
      </c>
      <c r="E868">
        <v>5</v>
      </c>
    </row>
    <row r="869" spans="2:5">
      <c r="B869" s="1" t="s">
        <v>42</v>
      </c>
      <c r="C869" s="1">
        <v>40452</v>
      </c>
      <c r="D869">
        <v>832572474.64999998</v>
      </c>
      <c r="E869">
        <v>6</v>
      </c>
    </row>
    <row r="870" spans="2:5">
      <c r="B870" s="1" t="s">
        <v>49</v>
      </c>
      <c r="C870" s="1">
        <v>40452</v>
      </c>
      <c r="D870">
        <v>491803433.32999998</v>
      </c>
      <c r="E870">
        <v>7</v>
      </c>
    </row>
    <row r="871" spans="2:5">
      <c r="B871" s="1" t="s">
        <v>14</v>
      </c>
      <c r="C871" s="1">
        <v>40452</v>
      </c>
      <c r="D871">
        <v>487796977.91000003</v>
      </c>
      <c r="E871">
        <v>8</v>
      </c>
    </row>
    <row r="872" spans="2:5">
      <c r="B872" s="1" t="s">
        <v>71</v>
      </c>
      <c r="C872" s="1">
        <v>40452</v>
      </c>
      <c r="D872">
        <v>378583255.39999998</v>
      </c>
      <c r="E872">
        <v>9</v>
      </c>
    </row>
    <row r="873" spans="2:5">
      <c r="B873" s="1" t="s">
        <v>13</v>
      </c>
      <c r="C873" s="1">
        <v>40452</v>
      </c>
      <c r="D873">
        <v>377765001.31999999</v>
      </c>
      <c r="E873">
        <v>10</v>
      </c>
    </row>
    <row r="874" spans="2:5">
      <c r="B874" s="1" t="s">
        <v>16</v>
      </c>
      <c r="C874" s="1">
        <v>40483</v>
      </c>
      <c r="D874">
        <v>4793824904.6700001</v>
      </c>
      <c r="E874">
        <v>1</v>
      </c>
    </row>
    <row r="875" spans="2:5">
      <c r="B875" s="1" t="s">
        <v>4</v>
      </c>
      <c r="C875" s="1">
        <v>40483</v>
      </c>
      <c r="D875">
        <v>1750513489.3299999</v>
      </c>
      <c r="E875">
        <v>2</v>
      </c>
    </row>
    <row r="876" spans="2:5">
      <c r="B876" s="1" t="s">
        <v>8</v>
      </c>
      <c r="C876" s="1">
        <v>40483</v>
      </c>
      <c r="D876">
        <v>1581926551.48</v>
      </c>
      <c r="E876">
        <v>3</v>
      </c>
    </row>
    <row r="877" spans="2:5">
      <c r="B877" s="1" t="s">
        <v>30</v>
      </c>
      <c r="C877" s="1">
        <v>40483</v>
      </c>
      <c r="D877">
        <v>1232242691.3499999</v>
      </c>
      <c r="E877">
        <v>4</v>
      </c>
    </row>
    <row r="878" spans="2:5">
      <c r="B878" s="1" t="s">
        <v>42</v>
      </c>
      <c r="C878" s="1">
        <v>40483</v>
      </c>
      <c r="D878">
        <v>982787840.32000005</v>
      </c>
      <c r="E878">
        <v>5</v>
      </c>
    </row>
    <row r="879" spans="2:5">
      <c r="B879" s="1" t="s">
        <v>38</v>
      </c>
      <c r="C879" s="1">
        <v>40483</v>
      </c>
      <c r="D879">
        <v>817765201.26999998</v>
      </c>
      <c r="E879">
        <v>6</v>
      </c>
    </row>
    <row r="880" spans="2:5">
      <c r="B880" s="1" t="s">
        <v>49</v>
      </c>
      <c r="C880" s="1">
        <v>40483</v>
      </c>
      <c r="D880">
        <v>655638902.51999998</v>
      </c>
      <c r="E880">
        <v>7</v>
      </c>
    </row>
    <row r="881" spans="2:5">
      <c r="B881" s="1" t="s">
        <v>13</v>
      </c>
      <c r="C881" s="1">
        <v>40483</v>
      </c>
      <c r="D881">
        <v>543141969.03999996</v>
      </c>
      <c r="E881">
        <v>8</v>
      </c>
    </row>
    <row r="882" spans="2:5">
      <c r="B882" s="1" t="s">
        <v>12</v>
      </c>
      <c r="C882" s="1">
        <v>40483</v>
      </c>
      <c r="D882">
        <v>533238085.63999999</v>
      </c>
      <c r="E882">
        <v>9</v>
      </c>
    </row>
    <row r="883" spans="2:5">
      <c r="B883" s="1" t="s">
        <v>33</v>
      </c>
      <c r="C883" s="1">
        <v>40483</v>
      </c>
      <c r="D883">
        <v>482591103.31</v>
      </c>
      <c r="E883">
        <v>10</v>
      </c>
    </row>
    <row r="884" spans="2:5">
      <c r="B884" s="1" t="s">
        <v>16</v>
      </c>
      <c r="C884" s="1">
        <v>40513</v>
      </c>
      <c r="D884">
        <v>4603146722.4499998</v>
      </c>
      <c r="E884">
        <v>1</v>
      </c>
    </row>
    <row r="885" spans="2:5">
      <c r="B885" s="1" t="s">
        <v>4</v>
      </c>
      <c r="C885" s="1">
        <v>40513</v>
      </c>
      <c r="D885">
        <v>2184526963.1799998</v>
      </c>
      <c r="E885">
        <v>2</v>
      </c>
    </row>
    <row r="886" spans="2:5">
      <c r="B886" s="1" t="s">
        <v>42</v>
      </c>
      <c r="C886" s="1">
        <v>40513</v>
      </c>
      <c r="D886">
        <v>1748243152.5</v>
      </c>
      <c r="E886">
        <v>3</v>
      </c>
    </row>
    <row r="887" spans="2:5">
      <c r="B887" s="1" t="s">
        <v>8</v>
      </c>
      <c r="C887" s="1">
        <v>40513</v>
      </c>
      <c r="D887">
        <v>1648670960.6600001</v>
      </c>
      <c r="E887">
        <v>4</v>
      </c>
    </row>
    <row r="888" spans="2:5">
      <c r="B888" s="1" t="s">
        <v>30</v>
      </c>
      <c r="C888" s="1">
        <v>40513</v>
      </c>
      <c r="D888">
        <v>1577607632.71</v>
      </c>
      <c r="E888">
        <v>5</v>
      </c>
    </row>
    <row r="889" spans="2:5">
      <c r="B889" s="1" t="s">
        <v>49</v>
      </c>
      <c r="C889" s="1">
        <v>40513</v>
      </c>
      <c r="D889">
        <v>1033949121.67</v>
      </c>
      <c r="E889">
        <v>6</v>
      </c>
    </row>
    <row r="890" spans="2:5">
      <c r="B890" s="1" t="s">
        <v>38</v>
      </c>
      <c r="C890" s="1">
        <v>40513</v>
      </c>
      <c r="D890">
        <v>824000098.97000003</v>
      </c>
      <c r="E890">
        <v>7</v>
      </c>
    </row>
    <row r="891" spans="2:5">
      <c r="B891" s="1" t="s">
        <v>13</v>
      </c>
      <c r="C891" s="1">
        <v>40513</v>
      </c>
      <c r="D891">
        <v>552585656.04999995</v>
      </c>
      <c r="E891">
        <v>8</v>
      </c>
    </row>
    <row r="892" spans="2:5">
      <c r="B892" s="1" t="s">
        <v>14</v>
      </c>
      <c r="C892" s="1">
        <v>40513</v>
      </c>
      <c r="D892">
        <v>542141611.16999996</v>
      </c>
      <c r="E892">
        <v>9</v>
      </c>
    </row>
    <row r="893" spans="2:5">
      <c r="B893" s="1" t="s">
        <v>12</v>
      </c>
      <c r="C893" s="1">
        <v>40513</v>
      </c>
      <c r="D893">
        <v>512114690.37</v>
      </c>
      <c r="E893">
        <v>10</v>
      </c>
    </row>
    <row r="894" spans="2:5">
      <c r="B894" s="1" t="s">
        <v>16</v>
      </c>
      <c r="C894" s="1">
        <v>40544</v>
      </c>
      <c r="D894">
        <v>4060874385.6599998</v>
      </c>
      <c r="E894">
        <v>1</v>
      </c>
    </row>
    <row r="895" spans="2:5">
      <c r="B895" s="1" t="s">
        <v>30</v>
      </c>
      <c r="C895" s="1">
        <v>40544</v>
      </c>
      <c r="D895">
        <v>1801951078.1099999</v>
      </c>
      <c r="E895">
        <v>2</v>
      </c>
    </row>
    <row r="896" spans="2:5">
      <c r="B896" s="1" t="s">
        <v>8</v>
      </c>
      <c r="C896" s="1">
        <v>40544</v>
      </c>
      <c r="D896">
        <v>1782436481.8499999</v>
      </c>
      <c r="E896">
        <v>3</v>
      </c>
    </row>
    <row r="897" spans="2:5">
      <c r="B897" s="1" t="s">
        <v>4</v>
      </c>
      <c r="C897" s="1">
        <v>40544</v>
      </c>
      <c r="D897">
        <v>1208344418.1800001</v>
      </c>
      <c r="E897">
        <v>4</v>
      </c>
    </row>
    <row r="898" spans="2:5">
      <c r="B898" s="1" t="s">
        <v>42</v>
      </c>
      <c r="C898" s="1">
        <v>40544</v>
      </c>
      <c r="D898">
        <v>653806389.21000004</v>
      </c>
      <c r="E898">
        <v>5</v>
      </c>
    </row>
    <row r="899" spans="2:5">
      <c r="B899" s="1" t="s">
        <v>38</v>
      </c>
      <c r="C899" s="1">
        <v>40544</v>
      </c>
      <c r="D899">
        <v>572032112.40999997</v>
      </c>
      <c r="E899">
        <v>6</v>
      </c>
    </row>
    <row r="900" spans="2:5">
      <c r="B900" s="1" t="s">
        <v>12</v>
      </c>
      <c r="C900" s="1">
        <v>40544</v>
      </c>
      <c r="D900">
        <v>562291452.51999998</v>
      </c>
      <c r="E900">
        <v>7</v>
      </c>
    </row>
    <row r="901" spans="2:5">
      <c r="B901" s="1" t="s">
        <v>49</v>
      </c>
      <c r="C901" s="1">
        <v>40544</v>
      </c>
      <c r="D901">
        <v>552672071.58000004</v>
      </c>
      <c r="E901">
        <v>8</v>
      </c>
    </row>
    <row r="902" spans="2:5">
      <c r="B902" s="1" t="s">
        <v>13</v>
      </c>
      <c r="C902" s="1">
        <v>40544</v>
      </c>
      <c r="D902">
        <v>507838152.23000002</v>
      </c>
      <c r="E902">
        <v>9</v>
      </c>
    </row>
    <row r="903" spans="2:5">
      <c r="B903" s="1" t="s">
        <v>34</v>
      </c>
      <c r="C903" s="1">
        <v>40544</v>
      </c>
      <c r="D903">
        <v>425290666.69</v>
      </c>
      <c r="E903">
        <v>10</v>
      </c>
    </row>
    <row r="904" spans="2:5">
      <c r="B904" s="1" t="s">
        <v>16</v>
      </c>
      <c r="C904" s="1">
        <v>40575</v>
      </c>
      <c r="D904">
        <v>3530173574.9400001</v>
      </c>
      <c r="E904">
        <v>1</v>
      </c>
    </row>
    <row r="905" spans="2:5">
      <c r="B905" s="1" t="s">
        <v>4</v>
      </c>
      <c r="C905" s="1">
        <v>40575</v>
      </c>
      <c r="D905">
        <v>2434118122.3600001</v>
      </c>
      <c r="E905">
        <v>2</v>
      </c>
    </row>
    <row r="906" spans="2:5">
      <c r="B906" s="1" t="s">
        <v>8</v>
      </c>
      <c r="C906" s="1">
        <v>40575</v>
      </c>
      <c r="D906">
        <v>1648672345.8699999</v>
      </c>
      <c r="E906">
        <v>3</v>
      </c>
    </row>
    <row r="907" spans="2:5">
      <c r="B907" s="1" t="s">
        <v>30</v>
      </c>
      <c r="C907" s="1">
        <v>40575</v>
      </c>
      <c r="D907">
        <v>1548157269.8499999</v>
      </c>
      <c r="E907">
        <v>4</v>
      </c>
    </row>
    <row r="908" spans="2:5">
      <c r="B908" s="1" t="s">
        <v>38</v>
      </c>
      <c r="C908" s="1">
        <v>40575</v>
      </c>
      <c r="D908">
        <v>717011195.69000006</v>
      </c>
      <c r="E908">
        <v>5</v>
      </c>
    </row>
    <row r="909" spans="2:5">
      <c r="B909" s="1" t="s">
        <v>13</v>
      </c>
      <c r="C909" s="1">
        <v>40575</v>
      </c>
      <c r="D909">
        <v>637830697.74000001</v>
      </c>
      <c r="E909">
        <v>6</v>
      </c>
    </row>
    <row r="910" spans="2:5">
      <c r="B910" s="1" t="s">
        <v>12</v>
      </c>
      <c r="C910" s="1">
        <v>40575</v>
      </c>
      <c r="D910">
        <v>553954245.89999998</v>
      </c>
      <c r="E910">
        <v>7</v>
      </c>
    </row>
    <row r="911" spans="2:5">
      <c r="B911" s="1" t="s">
        <v>6</v>
      </c>
      <c r="C911" s="1">
        <v>40575</v>
      </c>
      <c r="D911">
        <v>534876811.55000001</v>
      </c>
      <c r="E911">
        <v>8</v>
      </c>
    </row>
    <row r="912" spans="2:5">
      <c r="B912" s="1" t="s">
        <v>34</v>
      </c>
      <c r="C912" s="1">
        <v>40575</v>
      </c>
      <c r="D912">
        <v>445706843.41000003</v>
      </c>
      <c r="E912">
        <v>9</v>
      </c>
    </row>
    <row r="913" spans="2:5">
      <c r="B913" s="1" t="s">
        <v>71</v>
      </c>
      <c r="C913" s="1">
        <v>40575</v>
      </c>
      <c r="D913">
        <v>408484928.94999999</v>
      </c>
      <c r="E913">
        <v>10</v>
      </c>
    </row>
    <row r="914" spans="2:5">
      <c r="B914" s="1" t="s">
        <v>4</v>
      </c>
      <c r="C914" s="1">
        <v>40603</v>
      </c>
      <c r="D914">
        <v>2155592538.1999998</v>
      </c>
      <c r="E914">
        <v>1</v>
      </c>
    </row>
    <row r="915" spans="2:5">
      <c r="B915" s="1" t="s">
        <v>16</v>
      </c>
      <c r="C915" s="1">
        <v>40603</v>
      </c>
      <c r="D915">
        <v>1915347141.49</v>
      </c>
      <c r="E915">
        <v>2</v>
      </c>
    </row>
    <row r="916" spans="2:5">
      <c r="B916" s="1" t="s">
        <v>30</v>
      </c>
      <c r="C916" s="1">
        <v>40603</v>
      </c>
      <c r="D916">
        <v>1243211245.6800001</v>
      </c>
      <c r="E916">
        <v>3</v>
      </c>
    </row>
    <row r="917" spans="2:5">
      <c r="B917" s="1" t="s">
        <v>8</v>
      </c>
      <c r="C917" s="1">
        <v>40603</v>
      </c>
      <c r="D917">
        <v>853570632.77999997</v>
      </c>
      <c r="E917">
        <v>4</v>
      </c>
    </row>
    <row r="918" spans="2:5">
      <c r="B918" s="1" t="s">
        <v>13</v>
      </c>
      <c r="C918" s="1">
        <v>40603</v>
      </c>
      <c r="D918">
        <v>531626540.47000003</v>
      </c>
      <c r="E918">
        <v>5</v>
      </c>
    </row>
    <row r="919" spans="2:5">
      <c r="B919" s="1" t="s">
        <v>6</v>
      </c>
      <c r="C919" s="1">
        <v>40603</v>
      </c>
      <c r="D919">
        <v>439424127.80000001</v>
      </c>
      <c r="E919">
        <v>6</v>
      </c>
    </row>
    <row r="920" spans="2:5">
      <c r="B920" s="1" t="s">
        <v>14</v>
      </c>
      <c r="C920" s="1">
        <v>40603</v>
      </c>
      <c r="D920">
        <v>414875521.75</v>
      </c>
      <c r="E920">
        <v>7</v>
      </c>
    </row>
    <row r="921" spans="2:5">
      <c r="B921" s="1" t="s">
        <v>38</v>
      </c>
      <c r="C921" s="1">
        <v>40603</v>
      </c>
      <c r="D921">
        <v>403626888.56999999</v>
      </c>
      <c r="E921">
        <v>8</v>
      </c>
    </row>
    <row r="922" spans="2:5">
      <c r="B922" s="1" t="s">
        <v>34</v>
      </c>
      <c r="C922" s="1">
        <v>40603</v>
      </c>
      <c r="D922">
        <v>316623042.57999998</v>
      </c>
      <c r="E922">
        <v>9</v>
      </c>
    </row>
    <row r="923" spans="2:5">
      <c r="B923" s="1" t="s">
        <v>119</v>
      </c>
      <c r="C923" s="1">
        <v>40603</v>
      </c>
      <c r="D923">
        <v>258297699.69</v>
      </c>
      <c r="E923">
        <v>10</v>
      </c>
    </row>
    <row r="924" spans="2:5">
      <c r="B924" s="1" t="s">
        <v>4</v>
      </c>
      <c r="C924" s="1">
        <v>40634</v>
      </c>
      <c r="D924">
        <v>2120752517.71</v>
      </c>
      <c r="E924">
        <v>1</v>
      </c>
    </row>
    <row r="925" spans="2:5">
      <c r="B925" s="1" t="s">
        <v>16</v>
      </c>
      <c r="C925" s="1">
        <v>40634</v>
      </c>
      <c r="D925">
        <v>2106788705.9200001</v>
      </c>
      <c r="E925">
        <v>2</v>
      </c>
    </row>
    <row r="926" spans="2:5">
      <c r="B926" s="1" t="s">
        <v>30</v>
      </c>
      <c r="C926" s="1">
        <v>40634</v>
      </c>
      <c r="D926">
        <v>1176664421.78</v>
      </c>
      <c r="E926">
        <v>3</v>
      </c>
    </row>
    <row r="927" spans="2:5">
      <c r="B927" s="1" t="s">
        <v>8</v>
      </c>
      <c r="C927" s="1">
        <v>40634</v>
      </c>
      <c r="D927">
        <v>734868464.33000004</v>
      </c>
      <c r="E927">
        <v>4</v>
      </c>
    </row>
    <row r="928" spans="2:5">
      <c r="B928" s="1" t="s">
        <v>13</v>
      </c>
      <c r="C928" s="1">
        <v>40634</v>
      </c>
      <c r="D928">
        <v>569714776.50999999</v>
      </c>
      <c r="E928">
        <v>5</v>
      </c>
    </row>
    <row r="929" spans="2:5">
      <c r="B929" s="1" t="s">
        <v>14</v>
      </c>
      <c r="C929" s="1">
        <v>40634</v>
      </c>
      <c r="D929">
        <v>300779235.80000001</v>
      </c>
      <c r="E929">
        <v>6</v>
      </c>
    </row>
    <row r="930" spans="2:5">
      <c r="B930" s="1" t="s">
        <v>6</v>
      </c>
      <c r="C930" s="1">
        <v>40634</v>
      </c>
      <c r="D930">
        <v>300684557.50999999</v>
      </c>
      <c r="E930">
        <v>7</v>
      </c>
    </row>
    <row r="931" spans="2:5">
      <c r="B931" s="1" t="s">
        <v>33</v>
      </c>
      <c r="C931" s="1">
        <v>40634</v>
      </c>
      <c r="D931">
        <v>284428043.37</v>
      </c>
      <c r="E931">
        <v>8</v>
      </c>
    </row>
    <row r="932" spans="2:5">
      <c r="B932" s="1" t="s">
        <v>20</v>
      </c>
      <c r="C932" s="1">
        <v>40634</v>
      </c>
      <c r="D932">
        <v>270533700.41000003</v>
      </c>
      <c r="E932">
        <v>9</v>
      </c>
    </row>
    <row r="933" spans="2:5">
      <c r="B933" s="1" t="s">
        <v>22</v>
      </c>
      <c r="C933" s="1">
        <v>40634</v>
      </c>
      <c r="D933">
        <v>241779562.83000001</v>
      </c>
      <c r="E933">
        <v>10</v>
      </c>
    </row>
    <row r="934" spans="2:5">
      <c r="B934" s="1" t="s">
        <v>16</v>
      </c>
      <c r="C934" s="1">
        <v>40664</v>
      </c>
      <c r="D934">
        <v>1108476066.48</v>
      </c>
      <c r="E934">
        <v>1</v>
      </c>
    </row>
    <row r="935" spans="2:5">
      <c r="B935" s="1" t="s">
        <v>8</v>
      </c>
      <c r="C935" s="1">
        <v>40664</v>
      </c>
      <c r="D935">
        <v>809370651.20000005</v>
      </c>
      <c r="E935">
        <v>2</v>
      </c>
    </row>
    <row r="936" spans="2:5">
      <c r="B936" s="1" t="s">
        <v>30</v>
      </c>
      <c r="C936" s="1">
        <v>40664</v>
      </c>
      <c r="D936">
        <v>670283683.65999997</v>
      </c>
      <c r="E936">
        <v>3</v>
      </c>
    </row>
    <row r="937" spans="2:5">
      <c r="B937" s="1" t="s">
        <v>13</v>
      </c>
      <c r="C937" s="1">
        <v>40664</v>
      </c>
      <c r="D937">
        <v>551538786.36000001</v>
      </c>
      <c r="E937">
        <v>4</v>
      </c>
    </row>
    <row r="938" spans="2:5">
      <c r="B938" s="1" t="s">
        <v>4</v>
      </c>
      <c r="C938" s="1">
        <v>40664</v>
      </c>
      <c r="D938">
        <v>453825981.13999999</v>
      </c>
      <c r="E938">
        <v>5</v>
      </c>
    </row>
    <row r="939" spans="2:5">
      <c r="B939" s="1" t="s">
        <v>20</v>
      </c>
      <c r="C939" s="1">
        <v>40664</v>
      </c>
      <c r="D939">
        <v>320408343.36000001</v>
      </c>
      <c r="E939">
        <v>6</v>
      </c>
    </row>
    <row r="940" spans="2:5">
      <c r="B940" s="1" t="s">
        <v>6</v>
      </c>
      <c r="C940" s="1">
        <v>40664</v>
      </c>
      <c r="D940">
        <v>283422431.70999998</v>
      </c>
      <c r="E940">
        <v>7</v>
      </c>
    </row>
    <row r="941" spans="2:5">
      <c r="B941" s="1" t="s">
        <v>14</v>
      </c>
      <c r="C941" s="1">
        <v>40664</v>
      </c>
      <c r="D941">
        <v>268433302.68000001</v>
      </c>
      <c r="E941">
        <v>8</v>
      </c>
    </row>
    <row r="942" spans="2:5">
      <c r="B942" s="1" t="s">
        <v>22</v>
      </c>
      <c r="C942" s="1">
        <v>40664</v>
      </c>
      <c r="D942">
        <v>212437035.09999999</v>
      </c>
      <c r="E942">
        <v>9</v>
      </c>
    </row>
    <row r="943" spans="2:5">
      <c r="B943" s="1" t="s">
        <v>38</v>
      </c>
      <c r="C943" s="1">
        <v>40664</v>
      </c>
      <c r="D943">
        <v>194394715.91999999</v>
      </c>
      <c r="E943">
        <v>10</v>
      </c>
    </row>
    <row r="944" spans="2:5">
      <c r="B944" s="1" t="s">
        <v>16</v>
      </c>
      <c r="C944" s="1">
        <v>40695</v>
      </c>
      <c r="D944">
        <v>1705305796.3599999</v>
      </c>
      <c r="E944">
        <v>1</v>
      </c>
    </row>
    <row r="945" spans="2:5">
      <c r="B945" s="1" t="s">
        <v>8</v>
      </c>
      <c r="C945" s="1">
        <v>40695</v>
      </c>
      <c r="D945">
        <v>839564162.10000002</v>
      </c>
      <c r="E945">
        <v>2</v>
      </c>
    </row>
    <row r="946" spans="2:5">
      <c r="B946" s="1" t="s">
        <v>4</v>
      </c>
      <c r="C946" s="1">
        <v>40695</v>
      </c>
      <c r="D946">
        <v>723728232.77999997</v>
      </c>
      <c r="E946">
        <v>3</v>
      </c>
    </row>
    <row r="947" spans="2:5">
      <c r="B947" s="1" t="s">
        <v>30</v>
      </c>
      <c r="C947" s="1">
        <v>40695</v>
      </c>
      <c r="D947">
        <v>561654246.87</v>
      </c>
      <c r="E947">
        <v>4</v>
      </c>
    </row>
    <row r="948" spans="2:5">
      <c r="B948" s="1" t="s">
        <v>13</v>
      </c>
      <c r="C948" s="1">
        <v>40695</v>
      </c>
      <c r="D948">
        <v>385476927.93000001</v>
      </c>
      <c r="E948">
        <v>5</v>
      </c>
    </row>
    <row r="949" spans="2:5">
      <c r="B949" s="1" t="s">
        <v>20</v>
      </c>
      <c r="C949" s="1">
        <v>40695</v>
      </c>
      <c r="D949">
        <v>272604276.86000001</v>
      </c>
      <c r="E949">
        <v>6</v>
      </c>
    </row>
    <row r="950" spans="2:5">
      <c r="B950" s="1" t="s">
        <v>14</v>
      </c>
      <c r="C950" s="1">
        <v>40695</v>
      </c>
      <c r="D950">
        <v>249873981.21000001</v>
      </c>
      <c r="E950">
        <v>7</v>
      </c>
    </row>
    <row r="951" spans="2:5">
      <c r="B951" s="1" t="s">
        <v>33</v>
      </c>
      <c r="C951" s="1">
        <v>40695</v>
      </c>
      <c r="D951">
        <v>177187415.38999999</v>
      </c>
      <c r="E951">
        <v>8</v>
      </c>
    </row>
    <row r="952" spans="2:5">
      <c r="B952" s="1" t="s">
        <v>71</v>
      </c>
      <c r="C952" s="1">
        <v>40695</v>
      </c>
      <c r="D952">
        <v>175058307.03999999</v>
      </c>
      <c r="E952">
        <v>9</v>
      </c>
    </row>
    <row r="953" spans="2:5">
      <c r="B953" s="1" t="s">
        <v>6</v>
      </c>
      <c r="C953" s="1">
        <v>40695</v>
      </c>
      <c r="D953">
        <v>152442303</v>
      </c>
      <c r="E953">
        <v>10</v>
      </c>
    </row>
    <row r="954" spans="2:5">
      <c r="B954" s="1" t="s">
        <v>16</v>
      </c>
      <c r="C954" s="1">
        <v>40725</v>
      </c>
      <c r="D954">
        <v>3125723742.4400001</v>
      </c>
      <c r="E954">
        <v>1</v>
      </c>
    </row>
    <row r="955" spans="2:5">
      <c r="B955" s="1" t="s">
        <v>4</v>
      </c>
      <c r="C955" s="1">
        <v>40725</v>
      </c>
      <c r="D955">
        <v>1249270995.0799999</v>
      </c>
      <c r="E955">
        <v>2</v>
      </c>
    </row>
    <row r="956" spans="2:5">
      <c r="B956" s="1" t="s">
        <v>30</v>
      </c>
      <c r="C956" s="1">
        <v>40725</v>
      </c>
      <c r="D956">
        <v>598841873.17999995</v>
      </c>
      <c r="E956">
        <v>3</v>
      </c>
    </row>
    <row r="957" spans="2:5">
      <c r="B957" s="1" t="s">
        <v>8</v>
      </c>
      <c r="C957" s="1">
        <v>40725</v>
      </c>
      <c r="D957">
        <v>536900681</v>
      </c>
      <c r="E957">
        <v>4</v>
      </c>
    </row>
    <row r="958" spans="2:5">
      <c r="B958" s="1" t="s">
        <v>13</v>
      </c>
      <c r="C958" s="1">
        <v>40725</v>
      </c>
      <c r="D958">
        <v>388098543.69999999</v>
      </c>
      <c r="E958">
        <v>5</v>
      </c>
    </row>
    <row r="959" spans="2:5">
      <c r="B959" s="1" t="s">
        <v>14</v>
      </c>
      <c r="C959" s="1">
        <v>40725</v>
      </c>
      <c r="D959">
        <v>316608413.45999998</v>
      </c>
      <c r="E959">
        <v>6</v>
      </c>
    </row>
    <row r="960" spans="2:5">
      <c r="B960" s="1" t="s">
        <v>20</v>
      </c>
      <c r="C960" s="1">
        <v>40725</v>
      </c>
      <c r="D960">
        <v>215949274.02000001</v>
      </c>
      <c r="E960">
        <v>7</v>
      </c>
    </row>
    <row r="961" spans="2:5">
      <c r="B961" s="1" t="s">
        <v>12</v>
      </c>
      <c r="C961" s="1">
        <v>40725</v>
      </c>
      <c r="D961">
        <v>211757653.66</v>
      </c>
      <c r="E961">
        <v>8</v>
      </c>
    </row>
    <row r="962" spans="2:5">
      <c r="B962" s="1" t="s">
        <v>71</v>
      </c>
      <c r="C962" s="1">
        <v>40725</v>
      </c>
      <c r="D962">
        <v>165047413.28999999</v>
      </c>
      <c r="E962">
        <v>9</v>
      </c>
    </row>
    <row r="963" spans="2:5">
      <c r="B963" s="1" t="s">
        <v>6</v>
      </c>
      <c r="C963" s="1">
        <v>40725</v>
      </c>
      <c r="D963">
        <v>139361545.58000001</v>
      </c>
      <c r="E963">
        <v>10</v>
      </c>
    </row>
    <row r="964" spans="2:5">
      <c r="B964" s="1" t="s">
        <v>16</v>
      </c>
      <c r="C964" s="1">
        <v>40756</v>
      </c>
      <c r="D964">
        <v>1613391642.05</v>
      </c>
      <c r="E964">
        <v>1</v>
      </c>
    </row>
    <row r="965" spans="2:5">
      <c r="B965" s="1" t="s">
        <v>8</v>
      </c>
      <c r="C965" s="1">
        <v>40756</v>
      </c>
      <c r="D965">
        <v>846856456.50999999</v>
      </c>
      <c r="E965">
        <v>2</v>
      </c>
    </row>
    <row r="966" spans="2:5">
      <c r="B966" s="1" t="s">
        <v>30</v>
      </c>
      <c r="C966" s="1">
        <v>40756</v>
      </c>
      <c r="D966">
        <v>719443235.38</v>
      </c>
      <c r="E966">
        <v>3</v>
      </c>
    </row>
    <row r="967" spans="2:5">
      <c r="B967" s="1" t="s">
        <v>4</v>
      </c>
      <c r="C967" s="1">
        <v>40756</v>
      </c>
      <c r="D967">
        <v>487930353.06999999</v>
      </c>
      <c r="E967">
        <v>4</v>
      </c>
    </row>
    <row r="968" spans="2:5">
      <c r="B968" s="1" t="s">
        <v>13</v>
      </c>
      <c r="C968" s="1">
        <v>40756</v>
      </c>
      <c r="D968">
        <v>332388827</v>
      </c>
      <c r="E968">
        <v>5</v>
      </c>
    </row>
    <row r="969" spans="2:5">
      <c r="B969" s="1" t="s">
        <v>6</v>
      </c>
      <c r="C969" s="1">
        <v>40756</v>
      </c>
      <c r="D969">
        <v>212255776.69999999</v>
      </c>
      <c r="E969">
        <v>6</v>
      </c>
    </row>
    <row r="970" spans="2:5">
      <c r="B970" s="1" t="s">
        <v>71</v>
      </c>
      <c r="C970" s="1">
        <v>40756</v>
      </c>
      <c r="D970">
        <v>188735037.33000001</v>
      </c>
      <c r="E970">
        <v>7</v>
      </c>
    </row>
    <row r="971" spans="2:5">
      <c r="B971" s="1" t="s">
        <v>12</v>
      </c>
      <c r="C971" s="1">
        <v>40756</v>
      </c>
      <c r="D971">
        <v>175361400.72999999</v>
      </c>
      <c r="E971">
        <v>8</v>
      </c>
    </row>
    <row r="972" spans="2:5">
      <c r="B972" s="1" t="s">
        <v>20</v>
      </c>
      <c r="C972" s="1">
        <v>40756</v>
      </c>
      <c r="D972">
        <v>140357357.38999999</v>
      </c>
      <c r="E972">
        <v>9</v>
      </c>
    </row>
    <row r="973" spans="2:5">
      <c r="B973" s="1" t="s">
        <v>22</v>
      </c>
      <c r="C973" s="1">
        <v>40756</v>
      </c>
      <c r="D973">
        <v>132302201.27</v>
      </c>
      <c r="E973">
        <v>10</v>
      </c>
    </row>
    <row r="974" spans="2:5">
      <c r="B974" s="1" t="s">
        <v>16</v>
      </c>
      <c r="C974" s="1">
        <v>40787</v>
      </c>
      <c r="D974">
        <v>2312378626.5700002</v>
      </c>
      <c r="E974">
        <v>1</v>
      </c>
    </row>
    <row r="975" spans="2:5">
      <c r="B975" s="1" t="s">
        <v>4</v>
      </c>
      <c r="C975" s="1">
        <v>40787</v>
      </c>
      <c r="D975">
        <v>1488442307.6700001</v>
      </c>
      <c r="E975">
        <v>2</v>
      </c>
    </row>
    <row r="976" spans="2:5">
      <c r="B976" s="1" t="s">
        <v>8</v>
      </c>
      <c r="C976" s="1">
        <v>40787</v>
      </c>
      <c r="D976">
        <v>1235686134.8199999</v>
      </c>
      <c r="E976">
        <v>3</v>
      </c>
    </row>
    <row r="977" spans="2:5">
      <c r="B977" s="1" t="s">
        <v>30</v>
      </c>
      <c r="C977" s="1">
        <v>40787</v>
      </c>
      <c r="D977">
        <v>723041247.12</v>
      </c>
      <c r="E977">
        <v>4</v>
      </c>
    </row>
    <row r="978" spans="2:5">
      <c r="B978" s="1" t="s">
        <v>13</v>
      </c>
      <c r="C978" s="1">
        <v>40787</v>
      </c>
      <c r="D978">
        <v>257691149.83000001</v>
      </c>
      <c r="E978">
        <v>5</v>
      </c>
    </row>
    <row r="979" spans="2:5">
      <c r="B979" s="1" t="s">
        <v>14</v>
      </c>
      <c r="C979" s="1">
        <v>40787</v>
      </c>
      <c r="D979">
        <v>245472900.08000001</v>
      </c>
      <c r="E979">
        <v>6</v>
      </c>
    </row>
    <row r="980" spans="2:5">
      <c r="B980" s="1" t="s">
        <v>71</v>
      </c>
      <c r="C980" s="1">
        <v>40787</v>
      </c>
      <c r="D980">
        <v>209504780.59999999</v>
      </c>
      <c r="E980">
        <v>7</v>
      </c>
    </row>
    <row r="981" spans="2:5">
      <c r="B981" s="1" t="s">
        <v>33</v>
      </c>
      <c r="C981" s="1">
        <v>40787</v>
      </c>
      <c r="D981">
        <v>195134183.40000001</v>
      </c>
      <c r="E981">
        <v>8</v>
      </c>
    </row>
    <row r="982" spans="2:5">
      <c r="B982" s="1" t="s">
        <v>6</v>
      </c>
      <c r="C982" s="1">
        <v>40787</v>
      </c>
      <c r="D982">
        <v>192504566.05000001</v>
      </c>
      <c r="E982">
        <v>9</v>
      </c>
    </row>
    <row r="983" spans="2:5">
      <c r="B983" s="1" t="s">
        <v>44</v>
      </c>
      <c r="C983" s="1">
        <v>40787</v>
      </c>
      <c r="D983">
        <v>155949179.34999999</v>
      </c>
      <c r="E983">
        <v>10</v>
      </c>
    </row>
    <row r="984" spans="2:5">
      <c r="B984" s="1" t="s">
        <v>16</v>
      </c>
      <c r="C984" s="1">
        <v>40817</v>
      </c>
      <c r="D984">
        <v>3379466287.0999999</v>
      </c>
      <c r="E984">
        <v>1</v>
      </c>
    </row>
    <row r="985" spans="2:5">
      <c r="B985" s="1" t="s">
        <v>8</v>
      </c>
      <c r="C985" s="1">
        <v>40817</v>
      </c>
      <c r="D985">
        <v>1477823763.1900001</v>
      </c>
      <c r="E985">
        <v>2</v>
      </c>
    </row>
    <row r="986" spans="2:5">
      <c r="B986" s="1" t="s">
        <v>4</v>
      </c>
      <c r="C986" s="1">
        <v>40817</v>
      </c>
      <c r="D986">
        <v>1064883083.64</v>
      </c>
      <c r="E986">
        <v>3</v>
      </c>
    </row>
    <row r="987" spans="2:5">
      <c r="B987" s="1" t="s">
        <v>42</v>
      </c>
      <c r="C987" s="1">
        <v>40817</v>
      </c>
      <c r="D987">
        <v>818515708.92999995</v>
      </c>
      <c r="E987">
        <v>4</v>
      </c>
    </row>
    <row r="988" spans="2:5">
      <c r="B988" s="1" t="s">
        <v>30</v>
      </c>
      <c r="C988" s="1">
        <v>40817</v>
      </c>
      <c r="D988">
        <v>607535378.60000002</v>
      </c>
      <c r="E988">
        <v>5</v>
      </c>
    </row>
    <row r="989" spans="2:5">
      <c r="B989" s="1" t="s">
        <v>13</v>
      </c>
      <c r="C989" s="1">
        <v>40817</v>
      </c>
      <c r="D989">
        <v>418073981.95999998</v>
      </c>
      <c r="E989">
        <v>6</v>
      </c>
    </row>
    <row r="990" spans="2:5">
      <c r="B990" s="1" t="s">
        <v>6</v>
      </c>
      <c r="C990" s="1">
        <v>40817</v>
      </c>
      <c r="D990">
        <v>290401900.70999998</v>
      </c>
      <c r="E990">
        <v>7</v>
      </c>
    </row>
    <row r="991" spans="2:5">
      <c r="B991" s="1" t="s">
        <v>14</v>
      </c>
      <c r="C991" s="1">
        <v>40817</v>
      </c>
      <c r="D991">
        <v>285123898.81</v>
      </c>
      <c r="E991">
        <v>8</v>
      </c>
    </row>
    <row r="992" spans="2:5">
      <c r="B992" s="1" t="s">
        <v>145</v>
      </c>
      <c r="C992" s="1">
        <v>40817</v>
      </c>
      <c r="D992">
        <v>241951655.81999999</v>
      </c>
      <c r="E992">
        <v>9</v>
      </c>
    </row>
    <row r="993" spans="2:5">
      <c r="B993" s="1" t="s">
        <v>44</v>
      </c>
      <c r="C993" s="1">
        <v>40817</v>
      </c>
      <c r="D993">
        <v>227093066.03</v>
      </c>
      <c r="E993">
        <v>10</v>
      </c>
    </row>
    <row r="994" spans="2:5">
      <c r="B994" s="1" t="s">
        <v>8</v>
      </c>
      <c r="C994" s="1">
        <v>40848</v>
      </c>
      <c r="D994">
        <v>2184906446.2199998</v>
      </c>
      <c r="E994">
        <v>1</v>
      </c>
    </row>
    <row r="995" spans="2:5">
      <c r="B995" s="1" t="s">
        <v>4</v>
      </c>
      <c r="C995" s="1">
        <v>40848</v>
      </c>
      <c r="D995">
        <v>2122233597.4200001</v>
      </c>
      <c r="E995">
        <v>2</v>
      </c>
    </row>
    <row r="996" spans="2:5">
      <c r="B996" s="1" t="s">
        <v>16</v>
      </c>
      <c r="C996" s="1">
        <v>40848</v>
      </c>
      <c r="D996">
        <v>1808551858.1600001</v>
      </c>
      <c r="E996">
        <v>3</v>
      </c>
    </row>
    <row r="997" spans="2:5">
      <c r="B997" s="1" t="s">
        <v>42</v>
      </c>
      <c r="C997" s="1">
        <v>40848</v>
      </c>
      <c r="D997">
        <v>1099145883.3299999</v>
      </c>
      <c r="E997">
        <v>4</v>
      </c>
    </row>
    <row r="998" spans="2:5">
      <c r="B998" s="1" t="s">
        <v>30</v>
      </c>
      <c r="C998" s="1">
        <v>40848</v>
      </c>
      <c r="D998">
        <v>781955044.85000002</v>
      </c>
      <c r="E998">
        <v>5</v>
      </c>
    </row>
    <row r="999" spans="2:5">
      <c r="B999" s="1" t="s">
        <v>44</v>
      </c>
      <c r="C999" s="1">
        <v>40848</v>
      </c>
      <c r="D999">
        <v>480704275.17000002</v>
      </c>
      <c r="E999">
        <v>6</v>
      </c>
    </row>
    <row r="1000" spans="2:5">
      <c r="B1000" s="1" t="s">
        <v>6</v>
      </c>
      <c r="C1000" s="1">
        <v>40848</v>
      </c>
      <c r="D1000">
        <v>434872746.33999997</v>
      </c>
      <c r="E1000">
        <v>7</v>
      </c>
    </row>
    <row r="1001" spans="2:5">
      <c r="B1001" s="1" t="s">
        <v>33</v>
      </c>
      <c r="C1001" s="1">
        <v>40848</v>
      </c>
      <c r="D1001">
        <v>331403018.94999999</v>
      </c>
      <c r="E1001">
        <v>8</v>
      </c>
    </row>
    <row r="1002" spans="2:5">
      <c r="B1002" s="1" t="s">
        <v>13</v>
      </c>
      <c r="C1002" s="1">
        <v>40848</v>
      </c>
      <c r="D1002">
        <v>303171070.92000002</v>
      </c>
      <c r="E1002">
        <v>9</v>
      </c>
    </row>
    <row r="1003" spans="2:5">
      <c r="B1003" s="1" t="s">
        <v>71</v>
      </c>
      <c r="C1003" s="1">
        <v>40848</v>
      </c>
      <c r="D1003">
        <v>252299679.40000001</v>
      </c>
      <c r="E1003">
        <v>10</v>
      </c>
    </row>
    <row r="1004" spans="2:5">
      <c r="B1004" s="1" t="s">
        <v>16</v>
      </c>
      <c r="C1004" s="1">
        <v>40878</v>
      </c>
      <c r="D1004">
        <v>3647920798.0700002</v>
      </c>
      <c r="E1004">
        <v>1</v>
      </c>
    </row>
    <row r="1005" spans="2:5">
      <c r="B1005" s="1" t="s">
        <v>8</v>
      </c>
      <c r="C1005" s="1">
        <v>40878</v>
      </c>
      <c r="D1005">
        <v>2369417431.5700002</v>
      </c>
      <c r="E1005">
        <v>2</v>
      </c>
    </row>
    <row r="1006" spans="2:5">
      <c r="B1006" s="1" t="s">
        <v>4</v>
      </c>
      <c r="C1006" s="1">
        <v>40878</v>
      </c>
      <c r="D1006">
        <v>2089241126.1800001</v>
      </c>
      <c r="E1006">
        <v>3</v>
      </c>
    </row>
    <row r="1007" spans="2:5">
      <c r="B1007" s="1" t="s">
        <v>42</v>
      </c>
      <c r="C1007" s="1">
        <v>40878</v>
      </c>
      <c r="D1007">
        <v>1412203171.1800001</v>
      </c>
      <c r="E1007">
        <v>4</v>
      </c>
    </row>
    <row r="1008" spans="2:5">
      <c r="B1008" s="1" t="s">
        <v>44</v>
      </c>
      <c r="C1008" s="1">
        <v>40878</v>
      </c>
      <c r="D1008">
        <v>745106160.72000003</v>
      </c>
      <c r="E1008">
        <v>5</v>
      </c>
    </row>
    <row r="1009" spans="2:5">
      <c r="B1009" s="1" t="s">
        <v>6</v>
      </c>
      <c r="C1009" s="1">
        <v>40878</v>
      </c>
      <c r="D1009">
        <v>551153369.42999995</v>
      </c>
      <c r="E1009">
        <v>6</v>
      </c>
    </row>
    <row r="1010" spans="2:5">
      <c r="B1010" s="1" t="s">
        <v>46</v>
      </c>
      <c r="C1010" s="1">
        <v>40878</v>
      </c>
      <c r="D1010">
        <v>444032244.01999998</v>
      </c>
      <c r="E1010">
        <v>7</v>
      </c>
    </row>
    <row r="1011" spans="2:5">
      <c r="B1011" s="1" t="s">
        <v>12</v>
      </c>
      <c r="C1011" s="1">
        <v>40878</v>
      </c>
      <c r="D1011">
        <v>416926222.63999999</v>
      </c>
      <c r="E1011">
        <v>8</v>
      </c>
    </row>
    <row r="1012" spans="2:5">
      <c r="B1012" s="1" t="s">
        <v>49</v>
      </c>
      <c r="C1012" s="1">
        <v>40878</v>
      </c>
      <c r="D1012">
        <v>378261660.80000001</v>
      </c>
      <c r="E1012">
        <v>9</v>
      </c>
    </row>
    <row r="1013" spans="2:5">
      <c r="B1013" s="1" t="s">
        <v>30</v>
      </c>
      <c r="C1013" s="1">
        <v>40878</v>
      </c>
      <c r="D1013">
        <v>371280013.94</v>
      </c>
      <c r="E1013">
        <v>10</v>
      </c>
    </row>
    <row r="1014" spans="2:5">
      <c r="B1014" s="1" t="s">
        <v>16</v>
      </c>
      <c r="C1014" s="1">
        <v>40909</v>
      </c>
      <c r="D1014">
        <v>4059865643.29</v>
      </c>
      <c r="E1014">
        <v>1</v>
      </c>
    </row>
    <row r="1015" spans="2:5">
      <c r="B1015" s="1" t="s">
        <v>8</v>
      </c>
      <c r="C1015" s="1">
        <v>40909</v>
      </c>
      <c r="D1015">
        <v>2359023695.79</v>
      </c>
      <c r="E1015">
        <v>2</v>
      </c>
    </row>
    <row r="1016" spans="2:5">
      <c r="B1016" s="1" t="s">
        <v>4</v>
      </c>
      <c r="C1016" s="1">
        <v>40909</v>
      </c>
      <c r="D1016">
        <v>2314600375.54</v>
      </c>
      <c r="E1016">
        <v>3</v>
      </c>
    </row>
    <row r="1017" spans="2:5">
      <c r="B1017" s="1" t="s">
        <v>42</v>
      </c>
      <c r="C1017" s="1">
        <v>40909</v>
      </c>
      <c r="D1017">
        <v>1120575680.53</v>
      </c>
      <c r="E1017">
        <v>4</v>
      </c>
    </row>
    <row r="1018" spans="2:5">
      <c r="B1018" s="1" t="s">
        <v>44</v>
      </c>
      <c r="C1018" s="1">
        <v>40909</v>
      </c>
      <c r="D1018">
        <v>683743002.97000003</v>
      </c>
      <c r="E1018">
        <v>5</v>
      </c>
    </row>
    <row r="1019" spans="2:5">
      <c r="B1019" s="1" t="s">
        <v>33</v>
      </c>
      <c r="C1019" s="1">
        <v>40909</v>
      </c>
      <c r="D1019">
        <v>612015462.09000003</v>
      </c>
      <c r="E1019">
        <v>6</v>
      </c>
    </row>
    <row r="1020" spans="2:5">
      <c r="B1020" s="1" t="s">
        <v>6</v>
      </c>
      <c r="C1020" s="1">
        <v>40909</v>
      </c>
      <c r="D1020">
        <v>519959137.73000002</v>
      </c>
      <c r="E1020">
        <v>7</v>
      </c>
    </row>
    <row r="1021" spans="2:5">
      <c r="B1021" s="1" t="s">
        <v>13</v>
      </c>
      <c r="C1021" s="1">
        <v>40909</v>
      </c>
      <c r="D1021">
        <v>419812688.57999998</v>
      </c>
      <c r="E1021">
        <v>8</v>
      </c>
    </row>
    <row r="1022" spans="2:5">
      <c r="B1022" s="1" t="s">
        <v>12</v>
      </c>
      <c r="C1022" s="1">
        <v>40909</v>
      </c>
      <c r="D1022">
        <v>418471575.45999998</v>
      </c>
      <c r="E1022">
        <v>9</v>
      </c>
    </row>
    <row r="1023" spans="2:5">
      <c r="B1023" s="1" t="s">
        <v>49</v>
      </c>
      <c r="C1023" s="1">
        <v>40909</v>
      </c>
      <c r="D1023">
        <v>354174934.64999998</v>
      </c>
      <c r="E1023">
        <v>10</v>
      </c>
    </row>
    <row r="1024" spans="2:5">
      <c r="B1024" s="1" t="s">
        <v>8</v>
      </c>
      <c r="C1024" s="1">
        <v>40940</v>
      </c>
      <c r="D1024">
        <v>2074382019.1199999</v>
      </c>
      <c r="E1024">
        <v>1</v>
      </c>
    </row>
    <row r="1025" spans="2:5">
      <c r="B1025" s="1" t="s">
        <v>16</v>
      </c>
      <c r="C1025" s="1">
        <v>40940</v>
      </c>
      <c r="D1025">
        <v>1820085642.0799999</v>
      </c>
      <c r="E1025">
        <v>2</v>
      </c>
    </row>
    <row r="1026" spans="2:5">
      <c r="B1026" s="1" t="s">
        <v>4</v>
      </c>
      <c r="C1026" s="1">
        <v>40940</v>
      </c>
      <c r="D1026">
        <v>1616843705.9300001</v>
      </c>
      <c r="E1026">
        <v>3</v>
      </c>
    </row>
    <row r="1027" spans="2:5">
      <c r="B1027" s="1" t="s">
        <v>42</v>
      </c>
      <c r="C1027" s="1">
        <v>40940</v>
      </c>
      <c r="D1027">
        <v>1320904264.2</v>
      </c>
      <c r="E1027">
        <v>4</v>
      </c>
    </row>
    <row r="1028" spans="2:5">
      <c r="B1028" s="1" t="s">
        <v>30</v>
      </c>
      <c r="C1028" s="1">
        <v>40940</v>
      </c>
      <c r="D1028">
        <v>753973852.75999999</v>
      </c>
      <c r="E1028">
        <v>5</v>
      </c>
    </row>
    <row r="1029" spans="2:5">
      <c r="B1029" s="1" t="s">
        <v>33</v>
      </c>
      <c r="C1029" s="1">
        <v>40940</v>
      </c>
      <c r="D1029">
        <v>684074900.45000005</v>
      </c>
      <c r="E1029">
        <v>6</v>
      </c>
    </row>
    <row r="1030" spans="2:5">
      <c r="B1030" s="1" t="s">
        <v>6</v>
      </c>
      <c r="C1030" s="1">
        <v>40940</v>
      </c>
      <c r="D1030">
        <v>534343487.33999997</v>
      </c>
      <c r="E1030">
        <v>7</v>
      </c>
    </row>
    <row r="1031" spans="2:5">
      <c r="B1031" s="1" t="s">
        <v>14</v>
      </c>
      <c r="C1031" s="1">
        <v>40940</v>
      </c>
      <c r="D1031">
        <v>437316335.76999998</v>
      </c>
      <c r="E1031">
        <v>8</v>
      </c>
    </row>
    <row r="1032" spans="2:5">
      <c r="B1032" s="1" t="s">
        <v>44</v>
      </c>
      <c r="C1032" s="1">
        <v>40940</v>
      </c>
      <c r="D1032">
        <v>404981690.64999998</v>
      </c>
      <c r="E1032">
        <v>9</v>
      </c>
    </row>
    <row r="1033" spans="2:5">
      <c r="B1033" s="1" t="s">
        <v>46</v>
      </c>
      <c r="C1033" s="1">
        <v>40940</v>
      </c>
      <c r="D1033">
        <v>372831227.45999998</v>
      </c>
      <c r="E1033">
        <v>10</v>
      </c>
    </row>
    <row r="1034" spans="2:5">
      <c r="B1034" s="1" t="s">
        <v>8</v>
      </c>
      <c r="C1034" s="1">
        <v>40969</v>
      </c>
      <c r="D1034">
        <v>2735353783.9699998</v>
      </c>
      <c r="E1034">
        <v>1</v>
      </c>
    </row>
    <row r="1035" spans="2:5">
      <c r="B1035" s="1" t="s">
        <v>4</v>
      </c>
      <c r="C1035" s="1">
        <v>40969</v>
      </c>
      <c r="D1035">
        <v>1847027442.4000001</v>
      </c>
      <c r="E1035">
        <v>2</v>
      </c>
    </row>
    <row r="1036" spans="2:5">
      <c r="B1036" s="1" t="s">
        <v>42</v>
      </c>
      <c r="C1036" s="1">
        <v>40969</v>
      </c>
      <c r="D1036">
        <v>1757601309.22</v>
      </c>
      <c r="E1036">
        <v>3</v>
      </c>
    </row>
    <row r="1037" spans="2:5">
      <c r="B1037" s="1" t="s">
        <v>16</v>
      </c>
      <c r="C1037" s="1">
        <v>40969</v>
      </c>
      <c r="D1037">
        <v>1392637011.05</v>
      </c>
      <c r="E1037">
        <v>4</v>
      </c>
    </row>
    <row r="1038" spans="2:5">
      <c r="B1038" s="1" t="s">
        <v>30</v>
      </c>
      <c r="C1038" s="1">
        <v>40969</v>
      </c>
      <c r="D1038">
        <v>955978630.90999997</v>
      </c>
      <c r="E1038">
        <v>5</v>
      </c>
    </row>
    <row r="1039" spans="2:5">
      <c r="B1039" s="1" t="s">
        <v>6</v>
      </c>
      <c r="C1039" s="1">
        <v>40969</v>
      </c>
      <c r="D1039">
        <v>521440662.5</v>
      </c>
      <c r="E1039">
        <v>6</v>
      </c>
    </row>
    <row r="1040" spans="2:5">
      <c r="B1040" s="1" t="s">
        <v>33</v>
      </c>
      <c r="C1040" s="1">
        <v>40969</v>
      </c>
      <c r="D1040">
        <v>483206328.12</v>
      </c>
      <c r="E1040">
        <v>7</v>
      </c>
    </row>
    <row r="1041" spans="2:5">
      <c r="B1041" s="1" t="s">
        <v>14</v>
      </c>
      <c r="C1041" s="1">
        <v>40969</v>
      </c>
      <c r="D1041">
        <v>457273640.91000003</v>
      </c>
      <c r="E1041">
        <v>8</v>
      </c>
    </row>
    <row r="1042" spans="2:5">
      <c r="B1042" s="1" t="s">
        <v>12</v>
      </c>
      <c r="C1042" s="1">
        <v>40969</v>
      </c>
      <c r="D1042">
        <v>408256049.98000002</v>
      </c>
      <c r="E1042">
        <v>9</v>
      </c>
    </row>
    <row r="1043" spans="2:5">
      <c r="B1043" s="1" t="s">
        <v>44</v>
      </c>
      <c r="C1043" s="1">
        <v>40969</v>
      </c>
      <c r="D1043">
        <v>356656007.27999997</v>
      </c>
      <c r="E1043">
        <v>10</v>
      </c>
    </row>
    <row r="1044" spans="2:5">
      <c r="B1044" s="1" t="s">
        <v>8</v>
      </c>
      <c r="C1044" s="1">
        <v>41000</v>
      </c>
      <c r="D1044">
        <v>2968862432.2199998</v>
      </c>
      <c r="E1044">
        <v>1</v>
      </c>
    </row>
    <row r="1045" spans="2:5">
      <c r="B1045" s="1" t="s">
        <v>42</v>
      </c>
      <c r="C1045" s="1">
        <v>41000</v>
      </c>
      <c r="D1045">
        <v>2824281754.79</v>
      </c>
      <c r="E1045">
        <v>2</v>
      </c>
    </row>
    <row r="1046" spans="2:5">
      <c r="B1046" s="1" t="s">
        <v>4</v>
      </c>
      <c r="C1046" s="1">
        <v>41000</v>
      </c>
      <c r="D1046">
        <v>1919116424.9100001</v>
      </c>
      <c r="E1046">
        <v>3</v>
      </c>
    </row>
    <row r="1047" spans="2:5">
      <c r="B1047" s="1" t="s">
        <v>16</v>
      </c>
      <c r="C1047" s="1">
        <v>41000</v>
      </c>
      <c r="D1047">
        <v>1497727107.4200001</v>
      </c>
      <c r="E1047">
        <v>4</v>
      </c>
    </row>
    <row r="1048" spans="2:5">
      <c r="B1048" s="1" t="s">
        <v>30</v>
      </c>
      <c r="C1048" s="1">
        <v>41000</v>
      </c>
      <c r="D1048">
        <v>1478766147.8</v>
      </c>
      <c r="E1048">
        <v>5</v>
      </c>
    </row>
    <row r="1049" spans="2:5">
      <c r="B1049" s="1" t="s">
        <v>46</v>
      </c>
      <c r="C1049" s="1">
        <v>41000</v>
      </c>
      <c r="D1049">
        <v>1188646337.95</v>
      </c>
      <c r="E1049">
        <v>6</v>
      </c>
    </row>
    <row r="1050" spans="2:5">
      <c r="B1050" s="1" t="s">
        <v>44</v>
      </c>
      <c r="C1050" s="1">
        <v>41000</v>
      </c>
      <c r="D1050">
        <v>1089164709.28</v>
      </c>
      <c r="E1050">
        <v>7</v>
      </c>
    </row>
    <row r="1051" spans="2:5">
      <c r="B1051" s="1" t="s">
        <v>13</v>
      </c>
      <c r="C1051" s="1">
        <v>41000</v>
      </c>
      <c r="D1051">
        <v>819505181.08000004</v>
      </c>
      <c r="E1051">
        <v>8</v>
      </c>
    </row>
    <row r="1052" spans="2:5">
      <c r="B1052" s="1" t="s">
        <v>33</v>
      </c>
      <c r="C1052" s="1">
        <v>41000</v>
      </c>
      <c r="D1052">
        <v>593418132.54999995</v>
      </c>
      <c r="E1052">
        <v>9</v>
      </c>
    </row>
    <row r="1053" spans="2:5">
      <c r="B1053" s="1" t="s">
        <v>14</v>
      </c>
      <c r="C1053" s="1">
        <v>41000</v>
      </c>
      <c r="D1053">
        <v>554970553.63</v>
      </c>
      <c r="E1053">
        <v>10</v>
      </c>
    </row>
    <row r="1054" spans="2:5">
      <c r="B1054" s="1" t="s">
        <v>8</v>
      </c>
      <c r="C1054" s="1">
        <v>41030</v>
      </c>
      <c r="D1054">
        <v>2307288287.8400002</v>
      </c>
      <c r="E1054">
        <v>1</v>
      </c>
    </row>
    <row r="1055" spans="2:5">
      <c r="B1055" s="1" t="s">
        <v>4</v>
      </c>
      <c r="C1055" s="1">
        <v>41030</v>
      </c>
      <c r="D1055">
        <v>1497778473.45</v>
      </c>
      <c r="E1055">
        <v>2</v>
      </c>
    </row>
    <row r="1056" spans="2:5">
      <c r="B1056" s="1" t="s">
        <v>16</v>
      </c>
      <c r="C1056" s="1">
        <v>41030</v>
      </c>
      <c r="D1056">
        <v>975876845.86000001</v>
      </c>
      <c r="E1056">
        <v>3</v>
      </c>
    </row>
    <row r="1057" spans="2:5">
      <c r="B1057" s="1" t="s">
        <v>42</v>
      </c>
      <c r="C1057" s="1">
        <v>41030</v>
      </c>
      <c r="D1057">
        <v>749628632.73000002</v>
      </c>
      <c r="E1057">
        <v>4</v>
      </c>
    </row>
    <row r="1058" spans="2:5">
      <c r="B1058" s="1" t="s">
        <v>30</v>
      </c>
      <c r="C1058" s="1">
        <v>41030</v>
      </c>
      <c r="D1058">
        <v>715750834.32000005</v>
      </c>
      <c r="E1058">
        <v>5</v>
      </c>
    </row>
    <row r="1059" spans="2:5">
      <c r="B1059" s="1" t="s">
        <v>15</v>
      </c>
      <c r="C1059" s="1">
        <v>41030</v>
      </c>
      <c r="D1059">
        <v>473607098.20999998</v>
      </c>
      <c r="E1059">
        <v>6</v>
      </c>
    </row>
    <row r="1060" spans="2:5">
      <c r="B1060" s="1" t="s">
        <v>14</v>
      </c>
      <c r="C1060" s="1">
        <v>41030</v>
      </c>
      <c r="D1060">
        <v>436505207.04000002</v>
      </c>
      <c r="E1060">
        <v>7</v>
      </c>
    </row>
    <row r="1061" spans="2:5">
      <c r="B1061" s="1" t="s">
        <v>33</v>
      </c>
      <c r="C1061" s="1">
        <v>41030</v>
      </c>
      <c r="D1061">
        <v>398848170.72000003</v>
      </c>
      <c r="E1061">
        <v>8</v>
      </c>
    </row>
    <row r="1062" spans="2:5">
      <c r="B1062" s="1" t="s">
        <v>34</v>
      </c>
      <c r="C1062" s="1">
        <v>41030</v>
      </c>
      <c r="D1062">
        <v>328659937.56</v>
      </c>
      <c r="E1062">
        <v>9</v>
      </c>
    </row>
    <row r="1063" spans="2:5">
      <c r="B1063" s="1" t="s">
        <v>12</v>
      </c>
      <c r="C1063" s="1">
        <v>41030</v>
      </c>
      <c r="D1063">
        <v>314087073.68000001</v>
      </c>
      <c r="E1063">
        <v>10</v>
      </c>
    </row>
    <row r="1064" spans="2:5">
      <c r="B1064" s="1" t="s">
        <v>8</v>
      </c>
      <c r="C1064" s="1">
        <v>41061</v>
      </c>
      <c r="D1064">
        <v>2837371203.46</v>
      </c>
      <c r="E1064">
        <v>1</v>
      </c>
    </row>
    <row r="1065" spans="2:5">
      <c r="B1065" s="1" t="s">
        <v>42</v>
      </c>
      <c r="C1065" s="1">
        <v>41061</v>
      </c>
      <c r="D1065">
        <v>2688689221.8800001</v>
      </c>
      <c r="E1065">
        <v>2</v>
      </c>
    </row>
    <row r="1066" spans="2:5">
      <c r="B1066" s="1" t="s">
        <v>6</v>
      </c>
      <c r="C1066" s="1">
        <v>41061</v>
      </c>
      <c r="D1066">
        <v>1155522324.5799999</v>
      </c>
      <c r="E1066">
        <v>3</v>
      </c>
    </row>
    <row r="1067" spans="2:5">
      <c r="B1067" s="1" t="s">
        <v>30</v>
      </c>
      <c r="C1067" s="1">
        <v>41061</v>
      </c>
      <c r="D1067">
        <v>1115152704.5899999</v>
      </c>
      <c r="E1067">
        <v>4</v>
      </c>
    </row>
    <row r="1068" spans="2:5">
      <c r="B1068" s="1" t="s">
        <v>4</v>
      </c>
      <c r="C1068" s="1">
        <v>41061</v>
      </c>
      <c r="D1068">
        <v>1078652286.0999999</v>
      </c>
      <c r="E1068">
        <v>5</v>
      </c>
    </row>
    <row r="1069" spans="2:5">
      <c r="B1069" s="1" t="s">
        <v>16</v>
      </c>
      <c r="C1069" s="1">
        <v>41061</v>
      </c>
      <c r="D1069">
        <v>807433941.49000001</v>
      </c>
      <c r="E1069">
        <v>6</v>
      </c>
    </row>
    <row r="1070" spans="2:5">
      <c r="B1070" s="1" t="s">
        <v>44</v>
      </c>
      <c r="C1070" s="1">
        <v>41061</v>
      </c>
      <c r="D1070">
        <v>692742544.25</v>
      </c>
      <c r="E1070">
        <v>7</v>
      </c>
    </row>
    <row r="1071" spans="2:5">
      <c r="B1071" s="1" t="s">
        <v>46</v>
      </c>
      <c r="C1071" s="1">
        <v>41061</v>
      </c>
      <c r="D1071">
        <v>581031985.87</v>
      </c>
      <c r="E1071">
        <v>8</v>
      </c>
    </row>
    <row r="1072" spans="2:5">
      <c r="B1072" s="1" t="s">
        <v>33</v>
      </c>
      <c r="C1072" s="1">
        <v>41061</v>
      </c>
      <c r="D1072">
        <v>407916056.92000002</v>
      </c>
      <c r="E1072">
        <v>9</v>
      </c>
    </row>
    <row r="1073" spans="2:5">
      <c r="B1073" s="1" t="s">
        <v>15</v>
      </c>
      <c r="C1073" s="1">
        <v>41061</v>
      </c>
      <c r="D1073">
        <v>359239130.39999998</v>
      </c>
      <c r="E1073">
        <v>10</v>
      </c>
    </row>
    <row r="1074" spans="2:5">
      <c r="B1074" s="1" t="s">
        <v>8</v>
      </c>
      <c r="C1074" s="1">
        <v>41091</v>
      </c>
      <c r="D1074">
        <v>2594295416.6100001</v>
      </c>
      <c r="E1074">
        <v>1</v>
      </c>
    </row>
    <row r="1075" spans="2:5">
      <c r="B1075" s="1" t="s">
        <v>42</v>
      </c>
      <c r="C1075" s="1">
        <v>41091</v>
      </c>
      <c r="D1075">
        <v>2083801978.74</v>
      </c>
      <c r="E1075">
        <v>2</v>
      </c>
    </row>
    <row r="1076" spans="2:5">
      <c r="B1076" s="1" t="s">
        <v>30</v>
      </c>
      <c r="C1076" s="1">
        <v>41091</v>
      </c>
      <c r="D1076">
        <v>1819644112.4000001</v>
      </c>
      <c r="E1076">
        <v>3</v>
      </c>
    </row>
    <row r="1077" spans="2:5">
      <c r="B1077" s="1" t="s">
        <v>16</v>
      </c>
      <c r="C1077" s="1">
        <v>41091</v>
      </c>
      <c r="D1077">
        <v>1462187564.1500001</v>
      </c>
      <c r="E1077">
        <v>4</v>
      </c>
    </row>
    <row r="1078" spans="2:5">
      <c r="B1078" s="1" t="s">
        <v>4</v>
      </c>
      <c r="C1078" s="1">
        <v>41091</v>
      </c>
      <c r="D1078">
        <v>1354198848.0599999</v>
      </c>
      <c r="E1078">
        <v>5</v>
      </c>
    </row>
    <row r="1079" spans="2:5">
      <c r="B1079" s="1" t="s">
        <v>6</v>
      </c>
      <c r="C1079" s="1">
        <v>41091</v>
      </c>
      <c r="D1079">
        <v>1077841105.76</v>
      </c>
      <c r="E1079">
        <v>6</v>
      </c>
    </row>
    <row r="1080" spans="2:5">
      <c r="B1080" s="1" t="s">
        <v>46</v>
      </c>
      <c r="C1080" s="1">
        <v>41091</v>
      </c>
      <c r="D1080">
        <v>940195070.66999996</v>
      </c>
      <c r="E1080">
        <v>7</v>
      </c>
    </row>
    <row r="1081" spans="2:5">
      <c r="B1081" s="1" t="s">
        <v>13</v>
      </c>
      <c r="C1081" s="1">
        <v>41091</v>
      </c>
      <c r="D1081">
        <v>617432805.13</v>
      </c>
      <c r="E1081">
        <v>8</v>
      </c>
    </row>
    <row r="1082" spans="2:5">
      <c r="B1082" s="1" t="s">
        <v>44</v>
      </c>
      <c r="C1082" s="1">
        <v>41091</v>
      </c>
      <c r="D1082">
        <v>608171276.75</v>
      </c>
      <c r="E1082">
        <v>9</v>
      </c>
    </row>
    <row r="1083" spans="2:5">
      <c r="B1083" s="1" t="s">
        <v>50</v>
      </c>
      <c r="C1083" s="1">
        <v>41091</v>
      </c>
      <c r="D1083">
        <v>477733996.14999998</v>
      </c>
      <c r="E1083">
        <v>10</v>
      </c>
    </row>
    <row r="1084" spans="2:5">
      <c r="B1084" s="1" t="s">
        <v>42</v>
      </c>
      <c r="C1084" s="1">
        <v>41122</v>
      </c>
      <c r="D1084">
        <v>3642919334.4899998</v>
      </c>
      <c r="E1084">
        <v>1</v>
      </c>
    </row>
    <row r="1085" spans="2:5">
      <c r="B1085" s="1" t="s">
        <v>8</v>
      </c>
      <c r="C1085" s="1">
        <v>41122</v>
      </c>
      <c r="D1085">
        <v>3200713245.7600002</v>
      </c>
      <c r="E1085">
        <v>2</v>
      </c>
    </row>
    <row r="1086" spans="2:5">
      <c r="B1086" s="1" t="s">
        <v>16</v>
      </c>
      <c r="C1086" s="1">
        <v>41122</v>
      </c>
      <c r="D1086">
        <v>1545512293.75</v>
      </c>
      <c r="E1086">
        <v>3</v>
      </c>
    </row>
    <row r="1087" spans="2:5">
      <c r="B1087" s="1" t="s">
        <v>4</v>
      </c>
      <c r="C1087" s="1">
        <v>41122</v>
      </c>
      <c r="D1087">
        <v>1393815043.55</v>
      </c>
      <c r="E1087">
        <v>4</v>
      </c>
    </row>
    <row r="1088" spans="2:5">
      <c r="B1088" s="1" t="s">
        <v>30</v>
      </c>
      <c r="C1088" s="1">
        <v>41122</v>
      </c>
      <c r="D1088">
        <v>1313834958.79</v>
      </c>
      <c r="E1088">
        <v>5</v>
      </c>
    </row>
    <row r="1089" spans="2:5">
      <c r="B1089" s="1" t="s">
        <v>13</v>
      </c>
      <c r="C1089" s="1">
        <v>41122</v>
      </c>
      <c r="D1089">
        <v>885810800.47000003</v>
      </c>
      <c r="E1089">
        <v>6</v>
      </c>
    </row>
    <row r="1090" spans="2:5">
      <c r="B1090" s="1" t="s">
        <v>44</v>
      </c>
      <c r="C1090" s="1">
        <v>41122</v>
      </c>
      <c r="D1090">
        <v>702201898.66999996</v>
      </c>
      <c r="E1090">
        <v>7</v>
      </c>
    </row>
    <row r="1091" spans="2:5">
      <c r="B1091" s="1" t="s">
        <v>53</v>
      </c>
      <c r="C1091" s="1">
        <v>41122</v>
      </c>
      <c r="D1091">
        <v>611761679.01999998</v>
      </c>
      <c r="E1091">
        <v>8</v>
      </c>
    </row>
    <row r="1092" spans="2:5">
      <c r="B1092" s="1" t="s">
        <v>49</v>
      </c>
      <c r="C1092" s="1">
        <v>41122</v>
      </c>
      <c r="D1092">
        <v>562177252.28999996</v>
      </c>
      <c r="E1092">
        <v>9</v>
      </c>
    </row>
    <row r="1093" spans="2:5">
      <c r="B1093" s="1" t="s">
        <v>48</v>
      </c>
      <c r="C1093" s="1">
        <v>41122</v>
      </c>
      <c r="D1093">
        <v>541237217.61000001</v>
      </c>
      <c r="E1093">
        <v>10</v>
      </c>
    </row>
    <row r="1094" spans="2:5">
      <c r="B1094" s="1" t="s">
        <v>42</v>
      </c>
      <c r="C1094" s="1">
        <v>41153</v>
      </c>
      <c r="D1094">
        <v>4782260991.4399996</v>
      </c>
      <c r="E1094">
        <v>1</v>
      </c>
    </row>
    <row r="1095" spans="2:5">
      <c r="B1095" s="1" t="s">
        <v>8</v>
      </c>
      <c r="C1095" s="1">
        <v>41153</v>
      </c>
      <c r="D1095">
        <v>3581253979.6700001</v>
      </c>
      <c r="E1095">
        <v>2</v>
      </c>
    </row>
    <row r="1096" spans="2:5">
      <c r="B1096" s="1" t="s">
        <v>16</v>
      </c>
      <c r="C1096" s="1">
        <v>41153</v>
      </c>
      <c r="D1096">
        <v>1681290589.78</v>
      </c>
      <c r="E1096">
        <v>3</v>
      </c>
    </row>
    <row r="1097" spans="2:5">
      <c r="B1097" s="1" t="s">
        <v>30</v>
      </c>
      <c r="C1097" s="1">
        <v>41153</v>
      </c>
      <c r="D1097">
        <v>1443631118.3499999</v>
      </c>
      <c r="E1097">
        <v>4</v>
      </c>
    </row>
    <row r="1098" spans="2:5">
      <c r="B1098" s="1" t="s">
        <v>4</v>
      </c>
      <c r="C1098" s="1">
        <v>41153</v>
      </c>
      <c r="D1098">
        <v>1298624220.6199999</v>
      </c>
      <c r="E1098">
        <v>5</v>
      </c>
    </row>
    <row r="1099" spans="2:5">
      <c r="B1099" s="1" t="s">
        <v>46</v>
      </c>
      <c r="C1099" s="1">
        <v>41153</v>
      </c>
      <c r="D1099">
        <v>936397289.01999998</v>
      </c>
      <c r="E1099">
        <v>6</v>
      </c>
    </row>
    <row r="1100" spans="2:5">
      <c r="B1100" s="1" t="s">
        <v>48</v>
      </c>
      <c r="C1100" s="1">
        <v>41153</v>
      </c>
      <c r="D1100">
        <v>887275797.02999997</v>
      </c>
      <c r="E1100">
        <v>7</v>
      </c>
    </row>
    <row r="1101" spans="2:5">
      <c r="B1101" s="1" t="s">
        <v>49</v>
      </c>
      <c r="C1101" s="1">
        <v>41153</v>
      </c>
      <c r="D1101">
        <v>787639671.77999997</v>
      </c>
      <c r="E1101">
        <v>8</v>
      </c>
    </row>
    <row r="1102" spans="2:5">
      <c r="B1102" s="1" t="s">
        <v>44</v>
      </c>
      <c r="C1102" s="1">
        <v>41153</v>
      </c>
      <c r="D1102">
        <v>730509493.36000001</v>
      </c>
      <c r="E1102">
        <v>9</v>
      </c>
    </row>
    <row r="1103" spans="2:5">
      <c r="B1103" s="1" t="s">
        <v>130</v>
      </c>
      <c r="C1103" s="1">
        <v>41153</v>
      </c>
      <c r="D1103">
        <v>562577364.14999998</v>
      </c>
      <c r="E1103">
        <v>10</v>
      </c>
    </row>
    <row r="1104" spans="2:5">
      <c r="B1104" s="1" t="s">
        <v>42</v>
      </c>
      <c r="C1104" s="1">
        <v>41183</v>
      </c>
      <c r="D1104">
        <v>4912389510.3100004</v>
      </c>
      <c r="E1104">
        <v>1</v>
      </c>
    </row>
    <row r="1105" spans="2:5">
      <c r="B1105" s="1" t="s">
        <v>8</v>
      </c>
      <c r="C1105" s="1">
        <v>41183</v>
      </c>
      <c r="D1105">
        <v>3359844224.2199998</v>
      </c>
      <c r="E1105">
        <v>2</v>
      </c>
    </row>
    <row r="1106" spans="2:5">
      <c r="B1106" s="1" t="s">
        <v>16</v>
      </c>
      <c r="C1106" s="1">
        <v>41183</v>
      </c>
      <c r="D1106">
        <v>1966201200.96</v>
      </c>
      <c r="E1106">
        <v>3</v>
      </c>
    </row>
    <row r="1107" spans="2:5">
      <c r="B1107" s="1" t="s">
        <v>30</v>
      </c>
      <c r="C1107" s="1">
        <v>41183</v>
      </c>
      <c r="D1107">
        <v>1681914929.71</v>
      </c>
      <c r="E1107">
        <v>4</v>
      </c>
    </row>
    <row r="1108" spans="2:5">
      <c r="B1108" s="1" t="s">
        <v>4</v>
      </c>
      <c r="C1108" s="1">
        <v>41183</v>
      </c>
      <c r="D1108">
        <v>1583385329.6199999</v>
      </c>
      <c r="E1108">
        <v>5</v>
      </c>
    </row>
    <row r="1109" spans="2:5">
      <c r="B1109" s="1" t="s">
        <v>48</v>
      </c>
      <c r="C1109" s="1">
        <v>41183</v>
      </c>
      <c r="D1109">
        <v>945225066.88999999</v>
      </c>
      <c r="E1109">
        <v>6</v>
      </c>
    </row>
    <row r="1110" spans="2:5">
      <c r="B1110" s="1" t="s">
        <v>46</v>
      </c>
      <c r="C1110" s="1">
        <v>41183</v>
      </c>
      <c r="D1110">
        <v>923838014.33000004</v>
      </c>
      <c r="E1110">
        <v>7</v>
      </c>
    </row>
    <row r="1111" spans="2:5">
      <c r="B1111" s="1" t="s">
        <v>13</v>
      </c>
      <c r="C1111" s="1">
        <v>41183</v>
      </c>
      <c r="D1111">
        <v>886697039.71000004</v>
      </c>
      <c r="E1111">
        <v>8</v>
      </c>
    </row>
    <row r="1112" spans="2:5">
      <c r="B1112" s="1" t="s">
        <v>44</v>
      </c>
      <c r="C1112" s="1">
        <v>41183</v>
      </c>
      <c r="D1112">
        <v>867877572.28999996</v>
      </c>
      <c r="E1112">
        <v>9</v>
      </c>
    </row>
    <row r="1113" spans="2:5">
      <c r="B1113" s="1" t="s">
        <v>130</v>
      </c>
      <c r="C1113" s="1">
        <v>41183</v>
      </c>
      <c r="D1113">
        <v>628842153.95000005</v>
      </c>
      <c r="E1113">
        <v>10</v>
      </c>
    </row>
    <row r="1114" spans="2:5">
      <c r="B1114" s="1" t="s">
        <v>42</v>
      </c>
      <c r="C1114" s="1">
        <v>41214</v>
      </c>
      <c r="D1114">
        <v>4259407226.3299999</v>
      </c>
      <c r="E1114">
        <v>1</v>
      </c>
    </row>
    <row r="1115" spans="2:5">
      <c r="B1115" s="1" t="s">
        <v>8</v>
      </c>
      <c r="C1115" s="1">
        <v>41214</v>
      </c>
      <c r="D1115">
        <v>3094481674.0799999</v>
      </c>
      <c r="E1115">
        <v>2</v>
      </c>
    </row>
    <row r="1116" spans="2:5">
      <c r="B1116" s="1" t="s">
        <v>30</v>
      </c>
      <c r="C1116" s="1">
        <v>41214</v>
      </c>
      <c r="D1116">
        <v>1987303253.45</v>
      </c>
      <c r="E1116">
        <v>3</v>
      </c>
    </row>
    <row r="1117" spans="2:5">
      <c r="B1117" s="1" t="s">
        <v>48</v>
      </c>
      <c r="C1117" s="1">
        <v>41214</v>
      </c>
      <c r="D1117">
        <v>1732847138.78</v>
      </c>
      <c r="E1117">
        <v>4</v>
      </c>
    </row>
    <row r="1118" spans="2:5">
      <c r="B1118" s="1" t="s">
        <v>16</v>
      </c>
      <c r="C1118" s="1">
        <v>41214</v>
      </c>
      <c r="D1118">
        <v>1666900687.8199999</v>
      </c>
      <c r="E1118">
        <v>5</v>
      </c>
    </row>
    <row r="1119" spans="2:5">
      <c r="B1119" s="1" t="s">
        <v>4</v>
      </c>
      <c r="C1119" s="1">
        <v>41214</v>
      </c>
      <c r="D1119">
        <v>1072372364.4</v>
      </c>
      <c r="E1119">
        <v>6</v>
      </c>
    </row>
    <row r="1120" spans="2:5">
      <c r="B1120" s="1" t="s">
        <v>49</v>
      </c>
      <c r="C1120" s="1">
        <v>41214</v>
      </c>
      <c r="D1120">
        <v>841721132.25999999</v>
      </c>
      <c r="E1120">
        <v>7</v>
      </c>
    </row>
    <row r="1121" spans="2:5">
      <c r="B1121" s="1" t="s">
        <v>46</v>
      </c>
      <c r="C1121" s="1">
        <v>41214</v>
      </c>
      <c r="D1121">
        <v>751443089.72000003</v>
      </c>
      <c r="E1121">
        <v>8</v>
      </c>
    </row>
    <row r="1122" spans="2:5">
      <c r="B1122" s="1" t="s">
        <v>44</v>
      </c>
      <c r="C1122" s="1">
        <v>41214</v>
      </c>
      <c r="D1122">
        <v>737280298.47000003</v>
      </c>
      <c r="E1122">
        <v>9</v>
      </c>
    </row>
    <row r="1123" spans="2:5">
      <c r="B1123" s="1" t="s">
        <v>130</v>
      </c>
      <c r="C1123" s="1">
        <v>41214</v>
      </c>
      <c r="D1123">
        <v>522923301.24000001</v>
      </c>
      <c r="E1123">
        <v>10</v>
      </c>
    </row>
    <row r="1124" spans="2:5">
      <c r="B1124" s="1" t="s">
        <v>42</v>
      </c>
      <c r="C1124" s="1">
        <v>41244</v>
      </c>
      <c r="D1124">
        <v>5306609068.2399998</v>
      </c>
      <c r="E1124">
        <v>1</v>
      </c>
    </row>
    <row r="1125" spans="2:5">
      <c r="B1125" s="1" t="s">
        <v>8</v>
      </c>
      <c r="C1125" s="1">
        <v>41244</v>
      </c>
      <c r="D1125">
        <v>3874518072.98</v>
      </c>
      <c r="E1125">
        <v>2</v>
      </c>
    </row>
    <row r="1126" spans="2:5">
      <c r="B1126" s="1" t="s">
        <v>48</v>
      </c>
      <c r="C1126" s="1">
        <v>41244</v>
      </c>
      <c r="D1126">
        <v>2250728428.04</v>
      </c>
      <c r="E1126">
        <v>3</v>
      </c>
    </row>
    <row r="1127" spans="2:5">
      <c r="B1127" s="1" t="s">
        <v>16</v>
      </c>
      <c r="C1127" s="1">
        <v>41244</v>
      </c>
      <c r="D1127">
        <v>1993515527.46</v>
      </c>
      <c r="E1127">
        <v>4</v>
      </c>
    </row>
    <row r="1128" spans="2:5">
      <c r="B1128" s="1" t="s">
        <v>49</v>
      </c>
      <c r="C1128" s="1">
        <v>41244</v>
      </c>
      <c r="D1128">
        <v>1584714943.46</v>
      </c>
      <c r="E1128">
        <v>5</v>
      </c>
    </row>
    <row r="1129" spans="2:5">
      <c r="B1129" s="1" t="s">
        <v>30</v>
      </c>
      <c r="C1129" s="1">
        <v>41244</v>
      </c>
      <c r="D1129">
        <v>1546089705.53</v>
      </c>
      <c r="E1129">
        <v>6</v>
      </c>
    </row>
    <row r="1130" spans="2:5">
      <c r="B1130" s="1" t="s">
        <v>4</v>
      </c>
      <c r="C1130" s="1">
        <v>41244</v>
      </c>
      <c r="D1130">
        <v>1376054173.51</v>
      </c>
      <c r="E1130">
        <v>7</v>
      </c>
    </row>
    <row r="1131" spans="2:5">
      <c r="B1131" s="1" t="s">
        <v>13</v>
      </c>
      <c r="C1131" s="1">
        <v>41244</v>
      </c>
      <c r="D1131">
        <v>1001716332.17</v>
      </c>
      <c r="E1131">
        <v>8</v>
      </c>
    </row>
    <row r="1132" spans="2:5">
      <c r="B1132" s="1" t="s">
        <v>44</v>
      </c>
      <c r="C1132" s="1">
        <v>41244</v>
      </c>
      <c r="D1132">
        <v>989461703.61000001</v>
      </c>
      <c r="E1132">
        <v>9</v>
      </c>
    </row>
    <row r="1133" spans="2:5">
      <c r="B1133" s="1" t="s">
        <v>46</v>
      </c>
      <c r="C1133" s="1">
        <v>41244</v>
      </c>
      <c r="D1133">
        <v>953893312.94000006</v>
      </c>
      <c r="E1133">
        <v>10</v>
      </c>
    </row>
    <row r="1134" spans="2:5">
      <c r="B1134" s="1" t="s">
        <v>42</v>
      </c>
      <c r="C1134" s="1">
        <v>41275</v>
      </c>
      <c r="D1134">
        <v>4854996551.6700001</v>
      </c>
      <c r="E1134">
        <v>1</v>
      </c>
    </row>
    <row r="1135" spans="2:5">
      <c r="B1135" s="1" t="s">
        <v>8</v>
      </c>
      <c r="C1135" s="1">
        <v>41275</v>
      </c>
      <c r="D1135">
        <v>3904061336.3899999</v>
      </c>
      <c r="E1135">
        <v>2</v>
      </c>
    </row>
    <row r="1136" spans="2:5">
      <c r="B1136" s="1" t="s">
        <v>16</v>
      </c>
      <c r="C1136" s="1">
        <v>41275</v>
      </c>
      <c r="D1136">
        <v>2417312711.3600001</v>
      </c>
      <c r="E1136">
        <v>3</v>
      </c>
    </row>
    <row r="1137" spans="2:5">
      <c r="B1137" s="1" t="s">
        <v>48</v>
      </c>
      <c r="C1137" s="1">
        <v>41275</v>
      </c>
      <c r="D1137">
        <v>1428718132.8699999</v>
      </c>
      <c r="E1137">
        <v>4</v>
      </c>
    </row>
    <row r="1138" spans="2:5">
      <c r="B1138" s="1" t="s">
        <v>6</v>
      </c>
      <c r="C1138" s="1">
        <v>41275</v>
      </c>
      <c r="D1138">
        <v>1174707913.27</v>
      </c>
      <c r="E1138">
        <v>5</v>
      </c>
    </row>
    <row r="1139" spans="2:5">
      <c r="B1139" s="1" t="s">
        <v>30</v>
      </c>
      <c r="C1139" s="1">
        <v>41275</v>
      </c>
      <c r="D1139">
        <v>979925672.88999999</v>
      </c>
      <c r="E1139">
        <v>6</v>
      </c>
    </row>
    <row r="1140" spans="2:5">
      <c r="B1140" s="1" t="s">
        <v>4</v>
      </c>
      <c r="C1140" s="1">
        <v>41275</v>
      </c>
      <c r="D1140">
        <v>893331325.57000005</v>
      </c>
      <c r="E1140">
        <v>7</v>
      </c>
    </row>
    <row r="1141" spans="2:5">
      <c r="B1141" s="1" t="s">
        <v>49</v>
      </c>
      <c r="C1141" s="1">
        <v>41275</v>
      </c>
      <c r="D1141">
        <v>823626524.55999994</v>
      </c>
      <c r="E1141">
        <v>8</v>
      </c>
    </row>
    <row r="1142" spans="2:5">
      <c r="B1142" s="1" t="s">
        <v>46</v>
      </c>
      <c r="C1142" s="1">
        <v>41275</v>
      </c>
      <c r="D1142">
        <v>598033285.75</v>
      </c>
      <c r="E1142">
        <v>9</v>
      </c>
    </row>
    <row r="1143" spans="2:5">
      <c r="B1143" s="1" t="s">
        <v>130</v>
      </c>
      <c r="C1143" s="1">
        <v>41275</v>
      </c>
      <c r="D1143">
        <v>456100335.47000003</v>
      </c>
      <c r="E1143">
        <v>10</v>
      </c>
    </row>
    <row r="1144" spans="2:5">
      <c r="B1144" s="1" t="s">
        <v>42</v>
      </c>
      <c r="C1144" s="1">
        <v>41306</v>
      </c>
      <c r="D1144">
        <v>5966617258.3500004</v>
      </c>
      <c r="E1144">
        <v>1</v>
      </c>
    </row>
    <row r="1145" spans="2:5">
      <c r="B1145" s="1" t="s">
        <v>8</v>
      </c>
      <c r="C1145" s="1">
        <v>41306</v>
      </c>
      <c r="D1145">
        <v>3547658348.7199998</v>
      </c>
      <c r="E1145">
        <v>2</v>
      </c>
    </row>
    <row r="1146" spans="2:5">
      <c r="B1146" s="1" t="s">
        <v>16</v>
      </c>
      <c r="C1146" s="1">
        <v>41306</v>
      </c>
      <c r="D1146">
        <v>2348959566.2800002</v>
      </c>
      <c r="E1146">
        <v>3</v>
      </c>
    </row>
    <row r="1147" spans="2:5">
      <c r="B1147" s="1" t="s">
        <v>48</v>
      </c>
      <c r="C1147" s="1">
        <v>41306</v>
      </c>
      <c r="D1147">
        <v>1997102160.27</v>
      </c>
      <c r="E1147">
        <v>4</v>
      </c>
    </row>
    <row r="1148" spans="2:5">
      <c r="B1148" s="1" t="s">
        <v>4</v>
      </c>
      <c r="C1148" s="1">
        <v>41306</v>
      </c>
      <c r="D1148">
        <v>1597255113.6800001</v>
      </c>
      <c r="E1148">
        <v>5</v>
      </c>
    </row>
    <row r="1149" spans="2:5">
      <c r="B1149" s="1" t="s">
        <v>30</v>
      </c>
      <c r="C1149" s="1">
        <v>41306</v>
      </c>
      <c r="D1149">
        <v>1416718881.03</v>
      </c>
      <c r="E1149">
        <v>6</v>
      </c>
    </row>
    <row r="1150" spans="2:5">
      <c r="B1150" s="1" t="s">
        <v>46</v>
      </c>
      <c r="C1150" s="1">
        <v>41306</v>
      </c>
      <c r="D1150">
        <v>1219919405.97</v>
      </c>
      <c r="E1150">
        <v>7</v>
      </c>
    </row>
    <row r="1151" spans="2:5">
      <c r="B1151" s="1" t="s">
        <v>49</v>
      </c>
      <c r="C1151" s="1">
        <v>41306</v>
      </c>
      <c r="D1151">
        <v>934030166.5</v>
      </c>
      <c r="E1151">
        <v>8</v>
      </c>
    </row>
    <row r="1152" spans="2:5">
      <c r="B1152" s="1" t="s">
        <v>6</v>
      </c>
      <c r="C1152" s="1">
        <v>41306</v>
      </c>
      <c r="D1152">
        <v>930213818.21000004</v>
      </c>
      <c r="E1152">
        <v>9</v>
      </c>
    </row>
    <row r="1153" spans="2:5">
      <c r="B1153" s="1" t="s">
        <v>33</v>
      </c>
      <c r="C1153" s="1">
        <v>41306</v>
      </c>
      <c r="D1153">
        <v>564538105.28999996</v>
      </c>
      <c r="E1153">
        <v>10</v>
      </c>
    </row>
    <row r="1154" spans="2:5">
      <c r="B1154" s="1" t="s">
        <v>42</v>
      </c>
      <c r="C1154" s="1">
        <v>41334</v>
      </c>
      <c r="D1154">
        <v>5058886938.4799995</v>
      </c>
      <c r="E1154">
        <v>1</v>
      </c>
    </row>
    <row r="1155" spans="2:5">
      <c r="B1155" s="1" t="s">
        <v>8</v>
      </c>
      <c r="C1155" s="1">
        <v>41334</v>
      </c>
      <c r="D1155">
        <v>3063653790.4200001</v>
      </c>
      <c r="E1155">
        <v>2</v>
      </c>
    </row>
    <row r="1156" spans="2:5">
      <c r="B1156" s="1" t="s">
        <v>16</v>
      </c>
      <c r="C1156" s="1">
        <v>41334</v>
      </c>
      <c r="D1156">
        <v>1926771112.8099999</v>
      </c>
      <c r="E1156">
        <v>3</v>
      </c>
    </row>
    <row r="1157" spans="2:5">
      <c r="B1157" s="1" t="s">
        <v>30</v>
      </c>
      <c r="C1157" s="1">
        <v>41334</v>
      </c>
      <c r="D1157">
        <v>1807672705.3199999</v>
      </c>
      <c r="E1157">
        <v>4</v>
      </c>
    </row>
    <row r="1158" spans="2:5">
      <c r="B1158" s="1" t="s">
        <v>4</v>
      </c>
      <c r="C1158" s="1">
        <v>41334</v>
      </c>
      <c r="D1158">
        <v>1302704294.5799999</v>
      </c>
      <c r="E1158">
        <v>5</v>
      </c>
    </row>
    <row r="1159" spans="2:5">
      <c r="B1159" s="1" t="s">
        <v>6</v>
      </c>
      <c r="C1159" s="1">
        <v>41334</v>
      </c>
      <c r="D1159">
        <v>1242590343.3800001</v>
      </c>
      <c r="E1159">
        <v>6</v>
      </c>
    </row>
    <row r="1160" spans="2:5">
      <c r="B1160" s="1" t="s">
        <v>46</v>
      </c>
      <c r="C1160" s="1">
        <v>41334</v>
      </c>
      <c r="D1160">
        <v>1067957046.13</v>
      </c>
      <c r="E1160">
        <v>7</v>
      </c>
    </row>
    <row r="1161" spans="2:5">
      <c r="B1161" s="1" t="s">
        <v>48</v>
      </c>
      <c r="C1161" s="1">
        <v>41334</v>
      </c>
      <c r="D1161">
        <v>906775647.44000006</v>
      </c>
      <c r="E1161">
        <v>8</v>
      </c>
    </row>
    <row r="1162" spans="2:5">
      <c r="B1162" s="1" t="s">
        <v>13</v>
      </c>
      <c r="C1162" s="1">
        <v>41334</v>
      </c>
      <c r="D1162">
        <v>808607039.75999999</v>
      </c>
      <c r="E1162">
        <v>9</v>
      </c>
    </row>
    <row r="1163" spans="2:5">
      <c r="B1163" s="1" t="s">
        <v>130</v>
      </c>
      <c r="C1163" s="1">
        <v>41334</v>
      </c>
      <c r="D1163">
        <v>759904805.88999999</v>
      </c>
      <c r="E1163">
        <v>10</v>
      </c>
    </row>
    <row r="1164" spans="2:5">
      <c r="B1164" s="1" t="s">
        <v>42</v>
      </c>
      <c r="C1164" s="1">
        <v>41365</v>
      </c>
      <c r="D1164">
        <v>4559782207.0600004</v>
      </c>
      <c r="E1164">
        <v>1</v>
      </c>
    </row>
    <row r="1165" spans="2:5">
      <c r="B1165" s="1" t="s">
        <v>8</v>
      </c>
      <c r="C1165" s="1">
        <v>41365</v>
      </c>
      <c r="D1165">
        <v>1898208233.29</v>
      </c>
      <c r="E1165">
        <v>2</v>
      </c>
    </row>
    <row r="1166" spans="2:5">
      <c r="B1166" s="1" t="s">
        <v>30</v>
      </c>
      <c r="C1166" s="1">
        <v>41365</v>
      </c>
      <c r="D1166">
        <v>1849709012.8599999</v>
      </c>
      <c r="E1166">
        <v>3</v>
      </c>
    </row>
    <row r="1167" spans="2:5">
      <c r="B1167" s="1" t="s">
        <v>4</v>
      </c>
      <c r="C1167" s="1">
        <v>41365</v>
      </c>
      <c r="D1167">
        <v>797265609.63999999</v>
      </c>
      <c r="E1167">
        <v>4</v>
      </c>
    </row>
    <row r="1168" spans="2:5">
      <c r="B1168" s="1" t="s">
        <v>16</v>
      </c>
      <c r="C1168" s="1">
        <v>41365</v>
      </c>
      <c r="D1168">
        <v>714987470.79999995</v>
      </c>
      <c r="E1168">
        <v>5</v>
      </c>
    </row>
    <row r="1169" spans="2:5">
      <c r="B1169" s="1" t="s">
        <v>49</v>
      </c>
      <c r="C1169" s="1">
        <v>41365</v>
      </c>
      <c r="D1169">
        <v>701559342.30999994</v>
      </c>
      <c r="E1169">
        <v>6</v>
      </c>
    </row>
    <row r="1170" spans="2:5">
      <c r="B1170" s="1" t="s">
        <v>6</v>
      </c>
      <c r="C1170" s="1">
        <v>41365</v>
      </c>
      <c r="D1170">
        <v>585287249.67999995</v>
      </c>
      <c r="E1170">
        <v>7</v>
      </c>
    </row>
    <row r="1171" spans="2:5">
      <c r="B1171" s="1" t="s">
        <v>14</v>
      </c>
      <c r="C1171" s="1">
        <v>41365</v>
      </c>
      <c r="D1171">
        <v>570771506.75999999</v>
      </c>
      <c r="E1171">
        <v>8</v>
      </c>
    </row>
    <row r="1172" spans="2:5">
      <c r="B1172" s="1" t="s">
        <v>44</v>
      </c>
      <c r="C1172" s="1">
        <v>41365</v>
      </c>
      <c r="D1172">
        <v>566008079.41999996</v>
      </c>
      <c r="E1172">
        <v>9</v>
      </c>
    </row>
    <row r="1173" spans="2:5">
      <c r="B1173" s="1" t="s">
        <v>48</v>
      </c>
      <c r="C1173" s="1">
        <v>41365</v>
      </c>
      <c r="D1173">
        <v>500883047.63</v>
      </c>
      <c r="E1173">
        <v>10</v>
      </c>
    </row>
    <row r="1174" spans="2:5">
      <c r="B1174" s="1" t="s">
        <v>42</v>
      </c>
      <c r="C1174" s="1">
        <v>41395</v>
      </c>
      <c r="D1174">
        <v>4116486836.2199998</v>
      </c>
      <c r="E1174">
        <v>1</v>
      </c>
    </row>
    <row r="1175" spans="2:5">
      <c r="B1175" s="1" t="s">
        <v>8</v>
      </c>
      <c r="C1175" s="1">
        <v>41395</v>
      </c>
      <c r="D1175">
        <v>2860219926.48</v>
      </c>
      <c r="E1175">
        <v>2</v>
      </c>
    </row>
    <row r="1176" spans="2:5">
      <c r="B1176" s="1" t="s">
        <v>6</v>
      </c>
      <c r="C1176" s="1">
        <v>41395</v>
      </c>
      <c r="D1176">
        <v>1593764921.78</v>
      </c>
      <c r="E1176">
        <v>3</v>
      </c>
    </row>
    <row r="1177" spans="2:5">
      <c r="B1177" s="1" t="s">
        <v>4</v>
      </c>
      <c r="C1177" s="1">
        <v>41395</v>
      </c>
      <c r="D1177">
        <v>1048561400.36</v>
      </c>
      <c r="E1177">
        <v>4</v>
      </c>
    </row>
    <row r="1178" spans="2:5">
      <c r="B1178" s="1" t="s">
        <v>50</v>
      </c>
      <c r="C1178" s="1">
        <v>41395</v>
      </c>
      <c r="D1178">
        <v>1034194462.79</v>
      </c>
      <c r="E1178">
        <v>5</v>
      </c>
    </row>
    <row r="1179" spans="2:5">
      <c r="B1179" s="1" t="s">
        <v>49</v>
      </c>
      <c r="C1179" s="1">
        <v>41395</v>
      </c>
      <c r="D1179">
        <v>1029514462.89</v>
      </c>
      <c r="E1179">
        <v>6</v>
      </c>
    </row>
    <row r="1180" spans="2:5">
      <c r="B1180" t="s">
        <v>13</v>
      </c>
      <c r="C1180" s="1">
        <v>41395</v>
      </c>
      <c r="D1180">
        <v>936750760.13</v>
      </c>
      <c r="E1180">
        <v>7</v>
      </c>
    </row>
    <row r="1181" spans="2:5">
      <c r="B1181" t="s">
        <v>30</v>
      </c>
      <c r="C1181" s="1">
        <v>41395</v>
      </c>
      <c r="D1181">
        <v>811502828</v>
      </c>
      <c r="E1181">
        <v>8</v>
      </c>
    </row>
    <row r="1182" spans="2:5">
      <c r="B1182" t="s">
        <v>16</v>
      </c>
      <c r="C1182" s="1">
        <v>41395</v>
      </c>
      <c r="D1182">
        <v>727644968.75999999</v>
      </c>
      <c r="E1182">
        <v>9</v>
      </c>
    </row>
    <row r="1183" spans="2:5">
      <c r="B1183" t="s">
        <v>33</v>
      </c>
      <c r="C1183" s="1">
        <v>41395</v>
      </c>
      <c r="D1183">
        <v>599307279.29999995</v>
      </c>
      <c r="E1183">
        <v>10</v>
      </c>
    </row>
    <row r="1184" spans="2:5">
      <c r="B1184" t="s">
        <v>42</v>
      </c>
      <c r="C1184" s="1">
        <v>41426</v>
      </c>
      <c r="D1184">
        <v>3451450904.1700001</v>
      </c>
      <c r="E1184">
        <v>1</v>
      </c>
    </row>
    <row r="1185" spans="2:5">
      <c r="B1185" t="s">
        <v>30</v>
      </c>
      <c r="C1185" s="1">
        <v>41426</v>
      </c>
      <c r="D1185">
        <v>1871436657.03</v>
      </c>
      <c r="E1185">
        <v>2</v>
      </c>
    </row>
    <row r="1186" spans="2:5">
      <c r="B1186" t="s">
        <v>8</v>
      </c>
      <c r="C1186" s="1">
        <v>41426</v>
      </c>
      <c r="D1186">
        <v>1853026355.25</v>
      </c>
      <c r="E1186">
        <v>3</v>
      </c>
    </row>
    <row r="1187" spans="2:5">
      <c r="B1187" t="s">
        <v>51</v>
      </c>
      <c r="C1187" s="1">
        <v>41426</v>
      </c>
      <c r="D1187">
        <v>1108278332</v>
      </c>
      <c r="E1187">
        <v>4</v>
      </c>
    </row>
    <row r="1188" spans="2:5">
      <c r="B1188" t="s">
        <v>4</v>
      </c>
      <c r="C1188" s="1">
        <v>41426</v>
      </c>
      <c r="D1188">
        <v>975136764.05999994</v>
      </c>
      <c r="E1188">
        <v>5</v>
      </c>
    </row>
    <row r="1189" spans="2:5">
      <c r="B1189" t="s">
        <v>49</v>
      </c>
      <c r="C1189" s="1">
        <v>41426</v>
      </c>
      <c r="D1189">
        <v>873269722.52999997</v>
      </c>
      <c r="E1189">
        <v>6</v>
      </c>
    </row>
    <row r="1190" spans="2:5">
      <c r="B1190" t="s">
        <v>6</v>
      </c>
      <c r="C1190" s="1">
        <v>41426</v>
      </c>
      <c r="D1190">
        <v>841277798.83000004</v>
      </c>
      <c r="E1190">
        <v>7</v>
      </c>
    </row>
    <row r="1191" spans="2:5">
      <c r="B1191" t="s">
        <v>44</v>
      </c>
      <c r="C1191" s="1">
        <v>41426</v>
      </c>
      <c r="D1191">
        <v>714490470.19000006</v>
      </c>
      <c r="E1191">
        <v>8</v>
      </c>
    </row>
    <row r="1192" spans="2:5">
      <c r="B1192" t="s">
        <v>48</v>
      </c>
      <c r="C1192" s="1">
        <v>41426</v>
      </c>
      <c r="D1192">
        <v>709724702.92999995</v>
      </c>
      <c r="E1192">
        <v>9</v>
      </c>
    </row>
    <row r="1193" spans="2:5">
      <c r="B1193" t="s">
        <v>46</v>
      </c>
      <c r="C1193" s="1">
        <v>41426</v>
      </c>
      <c r="D1193">
        <v>563252284.46000004</v>
      </c>
      <c r="E1193">
        <v>10</v>
      </c>
    </row>
    <row r="1194" spans="2:5">
      <c r="B1194" t="s">
        <v>42</v>
      </c>
      <c r="C1194" s="1">
        <v>41456</v>
      </c>
      <c r="D1194">
        <v>4046227360.8000002</v>
      </c>
      <c r="E1194">
        <v>1</v>
      </c>
    </row>
    <row r="1195" spans="2:5">
      <c r="B1195" t="s">
        <v>8</v>
      </c>
      <c r="C1195" s="1">
        <v>41456</v>
      </c>
      <c r="D1195">
        <v>1992445611.8499999</v>
      </c>
      <c r="E1195">
        <v>2</v>
      </c>
    </row>
    <row r="1196" spans="2:5">
      <c r="B1196" t="s">
        <v>51</v>
      </c>
      <c r="C1196" s="1">
        <v>41456</v>
      </c>
      <c r="D1196">
        <v>1563390928.6700001</v>
      </c>
      <c r="E1196">
        <v>3</v>
      </c>
    </row>
    <row r="1197" spans="2:5">
      <c r="B1197" t="s">
        <v>49</v>
      </c>
      <c r="C1197" s="1">
        <v>41456</v>
      </c>
      <c r="D1197">
        <v>1165394823.78</v>
      </c>
      <c r="E1197">
        <v>4</v>
      </c>
    </row>
    <row r="1198" spans="2:5">
      <c r="B1198" t="s">
        <v>50</v>
      </c>
      <c r="C1198" s="1">
        <v>41456</v>
      </c>
      <c r="D1198">
        <v>990997193.94000006</v>
      </c>
      <c r="E1198">
        <v>5</v>
      </c>
    </row>
    <row r="1199" spans="2:5">
      <c r="B1199" t="s">
        <v>4</v>
      </c>
      <c r="C1199" s="1">
        <v>41456</v>
      </c>
      <c r="D1199">
        <v>565834449.23000002</v>
      </c>
      <c r="E1199">
        <v>6</v>
      </c>
    </row>
    <row r="1200" spans="2:5">
      <c r="B1200" t="s">
        <v>44</v>
      </c>
      <c r="C1200" s="1">
        <v>41456</v>
      </c>
      <c r="D1200">
        <v>556475651.01999998</v>
      </c>
      <c r="E1200">
        <v>7</v>
      </c>
    </row>
    <row r="1201" spans="2:5">
      <c r="B1201" t="s">
        <v>48</v>
      </c>
      <c r="C1201" s="1">
        <v>41456</v>
      </c>
      <c r="D1201">
        <v>509449679.19999999</v>
      </c>
      <c r="E1201">
        <v>8</v>
      </c>
    </row>
    <row r="1202" spans="2:5">
      <c r="B1202" t="s">
        <v>30</v>
      </c>
      <c r="C1202" s="1">
        <v>41456</v>
      </c>
      <c r="D1202">
        <v>478720327.25</v>
      </c>
      <c r="E1202">
        <v>9</v>
      </c>
    </row>
    <row r="1203" spans="2:5">
      <c r="B1203" t="s">
        <v>13</v>
      </c>
      <c r="C1203" s="1">
        <v>41456</v>
      </c>
      <c r="D1203">
        <v>477838579.72000003</v>
      </c>
      <c r="E1203">
        <v>10</v>
      </c>
    </row>
    <row r="1204" spans="2:5">
      <c r="B1204" t="s">
        <v>42</v>
      </c>
      <c r="C1204" s="1">
        <v>41487</v>
      </c>
      <c r="D1204">
        <v>4431900841.0100002</v>
      </c>
      <c r="E1204">
        <v>1</v>
      </c>
    </row>
    <row r="1205" spans="2:5">
      <c r="B1205" t="s">
        <v>8</v>
      </c>
      <c r="C1205" s="1">
        <v>41487</v>
      </c>
      <c r="D1205">
        <v>2282103654.0900002</v>
      </c>
      <c r="E1205">
        <v>2</v>
      </c>
    </row>
    <row r="1206" spans="2:5">
      <c r="B1206" t="s">
        <v>51</v>
      </c>
      <c r="C1206" s="1">
        <v>41487</v>
      </c>
      <c r="D1206">
        <v>2166674852.6700001</v>
      </c>
      <c r="E1206">
        <v>3</v>
      </c>
    </row>
    <row r="1207" spans="2:5">
      <c r="B1207" t="s">
        <v>50</v>
      </c>
      <c r="C1207" s="1">
        <v>41487</v>
      </c>
      <c r="D1207">
        <v>1563932131.55</v>
      </c>
      <c r="E1207">
        <v>4</v>
      </c>
    </row>
    <row r="1208" spans="2:5">
      <c r="B1208" t="s">
        <v>48</v>
      </c>
      <c r="C1208" s="1">
        <v>41487</v>
      </c>
      <c r="D1208">
        <v>1139966393.8199999</v>
      </c>
      <c r="E1208">
        <v>5</v>
      </c>
    </row>
    <row r="1209" spans="2:5">
      <c r="B1209" t="s">
        <v>4</v>
      </c>
      <c r="C1209" s="1">
        <v>41487</v>
      </c>
      <c r="D1209">
        <v>711987173.45000005</v>
      </c>
      <c r="E1209">
        <v>6</v>
      </c>
    </row>
    <row r="1210" spans="2:5">
      <c r="B1210" t="s">
        <v>44</v>
      </c>
      <c r="C1210" s="1">
        <v>41487</v>
      </c>
      <c r="D1210">
        <v>701174007.51999998</v>
      </c>
      <c r="E1210">
        <v>7</v>
      </c>
    </row>
    <row r="1211" spans="2:5">
      <c r="B1211" t="s">
        <v>30</v>
      </c>
      <c r="C1211" s="1">
        <v>41487</v>
      </c>
      <c r="D1211">
        <v>679872852.00999999</v>
      </c>
      <c r="E1211">
        <v>8</v>
      </c>
    </row>
    <row r="1212" spans="2:5">
      <c r="B1212" t="s">
        <v>46</v>
      </c>
      <c r="C1212" s="1">
        <v>41487</v>
      </c>
      <c r="D1212">
        <v>593586538.91999996</v>
      </c>
      <c r="E1212">
        <v>9</v>
      </c>
    </row>
    <row r="1213" spans="2:5">
      <c r="B1213" t="s">
        <v>49</v>
      </c>
      <c r="C1213" s="1">
        <v>41487</v>
      </c>
      <c r="D1213">
        <v>463902427.12</v>
      </c>
      <c r="E1213">
        <v>10</v>
      </c>
    </row>
    <row r="1214" spans="2:5">
      <c r="B1214" t="s">
        <v>42</v>
      </c>
      <c r="C1214" s="1">
        <v>41518</v>
      </c>
      <c r="D1214">
        <v>4099763945.7399998</v>
      </c>
      <c r="E1214">
        <v>1</v>
      </c>
    </row>
    <row r="1215" spans="2:5">
      <c r="B1215" t="s">
        <v>50</v>
      </c>
      <c r="C1215" s="1">
        <v>41518</v>
      </c>
      <c r="D1215">
        <v>2861460099.5799999</v>
      </c>
      <c r="E1215">
        <v>2</v>
      </c>
    </row>
    <row r="1216" spans="2:5">
      <c r="B1216" t="s">
        <v>51</v>
      </c>
      <c r="C1216" s="1">
        <v>41518</v>
      </c>
      <c r="D1216">
        <v>2152825718.3000002</v>
      </c>
      <c r="E1216">
        <v>3</v>
      </c>
    </row>
    <row r="1217" spans="2:5">
      <c r="B1217" t="s">
        <v>8</v>
      </c>
      <c r="C1217" s="1">
        <v>41518</v>
      </c>
      <c r="D1217">
        <v>1790973007.52</v>
      </c>
      <c r="E1217">
        <v>4</v>
      </c>
    </row>
    <row r="1218" spans="2:5">
      <c r="B1218" t="s">
        <v>46</v>
      </c>
      <c r="C1218" s="1">
        <v>41518</v>
      </c>
      <c r="D1218">
        <v>1295687786.72</v>
      </c>
      <c r="E1218">
        <v>5</v>
      </c>
    </row>
    <row r="1219" spans="2:5">
      <c r="B1219" t="s">
        <v>30</v>
      </c>
      <c r="C1219" s="1">
        <v>41518</v>
      </c>
      <c r="D1219">
        <v>912925948.12</v>
      </c>
      <c r="E1219">
        <v>6</v>
      </c>
    </row>
    <row r="1220" spans="2:5">
      <c r="B1220" t="s">
        <v>4</v>
      </c>
      <c r="C1220" s="1">
        <v>41518</v>
      </c>
      <c r="D1220">
        <v>835415203.15999997</v>
      </c>
      <c r="E1220">
        <v>7</v>
      </c>
    </row>
    <row r="1221" spans="2:5">
      <c r="B1221" t="s">
        <v>6</v>
      </c>
      <c r="C1221" s="1">
        <v>41518</v>
      </c>
      <c r="D1221">
        <v>546577838.23000002</v>
      </c>
      <c r="E1221">
        <v>8</v>
      </c>
    </row>
    <row r="1222" spans="2:5">
      <c r="B1222" t="s">
        <v>48</v>
      </c>
      <c r="C1222" s="1">
        <v>41518</v>
      </c>
      <c r="D1222">
        <v>536505867.62</v>
      </c>
      <c r="E1222">
        <v>9</v>
      </c>
    </row>
    <row r="1223" spans="2:5">
      <c r="B1223" t="s">
        <v>13</v>
      </c>
      <c r="C1223" s="1">
        <v>41518</v>
      </c>
      <c r="D1223">
        <v>528538588.13999999</v>
      </c>
      <c r="E1223">
        <v>10</v>
      </c>
    </row>
    <row r="1224" spans="2:5">
      <c r="B1224" t="s">
        <v>42</v>
      </c>
      <c r="C1224" s="1">
        <v>41548</v>
      </c>
      <c r="D1224">
        <v>2353070457.5900002</v>
      </c>
      <c r="E1224">
        <v>1</v>
      </c>
    </row>
    <row r="1225" spans="2:5">
      <c r="B1225" t="s">
        <v>51</v>
      </c>
      <c r="C1225" s="1">
        <v>41548</v>
      </c>
      <c r="D1225">
        <v>1808657114.72</v>
      </c>
      <c r="E1225">
        <v>2</v>
      </c>
    </row>
    <row r="1226" spans="2:5">
      <c r="B1226" t="s">
        <v>50</v>
      </c>
      <c r="C1226" s="1">
        <v>41548</v>
      </c>
      <c r="D1226">
        <v>1339478926.28</v>
      </c>
      <c r="E1226">
        <v>3</v>
      </c>
    </row>
    <row r="1227" spans="2:5">
      <c r="B1227" t="s">
        <v>8</v>
      </c>
      <c r="C1227" s="1">
        <v>41548</v>
      </c>
      <c r="D1227">
        <v>1178857899.45</v>
      </c>
      <c r="E1227">
        <v>4</v>
      </c>
    </row>
    <row r="1228" spans="2:5">
      <c r="B1228" t="s">
        <v>46</v>
      </c>
      <c r="C1228" s="1">
        <v>41548</v>
      </c>
      <c r="D1228">
        <v>967298891.16999996</v>
      </c>
      <c r="E1228">
        <v>5</v>
      </c>
    </row>
    <row r="1229" spans="2:5">
      <c r="B1229" t="s">
        <v>4</v>
      </c>
      <c r="C1229" s="1">
        <v>41548</v>
      </c>
      <c r="D1229">
        <v>605181497.16999996</v>
      </c>
      <c r="E1229">
        <v>6</v>
      </c>
    </row>
    <row r="1230" spans="2:5">
      <c r="B1230" t="s">
        <v>30</v>
      </c>
      <c r="C1230" s="1">
        <v>41548</v>
      </c>
      <c r="D1230">
        <v>597402176.20000005</v>
      </c>
      <c r="E1230">
        <v>7</v>
      </c>
    </row>
    <row r="1231" spans="2:5">
      <c r="B1231" t="s">
        <v>13</v>
      </c>
      <c r="C1231" s="1">
        <v>41548</v>
      </c>
      <c r="D1231">
        <v>515462805.88999999</v>
      </c>
      <c r="E1231">
        <v>8</v>
      </c>
    </row>
    <row r="1232" spans="2:5">
      <c r="B1232" t="s">
        <v>48</v>
      </c>
      <c r="C1232" s="1">
        <v>41548</v>
      </c>
      <c r="D1232">
        <v>492781973.82999998</v>
      </c>
      <c r="E1232">
        <v>9</v>
      </c>
    </row>
    <row r="1233" spans="2:5">
      <c r="B1233" t="s">
        <v>14</v>
      </c>
      <c r="C1233" s="1">
        <v>41548</v>
      </c>
      <c r="D1233">
        <v>460439223.23000002</v>
      </c>
      <c r="E1233">
        <v>10</v>
      </c>
    </row>
    <row r="1234" spans="2:5">
      <c r="B1234" t="s">
        <v>42</v>
      </c>
      <c r="C1234" s="1">
        <v>41579</v>
      </c>
      <c r="D1234">
        <v>1845973493.28</v>
      </c>
      <c r="E1234">
        <v>1</v>
      </c>
    </row>
    <row r="1235" spans="2:5">
      <c r="B1235" t="s">
        <v>50</v>
      </c>
      <c r="C1235" s="1">
        <v>41579</v>
      </c>
      <c r="D1235">
        <v>1714263954.01</v>
      </c>
      <c r="E1235">
        <v>2</v>
      </c>
    </row>
    <row r="1236" spans="2:5">
      <c r="B1236" t="s">
        <v>51</v>
      </c>
      <c r="C1236" s="1">
        <v>41579</v>
      </c>
      <c r="D1236">
        <v>1625261801.0699999</v>
      </c>
      <c r="E1236">
        <v>3</v>
      </c>
    </row>
    <row r="1237" spans="2:5">
      <c r="B1237" t="s">
        <v>8</v>
      </c>
      <c r="C1237" s="1">
        <v>41579</v>
      </c>
      <c r="D1237">
        <v>1277248858.6700001</v>
      </c>
      <c r="E1237">
        <v>4</v>
      </c>
    </row>
    <row r="1238" spans="2:5">
      <c r="B1238" t="s">
        <v>46</v>
      </c>
      <c r="C1238" s="1">
        <v>41579</v>
      </c>
      <c r="D1238">
        <v>766705889.39999998</v>
      </c>
      <c r="E1238">
        <v>5</v>
      </c>
    </row>
    <row r="1239" spans="2:5">
      <c r="B1239" t="s">
        <v>4</v>
      </c>
      <c r="C1239" s="1">
        <v>41579</v>
      </c>
      <c r="D1239">
        <v>748285780.59000003</v>
      </c>
      <c r="E1239">
        <v>6</v>
      </c>
    </row>
    <row r="1240" spans="2:5">
      <c r="B1240" t="s">
        <v>41</v>
      </c>
      <c r="C1240" s="1">
        <v>41579</v>
      </c>
      <c r="D1240">
        <v>661738714.25999999</v>
      </c>
      <c r="E1240">
        <v>7</v>
      </c>
    </row>
    <row r="1241" spans="2:5">
      <c r="B1241" t="s">
        <v>30</v>
      </c>
      <c r="C1241" s="1">
        <v>41579</v>
      </c>
      <c r="D1241">
        <v>607183477.75999999</v>
      </c>
      <c r="E1241">
        <v>8</v>
      </c>
    </row>
    <row r="1242" spans="2:5">
      <c r="B1242" t="s">
        <v>48</v>
      </c>
      <c r="C1242" s="1">
        <v>41579</v>
      </c>
      <c r="D1242">
        <v>477745384.19</v>
      </c>
      <c r="E1242">
        <v>9</v>
      </c>
    </row>
    <row r="1243" spans="2:5">
      <c r="B1243" t="s">
        <v>132</v>
      </c>
      <c r="C1243" s="1">
        <v>41579</v>
      </c>
      <c r="D1243">
        <v>417539872.48000002</v>
      </c>
      <c r="E1243">
        <v>10</v>
      </c>
    </row>
    <row r="1244" spans="2:5">
      <c r="B1244" t="s">
        <v>42</v>
      </c>
      <c r="C1244" s="1">
        <v>41609</v>
      </c>
      <c r="D1244">
        <v>1689487463.0999999</v>
      </c>
      <c r="E1244">
        <v>1</v>
      </c>
    </row>
    <row r="1245" spans="2:5">
      <c r="B1245" t="s">
        <v>8</v>
      </c>
      <c r="C1245" s="1">
        <v>41609</v>
      </c>
      <c r="D1245">
        <v>1385947039.5999999</v>
      </c>
      <c r="E1245">
        <v>2</v>
      </c>
    </row>
    <row r="1246" spans="2:5">
      <c r="B1246" t="s">
        <v>51</v>
      </c>
      <c r="C1246" s="1">
        <v>41609</v>
      </c>
      <c r="D1246">
        <v>1234168380.74</v>
      </c>
      <c r="E1246">
        <v>3</v>
      </c>
    </row>
    <row r="1247" spans="2:5">
      <c r="B1247" t="s">
        <v>50</v>
      </c>
      <c r="C1247" s="1">
        <v>41609</v>
      </c>
      <c r="D1247">
        <v>883068620.78999996</v>
      </c>
      <c r="E1247">
        <v>4</v>
      </c>
    </row>
    <row r="1248" spans="2:5">
      <c r="B1248" t="s">
        <v>4</v>
      </c>
      <c r="C1248" s="1">
        <v>41609</v>
      </c>
      <c r="D1248">
        <v>553098374.40999997</v>
      </c>
      <c r="E1248">
        <v>5</v>
      </c>
    </row>
    <row r="1249" spans="2:5">
      <c r="B1249" t="s">
        <v>52</v>
      </c>
      <c r="C1249" s="1">
        <v>41609</v>
      </c>
      <c r="D1249">
        <v>478405453.45999998</v>
      </c>
      <c r="E1249">
        <v>6</v>
      </c>
    </row>
    <row r="1250" spans="2:5">
      <c r="B1250" t="s">
        <v>132</v>
      </c>
      <c r="C1250" s="1">
        <v>41609</v>
      </c>
      <c r="D1250">
        <v>432965350.41000003</v>
      </c>
      <c r="E1250">
        <v>7</v>
      </c>
    </row>
    <row r="1251" spans="2:5">
      <c r="B1251" t="s">
        <v>30</v>
      </c>
      <c r="C1251" s="1">
        <v>41609</v>
      </c>
      <c r="D1251">
        <v>405962649.31</v>
      </c>
      <c r="E1251">
        <v>8</v>
      </c>
    </row>
    <row r="1252" spans="2:5">
      <c r="B1252" t="s">
        <v>19</v>
      </c>
      <c r="C1252" s="1">
        <v>41609</v>
      </c>
      <c r="D1252">
        <v>383944197.57999998</v>
      </c>
      <c r="E1252">
        <v>9</v>
      </c>
    </row>
    <row r="1253" spans="2:5">
      <c r="B1253" t="s">
        <v>12</v>
      </c>
      <c r="C1253" s="1">
        <v>41609</v>
      </c>
      <c r="D1253">
        <v>371816893.02999997</v>
      </c>
      <c r="E1253">
        <v>10</v>
      </c>
    </row>
    <row r="1254" spans="2:5">
      <c r="B1254" t="s">
        <v>51</v>
      </c>
      <c r="C1254" s="1">
        <v>41640</v>
      </c>
      <c r="D1254">
        <v>1555357392.6700001</v>
      </c>
      <c r="E1254">
        <v>1</v>
      </c>
    </row>
    <row r="1255" spans="2:5">
      <c r="B1255" t="s">
        <v>42</v>
      </c>
      <c r="C1255" s="1">
        <v>41640</v>
      </c>
      <c r="D1255">
        <v>1417769963.4200001</v>
      </c>
      <c r="E1255">
        <v>2</v>
      </c>
    </row>
    <row r="1256" spans="2:5">
      <c r="B1256" t="s">
        <v>50</v>
      </c>
      <c r="C1256" s="1">
        <v>41640</v>
      </c>
      <c r="D1256">
        <v>1067961270.72</v>
      </c>
      <c r="E1256">
        <v>3</v>
      </c>
    </row>
    <row r="1257" spans="2:5">
      <c r="B1257" t="s">
        <v>8</v>
      </c>
      <c r="C1257" s="1">
        <v>41640</v>
      </c>
      <c r="D1257">
        <v>966432689.55999994</v>
      </c>
      <c r="E1257">
        <v>4</v>
      </c>
    </row>
    <row r="1258" spans="2:5">
      <c r="B1258" t="s">
        <v>4</v>
      </c>
      <c r="C1258" s="1">
        <v>41640</v>
      </c>
      <c r="D1258">
        <v>423629042.22000003</v>
      </c>
      <c r="E1258">
        <v>5</v>
      </c>
    </row>
    <row r="1259" spans="2:5">
      <c r="B1259" t="s">
        <v>19</v>
      </c>
      <c r="C1259" s="1">
        <v>41640</v>
      </c>
      <c r="D1259">
        <v>395465549.91000003</v>
      </c>
      <c r="E1259">
        <v>6</v>
      </c>
    </row>
    <row r="1260" spans="2:5">
      <c r="B1260" t="s">
        <v>48</v>
      </c>
      <c r="C1260" s="1">
        <v>41640</v>
      </c>
      <c r="D1260">
        <v>390864127.97000003</v>
      </c>
      <c r="E1260">
        <v>7</v>
      </c>
    </row>
    <row r="1261" spans="2:5">
      <c r="B1261" t="s">
        <v>30</v>
      </c>
      <c r="C1261" s="1">
        <v>41640</v>
      </c>
      <c r="D1261">
        <v>290566327.68000001</v>
      </c>
      <c r="E1261">
        <v>8</v>
      </c>
    </row>
    <row r="1262" spans="2:5">
      <c r="B1262" t="s">
        <v>13</v>
      </c>
      <c r="C1262" s="1">
        <v>41640</v>
      </c>
      <c r="D1262">
        <v>275405682.32999998</v>
      </c>
      <c r="E1262">
        <v>9</v>
      </c>
    </row>
    <row r="1263" spans="2:5">
      <c r="B1263" t="s">
        <v>132</v>
      </c>
      <c r="C1263" s="1">
        <v>41640</v>
      </c>
      <c r="D1263">
        <v>268615430.44999999</v>
      </c>
      <c r="E1263">
        <v>10</v>
      </c>
    </row>
    <row r="1264" spans="2:5">
      <c r="B1264" t="s">
        <v>42</v>
      </c>
      <c r="C1264" s="1">
        <v>41671</v>
      </c>
      <c r="D1264">
        <v>1754359485.8099999</v>
      </c>
      <c r="E1264">
        <v>1</v>
      </c>
    </row>
    <row r="1265" spans="2:5">
      <c r="B1265" t="s">
        <v>51</v>
      </c>
      <c r="C1265" s="1">
        <v>41671</v>
      </c>
      <c r="D1265">
        <v>1337275043.49</v>
      </c>
      <c r="E1265">
        <v>2</v>
      </c>
    </row>
    <row r="1266" spans="2:5">
      <c r="B1266" t="s">
        <v>50</v>
      </c>
      <c r="C1266" s="1">
        <v>41671</v>
      </c>
      <c r="D1266">
        <v>1054634095.39</v>
      </c>
      <c r="E1266">
        <v>3</v>
      </c>
    </row>
    <row r="1267" spans="2:5">
      <c r="B1267" t="s">
        <v>8</v>
      </c>
      <c r="C1267" s="1">
        <v>41671</v>
      </c>
      <c r="D1267">
        <v>608831623.90999997</v>
      </c>
      <c r="E1267">
        <v>4</v>
      </c>
    </row>
    <row r="1268" spans="2:5">
      <c r="B1268" t="s">
        <v>19</v>
      </c>
      <c r="C1268" s="1">
        <v>41671</v>
      </c>
      <c r="D1268">
        <v>382102212.56</v>
      </c>
      <c r="E1268">
        <v>5</v>
      </c>
    </row>
    <row r="1269" spans="2:5">
      <c r="B1269" t="s">
        <v>4</v>
      </c>
      <c r="C1269" s="1">
        <v>41671</v>
      </c>
      <c r="D1269">
        <v>380420991.08999997</v>
      </c>
      <c r="E1269">
        <v>6</v>
      </c>
    </row>
    <row r="1270" spans="2:5">
      <c r="B1270" t="s">
        <v>48</v>
      </c>
      <c r="C1270" s="1">
        <v>41671</v>
      </c>
      <c r="D1270">
        <v>262176546.69999999</v>
      </c>
      <c r="E1270">
        <v>7</v>
      </c>
    </row>
    <row r="1271" spans="2:5">
      <c r="B1271" t="s">
        <v>12</v>
      </c>
      <c r="C1271" s="1">
        <v>41671</v>
      </c>
      <c r="D1271">
        <v>260407562.27000001</v>
      </c>
      <c r="E1271">
        <v>8</v>
      </c>
    </row>
    <row r="1272" spans="2:5">
      <c r="B1272" t="s">
        <v>46</v>
      </c>
      <c r="C1272" s="1">
        <v>41671</v>
      </c>
      <c r="D1272">
        <v>258494582.72999999</v>
      </c>
      <c r="E1272">
        <v>9</v>
      </c>
    </row>
    <row r="1273" spans="2:5">
      <c r="B1273" t="s">
        <v>13</v>
      </c>
      <c r="C1273" s="1">
        <v>41671</v>
      </c>
      <c r="D1273">
        <v>247933414.00999999</v>
      </c>
      <c r="E1273">
        <v>10</v>
      </c>
    </row>
    <row r="1274" spans="2:5">
      <c r="B1274" t="s">
        <v>42</v>
      </c>
      <c r="C1274" s="1">
        <v>41699</v>
      </c>
      <c r="D1274">
        <v>1916682883.5699999</v>
      </c>
      <c r="E1274">
        <v>1</v>
      </c>
    </row>
    <row r="1275" spans="2:5">
      <c r="B1275" t="s">
        <v>51</v>
      </c>
      <c r="C1275" s="1">
        <v>41699</v>
      </c>
      <c r="D1275">
        <v>1267206821.6800001</v>
      </c>
      <c r="E1275">
        <v>2</v>
      </c>
    </row>
    <row r="1276" spans="2:5">
      <c r="B1276" t="s">
        <v>50</v>
      </c>
      <c r="C1276" s="1">
        <v>41699</v>
      </c>
      <c r="D1276">
        <v>1267185698.4400001</v>
      </c>
      <c r="E1276">
        <v>3</v>
      </c>
    </row>
    <row r="1277" spans="2:5">
      <c r="B1277" t="s">
        <v>8</v>
      </c>
      <c r="C1277" s="1">
        <v>41699</v>
      </c>
      <c r="D1277">
        <v>625973165.45000005</v>
      </c>
      <c r="E1277">
        <v>4</v>
      </c>
    </row>
    <row r="1278" spans="2:5">
      <c r="B1278" t="s">
        <v>19</v>
      </c>
      <c r="C1278" s="1">
        <v>41699</v>
      </c>
      <c r="D1278">
        <v>408580255.77999997</v>
      </c>
      <c r="E1278">
        <v>5</v>
      </c>
    </row>
    <row r="1279" spans="2:5">
      <c r="B1279" t="s">
        <v>4</v>
      </c>
      <c r="C1279" s="1">
        <v>41699</v>
      </c>
      <c r="D1279">
        <v>286171469.83999997</v>
      </c>
      <c r="E1279">
        <v>6</v>
      </c>
    </row>
    <row r="1280" spans="2:5">
      <c r="B1280" t="s">
        <v>46</v>
      </c>
      <c r="C1280" s="1">
        <v>41699</v>
      </c>
      <c r="D1280">
        <v>231877528.75999999</v>
      </c>
      <c r="E1280">
        <v>7</v>
      </c>
    </row>
    <row r="1281" spans="2:5">
      <c r="B1281" t="s">
        <v>12</v>
      </c>
      <c r="C1281" s="1">
        <v>41699</v>
      </c>
      <c r="D1281">
        <v>217647154.06</v>
      </c>
      <c r="E1281">
        <v>8</v>
      </c>
    </row>
    <row r="1282" spans="2:5">
      <c r="B1282" t="s">
        <v>30</v>
      </c>
      <c r="C1282" s="1">
        <v>41699</v>
      </c>
      <c r="D1282">
        <v>216453089.71000001</v>
      </c>
      <c r="E1282">
        <v>9</v>
      </c>
    </row>
    <row r="1283" spans="2:5">
      <c r="B1283" t="s">
        <v>13</v>
      </c>
      <c r="C1283" s="1">
        <v>41699</v>
      </c>
      <c r="D1283">
        <v>214726442.41999999</v>
      </c>
      <c r="E1283">
        <v>10</v>
      </c>
    </row>
    <row r="1284" spans="2:5">
      <c r="B1284" t="s">
        <v>42</v>
      </c>
      <c r="C1284" s="1">
        <v>41730</v>
      </c>
      <c r="D1284">
        <v>1569133883.05</v>
      </c>
      <c r="E1284">
        <v>1</v>
      </c>
    </row>
    <row r="1285" spans="2:5">
      <c r="B1285" t="s">
        <v>50</v>
      </c>
      <c r="C1285" s="1">
        <v>41730</v>
      </c>
      <c r="D1285">
        <v>909424536.85000002</v>
      </c>
      <c r="E1285">
        <v>2</v>
      </c>
    </row>
    <row r="1286" spans="2:5">
      <c r="B1286" t="s">
        <v>51</v>
      </c>
      <c r="C1286" s="1">
        <v>41730</v>
      </c>
      <c r="D1286">
        <v>906645531.15999997</v>
      </c>
      <c r="E1286">
        <v>3</v>
      </c>
    </row>
    <row r="1287" spans="2:5">
      <c r="B1287" t="s">
        <v>8</v>
      </c>
      <c r="C1287" s="1">
        <v>41730</v>
      </c>
      <c r="D1287">
        <v>534078279.32999998</v>
      </c>
      <c r="E1287">
        <v>4</v>
      </c>
    </row>
    <row r="1288" spans="2:5">
      <c r="B1288" t="s">
        <v>19</v>
      </c>
      <c r="C1288" s="1">
        <v>41730</v>
      </c>
      <c r="D1288">
        <v>317565010.06999999</v>
      </c>
      <c r="E1288">
        <v>5</v>
      </c>
    </row>
    <row r="1289" spans="2:5">
      <c r="B1289" t="s">
        <v>48</v>
      </c>
      <c r="C1289" s="1">
        <v>41730</v>
      </c>
      <c r="D1289">
        <v>312613978.33999997</v>
      </c>
      <c r="E1289">
        <v>6</v>
      </c>
    </row>
    <row r="1290" spans="2:5">
      <c r="B1290" t="s">
        <v>52</v>
      </c>
      <c r="C1290" s="1">
        <v>41730</v>
      </c>
      <c r="D1290">
        <v>236025357.25</v>
      </c>
      <c r="E1290">
        <v>7</v>
      </c>
    </row>
    <row r="1291" spans="2:5">
      <c r="B1291" t="s">
        <v>13</v>
      </c>
      <c r="C1291" s="1">
        <v>41730</v>
      </c>
      <c r="D1291">
        <v>203251405.81999999</v>
      </c>
      <c r="E1291">
        <v>8</v>
      </c>
    </row>
    <row r="1292" spans="2:5">
      <c r="B1292" t="s">
        <v>145</v>
      </c>
      <c r="C1292" s="1">
        <v>41730</v>
      </c>
      <c r="D1292">
        <v>190627685.68000001</v>
      </c>
      <c r="E1292">
        <v>9</v>
      </c>
    </row>
    <row r="1293" spans="2:5">
      <c r="B1293" t="s">
        <v>30</v>
      </c>
      <c r="C1293" s="1">
        <v>41730</v>
      </c>
      <c r="D1293">
        <v>183264552.47</v>
      </c>
      <c r="E1293">
        <v>10</v>
      </c>
    </row>
    <row r="1294" spans="2:5">
      <c r="B1294" t="s">
        <v>42</v>
      </c>
      <c r="C1294" s="1">
        <v>41760</v>
      </c>
      <c r="D1294">
        <v>1572084510.04</v>
      </c>
      <c r="E1294">
        <v>1</v>
      </c>
    </row>
    <row r="1295" spans="2:5">
      <c r="B1295" t="s">
        <v>51</v>
      </c>
      <c r="C1295" s="1">
        <v>41760</v>
      </c>
      <c r="D1295">
        <v>866292694.84000003</v>
      </c>
      <c r="E1295">
        <v>2</v>
      </c>
    </row>
    <row r="1296" spans="2:5">
      <c r="B1296" t="s">
        <v>8</v>
      </c>
      <c r="C1296" s="1">
        <v>41760</v>
      </c>
      <c r="D1296">
        <v>834730668.64999998</v>
      </c>
      <c r="E1296">
        <v>3</v>
      </c>
    </row>
    <row r="1297" spans="2:5">
      <c r="B1297" t="s">
        <v>50</v>
      </c>
      <c r="C1297" s="1">
        <v>41760</v>
      </c>
      <c r="D1297">
        <v>828909798.36000001</v>
      </c>
      <c r="E1297">
        <v>4</v>
      </c>
    </row>
    <row r="1298" spans="2:5">
      <c r="B1298" t="s">
        <v>19</v>
      </c>
      <c r="C1298" s="1">
        <v>41760</v>
      </c>
      <c r="D1298">
        <v>468001431.88999999</v>
      </c>
      <c r="E1298">
        <v>5</v>
      </c>
    </row>
    <row r="1299" spans="2:5">
      <c r="B1299" t="s">
        <v>52</v>
      </c>
      <c r="C1299" s="1">
        <v>41760</v>
      </c>
      <c r="D1299">
        <v>443325185.75999999</v>
      </c>
      <c r="E1299">
        <v>6</v>
      </c>
    </row>
    <row r="1300" spans="2:5">
      <c r="B1300" t="s">
        <v>48</v>
      </c>
      <c r="C1300" s="1">
        <v>41760</v>
      </c>
      <c r="D1300">
        <v>405445335.30000001</v>
      </c>
      <c r="E1300">
        <v>7</v>
      </c>
    </row>
    <row r="1301" spans="2:5">
      <c r="B1301" t="s">
        <v>46</v>
      </c>
      <c r="C1301" s="1">
        <v>41760</v>
      </c>
      <c r="D1301">
        <v>268041865.88</v>
      </c>
      <c r="E1301">
        <v>8</v>
      </c>
    </row>
    <row r="1302" spans="2:5">
      <c r="B1302" t="s">
        <v>30</v>
      </c>
      <c r="C1302" s="1">
        <v>41760</v>
      </c>
      <c r="D1302">
        <v>234903825.28999999</v>
      </c>
      <c r="E1302">
        <v>9</v>
      </c>
    </row>
    <row r="1303" spans="2:5">
      <c r="B1303" t="s">
        <v>4</v>
      </c>
      <c r="C1303" s="1">
        <v>41760</v>
      </c>
      <c r="D1303">
        <v>199595945.93000001</v>
      </c>
      <c r="E1303">
        <v>10</v>
      </c>
    </row>
    <row r="1304" spans="2:5">
      <c r="B1304" t="s">
        <v>42</v>
      </c>
      <c r="C1304" s="1">
        <v>41791</v>
      </c>
      <c r="D1304">
        <v>1523092086.4300001</v>
      </c>
      <c r="E1304">
        <v>1</v>
      </c>
    </row>
    <row r="1305" spans="2:5">
      <c r="B1305" t="s">
        <v>51</v>
      </c>
      <c r="C1305" s="1">
        <v>41791</v>
      </c>
      <c r="D1305">
        <v>897813612.57000005</v>
      </c>
      <c r="E1305">
        <v>2</v>
      </c>
    </row>
    <row r="1306" spans="2:5">
      <c r="B1306" t="s">
        <v>8</v>
      </c>
      <c r="C1306" s="1">
        <v>41791</v>
      </c>
      <c r="D1306">
        <v>682300544.83000004</v>
      </c>
      <c r="E1306">
        <v>3</v>
      </c>
    </row>
    <row r="1307" spans="2:5">
      <c r="B1307" t="s">
        <v>50</v>
      </c>
      <c r="C1307" s="1">
        <v>41791</v>
      </c>
      <c r="D1307">
        <v>568052778.69000006</v>
      </c>
      <c r="E1307">
        <v>4</v>
      </c>
    </row>
    <row r="1308" spans="2:5">
      <c r="B1308" t="s">
        <v>52</v>
      </c>
      <c r="C1308" s="1">
        <v>41791</v>
      </c>
      <c r="D1308">
        <v>536538819.19999999</v>
      </c>
      <c r="E1308">
        <v>5</v>
      </c>
    </row>
    <row r="1309" spans="2:5">
      <c r="B1309" t="s">
        <v>19</v>
      </c>
      <c r="C1309" s="1">
        <v>41791</v>
      </c>
      <c r="D1309">
        <v>523383504.5</v>
      </c>
      <c r="E1309">
        <v>6</v>
      </c>
    </row>
    <row r="1310" spans="2:5">
      <c r="B1310" t="s">
        <v>46</v>
      </c>
      <c r="C1310" s="1">
        <v>41791</v>
      </c>
      <c r="D1310">
        <v>521174007.47000003</v>
      </c>
      <c r="E1310">
        <v>7</v>
      </c>
    </row>
    <row r="1311" spans="2:5">
      <c r="B1311" t="s">
        <v>48</v>
      </c>
      <c r="C1311" s="1">
        <v>41791</v>
      </c>
      <c r="D1311">
        <v>415318771.85000002</v>
      </c>
      <c r="E1311">
        <v>8</v>
      </c>
    </row>
    <row r="1312" spans="2:5">
      <c r="B1312" t="s">
        <v>30</v>
      </c>
      <c r="C1312" s="1">
        <v>41791</v>
      </c>
      <c r="D1312">
        <v>312005264.70999998</v>
      </c>
      <c r="E1312">
        <v>9</v>
      </c>
    </row>
    <row r="1313" spans="2:5">
      <c r="B1313" t="s">
        <v>49</v>
      </c>
      <c r="C1313" s="1">
        <v>41791</v>
      </c>
      <c r="D1313">
        <v>293452788.11000001</v>
      </c>
      <c r="E1313">
        <v>10</v>
      </c>
    </row>
    <row r="1314" spans="2:5">
      <c r="B1314" t="s">
        <v>42</v>
      </c>
      <c r="C1314" s="1">
        <v>41821</v>
      </c>
      <c r="D1314">
        <v>1815521830.9200001</v>
      </c>
      <c r="E1314">
        <v>1</v>
      </c>
    </row>
    <row r="1315" spans="2:5">
      <c r="B1315" t="s">
        <v>51</v>
      </c>
      <c r="C1315" s="1">
        <v>41821</v>
      </c>
      <c r="D1315">
        <v>1286875630.3800001</v>
      </c>
      <c r="E1315">
        <v>2</v>
      </c>
    </row>
    <row r="1316" spans="2:5">
      <c r="B1316" t="s">
        <v>8</v>
      </c>
      <c r="C1316" s="1">
        <v>41821</v>
      </c>
      <c r="D1316">
        <v>865608919</v>
      </c>
      <c r="E1316">
        <v>3</v>
      </c>
    </row>
    <row r="1317" spans="2:5">
      <c r="B1317" t="s">
        <v>50</v>
      </c>
      <c r="C1317" s="1">
        <v>41821</v>
      </c>
      <c r="D1317">
        <v>732897324.17999995</v>
      </c>
      <c r="E1317">
        <v>4</v>
      </c>
    </row>
    <row r="1318" spans="2:5">
      <c r="B1318" t="s">
        <v>19</v>
      </c>
      <c r="C1318" s="1">
        <v>41821</v>
      </c>
      <c r="D1318">
        <v>594661694.71000004</v>
      </c>
      <c r="E1318">
        <v>5</v>
      </c>
    </row>
    <row r="1319" spans="2:5">
      <c r="B1319" t="s">
        <v>52</v>
      </c>
      <c r="C1319" s="1">
        <v>41821</v>
      </c>
      <c r="D1319">
        <v>471094129.24000001</v>
      </c>
      <c r="E1319">
        <v>6</v>
      </c>
    </row>
    <row r="1320" spans="2:5">
      <c r="B1320" t="s">
        <v>48</v>
      </c>
      <c r="C1320" s="1">
        <v>41821</v>
      </c>
      <c r="D1320">
        <v>379516474.86000001</v>
      </c>
      <c r="E1320">
        <v>7</v>
      </c>
    </row>
    <row r="1321" spans="2:5">
      <c r="B1321" t="s">
        <v>30</v>
      </c>
      <c r="C1321" s="1">
        <v>41821</v>
      </c>
      <c r="D1321">
        <v>360533498.50999999</v>
      </c>
      <c r="E1321">
        <v>8</v>
      </c>
    </row>
    <row r="1322" spans="2:5">
      <c r="B1322" t="s">
        <v>135</v>
      </c>
      <c r="C1322" s="1">
        <v>41821</v>
      </c>
      <c r="D1322">
        <v>316978943.73000002</v>
      </c>
      <c r="E1322">
        <v>9</v>
      </c>
    </row>
    <row r="1323" spans="2:5">
      <c r="B1323" t="s">
        <v>132</v>
      </c>
      <c r="C1323" s="1">
        <v>41821</v>
      </c>
      <c r="D1323">
        <v>310213190.88</v>
      </c>
      <c r="E1323">
        <v>10</v>
      </c>
    </row>
    <row r="1324" spans="2:5">
      <c r="B1324" t="s">
        <v>42</v>
      </c>
      <c r="C1324" s="1">
        <v>41852</v>
      </c>
      <c r="D1324">
        <v>2299190742.25</v>
      </c>
      <c r="E1324">
        <v>1</v>
      </c>
    </row>
    <row r="1325" spans="2:5">
      <c r="B1325" t="s">
        <v>51</v>
      </c>
      <c r="C1325" s="1">
        <v>41852</v>
      </c>
      <c r="D1325">
        <v>1444694113.3900001</v>
      </c>
      <c r="E1325">
        <v>2</v>
      </c>
    </row>
    <row r="1326" spans="2:5">
      <c r="B1326" t="s">
        <v>19</v>
      </c>
      <c r="C1326" s="1">
        <v>41852</v>
      </c>
      <c r="D1326">
        <v>819739915.15999997</v>
      </c>
      <c r="E1326">
        <v>3</v>
      </c>
    </row>
    <row r="1327" spans="2:5">
      <c r="B1327" t="s">
        <v>30</v>
      </c>
      <c r="C1327" s="1">
        <v>41852</v>
      </c>
      <c r="D1327">
        <v>765661024.61000001</v>
      </c>
      <c r="E1327">
        <v>4</v>
      </c>
    </row>
    <row r="1328" spans="2:5">
      <c r="B1328" t="s">
        <v>50</v>
      </c>
      <c r="C1328" s="1">
        <v>41852</v>
      </c>
      <c r="D1328">
        <v>764448274.14999998</v>
      </c>
      <c r="E1328">
        <v>5</v>
      </c>
    </row>
    <row r="1329" spans="2:5">
      <c r="B1329" t="s">
        <v>8</v>
      </c>
      <c r="C1329" s="1">
        <v>41852</v>
      </c>
      <c r="D1329">
        <v>729902335.99000001</v>
      </c>
      <c r="E1329">
        <v>6</v>
      </c>
    </row>
    <row r="1330" spans="2:5">
      <c r="B1330" t="s">
        <v>48</v>
      </c>
      <c r="C1330" s="1">
        <v>41852</v>
      </c>
      <c r="D1330">
        <v>525952501.19</v>
      </c>
      <c r="E1330">
        <v>7</v>
      </c>
    </row>
    <row r="1331" spans="2:5">
      <c r="B1331" t="s">
        <v>4</v>
      </c>
      <c r="C1331" s="1">
        <v>41852</v>
      </c>
      <c r="D1331">
        <v>390811364.95999998</v>
      </c>
      <c r="E1331">
        <v>8</v>
      </c>
    </row>
    <row r="1332" spans="2:5">
      <c r="B1332" t="s">
        <v>52</v>
      </c>
      <c r="C1332" s="1">
        <v>41852</v>
      </c>
      <c r="D1332">
        <v>381861566.10000002</v>
      </c>
      <c r="E1332">
        <v>9</v>
      </c>
    </row>
    <row r="1333" spans="2:5">
      <c r="B1333" t="s">
        <v>145</v>
      </c>
      <c r="C1333" s="1">
        <v>41852</v>
      </c>
      <c r="D1333">
        <v>374551537.88</v>
      </c>
      <c r="E1333">
        <v>10</v>
      </c>
    </row>
    <row r="1334" spans="2:5">
      <c r="B1334" t="s">
        <v>42</v>
      </c>
      <c r="C1334" s="1">
        <v>41883</v>
      </c>
      <c r="D1334">
        <v>2188451666.4499998</v>
      </c>
      <c r="E1334">
        <v>1</v>
      </c>
    </row>
    <row r="1335" spans="2:5">
      <c r="B1335" t="s">
        <v>51</v>
      </c>
      <c r="C1335" s="1">
        <v>41883</v>
      </c>
      <c r="D1335">
        <v>1535693081.29</v>
      </c>
      <c r="E1335">
        <v>2</v>
      </c>
    </row>
    <row r="1336" spans="2:5">
      <c r="B1336" t="s">
        <v>50</v>
      </c>
      <c r="C1336" s="1">
        <v>41883</v>
      </c>
      <c r="D1336">
        <v>877451695.02999997</v>
      </c>
      <c r="E1336">
        <v>3</v>
      </c>
    </row>
    <row r="1337" spans="2:5">
      <c r="B1337" t="s">
        <v>8</v>
      </c>
      <c r="C1337" s="1">
        <v>41883</v>
      </c>
      <c r="D1337">
        <v>785999239.74000001</v>
      </c>
      <c r="E1337">
        <v>4</v>
      </c>
    </row>
    <row r="1338" spans="2:5">
      <c r="B1338" t="s">
        <v>30</v>
      </c>
      <c r="C1338" s="1">
        <v>41883</v>
      </c>
      <c r="D1338">
        <v>742569431.09000003</v>
      </c>
      <c r="E1338">
        <v>5</v>
      </c>
    </row>
    <row r="1339" spans="2:5">
      <c r="B1339" t="s">
        <v>48</v>
      </c>
      <c r="C1339" s="1">
        <v>41883</v>
      </c>
      <c r="D1339">
        <v>460490700.62</v>
      </c>
      <c r="E1339">
        <v>6</v>
      </c>
    </row>
    <row r="1340" spans="2:5">
      <c r="B1340" t="s">
        <v>52</v>
      </c>
      <c r="C1340" s="1">
        <v>41883</v>
      </c>
      <c r="D1340">
        <v>437971221.79000002</v>
      </c>
      <c r="E1340">
        <v>7</v>
      </c>
    </row>
    <row r="1341" spans="2:5">
      <c r="B1341" t="s">
        <v>19</v>
      </c>
      <c r="C1341" s="1">
        <v>41883</v>
      </c>
      <c r="D1341">
        <v>366486407.16000003</v>
      </c>
      <c r="E1341">
        <v>8</v>
      </c>
    </row>
    <row r="1342" spans="2:5">
      <c r="B1342" t="s">
        <v>135</v>
      </c>
      <c r="C1342" s="1">
        <v>41883</v>
      </c>
      <c r="D1342">
        <v>319841850.99000001</v>
      </c>
      <c r="E1342">
        <v>9</v>
      </c>
    </row>
    <row r="1343" spans="2:5">
      <c r="B1343" t="s">
        <v>146</v>
      </c>
      <c r="C1343" s="1">
        <v>41883</v>
      </c>
      <c r="D1343">
        <v>292397683.70999998</v>
      </c>
      <c r="E1343">
        <v>10</v>
      </c>
    </row>
    <row r="1344" spans="2:5">
      <c r="B1344" t="s">
        <v>30</v>
      </c>
      <c r="C1344" s="1">
        <v>41913</v>
      </c>
      <c r="D1344">
        <v>2783280665.23</v>
      </c>
      <c r="E1344">
        <v>1</v>
      </c>
    </row>
    <row r="1345" spans="2:5">
      <c r="B1345" t="s">
        <v>42</v>
      </c>
      <c r="C1345" s="1">
        <v>41913</v>
      </c>
      <c r="D1345">
        <v>2389791457.5599999</v>
      </c>
      <c r="E1345">
        <v>2</v>
      </c>
    </row>
    <row r="1346" spans="2:5">
      <c r="B1346" t="s">
        <v>51</v>
      </c>
      <c r="C1346" s="1">
        <v>41913</v>
      </c>
      <c r="D1346">
        <v>1535983379.74</v>
      </c>
      <c r="E1346">
        <v>3</v>
      </c>
    </row>
    <row r="1347" spans="2:5">
      <c r="B1347" t="s">
        <v>50</v>
      </c>
      <c r="C1347" s="1">
        <v>41913</v>
      </c>
      <c r="D1347">
        <v>1085804754.1199999</v>
      </c>
      <c r="E1347">
        <v>4</v>
      </c>
    </row>
    <row r="1348" spans="2:5">
      <c r="B1348" t="s">
        <v>8</v>
      </c>
      <c r="C1348" s="1">
        <v>41913</v>
      </c>
      <c r="D1348">
        <v>870888081.38999999</v>
      </c>
      <c r="E1348">
        <v>5</v>
      </c>
    </row>
    <row r="1349" spans="2:5">
      <c r="B1349" t="s">
        <v>19</v>
      </c>
      <c r="C1349" s="1">
        <v>41913</v>
      </c>
      <c r="D1349">
        <v>611874691.96000004</v>
      </c>
      <c r="E1349">
        <v>6</v>
      </c>
    </row>
    <row r="1350" spans="2:5">
      <c r="B1350" t="s">
        <v>48</v>
      </c>
      <c r="C1350" s="1">
        <v>41913</v>
      </c>
      <c r="D1350">
        <v>516787042.47000003</v>
      </c>
      <c r="E1350">
        <v>7</v>
      </c>
    </row>
    <row r="1351" spans="2:5">
      <c r="B1351" t="s">
        <v>52</v>
      </c>
      <c r="C1351" s="1">
        <v>41913</v>
      </c>
      <c r="D1351">
        <v>431027112.77999997</v>
      </c>
      <c r="E1351">
        <v>8</v>
      </c>
    </row>
    <row r="1352" spans="2:5">
      <c r="B1352" t="s">
        <v>4</v>
      </c>
      <c r="C1352" s="1">
        <v>41913</v>
      </c>
      <c r="D1352">
        <v>326837989.47000003</v>
      </c>
      <c r="E1352">
        <v>9</v>
      </c>
    </row>
    <row r="1353" spans="2:5">
      <c r="B1353" t="s">
        <v>135</v>
      </c>
      <c r="C1353" s="1">
        <v>41913</v>
      </c>
      <c r="D1353">
        <v>285847235.86000001</v>
      </c>
      <c r="E1353">
        <v>10</v>
      </c>
    </row>
    <row r="1354" spans="2:5">
      <c r="B1354" t="s">
        <v>42</v>
      </c>
      <c r="C1354" s="1">
        <v>41944</v>
      </c>
      <c r="D1354">
        <v>2036061242.9100001</v>
      </c>
      <c r="E1354">
        <v>1</v>
      </c>
    </row>
    <row r="1355" spans="2:5">
      <c r="B1355" t="s">
        <v>51</v>
      </c>
      <c r="C1355" s="1">
        <v>41944</v>
      </c>
      <c r="D1355">
        <v>1531899596.8499999</v>
      </c>
      <c r="E1355">
        <v>2</v>
      </c>
    </row>
    <row r="1356" spans="2:5">
      <c r="B1356" t="s">
        <v>30</v>
      </c>
      <c r="C1356" s="1">
        <v>41944</v>
      </c>
      <c r="D1356">
        <v>912965328.49000001</v>
      </c>
      <c r="E1356">
        <v>3</v>
      </c>
    </row>
    <row r="1357" spans="2:5">
      <c r="B1357" t="s">
        <v>8</v>
      </c>
      <c r="C1357" s="1">
        <v>41944</v>
      </c>
      <c r="D1357">
        <v>878388058.72000003</v>
      </c>
      <c r="E1357">
        <v>4</v>
      </c>
    </row>
    <row r="1358" spans="2:5">
      <c r="B1358" t="s">
        <v>50</v>
      </c>
      <c r="C1358" s="1">
        <v>41944</v>
      </c>
      <c r="D1358">
        <v>834463365.48000002</v>
      </c>
      <c r="E1358">
        <v>5</v>
      </c>
    </row>
    <row r="1359" spans="2:5">
      <c r="B1359" t="s">
        <v>19</v>
      </c>
      <c r="C1359" s="1">
        <v>41944</v>
      </c>
      <c r="D1359">
        <v>662813498.03999996</v>
      </c>
      <c r="E1359">
        <v>6</v>
      </c>
    </row>
    <row r="1360" spans="2:5">
      <c r="B1360" t="s">
        <v>48</v>
      </c>
      <c r="C1360" s="1">
        <v>41944</v>
      </c>
      <c r="D1360">
        <v>500204248.58999997</v>
      </c>
      <c r="E1360">
        <v>7</v>
      </c>
    </row>
    <row r="1361" spans="2:5">
      <c r="B1361" t="s">
        <v>52</v>
      </c>
      <c r="C1361" s="1">
        <v>41944</v>
      </c>
      <c r="D1361">
        <v>440796549.81</v>
      </c>
      <c r="E1361">
        <v>8</v>
      </c>
    </row>
    <row r="1362" spans="2:5">
      <c r="B1362" t="s">
        <v>4</v>
      </c>
      <c r="C1362" s="1">
        <v>41944</v>
      </c>
      <c r="D1362">
        <v>364563179.50999999</v>
      </c>
      <c r="E1362">
        <v>9</v>
      </c>
    </row>
    <row r="1363" spans="2:5">
      <c r="B1363" t="s">
        <v>49</v>
      </c>
      <c r="C1363" s="1">
        <v>41944</v>
      </c>
      <c r="D1363">
        <v>340980781.88999999</v>
      </c>
      <c r="E1363">
        <v>10</v>
      </c>
    </row>
    <row r="1364" spans="2:5">
      <c r="B1364" t="s">
        <v>42</v>
      </c>
      <c r="C1364" s="1">
        <v>41974</v>
      </c>
      <c r="D1364">
        <v>2764147676.1700001</v>
      </c>
      <c r="E1364">
        <v>1</v>
      </c>
    </row>
    <row r="1365" spans="2:5">
      <c r="B1365" t="s">
        <v>51</v>
      </c>
      <c r="C1365" s="1">
        <v>41974</v>
      </c>
      <c r="D1365">
        <v>1389426710.6099999</v>
      </c>
      <c r="E1365">
        <v>2</v>
      </c>
    </row>
    <row r="1366" spans="2:5">
      <c r="B1366" t="s">
        <v>50</v>
      </c>
      <c r="C1366" s="1">
        <v>41974</v>
      </c>
      <c r="D1366">
        <v>805943904.73000002</v>
      </c>
      <c r="E1366">
        <v>3</v>
      </c>
    </row>
    <row r="1367" spans="2:5">
      <c r="B1367" t="s">
        <v>30</v>
      </c>
      <c r="C1367" s="1">
        <v>41974</v>
      </c>
      <c r="D1367">
        <v>770850866.33000004</v>
      </c>
      <c r="E1367">
        <v>4</v>
      </c>
    </row>
    <row r="1368" spans="2:5">
      <c r="B1368" t="s">
        <v>8</v>
      </c>
      <c r="C1368" s="1">
        <v>41974</v>
      </c>
      <c r="D1368">
        <v>717407310.95000005</v>
      </c>
      <c r="E1368">
        <v>5</v>
      </c>
    </row>
    <row r="1369" spans="2:5">
      <c r="B1369" t="s">
        <v>52</v>
      </c>
      <c r="C1369" s="1">
        <v>41974</v>
      </c>
      <c r="D1369">
        <v>710666768.27999997</v>
      </c>
      <c r="E1369">
        <v>6</v>
      </c>
    </row>
    <row r="1370" spans="2:5">
      <c r="B1370" t="s">
        <v>19</v>
      </c>
      <c r="C1370" s="1">
        <v>41974</v>
      </c>
      <c r="D1370">
        <v>541102079.23000002</v>
      </c>
      <c r="E1370">
        <v>7</v>
      </c>
    </row>
    <row r="1371" spans="2:5">
      <c r="B1371" t="s">
        <v>48</v>
      </c>
      <c r="C1371" s="1">
        <v>41974</v>
      </c>
      <c r="D1371">
        <v>312598791.55000001</v>
      </c>
      <c r="E1371">
        <v>8</v>
      </c>
    </row>
    <row r="1372" spans="2:5">
      <c r="B1372" t="s">
        <v>6</v>
      </c>
      <c r="C1372" s="1">
        <v>41974</v>
      </c>
      <c r="D1372">
        <v>284909515.56999999</v>
      </c>
      <c r="E1372">
        <v>9</v>
      </c>
    </row>
    <row r="1373" spans="2:5">
      <c r="B1373" t="s">
        <v>147</v>
      </c>
      <c r="C1373" s="1">
        <v>41974</v>
      </c>
      <c r="D1373">
        <v>270364382.49000001</v>
      </c>
      <c r="E1373">
        <v>10</v>
      </c>
    </row>
    <row r="1374" spans="2:5">
      <c r="B1374" t="s">
        <v>42</v>
      </c>
      <c r="C1374" s="1">
        <v>42005</v>
      </c>
      <c r="D1374">
        <v>2059485374.03</v>
      </c>
      <c r="E1374">
        <v>1</v>
      </c>
    </row>
    <row r="1375" spans="2:5">
      <c r="B1375" t="s">
        <v>8</v>
      </c>
      <c r="C1375" s="1">
        <v>42005</v>
      </c>
      <c r="D1375">
        <v>1104439089.96</v>
      </c>
      <c r="E1375">
        <v>2</v>
      </c>
    </row>
    <row r="1376" spans="2:5">
      <c r="B1376" t="s">
        <v>51</v>
      </c>
      <c r="C1376" s="1">
        <v>42005</v>
      </c>
      <c r="D1376">
        <v>1073416945.2</v>
      </c>
      <c r="E1376">
        <v>3</v>
      </c>
    </row>
    <row r="1377" spans="2:5">
      <c r="B1377" t="s">
        <v>50</v>
      </c>
      <c r="C1377" s="1">
        <v>42005</v>
      </c>
      <c r="D1377">
        <v>758991275.28999996</v>
      </c>
      <c r="E1377">
        <v>4</v>
      </c>
    </row>
    <row r="1378" spans="2:5">
      <c r="B1378" t="s">
        <v>52</v>
      </c>
      <c r="C1378" s="1">
        <v>42005</v>
      </c>
      <c r="D1378">
        <v>657873548.25</v>
      </c>
      <c r="E1378">
        <v>5</v>
      </c>
    </row>
    <row r="1379" spans="2:5">
      <c r="B1379" t="s">
        <v>30</v>
      </c>
      <c r="C1379" s="1">
        <v>42005</v>
      </c>
      <c r="D1379">
        <v>645169719.35000002</v>
      </c>
      <c r="E1379">
        <v>6</v>
      </c>
    </row>
    <row r="1380" spans="2:5">
      <c r="B1380" t="s">
        <v>19</v>
      </c>
      <c r="C1380" s="1">
        <v>42005</v>
      </c>
      <c r="D1380">
        <v>597778539.26999998</v>
      </c>
      <c r="E1380">
        <v>7</v>
      </c>
    </row>
    <row r="1381" spans="2:5">
      <c r="B1381" t="s">
        <v>48</v>
      </c>
      <c r="C1381" s="1">
        <v>42005</v>
      </c>
      <c r="D1381">
        <v>380742189.57999998</v>
      </c>
      <c r="E1381">
        <v>8</v>
      </c>
    </row>
    <row r="1382" spans="2:5">
      <c r="B1382" t="s">
        <v>6</v>
      </c>
      <c r="C1382" s="1">
        <v>42005</v>
      </c>
      <c r="D1382">
        <v>305999507.94999999</v>
      </c>
      <c r="E1382">
        <v>9</v>
      </c>
    </row>
    <row r="1383" spans="2:5">
      <c r="B1383" t="s">
        <v>145</v>
      </c>
      <c r="C1383" s="1">
        <v>42005</v>
      </c>
      <c r="D1383">
        <v>270681601.64999998</v>
      </c>
      <c r="E1383">
        <v>10</v>
      </c>
    </row>
    <row r="1384" spans="2:5">
      <c r="B1384" t="s">
        <v>42</v>
      </c>
      <c r="C1384" s="1">
        <v>42036</v>
      </c>
      <c r="D1384">
        <v>3177985156.9499998</v>
      </c>
      <c r="E1384">
        <v>1</v>
      </c>
    </row>
    <row r="1385" spans="2:5">
      <c r="B1385" t="s">
        <v>51</v>
      </c>
      <c r="C1385" s="1">
        <v>42036</v>
      </c>
      <c r="D1385">
        <v>1234949707.1900001</v>
      </c>
      <c r="E1385">
        <v>2</v>
      </c>
    </row>
    <row r="1386" spans="2:5">
      <c r="B1386" t="s">
        <v>52</v>
      </c>
      <c r="C1386" s="1">
        <v>42036</v>
      </c>
      <c r="D1386">
        <v>967269135.14999998</v>
      </c>
      <c r="E1386">
        <v>3</v>
      </c>
    </row>
    <row r="1387" spans="2:5">
      <c r="B1387" t="s">
        <v>8</v>
      </c>
      <c r="C1387" s="1">
        <v>42036</v>
      </c>
      <c r="D1387">
        <v>926692781.25</v>
      </c>
      <c r="E1387">
        <v>4</v>
      </c>
    </row>
    <row r="1388" spans="2:5">
      <c r="B1388" t="s">
        <v>30</v>
      </c>
      <c r="C1388" s="1">
        <v>42036</v>
      </c>
      <c r="D1388">
        <v>814842832.97000003</v>
      </c>
      <c r="E1388">
        <v>5</v>
      </c>
    </row>
    <row r="1389" spans="2:5">
      <c r="B1389" t="s">
        <v>50</v>
      </c>
      <c r="C1389" s="1">
        <v>42036</v>
      </c>
      <c r="D1389">
        <v>556166429.88999999</v>
      </c>
      <c r="E1389">
        <v>6</v>
      </c>
    </row>
    <row r="1390" spans="2:5">
      <c r="B1390" t="s">
        <v>19</v>
      </c>
      <c r="C1390" s="1">
        <v>42036</v>
      </c>
      <c r="D1390">
        <v>515177267.69999999</v>
      </c>
      <c r="E1390">
        <v>7</v>
      </c>
    </row>
    <row r="1391" spans="2:5">
      <c r="B1391" t="s">
        <v>134</v>
      </c>
      <c r="C1391" s="1">
        <v>42036</v>
      </c>
      <c r="D1391">
        <v>370052603.55000001</v>
      </c>
      <c r="E1391">
        <v>8</v>
      </c>
    </row>
    <row r="1392" spans="2:5">
      <c r="B1392" t="s">
        <v>49</v>
      </c>
      <c r="C1392" s="1">
        <v>42036</v>
      </c>
      <c r="D1392">
        <v>364555999.37</v>
      </c>
      <c r="E1392">
        <v>9</v>
      </c>
    </row>
    <row r="1393" spans="2:5">
      <c r="B1393" t="s">
        <v>48</v>
      </c>
      <c r="C1393" s="1">
        <v>42036</v>
      </c>
      <c r="D1393">
        <v>312693303.94</v>
      </c>
      <c r="E1393">
        <v>10</v>
      </c>
    </row>
    <row r="1394" spans="2:5">
      <c r="B1394" t="s">
        <v>42</v>
      </c>
      <c r="C1394" s="1">
        <v>42064</v>
      </c>
      <c r="D1394">
        <v>2385777676.1799998</v>
      </c>
      <c r="E1394">
        <v>1</v>
      </c>
    </row>
    <row r="1395" spans="2:5">
      <c r="B1395" t="s">
        <v>51</v>
      </c>
      <c r="C1395" s="1">
        <v>42064</v>
      </c>
      <c r="D1395">
        <v>1093287336.01</v>
      </c>
      <c r="E1395">
        <v>2</v>
      </c>
    </row>
    <row r="1396" spans="2:5">
      <c r="B1396" t="s">
        <v>8</v>
      </c>
      <c r="C1396" s="1">
        <v>42064</v>
      </c>
      <c r="D1396">
        <v>970138744.33000004</v>
      </c>
      <c r="E1396">
        <v>3</v>
      </c>
    </row>
    <row r="1397" spans="2:5">
      <c r="B1397" t="s">
        <v>30</v>
      </c>
      <c r="C1397" s="1">
        <v>42064</v>
      </c>
      <c r="D1397">
        <v>839249502.65999997</v>
      </c>
      <c r="E1397">
        <v>4</v>
      </c>
    </row>
    <row r="1398" spans="2:5">
      <c r="B1398" t="s">
        <v>50</v>
      </c>
      <c r="C1398" s="1">
        <v>42064</v>
      </c>
      <c r="D1398">
        <v>800403329.84000003</v>
      </c>
      <c r="E1398">
        <v>5</v>
      </c>
    </row>
    <row r="1399" spans="2:5">
      <c r="B1399" t="s">
        <v>52</v>
      </c>
      <c r="C1399" s="1">
        <v>42064</v>
      </c>
      <c r="D1399">
        <v>646809552.53999996</v>
      </c>
      <c r="E1399">
        <v>6</v>
      </c>
    </row>
    <row r="1400" spans="2:5">
      <c r="B1400" t="s">
        <v>19</v>
      </c>
      <c r="C1400" s="1">
        <v>42064</v>
      </c>
      <c r="D1400">
        <v>621440129.88</v>
      </c>
      <c r="E1400">
        <v>7</v>
      </c>
    </row>
    <row r="1401" spans="2:5">
      <c r="B1401" t="s">
        <v>48</v>
      </c>
      <c r="C1401" s="1">
        <v>42064</v>
      </c>
      <c r="D1401">
        <v>326128397.55000001</v>
      </c>
      <c r="E1401">
        <v>8</v>
      </c>
    </row>
    <row r="1402" spans="2:5">
      <c r="B1402" t="s">
        <v>135</v>
      </c>
      <c r="C1402" s="1">
        <v>42064</v>
      </c>
      <c r="D1402">
        <v>315657524.16000003</v>
      </c>
      <c r="E1402">
        <v>9</v>
      </c>
    </row>
    <row r="1403" spans="2:5">
      <c r="B1403" t="s">
        <v>6</v>
      </c>
      <c r="C1403" s="1">
        <v>42064</v>
      </c>
      <c r="D1403">
        <v>286622176.11000001</v>
      </c>
      <c r="E1403">
        <v>10</v>
      </c>
    </row>
    <row r="1404" spans="2:5">
      <c r="B1404" t="s">
        <v>42</v>
      </c>
      <c r="C1404" s="1">
        <v>42095</v>
      </c>
      <c r="D1404">
        <v>3989498244.73</v>
      </c>
      <c r="E1404">
        <v>1</v>
      </c>
    </row>
    <row r="1405" spans="2:5">
      <c r="B1405" t="s">
        <v>51</v>
      </c>
      <c r="C1405" s="1">
        <v>42095</v>
      </c>
      <c r="D1405">
        <v>1236818021.4200001</v>
      </c>
      <c r="E1405">
        <v>2</v>
      </c>
    </row>
    <row r="1406" spans="2:5">
      <c r="B1406" t="s">
        <v>8</v>
      </c>
      <c r="C1406" s="1">
        <v>42095</v>
      </c>
      <c r="D1406">
        <v>1065506117.12</v>
      </c>
      <c r="E1406">
        <v>3</v>
      </c>
    </row>
    <row r="1407" spans="2:5">
      <c r="B1407" t="s">
        <v>50</v>
      </c>
      <c r="C1407" s="1">
        <v>42095</v>
      </c>
      <c r="D1407">
        <v>881320747.49000001</v>
      </c>
      <c r="E1407">
        <v>4</v>
      </c>
    </row>
    <row r="1408" spans="2:5">
      <c r="B1408" t="s">
        <v>19</v>
      </c>
      <c r="C1408" s="1">
        <v>42095</v>
      </c>
      <c r="D1408">
        <v>623580469.82000005</v>
      </c>
      <c r="E1408">
        <v>5</v>
      </c>
    </row>
    <row r="1409" spans="2:5">
      <c r="B1409" t="s">
        <v>49</v>
      </c>
      <c r="C1409" s="1">
        <v>42095</v>
      </c>
      <c r="D1409">
        <v>494069444.08999997</v>
      </c>
      <c r="E1409">
        <v>6</v>
      </c>
    </row>
    <row r="1410" spans="2:5">
      <c r="B1410" t="s">
        <v>46</v>
      </c>
      <c r="C1410" s="1">
        <v>42095</v>
      </c>
      <c r="D1410">
        <v>465307777.93000001</v>
      </c>
      <c r="E1410">
        <v>7</v>
      </c>
    </row>
    <row r="1411" spans="2:5">
      <c r="B1411" t="s">
        <v>145</v>
      </c>
      <c r="C1411" s="1">
        <v>42095</v>
      </c>
      <c r="D1411">
        <v>460804668.19</v>
      </c>
      <c r="E1411">
        <v>8</v>
      </c>
    </row>
    <row r="1412" spans="2:5">
      <c r="B1412" t="s">
        <v>48</v>
      </c>
      <c r="C1412" s="1">
        <v>42095</v>
      </c>
      <c r="D1412">
        <v>442633884.63999999</v>
      </c>
      <c r="E1412">
        <v>9</v>
      </c>
    </row>
    <row r="1413" spans="2:5">
      <c r="B1413" t="s">
        <v>135</v>
      </c>
      <c r="C1413" s="1">
        <v>42095</v>
      </c>
      <c r="D1413">
        <v>442043383.19</v>
      </c>
      <c r="E1413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26"/>
  <sheetViews>
    <sheetView workbookViewId="0">
      <selection activeCell="G3" sqref="G3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59</v>
      </c>
      <c r="K1" s="2" t="s">
        <v>3</v>
      </c>
      <c r="L1" s="5">
        <v>1</v>
      </c>
    </row>
    <row r="2" spans="3:12">
      <c r="C2" t="s">
        <v>58</v>
      </c>
      <c r="G2" t="s">
        <v>60</v>
      </c>
      <c r="K2" t="s">
        <v>61</v>
      </c>
    </row>
    <row r="3" spans="3:12">
      <c r="C3" s="2" t="s">
        <v>54</v>
      </c>
      <c r="D3" t="s">
        <v>56</v>
      </c>
      <c r="G3" s="2" t="s">
        <v>54</v>
      </c>
      <c r="H3" t="s">
        <v>56</v>
      </c>
      <c r="K3" s="2" t="s">
        <v>54</v>
      </c>
      <c r="L3" t="s">
        <v>56</v>
      </c>
    </row>
    <row r="4" spans="3:12">
      <c r="C4" s="3">
        <v>39083</v>
      </c>
      <c r="D4" s="4">
        <v>6674311435.8299999</v>
      </c>
      <c r="G4" s="3">
        <v>39083</v>
      </c>
      <c r="H4" s="4">
        <v>5323047293.8299999</v>
      </c>
      <c r="K4" s="3">
        <v>39083</v>
      </c>
      <c r="L4" s="4">
        <v>2473400845.6300001</v>
      </c>
    </row>
    <row r="5" spans="3:12">
      <c r="C5" s="3">
        <v>39114</v>
      </c>
      <c r="D5" s="4">
        <v>6799728108.1700001</v>
      </c>
      <c r="G5" s="3">
        <v>39114</v>
      </c>
      <c r="H5" s="4">
        <v>5488484085.8400002</v>
      </c>
      <c r="K5" s="3">
        <v>39114</v>
      </c>
      <c r="L5" s="4">
        <v>1685524401.6800001</v>
      </c>
    </row>
    <row r="6" spans="3:12">
      <c r="C6" s="3">
        <v>39142</v>
      </c>
      <c r="D6" s="4">
        <v>6809494426.5699997</v>
      </c>
      <c r="G6" s="3">
        <v>39142</v>
      </c>
      <c r="H6" s="4">
        <v>5575179869.1799994</v>
      </c>
      <c r="K6" s="3">
        <v>39142</v>
      </c>
      <c r="L6" s="4">
        <v>1782572404.98</v>
      </c>
    </row>
    <row r="7" spans="3:12">
      <c r="C7" s="3">
        <v>39173</v>
      </c>
      <c r="D7" s="4">
        <v>6859596823.1999998</v>
      </c>
      <c r="G7" s="3">
        <v>39173</v>
      </c>
      <c r="H7" s="4">
        <v>5109808044.1499996</v>
      </c>
      <c r="K7" s="3">
        <v>39173</v>
      </c>
      <c r="L7" s="4">
        <v>1447162932</v>
      </c>
    </row>
    <row r="8" spans="3:12">
      <c r="C8" s="3">
        <v>39203</v>
      </c>
      <c r="D8" s="4">
        <v>9198286813.7699986</v>
      </c>
      <c r="G8" s="3">
        <v>39203</v>
      </c>
      <c r="H8" s="4">
        <v>7610201505.5699997</v>
      </c>
      <c r="K8" s="3">
        <v>39203</v>
      </c>
      <c r="L8" s="4">
        <v>2391529898.25</v>
      </c>
    </row>
    <row r="9" spans="3:12">
      <c r="C9" s="3">
        <v>39234</v>
      </c>
      <c r="D9" s="4">
        <v>1652952401</v>
      </c>
      <c r="G9" s="3">
        <v>39234</v>
      </c>
      <c r="H9" s="4">
        <v>1457967239</v>
      </c>
      <c r="K9" s="3">
        <v>39234</v>
      </c>
      <c r="L9" s="4">
        <v>529500000</v>
      </c>
    </row>
    <row r="10" spans="3:12">
      <c r="C10" s="3">
        <v>39264</v>
      </c>
      <c r="D10" s="4">
        <v>1488815762.96</v>
      </c>
      <c r="G10" s="3">
        <v>39264</v>
      </c>
      <c r="H10" s="4">
        <v>1146656515.9000001</v>
      </c>
      <c r="K10" s="3">
        <v>39264</v>
      </c>
      <c r="L10" s="4">
        <v>587402404.38</v>
      </c>
    </row>
    <row r="11" spans="3:12">
      <c r="C11" s="3">
        <v>39295</v>
      </c>
      <c r="D11" s="4">
        <v>9612397022.6000004</v>
      </c>
      <c r="G11" s="3">
        <v>39295</v>
      </c>
      <c r="H11" s="4">
        <v>7239390881.3999996</v>
      </c>
      <c r="K11" s="3">
        <v>39295</v>
      </c>
      <c r="L11" s="4">
        <v>2776259321.4400001</v>
      </c>
    </row>
    <row r="12" spans="3:12">
      <c r="C12" s="3">
        <v>39326</v>
      </c>
      <c r="D12" s="4">
        <v>11042488079.07</v>
      </c>
      <c r="G12" s="3">
        <v>39326</v>
      </c>
      <c r="H12" s="4">
        <v>7954955059.3899994</v>
      </c>
      <c r="K12" s="3">
        <v>39326</v>
      </c>
      <c r="L12" s="4">
        <v>1933443256.51</v>
      </c>
    </row>
    <row r="13" spans="3:12">
      <c r="C13" s="3">
        <v>39356</v>
      </c>
      <c r="D13" s="4">
        <v>9416468641.1799984</v>
      </c>
      <c r="G13" s="3">
        <v>39356</v>
      </c>
      <c r="H13" s="4">
        <v>7606274729.2600002</v>
      </c>
      <c r="K13" s="3">
        <v>39356</v>
      </c>
      <c r="L13" s="4">
        <v>1995857574.76</v>
      </c>
    </row>
    <row r="14" spans="3:12">
      <c r="C14" s="3">
        <v>39387</v>
      </c>
      <c r="D14" s="4">
        <v>9612570976.6300011</v>
      </c>
      <c r="G14" s="3">
        <v>39387</v>
      </c>
      <c r="H14" s="4">
        <v>7421703057.6300001</v>
      </c>
      <c r="K14" s="3">
        <v>39387</v>
      </c>
      <c r="L14" s="4">
        <v>2316613344.4400001</v>
      </c>
    </row>
    <row r="15" spans="3:12">
      <c r="C15" s="3">
        <v>39417</v>
      </c>
      <c r="D15" s="4">
        <v>9869729214.1999969</v>
      </c>
      <c r="G15" s="3">
        <v>39417</v>
      </c>
      <c r="H15" s="4">
        <v>8221797129.8999996</v>
      </c>
      <c r="K15" s="3">
        <v>39417</v>
      </c>
      <c r="L15" s="4">
        <v>2828027093.6300001</v>
      </c>
    </row>
    <row r="16" spans="3:12">
      <c r="C16" s="3">
        <v>39448</v>
      </c>
      <c r="D16" s="4">
        <v>9982528198.8299999</v>
      </c>
      <c r="G16" s="3">
        <v>39448</v>
      </c>
      <c r="H16" s="4">
        <v>7780668060.5</v>
      </c>
      <c r="K16" s="3">
        <v>39448</v>
      </c>
      <c r="L16" s="4">
        <v>2858003053.02</v>
      </c>
    </row>
    <row r="17" spans="3:12">
      <c r="C17" s="3">
        <v>39479</v>
      </c>
      <c r="D17" s="4">
        <v>9584012565.3600006</v>
      </c>
      <c r="G17" s="3">
        <v>39479</v>
      </c>
      <c r="H17" s="4">
        <v>7959506788.3299999</v>
      </c>
      <c r="K17" s="3">
        <v>39479</v>
      </c>
      <c r="L17" s="4">
        <v>2798703942.1700001</v>
      </c>
    </row>
    <row r="18" spans="3:12">
      <c r="C18" s="3">
        <v>39508</v>
      </c>
      <c r="D18" s="4">
        <v>7284626050.46</v>
      </c>
      <c r="G18" s="3">
        <v>39508</v>
      </c>
      <c r="H18" s="4">
        <v>5954371435.4099998</v>
      </c>
      <c r="K18" s="3">
        <v>39508</v>
      </c>
      <c r="L18" s="4">
        <v>2845541368.1100001</v>
      </c>
    </row>
    <row r="19" spans="3:12">
      <c r="C19" s="3">
        <v>39539</v>
      </c>
      <c r="D19" s="4">
        <v>10085614923.200001</v>
      </c>
      <c r="G19" s="3">
        <v>39539</v>
      </c>
      <c r="H19" s="4">
        <v>8533686552.0299997</v>
      </c>
      <c r="K19" s="3">
        <v>39539</v>
      </c>
      <c r="L19" s="4">
        <v>3682275010.96</v>
      </c>
    </row>
    <row r="20" spans="3:12">
      <c r="C20" s="3">
        <v>39569</v>
      </c>
      <c r="D20" s="4">
        <v>7445184705.0599995</v>
      </c>
      <c r="G20" s="3">
        <v>39569</v>
      </c>
      <c r="H20" s="4">
        <v>6162502436.0100002</v>
      </c>
      <c r="K20" s="3">
        <v>39569</v>
      </c>
      <c r="L20" s="4">
        <v>2135218352.8499999</v>
      </c>
    </row>
    <row r="21" spans="3:12">
      <c r="C21" s="3">
        <v>39600</v>
      </c>
      <c r="D21" s="4">
        <v>6138207195.4199991</v>
      </c>
      <c r="G21" s="3">
        <v>39600</v>
      </c>
      <c r="H21" s="4">
        <v>5281965976.7699995</v>
      </c>
      <c r="K21" s="3">
        <v>39600</v>
      </c>
      <c r="L21" s="4">
        <v>1731032257</v>
      </c>
    </row>
    <row r="22" spans="3:12">
      <c r="C22" s="3">
        <v>39630</v>
      </c>
      <c r="D22" s="4">
        <v>6395815397.420001</v>
      </c>
      <c r="G22" s="3">
        <v>39630</v>
      </c>
      <c r="H22" s="4">
        <v>5234712408.25</v>
      </c>
      <c r="K22" s="3">
        <v>39630</v>
      </c>
      <c r="L22" s="4">
        <v>1349863752</v>
      </c>
    </row>
    <row r="23" spans="3:12">
      <c r="C23" s="3">
        <v>39661</v>
      </c>
      <c r="D23" s="4">
        <v>5214013862.3999996</v>
      </c>
      <c r="G23" s="3">
        <v>39661</v>
      </c>
      <c r="H23" s="4">
        <v>4521213770.9700003</v>
      </c>
      <c r="K23" s="3">
        <v>39661</v>
      </c>
      <c r="L23" s="4">
        <v>1212308338</v>
      </c>
    </row>
    <row r="24" spans="3:12">
      <c r="C24" s="3">
        <v>39692</v>
      </c>
      <c r="D24" s="4">
        <v>4439787050.0500002</v>
      </c>
      <c r="G24" s="3">
        <v>39692</v>
      </c>
      <c r="H24" s="4">
        <v>3783609627.0999999</v>
      </c>
      <c r="K24" s="3">
        <v>39692</v>
      </c>
      <c r="L24" s="4">
        <v>1097946836.3599999</v>
      </c>
    </row>
    <row r="25" spans="3:12">
      <c r="C25" s="3">
        <v>39722</v>
      </c>
      <c r="D25" s="4">
        <v>4422769604.5500002</v>
      </c>
      <c r="G25" s="3">
        <v>39722</v>
      </c>
      <c r="H25" s="4">
        <v>3771393714.1300001</v>
      </c>
      <c r="K25" s="3">
        <v>39722</v>
      </c>
      <c r="L25" s="4">
        <v>1065916156.21</v>
      </c>
    </row>
    <row r="26" spans="3:12">
      <c r="C26" s="3">
        <v>39753</v>
      </c>
      <c r="D26" s="4">
        <v>3302187082.1700001</v>
      </c>
      <c r="G26" s="3">
        <v>39753</v>
      </c>
      <c r="H26" s="4">
        <v>2559996551.1800003</v>
      </c>
      <c r="K26" s="3">
        <v>39753</v>
      </c>
      <c r="L26" s="4">
        <v>715357720.58000004</v>
      </c>
    </row>
    <row r="27" spans="3:12">
      <c r="C27" s="3">
        <v>39783</v>
      </c>
      <c r="D27" s="4">
        <v>7917901194</v>
      </c>
      <c r="G27" s="3">
        <v>39783</v>
      </c>
      <c r="H27" s="4">
        <v>6408212298.7800007</v>
      </c>
      <c r="K27" s="3">
        <v>39783</v>
      </c>
      <c r="L27" s="4">
        <v>2336672835.98</v>
      </c>
    </row>
    <row r="28" spans="3:12">
      <c r="C28" s="3">
        <v>39814</v>
      </c>
      <c r="D28" s="4">
        <v>3300283119.5700002</v>
      </c>
      <c r="G28" s="3">
        <v>39814</v>
      </c>
      <c r="H28" s="4">
        <v>2608839545.5</v>
      </c>
      <c r="K28" s="3">
        <v>39814</v>
      </c>
      <c r="L28" s="4">
        <v>923120637.58000004</v>
      </c>
    </row>
    <row r="29" spans="3:12">
      <c r="C29" s="3">
        <v>39845</v>
      </c>
      <c r="D29" s="4">
        <v>5201422850.5599995</v>
      </c>
      <c r="G29" s="3">
        <v>39845</v>
      </c>
      <c r="H29" s="4">
        <v>4164887653.8199997</v>
      </c>
      <c r="K29" s="3">
        <v>39845</v>
      </c>
      <c r="L29" s="4">
        <v>1405817023</v>
      </c>
    </row>
    <row r="30" spans="3:12">
      <c r="C30" s="3">
        <v>39873</v>
      </c>
      <c r="D30" s="4">
        <v>8099774292.1999989</v>
      </c>
      <c r="G30" s="3">
        <v>39873</v>
      </c>
      <c r="H30" s="4">
        <v>6753243174.9599991</v>
      </c>
      <c r="K30" s="3">
        <v>39873</v>
      </c>
      <c r="L30" s="4">
        <v>2137733570.1199999</v>
      </c>
    </row>
    <row r="31" spans="3:12">
      <c r="C31" s="3">
        <v>39904</v>
      </c>
      <c r="D31" s="4">
        <v>9675994781.2399998</v>
      </c>
      <c r="G31" s="3">
        <v>39904</v>
      </c>
      <c r="H31" s="4">
        <v>7894298749.4099998</v>
      </c>
      <c r="K31" s="3">
        <v>39904</v>
      </c>
      <c r="L31" s="4">
        <v>2635227445.8499999</v>
      </c>
    </row>
    <row r="32" spans="3:12">
      <c r="C32" s="3">
        <v>39934</v>
      </c>
      <c r="D32" s="4">
        <v>16631227247.480001</v>
      </c>
      <c r="G32" s="3">
        <v>39934</v>
      </c>
      <c r="H32" s="4">
        <v>12966607497.27</v>
      </c>
      <c r="K32" s="3">
        <v>39934</v>
      </c>
      <c r="L32" s="4">
        <v>5729582604.1499996</v>
      </c>
    </row>
    <row r="33" spans="3:12">
      <c r="C33" s="3">
        <v>39965</v>
      </c>
      <c r="D33" s="4">
        <v>15825089941.179998</v>
      </c>
      <c r="G33" s="3">
        <v>39965</v>
      </c>
      <c r="H33" s="4">
        <v>12315584493.069998</v>
      </c>
      <c r="K33" s="3">
        <v>39965</v>
      </c>
      <c r="L33" s="4">
        <v>3886793291.8899999</v>
      </c>
    </row>
    <row r="34" spans="3:12">
      <c r="C34" s="3">
        <v>39995</v>
      </c>
      <c r="D34" s="4">
        <v>10138804292.26</v>
      </c>
      <c r="G34" s="3">
        <v>39995</v>
      </c>
      <c r="H34" s="4">
        <v>7912360782.0100002</v>
      </c>
      <c r="K34" s="3">
        <v>39995</v>
      </c>
      <c r="L34" s="4">
        <v>2256690852.2199998</v>
      </c>
    </row>
    <row r="35" spans="3:12">
      <c r="C35" s="3">
        <v>40026</v>
      </c>
      <c r="D35" s="4">
        <v>7191663293.3400002</v>
      </c>
      <c r="G35" s="3">
        <v>40026</v>
      </c>
      <c r="H35" s="4">
        <v>5426106598.6499996</v>
      </c>
      <c r="K35" s="3">
        <v>40026</v>
      </c>
      <c r="L35" s="4">
        <v>1508806380.53</v>
      </c>
    </row>
    <row r="36" spans="3:12">
      <c r="C36" s="3">
        <v>40057</v>
      </c>
      <c r="D36" s="4">
        <v>6144541151.1600008</v>
      </c>
      <c r="G36" s="3">
        <v>40057</v>
      </c>
      <c r="H36" s="4">
        <v>4431818259.2700005</v>
      </c>
      <c r="K36" s="3">
        <v>40057</v>
      </c>
      <c r="L36" s="4">
        <v>1455262864.3900001</v>
      </c>
    </row>
    <row r="37" spans="3:12">
      <c r="C37" s="3">
        <v>40087</v>
      </c>
      <c r="D37" s="4">
        <v>4673266833.21</v>
      </c>
      <c r="G37" s="3">
        <v>40087</v>
      </c>
      <c r="H37" s="4">
        <v>3647023090.8199997</v>
      </c>
      <c r="K37" s="3">
        <v>40087</v>
      </c>
      <c r="L37" s="4">
        <v>1418743217.1300001</v>
      </c>
    </row>
    <row r="38" spans="3:12">
      <c r="C38" s="3">
        <v>40118</v>
      </c>
      <c r="D38" s="4">
        <v>5187264580.5900002</v>
      </c>
      <c r="G38" s="3">
        <v>40118</v>
      </c>
      <c r="H38" s="4">
        <v>4209164136.5900002</v>
      </c>
      <c r="K38" s="3">
        <v>40118</v>
      </c>
      <c r="L38" s="4">
        <v>1807093775.6700001</v>
      </c>
    </row>
    <row r="39" spans="3:12">
      <c r="C39" s="3">
        <v>40148</v>
      </c>
      <c r="D39" s="4">
        <v>6267023192.8300009</v>
      </c>
      <c r="G39" s="3">
        <v>40148</v>
      </c>
      <c r="H39" s="4">
        <v>4953854976.7700005</v>
      </c>
      <c r="K39" s="3">
        <v>40148</v>
      </c>
      <c r="L39" s="4">
        <v>1731178948.49</v>
      </c>
    </row>
    <row r="40" spans="3:12">
      <c r="C40" s="3">
        <v>40179</v>
      </c>
      <c r="D40" s="4">
        <v>5779565710</v>
      </c>
      <c r="G40" s="3">
        <v>40179</v>
      </c>
      <c r="H40" s="4">
        <v>4166678306.75</v>
      </c>
      <c r="K40" s="3">
        <v>40179</v>
      </c>
      <c r="L40" s="4">
        <v>1887253190.6600001</v>
      </c>
    </row>
    <row r="41" spans="3:12">
      <c r="C41" s="3">
        <v>40210</v>
      </c>
      <c r="D41" s="4">
        <v>5161258670.1899996</v>
      </c>
      <c r="G41" s="3">
        <v>40210</v>
      </c>
      <c r="H41" s="4">
        <v>3784686684.2799997</v>
      </c>
      <c r="K41" s="3">
        <v>40210</v>
      </c>
      <c r="L41" s="4">
        <v>2017223525.6800001</v>
      </c>
    </row>
    <row r="42" spans="3:12">
      <c r="C42" s="3">
        <v>40238</v>
      </c>
      <c r="D42" s="4">
        <v>3559555993.6900005</v>
      </c>
      <c r="G42" s="3">
        <v>40238</v>
      </c>
      <c r="H42" s="4">
        <v>2603533805.5</v>
      </c>
      <c r="K42" s="3">
        <v>40238</v>
      </c>
      <c r="L42" s="4">
        <v>1009165492.87</v>
      </c>
    </row>
    <row r="43" spans="3:12">
      <c r="C43" s="3">
        <v>40269</v>
      </c>
      <c r="D43" s="4">
        <v>4192321864.4699998</v>
      </c>
      <c r="G43" s="3">
        <v>40269</v>
      </c>
      <c r="H43" s="4">
        <v>3058674109.3299999</v>
      </c>
      <c r="K43" s="3">
        <v>40269</v>
      </c>
      <c r="L43" s="4">
        <v>1206641880.98</v>
      </c>
    </row>
    <row r="44" spans="3:12">
      <c r="C44" s="3">
        <v>40299</v>
      </c>
      <c r="D44" s="4">
        <v>4381569427.4099998</v>
      </c>
      <c r="G44" s="3">
        <v>40299</v>
      </c>
      <c r="H44" s="4">
        <v>3479178192.2999997</v>
      </c>
      <c r="K44" s="3">
        <v>40299</v>
      </c>
      <c r="L44" s="4">
        <v>1280550786.26</v>
      </c>
    </row>
    <row r="45" spans="3:12">
      <c r="C45" s="3">
        <v>40330</v>
      </c>
      <c r="D45" s="4">
        <v>5374440537.4000006</v>
      </c>
      <c r="G45" s="3">
        <v>40330</v>
      </c>
      <c r="H45" s="4">
        <v>4368467478.8699999</v>
      </c>
      <c r="K45" s="3">
        <v>40330</v>
      </c>
      <c r="L45" s="4">
        <v>1873141654.6800001</v>
      </c>
    </row>
    <row r="46" spans="3:12">
      <c r="C46" s="3">
        <v>40360</v>
      </c>
      <c r="D46" s="4">
        <v>6454731916.5699997</v>
      </c>
      <c r="G46" s="3">
        <v>40360</v>
      </c>
      <c r="H46" s="4">
        <v>5265427102.4799995</v>
      </c>
      <c r="K46" s="3">
        <v>40360</v>
      </c>
      <c r="L46" s="4">
        <v>2520047942.54</v>
      </c>
    </row>
    <row r="47" spans="3:12">
      <c r="C47" s="3">
        <v>40391</v>
      </c>
      <c r="D47" s="4">
        <v>8484312750.2099991</v>
      </c>
      <c r="G47" s="3">
        <v>40391</v>
      </c>
      <c r="H47" s="4">
        <v>6824069886.7099991</v>
      </c>
      <c r="K47" s="3">
        <v>40391</v>
      </c>
      <c r="L47" s="4">
        <v>2690541294.77</v>
      </c>
    </row>
    <row r="48" spans="3:12">
      <c r="C48" s="3">
        <v>40422</v>
      </c>
      <c r="D48" s="4">
        <v>11576976297.039999</v>
      </c>
      <c r="G48" s="3">
        <v>40422</v>
      </c>
      <c r="H48" s="4">
        <v>9432107049.0699997</v>
      </c>
      <c r="K48" s="3">
        <v>40422</v>
      </c>
      <c r="L48" s="4">
        <v>3646842839.0100002</v>
      </c>
    </row>
    <row r="49" spans="3:12">
      <c r="C49" s="3">
        <v>40452</v>
      </c>
      <c r="D49" s="4">
        <v>12656435684.909998</v>
      </c>
      <c r="G49" s="3">
        <v>40452</v>
      </c>
      <c r="H49" s="4">
        <v>10039143710.769999</v>
      </c>
      <c r="K49" s="3">
        <v>40452</v>
      </c>
      <c r="L49" s="4">
        <v>4867074403.2299995</v>
      </c>
    </row>
    <row r="50" spans="3:12">
      <c r="C50" s="3">
        <v>40483</v>
      </c>
      <c r="D50" s="4">
        <v>14834313042.26</v>
      </c>
      <c r="G50" s="3">
        <v>40483</v>
      </c>
      <c r="H50" s="4">
        <v>11350936263.34</v>
      </c>
      <c r="K50" s="3">
        <v>40483</v>
      </c>
      <c r="L50" s="4">
        <v>4631288816.5799999</v>
      </c>
    </row>
    <row r="51" spans="3:12">
      <c r="C51" s="3">
        <v>40513</v>
      </c>
      <c r="D51" s="4">
        <v>12341272353.4</v>
      </c>
      <c r="G51" s="3">
        <v>40513</v>
      </c>
      <c r="H51" s="4">
        <v>9152693473.8100014</v>
      </c>
      <c r="K51" s="3">
        <v>40513</v>
      </c>
      <c r="L51" s="4">
        <v>4077546240.5599999</v>
      </c>
    </row>
    <row r="52" spans="3:12">
      <c r="C52" s="3">
        <v>40544</v>
      </c>
      <c r="D52" s="4">
        <v>11385628436.73</v>
      </c>
      <c r="G52" s="3">
        <v>40544</v>
      </c>
      <c r="H52" s="4">
        <v>9266845860.4399986</v>
      </c>
      <c r="K52" s="3">
        <v>40544</v>
      </c>
      <c r="L52" s="4">
        <v>3768046307.4699998</v>
      </c>
    </row>
    <row r="53" spans="3:12">
      <c r="C53" s="3">
        <v>40575</v>
      </c>
      <c r="D53" s="4">
        <v>7623069247.4599991</v>
      </c>
      <c r="G53" s="3">
        <v>40575</v>
      </c>
      <c r="H53" s="4">
        <v>5879680083.6999998</v>
      </c>
      <c r="K53" s="3">
        <v>40575</v>
      </c>
      <c r="L53" s="4">
        <v>2208311207.8699999</v>
      </c>
    </row>
    <row r="54" spans="3:12">
      <c r="C54" s="3">
        <v>40603</v>
      </c>
      <c r="D54" s="4">
        <v>7748425558.250001</v>
      </c>
      <c r="G54" s="3">
        <v>40603</v>
      </c>
      <c r="H54" s="4">
        <v>6303199643.5500002</v>
      </c>
      <c r="K54" s="3">
        <v>40603</v>
      </c>
      <c r="L54" s="4">
        <v>2586644966.1999998</v>
      </c>
    </row>
    <row r="55" spans="3:12">
      <c r="C55" s="3">
        <v>40634</v>
      </c>
      <c r="D55" s="4">
        <v>4432340903.5200005</v>
      </c>
      <c r="G55" s="3">
        <v>40634</v>
      </c>
      <c r="H55" s="4">
        <v>3171512784.1500001</v>
      </c>
      <c r="K55" s="3">
        <v>40634</v>
      </c>
      <c r="L55" s="4">
        <v>1116379416.3</v>
      </c>
    </row>
    <row r="56" spans="3:12">
      <c r="C56" s="3">
        <v>40664</v>
      </c>
      <c r="D56" s="4">
        <v>4998911127.1500006</v>
      </c>
      <c r="G56" s="3">
        <v>40664</v>
      </c>
      <c r="H56" s="4">
        <v>3872424052.6000004</v>
      </c>
      <c r="K56" s="3">
        <v>40664</v>
      </c>
      <c r="L56" s="4">
        <v>1714672795.1500001</v>
      </c>
    </row>
    <row r="57" spans="3:12">
      <c r="C57" s="3">
        <v>40695</v>
      </c>
      <c r="D57" s="4">
        <v>6745288126.8900003</v>
      </c>
      <c r="G57" s="3">
        <v>40695</v>
      </c>
      <c r="H57" s="4">
        <v>5763437074.1199999</v>
      </c>
      <c r="K57" s="3">
        <v>40695</v>
      </c>
      <c r="L57" s="4">
        <v>3143184905.6100001</v>
      </c>
    </row>
    <row r="58" spans="3:12">
      <c r="C58" s="3">
        <v>40725</v>
      </c>
      <c r="D58" s="4">
        <v>4377970918.3999996</v>
      </c>
      <c r="G58" s="3">
        <v>40725</v>
      </c>
      <c r="H58" s="4">
        <v>3487040912.9499998</v>
      </c>
      <c r="K58" s="3">
        <v>40725</v>
      </c>
      <c r="L58" s="4">
        <v>1623998106.96</v>
      </c>
    </row>
    <row r="59" spans="3:12">
      <c r="C59" s="3">
        <v>40756</v>
      </c>
      <c r="D59" s="4">
        <v>6453457227.3000002</v>
      </c>
      <c r="G59" s="3">
        <v>40756</v>
      </c>
      <c r="H59" s="4">
        <v>5522768596.5700006</v>
      </c>
      <c r="K59" s="3">
        <v>40756</v>
      </c>
      <c r="L59" s="4">
        <v>2329334472.6700001</v>
      </c>
    </row>
    <row r="60" spans="3:12">
      <c r="C60" s="3">
        <v>40787</v>
      </c>
      <c r="D60" s="4">
        <v>8437516651.4499998</v>
      </c>
      <c r="G60" s="3">
        <v>40787</v>
      </c>
      <c r="H60" s="4">
        <v>7113857508.8599997</v>
      </c>
      <c r="K60" s="3">
        <v>40787</v>
      </c>
      <c r="L60" s="4">
        <v>3396559955.0900002</v>
      </c>
    </row>
    <row r="61" spans="3:12">
      <c r="C61" s="3">
        <v>40817</v>
      </c>
      <c r="D61" s="4">
        <v>9620394452.5599995</v>
      </c>
      <c r="G61" s="3">
        <v>40817</v>
      </c>
      <c r="H61" s="4">
        <v>7823983783.4899988</v>
      </c>
      <c r="K61" s="3">
        <v>40817</v>
      </c>
      <c r="L61" s="4">
        <v>2189275465.2199998</v>
      </c>
    </row>
    <row r="62" spans="3:12">
      <c r="C62" s="3">
        <v>40848</v>
      </c>
      <c r="D62" s="4">
        <v>12522548194.17</v>
      </c>
      <c r="G62" s="3">
        <v>40848</v>
      </c>
      <c r="H62" s="4">
        <v>10297314402.48</v>
      </c>
      <c r="K62" s="3">
        <v>40848</v>
      </c>
      <c r="L62" s="4">
        <v>3660860542.1399999</v>
      </c>
    </row>
    <row r="63" spans="3:12">
      <c r="C63" s="3">
        <v>40878</v>
      </c>
      <c r="D63" s="4">
        <v>13931724131.58</v>
      </c>
      <c r="G63" s="3">
        <v>40878</v>
      </c>
      <c r="H63" s="4">
        <v>11440930773.609999</v>
      </c>
      <c r="K63" s="3">
        <v>40878</v>
      </c>
      <c r="L63" s="4">
        <v>4076990497.6900001</v>
      </c>
    </row>
    <row r="64" spans="3:12">
      <c r="C64" s="3">
        <v>40909</v>
      </c>
      <c r="D64" s="4">
        <v>10309115791.960001</v>
      </c>
      <c r="G64" s="3">
        <v>40909</v>
      </c>
      <c r="H64" s="4">
        <v>7606526639.4000006</v>
      </c>
      <c r="K64" s="3">
        <v>40909</v>
      </c>
      <c r="L64" s="4">
        <v>2078917820.78</v>
      </c>
    </row>
    <row r="65" spans="3:12">
      <c r="C65" s="3">
        <v>40940</v>
      </c>
      <c r="D65" s="4">
        <v>10980629490.470001</v>
      </c>
      <c r="G65" s="3">
        <v>40940</v>
      </c>
      <c r="H65" s="4">
        <v>8427711608.2600002</v>
      </c>
      <c r="K65" s="3">
        <v>40940</v>
      </c>
      <c r="L65" s="4">
        <v>2741562711.46</v>
      </c>
    </row>
    <row r="66" spans="3:12">
      <c r="C66" s="3">
        <v>40969</v>
      </c>
      <c r="D66" s="4">
        <v>14440917173.190001</v>
      </c>
      <c r="G66" s="3">
        <v>40969</v>
      </c>
      <c r="H66" s="4">
        <v>10428628066.84</v>
      </c>
      <c r="K66" s="3">
        <v>40969</v>
      </c>
      <c r="L66" s="4">
        <v>2975788477.54</v>
      </c>
    </row>
    <row r="67" spans="3:12">
      <c r="C67" s="3">
        <v>41000</v>
      </c>
      <c r="D67" s="4">
        <v>8158867914.6200008</v>
      </c>
      <c r="G67" s="3">
        <v>41000</v>
      </c>
      <c r="H67" s="4">
        <v>6101284240.1800003</v>
      </c>
      <c r="K67" s="3">
        <v>41000</v>
      </c>
      <c r="L67" s="4">
        <v>2312712574.1100001</v>
      </c>
    </row>
    <row r="68" spans="3:12">
      <c r="C68" s="3">
        <v>41030</v>
      </c>
      <c r="D68" s="4">
        <v>11781122699.619999</v>
      </c>
      <c r="G68" s="3">
        <v>41030</v>
      </c>
      <c r="H68" s="4">
        <v>8834061053.9799995</v>
      </c>
      <c r="K68" s="3">
        <v>41030</v>
      </c>
      <c r="L68" s="4">
        <v>2844809039.77</v>
      </c>
    </row>
    <row r="69" spans="3:12">
      <c r="C69" s="3">
        <v>41061</v>
      </c>
      <c r="D69" s="4">
        <v>11805775213.190001</v>
      </c>
      <c r="G69" s="3">
        <v>41061</v>
      </c>
      <c r="H69" s="4">
        <v>8849028759.2600002</v>
      </c>
      <c r="K69" s="3">
        <v>41061</v>
      </c>
      <c r="L69" s="4">
        <v>2599950568.2399998</v>
      </c>
    </row>
    <row r="70" spans="3:12">
      <c r="C70" s="3">
        <v>41091</v>
      </c>
      <c r="D70" s="4">
        <v>13510056806.829998</v>
      </c>
      <c r="G70" s="3">
        <v>41091</v>
      </c>
      <c r="H70" s="4">
        <v>10615326313.65</v>
      </c>
      <c r="K70" s="3">
        <v>41091</v>
      </c>
      <c r="L70" s="4">
        <v>3652881360.4099998</v>
      </c>
    </row>
    <row r="71" spans="3:12">
      <c r="C71" s="3">
        <v>41122</v>
      </c>
      <c r="D71" s="4">
        <v>16174281977.67</v>
      </c>
      <c r="G71" s="3">
        <v>41122</v>
      </c>
      <c r="H71" s="4">
        <v>12503448649.93</v>
      </c>
      <c r="K71" s="3">
        <v>41122</v>
      </c>
      <c r="L71" s="4">
        <v>4795732432.7799997</v>
      </c>
    </row>
    <row r="72" spans="3:12">
      <c r="C72" s="3">
        <v>41153</v>
      </c>
      <c r="D72" s="4">
        <v>17065463542.49</v>
      </c>
      <c r="G72" s="3">
        <v>41153</v>
      </c>
      <c r="H72" s="4">
        <v>13199073258.299999</v>
      </c>
      <c r="K72" s="3">
        <v>41153</v>
      </c>
      <c r="L72" s="4">
        <v>4937311483.1499996</v>
      </c>
    </row>
    <row r="73" spans="3:12">
      <c r="C73" s="3">
        <v>41183</v>
      </c>
      <c r="D73" s="4">
        <v>15338386299.920002</v>
      </c>
      <c r="G73" s="3">
        <v>41183</v>
      </c>
      <c r="H73" s="4">
        <v>11876707977.630001</v>
      </c>
      <c r="K73" s="3">
        <v>41183</v>
      </c>
      <c r="L73" s="4">
        <v>4269923296.52</v>
      </c>
    </row>
    <row r="74" spans="3:12">
      <c r="C74" s="3">
        <v>41214</v>
      </c>
      <c r="D74" s="4">
        <v>20792513020.660004</v>
      </c>
      <c r="G74" s="3">
        <v>41214</v>
      </c>
      <c r="H74" s="4">
        <v>15313400296.139999</v>
      </c>
      <c r="K74" s="3">
        <v>41214</v>
      </c>
      <c r="L74" s="4">
        <v>5319861378.3900003</v>
      </c>
    </row>
    <row r="75" spans="3:12">
      <c r="C75" s="3">
        <v>41244</v>
      </c>
      <c r="D75" s="4">
        <v>17599336827.099998</v>
      </c>
      <c r="G75" s="3">
        <v>41244</v>
      </c>
      <c r="H75" s="4">
        <v>13995074584.920002</v>
      </c>
      <c r="K75" s="3">
        <v>41244</v>
      </c>
      <c r="L75" s="4">
        <v>4866573877.1400003</v>
      </c>
    </row>
    <row r="76" spans="3:12">
      <c r="C76" s="3">
        <v>41275</v>
      </c>
      <c r="D76" s="4">
        <v>20118746725.299999</v>
      </c>
      <c r="G76" s="3">
        <v>41275</v>
      </c>
      <c r="H76" s="4">
        <v>15691166318.830002</v>
      </c>
      <c r="K76" s="3">
        <v>41275</v>
      </c>
      <c r="L76" s="4">
        <v>5979329449.8800001</v>
      </c>
    </row>
    <row r="77" spans="3:12">
      <c r="C77" s="3">
        <v>41306</v>
      </c>
      <c r="D77" s="4">
        <v>16943814108.250002</v>
      </c>
      <c r="G77" s="3">
        <v>41306</v>
      </c>
      <c r="H77" s="4">
        <v>12624495371.5</v>
      </c>
      <c r="K77" s="3">
        <v>41306</v>
      </c>
      <c r="L77" s="4">
        <v>5069266638.7200003</v>
      </c>
    </row>
    <row r="78" spans="3:12">
      <c r="C78" s="3">
        <v>41334</v>
      </c>
      <c r="D78" s="4">
        <v>11730365628.620001</v>
      </c>
      <c r="G78" s="3">
        <v>41334</v>
      </c>
      <c r="H78" s="4">
        <v>8689803136.8100014</v>
      </c>
      <c r="K78" s="3">
        <v>41334</v>
      </c>
      <c r="L78" s="4">
        <v>4567963477.21</v>
      </c>
    </row>
    <row r="79" spans="3:12">
      <c r="C79" s="3">
        <v>41365</v>
      </c>
      <c r="D79" s="4">
        <v>14258545523.4</v>
      </c>
      <c r="G79" s="3">
        <v>41365</v>
      </c>
      <c r="H79" s="4">
        <v>10680691157.889999</v>
      </c>
      <c r="K79" s="3">
        <v>41365</v>
      </c>
      <c r="L79" s="4">
        <v>4125896876.8099999</v>
      </c>
    </row>
    <row r="80" spans="3:12">
      <c r="C80" s="3">
        <v>41395</v>
      </c>
      <c r="D80" s="4">
        <v>11876561564.510002</v>
      </c>
      <c r="G80" s="3">
        <v>41395</v>
      </c>
      <c r="H80" s="4">
        <v>8298047850.0299997</v>
      </c>
      <c r="K80" s="3">
        <v>41395</v>
      </c>
      <c r="L80" s="4">
        <v>3459242035.96</v>
      </c>
    </row>
    <row r="81" spans="3:12">
      <c r="C81" s="3">
        <v>41426</v>
      </c>
      <c r="D81" s="4">
        <v>12381934604.160002</v>
      </c>
      <c r="G81" s="3">
        <v>41426</v>
      </c>
      <c r="H81" s="4">
        <v>9796236507.5200005</v>
      </c>
      <c r="K81" s="3">
        <v>41426</v>
      </c>
      <c r="L81" s="4">
        <v>4055990638.6799998</v>
      </c>
    </row>
    <row r="82" spans="3:12">
      <c r="C82" s="3">
        <v>41456</v>
      </c>
      <c r="D82" s="4">
        <v>14620004381.560001</v>
      </c>
      <c r="G82" s="3">
        <v>41456</v>
      </c>
      <c r="H82" s="4">
        <v>11682928604.91</v>
      </c>
      <c r="K82" s="3">
        <v>41456</v>
      </c>
      <c r="L82" s="4">
        <v>4468738110.4300003</v>
      </c>
    </row>
    <row r="83" spans="3:12">
      <c r="C83" s="3">
        <v>41487</v>
      </c>
      <c r="D83" s="4">
        <v>15200744969.530001</v>
      </c>
      <c r="G83" s="3">
        <v>41487</v>
      </c>
      <c r="H83" s="4">
        <v>12257022825.93</v>
      </c>
      <c r="K83" s="3">
        <v>41487</v>
      </c>
      <c r="L83" s="4">
        <v>4118976924.3200002</v>
      </c>
    </row>
    <row r="84" spans="3:12">
      <c r="C84" s="3">
        <v>41518</v>
      </c>
      <c r="D84" s="4">
        <v>10302792823.1</v>
      </c>
      <c r="G84" s="3">
        <v>41518</v>
      </c>
      <c r="H84" s="4">
        <v>7678534091.54</v>
      </c>
      <c r="K84" s="3">
        <v>41518</v>
      </c>
      <c r="L84" s="4">
        <v>2360176115.9099998</v>
      </c>
    </row>
    <row r="85" spans="3:12">
      <c r="C85" s="3">
        <v>41548</v>
      </c>
      <c r="D85" s="4">
        <v>10232860575.5</v>
      </c>
      <c r="G85" s="3">
        <v>41548</v>
      </c>
      <c r="H85" s="4">
        <v>7264474965.46</v>
      </c>
      <c r="K85" s="3">
        <v>41548</v>
      </c>
      <c r="L85" s="4">
        <v>1853106711.96</v>
      </c>
    </row>
    <row r="86" spans="3:12">
      <c r="C86" s="3">
        <v>41579</v>
      </c>
      <c r="D86" s="4">
        <v>8449426135.9799995</v>
      </c>
      <c r="G86" s="3">
        <v>41579</v>
      </c>
      <c r="H86" s="4">
        <v>6351686990.9899998</v>
      </c>
      <c r="K86" s="3">
        <v>41579</v>
      </c>
      <c r="L86" s="4">
        <v>1694525112.9400001</v>
      </c>
    </row>
    <row r="87" spans="3:12">
      <c r="C87" s="3">
        <v>41609</v>
      </c>
      <c r="D87" s="4">
        <v>8262160792.3999996</v>
      </c>
      <c r="G87" s="3">
        <v>41609</v>
      </c>
      <c r="H87" s="4">
        <v>5870321187.1099997</v>
      </c>
      <c r="K87" s="3">
        <v>41609</v>
      </c>
      <c r="L87" s="4">
        <v>1561280492.8699999</v>
      </c>
    </row>
    <row r="88" spans="3:12">
      <c r="C88" s="3">
        <v>41640</v>
      </c>
      <c r="D88" s="4">
        <v>6623785228</v>
      </c>
      <c r="G88" s="3">
        <v>41640</v>
      </c>
      <c r="H88" s="4">
        <v>5155168920.8899994</v>
      </c>
      <c r="K88" s="3">
        <v>41640</v>
      </c>
      <c r="L88" s="4">
        <v>1760019879.1099999</v>
      </c>
    </row>
    <row r="89" spans="3:12">
      <c r="C89" s="3">
        <v>41671</v>
      </c>
      <c r="D89" s="4">
        <v>6867812872.8800001</v>
      </c>
      <c r="G89" s="3">
        <v>41671</v>
      </c>
      <c r="H89" s="4">
        <v>5530168065.8099995</v>
      </c>
      <c r="K89" s="3">
        <v>41671</v>
      </c>
      <c r="L89" s="4">
        <v>1922831147.77</v>
      </c>
    </row>
    <row r="90" spans="3:12">
      <c r="C90" s="3">
        <v>41699</v>
      </c>
      <c r="D90" s="4">
        <v>5932143925.1300001</v>
      </c>
      <c r="G90" s="3">
        <v>41699</v>
      </c>
      <c r="H90" s="4">
        <v>4526373596.8400002</v>
      </c>
      <c r="K90" s="3">
        <v>41699</v>
      </c>
      <c r="L90" s="4">
        <v>1574474809.8399999</v>
      </c>
    </row>
    <row r="91" spans="3:12">
      <c r="C91" s="3">
        <v>41730</v>
      </c>
      <c r="D91" s="4">
        <v>6814553813.1099997</v>
      </c>
      <c r="G91" s="3">
        <v>41730</v>
      </c>
      <c r="H91" s="4">
        <v>4880722854.54</v>
      </c>
      <c r="K91" s="3">
        <v>41730</v>
      </c>
      <c r="L91" s="4">
        <v>1578860937.1900001</v>
      </c>
    </row>
    <row r="92" spans="3:12">
      <c r="C92" s="3">
        <v>41760</v>
      </c>
      <c r="D92" s="4">
        <v>6831023877.1200008</v>
      </c>
      <c r="G92" s="3">
        <v>41760</v>
      </c>
      <c r="H92" s="4">
        <v>4350973743.6000004</v>
      </c>
      <c r="K92" s="3">
        <v>41760</v>
      </c>
      <c r="L92" s="4">
        <v>1528205247.9400001</v>
      </c>
    </row>
    <row r="93" spans="3:12">
      <c r="C93" s="3">
        <v>41791</v>
      </c>
      <c r="D93" s="4">
        <v>7912973937.04</v>
      </c>
      <c r="G93" s="3">
        <v>41791</v>
      </c>
      <c r="H93" s="4">
        <v>5476718213.8299999</v>
      </c>
      <c r="K93" s="3">
        <v>41791</v>
      </c>
      <c r="L93" s="4">
        <v>1822050222.5</v>
      </c>
    </row>
    <row r="94" spans="3:12">
      <c r="C94" s="3">
        <v>41821</v>
      </c>
      <c r="D94" s="4">
        <v>9230604417.6400013</v>
      </c>
      <c r="G94" s="3">
        <v>41821</v>
      </c>
      <c r="H94" s="4">
        <v>6345781776.54</v>
      </c>
      <c r="K94" s="3">
        <v>41821</v>
      </c>
      <c r="L94" s="4">
        <v>2307113272.52</v>
      </c>
    </row>
    <row r="95" spans="3:12">
      <c r="C95" s="3">
        <v>41852</v>
      </c>
      <c r="D95" s="4">
        <v>8669561198.7800007</v>
      </c>
      <c r="G95" s="3">
        <v>41852</v>
      </c>
      <c r="H95" s="4">
        <v>6142389653.3299999</v>
      </c>
      <c r="K95" s="3">
        <v>41852</v>
      </c>
      <c r="L95" s="4">
        <v>2194803673.75</v>
      </c>
    </row>
    <row r="96" spans="3:12">
      <c r="C96" s="3">
        <v>41883</v>
      </c>
      <c r="D96" s="4">
        <v>9687840091.9400005</v>
      </c>
      <c r="G96" s="3">
        <v>41883</v>
      </c>
      <c r="H96" s="4">
        <v>6940203849.5</v>
      </c>
      <c r="K96" s="3">
        <v>41883</v>
      </c>
      <c r="L96" s="4">
        <v>2398305642.0999999</v>
      </c>
    </row>
    <row r="97" spans="3:12">
      <c r="C97" s="3">
        <v>41913</v>
      </c>
      <c r="D97" s="4">
        <v>9804113782.8899994</v>
      </c>
      <c r="G97" s="3">
        <v>41913</v>
      </c>
      <c r="H97" s="4">
        <v>6864424966.8099995</v>
      </c>
      <c r="K97" s="3">
        <v>41913</v>
      </c>
      <c r="L97" s="4">
        <v>2043426912.0999999</v>
      </c>
    </row>
    <row r="98" spans="3:12">
      <c r="C98" s="3">
        <v>41944</v>
      </c>
      <c r="D98" s="4">
        <v>8769652212.1499996</v>
      </c>
      <c r="G98" s="3">
        <v>41944</v>
      </c>
      <c r="H98" s="4">
        <v>6696060483.5299997</v>
      </c>
      <c r="K98" s="3">
        <v>41944</v>
      </c>
      <c r="L98" s="4">
        <v>2775970767.79</v>
      </c>
    </row>
    <row r="99" spans="3:12">
      <c r="C99" s="3">
        <v>41974</v>
      </c>
      <c r="D99" s="4">
        <v>10527078740.85</v>
      </c>
      <c r="G99" s="3">
        <v>41974</v>
      </c>
      <c r="H99" s="4">
        <v>7543682119.3500004</v>
      </c>
      <c r="K99" s="3">
        <v>41974</v>
      </c>
      <c r="L99" s="4">
        <v>2066146511.47</v>
      </c>
    </row>
    <row r="100" spans="3:12">
      <c r="C100" s="3">
        <v>42005</v>
      </c>
      <c r="D100" s="4">
        <v>10141267076.969999</v>
      </c>
      <c r="G100" s="3">
        <v>42005</v>
      </c>
      <c r="H100" s="4">
        <v>7734974738.789999</v>
      </c>
      <c r="K100" s="3">
        <v>42005</v>
      </c>
      <c r="L100" s="4">
        <v>3191572944.1500001</v>
      </c>
    </row>
    <row r="101" spans="3:12">
      <c r="C101" s="3">
        <v>42036</v>
      </c>
      <c r="D101" s="4">
        <v>9419957114.6100006</v>
      </c>
      <c r="G101" s="3">
        <v>42036</v>
      </c>
      <c r="H101" s="4">
        <v>6812238309.6199999</v>
      </c>
      <c r="K101" s="3">
        <v>42036</v>
      </c>
      <c r="L101" s="4">
        <v>2391607148.8299999</v>
      </c>
    </row>
    <row r="102" spans="3:12">
      <c r="C102" s="3">
        <v>42064</v>
      </c>
      <c r="D102" s="4">
        <v>12177451454.530001</v>
      </c>
      <c r="G102" s="3">
        <v>42064</v>
      </c>
      <c r="H102" s="4">
        <v>9131351325.9500008</v>
      </c>
      <c r="K102" s="3">
        <v>42064</v>
      </c>
      <c r="L102" s="4">
        <v>4001267869.9400001</v>
      </c>
    </row>
    <row r="103" spans="3:12">
      <c r="C103" s="3">
        <v>42095</v>
      </c>
      <c r="D103" s="4">
        <v>12158309297.25</v>
      </c>
      <c r="G103" s="3">
        <v>42095</v>
      </c>
      <c r="H103" s="4">
        <v>8162065792.2399998</v>
      </c>
      <c r="K103" s="3">
        <v>42095</v>
      </c>
      <c r="L103" s="4">
        <v>2942739567.1399999</v>
      </c>
    </row>
    <row r="104" spans="3:12">
      <c r="C104" s="3">
        <v>42125</v>
      </c>
      <c r="D104" s="4">
        <v>10683619504.109999</v>
      </c>
      <c r="G104" s="3">
        <v>42125</v>
      </c>
      <c r="H104" s="4">
        <v>7443053109</v>
      </c>
      <c r="K104" s="3">
        <v>42125</v>
      </c>
      <c r="L104" s="4">
        <v>2798725237.3699999</v>
      </c>
    </row>
    <row r="105" spans="3:12">
      <c r="C105" s="3">
        <v>42156</v>
      </c>
      <c r="D105" s="4">
        <v>10497392456.809999</v>
      </c>
      <c r="G105" s="3">
        <v>42156</v>
      </c>
      <c r="H105" s="4">
        <v>7547349993.7300014</v>
      </c>
      <c r="K105" s="3">
        <v>42156</v>
      </c>
      <c r="L105" s="4">
        <v>2820536650.3600001</v>
      </c>
    </row>
    <row r="106" spans="3:12">
      <c r="C106" s="3">
        <v>42186</v>
      </c>
      <c r="D106" s="4">
        <v>11098692182.209999</v>
      </c>
      <c r="G106" s="3">
        <v>42186</v>
      </c>
      <c r="H106" s="4">
        <v>7874442800.3200006</v>
      </c>
      <c r="K106" s="3">
        <v>42186</v>
      </c>
      <c r="L106" s="4">
        <v>2663674593.8699999</v>
      </c>
    </row>
    <row r="107" spans="3:12">
      <c r="C107" s="3">
        <v>42217</v>
      </c>
      <c r="D107" s="4">
        <v>9476961213.1200008</v>
      </c>
      <c r="G107" s="3">
        <v>42217</v>
      </c>
      <c r="H107" s="4">
        <v>6780119163.6499996</v>
      </c>
      <c r="K107" s="3">
        <v>42217</v>
      </c>
      <c r="L107" s="4">
        <v>2197193446.4000001</v>
      </c>
    </row>
    <row r="108" spans="3:12">
      <c r="C108" s="3">
        <v>42248</v>
      </c>
      <c r="D108" s="4">
        <v>10777346059.070002</v>
      </c>
      <c r="G108" s="3">
        <v>42248</v>
      </c>
      <c r="H108" s="4">
        <v>7614872293.7299995</v>
      </c>
      <c r="K108" s="3">
        <v>42248</v>
      </c>
      <c r="L108" s="4">
        <v>2930771176.6599998</v>
      </c>
    </row>
    <row r="109" spans="3:12">
      <c r="C109" s="3">
        <v>42278</v>
      </c>
      <c r="D109" s="4">
        <v>9333680630.4800014</v>
      </c>
      <c r="G109" s="3">
        <v>42278</v>
      </c>
      <c r="H109" s="4">
        <v>6427887673.0799999</v>
      </c>
      <c r="K109" s="3">
        <v>42278</v>
      </c>
      <c r="L109" s="4">
        <v>2329434849.4899998</v>
      </c>
    </row>
    <row r="110" spans="3:12">
      <c r="C110" s="3">
        <v>42309</v>
      </c>
      <c r="D110" s="4">
        <v>8504328451.5699997</v>
      </c>
      <c r="G110" s="3">
        <v>42309</v>
      </c>
      <c r="H110" s="4">
        <v>6016405862.8600006</v>
      </c>
      <c r="K110" s="3">
        <v>42309</v>
      </c>
      <c r="L110" s="4">
        <v>2882552108.52</v>
      </c>
    </row>
    <row r="111" spans="3:12">
      <c r="C111" s="3">
        <v>42339</v>
      </c>
      <c r="D111" s="4">
        <v>8022732999.1600008</v>
      </c>
      <c r="G111" s="3">
        <v>42339</v>
      </c>
      <c r="H111" s="4">
        <v>5757911612.04</v>
      </c>
      <c r="K111" s="3">
        <v>42339</v>
      </c>
      <c r="L111" s="4">
        <v>2619817967.04</v>
      </c>
    </row>
    <row r="112" spans="3:12">
      <c r="C112" s="3">
        <v>42370</v>
      </c>
      <c r="D112" s="4">
        <v>8295267040.5500002</v>
      </c>
      <c r="G112" s="3">
        <v>42370</v>
      </c>
      <c r="H112" s="4">
        <v>6106414556.3600006</v>
      </c>
      <c r="K112" s="3">
        <v>42370</v>
      </c>
      <c r="L112" s="4">
        <v>2354326082.3600001</v>
      </c>
    </row>
    <row r="113" spans="3:12">
      <c r="C113" s="3">
        <v>42401</v>
      </c>
      <c r="D113" s="4">
        <v>7989142918.79</v>
      </c>
      <c r="G113" s="3">
        <v>42401</v>
      </c>
      <c r="H113" s="4">
        <v>5537227032.2399998</v>
      </c>
      <c r="K113" s="3">
        <v>42401</v>
      </c>
      <c r="L113" s="4">
        <v>2457936826.3200002</v>
      </c>
    </row>
    <row r="114" spans="3:12">
      <c r="C114" s="3">
        <v>42430</v>
      </c>
      <c r="D114" s="4">
        <v>11041902566.820002</v>
      </c>
      <c r="G114" s="3">
        <v>42430</v>
      </c>
      <c r="H114" s="4">
        <v>7673769623.3999996</v>
      </c>
      <c r="K114" s="3">
        <v>42430</v>
      </c>
      <c r="L114" s="4">
        <v>2763625043.9000001</v>
      </c>
    </row>
    <row r="115" spans="3:12">
      <c r="C115" s="3">
        <v>42461</v>
      </c>
      <c r="D115" s="4">
        <v>11853659989.439999</v>
      </c>
      <c r="G115" s="3">
        <v>42461</v>
      </c>
      <c r="H115" s="4">
        <v>8499932035.1700001</v>
      </c>
      <c r="K115" s="3">
        <v>42461</v>
      </c>
      <c r="L115" s="4">
        <v>3188130012.96</v>
      </c>
    </row>
    <row r="116" spans="3:12">
      <c r="C116" s="3">
        <v>42491</v>
      </c>
      <c r="D116" s="4">
        <v>10609268562.260002</v>
      </c>
      <c r="G116" s="3">
        <v>42491</v>
      </c>
      <c r="H116" s="4">
        <v>7371413746.289999</v>
      </c>
      <c r="K116" s="3">
        <v>42491</v>
      </c>
      <c r="L116" s="4">
        <v>2937092069.1399999</v>
      </c>
    </row>
    <row r="117" spans="3:12">
      <c r="C117" s="3">
        <v>42522</v>
      </c>
      <c r="D117" s="4">
        <v>10125586511.959999</v>
      </c>
      <c r="G117" s="3">
        <v>42522</v>
      </c>
      <c r="H117" s="4">
        <v>7642208429.8500004</v>
      </c>
      <c r="K117" s="3">
        <v>42522</v>
      </c>
      <c r="L117" s="4">
        <v>3521031350.4699998</v>
      </c>
    </row>
    <row r="118" spans="3:12">
      <c r="C118" s="3">
        <v>42552</v>
      </c>
      <c r="D118" s="4">
        <v>10528637645.689999</v>
      </c>
      <c r="G118" s="3">
        <v>42552</v>
      </c>
      <c r="H118" s="4">
        <v>7699974933.4300003</v>
      </c>
      <c r="K118" s="3">
        <v>42552</v>
      </c>
      <c r="L118" s="4">
        <v>2850720746.8800001</v>
      </c>
    </row>
    <row r="119" spans="3:12">
      <c r="C119" s="3">
        <v>42583</v>
      </c>
      <c r="D119" s="4">
        <v>12745606111.99</v>
      </c>
      <c r="G119" s="3">
        <v>42583</v>
      </c>
      <c r="H119" s="4">
        <v>9735242915.8800011</v>
      </c>
      <c r="K119" s="3">
        <v>42583</v>
      </c>
      <c r="L119" s="4">
        <v>3389580074.46</v>
      </c>
    </row>
    <row r="120" spans="3:12">
      <c r="C120" s="3">
        <v>42614</v>
      </c>
      <c r="D120" s="4">
        <v>13374732906.960003</v>
      </c>
      <c r="G120" s="3">
        <v>42614</v>
      </c>
      <c r="H120" s="4">
        <v>9618049426.1700001</v>
      </c>
      <c r="K120" s="3">
        <v>42614</v>
      </c>
      <c r="L120" s="4">
        <v>3970110275.9699998</v>
      </c>
    </row>
    <row r="121" spans="3:12">
      <c r="C121" s="3">
        <v>42644</v>
      </c>
      <c r="D121" s="4">
        <v>16511237335.85</v>
      </c>
      <c r="G121" s="3">
        <v>42644</v>
      </c>
      <c r="H121" s="4">
        <v>11582678705.860001</v>
      </c>
      <c r="K121" s="3">
        <v>42644</v>
      </c>
      <c r="L121" s="4">
        <v>4032757087.1700001</v>
      </c>
    </row>
    <row r="122" spans="3:12">
      <c r="C122" s="3">
        <v>42675</v>
      </c>
      <c r="D122" s="4">
        <v>14006443999.520002</v>
      </c>
      <c r="G122" s="3">
        <v>42675</v>
      </c>
      <c r="H122" s="4">
        <v>9338516648.8299999</v>
      </c>
      <c r="K122" s="3">
        <v>42675</v>
      </c>
      <c r="L122" s="4">
        <v>3973644841.7199998</v>
      </c>
    </row>
    <row r="123" spans="3:12">
      <c r="C123" s="3">
        <v>42705</v>
      </c>
      <c r="D123" s="4">
        <v>19449255220.099995</v>
      </c>
      <c r="G123" s="3">
        <v>42705</v>
      </c>
      <c r="H123" s="4">
        <v>14178362410.68</v>
      </c>
      <c r="K123" s="3">
        <v>42705</v>
      </c>
      <c r="L123" s="4">
        <v>4894612850.8900003</v>
      </c>
    </row>
    <row r="124" spans="3:12">
      <c r="C124" s="3">
        <v>42736</v>
      </c>
      <c r="D124" s="4">
        <v>14002877442.290001</v>
      </c>
      <c r="G124" s="3">
        <v>42736</v>
      </c>
      <c r="H124" s="4">
        <v>9594142570.0499992</v>
      </c>
      <c r="K124" s="3">
        <v>42736</v>
      </c>
      <c r="L124" s="4">
        <v>3315349330.7399998</v>
      </c>
    </row>
    <row r="125" spans="3:12">
      <c r="C125" s="3">
        <v>42767</v>
      </c>
      <c r="D125" s="4">
        <v>9466975724.1399994</v>
      </c>
      <c r="G125" s="3">
        <v>42767</v>
      </c>
      <c r="H125" s="4">
        <v>6458732993.3699999</v>
      </c>
      <c r="K125" s="3">
        <v>42767</v>
      </c>
      <c r="L125" s="4">
        <v>2328517329.25</v>
      </c>
    </row>
    <row r="126" spans="3:12">
      <c r="C126" s="3" t="s">
        <v>55</v>
      </c>
      <c r="D126" s="4">
        <v>1174957773436.5403</v>
      </c>
      <c r="G126" s="3" t="s">
        <v>55</v>
      </c>
      <c r="H126" s="4">
        <v>892287372932.55029</v>
      </c>
      <c r="K126" s="3" t="s">
        <v>55</v>
      </c>
      <c r="L126" s="4">
        <v>327423814530.20984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X1223"/>
  <sheetViews>
    <sheetView showGridLines="0" workbookViewId="0">
      <selection activeCell="R5" sqref="R5"/>
    </sheetView>
  </sheetViews>
  <sheetFormatPr defaultRowHeight="15"/>
  <cols>
    <col min="7" max="8" width="12.28515625" customWidth="1"/>
    <col min="10" max="10" width="9.7109375" bestFit="1" customWidth="1"/>
    <col min="11" max="11" width="12.28515625" customWidth="1"/>
    <col min="13" max="14" width="9.7109375" bestFit="1" customWidth="1"/>
    <col min="15" max="16" width="12.28515625" bestFit="1" customWidth="1"/>
    <col min="17" max="17" width="12" bestFit="1" customWidth="1"/>
    <col min="18" max="18" width="11" bestFit="1" customWidth="1"/>
    <col min="19" max="19" width="10" bestFit="1" customWidth="1"/>
    <col min="20" max="20" width="11" bestFit="1" customWidth="1"/>
  </cols>
  <sheetData>
    <row r="2" spans="2:24">
      <c r="H2" t="s">
        <v>73</v>
      </c>
      <c r="K2" t="s">
        <v>74</v>
      </c>
      <c r="N2" t="s">
        <v>72</v>
      </c>
    </row>
    <row r="3" spans="2:24">
      <c r="B3" s="16" t="s">
        <v>1</v>
      </c>
      <c r="C3" s="16" t="s">
        <v>2</v>
      </c>
      <c r="D3" s="16" t="s">
        <v>0</v>
      </c>
      <c r="E3" s="16" t="s">
        <v>3</v>
      </c>
      <c r="H3" s="16" t="s">
        <v>1</v>
      </c>
      <c r="I3" s="16" t="s">
        <v>2</v>
      </c>
      <c r="K3" s="16" t="s">
        <v>1</v>
      </c>
      <c r="L3" s="16" t="s">
        <v>2</v>
      </c>
      <c r="N3" s="16" t="s">
        <v>1</v>
      </c>
      <c r="O3" s="16" t="s">
        <v>2</v>
      </c>
      <c r="P3" s="17" t="s">
        <v>101</v>
      </c>
      <c r="Q3" s="17" t="s">
        <v>102</v>
      </c>
      <c r="R3" s="17" t="s">
        <v>103</v>
      </c>
      <c r="S3" s="17" t="s">
        <v>104</v>
      </c>
      <c r="T3" s="17" t="s">
        <v>105</v>
      </c>
      <c r="U3" s="17" t="s">
        <v>62</v>
      </c>
      <c r="V3" s="17" t="s">
        <v>63</v>
      </c>
      <c r="W3" s="17" t="s">
        <v>64</v>
      </c>
      <c r="X3" s="17" t="s">
        <v>106</v>
      </c>
    </row>
    <row r="4" spans="2:24">
      <c r="B4" s="37">
        <v>39083</v>
      </c>
      <c r="C4" s="16">
        <v>2473400845.6300001</v>
      </c>
      <c r="D4" s="16" t="s">
        <v>16</v>
      </c>
      <c r="E4" s="16">
        <v>1</v>
      </c>
      <c r="H4" s="37">
        <v>42767</v>
      </c>
      <c r="I4" s="16">
        <v>101918000</v>
      </c>
      <c r="K4" s="37">
        <v>42767</v>
      </c>
      <c r="L4" s="16">
        <v>5636156366.1300001</v>
      </c>
      <c r="N4" s="37">
        <v>42767</v>
      </c>
      <c r="O4" s="16">
        <v>38882414534.349998</v>
      </c>
      <c r="P4" s="17">
        <f>VLOOKUP($N4,'Pivot equal'!C:D,2,0)</f>
        <v>9466975724.1399994</v>
      </c>
      <c r="Q4" s="17">
        <f>VLOOKUP(N4,'Pivot equal'!G:H,2,0)</f>
        <v>6458732993.3699999</v>
      </c>
      <c r="R4" s="17">
        <f>VLOOKUP(N4,'Pivot equal'!K:L,2,0)</f>
        <v>2328517329.25</v>
      </c>
      <c r="S4" s="39">
        <f>VLOOKUP(N4,CurrentMtgRatesDataTable9[],2,0)</f>
        <v>101918000</v>
      </c>
      <c r="T4" s="39">
        <f>VLOOKUP(N4,CurrentMtgRatesDataTable93[],2,0)</f>
        <v>5636156366.1300001</v>
      </c>
      <c r="U4" s="40">
        <f>CurrentMtgRatesDataTable8[[#This Row],[Top 10 Amount]]/CurrentMtgRatesDataTable8[[#This Row],[TotalBalance]]</f>
        <v>0.24347705350902432</v>
      </c>
      <c r="V4" s="40">
        <f>CurrentMtgRatesDataTable8[[#This Row],[Top 5 Amount]]/CurrentMtgRatesDataTable8[[#This Row],[TotalBalance]]</f>
        <v>0.16610935999522725</v>
      </c>
      <c r="W4" s="40">
        <f>CurrentMtgRatesDataTable8[[#This Row],[Top 1 Amount]]/CurrentMtgRatesDataTable8[[#This Row],[TotalBalance]]</f>
        <v>5.9886129941670974E-2</v>
      </c>
      <c r="X4" s="40">
        <f>CurrentMtgRatesDataTable8[[#This Row],[N/A Amount]]/CurrentMtgRatesDataTable8[[#This Row],[TotalBalance]]</f>
        <v>0.14495386754212075</v>
      </c>
    </row>
    <row r="5" spans="2:24">
      <c r="B5" s="37">
        <v>39083</v>
      </c>
      <c r="C5" s="16">
        <v>1078120428</v>
      </c>
      <c r="D5" s="16" t="s">
        <v>7</v>
      </c>
      <c r="E5" s="16">
        <v>2</v>
      </c>
      <c r="H5" s="37">
        <v>42736</v>
      </c>
      <c r="I5" s="16">
        <v>372839841</v>
      </c>
      <c r="K5" s="37">
        <v>42736</v>
      </c>
      <c r="L5" s="16">
        <v>9986880941.0699997</v>
      </c>
      <c r="N5" s="37">
        <v>42736</v>
      </c>
      <c r="O5" s="16">
        <v>60537959937.75</v>
      </c>
      <c r="P5" s="17">
        <f>VLOOKUP($N5,'Pivot equal'!C:D,2,0)</f>
        <v>14002877442.290001</v>
      </c>
      <c r="Q5" s="17">
        <f>VLOOKUP(N5,'Pivot equal'!G:H,2,0)</f>
        <v>9594142570.0499992</v>
      </c>
      <c r="R5" s="17">
        <f>VLOOKUP(N5,'Pivot equal'!K:L,2,0)</f>
        <v>3315349330.7399998</v>
      </c>
      <c r="S5" s="39">
        <f>VLOOKUP(N5,CurrentMtgRatesDataTable9[],2,0)</f>
        <v>372839841</v>
      </c>
      <c r="T5" s="39">
        <f>VLOOKUP(N5,CurrentMtgRatesDataTable93[],2,0)</f>
        <v>9986880941.0699997</v>
      </c>
      <c r="U5" s="40">
        <f>CurrentMtgRatesDataTable8[[#This Row],[Top 10 Amount]]/CurrentMtgRatesDataTable8[[#This Row],[TotalBalance]]</f>
        <v>0.23130738889597346</v>
      </c>
      <c r="V5" s="40">
        <f>CurrentMtgRatesDataTable8[[#This Row],[Top 5 Amount]]/CurrentMtgRatesDataTable8[[#This Row],[TotalBalance]]</f>
        <v>0.15848143181427765</v>
      </c>
      <c r="W5" s="40">
        <f>CurrentMtgRatesDataTable8[[#This Row],[Top 1 Amount]]/CurrentMtgRatesDataTable8[[#This Row],[TotalBalance]]</f>
        <v>5.4764801029785419E-2</v>
      </c>
      <c r="X5" s="40">
        <f>CurrentMtgRatesDataTable8[[#This Row],[N/A Amount]]/CurrentMtgRatesDataTable8[[#This Row],[TotalBalance]]</f>
        <v>0.16496890465650502</v>
      </c>
    </row>
    <row r="6" spans="2:24">
      <c r="B6" s="37">
        <v>39083</v>
      </c>
      <c r="C6" s="16">
        <v>879027187</v>
      </c>
      <c r="D6" s="16" t="s">
        <v>17</v>
      </c>
      <c r="E6" s="16">
        <v>3</v>
      </c>
      <c r="H6" s="37">
        <v>42705</v>
      </c>
      <c r="I6" s="16">
        <v>129649841</v>
      </c>
      <c r="K6" s="37">
        <v>42705</v>
      </c>
      <c r="L6" s="16">
        <v>16084683600.73</v>
      </c>
      <c r="N6" s="37">
        <v>42705</v>
      </c>
      <c r="O6" s="16">
        <v>73723457954.979996</v>
      </c>
      <c r="P6" s="17">
        <f>VLOOKUP($N6,'Pivot equal'!C:D,2,0)</f>
        <v>19449255220.099995</v>
      </c>
      <c r="Q6" s="17">
        <f>VLOOKUP(N6,'Pivot equal'!G:H,2,0)</f>
        <v>14178362410.68</v>
      </c>
      <c r="R6" s="17">
        <f>VLOOKUP(N6,'Pivot equal'!K:L,2,0)</f>
        <v>4894612850.8900003</v>
      </c>
      <c r="S6" s="39">
        <f>VLOOKUP(N6,CurrentMtgRatesDataTable9[],2,0)</f>
        <v>129649841</v>
      </c>
      <c r="T6" s="39">
        <f>VLOOKUP(N6,CurrentMtgRatesDataTable93[],2,0)</f>
        <v>16084683600.73</v>
      </c>
      <c r="U6" s="40">
        <f>CurrentMtgRatesDataTable8[[#This Row],[Top 10 Amount]]/CurrentMtgRatesDataTable8[[#This Row],[TotalBalance]]</f>
        <v>0.26381365931013284</v>
      </c>
      <c r="V6" s="40">
        <f>CurrentMtgRatesDataTable8[[#This Row],[Top 5 Amount]]/CurrentMtgRatesDataTable8[[#This Row],[TotalBalance]]</f>
        <v>0.19231819564592542</v>
      </c>
      <c r="W6" s="40">
        <f>CurrentMtgRatesDataTable8[[#This Row],[Top 1 Amount]]/CurrentMtgRatesDataTable8[[#This Row],[TotalBalance]]</f>
        <v>6.6391525664449266E-2</v>
      </c>
      <c r="X6" s="40">
        <f>CurrentMtgRatesDataTable8[[#This Row],[N/A Amount]]/CurrentMtgRatesDataTable8[[#This Row],[TotalBalance]]</f>
        <v>0.21817592455514337</v>
      </c>
    </row>
    <row r="7" spans="2:24">
      <c r="B7" s="37">
        <v>39083</v>
      </c>
      <c r="C7" s="16">
        <v>474212599.19999999</v>
      </c>
      <c r="D7" s="16" t="s">
        <v>4</v>
      </c>
      <c r="E7" s="16">
        <v>4</v>
      </c>
      <c r="H7" s="37">
        <v>42675</v>
      </c>
      <c r="I7" s="16">
        <v>148485841</v>
      </c>
      <c r="K7" s="37">
        <v>42675</v>
      </c>
      <c r="L7" s="16">
        <v>5752120003.1099997</v>
      </c>
      <c r="N7" s="37">
        <v>42675</v>
      </c>
      <c r="O7" s="16">
        <v>50811667455.550003</v>
      </c>
      <c r="P7" s="17">
        <f>VLOOKUP($N7,'Pivot equal'!C:D,2,0)</f>
        <v>14006443999.520002</v>
      </c>
      <c r="Q7" s="17">
        <f>VLOOKUP(N7,'Pivot equal'!G:H,2,0)</f>
        <v>9338516648.8299999</v>
      </c>
      <c r="R7" s="17">
        <f>VLOOKUP(N7,'Pivot equal'!K:L,2,0)</f>
        <v>3973644841.7199998</v>
      </c>
      <c r="S7" s="39">
        <f>VLOOKUP(N7,CurrentMtgRatesDataTable9[],2,0)</f>
        <v>148485841</v>
      </c>
      <c r="T7" s="39">
        <f>VLOOKUP(N7,CurrentMtgRatesDataTable93[],2,0)</f>
        <v>5752120003.1099997</v>
      </c>
      <c r="U7" s="40">
        <f>CurrentMtgRatesDataTable8[[#This Row],[Top 10 Amount]]/CurrentMtgRatesDataTable8[[#This Row],[TotalBalance]]</f>
        <v>0.27565409089896187</v>
      </c>
      <c r="V7" s="40">
        <f>CurrentMtgRatesDataTable8[[#This Row],[Top 5 Amount]]/CurrentMtgRatesDataTable8[[#This Row],[TotalBalance]]</f>
        <v>0.18378685676866097</v>
      </c>
      <c r="W7" s="40">
        <f>CurrentMtgRatesDataTable8[[#This Row],[Top 1 Amount]]/CurrentMtgRatesDataTable8[[#This Row],[TotalBalance]]</f>
        <v>7.8203393840521773E-2</v>
      </c>
      <c r="X7" s="40">
        <f>CurrentMtgRatesDataTable8[[#This Row],[N/A Amount]]/CurrentMtgRatesDataTable8[[#This Row],[TotalBalance]]</f>
        <v>0.11320470850798094</v>
      </c>
    </row>
    <row r="8" spans="2:24">
      <c r="B8" s="37">
        <v>39083</v>
      </c>
      <c r="C8" s="16">
        <v>418286234</v>
      </c>
      <c r="D8" s="16" t="s">
        <v>8</v>
      </c>
      <c r="E8" s="16">
        <v>5</v>
      </c>
      <c r="H8" s="37">
        <v>42644</v>
      </c>
      <c r="I8" s="16">
        <v>399305341</v>
      </c>
      <c r="K8" s="37">
        <v>42644</v>
      </c>
      <c r="L8" s="16">
        <v>14122692096.959999</v>
      </c>
      <c r="N8" s="37">
        <v>42644</v>
      </c>
      <c r="O8" s="16">
        <v>64923288102.650002</v>
      </c>
      <c r="P8" s="39">
        <f>VLOOKUP($N8,'Pivot equal'!C:D,2,0)</f>
        <v>16511237335.85</v>
      </c>
      <c r="Q8" s="39">
        <f>VLOOKUP(N8,'Pivot equal'!G:H,2,0)</f>
        <v>11582678705.860001</v>
      </c>
      <c r="R8" s="39">
        <f>VLOOKUP(N8,'Pivot equal'!K:L,2,0)</f>
        <v>4032757087.1700001</v>
      </c>
      <c r="S8" s="39">
        <f>VLOOKUP(N8,CurrentMtgRatesDataTable9[],2,0)</f>
        <v>399305341</v>
      </c>
      <c r="T8" s="39">
        <f>VLOOKUP(N8,CurrentMtgRatesDataTable93[],2,0)</f>
        <v>14122692096.959999</v>
      </c>
      <c r="U8" s="40">
        <f>CurrentMtgRatesDataTable8[[#This Row],[Top 10 Amount]]/CurrentMtgRatesDataTable8[[#This Row],[TotalBalance]]</f>
        <v>0.25431917911711643</v>
      </c>
      <c r="V8" s="40">
        <f>CurrentMtgRatesDataTable8[[#This Row],[Top 5 Amount]]/CurrentMtgRatesDataTable8[[#This Row],[TotalBalance]]</f>
        <v>0.17840560828568425</v>
      </c>
      <c r="W8" s="40">
        <f>CurrentMtgRatesDataTable8[[#This Row],[Top 1 Amount]]/CurrentMtgRatesDataTable8[[#This Row],[TotalBalance]]</f>
        <v>6.2115724650202882E-2</v>
      </c>
      <c r="X8" s="40">
        <f>CurrentMtgRatesDataTable8[[#This Row],[N/A Amount]]/CurrentMtgRatesDataTable8[[#This Row],[TotalBalance]]</f>
        <v>0.2175289100365751</v>
      </c>
    </row>
    <row r="9" spans="2:24">
      <c r="B9" s="37">
        <v>39083</v>
      </c>
      <c r="C9" s="16">
        <v>358459200</v>
      </c>
      <c r="D9" s="16" t="s">
        <v>27</v>
      </c>
      <c r="E9" s="16">
        <v>6</v>
      </c>
      <c r="H9" s="37">
        <v>42614</v>
      </c>
      <c r="I9" s="16">
        <v>157569841</v>
      </c>
      <c r="K9" s="37">
        <v>42614</v>
      </c>
      <c r="L9" s="16">
        <v>28846939949.299999</v>
      </c>
      <c r="N9" s="37">
        <v>42614</v>
      </c>
      <c r="O9" s="16">
        <v>69331875300.940002</v>
      </c>
      <c r="P9" s="39">
        <f>VLOOKUP($N9,'Pivot equal'!C:D,2,0)</f>
        <v>13374732906.960003</v>
      </c>
      <c r="Q9" s="39">
        <f>VLOOKUP(N9,'Pivot equal'!G:H,2,0)</f>
        <v>9618049426.1700001</v>
      </c>
      <c r="R9" s="39">
        <f>VLOOKUP(N9,'Pivot equal'!K:L,2,0)</f>
        <v>3970110275.9699998</v>
      </c>
      <c r="S9" s="39">
        <f>VLOOKUP(N9,CurrentMtgRatesDataTable9[],2,0)</f>
        <v>157569841</v>
      </c>
      <c r="T9" s="39">
        <f>VLOOKUP(N9,CurrentMtgRatesDataTable93[],2,0)</f>
        <v>28846939949.299999</v>
      </c>
      <c r="U9" s="40">
        <f>CurrentMtgRatesDataTable8[[#This Row],[Top 10 Amount]]/CurrentMtgRatesDataTable8[[#This Row],[TotalBalance]]</f>
        <v>0.19290885828352414</v>
      </c>
      <c r="V9" s="40">
        <f>CurrentMtgRatesDataTable8[[#This Row],[Top 5 Amount]]/CurrentMtgRatesDataTable8[[#This Row],[TotalBalance]]</f>
        <v>0.13872478401056026</v>
      </c>
      <c r="W9" s="40">
        <f>CurrentMtgRatesDataTable8[[#This Row],[Top 1 Amount]]/CurrentMtgRatesDataTable8[[#This Row],[TotalBalance]]</f>
        <v>5.7262410092579354E-2</v>
      </c>
      <c r="X9" s="40">
        <f>CurrentMtgRatesDataTable8[[#This Row],[N/A Amount]]/CurrentMtgRatesDataTable8[[#This Row],[TotalBalance]]</f>
        <v>0.41607038355861248</v>
      </c>
    </row>
    <row r="10" spans="2:24">
      <c r="B10" s="37">
        <v>39083</v>
      </c>
      <c r="C10" s="16">
        <v>275119389</v>
      </c>
      <c r="D10" s="16" t="s">
        <v>14</v>
      </c>
      <c r="E10" s="16">
        <v>7</v>
      </c>
      <c r="H10" s="37">
        <v>42583</v>
      </c>
      <c r="I10" s="16">
        <v>172444841</v>
      </c>
      <c r="K10" s="37">
        <v>42583</v>
      </c>
      <c r="L10" s="16">
        <v>24374027947.5</v>
      </c>
      <c r="N10" s="37">
        <v>42583</v>
      </c>
      <c r="O10" s="16">
        <v>57044014480.900002</v>
      </c>
      <c r="P10" s="39">
        <f>VLOOKUP($N10,'Pivot equal'!C:D,2,0)</f>
        <v>12745606111.99</v>
      </c>
      <c r="Q10" s="39">
        <f>VLOOKUP(N10,'Pivot equal'!G:H,2,0)</f>
        <v>9735242915.8800011</v>
      </c>
      <c r="R10" s="39">
        <f>VLOOKUP(N10,'Pivot equal'!K:L,2,0)</f>
        <v>3389580074.46</v>
      </c>
      <c r="S10" s="39">
        <f>VLOOKUP(N10,CurrentMtgRatesDataTable9[],2,0)</f>
        <v>172444841</v>
      </c>
      <c r="T10" s="39">
        <f>VLOOKUP(N10,CurrentMtgRatesDataTable93[],2,0)</f>
        <v>24374027947.5</v>
      </c>
      <c r="U10" s="40">
        <f>CurrentMtgRatesDataTable8[[#This Row],[Top 10 Amount]]/CurrentMtgRatesDataTable8[[#This Row],[TotalBalance]]</f>
        <v>0.22343459218245587</v>
      </c>
      <c r="V10" s="40">
        <f>CurrentMtgRatesDataTable8[[#This Row],[Top 5 Amount]]/CurrentMtgRatesDataTable8[[#This Row],[TotalBalance]]</f>
        <v>0.1706619529580907</v>
      </c>
      <c r="W10" s="40">
        <f>CurrentMtgRatesDataTable8[[#This Row],[Top 1 Amount]]/CurrentMtgRatesDataTable8[[#This Row],[TotalBalance]]</f>
        <v>5.9420433595095773E-2</v>
      </c>
      <c r="X10" s="40">
        <f>CurrentMtgRatesDataTable8[[#This Row],[N/A Amount]]/CurrentMtgRatesDataTable8[[#This Row],[TotalBalance]]</f>
        <v>0.4272845831294208</v>
      </c>
    </row>
    <row r="11" spans="2:24">
      <c r="B11" s="37">
        <v>39083</v>
      </c>
      <c r="C11" s="16">
        <v>272672867</v>
      </c>
      <c r="D11" s="16" t="s">
        <v>22</v>
      </c>
      <c r="E11" s="16">
        <v>8</v>
      </c>
      <c r="H11" s="37">
        <v>42552</v>
      </c>
      <c r="I11" s="16">
        <v>442192600</v>
      </c>
      <c r="K11" s="37">
        <v>42552</v>
      </c>
      <c r="L11" s="16">
        <v>22268539321.700001</v>
      </c>
      <c r="N11" s="37">
        <v>42552</v>
      </c>
      <c r="O11" s="16">
        <v>52311053156.260002</v>
      </c>
      <c r="P11" s="39">
        <f>VLOOKUP($N11,'Pivot equal'!C:D,2,0)</f>
        <v>10528637645.689999</v>
      </c>
      <c r="Q11" s="39">
        <f>VLOOKUP(N11,'Pivot equal'!G:H,2,0)</f>
        <v>7699974933.4300003</v>
      </c>
      <c r="R11" s="39">
        <f>VLOOKUP(N11,'Pivot equal'!K:L,2,0)</f>
        <v>2850720746.8800001</v>
      </c>
      <c r="S11" s="39">
        <f>VLOOKUP(N11,CurrentMtgRatesDataTable9[],2,0)</f>
        <v>442192600</v>
      </c>
      <c r="T11" s="39">
        <f>VLOOKUP(N11,CurrentMtgRatesDataTable93[],2,0)</f>
        <v>22268539321.700001</v>
      </c>
      <c r="U11" s="40">
        <f>CurrentMtgRatesDataTable8[[#This Row],[Top 10 Amount]]/CurrentMtgRatesDataTable8[[#This Row],[TotalBalance]]</f>
        <v>0.20126984662762518</v>
      </c>
      <c r="V11" s="40">
        <f>CurrentMtgRatesDataTable8[[#This Row],[Top 5 Amount]]/CurrentMtgRatesDataTable8[[#This Row],[TotalBalance]]</f>
        <v>0.14719594557634239</v>
      </c>
      <c r="W11" s="40">
        <f>CurrentMtgRatesDataTable8[[#This Row],[Top 1 Amount]]/CurrentMtgRatesDataTable8[[#This Row],[TotalBalance]]</f>
        <v>5.4495571678981919E-2</v>
      </c>
      <c r="X11" s="40">
        <f>CurrentMtgRatesDataTable8[[#This Row],[N/A Amount]]/CurrentMtgRatesDataTable8[[#This Row],[TotalBalance]]</f>
        <v>0.42569472373612788</v>
      </c>
    </row>
    <row r="12" spans="2:24">
      <c r="B12" s="37">
        <v>39083</v>
      </c>
      <c r="C12" s="16">
        <v>224637511</v>
      </c>
      <c r="D12" s="16" t="s">
        <v>19</v>
      </c>
      <c r="E12" s="16">
        <v>9</v>
      </c>
      <c r="H12" s="37">
        <v>42522</v>
      </c>
      <c r="I12" s="16">
        <v>152082000</v>
      </c>
      <c r="K12" s="37">
        <v>42522</v>
      </c>
      <c r="L12" s="16">
        <v>19895352198.91</v>
      </c>
      <c r="N12" s="37">
        <v>42522</v>
      </c>
      <c r="O12" s="16">
        <v>49117830558.220001</v>
      </c>
      <c r="P12" s="39">
        <f>VLOOKUP($N12,'Pivot equal'!C:D,2,0)</f>
        <v>10125586511.959999</v>
      </c>
      <c r="Q12" s="39">
        <f>VLOOKUP(N12,'Pivot equal'!G:H,2,0)</f>
        <v>7642208429.8500004</v>
      </c>
      <c r="R12" s="39">
        <f>VLOOKUP(N12,'Pivot equal'!K:L,2,0)</f>
        <v>3521031350.4699998</v>
      </c>
      <c r="S12" s="39">
        <f>VLOOKUP(N12,CurrentMtgRatesDataTable9[],2,0)</f>
        <v>152082000</v>
      </c>
      <c r="T12" s="39">
        <f>VLOOKUP(N12,CurrentMtgRatesDataTable93[],2,0)</f>
        <v>19895352198.91</v>
      </c>
      <c r="U12" s="40">
        <f>CurrentMtgRatesDataTable8[[#This Row],[Top 10 Amount]]/CurrentMtgRatesDataTable8[[#This Row],[TotalBalance]]</f>
        <v>0.20614889535803113</v>
      </c>
      <c r="V12" s="40">
        <f>CurrentMtgRatesDataTable8[[#This Row],[Top 5 Amount]]/CurrentMtgRatesDataTable8[[#This Row],[TotalBalance]]</f>
        <v>0.15558929095599186</v>
      </c>
      <c r="W12" s="40">
        <f>CurrentMtgRatesDataTable8[[#This Row],[Top 1 Amount]]/CurrentMtgRatesDataTable8[[#This Row],[TotalBalance]]</f>
        <v>7.1685400402537638E-2</v>
      </c>
      <c r="X12" s="40">
        <f>CurrentMtgRatesDataTable8[[#This Row],[N/A Amount]]/CurrentMtgRatesDataTable8[[#This Row],[TotalBalance]]</f>
        <v>0.40505356146232435</v>
      </c>
    </row>
    <row r="13" spans="2:24">
      <c r="B13" s="37">
        <v>39083</v>
      </c>
      <c r="C13" s="16">
        <v>220375175</v>
      </c>
      <c r="D13" s="16" t="s">
        <v>28</v>
      </c>
      <c r="E13" s="16">
        <v>10</v>
      </c>
      <c r="H13" s="37">
        <v>42491</v>
      </c>
      <c r="I13" s="16">
        <v>301019100</v>
      </c>
      <c r="K13" s="37">
        <v>42491</v>
      </c>
      <c r="L13" s="16">
        <v>16119503921.35</v>
      </c>
      <c r="N13" s="37">
        <v>42491</v>
      </c>
      <c r="O13" s="16">
        <v>45906379388.75</v>
      </c>
      <c r="P13" s="39">
        <f>VLOOKUP($N13,'Pivot equal'!C:D,2,0)</f>
        <v>10609268562.260002</v>
      </c>
      <c r="Q13" s="39">
        <f>VLOOKUP(N13,'Pivot equal'!G:H,2,0)</f>
        <v>7371413746.289999</v>
      </c>
      <c r="R13" s="39">
        <f>VLOOKUP(N13,'Pivot equal'!K:L,2,0)</f>
        <v>2937092069.1399999</v>
      </c>
      <c r="S13" s="39">
        <f>VLOOKUP(N13,CurrentMtgRatesDataTable9[],2,0)</f>
        <v>301019100</v>
      </c>
      <c r="T13" s="39">
        <f>VLOOKUP(N13,CurrentMtgRatesDataTable93[],2,0)</f>
        <v>16119503921.35</v>
      </c>
      <c r="U13" s="40">
        <f>CurrentMtgRatesDataTable8[[#This Row],[Top 10 Amount]]/CurrentMtgRatesDataTable8[[#This Row],[TotalBalance]]</f>
        <v>0.23110662839291463</v>
      </c>
      <c r="V13" s="40">
        <f>CurrentMtgRatesDataTable8[[#This Row],[Top 5 Amount]]/CurrentMtgRatesDataTable8[[#This Row],[TotalBalance]]</f>
        <v>0.16057493194718089</v>
      </c>
      <c r="W13" s="40">
        <f>CurrentMtgRatesDataTable8[[#This Row],[Top 1 Amount]]/CurrentMtgRatesDataTable8[[#This Row],[TotalBalance]]</f>
        <v>6.398004173380259E-2</v>
      </c>
      <c r="X13" s="40">
        <f>CurrentMtgRatesDataTable8[[#This Row],[N/A Amount]]/CurrentMtgRatesDataTable8[[#This Row],[TotalBalance]]</f>
        <v>0.35113864643614889</v>
      </c>
    </row>
    <row r="14" spans="2:24">
      <c r="B14" s="37">
        <v>39114</v>
      </c>
      <c r="C14" s="16">
        <v>1685524401.6800001</v>
      </c>
      <c r="D14" s="16" t="s">
        <v>16</v>
      </c>
      <c r="E14" s="16">
        <v>1</v>
      </c>
      <c r="H14" s="37">
        <v>42461</v>
      </c>
      <c r="I14" s="16">
        <v>430658300</v>
      </c>
      <c r="K14" s="37">
        <v>42461</v>
      </c>
      <c r="L14" s="16">
        <v>15542534575.02</v>
      </c>
      <c r="N14" s="37">
        <v>42461</v>
      </c>
      <c r="O14" s="16">
        <v>44861340063.169998</v>
      </c>
      <c r="P14" s="39">
        <f>VLOOKUP($N14,'Pivot equal'!C:D,2,0)</f>
        <v>11853659989.439999</v>
      </c>
      <c r="Q14" s="39">
        <f>VLOOKUP(N14,'Pivot equal'!G:H,2,0)</f>
        <v>8499932035.1700001</v>
      </c>
      <c r="R14" s="39">
        <f>VLOOKUP(N14,'Pivot equal'!K:L,2,0)</f>
        <v>3188130012.96</v>
      </c>
      <c r="S14" s="39">
        <f>VLOOKUP(N14,CurrentMtgRatesDataTable9[],2,0)</f>
        <v>430658300</v>
      </c>
      <c r="T14" s="39">
        <f>VLOOKUP(N14,CurrentMtgRatesDataTable93[],2,0)</f>
        <v>15542534575.02</v>
      </c>
      <c r="U14" s="40">
        <f>CurrentMtgRatesDataTable8[[#This Row],[Top 10 Amount]]/CurrentMtgRatesDataTable8[[#This Row],[TotalBalance]]</f>
        <v>0.26422884320327172</v>
      </c>
      <c r="V14" s="40">
        <f>CurrentMtgRatesDataTable8[[#This Row],[Top 5 Amount]]/CurrentMtgRatesDataTable8[[#This Row],[TotalBalance]]</f>
        <v>0.18947120222447891</v>
      </c>
      <c r="W14" s="40">
        <f>CurrentMtgRatesDataTable8[[#This Row],[Top 1 Amount]]/CurrentMtgRatesDataTable8[[#This Row],[TotalBalance]]</f>
        <v>7.1066312519214567E-2</v>
      </c>
      <c r="X14" s="40">
        <f>CurrentMtgRatesDataTable8[[#This Row],[N/A Amount]]/CurrentMtgRatesDataTable8[[#This Row],[TotalBalance]]</f>
        <v>0.34645720687643972</v>
      </c>
    </row>
    <row r="15" spans="2:24">
      <c r="B15" s="37">
        <v>39114</v>
      </c>
      <c r="C15" s="16">
        <v>1347925403</v>
      </c>
      <c r="D15" s="16" t="s">
        <v>7</v>
      </c>
      <c r="E15" s="16">
        <v>2</v>
      </c>
      <c r="H15" s="37">
        <v>42430</v>
      </c>
      <c r="I15" s="16">
        <v>330149100</v>
      </c>
      <c r="K15" s="37">
        <v>42430</v>
      </c>
      <c r="L15" s="16">
        <v>12912708149.059999</v>
      </c>
      <c r="N15" s="37">
        <v>42430</v>
      </c>
      <c r="O15" s="16">
        <v>39928859384.089996</v>
      </c>
      <c r="P15" s="39">
        <f>VLOOKUP($N15,'Pivot equal'!C:D,2,0)</f>
        <v>11041902566.820002</v>
      </c>
      <c r="Q15" s="39">
        <f>VLOOKUP(N15,'Pivot equal'!G:H,2,0)</f>
        <v>7673769623.3999996</v>
      </c>
      <c r="R15" s="39">
        <f>VLOOKUP(N15,'Pivot equal'!K:L,2,0)</f>
        <v>2763625043.9000001</v>
      </c>
      <c r="S15" s="39">
        <f>VLOOKUP(N15,CurrentMtgRatesDataTable9[],2,0)</f>
        <v>330149100</v>
      </c>
      <c r="T15" s="39">
        <f>VLOOKUP(N15,CurrentMtgRatesDataTable93[],2,0)</f>
        <v>12912708149.059999</v>
      </c>
      <c r="U15" s="40">
        <f>CurrentMtgRatesDataTable8[[#This Row],[Top 10 Amount]]/CurrentMtgRatesDataTable8[[#This Row],[TotalBalance]]</f>
        <v>0.27653939374035175</v>
      </c>
      <c r="V15" s="40">
        <f>CurrentMtgRatesDataTable8[[#This Row],[Top 5 Amount]]/CurrentMtgRatesDataTable8[[#This Row],[TotalBalance]]</f>
        <v>0.19218604642780454</v>
      </c>
      <c r="W15" s="40">
        <f>CurrentMtgRatesDataTable8[[#This Row],[Top 1 Amount]]/CurrentMtgRatesDataTable8[[#This Row],[TotalBalance]]</f>
        <v>6.9213723770962285E-2</v>
      </c>
      <c r="X15" s="40">
        <f>CurrentMtgRatesDataTable8[[#This Row],[N/A Amount]]/CurrentMtgRatesDataTable8[[#This Row],[TotalBalance]]</f>
        <v>0.32339286291271274</v>
      </c>
    </row>
    <row r="16" spans="2:24">
      <c r="B16" s="37">
        <v>39114</v>
      </c>
      <c r="C16" s="16">
        <v>919494049</v>
      </c>
      <c r="D16" s="16" t="s">
        <v>17</v>
      </c>
      <c r="E16" s="16">
        <v>3</v>
      </c>
      <c r="H16" s="37">
        <v>42401</v>
      </c>
      <c r="I16" s="16">
        <v>438976700</v>
      </c>
      <c r="K16" s="37">
        <v>42401</v>
      </c>
      <c r="L16" s="16">
        <v>9159202338.3899994</v>
      </c>
      <c r="N16" s="37">
        <v>42401</v>
      </c>
      <c r="O16" s="16">
        <v>30561761942.720001</v>
      </c>
      <c r="P16" s="39">
        <f>VLOOKUP($N16,'Pivot equal'!C:D,2,0)</f>
        <v>7989142918.79</v>
      </c>
      <c r="Q16" s="39">
        <f>VLOOKUP(N16,'Pivot equal'!G:H,2,0)</f>
        <v>5537227032.2399998</v>
      </c>
      <c r="R16" s="39">
        <f>VLOOKUP(N16,'Pivot equal'!K:L,2,0)</f>
        <v>2457936826.3200002</v>
      </c>
      <c r="S16" s="39">
        <f>VLOOKUP(N16,CurrentMtgRatesDataTable9[],2,0)</f>
        <v>438976700</v>
      </c>
      <c r="T16" s="39">
        <f>VLOOKUP(N16,CurrentMtgRatesDataTable93[],2,0)</f>
        <v>9159202338.3899994</v>
      </c>
      <c r="U16" s="40">
        <f>CurrentMtgRatesDataTable8[[#This Row],[Top 10 Amount]]/CurrentMtgRatesDataTable8[[#This Row],[TotalBalance]]</f>
        <v>0.26140976209956579</v>
      </c>
      <c r="V16" s="40">
        <f>CurrentMtgRatesDataTable8[[#This Row],[Top 5 Amount]]/CurrentMtgRatesDataTable8[[#This Row],[TotalBalance]]</f>
        <v>0.18118153798259662</v>
      </c>
      <c r="W16" s="40">
        <f>CurrentMtgRatesDataTable8[[#This Row],[Top 1 Amount]]/CurrentMtgRatesDataTable8[[#This Row],[TotalBalance]]</f>
        <v>8.0425233038813576E-2</v>
      </c>
      <c r="X16" s="40">
        <f>CurrentMtgRatesDataTable8[[#This Row],[N/A Amount]]/CurrentMtgRatesDataTable8[[#This Row],[TotalBalance]]</f>
        <v>0.29969483943879022</v>
      </c>
    </row>
    <row r="17" spans="2:24">
      <c r="B17" s="37">
        <v>39114</v>
      </c>
      <c r="C17" s="16">
        <v>912306666</v>
      </c>
      <c r="D17" s="16" t="s">
        <v>8</v>
      </c>
      <c r="E17" s="16">
        <v>4</v>
      </c>
      <c r="H17" s="37">
        <v>42370</v>
      </c>
      <c r="I17" s="16">
        <v>644930500</v>
      </c>
      <c r="K17" s="37">
        <v>42370</v>
      </c>
      <c r="L17" s="16">
        <v>12410967681.16</v>
      </c>
      <c r="N17" s="37">
        <v>42370</v>
      </c>
      <c r="O17" s="16">
        <v>38841640329.040001</v>
      </c>
      <c r="P17" s="39">
        <f>VLOOKUP($N17,'Pivot equal'!C:D,2,0)</f>
        <v>8295267040.5500002</v>
      </c>
      <c r="Q17" s="39">
        <f>VLOOKUP(N17,'Pivot equal'!G:H,2,0)</f>
        <v>6106414556.3600006</v>
      </c>
      <c r="R17" s="39">
        <f>VLOOKUP(N17,'Pivot equal'!K:L,2,0)</f>
        <v>2354326082.3600001</v>
      </c>
      <c r="S17" s="39">
        <f>VLOOKUP(N17,CurrentMtgRatesDataTable9[],2,0)</f>
        <v>644930500</v>
      </c>
      <c r="T17" s="39">
        <f>VLOOKUP(N17,CurrentMtgRatesDataTable93[],2,0)</f>
        <v>12410967681.16</v>
      </c>
      <c r="U17" s="40">
        <f>CurrentMtgRatesDataTable8[[#This Row],[Top 10 Amount]]/CurrentMtgRatesDataTable8[[#This Row],[TotalBalance]]</f>
        <v>0.2135663419535872</v>
      </c>
      <c r="V17" s="40">
        <f>CurrentMtgRatesDataTable8[[#This Row],[Top 5 Amount]]/CurrentMtgRatesDataTable8[[#This Row],[TotalBalance]]</f>
        <v>0.15721309668259639</v>
      </c>
      <c r="W17" s="40">
        <f>CurrentMtgRatesDataTable8[[#This Row],[Top 1 Amount]]/CurrentMtgRatesDataTable8[[#This Row],[TotalBalance]]</f>
        <v>6.0613456651566422E-2</v>
      </c>
      <c r="X17" s="40">
        <f>CurrentMtgRatesDataTable8[[#This Row],[N/A Amount]]/CurrentMtgRatesDataTable8[[#This Row],[TotalBalance]]</f>
        <v>0.31952738288143112</v>
      </c>
    </row>
    <row r="18" spans="2:24">
      <c r="B18" s="37">
        <v>39114</v>
      </c>
      <c r="C18" s="16">
        <v>623233566.15999997</v>
      </c>
      <c r="D18" s="16" t="s">
        <v>4</v>
      </c>
      <c r="E18" s="16">
        <v>5</v>
      </c>
      <c r="H18" s="37">
        <v>42339</v>
      </c>
      <c r="I18" s="16">
        <v>309375000</v>
      </c>
      <c r="K18" s="37">
        <v>42339</v>
      </c>
      <c r="L18" s="16">
        <v>16485855884.969999</v>
      </c>
      <c r="N18" s="37">
        <v>42339</v>
      </c>
      <c r="O18" s="16">
        <v>39048100886.419998</v>
      </c>
      <c r="P18" s="39">
        <f>VLOOKUP($N18,'Pivot equal'!C:D,2,0)</f>
        <v>8022732999.1600008</v>
      </c>
      <c r="Q18" s="39">
        <f>VLOOKUP(N18,'Pivot equal'!G:H,2,0)</f>
        <v>5757911612.04</v>
      </c>
      <c r="R18" s="39">
        <f>VLOOKUP(N18,'Pivot equal'!K:L,2,0)</f>
        <v>2619817967.04</v>
      </c>
      <c r="S18" s="39">
        <f>VLOOKUP(N18,CurrentMtgRatesDataTable9[],2,0)</f>
        <v>309375000</v>
      </c>
      <c r="T18" s="39">
        <f>VLOOKUP(N18,CurrentMtgRatesDataTable93[],2,0)</f>
        <v>16485855884.969999</v>
      </c>
      <c r="U18" s="40">
        <f>CurrentMtgRatesDataTable8[[#This Row],[Top 10 Amount]]/CurrentMtgRatesDataTable8[[#This Row],[TotalBalance]]</f>
        <v>0.20545770004272132</v>
      </c>
      <c r="V18" s="40">
        <f>CurrentMtgRatesDataTable8[[#This Row],[Top 5 Amount]]/CurrentMtgRatesDataTable8[[#This Row],[TotalBalance]]</f>
        <v>0.14745689243090604</v>
      </c>
      <c r="W18" s="40">
        <f>CurrentMtgRatesDataTable8[[#This Row],[Top 1 Amount]]/CurrentMtgRatesDataTable8[[#This Row],[TotalBalance]]</f>
        <v>6.7092071254894511E-2</v>
      </c>
      <c r="X18" s="40">
        <f>CurrentMtgRatesDataTable8[[#This Row],[N/A Amount]]/CurrentMtgRatesDataTable8[[#This Row],[TotalBalance]]</f>
        <v>0.42219353850070052</v>
      </c>
    </row>
    <row r="19" spans="2:24">
      <c r="B19" s="37">
        <v>39114</v>
      </c>
      <c r="C19" s="16">
        <v>304184798</v>
      </c>
      <c r="D19" s="16" t="s">
        <v>23</v>
      </c>
      <c r="E19" s="16">
        <v>6</v>
      </c>
      <c r="H19" s="37">
        <v>42309</v>
      </c>
      <c r="I19" s="16">
        <v>441610000</v>
      </c>
      <c r="K19" s="37">
        <v>42309</v>
      </c>
      <c r="L19" s="16">
        <v>5243863033.3699999</v>
      </c>
      <c r="N19" s="37">
        <v>42309</v>
      </c>
      <c r="O19" s="16">
        <v>28933538589.34</v>
      </c>
      <c r="P19" s="39">
        <f>VLOOKUP($N19,'Pivot equal'!C:D,2,0)</f>
        <v>8504328451.5699997</v>
      </c>
      <c r="Q19" s="39">
        <f>VLOOKUP(N19,'Pivot equal'!G:H,2,0)</f>
        <v>6016405862.8600006</v>
      </c>
      <c r="R19" s="39">
        <f>VLOOKUP(N19,'Pivot equal'!K:L,2,0)</f>
        <v>2882552108.52</v>
      </c>
      <c r="S19" s="39">
        <f>VLOOKUP(N19,CurrentMtgRatesDataTable9[],2,0)</f>
        <v>441610000</v>
      </c>
      <c r="T19" s="39">
        <f>VLOOKUP(N19,CurrentMtgRatesDataTable93[],2,0)</f>
        <v>5243863033.3699999</v>
      </c>
      <c r="U19" s="40">
        <f>CurrentMtgRatesDataTable8[[#This Row],[Top 10 Amount]]/CurrentMtgRatesDataTable8[[#This Row],[TotalBalance]]</f>
        <v>0.29392631756086879</v>
      </c>
      <c r="V19" s="40">
        <f>CurrentMtgRatesDataTable8[[#This Row],[Top 5 Amount]]/CurrentMtgRatesDataTable8[[#This Row],[TotalBalance]]</f>
        <v>0.20793881966019284</v>
      </c>
      <c r="W19" s="40">
        <f>CurrentMtgRatesDataTable8[[#This Row],[Top 1 Amount]]/CurrentMtgRatesDataTable8[[#This Row],[TotalBalance]]</f>
        <v>9.962667026085846E-2</v>
      </c>
      <c r="X19" s="40">
        <f>CurrentMtgRatesDataTable8[[#This Row],[N/A Amount]]/CurrentMtgRatesDataTable8[[#This Row],[TotalBalance]]</f>
        <v>0.18123822003928683</v>
      </c>
    </row>
    <row r="20" spans="2:24">
      <c r="B20" s="37">
        <v>39114</v>
      </c>
      <c r="C20" s="16">
        <v>298994314</v>
      </c>
      <c r="D20" s="16" t="s">
        <v>14</v>
      </c>
      <c r="E20" s="16">
        <v>7</v>
      </c>
      <c r="H20" s="37">
        <v>42278</v>
      </c>
      <c r="I20" s="16">
        <v>722091700</v>
      </c>
      <c r="K20" s="37">
        <v>42278</v>
      </c>
      <c r="L20" s="16">
        <v>14261798409.82</v>
      </c>
      <c r="N20" s="37">
        <v>42278</v>
      </c>
      <c r="O20" s="16">
        <v>41324740804.440002</v>
      </c>
      <c r="P20" s="39">
        <f>VLOOKUP($N20,'Pivot equal'!C:D,2,0)</f>
        <v>9333680630.4800014</v>
      </c>
      <c r="Q20" s="39">
        <f>VLOOKUP(N20,'Pivot equal'!G:H,2,0)</f>
        <v>6427887673.0799999</v>
      </c>
      <c r="R20" s="39">
        <f>VLOOKUP(N20,'Pivot equal'!K:L,2,0)</f>
        <v>2329434849.4899998</v>
      </c>
      <c r="S20" s="39">
        <f>VLOOKUP(N20,CurrentMtgRatesDataTable9[],2,0)</f>
        <v>722091700</v>
      </c>
      <c r="T20" s="39">
        <f>VLOOKUP(N20,CurrentMtgRatesDataTable93[],2,0)</f>
        <v>14261798409.82</v>
      </c>
      <c r="U20" s="40">
        <f>CurrentMtgRatesDataTable8[[#This Row],[Top 10 Amount]]/CurrentMtgRatesDataTable8[[#This Row],[TotalBalance]]</f>
        <v>0.22586180696569969</v>
      </c>
      <c r="V20" s="40">
        <f>CurrentMtgRatesDataTable8[[#This Row],[Top 5 Amount]]/CurrentMtgRatesDataTable8[[#This Row],[TotalBalance]]</f>
        <v>0.15554574688074937</v>
      </c>
      <c r="W20" s="40">
        <f>CurrentMtgRatesDataTable8[[#This Row],[Top 1 Amount]]/CurrentMtgRatesDataTable8[[#This Row],[TotalBalance]]</f>
        <v>5.6369012948284995E-2</v>
      </c>
      <c r="X20" s="40">
        <f>CurrentMtgRatesDataTable8[[#This Row],[N/A Amount]]/CurrentMtgRatesDataTable8[[#This Row],[TotalBalance]]</f>
        <v>0.34511525377281221</v>
      </c>
    </row>
    <row r="21" spans="2:24">
      <c r="B21" s="37">
        <v>39114</v>
      </c>
      <c r="C21" s="16">
        <v>260232245</v>
      </c>
      <c r="D21" s="16" t="s">
        <v>148</v>
      </c>
      <c r="E21" s="16">
        <v>8</v>
      </c>
      <c r="H21" s="37">
        <v>42248</v>
      </c>
      <c r="I21" s="16">
        <v>637495370</v>
      </c>
      <c r="K21" s="37">
        <v>42248</v>
      </c>
      <c r="L21" s="16">
        <v>14225142703.969999</v>
      </c>
      <c r="N21" s="37">
        <v>42248</v>
      </c>
      <c r="O21" s="16">
        <v>44989151670.82</v>
      </c>
      <c r="P21" s="39">
        <f>VLOOKUP($N21,'Pivot equal'!C:D,2,0)</f>
        <v>10777346059.070002</v>
      </c>
      <c r="Q21" s="39">
        <f>VLOOKUP(N21,'Pivot equal'!G:H,2,0)</f>
        <v>7614872293.7299995</v>
      </c>
      <c r="R21" s="39">
        <f>VLOOKUP(N21,'Pivot equal'!K:L,2,0)</f>
        <v>2930771176.6599998</v>
      </c>
      <c r="S21" s="39">
        <f>VLOOKUP(N21,CurrentMtgRatesDataTable9[],2,0)</f>
        <v>637495370</v>
      </c>
      <c r="T21" s="39">
        <f>VLOOKUP(N21,CurrentMtgRatesDataTable93[],2,0)</f>
        <v>14225142703.969999</v>
      </c>
      <c r="U21" s="40">
        <f>CurrentMtgRatesDataTable8[[#This Row],[Top 10 Amount]]/CurrentMtgRatesDataTable8[[#This Row],[TotalBalance]]</f>
        <v>0.2395543294064866</v>
      </c>
      <c r="V21" s="40">
        <f>CurrentMtgRatesDataTable8[[#This Row],[Top 5 Amount]]/CurrentMtgRatesDataTable8[[#This Row],[TotalBalance]]</f>
        <v>0.16926018853271715</v>
      </c>
      <c r="W21" s="40">
        <f>CurrentMtgRatesDataTable8[[#This Row],[Top 1 Amount]]/CurrentMtgRatesDataTable8[[#This Row],[TotalBalance]]</f>
        <v>6.5143952882332309E-2</v>
      </c>
      <c r="X21" s="40">
        <f>CurrentMtgRatesDataTable8[[#This Row],[N/A Amount]]/CurrentMtgRatesDataTable8[[#This Row],[TotalBalance]]</f>
        <v>0.31619050761511552</v>
      </c>
    </row>
    <row r="22" spans="2:24">
      <c r="B22" s="37">
        <v>39114</v>
      </c>
      <c r="C22" s="16">
        <v>245539975</v>
      </c>
      <c r="D22" s="16" t="s">
        <v>19</v>
      </c>
      <c r="E22" s="16">
        <v>9</v>
      </c>
      <c r="H22" s="37">
        <v>42217</v>
      </c>
      <c r="I22" s="16">
        <v>560962000</v>
      </c>
      <c r="K22" s="37">
        <v>42217</v>
      </c>
      <c r="L22" s="16">
        <v>13864952231.67</v>
      </c>
      <c r="N22" s="37">
        <v>42217</v>
      </c>
      <c r="O22" s="16">
        <v>39123218043.230003</v>
      </c>
      <c r="P22" s="39">
        <f>VLOOKUP($N22,'Pivot equal'!C:D,2,0)</f>
        <v>9476961213.1200008</v>
      </c>
      <c r="Q22" s="39">
        <f>VLOOKUP(N22,'Pivot equal'!G:H,2,0)</f>
        <v>6780119163.6499996</v>
      </c>
      <c r="R22" s="39">
        <f>VLOOKUP(N22,'Pivot equal'!K:L,2,0)</f>
        <v>2197193446.4000001</v>
      </c>
      <c r="S22" s="39">
        <f>VLOOKUP(N22,CurrentMtgRatesDataTable9[],2,0)</f>
        <v>560962000</v>
      </c>
      <c r="T22" s="39">
        <f>VLOOKUP(N22,CurrentMtgRatesDataTable93[],2,0)</f>
        <v>13864952231.67</v>
      </c>
      <c r="U22" s="40">
        <f>CurrentMtgRatesDataTable8[[#This Row],[Top 10 Amount]]/CurrentMtgRatesDataTable8[[#This Row],[TotalBalance]]</f>
        <v>0.24223368340120277</v>
      </c>
      <c r="V22" s="40">
        <f>CurrentMtgRatesDataTable8[[#This Row],[Top 5 Amount]]/CurrentMtgRatesDataTable8[[#This Row],[TotalBalance]]</f>
        <v>0.1733016736035918</v>
      </c>
      <c r="W22" s="40">
        <f>CurrentMtgRatesDataTable8[[#This Row],[Top 1 Amount]]/CurrentMtgRatesDataTable8[[#This Row],[TotalBalance]]</f>
        <v>5.616085680815331E-2</v>
      </c>
      <c r="X22" s="40">
        <f>CurrentMtgRatesDataTable8[[#This Row],[N/A Amount]]/CurrentMtgRatesDataTable8[[#This Row],[TotalBalance]]</f>
        <v>0.35439191674748322</v>
      </c>
    </row>
    <row r="23" spans="2:24">
      <c r="B23" s="37">
        <v>39114</v>
      </c>
      <c r="C23" s="16">
        <v>202292690.33000001</v>
      </c>
      <c r="D23" s="16" t="s">
        <v>22</v>
      </c>
      <c r="E23" s="16">
        <v>10</v>
      </c>
      <c r="H23" s="37">
        <v>42186</v>
      </c>
      <c r="I23" s="16">
        <v>941505570</v>
      </c>
      <c r="K23" s="37">
        <v>42186</v>
      </c>
      <c r="L23" s="16">
        <v>15447868194.700001</v>
      </c>
      <c r="N23" s="37">
        <v>42186</v>
      </c>
      <c r="O23" s="16">
        <v>46808897996.93</v>
      </c>
      <c r="P23" s="39">
        <f>VLOOKUP($N23,'Pivot equal'!C:D,2,0)</f>
        <v>11098692182.209999</v>
      </c>
      <c r="Q23" s="39">
        <f>VLOOKUP(N23,'Pivot equal'!G:H,2,0)</f>
        <v>7874442800.3200006</v>
      </c>
      <c r="R23" s="39">
        <f>VLOOKUP(N23,'Pivot equal'!K:L,2,0)</f>
        <v>2663674593.8699999</v>
      </c>
      <c r="S23" s="39">
        <f>VLOOKUP(N23,CurrentMtgRatesDataTable9[],2,0)</f>
        <v>941505570</v>
      </c>
      <c r="T23" s="39">
        <f>VLOOKUP(N23,CurrentMtgRatesDataTable93[],2,0)</f>
        <v>15447868194.700001</v>
      </c>
      <c r="U23" s="40">
        <f>CurrentMtgRatesDataTable8[[#This Row],[Top 10 Amount]]/CurrentMtgRatesDataTable8[[#This Row],[TotalBalance]]</f>
        <v>0.2371064617444725</v>
      </c>
      <c r="V23" s="40">
        <f>CurrentMtgRatesDataTable8[[#This Row],[Top 5 Amount]]/CurrentMtgRatesDataTable8[[#This Row],[TotalBalance]]</f>
        <v>0.16822534042216616</v>
      </c>
      <c r="W23" s="40">
        <f>CurrentMtgRatesDataTable8[[#This Row],[Top 1 Amount]]/CurrentMtgRatesDataTable8[[#This Row],[TotalBalance]]</f>
        <v>5.6905304500966869E-2</v>
      </c>
      <c r="X23" s="40">
        <f>CurrentMtgRatesDataTable8[[#This Row],[N/A Amount]]/CurrentMtgRatesDataTable8[[#This Row],[TotalBalance]]</f>
        <v>0.33001990766185441</v>
      </c>
    </row>
    <row r="24" spans="2:24">
      <c r="B24" s="37">
        <v>39142</v>
      </c>
      <c r="C24" s="16">
        <v>1782572404.98</v>
      </c>
      <c r="D24" s="16" t="s">
        <v>16</v>
      </c>
      <c r="E24" s="16">
        <v>1</v>
      </c>
      <c r="H24" s="37">
        <v>42156</v>
      </c>
      <c r="I24" s="16">
        <v>505993870</v>
      </c>
      <c r="K24" s="37">
        <v>42156</v>
      </c>
      <c r="L24" s="16">
        <v>16131057993.379999</v>
      </c>
      <c r="N24" s="37">
        <v>42156</v>
      </c>
      <c r="O24" s="16">
        <v>46670102078.379997</v>
      </c>
      <c r="P24" s="39">
        <f>VLOOKUP($N24,'Pivot equal'!C:D,2,0)</f>
        <v>10497392456.809999</v>
      </c>
      <c r="Q24" s="39">
        <f>VLOOKUP(N24,'Pivot equal'!G:H,2,0)</f>
        <v>7547349993.7300014</v>
      </c>
      <c r="R24" s="39">
        <f>VLOOKUP(N24,'Pivot equal'!K:L,2,0)</f>
        <v>2820536650.3600001</v>
      </c>
      <c r="S24" s="39">
        <f>VLOOKUP(N24,CurrentMtgRatesDataTable9[],2,0)</f>
        <v>505993870</v>
      </c>
      <c r="T24" s="39">
        <f>VLOOKUP(N24,CurrentMtgRatesDataTable93[],2,0)</f>
        <v>16131057993.379999</v>
      </c>
      <c r="U24" s="40">
        <f>CurrentMtgRatesDataTable8[[#This Row],[Top 10 Amount]]/CurrentMtgRatesDataTable8[[#This Row],[TotalBalance]]</f>
        <v>0.2249275658146232</v>
      </c>
      <c r="V24" s="40">
        <f>CurrentMtgRatesDataTable8[[#This Row],[Top 5 Amount]]/CurrentMtgRatesDataTable8[[#This Row],[TotalBalance]]</f>
        <v>0.1617170234822847</v>
      </c>
      <c r="W24" s="40">
        <f>CurrentMtgRatesDataTable8[[#This Row],[Top 1 Amount]]/CurrentMtgRatesDataTable8[[#This Row],[TotalBalance]]</f>
        <v>6.0435622052487828E-2</v>
      </c>
      <c r="X24" s="40">
        <f>CurrentMtgRatesDataTable8[[#This Row],[N/A Amount]]/CurrentMtgRatesDataTable8[[#This Row],[TotalBalance]]</f>
        <v>0.34564008380116096</v>
      </c>
    </row>
    <row r="25" spans="2:24">
      <c r="B25" s="37">
        <v>39142</v>
      </c>
      <c r="C25" s="16">
        <v>1390421450</v>
      </c>
      <c r="D25" s="16" t="s">
        <v>7</v>
      </c>
      <c r="E25" s="16">
        <v>2</v>
      </c>
      <c r="H25" s="37">
        <v>42125</v>
      </c>
      <c r="I25" s="16">
        <v>574678000</v>
      </c>
      <c r="K25" s="37">
        <v>42125</v>
      </c>
      <c r="L25" s="16">
        <v>14350941436.51</v>
      </c>
      <c r="N25" s="37">
        <v>42125</v>
      </c>
      <c r="O25" s="16">
        <v>44756506739.489998</v>
      </c>
      <c r="P25" s="39">
        <f>VLOOKUP($N25,'Pivot equal'!C:D,2,0)</f>
        <v>10683619504.109999</v>
      </c>
      <c r="Q25" s="39">
        <f>VLOOKUP(N25,'Pivot equal'!G:H,2,0)</f>
        <v>7443053109</v>
      </c>
      <c r="R25" s="39">
        <f>VLOOKUP(N25,'Pivot equal'!K:L,2,0)</f>
        <v>2798725237.3699999</v>
      </c>
      <c r="S25" s="39">
        <f>VLOOKUP(N25,CurrentMtgRatesDataTable9[],2,0)</f>
        <v>574678000</v>
      </c>
      <c r="T25" s="39">
        <f>VLOOKUP(N25,CurrentMtgRatesDataTable93[],2,0)</f>
        <v>14350941436.51</v>
      </c>
      <c r="U25" s="40">
        <f>CurrentMtgRatesDataTable8[[#This Row],[Top 10 Amount]]/CurrentMtgRatesDataTable8[[#This Row],[TotalBalance]]</f>
        <v>0.23870539240908906</v>
      </c>
      <c r="V25" s="40">
        <f>CurrentMtgRatesDataTable8[[#This Row],[Top 5 Amount]]/CurrentMtgRatesDataTable8[[#This Row],[TotalBalance]]</f>
        <v>0.16630102863753601</v>
      </c>
      <c r="W25" s="40">
        <f>CurrentMtgRatesDataTable8[[#This Row],[Top 1 Amount]]/CurrentMtgRatesDataTable8[[#This Row],[TotalBalance]]</f>
        <v>6.2532253771731508E-2</v>
      </c>
      <c r="X25" s="40">
        <f>CurrentMtgRatesDataTable8[[#This Row],[N/A Amount]]/CurrentMtgRatesDataTable8[[#This Row],[TotalBalance]]</f>
        <v>0.32064480635276521</v>
      </c>
    </row>
    <row r="26" spans="2:24">
      <c r="B26" s="37">
        <v>39142</v>
      </c>
      <c r="C26" s="16">
        <v>1178120322</v>
      </c>
      <c r="D26" s="16" t="s">
        <v>17</v>
      </c>
      <c r="E26" s="16">
        <v>3</v>
      </c>
      <c r="H26" s="37">
        <v>42095</v>
      </c>
      <c r="I26" s="16">
        <v>807228600</v>
      </c>
      <c r="K26" s="37">
        <v>42095</v>
      </c>
      <c r="L26" s="16">
        <v>16235147935.42</v>
      </c>
      <c r="N26" s="37">
        <v>42095</v>
      </c>
      <c r="O26" s="16">
        <v>51182654442.220001</v>
      </c>
      <c r="P26" s="39">
        <f>VLOOKUP($N26,'Pivot equal'!C:D,2,0)</f>
        <v>12158309297.25</v>
      </c>
      <c r="Q26" s="39">
        <f>VLOOKUP(N26,'Pivot equal'!G:H,2,0)</f>
        <v>8162065792.2399998</v>
      </c>
      <c r="R26" s="39">
        <f>VLOOKUP(N26,'Pivot equal'!K:L,2,0)</f>
        <v>2942739567.1399999</v>
      </c>
      <c r="S26" s="39">
        <f>VLOOKUP(N26,CurrentMtgRatesDataTable9[],2,0)</f>
        <v>807228600</v>
      </c>
      <c r="T26" s="39">
        <f>VLOOKUP(N26,CurrentMtgRatesDataTable93[],2,0)</f>
        <v>16235147935.42</v>
      </c>
      <c r="U26" s="40">
        <f>CurrentMtgRatesDataTable8[[#This Row],[Top 10 Amount]]/CurrentMtgRatesDataTable8[[#This Row],[TotalBalance]]</f>
        <v>0.23754745488973206</v>
      </c>
      <c r="V26" s="40">
        <f>CurrentMtgRatesDataTable8[[#This Row],[Top 5 Amount]]/CurrentMtgRatesDataTable8[[#This Row],[TotalBalance]]</f>
        <v>0.15946937260657593</v>
      </c>
      <c r="W26" s="40">
        <f>CurrentMtgRatesDataTable8[[#This Row],[Top 1 Amount]]/CurrentMtgRatesDataTable8[[#This Row],[TotalBalance]]</f>
        <v>5.7494860303934664E-2</v>
      </c>
      <c r="X26" s="40">
        <f>CurrentMtgRatesDataTable8[[#This Row],[N/A Amount]]/CurrentMtgRatesDataTable8[[#This Row],[TotalBalance]]</f>
        <v>0.31720019433044111</v>
      </c>
    </row>
    <row r="27" spans="2:24">
      <c r="B27" s="37">
        <v>39142</v>
      </c>
      <c r="C27" s="16">
        <v>803760414.74000001</v>
      </c>
      <c r="D27" s="16" t="s">
        <v>8</v>
      </c>
      <c r="E27" s="16">
        <v>4</v>
      </c>
      <c r="H27" s="37">
        <v>42064</v>
      </c>
      <c r="I27" s="16">
        <v>524124870</v>
      </c>
      <c r="K27" s="37">
        <v>42064</v>
      </c>
      <c r="L27" s="16">
        <v>15868039859.870001</v>
      </c>
      <c r="N27" s="37">
        <v>42064</v>
      </c>
      <c r="O27" s="16">
        <v>44361653084.169998</v>
      </c>
      <c r="P27" s="39">
        <f>VLOOKUP($N27,'Pivot equal'!C:D,2,0)</f>
        <v>12177451454.530001</v>
      </c>
      <c r="Q27" s="39">
        <f>VLOOKUP(N27,'Pivot equal'!G:H,2,0)</f>
        <v>9131351325.9500008</v>
      </c>
      <c r="R27" s="39">
        <f>VLOOKUP(N27,'Pivot equal'!K:L,2,0)</f>
        <v>4001267869.9400001</v>
      </c>
      <c r="S27" s="39">
        <f>VLOOKUP(N27,CurrentMtgRatesDataTable9[],2,0)</f>
        <v>524124870</v>
      </c>
      <c r="T27" s="39">
        <f>VLOOKUP(N27,CurrentMtgRatesDataTable93[],2,0)</f>
        <v>15868039859.870001</v>
      </c>
      <c r="U27" s="40">
        <f>CurrentMtgRatesDataTable8[[#This Row],[Top 10 Amount]]/CurrentMtgRatesDataTable8[[#This Row],[TotalBalance]]</f>
        <v>0.27450400532696562</v>
      </c>
      <c r="V27" s="40">
        <f>CurrentMtgRatesDataTable8[[#This Row],[Top 5 Amount]]/CurrentMtgRatesDataTable8[[#This Row],[TotalBalance]]</f>
        <v>0.20583884258380872</v>
      </c>
      <c r="W27" s="40">
        <f>CurrentMtgRatesDataTable8[[#This Row],[Top 1 Amount]]/CurrentMtgRatesDataTable8[[#This Row],[TotalBalance]]</f>
        <v>9.0196545704646233E-2</v>
      </c>
      <c r="X27" s="40">
        <f>CurrentMtgRatesDataTable8[[#This Row],[N/A Amount]]/CurrentMtgRatesDataTable8[[#This Row],[TotalBalance]]</f>
        <v>0.35769721722864173</v>
      </c>
    </row>
    <row r="28" spans="2:24">
      <c r="B28" s="37">
        <v>39142</v>
      </c>
      <c r="C28" s="16">
        <v>420305277.45999998</v>
      </c>
      <c r="D28" s="16" t="s">
        <v>4</v>
      </c>
      <c r="E28" s="16">
        <v>5</v>
      </c>
      <c r="H28" s="37">
        <v>42036</v>
      </c>
      <c r="I28" s="16">
        <v>697783000</v>
      </c>
      <c r="K28" s="37">
        <v>42036</v>
      </c>
      <c r="L28" s="16">
        <v>9207094804.5400009</v>
      </c>
      <c r="N28" s="37">
        <v>42036</v>
      </c>
      <c r="O28" s="16">
        <v>36583983679.550003</v>
      </c>
      <c r="P28" s="39">
        <f>VLOOKUP($N28,'Pivot equal'!C:D,2,0)</f>
        <v>9419957114.6100006</v>
      </c>
      <c r="Q28" s="39">
        <f>VLOOKUP(N28,'Pivot equal'!G:H,2,0)</f>
        <v>6812238309.6199999</v>
      </c>
      <c r="R28" s="39">
        <f>VLOOKUP(N28,'Pivot equal'!K:L,2,0)</f>
        <v>2391607148.8299999</v>
      </c>
      <c r="S28" s="39">
        <f>VLOOKUP(N28,CurrentMtgRatesDataTable9[],2,0)</f>
        <v>697783000</v>
      </c>
      <c r="T28" s="39">
        <f>VLOOKUP(N28,CurrentMtgRatesDataTable93[],2,0)</f>
        <v>9207094804.5400009</v>
      </c>
      <c r="U28" s="40">
        <f>CurrentMtgRatesDataTable8[[#This Row],[Top 10 Amount]]/CurrentMtgRatesDataTable8[[#This Row],[TotalBalance]]</f>
        <v>0.25748855556907657</v>
      </c>
      <c r="V28" s="40">
        <f>CurrentMtgRatesDataTable8[[#This Row],[Top 5 Amount]]/CurrentMtgRatesDataTable8[[#This Row],[TotalBalance]]</f>
        <v>0.18620821530236897</v>
      </c>
      <c r="W28" s="40">
        <f>CurrentMtgRatesDataTable8[[#This Row],[Top 1 Amount]]/CurrentMtgRatesDataTable8[[#This Row],[TotalBalance]]</f>
        <v>6.53730651582069E-2</v>
      </c>
      <c r="X28" s="40">
        <f>CurrentMtgRatesDataTable8[[#This Row],[N/A Amount]]/CurrentMtgRatesDataTable8[[#This Row],[TotalBalance]]</f>
        <v>0.25167009927589307</v>
      </c>
    </row>
    <row r="29" spans="2:24">
      <c r="B29" s="37">
        <v>39142</v>
      </c>
      <c r="C29" s="16">
        <v>356062658</v>
      </c>
      <c r="D29" s="16" t="s">
        <v>14</v>
      </c>
      <c r="E29" s="16">
        <v>6</v>
      </c>
      <c r="H29" s="37">
        <v>42005</v>
      </c>
      <c r="I29" s="16">
        <v>855334400</v>
      </c>
      <c r="K29" s="37">
        <v>42005</v>
      </c>
      <c r="L29" s="16">
        <v>8692846973.4500008</v>
      </c>
      <c r="N29" s="37">
        <v>42005</v>
      </c>
      <c r="O29" s="16">
        <v>36980630899.18</v>
      </c>
      <c r="P29" s="39">
        <f>VLOOKUP($N29,'Pivot equal'!C:D,2,0)</f>
        <v>10141267076.969999</v>
      </c>
      <c r="Q29" s="39">
        <f>VLOOKUP(N29,'Pivot equal'!G:H,2,0)</f>
        <v>7734974738.789999</v>
      </c>
      <c r="R29" s="39">
        <f>VLOOKUP(N29,'Pivot equal'!K:L,2,0)</f>
        <v>3191572944.1500001</v>
      </c>
      <c r="S29" s="39">
        <f>VLOOKUP(N29,CurrentMtgRatesDataTable9[],2,0)</f>
        <v>855334400</v>
      </c>
      <c r="T29" s="39">
        <f>VLOOKUP(N29,CurrentMtgRatesDataTable93[],2,0)</f>
        <v>8692846973.4500008</v>
      </c>
      <c r="U29" s="40">
        <f>CurrentMtgRatesDataTable8[[#This Row],[Top 10 Amount]]/CurrentMtgRatesDataTable8[[#This Row],[TotalBalance]]</f>
        <v>0.27423185679600909</v>
      </c>
      <c r="V29" s="40">
        <f>CurrentMtgRatesDataTable8[[#This Row],[Top 5 Amount]]/CurrentMtgRatesDataTable8[[#This Row],[TotalBalance]]</f>
        <v>0.20916286582232194</v>
      </c>
      <c r="W29" s="40">
        <f>CurrentMtgRatesDataTable8[[#This Row],[Top 1 Amount]]/CurrentMtgRatesDataTable8[[#This Row],[TotalBalance]]</f>
        <v>8.6303907384683617E-2</v>
      </c>
      <c r="X29" s="40">
        <f>CurrentMtgRatesDataTable8[[#This Row],[N/A Amount]]/CurrentMtgRatesDataTable8[[#This Row],[TotalBalance]]</f>
        <v>0.23506486401352211</v>
      </c>
    </row>
    <row r="30" spans="2:24">
      <c r="B30" s="37">
        <v>39142</v>
      </c>
      <c r="C30" s="16">
        <v>272882484.35000002</v>
      </c>
      <c r="D30" s="16" t="s">
        <v>11</v>
      </c>
      <c r="E30" s="16">
        <v>7</v>
      </c>
      <c r="H30" s="37">
        <v>41974</v>
      </c>
      <c r="I30" s="16">
        <v>624271500</v>
      </c>
      <c r="K30" s="37">
        <v>41974</v>
      </c>
      <c r="L30" s="16">
        <v>15367345362.059999</v>
      </c>
      <c r="N30" s="37">
        <v>41974</v>
      </c>
      <c r="O30" s="16">
        <v>44253011751.110001</v>
      </c>
      <c r="P30" s="39">
        <f>VLOOKUP($N30,'Pivot equal'!C:D,2,0)</f>
        <v>10527078740.85</v>
      </c>
      <c r="Q30" s="39">
        <f>VLOOKUP(N30,'Pivot equal'!G:H,2,0)</f>
        <v>7543682119.3500004</v>
      </c>
      <c r="R30" s="39">
        <f>VLOOKUP(N30,'Pivot equal'!K:L,2,0)</f>
        <v>2066146511.47</v>
      </c>
      <c r="S30" s="39">
        <f>VLOOKUP(N30,CurrentMtgRatesDataTable9[],2,0)</f>
        <v>624271500</v>
      </c>
      <c r="T30" s="39">
        <f>VLOOKUP(N30,CurrentMtgRatesDataTable93[],2,0)</f>
        <v>15367345362.059999</v>
      </c>
      <c r="U30" s="40">
        <f>CurrentMtgRatesDataTable8[[#This Row],[Top 10 Amount]]/CurrentMtgRatesDataTable8[[#This Row],[TotalBalance]]</f>
        <v>0.23788389364450316</v>
      </c>
      <c r="V30" s="40">
        <f>CurrentMtgRatesDataTable8[[#This Row],[Top 5 Amount]]/CurrentMtgRatesDataTable8[[#This Row],[TotalBalance]]</f>
        <v>0.17046708960234286</v>
      </c>
      <c r="W30" s="40">
        <f>CurrentMtgRatesDataTable8[[#This Row],[Top 1 Amount]]/CurrentMtgRatesDataTable8[[#This Row],[TotalBalance]]</f>
        <v>4.6689398748508339E-2</v>
      </c>
      <c r="X30" s="40">
        <f>CurrentMtgRatesDataTable8[[#This Row],[N/A Amount]]/CurrentMtgRatesDataTable8[[#This Row],[TotalBalance]]</f>
        <v>0.34726100561222345</v>
      </c>
    </row>
    <row r="31" spans="2:24">
      <c r="B31" s="37">
        <v>39142</v>
      </c>
      <c r="C31" s="16">
        <v>221209280.87</v>
      </c>
      <c r="D31" s="16" t="s">
        <v>19</v>
      </c>
      <c r="E31" s="16">
        <v>8</v>
      </c>
      <c r="H31" s="37">
        <v>41944</v>
      </c>
      <c r="I31" s="16">
        <v>831784416</v>
      </c>
      <c r="K31" s="37">
        <v>41944</v>
      </c>
      <c r="L31" s="16">
        <v>4219267889.8299999</v>
      </c>
      <c r="N31" s="37">
        <v>41944</v>
      </c>
      <c r="O31" s="16">
        <v>32492729674.279999</v>
      </c>
      <c r="P31" s="39">
        <f>VLOOKUP($N31,'Pivot equal'!C:D,2,0)</f>
        <v>8769652212.1499996</v>
      </c>
      <c r="Q31" s="39">
        <f>VLOOKUP(N31,'Pivot equal'!G:H,2,0)</f>
        <v>6696060483.5299997</v>
      </c>
      <c r="R31" s="39">
        <f>VLOOKUP(N31,'Pivot equal'!K:L,2,0)</f>
        <v>2775970767.79</v>
      </c>
      <c r="S31" s="39">
        <f>VLOOKUP(N31,CurrentMtgRatesDataTable9[],2,0)</f>
        <v>831784416</v>
      </c>
      <c r="T31" s="39">
        <f>VLOOKUP(N31,CurrentMtgRatesDataTable93[],2,0)</f>
        <v>4219267889.8299999</v>
      </c>
      <c r="U31" s="40">
        <f>CurrentMtgRatesDataTable8[[#This Row],[Top 10 Amount]]/CurrentMtgRatesDataTable8[[#This Row],[TotalBalance]]</f>
        <v>0.26989582900730313</v>
      </c>
      <c r="V31" s="40">
        <f>CurrentMtgRatesDataTable8[[#This Row],[Top 5 Amount]]/CurrentMtgRatesDataTable8[[#This Row],[TotalBalance]]</f>
        <v>0.20607873055461834</v>
      </c>
      <c r="W31" s="40">
        <f>CurrentMtgRatesDataTable8[[#This Row],[Top 1 Amount]]/CurrentMtgRatesDataTable8[[#This Row],[TotalBalance]]</f>
        <v>8.5433596857433375E-2</v>
      </c>
      <c r="X31" s="40">
        <f>CurrentMtgRatesDataTable8[[#This Row],[N/A Amount]]/CurrentMtgRatesDataTable8[[#This Row],[TotalBalance]]</f>
        <v>0.12985267572548118</v>
      </c>
    </row>
    <row r="32" spans="2:24">
      <c r="B32" s="37">
        <v>39142</v>
      </c>
      <c r="C32" s="16">
        <v>192796183</v>
      </c>
      <c r="D32" s="16" t="s">
        <v>148</v>
      </c>
      <c r="E32" s="16">
        <v>9</v>
      </c>
      <c r="H32" s="37">
        <v>41913</v>
      </c>
      <c r="I32" s="16">
        <v>1116288094</v>
      </c>
      <c r="K32" s="37">
        <v>41913</v>
      </c>
      <c r="L32" s="16">
        <v>12085672777.809999</v>
      </c>
      <c r="N32" s="37">
        <v>41913</v>
      </c>
      <c r="O32" s="16">
        <v>40323740351.139999</v>
      </c>
      <c r="P32" s="39">
        <f>VLOOKUP($N32,'Pivot equal'!C:D,2,0)</f>
        <v>9804113782.8899994</v>
      </c>
      <c r="Q32" s="39">
        <f>VLOOKUP(N32,'Pivot equal'!G:H,2,0)</f>
        <v>6864424966.8099995</v>
      </c>
      <c r="R32" s="39">
        <f>VLOOKUP(N32,'Pivot equal'!K:L,2,0)</f>
        <v>2043426912.0999999</v>
      </c>
      <c r="S32" s="39">
        <f>VLOOKUP(N32,CurrentMtgRatesDataTable9[],2,0)</f>
        <v>1116288094</v>
      </c>
      <c r="T32" s="39">
        <f>VLOOKUP(N32,CurrentMtgRatesDataTable93[],2,0)</f>
        <v>12085672777.809999</v>
      </c>
      <c r="U32" s="40">
        <f>CurrentMtgRatesDataTable8[[#This Row],[Top 10 Amount]]/CurrentMtgRatesDataTable8[[#This Row],[TotalBalance]]</f>
        <v>0.2431350290800299</v>
      </c>
      <c r="V32" s="40">
        <f>CurrentMtgRatesDataTable8[[#This Row],[Top 5 Amount]]/CurrentMtgRatesDataTable8[[#This Row],[TotalBalance]]</f>
        <v>0.17023284315974757</v>
      </c>
      <c r="W32" s="40">
        <f>CurrentMtgRatesDataTable8[[#This Row],[Top 1 Amount]]/CurrentMtgRatesDataTable8[[#This Row],[TotalBalance]]</f>
        <v>5.0675529955946409E-2</v>
      </c>
      <c r="X32" s="40">
        <f>CurrentMtgRatesDataTable8[[#This Row],[N/A Amount]]/CurrentMtgRatesDataTable8[[#This Row],[TotalBalance]]</f>
        <v>0.29971606484338259</v>
      </c>
    </row>
    <row r="33" spans="2:24">
      <c r="B33" s="37">
        <v>39142</v>
      </c>
      <c r="C33" s="16">
        <v>191363951.16999999</v>
      </c>
      <c r="D33" s="16" t="s">
        <v>22</v>
      </c>
      <c r="E33" s="16">
        <v>10</v>
      </c>
      <c r="H33" s="37">
        <v>41883</v>
      </c>
      <c r="I33" s="16">
        <v>692754683</v>
      </c>
      <c r="K33" s="37">
        <v>41883</v>
      </c>
      <c r="L33" s="16">
        <v>8745227871.8199997</v>
      </c>
      <c r="N33" s="37">
        <v>41883</v>
      </c>
      <c r="O33" s="16">
        <v>40347506692.199997</v>
      </c>
      <c r="P33" s="39">
        <f>VLOOKUP($N33,'Pivot equal'!C:D,2,0)</f>
        <v>9687840091.9400005</v>
      </c>
      <c r="Q33" s="39">
        <f>VLOOKUP(N33,'Pivot equal'!G:H,2,0)</f>
        <v>6940203849.5</v>
      </c>
      <c r="R33" s="39">
        <f>VLOOKUP(N33,'Pivot equal'!K:L,2,0)</f>
        <v>2398305642.0999999</v>
      </c>
      <c r="S33" s="39">
        <f>VLOOKUP(N33,CurrentMtgRatesDataTable9[],2,0)</f>
        <v>692754683</v>
      </c>
      <c r="T33" s="39">
        <f>VLOOKUP(N33,CurrentMtgRatesDataTable93[],2,0)</f>
        <v>8745227871.8199997</v>
      </c>
      <c r="U33" s="40">
        <f>CurrentMtgRatesDataTable8[[#This Row],[Top 10 Amount]]/CurrentMtgRatesDataTable8[[#This Row],[TotalBalance]]</f>
        <v>0.24011000644589667</v>
      </c>
      <c r="V33" s="40">
        <f>CurrentMtgRatesDataTable8[[#This Row],[Top 5 Amount]]/CurrentMtgRatesDataTable8[[#This Row],[TotalBalance]]</f>
        <v>0.17201072429195938</v>
      </c>
      <c r="W33" s="40">
        <f>CurrentMtgRatesDataTable8[[#This Row],[Top 1 Amount]]/CurrentMtgRatesDataTable8[[#This Row],[TotalBalance]]</f>
        <v>5.9441235375360675E-2</v>
      </c>
      <c r="X33" s="40">
        <f>CurrentMtgRatesDataTable8[[#This Row],[N/A Amount]]/CurrentMtgRatesDataTable8[[#This Row],[TotalBalance]]</f>
        <v>0.21674766519118346</v>
      </c>
    </row>
    <row r="34" spans="2:24">
      <c r="B34" s="37">
        <v>39173</v>
      </c>
      <c r="C34" s="16">
        <v>1447162932</v>
      </c>
      <c r="D34" s="16" t="s">
        <v>7</v>
      </c>
      <c r="E34" s="16">
        <v>1</v>
      </c>
      <c r="H34" s="37">
        <v>41852</v>
      </c>
      <c r="I34" s="16">
        <v>866330115</v>
      </c>
      <c r="K34" s="37">
        <v>41852</v>
      </c>
      <c r="L34" s="16">
        <v>10202403453.049999</v>
      </c>
      <c r="N34" s="37">
        <v>41852</v>
      </c>
      <c r="O34" s="16">
        <v>34332054961.080002</v>
      </c>
      <c r="P34" s="39">
        <f>VLOOKUP($N34,'Pivot equal'!C:D,2,0)</f>
        <v>8669561198.7800007</v>
      </c>
      <c r="Q34" s="39">
        <f>VLOOKUP(N34,'Pivot equal'!G:H,2,0)</f>
        <v>6142389653.3299999</v>
      </c>
      <c r="R34" s="39">
        <f>VLOOKUP(N34,'Pivot equal'!K:L,2,0)</f>
        <v>2194803673.75</v>
      </c>
      <c r="S34" s="39">
        <f>VLOOKUP(N34,CurrentMtgRatesDataTable9[],2,0)</f>
        <v>866330115</v>
      </c>
      <c r="T34" s="39">
        <f>VLOOKUP(N34,CurrentMtgRatesDataTable93[],2,0)</f>
        <v>10202403453.049999</v>
      </c>
      <c r="U34" s="40">
        <f>CurrentMtgRatesDataTable8[[#This Row],[Top 10 Amount]]/CurrentMtgRatesDataTable8[[#This Row],[TotalBalance]]</f>
        <v>0.2525208936257417</v>
      </c>
      <c r="V34" s="40">
        <f>CurrentMtgRatesDataTable8[[#This Row],[Top 5 Amount]]/CurrentMtgRatesDataTable8[[#This Row],[TotalBalance]]</f>
        <v>0.17891121461541479</v>
      </c>
      <c r="W34" s="40">
        <f>CurrentMtgRatesDataTable8[[#This Row],[Top 1 Amount]]/CurrentMtgRatesDataTable8[[#This Row],[TotalBalance]]</f>
        <v>6.3928700925071483E-2</v>
      </c>
      <c r="X34" s="40">
        <f>CurrentMtgRatesDataTable8[[#This Row],[N/A Amount]]/CurrentMtgRatesDataTable8[[#This Row],[TotalBalance]]</f>
        <v>0.29716844694020778</v>
      </c>
    </row>
    <row r="35" spans="2:24">
      <c r="B35" s="37">
        <v>39173</v>
      </c>
      <c r="C35" s="16">
        <v>1297147899.78</v>
      </c>
      <c r="D35" s="16" t="s">
        <v>16</v>
      </c>
      <c r="E35" s="16">
        <v>2</v>
      </c>
      <c r="H35" s="37">
        <v>41821</v>
      </c>
      <c r="I35" s="16">
        <v>766012000</v>
      </c>
      <c r="K35" s="37">
        <v>41821</v>
      </c>
      <c r="L35" s="16">
        <v>11123399110.24</v>
      </c>
      <c r="N35" s="37">
        <v>41821</v>
      </c>
      <c r="O35" s="16">
        <v>36447478522.989998</v>
      </c>
      <c r="P35" s="39">
        <f>VLOOKUP($N35,'Pivot equal'!C:D,2,0)</f>
        <v>9230604417.6400013</v>
      </c>
      <c r="Q35" s="39">
        <f>VLOOKUP(N35,'Pivot equal'!G:H,2,0)</f>
        <v>6345781776.54</v>
      </c>
      <c r="R35" s="39">
        <f>VLOOKUP(N35,'Pivot equal'!K:L,2,0)</f>
        <v>2307113272.52</v>
      </c>
      <c r="S35" s="39">
        <f>VLOOKUP(N35,CurrentMtgRatesDataTable9[],2,0)</f>
        <v>766012000</v>
      </c>
      <c r="T35" s="39">
        <f>VLOOKUP(N35,CurrentMtgRatesDataTable93[],2,0)</f>
        <v>11123399110.24</v>
      </c>
      <c r="U35" s="40">
        <f>CurrentMtgRatesDataTable8[[#This Row],[Top 10 Amount]]/CurrentMtgRatesDataTable8[[#This Row],[TotalBalance]]</f>
        <v>0.2532576955033421</v>
      </c>
      <c r="V35" s="40">
        <f>CurrentMtgRatesDataTable8[[#This Row],[Top 5 Amount]]/CurrentMtgRatesDataTable8[[#This Row],[TotalBalance]]</f>
        <v>0.17410756611152861</v>
      </c>
      <c r="W35" s="40">
        <f>CurrentMtgRatesDataTable8[[#This Row],[Top 1 Amount]]/CurrentMtgRatesDataTable8[[#This Row],[TotalBalance]]</f>
        <v>6.3299667521986208E-2</v>
      </c>
      <c r="X35" s="40">
        <f>CurrentMtgRatesDataTable8[[#This Row],[N/A Amount]]/CurrentMtgRatesDataTable8[[#This Row],[TotalBalance]]</f>
        <v>0.30518981177871296</v>
      </c>
    </row>
    <row r="36" spans="2:24">
      <c r="B36" s="37">
        <v>39173</v>
      </c>
      <c r="C36" s="16">
        <v>907569900.02999997</v>
      </c>
      <c r="D36" s="16" t="s">
        <v>8</v>
      </c>
      <c r="E36" s="16">
        <v>3</v>
      </c>
      <c r="H36" s="37">
        <v>41791</v>
      </c>
      <c r="I36" s="16">
        <v>565998636</v>
      </c>
      <c r="K36" s="37">
        <v>41791</v>
      </c>
      <c r="L36" s="16">
        <v>9636568337.5599995</v>
      </c>
      <c r="N36" s="37">
        <v>41791</v>
      </c>
      <c r="O36" s="16">
        <v>31582304306.349998</v>
      </c>
      <c r="P36" s="39">
        <f>VLOOKUP($N36,'Pivot equal'!C:D,2,0)</f>
        <v>7912973937.04</v>
      </c>
      <c r="Q36" s="39">
        <f>VLOOKUP(N36,'Pivot equal'!G:H,2,0)</f>
        <v>5476718213.8299999</v>
      </c>
      <c r="R36" s="39">
        <f>VLOOKUP(N36,'Pivot equal'!K:L,2,0)</f>
        <v>1822050222.5</v>
      </c>
      <c r="S36" s="39">
        <f>VLOOKUP(N36,CurrentMtgRatesDataTable9[],2,0)</f>
        <v>565998636</v>
      </c>
      <c r="T36" s="39">
        <f>VLOOKUP(N36,CurrentMtgRatesDataTable93[],2,0)</f>
        <v>9636568337.5599995</v>
      </c>
      <c r="U36" s="40">
        <f>CurrentMtgRatesDataTable8[[#This Row],[Top 10 Amount]]/CurrentMtgRatesDataTable8[[#This Row],[TotalBalance]]</f>
        <v>0.2505508736881179</v>
      </c>
      <c r="V36" s="40">
        <f>CurrentMtgRatesDataTable8[[#This Row],[Top 5 Amount]]/CurrentMtgRatesDataTable8[[#This Row],[TotalBalance]]</f>
        <v>0.1734109759916676</v>
      </c>
      <c r="W36" s="40">
        <f>CurrentMtgRatesDataTable8[[#This Row],[Top 1 Amount]]/CurrentMtgRatesDataTable8[[#This Row],[TotalBalance]]</f>
        <v>5.7692124197969145E-2</v>
      </c>
      <c r="X36" s="40">
        <f>CurrentMtgRatesDataTable8[[#This Row],[N/A Amount]]/CurrentMtgRatesDataTable8[[#This Row],[TotalBalance]]</f>
        <v>0.30512556158299231</v>
      </c>
    </row>
    <row r="37" spans="2:24">
      <c r="B37" s="37">
        <v>39173</v>
      </c>
      <c r="C37" s="16">
        <v>827685883</v>
      </c>
      <c r="D37" s="16" t="s">
        <v>17</v>
      </c>
      <c r="E37" s="16">
        <v>4</v>
      </c>
      <c r="H37" s="37">
        <v>41760</v>
      </c>
      <c r="I37" s="16">
        <v>603934000</v>
      </c>
      <c r="K37" s="37">
        <v>41760</v>
      </c>
      <c r="L37" s="16">
        <v>8490172743.6300001</v>
      </c>
      <c r="N37" s="37">
        <v>41760</v>
      </c>
      <c r="O37" s="16">
        <v>27487631130.209999</v>
      </c>
      <c r="P37" s="39">
        <f>VLOOKUP($N37,'Pivot equal'!C:D,2,0)</f>
        <v>6831023877.1200008</v>
      </c>
      <c r="Q37" s="39">
        <f>VLOOKUP(N37,'Pivot equal'!G:H,2,0)</f>
        <v>4350973743.6000004</v>
      </c>
      <c r="R37" s="39">
        <f>VLOOKUP(N37,'Pivot equal'!K:L,2,0)</f>
        <v>1528205247.9400001</v>
      </c>
      <c r="S37" s="39">
        <f>VLOOKUP(N37,CurrentMtgRatesDataTable9[],2,0)</f>
        <v>603934000</v>
      </c>
      <c r="T37" s="39">
        <f>VLOOKUP(N37,CurrentMtgRatesDataTable93[],2,0)</f>
        <v>8490172743.6300001</v>
      </c>
      <c r="U37" s="40">
        <f>CurrentMtgRatesDataTable8[[#This Row],[Top 10 Amount]]/CurrentMtgRatesDataTable8[[#This Row],[TotalBalance]]</f>
        <v>0.24851264355088185</v>
      </c>
      <c r="V37" s="40">
        <f>CurrentMtgRatesDataTable8[[#This Row],[Top 5 Amount]]/CurrentMtgRatesDataTable8[[#This Row],[TotalBalance]]</f>
        <v>0.15828842154455816</v>
      </c>
      <c r="W37" s="40">
        <f>CurrentMtgRatesDataTable8[[#This Row],[Top 1 Amount]]/CurrentMtgRatesDataTable8[[#This Row],[TotalBalance]]</f>
        <v>5.5596105779389692E-2</v>
      </c>
      <c r="X37" s="40">
        <f>CurrentMtgRatesDataTable8[[#This Row],[N/A Amount]]/CurrentMtgRatesDataTable8[[#This Row],[TotalBalance]]</f>
        <v>0.30887247807611051</v>
      </c>
    </row>
    <row r="38" spans="2:24">
      <c r="B38" s="37">
        <v>39173</v>
      </c>
      <c r="C38" s="16">
        <v>630241429.34000003</v>
      </c>
      <c r="D38" s="16" t="s">
        <v>4</v>
      </c>
      <c r="E38" s="16">
        <v>5</v>
      </c>
      <c r="H38" s="37">
        <v>41730</v>
      </c>
      <c r="I38" s="16">
        <v>800224200</v>
      </c>
      <c r="K38" s="37">
        <v>41730</v>
      </c>
      <c r="L38" s="16">
        <v>8041639908.1300001</v>
      </c>
      <c r="N38" s="37">
        <v>41730</v>
      </c>
      <c r="O38" s="16">
        <v>27198516722.27</v>
      </c>
      <c r="P38" s="39">
        <f>VLOOKUP($N38,'Pivot equal'!C:D,2,0)</f>
        <v>6814553813.1099997</v>
      </c>
      <c r="Q38" s="39">
        <f>VLOOKUP(N38,'Pivot equal'!G:H,2,0)</f>
        <v>4880722854.54</v>
      </c>
      <c r="R38" s="39">
        <f>VLOOKUP(N38,'Pivot equal'!K:L,2,0)</f>
        <v>1578860937.1900001</v>
      </c>
      <c r="S38" s="39">
        <f>VLOOKUP(N38,CurrentMtgRatesDataTable9[],2,0)</f>
        <v>800224200</v>
      </c>
      <c r="T38" s="39">
        <f>VLOOKUP(N38,CurrentMtgRatesDataTable93[],2,0)</f>
        <v>8041639908.1300001</v>
      </c>
      <c r="U38" s="40">
        <f>CurrentMtgRatesDataTable8[[#This Row],[Top 10 Amount]]/CurrentMtgRatesDataTable8[[#This Row],[TotalBalance]]</f>
        <v>0.25054872964930031</v>
      </c>
      <c r="V38" s="40">
        <f>CurrentMtgRatesDataTable8[[#This Row],[Top 5 Amount]]/CurrentMtgRatesDataTable8[[#This Row],[TotalBalance]]</f>
        <v>0.17944812595400433</v>
      </c>
      <c r="W38" s="40">
        <f>CurrentMtgRatesDataTable8[[#This Row],[Top 1 Amount]]/CurrentMtgRatesDataTable8[[#This Row],[TotalBalance]]</f>
        <v>5.8049523557188586E-2</v>
      </c>
      <c r="X38" s="40">
        <f>CurrentMtgRatesDataTable8[[#This Row],[N/A Amount]]/CurrentMtgRatesDataTable8[[#This Row],[TotalBalance]]</f>
        <v>0.29566464929852398</v>
      </c>
    </row>
    <row r="39" spans="2:24">
      <c r="B39" s="37">
        <v>39173</v>
      </c>
      <c r="C39" s="16">
        <v>407242300</v>
      </c>
      <c r="D39" s="16" t="s">
        <v>27</v>
      </c>
      <c r="E39" s="16">
        <v>6</v>
      </c>
      <c r="H39" s="37">
        <v>41699</v>
      </c>
      <c r="I39" s="16">
        <v>619867269</v>
      </c>
      <c r="K39" s="37">
        <v>41699</v>
      </c>
      <c r="L39" s="16">
        <v>7075975646.0799999</v>
      </c>
      <c r="N39" s="37">
        <v>41699</v>
      </c>
      <c r="O39" s="16">
        <v>23463509422.790001</v>
      </c>
      <c r="P39" s="39">
        <f>VLOOKUP($N39,'Pivot equal'!C:D,2,0)</f>
        <v>5932143925.1300001</v>
      </c>
      <c r="Q39" s="39">
        <f>VLOOKUP(N39,'Pivot equal'!G:H,2,0)</f>
        <v>4526373596.8400002</v>
      </c>
      <c r="R39" s="39">
        <f>VLOOKUP(N39,'Pivot equal'!K:L,2,0)</f>
        <v>1574474809.8399999</v>
      </c>
      <c r="S39" s="39">
        <f>VLOOKUP(N39,CurrentMtgRatesDataTable9[],2,0)</f>
        <v>619867269</v>
      </c>
      <c r="T39" s="39">
        <f>VLOOKUP(N39,CurrentMtgRatesDataTable93[],2,0)</f>
        <v>7075975646.0799999</v>
      </c>
      <c r="U39" s="40">
        <f>CurrentMtgRatesDataTable8[[#This Row],[Top 10 Amount]]/CurrentMtgRatesDataTable8[[#This Row],[TotalBalance]]</f>
        <v>0.25282423947067934</v>
      </c>
      <c r="V39" s="40">
        <f>CurrentMtgRatesDataTable8[[#This Row],[Top 5 Amount]]/CurrentMtgRatesDataTable8[[#This Row],[TotalBalance]]</f>
        <v>0.19291119309047408</v>
      </c>
      <c r="W39" s="40">
        <f>CurrentMtgRatesDataTable8[[#This Row],[Top 1 Amount]]/CurrentMtgRatesDataTable8[[#This Row],[TotalBalance]]</f>
        <v>6.7103125174903272E-2</v>
      </c>
      <c r="X39" s="40">
        <f>CurrentMtgRatesDataTable8[[#This Row],[N/A Amount]]/CurrentMtgRatesDataTable8[[#This Row],[TotalBalance]]</f>
        <v>0.30157362731114457</v>
      </c>
    </row>
    <row r="40" spans="2:24">
      <c r="B40" s="37">
        <v>39173</v>
      </c>
      <c r="C40" s="16">
        <v>368345018.41000003</v>
      </c>
      <c r="D40" s="16" t="s">
        <v>14</v>
      </c>
      <c r="E40" s="16">
        <v>7</v>
      </c>
      <c r="H40" s="37">
        <v>41671</v>
      </c>
      <c r="I40" s="16">
        <v>732302230</v>
      </c>
      <c r="K40" s="37">
        <v>41671</v>
      </c>
      <c r="L40" s="16">
        <v>6917280577.9399996</v>
      </c>
      <c r="N40" s="37">
        <v>41671</v>
      </c>
      <c r="O40" s="16">
        <v>27585216807.849998</v>
      </c>
      <c r="P40" s="39">
        <f>VLOOKUP($N40,'Pivot equal'!C:D,2,0)</f>
        <v>6867812872.8800001</v>
      </c>
      <c r="Q40" s="39">
        <f>VLOOKUP(N40,'Pivot equal'!G:H,2,0)</f>
        <v>5530168065.8099995</v>
      </c>
      <c r="R40" s="39">
        <f>VLOOKUP(N40,'Pivot equal'!K:L,2,0)</f>
        <v>1922831147.77</v>
      </c>
      <c r="S40" s="39">
        <f>VLOOKUP(N40,CurrentMtgRatesDataTable9[],2,0)</f>
        <v>732302230</v>
      </c>
      <c r="T40" s="39">
        <f>VLOOKUP(N40,CurrentMtgRatesDataTable93[],2,0)</f>
        <v>6917280577.9399996</v>
      </c>
      <c r="U40" s="40">
        <f>CurrentMtgRatesDataTable8[[#This Row],[Top 10 Amount]]/CurrentMtgRatesDataTable8[[#This Row],[TotalBalance]]</f>
        <v>0.24896715225111474</v>
      </c>
      <c r="V40" s="40">
        <f>CurrentMtgRatesDataTable8[[#This Row],[Top 5 Amount]]/CurrentMtgRatesDataTable8[[#This Row],[TotalBalance]]</f>
        <v>0.20047578760505752</v>
      </c>
      <c r="W40" s="40">
        <f>CurrentMtgRatesDataTable8[[#This Row],[Top 1 Amount]]/CurrentMtgRatesDataTable8[[#This Row],[TotalBalance]]</f>
        <v>6.970513087367923E-2</v>
      </c>
      <c r="X40" s="40">
        <f>CurrentMtgRatesDataTable8[[#This Row],[N/A Amount]]/CurrentMtgRatesDataTable8[[#This Row],[TotalBalance]]</f>
        <v>0.25076042092123529</v>
      </c>
    </row>
    <row r="41" spans="2:24">
      <c r="B41" s="37">
        <v>39173</v>
      </c>
      <c r="C41" s="16">
        <v>364007086.29000002</v>
      </c>
      <c r="D41" s="16" t="s">
        <v>11</v>
      </c>
      <c r="E41" s="16">
        <v>8</v>
      </c>
      <c r="H41" s="37">
        <v>41640</v>
      </c>
      <c r="I41" s="16">
        <v>690934900</v>
      </c>
      <c r="K41" s="37">
        <v>41640</v>
      </c>
      <c r="L41" s="16">
        <v>9006175235.8600006</v>
      </c>
      <c r="N41" s="37">
        <v>41640</v>
      </c>
      <c r="O41" s="16">
        <v>28108964119.139999</v>
      </c>
      <c r="P41" s="39">
        <f>VLOOKUP($N41,'Pivot equal'!C:D,2,0)</f>
        <v>6623785228</v>
      </c>
      <c r="Q41" s="39">
        <f>VLOOKUP(N41,'Pivot equal'!G:H,2,0)</f>
        <v>5155168920.8899994</v>
      </c>
      <c r="R41" s="39">
        <f>VLOOKUP(N41,'Pivot equal'!K:L,2,0)</f>
        <v>1760019879.1099999</v>
      </c>
      <c r="S41" s="39">
        <f>VLOOKUP(N41,CurrentMtgRatesDataTable9[],2,0)</f>
        <v>690934900</v>
      </c>
      <c r="T41" s="39">
        <f>VLOOKUP(N41,CurrentMtgRatesDataTable93[],2,0)</f>
        <v>9006175235.8600006</v>
      </c>
      <c r="U41" s="40">
        <f>CurrentMtgRatesDataTable8[[#This Row],[Top 10 Amount]]/CurrentMtgRatesDataTable8[[#This Row],[TotalBalance]]</f>
        <v>0.23564672109313775</v>
      </c>
      <c r="V41" s="40">
        <f>CurrentMtgRatesDataTable8[[#This Row],[Top 5 Amount]]/CurrentMtgRatesDataTable8[[#This Row],[TotalBalance]]</f>
        <v>0.18339946285604078</v>
      </c>
      <c r="W41" s="40">
        <f>CurrentMtgRatesDataTable8[[#This Row],[Top 1 Amount]]/CurrentMtgRatesDataTable8[[#This Row],[TotalBalance]]</f>
        <v>6.2614184985620464E-2</v>
      </c>
      <c r="X41" s="40">
        <f>CurrentMtgRatesDataTable8[[#This Row],[N/A Amount]]/CurrentMtgRatesDataTable8[[#This Row],[TotalBalance]]</f>
        <v>0.32040224597702277</v>
      </c>
    </row>
    <row r="42" spans="2:24">
      <c r="B42" s="37">
        <v>39173</v>
      </c>
      <c r="C42" s="16">
        <v>358621617.31</v>
      </c>
      <c r="D42" s="16" t="s">
        <v>19</v>
      </c>
      <c r="E42" s="16">
        <v>9</v>
      </c>
      <c r="H42" s="37">
        <v>41609</v>
      </c>
      <c r="I42" s="16">
        <v>856201500</v>
      </c>
      <c r="K42" s="37">
        <v>41609</v>
      </c>
      <c r="L42" s="16">
        <v>10518511717.99</v>
      </c>
      <c r="N42" s="37">
        <v>41609</v>
      </c>
      <c r="O42" s="16">
        <v>37790142776.290001</v>
      </c>
      <c r="P42" s="39">
        <f>VLOOKUP($N42,'Pivot equal'!C:D,2,0)</f>
        <v>8262160792.3999996</v>
      </c>
      <c r="Q42" s="39">
        <f>VLOOKUP(N42,'Pivot equal'!G:H,2,0)</f>
        <v>5870321187.1099997</v>
      </c>
      <c r="R42" s="39">
        <f>VLOOKUP(N42,'Pivot equal'!K:L,2,0)</f>
        <v>1561280492.8699999</v>
      </c>
      <c r="S42" s="39">
        <f>VLOOKUP(N42,CurrentMtgRatesDataTable9[],2,0)</f>
        <v>856201500</v>
      </c>
      <c r="T42" s="39">
        <f>VLOOKUP(N42,CurrentMtgRatesDataTable93[],2,0)</f>
        <v>10518511717.99</v>
      </c>
      <c r="U42" s="40">
        <f>CurrentMtgRatesDataTable8[[#This Row],[Top 10 Amount]]/CurrentMtgRatesDataTable8[[#This Row],[TotalBalance]]</f>
        <v>0.21863269586755255</v>
      </c>
      <c r="V42" s="40">
        <f>CurrentMtgRatesDataTable8[[#This Row],[Top 5 Amount]]/CurrentMtgRatesDataTable8[[#This Row],[TotalBalance]]</f>
        <v>0.15534001080284648</v>
      </c>
      <c r="W42" s="40">
        <f>CurrentMtgRatesDataTable8[[#This Row],[Top 1 Amount]]/CurrentMtgRatesDataTable8[[#This Row],[TotalBalance]]</f>
        <v>4.131449045092167E-2</v>
      </c>
      <c r="X42" s="40">
        <f>CurrentMtgRatesDataTable8[[#This Row],[N/A Amount]]/CurrentMtgRatesDataTable8[[#This Row],[TotalBalance]]</f>
        <v>0.27834008937879545</v>
      </c>
    </row>
    <row r="43" spans="2:24">
      <c r="B43" s="37">
        <v>39173</v>
      </c>
      <c r="C43" s="16">
        <v>251572757.03999999</v>
      </c>
      <c r="D43" s="16" t="s">
        <v>22</v>
      </c>
      <c r="E43" s="16">
        <v>10</v>
      </c>
      <c r="H43" s="37">
        <v>41579</v>
      </c>
      <c r="I43" s="16">
        <v>1144678013</v>
      </c>
      <c r="K43" s="37">
        <v>41579</v>
      </c>
      <c r="L43" s="16">
        <v>9165938632.2299995</v>
      </c>
      <c r="N43" s="37">
        <v>41579</v>
      </c>
      <c r="O43" s="16">
        <v>38757040631.290001</v>
      </c>
      <c r="P43" s="39">
        <f>VLOOKUP($N43,'Pivot equal'!C:D,2,0)</f>
        <v>8449426135.9799995</v>
      </c>
      <c r="Q43" s="39">
        <f>VLOOKUP(N43,'Pivot equal'!G:H,2,0)</f>
        <v>6351686990.9899998</v>
      </c>
      <c r="R43" s="39">
        <f>VLOOKUP(N43,'Pivot equal'!K:L,2,0)</f>
        <v>1694525112.9400001</v>
      </c>
      <c r="S43" s="39">
        <f>VLOOKUP(N43,CurrentMtgRatesDataTable9[],2,0)</f>
        <v>1144678013</v>
      </c>
      <c r="T43" s="39">
        <f>VLOOKUP(N43,CurrentMtgRatesDataTable93[],2,0)</f>
        <v>9165938632.2299995</v>
      </c>
      <c r="U43" s="40">
        <f>CurrentMtgRatesDataTable8[[#This Row],[Top 10 Amount]]/CurrentMtgRatesDataTable8[[#This Row],[TotalBalance]]</f>
        <v>0.21801009567171295</v>
      </c>
      <c r="V43" s="40">
        <f>CurrentMtgRatesDataTable8[[#This Row],[Top 5 Amount]]/CurrentMtgRatesDataTable8[[#This Row],[TotalBalance]]</f>
        <v>0.16388472616926397</v>
      </c>
      <c r="W43" s="40">
        <f>CurrentMtgRatesDataTable8[[#This Row],[Top 1 Amount]]/CurrentMtgRatesDataTable8[[#This Row],[TotalBalance]]</f>
        <v>4.3721736369415856E-2</v>
      </c>
      <c r="X43" s="40">
        <f>CurrentMtgRatesDataTable8[[#This Row],[N/A Amount]]/CurrentMtgRatesDataTable8[[#This Row],[TotalBalance]]</f>
        <v>0.23649738171262735</v>
      </c>
    </row>
    <row r="44" spans="2:24">
      <c r="B44" s="37">
        <v>39203</v>
      </c>
      <c r="C44" s="16">
        <v>2391529898.25</v>
      </c>
      <c r="D44" s="16" t="s">
        <v>16</v>
      </c>
      <c r="E44" s="16">
        <v>1</v>
      </c>
      <c r="H44" s="37">
        <v>41548</v>
      </c>
      <c r="I44" s="16">
        <v>1114601890</v>
      </c>
      <c r="K44" s="37">
        <v>41548</v>
      </c>
      <c r="L44" s="16">
        <v>12862580723.85</v>
      </c>
      <c r="N44" s="37">
        <v>41548</v>
      </c>
      <c r="O44" s="16">
        <v>47175834172.419998</v>
      </c>
      <c r="P44" s="39">
        <f>VLOOKUP($N44,'Pivot equal'!C:D,2,0)</f>
        <v>10232860575.5</v>
      </c>
      <c r="Q44" s="39">
        <f>VLOOKUP(N44,'Pivot equal'!G:H,2,0)</f>
        <v>7264474965.46</v>
      </c>
      <c r="R44" s="39">
        <f>VLOOKUP(N44,'Pivot equal'!K:L,2,0)</f>
        <v>1853106711.96</v>
      </c>
      <c r="S44" s="39">
        <f>VLOOKUP(N44,CurrentMtgRatesDataTable9[],2,0)</f>
        <v>1114601890</v>
      </c>
      <c r="T44" s="39">
        <f>VLOOKUP(N44,CurrentMtgRatesDataTable93[],2,0)</f>
        <v>12862580723.85</v>
      </c>
      <c r="U44" s="40">
        <f>CurrentMtgRatesDataTable8[[#This Row],[Top 10 Amount]]/CurrentMtgRatesDataTable8[[#This Row],[TotalBalance]]</f>
        <v>0.21690894829968579</v>
      </c>
      <c r="V44" s="40">
        <f>CurrentMtgRatesDataTable8[[#This Row],[Top 5 Amount]]/CurrentMtgRatesDataTable8[[#This Row],[TotalBalance]]</f>
        <v>0.15398720749503922</v>
      </c>
      <c r="W44" s="40">
        <f>CurrentMtgRatesDataTable8[[#This Row],[Top 1 Amount]]/CurrentMtgRatesDataTable8[[#This Row],[TotalBalance]]</f>
        <v>3.928084674003212E-2</v>
      </c>
      <c r="X44" s="40">
        <f>CurrentMtgRatesDataTable8[[#This Row],[N/A Amount]]/CurrentMtgRatesDataTable8[[#This Row],[TotalBalance]]</f>
        <v>0.27265189793654437</v>
      </c>
    </row>
    <row r="45" spans="2:24">
      <c r="B45" s="37">
        <v>39203</v>
      </c>
      <c r="C45" s="16">
        <v>1500398960</v>
      </c>
      <c r="D45" s="16" t="s">
        <v>31</v>
      </c>
      <c r="E45" s="16">
        <v>2</v>
      </c>
      <c r="H45" s="37">
        <v>41518</v>
      </c>
      <c r="I45" s="16">
        <v>760592802</v>
      </c>
      <c r="K45" s="37">
        <v>41518</v>
      </c>
      <c r="L45" s="16">
        <v>11965840960.209999</v>
      </c>
      <c r="N45" s="37">
        <v>41518</v>
      </c>
      <c r="O45" s="16">
        <v>52117579911.449997</v>
      </c>
      <c r="P45" s="39">
        <f>VLOOKUP($N45,'Pivot equal'!C:D,2,0)</f>
        <v>10302792823.1</v>
      </c>
      <c r="Q45" s="39">
        <f>VLOOKUP(N45,'Pivot equal'!G:H,2,0)</f>
        <v>7678534091.54</v>
      </c>
      <c r="R45" s="39">
        <f>VLOOKUP(N45,'Pivot equal'!K:L,2,0)</f>
        <v>2360176115.9099998</v>
      </c>
      <c r="S45" s="39">
        <f>VLOOKUP(N45,CurrentMtgRatesDataTable9[],2,0)</f>
        <v>760592802</v>
      </c>
      <c r="T45" s="39">
        <f>VLOOKUP(N45,CurrentMtgRatesDataTable93[],2,0)</f>
        <v>11965840960.209999</v>
      </c>
      <c r="U45" s="40">
        <f>CurrentMtgRatesDataTable8[[#This Row],[Top 10 Amount]]/CurrentMtgRatesDataTable8[[#This Row],[TotalBalance]]</f>
        <v>0.19768363843073464</v>
      </c>
      <c r="V45" s="40">
        <f>CurrentMtgRatesDataTable8[[#This Row],[Top 5 Amount]]/CurrentMtgRatesDataTable8[[#This Row],[TotalBalance]]</f>
        <v>0.14733097938519321</v>
      </c>
      <c r="W45" s="40">
        <f>CurrentMtgRatesDataTable8[[#This Row],[Top 1 Amount]]/CurrentMtgRatesDataTable8[[#This Row],[TotalBalance]]</f>
        <v>4.5285604587166947E-2</v>
      </c>
      <c r="X45" s="40">
        <f>CurrentMtgRatesDataTable8[[#This Row],[N/A Amount]]/CurrentMtgRatesDataTable8[[#This Row],[TotalBalance]]</f>
        <v>0.22959318104448587</v>
      </c>
    </row>
    <row r="46" spans="2:24">
      <c r="B46" s="37">
        <v>39203</v>
      </c>
      <c r="C46" s="16">
        <v>1299005761.8</v>
      </c>
      <c r="D46" s="16" t="s">
        <v>8</v>
      </c>
      <c r="E46" s="16">
        <v>3</v>
      </c>
      <c r="H46" s="37">
        <v>41487</v>
      </c>
      <c r="I46" s="16">
        <v>1050686660</v>
      </c>
      <c r="K46" s="37">
        <v>41487</v>
      </c>
      <c r="L46" s="16">
        <v>14735430738.82</v>
      </c>
      <c r="N46" s="37">
        <v>41487</v>
      </c>
      <c r="O46" s="16">
        <v>65043206114.970001</v>
      </c>
      <c r="P46" s="39">
        <f>VLOOKUP($N46,'Pivot equal'!C:D,2,0)</f>
        <v>15200744969.530001</v>
      </c>
      <c r="Q46" s="39">
        <f>VLOOKUP(N46,'Pivot equal'!G:H,2,0)</f>
        <v>12257022825.93</v>
      </c>
      <c r="R46" s="39">
        <f>VLOOKUP(N46,'Pivot equal'!K:L,2,0)</f>
        <v>4118976924.3200002</v>
      </c>
      <c r="S46" s="39">
        <f>VLOOKUP(N46,CurrentMtgRatesDataTable9[],2,0)</f>
        <v>1050686660</v>
      </c>
      <c r="T46" s="39">
        <f>VLOOKUP(N46,CurrentMtgRatesDataTable93[],2,0)</f>
        <v>14735430738.82</v>
      </c>
      <c r="U46" s="40">
        <f>CurrentMtgRatesDataTable8[[#This Row],[Top 10 Amount]]/CurrentMtgRatesDataTable8[[#This Row],[TotalBalance]]</f>
        <v>0.23370227080536668</v>
      </c>
      <c r="V46" s="40">
        <f>CurrentMtgRatesDataTable8[[#This Row],[Top 5 Amount]]/CurrentMtgRatesDataTable8[[#This Row],[TotalBalance]]</f>
        <v>0.18844432121418733</v>
      </c>
      <c r="W46" s="40">
        <f>CurrentMtgRatesDataTable8[[#This Row],[Top 1 Amount]]/CurrentMtgRatesDataTable8[[#This Row],[TotalBalance]]</f>
        <v>6.3326781847735492E-2</v>
      </c>
      <c r="X46" s="40">
        <f>CurrentMtgRatesDataTable8[[#This Row],[N/A Amount]]/CurrentMtgRatesDataTable8[[#This Row],[TotalBalance]]</f>
        <v>0.22654834561466322</v>
      </c>
    </row>
    <row r="47" spans="2:24">
      <c r="B47" s="37">
        <v>39203</v>
      </c>
      <c r="C47" s="16">
        <v>1228350512.52</v>
      </c>
      <c r="D47" s="16" t="s">
        <v>4</v>
      </c>
      <c r="E47" s="16">
        <v>4</v>
      </c>
      <c r="H47" s="37">
        <v>41456</v>
      </c>
      <c r="I47" s="16">
        <v>689921868</v>
      </c>
      <c r="K47" s="37">
        <v>41456</v>
      </c>
      <c r="L47" s="16">
        <v>18755440365.549999</v>
      </c>
      <c r="N47" s="37">
        <v>41456</v>
      </c>
      <c r="O47" s="16">
        <v>71866974614.360001</v>
      </c>
      <c r="P47" s="39">
        <f>VLOOKUP($N47,'Pivot equal'!C:D,2,0)</f>
        <v>14620004381.560001</v>
      </c>
      <c r="Q47" s="39">
        <f>VLOOKUP(N47,'Pivot equal'!G:H,2,0)</f>
        <v>11682928604.91</v>
      </c>
      <c r="R47" s="39">
        <f>VLOOKUP(N47,'Pivot equal'!K:L,2,0)</f>
        <v>4468738110.4300003</v>
      </c>
      <c r="S47" s="39">
        <f>VLOOKUP(N47,CurrentMtgRatesDataTable9[],2,0)</f>
        <v>689921868</v>
      </c>
      <c r="T47" s="39">
        <f>VLOOKUP(N47,CurrentMtgRatesDataTable93[],2,0)</f>
        <v>18755440365.549999</v>
      </c>
      <c r="U47" s="40">
        <f>CurrentMtgRatesDataTable8[[#This Row],[Top 10 Amount]]/CurrentMtgRatesDataTable8[[#This Row],[TotalBalance]]</f>
        <v>0.20343147127051492</v>
      </c>
      <c r="V47" s="40">
        <f>CurrentMtgRatesDataTable8[[#This Row],[Top 5 Amount]]/CurrentMtgRatesDataTable8[[#This Row],[TotalBalance]]</f>
        <v>0.16256324504545919</v>
      </c>
      <c r="W47" s="40">
        <f>CurrentMtgRatesDataTable8[[#This Row],[Top 1 Amount]]/CurrentMtgRatesDataTable8[[#This Row],[TotalBalance]]</f>
        <v>6.2180690566276953E-2</v>
      </c>
      <c r="X47" s="40">
        <f>CurrentMtgRatesDataTable8[[#This Row],[N/A Amount]]/CurrentMtgRatesDataTable8[[#This Row],[TotalBalance]]</f>
        <v>0.26097439701882769</v>
      </c>
    </row>
    <row r="48" spans="2:24">
      <c r="B48" s="37">
        <v>39203</v>
      </c>
      <c r="C48" s="16">
        <v>1190916373</v>
      </c>
      <c r="D48" s="16" t="s">
        <v>17</v>
      </c>
      <c r="E48" s="16">
        <v>5</v>
      </c>
      <c r="H48" s="37">
        <v>41426</v>
      </c>
      <c r="I48" s="16">
        <v>967290699</v>
      </c>
      <c r="K48" s="37">
        <v>41426</v>
      </c>
      <c r="L48" s="16">
        <v>16273944179.76</v>
      </c>
      <c r="N48" s="37">
        <v>41426</v>
      </c>
      <c r="O48" s="16">
        <v>66542000148.940002</v>
      </c>
      <c r="P48" s="39">
        <f>VLOOKUP($N48,'Pivot equal'!C:D,2,0)</f>
        <v>12381934604.160002</v>
      </c>
      <c r="Q48" s="39">
        <f>VLOOKUP(N48,'Pivot equal'!G:H,2,0)</f>
        <v>9796236507.5200005</v>
      </c>
      <c r="R48" s="39">
        <f>VLOOKUP(N48,'Pivot equal'!K:L,2,0)</f>
        <v>4055990638.6799998</v>
      </c>
      <c r="S48" s="39">
        <f>VLOOKUP(N48,CurrentMtgRatesDataTable9[],2,0)</f>
        <v>967290699</v>
      </c>
      <c r="T48" s="39">
        <f>VLOOKUP(N48,CurrentMtgRatesDataTable93[],2,0)</f>
        <v>16273944179.76</v>
      </c>
      <c r="U48" s="40">
        <f>CurrentMtgRatesDataTable8[[#This Row],[Top 10 Amount]]/CurrentMtgRatesDataTable8[[#This Row],[TotalBalance]]</f>
        <v>0.1860769826041552</v>
      </c>
      <c r="V48" s="40">
        <f>CurrentMtgRatesDataTable8[[#This Row],[Top 5 Amount]]/CurrentMtgRatesDataTable8[[#This Row],[TotalBalance]]</f>
        <v>0.14721884652690367</v>
      </c>
      <c r="W48" s="40">
        <f>CurrentMtgRatesDataTable8[[#This Row],[Top 1 Amount]]/CurrentMtgRatesDataTable8[[#This Row],[TotalBalance]]</f>
        <v>6.0953843130677379E-2</v>
      </c>
      <c r="X48" s="40">
        <f>CurrentMtgRatesDataTable8[[#This Row],[N/A Amount]]/CurrentMtgRatesDataTable8[[#This Row],[TotalBalance]]</f>
        <v>0.24456650150783363</v>
      </c>
    </row>
    <row r="49" spans="2:24">
      <c r="B49" s="37">
        <v>39203</v>
      </c>
      <c r="C49" s="16">
        <v>386152320.07999998</v>
      </c>
      <c r="D49" s="16" t="s">
        <v>14</v>
      </c>
      <c r="E49" s="16">
        <v>6</v>
      </c>
      <c r="H49" s="37">
        <v>41395</v>
      </c>
      <c r="I49" s="16">
        <v>1288259374</v>
      </c>
      <c r="K49" s="37">
        <v>41395</v>
      </c>
      <c r="L49" s="16">
        <v>18085571772.66</v>
      </c>
      <c r="N49" s="37">
        <v>41395</v>
      </c>
      <c r="O49" s="16">
        <v>73509211252.020004</v>
      </c>
      <c r="P49" s="39">
        <f>VLOOKUP($N49,'Pivot equal'!C:D,2,0)</f>
        <v>11876561564.510002</v>
      </c>
      <c r="Q49" s="39">
        <f>VLOOKUP(N49,'Pivot equal'!G:H,2,0)</f>
        <v>8298047850.0299997</v>
      </c>
      <c r="R49" s="39">
        <f>VLOOKUP(N49,'Pivot equal'!K:L,2,0)</f>
        <v>3459242035.96</v>
      </c>
      <c r="S49" s="39">
        <f>VLOOKUP(N49,CurrentMtgRatesDataTable9[],2,0)</f>
        <v>1288259374</v>
      </c>
      <c r="T49" s="39">
        <f>VLOOKUP(N49,CurrentMtgRatesDataTable93[],2,0)</f>
        <v>18085571772.66</v>
      </c>
      <c r="U49" s="40">
        <f>CurrentMtgRatesDataTable8[[#This Row],[Top 10 Amount]]/CurrentMtgRatesDataTable8[[#This Row],[TotalBalance]]</f>
        <v>0.161565623712003</v>
      </c>
      <c r="V49" s="40">
        <f>CurrentMtgRatesDataTable8[[#This Row],[Top 5 Amount]]/CurrentMtgRatesDataTable8[[#This Row],[TotalBalance]]</f>
        <v>0.11288446316721937</v>
      </c>
      <c r="W49" s="40">
        <f>CurrentMtgRatesDataTable8[[#This Row],[Top 1 Amount]]/CurrentMtgRatesDataTable8[[#This Row],[TotalBalance]]</f>
        <v>4.7058619961249298E-2</v>
      </c>
      <c r="X49" s="40">
        <f>CurrentMtgRatesDataTable8[[#This Row],[N/A Amount]]/CurrentMtgRatesDataTable8[[#This Row],[TotalBalance]]</f>
        <v>0.24603136756093291</v>
      </c>
    </row>
    <row r="50" spans="2:24">
      <c r="B50" s="37">
        <v>39203</v>
      </c>
      <c r="C50" s="16">
        <v>369802031.49000001</v>
      </c>
      <c r="D50" s="16" t="s">
        <v>11</v>
      </c>
      <c r="E50" s="16">
        <v>7</v>
      </c>
      <c r="H50" s="37">
        <v>41365</v>
      </c>
      <c r="I50" s="16">
        <v>1534207191</v>
      </c>
      <c r="K50" s="37">
        <v>41365</v>
      </c>
      <c r="L50" s="16">
        <v>17313570300.029999</v>
      </c>
      <c r="N50" s="37">
        <v>41365</v>
      </c>
      <c r="O50" s="16">
        <v>73548428684.190002</v>
      </c>
      <c r="P50" s="39">
        <f>VLOOKUP($N50,'Pivot equal'!C:D,2,0)</f>
        <v>14258545523.4</v>
      </c>
      <c r="Q50" s="39">
        <f>VLOOKUP(N50,'Pivot equal'!G:H,2,0)</f>
        <v>10680691157.889999</v>
      </c>
      <c r="R50" s="39">
        <f>VLOOKUP(N50,'Pivot equal'!K:L,2,0)</f>
        <v>4125896876.8099999</v>
      </c>
      <c r="S50" s="39">
        <f>VLOOKUP(N50,CurrentMtgRatesDataTable9[],2,0)</f>
        <v>1534207191</v>
      </c>
      <c r="T50" s="39">
        <f>VLOOKUP(N50,CurrentMtgRatesDataTable93[],2,0)</f>
        <v>17313570300.029999</v>
      </c>
      <c r="U50" s="40">
        <f>CurrentMtgRatesDataTable8[[#This Row],[Top 10 Amount]]/CurrentMtgRatesDataTable8[[#This Row],[TotalBalance]]</f>
        <v>0.19386607951374252</v>
      </c>
      <c r="V50" s="40">
        <f>CurrentMtgRatesDataTable8[[#This Row],[Top 5 Amount]]/CurrentMtgRatesDataTable8[[#This Row],[TotalBalance]]</f>
        <v>0.14521984152444475</v>
      </c>
      <c r="W50" s="40">
        <f>CurrentMtgRatesDataTable8[[#This Row],[Top 1 Amount]]/CurrentMtgRatesDataTable8[[#This Row],[TotalBalance]]</f>
        <v>5.6097688973427443E-2</v>
      </c>
      <c r="X50" s="40">
        <f>CurrentMtgRatesDataTable8[[#This Row],[N/A Amount]]/CurrentMtgRatesDataTable8[[#This Row],[TotalBalance]]</f>
        <v>0.23540367360359027</v>
      </c>
    </row>
    <row r="51" spans="2:24">
      <c r="B51" s="37">
        <v>39203</v>
      </c>
      <c r="C51" s="16">
        <v>297124819.23000002</v>
      </c>
      <c r="D51" s="16" t="s">
        <v>139</v>
      </c>
      <c r="E51" s="16">
        <v>8</v>
      </c>
      <c r="H51" s="37">
        <v>41334</v>
      </c>
      <c r="I51" s="16">
        <v>873595500</v>
      </c>
      <c r="K51" s="37">
        <v>41334</v>
      </c>
      <c r="L51" s="16">
        <v>17101890565.92</v>
      </c>
      <c r="N51" s="37">
        <v>41334</v>
      </c>
      <c r="O51" s="16">
        <v>66573031434.919998</v>
      </c>
      <c r="P51" s="39">
        <f>VLOOKUP($N51,'Pivot equal'!C:D,2,0)</f>
        <v>11730365628.620001</v>
      </c>
      <c r="Q51" s="39">
        <f>VLOOKUP(N51,'Pivot equal'!G:H,2,0)</f>
        <v>8689803136.8100014</v>
      </c>
      <c r="R51" s="39">
        <f>VLOOKUP(N51,'Pivot equal'!K:L,2,0)</f>
        <v>4567963477.21</v>
      </c>
      <c r="S51" s="39">
        <f>VLOOKUP(N51,CurrentMtgRatesDataTable9[],2,0)</f>
        <v>873595500</v>
      </c>
      <c r="T51" s="39">
        <f>VLOOKUP(N51,CurrentMtgRatesDataTable93[],2,0)</f>
        <v>17101890565.92</v>
      </c>
      <c r="U51" s="40">
        <f>CurrentMtgRatesDataTable8[[#This Row],[Top 10 Amount]]/CurrentMtgRatesDataTable8[[#This Row],[TotalBalance]]</f>
        <v>0.17620296651335896</v>
      </c>
      <c r="V51" s="40">
        <f>CurrentMtgRatesDataTable8[[#This Row],[Top 5 Amount]]/CurrentMtgRatesDataTable8[[#This Row],[TotalBalance]]</f>
        <v>0.13053038068883671</v>
      </c>
      <c r="W51" s="40">
        <f>CurrentMtgRatesDataTable8[[#This Row],[Top 1 Amount]]/CurrentMtgRatesDataTable8[[#This Row],[TotalBalance]]</f>
        <v>6.8615825038334299E-2</v>
      </c>
      <c r="X51" s="40">
        <f>CurrentMtgRatesDataTable8[[#This Row],[N/A Amount]]/CurrentMtgRatesDataTable8[[#This Row],[TotalBalance]]</f>
        <v>0.25688916663857114</v>
      </c>
    </row>
    <row r="52" spans="2:24">
      <c r="B52" s="37">
        <v>39203</v>
      </c>
      <c r="C52" s="16">
        <v>283150537.39999998</v>
      </c>
      <c r="D52" s="16" t="s">
        <v>19</v>
      </c>
      <c r="E52" s="16">
        <v>9</v>
      </c>
      <c r="H52" s="37">
        <v>41306</v>
      </c>
      <c r="I52" s="16">
        <v>1475078768</v>
      </c>
      <c r="K52" s="37">
        <v>41306</v>
      </c>
      <c r="L52" s="16">
        <v>16529578836.889999</v>
      </c>
      <c r="N52" s="37">
        <v>41306</v>
      </c>
      <c r="O52" s="16">
        <v>77430427923.440002</v>
      </c>
      <c r="P52" s="39">
        <f>VLOOKUP($N52,'Pivot equal'!C:D,2,0)</f>
        <v>16943814108.250002</v>
      </c>
      <c r="Q52" s="39">
        <f>VLOOKUP(N52,'Pivot equal'!G:H,2,0)</f>
        <v>12624495371.5</v>
      </c>
      <c r="R52" s="39">
        <f>VLOOKUP(N52,'Pivot equal'!K:L,2,0)</f>
        <v>5069266638.7200003</v>
      </c>
      <c r="S52" s="39">
        <f>VLOOKUP(N52,CurrentMtgRatesDataTable9[],2,0)</f>
        <v>1475078768</v>
      </c>
      <c r="T52" s="39">
        <f>VLOOKUP(N52,CurrentMtgRatesDataTable93[],2,0)</f>
        <v>16529578836.889999</v>
      </c>
      <c r="U52" s="40">
        <f>CurrentMtgRatesDataTable8[[#This Row],[Top 10 Amount]]/CurrentMtgRatesDataTable8[[#This Row],[TotalBalance]]</f>
        <v>0.21882630075354023</v>
      </c>
      <c r="V52" s="40">
        <f>CurrentMtgRatesDataTable8[[#This Row],[Top 5 Amount]]/CurrentMtgRatesDataTable8[[#This Row],[TotalBalance]]</f>
        <v>0.16304307892993408</v>
      </c>
      <c r="W52" s="40">
        <f>CurrentMtgRatesDataTable8[[#This Row],[Top 1 Amount]]/CurrentMtgRatesDataTable8[[#This Row],[TotalBalance]]</f>
        <v>6.5468663607700595E-2</v>
      </c>
      <c r="X52" s="40">
        <f>CurrentMtgRatesDataTable8[[#This Row],[N/A Amount]]/CurrentMtgRatesDataTable8[[#This Row],[TotalBalance]]</f>
        <v>0.21347652699574077</v>
      </c>
    </row>
    <row r="53" spans="2:24">
      <c r="B53" s="37">
        <v>39203</v>
      </c>
      <c r="C53" s="16">
        <v>251855600</v>
      </c>
      <c r="D53" s="16" t="s">
        <v>25</v>
      </c>
      <c r="E53" s="16">
        <v>10</v>
      </c>
      <c r="H53" s="37">
        <v>41275</v>
      </c>
      <c r="I53" s="16">
        <v>1327173549</v>
      </c>
      <c r="K53" s="37">
        <v>41275</v>
      </c>
      <c r="L53" s="16">
        <v>21485028132.099998</v>
      </c>
      <c r="N53" s="37">
        <v>41275</v>
      </c>
      <c r="O53" s="16">
        <v>85482757320.820007</v>
      </c>
      <c r="P53" s="39">
        <f>VLOOKUP($N53,'Pivot equal'!C:D,2,0)</f>
        <v>20118746725.299999</v>
      </c>
      <c r="Q53" s="39">
        <f>VLOOKUP(N53,'Pivot equal'!G:H,2,0)</f>
        <v>15691166318.830002</v>
      </c>
      <c r="R53" s="39">
        <f>VLOOKUP(N53,'Pivot equal'!K:L,2,0)</f>
        <v>5979329449.8800001</v>
      </c>
      <c r="S53" s="39">
        <f>VLOOKUP(N53,CurrentMtgRatesDataTable9[],2,0)</f>
        <v>1327173549</v>
      </c>
      <c r="T53" s="39">
        <f>VLOOKUP(N53,CurrentMtgRatesDataTable93[],2,0)</f>
        <v>21485028132.099998</v>
      </c>
      <c r="U53" s="40">
        <f>CurrentMtgRatesDataTable8[[#This Row],[Top 10 Amount]]/CurrentMtgRatesDataTable8[[#This Row],[TotalBalance]]</f>
        <v>0.23535444288248197</v>
      </c>
      <c r="V53" s="40">
        <f>CurrentMtgRatesDataTable8[[#This Row],[Top 5 Amount]]/CurrentMtgRatesDataTable8[[#This Row],[TotalBalance]]</f>
        <v>0.18355943128905475</v>
      </c>
      <c r="W53" s="40">
        <f>CurrentMtgRatesDataTable8[[#This Row],[Top 1 Amount]]/CurrentMtgRatesDataTable8[[#This Row],[TotalBalance]]</f>
        <v>6.9947784059413889E-2</v>
      </c>
      <c r="X53" s="40">
        <f>CurrentMtgRatesDataTable8[[#This Row],[N/A Amount]]/CurrentMtgRatesDataTable8[[#This Row],[TotalBalance]]</f>
        <v>0.25133756567381044</v>
      </c>
    </row>
    <row r="54" spans="2:24">
      <c r="B54" s="37">
        <v>39234</v>
      </c>
      <c r="C54" s="16">
        <v>529500000</v>
      </c>
      <c r="D54" s="16" t="s">
        <v>25</v>
      </c>
      <c r="E54" s="16">
        <v>1</v>
      </c>
      <c r="H54" s="37">
        <v>41244</v>
      </c>
      <c r="I54" s="16">
        <v>882436640</v>
      </c>
      <c r="K54" s="37">
        <v>41244</v>
      </c>
      <c r="L54" s="16">
        <v>19867296101.330002</v>
      </c>
      <c r="N54" s="37">
        <v>41244</v>
      </c>
      <c r="O54" s="16">
        <v>66763638723.230003</v>
      </c>
      <c r="P54" s="39">
        <f>VLOOKUP($N54,'Pivot equal'!C:D,2,0)</f>
        <v>17599336827.099998</v>
      </c>
      <c r="Q54" s="39">
        <f>VLOOKUP(N54,'Pivot equal'!G:H,2,0)</f>
        <v>13995074584.920002</v>
      </c>
      <c r="R54" s="39">
        <f>VLOOKUP(N54,'Pivot equal'!K:L,2,0)</f>
        <v>4866573877.1400003</v>
      </c>
      <c r="S54" s="39">
        <f>VLOOKUP(N54,CurrentMtgRatesDataTable9[],2,0)</f>
        <v>882436640</v>
      </c>
      <c r="T54" s="39">
        <f>VLOOKUP(N54,CurrentMtgRatesDataTable93[],2,0)</f>
        <v>19867296101.330002</v>
      </c>
      <c r="U54" s="40">
        <f>CurrentMtgRatesDataTable8[[#This Row],[Top 10 Amount]]/CurrentMtgRatesDataTable8[[#This Row],[TotalBalance]]</f>
        <v>0.26360661527239998</v>
      </c>
      <c r="V54" s="40">
        <f>CurrentMtgRatesDataTable8[[#This Row],[Top 5 Amount]]/CurrentMtgRatesDataTable8[[#This Row],[TotalBalance]]</f>
        <v>0.20962120777953494</v>
      </c>
      <c r="W54" s="40">
        <f>CurrentMtgRatesDataTable8[[#This Row],[Top 1 Amount]]/CurrentMtgRatesDataTable8[[#This Row],[TotalBalance]]</f>
        <v>7.2892580006228835E-2</v>
      </c>
      <c r="X54" s="40">
        <f>CurrentMtgRatesDataTable8[[#This Row],[N/A Amount]]/CurrentMtgRatesDataTable8[[#This Row],[TotalBalance]]</f>
        <v>0.29757659230783201</v>
      </c>
    </row>
    <row r="55" spans="2:24">
      <c r="B55" s="37">
        <v>39234</v>
      </c>
      <c r="C55" s="16">
        <v>525451496</v>
      </c>
      <c r="D55" s="16" t="s">
        <v>26</v>
      </c>
      <c r="E55" s="16">
        <v>2</v>
      </c>
      <c r="H55" s="37">
        <v>41214</v>
      </c>
      <c r="I55" s="16">
        <v>1786397242</v>
      </c>
      <c r="K55" s="37">
        <v>41214</v>
      </c>
      <c r="L55" s="16">
        <v>31430630591.73</v>
      </c>
      <c r="N55" s="37">
        <v>41214</v>
      </c>
      <c r="O55" s="16">
        <v>107252324964.50999</v>
      </c>
      <c r="P55" s="39">
        <f>VLOOKUP($N55,'Pivot equal'!C:D,2,0)</f>
        <v>20792513020.660004</v>
      </c>
      <c r="Q55" s="39">
        <f>VLOOKUP(N55,'Pivot equal'!G:H,2,0)</f>
        <v>15313400296.139999</v>
      </c>
      <c r="R55" s="39">
        <f>VLOOKUP(N55,'Pivot equal'!K:L,2,0)</f>
        <v>5319861378.3900003</v>
      </c>
      <c r="S55" s="39">
        <f>VLOOKUP(N55,CurrentMtgRatesDataTable9[],2,0)</f>
        <v>1786397242</v>
      </c>
      <c r="T55" s="39">
        <f>VLOOKUP(N55,CurrentMtgRatesDataTable93[],2,0)</f>
        <v>31430630591.73</v>
      </c>
      <c r="U55" s="40">
        <f>CurrentMtgRatesDataTable8[[#This Row],[Top 10 Amount]]/CurrentMtgRatesDataTable8[[#This Row],[TotalBalance]]</f>
        <v>0.19386538266224335</v>
      </c>
      <c r="V55" s="40">
        <f>CurrentMtgRatesDataTable8[[#This Row],[Top 5 Amount]]/CurrentMtgRatesDataTable8[[#This Row],[TotalBalance]]</f>
        <v>0.14277919197749078</v>
      </c>
      <c r="W55" s="40">
        <f>CurrentMtgRatesDataTable8[[#This Row],[Top 1 Amount]]/CurrentMtgRatesDataTable8[[#This Row],[TotalBalance]]</f>
        <v>4.9601361836681422E-2</v>
      </c>
      <c r="X55" s="40">
        <f>CurrentMtgRatesDataTable8[[#This Row],[N/A Amount]]/CurrentMtgRatesDataTable8[[#This Row],[TotalBalance]]</f>
        <v>0.29305313989352172</v>
      </c>
    </row>
    <row r="56" spans="2:24">
      <c r="B56" s="37">
        <v>39234</v>
      </c>
      <c r="C56" s="16">
        <v>186664202</v>
      </c>
      <c r="D56" s="16" t="s">
        <v>28</v>
      </c>
      <c r="E56" s="16">
        <v>3</v>
      </c>
      <c r="H56" s="37">
        <v>41183</v>
      </c>
      <c r="I56" s="16">
        <v>1649348778</v>
      </c>
      <c r="K56" s="37">
        <v>41183</v>
      </c>
      <c r="L56" s="16">
        <v>10456958852.59</v>
      </c>
      <c r="N56" s="37">
        <v>41183</v>
      </c>
      <c r="O56" s="16">
        <v>61818801001.650002</v>
      </c>
      <c r="P56" s="39">
        <f>VLOOKUP($N56,'Pivot equal'!C:D,2,0)</f>
        <v>15338386299.920002</v>
      </c>
      <c r="Q56" s="39">
        <f>VLOOKUP(N56,'Pivot equal'!G:H,2,0)</f>
        <v>11876707977.630001</v>
      </c>
      <c r="R56" s="39">
        <f>VLOOKUP(N56,'Pivot equal'!K:L,2,0)</f>
        <v>4269923296.52</v>
      </c>
      <c r="S56" s="39">
        <f>VLOOKUP(N56,CurrentMtgRatesDataTable9[],2,0)</f>
        <v>1649348778</v>
      </c>
      <c r="T56" s="39">
        <f>VLOOKUP(N56,CurrentMtgRatesDataTable93[],2,0)</f>
        <v>10456958852.59</v>
      </c>
      <c r="U56" s="40">
        <f>CurrentMtgRatesDataTable8[[#This Row],[Top 10 Amount]]/CurrentMtgRatesDataTable8[[#This Row],[TotalBalance]]</f>
        <v>0.24811846964664691</v>
      </c>
      <c r="V56" s="40">
        <f>CurrentMtgRatesDataTable8[[#This Row],[Top 5 Amount]]/CurrentMtgRatesDataTable8[[#This Row],[TotalBalance]]</f>
        <v>0.1921212929592892</v>
      </c>
      <c r="W56" s="40">
        <f>CurrentMtgRatesDataTable8[[#This Row],[Top 1 Amount]]/CurrentMtgRatesDataTable8[[#This Row],[TotalBalance]]</f>
        <v>6.9071596785030359E-2</v>
      </c>
      <c r="X56" s="40">
        <f>CurrentMtgRatesDataTable8[[#This Row],[N/A Amount]]/CurrentMtgRatesDataTable8[[#This Row],[TotalBalance]]</f>
        <v>0.1691549930305328</v>
      </c>
    </row>
    <row r="57" spans="2:24">
      <c r="B57" s="37">
        <v>39234</v>
      </c>
      <c r="C57" s="16">
        <v>128010000</v>
      </c>
      <c r="D57" s="16" t="s">
        <v>29</v>
      </c>
      <c r="E57" s="16">
        <v>4</v>
      </c>
      <c r="H57" s="37">
        <v>41153</v>
      </c>
      <c r="I57" s="16">
        <v>842537107</v>
      </c>
      <c r="K57" s="37">
        <v>41153</v>
      </c>
      <c r="L57" s="16">
        <v>19205488149.990002</v>
      </c>
      <c r="N57" s="37">
        <v>41153</v>
      </c>
      <c r="O57" s="16">
        <v>84049356738.059998</v>
      </c>
      <c r="P57" s="39">
        <f>VLOOKUP($N57,'Pivot equal'!C:D,2,0)</f>
        <v>17065463542.49</v>
      </c>
      <c r="Q57" s="39">
        <f>VLOOKUP(N57,'Pivot equal'!G:H,2,0)</f>
        <v>13199073258.299999</v>
      </c>
      <c r="R57" s="39">
        <f>VLOOKUP(N57,'Pivot equal'!K:L,2,0)</f>
        <v>4937311483.1499996</v>
      </c>
      <c r="S57" s="39">
        <f>VLOOKUP(N57,CurrentMtgRatesDataTable9[],2,0)</f>
        <v>842537107</v>
      </c>
      <c r="T57" s="39">
        <f>VLOOKUP(N57,CurrentMtgRatesDataTable93[],2,0)</f>
        <v>19205488149.990002</v>
      </c>
      <c r="U57" s="40">
        <f>CurrentMtgRatesDataTable8[[#This Row],[Top 10 Amount]]/CurrentMtgRatesDataTable8[[#This Row],[TotalBalance]]</f>
        <v>0.20304097740657973</v>
      </c>
      <c r="V57" s="40">
        <f>CurrentMtgRatesDataTable8[[#This Row],[Top 5 Amount]]/CurrentMtgRatesDataTable8[[#This Row],[TotalBalance]]</f>
        <v>0.15703955117033125</v>
      </c>
      <c r="W57" s="40">
        <f>CurrentMtgRatesDataTable8[[#This Row],[Top 1 Amount]]/CurrentMtgRatesDataTable8[[#This Row],[TotalBalance]]</f>
        <v>5.8743001431136962E-2</v>
      </c>
      <c r="X57" s="40">
        <f>CurrentMtgRatesDataTable8[[#This Row],[N/A Amount]]/CurrentMtgRatesDataTable8[[#This Row],[TotalBalance]]</f>
        <v>0.22850250014219559</v>
      </c>
    </row>
    <row r="58" spans="2:24">
      <c r="B58" s="37">
        <v>39234</v>
      </c>
      <c r="C58" s="16">
        <v>88341541</v>
      </c>
      <c r="D58" s="16" t="s">
        <v>23</v>
      </c>
      <c r="E58" s="16">
        <v>5</v>
      </c>
      <c r="H58" s="37">
        <v>41122</v>
      </c>
      <c r="I58" s="16">
        <v>1821001924</v>
      </c>
      <c r="K58" s="37">
        <v>41122</v>
      </c>
      <c r="L58" s="16">
        <v>18219129188.400002</v>
      </c>
      <c r="N58" s="37">
        <v>41122</v>
      </c>
      <c r="O58" s="16">
        <v>80246484071.139999</v>
      </c>
      <c r="P58" s="39">
        <f>VLOOKUP($N58,'Pivot equal'!C:D,2,0)</f>
        <v>16174281977.67</v>
      </c>
      <c r="Q58" s="39">
        <f>VLOOKUP(N58,'Pivot equal'!G:H,2,0)</f>
        <v>12503448649.93</v>
      </c>
      <c r="R58" s="39">
        <f>VLOOKUP(N58,'Pivot equal'!K:L,2,0)</f>
        <v>4795732432.7799997</v>
      </c>
      <c r="S58" s="39">
        <f>VLOOKUP(N58,CurrentMtgRatesDataTable9[],2,0)</f>
        <v>1821001924</v>
      </c>
      <c r="T58" s="39">
        <f>VLOOKUP(N58,CurrentMtgRatesDataTable93[],2,0)</f>
        <v>18219129188.400002</v>
      </c>
      <c r="U58" s="40">
        <f>CurrentMtgRatesDataTable8[[#This Row],[Top 10 Amount]]/CurrentMtgRatesDataTable8[[#This Row],[TotalBalance]]</f>
        <v>0.20155751575771466</v>
      </c>
      <c r="V58" s="40">
        <f>CurrentMtgRatesDataTable8[[#This Row],[Top 5 Amount]]/CurrentMtgRatesDataTable8[[#This Row],[TotalBalance]]</f>
        <v>0.15581304021800457</v>
      </c>
      <c r="W58" s="40">
        <f>CurrentMtgRatesDataTable8[[#This Row],[Top 1 Amount]]/CurrentMtgRatesDataTable8[[#This Row],[TotalBalance]]</f>
        <v>5.9762524031937568E-2</v>
      </c>
      <c r="X58" s="40">
        <f>CurrentMtgRatesDataTable8[[#This Row],[N/A Amount]]/CurrentMtgRatesDataTable8[[#This Row],[TotalBalance]]</f>
        <v>0.227039594311053</v>
      </c>
    </row>
    <row r="59" spans="2:24">
      <c r="B59" s="37">
        <v>39234</v>
      </c>
      <c r="C59" s="16">
        <v>78371000</v>
      </c>
      <c r="D59" s="16" t="s">
        <v>27</v>
      </c>
      <c r="E59" s="16">
        <v>6</v>
      </c>
      <c r="H59" s="37">
        <v>41091</v>
      </c>
      <c r="I59" s="16">
        <v>1485398807</v>
      </c>
      <c r="K59" s="37">
        <v>41091</v>
      </c>
      <c r="L59" s="16">
        <v>15816521734.01</v>
      </c>
      <c r="N59" s="37">
        <v>41091</v>
      </c>
      <c r="O59" s="16">
        <v>71798949000.600006</v>
      </c>
      <c r="P59" s="39">
        <f>VLOOKUP($N59,'Pivot equal'!C:D,2,0)</f>
        <v>13510056806.829998</v>
      </c>
      <c r="Q59" s="39">
        <f>VLOOKUP(N59,'Pivot equal'!G:H,2,0)</f>
        <v>10615326313.65</v>
      </c>
      <c r="R59" s="39">
        <f>VLOOKUP(N59,'Pivot equal'!K:L,2,0)</f>
        <v>3652881360.4099998</v>
      </c>
      <c r="S59" s="39">
        <f>VLOOKUP(N59,CurrentMtgRatesDataTable9[],2,0)</f>
        <v>1485398807</v>
      </c>
      <c r="T59" s="39">
        <f>VLOOKUP(N59,CurrentMtgRatesDataTable93[],2,0)</f>
        <v>15816521734.01</v>
      </c>
      <c r="U59" s="40">
        <f>CurrentMtgRatesDataTable8[[#This Row],[Top 10 Amount]]/CurrentMtgRatesDataTable8[[#This Row],[TotalBalance]]</f>
        <v>0.18816510540728246</v>
      </c>
      <c r="V59" s="40">
        <f>CurrentMtgRatesDataTable8[[#This Row],[Top 5 Amount]]/CurrentMtgRatesDataTable8[[#This Row],[TotalBalance]]</f>
        <v>0.14784793456463116</v>
      </c>
      <c r="W59" s="40">
        <f>CurrentMtgRatesDataTable8[[#This Row],[Top 1 Amount]]/CurrentMtgRatesDataTable8[[#This Row],[TotalBalance]]</f>
        <v>5.0876529688191868E-2</v>
      </c>
      <c r="X59" s="40">
        <f>CurrentMtgRatesDataTable8[[#This Row],[N/A Amount]]/CurrentMtgRatesDataTable8[[#This Row],[TotalBalance]]</f>
        <v>0.22028904258581591</v>
      </c>
    </row>
    <row r="60" spans="2:24">
      <c r="B60" s="37">
        <v>39234</v>
      </c>
      <c r="C60" s="16">
        <v>36942000</v>
      </c>
      <c r="D60" s="16" t="s">
        <v>32</v>
      </c>
      <c r="E60" s="16">
        <v>7</v>
      </c>
      <c r="H60" s="37">
        <v>41061</v>
      </c>
      <c r="I60" s="16">
        <v>751265816</v>
      </c>
      <c r="K60" s="37">
        <v>41061</v>
      </c>
      <c r="L60" s="16">
        <v>14308208134.940001</v>
      </c>
      <c r="N60" s="37">
        <v>41061</v>
      </c>
      <c r="O60" s="16">
        <v>65107512378.209999</v>
      </c>
      <c r="P60" s="39">
        <f>VLOOKUP($N60,'Pivot equal'!C:D,2,0)</f>
        <v>11805775213.190001</v>
      </c>
      <c r="Q60" s="39">
        <f>VLOOKUP(N60,'Pivot equal'!G:H,2,0)</f>
        <v>8849028759.2600002</v>
      </c>
      <c r="R60" s="39">
        <f>VLOOKUP(N60,'Pivot equal'!K:L,2,0)</f>
        <v>2599950568.2399998</v>
      </c>
      <c r="S60" s="39">
        <f>VLOOKUP(N60,CurrentMtgRatesDataTable9[],2,0)</f>
        <v>751265816</v>
      </c>
      <c r="T60" s="39">
        <f>VLOOKUP(N60,CurrentMtgRatesDataTable93[],2,0)</f>
        <v>14308208134.940001</v>
      </c>
      <c r="U60" s="40">
        <f>CurrentMtgRatesDataTable8[[#This Row],[Top 10 Amount]]/CurrentMtgRatesDataTable8[[#This Row],[TotalBalance]]</f>
        <v>0.18132738883663946</v>
      </c>
      <c r="V60" s="40">
        <f>CurrentMtgRatesDataTable8[[#This Row],[Top 5 Amount]]/CurrentMtgRatesDataTable8[[#This Row],[TotalBalance]]</f>
        <v>0.13591409709920924</v>
      </c>
      <c r="W60" s="40">
        <f>CurrentMtgRatesDataTable8[[#This Row],[Top 1 Amount]]/CurrentMtgRatesDataTable8[[#This Row],[TotalBalance]]</f>
        <v>3.9933188556442893E-2</v>
      </c>
      <c r="X60" s="40">
        <f>CurrentMtgRatesDataTable8[[#This Row],[N/A Amount]]/CurrentMtgRatesDataTable8[[#This Row],[TotalBalance]]</f>
        <v>0.21976278331482729</v>
      </c>
    </row>
    <row r="61" spans="2:24">
      <c r="B61" s="37">
        <v>39234</v>
      </c>
      <c r="C61" s="16">
        <v>30333000</v>
      </c>
      <c r="D61" s="16" t="s">
        <v>114</v>
      </c>
      <c r="E61" s="16">
        <v>8</v>
      </c>
      <c r="H61" s="37">
        <v>41030</v>
      </c>
      <c r="I61" s="16">
        <v>1810114247</v>
      </c>
      <c r="K61" s="37">
        <v>41030</v>
      </c>
      <c r="L61" s="16">
        <v>12081347035.17</v>
      </c>
      <c r="N61" s="37">
        <v>41030</v>
      </c>
      <c r="O61" s="16">
        <v>66663158668.949997</v>
      </c>
      <c r="P61" s="39">
        <f>VLOOKUP($N61,'Pivot equal'!C:D,2,0)</f>
        <v>11781122699.619999</v>
      </c>
      <c r="Q61" s="39">
        <f>VLOOKUP(N61,'Pivot equal'!G:H,2,0)</f>
        <v>8834061053.9799995</v>
      </c>
      <c r="R61" s="39">
        <f>VLOOKUP(N61,'Pivot equal'!K:L,2,0)</f>
        <v>2844809039.77</v>
      </c>
      <c r="S61" s="39">
        <f>VLOOKUP(N61,CurrentMtgRatesDataTable9[],2,0)</f>
        <v>1810114247</v>
      </c>
      <c r="T61" s="39">
        <f>VLOOKUP(N61,CurrentMtgRatesDataTable93[],2,0)</f>
        <v>12081347035.17</v>
      </c>
      <c r="U61" s="40">
        <f>CurrentMtgRatesDataTable8[[#This Row],[Top 10 Amount]]/CurrentMtgRatesDataTable8[[#This Row],[TotalBalance]]</f>
        <v>0.17672613981772434</v>
      </c>
      <c r="V61" s="40">
        <f>CurrentMtgRatesDataTable8[[#This Row],[Top 5 Amount]]/CurrentMtgRatesDataTable8[[#This Row],[TotalBalance]]</f>
        <v>0.13251788889647501</v>
      </c>
      <c r="W61" s="40">
        <f>CurrentMtgRatesDataTable8[[#This Row],[Top 1 Amount]]/CurrentMtgRatesDataTable8[[#This Row],[TotalBalance]]</f>
        <v>4.2674381121022995E-2</v>
      </c>
      <c r="X61" s="40">
        <f>CurrentMtgRatesDataTable8[[#This Row],[N/A Amount]]/CurrentMtgRatesDataTable8[[#This Row],[TotalBalance]]</f>
        <v>0.181229741830358</v>
      </c>
    </row>
    <row r="62" spans="2:24">
      <c r="B62" s="37">
        <v>39234</v>
      </c>
      <c r="C62" s="16">
        <v>29844162</v>
      </c>
      <c r="D62" s="16" t="s">
        <v>24</v>
      </c>
      <c r="E62" s="16">
        <v>9</v>
      </c>
      <c r="H62" s="37">
        <v>41000</v>
      </c>
      <c r="I62" s="16">
        <v>2058237642</v>
      </c>
      <c r="K62" s="37">
        <v>41000</v>
      </c>
      <c r="L62" s="16">
        <v>11436377319.02</v>
      </c>
      <c r="N62" s="37">
        <v>41000</v>
      </c>
      <c r="O62" s="16">
        <v>48073485668.580002</v>
      </c>
      <c r="P62" s="39">
        <f>VLOOKUP($N62,'Pivot equal'!C:D,2,0)</f>
        <v>8158867914.6200008</v>
      </c>
      <c r="Q62" s="39">
        <f>VLOOKUP(N62,'Pivot equal'!G:H,2,0)</f>
        <v>6101284240.1800003</v>
      </c>
      <c r="R62" s="39">
        <f>VLOOKUP(N62,'Pivot equal'!K:L,2,0)</f>
        <v>2312712574.1100001</v>
      </c>
      <c r="S62" s="39">
        <f>VLOOKUP(N62,CurrentMtgRatesDataTable9[],2,0)</f>
        <v>2058237642</v>
      </c>
      <c r="T62" s="39">
        <f>VLOOKUP(N62,CurrentMtgRatesDataTable93[],2,0)</f>
        <v>11436377319.02</v>
      </c>
      <c r="U62" s="40">
        <f>CurrentMtgRatesDataTable8[[#This Row],[Top 10 Amount]]/CurrentMtgRatesDataTable8[[#This Row],[TotalBalance]]</f>
        <v>0.16971658703651055</v>
      </c>
      <c r="V62" s="40">
        <f>CurrentMtgRatesDataTable8[[#This Row],[Top 5 Amount]]/CurrentMtgRatesDataTable8[[#This Row],[TotalBalance]]</f>
        <v>0.12691578643251356</v>
      </c>
      <c r="W62" s="40">
        <f>CurrentMtgRatesDataTable8[[#This Row],[Top 1 Amount]]/CurrentMtgRatesDataTable8[[#This Row],[TotalBalance]]</f>
        <v>4.8107861161845164E-2</v>
      </c>
      <c r="X62" s="40">
        <f>CurrentMtgRatesDataTable8[[#This Row],[N/A Amount]]/CurrentMtgRatesDataTable8[[#This Row],[TotalBalance]]</f>
        <v>0.23789365717856858</v>
      </c>
    </row>
    <row r="63" spans="2:24">
      <c r="B63" s="37">
        <v>39234</v>
      </c>
      <c r="C63" s="16">
        <v>19495000</v>
      </c>
      <c r="D63" s="16" t="s">
        <v>149</v>
      </c>
      <c r="E63" s="16">
        <v>10</v>
      </c>
      <c r="H63" s="37">
        <v>40969</v>
      </c>
      <c r="I63" s="16">
        <v>715758973</v>
      </c>
      <c r="K63" s="37">
        <v>40969</v>
      </c>
      <c r="L63" s="16">
        <v>13232369760.059999</v>
      </c>
      <c r="N63" s="37">
        <v>40969</v>
      </c>
      <c r="O63" s="16">
        <v>86317495811.419998</v>
      </c>
      <c r="P63" s="39">
        <f>VLOOKUP($N63,'Pivot equal'!C:D,2,0)</f>
        <v>14440917173.190001</v>
      </c>
      <c r="Q63" s="39">
        <f>VLOOKUP(N63,'Pivot equal'!G:H,2,0)</f>
        <v>10428628066.84</v>
      </c>
      <c r="R63" s="39">
        <f>VLOOKUP(N63,'Pivot equal'!K:L,2,0)</f>
        <v>2975788477.54</v>
      </c>
      <c r="S63" s="39">
        <f>VLOOKUP(N63,CurrentMtgRatesDataTable9[],2,0)</f>
        <v>715758973</v>
      </c>
      <c r="T63" s="39">
        <f>VLOOKUP(N63,CurrentMtgRatesDataTable93[],2,0)</f>
        <v>13232369760.059999</v>
      </c>
      <c r="U63" s="40">
        <f>CurrentMtgRatesDataTable8[[#This Row],[Top 10 Amount]]/CurrentMtgRatesDataTable8[[#This Row],[TotalBalance]]</f>
        <v>0.1673000014358553</v>
      </c>
      <c r="V63" s="40">
        <f>CurrentMtgRatesDataTable8[[#This Row],[Top 5 Amount]]/CurrentMtgRatesDataTable8[[#This Row],[TotalBalance]]</f>
        <v>0.12081708312789433</v>
      </c>
      <c r="W63" s="40">
        <f>CurrentMtgRatesDataTable8[[#This Row],[Top 1 Amount]]/CurrentMtgRatesDataTable8[[#This Row],[TotalBalance]]</f>
        <v>3.4474916696393507E-2</v>
      </c>
      <c r="X63" s="40">
        <f>CurrentMtgRatesDataTable8[[#This Row],[N/A Amount]]/CurrentMtgRatesDataTable8[[#This Row],[TotalBalance]]</f>
        <v>0.15329881428637701</v>
      </c>
    </row>
    <row r="64" spans="2:24">
      <c r="B64" s="37">
        <v>39264</v>
      </c>
      <c r="C64" s="16">
        <v>587402404.38</v>
      </c>
      <c r="D64" s="16" t="s">
        <v>4</v>
      </c>
      <c r="E64" s="16">
        <v>1</v>
      </c>
      <c r="H64" s="37">
        <v>40940</v>
      </c>
      <c r="I64" s="16">
        <v>2030824500</v>
      </c>
      <c r="K64" s="37">
        <v>40940</v>
      </c>
      <c r="L64" s="16">
        <v>10665615618.18</v>
      </c>
      <c r="N64" s="37">
        <v>40940</v>
      </c>
      <c r="O64" s="16">
        <v>56063681559.919998</v>
      </c>
      <c r="P64" s="39">
        <f>VLOOKUP($N64,'Pivot equal'!C:D,2,0)</f>
        <v>10980629490.470001</v>
      </c>
      <c r="Q64" s="39">
        <f>VLOOKUP(N64,'Pivot equal'!G:H,2,0)</f>
        <v>8427711608.2600002</v>
      </c>
      <c r="R64" s="39">
        <f>VLOOKUP(N64,'Pivot equal'!K:L,2,0)</f>
        <v>2741562711.46</v>
      </c>
      <c r="S64" s="39">
        <f>VLOOKUP(N64,CurrentMtgRatesDataTable9[],2,0)</f>
        <v>2030824500</v>
      </c>
      <c r="T64" s="39">
        <f>VLOOKUP(N64,CurrentMtgRatesDataTable93[],2,0)</f>
        <v>10665615618.18</v>
      </c>
      <c r="U64" s="40">
        <f>CurrentMtgRatesDataTable8[[#This Row],[Top 10 Amount]]/CurrentMtgRatesDataTable8[[#This Row],[TotalBalance]]</f>
        <v>0.19585994328135717</v>
      </c>
      <c r="V64" s="40">
        <f>CurrentMtgRatesDataTable8[[#This Row],[Top 5 Amount]]/CurrentMtgRatesDataTable8[[#This Row],[TotalBalance]]</f>
        <v>0.15032390620392264</v>
      </c>
      <c r="W64" s="40">
        <f>CurrentMtgRatesDataTable8[[#This Row],[Top 1 Amount]]/CurrentMtgRatesDataTable8[[#This Row],[TotalBalance]]</f>
        <v>4.8900868355030519E-2</v>
      </c>
      <c r="X64" s="40">
        <f>CurrentMtgRatesDataTable8[[#This Row],[N/A Amount]]/CurrentMtgRatesDataTable8[[#This Row],[TotalBalance]]</f>
        <v>0.19024108516278501</v>
      </c>
    </row>
    <row r="65" spans="2:24">
      <c r="B65" s="37">
        <v>39264</v>
      </c>
      <c r="C65" s="16">
        <v>165294713.30000001</v>
      </c>
      <c r="D65" s="16" t="s">
        <v>33</v>
      </c>
      <c r="E65" s="16">
        <v>2</v>
      </c>
      <c r="H65" s="37">
        <v>40909</v>
      </c>
      <c r="I65" s="16">
        <v>1987883207</v>
      </c>
      <c r="K65" s="37">
        <v>40909</v>
      </c>
      <c r="L65" s="16">
        <v>10782906686.82</v>
      </c>
      <c r="N65" s="37">
        <v>40909</v>
      </c>
      <c r="O65" s="16">
        <v>58331372757.360001</v>
      </c>
      <c r="P65" s="39">
        <f>VLOOKUP($N65,'Pivot equal'!C:D,2,0)</f>
        <v>10309115791.960001</v>
      </c>
      <c r="Q65" s="39">
        <f>VLOOKUP(N65,'Pivot equal'!G:H,2,0)</f>
        <v>7606526639.4000006</v>
      </c>
      <c r="R65" s="39">
        <f>VLOOKUP(N65,'Pivot equal'!K:L,2,0)</f>
        <v>2078917820.78</v>
      </c>
      <c r="S65" s="39">
        <f>VLOOKUP(N65,CurrentMtgRatesDataTable9[],2,0)</f>
        <v>1987883207</v>
      </c>
      <c r="T65" s="39">
        <f>VLOOKUP(N65,CurrentMtgRatesDataTable93[],2,0)</f>
        <v>10782906686.82</v>
      </c>
      <c r="U65" s="40">
        <f>CurrentMtgRatesDataTable8[[#This Row],[Top 10 Amount]]/CurrentMtgRatesDataTable8[[#This Row],[TotalBalance]]</f>
        <v>0.17673363928606053</v>
      </c>
      <c r="V65" s="40">
        <f>CurrentMtgRatesDataTable8[[#This Row],[Top 5 Amount]]/CurrentMtgRatesDataTable8[[#This Row],[TotalBalance]]</f>
        <v>0.13040198232674444</v>
      </c>
      <c r="W65" s="40">
        <f>CurrentMtgRatesDataTable8[[#This Row],[Top 1 Amount]]/CurrentMtgRatesDataTable8[[#This Row],[TotalBalance]]</f>
        <v>3.5639789062185082E-2</v>
      </c>
      <c r="X65" s="40">
        <f>CurrentMtgRatesDataTable8[[#This Row],[N/A Amount]]/CurrentMtgRatesDataTable8[[#This Row],[TotalBalance]]</f>
        <v>0.18485604190515917</v>
      </c>
    </row>
    <row r="66" spans="2:24">
      <c r="B66" s="37">
        <v>39264</v>
      </c>
      <c r="C66" s="16">
        <v>159905398.22</v>
      </c>
      <c r="D66" s="16" t="s">
        <v>16</v>
      </c>
      <c r="E66" s="16">
        <v>3</v>
      </c>
      <c r="H66" s="37">
        <v>40878</v>
      </c>
      <c r="I66" s="16">
        <v>1033984596</v>
      </c>
      <c r="K66" s="37">
        <v>40878</v>
      </c>
      <c r="L66" s="16">
        <v>11437762942.92</v>
      </c>
      <c r="N66" s="37">
        <v>40878</v>
      </c>
      <c r="O66" s="16">
        <v>73851865080.610001</v>
      </c>
      <c r="P66" s="39">
        <f>VLOOKUP($N66,'Pivot equal'!C:D,2,0)</f>
        <v>13931724131.58</v>
      </c>
      <c r="Q66" s="39">
        <f>VLOOKUP(N66,'Pivot equal'!G:H,2,0)</f>
        <v>11440930773.609999</v>
      </c>
      <c r="R66" s="39">
        <f>VLOOKUP(N66,'Pivot equal'!K:L,2,0)</f>
        <v>4076990497.6900001</v>
      </c>
      <c r="S66" s="39">
        <f>VLOOKUP(N66,CurrentMtgRatesDataTable9[],2,0)</f>
        <v>1033984596</v>
      </c>
      <c r="T66" s="39">
        <f>VLOOKUP(N66,CurrentMtgRatesDataTable93[],2,0)</f>
        <v>11437762942.92</v>
      </c>
      <c r="U66" s="40">
        <f>CurrentMtgRatesDataTable8[[#This Row],[Top 10 Amount]]/CurrentMtgRatesDataTable8[[#This Row],[TotalBalance]]</f>
        <v>0.1886441746105314</v>
      </c>
      <c r="V66" s="40">
        <f>CurrentMtgRatesDataTable8[[#This Row],[Top 5 Amount]]/CurrentMtgRatesDataTable8[[#This Row],[TotalBalance]]</f>
        <v>0.15491728964626847</v>
      </c>
      <c r="W66" s="40">
        <f>CurrentMtgRatesDataTable8[[#This Row],[Top 1 Amount]]/CurrentMtgRatesDataTable8[[#This Row],[TotalBalance]]</f>
        <v>5.5204976790226311E-2</v>
      </c>
      <c r="X66" s="40">
        <f>CurrentMtgRatesDataTable8[[#This Row],[N/A Amount]]/CurrentMtgRatesDataTable8[[#This Row],[TotalBalance]]</f>
        <v>0.15487439525644445</v>
      </c>
    </row>
    <row r="67" spans="2:24">
      <c r="B67" s="37">
        <v>39264</v>
      </c>
      <c r="C67" s="16">
        <v>126500000</v>
      </c>
      <c r="D67" s="16" t="s">
        <v>26</v>
      </c>
      <c r="E67" s="16">
        <v>4</v>
      </c>
      <c r="H67" s="37">
        <v>40848</v>
      </c>
      <c r="I67" s="16">
        <v>2095343206</v>
      </c>
      <c r="K67" s="37">
        <v>40848</v>
      </c>
      <c r="L67" s="16">
        <v>10874766290.690001</v>
      </c>
      <c r="N67" s="37">
        <v>40848</v>
      </c>
      <c r="O67" s="16">
        <v>62641454659.599998</v>
      </c>
      <c r="P67" s="39">
        <f>VLOOKUP($N67,'Pivot equal'!C:D,2,0)</f>
        <v>12522548194.17</v>
      </c>
      <c r="Q67" s="39">
        <f>VLOOKUP(N67,'Pivot equal'!G:H,2,0)</f>
        <v>10297314402.48</v>
      </c>
      <c r="R67" s="39">
        <f>VLOOKUP(N67,'Pivot equal'!K:L,2,0)</f>
        <v>3660860542.1399999</v>
      </c>
      <c r="S67" s="39">
        <f>VLOOKUP(N67,CurrentMtgRatesDataTable9[],2,0)</f>
        <v>2095343206</v>
      </c>
      <c r="T67" s="39">
        <f>VLOOKUP(N67,CurrentMtgRatesDataTable93[],2,0)</f>
        <v>10874766290.690001</v>
      </c>
      <c r="U67" s="40">
        <f>CurrentMtgRatesDataTable8[[#This Row],[Top 10 Amount]]/CurrentMtgRatesDataTable8[[#This Row],[TotalBalance]]</f>
        <v>0.19990832368467165</v>
      </c>
      <c r="V67" s="40">
        <f>CurrentMtgRatesDataTable8[[#This Row],[Top 5 Amount]]/CurrentMtgRatesDataTable8[[#This Row],[TotalBalance]]</f>
        <v>0.16438498209271557</v>
      </c>
      <c r="W67" s="40">
        <f>CurrentMtgRatesDataTable8[[#This Row],[Top 1 Amount]]/CurrentMtgRatesDataTable8[[#This Row],[TotalBalance]]</f>
        <v>5.8441499515512314E-2</v>
      </c>
      <c r="X67" s="40">
        <f>CurrentMtgRatesDataTable8[[#This Row],[N/A Amount]]/CurrentMtgRatesDataTable8[[#This Row],[TotalBalance]]</f>
        <v>0.17360334860971191</v>
      </c>
    </row>
    <row r="68" spans="2:24">
      <c r="B68" s="37">
        <v>39264</v>
      </c>
      <c r="C68" s="16">
        <v>107554000</v>
      </c>
      <c r="D68" s="16" t="s">
        <v>29</v>
      </c>
      <c r="E68" s="16">
        <v>5</v>
      </c>
      <c r="H68" s="37">
        <v>40817</v>
      </c>
      <c r="I68" s="16">
        <v>2285618285</v>
      </c>
      <c r="K68" s="37">
        <v>40817</v>
      </c>
      <c r="L68" s="16">
        <v>9819343075.8999996</v>
      </c>
      <c r="N68" s="37">
        <v>40817</v>
      </c>
      <c r="O68" s="16">
        <v>51265734201.440002</v>
      </c>
      <c r="P68" s="39">
        <f>VLOOKUP($N68,'Pivot equal'!C:D,2,0)</f>
        <v>9620394452.5599995</v>
      </c>
      <c r="Q68" s="39">
        <f>VLOOKUP(N68,'Pivot equal'!G:H,2,0)</f>
        <v>7823983783.4899988</v>
      </c>
      <c r="R68" s="39">
        <f>VLOOKUP(N68,'Pivot equal'!K:L,2,0)</f>
        <v>2189275465.2199998</v>
      </c>
      <c r="S68" s="39">
        <f>VLOOKUP(N68,CurrentMtgRatesDataTable9[],2,0)</f>
        <v>2285618285</v>
      </c>
      <c r="T68" s="39">
        <f>VLOOKUP(N68,CurrentMtgRatesDataTable93[],2,0)</f>
        <v>9819343075.8999996</v>
      </c>
      <c r="U68" s="40">
        <f>CurrentMtgRatesDataTable8[[#This Row],[Top 10 Amount]]/CurrentMtgRatesDataTable8[[#This Row],[TotalBalance]]</f>
        <v>0.18765740123331293</v>
      </c>
      <c r="V68" s="40">
        <f>CurrentMtgRatesDataTable8[[#This Row],[Top 5 Amount]]/CurrentMtgRatesDataTable8[[#This Row],[TotalBalance]]</f>
        <v>0.15261624368329502</v>
      </c>
      <c r="W68" s="40">
        <f>CurrentMtgRatesDataTable8[[#This Row],[Top 1 Amount]]/CurrentMtgRatesDataTable8[[#This Row],[TotalBalance]]</f>
        <v>4.2704459407869072E-2</v>
      </c>
      <c r="X68" s="40">
        <f>CurrentMtgRatesDataTable8[[#This Row],[N/A Amount]]/CurrentMtgRatesDataTable8[[#This Row],[TotalBalance]]</f>
        <v>0.19153813417197066</v>
      </c>
    </row>
    <row r="69" spans="2:24">
      <c r="B69" s="37">
        <v>39264</v>
      </c>
      <c r="C69" s="16">
        <v>100942796.38</v>
      </c>
      <c r="D69" s="16" t="s">
        <v>36</v>
      </c>
      <c r="E69" s="16">
        <v>6</v>
      </c>
      <c r="H69" s="37">
        <v>40787</v>
      </c>
      <c r="I69" s="16">
        <v>876898783</v>
      </c>
      <c r="K69" s="37">
        <v>40787</v>
      </c>
      <c r="L69" s="16">
        <v>6015934193.9200001</v>
      </c>
      <c r="N69" s="37">
        <v>40787</v>
      </c>
      <c r="O69" s="16">
        <v>45345536322.599998</v>
      </c>
      <c r="P69" s="39">
        <f>VLOOKUP($N69,'Pivot equal'!C:D,2,0)</f>
        <v>8437516651.4499998</v>
      </c>
      <c r="Q69" s="39">
        <f>VLOOKUP(N69,'Pivot equal'!G:H,2,0)</f>
        <v>7113857508.8599997</v>
      </c>
      <c r="R69" s="39">
        <f>VLOOKUP(N69,'Pivot equal'!K:L,2,0)</f>
        <v>3396559955.0900002</v>
      </c>
      <c r="S69" s="39">
        <f>VLOOKUP(N69,CurrentMtgRatesDataTable9[],2,0)</f>
        <v>876898783</v>
      </c>
      <c r="T69" s="39">
        <f>VLOOKUP(N69,CurrentMtgRatesDataTable93[],2,0)</f>
        <v>6015934193.9200001</v>
      </c>
      <c r="U69" s="40">
        <f>CurrentMtgRatesDataTable8[[#This Row],[Top 10 Amount]]/CurrentMtgRatesDataTable8[[#This Row],[TotalBalance]]</f>
        <v>0.18607160341920539</v>
      </c>
      <c r="V69" s="40">
        <f>CurrentMtgRatesDataTable8[[#This Row],[Top 5 Amount]]/CurrentMtgRatesDataTable8[[#This Row],[TotalBalance]]</f>
        <v>0.15688109758478008</v>
      </c>
      <c r="W69" s="40">
        <f>CurrentMtgRatesDataTable8[[#This Row],[Top 1 Amount]]/CurrentMtgRatesDataTable8[[#This Row],[TotalBalance]]</f>
        <v>7.4903953741466078E-2</v>
      </c>
      <c r="X69" s="40">
        <f>CurrentMtgRatesDataTable8[[#This Row],[N/A Amount]]/CurrentMtgRatesDataTable8[[#This Row],[TotalBalance]]</f>
        <v>0.13266871850673617</v>
      </c>
    </row>
    <row r="70" spans="2:24">
      <c r="B70" s="37">
        <v>39264</v>
      </c>
      <c r="C70" s="16">
        <v>73781900</v>
      </c>
      <c r="D70" s="16" t="s">
        <v>24</v>
      </c>
      <c r="E70" s="16">
        <v>7</v>
      </c>
      <c r="H70" s="37">
        <v>40756</v>
      </c>
      <c r="I70" s="16">
        <v>1994047984</v>
      </c>
      <c r="K70" s="37">
        <v>40756</v>
      </c>
      <c r="L70" s="16">
        <v>4799907967.0299997</v>
      </c>
      <c r="N70" s="37">
        <v>40756</v>
      </c>
      <c r="O70" s="16">
        <v>38171516998.550003</v>
      </c>
      <c r="P70" s="39">
        <f>VLOOKUP($N70,'Pivot equal'!C:D,2,0)</f>
        <v>6453457227.3000002</v>
      </c>
      <c r="Q70" s="39">
        <f>VLOOKUP(N70,'Pivot equal'!G:H,2,0)</f>
        <v>5522768596.5700006</v>
      </c>
      <c r="R70" s="39">
        <f>VLOOKUP(N70,'Pivot equal'!K:L,2,0)</f>
        <v>2329334472.6700001</v>
      </c>
      <c r="S70" s="39">
        <f>VLOOKUP(N70,CurrentMtgRatesDataTable9[],2,0)</f>
        <v>1994047984</v>
      </c>
      <c r="T70" s="39">
        <f>VLOOKUP(N70,CurrentMtgRatesDataTable93[],2,0)</f>
        <v>4799907967.0299997</v>
      </c>
      <c r="U70" s="40">
        <f>CurrentMtgRatesDataTable8[[#This Row],[Top 10 Amount]]/CurrentMtgRatesDataTable8[[#This Row],[TotalBalance]]</f>
        <v>0.16906473032091293</v>
      </c>
      <c r="V70" s="40">
        <f>CurrentMtgRatesDataTable8[[#This Row],[Top 5 Amount]]/CurrentMtgRatesDataTable8[[#This Row],[TotalBalance]]</f>
        <v>0.14468297387237167</v>
      </c>
      <c r="W70" s="40">
        <f>CurrentMtgRatesDataTable8[[#This Row],[Top 1 Amount]]/CurrentMtgRatesDataTable8[[#This Row],[TotalBalance]]</f>
        <v>6.1022842575485882E-2</v>
      </c>
      <c r="X70" s="40">
        <f>CurrentMtgRatesDataTable8[[#This Row],[N/A Amount]]/CurrentMtgRatesDataTable8[[#This Row],[TotalBalance]]</f>
        <v>0.12574580065058275</v>
      </c>
    </row>
    <row r="71" spans="2:24">
      <c r="B71" s="37">
        <v>39264</v>
      </c>
      <c r="C71" s="16">
        <v>65000000</v>
      </c>
      <c r="D71" s="16" t="s">
        <v>28</v>
      </c>
      <c r="E71" s="16">
        <v>8</v>
      </c>
      <c r="H71" s="37">
        <v>40725</v>
      </c>
      <c r="I71" s="16">
        <v>2279698435</v>
      </c>
      <c r="K71" s="37">
        <v>40725</v>
      </c>
      <c r="L71" s="16">
        <v>3822528101.79</v>
      </c>
      <c r="N71" s="37">
        <v>40725</v>
      </c>
      <c r="O71" s="16">
        <v>30621365146.98</v>
      </c>
      <c r="P71" s="39">
        <f>VLOOKUP($N71,'Pivot equal'!C:D,2,0)</f>
        <v>4377970918.3999996</v>
      </c>
      <c r="Q71" s="39">
        <f>VLOOKUP(N71,'Pivot equal'!G:H,2,0)</f>
        <v>3487040912.9499998</v>
      </c>
      <c r="R71" s="39">
        <f>VLOOKUP(N71,'Pivot equal'!K:L,2,0)</f>
        <v>1623998106.96</v>
      </c>
      <c r="S71" s="39">
        <f>VLOOKUP(N71,CurrentMtgRatesDataTable9[],2,0)</f>
        <v>2279698435</v>
      </c>
      <c r="T71" s="39">
        <f>VLOOKUP(N71,CurrentMtgRatesDataTable93[],2,0)</f>
        <v>3822528101.79</v>
      </c>
      <c r="U71" s="40">
        <f>CurrentMtgRatesDataTable8[[#This Row],[Top 10 Amount]]/CurrentMtgRatesDataTable8[[#This Row],[TotalBalance]]</f>
        <v>0.14297112154817737</v>
      </c>
      <c r="V71" s="40">
        <f>CurrentMtgRatesDataTable8[[#This Row],[Top 5 Amount]]/CurrentMtgRatesDataTable8[[#This Row],[TotalBalance]]</f>
        <v>0.11387607626937905</v>
      </c>
      <c r="W71" s="40">
        <f>CurrentMtgRatesDataTable8[[#This Row],[Top 1 Amount]]/CurrentMtgRatesDataTable8[[#This Row],[TotalBalance]]</f>
        <v>5.3034804267051601E-2</v>
      </c>
      <c r="X71" s="40">
        <f>CurrentMtgRatesDataTable8[[#This Row],[N/A Amount]]/CurrentMtgRatesDataTable8[[#This Row],[TotalBalance]]</f>
        <v>0.12483206034225397</v>
      </c>
    </row>
    <row r="72" spans="2:24">
      <c r="B72" s="37">
        <v>39264</v>
      </c>
      <c r="C72" s="16">
        <v>53601888.850000001</v>
      </c>
      <c r="D72" s="16" t="s">
        <v>11</v>
      </c>
      <c r="E72" s="16">
        <v>9</v>
      </c>
      <c r="H72" s="37">
        <v>40695</v>
      </c>
      <c r="I72" s="16">
        <v>1087066702</v>
      </c>
      <c r="K72" s="37">
        <v>40695</v>
      </c>
      <c r="L72" s="16">
        <v>3706296422.1300001</v>
      </c>
      <c r="N72" s="37">
        <v>40695</v>
      </c>
      <c r="O72" s="16">
        <v>34031377587.419998</v>
      </c>
      <c r="P72" s="39">
        <f>VLOOKUP($N72,'Pivot equal'!C:D,2,0)</f>
        <v>6745288126.8900003</v>
      </c>
      <c r="Q72" s="39">
        <f>VLOOKUP(N72,'Pivot equal'!G:H,2,0)</f>
        <v>5763437074.1199999</v>
      </c>
      <c r="R72" s="39">
        <f>VLOOKUP(N72,'Pivot equal'!K:L,2,0)</f>
        <v>3143184905.6100001</v>
      </c>
      <c r="S72" s="39">
        <f>VLOOKUP(N72,CurrentMtgRatesDataTable9[],2,0)</f>
        <v>1087066702</v>
      </c>
      <c r="T72" s="39">
        <f>VLOOKUP(N72,CurrentMtgRatesDataTable93[],2,0)</f>
        <v>3706296422.1300001</v>
      </c>
      <c r="U72" s="40">
        <f>CurrentMtgRatesDataTable8[[#This Row],[Top 10 Amount]]/CurrentMtgRatesDataTable8[[#This Row],[TotalBalance]]</f>
        <v>0.19820790708700126</v>
      </c>
      <c r="V72" s="40">
        <f>CurrentMtgRatesDataTable8[[#This Row],[Top 5 Amount]]/CurrentMtgRatesDataTable8[[#This Row],[TotalBalance]]</f>
        <v>0.16935656099477164</v>
      </c>
      <c r="W72" s="40">
        <f>CurrentMtgRatesDataTable8[[#This Row],[Top 1 Amount]]/CurrentMtgRatesDataTable8[[#This Row],[TotalBalance]]</f>
        <v>9.236137730645104E-2</v>
      </c>
      <c r="X72" s="40">
        <f>CurrentMtgRatesDataTable8[[#This Row],[N/A Amount]]/CurrentMtgRatesDataTable8[[#This Row],[TotalBalance]]</f>
        <v>0.10890821015426851</v>
      </c>
    </row>
    <row r="73" spans="2:24">
      <c r="B73" s="37">
        <v>39264</v>
      </c>
      <c r="C73" s="16">
        <v>48832661.829999998</v>
      </c>
      <c r="D73" s="16" t="s">
        <v>150</v>
      </c>
      <c r="E73" s="16">
        <v>10</v>
      </c>
      <c r="H73" s="37">
        <v>40664</v>
      </c>
      <c r="I73" s="16">
        <v>2161250449</v>
      </c>
      <c r="K73" s="37">
        <v>40664</v>
      </c>
      <c r="L73" s="16">
        <v>3299942197.6599998</v>
      </c>
      <c r="N73" s="37">
        <v>40664</v>
      </c>
      <c r="O73" s="16">
        <v>30964833391.43</v>
      </c>
      <c r="P73" s="39">
        <f>VLOOKUP($N73,'Pivot equal'!C:D,2,0)</f>
        <v>4998911127.1500006</v>
      </c>
      <c r="Q73" s="39">
        <f>VLOOKUP(N73,'Pivot equal'!G:H,2,0)</f>
        <v>3872424052.6000004</v>
      </c>
      <c r="R73" s="39">
        <f>VLOOKUP(N73,'Pivot equal'!K:L,2,0)</f>
        <v>1714672795.1500001</v>
      </c>
      <c r="S73" s="39">
        <f>VLOOKUP(N73,CurrentMtgRatesDataTable9[],2,0)</f>
        <v>2161250449</v>
      </c>
      <c r="T73" s="39">
        <f>VLOOKUP(N73,CurrentMtgRatesDataTable93[],2,0)</f>
        <v>3299942197.6599998</v>
      </c>
      <c r="U73" s="40">
        <f>CurrentMtgRatesDataTable8[[#This Row],[Top 10 Amount]]/CurrentMtgRatesDataTable8[[#This Row],[TotalBalance]]</f>
        <v>0.16143833438269128</v>
      </c>
      <c r="V73" s="40">
        <f>CurrentMtgRatesDataTable8[[#This Row],[Top 5 Amount]]/CurrentMtgRatesDataTable8[[#This Row],[TotalBalance]]</f>
        <v>0.1250587724354349</v>
      </c>
      <c r="W73" s="40">
        <f>CurrentMtgRatesDataTable8[[#This Row],[Top 1 Amount]]/CurrentMtgRatesDataTable8[[#This Row],[TotalBalance]]</f>
        <v>5.5374843244742358E-2</v>
      </c>
      <c r="X73" s="40">
        <f>CurrentMtgRatesDataTable8[[#This Row],[N/A Amount]]/CurrentMtgRatesDataTable8[[#This Row],[TotalBalance]]</f>
        <v>0.10657064276578056</v>
      </c>
    </row>
    <row r="74" spans="2:24">
      <c r="B74" s="37">
        <v>39295</v>
      </c>
      <c r="C74" s="16">
        <v>2776259321.4400001</v>
      </c>
      <c r="D74" s="16" t="s">
        <v>16</v>
      </c>
      <c r="E74" s="16">
        <v>1</v>
      </c>
      <c r="H74" s="37">
        <v>40634</v>
      </c>
      <c r="I74" s="16">
        <v>2188332466</v>
      </c>
      <c r="K74" s="37">
        <v>40634</v>
      </c>
      <c r="L74" s="16">
        <v>3228781954.9899998</v>
      </c>
      <c r="N74" s="37">
        <v>40634</v>
      </c>
      <c r="O74" s="16">
        <v>33088841042.959999</v>
      </c>
      <c r="P74" s="39">
        <f>VLOOKUP($N74,'Pivot equal'!C:D,2,0)</f>
        <v>4432340903.5200005</v>
      </c>
      <c r="Q74" s="39">
        <f>VLOOKUP(N74,'Pivot equal'!G:H,2,0)</f>
        <v>3171512784.1500001</v>
      </c>
      <c r="R74" s="39">
        <f>VLOOKUP(N74,'Pivot equal'!K:L,2,0)</f>
        <v>1116379416.3</v>
      </c>
      <c r="S74" s="39">
        <f>VLOOKUP(N74,CurrentMtgRatesDataTable9[],2,0)</f>
        <v>2188332466</v>
      </c>
      <c r="T74" s="39">
        <f>VLOOKUP(N74,CurrentMtgRatesDataTable93[],2,0)</f>
        <v>3228781954.9899998</v>
      </c>
      <c r="U74" s="40">
        <f>CurrentMtgRatesDataTable8[[#This Row],[Top 10 Amount]]/CurrentMtgRatesDataTable8[[#This Row],[TotalBalance]]</f>
        <v>0.13395273946782818</v>
      </c>
      <c r="V74" s="40">
        <f>CurrentMtgRatesDataTable8[[#This Row],[Top 5 Amount]]/CurrentMtgRatesDataTable8[[#This Row],[TotalBalance]]</f>
        <v>9.5848409439071997E-2</v>
      </c>
      <c r="W74" s="40">
        <f>CurrentMtgRatesDataTable8[[#This Row],[Top 1 Amount]]/CurrentMtgRatesDataTable8[[#This Row],[TotalBalance]]</f>
        <v>3.3738849144053701E-2</v>
      </c>
      <c r="X74" s="40">
        <f>CurrentMtgRatesDataTable8[[#This Row],[N/A Amount]]/CurrentMtgRatesDataTable8[[#This Row],[TotalBalance]]</f>
        <v>9.7579179361344151E-2</v>
      </c>
    </row>
    <row r="75" spans="2:24">
      <c r="B75" s="37">
        <v>39295</v>
      </c>
      <c r="C75" s="16">
        <v>1376195197</v>
      </c>
      <c r="D75" s="16" t="s">
        <v>31</v>
      </c>
      <c r="E75" s="16">
        <v>2</v>
      </c>
      <c r="H75" s="37">
        <v>40603</v>
      </c>
      <c r="I75" s="16">
        <v>1193495971</v>
      </c>
      <c r="K75" s="37">
        <v>40603</v>
      </c>
      <c r="L75" s="16">
        <v>5797901031.5200005</v>
      </c>
      <c r="N75" s="37">
        <v>40603</v>
      </c>
      <c r="O75" s="16">
        <v>52478992160.580002</v>
      </c>
      <c r="P75" s="39">
        <f>VLOOKUP($N75,'Pivot equal'!C:D,2,0)</f>
        <v>7748425558.250001</v>
      </c>
      <c r="Q75" s="39">
        <f>VLOOKUP(N75,'Pivot equal'!G:H,2,0)</f>
        <v>6303199643.5500002</v>
      </c>
      <c r="R75" s="39">
        <f>VLOOKUP(N75,'Pivot equal'!K:L,2,0)</f>
        <v>2586644966.1999998</v>
      </c>
      <c r="S75" s="39">
        <f>VLOOKUP(N75,CurrentMtgRatesDataTable9[],2,0)</f>
        <v>1193495971</v>
      </c>
      <c r="T75" s="39">
        <f>VLOOKUP(N75,CurrentMtgRatesDataTable93[],2,0)</f>
        <v>5797901031.5200005</v>
      </c>
      <c r="U75" s="40">
        <f>CurrentMtgRatesDataTable8[[#This Row],[Top 10 Amount]]/CurrentMtgRatesDataTable8[[#This Row],[TotalBalance]]</f>
        <v>0.1476481395553608</v>
      </c>
      <c r="V75" s="40">
        <f>CurrentMtgRatesDataTable8[[#This Row],[Top 5 Amount]]/CurrentMtgRatesDataTable8[[#This Row],[TotalBalance]]</f>
        <v>0.12010900712923174</v>
      </c>
      <c r="W75" s="40">
        <f>CurrentMtgRatesDataTable8[[#This Row],[Top 1 Amount]]/CurrentMtgRatesDataTable8[[#This Row],[TotalBalance]]</f>
        <v>4.928915094796691E-2</v>
      </c>
      <c r="X75" s="40">
        <f>CurrentMtgRatesDataTable8[[#This Row],[N/A Amount]]/CurrentMtgRatesDataTable8[[#This Row],[TotalBalance]]</f>
        <v>0.1104804187888947</v>
      </c>
    </row>
    <row r="76" spans="2:24">
      <c r="B76" s="37">
        <v>39295</v>
      </c>
      <c r="C76" s="16">
        <v>1162595939.1300001</v>
      </c>
      <c r="D76" s="16" t="s">
        <v>8</v>
      </c>
      <c r="E76" s="16">
        <v>3</v>
      </c>
      <c r="H76" s="37">
        <v>40575</v>
      </c>
      <c r="I76" s="16">
        <v>2110053328</v>
      </c>
      <c r="K76" s="37">
        <v>40575</v>
      </c>
      <c r="L76" s="16">
        <v>4479674519.2200003</v>
      </c>
      <c r="N76" s="37">
        <v>40575</v>
      </c>
      <c r="O76" s="16">
        <v>51211208108.309998</v>
      </c>
      <c r="P76" s="39">
        <f>VLOOKUP($N76,'Pivot equal'!C:D,2,0)</f>
        <v>7623069247.4599991</v>
      </c>
      <c r="Q76" s="39">
        <f>VLOOKUP(N76,'Pivot equal'!G:H,2,0)</f>
        <v>5879680083.6999998</v>
      </c>
      <c r="R76" s="39">
        <f>VLOOKUP(N76,'Pivot equal'!K:L,2,0)</f>
        <v>2208311207.8699999</v>
      </c>
      <c r="S76" s="39">
        <f>VLOOKUP(N76,CurrentMtgRatesDataTable9[],2,0)</f>
        <v>2110053328</v>
      </c>
      <c r="T76" s="39">
        <f>VLOOKUP(N76,CurrentMtgRatesDataTable93[],2,0)</f>
        <v>4479674519.2200003</v>
      </c>
      <c r="U76" s="40">
        <f>CurrentMtgRatesDataTable8[[#This Row],[Top 10 Amount]]/CurrentMtgRatesDataTable8[[#This Row],[TotalBalance]]</f>
        <v>0.14885548552843084</v>
      </c>
      <c r="V76" s="40">
        <f>CurrentMtgRatesDataTable8[[#This Row],[Top 5 Amount]]/CurrentMtgRatesDataTable8[[#This Row],[TotalBalance]]</f>
        <v>0.11481236824690158</v>
      </c>
      <c r="W76" s="40">
        <f>CurrentMtgRatesDataTable8[[#This Row],[Top 1 Amount]]/CurrentMtgRatesDataTable8[[#This Row],[TotalBalance]]</f>
        <v>4.3121638591292269E-2</v>
      </c>
      <c r="X76" s="40">
        <f>CurrentMtgRatesDataTable8[[#This Row],[N/A Amount]]/CurrentMtgRatesDataTable8[[#This Row],[TotalBalance]]</f>
        <v>8.7474494055005264E-2</v>
      </c>
    </row>
    <row r="77" spans="2:24">
      <c r="B77" s="37">
        <v>39295</v>
      </c>
      <c r="C77" s="16">
        <v>995223799</v>
      </c>
      <c r="D77" s="16" t="s">
        <v>18</v>
      </c>
      <c r="E77" s="16">
        <v>4</v>
      </c>
      <c r="H77" s="37">
        <v>40544</v>
      </c>
      <c r="I77" s="16">
        <v>2120138158</v>
      </c>
      <c r="K77" s="37">
        <v>40544</v>
      </c>
      <c r="L77" s="16">
        <v>8517864186.6400003</v>
      </c>
      <c r="N77" s="37">
        <v>40544</v>
      </c>
      <c r="O77" s="16">
        <v>66493575674.870003</v>
      </c>
      <c r="P77" s="39">
        <f>VLOOKUP($N77,'Pivot equal'!C:D,2,0)</f>
        <v>11385628436.73</v>
      </c>
      <c r="Q77" s="39">
        <f>VLOOKUP(N77,'Pivot equal'!G:H,2,0)</f>
        <v>9266845860.4399986</v>
      </c>
      <c r="R77" s="39">
        <f>VLOOKUP(N77,'Pivot equal'!K:L,2,0)</f>
        <v>3768046307.4699998</v>
      </c>
      <c r="S77" s="39">
        <f>VLOOKUP(N77,CurrentMtgRatesDataTable9[],2,0)</f>
        <v>2120138158</v>
      </c>
      <c r="T77" s="39">
        <f>VLOOKUP(N77,CurrentMtgRatesDataTable93[],2,0)</f>
        <v>8517864186.6400003</v>
      </c>
      <c r="U77" s="40">
        <f>CurrentMtgRatesDataTable8[[#This Row],[Top 10 Amount]]/CurrentMtgRatesDataTable8[[#This Row],[TotalBalance]]</f>
        <v>0.17122899951119613</v>
      </c>
      <c r="V77" s="40">
        <f>CurrentMtgRatesDataTable8[[#This Row],[Top 5 Amount]]/CurrentMtgRatesDataTable8[[#This Row],[TotalBalance]]</f>
        <v>0.13936452907498292</v>
      </c>
      <c r="W77" s="40">
        <f>CurrentMtgRatesDataTable8[[#This Row],[Top 1 Amount]]/CurrentMtgRatesDataTable8[[#This Row],[TotalBalance]]</f>
        <v>5.6667824962435616E-2</v>
      </c>
      <c r="X77" s="40">
        <f>CurrentMtgRatesDataTable8[[#This Row],[N/A Amount]]/CurrentMtgRatesDataTable8[[#This Row],[TotalBalance]]</f>
        <v>0.12810055859064243</v>
      </c>
    </row>
    <row r="78" spans="2:24">
      <c r="B78" s="37">
        <v>39295</v>
      </c>
      <c r="C78" s="16">
        <v>929116624.83000004</v>
      </c>
      <c r="D78" s="16" t="s">
        <v>4</v>
      </c>
      <c r="E78" s="16">
        <v>5</v>
      </c>
      <c r="H78" s="37">
        <v>40513</v>
      </c>
      <c r="I78" s="16">
        <v>1711261234</v>
      </c>
      <c r="K78" s="37">
        <v>40513</v>
      </c>
      <c r="L78" s="16">
        <v>11160184048.27</v>
      </c>
      <c r="N78" s="37">
        <v>40513</v>
      </c>
      <c r="O78" s="16">
        <v>81193901238.820007</v>
      </c>
      <c r="P78" s="39">
        <f>VLOOKUP($N78,'Pivot equal'!C:D,2,0)</f>
        <v>12341272353.4</v>
      </c>
      <c r="Q78" s="39">
        <f>VLOOKUP(N78,'Pivot equal'!G:H,2,0)</f>
        <v>9152693473.8100014</v>
      </c>
      <c r="R78" s="39">
        <f>VLOOKUP(N78,'Pivot equal'!K:L,2,0)</f>
        <v>4077546240.5599999</v>
      </c>
      <c r="S78" s="39">
        <f>VLOOKUP(N78,CurrentMtgRatesDataTable9[],2,0)</f>
        <v>1711261234</v>
      </c>
      <c r="T78" s="39">
        <f>VLOOKUP(N78,CurrentMtgRatesDataTable93[],2,0)</f>
        <v>11160184048.27</v>
      </c>
      <c r="U78" s="40">
        <f>CurrentMtgRatesDataTable8[[#This Row],[Top 10 Amount]]/CurrentMtgRatesDataTable8[[#This Row],[TotalBalance]]</f>
        <v>0.15199752894124335</v>
      </c>
      <c r="V78" s="40">
        <f>CurrentMtgRatesDataTable8[[#This Row],[Top 5 Amount]]/CurrentMtgRatesDataTable8[[#This Row],[TotalBalance]]</f>
        <v>0.11272636656401926</v>
      </c>
      <c r="W78" s="40">
        <f>CurrentMtgRatesDataTable8[[#This Row],[Top 1 Amount]]/CurrentMtgRatesDataTable8[[#This Row],[TotalBalance]]</f>
        <v>5.0219858614337212E-2</v>
      </c>
      <c r="X78" s="40">
        <f>CurrentMtgRatesDataTable8[[#This Row],[N/A Amount]]/CurrentMtgRatesDataTable8[[#This Row],[TotalBalance]]</f>
        <v>0.13745101390613007</v>
      </c>
    </row>
    <row r="79" spans="2:24">
      <c r="B79" s="37">
        <v>39295</v>
      </c>
      <c r="C79" s="16">
        <v>723828600</v>
      </c>
      <c r="D79" s="16" t="s">
        <v>25</v>
      </c>
      <c r="E79" s="16">
        <v>6</v>
      </c>
      <c r="H79" s="37">
        <v>40483</v>
      </c>
      <c r="I79" s="16">
        <v>2036722469</v>
      </c>
      <c r="K79" s="37">
        <v>40483</v>
      </c>
      <c r="L79" s="16">
        <v>10674086513.9</v>
      </c>
      <c r="N79" s="37">
        <v>40483</v>
      </c>
      <c r="O79" s="16">
        <v>71397253151.929993</v>
      </c>
      <c r="P79" s="39">
        <f>VLOOKUP($N79,'Pivot equal'!C:D,2,0)</f>
        <v>14834313042.26</v>
      </c>
      <c r="Q79" s="39">
        <f>VLOOKUP(N79,'Pivot equal'!G:H,2,0)</f>
        <v>11350936263.34</v>
      </c>
      <c r="R79" s="39">
        <f>VLOOKUP(N79,'Pivot equal'!K:L,2,0)</f>
        <v>4631288816.5799999</v>
      </c>
      <c r="S79" s="39">
        <f>VLOOKUP(N79,CurrentMtgRatesDataTable9[],2,0)</f>
        <v>2036722469</v>
      </c>
      <c r="T79" s="39">
        <f>VLOOKUP(N79,CurrentMtgRatesDataTable93[],2,0)</f>
        <v>10674086513.9</v>
      </c>
      <c r="U79" s="40">
        <f>CurrentMtgRatesDataTable8[[#This Row],[Top 10 Amount]]/CurrentMtgRatesDataTable8[[#This Row],[TotalBalance]]</f>
        <v>0.20777148121781774</v>
      </c>
      <c r="V79" s="40">
        <f>CurrentMtgRatesDataTable8[[#This Row],[Top 5 Amount]]/CurrentMtgRatesDataTable8[[#This Row],[TotalBalance]]</f>
        <v>0.15898281463553987</v>
      </c>
      <c r="W79" s="40">
        <f>CurrentMtgRatesDataTable8[[#This Row],[Top 1 Amount]]/CurrentMtgRatesDataTable8[[#This Row],[TotalBalance]]</f>
        <v>6.4866484523218776E-2</v>
      </c>
      <c r="X79" s="40">
        <f>CurrentMtgRatesDataTable8[[#This Row],[N/A Amount]]/CurrentMtgRatesDataTable8[[#This Row],[TotalBalance]]</f>
        <v>0.14950276155843203</v>
      </c>
    </row>
    <row r="80" spans="2:24">
      <c r="B80" s="37">
        <v>39295</v>
      </c>
      <c r="C80" s="16">
        <v>545921959.29999995</v>
      </c>
      <c r="D80" s="16" t="s">
        <v>11</v>
      </c>
      <c r="E80" s="16">
        <v>7</v>
      </c>
      <c r="H80" s="37">
        <v>40452</v>
      </c>
      <c r="I80" s="16">
        <v>2453232976</v>
      </c>
      <c r="K80" s="37">
        <v>40452</v>
      </c>
      <c r="L80" s="16">
        <v>11073355450.33</v>
      </c>
      <c r="N80" s="37">
        <v>40452</v>
      </c>
      <c r="O80" s="16">
        <v>68963882096.149994</v>
      </c>
      <c r="P80" s="39">
        <f>VLOOKUP($N80,'Pivot equal'!C:D,2,0)</f>
        <v>12656435684.909998</v>
      </c>
      <c r="Q80" s="39">
        <f>VLOOKUP(N80,'Pivot equal'!G:H,2,0)</f>
        <v>10039143710.769999</v>
      </c>
      <c r="R80" s="39">
        <f>VLOOKUP(N80,'Pivot equal'!K:L,2,0)</f>
        <v>4867074403.2299995</v>
      </c>
      <c r="S80" s="39">
        <f>VLOOKUP(N80,CurrentMtgRatesDataTable9[],2,0)</f>
        <v>2453232976</v>
      </c>
      <c r="T80" s="39">
        <f>VLOOKUP(N80,CurrentMtgRatesDataTable93[],2,0)</f>
        <v>11073355450.33</v>
      </c>
      <c r="U80" s="40">
        <f>CurrentMtgRatesDataTable8[[#This Row],[Top 10 Amount]]/CurrentMtgRatesDataTable8[[#This Row],[TotalBalance]]</f>
        <v>0.18352266868132938</v>
      </c>
      <c r="V80" s="40">
        <f>CurrentMtgRatesDataTable8[[#This Row],[Top 5 Amount]]/CurrentMtgRatesDataTable8[[#This Row],[TotalBalance]]</f>
        <v>0.14557103523803003</v>
      </c>
      <c r="W80" s="40">
        <f>CurrentMtgRatesDataTable8[[#This Row],[Top 1 Amount]]/CurrentMtgRatesDataTable8[[#This Row],[TotalBalance]]</f>
        <v>7.0574252134534499E-2</v>
      </c>
      <c r="X80" s="40">
        <f>CurrentMtgRatesDataTable8[[#This Row],[N/A Amount]]/CurrentMtgRatesDataTable8[[#This Row],[TotalBalance]]</f>
        <v>0.16056746102099415</v>
      </c>
    </row>
    <row r="81" spans="2:24">
      <c r="B81" s="37">
        <v>39295</v>
      </c>
      <c r="C81" s="16">
        <v>468535961</v>
      </c>
      <c r="D81" s="16" t="s">
        <v>17</v>
      </c>
      <c r="E81" s="16">
        <v>8</v>
      </c>
      <c r="H81" s="37">
        <v>40422</v>
      </c>
      <c r="I81" s="16">
        <v>1655819481</v>
      </c>
      <c r="K81" s="37">
        <v>40422</v>
      </c>
      <c r="L81" s="16">
        <v>9668182653.7099991</v>
      </c>
      <c r="N81" s="37">
        <v>40422</v>
      </c>
      <c r="O81" s="16">
        <v>69384338986.350006</v>
      </c>
      <c r="P81" s="39">
        <f>VLOOKUP($N81,'Pivot equal'!C:D,2,0)</f>
        <v>11576976297.039999</v>
      </c>
      <c r="Q81" s="39">
        <f>VLOOKUP(N81,'Pivot equal'!G:H,2,0)</f>
        <v>9432107049.0699997</v>
      </c>
      <c r="R81" s="39">
        <f>VLOOKUP(N81,'Pivot equal'!K:L,2,0)</f>
        <v>3646842839.0100002</v>
      </c>
      <c r="S81" s="39">
        <f>VLOOKUP(N81,CurrentMtgRatesDataTable9[],2,0)</f>
        <v>1655819481</v>
      </c>
      <c r="T81" s="39">
        <f>VLOOKUP(N81,CurrentMtgRatesDataTable93[],2,0)</f>
        <v>9668182653.7099991</v>
      </c>
      <c r="U81" s="40">
        <f>CurrentMtgRatesDataTable8[[#This Row],[Top 10 Amount]]/CurrentMtgRatesDataTable8[[#This Row],[TotalBalance]]</f>
        <v>0.16685287294179657</v>
      </c>
      <c r="V81" s="40">
        <f>CurrentMtgRatesDataTable8[[#This Row],[Top 5 Amount]]/CurrentMtgRatesDataTable8[[#This Row],[TotalBalance]]</f>
        <v>0.13594000010471499</v>
      </c>
      <c r="W81" s="40">
        <f>CurrentMtgRatesDataTable8[[#This Row],[Top 1 Amount]]/CurrentMtgRatesDataTable8[[#This Row],[TotalBalance]]</f>
        <v>5.2560028563901781E-2</v>
      </c>
      <c r="X81" s="40">
        <f>CurrentMtgRatesDataTable8[[#This Row],[N/A Amount]]/CurrentMtgRatesDataTable8[[#This Row],[TotalBalance]]</f>
        <v>0.13934243368106486</v>
      </c>
    </row>
    <row r="82" spans="2:24">
      <c r="B82" s="37">
        <v>39295</v>
      </c>
      <c r="C82" s="16">
        <v>327096241.41000003</v>
      </c>
      <c r="D82" s="16" t="s">
        <v>14</v>
      </c>
      <c r="E82" s="16">
        <v>9</v>
      </c>
      <c r="H82" s="37">
        <v>40391</v>
      </c>
      <c r="I82" s="16">
        <v>2325261137</v>
      </c>
      <c r="K82" s="37">
        <v>40391</v>
      </c>
      <c r="L82" s="16">
        <v>7575320361.9300003</v>
      </c>
      <c r="N82" s="37">
        <v>40391</v>
      </c>
      <c r="O82" s="16">
        <v>46909004959.040001</v>
      </c>
      <c r="P82" s="39">
        <f>VLOOKUP($N82,'Pivot equal'!C:D,2,0)</f>
        <v>8484312750.2099991</v>
      </c>
      <c r="Q82" s="39">
        <f>VLOOKUP(N82,'Pivot equal'!G:H,2,0)</f>
        <v>6824069886.7099991</v>
      </c>
      <c r="R82" s="39">
        <f>VLOOKUP(N82,'Pivot equal'!K:L,2,0)</f>
        <v>2690541294.77</v>
      </c>
      <c r="S82" s="39">
        <f>VLOOKUP(N82,CurrentMtgRatesDataTable9[],2,0)</f>
        <v>2325261137</v>
      </c>
      <c r="T82" s="39">
        <f>VLOOKUP(N82,CurrentMtgRatesDataTable93[],2,0)</f>
        <v>7575320361.9300003</v>
      </c>
      <c r="U82" s="40">
        <f>CurrentMtgRatesDataTable8[[#This Row],[Top 10 Amount]]/CurrentMtgRatesDataTable8[[#This Row],[TotalBalance]]</f>
        <v>0.18086746366967985</v>
      </c>
      <c r="V82" s="40">
        <f>CurrentMtgRatesDataTable8[[#This Row],[Top 5 Amount]]/CurrentMtgRatesDataTable8[[#This Row],[TotalBalance]]</f>
        <v>0.1454746245985955</v>
      </c>
      <c r="W82" s="40">
        <f>CurrentMtgRatesDataTable8[[#This Row],[Top 1 Amount]]/CurrentMtgRatesDataTable8[[#This Row],[TotalBalance]]</f>
        <v>5.7356605562606293E-2</v>
      </c>
      <c r="X82" s="40">
        <f>CurrentMtgRatesDataTable8[[#This Row],[N/A Amount]]/CurrentMtgRatesDataTable8[[#This Row],[TotalBalance]]</f>
        <v>0.1614896834529877</v>
      </c>
    </row>
    <row r="83" spans="2:24">
      <c r="B83" s="37">
        <v>39295</v>
      </c>
      <c r="C83" s="16">
        <v>307623379.49000001</v>
      </c>
      <c r="D83" s="16" t="s">
        <v>22</v>
      </c>
      <c r="E83" s="16">
        <v>10</v>
      </c>
      <c r="H83" s="37">
        <v>40360</v>
      </c>
      <c r="I83" s="16">
        <v>1567537459</v>
      </c>
      <c r="K83" s="37">
        <v>40360</v>
      </c>
      <c r="L83" s="16">
        <v>4951045886.9799995</v>
      </c>
      <c r="N83" s="37">
        <v>40360</v>
      </c>
      <c r="O83" s="16">
        <v>40829244339.580002</v>
      </c>
      <c r="P83" s="39">
        <f>VLOOKUP($N83,'Pivot equal'!C:D,2,0)</f>
        <v>6454731916.5699997</v>
      </c>
      <c r="Q83" s="39">
        <f>VLOOKUP(N83,'Pivot equal'!G:H,2,0)</f>
        <v>5265427102.4799995</v>
      </c>
      <c r="R83" s="39">
        <f>VLOOKUP(N83,'Pivot equal'!K:L,2,0)</f>
        <v>2520047942.54</v>
      </c>
      <c r="S83" s="39">
        <f>VLOOKUP(N83,CurrentMtgRatesDataTable9[],2,0)</f>
        <v>1567537459</v>
      </c>
      <c r="T83" s="39">
        <f>VLOOKUP(N83,CurrentMtgRatesDataTable93[],2,0)</f>
        <v>4951045886.9799995</v>
      </c>
      <c r="U83" s="40">
        <f>CurrentMtgRatesDataTable8[[#This Row],[Top 10 Amount]]/CurrentMtgRatesDataTable8[[#This Row],[TotalBalance]]</f>
        <v>0.15809089834936674</v>
      </c>
      <c r="V83" s="40">
        <f>CurrentMtgRatesDataTable8[[#This Row],[Top 5 Amount]]/CurrentMtgRatesDataTable8[[#This Row],[TotalBalance]]</f>
        <v>0.12896214925476046</v>
      </c>
      <c r="W83" s="40">
        <f>CurrentMtgRatesDataTable8[[#This Row],[Top 1 Amount]]/CurrentMtgRatesDataTable8[[#This Row],[TotalBalance]]</f>
        <v>6.1721640537369858E-2</v>
      </c>
      <c r="X83" s="40">
        <f>CurrentMtgRatesDataTable8[[#This Row],[N/A Amount]]/CurrentMtgRatesDataTable8[[#This Row],[TotalBalance]]</f>
        <v>0.12126224638893059</v>
      </c>
    </row>
    <row r="84" spans="2:24">
      <c r="B84" s="37">
        <v>39326</v>
      </c>
      <c r="C84" s="16">
        <v>1933443256.51</v>
      </c>
      <c r="D84" s="16" t="s">
        <v>16</v>
      </c>
      <c r="E84" s="16">
        <v>1</v>
      </c>
      <c r="H84" s="37">
        <v>40330</v>
      </c>
      <c r="I84" s="16">
        <v>1496216485</v>
      </c>
      <c r="K84" s="37">
        <v>40330</v>
      </c>
      <c r="L84" s="16">
        <v>5301984165.71</v>
      </c>
      <c r="N84" s="37">
        <v>40330</v>
      </c>
      <c r="O84" s="16">
        <v>37643702495.970001</v>
      </c>
      <c r="P84" s="39">
        <f>VLOOKUP($N84,'Pivot equal'!C:D,2,0)</f>
        <v>5374440537.4000006</v>
      </c>
      <c r="Q84" s="39">
        <f>VLOOKUP(N84,'Pivot equal'!G:H,2,0)</f>
        <v>4368467478.8699999</v>
      </c>
      <c r="R84" s="39">
        <f>VLOOKUP(N84,'Pivot equal'!K:L,2,0)</f>
        <v>1873141654.6800001</v>
      </c>
      <c r="S84" s="39">
        <f>VLOOKUP(N84,CurrentMtgRatesDataTable9[],2,0)</f>
        <v>1496216485</v>
      </c>
      <c r="T84" s="39">
        <f>VLOOKUP(N84,CurrentMtgRatesDataTable93[],2,0)</f>
        <v>5301984165.71</v>
      </c>
      <c r="U84" s="40">
        <f>CurrentMtgRatesDataTable8[[#This Row],[Top 10 Amount]]/CurrentMtgRatesDataTable8[[#This Row],[TotalBalance]]</f>
        <v>0.14277130518644834</v>
      </c>
      <c r="V84" s="40">
        <f>CurrentMtgRatesDataTable8[[#This Row],[Top 5 Amount]]/CurrentMtgRatesDataTable8[[#This Row],[TotalBalance]]</f>
        <v>0.11604776334999652</v>
      </c>
      <c r="W84" s="40">
        <f>CurrentMtgRatesDataTable8[[#This Row],[Top 1 Amount]]/CurrentMtgRatesDataTable8[[#This Row],[TotalBalance]]</f>
        <v>4.9759761407118012E-2</v>
      </c>
      <c r="X84" s="40">
        <f>CurrentMtgRatesDataTable8[[#This Row],[N/A Amount]]/CurrentMtgRatesDataTable8[[#This Row],[TotalBalance]]</f>
        <v>0.14084651121333272</v>
      </c>
    </row>
    <row r="85" spans="2:24">
      <c r="B85" s="37">
        <v>39326</v>
      </c>
      <c r="C85" s="16">
        <v>1598243031.95</v>
      </c>
      <c r="D85" s="16" t="s">
        <v>8</v>
      </c>
      <c r="E85" s="16">
        <v>2</v>
      </c>
      <c r="H85" s="37">
        <v>40299</v>
      </c>
      <c r="I85" s="16">
        <v>7568970433</v>
      </c>
      <c r="K85" s="37">
        <v>40299</v>
      </c>
      <c r="L85" s="16">
        <v>2918527916.4299998</v>
      </c>
      <c r="N85" s="37">
        <v>40299</v>
      </c>
      <c r="O85" s="16">
        <v>36336611081.309998</v>
      </c>
      <c r="P85" s="39">
        <f>VLOOKUP($N85,'Pivot equal'!C:D,2,0)</f>
        <v>4381569427.4099998</v>
      </c>
      <c r="Q85" s="39">
        <f>VLOOKUP(N85,'Pivot equal'!G:H,2,0)</f>
        <v>3479178192.2999997</v>
      </c>
      <c r="R85" s="39">
        <f>VLOOKUP(N85,'Pivot equal'!K:L,2,0)</f>
        <v>1280550786.26</v>
      </c>
      <c r="S85" s="39">
        <f>VLOOKUP(N85,CurrentMtgRatesDataTable9[],2,0)</f>
        <v>7568970433</v>
      </c>
      <c r="T85" s="39">
        <f>VLOOKUP(N85,CurrentMtgRatesDataTable93[],2,0)</f>
        <v>2918527916.4299998</v>
      </c>
      <c r="U85" s="40">
        <f>CurrentMtgRatesDataTable8[[#This Row],[Top 10 Amount]]/CurrentMtgRatesDataTable8[[#This Row],[TotalBalance]]</f>
        <v>0.12058277580166776</v>
      </c>
      <c r="V85" s="40">
        <f>CurrentMtgRatesDataTable8[[#This Row],[Top 5 Amount]]/CurrentMtgRatesDataTable8[[#This Row],[TotalBalance]]</f>
        <v>9.5748560164696822E-2</v>
      </c>
      <c r="W85" s="40">
        <f>CurrentMtgRatesDataTable8[[#This Row],[Top 1 Amount]]/CurrentMtgRatesDataTable8[[#This Row],[TotalBalance]]</f>
        <v>3.5241337817512118E-2</v>
      </c>
      <c r="X85" s="40">
        <f>CurrentMtgRatesDataTable8[[#This Row],[N/A Amount]]/CurrentMtgRatesDataTable8[[#This Row],[TotalBalance]]</f>
        <v>8.0319210558718449E-2</v>
      </c>
    </row>
    <row r="86" spans="2:24">
      <c r="B86" s="37">
        <v>39326</v>
      </c>
      <c r="C86" s="16">
        <v>1509377032.0999999</v>
      </c>
      <c r="D86" s="16" t="s">
        <v>17</v>
      </c>
      <c r="E86" s="16">
        <v>3</v>
      </c>
      <c r="H86" s="37">
        <v>40269</v>
      </c>
      <c r="I86" s="16">
        <v>8738434979</v>
      </c>
      <c r="K86" s="37">
        <v>40269</v>
      </c>
      <c r="L86" s="16">
        <v>3207869920.6599998</v>
      </c>
      <c r="N86" s="54">
        <v>40269</v>
      </c>
      <c r="O86" s="55">
        <v>36544416365.050003</v>
      </c>
      <c r="P86" s="56">
        <f>VLOOKUP($N86,'Pivot equal'!C:D,2,0)</f>
        <v>4192321864.4699998</v>
      </c>
      <c r="Q86" s="56">
        <f>VLOOKUP(N86,'Pivot equal'!G:H,2,0)</f>
        <v>3058674109.3299999</v>
      </c>
      <c r="R86" s="56">
        <f>VLOOKUP(N86,'Pivot equal'!K:L,2,0)</f>
        <v>1206641880.98</v>
      </c>
      <c r="S86" s="56">
        <f>VLOOKUP(N86,CurrentMtgRatesDataTable9[],2,0)</f>
        <v>8738434979</v>
      </c>
      <c r="T86" s="56">
        <f>VLOOKUP(N86,CurrentMtgRatesDataTable93[],2,0)</f>
        <v>3207869920.6599998</v>
      </c>
      <c r="U86" s="57">
        <f>CurrentMtgRatesDataTable8[[#This Row],[Top 10 Amount]]/CurrentMtgRatesDataTable8[[#This Row],[TotalBalance]]</f>
        <v>0.11471853381353798</v>
      </c>
      <c r="V86" s="57">
        <f>CurrentMtgRatesDataTable8[[#This Row],[Top 5 Amount]]/CurrentMtgRatesDataTable8[[#This Row],[TotalBalance]]</f>
        <v>8.3697440363426495E-2</v>
      </c>
      <c r="W86" s="57">
        <f>CurrentMtgRatesDataTable8[[#This Row],[Top 1 Amount]]/CurrentMtgRatesDataTable8[[#This Row],[TotalBalance]]</f>
        <v>3.3018501894423374E-2</v>
      </c>
      <c r="X86" s="57">
        <f>CurrentMtgRatesDataTable8[[#This Row],[N/A Amount]]/CurrentMtgRatesDataTable8[[#This Row],[TotalBalance]]</f>
        <v>8.7780028790606479E-2</v>
      </c>
    </row>
    <row r="87" spans="2:24">
      <c r="B87" s="37">
        <v>39326</v>
      </c>
      <c r="C87" s="16">
        <v>1504357495.8299999</v>
      </c>
      <c r="D87" s="16" t="s">
        <v>14</v>
      </c>
      <c r="E87" s="16">
        <v>4</v>
      </c>
      <c r="H87" s="37">
        <v>40238</v>
      </c>
      <c r="I87" s="16">
        <v>12061455302</v>
      </c>
      <c r="K87" s="37">
        <v>40238</v>
      </c>
      <c r="L87" s="16">
        <v>3145361847.5</v>
      </c>
      <c r="N87" s="54">
        <v>40238</v>
      </c>
      <c r="O87" s="55">
        <v>36714521904.68</v>
      </c>
      <c r="P87" s="56">
        <f>VLOOKUP($N87,'Pivot equal'!C:D,2,0)</f>
        <v>3559555993.6900005</v>
      </c>
      <c r="Q87" s="56">
        <f>VLOOKUP(N87,'Pivot equal'!G:H,2,0)</f>
        <v>2603533805.5</v>
      </c>
      <c r="R87" s="56">
        <f>VLOOKUP(N87,'Pivot equal'!K:L,2,0)</f>
        <v>1009165492.87</v>
      </c>
      <c r="S87" s="56">
        <f>VLOOKUP(N87,CurrentMtgRatesDataTable9[],2,0)</f>
        <v>12061455302</v>
      </c>
      <c r="T87" s="56">
        <f>VLOOKUP(N87,CurrentMtgRatesDataTable93[],2,0)</f>
        <v>3145361847.5</v>
      </c>
      <c r="U87" s="57">
        <f>CurrentMtgRatesDataTable8[[#This Row],[Top 10 Amount]]/CurrentMtgRatesDataTable8[[#This Row],[TotalBalance]]</f>
        <v>9.6952263274229483E-2</v>
      </c>
      <c r="V87" s="57">
        <f>CurrentMtgRatesDataTable8[[#This Row],[Top 5 Amount]]/CurrentMtgRatesDataTable8[[#This Row],[TotalBalance]]</f>
        <v>7.0912915937171098E-2</v>
      </c>
      <c r="W87" s="57">
        <f>CurrentMtgRatesDataTable8[[#This Row],[Top 1 Amount]]/CurrentMtgRatesDataTable8[[#This Row],[TotalBalance]]</f>
        <v>2.7486821032016807E-2</v>
      </c>
      <c r="X87" s="57">
        <f>CurrentMtgRatesDataTable8[[#This Row],[N/A Amount]]/CurrentMtgRatesDataTable8[[#This Row],[TotalBalance]]</f>
        <v>8.5670783230301598E-2</v>
      </c>
    </row>
    <row r="88" spans="2:24">
      <c r="B88" s="37">
        <v>39326</v>
      </c>
      <c r="C88" s="16">
        <v>1409534243</v>
      </c>
      <c r="D88" s="16" t="s">
        <v>31</v>
      </c>
      <c r="E88" s="16">
        <v>5</v>
      </c>
      <c r="H88" s="37">
        <v>40210</v>
      </c>
      <c r="I88" s="16">
        <v>10644755641</v>
      </c>
      <c r="K88" s="54">
        <v>40210</v>
      </c>
      <c r="L88" s="55">
        <v>3147930164.52</v>
      </c>
      <c r="N88" s="54">
        <v>40210</v>
      </c>
      <c r="O88" s="55">
        <v>43331380880.580002</v>
      </c>
      <c r="P88" s="56">
        <f>VLOOKUP($N88,'Pivot equal'!C:D,2,0)</f>
        <v>5161258670.1899996</v>
      </c>
      <c r="Q88" s="56">
        <f>VLOOKUP(N88,'Pivot equal'!G:H,2,0)</f>
        <v>3784686684.2799997</v>
      </c>
      <c r="R88" s="56">
        <f>VLOOKUP(N88,'Pivot equal'!K:L,2,0)</f>
        <v>2017223525.6800001</v>
      </c>
      <c r="S88" s="56">
        <f>VLOOKUP(N88,CurrentMtgRatesDataTable9[],2,0)</f>
        <v>10644755641</v>
      </c>
      <c r="T88" s="56">
        <f>VLOOKUP(N88,CurrentMtgRatesDataTable93[],2,0)</f>
        <v>3147930164.52</v>
      </c>
      <c r="U88" s="57">
        <f>CurrentMtgRatesDataTable8[[#This Row],[Top 10 Amount]]/CurrentMtgRatesDataTable8[[#This Row],[TotalBalance]]</f>
        <v>0.11911133606413964</v>
      </c>
      <c r="V88" s="57">
        <f>CurrentMtgRatesDataTable8[[#This Row],[Top 5 Amount]]/CurrentMtgRatesDataTable8[[#This Row],[TotalBalance]]</f>
        <v>8.734285885581361E-2</v>
      </c>
      <c r="W88" s="57">
        <f>CurrentMtgRatesDataTable8[[#This Row],[Top 1 Amount]]/CurrentMtgRatesDataTable8[[#This Row],[TotalBalance]]</f>
        <v>4.6553409669528145E-2</v>
      </c>
      <c r="X88" s="57">
        <f>CurrentMtgRatesDataTable8[[#This Row],[N/A Amount]]/CurrentMtgRatesDataTable8[[#This Row],[TotalBalance]]</f>
        <v>7.2647815521863987E-2</v>
      </c>
    </row>
    <row r="89" spans="2:24">
      <c r="B89" s="37">
        <v>39326</v>
      </c>
      <c r="C89" s="16">
        <v>908731681</v>
      </c>
      <c r="D89" s="16" t="s">
        <v>18</v>
      </c>
      <c r="E89" s="16">
        <v>6</v>
      </c>
      <c r="H89" s="54">
        <v>40179</v>
      </c>
      <c r="I89" s="55">
        <v>8643108800</v>
      </c>
      <c r="K89" s="54">
        <v>40179</v>
      </c>
      <c r="L89" s="55">
        <v>4125777185.8600001</v>
      </c>
      <c r="N89" s="54">
        <v>40179</v>
      </c>
      <c r="O89" s="55">
        <v>41171224451.529999</v>
      </c>
      <c r="P89" s="56">
        <f>VLOOKUP($N89,'Pivot equal'!C:D,2,0)</f>
        <v>5779565710</v>
      </c>
      <c r="Q89" s="56">
        <f>VLOOKUP(N89,'Pivot equal'!G:H,2,0)</f>
        <v>4166678306.75</v>
      </c>
      <c r="R89" s="56">
        <f>VLOOKUP(N89,'Pivot equal'!K:L,2,0)</f>
        <v>1887253190.6600001</v>
      </c>
      <c r="S89" s="56">
        <f>VLOOKUP(N89,CurrentMtgRatesDataTable9[],2,0)</f>
        <v>8643108800</v>
      </c>
      <c r="T89" s="56">
        <f>VLOOKUP(N89,CurrentMtgRatesDataTable93[],2,0)</f>
        <v>4125777185.8600001</v>
      </c>
      <c r="U89" s="57">
        <f>CurrentMtgRatesDataTable8[[#This Row],[Top 10 Amount]]/CurrentMtgRatesDataTable8[[#This Row],[TotalBalance]]</f>
        <v>0.14037876665058041</v>
      </c>
      <c r="V89" s="57">
        <f>CurrentMtgRatesDataTable8[[#This Row],[Top 5 Amount]]/CurrentMtgRatesDataTable8[[#This Row],[TotalBalance]]</f>
        <v>0.1012036528487352</v>
      </c>
      <c r="W89" s="57">
        <f>CurrentMtgRatesDataTable8[[#This Row],[Top 1 Amount]]/CurrentMtgRatesDataTable8[[#This Row],[TotalBalance]]</f>
        <v>4.583913196173757E-2</v>
      </c>
      <c r="X89" s="57">
        <f>CurrentMtgRatesDataTable8[[#This Row],[N/A Amount]]/CurrentMtgRatesDataTable8[[#This Row],[TotalBalance]]</f>
        <v>0.1002102133425055</v>
      </c>
    </row>
    <row r="90" spans="2:24">
      <c r="B90" s="37">
        <v>39326</v>
      </c>
      <c r="C90" s="16">
        <v>845731460.67999995</v>
      </c>
      <c r="D90" s="16" t="s">
        <v>4</v>
      </c>
      <c r="E90" s="16">
        <v>7</v>
      </c>
      <c r="H90" s="54">
        <v>40148</v>
      </c>
      <c r="I90" s="55">
        <v>12468205867</v>
      </c>
      <c r="K90" s="54">
        <v>40148</v>
      </c>
      <c r="L90" s="55">
        <v>4688992883.8400002</v>
      </c>
      <c r="N90" s="54">
        <v>40148</v>
      </c>
      <c r="O90" s="55">
        <v>49380885366.279999</v>
      </c>
      <c r="P90" s="56">
        <f>VLOOKUP($N90,'Pivot equal'!C:D,2,0)</f>
        <v>6267023192.8300009</v>
      </c>
      <c r="Q90" s="56">
        <f>VLOOKUP(N90,'Pivot equal'!G:H,2,0)</f>
        <v>4953854976.7700005</v>
      </c>
      <c r="R90" s="56">
        <f>VLOOKUP(N90,'Pivot equal'!K:L,2,0)</f>
        <v>1731178948.49</v>
      </c>
      <c r="S90" s="56">
        <f>VLOOKUP(N90,CurrentMtgRatesDataTable9[],2,0)</f>
        <v>12468205867</v>
      </c>
      <c r="T90" s="56">
        <f>VLOOKUP(N90,CurrentMtgRatesDataTable93[],2,0)</f>
        <v>4688992883.8400002</v>
      </c>
      <c r="U90" s="57">
        <f>CurrentMtgRatesDataTable8[[#This Row],[Top 10 Amount]]/CurrentMtgRatesDataTable8[[#This Row],[TotalBalance]]</f>
        <v>0.12691192444899888</v>
      </c>
      <c r="V90" s="57">
        <f>CurrentMtgRatesDataTable8[[#This Row],[Top 5 Amount]]/CurrentMtgRatesDataTable8[[#This Row],[TotalBalance]]</f>
        <v>0.10031928224909403</v>
      </c>
      <c r="W90" s="57">
        <f>CurrentMtgRatesDataTable8[[#This Row],[Top 1 Amount]]/CurrentMtgRatesDataTable8[[#This Row],[TotalBalance]]</f>
        <v>3.5057673341599191E-2</v>
      </c>
      <c r="X90" s="57">
        <f>CurrentMtgRatesDataTable8[[#This Row],[N/A Amount]]/CurrentMtgRatesDataTable8[[#This Row],[TotalBalance]]</f>
        <v>9.4955626029376627E-2</v>
      </c>
    </row>
    <row r="91" spans="2:24">
      <c r="B91" s="37">
        <v>39326</v>
      </c>
      <c r="C91" s="16">
        <v>503927921</v>
      </c>
      <c r="D91" s="16" t="s">
        <v>26</v>
      </c>
      <c r="E91" s="16">
        <v>8</v>
      </c>
      <c r="H91" s="54">
        <v>40118</v>
      </c>
      <c r="I91" s="55">
        <v>10790428166</v>
      </c>
      <c r="K91" s="54">
        <v>40118</v>
      </c>
      <c r="L91" s="55">
        <v>4231296613.1300001</v>
      </c>
      <c r="N91" s="54">
        <v>40118</v>
      </c>
      <c r="O91" s="55">
        <v>39630338873.360001</v>
      </c>
      <c r="P91" s="56">
        <f>VLOOKUP($N91,'Pivot equal'!C:D,2,0)</f>
        <v>5187264580.5900002</v>
      </c>
      <c r="Q91" s="56">
        <f>VLOOKUP(N91,'Pivot equal'!G:H,2,0)</f>
        <v>4209164136.5900002</v>
      </c>
      <c r="R91" s="56">
        <f>VLOOKUP(N91,'Pivot equal'!K:L,2,0)</f>
        <v>1807093775.6700001</v>
      </c>
      <c r="S91" s="56">
        <f>VLOOKUP(N91,CurrentMtgRatesDataTable9[],2,0)</f>
        <v>10790428166</v>
      </c>
      <c r="T91" s="56">
        <f>VLOOKUP(N91,CurrentMtgRatesDataTable93[],2,0)</f>
        <v>4231296613.1300001</v>
      </c>
      <c r="U91" s="57">
        <f>CurrentMtgRatesDataTable8[[#This Row],[Top 10 Amount]]/CurrentMtgRatesDataTable8[[#This Row],[TotalBalance]]</f>
        <v>0.13089124968540056</v>
      </c>
      <c r="V91" s="57">
        <f>CurrentMtgRatesDataTable8[[#This Row],[Top 5 Amount]]/CurrentMtgRatesDataTable8[[#This Row],[TotalBalance]]</f>
        <v>0.10621065214810595</v>
      </c>
      <c r="W91" s="57">
        <f>CurrentMtgRatesDataTable8[[#This Row],[Top 1 Amount]]/CurrentMtgRatesDataTable8[[#This Row],[TotalBalance]]</f>
        <v>4.5598746491788154E-2</v>
      </c>
      <c r="X91" s="57">
        <f>CurrentMtgRatesDataTable8[[#This Row],[N/A Amount]]/CurrentMtgRatesDataTable8[[#This Row],[TotalBalance]]</f>
        <v>0.10676912520610136</v>
      </c>
    </row>
    <row r="92" spans="2:24">
      <c r="B92" s="37">
        <v>39326</v>
      </c>
      <c r="C92" s="16">
        <v>434211236</v>
      </c>
      <c r="D92" s="16" t="s">
        <v>11</v>
      </c>
      <c r="E92" s="16">
        <v>9</v>
      </c>
      <c r="H92" s="54">
        <v>40087</v>
      </c>
      <c r="I92" s="55">
        <v>13765119592</v>
      </c>
      <c r="K92" s="54">
        <v>40087</v>
      </c>
      <c r="L92" s="55">
        <v>4378143399.8699999</v>
      </c>
      <c r="N92" s="54">
        <v>40087</v>
      </c>
      <c r="O92" s="55">
        <v>40018067422.019997</v>
      </c>
      <c r="P92" s="56">
        <f>VLOOKUP($N92,'Pivot equal'!C:D,2,0)</f>
        <v>4673266833.21</v>
      </c>
      <c r="Q92" s="56">
        <f>VLOOKUP(N92,'Pivot equal'!G:H,2,0)</f>
        <v>3647023090.8199997</v>
      </c>
      <c r="R92" s="56">
        <f>VLOOKUP(N92,'Pivot equal'!K:L,2,0)</f>
        <v>1418743217.1300001</v>
      </c>
      <c r="S92" s="56">
        <f>VLOOKUP(N92,CurrentMtgRatesDataTable9[],2,0)</f>
        <v>13765119592</v>
      </c>
      <c r="T92" s="56">
        <f>VLOOKUP(N92,CurrentMtgRatesDataTable93[],2,0)</f>
        <v>4378143399.8699999</v>
      </c>
      <c r="U92" s="57">
        <f>CurrentMtgRatesDataTable8[[#This Row],[Top 10 Amount]]/CurrentMtgRatesDataTable8[[#This Row],[TotalBalance]]</f>
        <v>0.11677892347791209</v>
      </c>
      <c r="V92" s="57">
        <f>CurrentMtgRatesDataTable8[[#This Row],[Top 5 Amount]]/CurrentMtgRatesDataTable8[[#This Row],[TotalBalance]]</f>
        <v>9.1134413172916498E-2</v>
      </c>
      <c r="W92" s="57">
        <f>CurrentMtgRatesDataTable8[[#This Row],[Top 1 Amount]]/CurrentMtgRatesDataTable8[[#This Row],[TotalBalance]]</f>
        <v>3.5452567016000747E-2</v>
      </c>
      <c r="X92" s="57">
        <f>CurrentMtgRatesDataTable8[[#This Row],[N/A Amount]]/CurrentMtgRatesDataTable8[[#This Row],[TotalBalance]]</f>
        <v>0.10940416871457717</v>
      </c>
    </row>
    <row r="93" spans="2:24">
      <c r="B93" s="37">
        <v>39326</v>
      </c>
      <c r="C93" s="16">
        <v>394930721</v>
      </c>
      <c r="D93" s="16" t="s">
        <v>140</v>
      </c>
      <c r="E93" s="16">
        <v>10</v>
      </c>
      <c r="H93" s="54">
        <v>40057</v>
      </c>
      <c r="I93" s="55">
        <v>15838054203</v>
      </c>
      <c r="K93" s="54">
        <v>40057</v>
      </c>
      <c r="L93" s="55">
        <v>7338103685.1400003</v>
      </c>
      <c r="N93" s="54">
        <v>40057</v>
      </c>
      <c r="O93" s="55">
        <v>58721966516.220001</v>
      </c>
      <c r="P93" s="56">
        <f>VLOOKUP($N93,'Pivot equal'!C:D,2,0)</f>
        <v>6144541151.1600008</v>
      </c>
      <c r="Q93" s="56">
        <f>VLOOKUP(N93,'Pivot equal'!G:H,2,0)</f>
        <v>4431818259.2700005</v>
      </c>
      <c r="R93" s="56">
        <f>VLOOKUP(N93,'Pivot equal'!K:L,2,0)</f>
        <v>1455262864.3900001</v>
      </c>
      <c r="S93" s="56">
        <f>VLOOKUP(N93,CurrentMtgRatesDataTable9[],2,0)</f>
        <v>15838054203</v>
      </c>
      <c r="T93" s="56">
        <f>VLOOKUP(N93,CurrentMtgRatesDataTable93[],2,0)</f>
        <v>7338103685.1400003</v>
      </c>
      <c r="U93" s="57">
        <f>CurrentMtgRatesDataTable8[[#This Row],[Top 10 Amount]]/CurrentMtgRatesDataTable8[[#This Row],[TotalBalance]]</f>
        <v>0.1046378640855424</v>
      </c>
      <c r="V93" s="57">
        <f>CurrentMtgRatesDataTable8[[#This Row],[Top 5 Amount]]/CurrentMtgRatesDataTable8[[#This Row],[TotalBalance]]</f>
        <v>7.5471216687640341E-2</v>
      </c>
      <c r="W93" s="57">
        <f>CurrentMtgRatesDataTable8[[#This Row],[Top 1 Amount]]/CurrentMtgRatesDataTable8[[#This Row],[TotalBalance]]</f>
        <v>2.4782256976833904E-2</v>
      </c>
      <c r="X93" s="57">
        <f>CurrentMtgRatesDataTable8[[#This Row],[N/A Amount]]/CurrentMtgRatesDataTable8[[#This Row],[TotalBalance]]</f>
        <v>0.12496352081657708</v>
      </c>
    </row>
    <row r="94" spans="2:24">
      <c r="B94" s="37">
        <v>39356</v>
      </c>
      <c r="C94" s="16">
        <v>1995857574.76</v>
      </c>
      <c r="D94" s="16" t="s">
        <v>16</v>
      </c>
      <c r="E94" s="16">
        <v>1</v>
      </c>
      <c r="H94" s="54">
        <v>40026</v>
      </c>
      <c r="I94" s="55">
        <v>10784987411</v>
      </c>
      <c r="K94" s="54">
        <v>40026</v>
      </c>
      <c r="L94" s="55">
        <v>9233029230.7800007</v>
      </c>
      <c r="N94" s="54">
        <v>40026</v>
      </c>
      <c r="O94" s="55">
        <v>62725888062.300003</v>
      </c>
      <c r="P94" s="56">
        <f>VLOOKUP($N94,'Pivot equal'!C:D,2,0)</f>
        <v>7191663293.3400002</v>
      </c>
      <c r="Q94" s="56">
        <f>VLOOKUP(N94,'Pivot equal'!G:H,2,0)</f>
        <v>5426106598.6499996</v>
      </c>
      <c r="R94" s="56">
        <f>VLOOKUP(N94,'Pivot equal'!K:L,2,0)</f>
        <v>1508806380.53</v>
      </c>
      <c r="S94" s="56">
        <f>VLOOKUP(N94,CurrentMtgRatesDataTable9[],2,0)</f>
        <v>10784987411</v>
      </c>
      <c r="T94" s="56">
        <f>VLOOKUP(N94,CurrentMtgRatesDataTable93[],2,0)</f>
        <v>9233029230.7800007</v>
      </c>
      <c r="U94" s="57">
        <f>CurrentMtgRatesDataTable8[[#This Row],[Top 10 Amount]]/CurrentMtgRatesDataTable8[[#This Row],[TotalBalance]]</f>
        <v>0.11465223555220398</v>
      </c>
      <c r="V94" s="57">
        <f>CurrentMtgRatesDataTable8[[#This Row],[Top 5 Amount]]/CurrentMtgRatesDataTable8[[#This Row],[TotalBalance]]</f>
        <v>8.6505058218717193E-2</v>
      </c>
      <c r="W94" s="57">
        <f>CurrentMtgRatesDataTable8[[#This Row],[Top 1 Amount]]/CurrentMtgRatesDataTable8[[#This Row],[TotalBalance]]</f>
        <v>2.4053966028052688E-2</v>
      </c>
      <c r="X94" s="57">
        <f>CurrentMtgRatesDataTable8[[#This Row],[N/A Amount]]/CurrentMtgRatesDataTable8[[#This Row],[TotalBalance]]</f>
        <v>0.14719646889031943</v>
      </c>
    </row>
    <row r="95" spans="2:24">
      <c r="B95" s="37">
        <v>39356</v>
      </c>
      <c r="C95" s="16">
        <v>1924748303.6900001</v>
      </c>
      <c r="D95" s="16" t="s">
        <v>17</v>
      </c>
      <c r="E95" s="16">
        <v>2</v>
      </c>
      <c r="H95" s="54">
        <v>39934</v>
      </c>
      <c r="I95" s="55">
        <v>15344958750</v>
      </c>
      <c r="K95" s="54">
        <v>39934</v>
      </c>
      <c r="L95" s="55">
        <v>45560165549.309998</v>
      </c>
      <c r="N95" s="54">
        <v>39904</v>
      </c>
      <c r="O95" s="55">
        <v>58732734355.699997</v>
      </c>
      <c r="P95" s="56">
        <f>VLOOKUP($N95,'Pivot equal'!C:D,2,0)</f>
        <v>9675994781.2399998</v>
      </c>
      <c r="Q95" s="56">
        <f>VLOOKUP(N95,'Pivot equal'!G:H,2,0)</f>
        <v>7894298749.4099998</v>
      </c>
      <c r="R95" s="56">
        <f>VLOOKUP(N95,'Pivot equal'!K:L,2,0)</f>
        <v>2635227445.8499999</v>
      </c>
      <c r="S95" s="56">
        <f>VLOOKUP(N95,CurrentMtgRatesDataTable9[],2,0)</f>
        <v>8532635208</v>
      </c>
      <c r="T95" s="56">
        <f>VLOOKUP(N95,CurrentMtgRatesDataTable93[],2,0)</f>
        <v>11053668227.02</v>
      </c>
      <c r="U95" s="57">
        <f>CurrentMtgRatesDataTable8[[#This Row],[Top 10 Amount]]/CurrentMtgRatesDataTable8[[#This Row],[TotalBalance]]</f>
        <v>0.16474619966848089</v>
      </c>
      <c r="V95" s="57">
        <f>CurrentMtgRatesDataTable8[[#This Row],[Top 5 Amount]]/CurrentMtgRatesDataTable8[[#This Row],[TotalBalance]]</f>
        <v>0.13441054355821697</v>
      </c>
      <c r="W95" s="57">
        <f>CurrentMtgRatesDataTable8[[#This Row],[Top 1 Amount]]/CurrentMtgRatesDataTable8[[#This Row],[TotalBalance]]</f>
        <v>4.4868121240370137E-2</v>
      </c>
      <c r="X95" s="57">
        <f>CurrentMtgRatesDataTable8[[#This Row],[N/A Amount]]/CurrentMtgRatesDataTable8[[#This Row],[TotalBalance]]</f>
        <v>0.18820285396685682</v>
      </c>
    </row>
    <row r="96" spans="2:24">
      <c r="B96" s="37">
        <v>39356</v>
      </c>
      <c r="C96" s="16">
        <v>1724424141.5899999</v>
      </c>
      <c r="D96" s="16" t="s">
        <v>8</v>
      </c>
      <c r="E96" s="16">
        <v>3</v>
      </c>
      <c r="H96" s="54">
        <v>39904</v>
      </c>
      <c r="I96" s="55">
        <v>8532635208</v>
      </c>
      <c r="K96" s="54">
        <v>39904</v>
      </c>
      <c r="L96" s="55">
        <v>11053668227.02</v>
      </c>
      <c r="N96" s="54">
        <v>39873</v>
      </c>
      <c r="O96" s="55">
        <v>91030919352.979996</v>
      </c>
      <c r="P96" s="56">
        <f>VLOOKUP($N96,'Pivot equal'!C:D,2,0)</f>
        <v>8099774292.1999989</v>
      </c>
      <c r="Q96" s="56">
        <f>VLOOKUP(N96,'Pivot equal'!G:H,2,0)</f>
        <v>6753243174.9599991</v>
      </c>
      <c r="R96" s="56">
        <f>VLOOKUP(N96,'Pivot equal'!K:L,2,0)</f>
        <v>2137733570.1199999</v>
      </c>
      <c r="S96" s="56">
        <f>VLOOKUP(N96,CurrentMtgRatesDataTable9[],2,0)</f>
        <v>22744846785</v>
      </c>
      <c r="T96" s="56">
        <f>VLOOKUP(N96,CurrentMtgRatesDataTable93[],2,0)</f>
        <v>10006189041.65</v>
      </c>
      <c r="U96" s="57">
        <f>CurrentMtgRatesDataTable8[[#This Row],[Top 10 Amount]]/CurrentMtgRatesDataTable8[[#This Row],[TotalBalance]]</f>
        <v>8.8978276279869775E-2</v>
      </c>
      <c r="V96" s="57">
        <f>CurrentMtgRatesDataTable8[[#This Row],[Top 5 Amount]]/CurrentMtgRatesDataTable8[[#This Row],[TotalBalance]]</f>
        <v>7.4186256965874803E-2</v>
      </c>
      <c r="W96" s="57">
        <f>CurrentMtgRatesDataTable8[[#This Row],[Top 1 Amount]]/CurrentMtgRatesDataTable8[[#This Row],[TotalBalance]]</f>
        <v>2.3483598598304376E-2</v>
      </c>
      <c r="X96" s="57">
        <f>CurrentMtgRatesDataTable8[[#This Row],[N/A Amount]]/CurrentMtgRatesDataTable8[[#This Row],[TotalBalance]]</f>
        <v>0.10992077321388094</v>
      </c>
    </row>
    <row r="97" spans="2:24">
      <c r="B97" s="37">
        <v>39356</v>
      </c>
      <c r="C97" s="16">
        <v>1249358722</v>
      </c>
      <c r="D97" s="16" t="s">
        <v>31</v>
      </c>
      <c r="E97" s="16">
        <v>4</v>
      </c>
      <c r="H97" s="54">
        <v>39873</v>
      </c>
      <c r="I97" s="55">
        <v>22744846785</v>
      </c>
      <c r="K97" s="54">
        <v>39873</v>
      </c>
      <c r="L97" s="55">
        <v>10006189041.65</v>
      </c>
      <c r="N97" s="54">
        <v>39845</v>
      </c>
      <c r="O97" s="55">
        <v>47498482306.410004</v>
      </c>
      <c r="P97" s="56">
        <f>VLOOKUP($N97,'Pivot equal'!C:D,2,0)</f>
        <v>5201422850.5599995</v>
      </c>
      <c r="Q97" s="56">
        <f>VLOOKUP(N97,'Pivot equal'!G:H,2,0)</f>
        <v>4164887653.8199997</v>
      </c>
      <c r="R97" s="56">
        <f>VLOOKUP(N97,'Pivot equal'!K:L,2,0)</f>
        <v>1405817023</v>
      </c>
      <c r="S97" s="56">
        <f>VLOOKUP(N97,CurrentMtgRatesDataTable9[],2,0)</f>
        <v>8316023418</v>
      </c>
      <c r="T97" s="56">
        <f>VLOOKUP(N97,CurrentMtgRatesDataTable93[],2,0)</f>
        <v>5585035666.4899998</v>
      </c>
      <c r="U97" s="57">
        <f>CurrentMtgRatesDataTable8[[#This Row],[Top 10 Amount]]/CurrentMtgRatesDataTable8[[#This Row],[TotalBalance]]</f>
        <v>0.10950713787034114</v>
      </c>
      <c r="V97" s="57">
        <f>CurrentMtgRatesDataTable8[[#This Row],[Top 5 Amount]]/CurrentMtgRatesDataTable8[[#This Row],[TotalBalance]]</f>
        <v>8.7684646994667048E-2</v>
      </c>
      <c r="W97" s="57">
        <f>CurrentMtgRatesDataTable8[[#This Row],[Top 1 Amount]]/CurrentMtgRatesDataTable8[[#This Row],[TotalBalance]]</f>
        <v>2.9597093522507823E-2</v>
      </c>
      <c r="X97" s="57">
        <f>CurrentMtgRatesDataTable8[[#This Row],[N/A Amount]]/CurrentMtgRatesDataTable8[[#This Row],[TotalBalance]]</f>
        <v>0.11758345520307897</v>
      </c>
    </row>
    <row r="98" spans="2:24">
      <c r="B98" s="37">
        <v>39356</v>
      </c>
      <c r="C98" s="16">
        <v>711885987.22000003</v>
      </c>
      <c r="D98" s="16" t="s">
        <v>14</v>
      </c>
      <c r="E98" s="16">
        <v>5</v>
      </c>
      <c r="H98" s="54">
        <v>39845</v>
      </c>
      <c r="I98" s="55">
        <v>8316023418</v>
      </c>
      <c r="K98" s="54">
        <v>39845</v>
      </c>
      <c r="L98" s="55">
        <v>5585035666.4899998</v>
      </c>
      <c r="N98" s="54">
        <v>39814</v>
      </c>
      <c r="O98" s="55">
        <v>26074589597.5</v>
      </c>
      <c r="P98" s="56">
        <f>VLOOKUP($N98,'Pivot equal'!C:D,2,0)</f>
        <v>3300283119.5700002</v>
      </c>
      <c r="Q98" s="56">
        <f>VLOOKUP(N98,'Pivot equal'!G:H,2,0)</f>
        <v>2608839545.5</v>
      </c>
      <c r="R98" s="56">
        <f>VLOOKUP(N98,'Pivot equal'!K:L,2,0)</f>
        <v>923120637.58000004</v>
      </c>
      <c r="S98" s="56">
        <f>VLOOKUP(N98,CurrentMtgRatesDataTable9[],2,0)</f>
        <v>4907185637</v>
      </c>
      <c r="T98" s="56">
        <f>VLOOKUP(N98,CurrentMtgRatesDataTable93[],2,0)</f>
        <v>2230789746.77</v>
      </c>
      <c r="U98" s="57">
        <f>CurrentMtgRatesDataTable8[[#This Row],[Top 10 Amount]]/CurrentMtgRatesDataTable8[[#This Row],[TotalBalance]]</f>
        <v>0.12657085578391719</v>
      </c>
      <c r="V98" s="57">
        <f>CurrentMtgRatesDataTable8[[#This Row],[Top 5 Amount]]/CurrentMtgRatesDataTable8[[#This Row],[TotalBalance]]</f>
        <v>0.10005294755435508</v>
      </c>
      <c r="W98" s="57">
        <f>CurrentMtgRatesDataTable8[[#This Row],[Top 1 Amount]]/CurrentMtgRatesDataTable8[[#This Row],[TotalBalance]]</f>
        <v>3.5403074480930954E-2</v>
      </c>
      <c r="X98" s="57">
        <f>CurrentMtgRatesDataTable8[[#This Row],[N/A Amount]]/CurrentMtgRatesDataTable8[[#This Row],[TotalBalance]]</f>
        <v>8.5554165231574164E-2</v>
      </c>
    </row>
    <row r="99" spans="2:24">
      <c r="B99" s="37">
        <v>39356</v>
      </c>
      <c r="C99" s="16">
        <v>644563923.89999998</v>
      </c>
      <c r="D99" s="16" t="s">
        <v>4</v>
      </c>
      <c r="E99" s="16">
        <v>6</v>
      </c>
      <c r="H99" s="54">
        <v>39814</v>
      </c>
      <c r="I99" s="55">
        <v>4907185637</v>
      </c>
      <c r="K99" s="54">
        <v>39814</v>
      </c>
      <c r="L99" s="55">
        <v>2230789746.77</v>
      </c>
      <c r="N99" s="54">
        <v>39783</v>
      </c>
      <c r="O99" s="55">
        <v>41233749209.5</v>
      </c>
      <c r="P99" s="56">
        <f>VLOOKUP($N99,'Pivot equal'!C:D,2,0)</f>
        <v>7917901194</v>
      </c>
      <c r="Q99" s="56">
        <f>VLOOKUP(N99,'Pivot equal'!G:H,2,0)</f>
        <v>6408212298.7800007</v>
      </c>
      <c r="R99" s="56">
        <f>VLOOKUP(N99,'Pivot equal'!K:L,2,0)</f>
        <v>2336672835.98</v>
      </c>
      <c r="S99" s="56">
        <f>VLOOKUP(N99,CurrentMtgRatesDataTable9[],2,0)</f>
        <v>5749174682</v>
      </c>
      <c r="T99" s="56">
        <f>VLOOKUP(N99,CurrentMtgRatesDataTable93[],2,0)</f>
        <v>1241364266.02</v>
      </c>
      <c r="U99" s="57">
        <f>CurrentMtgRatesDataTable8[[#This Row],[Top 10 Amount]]/CurrentMtgRatesDataTable8[[#This Row],[TotalBalance]]</f>
        <v>0.19202476965581788</v>
      </c>
      <c r="V99" s="57">
        <f>CurrentMtgRatesDataTable8[[#This Row],[Top 5 Amount]]/CurrentMtgRatesDataTable8[[#This Row],[TotalBalance]]</f>
        <v>0.1554118270017413</v>
      </c>
      <c r="W99" s="57">
        <f>CurrentMtgRatesDataTable8[[#This Row],[Top 1 Amount]]/CurrentMtgRatesDataTable8[[#This Row],[TotalBalance]]</f>
        <v>5.6668939419208697E-2</v>
      </c>
      <c r="X99" s="57">
        <f>CurrentMtgRatesDataTable8[[#This Row],[N/A Amount]]/CurrentMtgRatesDataTable8[[#This Row],[TotalBalance]]</f>
        <v>3.0105539511163282E-2</v>
      </c>
    </row>
    <row r="100" spans="2:24">
      <c r="B100" s="37">
        <v>39356</v>
      </c>
      <c r="C100" s="16">
        <v>348945351.5</v>
      </c>
      <c r="D100" s="16" t="s">
        <v>22</v>
      </c>
      <c r="E100" s="16">
        <v>7</v>
      </c>
      <c r="H100" s="54">
        <v>39783</v>
      </c>
      <c r="I100" s="55">
        <v>5749174682</v>
      </c>
      <c r="K100" s="54">
        <v>39783</v>
      </c>
      <c r="L100" s="55">
        <v>1241364266.02</v>
      </c>
      <c r="N100" s="54">
        <v>39753</v>
      </c>
      <c r="O100" s="55">
        <v>27385866902.009998</v>
      </c>
      <c r="P100" s="56">
        <f>VLOOKUP($N100,'Pivot equal'!C:D,2,0)</f>
        <v>3302187082.1700001</v>
      </c>
      <c r="Q100" s="56">
        <f>VLOOKUP(N100,'Pivot equal'!G:H,2,0)</f>
        <v>2559996551.1800003</v>
      </c>
      <c r="R100" s="56">
        <f>VLOOKUP(N100,'Pivot equal'!K:L,2,0)</f>
        <v>715357720.58000004</v>
      </c>
      <c r="S100" s="56">
        <f>VLOOKUP(N100,CurrentMtgRatesDataTable9[],2,0)</f>
        <v>6244262829</v>
      </c>
      <c r="T100" s="56">
        <f>VLOOKUP(N100,CurrentMtgRatesDataTable93[],2,0)</f>
        <v>1592400863.3099999</v>
      </c>
      <c r="U100" s="57">
        <f>CurrentMtgRatesDataTable8[[#This Row],[Top 10 Amount]]/CurrentMtgRatesDataTable8[[#This Row],[TotalBalance]]</f>
        <v>0.1205799726547139</v>
      </c>
      <c r="V100" s="57">
        <f>CurrentMtgRatesDataTable8[[#This Row],[Top 5 Amount]]/CurrentMtgRatesDataTable8[[#This Row],[TotalBalance]]</f>
        <v>9.3478748010423884E-2</v>
      </c>
      <c r="W100" s="57">
        <f>CurrentMtgRatesDataTable8[[#This Row],[Top 1 Amount]]/CurrentMtgRatesDataTable8[[#This Row],[TotalBalance]]</f>
        <v>2.6121419604485701E-2</v>
      </c>
      <c r="X100" s="57">
        <f>CurrentMtgRatesDataTable8[[#This Row],[N/A Amount]]/CurrentMtgRatesDataTable8[[#This Row],[TotalBalance]]</f>
        <v>5.8146812332353991E-2</v>
      </c>
    </row>
    <row r="101" spans="2:24">
      <c r="B101" s="37">
        <v>39356</v>
      </c>
      <c r="C101" s="16">
        <v>298472865.30000001</v>
      </c>
      <c r="D101" s="16" t="s">
        <v>11</v>
      </c>
      <c r="E101" s="16">
        <v>8</v>
      </c>
      <c r="H101" s="54">
        <v>39753</v>
      </c>
      <c r="I101" s="55">
        <v>6244262829</v>
      </c>
      <c r="K101" s="54">
        <v>39753</v>
      </c>
      <c r="L101" s="55">
        <v>1592400863.3099999</v>
      </c>
      <c r="N101" s="59">
        <v>39722</v>
      </c>
      <c r="O101" s="60">
        <v>32554558169.93</v>
      </c>
      <c r="P101" s="61">
        <f>VLOOKUP($N101,'Pivot equal'!C:D,2,0)</f>
        <v>4422769604.5500002</v>
      </c>
      <c r="Q101" s="61">
        <f>VLOOKUP(N101,'Pivot equal'!G:H,2,0)</f>
        <v>3771393714.1300001</v>
      </c>
      <c r="R101" s="61">
        <f>VLOOKUP(N101,'Pivot equal'!K:L,2,0)</f>
        <v>1065916156.21</v>
      </c>
      <c r="S101" s="61">
        <f>VLOOKUP(N101,CurrentMtgRatesDataTable9[],2,0)</f>
        <v>11004808168.200001</v>
      </c>
      <c r="T101" s="61">
        <f>VLOOKUP(N101,CurrentMtgRatesDataTable93[],2,0)</f>
        <v>1438213820.27</v>
      </c>
      <c r="U101" s="62">
        <f>CurrentMtgRatesDataTable8[[#This Row],[Top 10 Amount]]/CurrentMtgRatesDataTable8[[#This Row],[TotalBalance]]</f>
        <v>0.13585715344265445</v>
      </c>
      <c r="V101" s="62">
        <f>CurrentMtgRatesDataTable8[[#This Row],[Top 5 Amount]]/CurrentMtgRatesDataTable8[[#This Row],[TotalBalance]]</f>
        <v>0.11584840729350035</v>
      </c>
      <c r="W101" s="62">
        <f>CurrentMtgRatesDataTable8[[#This Row],[Top 1 Amount]]/CurrentMtgRatesDataTable8[[#This Row],[TotalBalance]]</f>
        <v>3.2742455008790923E-2</v>
      </c>
      <c r="X101" s="62">
        <f>CurrentMtgRatesDataTable8[[#This Row],[N/A Amount]]/CurrentMtgRatesDataTable8[[#This Row],[TotalBalance]]</f>
        <v>4.4178569795441103E-2</v>
      </c>
    </row>
    <row r="102" spans="2:24">
      <c r="B102" s="37">
        <v>39356</v>
      </c>
      <c r="C102" s="16">
        <v>283981671.22000003</v>
      </c>
      <c r="D102" s="16" t="s">
        <v>19</v>
      </c>
      <c r="E102" s="16">
        <v>9</v>
      </c>
      <c r="H102" s="54">
        <v>39722</v>
      </c>
      <c r="I102" s="55">
        <v>11004808168.200001</v>
      </c>
      <c r="K102" s="54">
        <v>39722</v>
      </c>
      <c r="L102" s="55">
        <v>1438213820.27</v>
      </c>
      <c r="N102" s="59">
        <v>39692</v>
      </c>
      <c r="O102" s="60">
        <v>41506327516.75</v>
      </c>
      <c r="P102" s="61">
        <f>VLOOKUP($N102,'Pivot equal'!C:D,2,0)</f>
        <v>4439787050.0500002</v>
      </c>
      <c r="Q102" s="61">
        <f>VLOOKUP(N102,'Pivot equal'!G:H,2,0)</f>
        <v>3783609627.0999999</v>
      </c>
      <c r="R102" s="61">
        <f>VLOOKUP(N102,'Pivot equal'!K:L,2,0)</f>
        <v>1097946836.3599999</v>
      </c>
      <c r="S102" s="61">
        <f>VLOOKUP(N102,CurrentMtgRatesDataTable9[],2,0)</f>
        <v>12108914961.860001</v>
      </c>
      <c r="T102" s="61">
        <f>VLOOKUP(N102,CurrentMtgRatesDataTable93[],2,0)</f>
        <v>1116625914.01</v>
      </c>
      <c r="U102" s="62">
        <f>CurrentMtgRatesDataTable8[[#This Row],[Top 10 Amount]]/CurrentMtgRatesDataTable8[[#This Row],[TotalBalance]]</f>
        <v>0.10696651126887367</v>
      </c>
      <c r="V102" s="62">
        <f>CurrentMtgRatesDataTable8[[#This Row],[Top 5 Amount]]/CurrentMtgRatesDataTable8[[#This Row],[TotalBalance]]</f>
        <v>9.1157417518403991E-2</v>
      </c>
      <c r="W102" s="62">
        <f>CurrentMtgRatesDataTable8[[#This Row],[Top 1 Amount]]/CurrentMtgRatesDataTable8[[#This Row],[TotalBalance]]</f>
        <v>2.6452517050970608E-2</v>
      </c>
      <c r="X102" s="62">
        <f>CurrentMtgRatesDataTable8[[#This Row],[N/A Amount]]/CurrentMtgRatesDataTable8[[#This Row],[TotalBalance]]</f>
        <v>2.6902546691450414E-2</v>
      </c>
    </row>
    <row r="103" spans="2:24">
      <c r="B103" s="37">
        <v>39356</v>
      </c>
      <c r="C103" s="16">
        <v>234230100</v>
      </c>
      <c r="D103" s="16" t="s">
        <v>151</v>
      </c>
      <c r="E103" s="16">
        <v>10</v>
      </c>
      <c r="H103" s="54">
        <v>39692</v>
      </c>
      <c r="I103" s="55">
        <v>12108914961.860001</v>
      </c>
      <c r="K103" s="59">
        <v>39692</v>
      </c>
      <c r="L103" s="60">
        <v>1116625914.01</v>
      </c>
      <c r="N103" s="59">
        <v>39661</v>
      </c>
      <c r="O103" s="60">
        <v>33987473164.599998</v>
      </c>
      <c r="P103" s="61">
        <f>VLOOKUP($N103,'Pivot equal'!C:D,2,0)</f>
        <v>5214013862.3999996</v>
      </c>
      <c r="Q103" s="61">
        <f>VLOOKUP(N103,'Pivot equal'!G:H,2,0)</f>
        <v>4521213770.9700003</v>
      </c>
      <c r="R103" s="61">
        <f>VLOOKUP(N103,'Pivot equal'!K:L,2,0)</f>
        <v>1212308338</v>
      </c>
      <c r="S103" s="61">
        <f>VLOOKUP(N103,CurrentMtgRatesDataTable9[],2,0)</f>
        <v>8102585690.9200001</v>
      </c>
      <c r="T103" s="61">
        <f>VLOOKUP(N103,CurrentMtgRatesDataTable93[],2,0)</f>
        <v>1129226752.3399999</v>
      </c>
      <c r="U103" s="62">
        <f>CurrentMtgRatesDataTable8[[#This Row],[Top 10 Amount]]/CurrentMtgRatesDataTable8[[#This Row],[TotalBalance]]</f>
        <v>0.15340987066466327</v>
      </c>
      <c r="V103" s="62">
        <f>CurrentMtgRatesDataTable8[[#This Row],[Top 5 Amount]]/CurrentMtgRatesDataTable8[[#This Row],[TotalBalance]]</f>
        <v>0.1330258871871392</v>
      </c>
      <c r="W103" s="62">
        <f>CurrentMtgRatesDataTable8[[#This Row],[Top 1 Amount]]/CurrentMtgRatesDataTable8[[#This Row],[TotalBalance]]</f>
        <v>3.5669269443151547E-2</v>
      </c>
      <c r="X103" s="62">
        <f>CurrentMtgRatesDataTable8[[#This Row],[N/A Amount]]/CurrentMtgRatesDataTable8[[#This Row],[TotalBalance]]</f>
        <v>3.3224792760297273E-2</v>
      </c>
    </row>
    <row r="104" spans="2:24">
      <c r="B104" s="37">
        <v>39387</v>
      </c>
      <c r="C104" s="16">
        <v>2316613344.4400001</v>
      </c>
      <c r="D104" s="16" t="s">
        <v>16</v>
      </c>
      <c r="E104" s="16">
        <v>1</v>
      </c>
      <c r="H104" s="59">
        <v>39661</v>
      </c>
      <c r="I104" s="60">
        <v>8102585690.9200001</v>
      </c>
      <c r="K104" s="59">
        <v>39661</v>
      </c>
      <c r="L104" s="60">
        <v>1129226752.3399999</v>
      </c>
      <c r="N104" s="59">
        <v>39630</v>
      </c>
      <c r="O104" s="60">
        <v>39254673980.809998</v>
      </c>
      <c r="P104" s="61">
        <f>VLOOKUP($N104,'Pivot equal'!C:D,2,0)</f>
        <v>6395815397.420001</v>
      </c>
      <c r="Q104" s="61">
        <f>VLOOKUP(N104,'Pivot equal'!G:H,2,0)</f>
        <v>5234712408.25</v>
      </c>
      <c r="R104" s="61">
        <f>VLOOKUP(N104,'Pivot equal'!K:L,2,0)</f>
        <v>1349863752</v>
      </c>
      <c r="S104" s="61">
        <f>VLOOKUP(N104,CurrentMtgRatesDataTable9[],2,0)</f>
        <v>8508893476.4399996</v>
      </c>
      <c r="T104" s="61">
        <f>VLOOKUP(N104,CurrentMtgRatesDataTable93[],2,0)</f>
        <v>1275868064.53</v>
      </c>
      <c r="U104" s="62">
        <f>CurrentMtgRatesDataTable8[[#This Row],[Top 10 Amount]]/CurrentMtgRatesDataTable8[[#This Row],[TotalBalance]]</f>
        <v>0.16293130852511101</v>
      </c>
      <c r="V104" s="62">
        <f>CurrentMtgRatesDataTable8[[#This Row],[Top 5 Amount]]/CurrentMtgRatesDataTable8[[#This Row],[TotalBalance]]</f>
        <v>0.13335258906516551</v>
      </c>
      <c r="W104" s="62">
        <f>CurrentMtgRatesDataTable8[[#This Row],[Top 1 Amount]]/CurrentMtgRatesDataTable8[[#This Row],[TotalBalance]]</f>
        <v>3.4387338248176337E-2</v>
      </c>
      <c r="X104" s="62">
        <f>CurrentMtgRatesDataTable8[[#This Row],[N/A Amount]]/CurrentMtgRatesDataTable8[[#This Row],[TotalBalance]]</f>
        <v>3.2502322275144088E-2</v>
      </c>
    </row>
    <row r="105" spans="2:24">
      <c r="B105" s="37">
        <v>39387</v>
      </c>
      <c r="C105" s="16">
        <v>1576791161</v>
      </c>
      <c r="D105" s="16" t="s">
        <v>31</v>
      </c>
      <c r="E105" s="16">
        <v>2</v>
      </c>
      <c r="H105" s="59">
        <v>39630</v>
      </c>
      <c r="I105" s="60">
        <v>8508893476.4399996</v>
      </c>
      <c r="K105" s="59">
        <v>39630</v>
      </c>
      <c r="L105" s="60">
        <v>1275868064.53</v>
      </c>
      <c r="N105" s="59">
        <v>39600</v>
      </c>
      <c r="O105" s="60">
        <v>54754255797.940002</v>
      </c>
      <c r="P105" s="61">
        <f>VLOOKUP($N105,'Pivot equal'!C:D,2,0)</f>
        <v>6138207195.4199991</v>
      </c>
      <c r="Q105" s="61">
        <f>VLOOKUP(N105,'Pivot equal'!G:H,2,0)</f>
        <v>5281965976.7699995</v>
      </c>
      <c r="R105" s="61">
        <f>VLOOKUP(N105,'Pivot equal'!K:L,2,0)</f>
        <v>1731032257</v>
      </c>
      <c r="S105" s="61">
        <f>VLOOKUP(N105,CurrentMtgRatesDataTable9[],2,0)</f>
        <v>12792640351.440001</v>
      </c>
      <c r="T105" s="61">
        <f>VLOOKUP(N105,CurrentMtgRatesDataTable93[],2,0)</f>
        <v>2141783350.53</v>
      </c>
      <c r="U105" s="62">
        <f>CurrentMtgRatesDataTable8[[#This Row],[Top 10 Amount]]/CurrentMtgRatesDataTable8[[#This Row],[TotalBalance]]</f>
        <v>0.1121046593724489</v>
      </c>
      <c r="V105" s="62">
        <f>CurrentMtgRatesDataTable8[[#This Row],[Top 5 Amount]]/CurrentMtgRatesDataTable8[[#This Row],[TotalBalance]]</f>
        <v>9.6466765912444755E-2</v>
      </c>
      <c r="W105" s="62">
        <f>CurrentMtgRatesDataTable8[[#This Row],[Top 1 Amount]]/CurrentMtgRatesDataTable8[[#This Row],[TotalBalance]]</f>
        <v>3.1614570078133106E-2</v>
      </c>
      <c r="X105" s="62">
        <f>CurrentMtgRatesDataTable8[[#This Row],[N/A Amount]]/CurrentMtgRatesDataTable8[[#This Row],[TotalBalance]]</f>
        <v>3.911629003659254E-2</v>
      </c>
    </row>
    <row r="106" spans="2:24">
      <c r="B106" s="37">
        <v>39387</v>
      </c>
      <c r="C106" s="16">
        <v>1466684614.3</v>
      </c>
      <c r="D106" s="16" t="s">
        <v>8</v>
      </c>
      <c r="E106" s="16">
        <v>3</v>
      </c>
      <c r="H106" s="59">
        <v>39600</v>
      </c>
      <c r="I106" s="60">
        <v>12792640351.440001</v>
      </c>
      <c r="K106" s="59">
        <v>39600</v>
      </c>
      <c r="L106" s="60">
        <v>2141783350.53</v>
      </c>
      <c r="N106" s="59">
        <v>39569</v>
      </c>
      <c r="O106" s="60">
        <v>67752280712.029999</v>
      </c>
      <c r="P106" s="61">
        <f>VLOOKUP($N106,'Pivot equal'!C:D,2,0)</f>
        <v>7445184705.0599995</v>
      </c>
      <c r="Q106" s="61">
        <f>VLOOKUP(N106,'Pivot equal'!G:H,2,0)</f>
        <v>6162502436.0100002</v>
      </c>
      <c r="R106" s="61">
        <f>VLOOKUP(N106,'Pivot equal'!K:L,2,0)</f>
        <v>2135218352.8499999</v>
      </c>
      <c r="S106" s="61">
        <f>VLOOKUP(N106,CurrentMtgRatesDataTable9[],2,0)</f>
        <v>22906093935.959999</v>
      </c>
      <c r="T106" s="61">
        <f>VLOOKUP(N106,CurrentMtgRatesDataTable93[],2,0)</f>
        <v>2171546574.1199999</v>
      </c>
      <c r="U106" s="62">
        <f>CurrentMtgRatesDataTable8[[#This Row],[Top 10 Amount]]/CurrentMtgRatesDataTable8[[#This Row],[TotalBalance]]</f>
        <v>0.10988832592521189</v>
      </c>
      <c r="V106" s="62">
        <f>CurrentMtgRatesDataTable8[[#This Row],[Top 5 Amount]]/CurrentMtgRatesDataTable8[[#This Row],[TotalBalance]]</f>
        <v>9.0956383626445134E-2</v>
      </c>
      <c r="W106" s="62">
        <f>CurrentMtgRatesDataTable8[[#This Row],[Top 1 Amount]]/CurrentMtgRatesDataTable8[[#This Row],[TotalBalance]]</f>
        <v>3.1515077137039813E-2</v>
      </c>
      <c r="X106" s="62">
        <f>CurrentMtgRatesDataTable8[[#This Row],[N/A Amount]]/CurrentMtgRatesDataTable8[[#This Row],[TotalBalance]]</f>
        <v>3.2051268994911092E-2</v>
      </c>
    </row>
    <row r="107" spans="2:24">
      <c r="B107" s="37">
        <v>39387</v>
      </c>
      <c r="C107" s="16">
        <v>1234448728</v>
      </c>
      <c r="D107" s="16" t="s">
        <v>17</v>
      </c>
      <c r="E107" s="16">
        <v>4</v>
      </c>
      <c r="H107" s="59">
        <v>39569</v>
      </c>
      <c r="I107" s="60">
        <v>22906093935.959999</v>
      </c>
      <c r="K107" s="59">
        <v>39569</v>
      </c>
      <c r="L107" s="60">
        <v>2171546574.1199999</v>
      </c>
      <c r="N107" s="59">
        <v>39539</v>
      </c>
      <c r="O107" s="60">
        <v>61021756747.739998</v>
      </c>
      <c r="P107" s="61">
        <f>VLOOKUP($N107,'Pivot equal'!C:D,2,0)</f>
        <v>10085614923.200001</v>
      </c>
      <c r="Q107" s="61">
        <f>VLOOKUP(N107,'Pivot equal'!G:H,2,0)</f>
        <v>8533686552.0299997</v>
      </c>
      <c r="R107" s="61">
        <f>VLOOKUP(N107,'Pivot equal'!K:L,2,0)</f>
        <v>3682275010.96</v>
      </c>
      <c r="S107" s="61">
        <f>VLOOKUP(N107,CurrentMtgRatesDataTable9[],2,0)</f>
        <v>12460921559.299999</v>
      </c>
      <c r="T107" s="61">
        <f>VLOOKUP(N107,CurrentMtgRatesDataTable93[],2,0)</f>
        <v>1976637598.26</v>
      </c>
      <c r="U107" s="62">
        <f>CurrentMtgRatesDataTable8[[#This Row],[Top 10 Amount]]/CurrentMtgRatesDataTable8[[#This Row],[TotalBalance]]</f>
        <v>0.16527899983104849</v>
      </c>
      <c r="V107" s="62">
        <f>CurrentMtgRatesDataTable8[[#This Row],[Top 5 Amount]]/CurrentMtgRatesDataTable8[[#This Row],[TotalBalance]]</f>
        <v>0.13984662203855763</v>
      </c>
      <c r="W107" s="62">
        <f>CurrentMtgRatesDataTable8[[#This Row],[Top 1 Amount]]/CurrentMtgRatesDataTable8[[#This Row],[TotalBalance]]</f>
        <v>6.0343641468440297E-2</v>
      </c>
      <c r="X107" s="62">
        <f>CurrentMtgRatesDataTable8[[#This Row],[N/A Amount]]/CurrentMtgRatesDataTable8[[#This Row],[TotalBalance]]</f>
        <v>3.2392341741836313E-2</v>
      </c>
    </row>
    <row r="108" spans="2:24">
      <c r="B108" s="37">
        <v>39387</v>
      </c>
      <c r="C108" s="16">
        <v>827165209.88999999</v>
      </c>
      <c r="D108" s="16" t="s">
        <v>4</v>
      </c>
      <c r="E108" s="16">
        <v>5</v>
      </c>
      <c r="H108" s="59">
        <v>39539</v>
      </c>
      <c r="I108" s="60">
        <v>12460921559.299999</v>
      </c>
      <c r="K108" s="59">
        <v>39539</v>
      </c>
      <c r="L108" s="60">
        <v>1976637598.26</v>
      </c>
      <c r="N108" s="59">
        <v>39508</v>
      </c>
      <c r="O108" s="60">
        <v>54036130386.260002</v>
      </c>
      <c r="P108" s="61">
        <f>VLOOKUP($N108,'Pivot equal'!C:D,2,0)</f>
        <v>7284626050.46</v>
      </c>
      <c r="Q108" s="61">
        <f>VLOOKUP(N108,'Pivot equal'!G:H,2,0)</f>
        <v>5954371435.4099998</v>
      </c>
      <c r="R108" s="61">
        <f>VLOOKUP(N108,'Pivot equal'!K:L,2,0)</f>
        <v>2845541368.1100001</v>
      </c>
      <c r="S108" s="61">
        <f>VLOOKUP(N108,CurrentMtgRatesDataTable9[],2,0)</f>
        <v>18304362684</v>
      </c>
      <c r="T108" s="61">
        <f>VLOOKUP(N108,CurrentMtgRatesDataTable93[],2,0)</f>
        <v>2632882569.0300002</v>
      </c>
      <c r="U108" s="62">
        <f>CurrentMtgRatesDataTable8[[#This Row],[Top 10 Amount]]/CurrentMtgRatesDataTable8[[#This Row],[TotalBalance]]</f>
        <v>0.13481028338610074</v>
      </c>
      <c r="V108" s="62">
        <f>CurrentMtgRatesDataTable8[[#This Row],[Top 5 Amount]]/CurrentMtgRatesDataTable8[[#This Row],[TotalBalance]]</f>
        <v>0.11019241001987151</v>
      </c>
      <c r="W108" s="62">
        <f>CurrentMtgRatesDataTable8[[#This Row],[Top 1 Amount]]/CurrentMtgRatesDataTable8[[#This Row],[TotalBalance]]</f>
        <v>5.2659976718716854E-2</v>
      </c>
      <c r="X108" s="62">
        <f>CurrentMtgRatesDataTable8[[#This Row],[N/A Amount]]/CurrentMtgRatesDataTable8[[#This Row],[TotalBalance]]</f>
        <v>4.8724483974142502E-2</v>
      </c>
    </row>
    <row r="109" spans="2:24">
      <c r="B109" s="37">
        <v>39387</v>
      </c>
      <c r="C109" s="16">
        <v>597913031</v>
      </c>
      <c r="D109" s="16" t="s">
        <v>18</v>
      </c>
      <c r="E109" s="16">
        <v>6</v>
      </c>
      <c r="H109" s="59">
        <v>39508</v>
      </c>
      <c r="I109" s="60">
        <v>18304362684</v>
      </c>
      <c r="K109" s="59">
        <v>39508</v>
      </c>
      <c r="L109" s="60">
        <v>2632882569.0300002</v>
      </c>
      <c r="N109" s="59">
        <v>39479</v>
      </c>
      <c r="O109" s="60">
        <v>76264291344.479996</v>
      </c>
      <c r="P109" s="61">
        <f>VLOOKUP($N109,'Pivot equal'!C:D,2,0)</f>
        <v>9584012565.3600006</v>
      </c>
      <c r="Q109" s="61">
        <f>VLOOKUP(N109,'Pivot equal'!G:H,2,0)</f>
        <v>7959506788.3299999</v>
      </c>
      <c r="R109" s="61">
        <f>VLOOKUP(N109,'Pivot equal'!K:L,2,0)</f>
        <v>2798703942.1700001</v>
      </c>
      <c r="S109" s="61">
        <f>VLOOKUP(N109,CurrentMtgRatesDataTable9[],2,0)</f>
        <v>27291717471</v>
      </c>
      <c r="T109" s="61">
        <f>VLOOKUP(N109,CurrentMtgRatesDataTable93[],2,0)</f>
        <v>1373760378.96</v>
      </c>
      <c r="U109" s="62">
        <f>CurrentMtgRatesDataTable8[[#This Row],[Top 10 Amount]]/CurrentMtgRatesDataTable8[[#This Row],[TotalBalance]]</f>
        <v>0.12566841435751033</v>
      </c>
      <c r="V109" s="62">
        <f>CurrentMtgRatesDataTable8[[#This Row],[Top 5 Amount]]/CurrentMtgRatesDataTable8[[#This Row],[TotalBalance]]</f>
        <v>0.10436741295316722</v>
      </c>
      <c r="W109" s="62">
        <f>CurrentMtgRatesDataTable8[[#This Row],[Top 1 Amount]]/CurrentMtgRatesDataTable8[[#This Row],[TotalBalance]]</f>
        <v>3.6697435888159866E-2</v>
      </c>
      <c r="X109" s="62">
        <f>CurrentMtgRatesDataTable8[[#This Row],[N/A Amount]]/CurrentMtgRatesDataTable8[[#This Row],[TotalBalance]]</f>
        <v>1.8013153400387987E-2</v>
      </c>
    </row>
    <row r="110" spans="2:24">
      <c r="B110" s="37">
        <v>39387</v>
      </c>
      <c r="C110" s="16">
        <v>549995689</v>
      </c>
      <c r="D110" s="16" t="s">
        <v>14</v>
      </c>
      <c r="E110" s="16">
        <v>7</v>
      </c>
      <c r="H110" s="59">
        <v>39479</v>
      </c>
      <c r="I110" s="60">
        <v>27291717471</v>
      </c>
      <c r="K110" s="59">
        <v>39479</v>
      </c>
      <c r="L110" s="60">
        <v>1373760378.96</v>
      </c>
      <c r="N110" s="59">
        <v>39448</v>
      </c>
      <c r="O110" s="60">
        <v>55380966103.379997</v>
      </c>
      <c r="P110" s="61">
        <f>VLOOKUP($N110,'Pivot equal'!C:D,2,0)</f>
        <v>9982528198.8299999</v>
      </c>
      <c r="Q110" s="61">
        <f>VLOOKUP(N110,'Pivot equal'!G:H,2,0)</f>
        <v>7780668060.5</v>
      </c>
      <c r="R110" s="61">
        <f>VLOOKUP(N110,'Pivot equal'!K:L,2,0)</f>
        <v>2858003053.02</v>
      </c>
      <c r="S110" s="61">
        <f>VLOOKUP(N110,CurrentMtgRatesDataTable9[],2,0)</f>
        <v>11369438069</v>
      </c>
      <c r="T110" s="61">
        <f>VLOOKUP(N110,CurrentMtgRatesDataTable93[],2,0)</f>
        <v>1595054076.3199999</v>
      </c>
      <c r="U110" s="62">
        <f>CurrentMtgRatesDataTable8[[#This Row],[Top 10 Amount]]/CurrentMtgRatesDataTable8[[#This Row],[TotalBalance]]</f>
        <v>0.18025196924509321</v>
      </c>
      <c r="V110" s="62">
        <f>CurrentMtgRatesDataTable8[[#This Row],[Top 5 Amount]]/CurrentMtgRatesDataTable8[[#This Row],[TotalBalance]]</f>
        <v>0.14049354151705801</v>
      </c>
      <c r="W110" s="62">
        <f>CurrentMtgRatesDataTable8[[#This Row],[Top 1 Amount]]/CurrentMtgRatesDataTable8[[#This Row],[TotalBalance]]</f>
        <v>5.1606233226140323E-2</v>
      </c>
      <c r="X110" s="62">
        <f>CurrentMtgRatesDataTable8[[#This Row],[N/A Amount]]/CurrentMtgRatesDataTable8[[#This Row],[TotalBalance]]</f>
        <v>2.8801485213213913E-2</v>
      </c>
    </row>
    <row r="111" spans="2:24">
      <c r="B111" s="37">
        <v>39387</v>
      </c>
      <c r="C111" s="16">
        <v>433568720.41000003</v>
      </c>
      <c r="D111" s="16" t="s">
        <v>22</v>
      </c>
      <c r="E111" s="16">
        <v>8</v>
      </c>
      <c r="H111" s="59">
        <v>39448</v>
      </c>
      <c r="I111" s="60">
        <v>11369438069</v>
      </c>
      <c r="K111" s="59">
        <v>39448</v>
      </c>
      <c r="L111" s="60">
        <v>1595054076.3199999</v>
      </c>
      <c r="N111" s="59">
        <v>39417</v>
      </c>
      <c r="O111" s="60">
        <v>70720993110.179993</v>
      </c>
      <c r="P111" s="61">
        <f>VLOOKUP($N111,'Pivot equal'!C:D,2,0)</f>
        <v>9869729214.1999969</v>
      </c>
      <c r="Q111" s="61">
        <f>VLOOKUP(N111,'Pivot equal'!G:H,2,0)</f>
        <v>8221797129.8999996</v>
      </c>
      <c r="R111" s="61">
        <f>VLOOKUP(N111,'Pivot equal'!K:L,2,0)</f>
        <v>2828027093.6300001</v>
      </c>
      <c r="S111" s="61">
        <f>VLOOKUP(N111,CurrentMtgRatesDataTable9[],2,0)</f>
        <v>17719338930</v>
      </c>
      <c r="T111" s="61">
        <f>VLOOKUP(N111,CurrentMtgRatesDataTable93[],2,0)</f>
        <v>1294464930.79</v>
      </c>
      <c r="U111" s="62">
        <f>CurrentMtgRatesDataTable8[[#This Row],[Top 10 Amount]]/CurrentMtgRatesDataTable8[[#This Row],[TotalBalance]]</f>
        <v>0.1395586908518581</v>
      </c>
      <c r="V111" s="62">
        <f>CurrentMtgRatesDataTable8[[#This Row],[Top 5 Amount]]/CurrentMtgRatesDataTable8[[#This Row],[TotalBalance]]</f>
        <v>0.1162568110022271</v>
      </c>
      <c r="W111" s="62">
        <f>CurrentMtgRatesDataTable8[[#This Row],[Top 1 Amount]]/CurrentMtgRatesDataTable8[[#This Row],[TotalBalance]]</f>
        <v>3.9988509341548226E-2</v>
      </c>
      <c r="X111" s="62">
        <f>CurrentMtgRatesDataTable8[[#This Row],[N/A Amount]]/CurrentMtgRatesDataTable8[[#This Row],[TotalBalance]]</f>
        <v>1.8303828521939507E-2</v>
      </c>
    </row>
    <row r="112" spans="2:24">
      <c r="B112" s="37">
        <v>39387</v>
      </c>
      <c r="C112" s="16">
        <v>341305328.14999998</v>
      </c>
      <c r="D112" s="16" t="s">
        <v>19</v>
      </c>
      <c r="E112" s="16">
        <v>9</v>
      </c>
      <c r="H112" s="59">
        <v>39417</v>
      </c>
      <c r="I112" s="60">
        <v>17719338930</v>
      </c>
      <c r="K112" s="59">
        <v>39417</v>
      </c>
      <c r="L112" s="60">
        <v>1294464930.79</v>
      </c>
      <c r="N112" s="59">
        <v>39387</v>
      </c>
      <c r="O112" s="60">
        <v>56318004683</v>
      </c>
      <c r="P112" s="61">
        <f>VLOOKUP($N112,'Pivot equal'!C:D,2,0)</f>
        <v>9612570976.6300011</v>
      </c>
      <c r="Q112" s="61">
        <f>VLOOKUP(N112,'Pivot equal'!G:H,2,0)</f>
        <v>7421703057.6300001</v>
      </c>
      <c r="R112" s="61">
        <f>VLOOKUP(N112,'Pivot equal'!K:L,2,0)</f>
        <v>2316613344.4400001</v>
      </c>
      <c r="S112" s="61">
        <f>VLOOKUP(N112,CurrentMtgRatesDataTable9[],2,0)</f>
        <v>10286727579.799999</v>
      </c>
      <c r="T112" s="61">
        <f>VLOOKUP(N112,CurrentMtgRatesDataTable93[],2,0)</f>
        <v>1298540593.1300001</v>
      </c>
      <c r="U112" s="62">
        <f>CurrentMtgRatesDataTable8[[#This Row],[Top 10 Amount]]/CurrentMtgRatesDataTable8[[#This Row],[TotalBalance]]</f>
        <v>0.17068379873784176</v>
      </c>
      <c r="V112" s="62">
        <f>CurrentMtgRatesDataTable8[[#This Row],[Top 5 Amount]]/CurrentMtgRatesDataTable8[[#This Row],[TotalBalance]]</f>
        <v>0.13178206684354168</v>
      </c>
      <c r="W112" s="62">
        <f>CurrentMtgRatesDataTable8[[#This Row],[Top 1 Amount]]/CurrentMtgRatesDataTable8[[#This Row],[TotalBalance]]</f>
        <v>4.113450676172991E-2</v>
      </c>
      <c r="X112" s="62">
        <f>CurrentMtgRatesDataTable8[[#This Row],[N/A Amount]]/CurrentMtgRatesDataTable8[[#This Row],[TotalBalance]]</f>
        <v>2.3057290478225592E-2</v>
      </c>
    </row>
    <row r="113" spans="2:24">
      <c r="B113" s="37">
        <v>39387</v>
      </c>
      <c r="C113" s="16">
        <v>268085150.44</v>
      </c>
      <c r="D113" s="16" t="s">
        <v>11</v>
      </c>
      <c r="E113" s="16">
        <v>10</v>
      </c>
      <c r="H113" s="59">
        <v>39387</v>
      </c>
      <c r="I113" s="60">
        <v>10286727579.799999</v>
      </c>
      <c r="K113" s="59">
        <v>39387</v>
      </c>
      <c r="L113" s="60">
        <v>1298540593.1300001</v>
      </c>
      <c r="N113" s="59">
        <v>39356</v>
      </c>
      <c r="O113" s="60">
        <v>53589853815.260002</v>
      </c>
      <c r="P113" s="61">
        <f>VLOOKUP($N113,'Pivot equal'!C:D,2,0)</f>
        <v>9416468641.1799984</v>
      </c>
      <c r="Q113" s="61">
        <f>VLOOKUP(N113,'Pivot equal'!G:H,2,0)</f>
        <v>7606274729.2600002</v>
      </c>
      <c r="R113" s="61">
        <f>VLOOKUP(N113,'Pivot equal'!K:L,2,0)</f>
        <v>1995857574.76</v>
      </c>
      <c r="S113" s="61">
        <f>VLOOKUP(N113,CurrentMtgRatesDataTable9[],2,0)</f>
        <v>11684087724</v>
      </c>
      <c r="T113" s="61">
        <f>VLOOKUP(N113,CurrentMtgRatesDataTable93[],2,0)</f>
        <v>843311085.42999995</v>
      </c>
      <c r="U113" s="62">
        <f>CurrentMtgRatesDataTable8[[#This Row],[Top 10 Amount]]/CurrentMtgRatesDataTable8[[#This Row],[TotalBalance]]</f>
        <v>0.17571364672203318</v>
      </c>
      <c r="V113" s="62">
        <f>CurrentMtgRatesDataTable8[[#This Row],[Top 5 Amount]]/CurrentMtgRatesDataTable8[[#This Row],[TotalBalance]]</f>
        <v>0.14193497813002193</v>
      </c>
      <c r="W113" s="62">
        <f>CurrentMtgRatesDataTable8[[#This Row],[Top 1 Amount]]/CurrentMtgRatesDataTable8[[#This Row],[TotalBalance]]</f>
        <v>3.7243198715195387E-2</v>
      </c>
      <c r="X113" s="62">
        <f>CurrentMtgRatesDataTable8[[#This Row],[N/A Amount]]/CurrentMtgRatesDataTable8[[#This Row],[TotalBalance]]</f>
        <v>1.5736394585757624E-2</v>
      </c>
    </row>
    <row r="114" spans="2:24">
      <c r="B114" s="37">
        <v>39417</v>
      </c>
      <c r="C114" s="16">
        <v>2828027093.6300001</v>
      </c>
      <c r="D114" s="16" t="s">
        <v>16</v>
      </c>
      <c r="E114" s="16">
        <v>1</v>
      </c>
      <c r="H114" s="59">
        <v>39356</v>
      </c>
      <c r="I114" s="60">
        <v>11684087724</v>
      </c>
      <c r="K114" s="59">
        <v>39356</v>
      </c>
      <c r="L114" s="60">
        <v>843311085.42999995</v>
      </c>
      <c r="N114" s="59">
        <v>39326</v>
      </c>
      <c r="O114" s="60">
        <v>59519283040.339996</v>
      </c>
      <c r="P114" s="61">
        <f>VLOOKUP($N114,'Pivot equal'!C:D,2,0)</f>
        <v>11042488079.07</v>
      </c>
      <c r="Q114" s="61">
        <f>VLOOKUP(N114,'Pivot equal'!G:H,2,0)</f>
        <v>7954955059.3899994</v>
      </c>
      <c r="R114" s="61">
        <f>VLOOKUP(N114,'Pivot equal'!K:L,2,0)</f>
        <v>1933443256.51</v>
      </c>
      <c r="S114" s="61">
        <f>VLOOKUP(N114,CurrentMtgRatesDataTable9[],2,0)</f>
        <v>9103829164</v>
      </c>
      <c r="T114" s="61">
        <f>VLOOKUP(N114,CurrentMtgRatesDataTable93[],2,0)</f>
        <v>1303633281.51</v>
      </c>
      <c r="U114" s="62">
        <f>CurrentMtgRatesDataTable8[[#This Row],[Top 10 Amount]]/CurrentMtgRatesDataTable8[[#This Row],[TotalBalance]]</f>
        <v>0.1855279081837361</v>
      </c>
      <c r="V114" s="62">
        <f>CurrentMtgRatesDataTable8[[#This Row],[Top 5 Amount]]/CurrentMtgRatesDataTable8[[#This Row],[TotalBalance]]</f>
        <v>0.13365340866082714</v>
      </c>
      <c r="W114" s="62">
        <f>CurrentMtgRatesDataTable8[[#This Row],[Top 1 Amount]]/CurrentMtgRatesDataTable8[[#This Row],[TotalBalance]]</f>
        <v>3.2484316976728073E-2</v>
      </c>
      <c r="X114" s="62">
        <f>CurrentMtgRatesDataTable8[[#This Row],[N/A Amount]]/CurrentMtgRatesDataTable8[[#This Row],[TotalBalance]]</f>
        <v>2.1902704718846241E-2</v>
      </c>
    </row>
    <row r="115" spans="2:24">
      <c r="B115" s="37">
        <v>39417</v>
      </c>
      <c r="C115" s="16">
        <v>1736453448</v>
      </c>
      <c r="D115" s="16" t="s">
        <v>17</v>
      </c>
      <c r="E115" s="16">
        <v>2</v>
      </c>
      <c r="H115" s="59">
        <v>39326</v>
      </c>
      <c r="I115" s="60">
        <v>9103829164</v>
      </c>
      <c r="K115" s="59">
        <v>39326</v>
      </c>
      <c r="L115" s="60">
        <v>1303633281.51</v>
      </c>
      <c r="N115" s="59">
        <v>39295</v>
      </c>
      <c r="O115" s="60">
        <v>55852222730.150002</v>
      </c>
      <c r="P115" s="61">
        <f>VLOOKUP($N115,'Pivot equal'!C:D,2,0)</f>
        <v>9612397022.6000004</v>
      </c>
      <c r="Q115" s="61">
        <f>VLOOKUP(N115,'Pivot equal'!G:H,2,0)</f>
        <v>7239390881.3999996</v>
      </c>
      <c r="R115" s="61">
        <f>VLOOKUP(N115,'Pivot equal'!K:L,2,0)</f>
        <v>2776259321.4400001</v>
      </c>
      <c r="S115" s="61">
        <f>VLOOKUP(N115,CurrentMtgRatesDataTable9[],2,0)</f>
        <v>10763644956</v>
      </c>
      <c r="T115" s="61">
        <f>VLOOKUP(N115,CurrentMtgRatesDataTable93[],2,0)</f>
        <v>1093178368.6700001</v>
      </c>
      <c r="U115" s="62">
        <f>CurrentMtgRatesDataTable8[[#This Row],[Top 10 Amount]]/CurrentMtgRatesDataTable8[[#This Row],[TotalBalance]]</f>
        <v>0.17210410889182143</v>
      </c>
      <c r="V115" s="62">
        <f>CurrentMtgRatesDataTable8[[#This Row],[Top 5 Amount]]/CurrentMtgRatesDataTable8[[#This Row],[TotalBalance]]</f>
        <v>0.12961688053807841</v>
      </c>
      <c r="W115" s="62">
        <f>CurrentMtgRatesDataTable8[[#This Row],[Top 1 Amount]]/CurrentMtgRatesDataTable8[[#This Row],[TotalBalance]]</f>
        <v>4.9707230719420001E-2</v>
      </c>
      <c r="X115" s="62">
        <f>CurrentMtgRatesDataTable8[[#This Row],[N/A Amount]]/CurrentMtgRatesDataTable8[[#This Row],[TotalBalance]]</f>
        <v>1.9572692280335754E-2</v>
      </c>
    </row>
    <row r="116" spans="2:24">
      <c r="B116" s="37">
        <v>39417</v>
      </c>
      <c r="C116" s="16">
        <v>1592827444.7</v>
      </c>
      <c r="D116" s="16" t="s">
        <v>8</v>
      </c>
      <c r="E116" s="16">
        <v>3</v>
      </c>
      <c r="H116" s="59">
        <v>39295</v>
      </c>
      <c r="I116" s="60">
        <v>10763644956</v>
      </c>
      <c r="K116" s="59">
        <v>39295</v>
      </c>
      <c r="L116" s="60">
        <v>1093178368.6700001</v>
      </c>
      <c r="N116" s="59">
        <v>39203</v>
      </c>
      <c r="O116" s="60">
        <v>58241869995.239998</v>
      </c>
      <c r="P116" s="61">
        <f>VLOOKUP($N116,'Pivot equal'!C:D,2,0)</f>
        <v>9198286813.7699986</v>
      </c>
      <c r="Q116" s="61">
        <f>VLOOKUP(N116,'Pivot equal'!G:H,2,0)</f>
        <v>7610201505.5699997</v>
      </c>
      <c r="R116" s="61">
        <f>VLOOKUP(N116,'Pivot equal'!K:L,2,0)</f>
        <v>2391529898.25</v>
      </c>
      <c r="S116" s="61">
        <f>VLOOKUP(N116,CurrentMtgRatesDataTable9[],2,0)</f>
        <v>13735083658</v>
      </c>
      <c r="T116" s="61">
        <f>VLOOKUP(N116,CurrentMtgRatesDataTable93[],2,0)</f>
        <v>1198412583.6700001</v>
      </c>
      <c r="U116" s="62">
        <f>CurrentMtgRatesDataTable8[[#This Row],[Top 10 Amount]]/CurrentMtgRatesDataTable8[[#This Row],[TotalBalance]]</f>
        <v>0.15793254602782772</v>
      </c>
      <c r="V116" s="62">
        <f>CurrentMtgRatesDataTable8[[#This Row],[Top 5 Amount]]/CurrentMtgRatesDataTable8[[#This Row],[TotalBalance]]</f>
        <v>0.13066547324445399</v>
      </c>
      <c r="W116" s="62">
        <f>CurrentMtgRatesDataTable8[[#This Row],[Top 1 Amount]]/CurrentMtgRatesDataTable8[[#This Row],[TotalBalance]]</f>
        <v>4.106203833162389E-2</v>
      </c>
      <c r="X116" s="62">
        <f>CurrentMtgRatesDataTable8[[#This Row],[N/A Amount]]/CurrentMtgRatesDataTable8[[#This Row],[TotalBalance]]</f>
        <v>2.0576478464169233E-2</v>
      </c>
    </row>
    <row r="117" spans="2:24">
      <c r="B117" s="37">
        <v>39417</v>
      </c>
      <c r="C117" s="16">
        <v>1292445874</v>
      </c>
      <c r="D117" s="16" t="s">
        <v>31</v>
      </c>
      <c r="E117" s="16">
        <v>4</v>
      </c>
      <c r="H117" s="59">
        <v>39264</v>
      </c>
      <c r="I117" s="60">
        <v>49227506796</v>
      </c>
      <c r="K117" s="59">
        <v>39264</v>
      </c>
      <c r="L117" s="60">
        <v>1344853100.0699999</v>
      </c>
      <c r="N117" s="59">
        <v>39173</v>
      </c>
      <c r="O117" s="60">
        <v>51130390876.290001</v>
      </c>
      <c r="P117" s="61">
        <f>VLOOKUP($N117,'Pivot equal'!C:D,2,0)</f>
        <v>6859596823.1999998</v>
      </c>
      <c r="Q117" s="61">
        <f>VLOOKUP(N117,'Pivot equal'!G:H,2,0)</f>
        <v>5109808044.1499996</v>
      </c>
      <c r="R117" s="61">
        <f>VLOOKUP(N117,'Pivot equal'!K:L,2,0)</f>
        <v>1447162932</v>
      </c>
      <c r="S117" s="61">
        <f>VLOOKUP(N117,CurrentMtgRatesDataTable9[],2,0)</f>
        <v>11172945973</v>
      </c>
      <c r="T117" s="61">
        <f>VLOOKUP(N117,CurrentMtgRatesDataTable93[],2,0)</f>
        <v>1297352386.8</v>
      </c>
      <c r="U117" s="62">
        <f>CurrentMtgRatesDataTable8[[#This Row],[Top 10 Amount]]/CurrentMtgRatesDataTable8[[#This Row],[TotalBalance]]</f>
        <v>0.13415889660997893</v>
      </c>
      <c r="V117" s="62">
        <f>CurrentMtgRatesDataTable8[[#This Row],[Top 5 Amount]]/CurrentMtgRatesDataTable8[[#This Row],[TotalBalance]]</f>
        <v>9.993680776885086E-2</v>
      </c>
      <c r="W117" s="62">
        <f>CurrentMtgRatesDataTable8[[#This Row],[Top 1 Amount]]/CurrentMtgRatesDataTable8[[#This Row],[TotalBalance]]</f>
        <v>2.8303380967718617E-2</v>
      </c>
      <c r="X117" s="62">
        <f>CurrentMtgRatesDataTable8[[#This Row],[N/A Amount]]/CurrentMtgRatesDataTable8[[#This Row],[TotalBalance]]</f>
        <v>2.5373410305799236E-2</v>
      </c>
    </row>
    <row r="118" spans="2:24">
      <c r="B118" s="37">
        <v>39417</v>
      </c>
      <c r="C118" s="16">
        <v>772043269.57000005</v>
      </c>
      <c r="D118" s="16" t="s">
        <v>4</v>
      </c>
      <c r="E118" s="16">
        <v>5</v>
      </c>
      <c r="H118" s="59">
        <v>39234</v>
      </c>
      <c r="I118" s="60">
        <v>48262039856</v>
      </c>
      <c r="K118" s="59">
        <v>39203</v>
      </c>
      <c r="L118" s="60">
        <v>1198412583.6700001</v>
      </c>
      <c r="N118" s="59">
        <v>39142</v>
      </c>
      <c r="O118" s="60">
        <v>47629783273.940002</v>
      </c>
      <c r="P118" s="61">
        <f>VLOOKUP($N118,'Pivot equal'!C:D,2,0)</f>
        <v>6809494426.5699997</v>
      </c>
      <c r="Q118" s="61">
        <f>VLOOKUP(N118,'Pivot equal'!G:H,2,0)</f>
        <v>5575179869.1799994</v>
      </c>
      <c r="R118" s="61">
        <f>VLOOKUP(N118,'Pivot equal'!K:L,2,0)</f>
        <v>1782572404.98</v>
      </c>
      <c r="S118" s="61">
        <f>VLOOKUP(N118,CurrentMtgRatesDataTable9[],2,0)</f>
        <v>14264823452.200001</v>
      </c>
      <c r="T118" s="61">
        <f>VLOOKUP(N118,CurrentMtgRatesDataTable93[],2,0)</f>
        <v>764154396.39999998</v>
      </c>
      <c r="U118" s="62">
        <f>CurrentMtgRatesDataTable8[[#This Row],[Top 10 Amount]]/CurrentMtgRatesDataTable8[[#This Row],[TotalBalance]]</f>
        <v>0.14296715119205095</v>
      </c>
      <c r="V118" s="62">
        <f>CurrentMtgRatesDataTable8[[#This Row],[Top 5 Amount]]/CurrentMtgRatesDataTable8[[#This Row],[TotalBalance]]</f>
        <v>0.11705238793791414</v>
      </c>
      <c r="W118" s="62">
        <f>CurrentMtgRatesDataTable8[[#This Row],[Top 1 Amount]]/CurrentMtgRatesDataTable8[[#This Row],[TotalBalance]]</f>
        <v>3.7425582953582545E-2</v>
      </c>
      <c r="X118" s="62">
        <f>CurrentMtgRatesDataTable8[[#This Row],[N/A Amount]]/CurrentMtgRatesDataTable8[[#This Row],[TotalBalance]]</f>
        <v>1.6043625309084639E-2</v>
      </c>
    </row>
    <row r="119" spans="2:24">
      <c r="B119" s="37">
        <v>39417</v>
      </c>
      <c r="C119" s="16">
        <v>455524720.55000001</v>
      </c>
      <c r="D119" s="16" t="s">
        <v>14</v>
      </c>
      <c r="E119" s="16">
        <v>6</v>
      </c>
      <c r="H119" s="59">
        <v>39203</v>
      </c>
      <c r="I119" s="60">
        <v>13735083658</v>
      </c>
      <c r="K119" s="59">
        <v>39173</v>
      </c>
      <c r="L119" s="60">
        <v>1297352386.8</v>
      </c>
      <c r="N119" s="59">
        <v>39114</v>
      </c>
      <c r="O119" s="60">
        <v>46067240921.730003</v>
      </c>
      <c r="P119" s="61">
        <f>VLOOKUP($N119,'Pivot equal'!C:D,2,0)</f>
        <v>6799728108.1700001</v>
      </c>
      <c r="Q119" s="61">
        <f>VLOOKUP(N119,'Pivot equal'!G:H,2,0)</f>
        <v>5488484085.8400002</v>
      </c>
      <c r="R119" s="61">
        <f>VLOOKUP(N119,'Pivot equal'!K:L,2,0)</f>
        <v>1685524401.6800001</v>
      </c>
      <c r="S119" s="61">
        <f>VLOOKUP(N119,CurrentMtgRatesDataTable9[],2,0)</f>
        <v>10090446420</v>
      </c>
      <c r="T119" s="61">
        <f>VLOOKUP(N119,CurrentMtgRatesDataTable93[],2,0)</f>
        <v>767266555.07000005</v>
      </c>
      <c r="U119" s="62">
        <f>CurrentMtgRatesDataTable8[[#This Row],[Top 10 Amount]]/CurrentMtgRatesDataTable8[[#This Row],[TotalBalance]]</f>
        <v>0.14760441415892472</v>
      </c>
      <c r="V119" s="62">
        <f>CurrentMtgRatesDataTable8[[#This Row],[Top 5 Amount]]/CurrentMtgRatesDataTable8[[#This Row],[TotalBalance]]</f>
        <v>0.11914071639682401</v>
      </c>
      <c r="W119" s="62">
        <f>CurrentMtgRatesDataTable8[[#This Row],[Top 1 Amount]]/CurrentMtgRatesDataTable8[[#This Row],[TotalBalance]]</f>
        <v>3.6588351460938806E-2</v>
      </c>
      <c r="X119" s="62">
        <f>CurrentMtgRatesDataTable8[[#This Row],[N/A Amount]]/CurrentMtgRatesDataTable8[[#This Row],[TotalBalance]]</f>
        <v>1.665536159140972E-2</v>
      </c>
    </row>
    <row r="120" spans="2:24">
      <c r="B120" s="37">
        <v>39417</v>
      </c>
      <c r="C120" s="16">
        <v>370054094.82999998</v>
      </c>
      <c r="D120" s="16" t="s">
        <v>22</v>
      </c>
      <c r="E120" s="16">
        <v>7</v>
      </c>
      <c r="H120" s="59">
        <v>39173</v>
      </c>
      <c r="I120" s="60">
        <v>11172945973</v>
      </c>
      <c r="K120" s="59">
        <v>39142</v>
      </c>
      <c r="L120" s="60">
        <v>764154396.39999998</v>
      </c>
      <c r="N120" s="59">
        <v>39083</v>
      </c>
      <c r="O120" s="60">
        <v>49068464062.099998</v>
      </c>
      <c r="P120" s="61">
        <f>VLOOKUP($N120,'Pivot equal'!C:D,2,0)</f>
        <v>6674311435.8299999</v>
      </c>
      <c r="Q120" s="61">
        <f>VLOOKUP(N120,'Pivot equal'!G:H,2,0)</f>
        <v>5323047293.8299999</v>
      </c>
      <c r="R120" s="61">
        <f>VLOOKUP(N120,'Pivot equal'!K:L,2,0)</f>
        <v>2473400845.6300001</v>
      </c>
      <c r="S120" s="61">
        <f>VLOOKUP(N120,CurrentMtgRatesDataTable9[],2,0)</f>
        <v>12755199686.66</v>
      </c>
      <c r="T120" s="61">
        <f>VLOOKUP(N120,CurrentMtgRatesDataTable93[],2,0)</f>
        <v>804992277.03999996</v>
      </c>
      <c r="U120" s="62">
        <f>CurrentMtgRatesDataTable8[[#This Row],[Top 10 Amount]]/CurrentMtgRatesDataTable8[[#This Row],[TotalBalance]]</f>
        <v>0.13602038627871324</v>
      </c>
      <c r="V120" s="62">
        <f>CurrentMtgRatesDataTable8[[#This Row],[Top 5 Amount]]/CurrentMtgRatesDataTable8[[#This Row],[TotalBalance]]</f>
        <v>0.10848204433489635</v>
      </c>
      <c r="W120" s="62">
        <f>CurrentMtgRatesDataTable8[[#This Row],[Top 1 Amount]]/CurrentMtgRatesDataTable8[[#This Row],[TotalBalance]]</f>
        <v>5.0407138126429163E-2</v>
      </c>
      <c r="X120" s="62">
        <f>CurrentMtgRatesDataTable8[[#This Row],[N/A Amount]]/CurrentMtgRatesDataTable8[[#This Row],[TotalBalance]]</f>
        <v>1.6405491641662533E-2</v>
      </c>
    </row>
    <row r="121" spans="2:24">
      <c r="B121" s="37">
        <v>39417</v>
      </c>
      <c r="C121" s="16">
        <v>360105236.70999998</v>
      </c>
      <c r="D121" s="16" t="s">
        <v>10</v>
      </c>
      <c r="E121" s="16">
        <v>8</v>
      </c>
      <c r="H121" s="59">
        <v>39142</v>
      </c>
      <c r="I121" s="60">
        <v>14264823452.200001</v>
      </c>
      <c r="K121" s="59">
        <v>39114</v>
      </c>
      <c r="L121" s="60">
        <v>767266555.07000005</v>
      </c>
    </row>
    <row r="122" spans="2:24">
      <c r="B122" s="37">
        <v>39417</v>
      </c>
      <c r="C122" s="16">
        <v>288824221.13999999</v>
      </c>
      <c r="D122" s="16" t="s">
        <v>19</v>
      </c>
      <c r="E122" s="16">
        <v>9</v>
      </c>
      <c r="H122" s="59">
        <v>39114</v>
      </c>
      <c r="I122" s="60">
        <v>10090446420</v>
      </c>
      <c r="K122" s="59">
        <v>39083</v>
      </c>
      <c r="L122" s="60">
        <v>804992277.03999996</v>
      </c>
    </row>
    <row r="123" spans="2:24">
      <c r="B123" s="37">
        <v>39417</v>
      </c>
      <c r="C123" s="16">
        <v>173423811.06999999</v>
      </c>
      <c r="D123" s="16" t="s">
        <v>11</v>
      </c>
      <c r="E123" s="16">
        <v>10</v>
      </c>
      <c r="H123" s="59">
        <v>39083</v>
      </c>
      <c r="I123" s="60">
        <v>12755199686.66</v>
      </c>
    </row>
    <row r="124" spans="2:24">
      <c r="B124" s="37">
        <v>39448</v>
      </c>
      <c r="C124" s="16">
        <v>2858003053.02</v>
      </c>
      <c r="D124" s="16" t="s">
        <v>16</v>
      </c>
      <c r="E124" s="16">
        <v>1</v>
      </c>
    </row>
    <row r="125" spans="2:24">
      <c r="B125" s="37">
        <v>39448</v>
      </c>
      <c r="C125" s="16">
        <v>1575464486</v>
      </c>
      <c r="D125" s="16" t="s">
        <v>17</v>
      </c>
      <c r="E125" s="16">
        <v>2</v>
      </c>
    </row>
    <row r="126" spans="2:24">
      <c r="B126" s="37">
        <v>39448</v>
      </c>
      <c r="C126" s="16">
        <v>1438300798</v>
      </c>
      <c r="D126" s="16" t="s">
        <v>31</v>
      </c>
      <c r="E126" s="16">
        <v>3</v>
      </c>
    </row>
    <row r="127" spans="2:24">
      <c r="B127" s="37">
        <v>39448</v>
      </c>
      <c r="C127" s="16">
        <v>1002322471</v>
      </c>
      <c r="D127" s="16" t="s">
        <v>18</v>
      </c>
      <c r="E127" s="16">
        <v>4</v>
      </c>
    </row>
    <row r="128" spans="2:24">
      <c r="B128" s="37">
        <v>39448</v>
      </c>
      <c r="C128" s="16">
        <v>906577252.48000002</v>
      </c>
      <c r="D128" s="16" t="s">
        <v>8</v>
      </c>
      <c r="E128" s="16">
        <v>5</v>
      </c>
    </row>
    <row r="129" spans="2:5">
      <c r="B129" s="37">
        <v>39448</v>
      </c>
      <c r="C129" s="16">
        <v>804357305.82000005</v>
      </c>
      <c r="D129" s="16" t="s">
        <v>4</v>
      </c>
      <c r="E129" s="16">
        <v>6</v>
      </c>
    </row>
    <row r="130" spans="2:5">
      <c r="B130" s="37">
        <v>39448</v>
      </c>
      <c r="C130" s="16">
        <v>458915329</v>
      </c>
      <c r="D130" s="16" t="s">
        <v>14</v>
      </c>
      <c r="E130" s="16">
        <v>7</v>
      </c>
    </row>
    <row r="131" spans="2:5">
      <c r="B131" s="37">
        <v>39448</v>
      </c>
      <c r="C131" s="16">
        <v>407407224.37</v>
      </c>
      <c r="D131" s="16" t="s">
        <v>22</v>
      </c>
      <c r="E131" s="16">
        <v>8</v>
      </c>
    </row>
    <row r="132" spans="2:5">
      <c r="B132" s="37">
        <v>39448</v>
      </c>
      <c r="C132" s="16">
        <v>352177207.13999999</v>
      </c>
      <c r="D132" s="16" t="s">
        <v>19</v>
      </c>
      <c r="E132" s="16">
        <v>9</v>
      </c>
    </row>
    <row r="133" spans="2:5">
      <c r="B133" s="37">
        <v>39448</v>
      </c>
      <c r="C133" s="16">
        <v>179003072</v>
      </c>
      <c r="D133" s="16" t="s">
        <v>152</v>
      </c>
      <c r="E133" s="16">
        <v>10</v>
      </c>
    </row>
    <row r="134" spans="2:5">
      <c r="B134" s="37">
        <v>39479</v>
      </c>
      <c r="C134" s="16">
        <v>2798703942.1700001</v>
      </c>
      <c r="D134" s="16" t="s">
        <v>16</v>
      </c>
      <c r="E134" s="16">
        <v>1</v>
      </c>
    </row>
    <row r="135" spans="2:5">
      <c r="B135" s="37">
        <v>39479</v>
      </c>
      <c r="C135" s="16">
        <v>1512143012.0999999</v>
      </c>
      <c r="D135" s="16" t="s">
        <v>8</v>
      </c>
      <c r="E135" s="16">
        <v>2</v>
      </c>
    </row>
    <row r="136" spans="2:5">
      <c r="B136" s="37">
        <v>39479</v>
      </c>
      <c r="C136" s="16">
        <v>1473943766.0599999</v>
      </c>
      <c r="D136" s="16" t="s">
        <v>17</v>
      </c>
      <c r="E136" s="16">
        <v>3</v>
      </c>
    </row>
    <row r="137" spans="2:5">
      <c r="B137" s="37">
        <v>39479</v>
      </c>
      <c r="C137" s="16">
        <v>1324787937</v>
      </c>
      <c r="D137" s="16" t="s">
        <v>31</v>
      </c>
      <c r="E137" s="16">
        <v>4</v>
      </c>
    </row>
    <row r="138" spans="2:5">
      <c r="B138" s="37">
        <v>39479</v>
      </c>
      <c r="C138" s="16">
        <v>849928131</v>
      </c>
      <c r="D138" s="16" t="s">
        <v>18</v>
      </c>
      <c r="E138" s="16">
        <v>5</v>
      </c>
    </row>
    <row r="139" spans="2:5">
      <c r="B139" s="37">
        <v>39479</v>
      </c>
      <c r="C139" s="16">
        <v>586192836.01999998</v>
      </c>
      <c r="D139" s="16" t="s">
        <v>4</v>
      </c>
      <c r="E139" s="16">
        <v>6</v>
      </c>
    </row>
    <row r="140" spans="2:5">
      <c r="B140" s="37">
        <v>39479</v>
      </c>
      <c r="C140" s="16">
        <v>374223167.56</v>
      </c>
      <c r="D140" s="16" t="s">
        <v>22</v>
      </c>
      <c r="E140" s="16">
        <v>7</v>
      </c>
    </row>
    <row r="141" spans="2:5">
      <c r="B141" s="37">
        <v>39479</v>
      </c>
      <c r="C141" s="16">
        <v>285061109</v>
      </c>
      <c r="D141" s="16" t="s">
        <v>14</v>
      </c>
      <c r="E141" s="16">
        <v>8</v>
      </c>
    </row>
    <row r="142" spans="2:5">
      <c r="B142" s="37">
        <v>39479</v>
      </c>
      <c r="C142" s="16">
        <v>199016315.58000001</v>
      </c>
      <c r="D142" s="16" t="s">
        <v>19</v>
      </c>
      <c r="E142" s="16">
        <v>9</v>
      </c>
    </row>
    <row r="143" spans="2:5">
      <c r="B143" s="37">
        <v>39479</v>
      </c>
      <c r="C143" s="16">
        <v>180012348.87</v>
      </c>
      <c r="D143" s="16" t="s">
        <v>11</v>
      </c>
      <c r="E143" s="16">
        <v>10</v>
      </c>
    </row>
    <row r="144" spans="2:5">
      <c r="B144" s="37">
        <v>39508</v>
      </c>
      <c r="C144" s="16">
        <v>2845541368.1100001</v>
      </c>
      <c r="D144" s="16" t="s">
        <v>16</v>
      </c>
      <c r="E144" s="16">
        <v>1</v>
      </c>
    </row>
    <row r="145" spans="2:5">
      <c r="B145" s="37">
        <v>39508</v>
      </c>
      <c r="C145" s="16">
        <v>1371503307</v>
      </c>
      <c r="D145" s="16" t="s">
        <v>31</v>
      </c>
      <c r="E145" s="16">
        <v>2</v>
      </c>
    </row>
    <row r="146" spans="2:5">
      <c r="B146" s="37">
        <v>39508</v>
      </c>
      <c r="C146" s="16">
        <v>616279069.29999995</v>
      </c>
      <c r="D146" s="16" t="s">
        <v>4</v>
      </c>
      <c r="E146" s="16">
        <v>3</v>
      </c>
    </row>
    <row r="147" spans="2:5">
      <c r="B147" s="37">
        <v>39508</v>
      </c>
      <c r="C147" s="16">
        <v>585339226</v>
      </c>
      <c r="D147" s="16" t="s">
        <v>8</v>
      </c>
      <c r="E147" s="16">
        <v>4</v>
      </c>
    </row>
    <row r="148" spans="2:5">
      <c r="B148" s="37">
        <v>39508</v>
      </c>
      <c r="C148" s="16">
        <v>535708465</v>
      </c>
      <c r="D148" s="16" t="s">
        <v>17</v>
      </c>
      <c r="E148" s="16">
        <v>5</v>
      </c>
    </row>
    <row r="149" spans="2:5">
      <c r="B149" s="37">
        <v>39508</v>
      </c>
      <c r="C149" s="16">
        <v>375926135.04000002</v>
      </c>
      <c r="D149" s="16" t="s">
        <v>22</v>
      </c>
      <c r="E149" s="16">
        <v>6</v>
      </c>
    </row>
    <row r="150" spans="2:5">
      <c r="B150" s="37">
        <v>39508</v>
      </c>
      <c r="C150" s="16">
        <v>335227941</v>
      </c>
      <c r="D150" s="16" t="s">
        <v>14</v>
      </c>
      <c r="E150" s="16">
        <v>7</v>
      </c>
    </row>
    <row r="151" spans="2:5">
      <c r="B151" s="37">
        <v>39508</v>
      </c>
      <c r="C151" s="16">
        <v>236470097.00999999</v>
      </c>
      <c r="D151" s="16" t="s">
        <v>33</v>
      </c>
      <c r="E151" s="16">
        <v>8</v>
      </c>
    </row>
    <row r="152" spans="2:5">
      <c r="B152" s="37">
        <v>39508</v>
      </c>
      <c r="C152" s="16">
        <v>211250709</v>
      </c>
      <c r="D152" s="16" t="s">
        <v>19</v>
      </c>
      <c r="E152" s="16">
        <v>9</v>
      </c>
    </row>
    <row r="153" spans="2:5">
      <c r="B153" s="37">
        <v>39508</v>
      </c>
      <c r="C153" s="16">
        <v>171379733</v>
      </c>
      <c r="D153" s="16" t="s">
        <v>10</v>
      </c>
      <c r="E153" s="16">
        <v>10</v>
      </c>
    </row>
    <row r="154" spans="2:5">
      <c r="B154" s="37">
        <v>39539</v>
      </c>
      <c r="C154" s="16">
        <v>3682275010.96</v>
      </c>
      <c r="D154" s="16" t="s">
        <v>16</v>
      </c>
      <c r="E154" s="16">
        <v>1</v>
      </c>
    </row>
    <row r="155" spans="2:5">
      <c r="B155" s="37">
        <v>39539</v>
      </c>
      <c r="C155" s="16">
        <v>1641602106</v>
      </c>
      <c r="D155" s="16" t="s">
        <v>31</v>
      </c>
      <c r="E155" s="16">
        <v>2</v>
      </c>
    </row>
    <row r="156" spans="2:5">
      <c r="B156" s="37">
        <v>39539</v>
      </c>
      <c r="C156" s="16">
        <v>1254020508.1600001</v>
      </c>
      <c r="D156" s="16" t="s">
        <v>8</v>
      </c>
      <c r="E156" s="16">
        <v>3</v>
      </c>
    </row>
    <row r="157" spans="2:5">
      <c r="B157" s="37">
        <v>39539</v>
      </c>
      <c r="C157" s="16">
        <v>1144391387.9100001</v>
      </c>
      <c r="D157" s="16" t="s">
        <v>4</v>
      </c>
      <c r="E157" s="16">
        <v>4</v>
      </c>
    </row>
    <row r="158" spans="2:5">
      <c r="B158" s="37">
        <v>39539</v>
      </c>
      <c r="C158" s="16">
        <v>811397539</v>
      </c>
      <c r="D158" s="16" t="s">
        <v>17</v>
      </c>
      <c r="E158" s="16">
        <v>5</v>
      </c>
    </row>
    <row r="159" spans="2:5">
      <c r="B159" s="37">
        <v>39539</v>
      </c>
      <c r="C159" s="16">
        <v>486049930.31999999</v>
      </c>
      <c r="D159" s="16" t="s">
        <v>22</v>
      </c>
      <c r="E159" s="16">
        <v>6</v>
      </c>
    </row>
    <row r="160" spans="2:5">
      <c r="B160" s="37">
        <v>39539</v>
      </c>
      <c r="C160" s="16">
        <v>414306947.38999999</v>
      </c>
      <c r="D160" s="16" t="s">
        <v>14</v>
      </c>
      <c r="E160" s="16">
        <v>7</v>
      </c>
    </row>
    <row r="161" spans="2:5">
      <c r="B161" s="37">
        <v>39539</v>
      </c>
      <c r="C161" s="16">
        <v>331132247.83999997</v>
      </c>
      <c r="D161" s="16" t="s">
        <v>153</v>
      </c>
      <c r="E161" s="16">
        <v>8</v>
      </c>
    </row>
    <row r="162" spans="2:5">
      <c r="B162" s="37">
        <v>39539</v>
      </c>
      <c r="C162" s="16">
        <v>163501048.78999999</v>
      </c>
      <c r="D162" s="16" t="s">
        <v>11</v>
      </c>
      <c r="E162" s="16">
        <v>9</v>
      </c>
    </row>
    <row r="163" spans="2:5">
      <c r="B163" s="37">
        <v>39539</v>
      </c>
      <c r="C163" s="16">
        <v>156938196.83000001</v>
      </c>
      <c r="D163" s="16" t="s">
        <v>33</v>
      </c>
      <c r="E163" s="16">
        <v>10</v>
      </c>
    </row>
    <row r="164" spans="2:5">
      <c r="B164" s="37">
        <v>39569</v>
      </c>
      <c r="C164" s="16">
        <v>2135218352.8499999</v>
      </c>
      <c r="D164" s="16" t="s">
        <v>16</v>
      </c>
      <c r="E164" s="16">
        <v>1</v>
      </c>
    </row>
    <row r="165" spans="2:5">
      <c r="B165" s="37">
        <v>39569</v>
      </c>
      <c r="C165" s="16">
        <v>1202353395.3900001</v>
      </c>
      <c r="D165" s="16" t="s">
        <v>8</v>
      </c>
      <c r="E165" s="16">
        <v>2</v>
      </c>
    </row>
    <row r="166" spans="2:5">
      <c r="B166" s="37">
        <v>39569</v>
      </c>
      <c r="C166" s="16">
        <v>1180682631.77</v>
      </c>
      <c r="D166" s="16" t="s">
        <v>4</v>
      </c>
      <c r="E166" s="16">
        <v>3</v>
      </c>
    </row>
    <row r="167" spans="2:5">
      <c r="B167" s="37">
        <v>39569</v>
      </c>
      <c r="C167" s="16">
        <v>1033761031</v>
      </c>
      <c r="D167" s="16" t="s">
        <v>31</v>
      </c>
      <c r="E167" s="16">
        <v>4</v>
      </c>
    </row>
    <row r="168" spans="2:5">
      <c r="B168" s="37">
        <v>39569</v>
      </c>
      <c r="C168" s="16">
        <v>610487025</v>
      </c>
      <c r="D168" s="16" t="s">
        <v>17</v>
      </c>
      <c r="E168" s="16">
        <v>5</v>
      </c>
    </row>
    <row r="169" spans="2:5">
      <c r="B169" s="37">
        <v>39569</v>
      </c>
      <c r="C169" s="16">
        <v>337552076.36000001</v>
      </c>
      <c r="D169" s="16" t="s">
        <v>14</v>
      </c>
      <c r="E169" s="16">
        <v>6</v>
      </c>
    </row>
    <row r="170" spans="2:5">
      <c r="B170" s="37">
        <v>39569</v>
      </c>
      <c r="C170" s="16">
        <v>304641863.19</v>
      </c>
      <c r="D170" s="16" t="s">
        <v>22</v>
      </c>
      <c r="E170" s="16">
        <v>7</v>
      </c>
    </row>
    <row r="171" spans="2:5">
      <c r="B171" s="37">
        <v>39569</v>
      </c>
      <c r="C171" s="16">
        <v>255250532</v>
      </c>
      <c r="D171" s="16" t="s">
        <v>10</v>
      </c>
      <c r="E171" s="16">
        <v>8</v>
      </c>
    </row>
    <row r="172" spans="2:5">
      <c r="B172" s="37">
        <v>39569</v>
      </c>
      <c r="C172" s="16">
        <v>242914553.5</v>
      </c>
      <c r="D172" s="16" t="s">
        <v>153</v>
      </c>
      <c r="E172" s="16">
        <v>9</v>
      </c>
    </row>
    <row r="173" spans="2:5">
      <c r="B173" s="37">
        <v>39569</v>
      </c>
      <c r="C173" s="16">
        <v>142323244</v>
      </c>
      <c r="D173" s="16" t="s">
        <v>119</v>
      </c>
      <c r="E173" s="16">
        <v>10</v>
      </c>
    </row>
    <row r="174" spans="2:5">
      <c r="B174" s="37">
        <v>39600</v>
      </c>
      <c r="C174" s="16">
        <v>1731032257</v>
      </c>
      <c r="D174" s="16" t="s">
        <v>31</v>
      </c>
      <c r="E174" s="16">
        <v>1</v>
      </c>
    </row>
    <row r="175" spans="2:5">
      <c r="B175" s="37">
        <v>39600</v>
      </c>
      <c r="C175" s="16">
        <v>1080842069.0799999</v>
      </c>
      <c r="D175" s="16" t="s">
        <v>16</v>
      </c>
      <c r="E175" s="16">
        <v>2</v>
      </c>
    </row>
    <row r="176" spans="2:5">
      <c r="B176" s="37">
        <v>39600</v>
      </c>
      <c r="C176" s="16">
        <v>1060745072.6799999</v>
      </c>
      <c r="D176" s="16" t="s">
        <v>10</v>
      </c>
      <c r="E176" s="16">
        <v>3</v>
      </c>
    </row>
    <row r="177" spans="2:5">
      <c r="B177" s="37">
        <v>39600</v>
      </c>
      <c r="C177" s="16">
        <v>934123233.22000003</v>
      </c>
      <c r="D177" s="16" t="s">
        <v>4</v>
      </c>
      <c r="E177" s="16">
        <v>4</v>
      </c>
    </row>
    <row r="178" spans="2:5">
      <c r="B178" s="37">
        <v>39600</v>
      </c>
      <c r="C178" s="16">
        <v>475223344.79000002</v>
      </c>
      <c r="D178" s="16" t="s">
        <v>8</v>
      </c>
      <c r="E178" s="16">
        <v>5</v>
      </c>
    </row>
    <row r="179" spans="2:5">
      <c r="B179" s="37">
        <v>39600</v>
      </c>
      <c r="C179" s="16">
        <v>324234159.94</v>
      </c>
      <c r="D179" s="16" t="s">
        <v>22</v>
      </c>
      <c r="E179" s="16">
        <v>6</v>
      </c>
    </row>
    <row r="180" spans="2:5">
      <c r="B180" s="37">
        <v>39600</v>
      </c>
      <c r="C180" s="16">
        <v>143049884</v>
      </c>
      <c r="D180" s="16" t="s">
        <v>14</v>
      </c>
      <c r="E180" s="16">
        <v>7</v>
      </c>
    </row>
    <row r="181" spans="2:5">
      <c r="B181" s="37">
        <v>39600</v>
      </c>
      <c r="C181" s="16">
        <v>135402492</v>
      </c>
      <c r="D181" s="16" t="s">
        <v>17</v>
      </c>
      <c r="E181" s="16">
        <v>8</v>
      </c>
    </row>
    <row r="182" spans="2:5">
      <c r="B182" s="37">
        <v>39600</v>
      </c>
      <c r="C182" s="16">
        <v>127785147.70999999</v>
      </c>
      <c r="D182" s="16" t="s">
        <v>36</v>
      </c>
      <c r="E182" s="16">
        <v>9</v>
      </c>
    </row>
    <row r="183" spans="2:5">
      <c r="B183" s="37">
        <v>39600</v>
      </c>
      <c r="C183" s="16">
        <v>125769535</v>
      </c>
      <c r="D183" s="16" t="s">
        <v>40</v>
      </c>
      <c r="E183" s="16">
        <v>10</v>
      </c>
    </row>
    <row r="184" spans="2:5">
      <c r="B184" s="37">
        <v>39630</v>
      </c>
      <c r="C184" s="16">
        <v>1349863752</v>
      </c>
      <c r="D184" s="16" t="s">
        <v>31</v>
      </c>
      <c r="E184" s="16">
        <v>1</v>
      </c>
    </row>
    <row r="185" spans="2:5">
      <c r="B185" s="37">
        <v>39630</v>
      </c>
      <c r="C185" s="16">
        <v>1296601251.3199999</v>
      </c>
      <c r="D185" s="16" t="s">
        <v>16</v>
      </c>
      <c r="E185" s="16">
        <v>2</v>
      </c>
    </row>
    <row r="186" spans="2:5">
      <c r="B186" s="37">
        <v>39630</v>
      </c>
      <c r="C186" s="16">
        <v>1041107194.3200001</v>
      </c>
      <c r="D186" s="16" t="s">
        <v>4</v>
      </c>
      <c r="E186" s="16">
        <v>3</v>
      </c>
    </row>
    <row r="187" spans="2:5">
      <c r="B187" s="37">
        <v>39630</v>
      </c>
      <c r="C187" s="16">
        <v>945798148.61000001</v>
      </c>
      <c r="D187" s="16" t="s">
        <v>8</v>
      </c>
      <c r="E187" s="16">
        <v>4</v>
      </c>
    </row>
    <row r="188" spans="2:5">
      <c r="B188" s="37">
        <v>39630</v>
      </c>
      <c r="C188" s="16">
        <v>601342062</v>
      </c>
      <c r="D188" s="16" t="s">
        <v>17</v>
      </c>
      <c r="E188" s="16">
        <v>5</v>
      </c>
    </row>
    <row r="189" spans="2:5">
      <c r="B189" s="37">
        <v>39630</v>
      </c>
      <c r="C189" s="16">
        <v>331710370.18000001</v>
      </c>
      <c r="D189" s="16" t="s">
        <v>115</v>
      </c>
      <c r="E189" s="16">
        <v>6</v>
      </c>
    </row>
    <row r="190" spans="2:5">
      <c r="B190" s="37">
        <v>39630</v>
      </c>
      <c r="C190" s="16">
        <v>319866910</v>
      </c>
      <c r="D190" s="16" t="s">
        <v>14</v>
      </c>
      <c r="E190" s="16">
        <v>7</v>
      </c>
    </row>
    <row r="191" spans="2:5">
      <c r="B191" s="37">
        <v>39630</v>
      </c>
      <c r="C191" s="16">
        <v>262743690.88999999</v>
      </c>
      <c r="D191" s="16" t="s">
        <v>22</v>
      </c>
      <c r="E191" s="16">
        <v>8</v>
      </c>
    </row>
    <row r="192" spans="2:5">
      <c r="B192" s="37">
        <v>39630</v>
      </c>
      <c r="C192" s="16">
        <v>124001581</v>
      </c>
      <c r="D192" s="16" t="s">
        <v>152</v>
      </c>
      <c r="E192" s="16">
        <v>9</v>
      </c>
    </row>
    <row r="193" spans="2:5">
      <c r="B193" s="37">
        <v>39630</v>
      </c>
      <c r="C193" s="16">
        <v>122780437.09999999</v>
      </c>
      <c r="D193" s="16" t="s">
        <v>119</v>
      </c>
      <c r="E193" s="16">
        <v>10</v>
      </c>
    </row>
    <row r="194" spans="2:5">
      <c r="B194" s="37">
        <v>39661</v>
      </c>
      <c r="C194" s="16">
        <v>1212308338</v>
      </c>
      <c r="D194" s="16" t="s">
        <v>31</v>
      </c>
      <c r="E194" s="16">
        <v>1</v>
      </c>
    </row>
    <row r="195" spans="2:5">
      <c r="B195" s="37">
        <v>39661</v>
      </c>
      <c r="C195" s="16">
        <v>1050886755.36</v>
      </c>
      <c r="D195" s="16" t="s">
        <v>4</v>
      </c>
      <c r="E195" s="16">
        <v>2</v>
      </c>
    </row>
    <row r="196" spans="2:5">
      <c r="B196" s="37">
        <v>39661</v>
      </c>
      <c r="C196" s="16">
        <v>1009149437.96</v>
      </c>
      <c r="D196" s="16" t="s">
        <v>16</v>
      </c>
      <c r="E196" s="16">
        <v>3</v>
      </c>
    </row>
    <row r="197" spans="2:5">
      <c r="B197" s="37">
        <v>39661</v>
      </c>
      <c r="C197" s="16">
        <v>829290393.58000004</v>
      </c>
      <c r="D197" s="16" t="s">
        <v>8</v>
      </c>
      <c r="E197" s="16">
        <v>4</v>
      </c>
    </row>
    <row r="198" spans="2:5">
      <c r="B198" s="37">
        <v>39661</v>
      </c>
      <c r="C198" s="16">
        <v>419578846.06999999</v>
      </c>
      <c r="D198" s="16" t="s">
        <v>14</v>
      </c>
      <c r="E198" s="16">
        <v>5</v>
      </c>
    </row>
    <row r="199" spans="2:5">
      <c r="B199" s="37">
        <v>39661</v>
      </c>
      <c r="C199" s="16">
        <v>247862544.36000001</v>
      </c>
      <c r="D199" s="16" t="s">
        <v>22</v>
      </c>
      <c r="E199" s="16">
        <v>6</v>
      </c>
    </row>
    <row r="200" spans="2:5">
      <c r="B200" s="37">
        <v>39661</v>
      </c>
      <c r="C200" s="16">
        <v>125829716.06999999</v>
      </c>
      <c r="D200" s="16" t="s">
        <v>10</v>
      </c>
      <c r="E200" s="16">
        <v>7</v>
      </c>
    </row>
    <row r="201" spans="2:5">
      <c r="B201" s="37">
        <v>39661</v>
      </c>
      <c r="C201" s="16">
        <v>119581617</v>
      </c>
      <c r="D201" s="16" t="s">
        <v>152</v>
      </c>
      <c r="E201" s="16">
        <v>8</v>
      </c>
    </row>
    <row r="202" spans="2:5">
      <c r="B202" s="37">
        <v>39661</v>
      </c>
      <c r="C202" s="16">
        <v>114992847</v>
      </c>
      <c r="D202" s="16" t="s">
        <v>17</v>
      </c>
      <c r="E202" s="16">
        <v>9</v>
      </c>
    </row>
    <row r="203" spans="2:5">
      <c r="B203" s="37">
        <v>39661</v>
      </c>
      <c r="C203" s="16">
        <v>84533367</v>
      </c>
      <c r="D203" s="16" t="s">
        <v>116</v>
      </c>
      <c r="E203" s="16">
        <v>10</v>
      </c>
    </row>
    <row r="204" spans="2:5">
      <c r="B204" s="37">
        <v>39692</v>
      </c>
      <c r="C204" s="16">
        <v>1097946836.3599999</v>
      </c>
      <c r="D204" s="16" t="s">
        <v>31</v>
      </c>
      <c r="E204" s="16">
        <v>1</v>
      </c>
    </row>
    <row r="205" spans="2:5">
      <c r="B205" s="37">
        <v>39692</v>
      </c>
      <c r="C205" s="16">
        <v>1080669747.9100001</v>
      </c>
      <c r="D205" s="16" t="s">
        <v>16</v>
      </c>
      <c r="E205" s="16">
        <v>2</v>
      </c>
    </row>
    <row r="206" spans="2:5">
      <c r="B206" s="37">
        <v>39692</v>
      </c>
      <c r="C206" s="16">
        <v>711290312.90999997</v>
      </c>
      <c r="D206" s="16" t="s">
        <v>8</v>
      </c>
      <c r="E206" s="16">
        <v>3</v>
      </c>
    </row>
    <row r="207" spans="2:5">
      <c r="B207" s="37">
        <v>39692</v>
      </c>
      <c r="C207" s="16">
        <v>612089661.24000001</v>
      </c>
      <c r="D207" s="16" t="s">
        <v>4</v>
      </c>
      <c r="E207" s="16">
        <v>4</v>
      </c>
    </row>
    <row r="208" spans="2:5">
      <c r="B208" s="37">
        <v>39692</v>
      </c>
      <c r="C208" s="16">
        <v>281613068.68000001</v>
      </c>
      <c r="D208" s="16" t="s">
        <v>14</v>
      </c>
      <c r="E208" s="16">
        <v>5</v>
      </c>
    </row>
    <row r="209" spans="2:5">
      <c r="B209" s="37">
        <v>39692</v>
      </c>
      <c r="C209" s="16">
        <v>234497893.34</v>
      </c>
      <c r="D209" s="16" t="s">
        <v>22</v>
      </c>
      <c r="E209" s="16">
        <v>6</v>
      </c>
    </row>
    <row r="210" spans="2:5">
      <c r="B210" s="37">
        <v>39692</v>
      </c>
      <c r="C210" s="16">
        <v>220200514.5</v>
      </c>
      <c r="D210" s="16" t="s">
        <v>116</v>
      </c>
      <c r="E210" s="16">
        <v>7</v>
      </c>
    </row>
    <row r="211" spans="2:5">
      <c r="B211" s="37">
        <v>39692</v>
      </c>
      <c r="C211" s="16">
        <v>70405002.900000006</v>
      </c>
      <c r="D211" s="16" t="s">
        <v>19</v>
      </c>
      <c r="E211" s="16">
        <v>8</v>
      </c>
    </row>
    <row r="212" spans="2:5">
      <c r="B212" s="37">
        <v>39692</v>
      </c>
      <c r="C212" s="16">
        <v>67819918.209999993</v>
      </c>
      <c r="D212" s="16" t="s">
        <v>10</v>
      </c>
      <c r="E212" s="16">
        <v>9</v>
      </c>
    </row>
    <row r="213" spans="2:5">
      <c r="B213" s="37">
        <v>39692</v>
      </c>
      <c r="C213" s="16">
        <v>63254094</v>
      </c>
      <c r="D213" s="16" t="s">
        <v>119</v>
      </c>
      <c r="E213" s="16">
        <v>10</v>
      </c>
    </row>
    <row r="214" spans="2:5">
      <c r="B214" s="37">
        <v>39722</v>
      </c>
      <c r="C214" s="16">
        <v>1065916156.21</v>
      </c>
      <c r="D214" s="16" t="s">
        <v>31</v>
      </c>
      <c r="E214" s="16">
        <v>1</v>
      </c>
    </row>
    <row r="215" spans="2:5">
      <c r="B215" s="37">
        <v>39722</v>
      </c>
      <c r="C215" s="16">
        <v>995868510.13</v>
      </c>
      <c r="D215" s="16" t="s">
        <v>16</v>
      </c>
      <c r="E215" s="16">
        <v>2</v>
      </c>
    </row>
    <row r="216" spans="2:5">
      <c r="B216" s="37">
        <v>39722</v>
      </c>
      <c r="C216" s="16">
        <v>681109796</v>
      </c>
      <c r="D216" s="16" t="s">
        <v>8</v>
      </c>
      <c r="E216" s="16">
        <v>3</v>
      </c>
    </row>
    <row r="217" spans="2:5">
      <c r="B217" s="37">
        <v>39722</v>
      </c>
      <c r="C217" s="16">
        <v>548837801.54999995</v>
      </c>
      <c r="D217" s="16" t="s">
        <v>4</v>
      </c>
      <c r="E217" s="16">
        <v>4</v>
      </c>
    </row>
    <row r="218" spans="2:5">
      <c r="B218" s="37">
        <v>39722</v>
      </c>
      <c r="C218" s="16">
        <v>479661450.24000001</v>
      </c>
      <c r="D218" s="16" t="s">
        <v>22</v>
      </c>
      <c r="E218" s="16">
        <v>5</v>
      </c>
    </row>
    <row r="219" spans="2:5">
      <c r="B219" s="37">
        <v>39722</v>
      </c>
      <c r="C219" s="16">
        <v>181095463</v>
      </c>
      <c r="D219" s="16" t="s">
        <v>40</v>
      </c>
      <c r="E219" s="16">
        <v>6</v>
      </c>
    </row>
    <row r="220" spans="2:5">
      <c r="B220" s="37">
        <v>39722</v>
      </c>
      <c r="C220" s="16">
        <v>169897847</v>
      </c>
      <c r="D220" s="16" t="s">
        <v>116</v>
      </c>
      <c r="E220" s="16">
        <v>7</v>
      </c>
    </row>
    <row r="221" spans="2:5">
      <c r="B221" s="37">
        <v>39722</v>
      </c>
      <c r="C221" s="16">
        <v>113301060.37</v>
      </c>
      <c r="D221" s="16" t="s">
        <v>14</v>
      </c>
      <c r="E221" s="16">
        <v>8</v>
      </c>
    </row>
    <row r="222" spans="2:5">
      <c r="B222" s="37">
        <v>39722</v>
      </c>
      <c r="C222" s="16">
        <v>96620520.049999997</v>
      </c>
      <c r="D222" s="16" t="s">
        <v>143</v>
      </c>
      <c r="E222" s="16">
        <v>9</v>
      </c>
    </row>
    <row r="223" spans="2:5">
      <c r="B223" s="37">
        <v>39722</v>
      </c>
      <c r="C223" s="16">
        <v>90461000</v>
      </c>
      <c r="D223" s="16" t="s">
        <v>124</v>
      </c>
      <c r="E223" s="16">
        <v>10</v>
      </c>
    </row>
    <row r="224" spans="2:5">
      <c r="B224" s="37">
        <v>39753</v>
      </c>
      <c r="C224" s="16">
        <v>715357720.58000004</v>
      </c>
      <c r="D224" s="16" t="s">
        <v>31</v>
      </c>
      <c r="E224" s="16">
        <v>1</v>
      </c>
    </row>
    <row r="225" spans="2:5">
      <c r="B225" s="37">
        <v>39753</v>
      </c>
      <c r="C225" s="16">
        <v>653795272.74000001</v>
      </c>
      <c r="D225" s="16" t="s">
        <v>16</v>
      </c>
      <c r="E225" s="16">
        <v>2</v>
      </c>
    </row>
    <row r="226" spans="2:5">
      <c r="B226" s="37">
        <v>39753</v>
      </c>
      <c r="C226" s="16">
        <v>484912507.41000003</v>
      </c>
      <c r="D226" s="16" t="s">
        <v>4</v>
      </c>
      <c r="E226" s="16">
        <v>3</v>
      </c>
    </row>
    <row r="227" spans="2:5">
      <c r="B227" s="37">
        <v>39753</v>
      </c>
      <c r="C227" s="16">
        <v>401866202.69999999</v>
      </c>
      <c r="D227" s="16" t="s">
        <v>8</v>
      </c>
      <c r="E227" s="16">
        <v>4</v>
      </c>
    </row>
    <row r="228" spans="2:5">
      <c r="B228" s="37">
        <v>39753</v>
      </c>
      <c r="C228" s="16">
        <v>304064847.75</v>
      </c>
      <c r="D228" s="16" t="s">
        <v>10</v>
      </c>
      <c r="E228" s="16">
        <v>5</v>
      </c>
    </row>
    <row r="229" spans="2:5">
      <c r="B229" s="37">
        <v>39753</v>
      </c>
      <c r="C229" s="16">
        <v>251657321.66</v>
      </c>
      <c r="D229" s="16" t="s">
        <v>22</v>
      </c>
      <c r="E229" s="16">
        <v>6</v>
      </c>
    </row>
    <row r="230" spans="2:5">
      <c r="B230" s="37">
        <v>39753</v>
      </c>
      <c r="C230" s="16">
        <v>189895179</v>
      </c>
      <c r="D230" s="16" t="s">
        <v>14</v>
      </c>
      <c r="E230" s="16">
        <v>7</v>
      </c>
    </row>
    <row r="231" spans="2:5">
      <c r="B231" s="37">
        <v>39753</v>
      </c>
      <c r="C231" s="16">
        <v>129388399</v>
      </c>
      <c r="D231" s="16" t="s">
        <v>116</v>
      </c>
      <c r="E231" s="16">
        <v>8</v>
      </c>
    </row>
    <row r="232" spans="2:5">
      <c r="B232" s="37">
        <v>39753</v>
      </c>
      <c r="C232" s="16">
        <v>86022554.060000002</v>
      </c>
      <c r="D232" s="16" t="s">
        <v>119</v>
      </c>
      <c r="E232" s="16">
        <v>9</v>
      </c>
    </row>
    <row r="233" spans="2:5">
      <c r="B233" s="37">
        <v>39753</v>
      </c>
      <c r="C233" s="16">
        <v>85227077.269999996</v>
      </c>
      <c r="D233" s="16" t="s">
        <v>36</v>
      </c>
      <c r="E233" s="16">
        <v>10</v>
      </c>
    </row>
    <row r="234" spans="2:5">
      <c r="B234" s="37">
        <v>39783</v>
      </c>
      <c r="C234" s="16">
        <v>2336672835.98</v>
      </c>
      <c r="D234" s="16" t="s">
        <v>22</v>
      </c>
      <c r="E234" s="16">
        <v>1</v>
      </c>
    </row>
    <row r="235" spans="2:5">
      <c r="B235" s="37">
        <v>39783</v>
      </c>
      <c r="C235" s="16">
        <v>1530928194.1400001</v>
      </c>
      <c r="D235" s="16" t="s">
        <v>34</v>
      </c>
      <c r="E235" s="16">
        <v>2</v>
      </c>
    </row>
    <row r="236" spans="2:5">
      <c r="B236" s="37">
        <v>39783</v>
      </c>
      <c r="C236" s="16">
        <v>1283604308.3099999</v>
      </c>
      <c r="D236" s="16" t="s">
        <v>16</v>
      </c>
      <c r="E236" s="16">
        <v>3</v>
      </c>
    </row>
    <row r="237" spans="2:5">
      <c r="B237" s="37">
        <v>39783</v>
      </c>
      <c r="C237" s="16">
        <v>786614397.10000002</v>
      </c>
      <c r="D237" s="16" t="s">
        <v>31</v>
      </c>
      <c r="E237" s="16">
        <v>4</v>
      </c>
    </row>
    <row r="238" spans="2:5">
      <c r="B238" s="37">
        <v>39783</v>
      </c>
      <c r="C238" s="16">
        <v>470392563.25</v>
      </c>
      <c r="D238" s="16" t="s">
        <v>4</v>
      </c>
      <c r="E238" s="16">
        <v>5</v>
      </c>
    </row>
    <row r="239" spans="2:5">
      <c r="B239" s="37">
        <v>39783</v>
      </c>
      <c r="C239" s="16">
        <v>466549978</v>
      </c>
      <c r="D239" s="16" t="s">
        <v>117</v>
      </c>
      <c r="E239" s="16">
        <v>6</v>
      </c>
    </row>
    <row r="240" spans="2:5">
      <c r="B240" s="37">
        <v>39783</v>
      </c>
      <c r="C240" s="16">
        <v>444153915.81999999</v>
      </c>
      <c r="D240" s="16" t="s">
        <v>8</v>
      </c>
      <c r="E240" s="16">
        <v>7</v>
      </c>
    </row>
    <row r="241" spans="2:5">
      <c r="B241" s="37">
        <v>39783</v>
      </c>
      <c r="C241" s="16">
        <v>237158890</v>
      </c>
      <c r="D241" s="16" t="s">
        <v>33</v>
      </c>
      <c r="E241" s="16">
        <v>8</v>
      </c>
    </row>
    <row r="242" spans="2:5">
      <c r="B242" s="37">
        <v>39783</v>
      </c>
      <c r="C242" s="16">
        <v>205135438.40000001</v>
      </c>
      <c r="D242" s="16" t="s">
        <v>10</v>
      </c>
      <c r="E242" s="16">
        <v>9</v>
      </c>
    </row>
    <row r="243" spans="2:5">
      <c r="B243" s="37">
        <v>39783</v>
      </c>
      <c r="C243" s="16">
        <v>156690673</v>
      </c>
      <c r="D243" s="16" t="s">
        <v>14</v>
      </c>
      <c r="E243" s="16">
        <v>10</v>
      </c>
    </row>
    <row r="244" spans="2:5">
      <c r="B244" s="37">
        <v>39814</v>
      </c>
      <c r="C244" s="16">
        <v>923120637.58000004</v>
      </c>
      <c r="D244" s="16" t="s">
        <v>31</v>
      </c>
      <c r="E244" s="16">
        <v>1</v>
      </c>
    </row>
    <row r="245" spans="2:5">
      <c r="B245" s="37">
        <v>39814</v>
      </c>
      <c r="C245" s="16">
        <v>520733159.38</v>
      </c>
      <c r="D245" s="16" t="s">
        <v>4</v>
      </c>
      <c r="E245" s="16">
        <v>2</v>
      </c>
    </row>
    <row r="246" spans="2:5">
      <c r="B246" s="37">
        <v>39814</v>
      </c>
      <c r="C246" s="16">
        <v>459181459.44</v>
      </c>
      <c r="D246" s="16" t="s">
        <v>8</v>
      </c>
      <c r="E246" s="16">
        <v>3</v>
      </c>
    </row>
    <row r="247" spans="2:5">
      <c r="B247" s="37">
        <v>39814</v>
      </c>
      <c r="C247" s="16">
        <v>437523036.18000001</v>
      </c>
      <c r="D247" s="16" t="s">
        <v>16</v>
      </c>
      <c r="E247" s="16">
        <v>4</v>
      </c>
    </row>
    <row r="248" spans="2:5">
      <c r="B248" s="37">
        <v>39814</v>
      </c>
      <c r="C248" s="16">
        <v>268281252.91999999</v>
      </c>
      <c r="D248" s="16" t="s">
        <v>22</v>
      </c>
      <c r="E248" s="16">
        <v>5</v>
      </c>
    </row>
    <row r="249" spans="2:5">
      <c r="B249" s="37">
        <v>39814</v>
      </c>
      <c r="C249" s="16">
        <v>215678441.53999999</v>
      </c>
      <c r="D249" s="16" t="s">
        <v>118</v>
      </c>
      <c r="E249" s="16">
        <v>6</v>
      </c>
    </row>
    <row r="250" spans="2:5">
      <c r="B250" s="37">
        <v>39814</v>
      </c>
      <c r="C250" s="16">
        <v>166295315.03999999</v>
      </c>
      <c r="D250" s="16" t="s">
        <v>33</v>
      </c>
      <c r="E250" s="16">
        <v>7</v>
      </c>
    </row>
    <row r="251" spans="2:5">
      <c r="B251" s="37">
        <v>39814</v>
      </c>
      <c r="C251" s="16">
        <v>110527840.81999999</v>
      </c>
      <c r="D251" s="16" t="s">
        <v>10</v>
      </c>
      <c r="E251" s="16">
        <v>8</v>
      </c>
    </row>
    <row r="252" spans="2:5">
      <c r="B252" s="37">
        <v>39814</v>
      </c>
      <c r="C252" s="16">
        <v>102830548</v>
      </c>
      <c r="D252" s="16" t="s">
        <v>40</v>
      </c>
      <c r="E252" s="16">
        <v>9</v>
      </c>
    </row>
    <row r="253" spans="2:5">
      <c r="B253" s="37">
        <v>39814</v>
      </c>
      <c r="C253" s="16">
        <v>96111428.670000002</v>
      </c>
      <c r="D253" s="16" t="s">
        <v>20</v>
      </c>
      <c r="E253" s="16">
        <v>10</v>
      </c>
    </row>
    <row r="254" spans="2:5">
      <c r="B254" s="37">
        <v>39845</v>
      </c>
      <c r="C254" s="16">
        <v>1405817023</v>
      </c>
      <c r="D254" s="16" t="s">
        <v>8</v>
      </c>
      <c r="E254" s="16">
        <v>1</v>
      </c>
    </row>
    <row r="255" spans="2:5">
      <c r="B255" s="37">
        <v>39845</v>
      </c>
      <c r="C255" s="16">
        <v>1078154854.03</v>
      </c>
      <c r="D255" s="16" t="s">
        <v>31</v>
      </c>
      <c r="E255" s="16">
        <v>2</v>
      </c>
    </row>
    <row r="256" spans="2:5">
      <c r="B256" s="37">
        <v>39845</v>
      </c>
      <c r="C256" s="16">
        <v>715164383.12</v>
      </c>
      <c r="D256" s="16" t="s">
        <v>16</v>
      </c>
      <c r="E256" s="16">
        <v>3</v>
      </c>
    </row>
    <row r="257" spans="2:5">
      <c r="B257" s="37">
        <v>39845</v>
      </c>
      <c r="C257" s="16">
        <v>630938838.39999998</v>
      </c>
      <c r="D257" s="16" t="s">
        <v>4</v>
      </c>
      <c r="E257" s="16">
        <v>4</v>
      </c>
    </row>
    <row r="258" spans="2:5">
      <c r="B258" s="37">
        <v>39845</v>
      </c>
      <c r="C258" s="16">
        <v>334812555.26999998</v>
      </c>
      <c r="D258" s="16" t="s">
        <v>119</v>
      </c>
      <c r="E258" s="16">
        <v>5</v>
      </c>
    </row>
    <row r="259" spans="2:5">
      <c r="B259" s="37">
        <v>39845</v>
      </c>
      <c r="C259" s="16">
        <v>267643670.69</v>
      </c>
      <c r="D259" s="16" t="s">
        <v>22</v>
      </c>
      <c r="E259" s="16">
        <v>6</v>
      </c>
    </row>
    <row r="260" spans="2:5">
      <c r="B260" s="37">
        <v>39845</v>
      </c>
      <c r="C260" s="16">
        <v>261759086.05000001</v>
      </c>
      <c r="D260" s="16" t="s">
        <v>120</v>
      </c>
      <c r="E260" s="16">
        <v>7</v>
      </c>
    </row>
    <row r="261" spans="2:5">
      <c r="B261" s="37">
        <v>39845</v>
      </c>
      <c r="C261" s="16">
        <v>187346976</v>
      </c>
      <c r="D261" s="16" t="s">
        <v>34</v>
      </c>
      <c r="E261" s="16">
        <v>8</v>
      </c>
    </row>
    <row r="262" spans="2:5">
      <c r="B262" s="37">
        <v>39845</v>
      </c>
      <c r="C262" s="16">
        <v>184705548</v>
      </c>
      <c r="D262" s="16" t="s">
        <v>14</v>
      </c>
      <c r="E262" s="16">
        <v>9</v>
      </c>
    </row>
    <row r="263" spans="2:5">
      <c r="B263" s="37">
        <v>39845</v>
      </c>
      <c r="C263" s="16">
        <v>135079916</v>
      </c>
      <c r="D263" s="16" t="s">
        <v>154</v>
      </c>
      <c r="E263" s="16">
        <v>10</v>
      </c>
    </row>
    <row r="264" spans="2:5">
      <c r="B264" s="37">
        <v>39873</v>
      </c>
      <c r="C264" s="16">
        <v>2137733570.1199999</v>
      </c>
      <c r="D264" s="16" t="s">
        <v>31</v>
      </c>
      <c r="E264" s="16">
        <v>1</v>
      </c>
    </row>
    <row r="265" spans="2:5">
      <c r="B265" s="37">
        <v>39873</v>
      </c>
      <c r="C265" s="16">
        <v>1622213766.6099999</v>
      </c>
      <c r="D265" s="16" t="s">
        <v>16</v>
      </c>
      <c r="E265" s="16">
        <v>2</v>
      </c>
    </row>
    <row r="266" spans="2:5">
      <c r="B266" s="37">
        <v>39873</v>
      </c>
      <c r="C266" s="16">
        <v>1307784771.1199999</v>
      </c>
      <c r="D266" s="16" t="s">
        <v>4</v>
      </c>
      <c r="E266" s="16">
        <v>3</v>
      </c>
    </row>
    <row r="267" spans="2:5">
      <c r="B267" s="37">
        <v>39873</v>
      </c>
      <c r="C267" s="16">
        <v>1216935785.27</v>
      </c>
      <c r="D267" s="16" t="s">
        <v>8</v>
      </c>
      <c r="E267" s="16">
        <v>4</v>
      </c>
    </row>
    <row r="268" spans="2:5">
      <c r="B268" s="37">
        <v>39873</v>
      </c>
      <c r="C268" s="16">
        <v>468575281.83999997</v>
      </c>
      <c r="D268" s="16" t="s">
        <v>22</v>
      </c>
      <c r="E268" s="16">
        <v>5</v>
      </c>
    </row>
    <row r="269" spans="2:5">
      <c r="B269" s="37">
        <v>39873</v>
      </c>
      <c r="C269" s="16">
        <v>325597705.55000001</v>
      </c>
      <c r="D269" s="16" t="s">
        <v>121</v>
      </c>
      <c r="E269" s="16">
        <v>6</v>
      </c>
    </row>
    <row r="270" spans="2:5">
      <c r="B270" s="37">
        <v>39873</v>
      </c>
      <c r="C270" s="16">
        <v>290448546.16000003</v>
      </c>
      <c r="D270" s="16" t="s">
        <v>34</v>
      </c>
      <c r="E270" s="16">
        <v>7</v>
      </c>
    </row>
    <row r="271" spans="2:5">
      <c r="B271" s="37">
        <v>39873</v>
      </c>
      <c r="C271" s="16">
        <v>264744927.71000001</v>
      </c>
      <c r="D271" s="16" t="s">
        <v>143</v>
      </c>
      <c r="E271" s="16">
        <v>8</v>
      </c>
    </row>
    <row r="272" spans="2:5">
      <c r="B272" s="37">
        <v>39873</v>
      </c>
      <c r="C272" s="16">
        <v>244886306.81999999</v>
      </c>
      <c r="D272" s="16" t="s">
        <v>14</v>
      </c>
      <c r="E272" s="16">
        <v>9</v>
      </c>
    </row>
    <row r="273" spans="2:5">
      <c r="B273" s="37">
        <v>39873</v>
      </c>
      <c r="C273" s="16">
        <v>220853631</v>
      </c>
      <c r="D273" s="16" t="s">
        <v>120</v>
      </c>
      <c r="E273" s="16">
        <v>10</v>
      </c>
    </row>
    <row r="274" spans="2:5">
      <c r="B274" s="37">
        <v>39904</v>
      </c>
      <c r="C274" s="16">
        <v>2635227445.8499999</v>
      </c>
      <c r="D274" s="16" t="s">
        <v>31</v>
      </c>
      <c r="E274" s="16">
        <v>1</v>
      </c>
    </row>
    <row r="275" spans="2:5">
      <c r="B275" s="37">
        <v>39904</v>
      </c>
      <c r="C275" s="16">
        <v>2574869351.5599999</v>
      </c>
      <c r="D275" s="16" t="s">
        <v>4</v>
      </c>
      <c r="E275" s="16">
        <v>2</v>
      </c>
    </row>
    <row r="276" spans="2:5">
      <c r="B276" s="37">
        <v>39904</v>
      </c>
      <c r="C276" s="16">
        <v>1134925696.8199999</v>
      </c>
      <c r="D276" s="16" t="s">
        <v>16</v>
      </c>
      <c r="E276" s="16">
        <v>3</v>
      </c>
    </row>
    <row r="277" spans="2:5">
      <c r="B277" s="37">
        <v>39904</v>
      </c>
      <c r="C277" s="16">
        <v>953947303</v>
      </c>
      <c r="D277" s="16" t="s">
        <v>8</v>
      </c>
      <c r="E277" s="16">
        <v>4</v>
      </c>
    </row>
    <row r="278" spans="2:5">
      <c r="B278" s="37">
        <v>39904</v>
      </c>
      <c r="C278" s="16">
        <v>595328952.17999995</v>
      </c>
      <c r="D278" s="16" t="s">
        <v>40</v>
      </c>
      <c r="E278" s="16">
        <v>5</v>
      </c>
    </row>
    <row r="279" spans="2:5">
      <c r="B279" s="37">
        <v>39904</v>
      </c>
      <c r="C279" s="16">
        <v>415536045</v>
      </c>
      <c r="D279" s="16" t="s">
        <v>14</v>
      </c>
      <c r="E279" s="16">
        <v>6</v>
      </c>
    </row>
    <row r="280" spans="2:5">
      <c r="B280" s="37">
        <v>39904</v>
      </c>
      <c r="C280" s="16">
        <v>369229834</v>
      </c>
      <c r="D280" s="16" t="s">
        <v>34</v>
      </c>
      <c r="E280" s="16">
        <v>7</v>
      </c>
    </row>
    <row r="281" spans="2:5">
      <c r="B281" s="37">
        <v>39904</v>
      </c>
      <c r="C281" s="16">
        <v>349036050.44999999</v>
      </c>
      <c r="D281" s="16" t="s">
        <v>119</v>
      </c>
      <c r="E281" s="16">
        <v>8</v>
      </c>
    </row>
    <row r="282" spans="2:5">
      <c r="B282" s="37">
        <v>39904</v>
      </c>
      <c r="C282" s="16">
        <v>327120044.66000003</v>
      </c>
      <c r="D282" s="16" t="s">
        <v>143</v>
      </c>
      <c r="E282" s="16">
        <v>9</v>
      </c>
    </row>
    <row r="283" spans="2:5">
      <c r="B283" s="37">
        <v>39904</v>
      </c>
      <c r="C283" s="16">
        <v>320774057.72000003</v>
      </c>
      <c r="D283" s="16" t="s">
        <v>37</v>
      </c>
      <c r="E283" s="16">
        <v>10</v>
      </c>
    </row>
    <row r="284" spans="2:5">
      <c r="B284" s="37">
        <v>39934</v>
      </c>
      <c r="C284" s="16">
        <v>5729582604.1499996</v>
      </c>
      <c r="D284" s="16" t="s">
        <v>4</v>
      </c>
      <c r="E284" s="16">
        <v>1</v>
      </c>
    </row>
    <row r="285" spans="2:5">
      <c r="B285" s="37">
        <v>39934</v>
      </c>
      <c r="C285" s="16">
        <v>2568225957.29</v>
      </c>
      <c r="D285" s="16" t="s">
        <v>31</v>
      </c>
      <c r="E285" s="16">
        <v>2</v>
      </c>
    </row>
    <row r="286" spans="2:5">
      <c r="B286" s="37">
        <v>39934</v>
      </c>
      <c r="C286" s="16">
        <v>2007873609.8199999</v>
      </c>
      <c r="D286" s="16" t="s">
        <v>16</v>
      </c>
      <c r="E286" s="16">
        <v>3</v>
      </c>
    </row>
    <row r="287" spans="2:5">
      <c r="B287" s="37">
        <v>39934</v>
      </c>
      <c r="C287" s="16">
        <v>1538541620.98</v>
      </c>
      <c r="D287" s="16" t="s">
        <v>8</v>
      </c>
      <c r="E287" s="16">
        <v>4</v>
      </c>
    </row>
    <row r="288" spans="2:5">
      <c r="B288" s="37">
        <v>39934</v>
      </c>
      <c r="C288" s="16">
        <v>1122383705.03</v>
      </c>
      <c r="D288" s="16" t="s">
        <v>12</v>
      </c>
      <c r="E288" s="16">
        <v>5</v>
      </c>
    </row>
    <row r="289" spans="2:5">
      <c r="B289" s="37">
        <v>39934</v>
      </c>
      <c r="C289" s="16">
        <v>1115180655.47</v>
      </c>
      <c r="D289" s="16" t="s">
        <v>10</v>
      </c>
      <c r="E289" s="16">
        <v>6</v>
      </c>
    </row>
    <row r="290" spans="2:5">
      <c r="B290" s="37">
        <v>39934</v>
      </c>
      <c r="C290" s="16">
        <v>1021608490.4299999</v>
      </c>
      <c r="D290" s="16" t="s">
        <v>14</v>
      </c>
      <c r="E290" s="16">
        <v>7</v>
      </c>
    </row>
    <row r="291" spans="2:5">
      <c r="B291" s="37">
        <v>39934</v>
      </c>
      <c r="C291" s="16">
        <v>580170134.70000005</v>
      </c>
      <c r="D291" s="16" t="s">
        <v>36</v>
      </c>
      <c r="E291" s="16">
        <v>8</v>
      </c>
    </row>
    <row r="292" spans="2:5">
      <c r="B292" s="37">
        <v>39934</v>
      </c>
      <c r="C292" s="16">
        <v>503113000</v>
      </c>
      <c r="D292" s="16" t="s">
        <v>23</v>
      </c>
      <c r="E292" s="16">
        <v>9</v>
      </c>
    </row>
    <row r="293" spans="2:5">
      <c r="B293" s="37">
        <v>39934</v>
      </c>
      <c r="C293" s="16">
        <v>444547469.61000001</v>
      </c>
      <c r="D293" s="16" t="s">
        <v>22</v>
      </c>
      <c r="E293" s="16">
        <v>10</v>
      </c>
    </row>
    <row r="294" spans="2:5">
      <c r="B294" s="37">
        <v>39965</v>
      </c>
      <c r="C294" s="16">
        <v>3886793291.8899999</v>
      </c>
      <c r="D294" s="16" t="s">
        <v>4</v>
      </c>
      <c r="E294" s="16">
        <v>1</v>
      </c>
    </row>
    <row r="295" spans="2:5">
      <c r="B295" s="37">
        <v>39965</v>
      </c>
      <c r="C295" s="16">
        <v>2890599988.1900001</v>
      </c>
      <c r="D295" s="16" t="s">
        <v>16</v>
      </c>
      <c r="E295" s="16">
        <v>2</v>
      </c>
    </row>
    <row r="296" spans="2:5">
      <c r="B296" s="37">
        <v>39965</v>
      </c>
      <c r="C296" s="16">
        <v>2085681943.29</v>
      </c>
      <c r="D296" s="16" t="s">
        <v>31</v>
      </c>
      <c r="E296" s="16">
        <v>3</v>
      </c>
    </row>
    <row r="297" spans="2:5">
      <c r="B297" s="37">
        <v>39965</v>
      </c>
      <c r="C297" s="16">
        <v>2041508250.48</v>
      </c>
      <c r="D297" s="16" t="s">
        <v>8</v>
      </c>
      <c r="E297" s="16">
        <v>4</v>
      </c>
    </row>
    <row r="298" spans="2:5">
      <c r="B298" s="37">
        <v>39965</v>
      </c>
      <c r="C298" s="16">
        <v>1411001019.22</v>
      </c>
      <c r="D298" s="16" t="s">
        <v>35</v>
      </c>
      <c r="E298" s="16">
        <v>5</v>
      </c>
    </row>
    <row r="299" spans="2:5">
      <c r="B299" s="37">
        <v>39965</v>
      </c>
      <c r="C299" s="16">
        <v>883459426.30999994</v>
      </c>
      <c r="D299" s="16" t="s">
        <v>12</v>
      </c>
      <c r="E299" s="16">
        <v>6</v>
      </c>
    </row>
    <row r="300" spans="2:5">
      <c r="B300" s="37">
        <v>39965</v>
      </c>
      <c r="C300" s="16">
        <v>793002592.73000002</v>
      </c>
      <c r="D300" s="16" t="s">
        <v>10</v>
      </c>
      <c r="E300" s="16">
        <v>7</v>
      </c>
    </row>
    <row r="301" spans="2:5">
      <c r="B301" s="37">
        <v>39965</v>
      </c>
      <c r="C301" s="16">
        <v>745831785.62</v>
      </c>
      <c r="D301" s="16" t="s">
        <v>22</v>
      </c>
      <c r="E301" s="16">
        <v>8</v>
      </c>
    </row>
    <row r="302" spans="2:5">
      <c r="B302" s="37">
        <v>39965</v>
      </c>
      <c r="C302" s="16">
        <v>563797807.62</v>
      </c>
      <c r="D302" s="16" t="s">
        <v>36</v>
      </c>
      <c r="E302" s="16">
        <v>9</v>
      </c>
    </row>
    <row r="303" spans="2:5">
      <c r="B303" s="37">
        <v>39965</v>
      </c>
      <c r="C303" s="16">
        <v>523413835.82999998</v>
      </c>
      <c r="D303" s="16" t="s">
        <v>14</v>
      </c>
      <c r="E303" s="16">
        <v>10</v>
      </c>
    </row>
    <row r="304" spans="2:5">
      <c r="B304" s="37">
        <v>39995</v>
      </c>
      <c r="C304" s="16">
        <v>2256690852.2199998</v>
      </c>
      <c r="D304" s="16" t="s">
        <v>16</v>
      </c>
      <c r="E304" s="16">
        <v>1</v>
      </c>
    </row>
    <row r="305" spans="2:5">
      <c r="B305" s="37">
        <v>39995</v>
      </c>
      <c r="C305" s="16">
        <v>1985615127.78</v>
      </c>
      <c r="D305" s="16" t="s">
        <v>4</v>
      </c>
      <c r="E305" s="16">
        <v>2</v>
      </c>
    </row>
    <row r="306" spans="2:5">
      <c r="B306" s="37">
        <v>39995</v>
      </c>
      <c r="C306" s="16">
        <v>1534118490.3199999</v>
      </c>
      <c r="D306" s="16" t="s">
        <v>31</v>
      </c>
      <c r="E306" s="16">
        <v>3</v>
      </c>
    </row>
    <row r="307" spans="2:5">
      <c r="B307" s="37">
        <v>39995</v>
      </c>
      <c r="C307" s="16">
        <v>1252653319.1900001</v>
      </c>
      <c r="D307" s="16" t="s">
        <v>8</v>
      </c>
      <c r="E307" s="16">
        <v>4</v>
      </c>
    </row>
    <row r="308" spans="2:5">
      <c r="B308" s="37">
        <v>39995</v>
      </c>
      <c r="C308" s="16">
        <v>883282992.5</v>
      </c>
      <c r="D308" s="16" t="s">
        <v>12</v>
      </c>
      <c r="E308" s="16">
        <v>5</v>
      </c>
    </row>
    <row r="309" spans="2:5">
      <c r="B309" s="37">
        <v>39995</v>
      </c>
      <c r="C309" s="16">
        <v>827785662.50999999</v>
      </c>
      <c r="D309" s="16" t="s">
        <v>22</v>
      </c>
      <c r="E309" s="16">
        <v>6</v>
      </c>
    </row>
    <row r="310" spans="2:5">
      <c r="B310" s="37">
        <v>39995</v>
      </c>
      <c r="C310" s="16">
        <v>388407069.74000001</v>
      </c>
      <c r="D310" s="16" t="s">
        <v>34</v>
      </c>
      <c r="E310" s="16">
        <v>7</v>
      </c>
    </row>
    <row r="311" spans="2:5">
      <c r="B311" s="37">
        <v>39995</v>
      </c>
      <c r="C311" s="16">
        <v>364934217.57999998</v>
      </c>
      <c r="D311" s="16" t="s">
        <v>37</v>
      </c>
      <c r="E311" s="16">
        <v>8</v>
      </c>
    </row>
    <row r="312" spans="2:5">
      <c r="B312" s="37">
        <v>39995</v>
      </c>
      <c r="C312" s="16">
        <v>326211032.04000002</v>
      </c>
      <c r="D312" s="16" t="s">
        <v>121</v>
      </c>
      <c r="E312" s="16">
        <v>9</v>
      </c>
    </row>
    <row r="313" spans="2:5">
      <c r="B313" s="37">
        <v>39995</v>
      </c>
      <c r="C313" s="16">
        <v>319105528.38</v>
      </c>
      <c r="D313" s="16" t="s">
        <v>119</v>
      </c>
      <c r="E313" s="16">
        <v>10</v>
      </c>
    </row>
    <row r="314" spans="2:5">
      <c r="B314" s="37">
        <v>40026</v>
      </c>
      <c r="C314" s="16">
        <v>1508806380.53</v>
      </c>
      <c r="D314" s="16" t="s">
        <v>16</v>
      </c>
      <c r="E314" s="16">
        <v>1</v>
      </c>
    </row>
    <row r="315" spans="2:5">
      <c r="B315" s="37">
        <v>40026</v>
      </c>
      <c r="C315" s="16">
        <v>1454096040.6600001</v>
      </c>
      <c r="D315" s="16" t="s">
        <v>4</v>
      </c>
      <c r="E315" s="16">
        <v>2</v>
      </c>
    </row>
    <row r="316" spans="2:5">
      <c r="B316" s="37">
        <v>40026</v>
      </c>
      <c r="C316" s="16">
        <v>1031320812.12</v>
      </c>
      <c r="D316" s="16" t="s">
        <v>31</v>
      </c>
      <c r="E316" s="16">
        <v>3</v>
      </c>
    </row>
    <row r="317" spans="2:5">
      <c r="B317" s="37">
        <v>40026</v>
      </c>
      <c r="C317" s="16">
        <v>954606164.92999995</v>
      </c>
      <c r="D317" s="16" t="s">
        <v>8</v>
      </c>
      <c r="E317" s="16">
        <v>4</v>
      </c>
    </row>
    <row r="318" spans="2:5">
      <c r="B318" s="37">
        <v>40026</v>
      </c>
      <c r="C318" s="16">
        <v>477277200.41000003</v>
      </c>
      <c r="D318" s="16" t="s">
        <v>36</v>
      </c>
      <c r="E318" s="16">
        <v>5</v>
      </c>
    </row>
    <row r="319" spans="2:5">
      <c r="B319" s="37">
        <v>40026</v>
      </c>
      <c r="C319" s="16">
        <v>414643243</v>
      </c>
      <c r="D319" s="16" t="s">
        <v>12</v>
      </c>
      <c r="E319" s="16">
        <v>6</v>
      </c>
    </row>
    <row r="320" spans="2:5">
      <c r="B320" s="37">
        <v>40026</v>
      </c>
      <c r="C320" s="16">
        <v>353155716.50999999</v>
      </c>
      <c r="D320" s="16" t="s">
        <v>22</v>
      </c>
      <c r="E320" s="16">
        <v>7</v>
      </c>
    </row>
    <row r="321" spans="2:5">
      <c r="B321" s="37">
        <v>40026</v>
      </c>
      <c r="C321" s="16">
        <v>336731277.18000001</v>
      </c>
      <c r="D321" s="16" t="s">
        <v>37</v>
      </c>
      <c r="E321" s="16">
        <v>8</v>
      </c>
    </row>
    <row r="322" spans="2:5">
      <c r="B322" s="37">
        <v>40026</v>
      </c>
      <c r="C322" s="16">
        <v>332083157</v>
      </c>
      <c r="D322" s="16" t="s">
        <v>46</v>
      </c>
      <c r="E322" s="16">
        <v>9</v>
      </c>
    </row>
    <row r="323" spans="2:5">
      <c r="B323" s="37">
        <v>40026</v>
      </c>
      <c r="C323" s="16">
        <v>328943301</v>
      </c>
      <c r="D323" s="16" t="s">
        <v>14</v>
      </c>
      <c r="E323" s="16">
        <v>10</v>
      </c>
    </row>
    <row r="324" spans="2:5">
      <c r="B324" s="37">
        <v>40057</v>
      </c>
      <c r="C324" s="16">
        <v>1455262864.3900001</v>
      </c>
      <c r="D324" s="16" t="s">
        <v>16</v>
      </c>
      <c r="E324" s="16">
        <v>1</v>
      </c>
    </row>
    <row r="325" spans="2:5">
      <c r="B325" s="37">
        <v>40057</v>
      </c>
      <c r="C325" s="16">
        <v>1386139068.05</v>
      </c>
      <c r="D325" s="16" t="s">
        <v>4</v>
      </c>
      <c r="E325" s="16">
        <v>2</v>
      </c>
    </row>
    <row r="326" spans="2:5">
      <c r="B326" s="37">
        <v>40057</v>
      </c>
      <c r="C326" s="16">
        <v>662314912</v>
      </c>
      <c r="D326" s="16" t="s">
        <v>8</v>
      </c>
      <c r="E326" s="16">
        <v>3</v>
      </c>
    </row>
    <row r="327" spans="2:5">
      <c r="B327" s="37">
        <v>40057</v>
      </c>
      <c r="C327" s="16">
        <v>535204931.82999998</v>
      </c>
      <c r="D327" s="16" t="s">
        <v>31</v>
      </c>
      <c r="E327" s="16">
        <v>4</v>
      </c>
    </row>
    <row r="328" spans="2:5">
      <c r="B328" s="37">
        <v>40057</v>
      </c>
      <c r="C328" s="16">
        <v>392896483</v>
      </c>
      <c r="D328" s="16" t="s">
        <v>14</v>
      </c>
      <c r="E328" s="16">
        <v>5</v>
      </c>
    </row>
    <row r="329" spans="2:5">
      <c r="B329" s="37">
        <v>40057</v>
      </c>
      <c r="C329" s="16">
        <v>373117308.55000001</v>
      </c>
      <c r="D329" s="16" t="s">
        <v>122</v>
      </c>
      <c r="E329" s="16">
        <v>6</v>
      </c>
    </row>
    <row r="330" spans="2:5">
      <c r="B330" s="37">
        <v>40057</v>
      </c>
      <c r="C330" s="16">
        <v>369824636.37</v>
      </c>
      <c r="D330" s="16" t="s">
        <v>6</v>
      </c>
      <c r="E330" s="16">
        <v>7</v>
      </c>
    </row>
    <row r="331" spans="2:5">
      <c r="B331" s="37">
        <v>40057</v>
      </c>
      <c r="C331" s="16">
        <v>367167000</v>
      </c>
      <c r="D331" s="16" t="s">
        <v>26</v>
      </c>
      <c r="E331" s="16">
        <v>8</v>
      </c>
    </row>
    <row r="332" spans="2:5">
      <c r="B332" s="37">
        <v>40057</v>
      </c>
      <c r="C332" s="16">
        <v>309371977</v>
      </c>
      <c r="D332" s="16" t="s">
        <v>46</v>
      </c>
      <c r="E332" s="16">
        <v>9</v>
      </c>
    </row>
    <row r="333" spans="2:5">
      <c r="B333" s="37">
        <v>40057</v>
      </c>
      <c r="C333" s="16">
        <v>293241969.97000003</v>
      </c>
      <c r="D333" s="16" t="s">
        <v>22</v>
      </c>
      <c r="E333" s="16">
        <v>10</v>
      </c>
    </row>
    <row r="334" spans="2:5">
      <c r="B334" s="37">
        <v>40087</v>
      </c>
      <c r="C334" s="16">
        <v>1418743217.1300001</v>
      </c>
      <c r="D334" s="16" t="s">
        <v>16</v>
      </c>
      <c r="E334" s="16">
        <v>1</v>
      </c>
    </row>
    <row r="335" spans="2:5">
      <c r="B335" s="37">
        <v>40087</v>
      </c>
      <c r="C335" s="16">
        <v>715387862</v>
      </c>
      <c r="D335" s="16" t="s">
        <v>8</v>
      </c>
      <c r="E335" s="16">
        <v>2</v>
      </c>
    </row>
    <row r="336" spans="2:5">
      <c r="B336" s="37">
        <v>40087</v>
      </c>
      <c r="C336" s="16">
        <v>601179484.77999997</v>
      </c>
      <c r="D336" s="16" t="s">
        <v>22</v>
      </c>
      <c r="E336" s="16">
        <v>3</v>
      </c>
    </row>
    <row r="337" spans="2:5">
      <c r="B337" s="37">
        <v>40087</v>
      </c>
      <c r="C337" s="16">
        <v>583166238.41999996</v>
      </c>
      <c r="D337" s="16" t="s">
        <v>4</v>
      </c>
      <c r="E337" s="16">
        <v>4</v>
      </c>
    </row>
    <row r="338" spans="2:5">
      <c r="B338" s="37">
        <v>40087</v>
      </c>
      <c r="C338" s="16">
        <v>328546288.49000001</v>
      </c>
      <c r="D338" s="16" t="s">
        <v>31</v>
      </c>
      <c r="E338" s="16">
        <v>5</v>
      </c>
    </row>
    <row r="339" spans="2:5">
      <c r="B339" s="37">
        <v>40087</v>
      </c>
      <c r="C339" s="16">
        <v>313722494</v>
      </c>
      <c r="D339" s="16" t="s">
        <v>14</v>
      </c>
      <c r="E339" s="16">
        <v>6</v>
      </c>
    </row>
    <row r="340" spans="2:5">
      <c r="B340" s="37">
        <v>40087</v>
      </c>
      <c r="C340" s="16">
        <v>201230000</v>
      </c>
      <c r="D340" s="16" t="s">
        <v>25</v>
      </c>
      <c r="E340" s="16">
        <v>7</v>
      </c>
    </row>
    <row r="341" spans="2:5">
      <c r="B341" s="37">
        <v>40087</v>
      </c>
      <c r="C341" s="16">
        <v>178810000</v>
      </c>
      <c r="D341" s="16" t="s">
        <v>26</v>
      </c>
      <c r="E341" s="16">
        <v>8</v>
      </c>
    </row>
    <row r="342" spans="2:5">
      <c r="B342" s="37">
        <v>40087</v>
      </c>
      <c r="C342" s="16">
        <v>167413793</v>
      </c>
      <c r="D342" s="16" t="s">
        <v>46</v>
      </c>
      <c r="E342" s="16">
        <v>9</v>
      </c>
    </row>
    <row r="343" spans="2:5">
      <c r="B343" s="37">
        <v>40087</v>
      </c>
      <c r="C343" s="16">
        <v>165067455.38999999</v>
      </c>
      <c r="D343" s="16" t="s">
        <v>34</v>
      </c>
      <c r="E343" s="16">
        <v>10</v>
      </c>
    </row>
    <row r="344" spans="2:5">
      <c r="B344" s="37">
        <v>40118</v>
      </c>
      <c r="C344" s="16">
        <v>1807093775.6700001</v>
      </c>
      <c r="D344" s="16" t="s">
        <v>16</v>
      </c>
      <c r="E344" s="16">
        <v>1</v>
      </c>
    </row>
    <row r="345" spans="2:5">
      <c r="B345" s="37">
        <v>40118</v>
      </c>
      <c r="C345" s="16">
        <v>725941382.64999998</v>
      </c>
      <c r="D345" s="16" t="s">
        <v>8</v>
      </c>
      <c r="E345" s="16">
        <v>2</v>
      </c>
    </row>
    <row r="346" spans="2:5">
      <c r="B346" s="37">
        <v>40118</v>
      </c>
      <c r="C346" s="16">
        <v>677909185.74000001</v>
      </c>
      <c r="D346" s="16" t="s">
        <v>31</v>
      </c>
      <c r="E346" s="16">
        <v>3</v>
      </c>
    </row>
    <row r="347" spans="2:5">
      <c r="B347" s="37">
        <v>40118</v>
      </c>
      <c r="C347" s="16">
        <v>664611984.01999998</v>
      </c>
      <c r="D347" s="16" t="s">
        <v>4</v>
      </c>
      <c r="E347" s="16">
        <v>4</v>
      </c>
    </row>
    <row r="348" spans="2:5">
      <c r="B348" s="37">
        <v>40118</v>
      </c>
      <c r="C348" s="16">
        <v>333607808.50999999</v>
      </c>
      <c r="D348" s="16" t="s">
        <v>22</v>
      </c>
      <c r="E348" s="16">
        <v>5</v>
      </c>
    </row>
    <row r="349" spans="2:5">
      <c r="B349" s="37">
        <v>40118</v>
      </c>
      <c r="C349" s="16">
        <v>274304277</v>
      </c>
      <c r="D349" s="16" t="s">
        <v>14</v>
      </c>
      <c r="E349" s="16">
        <v>6</v>
      </c>
    </row>
    <row r="350" spans="2:5">
      <c r="B350" s="37">
        <v>40118</v>
      </c>
      <c r="C350" s="16">
        <v>232064982</v>
      </c>
      <c r="D350" s="16" t="s">
        <v>46</v>
      </c>
      <c r="E350" s="16">
        <v>7</v>
      </c>
    </row>
    <row r="351" spans="2:5">
      <c r="B351" s="37">
        <v>40118</v>
      </c>
      <c r="C351" s="16">
        <v>168265638.58000001</v>
      </c>
      <c r="D351" s="16" t="s">
        <v>12</v>
      </c>
      <c r="E351" s="16">
        <v>8</v>
      </c>
    </row>
    <row r="352" spans="2:5">
      <c r="B352" s="37">
        <v>40118</v>
      </c>
      <c r="C352" s="16">
        <v>162763600</v>
      </c>
      <c r="D352" s="16" t="s">
        <v>23</v>
      </c>
      <c r="E352" s="16">
        <v>9</v>
      </c>
    </row>
    <row r="353" spans="2:5">
      <c r="B353" s="37">
        <v>40118</v>
      </c>
      <c r="C353" s="16">
        <v>140701946.41999999</v>
      </c>
      <c r="D353" s="16" t="s">
        <v>34</v>
      </c>
      <c r="E353" s="16">
        <v>10</v>
      </c>
    </row>
    <row r="354" spans="2:5">
      <c r="B354" s="37">
        <v>40148</v>
      </c>
      <c r="C354" s="16">
        <v>1731178948.49</v>
      </c>
      <c r="D354" s="16" t="s">
        <v>16</v>
      </c>
      <c r="E354" s="16">
        <v>1</v>
      </c>
    </row>
    <row r="355" spans="2:5">
      <c r="B355" s="37">
        <v>40148</v>
      </c>
      <c r="C355" s="16">
        <v>975997990</v>
      </c>
      <c r="D355" s="16" t="s">
        <v>8</v>
      </c>
      <c r="E355" s="16">
        <v>2</v>
      </c>
    </row>
    <row r="356" spans="2:5">
      <c r="B356" s="37">
        <v>40148</v>
      </c>
      <c r="C356" s="16">
        <v>973330970.29999995</v>
      </c>
      <c r="D356" s="16" t="s">
        <v>22</v>
      </c>
      <c r="E356" s="16">
        <v>3</v>
      </c>
    </row>
    <row r="357" spans="2:5">
      <c r="B357" s="37">
        <v>40148</v>
      </c>
      <c r="C357" s="16">
        <v>851642916.98000002</v>
      </c>
      <c r="D357" s="16" t="s">
        <v>4</v>
      </c>
      <c r="E357" s="16">
        <v>4</v>
      </c>
    </row>
    <row r="358" spans="2:5">
      <c r="B358" s="37">
        <v>40148</v>
      </c>
      <c r="C358" s="16">
        <v>421704151</v>
      </c>
      <c r="D358" s="16" t="s">
        <v>14</v>
      </c>
      <c r="E358" s="16">
        <v>5</v>
      </c>
    </row>
    <row r="359" spans="2:5">
      <c r="B359" s="37">
        <v>40148</v>
      </c>
      <c r="C359" s="16">
        <v>335660321.93000001</v>
      </c>
      <c r="D359" s="16" t="s">
        <v>31</v>
      </c>
      <c r="E359" s="16">
        <v>6</v>
      </c>
    </row>
    <row r="360" spans="2:5">
      <c r="B360" s="37">
        <v>40148</v>
      </c>
      <c r="C360" s="16">
        <v>256244680</v>
      </c>
      <c r="D360" s="16" t="s">
        <v>6</v>
      </c>
      <c r="E360" s="16">
        <v>7</v>
      </c>
    </row>
    <row r="361" spans="2:5">
      <c r="B361" s="37">
        <v>40148</v>
      </c>
      <c r="C361" s="16">
        <v>255461469.28</v>
      </c>
      <c r="D361" s="16" t="s">
        <v>12</v>
      </c>
      <c r="E361" s="16">
        <v>8</v>
      </c>
    </row>
    <row r="362" spans="2:5">
      <c r="B362" s="37">
        <v>40148</v>
      </c>
      <c r="C362" s="16">
        <v>245149750</v>
      </c>
      <c r="D362" s="16" t="s">
        <v>39</v>
      </c>
      <c r="E362" s="16">
        <v>9</v>
      </c>
    </row>
    <row r="363" spans="2:5">
      <c r="B363" s="37">
        <v>40148</v>
      </c>
      <c r="C363" s="16">
        <v>220651994.84999999</v>
      </c>
      <c r="D363" s="16" t="s">
        <v>36</v>
      </c>
      <c r="E363" s="16">
        <v>10</v>
      </c>
    </row>
    <row r="364" spans="2:5">
      <c r="B364" s="37">
        <v>40179</v>
      </c>
      <c r="C364" s="16">
        <v>1887253190.6600001</v>
      </c>
      <c r="D364" s="16" t="s">
        <v>16</v>
      </c>
      <c r="E364" s="16">
        <v>1</v>
      </c>
    </row>
    <row r="365" spans="2:5">
      <c r="B365" s="37">
        <v>40179</v>
      </c>
      <c r="C365" s="16">
        <v>736021209.74000001</v>
      </c>
      <c r="D365" s="16" t="s">
        <v>8</v>
      </c>
      <c r="E365" s="16">
        <v>2</v>
      </c>
    </row>
    <row r="366" spans="2:5">
      <c r="B366" s="37">
        <v>40179</v>
      </c>
      <c r="C366" s="16">
        <v>657628874.59000003</v>
      </c>
      <c r="D366" s="16" t="s">
        <v>31</v>
      </c>
      <c r="E366" s="16">
        <v>3</v>
      </c>
    </row>
    <row r="367" spans="2:5">
      <c r="B367" s="37">
        <v>40179</v>
      </c>
      <c r="C367" s="16">
        <v>498952028</v>
      </c>
      <c r="D367" s="16" t="s">
        <v>14</v>
      </c>
      <c r="E367" s="16">
        <v>4</v>
      </c>
    </row>
    <row r="368" spans="2:5">
      <c r="B368" s="37">
        <v>40179</v>
      </c>
      <c r="C368" s="16">
        <v>386823003.75999999</v>
      </c>
      <c r="D368" s="16" t="s">
        <v>37</v>
      </c>
      <c r="E368" s="16">
        <v>5</v>
      </c>
    </row>
    <row r="369" spans="2:5">
      <c r="B369" s="37">
        <v>40179</v>
      </c>
      <c r="C369" s="16">
        <v>382702991.48000002</v>
      </c>
      <c r="D369" s="16" t="s">
        <v>123</v>
      </c>
      <c r="E369" s="16">
        <v>6</v>
      </c>
    </row>
    <row r="370" spans="2:5">
      <c r="B370" s="37">
        <v>40179</v>
      </c>
      <c r="C370" s="16">
        <v>370358677.55000001</v>
      </c>
      <c r="D370" s="16" t="s">
        <v>4</v>
      </c>
      <c r="E370" s="16">
        <v>7</v>
      </c>
    </row>
    <row r="371" spans="2:5">
      <c r="B371" s="37">
        <v>40179</v>
      </c>
      <c r="C371" s="16">
        <v>320972935.91000003</v>
      </c>
      <c r="D371" s="16" t="s">
        <v>22</v>
      </c>
      <c r="E371" s="16">
        <v>8</v>
      </c>
    </row>
    <row r="372" spans="2:5">
      <c r="B372" s="37">
        <v>40179</v>
      </c>
      <c r="C372" s="16">
        <v>274605012.31</v>
      </c>
      <c r="D372" s="16" t="s">
        <v>12</v>
      </c>
      <c r="E372" s="16">
        <v>9</v>
      </c>
    </row>
    <row r="373" spans="2:5">
      <c r="B373" s="37">
        <v>40179</v>
      </c>
      <c r="C373" s="16">
        <v>264247786</v>
      </c>
      <c r="D373" s="16" t="s">
        <v>6</v>
      </c>
      <c r="E373" s="16">
        <v>10</v>
      </c>
    </row>
    <row r="374" spans="2:5">
      <c r="B374" s="37">
        <v>40210</v>
      </c>
      <c r="C374" s="16">
        <v>2017223525.6800001</v>
      </c>
      <c r="D374" s="16" t="s">
        <v>16</v>
      </c>
      <c r="E374" s="16">
        <v>1</v>
      </c>
    </row>
    <row r="375" spans="2:5">
      <c r="B375" s="37">
        <v>40210</v>
      </c>
      <c r="C375" s="16">
        <v>535898276.69</v>
      </c>
      <c r="D375" s="16" t="s">
        <v>8</v>
      </c>
      <c r="E375" s="16">
        <v>2</v>
      </c>
    </row>
    <row r="376" spans="2:5">
      <c r="B376" s="37">
        <v>40210</v>
      </c>
      <c r="C376" s="16">
        <v>442717691</v>
      </c>
      <c r="D376" s="16" t="s">
        <v>14</v>
      </c>
      <c r="E376" s="16">
        <v>3</v>
      </c>
    </row>
    <row r="377" spans="2:5">
      <c r="B377" s="37">
        <v>40210</v>
      </c>
      <c r="C377" s="16">
        <v>415371190.91000003</v>
      </c>
      <c r="D377" s="16" t="s">
        <v>4</v>
      </c>
      <c r="E377" s="16">
        <v>4</v>
      </c>
    </row>
    <row r="378" spans="2:5">
      <c r="B378" s="37">
        <v>40210</v>
      </c>
      <c r="C378" s="16">
        <v>373476000</v>
      </c>
      <c r="D378" s="16" t="s">
        <v>25</v>
      </c>
      <c r="E378" s="16">
        <v>5</v>
      </c>
    </row>
    <row r="379" spans="2:5">
      <c r="B379" s="37">
        <v>40210</v>
      </c>
      <c r="C379" s="16">
        <v>321823979.80000001</v>
      </c>
      <c r="D379" s="16" t="s">
        <v>22</v>
      </c>
      <c r="E379" s="16">
        <v>6</v>
      </c>
    </row>
    <row r="380" spans="2:5">
      <c r="B380" s="37">
        <v>40210</v>
      </c>
      <c r="C380" s="16">
        <v>320998330</v>
      </c>
      <c r="D380" s="16" t="s">
        <v>6</v>
      </c>
      <c r="E380" s="16">
        <v>7</v>
      </c>
    </row>
    <row r="381" spans="2:5">
      <c r="B381" s="37">
        <v>40210</v>
      </c>
      <c r="C381" s="16">
        <v>312869718.56999999</v>
      </c>
      <c r="D381" s="16" t="s">
        <v>38</v>
      </c>
      <c r="E381" s="16">
        <v>8</v>
      </c>
    </row>
    <row r="382" spans="2:5">
      <c r="B382" s="37">
        <v>40210</v>
      </c>
      <c r="C382" s="16">
        <v>219003610.53999999</v>
      </c>
      <c r="D382" s="16" t="s">
        <v>34</v>
      </c>
      <c r="E382" s="16">
        <v>9</v>
      </c>
    </row>
    <row r="383" spans="2:5">
      <c r="B383" s="37">
        <v>40210</v>
      </c>
      <c r="C383" s="16">
        <v>201876347</v>
      </c>
      <c r="D383" s="16" t="s">
        <v>33</v>
      </c>
      <c r="E383" s="16">
        <v>10</v>
      </c>
    </row>
    <row r="384" spans="2:5">
      <c r="B384" s="37">
        <v>40238</v>
      </c>
      <c r="C384" s="16">
        <v>1009165492.87</v>
      </c>
      <c r="D384" s="16" t="s">
        <v>16</v>
      </c>
      <c r="E384" s="16">
        <v>1</v>
      </c>
    </row>
    <row r="385" spans="2:5">
      <c r="B385" s="37">
        <v>40238</v>
      </c>
      <c r="C385" s="16">
        <v>489940410.56</v>
      </c>
      <c r="D385" s="16" t="s">
        <v>4</v>
      </c>
      <c r="E385" s="16">
        <v>2</v>
      </c>
    </row>
    <row r="386" spans="2:5">
      <c r="B386" s="37">
        <v>40238</v>
      </c>
      <c r="C386" s="16">
        <v>466248926.74000001</v>
      </c>
      <c r="D386" s="16" t="s">
        <v>8</v>
      </c>
      <c r="E386" s="16">
        <v>3</v>
      </c>
    </row>
    <row r="387" spans="2:5">
      <c r="B387" s="37">
        <v>40238</v>
      </c>
      <c r="C387" s="16">
        <v>357652436</v>
      </c>
      <c r="D387" s="16" t="s">
        <v>14</v>
      </c>
      <c r="E387" s="16">
        <v>4</v>
      </c>
    </row>
    <row r="388" spans="2:5">
      <c r="B388" s="37">
        <v>40238</v>
      </c>
      <c r="C388" s="16">
        <v>280526539.32999998</v>
      </c>
      <c r="D388" s="16" t="s">
        <v>38</v>
      </c>
      <c r="E388" s="16">
        <v>5</v>
      </c>
    </row>
    <row r="389" spans="2:5">
      <c r="B389" s="37">
        <v>40238</v>
      </c>
      <c r="C389" s="16">
        <v>256390618</v>
      </c>
      <c r="D389" s="16" t="s">
        <v>6</v>
      </c>
      <c r="E389" s="16">
        <v>6</v>
      </c>
    </row>
    <row r="390" spans="2:5">
      <c r="B390" s="37">
        <v>40238</v>
      </c>
      <c r="C390" s="16">
        <v>213089667.86000001</v>
      </c>
      <c r="D390" s="16" t="s">
        <v>22</v>
      </c>
      <c r="E390" s="16">
        <v>7</v>
      </c>
    </row>
    <row r="391" spans="2:5">
      <c r="B391" s="37">
        <v>40238</v>
      </c>
      <c r="C391" s="16">
        <v>178228183.05000001</v>
      </c>
      <c r="D391" s="16" t="s">
        <v>33</v>
      </c>
      <c r="E391" s="16">
        <v>8</v>
      </c>
    </row>
    <row r="392" spans="2:5">
      <c r="B392" s="37">
        <v>40238</v>
      </c>
      <c r="C392" s="16">
        <v>165504588.28999999</v>
      </c>
      <c r="D392" s="16" t="s">
        <v>12</v>
      </c>
      <c r="E392" s="16">
        <v>9</v>
      </c>
    </row>
    <row r="393" spans="2:5">
      <c r="B393" s="37">
        <v>40238</v>
      </c>
      <c r="C393" s="16">
        <v>142809130.99000001</v>
      </c>
      <c r="D393" s="16" t="s">
        <v>34</v>
      </c>
      <c r="E393" s="16">
        <v>10</v>
      </c>
    </row>
    <row r="394" spans="2:5">
      <c r="B394" s="37">
        <v>40269</v>
      </c>
      <c r="C394" s="16">
        <v>1206641880.98</v>
      </c>
      <c r="D394" s="16" t="s">
        <v>16</v>
      </c>
      <c r="E394" s="16">
        <v>1</v>
      </c>
    </row>
    <row r="395" spans="2:5">
      <c r="B395" s="37">
        <v>40269</v>
      </c>
      <c r="C395" s="16">
        <v>566563714.44000006</v>
      </c>
      <c r="D395" s="16" t="s">
        <v>38</v>
      </c>
      <c r="E395" s="16">
        <v>2</v>
      </c>
    </row>
    <row r="396" spans="2:5">
      <c r="B396" s="37">
        <v>40269</v>
      </c>
      <c r="C396" s="16">
        <v>544126887.90999997</v>
      </c>
      <c r="D396" s="16" t="s">
        <v>8</v>
      </c>
      <c r="E396" s="16">
        <v>3</v>
      </c>
    </row>
    <row r="397" spans="2:5">
      <c r="B397" s="37">
        <v>40269</v>
      </c>
      <c r="C397" s="16">
        <v>376001263</v>
      </c>
      <c r="D397" s="16" t="s">
        <v>14</v>
      </c>
      <c r="E397" s="16">
        <v>4</v>
      </c>
    </row>
    <row r="398" spans="2:5">
      <c r="B398" s="37">
        <v>40269</v>
      </c>
      <c r="C398" s="16">
        <v>365340363</v>
      </c>
      <c r="D398" s="16" t="s">
        <v>39</v>
      </c>
      <c r="E398" s="16">
        <v>5</v>
      </c>
    </row>
    <row r="399" spans="2:5">
      <c r="B399" s="37">
        <v>40269</v>
      </c>
      <c r="C399" s="16">
        <v>364539345.07999998</v>
      </c>
      <c r="D399" s="16" t="s">
        <v>4</v>
      </c>
      <c r="E399" s="16">
        <v>6</v>
      </c>
    </row>
    <row r="400" spans="2:5">
      <c r="B400" s="37">
        <v>40269</v>
      </c>
      <c r="C400" s="16">
        <v>204061978</v>
      </c>
      <c r="D400" s="16" t="s">
        <v>6</v>
      </c>
      <c r="E400" s="16">
        <v>7</v>
      </c>
    </row>
    <row r="401" spans="2:5">
      <c r="B401" s="37">
        <v>40269</v>
      </c>
      <c r="C401" s="16">
        <v>199092151.21000001</v>
      </c>
      <c r="D401" s="16" t="s">
        <v>34</v>
      </c>
      <c r="E401" s="16">
        <v>8</v>
      </c>
    </row>
    <row r="402" spans="2:5">
      <c r="B402" s="37">
        <v>40269</v>
      </c>
      <c r="C402" s="16">
        <v>198084940.84999999</v>
      </c>
      <c r="D402" s="16" t="s">
        <v>22</v>
      </c>
      <c r="E402" s="16">
        <v>9</v>
      </c>
    </row>
    <row r="403" spans="2:5">
      <c r="B403" s="37">
        <v>40269</v>
      </c>
      <c r="C403" s="16">
        <v>167869340</v>
      </c>
      <c r="D403" s="16" t="s">
        <v>33</v>
      </c>
      <c r="E403" s="16">
        <v>10</v>
      </c>
    </row>
    <row r="404" spans="2:5">
      <c r="B404" s="37">
        <v>40299</v>
      </c>
      <c r="C404" s="16">
        <v>1280550786.26</v>
      </c>
      <c r="D404" s="16" t="s">
        <v>16</v>
      </c>
      <c r="E404" s="16">
        <v>1</v>
      </c>
    </row>
    <row r="405" spans="2:5">
      <c r="B405" s="37">
        <v>40299</v>
      </c>
      <c r="C405" s="16">
        <v>827846631.82000005</v>
      </c>
      <c r="D405" s="16" t="s">
        <v>4</v>
      </c>
      <c r="E405" s="16">
        <v>2</v>
      </c>
    </row>
    <row r="406" spans="2:5">
      <c r="B406" s="37">
        <v>40299</v>
      </c>
      <c r="C406" s="16">
        <v>748562261.27999997</v>
      </c>
      <c r="D406" s="16" t="s">
        <v>8</v>
      </c>
      <c r="E406" s="16">
        <v>3</v>
      </c>
    </row>
    <row r="407" spans="2:5">
      <c r="B407" s="37">
        <v>40299</v>
      </c>
      <c r="C407" s="16">
        <v>397458378.94</v>
      </c>
      <c r="D407" s="16" t="s">
        <v>38</v>
      </c>
      <c r="E407" s="16">
        <v>4</v>
      </c>
    </row>
    <row r="408" spans="2:5">
      <c r="B408" s="37">
        <v>40299</v>
      </c>
      <c r="C408" s="16">
        <v>224760134</v>
      </c>
      <c r="D408" s="16" t="s">
        <v>14</v>
      </c>
      <c r="E408" s="16">
        <v>5</v>
      </c>
    </row>
    <row r="409" spans="2:5">
      <c r="B409" s="37">
        <v>40299</v>
      </c>
      <c r="C409" s="16">
        <v>212951848</v>
      </c>
      <c r="D409" s="16" t="s">
        <v>12</v>
      </c>
      <c r="E409" s="16">
        <v>6</v>
      </c>
    </row>
    <row r="410" spans="2:5">
      <c r="B410" s="37">
        <v>40299</v>
      </c>
      <c r="C410" s="16">
        <v>197677167</v>
      </c>
      <c r="D410" s="16" t="s">
        <v>34</v>
      </c>
      <c r="E410" s="16">
        <v>7</v>
      </c>
    </row>
    <row r="411" spans="2:5">
      <c r="B411" s="37">
        <v>40299</v>
      </c>
      <c r="C411" s="16">
        <v>181053362.31</v>
      </c>
      <c r="D411" s="16" t="s">
        <v>22</v>
      </c>
      <c r="E411" s="16">
        <v>8</v>
      </c>
    </row>
    <row r="412" spans="2:5">
      <c r="B412" s="37">
        <v>40299</v>
      </c>
      <c r="C412" s="16">
        <v>160258874</v>
      </c>
      <c r="D412" s="16" t="s">
        <v>33</v>
      </c>
      <c r="E412" s="16">
        <v>9</v>
      </c>
    </row>
    <row r="413" spans="2:5">
      <c r="B413" s="37">
        <v>40299</v>
      </c>
      <c r="C413" s="16">
        <v>150449983.80000001</v>
      </c>
      <c r="D413" s="16" t="s">
        <v>6</v>
      </c>
      <c r="E413" s="16">
        <v>10</v>
      </c>
    </row>
    <row r="414" spans="2:5">
      <c r="B414" s="37">
        <v>40330</v>
      </c>
      <c r="C414" s="16">
        <v>1873141654.6800001</v>
      </c>
      <c r="D414" s="16" t="s">
        <v>16</v>
      </c>
      <c r="E414" s="16">
        <v>1</v>
      </c>
    </row>
    <row r="415" spans="2:5">
      <c r="B415" s="37">
        <v>40330</v>
      </c>
      <c r="C415" s="16">
        <v>987339146.05999994</v>
      </c>
      <c r="D415" s="16" t="s">
        <v>4</v>
      </c>
      <c r="E415" s="16">
        <v>2</v>
      </c>
    </row>
    <row r="416" spans="2:5">
      <c r="B416" s="37">
        <v>40330</v>
      </c>
      <c r="C416" s="16">
        <v>843058237.84000003</v>
      </c>
      <c r="D416" s="16" t="s">
        <v>8</v>
      </c>
      <c r="E416" s="16">
        <v>3</v>
      </c>
    </row>
    <row r="417" spans="2:5">
      <c r="B417" s="37">
        <v>40330</v>
      </c>
      <c r="C417" s="16">
        <v>418791874.29000002</v>
      </c>
      <c r="D417" s="16" t="s">
        <v>38</v>
      </c>
      <c r="E417" s="16">
        <v>4</v>
      </c>
    </row>
    <row r="418" spans="2:5">
      <c r="B418" s="37">
        <v>40330</v>
      </c>
      <c r="C418" s="16">
        <v>246136566</v>
      </c>
      <c r="D418" s="16" t="s">
        <v>14</v>
      </c>
      <c r="E418" s="16">
        <v>5</v>
      </c>
    </row>
    <row r="419" spans="2:5">
      <c r="B419" s="37">
        <v>40330</v>
      </c>
      <c r="C419" s="16">
        <v>239419621.41</v>
      </c>
      <c r="D419" s="16" t="s">
        <v>22</v>
      </c>
      <c r="E419" s="16">
        <v>6</v>
      </c>
    </row>
    <row r="420" spans="2:5">
      <c r="B420" s="37">
        <v>40330</v>
      </c>
      <c r="C420" s="16">
        <v>213307173.88999999</v>
      </c>
      <c r="D420" s="16" t="s">
        <v>34</v>
      </c>
      <c r="E420" s="16">
        <v>7</v>
      </c>
    </row>
    <row r="421" spans="2:5">
      <c r="B421" s="37">
        <v>40330</v>
      </c>
      <c r="C421" s="16">
        <v>205470648.09999999</v>
      </c>
      <c r="D421" s="16" t="s">
        <v>33</v>
      </c>
      <c r="E421" s="16">
        <v>8</v>
      </c>
    </row>
    <row r="422" spans="2:5">
      <c r="B422" s="37">
        <v>40330</v>
      </c>
      <c r="C422" s="16">
        <v>174563615.13</v>
      </c>
      <c r="D422" s="16" t="s">
        <v>6</v>
      </c>
      <c r="E422" s="16">
        <v>9</v>
      </c>
    </row>
    <row r="423" spans="2:5">
      <c r="B423" s="37">
        <v>40330</v>
      </c>
      <c r="C423" s="16">
        <v>173212000</v>
      </c>
      <c r="D423" s="16" t="s">
        <v>39</v>
      </c>
      <c r="E423" s="16">
        <v>10</v>
      </c>
    </row>
    <row r="424" spans="2:5">
      <c r="B424" s="37">
        <v>40360</v>
      </c>
      <c r="C424" s="16">
        <v>2520047942.54</v>
      </c>
      <c r="D424" s="16" t="s">
        <v>16</v>
      </c>
      <c r="E424" s="16">
        <v>1</v>
      </c>
    </row>
    <row r="425" spans="2:5">
      <c r="B425" s="37">
        <v>40360</v>
      </c>
      <c r="C425" s="16">
        <v>974133095.32000005</v>
      </c>
      <c r="D425" s="16" t="s">
        <v>4</v>
      </c>
      <c r="E425" s="16">
        <v>2</v>
      </c>
    </row>
    <row r="426" spans="2:5">
      <c r="B426" s="37">
        <v>40360</v>
      </c>
      <c r="C426" s="16">
        <v>675914527.42999995</v>
      </c>
      <c r="D426" s="16" t="s">
        <v>38</v>
      </c>
      <c r="E426" s="16">
        <v>3</v>
      </c>
    </row>
    <row r="427" spans="2:5">
      <c r="B427" s="37">
        <v>40360</v>
      </c>
      <c r="C427" s="16">
        <v>621237152.12</v>
      </c>
      <c r="D427" s="16" t="s">
        <v>8</v>
      </c>
      <c r="E427" s="16">
        <v>4</v>
      </c>
    </row>
    <row r="428" spans="2:5">
      <c r="B428" s="37">
        <v>40360</v>
      </c>
      <c r="C428" s="16">
        <v>474094385.06999999</v>
      </c>
      <c r="D428" s="16" t="s">
        <v>40</v>
      </c>
      <c r="E428" s="16">
        <v>5</v>
      </c>
    </row>
    <row r="429" spans="2:5">
      <c r="B429" s="37">
        <v>40360</v>
      </c>
      <c r="C429" s="16">
        <v>271429924.24000001</v>
      </c>
      <c r="D429" s="16" t="s">
        <v>33</v>
      </c>
      <c r="E429" s="16">
        <v>6</v>
      </c>
    </row>
    <row r="430" spans="2:5">
      <c r="B430" s="37">
        <v>40360</v>
      </c>
      <c r="C430" s="16">
        <v>252210007</v>
      </c>
      <c r="D430" s="16" t="s">
        <v>34</v>
      </c>
      <c r="E430" s="16">
        <v>7</v>
      </c>
    </row>
    <row r="431" spans="2:5">
      <c r="B431" s="37">
        <v>40360</v>
      </c>
      <c r="C431" s="16">
        <v>234752087</v>
      </c>
      <c r="D431" s="16" t="s">
        <v>14</v>
      </c>
      <c r="E431" s="16">
        <v>8</v>
      </c>
    </row>
    <row r="432" spans="2:5">
      <c r="B432" s="37">
        <v>40360</v>
      </c>
      <c r="C432" s="16">
        <v>221720540.91999999</v>
      </c>
      <c r="D432" s="16" t="s">
        <v>22</v>
      </c>
      <c r="E432" s="16">
        <v>9</v>
      </c>
    </row>
    <row r="433" spans="2:5">
      <c r="B433" s="37">
        <v>40360</v>
      </c>
      <c r="C433" s="16">
        <v>209192254.93000001</v>
      </c>
      <c r="D433" s="16" t="s">
        <v>71</v>
      </c>
      <c r="E433" s="16">
        <v>10</v>
      </c>
    </row>
    <row r="434" spans="2:5">
      <c r="B434" s="37">
        <v>40391</v>
      </c>
      <c r="C434" s="16">
        <v>2690541294.77</v>
      </c>
      <c r="D434" s="16" t="s">
        <v>16</v>
      </c>
      <c r="E434" s="16">
        <v>1</v>
      </c>
    </row>
    <row r="435" spans="2:5">
      <c r="B435" s="37">
        <v>40391</v>
      </c>
      <c r="C435" s="16">
        <v>1438161442.27</v>
      </c>
      <c r="D435" s="16" t="s">
        <v>8</v>
      </c>
      <c r="E435" s="16">
        <v>2</v>
      </c>
    </row>
    <row r="436" spans="2:5">
      <c r="B436" s="37">
        <v>40391</v>
      </c>
      <c r="C436" s="16">
        <v>1411205922.8599999</v>
      </c>
      <c r="D436" s="16" t="s">
        <v>4</v>
      </c>
      <c r="E436" s="16">
        <v>3</v>
      </c>
    </row>
    <row r="437" spans="2:5">
      <c r="B437" s="37">
        <v>40391</v>
      </c>
      <c r="C437" s="16">
        <v>679976598.80999994</v>
      </c>
      <c r="D437" s="16" t="s">
        <v>38</v>
      </c>
      <c r="E437" s="16">
        <v>4</v>
      </c>
    </row>
    <row r="438" spans="2:5">
      <c r="B438" s="37">
        <v>40391</v>
      </c>
      <c r="C438" s="16">
        <v>604184628</v>
      </c>
      <c r="D438" s="16" t="s">
        <v>41</v>
      </c>
      <c r="E438" s="16">
        <v>5</v>
      </c>
    </row>
    <row r="439" spans="2:5">
      <c r="B439" s="37">
        <v>40391</v>
      </c>
      <c r="C439" s="16">
        <v>454589773.49000001</v>
      </c>
      <c r="D439" s="16" t="s">
        <v>49</v>
      </c>
      <c r="E439" s="16">
        <v>6</v>
      </c>
    </row>
    <row r="440" spans="2:5">
      <c r="B440" s="37">
        <v>40391</v>
      </c>
      <c r="C440" s="16">
        <v>360388156.05000001</v>
      </c>
      <c r="D440" s="16" t="s">
        <v>33</v>
      </c>
      <c r="E440" s="16">
        <v>7</v>
      </c>
    </row>
    <row r="441" spans="2:5">
      <c r="B441" s="37">
        <v>40391</v>
      </c>
      <c r="C441" s="16">
        <v>293645955.87</v>
      </c>
      <c r="D441" s="16" t="s">
        <v>120</v>
      </c>
      <c r="E441" s="16">
        <v>8</v>
      </c>
    </row>
    <row r="442" spans="2:5">
      <c r="B442" s="37">
        <v>40391</v>
      </c>
      <c r="C442" s="16">
        <v>280716489</v>
      </c>
      <c r="D442" s="16" t="s">
        <v>14</v>
      </c>
      <c r="E442" s="16">
        <v>9</v>
      </c>
    </row>
    <row r="443" spans="2:5">
      <c r="B443" s="37">
        <v>40391</v>
      </c>
      <c r="C443" s="16">
        <v>270902489.08999997</v>
      </c>
      <c r="D443" s="16" t="s">
        <v>71</v>
      </c>
      <c r="E443" s="16">
        <v>10</v>
      </c>
    </row>
    <row r="444" spans="2:5">
      <c r="B444" s="37">
        <v>40422</v>
      </c>
      <c r="C444" s="16">
        <v>3646842839.0100002</v>
      </c>
      <c r="D444" s="16" t="s">
        <v>16</v>
      </c>
      <c r="E444" s="16">
        <v>1</v>
      </c>
    </row>
    <row r="445" spans="2:5">
      <c r="B445" s="37">
        <v>40422</v>
      </c>
      <c r="C445" s="16">
        <v>2082908596.8599999</v>
      </c>
      <c r="D445" s="16" t="s">
        <v>8</v>
      </c>
      <c r="E445" s="16">
        <v>2</v>
      </c>
    </row>
    <row r="446" spans="2:5">
      <c r="B446" s="37">
        <v>40422</v>
      </c>
      <c r="C446" s="16">
        <v>1754955724.47</v>
      </c>
      <c r="D446" s="16" t="s">
        <v>4</v>
      </c>
      <c r="E446" s="16">
        <v>3</v>
      </c>
    </row>
    <row r="447" spans="2:5">
      <c r="B447" s="37">
        <v>40422</v>
      </c>
      <c r="C447" s="16">
        <v>1105134409.6900001</v>
      </c>
      <c r="D447" s="16" t="s">
        <v>38</v>
      </c>
      <c r="E447" s="16">
        <v>4</v>
      </c>
    </row>
    <row r="448" spans="2:5">
      <c r="B448" s="37">
        <v>40422</v>
      </c>
      <c r="C448" s="16">
        <v>842265479.03999996</v>
      </c>
      <c r="D448" s="16" t="s">
        <v>42</v>
      </c>
      <c r="E448" s="16">
        <v>5</v>
      </c>
    </row>
    <row r="449" spans="2:5">
      <c r="B449" s="37">
        <v>40422</v>
      </c>
      <c r="C449" s="16">
        <v>493113829.57999998</v>
      </c>
      <c r="D449" s="16" t="s">
        <v>49</v>
      </c>
      <c r="E449" s="16">
        <v>6</v>
      </c>
    </row>
    <row r="450" spans="2:5">
      <c r="B450" s="37">
        <v>40422</v>
      </c>
      <c r="C450" s="16">
        <v>489274543</v>
      </c>
      <c r="D450" s="16" t="s">
        <v>14</v>
      </c>
      <c r="E450" s="16">
        <v>7</v>
      </c>
    </row>
    <row r="451" spans="2:5">
      <c r="B451" s="37">
        <v>40422</v>
      </c>
      <c r="C451" s="16">
        <v>405053568.64999998</v>
      </c>
      <c r="D451" s="16" t="s">
        <v>120</v>
      </c>
      <c r="E451" s="16">
        <v>8</v>
      </c>
    </row>
    <row r="452" spans="2:5">
      <c r="B452" s="37">
        <v>40422</v>
      </c>
      <c r="C452" s="16">
        <v>381850306.74000001</v>
      </c>
      <c r="D452" s="16" t="s">
        <v>71</v>
      </c>
      <c r="E452" s="16">
        <v>9</v>
      </c>
    </row>
    <row r="453" spans="2:5">
      <c r="B453" s="37">
        <v>40422</v>
      </c>
      <c r="C453" s="16">
        <v>375577000</v>
      </c>
      <c r="D453" s="16" t="s">
        <v>12</v>
      </c>
      <c r="E453" s="16">
        <v>10</v>
      </c>
    </row>
    <row r="454" spans="2:5">
      <c r="B454" s="37">
        <v>40452</v>
      </c>
      <c r="C454" s="16">
        <v>4867074403.2299995</v>
      </c>
      <c r="D454" s="16" t="s">
        <v>16</v>
      </c>
      <c r="E454" s="16">
        <v>1</v>
      </c>
    </row>
    <row r="455" spans="2:5">
      <c r="B455" s="37">
        <v>40452</v>
      </c>
      <c r="C455" s="16">
        <v>1772716757.7</v>
      </c>
      <c r="D455" s="16" t="s">
        <v>4</v>
      </c>
      <c r="E455" s="16">
        <v>2</v>
      </c>
    </row>
    <row r="456" spans="2:5">
      <c r="B456" s="37">
        <v>40452</v>
      </c>
      <c r="C456" s="16">
        <v>1584815106.8800001</v>
      </c>
      <c r="D456" s="16" t="s">
        <v>8</v>
      </c>
      <c r="E456" s="16">
        <v>3</v>
      </c>
    </row>
    <row r="457" spans="2:5">
      <c r="B457" s="37">
        <v>40452</v>
      </c>
      <c r="C457" s="16">
        <v>985412820.13999999</v>
      </c>
      <c r="D457" s="16" t="s">
        <v>42</v>
      </c>
      <c r="E457" s="16">
        <v>4</v>
      </c>
    </row>
    <row r="458" spans="2:5">
      <c r="B458" s="37">
        <v>40452</v>
      </c>
      <c r="C458" s="16">
        <v>829124622.82000005</v>
      </c>
      <c r="D458" s="16" t="s">
        <v>38</v>
      </c>
      <c r="E458" s="16">
        <v>5</v>
      </c>
    </row>
    <row r="459" spans="2:5">
      <c r="B459" s="37">
        <v>40452</v>
      </c>
      <c r="C459" s="16">
        <v>657857765.60000002</v>
      </c>
      <c r="D459" s="16" t="s">
        <v>49</v>
      </c>
      <c r="E459" s="16">
        <v>6</v>
      </c>
    </row>
    <row r="460" spans="2:5">
      <c r="B460" s="37">
        <v>40452</v>
      </c>
      <c r="C460" s="16">
        <v>535808731.14999998</v>
      </c>
      <c r="D460" s="16" t="s">
        <v>12</v>
      </c>
      <c r="E460" s="16">
        <v>7</v>
      </c>
    </row>
    <row r="461" spans="2:5">
      <c r="B461" s="37">
        <v>40452</v>
      </c>
      <c r="C461" s="16">
        <v>485141412.38999999</v>
      </c>
      <c r="D461" s="16" t="s">
        <v>33</v>
      </c>
      <c r="E461" s="16">
        <v>8</v>
      </c>
    </row>
    <row r="462" spans="2:5">
      <c r="B462" s="37">
        <v>40452</v>
      </c>
      <c r="C462" s="16">
        <v>479801774</v>
      </c>
      <c r="D462" s="16" t="s">
        <v>14</v>
      </c>
      <c r="E462" s="16">
        <v>9</v>
      </c>
    </row>
    <row r="463" spans="2:5">
      <c r="B463" s="37">
        <v>40452</v>
      </c>
      <c r="C463" s="16">
        <v>458682291</v>
      </c>
      <c r="D463" s="16" t="s">
        <v>25</v>
      </c>
      <c r="E463" s="16">
        <v>10</v>
      </c>
    </row>
    <row r="464" spans="2:5">
      <c r="B464" s="37">
        <v>40483</v>
      </c>
      <c r="C464" s="16">
        <v>4631288816.5799999</v>
      </c>
      <c r="D464" s="16" t="s">
        <v>16</v>
      </c>
      <c r="E464" s="16">
        <v>1</v>
      </c>
    </row>
    <row r="465" spans="2:5">
      <c r="B465" s="37">
        <v>40483</v>
      </c>
      <c r="C465" s="16">
        <v>2192767460.75</v>
      </c>
      <c r="D465" s="16" t="s">
        <v>4</v>
      </c>
      <c r="E465" s="16">
        <v>2</v>
      </c>
    </row>
    <row r="466" spans="2:5">
      <c r="B466" s="37">
        <v>40483</v>
      </c>
      <c r="C466" s="16">
        <v>1752605955.22</v>
      </c>
      <c r="D466" s="16" t="s">
        <v>42</v>
      </c>
      <c r="E466" s="16">
        <v>3</v>
      </c>
    </row>
    <row r="467" spans="2:5">
      <c r="B467" s="37">
        <v>40483</v>
      </c>
      <c r="C467" s="16">
        <v>1652225345.79</v>
      </c>
      <c r="D467" s="16" t="s">
        <v>8</v>
      </c>
      <c r="E467" s="16">
        <v>4</v>
      </c>
    </row>
    <row r="468" spans="2:5">
      <c r="B468" s="37">
        <v>40483</v>
      </c>
      <c r="C468" s="16">
        <v>1122048685</v>
      </c>
      <c r="D468" s="16" t="s">
        <v>26</v>
      </c>
      <c r="E468" s="16">
        <v>5</v>
      </c>
    </row>
    <row r="469" spans="2:5">
      <c r="B469" s="37">
        <v>40483</v>
      </c>
      <c r="C469" s="16">
        <v>1035930519.5599999</v>
      </c>
      <c r="D469" s="16" t="s">
        <v>49</v>
      </c>
      <c r="E469" s="16">
        <v>6</v>
      </c>
    </row>
    <row r="470" spans="2:5">
      <c r="B470" s="37">
        <v>40483</v>
      </c>
      <c r="C470" s="16">
        <v>897689799.91999996</v>
      </c>
      <c r="D470" s="16" t="s">
        <v>38</v>
      </c>
      <c r="E470" s="16">
        <v>7</v>
      </c>
    </row>
    <row r="471" spans="2:5">
      <c r="B471" s="37">
        <v>40483</v>
      </c>
      <c r="C471" s="16">
        <v>543795106</v>
      </c>
      <c r="D471" s="16" t="s">
        <v>14</v>
      </c>
      <c r="E471" s="16">
        <v>8</v>
      </c>
    </row>
    <row r="472" spans="2:5">
      <c r="B472" s="37">
        <v>40483</v>
      </c>
      <c r="C472" s="16">
        <v>514292076.44</v>
      </c>
      <c r="D472" s="16" t="s">
        <v>12</v>
      </c>
      <c r="E472" s="16">
        <v>9</v>
      </c>
    </row>
    <row r="473" spans="2:5">
      <c r="B473" s="37">
        <v>40483</v>
      </c>
      <c r="C473" s="16">
        <v>491669277</v>
      </c>
      <c r="D473" s="16" t="s">
        <v>39</v>
      </c>
      <c r="E473" s="16">
        <v>10</v>
      </c>
    </row>
    <row r="474" spans="2:5">
      <c r="B474" s="37">
        <v>40513</v>
      </c>
      <c r="C474" s="16">
        <v>4077546240.5599999</v>
      </c>
      <c r="D474" s="16" t="s">
        <v>16</v>
      </c>
      <c r="E474" s="16">
        <v>1</v>
      </c>
    </row>
    <row r="475" spans="2:5">
      <c r="B475" s="37">
        <v>40513</v>
      </c>
      <c r="C475" s="16">
        <v>1787042808.5599999</v>
      </c>
      <c r="D475" s="16" t="s">
        <v>8</v>
      </c>
      <c r="E475" s="16">
        <v>2</v>
      </c>
    </row>
    <row r="476" spans="2:5">
      <c r="B476" s="37">
        <v>40513</v>
      </c>
      <c r="C476" s="16">
        <v>1232116719.6400001</v>
      </c>
      <c r="D476" s="16" t="s">
        <v>20</v>
      </c>
      <c r="E476" s="16">
        <v>3</v>
      </c>
    </row>
    <row r="477" spans="2:5">
      <c r="B477" s="37">
        <v>40513</v>
      </c>
      <c r="C477" s="16">
        <v>1213409683.3399999</v>
      </c>
      <c r="D477" s="16" t="s">
        <v>4</v>
      </c>
      <c r="E477" s="16">
        <v>4</v>
      </c>
    </row>
    <row r="478" spans="2:5">
      <c r="B478" s="37">
        <v>40513</v>
      </c>
      <c r="C478" s="16">
        <v>842578021.71000004</v>
      </c>
      <c r="D478" s="16" t="s">
        <v>38</v>
      </c>
      <c r="E478" s="16">
        <v>5</v>
      </c>
    </row>
    <row r="479" spans="2:5">
      <c r="B479" s="37">
        <v>40513</v>
      </c>
      <c r="C479" s="16">
        <v>825840507</v>
      </c>
      <c r="D479" s="16" t="s">
        <v>26</v>
      </c>
      <c r="E479" s="16">
        <v>6</v>
      </c>
    </row>
    <row r="480" spans="2:5">
      <c r="B480" s="37">
        <v>40513</v>
      </c>
      <c r="C480" s="16">
        <v>655445541.55999994</v>
      </c>
      <c r="D480" s="16" t="s">
        <v>42</v>
      </c>
      <c r="E480" s="16">
        <v>7</v>
      </c>
    </row>
    <row r="481" spans="2:5">
      <c r="B481" s="37">
        <v>40513</v>
      </c>
      <c r="C481" s="16">
        <v>587497163</v>
      </c>
      <c r="D481" s="16" t="s">
        <v>39</v>
      </c>
      <c r="E481" s="16">
        <v>8</v>
      </c>
    </row>
    <row r="482" spans="2:5">
      <c r="B482" s="37">
        <v>40513</v>
      </c>
      <c r="C482" s="16">
        <v>565373595.79999995</v>
      </c>
      <c r="D482" s="16" t="s">
        <v>12</v>
      </c>
      <c r="E482" s="16">
        <v>9</v>
      </c>
    </row>
    <row r="483" spans="2:5">
      <c r="B483" s="37">
        <v>40513</v>
      </c>
      <c r="C483" s="16">
        <v>554422072.23000002</v>
      </c>
      <c r="D483" s="16" t="s">
        <v>49</v>
      </c>
      <c r="E483" s="16">
        <v>10</v>
      </c>
    </row>
    <row r="484" spans="2:5">
      <c r="B484" s="37">
        <v>40544</v>
      </c>
      <c r="C484" s="16">
        <v>3768046307.4699998</v>
      </c>
      <c r="D484" s="16" t="s">
        <v>16</v>
      </c>
      <c r="E484" s="16">
        <v>1</v>
      </c>
    </row>
    <row r="485" spans="2:5">
      <c r="B485" s="37">
        <v>40544</v>
      </c>
      <c r="C485" s="16">
        <v>2454761687.0100002</v>
      </c>
      <c r="D485" s="16" t="s">
        <v>4</v>
      </c>
      <c r="E485" s="16">
        <v>2</v>
      </c>
    </row>
    <row r="486" spans="2:5">
      <c r="B486" s="37">
        <v>40544</v>
      </c>
      <c r="C486" s="16">
        <v>1652845494.29</v>
      </c>
      <c r="D486" s="16" t="s">
        <v>8</v>
      </c>
      <c r="E486" s="16">
        <v>3</v>
      </c>
    </row>
    <row r="487" spans="2:5">
      <c r="B487" s="37">
        <v>40544</v>
      </c>
      <c r="C487" s="16">
        <v>835486551.41999996</v>
      </c>
      <c r="D487" s="16" t="s">
        <v>38</v>
      </c>
      <c r="E487" s="16">
        <v>4</v>
      </c>
    </row>
    <row r="488" spans="2:5">
      <c r="B488" s="37">
        <v>40544</v>
      </c>
      <c r="C488" s="16">
        <v>555705820.25</v>
      </c>
      <c r="D488" s="16" t="s">
        <v>12</v>
      </c>
      <c r="E488" s="16">
        <v>5</v>
      </c>
    </row>
    <row r="489" spans="2:5">
      <c r="B489" s="37">
        <v>40544</v>
      </c>
      <c r="C489" s="16">
        <v>536205688.19</v>
      </c>
      <c r="D489" s="16" t="s">
        <v>6</v>
      </c>
      <c r="E489" s="16">
        <v>6</v>
      </c>
    </row>
    <row r="490" spans="2:5">
      <c r="B490" s="37">
        <v>40544</v>
      </c>
      <c r="C490" s="16">
        <v>447883194.02999997</v>
      </c>
      <c r="D490" s="16" t="s">
        <v>34</v>
      </c>
      <c r="E490" s="16">
        <v>7</v>
      </c>
    </row>
    <row r="491" spans="2:5">
      <c r="B491" s="37">
        <v>40544</v>
      </c>
      <c r="C491" s="16">
        <v>412297684.56999999</v>
      </c>
      <c r="D491" s="16" t="s">
        <v>71</v>
      </c>
      <c r="E491" s="16">
        <v>8</v>
      </c>
    </row>
    <row r="492" spans="2:5">
      <c r="B492" s="37">
        <v>40544</v>
      </c>
      <c r="C492" s="16">
        <v>405066332.01999998</v>
      </c>
      <c r="D492" s="16" t="s">
        <v>14</v>
      </c>
      <c r="E492" s="16">
        <v>9</v>
      </c>
    </row>
    <row r="493" spans="2:5">
      <c r="B493" s="37">
        <v>40544</v>
      </c>
      <c r="C493" s="16">
        <v>317329677.48000002</v>
      </c>
      <c r="D493" s="16" t="s">
        <v>119</v>
      </c>
      <c r="E493" s="16">
        <v>10</v>
      </c>
    </row>
    <row r="494" spans="2:5">
      <c r="B494" s="37">
        <v>40575</v>
      </c>
      <c r="C494" s="16">
        <v>2208311207.8699999</v>
      </c>
      <c r="D494" s="16" t="s">
        <v>4</v>
      </c>
      <c r="E494" s="16">
        <v>1</v>
      </c>
    </row>
    <row r="495" spans="2:5">
      <c r="B495" s="37">
        <v>40575</v>
      </c>
      <c r="C495" s="16">
        <v>1927727999.48</v>
      </c>
      <c r="D495" s="16" t="s">
        <v>16</v>
      </c>
      <c r="E495" s="16">
        <v>2</v>
      </c>
    </row>
    <row r="496" spans="2:5">
      <c r="B496" s="37">
        <v>40575</v>
      </c>
      <c r="C496" s="16">
        <v>855765018.10000002</v>
      </c>
      <c r="D496" s="16" t="s">
        <v>8</v>
      </c>
      <c r="E496" s="16">
        <v>3</v>
      </c>
    </row>
    <row r="497" spans="2:5">
      <c r="B497" s="37">
        <v>40575</v>
      </c>
      <c r="C497" s="16">
        <v>447638536.25</v>
      </c>
      <c r="D497" s="16" t="s">
        <v>38</v>
      </c>
      <c r="E497" s="16">
        <v>4</v>
      </c>
    </row>
    <row r="498" spans="2:5">
      <c r="B498" s="37">
        <v>40575</v>
      </c>
      <c r="C498" s="16">
        <v>440237322</v>
      </c>
      <c r="D498" s="16" t="s">
        <v>6</v>
      </c>
      <c r="E498" s="16">
        <v>5</v>
      </c>
    </row>
    <row r="499" spans="2:5">
      <c r="B499" s="37">
        <v>40575</v>
      </c>
      <c r="C499" s="16">
        <v>417762618</v>
      </c>
      <c r="D499" s="16" t="s">
        <v>14</v>
      </c>
      <c r="E499" s="16">
        <v>6</v>
      </c>
    </row>
    <row r="500" spans="2:5">
      <c r="B500" s="37">
        <v>40575</v>
      </c>
      <c r="C500" s="16">
        <v>354799641.27999997</v>
      </c>
      <c r="D500" s="16" t="s">
        <v>22</v>
      </c>
      <c r="E500" s="16">
        <v>7</v>
      </c>
    </row>
    <row r="501" spans="2:5">
      <c r="B501" s="37">
        <v>40575</v>
      </c>
      <c r="C501" s="16">
        <v>336194278</v>
      </c>
      <c r="D501" s="16" t="s">
        <v>124</v>
      </c>
      <c r="E501" s="16">
        <v>8</v>
      </c>
    </row>
    <row r="502" spans="2:5">
      <c r="B502" s="37">
        <v>40575</v>
      </c>
      <c r="C502" s="16">
        <v>317890645.48000002</v>
      </c>
      <c r="D502" s="16" t="s">
        <v>34</v>
      </c>
      <c r="E502" s="16">
        <v>9</v>
      </c>
    </row>
    <row r="503" spans="2:5">
      <c r="B503" s="37">
        <v>40575</v>
      </c>
      <c r="C503" s="16">
        <v>316741981</v>
      </c>
      <c r="D503" s="16" t="s">
        <v>133</v>
      </c>
      <c r="E503" s="16">
        <v>10</v>
      </c>
    </row>
    <row r="504" spans="2:5">
      <c r="B504" s="37">
        <v>40603</v>
      </c>
      <c r="C504" s="16">
        <v>2586644966.1999998</v>
      </c>
      <c r="D504" s="16" t="s">
        <v>4</v>
      </c>
      <c r="E504" s="16">
        <v>1</v>
      </c>
    </row>
    <row r="505" spans="2:5">
      <c r="B505" s="37">
        <v>40603</v>
      </c>
      <c r="C505" s="16">
        <v>2121205602.46</v>
      </c>
      <c r="D505" s="16" t="s">
        <v>16</v>
      </c>
      <c r="E505" s="16">
        <v>2</v>
      </c>
    </row>
    <row r="506" spans="2:5">
      <c r="B506" s="37">
        <v>40603</v>
      </c>
      <c r="C506" s="16">
        <v>740800134.88999999</v>
      </c>
      <c r="D506" s="16" t="s">
        <v>8</v>
      </c>
      <c r="E506" s="16">
        <v>3</v>
      </c>
    </row>
    <row r="507" spans="2:5">
      <c r="B507" s="37">
        <v>40603</v>
      </c>
      <c r="C507" s="16">
        <v>488914060</v>
      </c>
      <c r="D507" s="16" t="s">
        <v>39</v>
      </c>
      <c r="E507" s="16">
        <v>4</v>
      </c>
    </row>
    <row r="508" spans="2:5">
      <c r="B508" s="37">
        <v>40603</v>
      </c>
      <c r="C508" s="16">
        <v>365634880</v>
      </c>
      <c r="D508" s="16" t="s">
        <v>23</v>
      </c>
      <c r="E508" s="16">
        <v>5</v>
      </c>
    </row>
    <row r="509" spans="2:5">
      <c r="B509" s="37">
        <v>40603</v>
      </c>
      <c r="C509" s="16">
        <v>304880953.94999999</v>
      </c>
      <c r="D509" s="16" t="s">
        <v>14</v>
      </c>
      <c r="E509" s="16">
        <v>6</v>
      </c>
    </row>
    <row r="510" spans="2:5">
      <c r="B510" s="37">
        <v>40603</v>
      </c>
      <c r="C510" s="16">
        <v>302086645.25999999</v>
      </c>
      <c r="D510" s="16" t="s">
        <v>6</v>
      </c>
      <c r="E510" s="16">
        <v>7</v>
      </c>
    </row>
    <row r="511" spans="2:5">
      <c r="B511" s="37">
        <v>40603</v>
      </c>
      <c r="C511" s="16">
        <v>286103387.60000002</v>
      </c>
      <c r="D511" s="16" t="s">
        <v>33</v>
      </c>
      <c r="E511" s="16">
        <v>8</v>
      </c>
    </row>
    <row r="512" spans="2:5">
      <c r="B512" s="37">
        <v>40603</v>
      </c>
      <c r="C512" s="16">
        <v>276900268.55000001</v>
      </c>
      <c r="D512" s="16" t="s">
        <v>20</v>
      </c>
      <c r="E512" s="16">
        <v>9</v>
      </c>
    </row>
    <row r="513" spans="2:5">
      <c r="B513" s="37">
        <v>40603</v>
      </c>
      <c r="C513" s="16">
        <v>275254659.33999997</v>
      </c>
      <c r="D513" s="16" t="s">
        <v>38</v>
      </c>
      <c r="E513" s="16">
        <v>10</v>
      </c>
    </row>
    <row r="514" spans="2:5">
      <c r="B514" s="37">
        <v>40634</v>
      </c>
      <c r="C514" s="16">
        <v>1116379416.3</v>
      </c>
      <c r="D514" s="16" t="s">
        <v>16</v>
      </c>
      <c r="E514" s="16">
        <v>1</v>
      </c>
    </row>
    <row r="515" spans="2:5">
      <c r="B515" s="37">
        <v>40634</v>
      </c>
      <c r="C515" s="16">
        <v>811722395.58000004</v>
      </c>
      <c r="D515" s="16" t="s">
        <v>8</v>
      </c>
      <c r="E515" s="16">
        <v>2</v>
      </c>
    </row>
    <row r="516" spans="2:5">
      <c r="B516" s="37">
        <v>40634</v>
      </c>
      <c r="C516" s="16">
        <v>581314774.17999995</v>
      </c>
      <c r="D516" s="16" t="s">
        <v>4</v>
      </c>
      <c r="E516" s="16">
        <v>3</v>
      </c>
    </row>
    <row r="517" spans="2:5">
      <c r="B517" s="37">
        <v>40634</v>
      </c>
      <c r="C517" s="16">
        <v>341092933.08999997</v>
      </c>
      <c r="D517" s="16" t="s">
        <v>20</v>
      </c>
      <c r="E517" s="16">
        <v>4</v>
      </c>
    </row>
    <row r="518" spans="2:5">
      <c r="B518" s="37">
        <v>40634</v>
      </c>
      <c r="C518" s="16">
        <v>321003265</v>
      </c>
      <c r="D518" s="16" t="s">
        <v>125</v>
      </c>
      <c r="E518" s="16">
        <v>5</v>
      </c>
    </row>
    <row r="519" spans="2:5">
      <c r="B519" s="37">
        <v>40634</v>
      </c>
      <c r="C519" s="16">
        <v>283946694</v>
      </c>
      <c r="D519" s="16" t="s">
        <v>6</v>
      </c>
      <c r="E519" s="16">
        <v>6</v>
      </c>
    </row>
    <row r="520" spans="2:5">
      <c r="B520" s="37">
        <v>40634</v>
      </c>
      <c r="C520" s="16">
        <v>269509697.54000002</v>
      </c>
      <c r="D520" s="16" t="s">
        <v>14</v>
      </c>
      <c r="E520" s="16">
        <v>7</v>
      </c>
    </row>
    <row r="521" spans="2:5">
      <c r="B521" s="37">
        <v>40634</v>
      </c>
      <c r="C521" s="16">
        <v>250876000</v>
      </c>
      <c r="D521" s="16" t="s">
        <v>25</v>
      </c>
      <c r="E521" s="16">
        <v>8</v>
      </c>
    </row>
    <row r="522" spans="2:5">
      <c r="B522" s="37">
        <v>40634</v>
      </c>
      <c r="C522" s="16">
        <v>233151593.83000001</v>
      </c>
      <c r="D522" s="16" t="s">
        <v>38</v>
      </c>
      <c r="E522" s="16">
        <v>9</v>
      </c>
    </row>
    <row r="523" spans="2:5">
      <c r="B523" s="37">
        <v>40634</v>
      </c>
      <c r="C523" s="16">
        <v>223344134</v>
      </c>
      <c r="D523" s="16" t="s">
        <v>43</v>
      </c>
      <c r="E523" s="16">
        <v>10</v>
      </c>
    </row>
    <row r="524" spans="2:5">
      <c r="B524" s="37">
        <v>40664</v>
      </c>
      <c r="C524" s="16">
        <v>1714672795.1500001</v>
      </c>
      <c r="D524" s="16" t="s">
        <v>16</v>
      </c>
      <c r="E524" s="16">
        <v>1</v>
      </c>
    </row>
    <row r="525" spans="2:5">
      <c r="B525" s="37">
        <v>40664</v>
      </c>
      <c r="C525" s="16">
        <v>841140321.39999998</v>
      </c>
      <c r="D525" s="16" t="s">
        <v>8</v>
      </c>
      <c r="E525" s="16">
        <v>2</v>
      </c>
    </row>
    <row r="526" spans="2:5">
      <c r="B526" s="37">
        <v>40664</v>
      </c>
      <c r="C526" s="16">
        <v>752156908.72000003</v>
      </c>
      <c r="D526" s="16" t="s">
        <v>4</v>
      </c>
      <c r="E526" s="16">
        <v>3</v>
      </c>
    </row>
    <row r="527" spans="2:5">
      <c r="B527" s="37">
        <v>40664</v>
      </c>
      <c r="C527" s="16">
        <v>284055237</v>
      </c>
      <c r="D527" s="16" t="s">
        <v>24</v>
      </c>
      <c r="E527" s="16">
        <v>4</v>
      </c>
    </row>
    <row r="528" spans="2:5">
      <c r="B528" s="37">
        <v>40664</v>
      </c>
      <c r="C528" s="16">
        <v>280398790.32999998</v>
      </c>
      <c r="D528" s="16" t="s">
        <v>20</v>
      </c>
      <c r="E528" s="16">
        <v>5</v>
      </c>
    </row>
    <row r="529" spans="2:5">
      <c r="B529" s="37">
        <v>40664</v>
      </c>
      <c r="C529" s="16">
        <v>261081170</v>
      </c>
      <c r="D529" s="16" t="s">
        <v>32</v>
      </c>
      <c r="E529" s="16">
        <v>6</v>
      </c>
    </row>
    <row r="530" spans="2:5">
      <c r="B530" s="37">
        <v>40664</v>
      </c>
      <c r="C530" s="16">
        <v>250941971.74000001</v>
      </c>
      <c r="D530" s="16" t="s">
        <v>14</v>
      </c>
      <c r="E530" s="16">
        <v>7</v>
      </c>
    </row>
    <row r="531" spans="2:5">
      <c r="B531" s="37">
        <v>40664</v>
      </c>
      <c r="C531" s="16">
        <v>250698321</v>
      </c>
      <c r="D531" s="16" t="s">
        <v>126</v>
      </c>
      <c r="E531" s="16">
        <v>8</v>
      </c>
    </row>
    <row r="532" spans="2:5">
      <c r="B532" s="37">
        <v>40664</v>
      </c>
      <c r="C532" s="16">
        <v>184091000</v>
      </c>
      <c r="D532" s="16" t="s">
        <v>25</v>
      </c>
      <c r="E532" s="16">
        <v>9</v>
      </c>
    </row>
    <row r="533" spans="2:5">
      <c r="B533" s="37">
        <v>40664</v>
      </c>
      <c r="C533" s="16">
        <v>179674611.81</v>
      </c>
      <c r="D533" s="16" t="s">
        <v>33</v>
      </c>
      <c r="E533" s="16">
        <v>10</v>
      </c>
    </row>
    <row r="534" spans="2:5">
      <c r="B534" s="37">
        <v>40695</v>
      </c>
      <c r="C534" s="16">
        <v>3143184905.6100001</v>
      </c>
      <c r="D534" s="16" t="s">
        <v>16</v>
      </c>
      <c r="E534" s="16">
        <v>1</v>
      </c>
    </row>
    <row r="535" spans="2:5">
      <c r="B535" s="37">
        <v>40695</v>
      </c>
      <c r="C535" s="16">
        <v>1268561247.9400001</v>
      </c>
      <c r="D535" s="16" t="s">
        <v>4</v>
      </c>
      <c r="E535" s="16">
        <v>2</v>
      </c>
    </row>
    <row r="536" spans="2:5">
      <c r="B536" s="37">
        <v>40695</v>
      </c>
      <c r="C536" s="16">
        <v>539015420.57000005</v>
      </c>
      <c r="D536" s="16" t="s">
        <v>8</v>
      </c>
      <c r="E536" s="16">
        <v>3</v>
      </c>
    </row>
    <row r="537" spans="2:5">
      <c r="B537" s="37">
        <v>40695</v>
      </c>
      <c r="C537" s="16">
        <v>494592251</v>
      </c>
      <c r="D537" s="16" t="s">
        <v>32</v>
      </c>
      <c r="E537" s="16">
        <v>4</v>
      </c>
    </row>
    <row r="538" spans="2:5">
      <c r="B538" s="37">
        <v>40695</v>
      </c>
      <c r="C538" s="16">
        <v>318083249</v>
      </c>
      <c r="D538" s="16" t="s">
        <v>14</v>
      </c>
      <c r="E538" s="16">
        <v>5</v>
      </c>
    </row>
    <row r="539" spans="2:5">
      <c r="B539" s="37">
        <v>40695</v>
      </c>
      <c r="C539" s="16">
        <v>218863499.66</v>
      </c>
      <c r="D539" s="16" t="s">
        <v>20</v>
      </c>
      <c r="E539" s="16">
        <v>6</v>
      </c>
    </row>
    <row r="540" spans="2:5">
      <c r="B540" s="37">
        <v>40695</v>
      </c>
      <c r="C540" s="16">
        <v>212869528.88999999</v>
      </c>
      <c r="D540" s="16" t="s">
        <v>12</v>
      </c>
      <c r="E540" s="16">
        <v>7</v>
      </c>
    </row>
    <row r="541" spans="2:5">
      <c r="B541" s="37">
        <v>40695</v>
      </c>
      <c r="C541" s="16">
        <v>211327457</v>
      </c>
      <c r="D541" s="16" t="s">
        <v>127</v>
      </c>
      <c r="E541" s="16">
        <v>8</v>
      </c>
    </row>
    <row r="542" spans="2:5">
      <c r="B542" s="37">
        <v>40695</v>
      </c>
      <c r="C542" s="16">
        <v>172899539.87</v>
      </c>
      <c r="D542" s="16" t="s">
        <v>38</v>
      </c>
      <c r="E542" s="16">
        <v>9</v>
      </c>
    </row>
    <row r="543" spans="2:5">
      <c r="B543" s="37">
        <v>40695</v>
      </c>
      <c r="C543" s="16">
        <v>165891027.34999999</v>
      </c>
      <c r="D543" s="16" t="s">
        <v>71</v>
      </c>
      <c r="E543" s="16">
        <v>10</v>
      </c>
    </row>
    <row r="544" spans="2:5">
      <c r="B544" s="37">
        <v>40725</v>
      </c>
      <c r="C544" s="16">
        <v>1623998106.96</v>
      </c>
      <c r="D544" s="16" t="s">
        <v>16</v>
      </c>
      <c r="E544" s="16">
        <v>1</v>
      </c>
    </row>
    <row r="545" spans="2:5">
      <c r="B545" s="37">
        <v>40725</v>
      </c>
      <c r="C545" s="16">
        <v>848545824.13999999</v>
      </c>
      <c r="D545" s="16" t="s">
        <v>8</v>
      </c>
      <c r="E545" s="16">
        <v>2</v>
      </c>
    </row>
    <row r="546" spans="2:5">
      <c r="B546" s="37">
        <v>40725</v>
      </c>
      <c r="C546" s="16">
        <v>488802884.07999998</v>
      </c>
      <c r="D546" s="16" t="s">
        <v>4</v>
      </c>
      <c r="E546" s="16">
        <v>3</v>
      </c>
    </row>
    <row r="547" spans="2:5">
      <c r="B547" s="37">
        <v>40725</v>
      </c>
      <c r="C547" s="16">
        <v>312614394</v>
      </c>
      <c r="D547" s="16" t="s">
        <v>43</v>
      </c>
      <c r="E547" s="16">
        <v>4</v>
      </c>
    </row>
    <row r="548" spans="2:5">
      <c r="B548" s="37">
        <v>40725</v>
      </c>
      <c r="C548" s="16">
        <v>213079703.77000001</v>
      </c>
      <c r="D548" s="16" t="s">
        <v>6</v>
      </c>
      <c r="E548" s="16">
        <v>5</v>
      </c>
    </row>
    <row r="549" spans="2:5">
      <c r="B549" s="37">
        <v>40725</v>
      </c>
      <c r="C549" s="16">
        <v>198727853.84</v>
      </c>
      <c r="D549" s="16" t="s">
        <v>44</v>
      </c>
      <c r="E549" s="16">
        <v>6</v>
      </c>
    </row>
    <row r="550" spans="2:5">
      <c r="B550" s="37">
        <v>40725</v>
      </c>
      <c r="C550" s="16">
        <v>193737183.56</v>
      </c>
      <c r="D550" s="16" t="s">
        <v>71</v>
      </c>
      <c r="E550" s="16">
        <v>7</v>
      </c>
    </row>
    <row r="551" spans="2:5">
      <c r="B551" s="37">
        <v>40725</v>
      </c>
      <c r="C551" s="16">
        <v>177026000</v>
      </c>
      <c r="D551" s="16" t="s">
        <v>39</v>
      </c>
      <c r="E551" s="16">
        <v>8</v>
      </c>
    </row>
    <row r="552" spans="2:5">
      <c r="B552" s="37">
        <v>40725</v>
      </c>
      <c r="C552" s="16">
        <v>176131925.05000001</v>
      </c>
      <c r="D552" s="16" t="s">
        <v>12</v>
      </c>
      <c r="E552" s="16">
        <v>9</v>
      </c>
    </row>
    <row r="553" spans="2:5">
      <c r="B553" s="37">
        <v>40725</v>
      </c>
      <c r="C553" s="16">
        <v>145307043</v>
      </c>
      <c r="D553" s="16" t="s">
        <v>126</v>
      </c>
      <c r="E553" s="16">
        <v>10</v>
      </c>
    </row>
    <row r="554" spans="2:5">
      <c r="B554" s="37">
        <v>40756</v>
      </c>
      <c r="C554" s="16">
        <v>2329334472.6700001</v>
      </c>
      <c r="D554" s="16" t="s">
        <v>16</v>
      </c>
      <c r="E554" s="16">
        <v>1</v>
      </c>
    </row>
    <row r="555" spans="2:5">
      <c r="B555" s="37">
        <v>40756</v>
      </c>
      <c r="C555" s="16">
        <v>1496155189.5</v>
      </c>
      <c r="D555" s="16" t="s">
        <v>4</v>
      </c>
      <c r="E555" s="16">
        <v>2</v>
      </c>
    </row>
    <row r="556" spans="2:5">
      <c r="B556" s="37">
        <v>40756</v>
      </c>
      <c r="C556" s="16">
        <v>1238482339.3800001</v>
      </c>
      <c r="D556" s="16" t="s">
        <v>8</v>
      </c>
      <c r="E556" s="16">
        <v>3</v>
      </c>
    </row>
    <row r="557" spans="2:5">
      <c r="B557" s="37">
        <v>40756</v>
      </c>
      <c r="C557" s="16">
        <v>246411781</v>
      </c>
      <c r="D557" s="16" t="s">
        <v>14</v>
      </c>
      <c r="E557" s="16">
        <v>4</v>
      </c>
    </row>
    <row r="558" spans="2:5">
      <c r="B558" s="37">
        <v>40756</v>
      </c>
      <c r="C558" s="16">
        <v>212384814.02000001</v>
      </c>
      <c r="D558" s="16" t="s">
        <v>44</v>
      </c>
      <c r="E558" s="16">
        <v>5</v>
      </c>
    </row>
    <row r="559" spans="2:5">
      <c r="B559" s="37">
        <v>40756</v>
      </c>
      <c r="C559" s="16">
        <v>211823008.41</v>
      </c>
      <c r="D559" s="16" t="s">
        <v>71</v>
      </c>
      <c r="E559" s="16">
        <v>6</v>
      </c>
    </row>
    <row r="560" spans="2:5">
      <c r="B560" s="37">
        <v>40756</v>
      </c>
      <c r="C560" s="16">
        <v>195921296.44999999</v>
      </c>
      <c r="D560" s="16" t="s">
        <v>33</v>
      </c>
      <c r="E560" s="16">
        <v>7</v>
      </c>
    </row>
    <row r="561" spans="2:5">
      <c r="B561" s="37">
        <v>40756</v>
      </c>
      <c r="C561" s="16">
        <v>193066959</v>
      </c>
      <c r="D561" s="16" t="s">
        <v>6</v>
      </c>
      <c r="E561" s="16">
        <v>8</v>
      </c>
    </row>
    <row r="562" spans="2:5">
      <c r="B562" s="37">
        <v>40756</v>
      </c>
      <c r="C562" s="16">
        <v>179718374.80000001</v>
      </c>
      <c r="D562" s="16" t="s">
        <v>35</v>
      </c>
      <c r="E562" s="16">
        <v>9</v>
      </c>
    </row>
    <row r="563" spans="2:5">
      <c r="B563" s="37">
        <v>40756</v>
      </c>
      <c r="C563" s="16">
        <v>150158992.06999999</v>
      </c>
      <c r="D563" s="16" t="s">
        <v>20</v>
      </c>
      <c r="E563" s="16">
        <v>10</v>
      </c>
    </row>
    <row r="564" spans="2:5">
      <c r="B564" s="37">
        <v>40787</v>
      </c>
      <c r="C564" s="16">
        <v>3396559955.0900002</v>
      </c>
      <c r="D564" s="16" t="s">
        <v>16</v>
      </c>
      <c r="E564" s="16">
        <v>1</v>
      </c>
    </row>
    <row r="565" spans="2:5">
      <c r="B565" s="37">
        <v>40787</v>
      </c>
      <c r="C565" s="16">
        <v>1481093219.7</v>
      </c>
      <c r="D565" s="16" t="s">
        <v>8</v>
      </c>
      <c r="E565" s="16">
        <v>2</v>
      </c>
    </row>
    <row r="566" spans="2:5">
      <c r="B566" s="37">
        <v>40787</v>
      </c>
      <c r="C566" s="16">
        <v>1068656827.8200001</v>
      </c>
      <c r="D566" s="16" t="s">
        <v>4</v>
      </c>
      <c r="E566" s="16">
        <v>3</v>
      </c>
    </row>
    <row r="567" spans="2:5">
      <c r="B567" s="37">
        <v>40787</v>
      </c>
      <c r="C567" s="16">
        <v>823178100.25</v>
      </c>
      <c r="D567" s="16" t="s">
        <v>42</v>
      </c>
      <c r="E567" s="16">
        <v>4</v>
      </c>
    </row>
    <row r="568" spans="2:5">
      <c r="B568" s="37">
        <v>40787</v>
      </c>
      <c r="C568" s="16">
        <v>344369406</v>
      </c>
      <c r="D568" s="16" t="s">
        <v>128</v>
      </c>
      <c r="E568" s="16">
        <v>5</v>
      </c>
    </row>
    <row r="569" spans="2:5">
      <c r="B569" s="37">
        <v>40787</v>
      </c>
      <c r="C569" s="16">
        <v>291283955.57999998</v>
      </c>
      <c r="D569" s="16" t="s">
        <v>6</v>
      </c>
      <c r="E569" s="16">
        <v>6</v>
      </c>
    </row>
    <row r="570" spans="2:5">
      <c r="B570" s="37">
        <v>40787</v>
      </c>
      <c r="C570" s="16">
        <v>286670274</v>
      </c>
      <c r="D570" s="16" t="s">
        <v>14</v>
      </c>
      <c r="E570" s="16">
        <v>7</v>
      </c>
    </row>
    <row r="571" spans="2:5">
      <c r="B571" s="37">
        <v>40787</v>
      </c>
      <c r="C571" s="16">
        <v>270423768.33999997</v>
      </c>
      <c r="D571" s="16" t="s">
        <v>44</v>
      </c>
      <c r="E571" s="16">
        <v>8</v>
      </c>
    </row>
    <row r="572" spans="2:5">
      <c r="B572" s="37">
        <v>40787</v>
      </c>
      <c r="C572" s="16">
        <v>242871913</v>
      </c>
      <c r="D572" s="16" t="s">
        <v>145</v>
      </c>
      <c r="E572" s="16">
        <v>9</v>
      </c>
    </row>
    <row r="573" spans="2:5">
      <c r="B573" s="37">
        <v>40787</v>
      </c>
      <c r="C573" s="16">
        <v>232409231.66999999</v>
      </c>
      <c r="D573" s="16" t="s">
        <v>120</v>
      </c>
      <c r="E573" s="16">
        <v>10</v>
      </c>
    </row>
    <row r="574" spans="2:5">
      <c r="B574" s="37">
        <v>40817</v>
      </c>
      <c r="C574" s="16">
        <v>2189275465.2199998</v>
      </c>
      <c r="D574" s="16" t="s">
        <v>8</v>
      </c>
      <c r="E574" s="16">
        <v>1</v>
      </c>
    </row>
    <row r="575" spans="2:5">
      <c r="B575" s="37">
        <v>40817</v>
      </c>
      <c r="C575" s="16">
        <v>2131641702.3199999</v>
      </c>
      <c r="D575" s="16" t="s">
        <v>4</v>
      </c>
      <c r="E575" s="16">
        <v>2</v>
      </c>
    </row>
    <row r="576" spans="2:5">
      <c r="B576" s="37">
        <v>40817</v>
      </c>
      <c r="C576" s="16">
        <v>1820954758.3199999</v>
      </c>
      <c r="D576" s="16" t="s">
        <v>16</v>
      </c>
      <c r="E576" s="16">
        <v>3</v>
      </c>
    </row>
    <row r="577" spans="2:5">
      <c r="B577" s="37">
        <v>40817</v>
      </c>
      <c r="C577" s="16">
        <v>1103750509.5999999</v>
      </c>
      <c r="D577" s="16" t="s">
        <v>42</v>
      </c>
      <c r="E577" s="16">
        <v>4</v>
      </c>
    </row>
    <row r="578" spans="2:5">
      <c r="B578" s="37">
        <v>40817</v>
      </c>
      <c r="C578" s="16">
        <v>578361348.02999997</v>
      </c>
      <c r="D578" s="16" t="s">
        <v>44</v>
      </c>
      <c r="E578" s="16">
        <v>5</v>
      </c>
    </row>
    <row r="579" spans="2:5">
      <c r="B579" s="37">
        <v>40817</v>
      </c>
      <c r="C579" s="16">
        <v>436638702</v>
      </c>
      <c r="D579" s="16" t="s">
        <v>6</v>
      </c>
      <c r="E579" s="16">
        <v>6</v>
      </c>
    </row>
    <row r="580" spans="2:5">
      <c r="B580" s="37">
        <v>40817</v>
      </c>
      <c r="C580" s="16">
        <v>411016603.57999998</v>
      </c>
      <c r="D580" s="16" t="s">
        <v>120</v>
      </c>
      <c r="E580" s="16">
        <v>7</v>
      </c>
    </row>
    <row r="581" spans="2:5">
      <c r="B581" s="37">
        <v>40817</v>
      </c>
      <c r="C581" s="16">
        <v>358826615.64999998</v>
      </c>
      <c r="D581" s="16" t="s">
        <v>15</v>
      </c>
      <c r="E581" s="16">
        <v>8</v>
      </c>
    </row>
    <row r="582" spans="2:5">
      <c r="B582" s="37">
        <v>40817</v>
      </c>
      <c r="C582" s="16">
        <v>332350273.43000001</v>
      </c>
      <c r="D582" s="16" t="s">
        <v>33</v>
      </c>
      <c r="E582" s="16">
        <v>9</v>
      </c>
    </row>
    <row r="583" spans="2:5">
      <c r="B583" s="37">
        <v>40817</v>
      </c>
      <c r="C583" s="16">
        <v>257578474.41</v>
      </c>
      <c r="D583" s="16" t="s">
        <v>71</v>
      </c>
      <c r="E583" s="16">
        <v>10</v>
      </c>
    </row>
    <row r="584" spans="2:5">
      <c r="B584" s="37">
        <v>40848</v>
      </c>
      <c r="C584" s="16">
        <v>3660860542.1399999</v>
      </c>
      <c r="D584" s="16" t="s">
        <v>16</v>
      </c>
      <c r="E584" s="16">
        <v>1</v>
      </c>
    </row>
    <row r="585" spans="2:5">
      <c r="B585" s="37">
        <v>40848</v>
      </c>
      <c r="C585" s="16">
        <v>2374687827.0900002</v>
      </c>
      <c r="D585" s="16" t="s">
        <v>8</v>
      </c>
      <c r="E585" s="16">
        <v>2</v>
      </c>
    </row>
    <row r="586" spans="2:5">
      <c r="B586" s="37">
        <v>40848</v>
      </c>
      <c r="C586" s="16">
        <v>2096048439.96</v>
      </c>
      <c r="D586" s="16" t="s">
        <v>4</v>
      </c>
      <c r="E586" s="16">
        <v>3</v>
      </c>
    </row>
    <row r="587" spans="2:5">
      <c r="B587" s="37">
        <v>40848</v>
      </c>
      <c r="C587" s="16">
        <v>1418009753.6300001</v>
      </c>
      <c r="D587" s="16" t="s">
        <v>42</v>
      </c>
      <c r="E587" s="16">
        <v>4</v>
      </c>
    </row>
    <row r="588" spans="2:5">
      <c r="B588" s="37">
        <v>40848</v>
      </c>
      <c r="C588" s="16">
        <v>747707839.65999997</v>
      </c>
      <c r="D588" s="16" t="s">
        <v>44</v>
      </c>
      <c r="E588" s="16">
        <v>5</v>
      </c>
    </row>
    <row r="589" spans="2:5">
      <c r="B589" s="37">
        <v>40848</v>
      </c>
      <c r="C589" s="16">
        <v>553653703.02999997</v>
      </c>
      <c r="D589" s="16" t="s">
        <v>6</v>
      </c>
      <c r="E589" s="16">
        <v>6</v>
      </c>
    </row>
    <row r="590" spans="2:5">
      <c r="B590" s="37">
        <v>40848</v>
      </c>
      <c r="C590" s="16">
        <v>445484235</v>
      </c>
      <c r="D590" s="16" t="s">
        <v>46</v>
      </c>
      <c r="E590" s="16">
        <v>7</v>
      </c>
    </row>
    <row r="591" spans="2:5">
      <c r="B591" s="37">
        <v>40848</v>
      </c>
      <c r="C591" s="16">
        <v>428038423.23000002</v>
      </c>
      <c r="D591" s="16" t="s">
        <v>15</v>
      </c>
      <c r="E591" s="16">
        <v>8</v>
      </c>
    </row>
    <row r="592" spans="2:5">
      <c r="B592" s="37">
        <v>40848</v>
      </c>
      <c r="C592" s="16">
        <v>419226807</v>
      </c>
      <c r="D592" s="16" t="s">
        <v>12</v>
      </c>
      <c r="E592" s="16">
        <v>9</v>
      </c>
    </row>
    <row r="593" spans="2:5">
      <c r="B593" s="37">
        <v>40848</v>
      </c>
      <c r="C593" s="16">
        <v>378830623.43000001</v>
      </c>
      <c r="D593" s="16" t="s">
        <v>49</v>
      </c>
      <c r="E593" s="16">
        <v>10</v>
      </c>
    </row>
    <row r="594" spans="2:5">
      <c r="B594" s="37">
        <v>40878</v>
      </c>
      <c r="C594" s="16">
        <v>4076990497.6900001</v>
      </c>
      <c r="D594" s="16" t="s">
        <v>16</v>
      </c>
      <c r="E594" s="16">
        <v>1</v>
      </c>
    </row>
    <row r="595" spans="2:5">
      <c r="B595" s="37">
        <v>40878</v>
      </c>
      <c r="C595" s="16">
        <v>3147925861.4400001</v>
      </c>
      <c r="D595" s="16" t="s">
        <v>4</v>
      </c>
      <c r="E595" s="16">
        <v>2</v>
      </c>
    </row>
    <row r="596" spans="2:5">
      <c r="B596" s="37">
        <v>40878</v>
      </c>
      <c r="C596" s="16">
        <v>2364623596.77</v>
      </c>
      <c r="D596" s="16" t="s">
        <v>8</v>
      </c>
      <c r="E596" s="16">
        <v>3</v>
      </c>
    </row>
    <row r="597" spans="2:5">
      <c r="B597" s="37">
        <v>40878</v>
      </c>
      <c r="C597" s="16">
        <v>1125319396.6300001</v>
      </c>
      <c r="D597" s="16" t="s">
        <v>42</v>
      </c>
      <c r="E597" s="16">
        <v>4</v>
      </c>
    </row>
    <row r="598" spans="2:5">
      <c r="B598" s="37">
        <v>40878</v>
      </c>
      <c r="C598" s="16">
        <v>726071421.08000004</v>
      </c>
      <c r="D598" s="16" t="s">
        <v>44</v>
      </c>
      <c r="E598" s="16">
        <v>5</v>
      </c>
    </row>
    <row r="599" spans="2:5">
      <c r="B599" s="37">
        <v>40878</v>
      </c>
      <c r="C599" s="16">
        <v>615024129.65999997</v>
      </c>
      <c r="D599" s="16" t="s">
        <v>33</v>
      </c>
      <c r="E599" s="16">
        <v>6</v>
      </c>
    </row>
    <row r="600" spans="2:5">
      <c r="B600" s="37">
        <v>40878</v>
      </c>
      <c r="C600" s="16">
        <v>572585727.12</v>
      </c>
      <c r="D600" s="16" t="s">
        <v>15</v>
      </c>
      <c r="E600" s="16">
        <v>7</v>
      </c>
    </row>
    <row r="601" spans="2:5">
      <c r="B601" s="37">
        <v>40878</v>
      </c>
      <c r="C601" s="16">
        <v>522423608.49000001</v>
      </c>
      <c r="D601" s="16" t="s">
        <v>6</v>
      </c>
      <c r="E601" s="16">
        <v>8</v>
      </c>
    </row>
    <row r="602" spans="2:5">
      <c r="B602" s="37">
        <v>40878</v>
      </c>
      <c r="C602" s="16">
        <v>425912079.43000001</v>
      </c>
      <c r="D602" s="16" t="s">
        <v>12</v>
      </c>
      <c r="E602" s="16">
        <v>9</v>
      </c>
    </row>
    <row r="603" spans="2:5">
      <c r="B603" s="37">
        <v>40878</v>
      </c>
      <c r="C603" s="16">
        <v>354847813.26999998</v>
      </c>
      <c r="D603" s="16" t="s">
        <v>49</v>
      </c>
      <c r="E603" s="16">
        <v>10</v>
      </c>
    </row>
    <row r="604" spans="2:5">
      <c r="B604" s="37">
        <v>40909</v>
      </c>
      <c r="C604" s="16">
        <v>2078917820.78</v>
      </c>
      <c r="D604" s="16" t="s">
        <v>8</v>
      </c>
      <c r="E604" s="16">
        <v>1</v>
      </c>
    </row>
    <row r="605" spans="2:5">
      <c r="B605" s="37">
        <v>40909</v>
      </c>
      <c r="C605" s="16">
        <v>1829508756.9100001</v>
      </c>
      <c r="D605" s="16" t="s">
        <v>16</v>
      </c>
      <c r="E605" s="16">
        <v>2</v>
      </c>
    </row>
    <row r="606" spans="2:5">
      <c r="B606" s="37">
        <v>40909</v>
      </c>
      <c r="C606" s="16">
        <v>1686254886.4100001</v>
      </c>
      <c r="D606" s="16" t="s">
        <v>4</v>
      </c>
      <c r="E606" s="16">
        <v>3</v>
      </c>
    </row>
    <row r="607" spans="2:5">
      <c r="B607" s="37">
        <v>40909</v>
      </c>
      <c r="C607" s="16">
        <v>1325451283.1400001</v>
      </c>
      <c r="D607" s="16" t="s">
        <v>42</v>
      </c>
      <c r="E607" s="16">
        <v>4</v>
      </c>
    </row>
    <row r="608" spans="2:5">
      <c r="B608" s="37">
        <v>40909</v>
      </c>
      <c r="C608" s="16">
        <v>686393892.15999997</v>
      </c>
      <c r="D608" s="16" t="s">
        <v>33</v>
      </c>
      <c r="E608" s="16">
        <v>5</v>
      </c>
    </row>
    <row r="609" spans="2:5">
      <c r="B609" s="37">
        <v>40909</v>
      </c>
      <c r="C609" s="16">
        <v>647778159</v>
      </c>
      <c r="D609" s="16" t="s">
        <v>126</v>
      </c>
      <c r="E609" s="16">
        <v>6</v>
      </c>
    </row>
    <row r="610" spans="2:5">
      <c r="B610" s="37">
        <v>40909</v>
      </c>
      <c r="C610" s="16">
        <v>560823307.23000002</v>
      </c>
      <c r="D610" s="16" t="s">
        <v>15</v>
      </c>
      <c r="E610" s="16">
        <v>7</v>
      </c>
    </row>
    <row r="611" spans="2:5">
      <c r="B611" s="37">
        <v>40909</v>
      </c>
      <c r="C611" s="16">
        <v>536432969.44</v>
      </c>
      <c r="D611" s="16" t="s">
        <v>6</v>
      </c>
      <c r="E611" s="16">
        <v>8</v>
      </c>
    </row>
    <row r="612" spans="2:5">
      <c r="B612" s="37">
        <v>40909</v>
      </c>
      <c r="C612" s="16">
        <v>505337135.45999998</v>
      </c>
      <c r="D612" s="16" t="s">
        <v>121</v>
      </c>
      <c r="E612" s="16">
        <v>9</v>
      </c>
    </row>
    <row r="613" spans="2:5">
      <c r="B613" s="37">
        <v>40909</v>
      </c>
      <c r="C613" s="16">
        <v>452217581.43000001</v>
      </c>
      <c r="D613" s="16" t="s">
        <v>44</v>
      </c>
      <c r="E613" s="16">
        <v>10</v>
      </c>
    </row>
    <row r="614" spans="2:5">
      <c r="B614" s="37">
        <v>40940</v>
      </c>
      <c r="C614" s="16">
        <v>2741562711.46</v>
      </c>
      <c r="D614" s="16" t="s">
        <v>8</v>
      </c>
      <c r="E614" s="16">
        <v>1</v>
      </c>
    </row>
    <row r="615" spans="2:5">
      <c r="B615" s="37">
        <v>40940</v>
      </c>
      <c r="C615" s="16">
        <v>1851657345.4200001</v>
      </c>
      <c r="D615" s="16" t="s">
        <v>4</v>
      </c>
      <c r="E615" s="16">
        <v>2</v>
      </c>
    </row>
    <row r="616" spans="2:5">
      <c r="B616" s="37">
        <v>40940</v>
      </c>
      <c r="C616" s="16">
        <v>1764296230.9100001</v>
      </c>
      <c r="D616" s="16" t="s">
        <v>42</v>
      </c>
      <c r="E616" s="16">
        <v>3</v>
      </c>
    </row>
    <row r="617" spans="2:5">
      <c r="B617" s="37">
        <v>40940</v>
      </c>
      <c r="C617" s="16">
        <v>1397963595.51</v>
      </c>
      <c r="D617" s="16" t="s">
        <v>16</v>
      </c>
      <c r="E617" s="16">
        <v>4</v>
      </c>
    </row>
    <row r="618" spans="2:5">
      <c r="B618" s="37">
        <v>40940</v>
      </c>
      <c r="C618" s="16">
        <v>672231724.96000004</v>
      </c>
      <c r="D618" s="16" t="s">
        <v>15</v>
      </c>
      <c r="E618" s="16">
        <v>5</v>
      </c>
    </row>
    <row r="619" spans="2:5">
      <c r="B619" s="37">
        <v>40940</v>
      </c>
      <c r="C619" s="16">
        <v>620503186.51999998</v>
      </c>
      <c r="D619" s="16" t="s">
        <v>45</v>
      </c>
      <c r="E619" s="16">
        <v>6</v>
      </c>
    </row>
    <row r="620" spans="2:5">
      <c r="B620" s="37">
        <v>40940</v>
      </c>
      <c r="C620" s="16">
        <v>524566455.91000003</v>
      </c>
      <c r="D620" s="16" t="s">
        <v>6</v>
      </c>
      <c r="E620" s="16">
        <v>7</v>
      </c>
    </row>
    <row r="621" spans="2:5">
      <c r="B621" s="37">
        <v>40940</v>
      </c>
      <c r="C621" s="16">
        <v>485949961.77999997</v>
      </c>
      <c r="D621" s="16" t="s">
        <v>33</v>
      </c>
      <c r="E621" s="16">
        <v>8</v>
      </c>
    </row>
    <row r="622" spans="2:5">
      <c r="B622" s="37">
        <v>40940</v>
      </c>
      <c r="C622" s="16">
        <v>462819540</v>
      </c>
      <c r="D622" s="16" t="s">
        <v>121</v>
      </c>
      <c r="E622" s="16">
        <v>9</v>
      </c>
    </row>
    <row r="623" spans="2:5">
      <c r="B623" s="37">
        <v>40940</v>
      </c>
      <c r="C623" s="16">
        <v>459078738</v>
      </c>
      <c r="D623" s="16" t="s">
        <v>14</v>
      </c>
      <c r="E623" s="16">
        <v>10</v>
      </c>
    </row>
    <row r="624" spans="2:5">
      <c r="B624" s="37">
        <v>40969</v>
      </c>
      <c r="C624" s="16">
        <v>2975788477.54</v>
      </c>
      <c r="D624" s="16" t="s">
        <v>8</v>
      </c>
      <c r="E624" s="16">
        <v>1</v>
      </c>
    </row>
    <row r="625" spans="2:5">
      <c r="B625" s="37">
        <v>40969</v>
      </c>
      <c r="C625" s="16">
        <v>2832823095.7399998</v>
      </c>
      <c r="D625" s="16" t="s">
        <v>42</v>
      </c>
      <c r="E625" s="16">
        <v>2</v>
      </c>
    </row>
    <row r="626" spans="2:5">
      <c r="B626" s="37">
        <v>40969</v>
      </c>
      <c r="C626" s="16">
        <v>1924511400.8299999</v>
      </c>
      <c r="D626" s="16" t="s">
        <v>4</v>
      </c>
      <c r="E626" s="16">
        <v>3</v>
      </c>
    </row>
    <row r="627" spans="2:5">
      <c r="B627" s="37">
        <v>40969</v>
      </c>
      <c r="C627" s="16">
        <v>1504075776.73</v>
      </c>
      <c r="D627" s="16" t="s">
        <v>16</v>
      </c>
      <c r="E627" s="16">
        <v>4</v>
      </c>
    </row>
    <row r="628" spans="2:5">
      <c r="B628" s="37">
        <v>40969</v>
      </c>
      <c r="C628" s="16">
        <v>1191429316</v>
      </c>
      <c r="D628" s="16" t="s">
        <v>46</v>
      </c>
      <c r="E628" s="16">
        <v>5</v>
      </c>
    </row>
    <row r="629" spans="2:5">
      <c r="B629" s="37">
        <v>40969</v>
      </c>
      <c r="C629" s="16">
        <v>1106857863.3299999</v>
      </c>
      <c r="D629" s="16" t="s">
        <v>45</v>
      </c>
      <c r="E629" s="16">
        <v>6</v>
      </c>
    </row>
    <row r="630" spans="2:5">
      <c r="B630" s="37">
        <v>40969</v>
      </c>
      <c r="C630" s="16">
        <v>1093973037.3599999</v>
      </c>
      <c r="D630" s="16" t="s">
        <v>44</v>
      </c>
      <c r="E630" s="16">
        <v>7</v>
      </c>
    </row>
    <row r="631" spans="2:5">
      <c r="B631" s="37">
        <v>40969</v>
      </c>
      <c r="C631" s="16">
        <v>658685345.17999995</v>
      </c>
      <c r="D631" s="16" t="s">
        <v>15</v>
      </c>
      <c r="E631" s="16">
        <v>8</v>
      </c>
    </row>
    <row r="632" spans="2:5">
      <c r="B632" s="37">
        <v>40969</v>
      </c>
      <c r="C632" s="16">
        <v>596014493.48000002</v>
      </c>
      <c r="D632" s="16" t="s">
        <v>33</v>
      </c>
      <c r="E632" s="16">
        <v>9</v>
      </c>
    </row>
    <row r="633" spans="2:5">
      <c r="B633" s="37">
        <v>40969</v>
      </c>
      <c r="C633" s="16">
        <v>556758367</v>
      </c>
      <c r="D633" s="16" t="s">
        <v>14</v>
      </c>
      <c r="E633" s="16">
        <v>10</v>
      </c>
    </row>
    <row r="634" spans="2:5">
      <c r="B634" s="37">
        <v>41000</v>
      </c>
      <c r="C634" s="16">
        <v>2312712574.1100001</v>
      </c>
      <c r="D634" s="16" t="s">
        <v>8</v>
      </c>
      <c r="E634" s="16">
        <v>1</v>
      </c>
    </row>
    <row r="635" spans="2:5">
      <c r="B635" s="37">
        <v>41000</v>
      </c>
      <c r="C635" s="16">
        <v>1502180272.8599999</v>
      </c>
      <c r="D635" s="16" t="s">
        <v>4</v>
      </c>
      <c r="E635" s="16">
        <v>2</v>
      </c>
    </row>
    <row r="636" spans="2:5">
      <c r="B636" s="37">
        <v>41000</v>
      </c>
      <c r="C636" s="16">
        <v>978164872.58000004</v>
      </c>
      <c r="D636" s="16" t="s">
        <v>16</v>
      </c>
      <c r="E636" s="16">
        <v>3</v>
      </c>
    </row>
    <row r="637" spans="2:5">
      <c r="B637" s="37">
        <v>41000</v>
      </c>
      <c r="C637" s="16">
        <v>751845393.07000005</v>
      </c>
      <c r="D637" s="16" t="s">
        <v>42</v>
      </c>
      <c r="E637" s="16">
        <v>4</v>
      </c>
    </row>
    <row r="638" spans="2:5">
      <c r="B638" s="37">
        <v>41000</v>
      </c>
      <c r="C638" s="16">
        <v>556381127.55999994</v>
      </c>
      <c r="D638" s="16" t="s">
        <v>15</v>
      </c>
      <c r="E638" s="16">
        <v>5</v>
      </c>
    </row>
    <row r="639" spans="2:5">
      <c r="B639" s="37">
        <v>41000</v>
      </c>
      <c r="C639" s="16">
        <v>456661036.43000001</v>
      </c>
      <c r="D639" s="16" t="s">
        <v>45</v>
      </c>
      <c r="E639" s="16">
        <v>6</v>
      </c>
    </row>
    <row r="640" spans="2:5">
      <c r="B640" s="37">
        <v>41000</v>
      </c>
      <c r="C640" s="16">
        <v>438684635</v>
      </c>
      <c r="D640" s="16" t="s">
        <v>14</v>
      </c>
      <c r="E640" s="16">
        <v>7</v>
      </c>
    </row>
    <row r="641" spans="2:5">
      <c r="B641" s="37">
        <v>41000</v>
      </c>
      <c r="C641" s="16">
        <v>399755835.06</v>
      </c>
      <c r="D641" s="16" t="s">
        <v>33</v>
      </c>
      <c r="E641" s="16">
        <v>8</v>
      </c>
    </row>
    <row r="642" spans="2:5">
      <c r="B642" s="37">
        <v>41000</v>
      </c>
      <c r="C642" s="16">
        <v>391908160.95999998</v>
      </c>
      <c r="D642" s="16" t="s">
        <v>129</v>
      </c>
      <c r="E642" s="16">
        <v>9</v>
      </c>
    </row>
    <row r="643" spans="2:5">
      <c r="B643" s="37">
        <v>41000</v>
      </c>
      <c r="C643" s="16">
        <v>370574006.99000001</v>
      </c>
      <c r="D643" s="16" t="s">
        <v>37</v>
      </c>
      <c r="E643" s="16">
        <v>10</v>
      </c>
    </row>
    <row r="644" spans="2:5">
      <c r="B644" s="37">
        <v>41030</v>
      </c>
      <c r="C644" s="16">
        <v>2844809039.77</v>
      </c>
      <c r="D644" s="16" t="s">
        <v>8</v>
      </c>
      <c r="E644" s="16">
        <v>1</v>
      </c>
    </row>
    <row r="645" spans="2:5">
      <c r="B645" s="37">
        <v>41030</v>
      </c>
      <c r="C645" s="16">
        <v>2695975128.2800002</v>
      </c>
      <c r="D645" s="16" t="s">
        <v>42</v>
      </c>
      <c r="E645" s="16">
        <v>2</v>
      </c>
    </row>
    <row r="646" spans="2:5">
      <c r="B646" s="37">
        <v>41030</v>
      </c>
      <c r="C646" s="16">
        <v>1158437334</v>
      </c>
      <c r="D646" s="16" t="s">
        <v>6</v>
      </c>
      <c r="E646" s="16">
        <v>3</v>
      </c>
    </row>
    <row r="647" spans="2:5">
      <c r="B647" s="37">
        <v>41030</v>
      </c>
      <c r="C647" s="16">
        <v>1144409990.77</v>
      </c>
      <c r="D647" s="16" t="s">
        <v>4</v>
      </c>
      <c r="E647" s="16">
        <v>4</v>
      </c>
    </row>
    <row r="648" spans="2:5">
      <c r="B648" s="37">
        <v>41030</v>
      </c>
      <c r="C648" s="16">
        <v>990429561.15999997</v>
      </c>
      <c r="D648" s="16" t="s">
        <v>47</v>
      </c>
      <c r="E648" s="16">
        <v>5</v>
      </c>
    </row>
    <row r="649" spans="2:5">
      <c r="B649" s="37">
        <v>41030</v>
      </c>
      <c r="C649" s="16">
        <v>810817274.40999997</v>
      </c>
      <c r="D649" s="16" t="s">
        <v>16</v>
      </c>
      <c r="E649" s="16">
        <v>6</v>
      </c>
    </row>
    <row r="650" spans="2:5">
      <c r="B650" s="37">
        <v>41030</v>
      </c>
      <c r="C650" s="16">
        <v>723104033.64999998</v>
      </c>
      <c r="D650" s="16" t="s">
        <v>44</v>
      </c>
      <c r="E650" s="16">
        <v>7</v>
      </c>
    </row>
    <row r="651" spans="2:5">
      <c r="B651" s="37">
        <v>41030</v>
      </c>
      <c r="C651" s="16">
        <v>582433870</v>
      </c>
      <c r="D651" s="16" t="s">
        <v>46</v>
      </c>
      <c r="E651" s="16">
        <v>8</v>
      </c>
    </row>
    <row r="652" spans="2:5">
      <c r="B652" s="37">
        <v>41030</v>
      </c>
      <c r="C652" s="16">
        <v>421375150.98000002</v>
      </c>
      <c r="D652" s="16" t="s">
        <v>15</v>
      </c>
      <c r="E652" s="16">
        <v>9</v>
      </c>
    </row>
    <row r="653" spans="2:5">
      <c r="B653" s="37">
        <v>41030</v>
      </c>
      <c r="C653" s="16">
        <v>409331316.60000002</v>
      </c>
      <c r="D653" s="16" t="s">
        <v>33</v>
      </c>
      <c r="E653" s="16">
        <v>10</v>
      </c>
    </row>
    <row r="654" spans="2:5">
      <c r="B654" s="37">
        <v>41061</v>
      </c>
      <c r="C654" s="16">
        <v>2599950568.2399998</v>
      </c>
      <c r="D654" s="16" t="s">
        <v>8</v>
      </c>
      <c r="E654" s="16">
        <v>1</v>
      </c>
    </row>
    <row r="655" spans="2:5">
      <c r="B655" s="37">
        <v>41061</v>
      </c>
      <c r="C655" s="16">
        <v>2088349909.77</v>
      </c>
      <c r="D655" s="16" t="s">
        <v>42</v>
      </c>
      <c r="E655" s="16">
        <v>2</v>
      </c>
    </row>
    <row r="656" spans="2:5">
      <c r="B656" s="37">
        <v>41061</v>
      </c>
      <c r="C656" s="16">
        <v>1717496541.8199999</v>
      </c>
      <c r="D656" s="16" t="s">
        <v>16</v>
      </c>
      <c r="E656" s="16">
        <v>3</v>
      </c>
    </row>
    <row r="657" spans="2:5">
      <c r="B657" s="37">
        <v>41061</v>
      </c>
      <c r="C657" s="16">
        <v>1361383888.96</v>
      </c>
      <c r="D657" s="16" t="s">
        <v>4</v>
      </c>
      <c r="E657" s="16">
        <v>4</v>
      </c>
    </row>
    <row r="658" spans="2:5">
      <c r="B658" s="37">
        <v>41061</v>
      </c>
      <c r="C658" s="16">
        <v>1081847850.47</v>
      </c>
      <c r="D658" s="16" t="s">
        <v>6</v>
      </c>
      <c r="E658" s="16">
        <v>5</v>
      </c>
    </row>
    <row r="659" spans="2:5">
      <c r="B659" s="37">
        <v>41061</v>
      </c>
      <c r="C659" s="16">
        <v>942158346</v>
      </c>
      <c r="D659" s="16" t="s">
        <v>46</v>
      </c>
      <c r="E659" s="16">
        <v>6</v>
      </c>
    </row>
    <row r="660" spans="2:5">
      <c r="B660" s="37">
        <v>41061</v>
      </c>
      <c r="C660" s="16">
        <v>611927198.08000004</v>
      </c>
      <c r="D660" s="16" t="s">
        <v>44</v>
      </c>
      <c r="E660" s="16">
        <v>7</v>
      </c>
    </row>
    <row r="661" spans="2:5">
      <c r="B661" s="37">
        <v>41061</v>
      </c>
      <c r="C661" s="16">
        <v>479635946.58999997</v>
      </c>
      <c r="D661" s="16" t="s">
        <v>50</v>
      </c>
      <c r="E661" s="16">
        <v>8</v>
      </c>
    </row>
    <row r="662" spans="2:5">
      <c r="B662" s="37">
        <v>41061</v>
      </c>
      <c r="C662" s="16">
        <v>469463549.25999999</v>
      </c>
      <c r="D662" s="16" t="s">
        <v>48</v>
      </c>
      <c r="E662" s="16">
        <v>9</v>
      </c>
    </row>
    <row r="663" spans="2:5">
      <c r="B663" s="37">
        <v>41061</v>
      </c>
      <c r="C663" s="16">
        <v>453561414</v>
      </c>
      <c r="D663" s="16" t="s">
        <v>14</v>
      </c>
      <c r="E663" s="16">
        <v>10</v>
      </c>
    </row>
    <row r="664" spans="2:5">
      <c r="B664" s="37">
        <v>41091</v>
      </c>
      <c r="C664" s="16">
        <v>3652881360.4099998</v>
      </c>
      <c r="D664" s="16" t="s">
        <v>42</v>
      </c>
      <c r="E664" s="16">
        <v>1</v>
      </c>
    </row>
    <row r="665" spans="2:5">
      <c r="B665" s="37">
        <v>41091</v>
      </c>
      <c r="C665" s="16">
        <v>3207267837.8099999</v>
      </c>
      <c r="D665" s="16" t="s">
        <v>8</v>
      </c>
      <c r="E665" s="16">
        <v>2</v>
      </c>
    </row>
    <row r="666" spans="2:5">
      <c r="B666" s="37">
        <v>41091</v>
      </c>
      <c r="C666" s="16">
        <v>1549662752.79</v>
      </c>
      <c r="D666" s="16" t="s">
        <v>16</v>
      </c>
      <c r="E666" s="16">
        <v>3</v>
      </c>
    </row>
    <row r="667" spans="2:5">
      <c r="B667" s="37">
        <v>41091</v>
      </c>
      <c r="C667" s="16">
        <v>1398096825.71</v>
      </c>
      <c r="D667" s="16" t="s">
        <v>4</v>
      </c>
      <c r="E667" s="16">
        <v>4</v>
      </c>
    </row>
    <row r="668" spans="2:5">
      <c r="B668" s="37">
        <v>41091</v>
      </c>
      <c r="C668" s="16">
        <v>807417536.92999995</v>
      </c>
      <c r="D668" s="16" t="s">
        <v>48</v>
      </c>
      <c r="E668" s="16">
        <v>5</v>
      </c>
    </row>
    <row r="669" spans="2:5">
      <c r="B669" s="37">
        <v>41091</v>
      </c>
      <c r="C669" s="16">
        <v>704763969.89999998</v>
      </c>
      <c r="D669" s="16" t="s">
        <v>44</v>
      </c>
      <c r="E669" s="16">
        <v>6</v>
      </c>
    </row>
    <row r="670" spans="2:5">
      <c r="B670" s="37">
        <v>41091</v>
      </c>
      <c r="C670" s="16">
        <v>623856417.64999998</v>
      </c>
      <c r="D670" s="16" t="s">
        <v>53</v>
      </c>
      <c r="E670" s="16">
        <v>7</v>
      </c>
    </row>
    <row r="671" spans="2:5">
      <c r="B671" s="37">
        <v>41091</v>
      </c>
      <c r="C671" s="16">
        <v>562657844</v>
      </c>
      <c r="D671" s="16" t="s">
        <v>49</v>
      </c>
      <c r="E671" s="16">
        <v>8</v>
      </c>
    </row>
    <row r="672" spans="2:5">
      <c r="B672" s="37">
        <v>41091</v>
      </c>
      <c r="C672" s="16">
        <v>533551133.63</v>
      </c>
      <c r="D672" s="16" t="s">
        <v>6</v>
      </c>
      <c r="E672" s="16">
        <v>9</v>
      </c>
    </row>
    <row r="673" spans="2:5">
      <c r="B673" s="37">
        <v>41091</v>
      </c>
      <c r="C673" s="16">
        <v>469901128</v>
      </c>
      <c r="D673" s="16" t="s">
        <v>46</v>
      </c>
      <c r="E673" s="16">
        <v>10</v>
      </c>
    </row>
    <row r="674" spans="2:5">
      <c r="B674" s="37">
        <v>41122</v>
      </c>
      <c r="C674" s="16">
        <v>4795732432.7799997</v>
      </c>
      <c r="D674" s="16" t="s">
        <v>42</v>
      </c>
      <c r="E674" s="16">
        <v>1</v>
      </c>
    </row>
    <row r="675" spans="2:5">
      <c r="B675" s="37">
        <v>41122</v>
      </c>
      <c r="C675" s="16">
        <v>3590695127.9499998</v>
      </c>
      <c r="D675" s="16" t="s">
        <v>8</v>
      </c>
      <c r="E675" s="16">
        <v>2</v>
      </c>
    </row>
    <row r="676" spans="2:5">
      <c r="B676" s="37">
        <v>41122</v>
      </c>
      <c r="C676" s="16">
        <v>1685314349.4100001</v>
      </c>
      <c r="D676" s="16" t="s">
        <v>16</v>
      </c>
      <c r="E676" s="16">
        <v>3</v>
      </c>
    </row>
    <row r="677" spans="2:5">
      <c r="B677" s="37">
        <v>41122</v>
      </c>
      <c r="C677" s="16">
        <v>1337029246.04</v>
      </c>
      <c r="D677" s="16" t="s">
        <v>4</v>
      </c>
      <c r="E677" s="16">
        <v>4</v>
      </c>
    </row>
    <row r="678" spans="2:5">
      <c r="B678" s="37">
        <v>41122</v>
      </c>
      <c r="C678" s="16">
        <v>1094677493.75</v>
      </c>
      <c r="D678" s="16" t="s">
        <v>48</v>
      </c>
      <c r="E678" s="16">
        <v>5</v>
      </c>
    </row>
    <row r="679" spans="2:5">
      <c r="B679" s="37">
        <v>41122</v>
      </c>
      <c r="C679" s="16">
        <v>940781505</v>
      </c>
      <c r="D679" s="16" t="s">
        <v>46</v>
      </c>
      <c r="E679" s="16">
        <v>6</v>
      </c>
    </row>
    <row r="680" spans="2:5">
      <c r="B680" s="37">
        <v>41122</v>
      </c>
      <c r="C680" s="16">
        <v>789039895</v>
      </c>
      <c r="D680" s="16" t="s">
        <v>49</v>
      </c>
      <c r="E680" s="16">
        <v>7</v>
      </c>
    </row>
    <row r="681" spans="2:5">
      <c r="B681" s="37">
        <v>41122</v>
      </c>
      <c r="C681" s="16">
        <v>733481120.73000002</v>
      </c>
      <c r="D681" s="16" t="s">
        <v>44</v>
      </c>
      <c r="E681" s="16">
        <v>8</v>
      </c>
    </row>
    <row r="682" spans="2:5">
      <c r="B682" s="37">
        <v>41122</v>
      </c>
      <c r="C682" s="16">
        <v>609777835.15999997</v>
      </c>
      <c r="D682" s="16" t="s">
        <v>130</v>
      </c>
      <c r="E682" s="16">
        <v>9</v>
      </c>
    </row>
    <row r="683" spans="2:5">
      <c r="B683" s="37">
        <v>41122</v>
      </c>
      <c r="C683" s="16">
        <v>597752971.85000002</v>
      </c>
      <c r="D683" s="16" t="s">
        <v>155</v>
      </c>
      <c r="E683" s="16">
        <v>10</v>
      </c>
    </row>
    <row r="684" spans="2:5">
      <c r="B684" s="37">
        <v>41153</v>
      </c>
      <c r="C684" s="16">
        <v>4937311483.1499996</v>
      </c>
      <c r="D684" s="16" t="s">
        <v>42</v>
      </c>
      <c r="E684" s="16">
        <v>1</v>
      </c>
    </row>
    <row r="685" spans="2:5">
      <c r="B685" s="37">
        <v>41153</v>
      </c>
      <c r="C685" s="16">
        <v>3367762976.5300002</v>
      </c>
      <c r="D685" s="16" t="s">
        <v>8</v>
      </c>
      <c r="E685" s="16">
        <v>2</v>
      </c>
    </row>
    <row r="686" spans="2:5">
      <c r="B686" s="37">
        <v>41153</v>
      </c>
      <c r="C686" s="16">
        <v>2141757846.5799999</v>
      </c>
      <c r="D686" s="16" t="s">
        <v>16</v>
      </c>
      <c r="E686" s="16">
        <v>3</v>
      </c>
    </row>
    <row r="687" spans="2:5">
      <c r="B687" s="37">
        <v>41153</v>
      </c>
      <c r="C687" s="16">
        <v>1656770244.25</v>
      </c>
      <c r="D687" s="16" t="s">
        <v>4</v>
      </c>
      <c r="E687" s="16">
        <v>4</v>
      </c>
    </row>
    <row r="688" spans="2:5">
      <c r="B688" s="37">
        <v>41153</v>
      </c>
      <c r="C688" s="16">
        <v>1095470707.79</v>
      </c>
      <c r="D688" s="16" t="s">
        <v>48</v>
      </c>
      <c r="E688" s="16">
        <v>5</v>
      </c>
    </row>
    <row r="689" spans="2:5">
      <c r="B689" s="37">
        <v>41153</v>
      </c>
      <c r="C689" s="16">
        <v>926371579</v>
      </c>
      <c r="D689" s="16" t="s">
        <v>46</v>
      </c>
      <c r="E689" s="16">
        <v>6</v>
      </c>
    </row>
    <row r="690" spans="2:5">
      <c r="B690" s="37">
        <v>41153</v>
      </c>
      <c r="C690" s="16">
        <v>870820419.51999998</v>
      </c>
      <c r="D690" s="16" t="s">
        <v>44</v>
      </c>
      <c r="E690" s="16">
        <v>7</v>
      </c>
    </row>
    <row r="691" spans="2:5">
      <c r="B691" s="37">
        <v>41153</v>
      </c>
      <c r="C691" s="16">
        <v>768972724.88999999</v>
      </c>
      <c r="D691" s="16" t="s">
        <v>47</v>
      </c>
      <c r="E691" s="16">
        <v>8</v>
      </c>
    </row>
    <row r="692" spans="2:5">
      <c r="B692" s="37">
        <v>41153</v>
      </c>
      <c r="C692" s="16">
        <v>677630823.85000002</v>
      </c>
      <c r="D692" s="16" t="s">
        <v>130</v>
      </c>
      <c r="E692" s="16">
        <v>9</v>
      </c>
    </row>
    <row r="693" spans="2:5">
      <c r="B693" s="37">
        <v>41153</v>
      </c>
      <c r="C693" s="16">
        <v>622594736.92999995</v>
      </c>
      <c r="D693" s="16" t="s">
        <v>12</v>
      </c>
      <c r="E693" s="16">
        <v>10</v>
      </c>
    </row>
    <row r="694" spans="2:5">
      <c r="B694" s="37">
        <v>41183</v>
      </c>
      <c r="C694" s="16">
        <v>4269923296.52</v>
      </c>
      <c r="D694" s="16" t="s">
        <v>42</v>
      </c>
      <c r="E694" s="16">
        <v>1</v>
      </c>
    </row>
    <row r="695" spans="2:5">
      <c r="B695" s="37">
        <v>41183</v>
      </c>
      <c r="C695" s="16">
        <v>3102558509.5100002</v>
      </c>
      <c r="D695" s="16" t="s">
        <v>8</v>
      </c>
      <c r="E695" s="16">
        <v>2</v>
      </c>
    </row>
    <row r="696" spans="2:5">
      <c r="B696" s="37">
        <v>41183</v>
      </c>
      <c r="C696" s="16">
        <v>1757170071.4400001</v>
      </c>
      <c r="D696" s="16" t="s">
        <v>48</v>
      </c>
      <c r="E696" s="16">
        <v>3</v>
      </c>
    </row>
    <row r="697" spans="2:5">
      <c r="B697" s="37">
        <v>41183</v>
      </c>
      <c r="C697" s="16">
        <v>1671217469.95</v>
      </c>
      <c r="D697" s="16" t="s">
        <v>16</v>
      </c>
      <c r="E697" s="16">
        <v>4</v>
      </c>
    </row>
    <row r="698" spans="2:5">
      <c r="B698" s="37">
        <v>41183</v>
      </c>
      <c r="C698" s="16">
        <v>1075838630.21</v>
      </c>
      <c r="D698" s="16" t="s">
        <v>4</v>
      </c>
      <c r="E698" s="16">
        <v>5</v>
      </c>
    </row>
    <row r="699" spans="2:5">
      <c r="B699" s="37">
        <v>41183</v>
      </c>
      <c r="C699" s="16">
        <v>842273584</v>
      </c>
      <c r="D699" s="16" t="s">
        <v>49</v>
      </c>
      <c r="E699" s="16">
        <v>6</v>
      </c>
    </row>
    <row r="700" spans="2:5">
      <c r="B700" s="37">
        <v>41183</v>
      </c>
      <c r="C700" s="16">
        <v>835888535</v>
      </c>
      <c r="D700" s="16" t="s">
        <v>46</v>
      </c>
      <c r="E700" s="16">
        <v>7</v>
      </c>
    </row>
    <row r="701" spans="2:5">
      <c r="B701" s="37">
        <v>41183</v>
      </c>
      <c r="C701" s="16">
        <v>739804348.36000001</v>
      </c>
      <c r="D701" s="16" t="s">
        <v>44</v>
      </c>
      <c r="E701" s="16">
        <v>8</v>
      </c>
    </row>
    <row r="702" spans="2:5">
      <c r="B702" s="37">
        <v>41183</v>
      </c>
      <c r="C702" s="16">
        <v>528499390.93000001</v>
      </c>
      <c r="D702" s="16" t="s">
        <v>130</v>
      </c>
      <c r="E702" s="16">
        <v>9</v>
      </c>
    </row>
    <row r="703" spans="2:5">
      <c r="B703" s="37">
        <v>41183</v>
      </c>
      <c r="C703" s="16">
        <v>515212464</v>
      </c>
      <c r="D703" s="16" t="s">
        <v>14</v>
      </c>
      <c r="E703" s="16">
        <v>10</v>
      </c>
    </row>
    <row r="704" spans="2:5">
      <c r="B704" s="37">
        <v>41214</v>
      </c>
      <c r="C704" s="16">
        <v>5319861378.3900003</v>
      </c>
      <c r="D704" s="16" t="s">
        <v>42</v>
      </c>
      <c r="E704" s="16">
        <v>1</v>
      </c>
    </row>
    <row r="705" spans="2:5">
      <c r="B705" s="37">
        <v>41214</v>
      </c>
      <c r="C705" s="16">
        <v>3882765467.3400002</v>
      </c>
      <c r="D705" s="16" t="s">
        <v>8</v>
      </c>
      <c r="E705" s="16">
        <v>2</v>
      </c>
    </row>
    <row r="706" spans="2:5">
      <c r="B706" s="37">
        <v>41214</v>
      </c>
      <c r="C706" s="16">
        <v>2524129754.2800002</v>
      </c>
      <c r="D706" s="16" t="s">
        <v>48</v>
      </c>
      <c r="E706" s="16">
        <v>3</v>
      </c>
    </row>
    <row r="707" spans="2:5">
      <c r="B707" s="37">
        <v>41214</v>
      </c>
      <c r="C707" s="16">
        <v>1998429887.1300001</v>
      </c>
      <c r="D707" s="16" t="s">
        <v>16</v>
      </c>
      <c r="E707" s="16">
        <v>4</v>
      </c>
    </row>
    <row r="708" spans="2:5">
      <c r="B708" s="37">
        <v>41214</v>
      </c>
      <c r="C708" s="16">
        <v>1588213809</v>
      </c>
      <c r="D708" s="16" t="s">
        <v>49</v>
      </c>
      <c r="E708" s="16">
        <v>5</v>
      </c>
    </row>
    <row r="709" spans="2:5">
      <c r="B709" s="37">
        <v>41214</v>
      </c>
      <c r="C709" s="16">
        <v>1391564416.8199999</v>
      </c>
      <c r="D709" s="16" t="s">
        <v>4</v>
      </c>
      <c r="E709" s="16">
        <v>6</v>
      </c>
    </row>
    <row r="710" spans="2:5">
      <c r="B710" s="37">
        <v>41214</v>
      </c>
      <c r="C710" s="16">
        <v>1071373865.8099999</v>
      </c>
      <c r="D710" s="16" t="s">
        <v>45</v>
      </c>
      <c r="E710" s="16">
        <v>7</v>
      </c>
    </row>
    <row r="711" spans="2:5">
      <c r="B711" s="37">
        <v>41214</v>
      </c>
      <c r="C711" s="16">
        <v>1058464662.1799999</v>
      </c>
      <c r="D711" s="16" t="s">
        <v>131</v>
      </c>
      <c r="E711" s="16">
        <v>8</v>
      </c>
    </row>
    <row r="712" spans="2:5">
      <c r="B712" s="37">
        <v>41214</v>
      </c>
      <c r="C712" s="16">
        <v>992780246.30999994</v>
      </c>
      <c r="D712" s="16" t="s">
        <v>44</v>
      </c>
      <c r="E712" s="16">
        <v>9</v>
      </c>
    </row>
    <row r="713" spans="2:5">
      <c r="B713" s="37">
        <v>41214</v>
      </c>
      <c r="C713" s="16">
        <v>964929533.39999998</v>
      </c>
      <c r="D713" s="16" t="s">
        <v>53</v>
      </c>
      <c r="E713" s="16">
        <v>10</v>
      </c>
    </row>
    <row r="714" spans="2:5">
      <c r="B714" s="37">
        <v>41244</v>
      </c>
      <c r="C714" s="16">
        <v>4866573877.1400003</v>
      </c>
      <c r="D714" s="16" t="s">
        <v>42</v>
      </c>
      <c r="E714" s="16">
        <v>1</v>
      </c>
    </row>
    <row r="715" spans="2:5">
      <c r="B715" s="37">
        <v>41244</v>
      </c>
      <c r="C715" s="16">
        <v>3912376920.6900001</v>
      </c>
      <c r="D715" s="16" t="s">
        <v>8</v>
      </c>
      <c r="E715" s="16">
        <v>2</v>
      </c>
    </row>
    <row r="716" spans="2:5">
      <c r="B716" s="37">
        <v>41244</v>
      </c>
      <c r="C716" s="16">
        <v>2424491906.04</v>
      </c>
      <c r="D716" s="16" t="s">
        <v>16</v>
      </c>
      <c r="E716" s="16">
        <v>3</v>
      </c>
    </row>
    <row r="717" spans="2:5">
      <c r="B717" s="37">
        <v>41244</v>
      </c>
      <c r="C717" s="16">
        <v>1613083367.98</v>
      </c>
      <c r="D717" s="16" t="s">
        <v>48</v>
      </c>
      <c r="E717" s="16">
        <v>4</v>
      </c>
    </row>
    <row r="718" spans="2:5">
      <c r="B718" s="37">
        <v>41244</v>
      </c>
      <c r="C718" s="16">
        <v>1178548513.0699999</v>
      </c>
      <c r="D718" s="16" t="s">
        <v>6</v>
      </c>
      <c r="E718" s="16">
        <v>5</v>
      </c>
    </row>
    <row r="719" spans="2:5">
      <c r="B719" s="37">
        <v>41244</v>
      </c>
      <c r="C719" s="16">
        <v>900787186.53999996</v>
      </c>
      <c r="D719" s="16" t="s">
        <v>4</v>
      </c>
      <c r="E719" s="16">
        <v>6</v>
      </c>
    </row>
    <row r="720" spans="2:5">
      <c r="B720" s="37">
        <v>41244</v>
      </c>
      <c r="C720" s="16">
        <v>825687440</v>
      </c>
      <c r="D720" s="16" t="s">
        <v>49</v>
      </c>
      <c r="E720" s="16">
        <v>7</v>
      </c>
    </row>
    <row r="721" spans="2:5">
      <c r="B721" s="37">
        <v>41244</v>
      </c>
      <c r="C721" s="16">
        <v>706310958.97000003</v>
      </c>
      <c r="D721" s="16" t="s">
        <v>53</v>
      </c>
      <c r="E721" s="16">
        <v>8</v>
      </c>
    </row>
    <row r="722" spans="2:5">
      <c r="B722" s="37">
        <v>41244</v>
      </c>
      <c r="C722" s="16">
        <v>600125047</v>
      </c>
      <c r="D722" s="16" t="s">
        <v>46</v>
      </c>
      <c r="E722" s="16">
        <v>9</v>
      </c>
    </row>
    <row r="723" spans="2:5">
      <c r="B723" s="37">
        <v>41244</v>
      </c>
      <c r="C723" s="16">
        <v>571351609.66999996</v>
      </c>
      <c r="D723" s="16" t="s">
        <v>45</v>
      </c>
      <c r="E723" s="16">
        <v>10</v>
      </c>
    </row>
    <row r="724" spans="2:5">
      <c r="B724" s="37">
        <v>41275</v>
      </c>
      <c r="C724" s="16">
        <v>5979329449.8800001</v>
      </c>
      <c r="D724" s="16" t="s">
        <v>42</v>
      </c>
      <c r="E724" s="16">
        <v>1</v>
      </c>
    </row>
    <row r="725" spans="2:5">
      <c r="B725" s="37">
        <v>41275</v>
      </c>
      <c r="C725" s="16">
        <v>3555445910.4099998</v>
      </c>
      <c r="D725" s="16" t="s">
        <v>8</v>
      </c>
      <c r="E725" s="16">
        <v>2</v>
      </c>
    </row>
    <row r="726" spans="2:5">
      <c r="B726" s="37">
        <v>41275</v>
      </c>
      <c r="C726" s="16">
        <v>2355507267.6900001</v>
      </c>
      <c r="D726" s="16" t="s">
        <v>16</v>
      </c>
      <c r="E726" s="16">
        <v>3</v>
      </c>
    </row>
    <row r="727" spans="2:5">
      <c r="B727" s="37">
        <v>41275</v>
      </c>
      <c r="C727" s="16">
        <v>2198109024.29</v>
      </c>
      <c r="D727" s="16" t="s">
        <v>48</v>
      </c>
      <c r="E727" s="16">
        <v>4</v>
      </c>
    </row>
    <row r="728" spans="2:5">
      <c r="B728" s="37">
        <v>41275</v>
      </c>
      <c r="C728" s="16">
        <v>1602774666.5599999</v>
      </c>
      <c r="D728" s="16" t="s">
        <v>4</v>
      </c>
      <c r="E728" s="16">
        <v>5</v>
      </c>
    </row>
    <row r="729" spans="2:5">
      <c r="B729" s="37">
        <v>41275</v>
      </c>
      <c r="C729" s="16">
        <v>1223313555</v>
      </c>
      <c r="D729" s="16" t="s">
        <v>46</v>
      </c>
      <c r="E729" s="16">
        <v>6</v>
      </c>
    </row>
    <row r="730" spans="2:5">
      <c r="B730" s="37">
        <v>41275</v>
      </c>
      <c r="C730" s="16">
        <v>936073100</v>
      </c>
      <c r="D730" s="16" t="s">
        <v>49</v>
      </c>
      <c r="E730" s="16">
        <v>7</v>
      </c>
    </row>
    <row r="731" spans="2:5">
      <c r="B731" s="37">
        <v>41275</v>
      </c>
      <c r="C731" s="16">
        <v>933302030</v>
      </c>
      <c r="D731" s="16" t="s">
        <v>6</v>
      </c>
      <c r="E731" s="16">
        <v>8</v>
      </c>
    </row>
    <row r="732" spans="2:5">
      <c r="B732" s="37">
        <v>41275</v>
      </c>
      <c r="C732" s="16">
        <v>687278997.60000002</v>
      </c>
      <c r="D732" s="16" t="s">
        <v>131</v>
      </c>
      <c r="E732" s="16">
        <v>9</v>
      </c>
    </row>
    <row r="733" spans="2:5">
      <c r="B733" s="37">
        <v>41275</v>
      </c>
      <c r="C733" s="16">
        <v>647612723.87</v>
      </c>
      <c r="D733" s="16" t="s">
        <v>53</v>
      </c>
      <c r="E733" s="16">
        <v>10</v>
      </c>
    </row>
    <row r="734" spans="2:5">
      <c r="B734" s="37">
        <v>41306</v>
      </c>
      <c r="C734" s="16">
        <v>5069266638.7200003</v>
      </c>
      <c r="D734" s="16" t="s">
        <v>42</v>
      </c>
      <c r="E734" s="16">
        <v>1</v>
      </c>
    </row>
    <row r="735" spans="2:5">
      <c r="B735" s="37">
        <v>41306</v>
      </c>
      <c r="C735" s="16">
        <v>3070547359.5500002</v>
      </c>
      <c r="D735" s="16" t="s">
        <v>8</v>
      </c>
      <c r="E735" s="16">
        <v>2</v>
      </c>
    </row>
    <row r="736" spans="2:5">
      <c r="B736" s="37">
        <v>41306</v>
      </c>
      <c r="C736" s="16">
        <v>1932080772.45</v>
      </c>
      <c r="D736" s="16" t="s">
        <v>16</v>
      </c>
      <c r="E736" s="16">
        <v>3</v>
      </c>
    </row>
    <row r="737" spans="2:5">
      <c r="B737" s="37">
        <v>41306</v>
      </c>
      <c r="C737" s="16">
        <v>1306980096.78</v>
      </c>
      <c r="D737" s="16" t="s">
        <v>4</v>
      </c>
      <c r="E737" s="16">
        <v>4</v>
      </c>
    </row>
    <row r="738" spans="2:5">
      <c r="B738" s="37">
        <v>41306</v>
      </c>
      <c r="C738" s="16">
        <v>1245620504</v>
      </c>
      <c r="D738" s="16" t="s">
        <v>6</v>
      </c>
      <c r="E738" s="16">
        <v>5</v>
      </c>
    </row>
    <row r="739" spans="2:5">
      <c r="B739" s="37">
        <v>41306</v>
      </c>
      <c r="C739" s="16">
        <v>1070072471</v>
      </c>
      <c r="D739" s="16" t="s">
        <v>46</v>
      </c>
      <c r="E739" s="16">
        <v>6</v>
      </c>
    </row>
    <row r="740" spans="2:5">
      <c r="B740" s="37">
        <v>41306</v>
      </c>
      <c r="C740" s="16">
        <v>908654609.40999997</v>
      </c>
      <c r="D740" s="16" t="s">
        <v>48</v>
      </c>
      <c r="E740" s="16">
        <v>7</v>
      </c>
    </row>
    <row r="741" spans="2:5">
      <c r="B741" s="37">
        <v>41306</v>
      </c>
      <c r="C741" s="16">
        <v>822847587.25999999</v>
      </c>
      <c r="D741" s="16" t="s">
        <v>129</v>
      </c>
      <c r="E741" s="16">
        <v>8</v>
      </c>
    </row>
    <row r="742" spans="2:5">
      <c r="B742" s="37">
        <v>41306</v>
      </c>
      <c r="C742" s="16">
        <v>775548921.08000004</v>
      </c>
      <c r="D742" s="16" t="s">
        <v>130</v>
      </c>
      <c r="E742" s="16">
        <v>9</v>
      </c>
    </row>
    <row r="743" spans="2:5">
      <c r="B743" s="37">
        <v>41306</v>
      </c>
      <c r="C743" s="16">
        <v>742195148</v>
      </c>
      <c r="D743" s="16" t="s">
        <v>12</v>
      </c>
      <c r="E743" s="16">
        <v>10</v>
      </c>
    </row>
    <row r="744" spans="2:5">
      <c r="B744" s="37">
        <v>41334</v>
      </c>
      <c r="C744" s="16">
        <v>4567963477.21</v>
      </c>
      <c r="D744" s="16" t="s">
        <v>42</v>
      </c>
      <c r="E744" s="16">
        <v>1</v>
      </c>
    </row>
    <row r="745" spans="2:5">
      <c r="B745" s="37">
        <v>41334</v>
      </c>
      <c r="C745" s="16">
        <v>1901922494.5</v>
      </c>
      <c r="D745" s="16" t="s">
        <v>8</v>
      </c>
      <c r="E745" s="16">
        <v>2</v>
      </c>
    </row>
    <row r="746" spans="2:5">
      <c r="B746" s="37">
        <v>41334</v>
      </c>
      <c r="C746" s="16">
        <v>799515520.72000003</v>
      </c>
      <c r="D746" s="16" t="s">
        <v>4</v>
      </c>
      <c r="E746" s="16">
        <v>3</v>
      </c>
    </row>
    <row r="747" spans="2:5">
      <c r="B747" s="37">
        <v>41334</v>
      </c>
      <c r="C747" s="16">
        <v>716978597.38</v>
      </c>
      <c r="D747" s="16" t="s">
        <v>16</v>
      </c>
      <c r="E747" s="16">
        <v>4</v>
      </c>
    </row>
    <row r="748" spans="2:5">
      <c r="B748" s="37">
        <v>41334</v>
      </c>
      <c r="C748" s="16">
        <v>703423047</v>
      </c>
      <c r="D748" s="16" t="s">
        <v>49</v>
      </c>
      <c r="E748" s="16">
        <v>5</v>
      </c>
    </row>
    <row r="749" spans="2:5">
      <c r="B749" s="37">
        <v>41334</v>
      </c>
      <c r="C749" s="16">
        <v>679671968.63999999</v>
      </c>
      <c r="D749" s="16" t="s">
        <v>129</v>
      </c>
      <c r="E749" s="16">
        <v>6</v>
      </c>
    </row>
    <row r="750" spans="2:5">
      <c r="B750" s="37">
        <v>41334</v>
      </c>
      <c r="C750" s="16">
        <v>632008053.09000003</v>
      </c>
      <c r="D750" s="16" t="s">
        <v>53</v>
      </c>
      <c r="E750" s="16">
        <v>7</v>
      </c>
    </row>
    <row r="751" spans="2:5">
      <c r="B751" s="37">
        <v>41334</v>
      </c>
      <c r="C751" s="16">
        <v>587565021.25</v>
      </c>
      <c r="D751" s="16" t="s">
        <v>6</v>
      </c>
      <c r="E751" s="16">
        <v>8</v>
      </c>
    </row>
    <row r="752" spans="2:5">
      <c r="B752" s="37">
        <v>41334</v>
      </c>
      <c r="C752" s="16">
        <v>573252980</v>
      </c>
      <c r="D752" s="16" t="s">
        <v>14</v>
      </c>
      <c r="E752" s="16">
        <v>9</v>
      </c>
    </row>
    <row r="753" spans="2:5">
      <c r="B753" s="37">
        <v>41334</v>
      </c>
      <c r="C753" s="16">
        <v>568064468.83000004</v>
      </c>
      <c r="D753" s="16" t="s">
        <v>44</v>
      </c>
      <c r="E753" s="16">
        <v>10</v>
      </c>
    </row>
    <row r="754" spans="2:5">
      <c r="B754" s="37">
        <v>41365</v>
      </c>
      <c r="C754" s="16">
        <v>4125896876.8099999</v>
      </c>
      <c r="D754" s="16" t="s">
        <v>42</v>
      </c>
      <c r="E754" s="16">
        <v>1</v>
      </c>
    </row>
    <row r="755" spans="2:5">
      <c r="B755" s="37">
        <v>41365</v>
      </c>
      <c r="C755" s="16">
        <v>2866774138.8499999</v>
      </c>
      <c r="D755" s="16" t="s">
        <v>8</v>
      </c>
      <c r="E755" s="16">
        <v>2</v>
      </c>
    </row>
    <row r="756" spans="2:5">
      <c r="B756" s="37">
        <v>41365</v>
      </c>
      <c r="C756" s="16">
        <v>1599161362.23</v>
      </c>
      <c r="D756" s="16" t="s">
        <v>6</v>
      </c>
      <c r="E756" s="16">
        <v>3</v>
      </c>
    </row>
    <row r="757" spans="2:5">
      <c r="B757" s="37">
        <v>41365</v>
      </c>
      <c r="C757" s="16">
        <v>1051421255.6900001</v>
      </c>
      <c r="D757" s="16" t="s">
        <v>4</v>
      </c>
      <c r="E757" s="16">
        <v>4</v>
      </c>
    </row>
    <row r="758" spans="2:5">
      <c r="B758" s="37">
        <v>41365</v>
      </c>
      <c r="C758" s="16">
        <v>1037437524.3099999</v>
      </c>
      <c r="D758" s="16" t="s">
        <v>50</v>
      </c>
      <c r="E758" s="16">
        <v>5</v>
      </c>
    </row>
    <row r="759" spans="2:5">
      <c r="B759" s="37">
        <v>41365</v>
      </c>
      <c r="C759" s="16">
        <v>1031822824</v>
      </c>
      <c r="D759" s="16" t="s">
        <v>49</v>
      </c>
      <c r="E759" s="16">
        <v>6</v>
      </c>
    </row>
    <row r="760" spans="2:5">
      <c r="B760" s="37">
        <v>41365</v>
      </c>
      <c r="C760" s="16">
        <v>729451484.36000001</v>
      </c>
      <c r="D760" s="16" t="s">
        <v>16</v>
      </c>
      <c r="E760" s="16">
        <v>7</v>
      </c>
    </row>
    <row r="761" spans="2:5">
      <c r="B761" s="37">
        <v>41365</v>
      </c>
      <c r="C761" s="16">
        <v>686196842.63999999</v>
      </c>
      <c r="D761" s="16" t="s">
        <v>129</v>
      </c>
      <c r="E761" s="16">
        <v>8</v>
      </c>
    </row>
    <row r="762" spans="2:5">
      <c r="B762" s="37">
        <v>41365</v>
      </c>
      <c r="C762" s="16">
        <v>600750214.50999999</v>
      </c>
      <c r="D762" s="16" t="s">
        <v>33</v>
      </c>
      <c r="E762" s="16">
        <v>9</v>
      </c>
    </row>
    <row r="763" spans="2:5">
      <c r="B763" s="37">
        <v>41365</v>
      </c>
      <c r="C763" s="16">
        <v>529633000</v>
      </c>
      <c r="D763" s="16" t="s">
        <v>26</v>
      </c>
      <c r="E763" s="16">
        <v>10</v>
      </c>
    </row>
    <row r="764" spans="2:5">
      <c r="B764" s="37">
        <v>41395</v>
      </c>
      <c r="C764" s="16">
        <v>3459242035.96</v>
      </c>
      <c r="D764" s="16" t="s">
        <v>42</v>
      </c>
      <c r="E764" s="16">
        <v>1</v>
      </c>
    </row>
    <row r="765" spans="2:5">
      <c r="B765" s="37">
        <v>41395</v>
      </c>
      <c r="C765" s="16">
        <v>1856516396.73</v>
      </c>
      <c r="D765" s="16" t="s">
        <v>8</v>
      </c>
      <c r="E765" s="16">
        <v>2</v>
      </c>
    </row>
    <row r="766" spans="2:5">
      <c r="B766" s="37">
        <v>41395</v>
      </c>
      <c r="C766" s="16">
        <v>1129016102.25</v>
      </c>
      <c r="D766" s="16" t="s">
        <v>51</v>
      </c>
      <c r="E766" s="16">
        <v>3</v>
      </c>
    </row>
    <row r="767" spans="2:5">
      <c r="B767" s="37">
        <v>41395</v>
      </c>
      <c r="C767" s="16">
        <v>977753136.09000003</v>
      </c>
      <c r="D767" s="16" t="s">
        <v>4</v>
      </c>
      <c r="E767" s="16">
        <v>4</v>
      </c>
    </row>
    <row r="768" spans="2:5">
      <c r="B768" s="37">
        <v>41395</v>
      </c>
      <c r="C768" s="16">
        <v>875520179</v>
      </c>
      <c r="D768" s="16" t="s">
        <v>49</v>
      </c>
      <c r="E768" s="16">
        <v>5</v>
      </c>
    </row>
    <row r="769" spans="2:5">
      <c r="B769" s="37">
        <v>41395</v>
      </c>
      <c r="C769" s="16">
        <v>843472557.42999995</v>
      </c>
      <c r="D769" s="16" t="s">
        <v>6</v>
      </c>
      <c r="E769" s="16">
        <v>6</v>
      </c>
    </row>
    <row r="770" spans="2:5">
      <c r="B770" s="37">
        <v>41395</v>
      </c>
      <c r="C770" s="16">
        <v>717990565.77999997</v>
      </c>
      <c r="D770" s="16" t="s">
        <v>129</v>
      </c>
      <c r="E770" s="16">
        <v>7</v>
      </c>
    </row>
    <row r="771" spans="2:5">
      <c r="B771" s="37">
        <v>41395</v>
      </c>
      <c r="C771" s="16">
        <v>716631875.51999998</v>
      </c>
      <c r="D771" s="16" t="s">
        <v>44</v>
      </c>
      <c r="E771" s="16">
        <v>8</v>
      </c>
    </row>
    <row r="772" spans="2:5">
      <c r="B772" s="37">
        <v>41395</v>
      </c>
      <c r="C772" s="16">
        <v>711331752.40999997</v>
      </c>
      <c r="D772" s="16" t="s">
        <v>48</v>
      </c>
      <c r="E772" s="16">
        <v>9</v>
      </c>
    </row>
    <row r="773" spans="2:5">
      <c r="B773" s="37">
        <v>41395</v>
      </c>
      <c r="C773" s="16">
        <v>589086963.34000003</v>
      </c>
      <c r="D773" s="16" t="s">
        <v>143</v>
      </c>
      <c r="E773" s="16">
        <v>10</v>
      </c>
    </row>
    <row r="774" spans="2:5">
      <c r="B774" s="37">
        <v>41426</v>
      </c>
      <c r="C774" s="16">
        <v>4055990638.6799998</v>
      </c>
      <c r="D774" s="16" t="s">
        <v>42</v>
      </c>
      <c r="E774" s="16">
        <v>1</v>
      </c>
    </row>
    <row r="775" spans="2:5">
      <c r="B775" s="37">
        <v>41426</v>
      </c>
      <c r="C775" s="16">
        <v>1997314246.6300001</v>
      </c>
      <c r="D775" s="16" t="s">
        <v>8</v>
      </c>
      <c r="E775" s="16">
        <v>2</v>
      </c>
    </row>
    <row r="776" spans="2:5">
      <c r="B776" s="37">
        <v>41426</v>
      </c>
      <c r="C776" s="16">
        <v>1573203721.77</v>
      </c>
      <c r="D776" s="16" t="s">
        <v>51</v>
      </c>
      <c r="E776" s="16">
        <v>3</v>
      </c>
    </row>
    <row r="777" spans="2:5">
      <c r="B777" s="37">
        <v>41426</v>
      </c>
      <c r="C777" s="16">
        <v>1169087126</v>
      </c>
      <c r="D777" s="16" t="s">
        <v>49</v>
      </c>
      <c r="E777" s="16">
        <v>4</v>
      </c>
    </row>
    <row r="778" spans="2:5">
      <c r="B778" s="37">
        <v>41426</v>
      </c>
      <c r="C778" s="16">
        <v>1000640774.4400001</v>
      </c>
      <c r="D778" s="16" t="s">
        <v>50</v>
      </c>
      <c r="E778" s="16">
        <v>5</v>
      </c>
    </row>
    <row r="779" spans="2:5">
      <c r="B779" s="37">
        <v>41426</v>
      </c>
      <c r="C779" s="16">
        <v>567488798.92999995</v>
      </c>
      <c r="D779" s="16" t="s">
        <v>4</v>
      </c>
      <c r="E779" s="16">
        <v>6</v>
      </c>
    </row>
    <row r="780" spans="2:5">
      <c r="B780" s="37">
        <v>41426</v>
      </c>
      <c r="C780" s="16">
        <v>558248480.46000004</v>
      </c>
      <c r="D780" s="16" t="s">
        <v>44</v>
      </c>
      <c r="E780" s="16">
        <v>7</v>
      </c>
    </row>
    <row r="781" spans="2:5">
      <c r="B781" s="37">
        <v>41426</v>
      </c>
      <c r="C781" s="16">
        <v>510478821.94999999</v>
      </c>
      <c r="D781" s="16" t="s">
        <v>48</v>
      </c>
      <c r="E781" s="16">
        <v>8</v>
      </c>
    </row>
    <row r="782" spans="2:5">
      <c r="B782" s="37">
        <v>41426</v>
      </c>
      <c r="C782" s="16">
        <v>488042079.75999999</v>
      </c>
      <c r="D782" s="16" t="s">
        <v>131</v>
      </c>
      <c r="E782" s="16">
        <v>9</v>
      </c>
    </row>
    <row r="783" spans="2:5">
      <c r="B783" s="37">
        <v>41426</v>
      </c>
      <c r="C783" s="16">
        <v>461439915.54000002</v>
      </c>
      <c r="D783" s="16" t="s">
        <v>33</v>
      </c>
      <c r="E783" s="16">
        <v>10</v>
      </c>
    </row>
    <row r="784" spans="2:5">
      <c r="B784" s="37">
        <v>41456</v>
      </c>
      <c r="C784" s="16">
        <v>4468738110.4300003</v>
      </c>
      <c r="D784" s="16" t="s">
        <v>42</v>
      </c>
      <c r="E784" s="16">
        <v>1</v>
      </c>
    </row>
    <row r="785" spans="2:5">
      <c r="B785" s="37">
        <v>41456</v>
      </c>
      <c r="C785" s="16">
        <v>2287568241.9699998</v>
      </c>
      <c r="D785" s="16" t="s">
        <v>8</v>
      </c>
      <c r="E785" s="16">
        <v>2</v>
      </c>
    </row>
    <row r="786" spans="2:5">
      <c r="B786" s="37">
        <v>41456</v>
      </c>
      <c r="C786" s="16">
        <v>2212331897.6900001</v>
      </c>
      <c r="D786" s="16" t="s">
        <v>51</v>
      </c>
      <c r="E786" s="16">
        <v>3</v>
      </c>
    </row>
    <row r="787" spans="2:5">
      <c r="B787" s="37">
        <v>41456</v>
      </c>
      <c r="C787" s="16">
        <v>1569984561.9200001</v>
      </c>
      <c r="D787" s="16" t="s">
        <v>50</v>
      </c>
      <c r="E787" s="16">
        <v>4</v>
      </c>
    </row>
    <row r="788" spans="2:5">
      <c r="B788" s="37">
        <v>41456</v>
      </c>
      <c r="C788" s="16">
        <v>1144305792.9000001</v>
      </c>
      <c r="D788" s="16" t="s">
        <v>48</v>
      </c>
      <c r="E788" s="16">
        <v>5</v>
      </c>
    </row>
    <row r="789" spans="2:5">
      <c r="B789" s="37">
        <v>41456</v>
      </c>
      <c r="C789" s="16">
        <v>713708620.26999998</v>
      </c>
      <c r="D789" s="16" t="s">
        <v>4</v>
      </c>
      <c r="E789" s="16">
        <v>6</v>
      </c>
    </row>
    <row r="790" spans="2:5">
      <c r="B790" s="37">
        <v>41456</v>
      </c>
      <c r="C790" s="16">
        <v>703266850.17999995</v>
      </c>
      <c r="D790" s="16" t="s">
        <v>44</v>
      </c>
      <c r="E790" s="16">
        <v>7</v>
      </c>
    </row>
    <row r="791" spans="2:5">
      <c r="B791" s="37">
        <v>41456</v>
      </c>
      <c r="C791" s="16">
        <v>594963449</v>
      </c>
      <c r="D791" s="16" t="s">
        <v>46</v>
      </c>
      <c r="E791" s="16">
        <v>8</v>
      </c>
    </row>
    <row r="792" spans="2:5">
      <c r="B792" s="37">
        <v>41456</v>
      </c>
      <c r="C792" s="16">
        <v>465089752</v>
      </c>
      <c r="D792" s="16" t="s">
        <v>49</v>
      </c>
      <c r="E792" s="16">
        <v>9</v>
      </c>
    </row>
    <row r="793" spans="2:5">
      <c r="B793" s="37">
        <v>41456</v>
      </c>
      <c r="C793" s="16">
        <v>460047105.19999999</v>
      </c>
      <c r="D793" s="16" t="s">
        <v>131</v>
      </c>
      <c r="E793" s="16">
        <v>10</v>
      </c>
    </row>
    <row r="794" spans="2:5">
      <c r="B794" s="37">
        <v>41487</v>
      </c>
      <c r="C794" s="16">
        <v>4118976924.3200002</v>
      </c>
      <c r="D794" s="16" t="s">
        <v>42</v>
      </c>
      <c r="E794" s="16">
        <v>1</v>
      </c>
    </row>
    <row r="795" spans="2:5">
      <c r="B795" s="37">
        <v>41487</v>
      </c>
      <c r="C795" s="16">
        <v>2883350418.2600002</v>
      </c>
      <c r="D795" s="16" t="s">
        <v>50</v>
      </c>
      <c r="E795" s="16">
        <v>2</v>
      </c>
    </row>
    <row r="796" spans="2:5">
      <c r="B796" s="37">
        <v>41487</v>
      </c>
      <c r="C796" s="16">
        <v>2159130451.9000001</v>
      </c>
      <c r="D796" s="16" t="s">
        <v>51</v>
      </c>
      <c r="E796" s="16">
        <v>3</v>
      </c>
    </row>
    <row r="797" spans="2:5">
      <c r="B797" s="37">
        <v>41487</v>
      </c>
      <c r="C797" s="16">
        <v>1796265185.45</v>
      </c>
      <c r="D797" s="16" t="s">
        <v>8</v>
      </c>
      <c r="E797" s="16">
        <v>4</v>
      </c>
    </row>
    <row r="798" spans="2:5">
      <c r="B798" s="37">
        <v>41487</v>
      </c>
      <c r="C798" s="16">
        <v>1299299846</v>
      </c>
      <c r="D798" s="16" t="s">
        <v>46</v>
      </c>
      <c r="E798" s="16">
        <v>5</v>
      </c>
    </row>
    <row r="799" spans="2:5">
      <c r="B799" s="37">
        <v>41487</v>
      </c>
      <c r="C799" s="16">
        <v>837776019.65999997</v>
      </c>
      <c r="D799" s="16" t="s">
        <v>4</v>
      </c>
      <c r="E799" s="16">
        <v>6</v>
      </c>
    </row>
    <row r="800" spans="2:5">
      <c r="B800" s="37">
        <v>41487</v>
      </c>
      <c r="C800" s="16">
        <v>548767425.08000004</v>
      </c>
      <c r="D800" s="16" t="s">
        <v>6</v>
      </c>
      <c r="E800" s="16">
        <v>7</v>
      </c>
    </row>
    <row r="801" spans="2:5">
      <c r="B801" s="37">
        <v>41487</v>
      </c>
      <c r="C801" s="16">
        <v>543956498.54999995</v>
      </c>
      <c r="D801" s="16" t="s">
        <v>48</v>
      </c>
      <c r="E801" s="16">
        <v>8</v>
      </c>
    </row>
    <row r="802" spans="2:5">
      <c r="B802" s="37">
        <v>41487</v>
      </c>
      <c r="C802" s="16">
        <v>529647534.04000002</v>
      </c>
      <c r="D802" s="16" t="s">
        <v>53</v>
      </c>
      <c r="E802" s="16">
        <v>9</v>
      </c>
    </row>
    <row r="803" spans="2:5">
      <c r="B803" s="37">
        <v>41487</v>
      </c>
      <c r="C803" s="16">
        <v>483574666.26999998</v>
      </c>
      <c r="D803" s="16" t="s">
        <v>132</v>
      </c>
      <c r="E803" s="16">
        <v>10</v>
      </c>
    </row>
    <row r="804" spans="2:5">
      <c r="B804" s="37">
        <v>41518</v>
      </c>
      <c r="C804" s="16">
        <v>2360176115.9099998</v>
      </c>
      <c r="D804" s="16" t="s">
        <v>42</v>
      </c>
      <c r="E804" s="16">
        <v>1</v>
      </c>
    </row>
    <row r="805" spans="2:5">
      <c r="B805" s="37">
        <v>41518</v>
      </c>
      <c r="C805" s="16">
        <v>1812325604.1099999</v>
      </c>
      <c r="D805" s="16" t="s">
        <v>51</v>
      </c>
      <c r="E805" s="16">
        <v>2</v>
      </c>
    </row>
    <row r="806" spans="2:5">
      <c r="B806" s="37">
        <v>41518</v>
      </c>
      <c r="C806" s="16">
        <v>1353122738.8900001</v>
      </c>
      <c r="D806" s="16" t="s">
        <v>50</v>
      </c>
      <c r="E806" s="16">
        <v>3</v>
      </c>
    </row>
    <row r="807" spans="2:5">
      <c r="B807" s="37">
        <v>41518</v>
      </c>
      <c r="C807" s="16">
        <v>1183299223.6300001</v>
      </c>
      <c r="D807" s="16" t="s">
        <v>8</v>
      </c>
      <c r="E807" s="16">
        <v>4</v>
      </c>
    </row>
    <row r="808" spans="2:5">
      <c r="B808" s="37">
        <v>41518</v>
      </c>
      <c r="C808" s="16">
        <v>969610409</v>
      </c>
      <c r="D808" s="16" t="s">
        <v>46</v>
      </c>
      <c r="E808" s="16">
        <v>5</v>
      </c>
    </row>
    <row r="809" spans="2:5">
      <c r="B809" s="37">
        <v>41518</v>
      </c>
      <c r="C809" s="16">
        <v>670531652.08000004</v>
      </c>
      <c r="D809" s="16" t="s">
        <v>4</v>
      </c>
      <c r="E809" s="16">
        <v>6</v>
      </c>
    </row>
    <row r="810" spans="2:5">
      <c r="B810" s="37">
        <v>41518</v>
      </c>
      <c r="C810" s="16">
        <v>535622769.80000001</v>
      </c>
      <c r="D810" s="16" t="s">
        <v>53</v>
      </c>
      <c r="E810" s="16">
        <v>7</v>
      </c>
    </row>
    <row r="811" spans="2:5">
      <c r="B811" s="37">
        <v>41518</v>
      </c>
      <c r="C811" s="16">
        <v>503283375.61000001</v>
      </c>
      <c r="D811" s="16" t="s">
        <v>48</v>
      </c>
      <c r="E811" s="16">
        <v>8</v>
      </c>
    </row>
    <row r="812" spans="2:5">
      <c r="B812" s="37">
        <v>41518</v>
      </c>
      <c r="C812" s="16">
        <v>462195912</v>
      </c>
      <c r="D812" s="16" t="s">
        <v>14</v>
      </c>
      <c r="E812" s="16">
        <v>9</v>
      </c>
    </row>
    <row r="813" spans="2:5">
      <c r="B813" s="37">
        <v>41518</v>
      </c>
      <c r="C813" s="16">
        <v>452625022.06999999</v>
      </c>
      <c r="D813" s="16" t="s">
        <v>52</v>
      </c>
      <c r="E813" s="16">
        <v>10</v>
      </c>
    </row>
    <row r="814" spans="2:5">
      <c r="B814" s="37">
        <v>41548</v>
      </c>
      <c r="C814" s="16">
        <v>1853106711.96</v>
      </c>
      <c r="D814" s="16" t="s">
        <v>42</v>
      </c>
      <c r="E814" s="16">
        <v>1</v>
      </c>
    </row>
    <row r="815" spans="2:5">
      <c r="B815" s="37">
        <v>41548</v>
      </c>
      <c r="C815" s="16">
        <v>1732002462.3699999</v>
      </c>
      <c r="D815" s="16" t="s">
        <v>50</v>
      </c>
      <c r="E815" s="16">
        <v>2</v>
      </c>
    </row>
    <row r="816" spans="2:5">
      <c r="B816" s="37">
        <v>41548</v>
      </c>
      <c r="C816" s="16">
        <v>1629776595.6800001</v>
      </c>
      <c r="D816" s="16" t="s">
        <v>51</v>
      </c>
      <c r="E816" s="16">
        <v>3</v>
      </c>
    </row>
    <row r="817" spans="2:5">
      <c r="B817" s="37">
        <v>41548</v>
      </c>
      <c r="C817" s="16">
        <v>1281505531.45</v>
      </c>
      <c r="D817" s="16" t="s">
        <v>8</v>
      </c>
      <c r="E817" s="16">
        <v>4</v>
      </c>
    </row>
    <row r="818" spans="2:5">
      <c r="B818" s="37">
        <v>41548</v>
      </c>
      <c r="C818" s="16">
        <v>768083664</v>
      </c>
      <c r="D818" s="16" t="s">
        <v>46</v>
      </c>
      <c r="E818" s="16">
        <v>5</v>
      </c>
    </row>
    <row r="819" spans="2:5">
      <c r="B819" s="37">
        <v>41548</v>
      </c>
      <c r="C819" s="16">
        <v>734950444.69000006</v>
      </c>
      <c r="D819" s="16" t="s">
        <v>4</v>
      </c>
      <c r="E819" s="16">
        <v>6</v>
      </c>
    </row>
    <row r="820" spans="2:5">
      <c r="B820" s="37">
        <v>41548</v>
      </c>
      <c r="C820" s="16">
        <v>669991511</v>
      </c>
      <c r="D820" s="16" t="s">
        <v>41</v>
      </c>
      <c r="E820" s="16">
        <v>7</v>
      </c>
    </row>
    <row r="821" spans="2:5">
      <c r="B821" s="37">
        <v>41548</v>
      </c>
      <c r="C821" s="16">
        <v>663655194.12</v>
      </c>
      <c r="D821" s="16" t="s">
        <v>52</v>
      </c>
      <c r="E821" s="16">
        <v>8</v>
      </c>
    </row>
    <row r="822" spans="2:5">
      <c r="B822" s="37">
        <v>41548</v>
      </c>
      <c r="C822" s="16">
        <v>481227874.23000002</v>
      </c>
      <c r="D822" s="16" t="s">
        <v>48</v>
      </c>
      <c r="E822" s="16">
        <v>9</v>
      </c>
    </row>
    <row r="823" spans="2:5">
      <c r="B823" s="37">
        <v>41548</v>
      </c>
      <c r="C823" s="16">
        <v>418560586</v>
      </c>
      <c r="D823" s="16" t="s">
        <v>132</v>
      </c>
      <c r="E823" s="16">
        <v>10</v>
      </c>
    </row>
    <row r="824" spans="2:5">
      <c r="B824" s="37">
        <v>41579</v>
      </c>
      <c r="C824" s="16">
        <v>1694525112.9400001</v>
      </c>
      <c r="D824" s="16" t="s">
        <v>42</v>
      </c>
      <c r="E824" s="16">
        <v>1</v>
      </c>
    </row>
    <row r="825" spans="2:5">
      <c r="B825" s="37">
        <v>41579</v>
      </c>
      <c r="C825" s="16">
        <v>1443375065.3</v>
      </c>
      <c r="D825" s="16" t="s">
        <v>51</v>
      </c>
      <c r="E825" s="16">
        <v>2</v>
      </c>
    </row>
    <row r="826" spans="2:5">
      <c r="B826" s="37">
        <v>41579</v>
      </c>
      <c r="C826" s="16">
        <v>1390967449.5</v>
      </c>
      <c r="D826" s="16" t="s">
        <v>8</v>
      </c>
      <c r="E826" s="16">
        <v>3</v>
      </c>
    </row>
    <row r="827" spans="2:5">
      <c r="B827" s="37">
        <v>41579</v>
      </c>
      <c r="C827" s="16">
        <v>933820791.04999995</v>
      </c>
      <c r="D827" s="16" t="s">
        <v>52</v>
      </c>
      <c r="E827" s="16">
        <v>4</v>
      </c>
    </row>
    <row r="828" spans="2:5">
      <c r="B828" s="37">
        <v>41579</v>
      </c>
      <c r="C828" s="16">
        <v>888998572.20000005</v>
      </c>
      <c r="D828" s="16" t="s">
        <v>50</v>
      </c>
      <c r="E828" s="16">
        <v>5</v>
      </c>
    </row>
    <row r="829" spans="2:5">
      <c r="B829" s="37">
        <v>41579</v>
      </c>
      <c r="C829" s="16">
        <v>554951729.87</v>
      </c>
      <c r="D829" s="16" t="s">
        <v>4</v>
      </c>
      <c r="E829" s="16">
        <v>6</v>
      </c>
    </row>
    <row r="830" spans="2:5">
      <c r="B830" s="37">
        <v>41579</v>
      </c>
      <c r="C830" s="16">
        <v>433795447</v>
      </c>
      <c r="D830" s="16" t="s">
        <v>132</v>
      </c>
      <c r="E830" s="16">
        <v>7</v>
      </c>
    </row>
    <row r="831" spans="2:5">
      <c r="B831" s="37">
        <v>41579</v>
      </c>
      <c r="C831" s="16">
        <v>385718438.06999999</v>
      </c>
      <c r="D831" s="16" t="s">
        <v>19</v>
      </c>
      <c r="E831" s="16">
        <v>8</v>
      </c>
    </row>
    <row r="832" spans="2:5">
      <c r="B832" s="37">
        <v>41579</v>
      </c>
      <c r="C832" s="16">
        <v>375775273.24000001</v>
      </c>
      <c r="D832" s="16" t="s">
        <v>12</v>
      </c>
      <c r="E832" s="16">
        <v>9</v>
      </c>
    </row>
    <row r="833" spans="2:5">
      <c r="B833" s="37">
        <v>41579</v>
      </c>
      <c r="C833" s="16">
        <v>347498256.81</v>
      </c>
      <c r="D833" s="16" t="s">
        <v>6</v>
      </c>
      <c r="E833" s="16">
        <v>10</v>
      </c>
    </row>
    <row r="834" spans="2:5">
      <c r="B834" s="37">
        <v>41609</v>
      </c>
      <c r="C834" s="16">
        <v>1561280492.8699999</v>
      </c>
      <c r="D834" s="16" t="s">
        <v>51</v>
      </c>
      <c r="E834" s="16">
        <v>1</v>
      </c>
    </row>
    <row r="835" spans="2:5">
      <c r="B835" s="37">
        <v>41609</v>
      </c>
      <c r="C835" s="16">
        <v>1421676922.75</v>
      </c>
      <c r="D835" s="16" t="s">
        <v>42</v>
      </c>
      <c r="E835" s="16">
        <v>2</v>
      </c>
    </row>
    <row r="836" spans="2:5">
      <c r="B836" s="37">
        <v>41609</v>
      </c>
      <c r="C836" s="16">
        <v>1105190231.8399999</v>
      </c>
      <c r="D836" s="16" t="s">
        <v>50</v>
      </c>
      <c r="E836" s="16">
        <v>3</v>
      </c>
    </row>
    <row r="837" spans="2:5">
      <c r="B837" s="37">
        <v>41609</v>
      </c>
      <c r="C837" s="16">
        <v>969676537.08000004</v>
      </c>
      <c r="D837" s="16" t="s">
        <v>8</v>
      </c>
      <c r="E837" s="16">
        <v>4</v>
      </c>
    </row>
    <row r="838" spans="2:5">
      <c r="B838" s="37">
        <v>41609</v>
      </c>
      <c r="C838" s="16">
        <v>812497002.57000005</v>
      </c>
      <c r="D838" s="16" t="s">
        <v>52</v>
      </c>
      <c r="E838" s="16">
        <v>5</v>
      </c>
    </row>
    <row r="839" spans="2:5">
      <c r="B839" s="37">
        <v>41609</v>
      </c>
      <c r="C839" s="16">
        <v>682173000</v>
      </c>
      <c r="D839" s="16" t="s">
        <v>43</v>
      </c>
      <c r="E839" s="16">
        <v>6</v>
      </c>
    </row>
    <row r="840" spans="2:5">
      <c r="B840" s="37">
        <v>41609</v>
      </c>
      <c r="C840" s="16">
        <v>446779000</v>
      </c>
      <c r="D840" s="16" t="s">
        <v>39</v>
      </c>
      <c r="E840" s="16">
        <v>7</v>
      </c>
    </row>
    <row r="841" spans="2:5">
      <c r="B841" s="37">
        <v>41609</v>
      </c>
      <c r="C841" s="16">
        <v>433423778.56</v>
      </c>
      <c r="D841" s="16" t="s">
        <v>4</v>
      </c>
      <c r="E841" s="16">
        <v>8</v>
      </c>
    </row>
    <row r="842" spans="2:5">
      <c r="B842" s="37">
        <v>41609</v>
      </c>
      <c r="C842" s="16">
        <v>432759565</v>
      </c>
      <c r="D842" s="16" t="s">
        <v>133</v>
      </c>
      <c r="E842" s="16">
        <v>9</v>
      </c>
    </row>
    <row r="843" spans="2:5">
      <c r="B843" s="37">
        <v>41609</v>
      </c>
      <c r="C843" s="16">
        <v>396704261.73000002</v>
      </c>
      <c r="D843" s="16" t="s">
        <v>19</v>
      </c>
      <c r="E843" s="16">
        <v>10</v>
      </c>
    </row>
    <row r="844" spans="2:5">
      <c r="B844" s="37">
        <v>41640</v>
      </c>
      <c r="C844" s="16">
        <v>1760019879.1099999</v>
      </c>
      <c r="D844" s="16" t="s">
        <v>42</v>
      </c>
      <c r="E844" s="16">
        <v>1</v>
      </c>
    </row>
    <row r="845" spans="2:5">
      <c r="B845" s="37">
        <v>41640</v>
      </c>
      <c r="C845" s="16">
        <v>1342307631.3399999</v>
      </c>
      <c r="D845" s="16" t="s">
        <v>51</v>
      </c>
      <c r="E845" s="16">
        <v>2</v>
      </c>
    </row>
    <row r="846" spans="2:5">
      <c r="B846" s="37">
        <v>41640</v>
      </c>
      <c r="C846" s="16">
        <v>1059610720.12</v>
      </c>
      <c r="D846" s="16" t="s">
        <v>50</v>
      </c>
      <c r="E846" s="16">
        <v>3</v>
      </c>
    </row>
    <row r="847" spans="2:5">
      <c r="B847" s="37">
        <v>41640</v>
      </c>
      <c r="C847" s="16">
        <v>609932112.33000004</v>
      </c>
      <c r="D847" s="16" t="s">
        <v>8</v>
      </c>
      <c r="E847" s="16">
        <v>4</v>
      </c>
    </row>
    <row r="848" spans="2:5">
      <c r="B848" s="37">
        <v>41640</v>
      </c>
      <c r="C848" s="16">
        <v>383298577.99000001</v>
      </c>
      <c r="D848" s="16" t="s">
        <v>19</v>
      </c>
      <c r="E848" s="16">
        <v>5</v>
      </c>
    </row>
    <row r="849" spans="2:5">
      <c r="B849" s="37">
        <v>41640</v>
      </c>
      <c r="C849" s="16">
        <v>381391204.31</v>
      </c>
      <c r="D849" s="16" t="s">
        <v>4</v>
      </c>
      <c r="E849" s="16">
        <v>6</v>
      </c>
    </row>
    <row r="850" spans="2:5">
      <c r="B850" s="37">
        <v>41640</v>
      </c>
      <c r="C850" s="16">
        <v>284662968.38999999</v>
      </c>
      <c r="D850" s="16" t="s">
        <v>52</v>
      </c>
      <c r="E850" s="16">
        <v>7</v>
      </c>
    </row>
    <row r="851" spans="2:5">
      <c r="B851" s="37">
        <v>41640</v>
      </c>
      <c r="C851" s="16">
        <v>280882689.98000002</v>
      </c>
      <c r="D851" s="16" t="s">
        <v>12</v>
      </c>
      <c r="E851" s="16">
        <v>8</v>
      </c>
    </row>
    <row r="852" spans="2:5">
      <c r="B852" s="37">
        <v>41640</v>
      </c>
      <c r="C852" s="16">
        <v>262634731.43000001</v>
      </c>
      <c r="D852" s="16" t="s">
        <v>48</v>
      </c>
      <c r="E852" s="16">
        <v>9</v>
      </c>
    </row>
    <row r="853" spans="2:5">
      <c r="B853" s="37">
        <v>41640</v>
      </c>
      <c r="C853" s="16">
        <v>259044713</v>
      </c>
      <c r="D853" s="16" t="s">
        <v>46</v>
      </c>
      <c r="E853" s="16">
        <v>10</v>
      </c>
    </row>
    <row r="854" spans="2:5">
      <c r="B854" s="37">
        <v>41671</v>
      </c>
      <c r="C854" s="16">
        <v>1922831147.77</v>
      </c>
      <c r="D854" s="16" t="s">
        <v>42</v>
      </c>
      <c r="E854" s="16">
        <v>1</v>
      </c>
    </row>
    <row r="855" spans="2:5">
      <c r="B855" s="37">
        <v>41671</v>
      </c>
      <c r="C855" s="16">
        <v>1297808997.26</v>
      </c>
      <c r="D855" s="16" t="s">
        <v>50</v>
      </c>
      <c r="E855" s="16">
        <v>2</v>
      </c>
    </row>
    <row r="856" spans="2:5">
      <c r="B856" s="37">
        <v>41671</v>
      </c>
      <c r="C856" s="16">
        <v>1271985898.8900001</v>
      </c>
      <c r="D856" s="16" t="s">
        <v>51</v>
      </c>
      <c r="E856" s="16">
        <v>3</v>
      </c>
    </row>
    <row r="857" spans="2:5">
      <c r="B857" s="37">
        <v>41671</v>
      </c>
      <c r="C857" s="16">
        <v>627431948.79999995</v>
      </c>
      <c r="D857" s="16" t="s">
        <v>8</v>
      </c>
      <c r="E857" s="16">
        <v>4</v>
      </c>
    </row>
    <row r="858" spans="2:5">
      <c r="B858" s="37">
        <v>41671</v>
      </c>
      <c r="C858" s="16">
        <v>410110073.08999997</v>
      </c>
      <c r="D858" s="16" t="s">
        <v>19</v>
      </c>
      <c r="E858" s="16">
        <v>5</v>
      </c>
    </row>
    <row r="859" spans="2:5">
      <c r="B859" s="37">
        <v>41671</v>
      </c>
      <c r="C859" s="16">
        <v>377721494.83999997</v>
      </c>
      <c r="D859" s="16" t="s">
        <v>52</v>
      </c>
      <c r="E859" s="16">
        <v>6</v>
      </c>
    </row>
    <row r="860" spans="2:5">
      <c r="B860" s="37">
        <v>41671</v>
      </c>
      <c r="C860" s="16">
        <v>291147672.51999998</v>
      </c>
      <c r="D860" s="16" t="s">
        <v>4</v>
      </c>
      <c r="E860" s="16">
        <v>7</v>
      </c>
    </row>
    <row r="861" spans="2:5">
      <c r="B861" s="37">
        <v>41671</v>
      </c>
      <c r="C861" s="16">
        <v>232650831</v>
      </c>
      <c r="D861" s="16" t="s">
        <v>46</v>
      </c>
      <c r="E861" s="16">
        <v>8</v>
      </c>
    </row>
    <row r="862" spans="2:5">
      <c r="B862" s="37">
        <v>41671</v>
      </c>
      <c r="C862" s="16">
        <v>219422032.46000001</v>
      </c>
      <c r="D862" s="16" t="s">
        <v>12</v>
      </c>
      <c r="E862" s="16">
        <v>9</v>
      </c>
    </row>
    <row r="863" spans="2:5">
      <c r="B863" s="37">
        <v>41671</v>
      </c>
      <c r="C863" s="16">
        <v>216702776.25</v>
      </c>
      <c r="D863" s="16" t="s">
        <v>53</v>
      </c>
      <c r="E863" s="16">
        <v>10</v>
      </c>
    </row>
    <row r="864" spans="2:5">
      <c r="B864" s="37">
        <v>41699</v>
      </c>
      <c r="C864" s="16">
        <v>1574474809.8399999</v>
      </c>
      <c r="D864" s="16" t="s">
        <v>42</v>
      </c>
      <c r="E864" s="16">
        <v>1</v>
      </c>
    </row>
    <row r="865" spans="2:5">
      <c r="B865" s="37">
        <v>41699</v>
      </c>
      <c r="C865" s="16">
        <v>940764804.61000001</v>
      </c>
      <c r="D865" s="16" t="s">
        <v>50</v>
      </c>
      <c r="E865" s="16">
        <v>2</v>
      </c>
    </row>
    <row r="866" spans="2:5">
      <c r="B866" s="37">
        <v>41699</v>
      </c>
      <c r="C866" s="16">
        <v>910319667.28999996</v>
      </c>
      <c r="D866" s="16" t="s">
        <v>51</v>
      </c>
      <c r="E866" s="16">
        <v>3</v>
      </c>
    </row>
    <row r="867" spans="2:5">
      <c r="B867" s="37">
        <v>41699</v>
      </c>
      <c r="C867" s="16">
        <v>564630562.90999997</v>
      </c>
      <c r="D867" s="16" t="s">
        <v>53</v>
      </c>
      <c r="E867" s="16">
        <v>4</v>
      </c>
    </row>
    <row r="868" spans="2:5">
      <c r="B868" s="37">
        <v>41699</v>
      </c>
      <c r="C868" s="16">
        <v>536183752.19</v>
      </c>
      <c r="D868" s="16" t="s">
        <v>8</v>
      </c>
      <c r="E868" s="16">
        <v>5</v>
      </c>
    </row>
    <row r="869" spans="2:5">
      <c r="B869" s="37">
        <v>41699</v>
      </c>
      <c r="C869" s="16">
        <v>319855477.95999998</v>
      </c>
      <c r="D869" s="16" t="s">
        <v>19</v>
      </c>
      <c r="E869" s="16">
        <v>6</v>
      </c>
    </row>
    <row r="870" spans="2:5">
      <c r="B870" s="37">
        <v>41699</v>
      </c>
      <c r="C870" s="16">
        <v>313442692.82999998</v>
      </c>
      <c r="D870" s="16" t="s">
        <v>48</v>
      </c>
      <c r="E870" s="16">
        <v>7</v>
      </c>
    </row>
    <row r="871" spans="2:5">
      <c r="B871" s="37">
        <v>41699</v>
      </c>
      <c r="C871" s="16">
        <v>302147023.06</v>
      </c>
      <c r="D871" s="16" t="s">
        <v>52</v>
      </c>
      <c r="E871" s="16">
        <v>8</v>
      </c>
    </row>
    <row r="872" spans="2:5">
      <c r="B872" s="37">
        <v>41699</v>
      </c>
      <c r="C872" s="16">
        <v>279410592.38</v>
      </c>
      <c r="D872" s="16" t="s">
        <v>109</v>
      </c>
      <c r="E872" s="16">
        <v>9</v>
      </c>
    </row>
    <row r="873" spans="2:5">
      <c r="B873" s="37">
        <v>41699</v>
      </c>
      <c r="C873" s="16">
        <v>190914542.06</v>
      </c>
      <c r="D873" s="16" t="s">
        <v>145</v>
      </c>
      <c r="E873" s="16">
        <v>10</v>
      </c>
    </row>
    <row r="874" spans="2:5">
      <c r="B874" s="54">
        <v>41730</v>
      </c>
      <c r="C874" s="55">
        <v>1578860937.1900001</v>
      </c>
      <c r="D874" s="55" t="s">
        <v>42</v>
      </c>
      <c r="E874" s="55">
        <v>1</v>
      </c>
    </row>
    <row r="875" spans="2:5">
      <c r="B875" s="54">
        <v>41730</v>
      </c>
      <c r="C875" s="55">
        <v>870248563.14999998</v>
      </c>
      <c r="D875" s="55" t="s">
        <v>51</v>
      </c>
      <c r="E875" s="55">
        <v>2</v>
      </c>
    </row>
    <row r="876" spans="2:5">
      <c r="B876" s="54">
        <v>41730</v>
      </c>
      <c r="C876" s="55">
        <v>862589348.16999996</v>
      </c>
      <c r="D876" s="55" t="s">
        <v>50</v>
      </c>
      <c r="E876" s="55">
        <v>3</v>
      </c>
    </row>
    <row r="877" spans="2:5">
      <c r="B877" s="54">
        <v>41730</v>
      </c>
      <c r="C877" s="55">
        <v>837007926.10000002</v>
      </c>
      <c r="D877" s="55" t="s">
        <v>8</v>
      </c>
      <c r="E877" s="55">
        <v>4</v>
      </c>
    </row>
    <row r="878" spans="2:5">
      <c r="B878" s="54">
        <v>41730</v>
      </c>
      <c r="C878" s="55">
        <v>732016079.92999995</v>
      </c>
      <c r="D878" s="55" t="s">
        <v>53</v>
      </c>
      <c r="E878" s="55">
        <v>5</v>
      </c>
    </row>
    <row r="879" spans="2:5">
      <c r="B879" s="54">
        <v>41730</v>
      </c>
      <c r="C879" s="55">
        <v>587267554.23000002</v>
      </c>
      <c r="D879" s="55" t="s">
        <v>52</v>
      </c>
      <c r="E879" s="55">
        <v>6</v>
      </c>
    </row>
    <row r="880" spans="2:5">
      <c r="B880" s="54">
        <v>41730</v>
      </c>
      <c r="C880" s="55">
        <v>469850026.73000002</v>
      </c>
      <c r="D880" s="55" t="s">
        <v>19</v>
      </c>
      <c r="E880" s="55">
        <v>7</v>
      </c>
    </row>
    <row r="881" spans="2:5">
      <c r="B881" s="54">
        <v>41730</v>
      </c>
      <c r="C881" s="55">
        <v>406728447.16000003</v>
      </c>
      <c r="D881" s="55" t="s">
        <v>48</v>
      </c>
      <c r="E881" s="55">
        <v>8</v>
      </c>
    </row>
    <row r="882" spans="2:5">
      <c r="B882" s="54">
        <v>41730</v>
      </c>
      <c r="C882" s="55">
        <v>269915516.19</v>
      </c>
      <c r="D882" s="55" t="s">
        <v>46</v>
      </c>
      <c r="E882" s="55">
        <v>9</v>
      </c>
    </row>
    <row r="883" spans="2:5">
      <c r="B883" s="54">
        <v>41730</v>
      </c>
      <c r="C883" s="55">
        <v>200069414.25999999</v>
      </c>
      <c r="D883" s="55" t="s">
        <v>4</v>
      </c>
      <c r="E883" s="55">
        <v>10</v>
      </c>
    </row>
    <row r="884" spans="2:5">
      <c r="B884" s="54">
        <v>41760</v>
      </c>
      <c r="C884" s="55">
        <v>1528205247.9400001</v>
      </c>
      <c r="D884" s="55" t="s">
        <v>42</v>
      </c>
      <c r="E884" s="55">
        <v>1</v>
      </c>
    </row>
    <row r="885" spans="2:5">
      <c r="B885" s="54">
        <v>41760</v>
      </c>
      <c r="C885" s="55">
        <v>901247559.58000004</v>
      </c>
      <c r="D885" s="55" t="s">
        <v>51</v>
      </c>
      <c r="E885" s="55">
        <v>2</v>
      </c>
    </row>
    <row r="886" spans="2:5">
      <c r="B886" s="54">
        <v>41760</v>
      </c>
      <c r="C886" s="55">
        <v>683642277.61000001</v>
      </c>
      <c r="D886" s="55" t="s">
        <v>8</v>
      </c>
      <c r="E886" s="55">
        <v>3</v>
      </c>
    </row>
    <row r="887" spans="2:5">
      <c r="B887" s="54">
        <v>41760</v>
      </c>
      <c r="C887" s="55">
        <v>651405516.88999999</v>
      </c>
      <c r="D887" s="55" t="s">
        <v>52</v>
      </c>
      <c r="E887" s="55">
        <v>4</v>
      </c>
    </row>
    <row r="888" spans="2:5">
      <c r="B888" s="54">
        <v>41760</v>
      </c>
      <c r="C888" s="55">
        <v>586473141.58000004</v>
      </c>
      <c r="D888" s="55" t="s">
        <v>53</v>
      </c>
      <c r="E888" s="55">
        <v>5</v>
      </c>
    </row>
    <row r="889" spans="2:5">
      <c r="B889" s="54">
        <v>41760</v>
      </c>
      <c r="C889" s="55">
        <v>585060774.85000002</v>
      </c>
      <c r="D889" s="55" t="s">
        <v>50</v>
      </c>
      <c r="E889" s="55">
        <v>6</v>
      </c>
    </row>
    <row r="890" spans="2:5">
      <c r="B890" s="54">
        <v>41760</v>
      </c>
      <c r="C890" s="55">
        <v>527369639.56999999</v>
      </c>
      <c r="D890" s="55" t="s">
        <v>19</v>
      </c>
      <c r="E890" s="55">
        <v>7</v>
      </c>
    </row>
    <row r="891" spans="2:5">
      <c r="B891" s="54">
        <v>41760</v>
      </c>
      <c r="C891" s="55">
        <v>522735658.95999998</v>
      </c>
      <c r="D891" s="55" t="s">
        <v>46</v>
      </c>
      <c r="E891" s="55">
        <v>8</v>
      </c>
    </row>
    <row r="892" spans="2:5">
      <c r="B892" s="54">
        <v>41760</v>
      </c>
      <c r="C892" s="55">
        <v>428374000</v>
      </c>
      <c r="D892" s="55" t="s">
        <v>39</v>
      </c>
      <c r="E892" s="55">
        <v>9</v>
      </c>
    </row>
    <row r="893" spans="2:5">
      <c r="B893" s="54">
        <v>41760</v>
      </c>
      <c r="C893" s="55">
        <v>416510060.13999999</v>
      </c>
      <c r="D893" s="55" t="s">
        <v>48</v>
      </c>
      <c r="E893" s="55">
        <v>10</v>
      </c>
    </row>
    <row r="894" spans="2:5">
      <c r="B894" s="54">
        <v>41791</v>
      </c>
      <c r="C894" s="55">
        <v>1822050222.5</v>
      </c>
      <c r="D894" s="55" t="s">
        <v>42</v>
      </c>
      <c r="E894" s="55">
        <v>1</v>
      </c>
    </row>
    <row r="895" spans="2:5">
      <c r="B895" s="54">
        <v>41791</v>
      </c>
      <c r="C895" s="55">
        <v>1290844061.5799999</v>
      </c>
      <c r="D895" s="55" t="s">
        <v>51</v>
      </c>
      <c r="E895" s="55">
        <v>2</v>
      </c>
    </row>
    <row r="896" spans="2:5">
      <c r="B896" s="54">
        <v>41791</v>
      </c>
      <c r="C896" s="55">
        <v>867253770.96000004</v>
      </c>
      <c r="D896" s="55" t="s">
        <v>8</v>
      </c>
      <c r="E896" s="55">
        <v>3</v>
      </c>
    </row>
    <row r="897" spans="2:5">
      <c r="B897" s="54">
        <v>41791</v>
      </c>
      <c r="C897" s="55">
        <v>774995345.41999996</v>
      </c>
      <c r="D897" s="55" t="s">
        <v>50</v>
      </c>
      <c r="E897" s="55">
        <v>4</v>
      </c>
    </row>
    <row r="898" spans="2:5">
      <c r="B898" s="54">
        <v>41791</v>
      </c>
      <c r="C898" s="55">
        <v>721574813.37</v>
      </c>
      <c r="D898" s="55" t="s">
        <v>53</v>
      </c>
      <c r="E898" s="55">
        <v>5</v>
      </c>
    </row>
    <row r="899" spans="2:5">
      <c r="B899" s="54">
        <v>41791</v>
      </c>
      <c r="C899" s="55">
        <v>624925467.57000005</v>
      </c>
      <c r="D899" s="55" t="s">
        <v>52</v>
      </c>
      <c r="E899" s="55">
        <v>6</v>
      </c>
    </row>
    <row r="900" spans="2:5">
      <c r="B900" s="54">
        <v>41791</v>
      </c>
      <c r="C900" s="55">
        <v>597894157.63999999</v>
      </c>
      <c r="D900" s="55" t="s">
        <v>19</v>
      </c>
      <c r="E900" s="55">
        <v>7</v>
      </c>
    </row>
    <row r="901" spans="2:5">
      <c r="B901" s="54">
        <v>41791</v>
      </c>
      <c r="C901" s="55">
        <v>515147361.68000001</v>
      </c>
      <c r="D901" s="55" t="s">
        <v>109</v>
      </c>
      <c r="E901" s="55">
        <v>8</v>
      </c>
    </row>
    <row r="902" spans="2:5">
      <c r="B902" s="54">
        <v>41791</v>
      </c>
      <c r="C902" s="55">
        <v>380387300.94999999</v>
      </c>
      <c r="D902" s="55" t="s">
        <v>48</v>
      </c>
      <c r="E902" s="55">
        <v>9</v>
      </c>
    </row>
    <row r="903" spans="2:5">
      <c r="B903" s="54">
        <v>41791</v>
      </c>
      <c r="C903" s="55">
        <v>317901435.37</v>
      </c>
      <c r="D903" s="55" t="s">
        <v>135</v>
      </c>
      <c r="E903" s="55">
        <v>10</v>
      </c>
    </row>
    <row r="904" spans="2:5">
      <c r="B904" s="54">
        <v>41821</v>
      </c>
      <c r="C904" s="55">
        <v>2307113272.52</v>
      </c>
      <c r="D904" s="55" t="s">
        <v>42</v>
      </c>
      <c r="E904" s="55">
        <v>1</v>
      </c>
    </row>
    <row r="905" spans="2:5">
      <c r="B905" s="54">
        <v>41821</v>
      </c>
      <c r="C905" s="55">
        <v>1448787273.48</v>
      </c>
      <c r="D905" s="55" t="s">
        <v>51</v>
      </c>
      <c r="E905" s="55">
        <v>2</v>
      </c>
    </row>
    <row r="906" spans="2:5">
      <c r="B906" s="54">
        <v>41821</v>
      </c>
      <c r="C906" s="55">
        <v>938242250.29999995</v>
      </c>
      <c r="D906" s="55" t="s">
        <v>53</v>
      </c>
      <c r="E906" s="55">
        <v>3</v>
      </c>
    </row>
    <row r="907" spans="2:5">
      <c r="B907" s="54">
        <v>41821</v>
      </c>
      <c r="C907" s="55">
        <v>826115611.47000003</v>
      </c>
      <c r="D907" s="55" t="s">
        <v>50</v>
      </c>
      <c r="E907" s="55">
        <v>4</v>
      </c>
    </row>
    <row r="908" spans="2:5">
      <c r="B908" s="54">
        <v>41821</v>
      </c>
      <c r="C908" s="55">
        <v>825523368.76999998</v>
      </c>
      <c r="D908" s="55" t="s">
        <v>19</v>
      </c>
      <c r="E908" s="55">
        <v>5</v>
      </c>
    </row>
    <row r="909" spans="2:5">
      <c r="B909" s="54">
        <v>41821</v>
      </c>
      <c r="C909" s="55">
        <v>726777824.34000003</v>
      </c>
      <c r="D909" s="55" t="s">
        <v>8</v>
      </c>
      <c r="E909" s="55">
        <v>6</v>
      </c>
    </row>
    <row r="910" spans="2:5">
      <c r="B910" s="54">
        <v>41821</v>
      </c>
      <c r="C910" s="55">
        <v>667872707.69000006</v>
      </c>
      <c r="D910" s="55" t="s">
        <v>109</v>
      </c>
      <c r="E910" s="55">
        <v>7</v>
      </c>
    </row>
    <row r="911" spans="2:5">
      <c r="B911" s="54">
        <v>41821</v>
      </c>
      <c r="C911" s="55">
        <v>549296400.13</v>
      </c>
      <c r="D911" s="55" t="s">
        <v>52</v>
      </c>
      <c r="E911" s="55">
        <v>8</v>
      </c>
    </row>
    <row r="912" spans="2:5">
      <c r="B912" s="54">
        <v>41821</v>
      </c>
      <c r="C912" s="55">
        <v>527273230.60000002</v>
      </c>
      <c r="D912" s="55" t="s">
        <v>48</v>
      </c>
      <c r="E912" s="55">
        <v>9</v>
      </c>
    </row>
    <row r="913" spans="2:5">
      <c r="B913" s="54">
        <v>41821</v>
      </c>
      <c r="C913" s="55">
        <v>413602478.33999997</v>
      </c>
      <c r="D913" s="55" t="s">
        <v>4</v>
      </c>
      <c r="E913" s="55">
        <v>10</v>
      </c>
    </row>
    <row r="914" spans="2:5">
      <c r="B914" s="54">
        <v>41852</v>
      </c>
      <c r="C914" s="55">
        <v>2194803673.75</v>
      </c>
      <c r="D914" s="55" t="s">
        <v>42</v>
      </c>
      <c r="E914" s="55">
        <v>1</v>
      </c>
    </row>
    <row r="915" spans="2:5">
      <c r="B915" s="54">
        <v>41852</v>
      </c>
      <c r="C915" s="55">
        <v>1540916705.1800001</v>
      </c>
      <c r="D915" s="55" t="s">
        <v>51</v>
      </c>
      <c r="E915" s="55">
        <v>2</v>
      </c>
    </row>
    <row r="916" spans="2:5">
      <c r="B916" s="54">
        <v>41852</v>
      </c>
      <c r="C916" s="55">
        <v>922664270</v>
      </c>
      <c r="D916" s="55" t="s">
        <v>50</v>
      </c>
      <c r="E916" s="55">
        <v>3</v>
      </c>
    </row>
    <row r="917" spans="2:5">
      <c r="B917" s="54">
        <v>41852</v>
      </c>
      <c r="C917" s="55">
        <v>787559163.98000002</v>
      </c>
      <c r="D917" s="55" t="s">
        <v>8</v>
      </c>
      <c r="E917" s="55">
        <v>4</v>
      </c>
    </row>
    <row r="918" spans="2:5">
      <c r="B918" s="54">
        <v>41852</v>
      </c>
      <c r="C918" s="55">
        <v>696445840.41999996</v>
      </c>
      <c r="D918" s="55" t="s">
        <v>53</v>
      </c>
      <c r="E918" s="55">
        <v>5</v>
      </c>
    </row>
    <row r="919" spans="2:5">
      <c r="B919" s="54">
        <v>41852</v>
      </c>
      <c r="C919" s="55">
        <v>689637671.97000003</v>
      </c>
      <c r="D919" s="55" t="s">
        <v>52</v>
      </c>
      <c r="E919" s="55">
        <v>6</v>
      </c>
    </row>
    <row r="920" spans="2:5">
      <c r="B920" s="54">
        <v>41852</v>
      </c>
      <c r="C920" s="55">
        <v>685239103.03999996</v>
      </c>
      <c r="D920" s="55" t="s">
        <v>109</v>
      </c>
      <c r="E920" s="55">
        <v>7</v>
      </c>
    </row>
    <row r="921" spans="2:5">
      <c r="B921" s="54">
        <v>41852</v>
      </c>
      <c r="C921" s="55">
        <v>461345718.43000001</v>
      </c>
      <c r="D921" s="55" t="s">
        <v>48</v>
      </c>
      <c r="E921" s="55">
        <v>8</v>
      </c>
    </row>
    <row r="922" spans="2:5">
      <c r="B922" s="54">
        <v>41852</v>
      </c>
      <c r="C922" s="55">
        <v>370270616.11000001</v>
      </c>
      <c r="D922" s="55" t="s">
        <v>19</v>
      </c>
      <c r="E922" s="55">
        <v>9</v>
      </c>
    </row>
    <row r="923" spans="2:5">
      <c r="B923" s="54">
        <v>41852</v>
      </c>
      <c r="C923" s="55">
        <v>320678435.89999998</v>
      </c>
      <c r="D923" s="55" t="s">
        <v>135</v>
      </c>
      <c r="E923" s="55">
        <v>10</v>
      </c>
    </row>
    <row r="924" spans="2:5">
      <c r="B924" s="54">
        <v>41883</v>
      </c>
      <c r="C924" s="55">
        <v>2398305642.0999999</v>
      </c>
      <c r="D924" s="55" t="s">
        <v>42</v>
      </c>
      <c r="E924" s="55">
        <v>1</v>
      </c>
    </row>
    <row r="925" spans="2:5">
      <c r="B925" s="54">
        <v>41883</v>
      </c>
      <c r="C925" s="55">
        <v>1540397265.4100001</v>
      </c>
      <c r="D925" s="55" t="s">
        <v>51</v>
      </c>
      <c r="E925" s="55">
        <v>2</v>
      </c>
    </row>
    <row r="926" spans="2:5">
      <c r="B926" s="54">
        <v>41883</v>
      </c>
      <c r="C926" s="55">
        <v>1153583979.72</v>
      </c>
      <c r="D926" s="55" t="s">
        <v>50</v>
      </c>
      <c r="E926" s="55">
        <v>3</v>
      </c>
    </row>
    <row r="927" spans="2:5">
      <c r="B927" s="54">
        <v>41883</v>
      </c>
      <c r="C927" s="55">
        <v>973320000</v>
      </c>
      <c r="D927" s="55" t="s">
        <v>26</v>
      </c>
      <c r="E927" s="55">
        <v>4</v>
      </c>
    </row>
    <row r="928" spans="2:5">
      <c r="B928" s="54">
        <v>41883</v>
      </c>
      <c r="C928" s="55">
        <v>874596962.26999998</v>
      </c>
      <c r="D928" s="55" t="s">
        <v>8</v>
      </c>
      <c r="E928" s="55">
        <v>5</v>
      </c>
    </row>
    <row r="929" spans="2:5">
      <c r="B929" s="54">
        <v>41883</v>
      </c>
      <c r="C929" s="55">
        <v>685504145.92999995</v>
      </c>
      <c r="D929" s="55" t="s">
        <v>52</v>
      </c>
      <c r="E929" s="55">
        <v>6</v>
      </c>
    </row>
    <row r="930" spans="2:5">
      <c r="B930" s="54">
        <v>41883</v>
      </c>
      <c r="C930" s="55">
        <v>614259837.62</v>
      </c>
      <c r="D930" s="55" t="s">
        <v>19</v>
      </c>
      <c r="E930" s="55">
        <v>7</v>
      </c>
    </row>
    <row r="931" spans="2:5">
      <c r="B931" s="54">
        <v>41883</v>
      </c>
      <c r="C931" s="55">
        <v>601604554.5</v>
      </c>
      <c r="D931" s="55" t="s">
        <v>109</v>
      </c>
      <c r="E931" s="55">
        <v>8</v>
      </c>
    </row>
    <row r="932" spans="2:5">
      <c r="B932" s="54">
        <v>41883</v>
      </c>
      <c r="C932" s="55">
        <v>517796875.52999997</v>
      </c>
      <c r="D932" s="55" t="s">
        <v>48</v>
      </c>
      <c r="E932" s="55">
        <v>9</v>
      </c>
    </row>
    <row r="933" spans="2:5">
      <c r="B933" s="54">
        <v>41883</v>
      </c>
      <c r="C933" s="55">
        <v>328470828.86000001</v>
      </c>
      <c r="D933" s="55" t="s">
        <v>4</v>
      </c>
      <c r="E933" s="55">
        <v>10</v>
      </c>
    </row>
    <row r="934" spans="2:5">
      <c r="B934" s="54">
        <v>41913</v>
      </c>
      <c r="C934" s="55">
        <v>2043426912.0999999</v>
      </c>
      <c r="D934" s="55" t="s">
        <v>42</v>
      </c>
      <c r="E934" s="55">
        <v>1</v>
      </c>
    </row>
    <row r="935" spans="2:5">
      <c r="B935" s="54">
        <v>41913</v>
      </c>
      <c r="C935" s="55">
        <v>1584140311.48</v>
      </c>
      <c r="D935" s="55" t="s">
        <v>51</v>
      </c>
      <c r="E935" s="55">
        <v>2</v>
      </c>
    </row>
    <row r="936" spans="2:5">
      <c r="B936" s="54">
        <v>41913</v>
      </c>
      <c r="C936" s="55">
        <v>1181205153.1800001</v>
      </c>
      <c r="D936" s="55" t="s">
        <v>52</v>
      </c>
      <c r="E936" s="55">
        <v>3</v>
      </c>
    </row>
    <row r="937" spans="2:5">
      <c r="B937" s="54">
        <v>41913</v>
      </c>
      <c r="C937" s="55">
        <v>1076952006.8</v>
      </c>
      <c r="D937" s="55" t="s">
        <v>109</v>
      </c>
      <c r="E937" s="55">
        <v>4</v>
      </c>
    </row>
    <row r="938" spans="2:5">
      <c r="B938" s="54">
        <v>41913</v>
      </c>
      <c r="C938" s="55">
        <v>978700583.25</v>
      </c>
      <c r="D938" s="55" t="s">
        <v>50</v>
      </c>
      <c r="E938" s="55">
        <v>5</v>
      </c>
    </row>
    <row r="939" spans="2:5">
      <c r="B939" s="54">
        <v>41913</v>
      </c>
      <c r="C939" s="55">
        <v>880893025.72000003</v>
      </c>
      <c r="D939" s="55" t="s">
        <v>8</v>
      </c>
      <c r="E939" s="55">
        <v>6</v>
      </c>
    </row>
    <row r="940" spans="2:5">
      <c r="B940" s="54">
        <v>41913</v>
      </c>
      <c r="C940" s="55">
        <v>716394907.08000004</v>
      </c>
      <c r="D940" s="55" t="s">
        <v>19</v>
      </c>
      <c r="E940" s="55">
        <v>7</v>
      </c>
    </row>
    <row r="941" spans="2:5">
      <c r="B941" s="54">
        <v>41913</v>
      </c>
      <c r="C941" s="55">
        <v>501903612.89999998</v>
      </c>
      <c r="D941" s="55" t="s">
        <v>48</v>
      </c>
      <c r="E941" s="55">
        <v>8</v>
      </c>
    </row>
    <row r="942" spans="2:5">
      <c r="B942" s="54">
        <v>41913</v>
      </c>
      <c r="C942" s="55">
        <v>448428855.75</v>
      </c>
      <c r="D942" s="55" t="s">
        <v>156</v>
      </c>
      <c r="E942" s="55">
        <v>9</v>
      </c>
    </row>
    <row r="943" spans="2:5">
      <c r="B943" s="54">
        <v>41913</v>
      </c>
      <c r="C943" s="55">
        <v>392068414.63</v>
      </c>
      <c r="D943" s="55" t="s">
        <v>4</v>
      </c>
      <c r="E943" s="55">
        <v>10</v>
      </c>
    </row>
    <row r="944" spans="2:5">
      <c r="B944" s="54">
        <v>41944</v>
      </c>
      <c r="C944" s="55">
        <v>2775970767.79</v>
      </c>
      <c r="D944" s="55" t="s">
        <v>42</v>
      </c>
      <c r="E944" s="55">
        <v>1</v>
      </c>
    </row>
    <row r="945" spans="2:5">
      <c r="B945" s="54">
        <v>41944</v>
      </c>
      <c r="C945" s="55">
        <v>1393087502.71</v>
      </c>
      <c r="D945" s="55" t="s">
        <v>51</v>
      </c>
      <c r="E945" s="55">
        <v>2</v>
      </c>
    </row>
    <row r="946" spans="2:5">
      <c r="B946" s="54">
        <v>41944</v>
      </c>
      <c r="C946" s="55">
        <v>998050265.50999999</v>
      </c>
      <c r="D946" s="55" t="s">
        <v>52</v>
      </c>
      <c r="E946" s="55">
        <v>3</v>
      </c>
    </row>
    <row r="947" spans="2:5">
      <c r="B947" s="54">
        <v>41944</v>
      </c>
      <c r="C947" s="55">
        <v>810311187.20000005</v>
      </c>
      <c r="D947" s="55" t="s">
        <v>50</v>
      </c>
      <c r="E947" s="55">
        <v>4</v>
      </c>
    </row>
    <row r="948" spans="2:5">
      <c r="B948" s="54">
        <v>41944</v>
      </c>
      <c r="C948" s="55">
        <v>718640760.32000005</v>
      </c>
      <c r="D948" s="55" t="s">
        <v>8</v>
      </c>
      <c r="E948" s="55">
        <v>5</v>
      </c>
    </row>
    <row r="949" spans="2:5">
      <c r="B949" s="54">
        <v>41944</v>
      </c>
      <c r="C949" s="55">
        <v>542565195.12</v>
      </c>
      <c r="D949" s="55" t="s">
        <v>19</v>
      </c>
      <c r="E949" s="55">
        <v>6</v>
      </c>
    </row>
    <row r="950" spans="2:5">
      <c r="B950" s="54">
        <v>41944</v>
      </c>
      <c r="C950" s="55">
        <v>492717365</v>
      </c>
      <c r="D950" s="55" t="s">
        <v>39</v>
      </c>
      <c r="E950" s="55">
        <v>7</v>
      </c>
    </row>
    <row r="951" spans="2:5">
      <c r="B951" s="54">
        <v>41944</v>
      </c>
      <c r="C951" s="55">
        <v>439696007.01999998</v>
      </c>
      <c r="D951" s="55" t="s">
        <v>109</v>
      </c>
      <c r="E951" s="55">
        <v>8</v>
      </c>
    </row>
    <row r="952" spans="2:5">
      <c r="B952" s="54">
        <v>41944</v>
      </c>
      <c r="C952" s="55">
        <v>313121104.39999998</v>
      </c>
      <c r="D952" s="55" t="s">
        <v>48</v>
      </c>
      <c r="E952" s="55">
        <v>9</v>
      </c>
    </row>
    <row r="953" spans="2:5">
      <c r="B953" s="54">
        <v>41944</v>
      </c>
      <c r="C953" s="55">
        <v>285492057.07999998</v>
      </c>
      <c r="D953" s="55" t="s">
        <v>6</v>
      </c>
      <c r="E953" s="55">
        <v>10</v>
      </c>
    </row>
    <row r="954" spans="2:5">
      <c r="B954" s="54">
        <v>41974</v>
      </c>
      <c r="C954" s="55">
        <v>2066146511.47</v>
      </c>
      <c r="D954" s="55" t="s">
        <v>42</v>
      </c>
      <c r="E954" s="55">
        <v>1</v>
      </c>
    </row>
    <row r="955" spans="2:5">
      <c r="B955" s="54">
        <v>41974</v>
      </c>
      <c r="C955" s="55">
        <v>1879715467.6099999</v>
      </c>
      <c r="D955" s="55" t="s">
        <v>52</v>
      </c>
      <c r="E955" s="55">
        <v>2</v>
      </c>
    </row>
    <row r="956" spans="2:5">
      <c r="B956" s="54">
        <v>41974</v>
      </c>
      <c r="C956" s="55">
        <v>1404476774.0999999</v>
      </c>
      <c r="D956" s="55" t="s">
        <v>109</v>
      </c>
      <c r="E956" s="55">
        <v>3</v>
      </c>
    </row>
    <row r="957" spans="2:5">
      <c r="B957" s="54">
        <v>41974</v>
      </c>
      <c r="C957" s="55">
        <v>1117301751.3599999</v>
      </c>
      <c r="D957" s="55" t="s">
        <v>8</v>
      </c>
      <c r="E957" s="55">
        <v>4</v>
      </c>
    </row>
    <row r="958" spans="2:5">
      <c r="B958" s="54">
        <v>41974</v>
      </c>
      <c r="C958" s="55">
        <v>1076041614.8099999</v>
      </c>
      <c r="D958" s="55" t="s">
        <v>51</v>
      </c>
      <c r="E958" s="55">
        <v>5</v>
      </c>
    </row>
    <row r="959" spans="2:5">
      <c r="B959" s="54">
        <v>41974</v>
      </c>
      <c r="C959" s="55">
        <v>956205375.35000002</v>
      </c>
      <c r="D959" s="55" t="s">
        <v>50</v>
      </c>
      <c r="E959" s="55">
        <v>6</v>
      </c>
    </row>
    <row r="960" spans="2:5">
      <c r="B960" s="54">
        <v>41974</v>
      </c>
      <c r="C960" s="55">
        <v>600412540.12</v>
      </c>
      <c r="D960" s="55" t="s">
        <v>19</v>
      </c>
      <c r="E960" s="55">
        <v>7</v>
      </c>
    </row>
    <row r="961" spans="2:5">
      <c r="B961" s="54">
        <v>41974</v>
      </c>
      <c r="C961" s="55">
        <v>598455282.28999996</v>
      </c>
      <c r="D961" s="55" t="s">
        <v>156</v>
      </c>
      <c r="E961" s="55">
        <v>8</v>
      </c>
    </row>
    <row r="962" spans="2:5">
      <c r="B962" s="54">
        <v>41974</v>
      </c>
      <c r="C962" s="55">
        <v>432412861</v>
      </c>
      <c r="D962" s="55" t="s">
        <v>133</v>
      </c>
      <c r="E962" s="55">
        <v>9</v>
      </c>
    </row>
    <row r="963" spans="2:5">
      <c r="B963" s="54">
        <v>41974</v>
      </c>
      <c r="C963" s="55">
        <v>395910562.74000001</v>
      </c>
      <c r="D963" s="55" t="s">
        <v>157</v>
      </c>
      <c r="E963" s="55">
        <v>10</v>
      </c>
    </row>
    <row r="964" spans="2:5">
      <c r="B964" s="54">
        <v>42005</v>
      </c>
      <c r="C964" s="55">
        <v>3191572944.1500001</v>
      </c>
      <c r="D964" s="55" t="s">
        <v>42</v>
      </c>
      <c r="E964" s="55">
        <v>1</v>
      </c>
    </row>
    <row r="965" spans="2:5">
      <c r="B965" s="54">
        <v>42005</v>
      </c>
      <c r="C965" s="55">
        <v>1575481438.27</v>
      </c>
      <c r="D965" s="55" t="s">
        <v>52</v>
      </c>
      <c r="E965" s="55">
        <v>2</v>
      </c>
    </row>
    <row r="966" spans="2:5">
      <c r="B966" s="54">
        <v>42005</v>
      </c>
      <c r="C966" s="55">
        <v>1239435764.55</v>
      </c>
      <c r="D966" s="55" t="s">
        <v>51</v>
      </c>
      <c r="E966" s="55">
        <v>3</v>
      </c>
    </row>
    <row r="967" spans="2:5">
      <c r="B967" s="54">
        <v>42005</v>
      </c>
      <c r="C967" s="55">
        <v>908465632.36000001</v>
      </c>
      <c r="D967" s="55" t="s">
        <v>8</v>
      </c>
      <c r="E967" s="55">
        <v>4</v>
      </c>
    </row>
    <row r="968" spans="2:5">
      <c r="B968" s="54">
        <v>42005</v>
      </c>
      <c r="C968" s="55">
        <v>820018959.46000004</v>
      </c>
      <c r="D968" s="55" t="s">
        <v>109</v>
      </c>
      <c r="E968" s="55">
        <v>5</v>
      </c>
    </row>
    <row r="969" spans="2:5">
      <c r="B969" s="54">
        <v>42005</v>
      </c>
      <c r="C969" s="55">
        <v>727299851.34000003</v>
      </c>
      <c r="D969" s="55" t="s">
        <v>50</v>
      </c>
      <c r="E969" s="55">
        <v>6</v>
      </c>
    </row>
    <row r="970" spans="2:5">
      <c r="B970" s="54">
        <v>42005</v>
      </c>
      <c r="C970" s="55">
        <v>521813322.77999997</v>
      </c>
      <c r="D970" s="55" t="s">
        <v>19</v>
      </c>
      <c r="E970" s="55">
        <v>7</v>
      </c>
    </row>
    <row r="971" spans="2:5">
      <c r="B971" s="54">
        <v>42005</v>
      </c>
      <c r="C971" s="55">
        <v>420858107.33999997</v>
      </c>
      <c r="D971" s="55" t="s">
        <v>156</v>
      </c>
      <c r="E971" s="55">
        <v>8</v>
      </c>
    </row>
    <row r="972" spans="2:5">
      <c r="B972" s="54">
        <v>42005</v>
      </c>
      <c r="C972" s="55">
        <v>370462923.72000003</v>
      </c>
      <c r="D972" s="55" t="s">
        <v>134</v>
      </c>
      <c r="E972" s="55">
        <v>9</v>
      </c>
    </row>
    <row r="973" spans="2:5">
      <c r="B973" s="54">
        <v>42005</v>
      </c>
      <c r="C973" s="55">
        <v>365858133</v>
      </c>
      <c r="D973" s="55" t="s">
        <v>49</v>
      </c>
      <c r="E973" s="55">
        <v>10</v>
      </c>
    </row>
    <row r="974" spans="2:5">
      <c r="B974" s="54">
        <v>42036</v>
      </c>
      <c r="C974" s="55">
        <v>2391607148.8299999</v>
      </c>
      <c r="D974" s="55" t="s">
        <v>42</v>
      </c>
      <c r="E974" s="55">
        <v>1</v>
      </c>
    </row>
    <row r="975" spans="2:5">
      <c r="B975" s="54">
        <v>42036</v>
      </c>
      <c r="C975" s="55">
        <v>1363400170.6300001</v>
      </c>
      <c r="D975" s="55" t="s">
        <v>52</v>
      </c>
      <c r="E975" s="55">
        <v>2</v>
      </c>
    </row>
    <row r="976" spans="2:5">
      <c r="B976" s="54">
        <v>42036</v>
      </c>
      <c r="C976" s="55">
        <v>1098070187.5599999</v>
      </c>
      <c r="D976" s="55" t="s">
        <v>51</v>
      </c>
      <c r="E976" s="55">
        <v>3</v>
      </c>
    </row>
    <row r="977" spans="2:5">
      <c r="B977" s="54">
        <v>42036</v>
      </c>
      <c r="C977" s="55">
        <v>986818665.65999997</v>
      </c>
      <c r="D977" s="55" t="s">
        <v>109</v>
      </c>
      <c r="E977" s="55">
        <v>4</v>
      </c>
    </row>
    <row r="978" spans="2:5">
      <c r="B978" s="54">
        <v>42036</v>
      </c>
      <c r="C978" s="55">
        <v>972342136.94000006</v>
      </c>
      <c r="D978" s="55" t="s">
        <v>8</v>
      </c>
      <c r="E978" s="55">
        <v>5</v>
      </c>
    </row>
    <row r="979" spans="2:5">
      <c r="B979" s="54">
        <v>42036</v>
      </c>
      <c r="C979" s="55">
        <v>917470993.57000005</v>
      </c>
      <c r="D979" s="55" t="s">
        <v>50</v>
      </c>
      <c r="E979" s="55">
        <v>6</v>
      </c>
    </row>
    <row r="980" spans="2:5">
      <c r="B980" s="54">
        <v>42036</v>
      </c>
      <c r="C980" s="55">
        <v>625784148.74000001</v>
      </c>
      <c r="D980" s="55" t="s">
        <v>19</v>
      </c>
      <c r="E980" s="55">
        <v>7</v>
      </c>
    </row>
    <row r="981" spans="2:5">
      <c r="B981" s="54">
        <v>42036</v>
      </c>
      <c r="C981" s="55">
        <v>375436923</v>
      </c>
      <c r="D981" s="55" t="s">
        <v>26</v>
      </c>
      <c r="E981" s="55">
        <v>8</v>
      </c>
    </row>
    <row r="982" spans="2:5">
      <c r="B982" s="54">
        <v>42036</v>
      </c>
      <c r="C982" s="55">
        <v>351454334</v>
      </c>
      <c r="D982" s="55" t="s">
        <v>158</v>
      </c>
      <c r="E982" s="55">
        <v>9</v>
      </c>
    </row>
    <row r="983" spans="2:5">
      <c r="B983" s="54">
        <v>42036</v>
      </c>
      <c r="C983" s="55">
        <v>337572405.68000001</v>
      </c>
      <c r="D983" s="55" t="s">
        <v>159</v>
      </c>
      <c r="E983" s="55">
        <v>10</v>
      </c>
    </row>
    <row r="984" spans="2:5">
      <c r="B984" s="54">
        <v>42064</v>
      </c>
      <c r="C984" s="55">
        <v>4001267869.9400001</v>
      </c>
      <c r="D984" s="55" t="s">
        <v>42</v>
      </c>
      <c r="E984" s="55">
        <v>1</v>
      </c>
    </row>
    <row r="985" spans="2:5">
      <c r="B985" s="54">
        <v>42064</v>
      </c>
      <c r="C985" s="55">
        <v>1662191360.9000001</v>
      </c>
      <c r="D985" s="55" t="s">
        <v>109</v>
      </c>
      <c r="E985" s="55">
        <v>2</v>
      </c>
    </row>
    <row r="986" spans="2:5">
      <c r="B986" s="54">
        <v>42064</v>
      </c>
      <c r="C986" s="55">
        <v>1296799355.3</v>
      </c>
      <c r="D986" s="55" t="s">
        <v>51</v>
      </c>
      <c r="E986" s="55">
        <v>3</v>
      </c>
    </row>
    <row r="987" spans="2:5">
      <c r="B987" s="54">
        <v>42064</v>
      </c>
      <c r="C987" s="55">
        <v>1102188321.1500001</v>
      </c>
      <c r="D987" s="55" t="s">
        <v>52</v>
      </c>
      <c r="E987" s="55">
        <v>4</v>
      </c>
    </row>
    <row r="988" spans="2:5">
      <c r="B988" s="54">
        <v>42064</v>
      </c>
      <c r="C988" s="55">
        <v>1068904418.66</v>
      </c>
      <c r="D988" s="55" t="s">
        <v>8</v>
      </c>
      <c r="E988" s="55">
        <v>5</v>
      </c>
    </row>
    <row r="989" spans="2:5">
      <c r="B989" s="54">
        <v>42064</v>
      </c>
      <c r="C989" s="55">
        <v>985085018.16999996</v>
      </c>
      <c r="D989" s="55" t="s">
        <v>50</v>
      </c>
      <c r="E989" s="55">
        <v>6</v>
      </c>
    </row>
    <row r="990" spans="2:5">
      <c r="B990" s="54">
        <v>42064</v>
      </c>
      <c r="C990" s="55">
        <v>625428880.38</v>
      </c>
      <c r="D990" s="55" t="s">
        <v>19</v>
      </c>
      <c r="E990" s="55">
        <v>7</v>
      </c>
    </row>
    <row r="991" spans="2:5">
      <c r="B991" s="54">
        <v>42064</v>
      </c>
      <c r="C991" s="55">
        <v>495075730</v>
      </c>
      <c r="D991" s="55" t="s">
        <v>49</v>
      </c>
      <c r="E991" s="55">
        <v>8</v>
      </c>
    </row>
    <row r="992" spans="2:5">
      <c r="B992" s="54">
        <v>42064</v>
      </c>
      <c r="C992" s="55">
        <v>473490793.25</v>
      </c>
      <c r="D992" s="55" t="s">
        <v>160</v>
      </c>
      <c r="E992" s="55">
        <v>9</v>
      </c>
    </row>
    <row r="993" spans="2:5">
      <c r="B993" s="54">
        <v>42064</v>
      </c>
      <c r="C993" s="55">
        <v>467019706.77999997</v>
      </c>
      <c r="D993" s="55" t="s">
        <v>46</v>
      </c>
      <c r="E993" s="55">
        <v>10</v>
      </c>
    </row>
    <row r="994" spans="2:5">
      <c r="B994" s="54">
        <v>42095</v>
      </c>
      <c r="C994" s="55">
        <v>2942739567.1399999</v>
      </c>
      <c r="D994" s="55" t="s">
        <v>42</v>
      </c>
      <c r="E994" s="55">
        <v>1</v>
      </c>
    </row>
    <row r="995" spans="2:5">
      <c r="B995" s="54">
        <v>42095</v>
      </c>
      <c r="C995" s="55">
        <v>1640723673.55</v>
      </c>
      <c r="D995" s="55" t="s">
        <v>109</v>
      </c>
      <c r="E995" s="55">
        <v>2</v>
      </c>
    </row>
    <row r="996" spans="2:5">
      <c r="B996" s="54">
        <v>42095</v>
      </c>
      <c r="C996" s="55">
        <v>1569958762.79</v>
      </c>
      <c r="D996" s="55" t="s">
        <v>51</v>
      </c>
      <c r="E996" s="55">
        <v>3</v>
      </c>
    </row>
    <row r="997" spans="2:5">
      <c r="B997" s="54">
        <v>42095</v>
      </c>
      <c r="C997" s="55">
        <v>1016702522.09</v>
      </c>
      <c r="D997" s="55" t="s">
        <v>8</v>
      </c>
      <c r="E997" s="55">
        <v>4</v>
      </c>
    </row>
    <row r="998" spans="2:5">
      <c r="B998" s="54">
        <v>42095</v>
      </c>
      <c r="C998" s="55">
        <v>991941266.66999996</v>
      </c>
      <c r="D998" s="55" t="s">
        <v>50</v>
      </c>
      <c r="E998" s="55">
        <v>5</v>
      </c>
    </row>
    <row r="999" spans="2:5">
      <c r="B999" s="54">
        <v>42095</v>
      </c>
      <c r="C999" s="55">
        <v>944084402.55999994</v>
      </c>
      <c r="D999" s="55" t="s">
        <v>52</v>
      </c>
      <c r="E999" s="55">
        <v>6</v>
      </c>
    </row>
    <row r="1000" spans="2:5">
      <c r="B1000" s="54">
        <v>42095</v>
      </c>
      <c r="C1000" s="55">
        <v>827863000</v>
      </c>
      <c r="D1000" s="55" t="s">
        <v>161</v>
      </c>
      <c r="E1000" s="55">
        <v>7</v>
      </c>
    </row>
    <row r="1001" spans="2:5">
      <c r="B1001" s="54">
        <v>42095</v>
      </c>
      <c r="C1001" s="55">
        <v>795700962.12</v>
      </c>
      <c r="D1001" s="55" t="s">
        <v>135</v>
      </c>
      <c r="E1001" s="55">
        <v>8</v>
      </c>
    </row>
    <row r="1002" spans="2:5">
      <c r="B1002" s="54">
        <v>42095</v>
      </c>
      <c r="C1002" s="55">
        <v>754376297.26999998</v>
      </c>
      <c r="D1002" s="55" t="s">
        <v>46</v>
      </c>
      <c r="E1002" s="55">
        <v>9</v>
      </c>
    </row>
    <row r="1003" spans="2:5">
      <c r="B1003" s="54">
        <v>42095</v>
      </c>
      <c r="C1003" s="55">
        <v>674218843.05999994</v>
      </c>
      <c r="D1003" s="55" t="s">
        <v>19</v>
      </c>
      <c r="E1003" s="55">
        <v>10</v>
      </c>
    </row>
    <row r="1004" spans="2:5">
      <c r="B1004" s="54">
        <v>42125</v>
      </c>
      <c r="C1004" s="55">
        <v>2798725237.3699999</v>
      </c>
      <c r="D1004" s="55" t="s">
        <v>42</v>
      </c>
      <c r="E1004" s="55">
        <v>1</v>
      </c>
    </row>
    <row r="1005" spans="2:5">
      <c r="B1005" s="54">
        <v>42125</v>
      </c>
      <c r="C1005" s="55">
        <v>1577703116.29</v>
      </c>
      <c r="D1005" s="55" t="s">
        <v>109</v>
      </c>
      <c r="E1005" s="55">
        <v>2</v>
      </c>
    </row>
    <row r="1006" spans="2:5">
      <c r="B1006" s="54">
        <v>42125</v>
      </c>
      <c r="C1006" s="55">
        <v>1264778132.8599999</v>
      </c>
      <c r="D1006" s="55" t="s">
        <v>51</v>
      </c>
      <c r="E1006" s="55">
        <v>3</v>
      </c>
    </row>
    <row r="1007" spans="2:5">
      <c r="B1007" s="54">
        <v>42125</v>
      </c>
      <c r="C1007" s="55">
        <v>918726824.01999998</v>
      </c>
      <c r="D1007" s="55" t="s">
        <v>8</v>
      </c>
      <c r="E1007" s="55">
        <v>4</v>
      </c>
    </row>
    <row r="1008" spans="2:5">
      <c r="B1008" s="54">
        <v>42125</v>
      </c>
      <c r="C1008" s="55">
        <v>883119798.46000004</v>
      </c>
      <c r="D1008" s="55" t="s">
        <v>50</v>
      </c>
      <c r="E1008" s="55">
        <v>5</v>
      </c>
    </row>
    <row r="1009" spans="2:5">
      <c r="B1009" s="54">
        <v>42125</v>
      </c>
      <c r="C1009" s="55">
        <v>849341000</v>
      </c>
      <c r="D1009" s="55" t="s">
        <v>39</v>
      </c>
      <c r="E1009" s="55">
        <v>6</v>
      </c>
    </row>
    <row r="1010" spans="2:5">
      <c r="B1010" s="54">
        <v>42125</v>
      </c>
      <c r="C1010" s="55">
        <v>618988490.02999997</v>
      </c>
      <c r="D1010" s="55" t="s">
        <v>52</v>
      </c>
      <c r="E1010" s="55">
        <v>7</v>
      </c>
    </row>
    <row r="1011" spans="2:5">
      <c r="B1011" s="54">
        <v>42125</v>
      </c>
      <c r="C1011" s="55">
        <v>608971061.10000002</v>
      </c>
      <c r="D1011" s="55" t="s">
        <v>46</v>
      </c>
      <c r="E1011" s="55">
        <v>8</v>
      </c>
    </row>
    <row r="1012" spans="2:5">
      <c r="B1012" s="54">
        <v>42125</v>
      </c>
      <c r="C1012" s="55">
        <v>603352877.22000003</v>
      </c>
      <c r="D1012" s="55" t="s">
        <v>159</v>
      </c>
      <c r="E1012" s="55">
        <v>9</v>
      </c>
    </row>
    <row r="1013" spans="2:5">
      <c r="B1013" s="54">
        <v>42125</v>
      </c>
      <c r="C1013" s="55">
        <v>559912966.75999999</v>
      </c>
      <c r="D1013" s="55" t="s">
        <v>19</v>
      </c>
      <c r="E1013" s="55">
        <v>10</v>
      </c>
    </row>
    <row r="1014" spans="2:5">
      <c r="B1014" s="54">
        <v>42156</v>
      </c>
      <c r="C1014" s="55">
        <v>2820536650.3600001</v>
      </c>
      <c r="D1014" s="55" t="s">
        <v>42</v>
      </c>
      <c r="E1014" s="55">
        <v>1</v>
      </c>
    </row>
    <row r="1015" spans="2:5">
      <c r="B1015" s="54">
        <v>42156</v>
      </c>
      <c r="C1015" s="55">
        <v>1613735529.52</v>
      </c>
      <c r="D1015" s="55" t="s">
        <v>109</v>
      </c>
      <c r="E1015" s="55">
        <v>2</v>
      </c>
    </row>
    <row r="1016" spans="2:5">
      <c r="B1016" s="54">
        <v>42156</v>
      </c>
      <c r="C1016" s="55">
        <v>1149723074.47</v>
      </c>
      <c r="D1016" s="55" t="s">
        <v>8</v>
      </c>
      <c r="E1016" s="55">
        <v>3</v>
      </c>
    </row>
    <row r="1017" spans="2:5">
      <c r="B1017" s="54">
        <v>42156</v>
      </c>
      <c r="C1017" s="55">
        <v>984247565</v>
      </c>
      <c r="D1017" s="55" t="s">
        <v>133</v>
      </c>
      <c r="E1017" s="55">
        <v>4</v>
      </c>
    </row>
    <row r="1018" spans="2:5">
      <c r="B1018" s="54">
        <v>42156</v>
      </c>
      <c r="C1018" s="55">
        <v>979107174.38</v>
      </c>
      <c r="D1018" s="55" t="s">
        <v>51</v>
      </c>
      <c r="E1018" s="55">
        <v>5</v>
      </c>
    </row>
    <row r="1019" spans="2:5">
      <c r="B1019" s="54">
        <v>42156</v>
      </c>
      <c r="C1019" s="55">
        <v>807024817.42999995</v>
      </c>
      <c r="D1019" s="55" t="s">
        <v>50</v>
      </c>
      <c r="E1019" s="55">
        <v>6</v>
      </c>
    </row>
    <row r="1020" spans="2:5">
      <c r="B1020" s="54">
        <v>42156</v>
      </c>
      <c r="C1020" s="55">
        <v>569441160.78999996</v>
      </c>
      <c r="D1020" s="55" t="s">
        <v>48</v>
      </c>
      <c r="E1020" s="55">
        <v>7</v>
      </c>
    </row>
    <row r="1021" spans="2:5">
      <c r="B1021" s="54">
        <v>42156</v>
      </c>
      <c r="C1021" s="55">
        <v>559363879.96000004</v>
      </c>
      <c r="D1021" s="55" t="s">
        <v>46</v>
      </c>
      <c r="E1021" s="55">
        <v>8</v>
      </c>
    </row>
    <row r="1022" spans="2:5">
      <c r="B1022" s="54">
        <v>42156</v>
      </c>
      <c r="C1022" s="55">
        <v>519057630.89999998</v>
      </c>
      <c r="D1022" s="55" t="s">
        <v>52</v>
      </c>
      <c r="E1022" s="55">
        <v>9</v>
      </c>
    </row>
    <row r="1023" spans="2:5">
      <c r="B1023" s="54">
        <v>42156</v>
      </c>
      <c r="C1023" s="55">
        <v>495154974</v>
      </c>
      <c r="D1023" s="55" t="s">
        <v>49</v>
      </c>
      <c r="E1023" s="55">
        <v>10</v>
      </c>
    </row>
    <row r="1024" spans="2:5">
      <c r="B1024" s="59">
        <v>42186</v>
      </c>
      <c r="C1024" s="60">
        <v>2663674593.8699999</v>
      </c>
      <c r="D1024" s="60" t="s">
        <v>42</v>
      </c>
      <c r="E1024" s="60">
        <v>1</v>
      </c>
    </row>
    <row r="1025" spans="2:5">
      <c r="B1025" s="59">
        <v>42186</v>
      </c>
      <c r="C1025" s="60">
        <v>1759181417.1300001</v>
      </c>
      <c r="D1025" s="60" t="s">
        <v>51</v>
      </c>
      <c r="E1025" s="60">
        <v>2</v>
      </c>
    </row>
    <row r="1026" spans="2:5">
      <c r="B1026" s="59">
        <v>42186</v>
      </c>
      <c r="C1026" s="60">
        <v>1570992400.3800001</v>
      </c>
      <c r="D1026" s="60" t="s">
        <v>109</v>
      </c>
      <c r="E1026" s="60">
        <v>3</v>
      </c>
    </row>
    <row r="1027" spans="2:5">
      <c r="B1027" s="59">
        <v>42186</v>
      </c>
      <c r="C1027" s="60">
        <v>1102793714.3499999</v>
      </c>
      <c r="D1027" s="60" t="s">
        <v>8</v>
      </c>
      <c r="E1027" s="60">
        <v>4</v>
      </c>
    </row>
    <row r="1028" spans="2:5">
      <c r="B1028" s="59">
        <v>42186</v>
      </c>
      <c r="C1028" s="60">
        <v>777800674.59000003</v>
      </c>
      <c r="D1028" s="60" t="s">
        <v>135</v>
      </c>
      <c r="E1028" s="60">
        <v>5</v>
      </c>
    </row>
    <row r="1029" spans="2:5">
      <c r="B1029" s="59">
        <v>42186</v>
      </c>
      <c r="C1029" s="60">
        <v>767115814.90999997</v>
      </c>
      <c r="D1029" s="60" t="s">
        <v>50</v>
      </c>
      <c r="E1029" s="60">
        <v>6</v>
      </c>
    </row>
    <row r="1030" spans="2:5">
      <c r="B1030" s="59">
        <v>42186</v>
      </c>
      <c r="C1030" s="60">
        <v>747144601.47000003</v>
      </c>
      <c r="D1030" s="60" t="s">
        <v>46</v>
      </c>
      <c r="E1030" s="60">
        <v>7</v>
      </c>
    </row>
    <row r="1031" spans="2:5">
      <c r="B1031" s="59">
        <v>42186</v>
      </c>
      <c r="C1031" s="60">
        <v>622324986.59000003</v>
      </c>
      <c r="D1031" s="60" t="s">
        <v>48</v>
      </c>
      <c r="E1031" s="60">
        <v>8</v>
      </c>
    </row>
    <row r="1032" spans="2:5">
      <c r="B1032" s="59">
        <v>42186</v>
      </c>
      <c r="C1032" s="60">
        <v>595819872.16999996</v>
      </c>
      <c r="D1032" s="60" t="s">
        <v>52</v>
      </c>
      <c r="E1032" s="60">
        <v>9</v>
      </c>
    </row>
    <row r="1033" spans="2:5">
      <c r="B1033" s="59">
        <v>42186</v>
      </c>
      <c r="C1033" s="60">
        <v>491844106.75</v>
      </c>
      <c r="D1033" s="60" t="s">
        <v>19</v>
      </c>
      <c r="E1033" s="60">
        <v>10</v>
      </c>
    </row>
    <row r="1034" spans="2:5">
      <c r="B1034" s="59">
        <v>42217</v>
      </c>
      <c r="C1034" s="60">
        <v>2197193446.4000001</v>
      </c>
      <c r="D1034" s="60" t="s">
        <v>42</v>
      </c>
      <c r="E1034" s="60">
        <v>1</v>
      </c>
    </row>
    <row r="1035" spans="2:5">
      <c r="B1035" s="59">
        <v>42217</v>
      </c>
      <c r="C1035" s="60">
        <v>1662115567.46</v>
      </c>
      <c r="D1035" s="60" t="s">
        <v>109</v>
      </c>
      <c r="E1035" s="60">
        <v>2</v>
      </c>
    </row>
    <row r="1036" spans="2:5">
      <c r="B1036" s="59">
        <v>42217</v>
      </c>
      <c r="C1036" s="60">
        <v>1575550343.6099999</v>
      </c>
      <c r="D1036" s="60" t="s">
        <v>51</v>
      </c>
      <c r="E1036" s="60">
        <v>3</v>
      </c>
    </row>
    <row r="1037" spans="2:5">
      <c r="B1037" s="59">
        <v>42217</v>
      </c>
      <c r="C1037" s="60">
        <v>724810576.13</v>
      </c>
      <c r="D1037" s="60" t="s">
        <v>8</v>
      </c>
      <c r="E1037" s="60">
        <v>4</v>
      </c>
    </row>
    <row r="1038" spans="2:5">
      <c r="B1038" s="59">
        <v>42217</v>
      </c>
      <c r="C1038" s="60">
        <v>620449230.04999995</v>
      </c>
      <c r="D1038" s="60" t="s">
        <v>52</v>
      </c>
      <c r="E1038" s="60">
        <v>5</v>
      </c>
    </row>
    <row r="1039" spans="2:5">
      <c r="B1039" s="59">
        <v>42217</v>
      </c>
      <c r="C1039" s="60">
        <v>593512442.66999996</v>
      </c>
      <c r="D1039" s="60" t="s">
        <v>6</v>
      </c>
      <c r="E1039" s="60">
        <v>6</v>
      </c>
    </row>
    <row r="1040" spans="2:5">
      <c r="B1040" s="59">
        <v>42217</v>
      </c>
      <c r="C1040" s="60">
        <v>579927236.90999997</v>
      </c>
      <c r="D1040" s="60" t="s">
        <v>19</v>
      </c>
      <c r="E1040" s="60">
        <v>7</v>
      </c>
    </row>
    <row r="1041" spans="2:5">
      <c r="B1041" s="59">
        <v>42217</v>
      </c>
      <c r="C1041" s="60">
        <v>551946905.88999999</v>
      </c>
      <c r="D1041" s="60" t="s">
        <v>46</v>
      </c>
      <c r="E1041" s="60">
        <v>8</v>
      </c>
    </row>
    <row r="1042" spans="2:5">
      <c r="B1042" s="59">
        <v>42217</v>
      </c>
      <c r="C1042" s="60">
        <v>491596570</v>
      </c>
      <c r="D1042" s="60" t="s">
        <v>162</v>
      </c>
      <c r="E1042" s="60">
        <v>9</v>
      </c>
    </row>
    <row r="1043" spans="2:5">
      <c r="B1043" s="59">
        <v>42217</v>
      </c>
      <c r="C1043" s="60">
        <v>479858894</v>
      </c>
      <c r="D1043" s="60" t="s">
        <v>49</v>
      </c>
      <c r="E1043" s="60">
        <v>10</v>
      </c>
    </row>
    <row r="1044" spans="2:5">
      <c r="B1044" s="59">
        <v>42248</v>
      </c>
      <c r="C1044" s="60">
        <v>2930771176.6599998</v>
      </c>
      <c r="D1044" s="60" t="s">
        <v>42</v>
      </c>
      <c r="E1044" s="60">
        <v>1</v>
      </c>
    </row>
    <row r="1045" spans="2:5">
      <c r="B1045" s="59">
        <v>42248</v>
      </c>
      <c r="C1045" s="60">
        <v>1525499911.6300001</v>
      </c>
      <c r="D1045" s="60" t="s">
        <v>109</v>
      </c>
      <c r="E1045" s="60">
        <v>2</v>
      </c>
    </row>
    <row r="1046" spans="2:5">
      <c r="B1046" s="59">
        <v>42248</v>
      </c>
      <c r="C1046" s="60">
        <v>1141337686.3699999</v>
      </c>
      <c r="D1046" s="60" t="s">
        <v>8</v>
      </c>
      <c r="E1046" s="60">
        <v>3</v>
      </c>
    </row>
    <row r="1047" spans="2:5">
      <c r="B1047" s="59">
        <v>42248</v>
      </c>
      <c r="C1047" s="60">
        <v>1017110795.64</v>
      </c>
      <c r="D1047" s="60" t="s">
        <v>50</v>
      </c>
      <c r="E1047" s="60">
        <v>4</v>
      </c>
    </row>
    <row r="1048" spans="2:5">
      <c r="B1048" s="59">
        <v>42248</v>
      </c>
      <c r="C1048" s="60">
        <v>1000152723.4299999</v>
      </c>
      <c r="D1048" s="60" t="s">
        <v>48</v>
      </c>
      <c r="E1048" s="60">
        <v>5</v>
      </c>
    </row>
    <row r="1049" spans="2:5">
      <c r="B1049" s="59">
        <v>42248</v>
      </c>
      <c r="C1049" s="60">
        <v>812761838.28999996</v>
      </c>
      <c r="D1049" s="60" t="s">
        <v>46</v>
      </c>
      <c r="E1049" s="60">
        <v>6</v>
      </c>
    </row>
    <row r="1050" spans="2:5">
      <c r="B1050" s="59">
        <v>42248</v>
      </c>
      <c r="C1050" s="60">
        <v>650340492.25999999</v>
      </c>
      <c r="D1050" s="60" t="s">
        <v>163</v>
      </c>
      <c r="E1050" s="60">
        <v>7</v>
      </c>
    </row>
    <row r="1051" spans="2:5">
      <c r="B1051" s="59">
        <v>42248</v>
      </c>
      <c r="C1051" s="60">
        <v>618979202.21000004</v>
      </c>
      <c r="D1051" s="60" t="s">
        <v>19</v>
      </c>
      <c r="E1051" s="60">
        <v>8</v>
      </c>
    </row>
    <row r="1052" spans="2:5">
      <c r="B1052" s="59">
        <v>42248</v>
      </c>
      <c r="C1052" s="60">
        <v>566141204</v>
      </c>
      <c r="D1052" s="60" t="s">
        <v>51</v>
      </c>
      <c r="E1052" s="60">
        <v>9</v>
      </c>
    </row>
    <row r="1053" spans="2:5">
      <c r="B1053" s="59">
        <v>42248</v>
      </c>
      <c r="C1053" s="60">
        <v>514251028.57999998</v>
      </c>
      <c r="D1053" s="60" t="s">
        <v>134</v>
      </c>
      <c r="E1053" s="60">
        <v>10</v>
      </c>
    </row>
    <row r="1054" spans="2:5">
      <c r="B1054" s="59">
        <v>42278</v>
      </c>
      <c r="C1054" s="60">
        <v>2329434849.4899998</v>
      </c>
      <c r="D1054" s="60" t="s">
        <v>42</v>
      </c>
      <c r="E1054" s="60">
        <v>1</v>
      </c>
    </row>
    <row r="1055" spans="2:5">
      <c r="B1055" s="59">
        <v>42278</v>
      </c>
      <c r="C1055" s="60">
        <v>1303548752.49</v>
      </c>
      <c r="D1055" s="60" t="s">
        <v>109</v>
      </c>
      <c r="E1055" s="60">
        <v>2</v>
      </c>
    </row>
    <row r="1056" spans="2:5">
      <c r="B1056" s="59">
        <v>42278</v>
      </c>
      <c r="C1056" s="60">
        <v>1225136396.4200001</v>
      </c>
      <c r="D1056" s="60" t="s">
        <v>163</v>
      </c>
      <c r="E1056" s="60">
        <v>3</v>
      </c>
    </row>
    <row r="1057" spans="2:5">
      <c r="B1057" s="59">
        <v>42278</v>
      </c>
      <c r="C1057" s="60">
        <v>832043960.95000005</v>
      </c>
      <c r="D1057" s="60" t="s">
        <v>48</v>
      </c>
      <c r="E1057" s="60">
        <v>4</v>
      </c>
    </row>
    <row r="1058" spans="2:5">
      <c r="B1058" s="59">
        <v>42278</v>
      </c>
      <c r="C1058" s="60">
        <v>737723713.73000002</v>
      </c>
      <c r="D1058" s="60" t="s">
        <v>8</v>
      </c>
      <c r="E1058" s="60">
        <v>5</v>
      </c>
    </row>
    <row r="1059" spans="2:5">
      <c r="B1059" s="59">
        <v>42278</v>
      </c>
      <c r="C1059" s="60">
        <v>688475096.88999999</v>
      </c>
      <c r="D1059" s="60" t="s">
        <v>50</v>
      </c>
      <c r="E1059" s="60">
        <v>6</v>
      </c>
    </row>
    <row r="1060" spans="2:5">
      <c r="B1060" s="59">
        <v>42278</v>
      </c>
      <c r="C1060" s="60">
        <v>632804028.48000002</v>
      </c>
      <c r="D1060" s="60" t="s">
        <v>19</v>
      </c>
      <c r="E1060" s="60">
        <v>7</v>
      </c>
    </row>
    <row r="1061" spans="2:5">
      <c r="B1061" s="59">
        <v>42278</v>
      </c>
      <c r="C1061" s="60">
        <v>607288744.90999997</v>
      </c>
      <c r="D1061" s="60" t="s">
        <v>46</v>
      </c>
      <c r="E1061" s="60">
        <v>8</v>
      </c>
    </row>
    <row r="1062" spans="2:5">
      <c r="B1062" s="59">
        <v>42278</v>
      </c>
      <c r="C1062" s="60">
        <v>490960087.12</v>
      </c>
      <c r="D1062" s="60" t="s">
        <v>6</v>
      </c>
      <c r="E1062" s="60">
        <v>9</v>
      </c>
    </row>
    <row r="1063" spans="2:5">
      <c r="B1063" s="59">
        <v>42278</v>
      </c>
      <c r="C1063" s="60">
        <v>486265000</v>
      </c>
      <c r="D1063" s="60" t="s">
        <v>133</v>
      </c>
      <c r="E1063" s="60">
        <v>10</v>
      </c>
    </row>
    <row r="1064" spans="2:5">
      <c r="B1064" s="59">
        <v>42309</v>
      </c>
      <c r="C1064" s="60">
        <v>2882552108.52</v>
      </c>
      <c r="D1064" s="60" t="s">
        <v>42</v>
      </c>
      <c r="E1064" s="60">
        <v>1</v>
      </c>
    </row>
    <row r="1065" spans="2:5">
      <c r="B1065" s="59">
        <v>42309</v>
      </c>
      <c r="C1065" s="60">
        <v>934536927.95000005</v>
      </c>
      <c r="D1065" s="60" t="s">
        <v>163</v>
      </c>
      <c r="E1065" s="60">
        <v>2</v>
      </c>
    </row>
    <row r="1066" spans="2:5">
      <c r="B1066" s="59">
        <v>42309</v>
      </c>
      <c r="C1066" s="60">
        <v>862664936.89999998</v>
      </c>
      <c r="D1066" s="60" t="s">
        <v>48</v>
      </c>
      <c r="E1066" s="60">
        <v>3</v>
      </c>
    </row>
    <row r="1067" spans="2:5">
      <c r="B1067" s="59">
        <v>42309</v>
      </c>
      <c r="C1067" s="60">
        <v>734767086.35000002</v>
      </c>
      <c r="D1067" s="60" t="s">
        <v>8</v>
      </c>
      <c r="E1067" s="60">
        <v>4</v>
      </c>
    </row>
    <row r="1068" spans="2:5">
      <c r="B1068" s="59">
        <v>42309</v>
      </c>
      <c r="C1068" s="60">
        <v>601884803.13999999</v>
      </c>
      <c r="D1068" s="60" t="s">
        <v>50</v>
      </c>
      <c r="E1068" s="60">
        <v>5</v>
      </c>
    </row>
    <row r="1069" spans="2:5">
      <c r="B1069" s="59">
        <v>42309</v>
      </c>
      <c r="C1069" s="60">
        <v>559914198</v>
      </c>
      <c r="D1069" s="60" t="s">
        <v>46</v>
      </c>
      <c r="E1069" s="60">
        <v>6</v>
      </c>
    </row>
    <row r="1070" spans="2:5">
      <c r="B1070" s="59">
        <v>42309</v>
      </c>
      <c r="C1070" s="60">
        <v>530106083.57999998</v>
      </c>
      <c r="D1070" s="60" t="s">
        <v>109</v>
      </c>
      <c r="E1070" s="60">
        <v>7</v>
      </c>
    </row>
    <row r="1071" spans="2:5">
      <c r="B1071" s="59">
        <v>42309</v>
      </c>
      <c r="C1071" s="60">
        <v>506020736.23000002</v>
      </c>
      <c r="D1071" s="60" t="s">
        <v>6</v>
      </c>
      <c r="E1071" s="60">
        <v>8</v>
      </c>
    </row>
    <row r="1072" spans="2:5">
      <c r="B1072" s="59">
        <v>42309</v>
      </c>
      <c r="C1072" s="60">
        <v>488367067.95999998</v>
      </c>
      <c r="D1072" s="60" t="s">
        <v>19</v>
      </c>
      <c r="E1072" s="60">
        <v>9</v>
      </c>
    </row>
    <row r="1073" spans="2:5">
      <c r="B1073" s="59">
        <v>42309</v>
      </c>
      <c r="C1073" s="60">
        <v>403514502.94</v>
      </c>
      <c r="D1073" s="60" t="s">
        <v>164</v>
      </c>
      <c r="E1073" s="60">
        <v>10</v>
      </c>
    </row>
    <row r="1074" spans="2:5">
      <c r="B1074" s="59">
        <v>42339</v>
      </c>
      <c r="C1074" s="60">
        <v>2619817967.04</v>
      </c>
      <c r="D1074" s="60" t="s">
        <v>42</v>
      </c>
      <c r="E1074" s="60">
        <v>1</v>
      </c>
    </row>
    <row r="1075" spans="2:5">
      <c r="B1075" s="59">
        <v>42339</v>
      </c>
      <c r="C1075" s="60">
        <v>1157166554.46</v>
      </c>
      <c r="D1075" s="60" t="s">
        <v>109</v>
      </c>
      <c r="E1075" s="60">
        <v>2</v>
      </c>
    </row>
    <row r="1076" spans="2:5">
      <c r="B1076" s="59">
        <v>42339</v>
      </c>
      <c r="C1076" s="60">
        <v>694998395.90999997</v>
      </c>
      <c r="D1076" s="60" t="s">
        <v>157</v>
      </c>
      <c r="E1076" s="60">
        <v>3</v>
      </c>
    </row>
    <row r="1077" spans="2:5">
      <c r="B1077" s="59">
        <v>42339</v>
      </c>
      <c r="C1077" s="60">
        <v>664343485.69000006</v>
      </c>
      <c r="D1077" s="60" t="s">
        <v>48</v>
      </c>
      <c r="E1077" s="60">
        <v>4</v>
      </c>
    </row>
    <row r="1078" spans="2:5">
      <c r="B1078" s="59">
        <v>42339</v>
      </c>
      <c r="C1078" s="60">
        <v>621585208.94000006</v>
      </c>
      <c r="D1078" s="60" t="s">
        <v>163</v>
      </c>
      <c r="E1078" s="60">
        <v>5</v>
      </c>
    </row>
    <row r="1079" spans="2:5">
      <c r="B1079" s="59">
        <v>42339</v>
      </c>
      <c r="C1079" s="60">
        <v>505478305.17000002</v>
      </c>
      <c r="D1079" s="60" t="s">
        <v>50</v>
      </c>
      <c r="E1079" s="60">
        <v>6</v>
      </c>
    </row>
    <row r="1080" spans="2:5">
      <c r="B1080" s="59">
        <v>42339</v>
      </c>
      <c r="C1080" s="60">
        <v>459272026.58999997</v>
      </c>
      <c r="D1080" s="60" t="s">
        <v>6</v>
      </c>
      <c r="E1080" s="60">
        <v>7</v>
      </c>
    </row>
    <row r="1081" spans="2:5">
      <c r="B1081" s="59">
        <v>42339</v>
      </c>
      <c r="C1081" s="60">
        <v>448248933.61000001</v>
      </c>
      <c r="D1081" s="60" t="s">
        <v>19</v>
      </c>
      <c r="E1081" s="60">
        <v>8</v>
      </c>
    </row>
    <row r="1082" spans="2:5">
      <c r="B1082" s="59">
        <v>42339</v>
      </c>
      <c r="C1082" s="60">
        <v>432621000</v>
      </c>
      <c r="D1082" s="60" t="s">
        <v>39</v>
      </c>
      <c r="E1082" s="60">
        <v>9</v>
      </c>
    </row>
    <row r="1083" spans="2:5">
      <c r="B1083" s="59">
        <v>42339</v>
      </c>
      <c r="C1083" s="60">
        <v>419201121.75</v>
      </c>
      <c r="D1083" s="60" t="s">
        <v>8</v>
      </c>
      <c r="E1083" s="60">
        <v>10</v>
      </c>
    </row>
    <row r="1084" spans="2:5">
      <c r="B1084" s="59">
        <v>42370</v>
      </c>
      <c r="C1084" s="60">
        <v>2354326082.3600001</v>
      </c>
      <c r="D1084" s="60" t="s">
        <v>42</v>
      </c>
      <c r="E1084" s="60">
        <v>1</v>
      </c>
    </row>
    <row r="1085" spans="2:5">
      <c r="B1085" s="59">
        <v>42370</v>
      </c>
      <c r="C1085" s="60">
        <v>994859183.85000002</v>
      </c>
      <c r="D1085" s="60" t="s">
        <v>46</v>
      </c>
      <c r="E1085" s="60">
        <v>2</v>
      </c>
    </row>
    <row r="1086" spans="2:5">
      <c r="B1086" s="59">
        <v>42370</v>
      </c>
      <c r="C1086" s="60">
        <v>944963422.09000003</v>
      </c>
      <c r="D1086" s="60" t="s">
        <v>163</v>
      </c>
      <c r="E1086" s="60">
        <v>3</v>
      </c>
    </row>
    <row r="1087" spans="2:5">
      <c r="B1087" s="59">
        <v>42370</v>
      </c>
      <c r="C1087" s="60">
        <v>917475522.19000006</v>
      </c>
      <c r="D1087" s="60" t="s">
        <v>48</v>
      </c>
      <c r="E1087" s="60">
        <v>4</v>
      </c>
    </row>
    <row r="1088" spans="2:5">
      <c r="B1088" s="59">
        <v>42370</v>
      </c>
      <c r="C1088" s="60">
        <v>894790345.87</v>
      </c>
      <c r="D1088" s="60" t="s">
        <v>109</v>
      </c>
      <c r="E1088" s="60">
        <v>5</v>
      </c>
    </row>
    <row r="1089" spans="2:5">
      <c r="B1089" s="59">
        <v>42370</v>
      </c>
      <c r="C1089" s="60">
        <v>590921718.30999994</v>
      </c>
      <c r="D1089" s="60" t="s">
        <v>8</v>
      </c>
      <c r="E1089" s="60">
        <v>6</v>
      </c>
    </row>
    <row r="1090" spans="2:5">
      <c r="B1090" s="59">
        <v>42370</v>
      </c>
      <c r="C1090" s="60">
        <v>540930874.95000005</v>
      </c>
      <c r="D1090" s="60" t="s">
        <v>157</v>
      </c>
      <c r="E1090" s="60">
        <v>7</v>
      </c>
    </row>
    <row r="1091" spans="2:5">
      <c r="B1091" s="59">
        <v>42370</v>
      </c>
      <c r="C1091" s="60">
        <v>361215654.91000003</v>
      </c>
      <c r="D1091" s="60" t="s">
        <v>165</v>
      </c>
      <c r="E1091" s="60">
        <v>8</v>
      </c>
    </row>
    <row r="1092" spans="2:5">
      <c r="B1092" s="59">
        <v>42370</v>
      </c>
      <c r="C1092" s="60">
        <v>359630643.68000001</v>
      </c>
      <c r="D1092" s="60" t="s">
        <v>6</v>
      </c>
      <c r="E1092" s="60">
        <v>9</v>
      </c>
    </row>
    <row r="1093" spans="2:5">
      <c r="B1093" s="59">
        <v>42370</v>
      </c>
      <c r="C1093" s="60">
        <v>336153592.33999997</v>
      </c>
      <c r="D1093" s="60" t="s">
        <v>166</v>
      </c>
      <c r="E1093" s="60">
        <v>10</v>
      </c>
    </row>
    <row r="1094" spans="2:5">
      <c r="B1094" s="59">
        <v>42401</v>
      </c>
      <c r="C1094" s="60">
        <v>2457936826.3200002</v>
      </c>
      <c r="D1094" s="60" t="s">
        <v>42</v>
      </c>
      <c r="E1094" s="60">
        <v>1</v>
      </c>
    </row>
    <row r="1095" spans="2:5">
      <c r="B1095" s="59">
        <v>42401</v>
      </c>
      <c r="C1095" s="60">
        <v>836219571.90999997</v>
      </c>
      <c r="D1095" s="60" t="s">
        <v>109</v>
      </c>
      <c r="E1095" s="60">
        <v>2</v>
      </c>
    </row>
    <row r="1096" spans="2:5">
      <c r="B1096" s="59">
        <v>42401</v>
      </c>
      <c r="C1096" s="60">
        <v>784886535.04999995</v>
      </c>
      <c r="D1096" s="60" t="s">
        <v>163</v>
      </c>
      <c r="E1096" s="60">
        <v>3</v>
      </c>
    </row>
    <row r="1097" spans="2:5">
      <c r="B1097" s="59">
        <v>42401</v>
      </c>
      <c r="C1097" s="60">
        <v>749744856.62</v>
      </c>
      <c r="D1097" s="60" t="s">
        <v>48</v>
      </c>
      <c r="E1097" s="60">
        <v>4</v>
      </c>
    </row>
    <row r="1098" spans="2:5">
      <c r="B1098" s="59">
        <v>42401</v>
      </c>
      <c r="C1098" s="60">
        <v>708439242.34000003</v>
      </c>
      <c r="D1098" s="60" t="s">
        <v>8</v>
      </c>
      <c r="E1098" s="60">
        <v>5</v>
      </c>
    </row>
    <row r="1099" spans="2:5">
      <c r="B1099" s="59">
        <v>42401</v>
      </c>
      <c r="C1099" s="60">
        <v>668404652.04999995</v>
      </c>
      <c r="D1099" s="60" t="s">
        <v>50</v>
      </c>
      <c r="E1099" s="60">
        <v>6</v>
      </c>
    </row>
    <row r="1100" spans="2:5">
      <c r="B1100" s="59">
        <v>42401</v>
      </c>
      <c r="C1100" s="60">
        <v>577341650.98000002</v>
      </c>
      <c r="D1100" s="60" t="s">
        <v>46</v>
      </c>
      <c r="E1100" s="60">
        <v>7</v>
      </c>
    </row>
    <row r="1101" spans="2:5">
      <c r="B1101" s="59">
        <v>42401</v>
      </c>
      <c r="C1101" s="60">
        <v>408538463.74000001</v>
      </c>
      <c r="D1101" s="60" t="s">
        <v>19</v>
      </c>
      <c r="E1101" s="60">
        <v>8</v>
      </c>
    </row>
    <row r="1102" spans="2:5">
      <c r="B1102" s="59">
        <v>42401</v>
      </c>
      <c r="C1102" s="60">
        <v>408428909.92000002</v>
      </c>
      <c r="D1102" s="60" t="s">
        <v>165</v>
      </c>
      <c r="E1102" s="60">
        <v>9</v>
      </c>
    </row>
    <row r="1103" spans="2:5">
      <c r="B1103" s="59">
        <v>42401</v>
      </c>
      <c r="C1103" s="60">
        <v>389202209.86000001</v>
      </c>
      <c r="D1103" s="60" t="s">
        <v>167</v>
      </c>
      <c r="E1103" s="60">
        <v>10</v>
      </c>
    </row>
    <row r="1104" spans="2:5">
      <c r="B1104" s="59">
        <v>42430</v>
      </c>
      <c r="C1104" s="60">
        <v>2763625043.9000001</v>
      </c>
      <c r="D1104" s="60" t="s">
        <v>42</v>
      </c>
      <c r="E1104" s="60">
        <v>1</v>
      </c>
    </row>
    <row r="1105" spans="2:5">
      <c r="B1105" s="59">
        <v>42430</v>
      </c>
      <c r="C1105" s="60">
        <v>1804841146.53</v>
      </c>
      <c r="D1105" s="60" t="s">
        <v>8</v>
      </c>
      <c r="E1105" s="60">
        <v>2</v>
      </c>
    </row>
    <row r="1106" spans="2:5">
      <c r="B1106" s="59">
        <v>42430</v>
      </c>
      <c r="C1106" s="60">
        <v>1423317774.55</v>
      </c>
      <c r="D1106" s="60" t="s">
        <v>109</v>
      </c>
      <c r="E1106" s="60">
        <v>3</v>
      </c>
    </row>
    <row r="1107" spans="2:5">
      <c r="B1107" s="59">
        <v>42430</v>
      </c>
      <c r="C1107" s="60">
        <v>857931112</v>
      </c>
      <c r="D1107" s="60" t="s">
        <v>14</v>
      </c>
      <c r="E1107" s="60">
        <v>4</v>
      </c>
    </row>
    <row r="1108" spans="2:5">
      <c r="B1108" s="59">
        <v>42430</v>
      </c>
      <c r="C1108" s="60">
        <v>824054546.41999996</v>
      </c>
      <c r="D1108" s="60" t="s">
        <v>48</v>
      </c>
      <c r="E1108" s="60">
        <v>5</v>
      </c>
    </row>
    <row r="1109" spans="2:5">
      <c r="B1109" s="59">
        <v>42430</v>
      </c>
      <c r="C1109" s="60">
        <v>781974394.71000004</v>
      </c>
      <c r="D1109" s="60" t="s">
        <v>165</v>
      </c>
      <c r="E1109" s="60">
        <v>6</v>
      </c>
    </row>
    <row r="1110" spans="2:5">
      <c r="B1110" s="59">
        <v>42430</v>
      </c>
      <c r="C1110" s="60">
        <v>731275737.39999998</v>
      </c>
      <c r="D1110" s="60" t="s">
        <v>163</v>
      </c>
      <c r="E1110" s="60">
        <v>7</v>
      </c>
    </row>
    <row r="1111" spans="2:5">
      <c r="B1111" s="59">
        <v>42430</v>
      </c>
      <c r="C1111" s="60">
        <v>641136203</v>
      </c>
      <c r="D1111" s="60" t="s">
        <v>46</v>
      </c>
      <c r="E1111" s="60">
        <v>8</v>
      </c>
    </row>
    <row r="1112" spans="2:5">
      <c r="B1112" s="59">
        <v>42430</v>
      </c>
      <c r="C1112" s="60">
        <v>635482578.19000006</v>
      </c>
      <c r="D1112" s="60" t="s">
        <v>50</v>
      </c>
      <c r="E1112" s="60">
        <v>9</v>
      </c>
    </row>
    <row r="1113" spans="2:5">
      <c r="B1113" s="59">
        <v>42430</v>
      </c>
      <c r="C1113" s="60">
        <v>578264030.12</v>
      </c>
      <c r="D1113" s="60" t="s">
        <v>52</v>
      </c>
      <c r="E1113" s="60">
        <v>10</v>
      </c>
    </row>
    <row r="1114" spans="2:5">
      <c r="B1114" s="59">
        <v>42461</v>
      </c>
      <c r="C1114" s="60">
        <v>3188130012.96</v>
      </c>
      <c r="D1114" s="60" t="s">
        <v>42</v>
      </c>
      <c r="E1114" s="60">
        <v>1</v>
      </c>
    </row>
    <row r="1115" spans="2:5">
      <c r="B1115" s="59">
        <v>42461</v>
      </c>
      <c r="C1115" s="60">
        <v>2004674741.3</v>
      </c>
      <c r="D1115" s="60" t="s">
        <v>109</v>
      </c>
      <c r="E1115" s="60">
        <v>2</v>
      </c>
    </row>
    <row r="1116" spans="2:5">
      <c r="B1116" s="59">
        <v>42461</v>
      </c>
      <c r="C1116" s="60">
        <v>1234692108.76</v>
      </c>
      <c r="D1116" s="60" t="s">
        <v>8</v>
      </c>
      <c r="E1116" s="60">
        <v>3</v>
      </c>
    </row>
    <row r="1117" spans="2:5">
      <c r="B1117" s="59">
        <v>42461</v>
      </c>
      <c r="C1117" s="60">
        <v>1215338536.23</v>
      </c>
      <c r="D1117" s="60" t="s">
        <v>48</v>
      </c>
      <c r="E1117" s="60">
        <v>4</v>
      </c>
    </row>
    <row r="1118" spans="2:5">
      <c r="B1118" s="59">
        <v>42461</v>
      </c>
      <c r="C1118" s="60">
        <v>857096635.91999996</v>
      </c>
      <c r="D1118" s="60" t="s">
        <v>157</v>
      </c>
      <c r="E1118" s="60">
        <v>5</v>
      </c>
    </row>
    <row r="1119" spans="2:5">
      <c r="B1119" s="59">
        <v>42461</v>
      </c>
      <c r="C1119" s="60">
        <v>802866878.74000001</v>
      </c>
      <c r="D1119" s="60" t="s">
        <v>165</v>
      </c>
      <c r="E1119" s="60">
        <v>6</v>
      </c>
    </row>
    <row r="1120" spans="2:5">
      <c r="B1120" s="59">
        <v>42461</v>
      </c>
      <c r="C1120" s="60">
        <v>687418998.48000002</v>
      </c>
      <c r="D1120" s="60" t="s">
        <v>163</v>
      </c>
      <c r="E1120" s="60">
        <v>7</v>
      </c>
    </row>
    <row r="1121" spans="2:5">
      <c r="B1121" s="59">
        <v>42461</v>
      </c>
      <c r="C1121" s="60">
        <v>682495113.16999996</v>
      </c>
      <c r="D1121" s="60" t="s">
        <v>46</v>
      </c>
      <c r="E1121" s="60">
        <v>8</v>
      </c>
    </row>
    <row r="1122" spans="2:5">
      <c r="B1122" s="59">
        <v>42461</v>
      </c>
      <c r="C1122" s="60">
        <v>590619084</v>
      </c>
      <c r="D1122" s="60" t="s">
        <v>49</v>
      </c>
      <c r="E1122" s="60">
        <v>9</v>
      </c>
    </row>
    <row r="1123" spans="2:5">
      <c r="B1123" s="59">
        <v>42461</v>
      </c>
      <c r="C1123" s="60">
        <v>590327879.88</v>
      </c>
      <c r="D1123" s="60" t="s">
        <v>50</v>
      </c>
      <c r="E1123" s="60">
        <v>10</v>
      </c>
    </row>
    <row r="1124" spans="2:5">
      <c r="B1124" s="59">
        <v>42491</v>
      </c>
      <c r="C1124" s="60">
        <v>2937092069.1399999</v>
      </c>
      <c r="D1124" s="60" t="s">
        <v>42</v>
      </c>
      <c r="E1124" s="60">
        <v>1</v>
      </c>
    </row>
    <row r="1125" spans="2:5">
      <c r="B1125" s="59">
        <v>42491</v>
      </c>
      <c r="C1125" s="60">
        <v>1280909257.0799999</v>
      </c>
      <c r="D1125" s="60" t="s">
        <v>109</v>
      </c>
      <c r="E1125" s="60">
        <v>2</v>
      </c>
    </row>
    <row r="1126" spans="2:5">
      <c r="B1126" s="59">
        <v>42491</v>
      </c>
      <c r="C1126" s="60">
        <v>1252047304.03</v>
      </c>
      <c r="D1126" s="60" t="s">
        <v>48</v>
      </c>
      <c r="E1126" s="60">
        <v>3</v>
      </c>
    </row>
    <row r="1127" spans="2:5">
      <c r="B1127" s="59">
        <v>42491</v>
      </c>
      <c r="C1127" s="60">
        <v>1159450901.5999999</v>
      </c>
      <c r="D1127" s="60" t="s">
        <v>8</v>
      </c>
      <c r="E1127" s="60">
        <v>4</v>
      </c>
    </row>
    <row r="1128" spans="2:5">
      <c r="B1128" s="59">
        <v>42491</v>
      </c>
      <c r="C1128" s="60">
        <v>741914214.44000006</v>
      </c>
      <c r="D1128" s="60" t="s">
        <v>165</v>
      </c>
      <c r="E1128" s="60">
        <v>5</v>
      </c>
    </row>
    <row r="1129" spans="2:5">
      <c r="B1129" s="59">
        <v>42491</v>
      </c>
      <c r="C1129" s="60">
        <v>686830333.96000004</v>
      </c>
      <c r="D1129" s="60" t="s">
        <v>50</v>
      </c>
      <c r="E1129" s="60">
        <v>6</v>
      </c>
    </row>
    <row r="1130" spans="2:5">
      <c r="B1130" s="59">
        <v>42491</v>
      </c>
      <c r="C1130" s="60">
        <v>675595998.90999997</v>
      </c>
      <c r="D1130" s="60" t="s">
        <v>163</v>
      </c>
      <c r="E1130" s="60">
        <v>7</v>
      </c>
    </row>
    <row r="1131" spans="2:5">
      <c r="B1131" s="59">
        <v>42491</v>
      </c>
      <c r="C1131" s="60">
        <v>661831657</v>
      </c>
      <c r="D1131" s="60" t="s">
        <v>49</v>
      </c>
      <c r="E1131" s="60">
        <v>8</v>
      </c>
    </row>
    <row r="1132" spans="2:5">
      <c r="B1132" s="59">
        <v>42491</v>
      </c>
      <c r="C1132" s="60">
        <v>608231552.84000003</v>
      </c>
      <c r="D1132" s="60" t="s">
        <v>167</v>
      </c>
      <c r="E1132" s="60">
        <v>9</v>
      </c>
    </row>
    <row r="1133" spans="2:5">
      <c r="B1133" s="59">
        <v>42491</v>
      </c>
      <c r="C1133" s="60">
        <v>605365273.25999999</v>
      </c>
      <c r="D1133" s="60" t="s">
        <v>19</v>
      </c>
      <c r="E1133" s="60">
        <v>10</v>
      </c>
    </row>
    <row r="1134" spans="2:5">
      <c r="B1134" s="59">
        <v>42522</v>
      </c>
      <c r="C1134" s="60">
        <v>3521031350.4699998</v>
      </c>
      <c r="D1134" s="60" t="s">
        <v>42</v>
      </c>
      <c r="E1134" s="60">
        <v>1</v>
      </c>
    </row>
    <row r="1135" spans="2:5">
      <c r="B1135" s="59">
        <v>42522</v>
      </c>
      <c r="C1135" s="60">
        <v>1639829066.8599999</v>
      </c>
      <c r="D1135" s="60" t="s">
        <v>48</v>
      </c>
      <c r="E1135" s="60">
        <v>2</v>
      </c>
    </row>
    <row r="1136" spans="2:5">
      <c r="B1136" s="59">
        <v>42522</v>
      </c>
      <c r="C1136" s="60">
        <v>1060765909.2</v>
      </c>
      <c r="D1136" s="60" t="s">
        <v>109</v>
      </c>
      <c r="E1136" s="60">
        <v>3</v>
      </c>
    </row>
    <row r="1137" spans="2:5">
      <c r="B1137" s="59">
        <v>42522</v>
      </c>
      <c r="C1137" s="60">
        <v>841702871.71000004</v>
      </c>
      <c r="D1137" s="60" t="s">
        <v>8</v>
      </c>
      <c r="E1137" s="60">
        <v>4</v>
      </c>
    </row>
    <row r="1138" spans="2:5">
      <c r="B1138" s="59">
        <v>42522</v>
      </c>
      <c r="C1138" s="60">
        <v>578879231.61000001</v>
      </c>
      <c r="D1138" s="60" t="s">
        <v>157</v>
      </c>
      <c r="E1138" s="60">
        <v>5</v>
      </c>
    </row>
    <row r="1139" spans="2:5">
      <c r="B1139" s="59">
        <v>42522</v>
      </c>
      <c r="C1139" s="60">
        <v>577145174.16999996</v>
      </c>
      <c r="D1139" s="60" t="s">
        <v>163</v>
      </c>
      <c r="E1139" s="60">
        <v>6</v>
      </c>
    </row>
    <row r="1140" spans="2:5">
      <c r="B1140" s="59">
        <v>42522</v>
      </c>
      <c r="C1140" s="60">
        <v>491165584.95999998</v>
      </c>
      <c r="D1140" s="60" t="s">
        <v>46</v>
      </c>
      <c r="E1140" s="60">
        <v>7</v>
      </c>
    </row>
    <row r="1141" spans="2:5">
      <c r="B1141" s="59">
        <v>42522</v>
      </c>
      <c r="C1141" s="60">
        <v>491075236.74000001</v>
      </c>
      <c r="D1141" s="60" t="s">
        <v>50</v>
      </c>
      <c r="E1141" s="60">
        <v>8</v>
      </c>
    </row>
    <row r="1142" spans="2:5">
      <c r="B1142" s="59">
        <v>42522</v>
      </c>
      <c r="C1142" s="60">
        <v>463308992.93000001</v>
      </c>
      <c r="D1142" s="60" t="s">
        <v>165</v>
      </c>
      <c r="E1142" s="60">
        <v>9</v>
      </c>
    </row>
    <row r="1143" spans="2:5">
      <c r="B1143" s="59">
        <v>42522</v>
      </c>
      <c r="C1143" s="60">
        <v>460683093.31</v>
      </c>
      <c r="D1143" s="60" t="s">
        <v>6</v>
      </c>
      <c r="E1143" s="60">
        <v>10</v>
      </c>
    </row>
    <row r="1144" spans="2:5">
      <c r="B1144" s="59">
        <v>42552</v>
      </c>
      <c r="C1144" s="60">
        <v>2850720746.8800001</v>
      </c>
      <c r="D1144" s="60" t="s">
        <v>42</v>
      </c>
      <c r="E1144" s="60">
        <v>1</v>
      </c>
    </row>
    <row r="1145" spans="2:5">
      <c r="B1145" s="59">
        <v>42552</v>
      </c>
      <c r="C1145" s="60">
        <v>1449026969.2</v>
      </c>
      <c r="D1145" s="60" t="s">
        <v>109</v>
      </c>
      <c r="E1145" s="60">
        <v>2</v>
      </c>
    </row>
    <row r="1146" spans="2:5">
      <c r="B1146" s="59">
        <v>42552</v>
      </c>
      <c r="C1146" s="60">
        <v>1409152291.52</v>
      </c>
      <c r="D1146" s="60" t="s">
        <v>48</v>
      </c>
      <c r="E1146" s="60">
        <v>3</v>
      </c>
    </row>
    <row r="1147" spans="2:5">
      <c r="B1147" s="59">
        <v>42552</v>
      </c>
      <c r="C1147" s="60">
        <v>1227428800</v>
      </c>
      <c r="D1147" s="60" t="s">
        <v>39</v>
      </c>
      <c r="E1147" s="60">
        <v>4</v>
      </c>
    </row>
    <row r="1148" spans="2:5">
      <c r="B1148" s="59">
        <v>42552</v>
      </c>
      <c r="C1148" s="60">
        <v>763646125.83000004</v>
      </c>
      <c r="D1148" s="60" t="s">
        <v>163</v>
      </c>
      <c r="E1148" s="60">
        <v>5</v>
      </c>
    </row>
    <row r="1149" spans="2:5">
      <c r="B1149" s="59">
        <v>42552</v>
      </c>
      <c r="C1149" s="60">
        <v>629803439.12</v>
      </c>
      <c r="D1149" s="60" t="s">
        <v>157</v>
      </c>
      <c r="E1149" s="60">
        <v>6</v>
      </c>
    </row>
    <row r="1150" spans="2:5">
      <c r="B1150" s="59">
        <v>42552</v>
      </c>
      <c r="C1150" s="60">
        <v>594410978</v>
      </c>
      <c r="D1150" s="60" t="s">
        <v>133</v>
      </c>
      <c r="E1150" s="60">
        <v>7</v>
      </c>
    </row>
    <row r="1151" spans="2:5">
      <c r="B1151" s="59">
        <v>42552</v>
      </c>
      <c r="C1151" s="60">
        <v>569159098.88999999</v>
      </c>
      <c r="D1151" s="60" t="s">
        <v>165</v>
      </c>
      <c r="E1151" s="60">
        <v>8</v>
      </c>
    </row>
    <row r="1152" spans="2:5">
      <c r="B1152" s="59">
        <v>42552</v>
      </c>
      <c r="C1152" s="60">
        <v>563362241.84000003</v>
      </c>
      <c r="D1152" s="60" t="s">
        <v>8</v>
      </c>
      <c r="E1152" s="60">
        <v>9</v>
      </c>
    </row>
    <row r="1153" spans="2:5">
      <c r="B1153" s="59">
        <v>42552</v>
      </c>
      <c r="C1153" s="60">
        <v>471926954.41000003</v>
      </c>
      <c r="D1153" s="60" t="s">
        <v>50</v>
      </c>
      <c r="E1153" s="60">
        <v>10</v>
      </c>
    </row>
    <row r="1154" spans="2:5">
      <c r="B1154" s="59">
        <v>42583</v>
      </c>
      <c r="C1154" s="60">
        <v>3389580074.46</v>
      </c>
      <c r="D1154" s="60" t="s">
        <v>42</v>
      </c>
      <c r="E1154" s="60">
        <v>1</v>
      </c>
    </row>
    <row r="1155" spans="2:5">
      <c r="B1155" s="59">
        <v>42583</v>
      </c>
      <c r="C1155" s="60">
        <v>2310975761.7399998</v>
      </c>
      <c r="D1155" s="60" t="s">
        <v>109</v>
      </c>
      <c r="E1155" s="60">
        <v>2</v>
      </c>
    </row>
    <row r="1156" spans="2:5">
      <c r="B1156" s="59">
        <v>42583</v>
      </c>
      <c r="C1156" s="60">
        <v>2091490885.27</v>
      </c>
      <c r="D1156" s="60" t="s">
        <v>48</v>
      </c>
      <c r="E1156" s="60">
        <v>3</v>
      </c>
    </row>
    <row r="1157" spans="2:5">
      <c r="B1157" s="59">
        <v>42583</v>
      </c>
      <c r="C1157" s="60">
        <v>1014315366.6799999</v>
      </c>
      <c r="D1157" s="60" t="s">
        <v>8</v>
      </c>
      <c r="E1157" s="60">
        <v>4</v>
      </c>
    </row>
    <row r="1158" spans="2:5">
      <c r="B1158" s="59">
        <v>42583</v>
      </c>
      <c r="C1158" s="60">
        <v>928880827.73000002</v>
      </c>
      <c r="D1158" s="60" t="s">
        <v>46</v>
      </c>
      <c r="E1158" s="60">
        <v>5</v>
      </c>
    </row>
    <row r="1159" spans="2:5">
      <c r="B1159" s="59">
        <v>42583</v>
      </c>
      <c r="C1159" s="60">
        <v>738496827.55999994</v>
      </c>
      <c r="D1159" s="60" t="s">
        <v>165</v>
      </c>
      <c r="E1159" s="60">
        <v>6</v>
      </c>
    </row>
    <row r="1160" spans="2:5">
      <c r="B1160" s="59">
        <v>42583</v>
      </c>
      <c r="C1160" s="60">
        <v>642786711.45000005</v>
      </c>
      <c r="D1160" s="60" t="s">
        <v>163</v>
      </c>
      <c r="E1160" s="60">
        <v>7</v>
      </c>
    </row>
    <row r="1161" spans="2:5">
      <c r="B1161" s="59">
        <v>42583</v>
      </c>
      <c r="C1161" s="60">
        <v>553707873.67999995</v>
      </c>
      <c r="D1161" s="60" t="s">
        <v>134</v>
      </c>
      <c r="E1161" s="60">
        <v>8</v>
      </c>
    </row>
    <row r="1162" spans="2:5">
      <c r="B1162" s="59">
        <v>42583</v>
      </c>
      <c r="C1162" s="60">
        <v>540861196.14999998</v>
      </c>
      <c r="D1162" s="60" t="s">
        <v>50</v>
      </c>
      <c r="E1162" s="60">
        <v>9</v>
      </c>
    </row>
    <row r="1163" spans="2:5">
      <c r="B1163" s="59">
        <v>42583</v>
      </c>
      <c r="C1163" s="60">
        <v>534510587.26999998</v>
      </c>
      <c r="D1163" s="60" t="s">
        <v>6</v>
      </c>
      <c r="E1163" s="60">
        <v>10</v>
      </c>
    </row>
    <row r="1164" spans="2:5">
      <c r="B1164" s="59">
        <v>42614</v>
      </c>
      <c r="C1164" s="60">
        <v>3970110275.9699998</v>
      </c>
      <c r="D1164" s="60" t="s">
        <v>42</v>
      </c>
      <c r="E1164" s="60">
        <v>1</v>
      </c>
    </row>
    <row r="1165" spans="2:5">
      <c r="B1165" s="59">
        <v>42614</v>
      </c>
      <c r="C1165" s="60">
        <v>2048499727.8800001</v>
      </c>
      <c r="D1165" s="60" t="s">
        <v>109</v>
      </c>
      <c r="E1165" s="60">
        <v>2</v>
      </c>
    </row>
    <row r="1166" spans="2:5">
      <c r="B1166" s="59">
        <v>42614</v>
      </c>
      <c r="C1166" s="60">
        <v>1806473209.3499999</v>
      </c>
      <c r="D1166" s="60" t="s">
        <v>48</v>
      </c>
      <c r="E1166" s="60">
        <v>3</v>
      </c>
    </row>
    <row r="1167" spans="2:5">
      <c r="B1167" s="59">
        <v>42614</v>
      </c>
      <c r="C1167" s="60">
        <v>907478686.77999997</v>
      </c>
      <c r="D1167" s="60" t="s">
        <v>46</v>
      </c>
      <c r="E1167" s="60">
        <v>4</v>
      </c>
    </row>
    <row r="1168" spans="2:5">
      <c r="B1168" s="59">
        <v>42614</v>
      </c>
      <c r="C1168" s="60">
        <v>885487526.19000006</v>
      </c>
      <c r="D1168" s="60" t="s">
        <v>157</v>
      </c>
      <c r="E1168" s="60">
        <v>5</v>
      </c>
    </row>
    <row r="1169" spans="2:5">
      <c r="B1169" s="59">
        <v>42614</v>
      </c>
      <c r="C1169" s="60">
        <v>807542659</v>
      </c>
      <c r="D1169" s="60" t="s">
        <v>49</v>
      </c>
      <c r="E1169" s="60">
        <v>6</v>
      </c>
    </row>
    <row r="1170" spans="2:5">
      <c r="B1170" s="59">
        <v>42614</v>
      </c>
      <c r="C1170" s="60">
        <v>775331317.13</v>
      </c>
      <c r="D1170" s="60" t="s">
        <v>163</v>
      </c>
      <c r="E1170" s="60">
        <v>7</v>
      </c>
    </row>
    <row r="1171" spans="2:5">
      <c r="B1171" s="59">
        <v>42614</v>
      </c>
      <c r="C1171" s="60">
        <v>747975500</v>
      </c>
      <c r="D1171" s="60" t="s">
        <v>161</v>
      </c>
      <c r="E1171" s="60">
        <v>8</v>
      </c>
    </row>
    <row r="1172" spans="2:5">
      <c r="B1172" s="59">
        <v>42614</v>
      </c>
      <c r="C1172" s="60">
        <v>718473654.87</v>
      </c>
      <c r="D1172" s="60" t="s">
        <v>134</v>
      </c>
      <c r="E1172" s="60">
        <v>9</v>
      </c>
    </row>
    <row r="1173" spans="2:5">
      <c r="B1173" s="59">
        <v>42614</v>
      </c>
      <c r="C1173" s="60">
        <v>707360349.78999996</v>
      </c>
      <c r="D1173" s="60" t="s">
        <v>8</v>
      </c>
      <c r="E1173" s="60">
        <v>10</v>
      </c>
    </row>
    <row r="1174" spans="2:5">
      <c r="B1174" s="59">
        <v>42644</v>
      </c>
      <c r="C1174" s="60">
        <v>4032757087.1700001</v>
      </c>
      <c r="D1174" s="60" t="s">
        <v>42</v>
      </c>
      <c r="E1174" s="60">
        <v>1</v>
      </c>
    </row>
    <row r="1175" spans="2:5">
      <c r="B1175" s="59">
        <v>42644</v>
      </c>
      <c r="C1175" s="60">
        <v>2465426133.2399998</v>
      </c>
      <c r="D1175" s="60" t="s">
        <v>109</v>
      </c>
      <c r="E1175" s="60">
        <v>2</v>
      </c>
    </row>
    <row r="1176" spans="2:5">
      <c r="B1176" s="59">
        <v>42644</v>
      </c>
      <c r="C1176" s="60">
        <v>2236922873.8899999</v>
      </c>
      <c r="D1176" s="60" t="s">
        <v>48</v>
      </c>
      <c r="E1176" s="60">
        <v>3</v>
      </c>
    </row>
    <row r="1177" spans="2:5">
      <c r="B1177" s="59">
        <v>42644</v>
      </c>
      <c r="C1177" s="60">
        <v>1572520947.6900001</v>
      </c>
      <c r="D1177" s="60" t="s">
        <v>165</v>
      </c>
      <c r="E1177" s="60">
        <v>4</v>
      </c>
    </row>
    <row r="1178" spans="2:5">
      <c r="B1178" s="59">
        <v>42644</v>
      </c>
      <c r="C1178" s="60">
        <v>1275051663.8699999</v>
      </c>
      <c r="D1178" s="60" t="s">
        <v>157</v>
      </c>
      <c r="E1178" s="60">
        <v>5</v>
      </c>
    </row>
    <row r="1179" spans="2:5">
      <c r="B1179" s="59">
        <v>42644</v>
      </c>
      <c r="C1179" s="60">
        <v>1158337773.1300001</v>
      </c>
      <c r="D1179" s="60" t="s">
        <v>8</v>
      </c>
      <c r="E1179" s="60">
        <v>6</v>
      </c>
    </row>
    <row r="1180" spans="2:5">
      <c r="B1180" s="59">
        <v>42644</v>
      </c>
      <c r="C1180" s="60">
        <v>997744145.28999996</v>
      </c>
      <c r="D1180" s="60" t="s">
        <v>52</v>
      </c>
      <c r="E1180" s="60">
        <v>7</v>
      </c>
    </row>
    <row r="1181" spans="2:5">
      <c r="B1181" s="59">
        <v>42644</v>
      </c>
      <c r="C1181" s="60">
        <v>933775417.88999999</v>
      </c>
      <c r="D1181" s="60" t="s">
        <v>46</v>
      </c>
      <c r="E1181" s="60">
        <v>8</v>
      </c>
    </row>
    <row r="1182" spans="2:5">
      <c r="B1182" s="59">
        <v>42644</v>
      </c>
      <c r="C1182" s="60">
        <v>926375125.04999995</v>
      </c>
      <c r="D1182" s="60" t="s">
        <v>163</v>
      </c>
      <c r="E1182" s="60">
        <v>9</v>
      </c>
    </row>
    <row r="1183" spans="2:5">
      <c r="B1183" s="59">
        <v>42644</v>
      </c>
      <c r="C1183" s="60">
        <v>912326168.63</v>
      </c>
      <c r="D1183" s="60" t="s">
        <v>135</v>
      </c>
      <c r="E1183" s="60">
        <v>10</v>
      </c>
    </row>
    <row r="1184" spans="2:5">
      <c r="B1184" s="59">
        <v>42675</v>
      </c>
      <c r="C1184" s="60">
        <v>3973644841.7199998</v>
      </c>
      <c r="D1184" s="60" t="s">
        <v>42</v>
      </c>
      <c r="E1184" s="60">
        <v>1</v>
      </c>
    </row>
    <row r="1185" spans="2:5">
      <c r="B1185" s="59">
        <v>42675</v>
      </c>
      <c r="C1185" s="60">
        <v>1887146320.1199999</v>
      </c>
      <c r="D1185" s="60" t="s">
        <v>48</v>
      </c>
      <c r="E1185" s="60">
        <v>2</v>
      </c>
    </row>
    <row r="1186" spans="2:5">
      <c r="B1186" s="59">
        <v>42675</v>
      </c>
      <c r="C1186" s="60">
        <v>1306438150.1600001</v>
      </c>
      <c r="D1186" s="60" t="s">
        <v>8</v>
      </c>
      <c r="E1186" s="60">
        <v>3</v>
      </c>
    </row>
    <row r="1187" spans="2:5">
      <c r="B1187" s="59">
        <v>42675</v>
      </c>
      <c r="C1187" s="60">
        <v>1102868954.6099999</v>
      </c>
      <c r="D1187" s="60" t="s">
        <v>135</v>
      </c>
      <c r="E1187" s="60">
        <v>4</v>
      </c>
    </row>
    <row r="1188" spans="2:5">
      <c r="B1188" s="59">
        <v>42675</v>
      </c>
      <c r="C1188" s="60">
        <v>1068418382.22</v>
      </c>
      <c r="D1188" s="60" t="s">
        <v>165</v>
      </c>
      <c r="E1188" s="60">
        <v>5</v>
      </c>
    </row>
    <row r="1189" spans="2:5">
      <c r="B1189" s="59">
        <v>42675</v>
      </c>
      <c r="C1189" s="60">
        <v>999132343.71000004</v>
      </c>
      <c r="D1189" s="60" t="s">
        <v>50</v>
      </c>
      <c r="E1189" s="60">
        <v>6</v>
      </c>
    </row>
    <row r="1190" spans="2:5">
      <c r="B1190" s="59">
        <v>42675</v>
      </c>
      <c r="C1190" s="60">
        <v>974653528.35000002</v>
      </c>
      <c r="D1190" s="60" t="s">
        <v>163</v>
      </c>
      <c r="E1190" s="60">
        <v>7</v>
      </c>
    </row>
    <row r="1191" spans="2:5">
      <c r="B1191" s="59">
        <v>42675</v>
      </c>
      <c r="C1191" s="60">
        <v>966244629.35000002</v>
      </c>
      <c r="D1191" s="60" t="s">
        <v>157</v>
      </c>
      <c r="E1191" s="60">
        <v>8</v>
      </c>
    </row>
    <row r="1192" spans="2:5">
      <c r="B1192" s="59">
        <v>42675</v>
      </c>
      <c r="C1192" s="60">
        <v>905624217.00999999</v>
      </c>
      <c r="D1192" s="60" t="s">
        <v>6</v>
      </c>
      <c r="E1192" s="60">
        <v>9</v>
      </c>
    </row>
    <row r="1193" spans="2:5">
      <c r="B1193" s="59">
        <v>42675</v>
      </c>
      <c r="C1193" s="60">
        <v>822272632.26999998</v>
      </c>
      <c r="D1193" s="60" t="s">
        <v>46</v>
      </c>
      <c r="E1193" s="60">
        <v>10</v>
      </c>
    </row>
    <row r="1194" spans="2:5">
      <c r="B1194" s="59">
        <v>42705</v>
      </c>
      <c r="C1194" s="60">
        <v>4894612850.8900003</v>
      </c>
      <c r="D1194" s="60" t="s">
        <v>42</v>
      </c>
      <c r="E1194" s="60">
        <v>1</v>
      </c>
    </row>
    <row r="1195" spans="2:5">
      <c r="B1195" s="59">
        <v>42705</v>
      </c>
      <c r="C1195" s="60">
        <v>2872194376.46</v>
      </c>
      <c r="D1195" s="60" t="s">
        <v>109</v>
      </c>
      <c r="E1195" s="60">
        <v>2</v>
      </c>
    </row>
    <row r="1196" spans="2:5">
      <c r="B1196" s="59">
        <v>42705</v>
      </c>
      <c r="C1196" s="60">
        <v>2456861976.6999998</v>
      </c>
      <c r="D1196" s="60" t="s">
        <v>165</v>
      </c>
      <c r="E1196" s="60">
        <v>3</v>
      </c>
    </row>
    <row r="1197" spans="2:5">
      <c r="B1197" s="59">
        <v>42705</v>
      </c>
      <c r="C1197" s="60">
        <v>2437851866.73</v>
      </c>
      <c r="D1197" s="60" t="s">
        <v>48</v>
      </c>
      <c r="E1197" s="60">
        <v>4</v>
      </c>
    </row>
    <row r="1198" spans="2:5">
      <c r="B1198" s="59">
        <v>42705</v>
      </c>
      <c r="C1198" s="60">
        <v>1516841339.9000001</v>
      </c>
      <c r="D1198" s="60" t="s">
        <v>157</v>
      </c>
      <c r="E1198" s="60">
        <v>5</v>
      </c>
    </row>
    <row r="1199" spans="2:5">
      <c r="B1199" s="59">
        <v>42705</v>
      </c>
      <c r="C1199" s="60">
        <v>1181484459.8</v>
      </c>
      <c r="D1199" s="60" t="s">
        <v>163</v>
      </c>
      <c r="E1199" s="60">
        <v>6</v>
      </c>
    </row>
    <row r="1200" spans="2:5">
      <c r="B1200" s="59">
        <v>42705</v>
      </c>
      <c r="C1200" s="60">
        <v>1123881050.79</v>
      </c>
      <c r="D1200" s="60" t="s">
        <v>8</v>
      </c>
      <c r="E1200" s="60">
        <v>7</v>
      </c>
    </row>
    <row r="1201" spans="2:5">
      <c r="B1201" s="59">
        <v>42705</v>
      </c>
      <c r="C1201" s="60">
        <v>1051252863.46</v>
      </c>
      <c r="D1201" s="60" t="s">
        <v>135</v>
      </c>
      <c r="E1201" s="60">
        <v>8</v>
      </c>
    </row>
    <row r="1202" spans="2:5">
      <c r="B1202" s="59">
        <v>42705</v>
      </c>
      <c r="C1202" s="60">
        <v>975055034.07000005</v>
      </c>
      <c r="D1202" s="60" t="s">
        <v>52</v>
      </c>
      <c r="E1202" s="60">
        <v>9</v>
      </c>
    </row>
    <row r="1203" spans="2:5">
      <c r="B1203" s="59">
        <v>42705</v>
      </c>
      <c r="C1203" s="60">
        <v>939219401.29999995</v>
      </c>
      <c r="D1203" s="60" t="s">
        <v>50</v>
      </c>
      <c r="E1203" s="60">
        <v>10</v>
      </c>
    </row>
    <row r="1204" spans="2:5">
      <c r="B1204" s="59">
        <v>42736</v>
      </c>
      <c r="C1204" s="60">
        <v>3315349330.7399998</v>
      </c>
      <c r="D1204" s="60" t="s">
        <v>42</v>
      </c>
      <c r="E1204" s="60">
        <v>1</v>
      </c>
    </row>
    <row r="1205" spans="2:5">
      <c r="B1205" s="59">
        <v>42736</v>
      </c>
      <c r="C1205" s="60">
        <v>1977277425.4400001</v>
      </c>
      <c r="D1205" s="60" t="s">
        <v>165</v>
      </c>
      <c r="E1205" s="60">
        <v>2</v>
      </c>
    </row>
    <row r="1206" spans="2:5">
      <c r="B1206" s="59">
        <v>42736</v>
      </c>
      <c r="C1206" s="60">
        <v>1655969125.1800001</v>
      </c>
      <c r="D1206" s="60" t="s">
        <v>109</v>
      </c>
      <c r="E1206" s="60">
        <v>3</v>
      </c>
    </row>
    <row r="1207" spans="2:5">
      <c r="B1207" s="59">
        <v>42736</v>
      </c>
      <c r="C1207" s="60">
        <v>1401511587.6900001</v>
      </c>
      <c r="D1207" s="60" t="s">
        <v>48</v>
      </c>
      <c r="E1207" s="60">
        <v>4</v>
      </c>
    </row>
    <row r="1208" spans="2:5">
      <c r="B1208" s="59">
        <v>42736</v>
      </c>
      <c r="C1208" s="60">
        <v>1244035101</v>
      </c>
      <c r="D1208" s="60" t="s">
        <v>39</v>
      </c>
      <c r="E1208" s="60">
        <v>5</v>
      </c>
    </row>
    <row r="1209" spans="2:5">
      <c r="B1209" s="59">
        <v>42736</v>
      </c>
      <c r="C1209" s="60">
        <v>1034321694.63</v>
      </c>
      <c r="D1209" s="60" t="s">
        <v>50</v>
      </c>
      <c r="E1209" s="60">
        <v>6</v>
      </c>
    </row>
    <row r="1210" spans="2:5">
      <c r="B1210" s="59">
        <v>42736</v>
      </c>
      <c r="C1210" s="60">
        <v>986613999.01999998</v>
      </c>
      <c r="D1210" s="60" t="s">
        <v>168</v>
      </c>
      <c r="E1210" s="60">
        <v>7</v>
      </c>
    </row>
    <row r="1211" spans="2:5">
      <c r="B1211" s="59">
        <v>42736</v>
      </c>
      <c r="C1211" s="60">
        <v>806085956.25</v>
      </c>
      <c r="D1211" s="60" t="s">
        <v>157</v>
      </c>
      <c r="E1211" s="60">
        <v>8</v>
      </c>
    </row>
    <row r="1212" spans="2:5">
      <c r="B1212" s="59">
        <v>42736</v>
      </c>
      <c r="C1212" s="60">
        <v>796809466.20000005</v>
      </c>
      <c r="D1212" s="60" t="s">
        <v>19</v>
      </c>
      <c r="E1212" s="60">
        <v>9</v>
      </c>
    </row>
    <row r="1213" spans="2:5">
      <c r="B1213" s="59">
        <v>42736</v>
      </c>
      <c r="C1213" s="60">
        <v>784903756.13999999</v>
      </c>
      <c r="D1213" s="60" t="s">
        <v>169</v>
      </c>
      <c r="E1213" s="60">
        <v>10</v>
      </c>
    </row>
    <row r="1214" spans="2:5">
      <c r="B1214" s="59">
        <v>42767</v>
      </c>
      <c r="C1214" s="60">
        <v>2328517329.25</v>
      </c>
      <c r="D1214" s="60" t="s">
        <v>42</v>
      </c>
      <c r="E1214" s="60">
        <v>1</v>
      </c>
    </row>
    <row r="1215" spans="2:5">
      <c r="B1215" s="59">
        <v>42767</v>
      </c>
      <c r="C1215" s="60">
        <v>1279868749.28</v>
      </c>
      <c r="D1215" s="60" t="s">
        <v>165</v>
      </c>
      <c r="E1215" s="60">
        <v>2</v>
      </c>
    </row>
    <row r="1216" spans="2:5">
      <c r="B1216" s="59">
        <v>42767</v>
      </c>
      <c r="C1216" s="60">
        <v>1081622457.1099999</v>
      </c>
      <c r="D1216" s="60" t="s">
        <v>48</v>
      </c>
      <c r="E1216" s="60">
        <v>3</v>
      </c>
    </row>
    <row r="1217" spans="2:5">
      <c r="B1217" s="59">
        <v>42767</v>
      </c>
      <c r="C1217" s="60">
        <v>974695310.29999995</v>
      </c>
      <c r="D1217" s="60" t="s">
        <v>50</v>
      </c>
      <c r="E1217" s="60">
        <v>4</v>
      </c>
    </row>
    <row r="1218" spans="2:5">
      <c r="B1218" s="59">
        <v>42767</v>
      </c>
      <c r="C1218" s="60">
        <v>794029147.42999995</v>
      </c>
      <c r="D1218" s="60" t="s">
        <v>168</v>
      </c>
      <c r="E1218" s="60">
        <v>5</v>
      </c>
    </row>
    <row r="1219" spans="2:5">
      <c r="B1219" s="59">
        <v>42767</v>
      </c>
      <c r="C1219" s="60">
        <v>747663428.07000005</v>
      </c>
      <c r="D1219" s="60" t="s">
        <v>6</v>
      </c>
      <c r="E1219" s="60">
        <v>6</v>
      </c>
    </row>
    <row r="1220" spans="2:5">
      <c r="B1220" s="59">
        <v>42767</v>
      </c>
      <c r="C1220" s="60">
        <v>701338239.11000001</v>
      </c>
      <c r="D1220" s="60" t="s">
        <v>109</v>
      </c>
      <c r="E1220" s="60">
        <v>7</v>
      </c>
    </row>
    <row r="1221" spans="2:5">
      <c r="B1221" s="59">
        <v>42767</v>
      </c>
      <c r="C1221" s="60">
        <v>522069750</v>
      </c>
      <c r="D1221" s="60" t="s">
        <v>39</v>
      </c>
      <c r="E1221" s="60">
        <v>8</v>
      </c>
    </row>
    <row r="1222" spans="2:5">
      <c r="B1222" s="59">
        <v>42767</v>
      </c>
      <c r="C1222" s="60">
        <v>521540248.76999998</v>
      </c>
      <c r="D1222" s="60" t="s">
        <v>52</v>
      </c>
      <c r="E1222" s="60">
        <v>9</v>
      </c>
    </row>
    <row r="1223" spans="2:5">
      <c r="B1223" s="59">
        <v>42767</v>
      </c>
      <c r="C1223" s="60">
        <v>515631064.81999999</v>
      </c>
      <c r="D1223" s="60" t="s">
        <v>169</v>
      </c>
      <c r="E1223" s="60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Report</vt:lpstr>
      <vt:lpstr>Result Combine</vt:lpstr>
      <vt:lpstr>Result-lag</vt:lpstr>
      <vt:lpstr>Pivot - lag</vt:lpstr>
      <vt:lpstr>Input-lag</vt:lpstr>
      <vt:lpstr>Pivot equal</vt:lpstr>
      <vt:lpstr>Input-equal</vt:lpstr>
      <vt:lpstr>CurrentCloseDate</vt:lpstr>
      <vt:lpstr>CurrentMonth</vt:lpstr>
      <vt:lpstr>DatabaseEnv</vt:lpstr>
      <vt:lpstr>DateToChangeLag</vt:lpstr>
      <vt:lpstr>PDFReportDir</vt:lpstr>
      <vt:lpstr>PDFReportName</vt:lpstr>
      <vt:lpstr>PivotTable10</vt:lpstr>
      <vt:lpstr>PivotTable11</vt:lpstr>
      <vt:lpstr>PivotTable12</vt:lpstr>
      <vt:lpstr>Report!Print_Area</vt:lpstr>
      <vt:lpstr>SaveRatesToDB</vt:lpstr>
      <vt:lpstr>'Input-lag'!temp</vt:lpstr>
      <vt:lpstr>'Input-lag'!temp_6</vt:lpstr>
      <vt:lpstr>'Input-lag'!temp_8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2017-03-28T20:27:19Z</cp:lastPrinted>
  <dcterms:created xsi:type="dcterms:W3CDTF">2006-09-16T00:00:00Z</dcterms:created>
  <dcterms:modified xsi:type="dcterms:W3CDTF">2017-03-28T20:27:22Z</dcterms:modified>
</cp:coreProperties>
</file>