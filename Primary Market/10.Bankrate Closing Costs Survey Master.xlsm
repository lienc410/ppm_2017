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IT\Production\Daily Reports\Primary Market\"/>
    </mc:Choice>
  </mc:AlternateContent>
  <bookViews>
    <workbookView xWindow="240" yWindow="60" windowWidth="27795" windowHeight="17175"/>
  </bookViews>
  <sheets>
    <sheet name="Report" sheetId="4" r:id="rId1"/>
    <sheet name="Input" sheetId="1" r:id="rId2"/>
  </sheets>
  <functionGroups builtInGroupCount="18"/>
  <externalReferences>
    <externalReference r:id="rId3"/>
    <externalReference r:id="rId4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Report!$W$2</definedName>
    <definedName name="DatabaseEnv">Report!$W$1</definedName>
    <definedName name="HistoricalMtgRatesDataTable">[1]!OneWeekMtgRatesDataTable9[#Data]</definedName>
    <definedName name="IR">#REF!</definedName>
    <definedName name="MmExcelLinker_D5EFE7B8_A5AE_4CC6_B628_05FDC84CBEA4">Early Market [2]Data!$C$44:$C$44</definedName>
    <definedName name="OneDayBusDate">[1]!TimeSeriesDataTable34[Column1]</definedName>
    <definedName name="OneMonthBusDate">[1]!TimeSeriesDataTable310[Column1]</definedName>
    <definedName name="OneWeekBusDate">[1]!TimeSeriesDataTable3[Column1]</definedName>
    <definedName name="PDFReportDir">Report!$W$3</definedName>
    <definedName name="PDFReportName">Report!$W$4</definedName>
    <definedName name="_xlnm.Print_Area" localSheetId="0">Report!$C$2:$S$63</definedName>
    <definedName name="SaveRatesToDB">Report!$Y$1</definedName>
    <definedName name="temp" localSheetId="1">Input!$R$4:$S$19</definedName>
    <definedName name="temp" localSheetId="0">Report!$D$47:$E$64</definedName>
  </definedNames>
  <calcPr calcId="152511"/>
</workbook>
</file>

<file path=xl/calcChain.xml><?xml version="1.0" encoding="utf-8"?>
<calcChain xmlns="http://schemas.openxmlformats.org/spreadsheetml/2006/main">
  <c r="W4" i="4" l="1"/>
  <c r="M41" i="4" l="1"/>
  <c r="M40" i="4"/>
  <c r="K41" i="4"/>
  <c r="K40" i="4"/>
  <c r="I41" i="4"/>
  <c r="J41" i="4" s="1"/>
  <c r="I40" i="4"/>
  <c r="G41" i="4"/>
  <c r="G40" i="4"/>
  <c r="E41" i="4"/>
  <c r="E40" i="4"/>
  <c r="L41" i="4" l="1"/>
  <c r="E42" i="4"/>
  <c r="J40" i="4"/>
  <c r="I42" i="4"/>
  <c r="H40" i="4"/>
  <c r="L40" i="4"/>
  <c r="F41" i="4"/>
  <c r="H41" i="4"/>
  <c r="F40" i="4"/>
  <c r="G42" i="4"/>
  <c r="M42" i="4"/>
  <c r="K42" i="4"/>
  <c r="L42" i="4" s="1"/>
  <c r="H42" i="4" l="1"/>
  <c r="F42" i="4"/>
  <c r="J42" i="4"/>
</calcChain>
</file>

<file path=xl/connections.xml><?xml version="1.0" encoding="utf-8"?>
<connections xmlns="http://schemas.openxmlformats.org/spreadsheetml/2006/main">
  <connection id="1" name="temp" type="6" refreshedVersion="4" background="1" saveData="1">
    <textPr codePage="437" sourceFile="C:\Users\lien.chen\Desktop\temp.txt">
      <textFields count="2">
        <textField/>
        <textField/>
      </textFields>
    </textPr>
  </connection>
  <connection id="2" name="temp1" type="6" refreshedVersion="4" background="1" saveData="1">
    <textPr codePage="437" sourceFile="C:\Users\lien.chen\Desktop\temp.txt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<sst xmlns="http://schemas.openxmlformats.org/spreadsheetml/2006/main" count="174" uniqueCount="87">
  <si>
    <t>Database Env</t>
  </si>
  <si>
    <t>Save Data to DB</t>
  </si>
  <si>
    <t>As of Date</t>
  </si>
  <si>
    <t>Report Name</t>
  </si>
  <si>
    <t>No</t>
  </si>
  <si>
    <t>Report Folder</t>
  </si>
  <si>
    <t>PROD</t>
  </si>
  <si>
    <t>S:\IT\Production\Daily Reports\Primary Market\tmp\</t>
  </si>
  <si>
    <t>Lender's origination fees</t>
  </si>
  <si>
    <t>Third-party fees</t>
  </si>
  <si>
    <t>Closing costs</t>
  </si>
  <si>
    <t>Total</t>
  </si>
  <si>
    <t>State</t>
  </si>
  <si>
    <t>Texas</t>
  </si>
  <si>
    <t>Alaska</t>
  </si>
  <si>
    <t>Hawaii</t>
  </si>
  <si>
    <t>Wisconsin</t>
  </si>
  <si>
    <t>Nebraska</t>
  </si>
  <si>
    <t>Vermont</t>
  </si>
  <si>
    <t>Florida</t>
  </si>
  <si>
    <t>Alabama</t>
  </si>
  <si>
    <t>Kansas</t>
  </si>
  <si>
    <t>Louisiana</t>
  </si>
  <si>
    <t>Massachusetts</t>
  </si>
  <si>
    <t>Mississippi</t>
  </si>
  <si>
    <t>Oregon</t>
  </si>
  <si>
    <t>Connecticut</t>
  </si>
  <si>
    <t>California</t>
  </si>
  <si>
    <t>Utah</t>
  </si>
  <si>
    <t>Wyoming</t>
  </si>
  <si>
    <t>Virginia</t>
  </si>
  <si>
    <t>Delaware</t>
  </si>
  <si>
    <t>Pennsylvania</t>
  </si>
  <si>
    <t>Oklahoma</t>
  </si>
  <si>
    <t>Maine</t>
  </si>
  <si>
    <t>Montana</t>
  </si>
  <si>
    <t>Illinois</t>
  </si>
  <si>
    <t>Iowa</t>
  </si>
  <si>
    <t>Idaho</t>
  </si>
  <si>
    <t>Indiana</t>
  </si>
  <si>
    <t>Minnesota</t>
  </si>
  <si>
    <t>Colorado</t>
  </si>
  <si>
    <t>Washington</t>
  </si>
  <si>
    <t>Michigan</t>
  </si>
  <si>
    <t>Georgia</t>
  </si>
  <si>
    <t>Kentucky</t>
  </si>
  <si>
    <t>Arizona</t>
  </si>
  <si>
    <t>Arkansas</t>
  </si>
  <si>
    <t>Maryland</t>
  </si>
  <si>
    <t>Ohio</t>
  </si>
  <si>
    <t>Missouri</t>
  </si>
  <si>
    <t>Tennessee</t>
  </si>
  <si>
    <t>Nevada</t>
  </si>
  <si>
    <t>New York</t>
  </si>
  <si>
    <t>New Hampshire</t>
  </si>
  <si>
    <t>New Jersey</t>
  </si>
  <si>
    <t>North Carolina</t>
  </si>
  <si>
    <t>North Dakota</t>
  </si>
  <si>
    <t>Rhode Island</t>
  </si>
  <si>
    <t>South Dakota</t>
  </si>
  <si>
    <t>West Virginia</t>
  </si>
  <si>
    <t>New Mexico</t>
  </si>
  <si>
    <t>South Carolina</t>
  </si>
  <si>
    <t>District of Columbia</t>
  </si>
  <si>
    <t>Rank</t>
  </si>
  <si>
    <t>Fees</t>
  </si>
  <si>
    <t>% Chg</t>
  </si>
  <si>
    <t>Average Closing Cost</t>
  </si>
  <si>
    <t>Application</t>
  </si>
  <si>
    <t>Processing</t>
  </si>
  <si>
    <t>Underwriting</t>
  </si>
  <si>
    <t>Appraisal</t>
  </si>
  <si>
    <t>Postage/courier</t>
  </si>
  <si>
    <t>Survey</t>
  </si>
  <si>
    <t>Origination fees charged by the lender</t>
  </si>
  <si>
    <t>Origination points (not discount points)</t>
  </si>
  <si>
    <t>Document preparation</t>
  </si>
  <si>
    <t>Broker, originator or lender</t>
  </si>
  <si>
    <t>Tax service</t>
  </si>
  <si>
    <t>Wire transfer</t>
  </si>
  <si>
    <t>Attorney, closing or settlement</t>
  </si>
  <si>
    <t>Credit report</t>
  </si>
  <si>
    <t>Flood certification</t>
  </si>
  <si>
    <t>Types of Closing Costs</t>
  </si>
  <si>
    <t>Closing Cost 2017</t>
  </si>
  <si>
    <t>Average Costs by State - asof 2017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</si>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</sst>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_(* #,##0_);_(* \(#,##0\);_(* &quot;-&quot;??_);_(@_)"/>
  </numFmts>
  <fonts count="1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0"/>
      <color rgb="FFAD275C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9F8F5"/>
        <bgColor indexed="64"/>
      </patternFill>
    </fill>
  </fills>
  <borders count="4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/>
      <diagonal/>
    </border>
    <border>
      <left/>
      <right style="thin">
        <color rgb="FF2E398A"/>
      </right>
      <top style="thin">
        <color rgb="FF2E398A"/>
      </top>
      <bottom/>
      <diagonal/>
    </border>
    <border>
      <left/>
      <right style="thin">
        <color indexed="64"/>
      </right>
      <top style="thin">
        <color rgb="FF2E398A"/>
      </top>
      <bottom style="thin">
        <color rgb="FF2E398A"/>
      </bottom>
      <diagonal/>
    </border>
  </borders>
  <cellStyleXfs count="528">
    <xf numFmtId="0" fontId="0" fillId="0" borderId="0"/>
    <xf numFmtId="0" fontId="6" fillId="5" borderId="4" applyNumberFormat="0"/>
    <xf numFmtId="0" fontId="8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7" borderId="0" applyNumberFormat="0" applyBorder="0" applyAlignment="0" applyProtection="0"/>
    <xf numFmtId="0" fontId="13" fillId="7" borderId="0" applyNumberFormat="0" applyBorder="0" applyAlignment="0" applyProtection="0"/>
    <xf numFmtId="0" fontId="14" fillId="8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10" borderId="0" applyNumberFormat="0" applyBorder="0" applyAlignment="0" applyProtection="0"/>
    <xf numFmtId="0" fontId="12" fillId="11" borderId="0" applyNumberFormat="0" applyBorder="0" applyAlignment="0" applyProtection="0"/>
    <xf numFmtId="0" fontId="13" fillId="10" borderId="0" applyNumberFormat="0" applyBorder="0" applyAlignment="0" applyProtection="0"/>
    <xf numFmtId="0" fontId="14" fillId="12" borderId="0" applyNumberFormat="0" applyBorder="0" applyAlignment="0" applyProtection="0"/>
    <xf numFmtId="0" fontId="12" fillId="13" borderId="0" applyNumberFormat="0" applyBorder="0" applyAlignment="0" applyProtection="0"/>
    <xf numFmtId="0" fontId="13" fillId="14" borderId="0" applyNumberFormat="0" applyBorder="0" applyAlignment="0" applyProtection="0"/>
    <xf numFmtId="0" fontId="14" fillId="13" borderId="0" applyNumberFormat="0" applyBorder="0" applyAlignment="0" applyProtection="0"/>
    <xf numFmtId="0" fontId="12" fillId="7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2" fillId="15" borderId="0" applyNumberFormat="0" applyBorder="0" applyAlignment="0" applyProtection="0"/>
    <xf numFmtId="0" fontId="13" fillId="16" borderId="0" applyNumberFormat="0" applyBorder="0" applyAlignment="0" applyProtection="0"/>
    <xf numFmtId="0" fontId="14" fillId="17" borderId="0" applyNumberFormat="0" applyBorder="0" applyAlignment="0" applyProtection="0"/>
    <xf numFmtId="0" fontId="12" fillId="18" borderId="0" applyNumberFormat="0" applyBorder="0" applyAlignment="0" applyProtection="0"/>
    <xf numFmtId="0" fontId="13" fillId="18" borderId="0" applyNumberFormat="0" applyBorder="0" applyAlignment="0" applyProtection="0"/>
    <xf numFmtId="0" fontId="14" fillId="18" borderId="0" applyNumberFormat="0" applyBorder="0" applyAlignment="0" applyProtection="0"/>
    <xf numFmtId="0" fontId="12" fillId="9" borderId="0" applyNumberFormat="0" applyBorder="0" applyAlignment="0" applyProtection="0"/>
    <xf numFmtId="0" fontId="13" fillId="12" borderId="0" applyNumberFormat="0" applyBorder="0" applyAlignment="0" applyProtection="0"/>
    <xf numFmtId="0" fontId="14" fillId="19" borderId="0" applyNumberFormat="0" applyBorder="0" applyAlignment="0" applyProtection="0"/>
    <xf numFmtId="0" fontId="12" fillId="15" borderId="0" applyNumberFormat="0" applyBorder="0" applyAlignment="0" applyProtection="0"/>
    <xf numFmtId="0" fontId="13" fillId="20" borderId="0" applyNumberFormat="0" applyBorder="0" applyAlignment="0" applyProtection="0"/>
    <xf numFmtId="0" fontId="14" fillId="12" borderId="0" applyNumberFormat="0" applyBorder="0" applyAlignment="0" applyProtection="0"/>
    <xf numFmtId="0" fontId="12" fillId="17" borderId="0" applyNumberFormat="0" applyBorder="0" applyAlignment="0" applyProtection="0"/>
    <xf numFmtId="0" fontId="13" fillId="14" borderId="0" applyNumberFormat="0" applyBorder="0" applyAlignment="0" applyProtection="0"/>
    <xf numFmtId="0" fontId="14" fillId="17" borderId="0" applyNumberFormat="0" applyBorder="0" applyAlignment="0" applyProtection="0"/>
    <xf numFmtId="0" fontId="12" fillId="7" borderId="0" applyNumberFormat="0" applyBorder="0" applyAlignment="0" applyProtection="0"/>
    <xf numFmtId="0" fontId="13" fillId="7" borderId="0" applyNumberFormat="0" applyBorder="0" applyAlignment="0" applyProtection="0"/>
    <xf numFmtId="0" fontId="14" fillId="21" borderId="0" applyNumberFormat="0" applyBorder="0" applyAlignment="0" applyProtection="0"/>
    <xf numFmtId="0" fontId="15" fillId="22" borderId="0" applyNumberFormat="0" applyBorder="0" applyAlignment="0" applyProtection="0"/>
    <xf numFmtId="0" fontId="16" fillId="23" borderId="0" applyNumberFormat="0" applyBorder="0" applyAlignment="0" applyProtection="0"/>
    <xf numFmtId="0" fontId="17" fillId="24" borderId="0" applyNumberFormat="0" applyBorder="0" applyAlignment="0" applyProtection="0"/>
    <xf numFmtId="0" fontId="15" fillId="18" borderId="0" applyNumberFormat="0" applyBorder="0" applyAlignment="0" applyProtection="0"/>
    <xf numFmtId="0" fontId="16" fillId="18" borderId="0" applyNumberFormat="0" applyBorder="0" applyAlignment="0" applyProtection="0"/>
    <xf numFmtId="0" fontId="17" fillId="18" borderId="0" applyNumberFormat="0" applyBorder="0" applyAlignment="0" applyProtection="0"/>
    <xf numFmtId="0" fontId="15" fillId="9" borderId="0" applyNumberFormat="0" applyBorder="0" applyAlignment="0" applyProtection="0"/>
    <xf numFmtId="0" fontId="16" fillId="12" borderId="0" applyNumberFormat="0" applyBorder="0" applyAlignment="0" applyProtection="0"/>
    <xf numFmtId="0" fontId="17" fillId="19" borderId="0" applyNumberFormat="0" applyBorder="0" applyAlignment="0" applyProtection="0"/>
    <xf numFmtId="0" fontId="15" fillId="15" borderId="0" applyNumberFormat="0" applyBorder="0" applyAlignment="0" applyProtection="0"/>
    <xf numFmtId="0" fontId="16" fillId="25" borderId="0" applyNumberFormat="0" applyBorder="0" applyAlignment="0" applyProtection="0"/>
    <xf numFmtId="0" fontId="17" fillId="26" borderId="0" applyNumberFormat="0" applyBorder="0" applyAlignment="0" applyProtection="0"/>
    <xf numFmtId="0" fontId="15" fillId="22" borderId="0" applyNumberFormat="0" applyBorder="0" applyAlignment="0" applyProtection="0"/>
    <xf numFmtId="0" fontId="16" fillId="23" borderId="0" applyNumberFormat="0" applyBorder="0" applyAlignment="0" applyProtection="0"/>
    <xf numFmtId="0" fontId="17" fillId="22" borderId="0" applyNumberFormat="0" applyBorder="0" applyAlignment="0" applyProtection="0"/>
    <xf numFmtId="0" fontId="15" fillId="7" borderId="0" applyNumberFormat="0" applyBorder="0" applyAlignment="0" applyProtection="0"/>
    <xf numFmtId="0" fontId="16" fillId="7" borderId="0" applyNumberFormat="0" applyBorder="0" applyAlignment="0" applyProtection="0"/>
    <xf numFmtId="0" fontId="17" fillId="27" borderId="0" applyNumberFormat="0" applyBorder="0" applyAlignment="0" applyProtection="0"/>
    <xf numFmtId="0" fontId="15" fillId="22" borderId="0" applyNumberFormat="0" applyBorder="0" applyAlignment="0" applyProtection="0"/>
    <xf numFmtId="0" fontId="16" fillId="28" borderId="0" applyNumberFormat="0" applyBorder="0" applyAlignment="0" applyProtection="0"/>
    <xf numFmtId="0" fontId="17" fillId="29" borderId="0" applyNumberFormat="0" applyBorder="0" applyAlignment="0" applyProtection="0"/>
    <xf numFmtId="0" fontId="15" fillId="30" borderId="0" applyNumberFormat="0" applyBorder="0" applyAlignment="0" applyProtection="0"/>
    <xf numFmtId="0" fontId="16" fillId="31" borderId="0" applyNumberFormat="0" applyBorder="0" applyAlignment="0" applyProtection="0"/>
    <xf numFmtId="0" fontId="17" fillId="30" borderId="0" applyNumberFormat="0" applyBorder="0" applyAlignment="0" applyProtection="0"/>
    <xf numFmtId="0" fontId="15" fillId="32" borderId="0" applyNumberFormat="0" applyBorder="0" applyAlignment="0" applyProtection="0"/>
    <xf numFmtId="0" fontId="16" fillId="31" borderId="0" applyNumberFormat="0" applyBorder="0" applyAlignment="0" applyProtection="0"/>
    <xf numFmtId="0" fontId="17" fillId="32" borderId="0" applyNumberFormat="0" applyBorder="0" applyAlignment="0" applyProtection="0"/>
    <xf numFmtId="0" fontId="15" fillId="28" borderId="0" applyNumberFormat="0" applyBorder="0" applyAlignment="0" applyProtection="0"/>
    <xf numFmtId="0" fontId="16" fillId="28" borderId="0" applyNumberFormat="0" applyBorder="0" applyAlignment="0" applyProtection="0"/>
    <xf numFmtId="0" fontId="17" fillId="26" borderId="0" applyNumberFormat="0" applyBorder="0" applyAlignment="0" applyProtection="0"/>
    <xf numFmtId="0" fontId="15" fillId="22" borderId="0" applyNumberFormat="0" applyBorder="0" applyAlignment="0" applyProtection="0"/>
    <xf numFmtId="0" fontId="16" fillId="32" borderId="0" applyNumberFormat="0" applyBorder="0" applyAlignment="0" applyProtection="0"/>
    <xf numFmtId="0" fontId="17" fillId="22" borderId="0" applyNumberFormat="0" applyBorder="0" applyAlignment="0" applyProtection="0"/>
    <xf numFmtId="0" fontId="15" fillId="33" borderId="0" applyNumberFormat="0" applyBorder="0" applyAlignment="0" applyProtection="0"/>
    <xf numFmtId="0" fontId="16" fillId="33" borderId="0" applyNumberFormat="0" applyBorder="0" applyAlignment="0" applyProtection="0"/>
    <xf numFmtId="0" fontId="17" fillId="33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8" borderId="0" applyNumberFormat="0" applyBorder="0" applyAlignment="0" applyProtection="0"/>
    <xf numFmtId="0" fontId="19" fillId="8" borderId="0" applyNumberFormat="0" applyBorder="0" applyAlignment="0" applyProtection="0"/>
    <xf numFmtId="0" fontId="20" fillId="8" borderId="0" applyNumberFormat="0" applyBorder="0" applyAlignment="0" applyProtection="0"/>
    <xf numFmtId="38" fontId="21" fillId="11" borderId="0"/>
    <xf numFmtId="0" fontId="22" fillId="0" borderId="0" applyNumberFormat="0" applyFill="0" applyBorder="0" applyAlignment="0" applyProtection="0"/>
    <xf numFmtId="0" fontId="23" fillId="34" borderId="0">
      <alignment horizontal="left"/>
    </xf>
    <xf numFmtId="2" fontId="24" fillId="35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6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1" borderId="7" applyNumberFormat="0" applyAlignment="0" applyProtection="0"/>
    <xf numFmtId="0" fontId="30" fillId="13" borderId="7" applyNumberFormat="0" applyAlignment="0" applyProtection="0"/>
    <xf numFmtId="0" fontId="31" fillId="15" borderId="7" applyNumberFormat="0" applyAlignment="0" applyProtection="0"/>
    <xf numFmtId="0" fontId="32" fillId="37" borderId="8" applyNumberFormat="0"/>
    <xf numFmtId="0" fontId="33" fillId="38" borderId="9" applyBorder="0">
      <alignment horizontal="center" wrapText="1"/>
    </xf>
    <xf numFmtId="0" fontId="33" fillId="39" borderId="9" applyBorder="0">
      <alignment horizontal="center" wrapText="1"/>
    </xf>
    <xf numFmtId="0" fontId="34" fillId="40" borderId="8" applyNumberFormat="0"/>
    <xf numFmtId="0" fontId="35" fillId="41" borderId="8" applyNumberFormat="0"/>
    <xf numFmtId="0" fontId="3" fillId="41" borderId="8" applyNumberFormat="0"/>
    <xf numFmtId="0" fontId="34" fillId="40" borderId="8" applyNumberFormat="0"/>
    <xf numFmtId="0" fontId="35" fillId="40" borderId="8" applyNumberFormat="0"/>
    <xf numFmtId="0" fontId="34" fillId="37" borderId="8" applyNumberFormat="0"/>
    <xf numFmtId="0" fontId="32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6" fillId="40" borderId="10" applyNumberFormat="0" applyAlignment="0"/>
    <xf numFmtId="14" fontId="36" fillId="41" borderId="10" applyNumberFormat="0" applyAlignment="0"/>
    <xf numFmtId="14" fontId="37" fillId="41" borderId="10" applyNumberFormat="0" applyAlignment="0"/>
    <xf numFmtId="0" fontId="38" fillId="42" borderId="11" applyNumberFormat="0" applyAlignment="0" applyProtection="0"/>
    <xf numFmtId="0" fontId="39" fillId="42" borderId="11" applyNumberFormat="0" applyAlignment="0" applyProtection="0"/>
    <xf numFmtId="0" fontId="40" fillId="42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1" borderId="0"/>
    <xf numFmtId="14" fontId="13" fillId="0" borderId="0" applyFill="0" applyBorder="0" applyAlignment="0"/>
    <xf numFmtId="0" fontId="46" fillId="35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8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1" borderId="0"/>
    <xf numFmtId="0" fontId="57" fillId="10" borderId="0" applyNumberFormat="0" applyBorder="0" applyAlignment="0" applyProtection="0"/>
    <xf numFmtId="0" fontId="58" fillId="14" borderId="0" applyNumberFormat="0" applyBorder="0" applyAlignment="0" applyProtection="0"/>
    <xf numFmtId="0" fontId="59" fillId="10" borderId="0" applyNumberFormat="0" applyBorder="0" applyAlignment="0" applyProtection="0"/>
    <xf numFmtId="2" fontId="60" fillId="35" borderId="6" applyProtection="0">
      <alignment horizontal="left"/>
      <protection locked="0"/>
    </xf>
    <xf numFmtId="38" fontId="41" fillId="43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5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1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4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7" borderId="7" applyNumberFormat="0" applyAlignment="0" applyProtection="0"/>
    <xf numFmtId="0" fontId="77" fillId="7" borderId="7" applyNumberFormat="0" applyAlignment="0" applyProtection="0"/>
    <xf numFmtId="0" fontId="77" fillId="7" borderId="7" applyNumberFormat="0" applyAlignment="0" applyProtection="0"/>
    <xf numFmtId="0" fontId="77" fillId="7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3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1" borderId="0"/>
    <xf numFmtId="0" fontId="83" fillId="7" borderId="0" applyNumberFormat="0" applyBorder="0" applyAlignment="0" applyProtection="0"/>
    <xf numFmtId="0" fontId="84" fillId="12" borderId="0" applyNumberFormat="0" applyBorder="0" applyAlignment="0" applyProtection="0"/>
    <xf numFmtId="0" fontId="85" fillId="36" borderId="0" applyNumberFormat="0" applyBorder="0" applyAlignment="0" applyProtection="0"/>
    <xf numFmtId="37" fontId="86" fillId="0" borderId="0"/>
    <xf numFmtId="0" fontId="49" fillId="11" borderId="0" applyNumberFormat="0" applyFont="0" applyFill="0" applyBorder="0" applyAlignment="0"/>
    <xf numFmtId="10" fontId="13" fillId="11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0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1" borderId="0"/>
    <xf numFmtId="0" fontId="10" fillId="41" borderId="0"/>
    <xf numFmtId="0" fontId="10" fillId="0" borderId="0"/>
    <xf numFmtId="0" fontId="10" fillId="0" borderId="0"/>
    <xf numFmtId="0" fontId="34" fillId="40" borderId="0"/>
    <xf numFmtId="0" fontId="34" fillId="40" borderId="0"/>
    <xf numFmtId="0" fontId="34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0" borderId="0"/>
    <xf numFmtId="0" fontId="10" fillId="0" borderId="0"/>
    <xf numFmtId="0" fontId="10" fillId="0" borderId="0"/>
    <xf numFmtId="0" fontId="34" fillId="40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9" borderId="26" applyNumberFormat="0" applyFont="0" applyAlignment="0" applyProtection="0"/>
    <xf numFmtId="0" fontId="89" fillId="9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9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5" borderId="6">
      <alignment horizontal="left"/>
    </xf>
    <xf numFmtId="0" fontId="93" fillId="11" borderId="28" applyNumberFormat="0" applyAlignment="0" applyProtection="0"/>
    <xf numFmtId="0" fontId="94" fillId="13" borderId="28" applyNumberFormat="0" applyAlignment="0" applyProtection="0"/>
    <xf numFmtId="0" fontId="95" fillId="15" borderId="28" applyNumberFormat="0" applyAlignment="0" applyProtection="0"/>
    <xf numFmtId="40" fontId="13" fillId="35" borderId="0">
      <alignment horizontal="right"/>
    </xf>
    <xf numFmtId="0" fontId="96" fillId="44" borderId="0">
      <alignment horizontal="center"/>
    </xf>
    <xf numFmtId="0" fontId="39" fillId="45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3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2" borderId="0">
      <alignment horizontal="left"/>
    </xf>
    <xf numFmtId="0" fontId="104" fillId="0" borderId="31"/>
    <xf numFmtId="187" fontId="24" fillId="9" borderId="0">
      <alignment horizontal="center"/>
    </xf>
    <xf numFmtId="187" fontId="105" fillId="9" borderId="0">
      <alignment horizontal="center"/>
    </xf>
    <xf numFmtId="187" fontId="24" fillId="10" borderId="0">
      <alignment horizontal="center"/>
    </xf>
    <xf numFmtId="0" fontId="24" fillId="9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9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5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6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1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1" borderId="0"/>
    <xf numFmtId="0" fontId="34" fillId="47" borderId="33" applyBorder="0">
      <alignment horizontal="center" wrapText="1"/>
    </xf>
    <xf numFmtId="0" fontId="33" fillId="38" borderId="9" applyBorder="0">
      <alignment horizontal="center" wrapText="1"/>
    </xf>
    <xf numFmtId="0" fontId="34" fillId="48" borderId="9" applyBorder="0">
      <alignment horizontal="center" wrapText="1"/>
    </xf>
    <xf numFmtId="0" fontId="33" fillId="39" borderId="9" applyBorder="0">
      <alignment horizontal="center" wrapText="1"/>
    </xf>
    <xf numFmtId="0" fontId="7" fillId="49" borderId="9" applyBorder="0">
      <alignment horizontal="center" wrapText="1"/>
    </xf>
    <xf numFmtId="0" fontId="33" fillId="50" borderId="9" applyBorder="0">
      <alignment horizontal="center" wrapText="1"/>
    </xf>
    <xf numFmtId="0" fontId="33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1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0" borderId="10"/>
    <xf numFmtId="1" fontId="124" fillId="41" borderId="10"/>
    <xf numFmtId="2" fontId="125" fillId="41" borderId="10"/>
    <xf numFmtId="0" fontId="126" fillId="40" borderId="4" applyNumberFormat="0" applyAlignment="0"/>
    <xf numFmtId="0" fontId="127" fillId="41" borderId="4" applyNumberFormat="0" applyAlignment="0"/>
    <xf numFmtId="1" fontId="128" fillId="41" borderId="10" applyNumberFormat="0"/>
    <xf numFmtId="177" fontId="129" fillId="41" borderId="10" applyNumberFormat="0"/>
    <xf numFmtId="0" fontId="1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5" fillId="0" borderId="3" xfId="0" applyFont="1" applyBorder="1"/>
    <xf numFmtId="0" fontId="6" fillId="5" borderId="3" xfId="1" applyFont="1" applyBorder="1" applyAlignment="1">
      <alignment horizontal="center"/>
    </xf>
    <xf numFmtId="14" fontId="6" fillId="5" borderId="3" xfId="1" applyNumberFormat="1" applyFont="1" applyBorder="1"/>
    <xf numFmtId="0" fontId="4" fillId="0" borderId="0" xfId="0" applyFont="1" applyBorder="1"/>
    <xf numFmtId="0" fontId="9" fillId="0" borderId="0" xfId="2" applyFont="1"/>
    <xf numFmtId="0" fontId="9" fillId="0" borderId="0" xfId="2" applyFont="1" applyAlignment="1">
      <alignment vertical="top"/>
    </xf>
    <xf numFmtId="14" fontId="7" fillId="0" borderId="0" xfId="0" applyNumberFormat="1" applyFont="1"/>
    <xf numFmtId="0" fontId="130" fillId="0" borderId="0" xfId="0" applyFont="1"/>
    <xf numFmtId="0" fontId="7" fillId="0" borderId="0" xfId="0" applyFont="1"/>
    <xf numFmtId="0" fontId="6" fillId="5" borderId="3" xfId="1" applyFont="1" applyBorder="1" applyAlignment="1">
      <alignment horizontal="left"/>
    </xf>
    <xf numFmtId="6" fontId="0" fillId="0" borderId="0" xfId="0" applyNumberFormat="1"/>
    <xf numFmtId="0" fontId="7" fillId="0" borderId="38" xfId="0" applyFont="1" applyBorder="1" applyAlignment="1">
      <alignment horizontal="center" vertical="center"/>
    </xf>
    <xf numFmtId="0" fontId="5" fillId="6" borderId="38" xfId="0" applyFont="1" applyFill="1" applyBorder="1"/>
    <xf numFmtId="0" fontId="5" fillId="6" borderId="38" xfId="0" applyFont="1" applyFill="1" applyBorder="1" applyAlignment="1">
      <alignment horizontal="center"/>
    </xf>
    <xf numFmtId="0" fontId="5" fillId="51" borderId="38" xfId="0" applyFont="1" applyFill="1" applyBorder="1"/>
    <xf numFmtId="0" fontId="5" fillId="6" borderId="38" xfId="0" applyFont="1" applyFill="1" applyBorder="1" applyAlignment="1">
      <alignment horizontal="center" vertical="center"/>
    </xf>
    <xf numFmtId="0" fontId="5" fillId="6" borderId="38" xfId="0" applyFont="1" applyFill="1" applyBorder="1" applyAlignment="1">
      <alignment horizontal="center" vertical="center" wrapText="1"/>
    </xf>
    <xf numFmtId="9" fontId="7" fillId="0" borderId="38" xfId="527" applyFont="1" applyBorder="1" applyAlignment="1">
      <alignment horizontal="center"/>
    </xf>
    <xf numFmtId="0" fontId="5" fillId="6" borderId="39" xfId="0" applyFont="1" applyFill="1" applyBorder="1" applyAlignment="1">
      <alignment vertical="center"/>
    </xf>
    <xf numFmtId="0" fontId="0" fillId="0" borderId="40" xfId="0" applyBorder="1"/>
    <xf numFmtId="0" fontId="0" fillId="0" borderId="39" xfId="0" applyBorder="1"/>
    <xf numFmtId="3" fontId="7" fillId="0" borderId="38" xfId="0" applyNumberFormat="1" applyFont="1" applyBorder="1" applyAlignment="1">
      <alignment horizontal="center" vertical="center"/>
    </xf>
    <xf numFmtId="194" fontId="7" fillId="0" borderId="38" xfId="526" applyNumberFormat="1" applyFont="1" applyBorder="1" applyAlignment="1">
      <alignment horizontal="center"/>
    </xf>
    <xf numFmtId="194" fontId="0" fillId="0" borderId="39" xfId="526" applyNumberFormat="1" applyFont="1" applyBorder="1"/>
    <xf numFmtId="194" fontId="0" fillId="0" borderId="41" xfId="526" applyNumberFormat="1" applyFont="1" applyBorder="1"/>
    <xf numFmtId="0" fontId="0" fillId="0" borderId="0" xfId="0" applyAlignment="1">
      <alignment horizontal="right"/>
    </xf>
    <xf numFmtId="0" fontId="7" fillId="0" borderId="38" xfId="0" applyFont="1" applyBorder="1" applyAlignment="1">
      <alignment horizontal="left" vertical="center"/>
    </xf>
    <xf numFmtId="194" fontId="5" fillId="0" borderId="38" xfId="526" applyNumberFormat="1" applyFont="1" applyBorder="1" applyAlignment="1">
      <alignment horizontal="center"/>
    </xf>
    <xf numFmtId="9" fontId="5" fillId="0" borderId="38" xfId="527" applyFont="1" applyBorder="1" applyAlignment="1">
      <alignment horizontal="center"/>
    </xf>
    <xf numFmtId="0" fontId="7" fillId="51" borderId="38" xfId="0" applyFont="1" applyFill="1" applyBorder="1" applyAlignment="1">
      <alignment horizontal="center"/>
    </xf>
    <xf numFmtId="0" fontId="0" fillId="0" borderId="42" xfId="0" applyBorder="1"/>
    <xf numFmtId="0" fontId="0" fillId="0" borderId="0" xfId="0"/>
    <xf numFmtId="194" fontId="0" fillId="0" borderId="43" xfId="526" applyNumberFormat="1" applyFont="1" applyBorder="1"/>
    <xf numFmtId="194" fontId="0" fillId="0" borderId="41" xfId="526" applyNumberFormat="1" applyFont="1" applyBorder="1" applyAlignment="1">
      <alignment horizontal="right"/>
    </xf>
    <xf numFmtId="6" fontId="0" fillId="0" borderId="0" xfId="0" applyNumberFormat="1" applyAlignment="1">
      <alignment horizontal="right"/>
    </xf>
    <xf numFmtId="0" fontId="0" fillId="0" borderId="44" xfId="0" applyBorder="1"/>
    <xf numFmtId="0" fontId="5" fillId="6" borderId="40" xfId="0" applyFont="1" applyFill="1" applyBorder="1" applyAlignment="1">
      <alignment horizontal="center"/>
    </xf>
    <xf numFmtId="0" fontId="5" fillId="6" borderId="41" xfId="0" applyFont="1" applyFill="1" applyBorder="1" applyAlignment="1">
      <alignment horizontal="center"/>
    </xf>
    <xf numFmtId="0" fontId="5" fillId="6" borderId="40" xfId="0" applyFont="1" applyFill="1" applyBorder="1" applyAlignment="1">
      <alignment horizontal="center" vertical="center"/>
    </xf>
    <xf numFmtId="0" fontId="5" fillId="6" borderId="39" xfId="0" applyFont="1" applyFill="1" applyBorder="1" applyAlignment="1">
      <alignment horizontal="center" vertical="center"/>
    </xf>
    <xf numFmtId="0" fontId="5" fillId="6" borderId="41" xfId="0" applyFont="1" applyFill="1" applyBorder="1" applyAlignment="1">
      <alignment horizontal="center" vertical="center"/>
    </xf>
    <xf numFmtId="0" fontId="7" fillId="0" borderId="0" xfId="0" applyFont="1" applyAlignment="1">
      <alignment horizontal="center" wrapText="1"/>
    </xf>
  </cellXfs>
  <cellStyles count="528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1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6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" xfId="2" builtinId="8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527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9F8F5"/>
      <color rgb="FFEFEBE4"/>
      <color rgb="FF2E398A"/>
      <color rgb="FF1B7A76"/>
      <color rgb="FFB3275C"/>
      <color rgb="FFC7732D"/>
      <color rgb="FF74B6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History of Average Closing Costs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Input!$D$4</c:f>
              <c:strCache>
                <c:ptCount val="1"/>
                <c:pt idx="0">
                  <c:v>Lender's origination fees</c:v>
                </c:pt>
              </c:strCache>
            </c:strRef>
          </c:tx>
          <c:spPr>
            <a:solidFill>
              <a:srgbClr val="B3275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Input!$C$5:$C$13</c:f>
              <c:numCache>
                <c:formatCode>General</c:formatCode>
                <c:ptCount val="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Input!$D$5:$D$13</c:f>
              <c:numCache>
                <c:formatCode>General</c:formatCode>
                <c:ptCount val="9"/>
                <c:pt idx="4">
                  <c:v>1463</c:v>
                </c:pt>
                <c:pt idx="5">
                  <c:v>1614</c:v>
                </c:pt>
                <c:pt idx="6">
                  <c:v>1595</c:v>
                </c:pt>
                <c:pt idx="7">
                  <c:v>1730</c:v>
                </c:pt>
                <c:pt idx="8">
                  <c:v>1877</c:v>
                </c:pt>
              </c:numCache>
            </c:numRef>
          </c:val>
        </c:ser>
        <c:ser>
          <c:idx val="1"/>
          <c:order val="1"/>
          <c:tx>
            <c:strRef>
              <c:f>Input!$E$4</c:f>
              <c:strCache>
                <c:ptCount val="1"/>
                <c:pt idx="0">
                  <c:v>Third-party fees</c:v>
                </c:pt>
              </c:strCache>
            </c:strRef>
          </c:tx>
          <c:spPr>
            <a:solidFill>
              <a:srgbClr val="2E398A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Input!$C$5:$C$13</c:f>
              <c:numCache>
                <c:formatCode>General</c:formatCode>
                <c:ptCount val="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Input!$E$5:$E$13</c:f>
              <c:numCache>
                <c:formatCode>General</c:formatCode>
                <c:ptCount val="9"/>
                <c:pt idx="4">
                  <c:v>2277</c:v>
                </c:pt>
                <c:pt idx="5">
                  <c:v>2456</c:v>
                </c:pt>
                <c:pt idx="6">
                  <c:v>2159</c:v>
                </c:pt>
                <c:pt idx="7">
                  <c:v>672</c:v>
                </c:pt>
                <c:pt idx="8">
                  <c:v>662</c:v>
                </c:pt>
              </c:numCache>
            </c:numRef>
          </c:val>
        </c:ser>
        <c:ser>
          <c:idx val="2"/>
          <c:order val="2"/>
          <c:tx>
            <c:strRef>
              <c:f>Input!$F$4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1B7A7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Input!$C$5:$C$13</c:f>
              <c:numCache>
                <c:formatCode>General</c:formatCode>
                <c:ptCount val="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Input!$F$5:$F$13</c:f>
              <c:numCache>
                <c:formatCode>General</c:formatCode>
                <c:ptCount val="9"/>
                <c:pt idx="0">
                  <c:v>2748</c:v>
                </c:pt>
                <c:pt idx="1">
                  <c:v>3024</c:v>
                </c:pt>
                <c:pt idx="2">
                  <c:v>2736</c:v>
                </c:pt>
                <c:pt idx="3">
                  <c:v>3118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43498584"/>
        <c:axId val="241367048"/>
      </c:barChart>
      <c:catAx>
        <c:axId val="243498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1367048"/>
        <c:crosses val="autoZero"/>
        <c:auto val="1"/>
        <c:lblAlgn val="ctr"/>
        <c:lblOffset val="100"/>
        <c:noMultiLvlLbl val="0"/>
      </c:catAx>
      <c:valAx>
        <c:axId val="241367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349858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22410</xdr:colOff>
      <xdr:row>8</xdr:row>
      <xdr:rowOff>107080</xdr:rowOff>
    </xdr:from>
    <xdr:to>
      <xdr:col>13</xdr:col>
      <xdr:colOff>11205</xdr:colOff>
      <xdr:row>34</xdr:row>
      <xdr:rowOff>163108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57150</xdr:colOff>
      <xdr:row>5</xdr:row>
      <xdr:rowOff>28576</xdr:rowOff>
    </xdr:from>
    <xdr:to>
      <xdr:col>23</xdr:col>
      <xdr:colOff>0</xdr:colOff>
      <xdr:row>7</xdr:row>
      <xdr:rowOff>13336</xdr:rowOff>
    </xdr:to>
    <xdr:sp macro="[0]!RunClosingCostReport" textlink="">
      <xdr:nvSpPr>
        <xdr:cNvPr id="2" name="Rounded Rectangle 1"/>
        <xdr:cNvSpPr/>
      </xdr:nvSpPr>
      <xdr:spPr>
        <a:xfrm>
          <a:off x="16468725" y="981076"/>
          <a:ext cx="124777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23</xdr:col>
      <xdr:colOff>276226</xdr:colOff>
      <xdr:row>5</xdr:row>
      <xdr:rowOff>28576</xdr:rowOff>
    </xdr:from>
    <xdr:to>
      <xdr:col>25</xdr:col>
      <xdr:colOff>47626</xdr:colOff>
      <xdr:row>7</xdr:row>
      <xdr:rowOff>13336</xdr:rowOff>
    </xdr:to>
    <xdr:sp macro="[1]!CreatePDFReport" textlink="">
      <xdr:nvSpPr>
        <xdr:cNvPr id="3" name="Rounded Rectangle 2"/>
        <xdr:cNvSpPr/>
      </xdr:nvSpPr>
      <xdr:spPr>
        <a:xfrm>
          <a:off x="17992726" y="981076"/>
          <a:ext cx="34861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11</xdr:col>
      <xdr:colOff>230841</xdr:colOff>
      <xdr:row>33</xdr:row>
      <xdr:rowOff>30131</xdr:rowOff>
    </xdr:from>
    <xdr:to>
      <xdr:col>13</xdr:col>
      <xdr:colOff>240366</xdr:colOff>
      <xdr:row>34</xdr:row>
      <xdr:rowOff>20606</xdr:rowOff>
    </xdr:to>
    <xdr:sp macro="" textlink="">
      <xdr:nvSpPr>
        <xdr:cNvPr id="4" name="TextBox 3"/>
        <xdr:cNvSpPr txBox="1"/>
      </xdr:nvSpPr>
      <xdr:spPr>
        <a:xfrm>
          <a:off x="8761008" y="6549464"/>
          <a:ext cx="14700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 Bankrate</a:t>
          </a:r>
        </a:p>
      </xdr:txBody>
    </xdr:sp>
    <xdr:clientData/>
  </xdr:twoCellAnchor>
  <xdr:twoCellAnchor>
    <xdr:from>
      <xdr:col>21</xdr:col>
      <xdr:colOff>537882</xdr:colOff>
      <xdr:row>8</xdr:row>
      <xdr:rowOff>168088</xdr:rowOff>
    </xdr:from>
    <xdr:to>
      <xdr:col>25</xdr:col>
      <xdr:colOff>493059</xdr:colOff>
      <xdr:row>13</xdr:row>
      <xdr:rowOff>190500</xdr:rowOff>
    </xdr:to>
    <xdr:sp macro="" textlink="">
      <xdr:nvSpPr>
        <xdr:cNvPr id="9" name="TextBox 8"/>
        <xdr:cNvSpPr txBox="1"/>
      </xdr:nvSpPr>
      <xdr:spPr>
        <a:xfrm>
          <a:off x="16270941" y="1692088"/>
          <a:ext cx="5759824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Annually update from Bankrate.com:</a:t>
          </a:r>
        </a:p>
        <a:p>
          <a:endParaRPr lang="en-US" sz="1100"/>
        </a:p>
        <a:p>
          <a:r>
            <a:rPr lang="en-US" sz="1100"/>
            <a:t>http://www.bankrate.com/finance/mortgages/closing-costs/</a:t>
          </a:r>
        </a:p>
      </xdr:txBody>
    </xdr:sp>
    <xdr:clientData/>
  </xdr:twoCellAnchor>
  <xdr:twoCellAnchor>
    <xdr:from>
      <xdr:col>2</xdr:col>
      <xdr:colOff>526055</xdr:colOff>
      <xdr:row>55</xdr:row>
      <xdr:rowOff>44199</xdr:rowOff>
    </xdr:from>
    <xdr:to>
      <xdr:col>13</xdr:col>
      <xdr:colOff>10584</xdr:colOff>
      <xdr:row>59</xdr:row>
      <xdr:rowOff>95250</xdr:rowOff>
    </xdr:to>
    <xdr:sp macro="" textlink="">
      <xdr:nvSpPr>
        <xdr:cNvPr id="11" name="TextBox 10"/>
        <xdr:cNvSpPr txBox="1"/>
      </xdr:nvSpPr>
      <xdr:spPr>
        <a:xfrm>
          <a:off x="1753722" y="10765116"/>
          <a:ext cx="8247529" cy="8130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Closing Cost for New York</a:t>
          </a:r>
          <a:r>
            <a:rPr lang="en-US"/>
            <a:t> with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Loan amount $200,000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asof 2017.</a:t>
          </a:r>
        </a:p>
        <a:p>
          <a:pPr algn="l"/>
          <a:endParaRPr lang="en-US"/>
        </a:p>
        <a:p>
          <a:pPr algn="l"/>
          <a:r>
            <a:rPr lang="en-US" sz="1100">
              <a:latin typeface="+mn-lt"/>
            </a:rPr>
            <a:t>The averages for fees charged by lenders and third parties. If you add them up, they will not equal the averages listed on</a:t>
          </a:r>
          <a:r>
            <a:rPr lang="en-US" sz="1100" baseline="0">
              <a:latin typeface="+mn-lt"/>
            </a:rPr>
            <a:t> the right</a:t>
          </a:r>
          <a:r>
            <a:rPr lang="en-US" sz="1100">
              <a:latin typeface="+mn-lt"/>
            </a:rPr>
            <a:t>.</a:t>
          </a:r>
          <a:r>
            <a:rPr lang="en-US" sz="1100" baseline="0">
              <a:latin typeface="+mn-lt"/>
            </a:rPr>
            <a:t> </a:t>
          </a:r>
          <a:r>
            <a:rPr lang="en-US" sz="1100">
              <a:latin typeface="+mn-lt"/>
            </a:rPr>
            <a:t>Because each lender charges some of the fees listed above, but not all of them. For example, some lenders charge an application fee, but others don't.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-%20template%20-%200311%20-%20with%20char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- template "/>
    </sheetNames>
    <definedNames>
      <definedName name="CreatePDFRepor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4.1250000000000002E-2</v>
          </cell>
        </row>
        <row r="5">
          <cell r="C5">
            <v>4.147E-2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temp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emp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1" displayName="Table1" ref="C27:F36" headerRowCount="0" totalsRowShown="0">
  <tableColumns count="4">
    <tableColumn id="1" name="Column1" headerRowDxfId="3"/>
    <tableColumn id="2" name="ALL" headerRowDxfId="2"/>
    <tableColumn id="4" name="CONV" headerRowDxfId="1"/>
    <tableColumn id="3" name="FHA" headerRow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D1:Y62"/>
  <sheetViews>
    <sheetView showGridLines="0" tabSelected="1" topLeftCell="C1" zoomScale="90" zoomScaleNormal="90" workbookViewId="0">
      <selection activeCell="O38" sqref="O38:O39"/>
    </sheetView>
  </sheetViews>
  <sheetFormatPr defaultRowHeight="15"/>
  <cols>
    <col min="1" max="1" width="9.140625" customWidth="1"/>
    <col min="3" max="3" width="9.140625" customWidth="1"/>
    <col min="4" max="4" width="22.42578125" bestFit="1" customWidth="1"/>
    <col min="5" max="5" width="12.140625" customWidth="1"/>
    <col min="6" max="15" width="11" customWidth="1"/>
    <col min="16" max="16" width="18.42578125" bestFit="1" customWidth="1"/>
    <col min="17" max="19" width="17.140625" customWidth="1"/>
    <col min="20" max="20" width="12.7109375" customWidth="1"/>
    <col min="21" max="21" width="7.7109375" customWidth="1"/>
    <col min="22" max="22" width="11.85546875" bestFit="1" customWidth="1"/>
    <col min="23" max="23" width="19.5703125" customWidth="1"/>
    <col min="24" max="24" width="40.85546875" bestFit="1" customWidth="1"/>
    <col min="25" max="25" width="14.85546875" bestFit="1" customWidth="1"/>
  </cols>
  <sheetData>
    <row r="1" spans="9:25">
      <c r="V1" s="3" t="s">
        <v>0</v>
      </c>
      <c r="W1" s="12" t="s">
        <v>6</v>
      </c>
      <c r="X1" t="s">
        <v>1</v>
      </c>
      <c r="Y1" s="4" t="s">
        <v>4</v>
      </c>
    </row>
    <row r="2" spans="9:25">
      <c r="V2" s="3" t="s">
        <v>2</v>
      </c>
      <c r="W2" s="5">
        <v>42867</v>
      </c>
    </row>
    <row r="3" spans="9:25">
      <c r="V3" s="3" t="s">
        <v>5</v>
      </c>
      <c r="W3" s="12" t="s">
        <v>7</v>
      </c>
    </row>
    <row r="4" spans="9:25">
      <c r="V4" s="3" t="s">
        <v>3</v>
      </c>
      <c r="W4" s="12" t="str">
        <f>PDFReportDir &amp; "\Average Closing Cost " &amp; TEXT(CurrentCloseDate, "yyyy-mm-dd") &amp; ".pdf"</f>
        <v>S:\IT\Production\Daily Reports\Primary Market\tmp\\Average Closing Cost 2017-05-12.pdf</v>
      </c>
    </row>
    <row r="5" spans="9:25">
      <c r="V5" s="6"/>
    </row>
    <row r="6" spans="9:25">
      <c r="V6" s="6"/>
    </row>
    <row r="7" spans="9:25">
      <c r="V7" s="6"/>
    </row>
    <row r="8" spans="9:25">
      <c r="V8" s="6"/>
    </row>
    <row r="9" spans="9:25">
      <c r="V9" s="6"/>
    </row>
    <row r="10" spans="9:25">
      <c r="O10" s="10" t="s">
        <v>85</v>
      </c>
      <c r="S10" s="28"/>
      <c r="V10" s="6"/>
    </row>
    <row r="11" spans="9:25" ht="25.5">
      <c r="O11" s="18" t="s">
        <v>64</v>
      </c>
      <c r="P11" s="18" t="s">
        <v>12</v>
      </c>
      <c r="Q11" s="19" t="s">
        <v>8</v>
      </c>
      <c r="R11" s="18" t="s">
        <v>9</v>
      </c>
      <c r="S11" s="18" t="s">
        <v>11</v>
      </c>
    </row>
    <row r="12" spans="9:25" ht="15" customHeight="1">
      <c r="O12" s="14">
        <v>1</v>
      </c>
      <c r="P12" s="29" t="s">
        <v>53</v>
      </c>
      <c r="Q12" s="24">
        <v>1021</v>
      </c>
      <c r="R12" s="24">
        <v>1627</v>
      </c>
      <c r="S12" s="24">
        <v>2648</v>
      </c>
    </row>
    <row r="13" spans="9:25">
      <c r="O13" s="14">
        <v>2</v>
      </c>
      <c r="P13" s="29" t="s">
        <v>15</v>
      </c>
      <c r="Q13" s="24">
        <v>1041</v>
      </c>
      <c r="R13" s="24">
        <v>1450</v>
      </c>
      <c r="S13" s="24">
        <v>2490</v>
      </c>
    </row>
    <row r="14" spans="9:25" s="1" customFormat="1" ht="18" customHeight="1">
      <c r="I14"/>
      <c r="J14"/>
      <c r="K14"/>
      <c r="L14"/>
      <c r="M14"/>
      <c r="N14"/>
      <c r="O14" s="14">
        <v>3</v>
      </c>
      <c r="P14" s="29" t="s">
        <v>31</v>
      </c>
      <c r="Q14" s="24">
        <v>950</v>
      </c>
      <c r="R14" s="24">
        <v>1408</v>
      </c>
      <c r="S14" s="24">
        <v>2358</v>
      </c>
    </row>
    <row r="15" spans="9:25" s="2" customFormat="1" ht="19.5" customHeight="1">
      <c r="I15"/>
      <c r="J15"/>
      <c r="K15"/>
      <c r="L15"/>
      <c r="M15"/>
      <c r="N15"/>
      <c r="O15" s="14">
        <v>4</v>
      </c>
      <c r="P15" s="29" t="s">
        <v>44</v>
      </c>
      <c r="Q15" s="24">
        <v>1085</v>
      </c>
      <c r="R15" s="24">
        <v>1237</v>
      </c>
      <c r="S15" s="24">
        <v>2323</v>
      </c>
    </row>
    <row r="16" spans="9:25" s="2" customFormat="1">
      <c r="I16"/>
      <c r="J16"/>
      <c r="K16"/>
      <c r="L16"/>
      <c r="M16"/>
      <c r="N16"/>
      <c r="O16" s="14">
        <v>5</v>
      </c>
      <c r="P16" s="29" t="s">
        <v>26</v>
      </c>
      <c r="Q16" s="24">
        <v>949</v>
      </c>
      <c r="R16" s="24">
        <v>1327</v>
      </c>
      <c r="S16" s="24">
        <v>2275</v>
      </c>
    </row>
    <row r="17" spans="9:19" s="2" customFormat="1">
      <c r="I17"/>
      <c r="J17"/>
      <c r="K17"/>
      <c r="L17"/>
      <c r="M17"/>
      <c r="N17"/>
      <c r="O17" s="14">
        <v>6</v>
      </c>
      <c r="P17" s="29" t="s">
        <v>23</v>
      </c>
      <c r="Q17" s="24">
        <v>939</v>
      </c>
      <c r="R17" s="24">
        <v>1334</v>
      </c>
      <c r="S17" s="24">
        <v>2274</v>
      </c>
    </row>
    <row r="18" spans="9:19" s="2" customFormat="1">
      <c r="I18"/>
      <c r="J18"/>
      <c r="K18"/>
      <c r="L18"/>
      <c r="M18"/>
      <c r="N18"/>
      <c r="O18" s="14">
        <v>7</v>
      </c>
      <c r="P18" s="29" t="s">
        <v>42</v>
      </c>
      <c r="Q18" s="24">
        <v>966</v>
      </c>
      <c r="R18" s="24">
        <v>1288</v>
      </c>
      <c r="S18" s="24">
        <v>2254</v>
      </c>
    </row>
    <row r="19" spans="9:19" s="2" customFormat="1">
      <c r="I19"/>
      <c r="J19"/>
      <c r="K19"/>
      <c r="L19"/>
      <c r="M19"/>
      <c r="N19"/>
      <c r="O19" s="14">
        <v>8</v>
      </c>
      <c r="P19" s="29" t="s">
        <v>56</v>
      </c>
      <c r="Q19" s="24">
        <v>915</v>
      </c>
      <c r="R19" s="24">
        <v>1327</v>
      </c>
      <c r="S19" s="24">
        <v>2242</v>
      </c>
    </row>
    <row r="20" spans="9:19" s="2" customFormat="1">
      <c r="I20"/>
      <c r="J20"/>
      <c r="K20"/>
      <c r="L20"/>
      <c r="M20"/>
      <c r="N20"/>
      <c r="O20" s="14">
        <v>9</v>
      </c>
      <c r="P20" s="29" t="s">
        <v>27</v>
      </c>
      <c r="Q20" s="24">
        <v>1030</v>
      </c>
      <c r="R20" s="24">
        <v>1196</v>
      </c>
      <c r="S20" s="24">
        <v>2225</v>
      </c>
    </row>
    <row r="21" spans="9:19" s="2" customFormat="1">
      <c r="I21"/>
      <c r="J21"/>
      <c r="K21"/>
      <c r="L21"/>
      <c r="M21"/>
      <c r="N21"/>
      <c r="O21" s="14">
        <v>10</v>
      </c>
      <c r="P21" s="29" t="s">
        <v>62</v>
      </c>
      <c r="Q21" s="24">
        <v>919</v>
      </c>
      <c r="R21" s="24">
        <v>1293</v>
      </c>
      <c r="S21" s="24">
        <v>2213</v>
      </c>
    </row>
    <row r="22" spans="9:19" s="2" customFormat="1">
      <c r="I22"/>
      <c r="J22"/>
      <c r="K22"/>
      <c r="L22"/>
      <c r="M22"/>
      <c r="N22"/>
      <c r="O22" s="14">
        <v>11</v>
      </c>
      <c r="P22" s="29" t="s">
        <v>60</v>
      </c>
      <c r="Q22" s="24">
        <v>927</v>
      </c>
      <c r="R22" s="24">
        <v>1287</v>
      </c>
      <c r="S22" s="24">
        <v>2213</v>
      </c>
    </row>
    <row r="23" spans="9:19" s="2" customFormat="1">
      <c r="I23"/>
      <c r="J23"/>
      <c r="K23"/>
      <c r="L23"/>
      <c r="M23"/>
      <c r="N23"/>
      <c r="O23" s="14">
        <v>12</v>
      </c>
      <c r="P23" s="29" t="s">
        <v>19</v>
      </c>
      <c r="Q23" s="24">
        <v>1050</v>
      </c>
      <c r="R23" s="24">
        <v>1157</v>
      </c>
      <c r="S23" s="24">
        <v>2206</v>
      </c>
    </row>
    <row r="24" spans="9:19" s="2" customFormat="1">
      <c r="I24"/>
      <c r="J24"/>
      <c r="K24"/>
      <c r="L24"/>
      <c r="M24"/>
      <c r="N24"/>
      <c r="O24" s="14">
        <v>13</v>
      </c>
      <c r="P24" s="29" t="s">
        <v>13</v>
      </c>
      <c r="Q24" s="24">
        <v>983</v>
      </c>
      <c r="R24" s="24">
        <v>1203</v>
      </c>
      <c r="S24" s="24">
        <v>2186</v>
      </c>
    </row>
    <row r="25" spans="9:19" s="2" customFormat="1">
      <c r="I25"/>
      <c r="J25"/>
      <c r="K25"/>
      <c r="L25"/>
      <c r="M25"/>
      <c r="N25"/>
      <c r="O25" s="14">
        <v>14</v>
      </c>
      <c r="P25" s="29" t="s">
        <v>55</v>
      </c>
      <c r="Q25" s="24">
        <v>863</v>
      </c>
      <c r="R25" s="24">
        <v>1312</v>
      </c>
      <c r="S25" s="24">
        <v>2175</v>
      </c>
    </row>
    <row r="26" spans="9:19">
      <c r="O26" s="14">
        <v>15</v>
      </c>
      <c r="P26" s="29" t="s">
        <v>34</v>
      </c>
      <c r="Q26" s="24">
        <v>969</v>
      </c>
      <c r="R26" s="24">
        <v>1199</v>
      </c>
      <c r="S26" s="24">
        <v>2168</v>
      </c>
    </row>
    <row r="27" spans="9:19">
      <c r="O27" s="14">
        <v>16</v>
      </c>
      <c r="P27" s="29" t="s">
        <v>18</v>
      </c>
      <c r="Q27" s="24">
        <v>967</v>
      </c>
      <c r="R27" s="24">
        <v>1197</v>
      </c>
      <c r="S27" s="24">
        <v>2164</v>
      </c>
    </row>
    <row r="28" spans="9:19">
      <c r="O28" s="14">
        <v>17</v>
      </c>
      <c r="P28" s="29" t="s">
        <v>22</v>
      </c>
      <c r="Q28" s="24">
        <v>939</v>
      </c>
      <c r="R28" s="24">
        <v>1217</v>
      </c>
      <c r="S28" s="24">
        <v>2156</v>
      </c>
    </row>
    <row r="29" spans="9:19">
      <c r="O29" s="14">
        <v>18</v>
      </c>
      <c r="P29" s="29" t="s">
        <v>14</v>
      </c>
      <c r="Q29" s="24">
        <v>905</v>
      </c>
      <c r="R29" s="24">
        <v>1233</v>
      </c>
      <c r="S29" s="24">
        <v>2138</v>
      </c>
    </row>
    <row r="30" spans="9:19">
      <c r="O30" s="14">
        <v>19</v>
      </c>
      <c r="P30" s="29" t="s">
        <v>25</v>
      </c>
      <c r="Q30" s="24">
        <v>990</v>
      </c>
      <c r="R30" s="24">
        <v>1132</v>
      </c>
      <c r="S30" s="24">
        <v>2122</v>
      </c>
    </row>
    <row r="31" spans="9:19">
      <c r="O31" s="14">
        <v>20</v>
      </c>
      <c r="P31" s="29" t="s">
        <v>30</v>
      </c>
      <c r="Q31" s="24">
        <v>970</v>
      </c>
      <c r="R31" s="24">
        <v>1144</v>
      </c>
      <c r="S31" s="24">
        <v>2115</v>
      </c>
    </row>
    <row r="32" spans="9:19">
      <c r="O32" s="14">
        <v>21</v>
      </c>
      <c r="P32" s="29" t="s">
        <v>37</v>
      </c>
      <c r="Q32" s="24">
        <v>928</v>
      </c>
      <c r="R32" s="24">
        <v>1187</v>
      </c>
      <c r="S32" s="24">
        <v>2114</v>
      </c>
    </row>
    <row r="33" spans="4:20">
      <c r="O33" s="14">
        <v>22</v>
      </c>
      <c r="P33" s="29" t="s">
        <v>20</v>
      </c>
      <c r="Q33" s="24">
        <v>971</v>
      </c>
      <c r="R33" s="24">
        <v>1140</v>
      </c>
      <c r="S33" s="24">
        <v>2112</v>
      </c>
    </row>
    <row r="34" spans="4:20">
      <c r="O34" s="14">
        <v>23</v>
      </c>
      <c r="P34" s="29" t="s">
        <v>48</v>
      </c>
      <c r="Q34" s="24">
        <v>964</v>
      </c>
      <c r="R34" s="24">
        <v>1125</v>
      </c>
      <c r="S34" s="24">
        <v>2090</v>
      </c>
    </row>
    <row r="35" spans="4:20">
      <c r="O35" s="14">
        <v>24</v>
      </c>
      <c r="P35" s="29" t="s">
        <v>58</v>
      </c>
      <c r="Q35" s="24">
        <v>991</v>
      </c>
      <c r="R35" s="24">
        <v>1093</v>
      </c>
      <c r="S35" s="24">
        <v>2084</v>
      </c>
    </row>
    <row r="36" spans="4:20">
      <c r="O36" s="14">
        <v>25</v>
      </c>
      <c r="P36" s="29" t="s">
        <v>36</v>
      </c>
      <c r="Q36" s="24">
        <v>987</v>
      </c>
      <c r="R36" s="24">
        <v>1092</v>
      </c>
      <c r="S36" s="24">
        <v>2078</v>
      </c>
    </row>
    <row r="37" spans="4:20">
      <c r="D37" s="10" t="s">
        <v>67</v>
      </c>
      <c r="E37" s="10"/>
      <c r="F37" s="10"/>
      <c r="G37" s="10"/>
      <c r="H37" s="10"/>
      <c r="I37" s="11"/>
      <c r="J37" s="11"/>
      <c r="K37" s="11"/>
      <c r="L37" s="11"/>
      <c r="M37" s="11"/>
      <c r="O37" s="14">
        <v>26</v>
      </c>
      <c r="P37" s="29" t="s">
        <v>63</v>
      </c>
      <c r="Q37" s="24">
        <v>945</v>
      </c>
      <c r="R37" s="24">
        <v>1106</v>
      </c>
      <c r="S37" s="24">
        <v>2052</v>
      </c>
    </row>
    <row r="38" spans="4:20">
      <c r="D38" s="15"/>
      <c r="E38" s="39">
        <v>2014</v>
      </c>
      <c r="F38" s="40"/>
      <c r="G38" s="39">
        <v>2013</v>
      </c>
      <c r="H38" s="40"/>
      <c r="I38" s="39">
        <v>2012</v>
      </c>
      <c r="J38" s="40"/>
      <c r="K38" s="39">
        <v>2011</v>
      </c>
      <c r="L38" s="40"/>
      <c r="M38" s="16">
        <v>2010</v>
      </c>
      <c r="O38" s="14">
        <v>27</v>
      </c>
      <c r="P38" s="29" t="s">
        <v>24</v>
      </c>
      <c r="Q38" s="24">
        <v>916</v>
      </c>
      <c r="R38" s="24">
        <v>1135</v>
      </c>
      <c r="S38" s="24">
        <v>2051</v>
      </c>
    </row>
    <row r="39" spans="4:20">
      <c r="D39" s="17"/>
      <c r="E39" s="32" t="s">
        <v>65</v>
      </c>
      <c r="F39" s="32" t="s">
        <v>66</v>
      </c>
      <c r="G39" s="32" t="s">
        <v>65</v>
      </c>
      <c r="H39" s="32" t="s">
        <v>66</v>
      </c>
      <c r="I39" s="32" t="s">
        <v>65</v>
      </c>
      <c r="J39" s="32" t="s">
        <v>66</v>
      </c>
      <c r="K39" s="32" t="s">
        <v>65</v>
      </c>
      <c r="L39" s="32" t="s">
        <v>66</v>
      </c>
      <c r="M39" s="32" t="s">
        <v>65</v>
      </c>
      <c r="O39" s="14">
        <v>28</v>
      </c>
      <c r="P39" s="29" t="s">
        <v>61</v>
      </c>
      <c r="Q39" s="24">
        <v>881</v>
      </c>
      <c r="R39" s="24">
        <v>1170</v>
      </c>
      <c r="S39" s="24">
        <v>2051</v>
      </c>
    </row>
    <row r="40" spans="4:20" ht="15.75" customHeight="1">
      <c r="D40" s="15" t="s">
        <v>8</v>
      </c>
      <c r="E40" s="25">
        <f>Input!D13</f>
        <v>1877</v>
      </c>
      <c r="F40" s="20">
        <f>(E40-G40)/G40</f>
        <v>8.4971098265895953E-2</v>
      </c>
      <c r="G40" s="25">
        <f>Input!D12</f>
        <v>1730</v>
      </c>
      <c r="H40" s="20">
        <f>(G40-I40)/I40</f>
        <v>8.4639498432601878E-2</v>
      </c>
      <c r="I40" s="25">
        <f>Input!D11</f>
        <v>1595</v>
      </c>
      <c r="J40" s="20">
        <f>(I40-K40)/K40</f>
        <v>-1.1771995043370507E-2</v>
      </c>
      <c r="K40" s="25">
        <f>Input!D10</f>
        <v>1614</v>
      </c>
      <c r="L40" s="20">
        <f>(K40-M40)/M40</f>
        <v>0.10321257689678742</v>
      </c>
      <c r="M40" s="25">
        <f>Input!D9</f>
        <v>1463</v>
      </c>
      <c r="N40" s="11"/>
      <c r="O40" s="14">
        <v>29</v>
      </c>
      <c r="P40" s="29" t="s">
        <v>57</v>
      </c>
      <c r="Q40" s="24">
        <v>905</v>
      </c>
      <c r="R40" s="24">
        <v>1144</v>
      </c>
      <c r="S40" s="24">
        <v>2049</v>
      </c>
      <c r="T40" s="11"/>
    </row>
    <row r="41" spans="4:20">
      <c r="D41" s="15" t="s">
        <v>9</v>
      </c>
      <c r="E41" s="25">
        <f>Input!E13</f>
        <v>662</v>
      </c>
      <c r="F41" s="20">
        <f t="shared" ref="F41" si="0">(E41-G41)/G41</f>
        <v>-1.488095238095238E-2</v>
      </c>
      <c r="G41" s="25">
        <f>Input!E12</f>
        <v>672</v>
      </c>
      <c r="H41" s="20">
        <f t="shared" ref="H41" si="1">(G41-I41)/I41</f>
        <v>-0.6887447892542844</v>
      </c>
      <c r="I41" s="25">
        <f>Input!E11</f>
        <v>2159</v>
      </c>
      <c r="J41" s="20">
        <f t="shared" ref="J41:L42" si="2">(I41-K41)/K41</f>
        <v>-0.12092833876221498</v>
      </c>
      <c r="K41" s="25">
        <f>Input!E10</f>
        <v>2456</v>
      </c>
      <c r="L41" s="20">
        <f t="shared" si="2"/>
        <v>7.8612209046991649E-2</v>
      </c>
      <c r="M41" s="25">
        <f>Input!E9</f>
        <v>2277</v>
      </c>
      <c r="O41" s="14">
        <v>30</v>
      </c>
      <c r="P41" s="29" t="s">
        <v>54</v>
      </c>
      <c r="Q41" s="24">
        <v>963</v>
      </c>
      <c r="R41" s="24">
        <v>1085</v>
      </c>
      <c r="S41" s="24">
        <v>2048</v>
      </c>
    </row>
    <row r="42" spans="4:20">
      <c r="D42" s="15" t="s">
        <v>11</v>
      </c>
      <c r="E42" s="30">
        <f>E40+E41</f>
        <v>2539</v>
      </c>
      <c r="F42" s="31">
        <f t="shared" ref="F42" si="3">(E42-G42)/G42</f>
        <v>5.7035803497085764E-2</v>
      </c>
      <c r="G42" s="30">
        <f>G40+G41</f>
        <v>2402</v>
      </c>
      <c r="H42" s="31">
        <f t="shared" ref="H42" si="4">(G42-I42)/I42</f>
        <v>-0.36014917421417153</v>
      </c>
      <c r="I42" s="30">
        <f>I40+I41</f>
        <v>3754</v>
      </c>
      <c r="J42" s="31">
        <f t="shared" si="2"/>
        <v>-7.7641277641277637E-2</v>
      </c>
      <c r="K42" s="30">
        <f>K40+K41</f>
        <v>4070</v>
      </c>
      <c r="L42" s="31">
        <f t="shared" si="2"/>
        <v>8.8235294117647065E-2</v>
      </c>
      <c r="M42" s="30">
        <f>M40+M41</f>
        <v>3740</v>
      </c>
      <c r="O42" s="14">
        <v>31</v>
      </c>
      <c r="P42" s="29" t="s">
        <v>39</v>
      </c>
      <c r="Q42" s="24">
        <v>962</v>
      </c>
      <c r="R42" s="24">
        <v>1083</v>
      </c>
      <c r="S42" s="24">
        <v>2045</v>
      </c>
    </row>
    <row r="43" spans="4:20">
      <c r="O43" s="14">
        <v>32</v>
      </c>
      <c r="P43" s="29" t="s">
        <v>52</v>
      </c>
      <c r="Q43" s="24">
        <v>980</v>
      </c>
      <c r="R43" s="24">
        <v>1052</v>
      </c>
      <c r="S43" s="24">
        <v>2031</v>
      </c>
    </row>
    <row r="44" spans="4:20">
      <c r="O44" s="14">
        <v>33</v>
      </c>
      <c r="P44" s="29" t="s">
        <v>49</v>
      </c>
      <c r="Q44" s="24">
        <v>965</v>
      </c>
      <c r="R44" s="24">
        <v>1066</v>
      </c>
      <c r="S44" s="24">
        <v>2031</v>
      </c>
    </row>
    <row r="45" spans="4:20">
      <c r="O45" s="14">
        <v>34</v>
      </c>
      <c r="P45" s="29" t="s">
        <v>51</v>
      </c>
      <c r="Q45" s="24">
        <v>1054</v>
      </c>
      <c r="R45" s="24">
        <v>976</v>
      </c>
      <c r="S45" s="24">
        <v>2030</v>
      </c>
    </row>
    <row r="46" spans="4:20">
      <c r="D46" s="10" t="s">
        <v>83</v>
      </c>
      <c r="M46" s="28"/>
      <c r="O46" s="14">
        <v>35</v>
      </c>
      <c r="P46" s="29" t="s">
        <v>38</v>
      </c>
      <c r="Q46" s="24">
        <v>951</v>
      </c>
      <c r="R46" s="24">
        <v>1073</v>
      </c>
      <c r="S46" s="24">
        <v>2023</v>
      </c>
    </row>
    <row r="47" spans="4:20">
      <c r="D47" s="41" t="s">
        <v>74</v>
      </c>
      <c r="E47" s="42"/>
      <c r="F47" s="42"/>
      <c r="G47" s="42"/>
      <c r="H47" s="21"/>
      <c r="I47" s="42" t="s">
        <v>9</v>
      </c>
      <c r="J47" s="42"/>
      <c r="K47" s="42"/>
      <c r="L47" s="42"/>
      <c r="M47" s="43"/>
      <c r="O47" s="14">
        <v>36</v>
      </c>
      <c r="P47" s="29" t="s">
        <v>35</v>
      </c>
      <c r="Q47" s="24">
        <v>927</v>
      </c>
      <c r="R47" s="24">
        <v>1067</v>
      </c>
      <c r="S47" s="24">
        <v>1994</v>
      </c>
    </row>
    <row r="48" spans="4:20">
      <c r="D48" s="22" t="s">
        <v>75</v>
      </c>
      <c r="E48" s="23"/>
      <c r="F48" s="23"/>
      <c r="G48" s="26">
        <v>958</v>
      </c>
      <c r="H48" s="23"/>
      <c r="I48" s="23" t="s">
        <v>71</v>
      </c>
      <c r="J48" s="23"/>
      <c r="K48" s="23"/>
      <c r="L48" s="23"/>
      <c r="M48" s="27">
        <v>464</v>
      </c>
      <c r="O48" s="14">
        <v>37</v>
      </c>
      <c r="P48" s="29" t="s">
        <v>29</v>
      </c>
      <c r="Q48" s="24">
        <v>881</v>
      </c>
      <c r="R48" s="24">
        <v>1097</v>
      </c>
      <c r="S48" s="24">
        <v>1978</v>
      </c>
    </row>
    <row r="49" spans="4:20">
      <c r="D49" s="22" t="s">
        <v>68</v>
      </c>
      <c r="E49" s="23"/>
      <c r="F49" s="23"/>
      <c r="G49" s="26">
        <v>370</v>
      </c>
      <c r="H49" s="23"/>
      <c r="I49" s="23" t="s">
        <v>80</v>
      </c>
      <c r="J49" s="23"/>
      <c r="K49" s="23"/>
      <c r="L49" s="23"/>
      <c r="M49" s="27">
        <v>947</v>
      </c>
      <c r="O49" s="14">
        <v>38</v>
      </c>
      <c r="P49" s="29" t="s">
        <v>43</v>
      </c>
      <c r="Q49" s="24">
        <v>946</v>
      </c>
      <c r="R49" s="24">
        <v>1013</v>
      </c>
      <c r="S49" s="24">
        <v>1958</v>
      </c>
    </row>
    <row r="50" spans="4:20">
      <c r="D50" s="22" t="s">
        <v>76</v>
      </c>
      <c r="E50" s="23"/>
      <c r="F50" s="23"/>
      <c r="G50" s="26">
        <v>58</v>
      </c>
      <c r="H50" s="23"/>
      <c r="I50" s="23" t="s">
        <v>81</v>
      </c>
      <c r="J50" s="23"/>
      <c r="K50" s="23"/>
      <c r="L50" s="23"/>
      <c r="M50" s="27">
        <v>24</v>
      </c>
      <c r="O50" s="14">
        <v>39</v>
      </c>
      <c r="P50" s="29" t="s">
        <v>21</v>
      </c>
      <c r="Q50" s="24">
        <v>903</v>
      </c>
      <c r="R50" s="24">
        <v>1055</v>
      </c>
      <c r="S50" s="24">
        <v>1957</v>
      </c>
    </row>
    <row r="51" spans="4:20">
      <c r="D51" s="22" t="s">
        <v>77</v>
      </c>
      <c r="E51" s="23"/>
      <c r="F51" s="23"/>
      <c r="G51" s="26">
        <v>858</v>
      </c>
      <c r="H51" s="23"/>
      <c r="I51" s="23" t="s">
        <v>82</v>
      </c>
      <c r="J51" s="23"/>
      <c r="K51" s="23"/>
      <c r="L51" s="23"/>
      <c r="M51" s="27">
        <v>10</v>
      </c>
      <c r="O51" s="14">
        <v>40</v>
      </c>
      <c r="P51" s="29" t="s">
        <v>40</v>
      </c>
      <c r="Q51" s="24">
        <v>939</v>
      </c>
      <c r="R51" s="24">
        <v>1018</v>
      </c>
      <c r="S51" s="24">
        <v>1957</v>
      </c>
    </row>
    <row r="52" spans="4:20">
      <c r="D52" s="22" t="s">
        <v>69</v>
      </c>
      <c r="E52" s="23"/>
      <c r="F52" s="23"/>
      <c r="G52" s="26">
        <v>945</v>
      </c>
      <c r="H52" s="23"/>
      <c r="I52" s="23" t="s">
        <v>72</v>
      </c>
      <c r="J52" s="23"/>
      <c r="K52" s="23"/>
      <c r="L52" s="23"/>
      <c r="M52" s="36" t="s">
        <v>86</v>
      </c>
      <c r="O52" s="14">
        <v>41</v>
      </c>
      <c r="P52" s="29" t="s">
        <v>46</v>
      </c>
      <c r="Q52" s="24">
        <v>932</v>
      </c>
      <c r="R52" s="24">
        <v>1016</v>
      </c>
      <c r="S52" s="24">
        <v>1948</v>
      </c>
    </row>
    <row r="53" spans="4:20">
      <c r="D53" s="22" t="s">
        <v>78</v>
      </c>
      <c r="E53" s="23"/>
      <c r="F53" s="23"/>
      <c r="G53" s="26">
        <v>78</v>
      </c>
      <c r="H53" s="23"/>
      <c r="I53" s="33" t="s">
        <v>73</v>
      </c>
      <c r="J53" s="33"/>
      <c r="K53" s="33"/>
      <c r="L53" s="33"/>
      <c r="M53" s="35">
        <v>840</v>
      </c>
      <c r="O53" s="14">
        <v>42</v>
      </c>
      <c r="P53" s="29" t="s">
        <v>41</v>
      </c>
      <c r="Q53" s="24">
        <v>967</v>
      </c>
      <c r="R53" s="24">
        <v>979</v>
      </c>
      <c r="S53" s="24">
        <v>1946</v>
      </c>
    </row>
    <row r="54" spans="4:20">
      <c r="D54" s="22" t="s">
        <v>70</v>
      </c>
      <c r="E54" s="23"/>
      <c r="F54" s="23"/>
      <c r="G54" s="26">
        <v>150</v>
      </c>
      <c r="H54" s="23"/>
      <c r="I54" s="23"/>
      <c r="J54" s="23"/>
      <c r="K54" s="23"/>
      <c r="L54" s="23"/>
      <c r="M54" s="35"/>
      <c r="O54" s="14">
        <v>43</v>
      </c>
      <c r="P54" s="29" t="s">
        <v>50</v>
      </c>
      <c r="Q54" s="24">
        <v>894</v>
      </c>
      <c r="R54" s="24">
        <v>1033</v>
      </c>
      <c r="S54" s="24">
        <v>1927</v>
      </c>
    </row>
    <row r="55" spans="4:20">
      <c r="D55" s="22" t="s">
        <v>79</v>
      </c>
      <c r="E55" s="23"/>
      <c r="F55" s="23"/>
      <c r="G55" s="26">
        <v>90</v>
      </c>
      <c r="H55" s="23"/>
      <c r="I55" s="23"/>
      <c r="J55" s="23"/>
      <c r="K55" s="23"/>
      <c r="L55" s="23"/>
      <c r="M55" s="38"/>
      <c r="O55" s="14">
        <v>44</v>
      </c>
      <c r="P55" s="29" t="s">
        <v>45</v>
      </c>
      <c r="Q55" s="24">
        <v>949</v>
      </c>
      <c r="R55" s="24">
        <v>958</v>
      </c>
      <c r="S55" s="24">
        <v>1907</v>
      </c>
    </row>
    <row r="56" spans="4:20">
      <c r="O56" s="14">
        <v>45</v>
      </c>
      <c r="P56" s="29" t="s">
        <v>47</v>
      </c>
      <c r="Q56" s="24">
        <v>915</v>
      </c>
      <c r="R56" s="24">
        <v>990</v>
      </c>
      <c r="S56" s="24">
        <v>1905</v>
      </c>
      <c r="T56" s="7"/>
    </row>
    <row r="57" spans="4:20">
      <c r="O57" s="14">
        <v>46</v>
      </c>
      <c r="P57" s="29" t="s">
        <v>17</v>
      </c>
      <c r="Q57" s="24">
        <v>893</v>
      </c>
      <c r="R57" s="24">
        <v>999</v>
      </c>
      <c r="S57" s="24">
        <v>1892</v>
      </c>
      <c r="T57" s="7"/>
    </row>
    <row r="58" spans="4:20">
      <c r="O58" s="14">
        <v>47</v>
      </c>
      <c r="P58" s="29" t="s">
        <v>28</v>
      </c>
      <c r="Q58" s="24">
        <v>976</v>
      </c>
      <c r="R58" s="24">
        <v>915</v>
      </c>
      <c r="S58" s="24">
        <v>1891</v>
      </c>
      <c r="T58" s="8"/>
    </row>
    <row r="59" spans="4:20">
      <c r="O59" s="14">
        <v>48</v>
      </c>
      <c r="P59" s="29" t="s">
        <v>33</v>
      </c>
      <c r="Q59" s="24">
        <v>890</v>
      </c>
      <c r="R59" s="24">
        <v>957</v>
      </c>
      <c r="S59" s="24">
        <v>1847</v>
      </c>
    </row>
    <row r="60" spans="4:20">
      <c r="O60" s="14">
        <v>49</v>
      </c>
      <c r="P60" s="29" t="s">
        <v>16</v>
      </c>
      <c r="Q60" s="24">
        <v>902</v>
      </c>
      <c r="R60" s="24">
        <v>916</v>
      </c>
      <c r="S60" s="24">
        <v>1817</v>
      </c>
    </row>
    <row r="61" spans="4:20">
      <c r="O61" s="14">
        <v>50</v>
      </c>
      <c r="P61" s="29" t="s">
        <v>59</v>
      </c>
      <c r="Q61" s="24">
        <v>912</v>
      </c>
      <c r="R61" s="24">
        <v>902</v>
      </c>
      <c r="S61" s="24">
        <v>1814</v>
      </c>
    </row>
    <row r="62" spans="4:20">
      <c r="O62" s="14">
        <v>51</v>
      </c>
      <c r="P62" s="29" t="s">
        <v>32</v>
      </c>
      <c r="Q62" s="24">
        <v>973</v>
      </c>
      <c r="R62" s="24">
        <v>762</v>
      </c>
      <c r="S62" s="24">
        <v>1734</v>
      </c>
    </row>
  </sheetData>
  <mergeCells count="6">
    <mergeCell ref="E38:F38"/>
    <mergeCell ref="G38:H38"/>
    <mergeCell ref="I38:J38"/>
    <mergeCell ref="K38:L38"/>
    <mergeCell ref="D47:G47"/>
    <mergeCell ref="I47:M47"/>
  </mergeCells>
  <conditionalFormatting sqref="F40:F42 H40:H42 J40:J42 L40:L42">
    <cfRule type="colorScale" priority="1">
      <colorScale>
        <cfvo type="min"/>
        <cfvo type="num" val="0"/>
        <cfvo type="max"/>
        <color theme="9" tint="0.79998168889431442"/>
        <color theme="0"/>
        <color theme="4" tint="0.79998168889431442"/>
      </colorScale>
    </cfRule>
    <cfRule type="colorScale" priority="2">
      <colorScale>
        <cfvo type="min"/>
        <cfvo type="max"/>
        <color theme="9" tint="0.79998168889431442"/>
        <color theme="4" tint="0.79998168889431442"/>
      </colorScale>
    </cfRule>
    <cfRule type="colorScale" priority="5">
      <colorScale>
        <cfvo type="min"/>
        <cfvo type="num" val="0"/>
        <cfvo type="max"/>
        <color theme="9" tint="0.59999389629810485"/>
        <color theme="0"/>
        <color theme="4" tint="0.59999389629810485"/>
      </colorScale>
    </cfRule>
  </conditionalFormatting>
  <conditionalFormatting sqref="Q12:Q62">
    <cfRule type="colorScale" priority="4">
      <colorScale>
        <cfvo type="min"/>
        <cfvo type="max"/>
        <color theme="0"/>
        <color theme="4" tint="0.39997558519241921"/>
      </colorScale>
    </cfRule>
  </conditionalFormatting>
  <conditionalFormatting sqref="R12:R62">
    <cfRule type="colorScale" priority="3">
      <colorScale>
        <cfvo type="min"/>
        <cfvo type="max"/>
        <color theme="0"/>
        <color theme="4" tint="0.39997558519241921"/>
      </colorScale>
    </cfRule>
  </conditionalFormatting>
  <dataValidations count="2">
    <dataValidation type="list" allowBlank="1" showInputMessage="1" showErrorMessage="1" sqref="Y1">
      <formula1>"Yes, No"</formula1>
    </dataValidation>
    <dataValidation type="list" allowBlank="1" showInputMessage="1" showErrorMessage="1" sqref="W1">
      <formula1>"PROD, DEV"</formula1>
    </dataValidation>
  </dataValidations>
  <pageMargins left="0.25" right="0.25" top="0.255" bottom="0.25" header="0.1" footer="0.1"/>
  <pageSetup scale="60" orientation="landscape" horizontalDpi="1200" verticalDpi="1200" r:id="rId1"/>
  <headerFooter scaleWithDoc="0">
    <oddHeader>&amp;L&amp;G&amp;C&amp;"-,Bold"&amp;10&amp;K2E398A
&amp;15Average Closing Cost&amp;R&amp;"-,Bold"&amp;10&amp;K2E398A
As of 05/12/2017</oddHeader>
    <oddFooter>&amp;L&amp;10&amp;K2E398AReport created on &amp;D &amp;T&amp;C&amp;G
&amp;8&amp;K2E398APage &amp;P of &amp;N</oddFooter>
  </headerFooter>
  <colBreaks count="1" manualBreakCount="1">
    <brk id="21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S55"/>
  <sheetViews>
    <sheetView workbookViewId="0">
      <selection activeCell="R19" sqref="R19"/>
    </sheetView>
  </sheetViews>
  <sheetFormatPr defaultRowHeight="15"/>
  <cols>
    <col min="2" max="2" width="25.85546875" style="2" bestFit="1" customWidth="1"/>
    <col min="4" max="5" width="27" customWidth="1"/>
    <col min="6" max="6" width="25.7109375" bestFit="1" customWidth="1"/>
    <col min="12" max="12" width="12.85546875" customWidth="1"/>
    <col min="18" max="18" width="36.7109375" bestFit="1" customWidth="1"/>
    <col min="19" max="19" width="7.28515625" customWidth="1"/>
  </cols>
  <sheetData>
    <row r="3" spans="3:19">
      <c r="C3" s="9"/>
      <c r="D3" s="44" t="s">
        <v>10</v>
      </c>
      <c r="E3" s="44"/>
      <c r="F3" s="44"/>
      <c r="J3" t="s">
        <v>84</v>
      </c>
    </row>
    <row r="4" spans="3:19">
      <c r="D4" t="s">
        <v>8</v>
      </c>
      <c r="E4" t="s">
        <v>9</v>
      </c>
      <c r="F4" t="s">
        <v>11</v>
      </c>
      <c r="J4" t="s">
        <v>64</v>
      </c>
      <c r="K4" t="s">
        <v>12</v>
      </c>
      <c r="L4" t="s">
        <v>8</v>
      </c>
      <c r="M4" t="s">
        <v>9</v>
      </c>
      <c r="N4" t="s">
        <v>11</v>
      </c>
      <c r="R4" t="s">
        <v>74</v>
      </c>
    </row>
    <row r="5" spans="3:19">
      <c r="C5">
        <v>2005</v>
      </c>
      <c r="F5">
        <v>2748</v>
      </c>
      <c r="J5">
        <v>1</v>
      </c>
      <c r="K5" t="s">
        <v>53</v>
      </c>
      <c r="L5" s="34">
        <v>1021</v>
      </c>
      <c r="M5" s="34">
        <v>1627</v>
      </c>
      <c r="N5" s="34">
        <v>2648</v>
      </c>
      <c r="R5" t="s">
        <v>75</v>
      </c>
      <c r="S5" s="13">
        <v>958</v>
      </c>
    </row>
    <row r="6" spans="3:19">
      <c r="C6">
        <v>2006</v>
      </c>
      <c r="F6">
        <v>3024</v>
      </c>
      <c r="J6">
        <v>2</v>
      </c>
      <c r="K6" t="s">
        <v>15</v>
      </c>
      <c r="L6" s="34">
        <v>1041</v>
      </c>
      <c r="M6" s="34">
        <v>1450</v>
      </c>
      <c r="N6" s="34">
        <v>2490</v>
      </c>
      <c r="R6" t="s">
        <v>68</v>
      </c>
      <c r="S6" s="13">
        <v>370</v>
      </c>
    </row>
    <row r="7" spans="3:19">
      <c r="C7">
        <v>2007</v>
      </c>
      <c r="F7">
        <v>2736</v>
      </c>
      <c r="J7" s="34">
        <v>3</v>
      </c>
      <c r="K7" t="s">
        <v>31</v>
      </c>
      <c r="L7" s="34">
        <v>950</v>
      </c>
      <c r="M7" s="34">
        <v>1408</v>
      </c>
      <c r="N7" s="34">
        <v>2358</v>
      </c>
      <c r="R7" t="s">
        <v>76</v>
      </c>
      <c r="S7" s="13">
        <v>58</v>
      </c>
    </row>
    <row r="8" spans="3:19">
      <c r="C8">
        <v>2008</v>
      </c>
      <c r="F8">
        <v>3118</v>
      </c>
      <c r="J8" s="34">
        <v>4</v>
      </c>
      <c r="K8" t="s">
        <v>44</v>
      </c>
      <c r="L8" s="34">
        <v>1085</v>
      </c>
      <c r="M8" s="34">
        <v>1237</v>
      </c>
      <c r="N8" s="34">
        <v>2323</v>
      </c>
      <c r="R8" t="s">
        <v>77</v>
      </c>
      <c r="S8" s="13">
        <v>858</v>
      </c>
    </row>
    <row r="9" spans="3:19">
      <c r="C9">
        <v>2010</v>
      </c>
      <c r="D9">
        <v>1463</v>
      </c>
      <c r="E9">
        <v>2277</v>
      </c>
      <c r="J9" s="34">
        <v>5</v>
      </c>
      <c r="K9" t="s">
        <v>26</v>
      </c>
      <c r="L9" s="34">
        <v>949</v>
      </c>
      <c r="M9" s="34">
        <v>1327</v>
      </c>
      <c r="N9" s="34">
        <v>2275</v>
      </c>
      <c r="R9" t="s">
        <v>69</v>
      </c>
      <c r="S9" s="13">
        <v>945</v>
      </c>
    </row>
    <row r="10" spans="3:19">
      <c r="C10">
        <v>2011</v>
      </c>
      <c r="D10">
        <v>1614</v>
      </c>
      <c r="E10">
        <v>2456</v>
      </c>
      <c r="J10" s="34">
        <v>6</v>
      </c>
      <c r="K10" t="s">
        <v>23</v>
      </c>
      <c r="L10" s="34">
        <v>939</v>
      </c>
      <c r="M10" s="34">
        <v>1334</v>
      </c>
      <c r="N10" s="34">
        <v>2274</v>
      </c>
      <c r="R10" t="s">
        <v>78</v>
      </c>
      <c r="S10" s="13">
        <v>78</v>
      </c>
    </row>
    <row r="11" spans="3:19">
      <c r="C11">
        <v>2012</v>
      </c>
      <c r="D11">
        <v>1595</v>
      </c>
      <c r="E11">
        <v>2159</v>
      </c>
      <c r="J11" s="34">
        <v>7</v>
      </c>
      <c r="K11" t="s">
        <v>42</v>
      </c>
      <c r="L11" s="34">
        <v>966</v>
      </c>
      <c r="M11" s="34">
        <v>1288</v>
      </c>
      <c r="N11" s="34">
        <v>2254</v>
      </c>
      <c r="R11" t="s">
        <v>70</v>
      </c>
      <c r="S11" s="13">
        <v>150</v>
      </c>
    </row>
    <row r="12" spans="3:19">
      <c r="C12">
        <v>2013</v>
      </c>
      <c r="D12">
        <v>1730</v>
      </c>
      <c r="E12">
        <v>672</v>
      </c>
      <c r="J12" s="34">
        <v>8</v>
      </c>
      <c r="K12" t="s">
        <v>56</v>
      </c>
      <c r="L12" s="34">
        <v>915</v>
      </c>
      <c r="M12" s="34">
        <v>1327</v>
      </c>
      <c r="N12" s="34">
        <v>2242</v>
      </c>
      <c r="R12" t="s">
        <v>79</v>
      </c>
      <c r="S12" s="13">
        <v>90</v>
      </c>
    </row>
    <row r="13" spans="3:19">
      <c r="C13">
        <v>2014</v>
      </c>
      <c r="D13">
        <v>1877</v>
      </c>
      <c r="E13">
        <v>662</v>
      </c>
      <c r="J13" s="34">
        <v>9</v>
      </c>
      <c r="K13" t="s">
        <v>27</v>
      </c>
      <c r="L13" s="34">
        <v>1030</v>
      </c>
      <c r="M13" s="34">
        <v>1196</v>
      </c>
      <c r="N13" s="34">
        <v>2225</v>
      </c>
      <c r="R13" t="s">
        <v>9</v>
      </c>
    </row>
    <row r="14" spans="3:19">
      <c r="J14" s="34">
        <v>10</v>
      </c>
      <c r="K14" t="s">
        <v>62</v>
      </c>
      <c r="L14" s="34">
        <v>919</v>
      </c>
      <c r="M14" s="34">
        <v>1293</v>
      </c>
      <c r="N14" s="34">
        <v>2213</v>
      </c>
      <c r="R14" t="s">
        <v>71</v>
      </c>
      <c r="S14" s="13">
        <v>464</v>
      </c>
    </row>
    <row r="15" spans="3:19">
      <c r="J15" s="34">
        <v>11</v>
      </c>
      <c r="K15" t="s">
        <v>60</v>
      </c>
      <c r="L15" s="34">
        <v>927</v>
      </c>
      <c r="M15" s="34">
        <v>1287</v>
      </c>
      <c r="N15" s="34">
        <v>2213</v>
      </c>
      <c r="R15" t="s">
        <v>80</v>
      </c>
      <c r="S15" s="13">
        <v>947</v>
      </c>
    </row>
    <row r="16" spans="3:19">
      <c r="J16" s="34">
        <v>12</v>
      </c>
      <c r="K16" t="s">
        <v>19</v>
      </c>
      <c r="L16" s="34">
        <v>1050</v>
      </c>
      <c r="M16" s="34">
        <v>1157</v>
      </c>
      <c r="N16" s="34">
        <v>2206</v>
      </c>
      <c r="R16" t="s">
        <v>81</v>
      </c>
      <c r="S16" s="13">
        <v>24</v>
      </c>
    </row>
    <row r="17" spans="3:19">
      <c r="J17" s="34">
        <v>13</v>
      </c>
      <c r="K17" t="s">
        <v>13</v>
      </c>
      <c r="L17" s="34">
        <v>983</v>
      </c>
      <c r="M17" s="34">
        <v>1203</v>
      </c>
      <c r="N17" s="34">
        <v>2186</v>
      </c>
      <c r="R17" t="s">
        <v>82</v>
      </c>
      <c r="S17" s="13">
        <v>10</v>
      </c>
    </row>
    <row r="18" spans="3:19">
      <c r="J18" s="34">
        <v>14</v>
      </c>
      <c r="K18" t="s">
        <v>55</v>
      </c>
      <c r="L18" s="34">
        <v>863</v>
      </c>
      <c r="M18" s="34">
        <v>1312</v>
      </c>
      <c r="N18" s="34">
        <v>2175</v>
      </c>
      <c r="R18" t="s">
        <v>72</v>
      </c>
      <c r="S18" s="37" t="s">
        <v>86</v>
      </c>
    </row>
    <row r="19" spans="3:19">
      <c r="J19" s="34">
        <v>15</v>
      </c>
      <c r="K19" t="s">
        <v>34</v>
      </c>
      <c r="L19" s="34">
        <v>969</v>
      </c>
      <c r="M19" s="34">
        <v>1199</v>
      </c>
      <c r="N19" s="34">
        <v>2168</v>
      </c>
      <c r="R19" t="s">
        <v>73</v>
      </c>
      <c r="S19" s="13">
        <v>840</v>
      </c>
    </row>
    <row r="20" spans="3:19">
      <c r="J20" s="34">
        <v>16</v>
      </c>
      <c r="K20" t="s">
        <v>18</v>
      </c>
      <c r="L20" s="34">
        <v>967</v>
      </c>
      <c r="M20" s="34">
        <v>1197</v>
      </c>
      <c r="N20" s="34">
        <v>2164</v>
      </c>
    </row>
    <row r="21" spans="3:19">
      <c r="J21" s="34">
        <v>17</v>
      </c>
      <c r="K21" t="s">
        <v>22</v>
      </c>
      <c r="L21" s="34">
        <v>939</v>
      </c>
      <c r="M21" s="34">
        <v>1217</v>
      </c>
      <c r="N21" s="34">
        <v>2156</v>
      </c>
    </row>
    <row r="22" spans="3:19">
      <c r="J22" s="34">
        <v>18</v>
      </c>
      <c r="K22" t="s">
        <v>14</v>
      </c>
      <c r="L22" s="34">
        <v>905</v>
      </c>
      <c r="M22" s="34">
        <v>1233</v>
      </c>
      <c r="N22" s="34">
        <v>2138</v>
      </c>
    </row>
    <row r="23" spans="3:19">
      <c r="C23">
        <v>2003</v>
      </c>
      <c r="F23">
        <v>3350</v>
      </c>
      <c r="J23" s="34">
        <v>19</v>
      </c>
      <c r="K23" t="s">
        <v>25</v>
      </c>
      <c r="L23" s="34">
        <v>990</v>
      </c>
      <c r="M23" s="34">
        <v>1132</v>
      </c>
      <c r="N23" s="34">
        <v>2122</v>
      </c>
    </row>
    <row r="24" spans="3:19">
      <c r="C24">
        <v>2004</v>
      </c>
      <c r="F24">
        <v>6880</v>
      </c>
      <c r="J24" s="34">
        <v>20</v>
      </c>
      <c r="K24" t="s">
        <v>30</v>
      </c>
      <c r="L24" s="34">
        <v>970</v>
      </c>
      <c r="M24" s="34">
        <v>1144</v>
      </c>
      <c r="N24" s="34">
        <v>2115</v>
      </c>
    </row>
    <row r="25" spans="3:19">
      <c r="J25" s="34">
        <v>21</v>
      </c>
      <c r="K25" t="s">
        <v>37</v>
      </c>
      <c r="L25" s="34">
        <v>928</v>
      </c>
      <c r="M25" s="34">
        <v>1187</v>
      </c>
      <c r="N25" s="34">
        <v>2114</v>
      </c>
    </row>
    <row r="26" spans="3:19">
      <c r="J26" s="34">
        <v>22</v>
      </c>
      <c r="K26" t="s">
        <v>20</v>
      </c>
      <c r="L26" s="34">
        <v>971</v>
      </c>
      <c r="M26" s="34">
        <v>1140</v>
      </c>
      <c r="N26" s="34">
        <v>2112</v>
      </c>
    </row>
    <row r="27" spans="3:19">
      <c r="J27" s="34">
        <v>23</v>
      </c>
      <c r="K27" t="s">
        <v>48</v>
      </c>
      <c r="L27" s="34">
        <v>964</v>
      </c>
      <c r="M27" s="34">
        <v>1125</v>
      </c>
      <c r="N27" s="34">
        <v>2090</v>
      </c>
    </row>
    <row r="28" spans="3:19">
      <c r="J28" s="34">
        <v>24</v>
      </c>
      <c r="K28" t="s">
        <v>58</v>
      </c>
      <c r="L28" s="34">
        <v>991</v>
      </c>
      <c r="M28" s="34">
        <v>1093</v>
      </c>
      <c r="N28" s="34">
        <v>2084</v>
      </c>
    </row>
    <row r="29" spans="3:19">
      <c r="J29" s="34">
        <v>25</v>
      </c>
      <c r="K29" t="s">
        <v>36</v>
      </c>
      <c r="L29" s="34">
        <v>987</v>
      </c>
      <c r="M29" s="34">
        <v>1092</v>
      </c>
      <c r="N29" s="34">
        <v>2078</v>
      </c>
    </row>
    <row r="30" spans="3:19">
      <c r="J30" s="34">
        <v>26</v>
      </c>
      <c r="K30" t="s">
        <v>63</v>
      </c>
      <c r="L30" s="34">
        <v>945</v>
      </c>
      <c r="M30" s="34">
        <v>1106</v>
      </c>
      <c r="N30" s="34">
        <v>2052</v>
      </c>
    </row>
    <row r="31" spans="3:19">
      <c r="J31" s="34">
        <v>27</v>
      </c>
      <c r="K31" t="s">
        <v>24</v>
      </c>
      <c r="L31" s="34">
        <v>916</v>
      </c>
      <c r="M31" s="34">
        <v>1135</v>
      </c>
      <c r="N31" s="34">
        <v>2051</v>
      </c>
    </row>
    <row r="32" spans="3:19">
      <c r="J32" s="34">
        <v>28</v>
      </c>
      <c r="K32" t="s">
        <v>61</v>
      </c>
      <c r="L32" s="34">
        <v>881</v>
      </c>
      <c r="M32" s="34">
        <v>1170</v>
      </c>
      <c r="N32" s="34">
        <v>2051</v>
      </c>
    </row>
    <row r="33" spans="10:14">
      <c r="J33" s="34">
        <v>29</v>
      </c>
      <c r="K33" t="s">
        <v>57</v>
      </c>
      <c r="L33" s="34">
        <v>905</v>
      </c>
      <c r="M33" s="34">
        <v>1144</v>
      </c>
      <c r="N33" s="34">
        <v>2049</v>
      </c>
    </row>
    <row r="34" spans="10:14">
      <c r="J34" s="34">
        <v>30</v>
      </c>
      <c r="K34" t="s">
        <v>54</v>
      </c>
      <c r="L34" s="34">
        <v>963</v>
      </c>
      <c r="M34" s="34">
        <v>1085</v>
      </c>
      <c r="N34" s="34">
        <v>2048</v>
      </c>
    </row>
    <row r="35" spans="10:14">
      <c r="J35" s="34">
        <v>31</v>
      </c>
      <c r="K35" t="s">
        <v>39</v>
      </c>
      <c r="L35" s="34">
        <v>962</v>
      </c>
      <c r="M35" s="34">
        <v>1083</v>
      </c>
      <c r="N35" s="34">
        <v>2045</v>
      </c>
    </row>
    <row r="36" spans="10:14">
      <c r="J36" s="34">
        <v>32</v>
      </c>
      <c r="K36" t="s">
        <v>52</v>
      </c>
      <c r="L36" s="34">
        <v>980</v>
      </c>
      <c r="M36" s="34">
        <v>1052</v>
      </c>
      <c r="N36" s="34">
        <v>2031</v>
      </c>
    </row>
    <row r="37" spans="10:14">
      <c r="J37" s="34">
        <v>33</v>
      </c>
      <c r="K37" t="s">
        <v>49</v>
      </c>
      <c r="L37" s="34">
        <v>965</v>
      </c>
      <c r="M37" s="34">
        <v>1066</v>
      </c>
      <c r="N37" s="34">
        <v>2031</v>
      </c>
    </row>
    <row r="38" spans="10:14">
      <c r="J38" s="34">
        <v>34</v>
      </c>
      <c r="K38" t="s">
        <v>51</v>
      </c>
      <c r="L38" s="34">
        <v>1054</v>
      </c>
      <c r="M38" s="34">
        <v>976</v>
      </c>
      <c r="N38" s="34">
        <v>2030</v>
      </c>
    </row>
    <row r="39" spans="10:14">
      <c r="J39" s="34">
        <v>35</v>
      </c>
      <c r="K39" t="s">
        <v>38</v>
      </c>
      <c r="L39" s="34">
        <v>951</v>
      </c>
      <c r="M39" s="34">
        <v>1073</v>
      </c>
      <c r="N39" s="34">
        <v>2023</v>
      </c>
    </row>
    <row r="40" spans="10:14">
      <c r="J40" s="34">
        <v>36</v>
      </c>
      <c r="K40" t="s">
        <v>35</v>
      </c>
      <c r="L40" s="34">
        <v>927</v>
      </c>
      <c r="M40" s="34">
        <v>1067</v>
      </c>
      <c r="N40" s="34">
        <v>1994</v>
      </c>
    </row>
    <row r="41" spans="10:14">
      <c r="J41" s="34">
        <v>37</v>
      </c>
      <c r="K41" t="s">
        <v>29</v>
      </c>
      <c r="L41" s="34">
        <v>881</v>
      </c>
      <c r="M41" s="34">
        <v>1097</v>
      </c>
      <c r="N41" s="34">
        <v>1978</v>
      </c>
    </row>
    <row r="42" spans="10:14">
      <c r="J42" s="34">
        <v>38</v>
      </c>
      <c r="K42" t="s">
        <v>43</v>
      </c>
      <c r="L42" s="34">
        <v>946</v>
      </c>
      <c r="M42" s="34">
        <v>1013</v>
      </c>
      <c r="N42" s="34">
        <v>1958</v>
      </c>
    </row>
    <row r="43" spans="10:14">
      <c r="J43" s="34">
        <v>39</v>
      </c>
      <c r="K43" t="s">
        <v>21</v>
      </c>
      <c r="L43" s="34">
        <v>903</v>
      </c>
      <c r="M43" s="34">
        <v>1055</v>
      </c>
      <c r="N43" s="34">
        <v>1957</v>
      </c>
    </row>
    <row r="44" spans="10:14">
      <c r="J44" s="34">
        <v>40</v>
      </c>
      <c r="K44" t="s">
        <v>40</v>
      </c>
      <c r="L44" s="34">
        <v>939</v>
      </c>
      <c r="M44" s="34">
        <v>1018</v>
      </c>
      <c r="N44" s="34">
        <v>1957</v>
      </c>
    </row>
    <row r="45" spans="10:14">
      <c r="J45" s="34">
        <v>41</v>
      </c>
      <c r="K45" t="s">
        <v>46</v>
      </c>
      <c r="L45" s="34">
        <v>932</v>
      </c>
      <c r="M45" s="34">
        <v>1016</v>
      </c>
      <c r="N45" s="34">
        <v>1948</v>
      </c>
    </row>
    <row r="46" spans="10:14">
      <c r="J46" s="34">
        <v>42</v>
      </c>
      <c r="K46" t="s">
        <v>41</v>
      </c>
      <c r="L46" s="34">
        <v>967</v>
      </c>
      <c r="M46" s="34">
        <v>979</v>
      </c>
      <c r="N46" s="34">
        <v>1946</v>
      </c>
    </row>
    <row r="47" spans="10:14">
      <c r="J47" s="34">
        <v>43</v>
      </c>
      <c r="K47" t="s">
        <v>50</v>
      </c>
      <c r="L47" s="34">
        <v>894</v>
      </c>
      <c r="M47" s="34">
        <v>1033</v>
      </c>
      <c r="N47" s="34">
        <v>1927</v>
      </c>
    </row>
    <row r="48" spans="10:14">
      <c r="J48" s="34">
        <v>44</v>
      </c>
      <c r="K48" t="s">
        <v>45</v>
      </c>
      <c r="L48" s="34">
        <v>949</v>
      </c>
      <c r="M48" s="34">
        <v>958</v>
      </c>
      <c r="N48" s="34">
        <v>1907</v>
      </c>
    </row>
    <row r="49" spans="10:14">
      <c r="J49" s="34">
        <v>45</v>
      </c>
      <c r="K49" t="s">
        <v>47</v>
      </c>
      <c r="L49" s="34">
        <v>915</v>
      </c>
      <c r="M49" s="34">
        <v>990</v>
      </c>
      <c r="N49" s="34">
        <v>1905</v>
      </c>
    </row>
    <row r="50" spans="10:14">
      <c r="J50" s="34">
        <v>46</v>
      </c>
      <c r="K50" t="s">
        <v>17</v>
      </c>
      <c r="L50" s="34">
        <v>893</v>
      </c>
      <c r="M50" s="34">
        <v>999</v>
      </c>
      <c r="N50" s="34">
        <v>1892</v>
      </c>
    </row>
    <row r="51" spans="10:14">
      <c r="J51" s="34">
        <v>47</v>
      </c>
      <c r="K51" t="s">
        <v>28</v>
      </c>
      <c r="L51" s="34">
        <v>976</v>
      </c>
      <c r="M51" s="34">
        <v>915</v>
      </c>
      <c r="N51" s="34">
        <v>1891</v>
      </c>
    </row>
    <row r="52" spans="10:14">
      <c r="J52" s="34">
        <v>48</v>
      </c>
      <c r="K52" t="s">
        <v>33</v>
      </c>
      <c r="L52" s="34">
        <v>890</v>
      </c>
      <c r="M52" s="34">
        <v>957</v>
      </c>
      <c r="N52" s="34">
        <v>1847</v>
      </c>
    </row>
    <row r="53" spans="10:14">
      <c r="J53" s="34">
        <v>49</v>
      </c>
      <c r="K53" t="s">
        <v>16</v>
      </c>
      <c r="L53" s="34">
        <v>902</v>
      </c>
      <c r="M53" s="34">
        <v>916</v>
      </c>
      <c r="N53" s="34">
        <v>1817</v>
      </c>
    </row>
    <row r="54" spans="10:14">
      <c r="J54" s="34">
        <v>50</v>
      </c>
      <c r="K54" t="s">
        <v>59</v>
      </c>
      <c r="L54" s="34">
        <v>912</v>
      </c>
      <c r="M54" s="34">
        <v>902</v>
      </c>
      <c r="N54" s="34">
        <v>1814</v>
      </c>
    </row>
    <row r="55" spans="10:14">
      <c r="J55" s="34">
        <v>51</v>
      </c>
      <c r="K55" t="s">
        <v>32</v>
      </c>
      <c r="L55" s="34">
        <v>973</v>
      </c>
      <c r="M55" s="34">
        <v>762</v>
      </c>
      <c r="N55" s="34">
        <v>1734</v>
      </c>
    </row>
  </sheetData>
  <sortState ref="J5:N55">
    <sortCondition descending="1" ref="N5"/>
  </sortState>
  <mergeCells count="1">
    <mergeCell ref="D3:F3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Report</vt:lpstr>
      <vt:lpstr>Input</vt:lpstr>
      <vt:lpstr>CurrentCloseDate</vt:lpstr>
      <vt:lpstr>DatabaseEnv</vt:lpstr>
      <vt:lpstr>PDFReportDir</vt:lpstr>
      <vt:lpstr>PDFReportName</vt:lpstr>
      <vt:lpstr>Report!Print_Area</vt:lpstr>
      <vt:lpstr>SaveRatesToDB</vt:lpstr>
      <vt:lpstr>Input!temp</vt:lpstr>
      <vt:lpstr>Report!temp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Chen Yang</cp:lastModifiedBy>
  <cp:lastPrinted>2018-03-09T21:14:46Z</cp:lastPrinted>
  <dcterms:created xsi:type="dcterms:W3CDTF">2015-03-12T13:39:23Z</dcterms:created>
  <dcterms:modified xsi:type="dcterms:W3CDTF">2018-03-09T21:53:26Z</dcterms:modified>
</cp:coreProperties>
</file>