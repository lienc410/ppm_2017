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 activeTab="1"/>
  </bookViews>
  <sheets>
    <sheet name="Report Page2" sheetId="21" r:id="rId1"/>
    <sheet name="Report" sheetId="16" r:id="rId2"/>
    <sheet name="Historical" sheetId="19" state="hidden" r:id="rId3"/>
    <sheet name="Input-Non TBA" sheetId="9" state="hidden" r:id="rId4"/>
    <sheet name="Input-TBA LS" sheetId="20" state="hidden" r:id="rId5"/>
  </sheets>
  <functionGroups builtInGroupCount="17"/>
  <externalReferences>
    <externalReference r:id="rId6"/>
    <externalReference r:id="rId7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 localSheetId="0">'Report Page2'!#REF!</definedName>
    <definedName name="CurrentCloseDate">Report!$U$2</definedName>
    <definedName name="CurrentMonth">Report!$U$9</definedName>
    <definedName name="CurrentMonth2">Report!$U$11</definedName>
    <definedName name="DatabaseEnv" localSheetId="0">'Report Page2'!#REF!</definedName>
    <definedName name="DatabaseEnv">Report!$U$1</definedName>
    <definedName name="DateToChangeLag" localSheetId="0">'Report Page2'!#REF!</definedName>
    <definedName name="DateToChangeLag">Report!$U$12</definedName>
    <definedName name="HistoricalMtgRatesDataTable" localSheetId="4">#REF!</definedName>
    <definedName name="HistoricalMtgRatesDataTable" localSheetId="0">#REF!</definedName>
    <definedName name="HistoricalMtgRatesDataTable">#REF!</definedName>
    <definedName name="IR" localSheetId="4">#REF!</definedName>
    <definedName name="IR" localSheetId="0">#REF!</definedName>
    <definedName name="IR">#REF!</definedName>
    <definedName name="MmExcelLinker_D5EFE7B8_A5AE_4CC6_B628_05FDC84CBEA4" localSheetId="4">Early Market [2]Data!$C$44:$C$44</definedName>
    <definedName name="MmExcelLinker_D5EFE7B8_A5AE_4CC6_B628_05FDC84CBEA4" localSheetId="0">Early Market [2]Data!$C$44:$C$44</definedName>
    <definedName name="MmExcelLinker_D5EFE7B8_A5AE_4CC6_B628_05FDC84CBEA4">Early Market [2]Data!$C$44:$C$44</definedName>
    <definedName name="NoLagTopTenDataTable" localSheetId="4">#REF!</definedName>
    <definedName name="NoLagTopTenDataTable" localSheetId="0">#REF!</definedName>
    <definedName name="NoLagTopTenDataTable">#REF!</definedName>
    <definedName name="OneDayBusDate" localSheetId="4">#REF!</definedName>
    <definedName name="OneDayBusDate" localSheetId="0">#REF!</definedName>
    <definedName name="OneDayBusDate">#REF!</definedName>
    <definedName name="OneMonthBusDate" localSheetId="4">#REF!</definedName>
    <definedName name="OneMonthBusDate" localSheetId="0">#REF!</definedName>
    <definedName name="OneMonthBusDate">#REF!</definedName>
    <definedName name="OneWeekBusDate" localSheetId="4">#REF!</definedName>
    <definedName name="OneWeekBusDate" localSheetId="0">#REF!</definedName>
    <definedName name="OneWeekBusDate">#REF!</definedName>
    <definedName name="PDFReportDir" localSheetId="0">'Report Page2'!#REF!</definedName>
    <definedName name="PDFReportDir">Report!$U$3</definedName>
    <definedName name="PDFReportName" localSheetId="0">'Report Page2'!#REF!</definedName>
    <definedName name="PDFReportName">Report!$U$4</definedName>
    <definedName name="PivotTable10" localSheetId="4">#REF!</definedName>
    <definedName name="PivotTable10" localSheetId="0">#REF!</definedName>
    <definedName name="PivotTable10">#REF!</definedName>
    <definedName name="PivotTable11" localSheetId="4">#REF!</definedName>
    <definedName name="PivotTable11" localSheetId="0">#REF!</definedName>
    <definedName name="PivotTable11">#REF!</definedName>
    <definedName name="PivotTable12" localSheetId="4">#REF!</definedName>
    <definedName name="PivotTable12" localSheetId="0">#REF!</definedName>
    <definedName name="PivotTable12">#REF!</definedName>
    <definedName name="_xlnm.Print_Area" localSheetId="1">Report!$C$1:$Q$58</definedName>
    <definedName name="_xlnm.Print_Area" localSheetId="0">'Report Page2'!$C$1:$Q$65</definedName>
    <definedName name="Query_from_Agency" localSheetId="3" hidden="1">'Input-Non TBA'!#REF!</definedName>
    <definedName name="Query_from_Agency" localSheetId="4" hidden="1">'Input-TBA LS'!#REF!</definedName>
    <definedName name="Query_from_Agency_1" localSheetId="3" hidden="1">'Input-Non TBA'!#REF!</definedName>
    <definedName name="Query_from_Agency_1" localSheetId="4" hidden="1">'Input-TBA LS'!#REF!</definedName>
    <definedName name="Query_from_Agency_10" localSheetId="3" hidden="1">'Input-Non TBA'!$O$3:$R$40</definedName>
    <definedName name="Query_from_Agency_10" localSheetId="4" hidden="1">'Input-TBA LS'!$I$3:$J$62</definedName>
    <definedName name="Query_from_Agency_11" localSheetId="4" hidden="1">'Input-TBA LS'!$M$3:$N$62</definedName>
    <definedName name="Query_from_Agency_12" localSheetId="4" hidden="1">'Input-TBA LS'!$Q$3:$R$62</definedName>
    <definedName name="Query_from_Agency_13" localSheetId="4" hidden="1">'Input-TBA LS'!$AC$3:$AD$62</definedName>
    <definedName name="Query_from_Agency_14" localSheetId="4" hidden="1">'Input-TBA LS'!$AG$3:$AH$62</definedName>
    <definedName name="Query_from_Agency_15" localSheetId="4" hidden="1">'Input-TBA LS'!$AJ$3:$AK$62</definedName>
    <definedName name="Query_from_Agency_16" localSheetId="4" hidden="1">'Input-TBA LS'!$AM$3:$AN$62</definedName>
    <definedName name="Query_from_Agency_4" localSheetId="3" hidden="1">'Input-Non TBA'!#REF!</definedName>
    <definedName name="Query_from_Agency_4" localSheetId="4" hidden="1">'Input-TBA LS'!#REF!</definedName>
    <definedName name="Query_from_Agency_5" localSheetId="3" hidden="1">'Input-Non TBA'!#REF!</definedName>
    <definedName name="Query_from_Agency_5" localSheetId="4" hidden="1">'Input-TBA LS'!#REF!</definedName>
    <definedName name="Query_from_Agency_6" localSheetId="3" hidden="1">'Input-Non TBA'!$B$3:$E$62</definedName>
    <definedName name="Query_from_Agency_6" localSheetId="4" hidden="1">'Input-TBA LS'!$B$3:$C$62</definedName>
    <definedName name="Query_from_Agency_7" localSheetId="3" hidden="1">'Input-Non TBA'!#REF!</definedName>
    <definedName name="Query_from_Agency_7" localSheetId="4" hidden="1">'Input-TBA LS'!#REF!</definedName>
    <definedName name="Query_from_Agency_8" localSheetId="3" hidden="1">'Input-Non TBA'!#REF!</definedName>
    <definedName name="Query_from_Agency_8" localSheetId="4" hidden="1">'Input-TBA LS'!#REF!</definedName>
    <definedName name="Query_from_Agency_9" localSheetId="3" hidden="1">'Input-Non TBA'!$I$3:$L$62</definedName>
    <definedName name="Query_from_Agency_9" localSheetId="4" hidden="1">'Input-TBA LS'!$E$3:$F$62</definedName>
    <definedName name="SaveRatesToDB" localSheetId="0">'Report Page2'!$U$1</definedName>
    <definedName name="SaveRatesToDB">Report!$W$1</definedName>
    <definedName name="temp_13" localSheetId="3">'Input-Non TBA'!#REF!</definedName>
    <definedName name="temp_13" localSheetId="4">'Input-TBA LS'!#REF!</definedName>
    <definedName name="temp_14" localSheetId="3">'Input-Non TBA'!#REF!</definedName>
    <definedName name="temp_14" localSheetId="4">'Input-TBA LS'!#REF!</definedName>
    <definedName name="temp_17" localSheetId="4">#REF!</definedName>
    <definedName name="temp_17" localSheetId="0">#REF!</definedName>
    <definedName name="temp_17">#REF!</definedName>
    <definedName name="temp_8" localSheetId="4">#REF!</definedName>
    <definedName name="temp_8" localSheetId="0">#REF!</definedName>
    <definedName name="temp_8">#REF!</definedName>
    <definedName name="temp_9" localSheetId="3">'Input-Non TBA'!#REF!</definedName>
    <definedName name="temp_9" localSheetId="4">'Input-TBA LS'!#REF!</definedName>
  </definedNames>
  <calcPr calcId="145621"/>
</workbook>
</file>

<file path=xl/calcChain.xml><?xml version="1.0" encoding="utf-8"?>
<calcChain xmlns="http://schemas.openxmlformats.org/spreadsheetml/2006/main">
  <c r="S4" i="20" l="1"/>
  <c r="S5" i="20"/>
  <c r="S6" i="20"/>
  <c r="S7" i="20"/>
  <c r="S8" i="20"/>
  <c r="S9" i="20"/>
  <c r="S10" i="20"/>
  <c r="S11" i="20"/>
  <c r="Z11" i="20" s="1"/>
  <c r="S12" i="20"/>
  <c r="S13" i="20"/>
  <c r="S14" i="20"/>
  <c r="S15" i="20"/>
  <c r="S16" i="20"/>
  <c r="S17" i="20"/>
  <c r="S18" i="20"/>
  <c r="S19" i="20"/>
  <c r="Z19" i="20" s="1"/>
  <c r="S20" i="20"/>
  <c r="S21" i="20"/>
  <c r="S22" i="20"/>
  <c r="S23" i="20"/>
  <c r="S24" i="20"/>
  <c r="S25" i="20"/>
  <c r="S26" i="20"/>
  <c r="S27" i="20"/>
  <c r="Z27" i="20" s="1"/>
  <c r="S28" i="20"/>
  <c r="S29" i="20"/>
  <c r="S30" i="20"/>
  <c r="S31" i="20"/>
  <c r="S32" i="20"/>
  <c r="S33" i="20"/>
  <c r="S34" i="20"/>
  <c r="S35" i="20"/>
  <c r="Z35" i="20" s="1"/>
  <c r="S36" i="20"/>
  <c r="S37" i="20"/>
  <c r="S38" i="20"/>
  <c r="S39" i="20"/>
  <c r="S40" i="20"/>
  <c r="S41" i="20"/>
  <c r="S42" i="20"/>
  <c r="S43" i="20"/>
  <c r="Z43" i="20" s="1"/>
  <c r="S44" i="20"/>
  <c r="S45" i="20"/>
  <c r="S46" i="20"/>
  <c r="S47" i="20"/>
  <c r="S48" i="20"/>
  <c r="S49" i="20"/>
  <c r="S50" i="20"/>
  <c r="S51" i="20"/>
  <c r="Z51" i="20" s="1"/>
  <c r="S52" i="20"/>
  <c r="S53" i="20"/>
  <c r="S54" i="20"/>
  <c r="S55" i="20"/>
  <c r="S56" i="20"/>
  <c r="S57" i="20"/>
  <c r="S58" i="20"/>
  <c r="S59" i="20"/>
  <c r="Z59" i="20" s="1"/>
  <c r="S60" i="20"/>
  <c r="S61" i="20"/>
  <c r="S62" i="20"/>
  <c r="T4" i="20"/>
  <c r="Z4" i="20" s="1"/>
  <c r="T5" i="20"/>
  <c r="T6" i="20"/>
  <c r="T7" i="20"/>
  <c r="T8" i="20"/>
  <c r="T9" i="20"/>
  <c r="T10" i="20"/>
  <c r="T11" i="20"/>
  <c r="T12" i="20"/>
  <c r="Z12" i="20" s="1"/>
  <c r="T13" i="20"/>
  <c r="T14" i="20"/>
  <c r="T15" i="20"/>
  <c r="T16" i="20"/>
  <c r="T17" i="20"/>
  <c r="T18" i="20"/>
  <c r="T19" i="20"/>
  <c r="T20" i="20"/>
  <c r="Z20" i="20" s="1"/>
  <c r="T21" i="20"/>
  <c r="T22" i="20"/>
  <c r="T23" i="20"/>
  <c r="T24" i="20"/>
  <c r="T25" i="20"/>
  <c r="T26" i="20"/>
  <c r="T27" i="20"/>
  <c r="T28" i="20"/>
  <c r="Z28" i="20" s="1"/>
  <c r="T29" i="20"/>
  <c r="T30" i="20"/>
  <c r="T31" i="20"/>
  <c r="T32" i="20"/>
  <c r="T33" i="20"/>
  <c r="T34" i="20"/>
  <c r="T35" i="20"/>
  <c r="T36" i="20"/>
  <c r="Z36" i="20" s="1"/>
  <c r="T37" i="20"/>
  <c r="T38" i="20"/>
  <c r="T39" i="20"/>
  <c r="T40" i="20"/>
  <c r="T41" i="20"/>
  <c r="T42" i="20"/>
  <c r="T43" i="20"/>
  <c r="T44" i="20"/>
  <c r="Z44" i="20" s="1"/>
  <c r="T45" i="20"/>
  <c r="T46" i="20"/>
  <c r="T47" i="20"/>
  <c r="T48" i="20"/>
  <c r="T49" i="20"/>
  <c r="T50" i="20"/>
  <c r="T51" i="20"/>
  <c r="T52" i="20"/>
  <c r="Z52" i="20" s="1"/>
  <c r="T53" i="20"/>
  <c r="T54" i="20"/>
  <c r="T55" i="20"/>
  <c r="T56" i="20"/>
  <c r="T57" i="20"/>
  <c r="T58" i="20"/>
  <c r="T59" i="20"/>
  <c r="T60" i="20"/>
  <c r="Z60" i="20" s="1"/>
  <c r="T61" i="20"/>
  <c r="T62" i="20"/>
  <c r="U4" i="20"/>
  <c r="U5" i="20"/>
  <c r="Z5" i="20" s="1"/>
  <c r="U6" i="20"/>
  <c r="U7" i="20"/>
  <c r="U8" i="20"/>
  <c r="U9" i="20"/>
  <c r="U10" i="20"/>
  <c r="U11" i="20"/>
  <c r="U12" i="20"/>
  <c r="U13" i="20"/>
  <c r="Z13" i="20" s="1"/>
  <c r="U14" i="20"/>
  <c r="U15" i="20"/>
  <c r="U16" i="20"/>
  <c r="U17" i="20"/>
  <c r="U18" i="20"/>
  <c r="U19" i="20"/>
  <c r="U20" i="20"/>
  <c r="U21" i="20"/>
  <c r="Z21" i="20" s="1"/>
  <c r="U22" i="20"/>
  <c r="U23" i="20"/>
  <c r="U24" i="20"/>
  <c r="U25" i="20"/>
  <c r="U26" i="20"/>
  <c r="U27" i="20"/>
  <c r="U28" i="20"/>
  <c r="U29" i="20"/>
  <c r="Z29" i="20" s="1"/>
  <c r="U30" i="20"/>
  <c r="U31" i="20"/>
  <c r="U32" i="20"/>
  <c r="U33" i="20"/>
  <c r="U34" i="20"/>
  <c r="U35" i="20"/>
  <c r="U36" i="20"/>
  <c r="U37" i="20"/>
  <c r="Z37" i="20" s="1"/>
  <c r="U38" i="20"/>
  <c r="U39" i="20"/>
  <c r="U40" i="20"/>
  <c r="U41" i="20"/>
  <c r="U42" i="20"/>
  <c r="U43" i="20"/>
  <c r="U44" i="20"/>
  <c r="U45" i="20"/>
  <c r="Z45" i="20" s="1"/>
  <c r="U46" i="20"/>
  <c r="U47" i="20"/>
  <c r="U48" i="20"/>
  <c r="U49" i="20"/>
  <c r="U50" i="20"/>
  <c r="U51" i="20"/>
  <c r="U52" i="20"/>
  <c r="U53" i="20"/>
  <c r="Z53" i="20" s="1"/>
  <c r="U54" i="20"/>
  <c r="U55" i="20"/>
  <c r="U56" i="20"/>
  <c r="U57" i="20"/>
  <c r="U58" i="20"/>
  <c r="U59" i="20"/>
  <c r="U60" i="20"/>
  <c r="U61" i="20"/>
  <c r="Z61" i="20" s="1"/>
  <c r="U62" i="20"/>
  <c r="V4" i="20"/>
  <c r="V5" i="20"/>
  <c r="V6" i="20"/>
  <c r="V7" i="20"/>
  <c r="V8" i="20"/>
  <c r="V9" i="20"/>
  <c r="V10" i="20"/>
  <c r="V11" i="20"/>
  <c r="V12" i="20"/>
  <c r="V13" i="20"/>
  <c r="V14" i="20"/>
  <c r="V15" i="20"/>
  <c r="V16" i="20"/>
  <c r="V17" i="20"/>
  <c r="V18" i="20"/>
  <c r="V19" i="20"/>
  <c r="V20" i="20"/>
  <c r="V21" i="20"/>
  <c r="V22" i="20"/>
  <c r="V23" i="20"/>
  <c r="V24" i="20"/>
  <c r="V25" i="20"/>
  <c r="V26" i="20"/>
  <c r="V27" i="20"/>
  <c r="V28" i="20"/>
  <c r="V29" i="20"/>
  <c r="V30" i="20"/>
  <c r="V31" i="20"/>
  <c r="V32" i="20"/>
  <c r="V33" i="20"/>
  <c r="V34" i="20"/>
  <c r="V35" i="20"/>
  <c r="V36" i="20"/>
  <c r="V37" i="20"/>
  <c r="V38" i="20"/>
  <c r="V39" i="20"/>
  <c r="V40" i="20"/>
  <c r="V41" i="20"/>
  <c r="V42" i="20"/>
  <c r="V43" i="20"/>
  <c r="V44" i="20"/>
  <c r="V45" i="20"/>
  <c r="V46" i="20"/>
  <c r="V47" i="20"/>
  <c r="V48" i="20"/>
  <c r="V49" i="20"/>
  <c r="V50" i="20"/>
  <c r="V51" i="20"/>
  <c r="V52" i="20"/>
  <c r="V53" i="20"/>
  <c r="V54" i="20"/>
  <c r="V55" i="20"/>
  <c r="V56" i="20"/>
  <c r="V57" i="20"/>
  <c r="V58" i="20"/>
  <c r="V59" i="20"/>
  <c r="V60" i="20"/>
  <c r="V61" i="20"/>
  <c r="V62" i="20"/>
  <c r="W4" i="20"/>
  <c r="W5" i="20"/>
  <c r="W6" i="20"/>
  <c r="W7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34" i="20"/>
  <c r="W35" i="20"/>
  <c r="W36" i="20"/>
  <c r="W37" i="20"/>
  <c r="W38" i="20"/>
  <c r="W39" i="20"/>
  <c r="W40" i="20"/>
  <c r="W41" i="20"/>
  <c r="W42" i="20"/>
  <c r="W43" i="20"/>
  <c r="W44" i="20"/>
  <c r="W45" i="20"/>
  <c r="W46" i="20"/>
  <c r="W47" i="20"/>
  <c r="W48" i="20"/>
  <c r="W49" i="20"/>
  <c r="W50" i="20"/>
  <c r="W51" i="20"/>
  <c r="W52" i="20"/>
  <c r="W53" i="20"/>
  <c r="W54" i="20"/>
  <c r="W55" i="20"/>
  <c r="W56" i="20"/>
  <c r="W57" i="20"/>
  <c r="W58" i="20"/>
  <c r="W59" i="20"/>
  <c r="W60" i="20"/>
  <c r="W61" i="20"/>
  <c r="W62" i="20"/>
  <c r="X4" i="20"/>
  <c r="X5" i="20"/>
  <c r="X6" i="20"/>
  <c r="X7" i="20"/>
  <c r="X8" i="20"/>
  <c r="X9" i="20"/>
  <c r="X10" i="20"/>
  <c r="X11" i="20"/>
  <c r="X12" i="20"/>
  <c r="X13" i="20"/>
  <c r="X14" i="20"/>
  <c r="X15" i="20"/>
  <c r="X16" i="20"/>
  <c r="X17" i="20"/>
  <c r="X18" i="20"/>
  <c r="X19" i="20"/>
  <c r="X20" i="20"/>
  <c r="X21" i="20"/>
  <c r="X22" i="20"/>
  <c r="X23" i="20"/>
  <c r="X24" i="20"/>
  <c r="X25" i="20"/>
  <c r="X26" i="20"/>
  <c r="X27" i="20"/>
  <c r="X28" i="20"/>
  <c r="X29" i="20"/>
  <c r="X30" i="20"/>
  <c r="X31" i="20"/>
  <c r="X32" i="20"/>
  <c r="X33" i="20"/>
  <c r="X34" i="20"/>
  <c r="X35" i="20"/>
  <c r="X36" i="20"/>
  <c r="X37" i="20"/>
  <c r="X38" i="20"/>
  <c r="X39" i="20"/>
  <c r="X40" i="20"/>
  <c r="X41" i="20"/>
  <c r="X42" i="20"/>
  <c r="X43" i="20"/>
  <c r="X44" i="20"/>
  <c r="X45" i="20"/>
  <c r="X46" i="20"/>
  <c r="X47" i="20"/>
  <c r="X48" i="20"/>
  <c r="X49" i="20"/>
  <c r="X50" i="20"/>
  <c r="X51" i="20"/>
  <c r="X52" i="20"/>
  <c r="X53" i="20"/>
  <c r="X54" i="20"/>
  <c r="X55" i="20"/>
  <c r="X56" i="20"/>
  <c r="X57" i="20"/>
  <c r="X58" i="20"/>
  <c r="X59" i="20"/>
  <c r="X60" i="20"/>
  <c r="X61" i="20"/>
  <c r="X62" i="20"/>
  <c r="Y4" i="20"/>
  <c r="Y5" i="20"/>
  <c r="Y6" i="20"/>
  <c r="Z6" i="20" s="1"/>
  <c r="Y7" i="20"/>
  <c r="Y8" i="20"/>
  <c r="Y9" i="20"/>
  <c r="Y10" i="20"/>
  <c r="Y11" i="20"/>
  <c r="Y12" i="20"/>
  <c r="Y13" i="20"/>
  <c r="Y14" i="20"/>
  <c r="Z14" i="20" s="1"/>
  <c r="Y15" i="20"/>
  <c r="Y16" i="20"/>
  <c r="Y17" i="20"/>
  <c r="Y18" i="20"/>
  <c r="Y19" i="20"/>
  <c r="Y20" i="20"/>
  <c r="Y21" i="20"/>
  <c r="Y22" i="20"/>
  <c r="Y23" i="20"/>
  <c r="Y24" i="20"/>
  <c r="Y25" i="20"/>
  <c r="Y26" i="20"/>
  <c r="Y27" i="20"/>
  <c r="Y28" i="20"/>
  <c r="Y29" i="20"/>
  <c r="Y30" i="20"/>
  <c r="Y31" i="20"/>
  <c r="Y32" i="20"/>
  <c r="Y33" i="20"/>
  <c r="Y34" i="20"/>
  <c r="Y35" i="20"/>
  <c r="Y36" i="20"/>
  <c r="Y37" i="20"/>
  <c r="Y38" i="20"/>
  <c r="Y39" i="20"/>
  <c r="Y40" i="20"/>
  <c r="Y41" i="20"/>
  <c r="Y42" i="20"/>
  <c r="Y43" i="20"/>
  <c r="Y44" i="20"/>
  <c r="Y45" i="20"/>
  <c r="Y46" i="20"/>
  <c r="Y47" i="20"/>
  <c r="Y48" i="20"/>
  <c r="Y49" i="20"/>
  <c r="Y50" i="20"/>
  <c r="Y51" i="20"/>
  <c r="Y52" i="20"/>
  <c r="Y53" i="20"/>
  <c r="Y54" i="20"/>
  <c r="Z54" i="20" s="1"/>
  <c r="Y55" i="20"/>
  <c r="Y56" i="20"/>
  <c r="Y57" i="20"/>
  <c r="Y58" i="20"/>
  <c r="Y59" i="20"/>
  <c r="Y60" i="20"/>
  <c r="Y61" i="20"/>
  <c r="Y62" i="20"/>
  <c r="Z22" i="20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Z62" i="20" l="1"/>
  <c r="Z46" i="20"/>
  <c r="Z38" i="20"/>
  <c r="Z30" i="20"/>
  <c r="Z56" i="20"/>
  <c r="Z48" i="20"/>
  <c r="Z40" i="20"/>
  <c r="Z32" i="20"/>
  <c r="Z24" i="20"/>
  <c r="Z16" i="20"/>
  <c r="Z8" i="20"/>
  <c r="Z47" i="20"/>
  <c r="Z39" i="20"/>
  <c r="Z31" i="20"/>
  <c r="Z23" i="20"/>
  <c r="Z15" i="20"/>
  <c r="Z7" i="20"/>
  <c r="Z55" i="20"/>
  <c r="Z58" i="20"/>
  <c r="Z50" i="20"/>
  <c r="Z42" i="20"/>
  <c r="Z34" i="20"/>
  <c r="Z26" i="20"/>
  <c r="Z18" i="20"/>
  <c r="Z10" i="20"/>
  <c r="Z41" i="20"/>
  <c r="Z57" i="20"/>
  <c r="Z33" i="20"/>
  <c r="Z9" i="20"/>
  <c r="Z49" i="20"/>
  <c r="Z25" i="20"/>
  <c r="Z17" i="20"/>
  <c r="U11" i="16"/>
  <c r="U9" i="16" l="1"/>
  <c r="U4" i="16" l="1"/>
  <c r="U10" i="16"/>
  <c r="D3" i="19" l="1"/>
  <c r="E44" i="16" l="1"/>
  <c r="E53" i="16" s="1"/>
  <c r="D19" i="19"/>
  <c r="E51" i="21" s="1"/>
  <c r="P43" i="16"/>
  <c r="E43" i="21"/>
  <c r="E55" i="21" s="1"/>
  <c r="D15" i="19"/>
  <c r="E47" i="21" s="1"/>
  <c r="D18" i="19"/>
  <c r="E50" i="21" s="1"/>
  <c r="D14" i="19"/>
  <c r="E46" i="21" s="1"/>
  <c r="D17" i="19"/>
  <c r="E49" i="21" s="1"/>
  <c r="D13" i="19"/>
  <c r="E45" i="21" s="1"/>
  <c r="D12" i="19"/>
  <c r="E44" i="21" s="1"/>
  <c r="D16" i="19"/>
  <c r="E48" i="21" s="1"/>
  <c r="D11" i="19"/>
  <c r="E11" i="19" s="1"/>
  <c r="F11" i="19" s="1"/>
  <c r="G11" i="19" s="1"/>
  <c r="H11" i="19" s="1"/>
  <c r="I11" i="19" s="1"/>
  <c r="J11" i="19" s="1"/>
  <c r="K11" i="19" s="1"/>
  <c r="L11" i="19" s="1"/>
  <c r="M11" i="19" s="1"/>
  <c r="N11" i="19" s="1"/>
  <c r="O11" i="19" s="1"/>
  <c r="D5" i="19"/>
  <c r="E46" i="16" s="1"/>
  <c r="D6" i="19"/>
  <c r="E47" i="16" s="1"/>
  <c r="D4" i="19"/>
  <c r="E45" i="16" s="1"/>
  <c r="E3" i="19"/>
  <c r="E19" i="19" s="1"/>
  <c r="F51" i="21" s="1"/>
  <c r="F44" i="16" l="1"/>
  <c r="G44" i="16" s="1"/>
  <c r="H44" i="16" s="1"/>
  <c r="I44" i="16" s="1"/>
  <c r="J44" i="16" s="1"/>
  <c r="K44" i="16" s="1"/>
  <c r="L44" i="16" s="1"/>
  <c r="M44" i="16" s="1"/>
  <c r="N44" i="16" s="1"/>
  <c r="O44" i="16" s="1"/>
  <c r="P44" i="16" s="1"/>
  <c r="E63" i="21"/>
  <c r="F63" i="21"/>
  <c r="M63" i="21" s="1"/>
  <c r="E52" i="21"/>
  <c r="F43" i="21"/>
  <c r="G43" i="21" s="1"/>
  <c r="H43" i="21" s="1"/>
  <c r="I43" i="21" s="1"/>
  <c r="J43" i="21" s="1"/>
  <c r="K43" i="21" s="1"/>
  <c r="L43" i="21" s="1"/>
  <c r="M43" i="21" s="1"/>
  <c r="N43" i="21" s="1"/>
  <c r="O43" i="21" s="1"/>
  <c r="P43" i="21" s="1"/>
  <c r="P42" i="21"/>
  <c r="E60" i="21"/>
  <c r="E59" i="21"/>
  <c r="E57" i="21"/>
  <c r="E61" i="21"/>
  <c r="E58" i="21"/>
  <c r="E62" i="21"/>
  <c r="E48" i="16"/>
  <c r="E12" i="19"/>
  <c r="F44" i="21" s="1"/>
  <c r="E14" i="19"/>
  <c r="F46" i="21" s="1"/>
  <c r="F58" i="21" s="1"/>
  <c r="M58" i="21" s="1"/>
  <c r="E17" i="19"/>
  <c r="F49" i="21" s="1"/>
  <c r="F61" i="21" s="1"/>
  <c r="M61" i="21" s="1"/>
  <c r="E15" i="19"/>
  <c r="F47" i="21" s="1"/>
  <c r="F59" i="21" s="1"/>
  <c r="M59" i="21" s="1"/>
  <c r="E18" i="19"/>
  <c r="F50" i="21" s="1"/>
  <c r="F62" i="21" s="1"/>
  <c r="M62" i="21" s="1"/>
  <c r="E13" i="19"/>
  <c r="F45" i="21" s="1"/>
  <c r="F57" i="21" s="1"/>
  <c r="M57" i="21" s="1"/>
  <c r="E16" i="19"/>
  <c r="F48" i="21" s="1"/>
  <c r="F60" i="21" s="1"/>
  <c r="M60" i="21" s="1"/>
  <c r="E55" i="16"/>
  <c r="E56" i="21"/>
  <c r="E6" i="19"/>
  <c r="F47" i="16" s="1"/>
  <c r="E4" i="19"/>
  <c r="F45" i="16" s="1"/>
  <c r="E5" i="19"/>
  <c r="F46" i="16" s="1"/>
  <c r="F3" i="19"/>
  <c r="F19" i="19" s="1"/>
  <c r="G51" i="21" s="1"/>
  <c r="D7" i="19"/>
  <c r="E56" i="16"/>
  <c r="E64" i="21" l="1"/>
  <c r="F52" i="21"/>
  <c r="F56" i="21"/>
  <c r="F64" i="21" s="1"/>
  <c r="F48" i="16"/>
  <c r="F17" i="19"/>
  <c r="G49" i="21" s="1"/>
  <c r="F12" i="19"/>
  <c r="G44" i="21" s="1"/>
  <c r="F16" i="19"/>
  <c r="G48" i="21" s="1"/>
  <c r="F15" i="19"/>
  <c r="G47" i="21" s="1"/>
  <c r="F18" i="19"/>
  <c r="G50" i="21" s="1"/>
  <c r="F14" i="19"/>
  <c r="G46" i="21" s="1"/>
  <c r="F13" i="19"/>
  <c r="G45" i="21" s="1"/>
  <c r="F55" i="16"/>
  <c r="M55" i="16" s="1"/>
  <c r="G3" i="19"/>
  <c r="G19" i="19" s="1"/>
  <c r="H51" i="21" s="1"/>
  <c r="G63" i="21" s="1"/>
  <c r="N63" i="21" s="1"/>
  <c r="F6" i="19"/>
  <c r="G47" i="16" s="1"/>
  <c r="F5" i="19"/>
  <c r="G46" i="16" s="1"/>
  <c r="F4" i="19"/>
  <c r="E54" i="16"/>
  <c r="E7" i="19"/>
  <c r="G52" i="21" l="1"/>
  <c r="M64" i="21"/>
  <c r="M56" i="21"/>
  <c r="G45" i="16"/>
  <c r="G48" i="16" s="1"/>
  <c r="E57" i="16"/>
  <c r="F56" i="16"/>
  <c r="M56" i="16" s="1"/>
  <c r="G14" i="19"/>
  <c r="H46" i="21" s="1"/>
  <c r="G58" i="21" s="1"/>
  <c r="N58" i="21" s="1"/>
  <c r="G17" i="19"/>
  <c r="H49" i="21" s="1"/>
  <c r="G61" i="21" s="1"/>
  <c r="N61" i="21" s="1"/>
  <c r="G12" i="19"/>
  <c r="H44" i="21" s="1"/>
  <c r="G13" i="19"/>
  <c r="H45" i="21" s="1"/>
  <c r="G57" i="21" s="1"/>
  <c r="N57" i="21" s="1"/>
  <c r="G15" i="19"/>
  <c r="H47" i="21" s="1"/>
  <c r="G59" i="21" s="1"/>
  <c r="N59" i="21" s="1"/>
  <c r="G16" i="19"/>
  <c r="H48" i="21" s="1"/>
  <c r="G60" i="21" s="1"/>
  <c r="N60" i="21" s="1"/>
  <c r="G18" i="19"/>
  <c r="H50" i="21" s="1"/>
  <c r="G62" i="21" s="1"/>
  <c r="N62" i="21" s="1"/>
  <c r="F54" i="16"/>
  <c r="M54" i="16" s="1"/>
  <c r="F7" i="19"/>
  <c r="G5" i="19"/>
  <c r="H46" i="16" s="1"/>
  <c r="H3" i="19"/>
  <c r="H19" i="19" s="1"/>
  <c r="I51" i="21" s="1"/>
  <c r="G4" i="19"/>
  <c r="G6" i="19"/>
  <c r="H47" i="16" s="1"/>
  <c r="H52" i="21" l="1"/>
  <c r="H45" i="16"/>
  <c r="H48" i="16" s="1"/>
  <c r="F57" i="16"/>
  <c r="M57" i="16" s="1"/>
  <c r="H14" i="19"/>
  <c r="I46" i="21" s="1"/>
  <c r="H17" i="19"/>
  <c r="I49" i="21" s="1"/>
  <c r="H16" i="19"/>
  <c r="I48" i="21" s="1"/>
  <c r="H12" i="19"/>
  <c r="I44" i="21" s="1"/>
  <c r="H18" i="19"/>
  <c r="I50" i="21" s="1"/>
  <c r="H13" i="19"/>
  <c r="I45" i="21" s="1"/>
  <c r="H15" i="19"/>
  <c r="I47" i="21" s="1"/>
  <c r="G56" i="21"/>
  <c r="G64" i="21" s="1"/>
  <c r="G56" i="16"/>
  <c r="N56" i="16" s="1"/>
  <c r="G55" i="16"/>
  <c r="N55" i="16" s="1"/>
  <c r="G7" i="19"/>
  <c r="I3" i="19"/>
  <c r="I19" i="19" s="1"/>
  <c r="J51" i="21" s="1"/>
  <c r="H6" i="19"/>
  <c r="I47" i="16" s="1"/>
  <c r="H5" i="19"/>
  <c r="I46" i="16" s="1"/>
  <c r="H4" i="19"/>
  <c r="I52" i="21" l="1"/>
  <c r="N64" i="21"/>
  <c r="N56" i="21"/>
  <c r="I45" i="16"/>
  <c r="I48" i="16" s="1"/>
  <c r="I16" i="19"/>
  <c r="J48" i="21" s="1"/>
  <c r="I15" i="19"/>
  <c r="J47" i="21" s="1"/>
  <c r="I14" i="19"/>
  <c r="J46" i="21" s="1"/>
  <c r="I13" i="19"/>
  <c r="J45" i="21" s="1"/>
  <c r="I17" i="19"/>
  <c r="J49" i="21" s="1"/>
  <c r="I18" i="19"/>
  <c r="J50" i="21" s="1"/>
  <c r="I12" i="19"/>
  <c r="J44" i="21" s="1"/>
  <c r="H7" i="19"/>
  <c r="I5" i="19"/>
  <c r="J46" i="16" s="1"/>
  <c r="J3" i="19"/>
  <c r="J19" i="19" s="1"/>
  <c r="K51" i="21" s="1"/>
  <c r="H63" i="21" s="1"/>
  <c r="O63" i="21" s="1"/>
  <c r="I4" i="19"/>
  <c r="I6" i="19"/>
  <c r="J47" i="16" s="1"/>
  <c r="G54" i="16"/>
  <c r="N54" i="16" s="1"/>
  <c r="J52" i="21" l="1"/>
  <c r="J45" i="16"/>
  <c r="J48" i="16" s="1"/>
  <c r="G57" i="16"/>
  <c r="N57" i="16" s="1"/>
  <c r="J13" i="19"/>
  <c r="K45" i="21" s="1"/>
  <c r="H57" i="21" s="1"/>
  <c r="O57" i="21" s="1"/>
  <c r="J16" i="19"/>
  <c r="K48" i="21" s="1"/>
  <c r="H60" i="21" s="1"/>
  <c r="O60" i="21" s="1"/>
  <c r="J18" i="19"/>
  <c r="K50" i="21" s="1"/>
  <c r="H62" i="21" s="1"/>
  <c r="O62" i="21" s="1"/>
  <c r="J14" i="19"/>
  <c r="K46" i="21" s="1"/>
  <c r="H58" i="21" s="1"/>
  <c r="O58" i="21" s="1"/>
  <c r="J17" i="19"/>
  <c r="K49" i="21" s="1"/>
  <c r="H61" i="21" s="1"/>
  <c r="O61" i="21" s="1"/>
  <c r="J12" i="19"/>
  <c r="K44" i="21" s="1"/>
  <c r="J15" i="19"/>
  <c r="K47" i="21" s="1"/>
  <c r="H59" i="21" s="1"/>
  <c r="O59" i="21" s="1"/>
  <c r="I7" i="19"/>
  <c r="J6" i="19"/>
  <c r="K47" i="16" s="1"/>
  <c r="J4" i="19"/>
  <c r="J5" i="19"/>
  <c r="K46" i="16" s="1"/>
  <c r="K3" i="19"/>
  <c r="K19" i="19" s="1"/>
  <c r="L51" i="21" s="1"/>
  <c r="K52" i="21" l="1"/>
  <c r="K45" i="16"/>
  <c r="K48" i="16" s="1"/>
  <c r="K18" i="19"/>
  <c r="L50" i="21" s="1"/>
  <c r="K13" i="19"/>
  <c r="L45" i="21" s="1"/>
  <c r="K16" i="19"/>
  <c r="L48" i="21" s="1"/>
  <c r="K17" i="19"/>
  <c r="L49" i="21" s="1"/>
  <c r="K12" i="19"/>
  <c r="L44" i="21" s="1"/>
  <c r="K14" i="19"/>
  <c r="L46" i="21" s="1"/>
  <c r="K15" i="19"/>
  <c r="L47" i="21" s="1"/>
  <c r="H56" i="21"/>
  <c r="H64" i="21" s="1"/>
  <c r="H55" i="16"/>
  <c r="O55" i="16" s="1"/>
  <c r="H56" i="16"/>
  <c r="O56" i="16" s="1"/>
  <c r="L3" i="19"/>
  <c r="L19" i="19" s="1"/>
  <c r="M51" i="21" s="1"/>
  <c r="K5" i="19"/>
  <c r="L46" i="16" s="1"/>
  <c r="K6" i="19"/>
  <c r="L47" i="16" s="1"/>
  <c r="K4" i="19"/>
  <c r="J7" i="19"/>
  <c r="L52" i="21" l="1"/>
  <c r="L45" i="16"/>
  <c r="L48" i="16" s="1"/>
  <c r="O64" i="21"/>
  <c r="O56" i="21"/>
  <c r="L15" i="19"/>
  <c r="M47" i="21" s="1"/>
  <c r="L17" i="19"/>
  <c r="M49" i="21" s="1"/>
  <c r="L12" i="19"/>
  <c r="M44" i="21" s="1"/>
  <c r="L18" i="19"/>
  <c r="M50" i="21" s="1"/>
  <c r="L13" i="19"/>
  <c r="M45" i="21" s="1"/>
  <c r="L16" i="19"/>
  <c r="M48" i="21" s="1"/>
  <c r="L14" i="19"/>
  <c r="M46" i="21" s="1"/>
  <c r="H54" i="16"/>
  <c r="O54" i="16" s="1"/>
  <c r="K7" i="19"/>
  <c r="L5" i="19"/>
  <c r="M46" i="16" s="1"/>
  <c r="L4" i="19"/>
  <c r="M3" i="19"/>
  <c r="M19" i="19" s="1"/>
  <c r="N51" i="21" s="1"/>
  <c r="L6" i="19"/>
  <c r="M47" i="16" s="1"/>
  <c r="M52" i="21" l="1"/>
  <c r="M45" i="16"/>
  <c r="M48" i="16" s="1"/>
  <c r="H57" i="16"/>
  <c r="O57" i="16" s="1"/>
  <c r="M12" i="19"/>
  <c r="N44" i="21" s="1"/>
  <c r="M15" i="19"/>
  <c r="N47" i="21" s="1"/>
  <c r="M14" i="19"/>
  <c r="N46" i="21" s="1"/>
  <c r="M18" i="19"/>
  <c r="N50" i="21" s="1"/>
  <c r="M13" i="19"/>
  <c r="N45" i="21" s="1"/>
  <c r="M17" i="19"/>
  <c r="N49" i="21" s="1"/>
  <c r="M16" i="19"/>
  <c r="N48" i="21" s="1"/>
  <c r="M5" i="19"/>
  <c r="N46" i="16" s="1"/>
  <c r="N3" i="19"/>
  <c r="N19" i="19" s="1"/>
  <c r="O51" i="21" s="1"/>
  <c r="M6" i="19"/>
  <c r="N47" i="16" s="1"/>
  <c r="M4" i="19"/>
  <c r="L7" i="19"/>
  <c r="N52" i="21" l="1"/>
  <c r="N45" i="16"/>
  <c r="N48" i="16" s="1"/>
  <c r="N17" i="19"/>
  <c r="O49" i="21" s="1"/>
  <c r="N12" i="19"/>
  <c r="O44" i="21" s="1"/>
  <c r="N14" i="19"/>
  <c r="O46" i="21" s="1"/>
  <c r="N15" i="19"/>
  <c r="O47" i="21" s="1"/>
  <c r="N18" i="19"/>
  <c r="O50" i="21" s="1"/>
  <c r="N13" i="19"/>
  <c r="O45" i="21" s="1"/>
  <c r="N16" i="19"/>
  <c r="O48" i="21" s="1"/>
  <c r="O3" i="19"/>
  <c r="O19" i="19" s="1"/>
  <c r="P51" i="21" s="1"/>
  <c r="I63" i="21" s="1"/>
  <c r="P63" i="21" s="1"/>
  <c r="N4" i="19"/>
  <c r="N5" i="19"/>
  <c r="O46" i="16" s="1"/>
  <c r="N6" i="19"/>
  <c r="O47" i="16" s="1"/>
  <c r="M7" i="19"/>
  <c r="O52" i="21" l="1"/>
  <c r="O45" i="16"/>
  <c r="O14" i="19"/>
  <c r="P46" i="21" s="1"/>
  <c r="I58" i="21" s="1"/>
  <c r="P58" i="21" s="1"/>
  <c r="O17" i="19"/>
  <c r="P49" i="21" s="1"/>
  <c r="I61" i="21" s="1"/>
  <c r="P61" i="21" s="1"/>
  <c r="O13" i="19"/>
  <c r="P45" i="21" s="1"/>
  <c r="I57" i="21" s="1"/>
  <c r="P57" i="21" s="1"/>
  <c r="O12" i="19"/>
  <c r="P44" i="21" s="1"/>
  <c r="O16" i="19"/>
  <c r="P48" i="21" s="1"/>
  <c r="I60" i="21" s="1"/>
  <c r="P60" i="21" s="1"/>
  <c r="O15" i="19"/>
  <c r="P47" i="21" s="1"/>
  <c r="I59" i="21" s="1"/>
  <c r="P59" i="21" s="1"/>
  <c r="O18" i="19"/>
  <c r="P50" i="21" s="1"/>
  <c r="I62" i="21" s="1"/>
  <c r="P62" i="21" s="1"/>
  <c r="N7" i="19"/>
  <c r="O5" i="19"/>
  <c r="P46" i="16" s="1"/>
  <c r="O6" i="19"/>
  <c r="P47" i="16" s="1"/>
  <c r="O4" i="19"/>
  <c r="P52" i="21" l="1"/>
  <c r="O48" i="16"/>
  <c r="P45" i="16"/>
  <c r="P48" i="16" s="1"/>
  <c r="I56" i="16"/>
  <c r="P56" i="16" s="1"/>
  <c r="I56" i="21"/>
  <c r="I64" i="21" s="1"/>
  <c r="I55" i="16"/>
  <c r="P55" i="16" s="1"/>
  <c r="O7" i="19"/>
  <c r="P64" i="21" l="1"/>
  <c r="P56" i="21"/>
  <c r="I54" i="16"/>
  <c r="I57" i="16" l="1"/>
  <c r="P57" i="16" s="1"/>
  <c r="P54" i="16"/>
</calcChain>
</file>

<file path=xl/connections.xml><?xml version="1.0" encoding="utf-8"?>
<connections xmlns="http://schemas.openxmlformats.org/spreadsheetml/2006/main">
  <connection id="1" name="175KQuery" type="1" refreshedVersion="4" savePassword="1" saveData="1">
    <dbPr connection="DSN=Agency" command="select b.issueDate, IssueAmount = sum(issueAmount) from fnm.sec b, fnm.aolsquartile q where b.issueid = q.issueid and Collateraltype = 'LOAN' and b.marketTicker = 'FNCL' and q.q4max &gt; 150000 and q.q4Max &lt;= 175000 and q.asOf = b.issueDate and b.issueDate &gt;= '20100801' and b.issueDate &lt;= '20150601' group by b.issueDate order by issuedate "/>
  </connection>
  <connection id="2" name="CombineResult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AsOf &lt;= '2015-04-01' and AsOf &gt;= '20070101' and AsOf not in (  '20090501','20090601', '20090701', '20070601', '20070701')Group by Asof order by asof desc"/>
  </connection>
  <connection id="3" name="CQQuery1" type="1" refreshedVersion="4" savePassword="1" saveData="1">
    <dbPr connection="DSN=Agency" command="select b.marketTicker, issueDate, description, issueAmount = Sum(issueAmount) from fnm.Sec b join (select marketTicker,description from fnm.ReportPrefix  group by  marketTicker,description) r on b.marketTicker = r.marketTicker where b.marketTicker = 'FNCQ30' and b.issueDate &gt;= '20100801' and b.issueDate &lt;= '20150601' Group by b.marketTicker, issueDate, Description order by b.marketTicker, issueDate, Description "/>
  </connection>
  <connection id="4" name="CRQuery1" type="1" refreshedVersion="4" savePassword="1" saveData="1">
    <dbPr connection="DSN=Agency" command="select b.marketTicker, issueDate, description, issueAmount = Sum(issueAmount) from fnm.Sec b join (select marketTicker,description from fnm.ReportPrefix  group by  marketTicker,description) r on b.marketTicker = r.marketTicker where b.marketTicker = 'FNCR' and b.issueDate &gt;= '20100801' and b.issueDate &lt;= '20150601' Group by b.marketTicker, issueDate, Description order by b.marketTicker, issueDate, Description "/>
  </connection>
  <connection id="5" name="GeoQuery1" type="1" refreshedVersion="4" savePassword="1" saveData="1">
    <dbPr connection="DSN=Agency" command="select b.issueDate, IssueAmount = sum(b.issueAmount) from fnm.sec b, fnm.Geodist di where b.issueid = di.issueid And di.asOf = b.issueDate and b.Collateraltype = 'LOAN' and b.marketTicker = 'FNCL' and di.state in ('NY','PR') and di.percentRpb &gt;= 100 and b.issueDate &gt;= '20100801' and b.issueDate &lt;= '20150601' group by b.issueDate order by issuedate "/>
  </connection>
  <connection id="6" name="HLBQuery11" type="1" refreshedVersion="4" savePassword="1" saveData="1">
    <dbPr connection="DSN=Agency" command="select b.issueDate, IssueAmount = sum(issueAmount) from fnm.sec b, fnm.aolsquartile q where b.issueid = q.issueid and Collateraltype = 'LOAN' and b.marketTicker = 'FNCL' and q.q4max &gt; 110000 and q.q4Max &lt;= 150000 and q.asOf = b.issueDate and b.issueDate &gt;= '20100801' and b.issueDate &lt;= '20150601' group by b.issueDate order by issuedate "/>
  </connection>
  <connection id="7" name="InvestorQuery1" type="1" refreshedVersion="4" savePassword="1" saveData="1">
    <dbPr connection="DSN=Agency" command="select b.issueDate, IssueAmount = sum(b.issueAmount)  from fnm.sec b,  fnm.OccupancyDist op where b.issueid = op.issueid And op.asOf = b.issueDate and b.Collateraltype = 'LOAN' and b.marketTicker = 'FNCL' and op.distributionType = 'INV' and op.percentRpb &gt;= 99.5 and b.issueDate &gt;= '20100801' and b.issueDate &lt;= '20150601' group by b.issueDate order by issuedate "/>
  </connection>
  <connection id="8" name="JumboQuery" type="1" refreshedVersion="4" savePassword="1" saveData="1">
    <dbPr connection="DSN=Agency" command="select b.marketTicker, issueDate, description, issueAmount = Sum(issueAmount) from fnm.Sec b join (select marketTicker,description from fnm.ReportPrefix  group by  marketTicker,description) r on b.marketTicker = r.marketTicker where b.marketTicker in ('FNCK','FNCJ','FNCQ30','FNCR') Group by b.marketTicker, issueDate, Description order by b.marketTicker, issueDate, Description "/>
  </connection>
  <connection id="9" name="JumboQuery1" type="1" refreshedVersion="4" savePassword="1" saveData="1">
    <dbPr connection="DSN=Agency" command="select b.marketTicker, issueDate, description, issueAmount = Sum(issueAmount) from fnm.Sec b join (select marketTicker,description from fnm.ReportPrefix  group by  marketTicker,description) r on b.marketTicker = r.marketTicker where b.marketTicker = 'FNCK' and b.issueDate &gt;= '20100801' and b.issueDate &lt;= '20150601' Group by b.marketTicker, issueDate, Description order by b.marketTicker, issueDate, Description "/>
  </connection>
  <connection id="10" name="LLBQuery111" type="1" refreshedVersion="4" savePassword="1" saveData="1">
    <dbPr connection="DSN=Agency" command="select b.issueDate, IssueAmount = sum(issueAmount) from fnm.sec b, fnm.aolsquartile q where b.issueid = q.issueid and Collateraltype = 'LOAN' and b.marketTicker = 'FNCL' and q.q4max &gt; 0 and q.q4Max &lt;= 85000 and q.asOf = b.issueDate and b.issueDate &gt;= '20100801' and b.issueDate &lt;= '20150601' group by b.issueDate order by issuedate "/>
  </connection>
  <connection id="11" name="LowFICOQuery1" type="1" refreshedVersion="4" savePassword="1" saveData="1">
    <dbPr connection="DSN=Agency" command="select b.issueDate, LowFICO = sum(b.issueAmount) from fnm.sec b,  fnm.WAOCSQuartile cs where b.issueid = cs.issueid And cs.asOf = b.issueDate  and b.Collateraltype = 'LOAN' and b.marketTicker = 'FNCL' and cs.q4Max &lt; 700 and cs.q4Max &gt; 350 and b.issueDate &gt;= '20100801' and b.issueDate &lt;= '20150601' group by b.issueDate order by issuedate "/>
  </connection>
  <connection id="12" name="MHAQuery1" type="1" refreshedVersion="4" savePassword="1" saveData="1">
    <dbPr connection="DSN=Agency" command="select b.issueDate, di.issueid, IssueAmount = sum(b.issueAmount) into #tempREFI from fnm.sec b,  fnm.loanpurposeDist di where b.issueid = di.issueid and di.asOf = b.issueDate and b.Collateraltype = 'LOAN' and b.marketTicker = 'FNCL' and di.distributionType = 'RE-FI' and di.percentRpb &gt;= 100 and b.issueDate &gt;= '20100801' and b.issueDate &lt;= '20150601' group by b.issueDate, di.issueid select b.issueDate, IssueAmount = sum(t.issueAmount) from fnm.sec b,  fnm.WAOLTVQuartile q, #tempREFI t where b.issueid = q.issueid And t.issueid = q.issueid And b.issueDate = t.issueDate And q.asOf = b.issueDate and b.Collateraltype = 'LOAN' and b.marketTicker = 'FNCL' and q.q4Max &lt;= 105 and q.q1Min &gt; 80 and b.issueDate &gt;= '20100801' and b.issueDate &lt;= '20150601' group by b.issueDate order by b.issuedate "/>
  </connection>
  <connection id="13" name="MLBQuery11" type="1" refreshedVersion="4" savePassword="1" saveData="1">
    <dbPr connection="DSN=Agency" command="select b.issueDate, IssueAmount = sum(issueAmount) from fnm.sec b, fnm.aolsquartile q where b.issueid = q.issueid and Collateraltype = 'LOAN' and b.marketTicker = 'FNCL' and q.q4max &gt; 85000 and q.q4Max &lt;= 110000 and q.asOf = b.issueDate and b.issueDate &gt;= '20100801' and b.issueDate &lt;= '20150601' group by b.issueDate order by issuedate "/>
  </connection>
  <connection id="14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5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6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7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18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9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20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21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  <connection id="22" name="TotalQuery1" type="1" refreshedVersion="4" savePassword="1" saveData="1">
    <dbPr connection="DSN=Agency" command="select b.issueDate, IssueAmount = sum(b.issueAmount) from fnm.sec b where b.Collateraltype = 'LOAN' and b.marketTicker = 'FNCL' and b.issueDate &gt;= '20100801' and b.issueDate &lt;= '20150601' group by b.issueDate order by issuedate "/>
  </connection>
</connections>
</file>

<file path=xl/sharedStrings.xml><?xml version="1.0" encoding="utf-8"?>
<sst xmlns="http://schemas.openxmlformats.org/spreadsheetml/2006/main" count="454" uniqueCount="48">
  <si>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</si>
  <si>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</si>
  <si>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</si>
  <si>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</si>
  <si>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</si>
  <si>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</si>
  <si>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</si>
  <si>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</si>
  <si>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</si>
  <si>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</si>
  <si>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</si>
  <si>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1M Chg</t>
  </si>
  <si>
    <t>3M Chg</t>
  </si>
  <si>
    <t>6M Chg</t>
  </si>
  <si>
    <t>1Y Chg</t>
  </si>
  <si>
    <t>Month</t>
  </si>
  <si>
    <t>Last Month</t>
  </si>
  <si>
    <t>Report Folder</t>
  </si>
  <si>
    <t>S:\IT\Production\Daily Reports\Primary Market\tmp\</t>
  </si>
  <si>
    <t>marketTicker</t>
  </si>
  <si>
    <t>issueDate</t>
  </si>
  <si>
    <t>description</t>
  </si>
  <si>
    <t>issueAmount</t>
  </si>
  <si>
    <t>FNCK</t>
  </si>
  <si>
    <t>Fannie Mae Single Family 30 Year Jumbo Conforming</t>
  </si>
  <si>
    <t>FNCQ30</t>
  </si>
  <si>
    <t>FNMA CONV LONG TERM 30YR OR LESS LTV &gt;105 &lt;=125</t>
  </si>
  <si>
    <t>FNCR</t>
  </si>
  <si>
    <t>FNMA CONV LONG TERM 30YR OR LESS LTV &gt;125</t>
  </si>
  <si>
    <t>CQ</t>
  </si>
  <si>
    <t>CR</t>
  </si>
  <si>
    <t>Jumbo</t>
  </si>
  <si>
    <t>Total</t>
  </si>
  <si>
    <t>Issuance Volume (Million)</t>
  </si>
  <si>
    <t>Changes (Million)</t>
  </si>
  <si>
    <t>IssueAmount</t>
  </si>
  <si>
    <t>175K</t>
  </si>
  <si>
    <t>HLB</t>
  </si>
  <si>
    <t>MLB</t>
  </si>
  <si>
    <t>LLB</t>
  </si>
  <si>
    <t>Low FICO</t>
  </si>
  <si>
    <t>MHA</t>
  </si>
  <si>
    <t>Investor</t>
  </si>
  <si>
    <t>LowFICO</t>
  </si>
  <si>
    <t>Percentage Changes (%)</t>
  </si>
  <si>
    <t>Geo</t>
  </si>
  <si>
    <t>Last Month:</t>
  </si>
  <si>
    <t>%All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</si>
</sst>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4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</numFmts>
  <fonts count="13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</font>
    <font>
      <sz val="10"/>
      <color theme="1"/>
      <name val="Calibri"/>
      <family val="2"/>
    </font>
    <font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4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27">
    <xf numFmtId="0" fontId="0" fillId="0" borderId="0"/>
    <xf numFmtId="9" fontId="1" fillId="0" borderId="0" applyFont="0" applyFill="0" applyBorder="0" applyAlignment="0" applyProtection="0"/>
    <xf numFmtId="0" fontId="5" fillId="5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5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9" borderId="0" applyNumberFormat="0" applyBorder="0" applyAlignment="0" applyProtection="0"/>
    <xf numFmtId="0" fontId="12" fillId="10" borderId="0" applyNumberFormat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2" fillId="12" borderId="0" applyNumberFormat="0" applyBorder="0" applyAlignment="0" applyProtection="0"/>
    <xf numFmtId="0" fontId="13" fillId="11" borderId="0" applyNumberFormat="0" applyBorder="0" applyAlignment="0" applyProtection="0"/>
    <xf numFmtId="0" fontId="14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5" borderId="0" applyNumberFormat="0" applyBorder="0" applyAlignment="0" applyProtection="0"/>
    <xf numFmtId="0" fontId="14" fillId="1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8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4" fillId="18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13" borderId="0" applyNumberFormat="0" applyBorder="0" applyAlignment="0" applyProtection="0"/>
    <xf numFmtId="0" fontId="12" fillId="18" borderId="0" applyNumberFormat="0" applyBorder="0" applyAlignment="0" applyProtection="0"/>
    <xf numFmtId="0" fontId="13" fillId="15" borderId="0" applyNumberFormat="0" applyBorder="0" applyAlignment="0" applyProtection="0"/>
    <xf numFmtId="0" fontId="14" fillId="18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5" borderId="0" applyNumberFormat="0" applyBorder="0" applyAlignment="0" applyProtection="0"/>
    <xf numFmtId="0" fontId="15" fillId="19" borderId="0" applyNumberFormat="0" applyBorder="0" applyAlignment="0" applyProtection="0"/>
    <xf numFmtId="0" fontId="16" fillId="19" borderId="0" applyNumberFormat="0" applyBorder="0" applyAlignment="0" applyProtection="0"/>
    <xf numFmtId="0" fontId="17" fillId="19" borderId="0" applyNumberFormat="0" applyBorder="0" applyAlignment="0" applyProtection="0"/>
    <xf numFmtId="0" fontId="15" fillId="10" borderId="0" applyNumberFormat="0" applyBorder="0" applyAlignment="0" applyProtection="0"/>
    <xf numFmtId="0" fontId="16" fillId="13" borderId="0" applyNumberFormat="0" applyBorder="0" applyAlignment="0" applyProtection="0"/>
    <xf numFmtId="0" fontId="17" fillId="20" borderId="0" applyNumberFormat="0" applyBorder="0" applyAlignment="0" applyProtection="0"/>
    <xf numFmtId="0" fontId="15" fillId="16" borderId="0" applyNumberFormat="0" applyBorder="0" applyAlignment="0" applyProtection="0"/>
    <xf numFmtId="0" fontId="16" fillId="26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3" borderId="0" applyNumberFormat="0" applyBorder="0" applyAlignment="0" applyProtection="0"/>
    <xf numFmtId="0" fontId="15" fillId="8" borderId="0" applyNumberFormat="0" applyBorder="0" applyAlignment="0" applyProtection="0"/>
    <xf numFmtId="0" fontId="16" fillId="8" borderId="0" applyNumberFormat="0" applyBorder="0" applyAlignment="0" applyProtection="0"/>
    <xf numFmtId="0" fontId="17" fillId="28" borderId="0" applyNumberFormat="0" applyBorder="0" applyAlignment="0" applyProtection="0"/>
    <xf numFmtId="0" fontId="15" fillId="23" borderId="0" applyNumberFormat="0" applyBorder="0" applyAlignment="0" applyProtection="0"/>
    <xf numFmtId="0" fontId="16" fillId="29" borderId="0" applyNumberFormat="0" applyBorder="0" applyAlignment="0" applyProtection="0"/>
    <xf numFmtId="0" fontId="17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5" fillId="33" borderId="0" applyNumberFormat="0" applyBorder="0" applyAlignment="0" applyProtection="0"/>
    <xf numFmtId="0" fontId="16" fillId="32" borderId="0" applyNumberFormat="0" applyBorder="0" applyAlignment="0" applyProtection="0"/>
    <xf numFmtId="0" fontId="17" fillId="33" borderId="0" applyNumberFormat="0" applyBorder="0" applyAlignment="0" applyProtection="0"/>
    <xf numFmtId="0" fontId="15" fillId="29" borderId="0" applyNumberFormat="0" applyBorder="0" applyAlignment="0" applyProtection="0"/>
    <xf numFmtId="0" fontId="16" fillId="29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33" borderId="0" applyNumberFormat="0" applyBorder="0" applyAlignment="0" applyProtection="0"/>
    <xf numFmtId="0" fontId="17" fillId="23" borderId="0" applyNumberFormat="0" applyBorder="0" applyAlignment="0" applyProtection="0"/>
    <xf numFmtId="0" fontId="15" fillId="34" borderId="0" applyNumberFormat="0" applyBorder="0" applyAlignment="0" applyProtection="0"/>
    <xf numFmtId="0" fontId="16" fillId="34" borderId="0" applyNumberFormat="0" applyBorder="0" applyAlignment="0" applyProtection="0"/>
    <xf numFmtId="0" fontId="17" fillId="34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9" borderId="0" applyNumberFormat="0" applyBorder="0" applyAlignment="0" applyProtection="0"/>
    <xf numFmtId="0" fontId="19" fillId="9" borderId="0" applyNumberFormat="0" applyBorder="0" applyAlignment="0" applyProtection="0"/>
    <xf numFmtId="0" fontId="20" fillId="9" borderId="0" applyNumberFormat="0" applyBorder="0" applyAlignment="0" applyProtection="0"/>
    <xf numFmtId="38" fontId="21" fillId="12" borderId="0"/>
    <xf numFmtId="0" fontId="22" fillId="0" borderId="0" applyNumberFormat="0" applyFill="0" applyBorder="0" applyAlignment="0" applyProtection="0"/>
    <xf numFmtId="0" fontId="23" fillId="35" borderId="0">
      <alignment horizontal="left"/>
    </xf>
    <xf numFmtId="2" fontId="24" fillId="36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7" borderId="0"/>
    <xf numFmtId="167" fontId="11" fillId="0" borderId="0" applyFont="0" applyFill="0" applyBorder="0" applyAlignment="0" applyProtection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68" fontId="28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9" fillId="12" borderId="7" applyNumberFormat="0" applyAlignment="0" applyProtection="0"/>
    <xf numFmtId="0" fontId="30" fillId="14" borderId="7" applyNumberFormat="0" applyAlignment="0" applyProtection="0"/>
    <xf numFmtId="0" fontId="31" fillId="16" borderId="7" applyNumberFormat="0" applyAlignment="0" applyProtection="0"/>
    <xf numFmtId="0" fontId="32" fillId="38" borderId="8" applyNumberFormat="0"/>
    <xf numFmtId="0" fontId="33" fillId="39" borderId="9" applyBorder="0">
      <alignment horizontal="center" wrapText="1"/>
    </xf>
    <xf numFmtId="0" fontId="33" fillId="40" borderId="9" applyBorder="0">
      <alignment horizontal="center" wrapText="1"/>
    </xf>
    <xf numFmtId="0" fontId="34" fillId="41" borderId="8" applyNumberFormat="0"/>
    <xf numFmtId="0" fontId="35" fillId="42" borderId="8" applyNumberFormat="0"/>
    <xf numFmtId="0" fontId="3" fillId="42" borderId="8" applyNumberFormat="0"/>
    <xf numFmtId="0" fontId="34" fillId="41" borderId="8" applyNumberFormat="0"/>
    <xf numFmtId="0" fontId="35" fillId="41" borderId="8" applyNumberFormat="0"/>
    <xf numFmtId="0" fontId="34" fillId="38" borderId="8" applyNumberFormat="0"/>
    <xf numFmtId="0" fontId="32" fillId="38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6" fillId="41" borderId="10" applyNumberFormat="0" applyAlignment="0"/>
    <xf numFmtId="14" fontId="36" fillId="42" borderId="10" applyNumberFormat="0" applyAlignment="0"/>
    <xf numFmtId="14" fontId="37" fillId="42" borderId="10" applyNumberFormat="0" applyAlignment="0"/>
    <xf numFmtId="0" fontId="38" fillId="43" borderId="11" applyNumberFormat="0" applyAlignment="0" applyProtection="0"/>
    <xf numFmtId="0" fontId="39" fillId="43" borderId="11" applyNumberFormat="0" applyAlignment="0" applyProtection="0"/>
    <xf numFmtId="0" fontId="40" fillId="43" borderId="11" applyNumberFormat="0" applyAlignment="0" applyProtection="0"/>
    <xf numFmtId="0" fontId="41" fillId="0" borderId="0" applyNumberFormat="0" applyFill="0" applyBorder="0" applyAlignment="0" applyProtection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0" fontId="27" fillId="0" borderId="0" applyFont="0" applyFill="0" applyBorder="0" applyAlignment="0" applyProtection="0"/>
    <xf numFmtId="168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3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4" fontId="10" fillId="0" borderId="0" applyFont="0" applyFill="0" applyBorder="0" applyProtection="0"/>
    <xf numFmtId="175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5" fontId="13" fillId="12" borderId="0"/>
    <xf numFmtId="14" fontId="13" fillId="0" borderId="0" applyFill="0" applyBorder="0" applyAlignment="0"/>
    <xf numFmtId="0" fontId="46" fillId="36" borderId="0">
      <alignment horizontal="left"/>
    </xf>
    <xf numFmtId="176" fontId="10" fillId="0" borderId="0" applyFill="0" applyBorder="0" applyAlignment="0" applyProtection="0"/>
    <xf numFmtId="14" fontId="10" fillId="0" borderId="0"/>
    <xf numFmtId="0" fontId="49" fillId="19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7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8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79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0" fontId="10" fillId="0" borderId="0" applyFont="0" applyFill="0" applyBorder="0" applyAlignment="0" applyProtection="0"/>
    <xf numFmtId="0" fontId="13" fillId="12" borderId="0"/>
    <xf numFmtId="0" fontId="57" fillId="11" borderId="0" applyNumberFormat="0" applyBorder="0" applyAlignment="0" applyProtection="0"/>
    <xf numFmtId="0" fontId="58" fillId="15" borderId="0" applyNumberFormat="0" applyBorder="0" applyAlignment="0" applyProtection="0"/>
    <xf numFmtId="0" fontId="59" fillId="11" borderId="0" applyNumberFormat="0" applyBorder="0" applyAlignment="0" applyProtection="0"/>
    <xf numFmtId="2" fontId="60" fillId="36" borderId="6" applyProtection="0">
      <alignment horizontal="left"/>
      <protection locked="0"/>
    </xf>
    <xf numFmtId="38" fontId="41" fillId="44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6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2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5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4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2" borderId="0"/>
    <xf numFmtId="0" fontId="83" fillId="8" borderId="0" applyNumberFormat="0" applyBorder="0" applyAlignment="0" applyProtection="0"/>
    <xf numFmtId="0" fontId="84" fillId="13" borderId="0" applyNumberFormat="0" applyBorder="0" applyAlignment="0" applyProtection="0"/>
    <xf numFmtId="0" fontId="85" fillId="37" borderId="0" applyNumberFormat="0" applyBorder="0" applyAlignment="0" applyProtection="0"/>
    <xf numFmtId="37" fontId="86" fillId="0" borderId="0"/>
    <xf numFmtId="0" fontId="49" fillId="12" borderId="0" applyNumberFormat="0" applyFont="0" applyFill="0" applyBorder="0" applyAlignment="0"/>
    <xf numFmtId="10" fontId="13" fillId="12" borderId="0"/>
    <xf numFmtId="181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2" borderId="0"/>
    <xf numFmtId="0" fontId="10" fillId="42" borderId="0"/>
    <xf numFmtId="0" fontId="10" fillId="0" borderId="0"/>
    <xf numFmtId="0" fontId="10" fillId="0" borderId="0"/>
    <xf numFmtId="0" fontId="34" fillId="41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34" fillId="41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3" borderId="2" applyNumberFormat="0" applyFont="0" applyAlignment="0" applyProtection="0"/>
    <xf numFmtId="0" fontId="13" fillId="10" borderId="26" applyNumberFormat="0" applyFont="0" applyAlignment="0" applyProtection="0"/>
    <xf numFmtId="0" fontId="89" fillId="10" borderId="26" applyNumberFormat="0" applyFont="0" applyAlignment="0" applyProtection="0"/>
    <xf numFmtId="0" fontId="34" fillId="3" borderId="2" applyNumberFormat="0" applyFont="0" applyAlignment="0" applyProtection="0"/>
    <xf numFmtId="0" fontId="90" fillId="0" borderId="0"/>
    <xf numFmtId="0" fontId="14" fillId="10" borderId="26" applyNumberFormat="0" applyFont="0" applyAlignment="0" applyProtection="0"/>
    <xf numFmtId="0" fontId="34" fillId="3" borderId="2" applyNumberFormat="0" applyFont="0" applyAlignment="0" applyProtection="0"/>
    <xf numFmtId="0" fontId="34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7" fillId="0" borderId="0">
      <alignment horizontal="center"/>
    </xf>
    <xf numFmtId="37" fontId="10" fillId="0" borderId="0"/>
    <xf numFmtId="183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4" fontId="91" fillId="0" borderId="0" applyNumberFormat="0" applyFill="0" applyBorder="0" applyAlignment="0" applyProtection="0"/>
    <xf numFmtId="164" fontId="27" fillId="0" borderId="0">
      <alignment horizontal="center"/>
    </xf>
    <xf numFmtId="0" fontId="34" fillId="6" borderId="0" applyNumberFormat="0" applyFont="0" applyBorder="0" applyAlignment="0" applyProtection="0"/>
    <xf numFmtId="0" fontId="91" fillId="0" borderId="27"/>
    <xf numFmtId="2" fontId="92" fillId="36" borderId="6">
      <alignment horizontal="left"/>
    </xf>
    <xf numFmtId="0" fontId="93" fillId="12" borderId="28" applyNumberFormat="0" applyAlignment="0" applyProtection="0"/>
    <xf numFmtId="0" fontId="94" fillId="14" borderId="28" applyNumberFormat="0" applyAlignment="0" applyProtection="0"/>
    <xf numFmtId="0" fontId="95" fillId="16" borderId="28" applyNumberFormat="0" applyAlignment="0" applyProtection="0"/>
    <xf numFmtId="40" fontId="13" fillId="36" borderId="0">
      <alignment horizontal="right"/>
    </xf>
    <xf numFmtId="0" fontId="96" fillId="45" borderId="0">
      <alignment horizontal="center"/>
    </xf>
    <xf numFmtId="0" fontId="39" fillId="46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5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186" fontId="27" fillId="0" borderId="0">
      <alignment horizontal="center"/>
    </xf>
    <xf numFmtId="187" fontId="27" fillId="0" borderId="3">
      <alignment horizontal="center"/>
    </xf>
    <xf numFmtId="0" fontId="100" fillId="0" borderId="29" applyAlignment="0">
      <alignment horizontal="center"/>
    </xf>
    <xf numFmtId="0" fontId="101" fillId="44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8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89" fontId="103" fillId="0" borderId="0" applyNumberFormat="0" applyFill="0" applyBorder="0" applyAlignment="0" applyProtection="0">
      <alignment horizontal="left"/>
    </xf>
    <xf numFmtId="0" fontId="49" fillId="33" borderId="0">
      <alignment horizontal="left"/>
    </xf>
    <xf numFmtId="0" fontId="104" fillId="0" borderId="31"/>
    <xf numFmtId="187" fontId="24" fillId="10" borderId="0">
      <alignment horizontal="center"/>
    </xf>
    <xf numFmtId="187" fontId="105" fillId="10" borderId="0">
      <alignment horizontal="center"/>
    </xf>
    <xf numFmtId="187" fontId="24" fillId="11" borderId="0">
      <alignment horizontal="center"/>
    </xf>
    <xf numFmtId="0" fontId="24" fillId="10" borderId="0">
      <alignment horizontal="left"/>
    </xf>
    <xf numFmtId="0" fontId="106" fillId="0" borderId="0" applyFont="0" applyFill="0" applyBorder="0" applyAlignment="0" applyProtection="0"/>
    <xf numFmtId="190" fontId="28" fillId="0" borderId="0" applyFont="0" applyFill="0" applyBorder="0" applyAlignment="0" applyProtection="0"/>
    <xf numFmtId="191" fontId="10" fillId="0" borderId="0"/>
    <xf numFmtId="0" fontId="10" fillId="0" borderId="0"/>
    <xf numFmtId="0" fontId="10" fillId="0" borderId="0">
      <alignment horizontal="left" wrapText="1"/>
    </xf>
    <xf numFmtId="0" fontId="24" fillId="10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6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2" fontId="27" fillId="0" borderId="0">
      <alignment horizontal="center"/>
    </xf>
    <xf numFmtId="187" fontId="27" fillId="0" borderId="0">
      <alignment horizontal="center"/>
    </xf>
    <xf numFmtId="0" fontId="110" fillId="47" borderId="0"/>
    <xf numFmtId="193" fontId="27" fillId="0" borderId="0">
      <alignment horizontal="center"/>
    </xf>
    <xf numFmtId="193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2" borderId="0"/>
    <xf numFmtId="49" fontId="13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2" borderId="0"/>
    <xf numFmtId="0" fontId="34" fillId="48" borderId="33" applyBorder="0">
      <alignment horizontal="center" wrapText="1"/>
    </xf>
    <xf numFmtId="0" fontId="33" fillId="39" borderId="9" applyBorder="0">
      <alignment horizontal="center" wrapText="1"/>
    </xf>
    <xf numFmtId="0" fontId="34" fillId="49" borderId="9" applyBorder="0">
      <alignment horizontal="center" wrapText="1"/>
    </xf>
    <xf numFmtId="0" fontId="33" fillId="40" borderId="9" applyBorder="0">
      <alignment horizontal="center" wrapText="1"/>
    </xf>
    <xf numFmtId="0" fontId="7" fillId="50" borderId="9" applyBorder="0">
      <alignment horizontal="center" wrapText="1"/>
    </xf>
    <xf numFmtId="0" fontId="33" fillId="51" borderId="9" applyBorder="0">
      <alignment horizontal="center" wrapText="1"/>
    </xf>
    <xf numFmtId="0" fontId="33" fillId="51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2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1" borderId="10"/>
    <xf numFmtId="1" fontId="124" fillId="42" borderId="10"/>
    <xf numFmtId="2" fontId="125" fillId="42" borderId="10"/>
    <xf numFmtId="0" fontId="126" fillId="41" borderId="4" applyNumberFormat="0" applyAlignment="0"/>
    <xf numFmtId="0" fontId="127" fillId="42" borderId="4" applyNumberFormat="0" applyAlignment="0"/>
    <xf numFmtId="1" fontId="128" fillId="42" borderId="10" applyNumberFormat="0"/>
    <xf numFmtId="177" fontId="129" fillId="42" borderId="10" applyNumberFormat="0"/>
    <xf numFmtId="0" fontId="10" fillId="0" borderId="0"/>
  </cellStyleXfs>
  <cellXfs count="52">
    <xf numFmtId="0" fontId="0" fillId="0" borderId="0" xfId="0"/>
    <xf numFmtId="0" fontId="4" fillId="0" borderId="3" xfId="0" applyFont="1" applyBorder="1"/>
    <xf numFmtId="0" fontId="5" fillId="5" borderId="3" xfId="2" applyFont="1" applyBorder="1" applyAlignment="1">
      <alignment horizontal="center"/>
    </xf>
    <xf numFmtId="14" fontId="5" fillId="5" borderId="3" xfId="2" applyNumberFormat="1" applyFont="1" applyBorder="1"/>
    <xf numFmtId="0" fontId="6" fillId="0" borderId="0" xfId="0" applyFont="1"/>
    <xf numFmtId="0" fontId="7" fillId="0" borderId="0" xfId="0" applyFont="1"/>
    <xf numFmtId="164" fontId="8" fillId="7" borderId="38" xfId="0" applyNumberFormat="1" applyFont="1" applyFill="1" applyBorder="1" applyAlignment="1">
      <alignment horizontal="left"/>
    </xf>
    <xf numFmtId="164" fontId="8" fillId="7" borderId="38" xfId="0" applyNumberFormat="1" applyFont="1" applyFill="1" applyBorder="1" applyAlignment="1">
      <alignment horizontal="center"/>
    </xf>
    <xf numFmtId="164" fontId="8" fillId="7" borderId="39" xfId="0" applyNumberFormat="1" applyFont="1" applyFill="1" applyBorder="1" applyAlignment="1">
      <alignment horizontal="center"/>
    </xf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0" fontId="7" fillId="0" borderId="0" xfId="0" applyFont="1" applyAlignment="1">
      <alignment horizontal="right"/>
    </xf>
    <xf numFmtId="0" fontId="130" fillId="0" borderId="0" xfId="3" applyFont="1"/>
    <xf numFmtId="0" fontId="130" fillId="0" borderId="0" xfId="3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0" fontId="5" fillId="5" borderId="3" xfId="2" applyFont="1" applyBorder="1" applyAlignment="1">
      <alignment horizontal="left"/>
    </xf>
    <xf numFmtId="14" fontId="131" fillId="0" borderId="0" xfId="0" applyNumberFormat="1" applyFont="1"/>
    <xf numFmtId="0" fontId="131" fillId="0" borderId="0" xfId="0" applyFont="1"/>
    <xf numFmtId="164" fontId="8" fillId="7" borderId="3" xfId="0" applyNumberFormat="1" applyFont="1" applyFill="1" applyBorder="1" applyAlignment="1">
      <alignment horizontal="left"/>
    </xf>
    <xf numFmtId="14" fontId="8" fillId="7" borderId="3" xfId="0" applyNumberFormat="1" applyFont="1" applyFill="1" applyBorder="1" applyAlignment="1">
      <alignment horizontal="center"/>
    </xf>
    <xf numFmtId="164" fontId="7" fillId="0" borderId="3" xfId="1" applyNumberFormat="1" applyFont="1" applyBorder="1" applyAlignment="1">
      <alignment horizontal="left"/>
    </xf>
    <xf numFmtId="2" fontId="4" fillId="0" borderId="3" xfId="1" applyNumberFormat="1" applyFont="1" applyBorder="1" applyAlignment="1">
      <alignment horizontal="center"/>
    </xf>
    <xf numFmtId="2" fontId="7" fillId="0" borderId="3" xfId="1" applyNumberFormat="1" applyFont="1" applyBorder="1" applyAlignment="1">
      <alignment horizontal="center"/>
    </xf>
    <xf numFmtId="164" fontId="4" fillId="0" borderId="3" xfId="1" applyNumberFormat="1" applyFont="1" applyBorder="1" applyAlignment="1">
      <alignment horizontal="left"/>
    </xf>
    <xf numFmtId="164" fontId="4" fillId="0" borderId="0" xfId="1" applyNumberFormat="1" applyFont="1" applyBorder="1" applyAlignment="1">
      <alignment horizontal="left"/>
    </xf>
    <xf numFmtId="2" fontId="4" fillId="0" borderId="0" xfId="1" applyNumberFormat="1" applyFont="1" applyBorder="1" applyAlignment="1">
      <alignment horizontal="center"/>
    </xf>
    <xf numFmtId="164" fontId="4" fillId="0" borderId="3" xfId="1" applyNumberFormat="1" applyFont="1" applyBorder="1" applyAlignment="1">
      <alignment horizontal="right"/>
    </xf>
    <xf numFmtId="164" fontId="4" fillId="0" borderId="0" xfId="1" applyNumberFormat="1" applyFont="1" applyBorder="1" applyAlignment="1">
      <alignment horizontal="right"/>
    </xf>
    <xf numFmtId="14" fontId="7" fillId="0" borderId="0" xfId="0" applyNumberFormat="1" applyFont="1"/>
    <xf numFmtId="0" fontId="132" fillId="0" borderId="0" xfId="0" applyFont="1"/>
    <xf numFmtId="0" fontId="131" fillId="0" borderId="0" xfId="0" applyFont="1" applyAlignment="1">
      <alignment horizontal="center"/>
    </xf>
    <xf numFmtId="0" fontId="131" fillId="0" borderId="0" xfId="0" applyNumberFormat="1" applyFont="1"/>
    <xf numFmtId="0" fontId="132" fillId="0" borderId="0" xfId="0" applyNumberFormat="1" applyFont="1"/>
    <xf numFmtId="0" fontId="7" fillId="0" borderId="0" xfId="0" applyNumberFormat="1" applyFont="1"/>
    <xf numFmtId="0" fontId="7" fillId="0" borderId="3" xfId="1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left"/>
    </xf>
    <xf numFmtId="4" fontId="7" fillId="0" borderId="3" xfId="1" applyNumberFormat="1" applyFont="1" applyBorder="1" applyAlignment="1">
      <alignment horizontal="right"/>
    </xf>
    <xf numFmtId="4" fontId="4" fillId="0" borderId="3" xfId="1" applyNumberFormat="1" applyFont="1" applyBorder="1" applyAlignment="1">
      <alignment horizontal="right"/>
    </xf>
    <xf numFmtId="3" fontId="7" fillId="0" borderId="3" xfId="1" applyNumberFormat="1" applyFont="1" applyBorder="1" applyAlignment="1">
      <alignment horizontal="center"/>
    </xf>
    <xf numFmtId="3" fontId="4" fillId="0" borderId="3" xfId="1" applyNumberFormat="1" applyFont="1" applyBorder="1" applyAlignment="1">
      <alignment horizontal="center"/>
    </xf>
    <xf numFmtId="14" fontId="134" fillId="0" borderId="0" xfId="0" applyNumberFormat="1" applyFont="1" applyAlignment="1">
      <alignment horizontal="center"/>
    </xf>
    <xf numFmtId="0" fontId="133" fillId="0" borderId="0" xfId="0" applyNumberFormat="1" applyFont="1"/>
    <xf numFmtId="0" fontId="7" fillId="0" borderId="0" xfId="0" applyFont="1" applyAlignment="1">
      <alignment horizontal="center"/>
    </xf>
    <xf numFmtId="0" fontId="134" fillId="0" borderId="0" xfId="0" applyFont="1" applyAlignment="1">
      <alignment horizontal="right"/>
    </xf>
    <xf numFmtId="9" fontId="132" fillId="0" borderId="0" xfId="1" applyFont="1"/>
    <xf numFmtId="0" fontId="135" fillId="0" borderId="0" xfId="0" applyFont="1"/>
    <xf numFmtId="14" fontId="135" fillId="0" borderId="0" xfId="0" applyNumberFormat="1" applyFont="1"/>
    <xf numFmtId="0" fontId="135" fillId="0" borderId="0" xfId="0" applyNumberFormat="1" applyFont="1"/>
    <xf numFmtId="0" fontId="136" fillId="0" borderId="0" xfId="0" applyNumberFormat="1" applyFont="1"/>
    <xf numFmtId="9" fontId="136" fillId="0" borderId="0" xfId="1" applyFont="1"/>
  </cellXfs>
  <cellStyles count="527">
    <cellStyle name="_Bonds" xfId="4"/>
    <cellStyle name="_Bonds 2" xfId="5"/>
    <cellStyle name="_Offering" xfId="6"/>
    <cellStyle name="_Offering 2" xfId="7"/>
    <cellStyle name="£ BP" xfId="8"/>
    <cellStyle name="¥ JY" xfId="9"/>
    <cellStyle name="20% - Accent1 2" xfId="10"/>
    <cellStyle name="20% - Accent1 2 2" xfId="11"/>
    <cellStyle name="20% - Accent1 2 3" xfId="12"/>
    <cellStyle name="20% - Accent1 3" xfId="13"/>
    <cellStyle name="20% - Accent1 3 2" xfId="14"/>
    <cellStyle name="20% - Accent1 3 3" xfId="15"/>
    <cellStyle name="20% - Accent1 4" xfId="16"/>
    <cellStyle name="20% - Accent1 5" xfId="17"/>
    <cellStyle name="20% - Accent2 2" xfId="18"/>
    <cellStyle name="20% - Accent2 3" xfId="19"/>
    <cellStyle name="20% - Accent2 4" xfId="20"/>
    <cellStyle name="20% - Accent3 2" xfId="21"/>
    <cellStyle name="20% - Accent3 3" xfId="22"/>
    <cellStyle name="20% - Accent3 4" xfId="23"/>
    <cellStyle name="20% - Accent4 2" xfId="24"/>
    <cellStyle name="20% - Accent4 3" xfId="25"/>
    <cellStyle name="20% - Accent4 4" xfId="26"/>
    <cellStyle name="20% - Accent5 2" xfId="27"/>
    <cellStyle name="20% - Accent5 3" xfId="28"/>
    <cellStyle name="20% - Accent5 4" xfId="29"/>
    <cellStyle name="20% - Accent6 2" xfId="30"/>
    <cellStyle name="20% - Accent6 3" xfId="31"/>
    <cellStyle name="20% - Accent6 4" xfId="32"/>
    <cellStyle name="40% - Accent1 2" xfId="33"/>
    <cellStyle name="40% - Accent1 3" xfId="34"/>
    <cellStyle name="40% - Accent1 4" xfId="35"/>
    <cellStyle name="40% - Accent2 2" xfId="36"/>
    <cellStyle name="40% - Accent2 3" xfId="37"/>
    <cellStyle name="40% - Accent2 4" xfId="38"/>
    <cellStyle name="40% - Accent3 2" xfId="39"/>
    <cellStyle name="40% - Accent3 3" xfId="40"/>
    <cellStyle name="40% - Accent3 4" xfId="41"/>
    <cellStyle name="40% - Accent4 2" xfId="42"/>
    <cellStyle name="40% - Accent4 3" xfId="43"/>
    <cellStyle name="40% - Accent4 4" xfId="44"/>
    <cellStyle name="40% - Accent5 2" xfId="45"/>
    <cellStyle name="40% - Accent5 3" xfId="46"/>
    <cellStyle name="40% - Accent5 4" xfId="47"/>
    <cellStyle name="40% - Accent6 2" xfId="48"/>
    <cellStyle name="40% - Accent6 3" xfId="49"/>
    <cellStyle name="40% - Accent6 4" xfId="50"/>
    <cellStyle name="60% - Accent1 2" xfId="51"/>
    <cellStyle name="60% - Accent1 3" xfId="52"/>
    <cellStyle name="60% - Accent1 4" xfId="53"/>
    <cellStyle name="60% - Accent2 2" xfId="54"/>
    <cellStyle name="60% - Accent2 3" xfId="55"/>
    <cellStyle name="60% - Accent2 4" xfId="56"/>
    <cellStyle name="60% - Accent3 2" xfId="57"/>
    <cellStyle name="60% - Accent3 3" xfId="58"/>
    <cellStyle name="60% - Accent3 4" xfId="59"/>
    <cellStyle name="60% - Accent4 2" xfId="60"/>
    <cellStyle name="60% - Accent4 3" xfId="61"/>
    <cellStyle name="60% - Accent4 4" xfId="62"/>
    <cellStyle name="60% - Accent5 2" xfId="63"/>
    <cellStyle name="60% - Accent5 3" xfId="64"/>
    <cellStyle name="60% - Accent5 4" xfId="65"/>
    <cellStyle name="60% - Accent6 2" xfId="66"/>
    <cellStyle name="60% - Accent6 3" xfId="67"/>
    <cellStyle name="60% - Accent6 4" xfId="68"/>
    <cellStyle name="Accent1 2" xfId="69"/>
    <cellStyle name="Accent1 3" xfId="70"/>
    <cellStyle name="Accent1 4" xfId="71"/>
    <cellStyle name="Accent2 2" xfId="72"/>
    <cellStyle name="Accent2 3" xfId="73"/>
    <cellStyle name="Accent2 4" xfId="74"/>
    <cellStyle name="Accent3 2" xfId="75"/>
    <cellStyle name="Accent3 3" xfId="76"/>
    <cellStyle name="Accent3 4" xfId="77"/>
    <cellStyle name="Accent4 2" xfId="78"/>
    <cellStyle name="Accent4 3" xfId="79"/>
    <cellStyle name="Accent4 4" xfId="80"/>
    <cellStyle name="Accent5 2" xfId="81"/>
    <cellStyle name="Accent5 3" xfId="82"/>
    <cellStyle name="Accent5 4" xfId="83"/>
    <cellStyle name="Accent6 2" xfId="84"/>
    <cellStyle name="Accent6 3" xfId="85"/>
    <cellStyle name="Accent6 4" xfId="86"/>
    <cellStyle name="Auto_OpenAuto_CloseExtractD_Sheet1" xfId="87"/>
    <cellStyle name="Axis.EffectiveDate" xfId="88"/>
    <cellStyle name="Axis.Seasoning" xfId="89"/>
    <cellStyle name="Bad 2" xfId="90"/>
    <cellStyle name="Bad 3" xfId="91"/>
    <cellStyle name="Bad 4" xfId="92"/>
    <cellStyle name="Big Money" xfId="93"/>
    <cellStyle name="Blue" xfId="94"/>
    <cellStyle name="blue axis cells" xfId="95"/>
    <cellStyle name="blue text cells" xfId="96"/>
    <cellStyle name="Body" xfId="97"/>
    <cellStyle name="Bold/Border" xfId="98"/>
    <cellStyle name="Border" xfId="99"/>
    <cellStyle name="Bullet" xfId="100"/>
    <cellStyle name="Calc Currency (0)" xfId="101"/>
    <cellStyle name="Calc Currency (0) 2" xfId="102"/>
    <cellStyle name="Calc Currency (2)" xfId="103"/>
    <cellStyle name="Calc Currency (2) 2" xfId="104"/>
    <cellStyle name="Calc Percent (0)" xfId="105"/>
    <cellStyle name="Calc Percent (0) 2" xfId="106"/>
    <cellStyle name="Calc Percent (1)" xfId="107"/>
    <cellStyle name="Calc Percent (1) 2" xfId="108"/>
    <cellStyle name="Calc Percent (2)" xfId="109"/>
    <cellStyle name="Calc Percent (2) 2" xfId="110"/>
    <cellStyle name="Calc Units (0)" xfId="111"/>
    <cellStyle name="Calc Units (0) 2" xfId="112"/>
    <cellStyle name="Calc Units (1)" xfId="113"/>
    <cellStyle name="Calc Units (1) 2" xfId="114"/>
    <cellStyle name="Calc Units (2)" xfId="115"/>
    <cellStyle name="Calc Units (2) 2" xfId="116"/>
    <cellStyle name="Calculation 2" xfId="117"/>
    <cellStyle name="Calculation 3" xfId="118"/>
    <cellStyle name="Calculation 4" xfId="119"/>
    <cellStyle name="CCM Input" xfId="120"/>
    <cellStyle name="CCM Title Calculations" xfId="121"/>
    <cellStyle name="CCM Title Indicative" xfId="122"/>
    <cellStyle name="Cello Calculation" xfId="123"/>
    <cellStyle name="Cello Calculation 2" xfId="124"/>
    <cellStyle name="Cello Calculation 2 2" xfId="125"/>
    <cellStyle name="Cello Calculation 3" xfId="126"/>
    <cellStyle name="Cello Calculation 4" xfId="127"/>
    <cellStyle name="Cello Input" xfId="2"/>
    <cellStyle name="Cello Input 2" xfId="128"/>
    <cellStyle name="Cello Input 2 2" xfId="129"/>
    <cellStyle name="Cello Input 2 3" xfId="130"/>
    <cellStyle name="Cello Input 2 5" xfId="131"/>
    <cellStyle name="Cello Input 3" xfId="132"/>
    <cellStyle name="Cello Input 4" xfId="133"/>
    <cellStyle name="Cello Linked Cell" xfId="134"/>
    <cellStyle name="Cello Linked Cell 2" xfId="135"/>
    <cellStyle name="Cello Linked Cell 2 2" xfId="136"/>
    <cellStyle name="Check Cell 2" xfId="137"/>
    <cellStyle name="Check Cell 3" xfId="138"/>
    <cellStyle name="Check Cell 4" xfId="139"/>
    <cellStyle name="Co. Names" xfId="140"/>
    <cellStyle name="Comma  - Style1" xfId="141"/>
    <cellStyle name="Comma  - Style1 2" xfId="142"/>
    <cellStyle name="Comma  - Style2" xfId="143"/>
    <cellStyle name="Comma  - Style2 2" xfId="144"/>
    <cellStyle name="Comma  - Style3" xfId="145"/>
    <cellStyle name="Comma  - Style3 2" xfId="146"/>
    <cellStyle name="Comma  - Style4" xfId="147"/>
    <cellStyle name="Comma  - Style4 2" xfId="148"/>
    <cellStyle name="Comma  - Style5" xfId="149"/>
    <cellStyle name="Comma  - Style5 2" xfId="150"/>
    <cellStyle name="Comma  - Style6" xfId="151"/>
    <cellStyle name="Comma  - Style6 2" xfId="152"/>
    <cellStyle name="Comma  - Style7" xfId="153"/>
    <cellStyle name="Comma  - Style7 2" xfId="154"/>
    <cellStyle name="Comma  - Style8" xfId="155"/>
    <cellStyle name="Comma  - Style8 2" xfId="156"/>
    <cellStyle name="Comma [00]" xfId="157"/>
    <cellStyle name="Comma [00] 2" xfId="158"/>
    <cellStyle name="Comma 10" xfId="159"/>
    <cellStyle name="Comma 11" xfId="160"/>
    <cellStyle name="Comma 12" xfId="161"/>
    <cellStyle name="Comma 13" xfId="162"/>
    <cellStyle name="Comma 14" xfId="163"/>
    <cellStyle name="Comma 15" xfId="164"/>
    <cellStyle name="Comma 16" xfId="165"/>
    <cellStyle name="Comma 16 2" xfId="166"/>
    <cellStyle name="Comma 17" xfId="167"/>
    <cellStyle name="Comma 18" xfId="168"/>
    <cellStyle name="Comma 19" xfId="169"/>
    <cellStyle name="Comma 2" xfId="170"/>
    <cellStyle name="Comma 20" xfId="171"/>
    <cellStyle name="Comma 21" xfId="172"/>
    <cellStyle name="Comma 22" xfId="173"/>
    <cellStyle name="Comma 23" xfId="174"/>
    <cellStyle name="Comma 24" xfId="175"/>
    <cellStyle name="Comma 25" xfId="176"/>
    <cellStyle name="Comma 26" xfId="177"/>
    <cellStyle name="Comma 27" xfId="178"/>
    <cellStyle name="Comma 28" xfId="179"/>
    <cellStyle name="Comma 29" xfId="180"/>
    <cellStyle name="Comma 29 2" xfId="181"/>
    <cellStyle name="Comma 3" xfId="182"/>
    <cellStyle name="Comma 30" xfId="183"/>
    <cellStyle name="Comma 4" xfId="184"/>
    <cellStyle name="Comma 4 2" xfId="185"/>
    <cellStyle name="Comma 5" xfId="186"/>
    <cellStyle name="Comma 6" xfId="187"/>
    <cellStyle name="Comma 7" xfId="188"/>
    <cellStyle name="Comma 8" xfId="189"/>
    <cellStyle name="Comma 9" xfId="190"/>
    <cellStyle name="Comma0" xfId="191"/>
    <cellStyle name="Comma1 - Style1" xfId="192"/>
    <cellStyle name="Copied" xfId="193"/>
    <cellStyle name="CTDSwitchAnalysisHeader" xfId="194"/>
    <cellStyle name="Curren - Style2" xfId="195"/>
    <cellStyle name="Currency [00]" xfId="196"/>
    <cellStyle name="Currency [00] 2" xfId="197"/>
    <cellStyle name="Currency [2]" xfId="198"/>
    <cellStyle name="Currency 10" xfId="199"/>
    <cellStyle name="Currency 11" xfId="200"/>
    <cellStyle name="Currency 12" xfId="201"/>
    <cellStyle name="Currency 13" xfId="202"/>
    <cellStyle name="Currency 14" xfId="203"/>
    <cellStyle name="Currency 15" xfId="204"/>
    <cellStyle name="Currency 2" xfId="205"/>
    <cellStyle name="Currency 3" xfId="206"/>
    <cellStyle name="Currency 4" xfId="207"/>
    <cellStyle name="Currency 5" xfId="208"/>
    <cellStyle name="Currency 6" xfId="209"/>
    <cellStyle name="Currency 7" xfId="210"/>
    <cellStyle name="Currency 8" xfId="211"/>
    <cellStyle name="Currency 9" xfId="212"/>
    <cellStyle name="Currency0" xfId="213"/>
    <cellStyle name="Dash" xfId="214"/>
    <cellStyle name="Data.LongPercent" xfId="215"/>
    <cellStyle name="Data.NumPercent" xfId="216"/>
    <cellStyle name="Data.NumShortPercent" xfId="217"/>
    <cellStyle name="date" xfId="218"/>
    <cellStyle name="Date - Style3" xfId="219"/>
    <cellStyle name="Date 2" xfId="220"/>
    <cellStyle name="Date 3" xfId="221"/>
    <cellStyle name="Date 4" xfId="222"/>
    <cellStyle name="Date 5" xfId="223"/>
    <cellStyle name="Date 6" xfId="224"/>
    <cellStyle name="Date 7" xfId="225"/>
    <cellStyle name="Date Short" xfId="226"/>
    <cellStyle name="date title" xfId="227"/>
    <cellStyle name="Date_DV01" xfId="228"/>
    <cellStyle name="DateFormat" xfId="229"/>
    <cellStyle name="DBAHandle" xfId="230"/>
    <cellStyle name="DBAParameter" xfId="231"/>
    <cellStyle name="DELTA" xfId="232"/>
    <cellStyle name="DS 0" xfId="233"/>
    <cellStyle name="DS 1" xfId="234"/>
    <cellStyle name="DS 2" xfId="235"/>
    <cellStyle name="DS 3" xfId="236"/>
    <cellStyle name="DS 4" xfId="237"/>
    <cellStyle name="DS 5" xfId="238"/>
    <cellStyle name="DS 5 2" xfId="239"/>
    <cellStyle name="DS 6" xfId="240"/>
    <cellStyle name="Enter Currency (0)" xfId="241"/>
    <cellStyle name="Enter Currency (0) 2" xfId="242"/>
    <cellStyle name="Enter Currency (2)" xfId="243"/>
    <cellStyle name="Enter Currency (2) 2" xfId="244"/>
    <cellStyle name="Enter Units (0)" xfId="245"/>
    <cellStyle name="Enter Units (0) 2" xfId="246"/>
    <cellStyle name="Enter Units (1)" xfId="247"/>
    <cellStyle name="Enter Units (1) 2" xfId="248"/>
    <cellStyle name="Enter Units (2)" xfId="249"/>
    <cellStyle name="Enter Units (2) 2" xfId="250"/>
    <cellStyle name="Entered" xfId="251"/>
    <cellStyle name="Entries" xfId="252"/>
    <cellStyle name="Euro" xfId="253"/>
    <cellStyle name="Explanatory Text 2" xfId="254"/>
    <cellStyle name="Explanatory Text 3" xfId="255"/>
    <cellStyle name="Explanatory Text 4" xfId="256"/>
    <cellStyle name="Fixed" xfId="257"/>
    <cellStyle name="FullTime" xfId="258"/>
    <cellStyle name="General" xfId="259"/>
    <cellStyle name="Good 2" xfId="260"/>
    <cellStyle name="Good 3" xfId="261"/>
    <cellStyle name="Good 4" xfId="262"/>
    <cellStyle name="gray text cells" xfId="263"/>
    <cellStyle name="Grey" xfId="264"/>
    <cellStyle name="Header1" xfId="265"/>
    <cellStyle name="Header2" xfId="266"/>
    <cellStyle name="Heading" xfId="267"/>
    <cellStyle name="Heading 1 2" xfId="268"/>
    <cellStyle name="Heading 1 2 2" xfId="269"/>
    <cellStyle name="Heading 1 3" xfId="270"/>
    <cellStyle name="Heading 1 4" xfId="271"/>
    <cellStyle name="Heading 1 5" xfId="272"/>
    <cellStyle name="Heading 2 2" xfId="273"/>
    <cellStyle name="Heading 2 2 2" xfId="274"/>
    <cellStyle name="Heading 2 3" xfId="275"/>
    <cellStyle name="Heading 2 4" xfId="276"/>
    <cellStyle name="Heading 2 5" xfId="277"/>
    <cellStyle name="Heading 3 2" xfId="278"/>
    <cellStyle name="Heading 3 3" xfId="279"/>
    <cellStyle name="Heading 3 4" xfId="280"/>
    <cellStyle name="Heading 4 2" xfId="281"/>
    <cellStyle name="Heading 4 3" xfId="282"/>
    <cellStyle name="Heading 4 4" xfId="283"/>
    <cellStyle name="Heading 5" xfId="284"/>
    <cellStyle name="HEADING1" xfId="285"/>
    <cellStyle name="HEADING2" xfId="286"/>
    <cellStyle name="Hyperlink" xfId="3" builtinId="8"/>
    <cellStyle name="Hyperlink 2" xfId="287"/>
    <cellStyle name="Input [yellow]" xfId="288"/>
    <cellStyle name="Input 2" xfId="289"/>
    <cellStyle name="Input 2 2" xfId="290"/>
    <cellStyle name="Input 2 3" xfId="291"/>
    <cellStyle name="Input 3" xfId="292"/>
    <cellStyle name="Input 4" xfId="293"/>
    <cellStyle name="Input 5" xfId="294"/>
    <cellStyle name="Input 6" xfId="295"/>
    <cellStyle name="Input 7" xfId="296"/>
    <cellStyle name="Item" xfId="297"/>
    <cellStyle name="Link Currency (0)" xfId="298"/>
    <cellStyle name="Link Currency (0) 2" xfId="299"/>
    <cellStyle name="Link Currency (2)" xfId="300"/>
    <cellStyle name="Link Currency (2) 2" xfId="301"/>
    <cellStyle name="Link Units (0)" xfId="302"/>
    <cellStyle name="Link Units (0) 2" xfId="303"/>
    <cellStyle name="Link Units (1)" xfId="304"/>
    <cellStyle name="Link Units (1) 2" xfId="305"/>
    <cellStyle name="Link Units (2)" xfId="306"/>
    <cellStyle name="Link Units (2) 2" xfId="307"/>
    <cellStyle name="Linked Cell 2" xfId="308"/>
    <cellStyle name="Linked Cell 3" xfId="309"/>
    <cellStyle name="Linked Cell 4" xfId="310"/>
    <cellStyle name="Lookup" xfId="311"/>
    <cellStyle name="Milliers [0]_Basis" xfId="312"/>
    <cellStyle name="Milliers_Basis" xfId="313"/>
    <cellStyle name="Monétaire [0]_Basis" xfId="314"/>
    <cellStyle name="Monétaire_Basis" xfId="315"/>
    <cellStyle name="Money" xfId="316"/>
    <cellStyle name="Neutral 2" xfId="317"/>
    <cellStyle name="Neutral 3" xfId="318"/>
    <cellStyle name="Neutral 4" xfId="319"/>
    <cellStyle name="no dec" xfId="320"/>
    <cellStyle name="NoChange" xfId="321"/>
    <cellStyle name="Non Zero" xfId="322"/>
    <cellStyle name="Normal" xfId="0" builtinId="0"/>
    <cellStyle name="Normal - Style1" xfId="323"/>
    <cellStyle name="Normal 10" xfId="324"/>
    <cellStyle name="Normal 10 2" xfId="325"/>
    <cellStyle name="Normal 107" xfId="326"/>
    <cellStyle name="Normal 11" xfId="327"/>
    <cellStyle name="Normal 11 2" xfId="328"/>
    <cellStyle name="Normal 12" xfId="329"/>
    <cellStyle name="Normal 13" xfId="330"/>
    <cellStyle name="Normal 14" xfId="331"/>
    <cellStyle name="Normal 15" xfId="332"/>
    <cellStyle name="Normal 16" xfId="333"/>
    <cellStyle name="Normal 17" xfId="334"/>
    <cellStyle name="Normal 18" xfId="335"/>
    <cellStyle name="Normal 19" xfId="336"/>
    <cellStyle name="Normal 2" xfId="337"/>
    <cellStyle name="Normal 2 2" xfId="338"/>
    <cellStyle name="Normal 2 2 2" xfId="339"/>
    <cellStyle name="Normal 2 3" xfId="340"/>
    <cellStyle name="Normal 2 3 2" xfId="341"/>
    <cellStyle name="Normal 2 3 2 2" xfId="342"/>
    <cellStyle name="Normal 2 3 3" xfId="343"/>
    <cellStyle name="Normal 2 4" xfId="344"/>
    <cellStyle name="Normal 2 4 2" xfId="345"/>
    <cellStyle name="Normal 2 4 2 2" xfId="346"/>
    <cellStyle name="Normal 2 4 3" xfId="347"/>
    <cellStyle name="Normal 2 5" xfId="348"/>
    <cellStyle name="Normal 2 5 2" xfId="349"/>
    <cellStyle name="Normal 2 6" xfId="350"/>
    <cellStyle name="Normal 2 7" xfId="351"/>
    <cellStyle name="Normal 20" xfId="352"/>
    <cellStyle name="Normal 21" xfId="353"/>
    <cellStyle name="Normal 22" xfId="354"/>
    <cellStyle name="Normal 23" xfId="355"/>
    <cellStyle name="Normal 24" xfId="356"/>
    <cellStyle name="Normal 25" xfId="357"/>
    <cellStyle name="Normal 26" xfId="358"/>
    <cellStyle name="Normal 27" xfId="359"/>
    <cellStyle name="Normal 28" xfId="360"/>
    <cellStyle name="Normal 28 2" xfId="361"/>
    <cellStyle name="Normal 29" xfId="362"/>
    <cellStyle name="Normal 3" xfId="363"/>
    <cellStyle name="Normal 3 2" xfId="364"/>
    <cellStyle name="Normal 30" xfId="365"/>
    <cellStyle name="Normal 31" xfId="366"/>
    <cellStyle name="Normal 32" xfId="367"/>
    <cellStyle name="Normal 33" xfId="368"/>
    <cellStyle name="Normal 34" xfId="369"/>
    <cellStyle name="Normal 35" xfId="370"/>
    <cellStyle name="Normal 36" xfId="371"/>
    <cellStyle name="Normal 37" xfId="372"/>
    <cellStyle name="Normal 38" xfId="373"/>
    <cellStyle name="Normal 38 2" xfId="374"/>
    <cellStyle name="Normal 38 2 2" xfId="375"/>
    <cellStyle name="Normal 38 3" xfId="376"/>
    <cellStyle name="Normal 39" xfId="377"/>
    <cellStyle name="Normal 4" xfId="378"/>
    <cellStyle name="Normal 4 2" xfId="379"/>
    <cellStyle name="Normal 4 3" xfId="380"/>
    <cellStyle name="Normal 4 4" xfId="381"/>
    <cellStyle name="Normal 40" xfId="382"/>
    <cellStyle name="Normal 41" xfId="383"/>
    <cellStyle name="Normal 42" xfId="384"/>
    <cellStyle name="Normal 42 2" xfId="385"/>
    <cellStyle name="Normal 5" xfId="386"/>
    <cellStyle name="Normal 6" xfId="387"/>
    <cellStyle name="Normal 6 2" xfId="388"/>
    <cellStyle name="Normal 7" xfId="389"/>
    <cellStyle name="Normal 7 2" xfId="390"/>
    <cellStyle name="Normal 8" xfId="391"/>
    <cellStyle name="Normal 88" xfId="392"/>
    <cellStyle name="Normal 9" xfId="393"/>
    <cellStyle name="Normal 9 2" xfId="394"/>
    <cellStyle name="Note 2" xfId="395"/>
    <cellStyle name="Note 2 2" xfId="396"/>
    <cellStyle name="Note 2 3" xfId="397"/>
    <cellStyle name="Note 2 4" xfId="398"/>
    <cellStyle name="Note 3" xfId="399"/>
    <cellStyle name="Note 4" xfId="400"/>
    <cellStyle name="Note 5" xfId="401"/>
    <cellStyle name="Note 6" xfId="402"/>
    <cellStyle name="Note 7" xfId="403"/>
    <cellStyle name="Note 7 2" xfId="404"/>
    <cellStyle name="Note 8" xfId="405"/>
    <cellStyle name="NumberAsPercent" xfId="406"/>
    <cellStyle name="NumberFormat" xfId="407"/>
    <cellStyle name="Numbers" xfId="408"/>
    <cellStyle name="Numbers - Bold" xfId="409"/>
    <cellStyle name="Numbers_increm pf" xfId="410"/>
    <cellStyle name="NumberTo1DecPlace" xfId="411"/>
    <cellStyle name="OffWhite" xfId="412"/>
    <cellStyle name="Option" xfId="413"/>
    <cellStyle name="orange text cell" xfId="414"/>
    <cellStyle name="Output 2" xfId="415"/>
    <cellStyle name="Output 3" xfId="416"/>
    <cellStyle name="Output 4" xfId="417"/>
    <cellStyle name="Output Amounts" xfId="418"/>
    <cellStyle name="Output Column Headings" xfId="419"/>
    <cellStyle name="Output Line Items" xfId="420"/>
    <cellStyle name="Output Report Heading" xfId="421"/>
    <cellStyle name="Output Report Title" xfId="422"/>
    <cellStyle name="Pageheading" xfId="423"/>
    <cellStyle name="Percent" xfId="1" builtinId="5"/>
    <cellStyle name="Percent [0]" xfId="424"/>
    <cellStyle name="Percent [0] 2" xfId="425"/>
    <cellStyle name="Percent [00]" xfId="426"/>
    <cellStyle name="Percent [00] 2" xfId="427"/>
    <cellStyle name="Percent [2]" xfId="428"/>
    <cellStyle name="Percent 2" xfId="429"/>
    <cellStyle name="Percent 2 2" xfId="430"/>
    <cellStyle name="Percent 3" xfId="431"/>
    <cellStyle name="Percentage" xfId="432"/>
    <cellStyle name="PrePop Currency (0)" xfId="433"/>
    <cellStyle name="PrePop Currency (0) 2" xfId="434"/>
    <cellStyle name="PrePop Currency (2)" xfId="435"/>
    <cellStyle name="PrePop Currency (2) 2" xfId="436"/>
    <cellStyle name="PrePop Units (0)" xfId="437"/>
    <cellStyle name="PrePop Units (0) 2" xfId="438"/>
    <cellStyle name="PrePop Units (1)" xfId="439"/>
    <cellStyle name="PrePop Units (1) 2" xfId="440"/>
    <cellStyle name="PrePop Units (2)" xfId="441"/>
    <cellStyle name="PrePop Units (2) 2" xfId="442"/>
    <cellStyle name="PriceTo3DecPlaces" xfId="443"/>
    <cellStyle name="PriceWithBorderAround" xfId="444"/>
    <cellStyle name="PRICING" xfId="445"/>
    <cellStyle name="Product Header" xfId="446"/>
    <cellStyle name="PSChar" xfId="447"/>
    <cellStyle name="PSHeading" xfId="448"/>
    <cellStyle name="r" xfId="449"/>
    <cellStyle name="r_pldt" xfId="450"/>
    <cellStyle name="ReportLeftHeader" xfId="451"/>
    <cellStyle name="ReportRightHeader" xfId="452"/>
    <cellStyle name="results" xfId="453"/>
    <cellStyle name="RevList" xfId="454"/>
    <cellStyle name="RVRQueryHandle" xfId="455"/>
    <cellStyle name="Section" xfId="456"/>
    <cellStyle name="SecuritiesPricingTable" xfId="457"/>
    <cellStyle name="SecuritiesPricingTableFinalData" xfId="458"/>
    <cellStyle name="SecuritiesPricingTableManualData" xfId="459"/>
    <cellStyle name="SecuritiesPricingTableText" xfId="460"/>
    <cellStyle name="Short $" xfId="461"/>
    <cellStyle name="Short $ 2" xfId="462"/>
    <cellStyle name="SIZE" xfId="463"/>
    <cellStyle name="Standard_Swaps-Bonds-Blending" xfId="464"/>
    <cellStyle name="Style 1" xfId="465"/>
    <cellStyle name="StyleSecuritiesPricingTableInteger" xfId="466"/>
    <cellStyle name="Subheading" xfId="467"/>
    <cellStyle name="subtitle" xfId="468"/>
    <cellStyle name="Subtotal" xfId="469"/>
    <cellStyle name="Table" xfId="470"/>
    <cellStyle name="Tablebody" xfId="471"/>
    <cellStyle name="TablebodyDate" xfId="472"/>
    <cellStyle name="TablebodyHeading" xfId="473"/>
    <cellStyle name="TablebodyOutstandingAmount" xfId="474"/>
    <cellStyle name="TablebodyPercent" xfId="475"/>
    <cellStyle name="TablebodyPrice" xfId="476"/>
    <cellStyle name="TablebodyReverse" xfId="477"/>
    <cellStyle name="TablebodySpread" xfId="478"/>
    <cellStyle name="TablebodySpreadBorder" xfId="479"/>
    <cellStyle name="TablebodyText" xfId="480"/>
    <cellStyle name="Tableheading" xfId="481"/>
    <cellStyle name="Text" xfId="482"/>
    <cellStyle name="Text 2" xfId="483"/>
    <cellStyle name="Text Indent A" xfId="484"/>
    <cellStyle name="Text Indent B" xfId="485"/>
    <cellStyle name="Text Indent B 2" xfId="486"/>
    <cellStyle name="Text Indent C" xfId="487"/>
    <cellStyle name="Text Indent C 2" xfId="488"/>
    <cellStyle name="TextStyle" xfId="489"/>
    <cellStyle name="tic display" xfId="490"/>
    <cellStyle name="tic input" xfId="491"/>
    <cellStyle name="Title - Underline" xfId="492"/>
    <cellStyle name="Title 2" xfId="493"/>
    <cellStyle name="Title 3" xfId="494"/>
    <cellStyle name="Title 4" xfId="495"/>
    <cellStyle name="Title 5" xfId="496"/>
    <cellStyle name="Title 6" xfId="497"/>
    <cellStyle name="Title 7" xfId="498"/>
    <cellStyle name="Title Calculations" xfId="499"/>
    <cellStyle name="Title Calculations 2" xfId="500"/>
    <cellStyle name="Title Indicative" xfId="501"/>
    <cellStyle name="Title Indicative 2" xfId="502"/>
    <cellStyle name="Title Pricing Assumptions" xfId="503"/>
    <cellStyle name="Title Pricing Assumptions 2" xfId="504"/>
    <cellStyle name="Title Pricing Assumptions 2 2" xfId="505"/>
    <cellStyle name="Title Pricing Assumptions 2 3" xfId="506"/>
    <cellStyle name="Title Pricing Assumptions 3" xfId="507"/>
    <cellStyle name="Title Pricing Assumptions 3 12 8" xfId="508"/>
    <cellStyle name="Title Pricing Assumptions 3 6 4 2 8" xfId="509"/>
    <cellStyle name="Titles - Other" xfId="510"/>
    <cellStyle name="Total 2" xfId="511"/>
    <cellStyle name="Total 2 2" xfId="512"/>
    <cellStyle name="Total 3" xfId="513"/>
    <cellStyle name="Total 4" xfId="514"/>
    <cellStyle name="Warning" xfId="515"/>
    <cellStyle name="Warning Text 2" xfId="516"/>
    <cellStyle name="Warning Text 3" xfId="517"/>
    <cellStyle name="Warning Text 4" xfId="518"/>
    <cellStyle name="YB Calculations" xfId="519"/>
    <cellStyle name="YB Calculations 2" xfId="520"/>
    <cellStyle name="YB Curve" xfId="521"/>
    <cellStyle name="YB Indicative" xfId="522"/>
    <cellStyle name="YBINDIC" xfId="523"/>
    <cellStyle name="YBIOPOBE" xfId="524"/>
    <cellStyle name="YBPRICE" xfId="525"/>
    <cellStyle name="一般_原始檔案" xfId="526"/>
  </cellStyles>
  <dxfs count="67"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color rgb="FFC00000"/>
      </font>
    </dxf>
    <dxf>
      <font>
        <color rgb="FFC00000"/>
      </font>
    </dxf>
    <dxf>
      <font>
        <color rgb="FFC00000"/>
      </font>
    </dxf>
  </dxfs>
  <tableStyles count="0" defaultTableStyle="TableStyleMedium2" defaultPivotStyle="PivotStyleMedium9"/>
  <colors>
    <mruColors>
      <color rgb="FF1B7A76"/>
      <color rgb="FFAD275C"/>
      <color rgb="FF2E398A"/>
      <color rgb="FFC8A52D"/>
      <color rgb="FF8C52E8"/>
      <color rgb="FF2E8A60"/>
      <color rgb="FFC6642E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TBA-Eligible Specified Pool Issuance Volume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'Input-TBA LS'!$Y$3</c:f>
              <c:strCache>
                <c:ptCount val="1"/>
                <c:pt idx="0">
                  <c:v>Geo</c:v>
                </c:pt>
              </c:strCache>
            </c:strRef>
          </c:tx>
          <c:invertIfNegative val="0"/>
          <c:val>
            <c:numRef>
              <c:f>'Input-TBA LS'!$Y$4:$Y$62</c:f>
              <c:numCache>
                <c:formatCode>General</c:formatCode>
                <c:ptCount val="59"/>
                <c:pt idx="0">
                  <c:v>78908357</c:v>
                </c:pt>
                <c:pt idx="1">
                  <c:v>153044119</c:v>
                </c:pt>
                <c:pt idx="2">
                  <c:v>270875174</c:v>
                </c:pt>
                <c:pt idx="3">
                  <c:v>299215590</c:v>
                </c:pt>
                <c:pt idx="4">
                  <c:v>438822333</c:v>
                </c:pt>
                <c:pt idx="5">
                  <c:v>311103932</c:v>
                </c:pt>
                <c:pt idx="6">
                  <c:v>259067817</c:v>
                </c:pt>
                <c:pt idx="7">
                  <c:v>293812942</c:v>
                </c:pt>
                <c:pt idx="8">
                  <c:v>168857801</c:v>
                </c:pt>
                <c:pt idx="9">
                  <c:v>134087507</c:v>
                </c:pt>
                <c:pt idx="10">
                  <c:v>116486264</c:v>
                </c:pt>
                <c:pt idx="11">
                  <c:v>80281746</c:v>
                </c:pt>
                <c:pt idx="12">
                  <c:v>161674738</c:v>
                </c:pt>
                <c:pt idx="13">
                  <c:v>154433053</c:v>
                </c:pt>
                <c:pt idx="14">
                  <c:v>114706349</c:v>
                </c:pt>
                <c:pt idx="15">
                  <c:v>74499428</c:v>
                </c:pt>
                <c:pt idx="16">
                  <c:v>219232419</c:v>
                </c:pt>
                <c:pt idx="17">
                  <c:v>237166995</c:v>
                </c:pt>
                <c:pt idx="18">
                  <c:v>251956511</c:v>
                </c:pt>
                <c:pt idx="19">
                  <c:v>232328653</c:v>
                </c:pt>
                <c:pt idx="20">
                  <c:v>277398767</c:v>
                </c:pt>
                <c:pt idx="21">
                  <c:v>280166807</c:v>
                </c:pt>
                <c:pt idx="22">
                  <c:v>329024965</c:v>
                </c:pt>
                <c:pt idx="23">
                  <c:v>307965127</c:v>
                </c:pt>
                <c:pt idx="24">
                  <c:v>484822953</c:v>
                </c:pt>
                <c:pt idx="25">
                  <c:v>611475515</c:v>
                </c:pt>
                <c:pt idx="26">
                  <c:v>283236297</c:v>
                </c:pt>
                <c:pt idx="27">
                  <c:v>361734364</c:v>
                </c:pt>
                <c:pt idx="28">
                  <c:v>426598011</c:v>
                </c:pt>
                <c:pt idx="29">
                  <c:v>508263805</c:v>
                </c:pt>
                <c:pt idx="30">
                  <c:v>471227780</c:v>
                </c:pt>
                <c:pt idx="31">
                  <c:v>384876889</c:v>
                </c:pt>
                <c:pt idx="32">
                  <c:v>566512539</c:v>
                </c:pt>
                <c:pt idx="33">
                  <c:v>613845982</c:v>
                </c:pt>
                <c:pt idx="34">
                  <c:v>270565881</c:v>
                </c:pt>
                <c:pt idx="35">
                  <c:v>367541109</c:v>
                </c:pt>
                <c:pt idx="36">
                  <c:v>413955664</c:v>
                </c:pt>
                <c:pt idx="37">
                  <c:v>309971154</c:v>
                </c:pt>
                <c:pt idx="38">
                  <c:v>350101226</c:v>
                </c:pt>
                <c:pt idx="39">
                  <c:v>150582671</c:v>
                </c:pt>
                <c:pt idx="40">
                  <c:v>127556041</c:v>
                </c:pt>
                <c:pt idx="41">
                  <c:v>170746135</c:v>
                </c:pt>
                <c:pt idx="42">
                  <c:v>240141159</c:v>
                </c:pt>
                <c:pt idx="43">
                  <c:v>250520733</c:v>
                </c:pt>
                <c:pt idx="44">
                  <c:v>202186828</c:v>
                </c:pt>
                <c:pt idx="45">
                  <c:v>203658897</c:v>
                </c:pt>
                <c:pt idx="46">
                  <c:v>246872778</c:v>
                </c:pt>
                <c:pt idx="47">
                  <c:v>211430835</c:v>
                </c:pt>
                <c:pt idx="48">
                  <c:v>276998174</c:v>
                </c:pt>
                <c:pt idx="49">
                  <c:v>462313636</c:v>
                </c:pt>
                <c:pt idx="50">
                  <c:v>379700201</c:v>
                </c:pt>
                <c:pt idx="51">
                  <c:v>194118752</c:v>
                </c:pt>
                <c:pt idx="52">
                  <c:v>703716463</c:v>
                </c:pt>
                <c:pt idx="53">
                  <c:v>407296377</c:v>
                </c:pt>
                <c:pt idx="54">
                  <c:v>406480780</c:v>
                </c:pt>
                <c:pt idx="55">
                  <c:v>364493346</c:v>
                </c:pt>
                <c:pt idx="56">
                  <c:v>322408249</c:v>
                </c:pt>
                <c:pt idx="57">
                  <c:v>394177167</c:v>
                </c:pt>
                <c:pt idx="58">
                  <c:v>427283307</c:v>
                </c:pt>
              </c:numCache>
            </c:numRef>
          </c:val>
        </c:ser>
        <c:ser>
          <c:idx val="6"/>
          <c:order val="1"/>
          <c:tx>
            <c:strRef>
              <c:f>'Input-TBA LS'!$X$3</c:f>
              <c:strCache>
                <c:ptCount val="1"/>
                <c:pt idx="0">
                  <c:v>LLB</c:v>
                </c:pt>
              </c:strCache>
            </c:strRef>
          </c:tx>
          <c:invertIfNegative val="0"/>
          <c:cat>
            <c:numRef>
              <c:f>'Input-TBA LS'!$Q$4:$Q$62</c:f>
              <c:numCache>
                <c:formatCode>m/d/yyyy</c:formatCode>
                <c:ptCount val="59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40544</c:v>
                </c:pt>
                <c:pt idx="6">
                  <c:v>40575</c:v>
                </c:pt>
                <c:pt idx="7">
                  <c:v>40603</c:v>
                </c:pt>
                <c:pt idx="8">
                  <c:v>40634</c:v>
                </c:pt>
                <c:pt idx="9">
                  <c:v>40664</c:v>
                </c:pt>
                <c:pt idx="10">
                  <c:v>40695</c:v>
                </c:pt>
                <c:pt idx="11">
                  <c:v>40725</c:v>
                </c:pt>
                <c:pt idx="12">
                  <c:v>40756</c:v>
                </c:pt>
                <c:pt idx="13">
                  <c:v>40787</c:v>
                </c:pt>
                <c:pt idx="14">
                  <c:v>40817</c:v>
                </c:pt>
                <c:pt idx="15">
                  <c:v>40848</c:v>
                </c:pt>
                <c:pt idx="16">
                  <c:v>40878</c:v>
                </c:pt>
                <c:pt idx="17">
                  <c:v>40909</c:v>
                </c:pt>
                <c:pt idx="18">
                  <c:v>40940</c:v>
                </c:pt>
                <c:pt idx="19">
                  <c:v>40969</c:v>
                </c:pt>
                <c:pt idx="20">
                  <c:v>41000</c:v>
                </c:pt>
                <c:pt idx="21">
                  <c:v>41030</c:v>
                </c:pt>
                <c:pt idx="22">
                  <c:v>41061</c:v>
                </c:pt>
                <c:pt idx="23">
                  <c:v>41091</c:v>
                </c:pt>
                <c:pt idx="24">
                  <c:v>41122</c:v>
                </c:pt>
                <c:pt idx="25">
                  <c:v>41153</c:v>
                </c:pt>
                <c:pt idx="26">
                  <c:v>41183</c:v>
                </c:pt>
                <c:pt idx="27">
                  <c:v>41214</c:v>
                </c:pt>
                <c:pt idx="28">
                  <c:v>41244</c:v>
                </c:pt>
                <c:pt idx="29">
                  <c:v>41275</c:v>
                </c:pt>
                <c:pt idx="30">
                  <c:v>41306</c:v>
                </c:pt>
                <c:pt idx="31">
                  <c:v>41334</c:v>
                </c:pt>
                <c:pt idx="32">
                  <c:v>41365</c:v>
                </c:pt>
                <c:pt idx="33">
                  <c:v>41395</c:v>
                </c:pt>
                <c:pt idx="34">
                  <c:v>41426</c:v>
                </c:pt>
                <c:pt idx="35">
                  <c:v>41456</c:v>
                </c:pt>
                <c:pt idx="36">
                  <c:v>41487</c:v>
                </c:pt>
                <c:pt idx="37">
                  <c:v>41518</c:v>
                </c:pt>
                <c:pt idx="38">
                  <c:v>41548</c:v>
                </c:pt>
                <c:pt idx="39">
                  <c:v>41579</c:v>
                </c:pt>
                <c:pt idx="40">
                  <c:v>41609</c:v>
                </c:pt>
                <c:pt idx="41">
                  <c:v>41640</c:v>
                </c:pt>
                <c:pt idx="42">
                  <c:v>41671</c:v>
                </c:pt>
                <c:pt idx="43">
                  <c:v>41699</c:v>
                </c:pt>
                <c:pt idx="44">
                  <c:v>41730</c:v>
                </c:pt>
                <c:pt idx="45">
                  <c:v>41760</c:v>
                </c:pt>
                <c:pt idx="46">
                  <c:v>41791</c:v>
                </c:pt>
                <c:pt idx="47">
                  <c:v>41821</c:v>
                </c:pt>
                <c:pt idx="48">
                  <c:v>41852</c:v>
                </c:pt>
                <c:pt idx="49">
                  <c:v>41883</c:v>
                </c:pt>
                <c:pt idx="50">
                  <c:v>41913</c:v>
                </c:pt>
                <c:pt idx="51">
                  <c:v>41944</c:v>
                </c:pt>
                <c:pt idx="52">
                  <c:v>41974</c:v>
                </c:pt>
                <c:pt idx="53">
                  <c:v>42005</c:v>
                </c:pt>
                <c:pt idx="54">
                  <c:v>42036</c:v>
                </c:pt>
                <c:pt idx="55">
                  <c:v>42064</c:v>
                </c:pt>
                <c:pt idx="56">
                  <c:v>42095</c:v>
                </c:pt>
                <c:pt idx="57">
                  <c:v>42125</c:v>
                </c:pt>
                <c:pt idx="58">
                  <c:v>42156</c:v>
                </c:pt>
              </c:numCache>
            </c:numRef>
          </c:cat>
          <c:val>
            <c:numRef>
              <c:f>'Input-TBA LS'!$X$4:$X$62</c:f>
              <c:numCache>
                <c:formatCode>General</c:formatCode>
                <c:ptCount val="59"/>
                <c:pt idx="0">
                  <c:v>475791854</c:v>
                </c:pt>
                <c:pt idx="1">
                  <c:v>636914317</c:v>
                </c:pt>
                <c:pt idx="2">
                  <c:v>670466824</c:v>
                </c:pt>
                <c:pt idx="3">
                  <c:v>708663087</c:v>
                </c:pt>
                <c:pt idx="4">
                  <c:v>838347587</c:v>
                </c:pt>
                <c:pt idx="5">
                  <c:v>683367639</c:v>
                </c:pt>
                <c:pt idx="6">
                  <c:v>597808712</c:v>
                </c:pt>
                <c:pt idx="7">
                  <c:v>818916287</c:v>
                </c:pt>
                <c:pt idx="8">
                  <c:v>602284037</c:v>
                </c:pt>
                <c:pt idx="9">
                  <c:v>603596717</c:v>
                </c:pt>
                <c:pt idx="10">
                  <c:v>716402801</c:v>
                </c:pt>
                <c:pt idx="11">
                  <c:v>509527717</c:v>
                </c:pt>
                <c:pt idx="12">
                  <c:v>624435737</c:v>
                </c:pt>
                <c:pt idx="13">
                  <c:v>749319829</c:v>
                </c:pt>
                <c:pt idx="14">
                  <c:v>612680365</c:v>
                </c:pt>
                <c:pt idx="15">
                  <c:v>660088356</c:v>
                </c:pt>
                <c:pt idx="16">
                  <c:v>964804971</c:v>
                </c:pt>
                <c:pt idx="17">
                  <c:v>646001264</c:v>
                </c:pt>
                <c:pt idx="18">
                  <c:v>856472475</c:v>
                </c:pt>
                <c:pt idx="19">
                  <c:v>1094708047</c:v>
                </c:pt>
                <c:pt idx="20">
                  <c:v>638284668</c:v>
                </c:pt>
                <c:pt idx="21">
                  <c:v>965308651</c:v>
                </c:pt>
                <c:pt idx="22">
                  <c:v>869933090</c:v>
                </c:pt>
                <c:pt idx="23">
                  <c:v>916631007</c:v>
                </c:pt>
                <c:pt idx="24">
                  <c:v>938861711</c:v>
                </c:pt>
                <c:pt idx="25">
                  <c:v>866473910</c:v>
                </c:pt>
                <c:pt idx="26">
                  <c:v>674003513</c:v>
                </c:pt>
                <c:pt idx="27">
                  <c:v>1360862416</c:v>
                </c:pt>
                <c:pt idx="28">
                  <c:v>763603729</c:v>
                </c:pt>
                <c:pt idx="29">
                  <c:v>1057109121</c:v>
                </c:pt>
                <c:pt idx="30">
                  <c:v>962399260</c:v>
                </c:pt>
                <c:pt idx="31">
                  <c:v>871349067</c:v>
                </c:pt>
                <c:pt idx="32">
                  <c:v>992634188</c:v>
                </c:pt>
                <c:pt idx="33">
                  <c:v>1059208914</c:v>
                </c:pt>
                <c:pt idx="34">
                  <c:v>1017147311</c:v>
                </c:pt>
                <c:pt idx="35">
                  <c:v>848431617</c:v>
                </c:pt>
                <c:pt idx="36">
                  <c:v>850030342</c:v>
                </c:pt>
                <c:pt idx="37">
                  <c:v>814311406</c:v>
                </c:pt>
                <c:pt idx="38">
                  <c:v>831380729</c:v>
                </c:pt>
                <c:pt idx="39">
                  <c:v>739554790</c:v>
                </c:pt>
                <c:pt idx="40">
                  <c:v>653400386</c:v>
                </c:pt>
                <c:pt idx="41">
                  <c:v>547635567</c:v>
                </c:pt>
                <c:pt idx="42">
                  <c:v>530622614</c:v>
                </c:pt>
                <c:pt idx="43">
                  <c:v>451781700</c:v>
                </c:pt>
                <c:pt idx="44">
                  <c:v>487340334</c:v>
                </c:pt>
                <c:pt idx="45">
                  <c:v>509914149</c:v>
                </c:pt>
                <c:pt idx="46">
                  <c:v>536380498</c:v>
                </c:pt>
                <c:pt idx="47">
                  <c:v>615297563</c:v>
                </c:pt>
                <c:pt idx="48">
                  <c:v>539726383</c:v>
                </c:pt>
                <c:pt idx="49">
                  <c:v>606670934</c:v>
                </c:pt>
                <c:pt idx="50">
                  <c:v>684935689</c:v>
                </c:pt>
                <c:pt idx="51">
                  <c:v>640024574</c:v>
                </c:pt>
                <c:pt idx="52">
                  <c:v>622883709</c:v>
                </c:pt>
                <c:pt idx="53">
                  <c:v>579122513</c:v>
                </c:pt>
                <c:pt idx="54">
                  <c:v>527566040</c:v>
                </c:pt>
                <c:pt idx="55">
                  <c:v>399012806</c:v>
                </c:pt>
                <c:pt idx="56">
                  <c:v>506827130</c:v>
                </c:pt>
                <c:pt idx="57">
                  <c:v>443986951</c:v>
                </c:pt>
                <c:pt idx="58">
                  <c:v>565857600</c:v>
                </c:pt>
              </c:numCache>
            </c:numRef>
          </c:val>
        </c:ser>
        <c:ser>
          <c:idx val="5"/>
          <c:order val="2"/>
          <c:tx>
            <c:strRef>
              <c:f>'Input-TBA LS'!$W$3</c:f>
              <c:strCache>
                <c:ptCount val="1"/>
                <c:pt idx="0">
                  <c:v>MLB</c:v>
                </c:pt>
              </c:strCache>
            </c:strRef>
          </c:tx>
          <c:invertIfNegative val="0"/>
          <c:cat>
            <c:numRef>
              <c:f>'Input-TBA LS'!$Q$4:$Q$62</c:f>
              <c:numCache>
                <c:formatCode>m/d/yyyy</c:formatCode>
                <c:ptCount val="59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40544</c:v>
                </c:pt>
                <c:pt idx="6">
                  <c:v>40575</c:v>
                </c:pt>
                <c:pt idx="7">
                  <c:v>40603</c:v>
                </c:pt>
                <c:pt idx="8">
                  <c:v>40634</c:v>
                </c:pt>
                <c:pt idx="9">
                  <c:v>40664</c:v>
                </c:pt>
                <c:pt idx="10">
                  <c:v>40695</c:v>
                </c:pt>
                <c:pt idx="11">
                  <c:v>40725</c:v>
                </c:pt>
                <c:pt idx="12">
                  <c:v>40756</c:v>
                </c:pt>
                <c:pt idx="13">
                  <c:v>40787</c:v>
                </c:pt>
                <c:pt idx="14">
                  <c:v>40817</c:v>
                </c:pt>
                <c:pt idx="15">
                  <c:v>40848</c:v>
                </c:pt>
                <c:pt idx="16">
                  <c:v>40878</c:v>
                </c:pt>
                <c:pt idx="17">
                  <c:v>40909</c:v>
                </c:pt>
                <c:pt idx="18">
                  <c:v>40940</c:v>
                </c:pt>
                <c:pt idx="19">
                  <c:v>40969</c:v>
                </c:pt>
                <c:pt idx="20">
                  <c:v>41000</c:v>
                </c:pt>
                <c:pt idx="21">
                  <c:v>41030</c:v>
                </c:pt>
                <c:pt idx="22">
                  <c:v>41061</c:v>
                </c:pt>
                <c:pt idx="23">
                  <c:v>41091</c:v>
                </c:pt>
                <c:pt idx="24">
                  <c:v>41122</c:v>
                </c:pt>
                <c:pt idx="25">
                  <c:v>41153</c:v>
                </c:pt>
                <c:pt idx="26">
                  <c:v>41183</c:v>
                </c:pt>
                <c:pt idx="27">
                  <c:v>41214</c:v>
                </c:pt>
                <c:pt idx="28">
                  <c:v>41244</c:v>
                </c:pt>
                <c:pt idx="29">
                  <c:v>41275</c:v>
                </c:pt>
                <c:pt idx="30">
                  <c:v>41306</c:v>
                </c:pt>
                <c:pt idx="31">
                  <c:v>41334</c:v>
                </c:pt>
                <c:pt idx="32">
                  <c:v>41365</c:v>
                </c:pt>
                <c:pt idx="33">
                  <c:v>41395</c:v>
                </c:pt>
                <c:pt idx="34">
                  <c:v>41426</c:v>
                </c:pt>
                <c:pt idx="35">
                  <c:v>41456</c:v>
                </c:pt>
                <c:pt idx="36">
                  <c:v>41487</c:v>
                </c:pt>
                <c:pt idx="37">
                  <c:v>41518</c:v>
                </c:pt>
                <c:pt idx="38">
                  <c:v>41548</c:v>
                </c:pt>
                <c:pt idx="39">
                  <c:v>41579</c:v>
                </c:pt>
                <c:pt idx="40">
                  <c:v>41609</c:v>
                </c:pt>
                <c:pt idx="41">
                  <c:v>41640</c:v>
                </c:pt>
                <c:pt idx="42">
                  <c:v>41671</c:v>
                </c:pt>
                <c:pt idx="43">
                  <c:v>41699</c:v>
                </c:pt>
                <c:pt idx="44">
                  <c:v>41730</c:v>
                </c:pt>
                <c:pt idx="45">
                  <c:v>41760</c:v>
                </c:pt>
                <c:pt idx="46">
                  <c:v>41791</c:v>
                </c:pt>
                <c:pt idx="47">
                  <c:v>41821</c:v>
                </c:pt>
                <c:pt idx="48">
                  <c:v>41852</c:v>
                </c:pt>
                <c:pt idx="49">
                  <c:v>41883</c:v>
                </c:pt>
                <c:pt idx="50">
                  <c:v>41913</c:v>
                </c:pt>
                <c:pt idx="51">
                  <c:v>41944</c:v>
                </c:pt>
                <c:pt idx="52">
                  <c:v>41974</c:v>
                </c:pt>
                <c:pt idx="53">
                  <c:v>42005</c:v>
                </c:pt>
                <c:pt idx="54">
                  <c:v>42036</c:v>
                </c:pt>
                <c:pt idx="55">
                  <c:v>42064</c:v>
                </c:pt>
                <c:pt idx="56">
                  <c:v>42095</c:v>
                </c:pt>
                <c:pt idx="57">
                  <c:v>42125</c:v>
                </c:pt>
                <c:pt idx="58">
                  <c:v>42156</c:v>
                </c:pt>
              </c:numCache>
            </c:numRef>
          </c:cat>
          <c:val>
            <c:numRef>
              <c:f>'Input-TBA LS'!$W$4:$W$62</c:f>
              <c:numCache>
                <c:formatCode>General</c:formatCode>
                <c:ptCount val="59"/>
                <c:pt idx="0">
                  <c:v>631591538</c:v>
                </c:pt>
                <c:pt idx="1">
                  <c:v>1082222219</c:v>
                </c:pt>
                <c:pt idx="2">
                  <c:v>1037833437</c:v>
                </c:pt>
                <c:pt idx="3">
                  <c:v>1198485232</c:v>
                </c:pt>
                <c:pt idx="4">
                  <c:v>1285535232</c:v>
                </c:pt>
                <c:pt idx="5">
                  <c:v>964043991</c:v>
                </c:pt>
                <c:pt idx="6">
                  <c:v>963213700</c:v>
                </c:pt>
                <c:pt idx="7">
                  <c:v>1313320276</c:v>
                </c:pt>
                <c:pt idx="8">
                  <c:v>835462650</c:v>
                </c:pt>
                <c:pt idx="9">
                  <c:v>868682209</c:v>
                </c:pt>
                <c:pt idx="10">
                  <c:v>1066364823</c:v>
                </c:pt>
                <c:pt idx="11">
                  <c:v>709625001</c:v>
                </c:pt>
                <c:pt idx="12">
                  <c:v>849708760</c:v>
                </c:pt>
                <c:pt idx="13">
                  <c:v>1075911404</c:v>
                </c:pt>
                <c:pt idx="14">
                  <c:v>857963060</c:v>
                </c:pt>
                <c:pt idx="15">
                  <c:v>916843872</c:v>
                </c:pt>
                <c:pt idx="16">
                  <c:v>1268334918</c:v>
                </c:pt>
                <c:pt idx="17">
                  <c:v>1022202205</c:v>
                </c:pt>
                <c:pt idx="18">
                  <c:v>1284539858</c:v>
                </c:pt>
                <c:pt idx="19">
                  <c:v>1735119323</c:v>
                </c:pt>
                <c:pt idx="20">
                  <c:v>987980929</c:v>
                </c:pt>
                <c:pt idx="21">
                  <c:v>1484383778</c:v>
                </c:pt>
                <c:pt idx="22">
                  <c:v>1316392694</c:v>
                </c:pt>
                <c:pt idx="23">
                  <c:v>1391950040</c:v>
                </c:pt>
                <c:pt idx="24">
                  <c:v>1332804528</c:v>
                </c:pt>
                <c:pt idx="25">
                  <c:v>1412162830</c:v>
                </c:pt>
                <c:pt idx="26">
                  <c:v>1074934170</c:v>
                </c:pt>
                <c:pt idx="27">
                  <c:v>2092345448</c:v>
                </c:pt>
                <c:pt idx="28">
                  <c:v>1221012156</c:v>
                </c:pt>
                <c:pt idx="29">
                  <c:v>1621872168</c:v>
                </c:pt>
                <c:pt idx="30">
                  <c:v>1326174750</c:v>
                </c:pt>
                <c:pt idx="31">
                  <c:v>1274631916</c:v>
                </c:pt>
                <c:pt idx="32">
                  <c:v>1489937515</c:v>
                </c:pt>
                <c:pt idx="33">
                  <c:v>1613997581</c:v>
                </c:pt>
                <c:pt idx="34">
                  <c:v>1488014533</c:v>
                </c:pt>
                <c:pt idx="35">
                  <c:v>1320498425</c:v>
                </c:pt>
                <c:pt idx="36">
                  <c:v>1276109957</c:v>
                </c:pt>
                <c:pt idx="37">
                  <c:v>1266093495</c:v>
                </c:pt>
                <c:pt idx="38">
                  <c:v>1245020429</c:v>
                </c:pt>
                <c:pt idx="39">
                  <c:v>1031662262</c:v>
                </c:pt>
                <c:pt idx="40">
                  <c:v>927091459</c:v>
                </c:pt>
                <c:pt idx="41">
                  <c:v>774247579</c:v>
                </c:pt>
                <c:pt idx="42">
                  <c:v>762318805</c:v>
                </c:pt>
                <c:pt idx="43">
                  <c:v>640834869</c:v>
                </c:pt>
                <c:pt idx="44">
                  <c:v>691225048</c:v>
                </c:pt>
                <c:pt idx="45">
                  <c:v>741338946</c:v>
                </c:pt>
                <c:pt idx="46">
                  <c:v>841543380</c:v>
                </c:pt>
                <c:pt idx="47">
                  <c:v>948547505</c:v>
                </c:pt>
                <c:pt idx="48">
                  <c:v>838626733</c:v>
                </c:pt>
                <c:pt idx="49">
                  <c:v>1016058366</c:v>
                </c:pt>
                <c:pt idx="50">
                  <c:v>964288761</c:v>
                </c:pt>
                <c:pt idx="51">
                  <c:v>899041301</c:v>
                </c:pt>
                <c:pt idx="52">
                  <c:v>997895137</c:v>
                </c:pt>
                <c:pt idx="53">
                  <c:v>800249464</c:v>
                </c:pt>
                <c:pt idx="54">
                  <c:v>820428248</c:v>
                </c:pt>
                <c:pt idx="55">
                  <c:v>685802284</c:v>
                </c:pt>
                <c:pt idx="56">
                  <c:v>782456352</c:v>
                </c:pt>
                <c:pt idx="57">
                  <c:v>782611457</c:v>
                </c:pt>
                <c:pt idx="58">
                  <c:v>887471181</c:v>
                </c:pt>
              </c:numCache>
            </c:numRef>
          </c:val>
        </c:ser>
        <c:ser>
          <c:idx val="4"/>
          <c:order val="3"/>
          <c:tx>
            <c:strRef>
              <c:f>'Input-TBA LS'!$V$3</c:f>
              <c:strCache>
                <c:ptCount val="1"/>
                <c:pt idx="0">
                  <c:v>HLB</c:v>
                </c:pt>
              </c:strCache>
            </c:strRef>
          </c:tx>
          <c:invertIfNegative val="0"/>
          <c:cat>
            <c:numRef>
              <c:f>'Input-TBA LS'!$Q$4:$Q$62</c:f>
              <c:numCache>
                <c:formatCode>m/d/yyyy</c:formatCode>
                <c:ptCount val="59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40544</c:v>
                </c:pt>
                <c:pt idx="6">
                  <c:v>40575</c:v>
                </c:pt>
                <c:pt idx="7">
                  <c:v>40603</c:v>
                </c:pt>
                <c:pt idx="8">
                  <c:v>40634</c:v>
                </c:pt>
                <c:pt idx="9">
                  <c:v>40664</c:v>
                </c:pt>
                <c:pt idx="10">
                  <c:v>40695</c:v>
                </c:pt>
                <c:pt idx="11">
                  <c:v>40725</c:v>
                </c:pt>
                <c:pt idx="12">
                  <c:v>40756</c:v>
                </c:pt>
                <c:pt idx="13">
                  <c:v>40787</c:v>
                </c:pt>
                <c:pt idx="14">
                  <c:v>40817</c:v>
                </c:pt>
                <c:pt idx="15">
                  <c:v>40848</c:v>
                </c:pt>
                <c:pt idx="16">
                  <c:v>40878</c:v>
                </c:pt>
                <c:pt idx="17">
                  <c:v>40909</c:v>
                </c:pt>
                <c:pt idx="18">
                  <c:v>40940</c:v>
                </c:pt>
                <c:pt idx="19">
                  <c:v>40969</c:v>
                </c:pt>
                <c:pt idx="20">
                  <c:v>41000</c:v>
                </c:pt>
                <c:pt idx="21">
                  <c:v>41030</c:v>
                </c:pt>
                <c:pt idx="22">
                  <c:v>41061</c:v>
                </c:pt>
                <c:pt idx="23">
                  <c:v>41091</c:v>
                </c:pt>
                <c:pt idx="24">
                  <c:v>41122</c:v>
                </c:pt>
                <c:pt idx="25">
                  <c:v>41153</c:v>
                </c:pt>
                <c:pt idx="26">
                  <c:v>41183</c:v>
                </c:pt>
                <c:pt idx="27">
                  <c:v>41214</c:v>
                </c:pt>
                <c:pt idx="28">
                  <c:v>41244</c:v>
                </c:pt>
                <c:pt idx="29">
                  <c:v>41275</c:v>
                </c:pt>
                <c:pt idx="30">
                  <c:v>41306</c:v>
                </c:pt>
                <c:pt idx="31">
                  <c:v>41334</c:v>
                </c:pt>
                <c:pt idx="32">
                  <c:v>41365</c:v>
                </c:pt>
                <c:pt idx="33">
                  <c:v>41395</c:v>
                </c:pt>
                <c:pt idx="34">
                  <c:v>41426</c:v>
                </c:pt>
                <c:pt idx="35">
                  <c:v>41456</c:v>
                </c:pt>
                <c:pt idx="36">
                  <c:v>41487</c:v>
                </c:pt>
                <c:pt idx="37">
                  <c:v>41518</c:v>
                </c:pt>
                <c:pt idx="38">
                  <c:v>41548</c:v>
                </c:pt>
                <c:pt idx="39">
                  <c:v>41579</c:v>
                </c:pt>
                <c:pt idx="40">
                  <c:v>41609</c:v>
                </c:pt>
                <c:pt idx="41">
                  <c:v>41640</c:v>
                </c:pt>
                <c:pt idx="42">
                  <c:v>41671</c:v>
                </c:pt>
                <c:pt idx="43">
                  <c:v>41699</c:v>
                </c:pt>
                <c:pt idx="44">
                  <c:v>41730</c:v>
                </c:pt>
                <c:pt idx="45">
                  <c:v>41760</c:v>
                </c:pt>
                <c:pt idx="46">
                  <c:v>41791</c:v>
                </c:pt>
                <c:pt idx="47">
                  <c:v>41821</c:v>
                </c:pt>
                <c:pt idx="48">
                  <c:v>41852</c:v>
                </c:pt>
                <c:pt idx="49">
                  <c:v>41883</c:v>
                </c:pt>
                <c:pt idx="50">
                  <c:v>41913</c:v>
                </c:pt>
                <c:pt idx="51">
                  <c:v>41944</c:v>
                </c:pt>
                <c:pt idx="52">
                  <c:v>41974</c:v>
                </c:pt>
                <c:pt idx="53">
                  <c:v>42005</c:v>
                </c:pt>
                <c:pt idx="54">
                  <c:v>42036</c:v>
                </c:pt>
                <c:pt idx="55">
                  <c:v>42064</c:v>
                </c:pt>
                <c:pt idx="56">
                  <c:v>42095</c:v>
                </c:pt>
                <c:pt idx="57">
                  <c:v>42125</c:v>
                </c:pt>
                <c:pt idx="58">
                  <c:v>42156</c:v>
                </c:pt>
              </c:numCache>
            </c:numRef>
          </c:cat>
          <c:val>
            <c:numRef>
              <c:f>'Input-TBA LS'!$V$4:$V$62</c:f>
              <c:numCache>
                <c:formatCode>General</c:formatCode>
                <c:ptCount val="59"/>
                <c:pt idx="0">
                  <c:v>1579848396</c:v>
                </c:pt>
                <c:pt idx="1">
                  <c:v>2474281305</c:v>
                </c:pt>
                <c:pt idx="2">
                  <c:v>2154320687</c:v>
                </c:pt>
                <c:pt idx="3">
                  <c:v>2633760172</c:v>
                </c:pt>
                <c:pt idx="4">
                  <c:v>2681507110</c:v>
                </c:pt>
                <c:pt idx="5">
                  <c:v>1704890203</c:v>
                </c:pt>
                <c:pt idx="6">
                  <c:v>1942706819</c:v>
                </c:pt>
                <c:pt idx="7">
                  <c:v>2631670575</c:v>
                </c:pt>
                <c:pt idx="8">
                  <c:v>1636847989</c:v>
                </c:pt>
                <c:pt idx="9">
                  <c:v>1579035556</c:v>
                </c:pt>
                <c:pt idx="10">
                  <c:v>2108513267</c:v>
                </c:pt>
                <c:pt idx="11">
                  <c:v>1420152762</c:v>
                </c:pt>
                <c:pt idx="12">
                  <c:v>1665304166</c:v>
                </c:pt>
                <c:pt idx="13">
                  <c:v>2089320127</c:v>
                </c:pt>
                <c:pt idx="14">
                  <c:v>1776001224</c:v>
                </c:pt>
                <c:pt idx="15">
                  <c:v>2048922712</c:v>
                </c:pt>
                <c:pt idx="16">
                  <c:v>2351497218</c:v>
                </c:pt>
                <c:pt idx="17">
                  <c:v>2301286099</c:v>
                </c:pt>
                <c:pt idx="18">
                  <c:v>2674571746</c:v>
                </c:pt>
                <c:pt idx="19">
                  <c:v>3841087144</c:v>
                </c:pt>
                <c:pt idx="20">
                  <c:v>2181147527</c:v>
                </c:pt>
                <c:pt idx="21">
                  <c:v>3139002806</c:v>
                </c:pt>
                <c:pt idx="22">
                  <c:v>2589334638</c:v>
                </c:pt>
                <c:pt idx="23">
                  <c:v>3037145756</c:v>
                </c:pt>
                <c:pt idx="24">
                  <c:v>2800881284</c:v>
                </c:pt>
                <c:pt idx="25">
                  <c:v>3094496393</c:v>
                </c:pt>
                <c:pt idx="26">
                  <c:v>1750544385</c:v>
                </c:pt>
                <c:pt idx="27">
                  <c:v>3750861223</c:v>
                </c:pt>
                <c:pt idx="28">
                  <c:v>2422434894</c:v>
                </c:pt>
                <c:pt idx="29">
                  <c:v>3557232725</c:v>
                </c:pt>
                <c:pt idx="30">
                  <c:v>2559417623</c:v>
                </c:pt>
                <c:pt idx="31">
                  <c:v>2649041543</c:v>
                </c:pt>
                <c:pt idx="32">
                  <c:v>2788212008</c:v>
                </c:pt>
                <c:pt idx="33">
                  <c:v>3408933720</c:v>
                </c:pt>
                <c:pt idx="34">
                  <c:v>3451820960</c:v>
                </c:pt>
                <c:pt idx="35">
                  <c:v>2502466250</c:v>
                </c:pt>
                <c:pt idx="36">
                  <c:v>2334148457</c:v>
                </c:pt>
                <c:pt idx="37">
                  <c:v>2584814804</c:v>
                </c:pt>
                <c:pt idx="38">
                  <c:v>2717052166</c:v>
                </c:pt>
                <c:pt idx="39">
                  <c:v>2246188518</c:v>
                </c:pt>
                <c:pt idx="40">
                  <c:v>1968902998</c:v>
                </c:pt>
                <c:pt idx="41">
                  <c:v>1422002021</c:v>
                </c:pt>
                <c:pt idx="42">
                  <c:v>1533737258</c:v>
                </c:pt>
                <c:pt idx="43">
                  <c:v>1420307904</c:v>
                </c:pt>
                <c:pt idx="44">
                  <c:v>1497603189</c:v>
                </c:pt>
                <c:pt idx="45">
                  <c:v>1628653688</c:v>
                </c:pt>
                <c:pt idx="46">
                  <c:v>1825687394</c:v>
                </c:pt>
                <c:pt idx="47">
                  <c:v>1970336632</c:v>
                </c:pt>
                <c:pt idx="48">
                  <c:v>1859701155</c:v>
                </c:pt>
                <c:pt idx="49">
                  <c:v>2318704927</c:v>
                </c:pt>
                <c:pt idx="50">
                  <c:v>2160542217</c:v>
                </c:pt>
                <c:pt idx="51">
                  <c:v>1978634063</c:v>
                </c:pt>
                <c:pt idx="52">
                  <c:v>2069052260</c:v>
                </c:pt>
                <c:pt idx="53">
                  <c:v>1865203347</c:v>
                </c:pt>
                <c:pt idx="54">
                  <c:v>1839649584</c:v>
                </c:pt>
                <c:pt idx="55">
                  <c:v>1671922926</c:v>
                </c:pt>
                <c:pt idx="56">
                  <c:v>1948413660</c:v>
                </c:pt>
                <c:pt idx="57">
                  <c:v>1886717646</c:v>
                </c:pt>
                <c:pt idx="58">
                  <c:v>2196909665</c:v>
                </c:pt>
              </c:numCache>
            </c:numRef>
          </c:val>
        </c:ser>
        <c:ser>
          <c:idx val="3"/>
          <c:order val="4"/>
          <c:tx>
            <c:strRef>
              <c:f>'Input-TBA LS'!$U$3</c:f>
              <c:strCache>
                <c:ptCount val="1"/>
                <c:pt idx="0">
                  <c:v>175K</c:v>
                </c:pt>
              </c:strCache>
            </c:strRef>
          </c:tx>
          <c:invertIfNegative val="0"/>
          <c:cat>
            <c:numRef>
              <c:f>'Input-TBA LS'!$Q$4:$Q$62</c:f>
              <c:numCache>
                <c:formatCode>m/d/yyyy</c:formatCode>
                <c:ptCount val="59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40544</c:v>
                </c:pt>
                <c:pt idx="6">
                  <c:v>40575</c:v>
                </c:pt>
                <c:pt idx="7">
                  <c:v>40603</c:v>
                </c:pt>
                <c:pt idx="8">
                  <c:v>40634</c:v>
                </c:pt>
                <c:pt idx="9">
                  <c:v>40664</c:v>
                </c:pt>
                <c:pt idx="10">
                  <c:v>40695</c:v>
                </c:pt>
                <c:pt idx="11">
                  <c:v>40725</c:v>
                </c:pt>
                <c:pt idx="12">
                  <c:v>40756</c:v>
                </c:pt>
                <c:pt idx="13">
                  <c:v>40787</c:v>
                </c:pt>
                <c:pt idx="14">
                  <c:v>40817</c:v>
                </c:pt>
                <c:pt idx="15">
                  <c:v>40848</c:v>
                </c:pt>
                <c:pt idx="16">
                  <c:v>40878</c:v>
                </c:pt>
                <c:pt idx="17">
                  <c:v>40909</c:v>
                </c:pt>
                <c:pt idx="18">
                  <c:v>40940</c:v>
                </c:pt>
                <c:pt idx="19">
                  <c:v>40969</c:v>
                </c:pt>
                <c:pt idx="20">
                  <c:v>41000</c:v>
                </c:pt>
                <c:pt idx="21">
                  <c:v>41030</c:v>
                </c:pt>
                <c:pt idx="22">
                  <c:v>41061</c:v>
                </c:pt>
                <c:pt idx="23">
                  <c:v>41091</c:v>
                </c:pt>
                <c:pt idx="24">
                  <c:v>41122</c:v>
                </c:pt>
                <c:pt idx="25">
                  <c:v>41153</c:v>
                </c:pt>
                <c:pt idx="26">
                  <c:v>41183</c:v>
                </c:pt>
                <c:pt idx="27">
                  <c:v>41214</c:v>
                </c:pt>
                <c:pt idx="28">
                  <c:v>41244</c:v>
                </c:pt>
                <c:pt idx="29">
                  <c:v>41275</c:v>
                </c:pt>
                <c:pt idx="30">
                  <c:v>41306</c:v>
                </c:pt>
                <c:pt idx="31">
                  <c:v>41334</c:v>
                </c:pt>
                <c:pt idx="32">
                  <c:v>41365</c:v>
                </c:pt>
                <c:pt idx="33">
                  <c:v>41395</c:v>
                </c:pt>
                <c:pt idx="34">
                  <c:v>41426</c:v>
                </c:pt>
                <c:pt idx="35">
                  <c:v>41456</c:v>
                </c:pt>
                <c:pt idx="36">
                  <c:v>41487</c:v>
                </c:pt>
                <c:pt idx="37">
                  <c:v>41518</c:v>
                </c:pt>
                <c:pt idx="38">
                  <c:v>41548</c:v>
                </c:pt>
                <c:pt idx="39">
                  <c:v>41579</c:v>
                </c:pt>
                <c:pt idx="40">
                  <c:v>41609</c:v>
                </c:pt>
                <c:pt idx="41">
                  <c:v>41640</c:v>
                </c:pt>
                <c:pt idx="42">
                  <c:v>41671</c:v>
                </c:pt>
                <c:pt idx="43">
                  <c:v>41699</c:v>
                </c:pt>
                <c:pt idx="44">
                  <c:v>41730</c:v>
                </c:pt>
                <c:pt idx="45">
                  <c:v>41760</c:v>
                </c:pt>
                <c:pt idx="46">
                  <c:v>41791</c:v>
                </c:pt>
                <c:pt idx="47">
                  <c:v>41821</c:v>
                </c:pt>
                <c:pt idx="48">
                  <c:v>41852</c:v>
                </c:pt>
                <c:pt idx="49">
                  <c:v>41883</c:v>
                </c:pt>
                <c:pt idx="50">
                  <c:v>41913</c:v>
                </c:pt>
                <c:pt idx="51">
                  <c:v>41944</c:v>
                </c:pt>
                <c:pt idx="52">
                  <c:v>41974</c:v>
                </c:pt>
                <c:pt idx="53">
                  <c:v>42005</c:v>
                </c:pt>
                <c:pt idx="54">
                  <c:v>42036</c:v>
                </c:pt>
                <c:pt idx="55">
                  <c:v>42064</c:v>
                </c:pt>
                <c:pt idx="56">
                  <c:v>42095</c:v>
                </c:pt>
                <c:pt idx="57">
                  <c:v>42125</c:v>
                </c:pt>
                <c:pt idx="58">
                  <c:v>42156</c:v>
                </c:pt>
              </c:numCache>
            </c:numRef>
          </c:cat>
          <c:val>
            <c:numRef>
              <c:f>'Input-TBA LS'!$U$4:$U$62</c:f>
              <c:numCache>
                <c:formatCode>General</c:formatCode>
                <c:ptCount val="59"/>
                <c:pt idx="0">
                  <c:v>706795312</c:v>
                </c:pt>
                <c:pt idx="1">
                  <c:v>1015749063</c:v>
                </c:pt>
                <c:pt idx="2">
                  <c:v>1345059250</c:v>
                </c:pt>
                <c:pt idx="3">
                  <c:v>1010009248</c:v>
                </c:pt>
                <c:pt idx="4">
                  <c:v>1684767935</c:v>
                </c:pt>
                <c:pt idx="5">
                  <c:v>322833781</c:v>
                </c:pt>
                <c:pt idx="6">
                  <c:v>1199506943</c:v>
                </c:pt>
                <c:pt idx="7">
                  <c:v>1154399548</c:v>
                </c:pt>
                <c:pt idx="8">
                  <c:v>623375110</c:v>
                </c:pt>
                <c:pt idx="9">
                  <c:v>729687773</c:v>
                </c:pt>
                <c:pt idx="10">
                  <c:v>977103582</c:v>
                </c:pt>
                <c:pt idx="11">
                  <c:v>615931446</c:v>
                </c:pt>
                <c:pt idx="12">
                  <c:v>700196687</c:v>
                </c:pt>
                <c:pt idx="13">
                  <c:v>1172583154</c:v>
                </c:pt>
                <c:pt idx="14">
                  <c:v>1053422473</c:v>
                </c:pt>
                <c:pt idx="15">
                  <c:v>883509763</c:v>
                </c:pt>
                <c:pt idx="16">
                  <c:v>927109718</c:v>
                </c:pt>
                <c:pt idx="17">
                  <c:v>895155203</c:v>
                </c:pt>
                <c:pt idx="18">
                  <c:v>1119679733</c:v>
                </c:pt>
                <c:pt idx="19">
                  <c:v>2071647847</c:v>
                </c:pt>
                <c:pt idx="20">
                  <c:v>1142559870</c:v>
                </c:pt>
                <c:pt idx="21">
                  <c:v>1739950443</c:v>
                </c:pt>
                <c:pt idx="22">
                  <c:v>1341442478</c:v>
                </c:pt>
                <c:pt idx="23">
                  <c:v>1676373437</c:v>
                </c:pt>
                <c:pt idx="24">
                  <c:v>1740229937</c:v>
                </c:pt>
                <c:pt idx="25">
                  <c:v>1747467554</c:v>
                </c:pt>
                <c:pt idx="26">
                  <c:v>885767358</c:v>
                </c:pt>
                <c:pt idx="27">
                  <c:v>1351050040</c:v>
                </c:pt>
                <c:pt idx="28">
                  <c:v>1378219207</c:v>
                </c:pt>
                <c:pt idx="29">
                  <c:v>1960322510</c:v>
                </c:pt>
                <c:pt idx="30">
                  <c:v>1424567527</c:v>
                </c:pt>
                <c:pt idx="31">
                  <c:v>1467961473</c:v>
                </c:pt>
                <c:pt idx="32">
                  <c:v>1543905672</c:v>
                </c:pt>
                <c:pt idx="33">
                  <c:v>2072685965</c:v>
                </c:pt>
                <c:pt idx="34">
                  <c:v>1781149410</c:v>
                </c:pt>
                <c:pt idx="35">
                  <c:v>1445312778</c:v>
                </c:pt>
                <c:pt idx="36">
                  <c:v>1246111687</c:v>
                </c:pt>
                <c:pt idx="37">
                  <c:v>1501130196</c:v>
                </c:pt>
                <c:pt idx="38">
                  <c:v>1456266951</c:v>
                </c:pt>
                <c:pt idx="39">
                  <c:v>1082707660</c:v>
                </c:pt>
                <c:pt idx="40">
                  <c:v>912715644</c:v>
                </c:pt>
                <c:pt idx="41">
                  <c:v>753233777</c:v>
                </c:pt>
                <c:pt idx="42">
                  <c:v>692698264</c:v>
                </c:pt>
                <c:pt idx="43">
                  <c:v>790379142</c:v>
                </c:pt>
                <c:pt idx="44">
                  <c:v>646472868</c:v>
                </c:pt>
                <c:pt idx="45">
                  <c:v>948228084</c:v>
                </c:pt>
                <c:pt idx="46">
                  <c:v>1098455565</c:v>
                </c:pt>
                <c:pt idx="47">
                  <c:v>1362312518</c:v>
                </c:pt>
                <c:pt idx="48">
                  <c:v>1177932387</c:v>
                </c:pt>
                <c:pt idx="49">
                  <c:v>1414370804</c:v>
                </c:pt>
                <c:pt idx="50">
                  <c:v>1266666906</c:v>
                </c:pt>
                <c:pt idx="51">
                  <c:v>1023640722</c:v>
                </c:pt>
                <c:pt idx="52">
                  <c:v>1010410896</c:v>
                </c:pt>
                <c:pt idx="53">
                  <c:v>925240314</c:v>
                </c:pt>
                <c:pt idx="54">
                  <c:v>1158064789</c:v>
                </c:pt>
                <c:pt idx="55">
                  <c:v>1132393996</c:v>
                </c:pt>
                <c:pt idx="56">
                  <c:v>1286157119</c:v>
                </c:pt>
                <c:pt idx="57">
                  <c:v>1332406946</c:v>
                </c:pt>
                <c:pt idx="58">
                  <c:v>1454471487</c:v>
                </c:pt>
              </c:numCache>
            </c:numRef>
          </c:val>
        </c:ser>
        <c:ser>
          <c:idx val="2"/>
          <c:order val="5"/>
          <c:tx>
            <c:strRef>
              <c:f>'Input-TBA LS'!$T$3</c:f>
              <c:strCache>
                <c:ptCount val="1"/>
                <c:pt idx="0">
                  <c:v>Investor</c:v>
                </c:pt>
              </c:strCache>
            </c:strRef>
          </c:tx>
          <c:spPr>
            <a:solidFill>
              <a:srgbClr val="1B7A76"/>
            </a:solidFill>
          </c:spPr>
          <c:invertIfNegative val="0"/>
          <c:cat>
            <c:numRef>
              <c:f>'Input-TBA LS'!$Q$4:$Q$62</c:f>
              <c:numCache>
                <c:formatCode>m/d/yyyy</c:formatCode>
                <c:ptCount val="59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40544</c:v>
                </c:pt>
                <c:pt idx="6">
                  <c:v>40575</c:v>
                </c:pt>
                <c:pt idx="7">
                  <c:v>40603</c:v>
                </c:pt>
                <c:pt idx="8">
                  <c:v>40634</c:v>
                </c:pt>
                <c:pt idx="9">
                  <c:v>40664</c:v>
                </c:pt>
                <c:pt idx="10">
                  <c:v>40695</c:v>
                </c:pt>
                <c:pt idx="11">
                  <c:v>40725</c:v>
                </c:pt>
                <c:pt idx="12">
                  <c:v>40756</c:v>
                </c:pt>
                <c:pt idx="13">
                  <c:v>40787</c:v>
                </c:pt>
                <c:pt idx="14">
                  <c:v>40817</c:v>
                </c:pt>
                <c:pt idx="15">
                  <c:v>40848</c:v>
                </c:pt>
                <c:pt idx="16">
                  <c:v>40878</c:v>
                </c:pt>
                <c:pt idx="17">
                  <c:v>40909</c:v>
                </c:pt>
                <c:pt idx="18">
                  <c:v>40940</c:v>
                </c:pt>
                <c:pt idx="19">
                  <c:v>40969</c:v>
                </c:pt>
                <c:pt idx="20">
                  <c:v>41000</c:v>
                </c:pt>
                <c:pt idx="21">
                  <c:v>41030</c:v>
                </c:pt>
                <c:pt idx="22">
                  <c:v>41061</c:v>
                </c:pt>
                <c:pt idx="23">
                  <c:v>41091</c:v>
                </c:pt>
                <c:pt idx="24">
                  <c:v>41122</c:v>
                </c:pt>
                <c:pt idx="25">
                  <c:v>41153</c:v>
                </c:pt>
                <c:pt idx="26">
                  <c:v>41183</c:v>
                </c:pt>
                <c:pt idx="27">
                  <c:v>41214</c:v>
                </c:pt>
                <c:pt idx="28">
                  <c:v>41244</c:v>
                </c:pt>
                <c:pt idx="29">
                  <c:v>41275</c:v>
                </c:pt>
                <c:pt idx="30">
                  <c:v>41306</c:v>
                </c:pt>
                <c:pt idx="31">
                  <c:v>41334</c:v>
                </c:pt>
                <c:pt idx="32">
                  <c:v>41365</c:v>
                </c:pt>
                <c:pt idx="33">
                  <c:v>41395</c:v>
                </c:pt>
                <c:pt idx="34">
                  <c:v>41426</c:v>
                </c:pt>
                <c:pt idx="35">
                  <c:v>41456</c:v>
                </c:pt>
                <c:pt idx="36">
                  <c:v>41487</c:v>
                </c:pt>
                <c:pt idx="37">
                  <c:v>41518</c:v>
                </c:pt>
                <c:pt idx="38">
                  <c:v>41548</c:v>
                </c:pt>
                <c:pt idx="39">
                  <c:v>41579</c:v>
                </c:pt>
                <c:pt idx="40">
                  <c:v>41609</c:v>
                </c:pt>
                <c:pt idx="41">
                  <c:v>41640</c:v>
                </c:pt>
                <c:pt idx="42">
                  <c:v>41671</c:v>
                </c:pt>
                <c:pt idx="43">
                  <c:v>41699</c:v>
                </c:pt>
                <c:pt idx="44">
                  <c:v>41730</c:v>
                </c:pt>
                <c:pt idx="45">
                  <c:v>41760</c:v>
                </c:pt>
                <c:pt idx="46">
                  <c:v>41791</c:v>
                </c:pt>
                <c:pt idx="47">
                  <c:v>41821</c:v>
                </c:pt>
                <c:pt idx="48">
                  <c:v>41852</c:v>
                </c:pt>
                <c:pt idx="49">
                  <c:v>41883</c:v>
                </c:pt>
                <c:pt idx="50">
                  <c:v>41913</c:v>
                </c:pt>
                <c:pt idx="51">
                  <c:v>41944</c:v>
                </c:pt>
                <c:pt idx="52">
                  <c:v>41974</c:v>
                </c:pt>
                <c:pt idx="53">
                  <c:v>42005</c:v>
                </c:pt>
                <c:pt idx="54">
                  <c:v>42036</c:v>
                </c:pt>
                <c:pt idx="55">
                  <c:v>42064</c:v>
                </c:pt>
                <c:pt idx="56">
                  <c:v>42095</c:v>
                </c:pt>
                <c:pt idx="57">
                  <c:v>42125</c:v>
                </c:pt>
                <c:pt idx="58">
                  <c:v>42156</c:v>
                </c:pt>
              </c:numCache>
            </c:numRef>
          </c:cat>
          <c:val>
            <c:numRef>
              <c:f>'Input-TBA LS'!$T$4:$T$62</c:f>
              <c:numCache>
                <c:formatCode>General</c:formatCode>
                <c:ptCount val="59"/>
                <c:pt idx="0">
                  <c:v>589264392</c:v>
                </c:pt>
                <c:pt idx="1">
                  <c:v>856676323</c:v>
                </c:pt>
                <c:pt idx="2">
                  <c:v>1062405884</c:v>
                </c:pt>
                <c:pt idx="3">
                  <c:v>1055657547</c:v>
                </c:pt>
                <c:pt idx="4">
                  <c:v>1221699541</c:v>
                </c:pt>
                <c:pt idx="5">
                  <c:v>1046242428</c:v>
                </c:pt>
                <c:pt idx="6">
                  <c:v>1083809913</c:v>
                </c:pt>
                <c:pt idx="7">
                  <c:v>1178373166</c:v>
                </c:pt>
                <c:pt idx="8">
                  <c:v>1028063805</c:v>
                </c:pt>
                <c:pt idx="9">
                  <c:v>865363758</c:v>
                </c:pt>
                <c:pt idx="10">
                  <c:v>888524552</c:v>
                </c:pt>
                <c:pt idx="11">
                  <c:v>661753657</c:v>
                </c:pt>
                <c:pt idx="12">
                  <c:v>618316676</c:v>
                </c:pt>
                <c:pt idx="13">
                  <c:v>744658251</c:v>
                </c:pt>
                <c:pt idx="14">
                  <c:v>707129963</c:v>
                </c:pt>
                <c:pt idx="15">
                  <c:v>913700422</c:v>
                </c:pt>
                <c:pt idx="16">
                  <c:v>814006032</c:v>
                </c:pt>
                <c:pt idx="17">
                  <c:v>881297951</c:v>
                </c:pt>
                <c:pt idx="18">
                  <c:v>1070710499</c:v>
                </c:pt>
                <c:pt idx="19">
                  <c:v>1907637512</c:v>
                </c:pt>
                <c:pt idx="20">
                  <c:v>924196729</c:v>
                </c:pt>
                <c:pt idx="21">
                  <c:v>1284353878</c:v>
                </c:pt>
                <c:pt idx="22">
                  <c:v>1249456220</c:v>
                </c:pt>
                <c:pt idx="23">
                  <c:v>1368636075</c:v>
                </c:pt>
                <c:pt idx="24">
                  <c:v>1427196427</c:v>
                </c:pt>
                <c:pt idx="25">
                  <c:v>1334351132</c:v>
                </c:pt>
                <c:pt idx="26">
                  <c:v>467542200</c:v>
                </c:pt>
                <c:pt idx="27">
                  <c:v>2080610275</c:v>
                </c:pt>
                <c:pt idx="28">
                  <c:v>1077406635</c:v>
                </c:pt>
                <c:pt idx="29">
                  <c:v>1485427177</c:v>
                </c:pt>
                <c:pt idx="30">
                  <c:v>1331254497</c:v>
                </c:pt>
                <c:pt idx="31">
                  <c:v>1055385357</c:v>
                </c:pt>
                <c:pt idx="32">
                  <c:v>1291214195</c:v>
                </c:pt>
                <c:pt idx="33">
                  <c:v>759951414</c:v>
                </c:pt>
                <c:pt idx="34">
                  <c:v>952742573</c:v>
                </c:pt>
                <c:pt idx="35">
                  <c:v>744523722</c:v>
                </c:pt>
                <c:pt idx="36">
                  <c:v>765859354</c:v>
                </c:pt>
                <c:pt idx="37">
                  <c:v>606944301</c:v>
                </c:pt>
                <c:pt idx="38">
                  <c:v>542776506</c:v>
                </c:pt>
                <c:pt idx="39">
                  <c:v>538507910</c:v>
                </c:pt>
                <c:pt idx="40">
                  <c:v>202710742</c:v>
                </c:pt>
                <c:pt idx="41">
                  <c:v>149971420</c:v>
                </c:pt>
                <c:pt idx="42">
                  <c:v>366698500</c:v>
                </c:pt>
                <c:pt idx="43">
                  <c:v>310202041</c:v>
                </c:pt>
                <c:pt idx="44">
                  <c:v>120692903</c:v>
                </c:pt>
                <c:pt idx="45">
                  <c:v>138342395</c:v>
                </c:pt>
                <c:pt idx="46">
                  <c:v>179699486</c:v>
                </c:pt>
                <c:pt idx="47">
                  <c:v>257151893</c:v>
                </c:pt>
                <c:pt idx="48">
                  <c:v>289485869</c:v>
                </c:pt>
                <c:pt idx="49">
                  <c:v>119562446</c:v>
                </c:pt>
                <c:pt idx="50">
                  <c:v>276556307</c:v>
                </c:pt>
                <c:pt idx="51">
                  <c:v>151604932</c:v>
                </c:pt>
                <c:pt idx="52">
                  <c:v>523016982</c:v>
                </c:pt>
                <c:pt idx="53">
                  <c:v>116714969</c:v>
                </c:pt>
                <c:pt idx="54">
                  <c:v>100420654</c:v>
                </c:pt>
                <c:pt idx="55">
                  <c:v>34611971</c:v>
                </c:pt>
                <c:pt idx="56">
                  <c:v>40597122</c:v>
                </c:pt>
                <c:pt idx="57">
                  <c:v>50437619</c:v>
                </c:pt>
                <c:pt idx="58">
                  <c:v>296070002</c:v>
                </c:pt>
              </c:numCache>
            </c:numRef>
          </c:val>
        </c:ser>
        <c:ser>
          <c:idx val="1"/>
          <c:order val="6"/>
          <c:tx>
            <c:strRef>
              <c:f>'Input-TBA LS'!$S$3</c:f>
              <c:strCache>
                <c:ptCount val="1"/>
                <c:pt idx="0">
                  <c:v>MHA</c:v>
                </c:pt>
              </c:strCache>
            </c:strRef>
          </c:tx>
          <c:spPr>
            <a:solidFill>
              <a:srgbClr val="AD275C"/>
            </a:solidFill>
          </c:spPr>
          <c:invertIfNegative val="0"/>
          <c:cat>
            <c:numRef>
              <c:f>'Input-TBA LS'!$Q$4:$Q$62</c:f>
              <c:numCache>
                <c:formatCode>m/d/yyyy</c:formatCode>
                <c:ptCount val="59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40544</c:v>
                </c:pt>
                <c:pt idx="6">
                  <c:v>40575</c:v>
                </c:pt>
                <c:pt idx="7">
                  <c:v>40603</c:v>
                </c:pt>
                <c:pt idx="8">
                  <c:v>40634</c:v>
                </c:pt>
                <c:pt idx="9">
                  <c:v>40664</c:v>
                </c:pt>
                <c:pt idx="10">
                  <c:v>40695</c:v>
                </c:pt>
                <c:pt idx="11">
                  <c:v>40725</c:v>
                </c:pt>
                <c:pt idx="12">
                  <c:v>40756</c:v>
                </c:pt>
                <c:pt idx="13">
                  <c:v>40787</c:v>
                </c:pt>
                <c:pt idx="14">
                  <c:v>40817</c:v>
                </c:pt>
                <c:pt idx="15">
                  <c:v>40848</c:v>
                </c:pt>
                <c:pt idx="16">
                  <c:v>40878</c:v>
                </c:pt>
                <c:pt idx="17">
                  <c:v>40909</c:v>
                </c:pt>
                <c:pt idx="18">
                  <c:v>40940</c:v>
                </c:pt>
                <c:pt idx="19">
                  <c:v>40969</c:v>
                </c:pt>
                <c:pt idx="20">
                  <c:v>41000</c:v>
                </c:pt>
                <c:pt idx="21">
                  <c:v>41030</c:v>
                </c:pt>
                <c:pt idx="22">
                  <c:v>41061</c:v>
                </c:pt>
                <c:pt idx="23">
                  <c:v>41091</c:v>
                </c:pt>
                <c:pt idx="24">
                  <c:v>41122</c:v>
                </c:pt>
                <c:pt idx="25">
                  <c:v>41153</c:v>
                </c:pt>
                <c:pt idx="26">
                  <c:v>41183</c:v>
                </c:pt>
                <c:pt idx="27">
                  <c:v>41214</c:v>
                </c:pt>
                <c:pt idx="28">
                  <c:v>41244</c:v>
                </c:pt>
                <c:pt idx="29">
                  <c:v>41275</c:v>
                </c:pt>
                <c:pt idx="30">
                  <c:v>41306</c:v>
                </c:pt>
                <c:pt idx="31">
                  <c:v>41334</c:v>
                </c:pt>
                <c:pt idx="32">
                  <c:v>41365</c:v>
                </c:pt>
                <c:pt idx="33">
                  <c:v>41395</c:v>
                </c:pt>
                <c:pt idx="34">
                  <c:v>41426</c:v>
                </c:pt>
                <c:pt idx="35">
                  <c:v>41456</c:v>
                </c:pt>
                <c:pt idx="36">
                  <c:v>41487</c:v>
                </c:pt>
                <c:pt idx="37">
                  <c:v>41518</c:v>
                </c:pt>
                <c:pt idx="38">
                  <c:v>41548</c:v>
                </c:pt>
                <c:pt idx="39">
                  <c:v>41579</c:v>
                </c:pt>
                <c:pt idx="40">
                  <c:v>41609</c:v>
                </c:pt>
                <c:pt idx="41">
                  <c:v>41640</c:v>
                </c:pt>
                <c:pt idx="42">
                  <c:v>41671</c:v>
                </c:pt>
                <c:pt idx="43">
                  <c:v>41699</c:v>
                </c:pt>
                <c:pt idx="44">
                  <c:v>41730</c:v>
                </c:pt>
                <c:pt idx="45">
                  <c:v>41760</c:v>
                </c:pt>
                <c:pt idx="46">
                  <c:v>41791</c:v>
                </c:pt>
                <c:pt idx="47">
                  <c:v>41821</c:v>
                </c:pt>
                <c:pt idx="48">
                  <c:v>41852</c:v>
                </c:pt>
                <c:pt idx="49">
                  <c:v>41883</c:v>
                </c:pt>
                <c:pt idx="50">
                  <c:v>41913</c:v>
                </c:pt>
                <c:pt idx="51">
                  <c:v>41944</c:v>
                </c:pt>
                <c:pt idx="52">
                  <c:v>41974</c:v>
                </c:pt>
                <c:pt idx="53">
                  <c:v>42005</c:v>
                </c:pt>
                <c:pt idx="54">
                  <c:v>42036</c:v>
                </c:pt>
                <c:pt idx="55">
                  <c:v>42064</c:v>
                </c:pt>
                <c:pt idx="56">
                  <c:v>42095</c:v>
                </c:pt>
                <c:pt idx="57">
                  <c:v>42125</c:v>
                </c:pt>
                <c:pt idx="58">
                  <c:v>42156</c:v>
                </c:pt>
              </c:numCache>
            </c:numRef>
          </c:cat>
          <c:val>
            <c:numRef>
              <c:f>'Input-TBA LS'!$S$4:$S$62</c:f>
              <c:numCache>
                <c:formatCode>General</c:formatCode>
                <c:ptCount val="59"/>
                <c:pt idx="0">
                  <c:v>17557679</c:v>
                </c:pt>
                <c:pt idx="1">
                  <c:v>1392289312</c:v>
                </c:pt>
                <c:pt idx="2">
                  <c:v>1858405398</c:v>
                </c:pt>
                <c:pt idx="3">
                  <c:v>1853939539</c:v>
                </c:pt>
                <c:pt idx="4">
                  <c:v>1772179506</c:v>
                </c:pt>
                <c:pt idx="5">
                  <c:v>1443648463</c:v>
                </c:pt>
                <c:pt idx="6">
                  <c:v>1464783621</c:v>
                </c:pt>
                <c:pt idx="7">
                  <c:v>1323749778</c:v>
                </c:pt>
                <c:pt idx="8">
                  <c:v>1194947665</c:v>
                </c:pt>
                <c:pt idx="9">
                  <c:v>1021482111</c:v>
                </c:pt>
                <c:pt idx="10">
                  <c:v>1250601934</c:v>
                </c:pt>
                <c:pt idx="11">
                  <c:v>1233481435</c:v>
                </c:pt>
                <c:pt idx="12">
                  <c:v>1409668759</c:v>
                </c:pt>
                <c:pt idx="13">
                  <c:v>1373391430</c:v>
                </c:pt>
                <c:pt idx="14">
                  <c:v>1371675072</c:v>
                </c:pt>
                <c:pt idx="15">
                  <c:v>2069110953</c:v>
                </c:pt>
                <c:pt idx="16">
                  <c:v>1545506017</c:v>
                </c:pt>
                <c:pt idx="17">
                  <c:v>2618325359</c:v>
                </c:pt>
                <c:pt idx="18">
                  <c:v>2549140693</c:v>
                </c:pt>
                <c:pt idx="19">
                  <c:v>4280168236</c:v>
                </c:pt>
                <c:pt idx="20">
                  <c:v>2344147071</c:v>
                </c:pt>
                <c:pt idx="21">
                  <c:v>3652827367</c:v>
                </c:pt>
                <c:pt idx="22">
                  <c:v>3645341345</c:v>
                </c:pt>
                <c:pt idx="23">
                  <c:v>3672143704</c:v>
                </c:pt>
                <c:pt idx="24">
                  <c:v>4005623745</c:v>
                </c:pt>
                <c:pt idx="25">
                  <c:v>3794875709</c:v>
                </c:pt>
                <c:pt idx="26">
                  <c:v>2866599095</c:v>
                </c:pt>
                <c:pt idx="27">
                  <c:v>4430765694</c:v>
                </c:pt>
                <c:pt idx="28">
                  <c:v>2825123329</c:v>
                </c:pt>
                <c:pt idx="29">
                  <c:v>3545408567</c:v>
                </c:pt>
                <c:pt idx="30">
                  <c:v>2993187224</c:v>
                </c:pt>
                <c:pt idx="31">
                  <c:v>2633670399</c:v>
                </c:pt>
                <c:pt idx="32">
                  <c:v>2852112763</c:v>
                </c:pt>
                <c:pt idx="33">
                  <c:v>2055564409</c:v>
                </c:pt>
                <c:pt idx="34">
                  <c:v>1943388196</c:v>
                </c:pt>
                <c:pt idx="35">
                  <c:v>1289489011</c:v>
                </c:pt>
                <c:pt idx="36">
                  <c:v>1100083337</c:v>
                </c:pt>
                <c:pt idx="37">
                  <c:v>870671088</c:v>
                </c:pt>
                <c:pt idx="38">
                  <c:v>612902147</c:v>
                </c:pt>
                <c:pt idx="39">
                  <c:v>461441626</c:v>
                </c:pt>
                <c:pt idx="40">
                  <c:v>391322877</c:v>
                </c:pt>
                <c:pt idx="41">
                  <c:v>416855275</c:v>
                </c:pt>
                <c:pt idx="42">
                  <c:v>241808690</c:v>
                </c:pt>
                <c:pt idx="43">
                  <c:v>170464932</c:v>
                </c:pt>
                <c:pt idx="44">
                  <c:v>113376698</c:v>
                </c:pt>
                <c:pt idx="45">
                  <c:v>129006135</c:v>
                </c:pt>
                <c:pt idx="46">
                  <c:v>154253949</c:v>
                </c:pt>
                <c:pt idx="47">
                  <c:v>165894730</c:v>
                </c:pt>
                <c:pt idx="48">
                  <c:v>139663674</c:v>
                </c:pt>
                <c:pt idx="49">
                  <c:v>178036037</c:v>
                </c:pt>
                <c:pt idx="50">
                  <c:v>191321043</c:v>
                </c:pt>
                <c:pt idx="51">
                  <c:v>146483603</c:v>
                </c:pt>
                <c:pt idx="52">
                  <c:v>156006867</c:v>
                </c:pt>
                <c:pt idx="53">
                  <c:v>101114385</c:v>
                </c:pt>
                <c:pt idx="54">
                  <c:v>88755102</c:v>
                </c:pt>
                <c:pt idx="55">
                  <c:v>126620545</c:v>
                </c:pt>
                <c:pt idx="56">
                  <c:v>90901338</c:v>
                </c:pt>
                <c:pt idx="57">
                  <c:v>151263534</c:v>
                </c:pt>
                <c:pt idx="58">
                  <c:v>113021864</c:v>
                </c:pt>
              </c:numCache>
            </c:numRef>
          </c:val>
        </c:ser>
        <c:ser>
          <c:idx val="0"/>
          <c:order val="7"/>
          <c:tx>
            <c:strRef>
              <c:f>'Input-TBA LS'!$R$3</c:f>
              <c:strCache>
                <c:ptCount val="1"/>
                <c:pt idx="0">
                  <c:v>LowFICO</c:v>
                </c:pt>
              </c:strCache>
            </c:strRef>
          </c:tx>
          <c:spPr>
            <a:solidFill>
              <a:srgbClr val="2E398A"/>
            </a:solidFill>
          </c:spPr>
          <c:invertIfNegative val="0"/>
          <c:cat>
            <c:numRef>
              <c:f>'Input-TBA LS'!$Q$4:$Q$62</c:f>
              <c:numCache>
                <c:formatCode>m/d/yyyy</c:formatCode>
                <c:ptCount val="59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40544</c:v>
                </c:pt>
                <c:pt idx="6">
                  <c:v>40575</c:v>
                </c:pt>
                <c:pt idx="7">
                  <c:v>40603</c:v>
                </c:pt>
                <c:pt idx="8">
                  <c:v>40634</c:v>
                </c:pt>
                <c:pt idx="9">
                  <c:v>40664</c:v>
                </c:pt>
                <c:pt idx="10">
                  <c:v>40695</c:v>
                </c:pt>
                <c:pt idx="11">
                  <c:v>40725</c:v>
                </c:pt>
                <c:pt idx="12">
                  <c:v>40756</c:v>
                </c:pt>
                <c:pt idx="13">
                  <c:v>40787</c:v>
                </c:pt>
                <c:pt idx="14">
                  <c:v>40817</c:v>
                </c:pt>
                <c:pt idx="15">
                  <c:v>40848</c:v>
                </c:pt>
                <c:pt idx="16">
                  <c:v>40878</c:v>
                </c:pt>
                <c:pt idx="17">
                  <c:v>40909</c:v>
                </c:pt>
                <c:pt idx="18">
                  <c:v>40940</c:v>
                </c:pt>
                <c:pt idx="19">
                  <c:v>40969</c:v>
                </c:pt>
                <c:pt idx="20">
                  <c:v>41000</c:v>
                </c:pt>
                <c:pt idx="21">
                  <c:v>41030</c:v>
                </c:pt>
                <c:pt idx="22">
                  <c:v>41061</c:v>
                </c:pt>
                <c:pt idx="23">
                  <c:v>41091</c:v>
                </c:pt>
                <c:pt idx="24">
                  <c:v>41122</c:v>
                </c:pt>
                <c:pt idx="25">
                  <c:v>41153</c:v>
                </c:pt>
                <c:pt idx="26">
                  <c:v>41183</c:v>
                </c:pt>
                <c:pt idx="27">
                  <c:v>41214</c:v>
                </c:pt>
                <c:pt idx="28">
                  <c:v>41244</c:v>
                </c:pt>
                <c:pt idx="29">
                  <c:v>41275</c:v>
                </c:pt>
                <c:pt idx="30">
                  <c:v>41306</c:v>
                </c:pt>
                <c:pt idx="31">
                  <c:v>41334</c:v>
                </c:pt>
                <c:pt idx="32">
                  <c:v>41365</c:v>
                </c:pt>
                <c:pt idx="33">
                  <c:v>41395</c:v>
                </c:pt>
                <c:pt idx="34">
                  <c:v>41426</c:v>
                </c:pt>
                <c:pt idx="35">
                  <c:v>41456</c:v>
                </c:pt>
                <c:pt idx="36">
                  <c:v>41487</c:v>
                </c:pt>
                <c:pt idx="37">
                  <c:v>41518</c:v>
                </c:pt>
                <c:pt idx="38">
                  <c:v>41548</c:v>
                </c:pt>
                <c:pt idx="39">
                  <c:v>41579</c:v>
                </c:pt>
                <c:pt idx="40">
                  <c:v>41609</c:v>
                </c:pt>
                <c:pt idx="41">
                  <c:v>41640</c:v>
                </c:pt>
                <c:pt idx="42">
                  <c:v>41671</c:v>
                </c:pt>
                <c:pt idx="43">
                  <c:v>41699</c:v>
                </c:pt>
                <c:pt idx="44">
                  <c:v>41730</c:v>
                </c:pt>
                <c:pt idx="45">
                  <c:v>41760</c:v>
                </c:pt>
                <c:pt idx="46">
                  <c:v>41791</c:v>
                </c:pt>
                <c:pt idx="47">
                  <c:v>41821</c:v>
                </c:pt>
                <c:pt idx="48">
                  <c:v>41852</c:v>
                </c:pt>
                <c:pt idx="49">
                  <c:v>41883</c:v>
                </c:pt>
                <c:pt idx="50">
                  <c:v>41913</c:v>
                </c:pt>
                <c:pt idx="51">
                  <c:v>41944</c:v>
                </c:pt>
                <c:pt idx="52">
                  <c:v>41974</c:v>
                </c:pt>
                <c:pt idx="53">
                  <c:v>42005</c:v>
                </c:pt>
                <c:pt idx="54">
                  <c:v>42036</c:v>
                </c:pt>
                <c:pt idx="55">
                  <c:v>42064</c:v>
                </c:pt>
                <c:pt idx="56">
                  <c:v>42095</c:v>
                </c:pt>
                <c:pt idx="57">
                  <c:v>42125</c:v>
                </c:pt>
                <c:pt idx="58">
                  <c:v>42156</c:v>
                </c:pt>
              </c:numCache>
            </c:numRef>
          </c:cat>
          <c:val>
            <c:numRef>
              <c:f>'Input-TBA LS'!$R$4:$R$62</c:f>
              <c:numCache>
                <c:formatCode>General</c:formatCode>
                <c:ptCount val="59"/>
                <c:pt idx="0">
                  <c:v>108449929</c:v>
                </c:pt>
                <c:pt idx="1">
                  <c:v>388369694</c:v>
                </c:pt>
                <c:pt idx="2">
                  <c:v>362554018</c:v>
                </c:pt>
                <c:pt idx="3">
                  <c:v>295484717</c:v>
                </c:pt>
                <c:pt idx="4">
                  <c:v>443445215</c:v>
                </c:pt>
                <c:pt idx="5">
                  <c:v>323106997</c:v>
                </c:pt>
                <c:pt idx="6">
                  <c:v>273557809</c:v>
                </c:pt>
                <c:pt idx="7">
                  <c:v>581436059</c:v>
                </c:pt>
                <c:pt idx="8">
                  <c:v>523138257</c:v>
                </c:pt>
                <c:pt idx="9">
                  <c:v>363321355</c:v>
                </c:pt>
                <c:pt idx="10">
                  <c:v>670947560</c:v>
                </c:pt>
                <c:pt idx="11">
                  <c:v>544504441</c:v>
                </c:pt>
                <c:pt idx="12">
                  <c:v>597220400</c:v>
                </c:pt>
                <c:pt idx="13">
                  <c:v>1142247145</c:v>
                </c:pt>
                <c:pt idx="14">
                  <c:v>904649967</c:v>
                </c:pt>
                <c:pt idx="15">
                  <c:v>746449328</c:v>
                </c:pt>
                <c:pt idx="16">
                  <c:v>630958608</c:v>
                </c:pt>
                <c:pt idx="17">
                  <c:v>1199227914</c:v>
                </c:pt>
                <c:pt idx="18">
                  <c:v>858544665</c:v>
                </c:pt>
                <c:pt idx="19">
                  <c:v>1316407997</c:v>
                </c:pt>
                <c:pt idx="20">
                  <c:v>619429599</c:v>
                </c:pt>
                <c:pt idx="21">
                  <c:v>1030015691</c:v>
                </c:pt>
                <c:pt idx="22">
                  <c:v>1023641491</c:v>
                </c:pt>
                <c:pt idx="23">
                  <c:v>1486802071</c:v>
                </c:pt>
                <c:pt idx="24">
                  <c:v>1507652848</c:v>
                </c:pt>
                <c:pt idx="25">
                  <c:v>1363121051</c:v>
                </c:pt>
                <c:pt idx="26">
                  <c:v>741027528</c:v>
                </c:pt>
                <c:pt idx="27">
                  <c:v>1745418744</c:v>
                </c:pt>
                <c:pt idx="28">
                  <c:v>779099080</c:v>
                </c:pt>
                <c:pt idx="29">
                  <c:v>1631971933</c:v>
                </c:pt>
                <c:pt idx="30">
                  <c:v>1473941813</c:v>
                </c:pt>
                <c:pt idx="31">
                  <c:v>1157795498</c:v>
                </c:pt>
                <c:pt idx="32">
                  <c:v>1492444337</c:v>
                </c:pt>
                <c:pt idx="33">
                  <c:v>1148597953</c:v>
                </c:pt>
                <c:pt idx="34">
                  <c:v>1334786513</c:v>
                </c:pt>
                <c:pt idx="35">
                  <c:v>1136852477</c:v>
                </c:pt>
                <c:pt idx="36">
                  <c:v>1693674201</c:v>
                </c:pt>
                <c:pt idx="37">
                  <c:v>1340563412</c:v>
                </c:pt>
                <c:pt idx="38">
                  <c:v>1306448482</c:v>
                </c:pt>
                <c:pt idx="39">
                  <c:v>1123781504</c:v>
                </c:pt>
                <c:pt idx="40">
                  <c:v>978325690</c:v>
                </c:pt>
                <c:pt idx="41">
                  <c:v>572432177</c:v>
                </c:pt>
                <c:pt idx="42">
                  <c:v>946386040</c:v>
                </c:pt>
                <c:pt idx="43">
                  <c:v>897364263</c:v>
                </c:pt>
                <c:pt idx="44">
                  <c:v>1001427874</c:v>
                </c:pt>
                <c:pt idx="45">
                  <c:v>1092791433</c:v>
                </c:pt>
                <c:pt idx="46">
                  <c:v>1270617090</c:v>
                </c:pt>
                <c:pt idx="47">
                  <c:v>1750904626</c:v>
                </c:pt>
                <c:pt idx="48">
                  <c:v>1440447783</c:v>
                </c:pt>
                <c:pt idx="49">
                  <c:v>1381851236</c:v>
                </c:pt>
                <c:pt idx="50">
                  <c:v>1806383113</c:v>
                </c:pt>
                <c:pt idx="51">
                  <c:v>631309303</c:v>
                </c:pt>
                <c:pt idx="52">
                  <c:v>1487383145</c:v>
                </c:pt>
                <c:pt idx="53">
                  <c:v>1351487033</c:v>
                </c:pt>
                <c:pt idx="54">
                  <c:v>1869668083</c:v>
                </c:pt>
                <c:pt idx="55">
                  <c:v>1271901242</c:v>
                </c:pt>
                <c:pt idx="56">
                  <c:v>1500801264</c:v>
                </c:pt>
                <c:pt idx="57">
                  <c:v>1289760612</c:v>
                </c:pt>
                <c:pt idx="58">
                  <c:v>1793348453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2459648"/>
        <c:axId val="82502784"/>
      </c:barChart>
      <c:lineChart>
        <c:grouping val="standard"/>
        <c:varyColors val="0"/>
        <c:ser>
          <c:idx val="8"/>
          <c:order val="8"/>
          <c:tx>
            <c:strRef>
              <c:f>'Input-TBA LS'!$Z$3</c:f>
              <c:strCache>
                <c:ptCount val="1"/>
                <c:pt idx="0">
                  <c:v>%All</c:v>
                </c:pt>
              </c:strCache>
            </c:strRef>
          </c:tx>
          <c:spPr>
            <a:ln w="22225"/>
          </c:spPr>
          <c:marker>
            <c:symbol val="none"/>
          </c:marker>
          <c:val>
            <c:numRef>
              <c:f>'Input-TBA LS'!$Z$4:$Z$62</c:f>
              <c:numCache>
                <c:formatCode>0%</c:formatCode>
                <c:ptCount val="59"/>
                <c:pt idx="0">
                  <c:v>0.15922453239501261</c:v>
                </c:pt>
                <c:pt idx="1">
                  <c:v>0.19335524052716319</c:v>
                </c:pt>
                <c:pt idx="2">
                  <c:v>0.22465196279767227</c:v>
                </c:pt>
                <c:pt idx="3">
                  <c:v>0.23533316132756529</c:v>
                </c:pt>
                <c:pt idx="4">
                  <c:v>0.23623351023071609</c:v>
                </c:pt>
                <c:pt idx="5">
                  <c:v>0.19991120675918089</c:v>
                </c:pt>
                <c:pt idx="6">
                  <c:v>0.27845212872409775</c:v>
                </c:pt>
                <c:pt idx="7">
                  <c:v>0.29629792713990871</c:v>
                </c:pt>
                <c:pt idx="8">
                  <c:v>0.36918928506523579</c:v>
                </c:pt>
                <c:pt idx="9">
                  <c:v>0.36117124386232813</c:v>
                </c:pt>
                <c:pt idx="10">
                  <c:v>0.39781748978174963</c:v>
                </c:pt>
                <c:pt idx="11">
                  <c:v>0.38050595931467912</c:v>
                </c:pt>
                <c:pt idx="12">
                  <c:v>0.33084570873058766</c:v>
                </c:pt>
                <c:pt idx="13">
                  <c:v>0.35785606752258481</c:v>
                </c:pt>
                <c:pt idx="14">
                  <c:v>0.32152590210399679</c:v>
                </c:pt>
                <c:pt idx="15">
                  <c:v>0.27341261628762731</c:v>
                </c:pt>
                <c:pt idx="16">
                  <c:v>0.1977940972980248</c:v>
                </c:pt>
                <c:pt idx="17">
                  <c:v>0.31322030734801148</c:v>
                </c:pt>
                <c:pt idx="18">
                  <c:v>0.32917083075448261</c:v>
                </c:pt>
                <c:pt idx="19">
                  <c:v>0.30024274669984202</c:v>
                </c:pt>
                <c:pt idx="20">
                  <c:v>0.33388238910503099</c:v>
                </c:pt>
                <c:pt idx="21">
                  <c:v>0.32418154453854631</c:v>
                </c:pt>
                <c:pt idx="22">
                  <c:v>0.37755394734625408</c:v>
                </c:pt>
                <c:pt idx="23">
                  <c:v>0.35272179935927161</c:v>
                </c:pt>
                <c:pt idx="24">
                  <c:v>0.32248278307592104</c:v>
                </c:pt>
                <c:pt idx="25">
                  <c:v>0.29548977613791227</c:v>
                </c:pt>
                <c:pt idx="26">
                  <c:v>0.26620497039221447</c:v>
                </c:pt>
                <c:pt idx="27">
                  <c:v>0.27049356492343579</c:v>
                </c:pt>
                <c:pt idx="28">
                  <c:v>0.29360876737334918</c:v>
                </c:pt>
                <c:pt idx="29">
                  <c:v>0.31475008234614837</c:v>
                </c:pt>
                <c:pt idx="30">
                  <c:v>0.26472209099335525</c:v>
                </c:pt>
                <c:pt idx="31">
                  <c:v>0.30623865139104089</c:v>
                </c:pt>
                <c:pt idx="32">
                  <c:v>0.30700631630123032</c:v>
                </c:pt>
                <c:pt idx="33">
                  <c:v>0.28004804955142054</c:v>
                </c:pt>
                <c:pt idx="34">
                  <c:v>0.29895149285660588</c:v>
                </c:pt>
                <c:pt idx="35">
                  <c:v>0.21196524887597057</c:v>
                </c:pt>
                <c:pt idx="36">
                  <c:v>0.23849480701768344</c:v>
                </c:pt>
                <c:pt idx="37">
                  <c:v>0.27310764663321929</c:v>
                </c:pt>
                <c:pt idx="38">
                  <c:v>0.29117227197194057</c:v>
                </c:pt>
                <c:pt idx="39">
                  <c:v>0.28355450408107558</c:v>
                </c:pt>
                <c:pt idx="40">
                  <c:v>0.26709395001239211</c:v>
                </c:pt>
                <c:pt idx="41">
                  <c:v>0.27140329627414245</c:v>
                </c:pt>
                <c:pt idx="42">
                  <c:v>0.29688183817145353</c:v>
                </c:pt>
                <c:pt idx="43">
                  <c:v>0.32128737093331111</c:v>
                </c:pt>
                <c:pt idx="44">
                  <c:v>0.26223182299536663</c:v>
                </c:pt>
                <c:pt idx="45">
                  <c:v>0.29654773584729865</c:v>
                </c:pt>
                <c:pt idx="46">
                  <c:v>0.2869875553991264</c:v>
                </c:pt>
                <c:pt idx="47">
                  <c:v>0.29399243838191902</c:v>
                </c:pt>
                <c:pt idx="48">
                  <c:v>0.27898212098014286</c:v>
                </c:pt>
                <c:pt idx="49">
                  <c:v>0.27397472772012665</c:v>
                </c:pt>
                <c:pt idx="50">
                  <c:v>0.27695588312855357</c:v>
                </c:pt>
                <c:pt idx="51">
                  <c:v>0.26413743050985727</c:v>
                </c:pt>
                <c:pt idx="52">
                  <c:v>0.24855413814151092</c:v>
                </c:pt>
                <c:pt idx="53">
                  <c:v>0.24060494379489905</c:v>
                </c:pt>
                <c:pt idx="54">
                  <c:v>0.2780123054479709</c:v>
                </c:pt>
                <c:pt idx="55">
                  <c:v>0.18380860125843021</c:v>
                </c:pt>
                <c:pt idx="56">
                  <c:v>0.19691232516379856</c:v>
                </c:pt>
                <c:pt idx="57">
                  <c:v>0.20793206390465219</c:v>
                </c:pt>
                <c:pt idx="58">
                  <c:v>0.25378764599855336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748928"/>
        <c:axId val="82747392"/>
      </c:lineChart>
      <c:catAx>
        <c:axId val="824596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2502784"/>
        <c:crosses val="autoZero"/>
        <c:auto val="1"/>
        <c:lblAlgn val="ctr"/>
        <c:lblOffset val="100"/>
        <c:tickLblSkip val="2"/>
        <c:noMultiLvlLbl val="0"/>
      </c:catAx>
      <c:valAx>
        <c:axId val="825027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Billions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2459648"/>
        <c:crosses val="autoZero"/>
        <c:crossBetween val="between"/>
        <c:dispUnits>
          <c:builtInUnit val="billions"/>
        </c:dispUnits>
      </c:valAx>
      <c:valAx>
        <c:axId val="82747392"/>
        <c:scaling>
          <c:orientation val="minMax"/>
          <c:max val="0.55000000000000004"/>
        </c:scaling>
        <c:delete val="0"/>
        <c:axPos val="r"/>
        <c:numFmt formatCode="0%" sourceLinked="1"/>
        <c:majorTickMark val="out"/>
        <c:minorTickMark val="none"/>
        <c:tickLblPos val="nextTo"/>
        <c:crossAx val="82748928"/>
        <c:crosses val="max"/>
        <c:crossBetween val="between"/>
      </c:valAx>
      <c:catAx>
        <c:axId val="82748928"/>
        <c:scaling>
          <c:orientation val="minMax"/>
        </c:scaling>
        <c:delete val="1"/>
        <c:axPos val="b"/>
        <c:majorTickMark val="out"/>
        <c:minorTickMark val="none"/>
        <c:tickLblPos val="nextTo"/>
        <c:crossAx val="82747392"/>
        <c:crosses val="autoZero"/>
        <c:auto val="1"/>
        <c:lblAlgn val="ctr"/>
        <c:lblOffset val="100"/>
        <c:noMultiLvlLbl val="0"/>
      </c:catAx>
      <c:spPr>
        <a:ln>
          <a:solidFill>
            <a:schemeClr val="tx1"/>
          </a:solidFill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Non-TBA-Eligible  Specified Pool Issuance Volume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Jumbo</c:v>
          </c:tx>
          <c:spPr>
            <a:solidFill>
              <a:srgbClr val="2E398A"/>
            </a:solidFill>
          </c:spPr>
          <c:invertIfNegative val="0"/>
          <c:cat>
            <c:numRef>
              <c:f>'Input-Non TBA'!$C$4:$C$62</c:f>
              <c:numCache>
                <c:formatCode>m/d/yyyy</c:formatCode>
                <c:ptCount val="59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40544</c:v>
                </c:pt>
                <c:pt idx="6">
                  <c:v>40575</c:v>
                </c:pt>
                <c:pt idx="7">
                  <c:v>40603</c:v>
                </c:pt>
                <c:pt idx="8">
                  <c:v>40634</c:v>
                </c:pt>
                <c:pt idx="9">
                  <c:v>40664</c:v>
                </c:pt>
                <c:pt idx="10">
                  <c:v>40695</c:v>
                </c:pt>
                <c:pt idx="11">
                  <c:v>40725</c:v>
                </c:pt>
                <c:pt idx="12">
                  <c:v>40756</c:v>
                </c:pt>
                <c:pt idx="13">
                  <c:v>40787</c:v>
                </c:pt>
                <c:pt idx="14">
                  <c:v>40817</c:v>
                </c:pt>
                <c:pt idx="15">
                  <c:v>40848</c:v>
                </c:pt>
                <c:pt idx="16">
                  <c:v>40878</c:v>
                </c:pt>
                <c:pt idx="17">
                  <c:v>40909</c:v>
                </c:pt>
                <c:pt idx="18">
                  <c:v>40940</c:v>
                </c:pt>
                <c:pt idx="19">
                  <c:v>40969</c:v>
                </c:pt>
                <c:pt idx="20">
                  <c:v>41000</c:v>
                </c:pt>
                <c:pt idx="21">
                  <c:v>41030</c:v>
                </c:pt>
                <c:pt idx="22">
                  <c:v>41061</c:v>
                </c:pt>
                <c:pt idx="23">
                  <c:v>41091</c:v>
                </c:pt>
                <c:pt idx="24">
                  <c:v>41122</c:v>
                </c:pt>
                <c:pt idx="25">
                  <c:v>41153</c:v>
                </c:pt>
                <c:pt idx="26">
                  <c:v>41183</c:v>
                </c:pt>
                <c:pt idx="27">
                  <c:v>41214</c:v>
                </c:pt>
                <c:pt idx="28">
                  <c:v>41244</c:v>
                </c:pt>
                <c:pt idx="29">
                  <c:v>41275</c:v>
                </c:pt>
                <c:pt idx="30">
                  <c:v>41306</c:v>
                </c:pt>
                <c:pt idx="31">
                  <c:v>41334</c:v>
                </c:pt>
                <c:pt idx="32">
                  <c:v>41365</c:v>
                </c:pt>
                <c:pt idx="33">
                  <c:v>41395</c:v>
                </c:pt>
                <c:pt idx="34">
                  <c:v>41426</c:v>
                </c:pt>
                <c:pt idx="35">
                  <c:v>41456</c:v>
                </c:pt>
                <c:pt idx="36">
                  <c:v>41487</c:v>
                </c:pt>
                <c:pt idx="37">
                  <c:v>41518</c:v>
                </c:pt>
                <c:pt idx="38">
                  <c:v>41548</c:v>
                </c:pt>
                <c:pt idx="39">
                  <c:v>41579</c:v>
                </c:pt>
                <c:pt idx="40">
                  <c:v>41609</c:v>
                </c:pt>
                <c:pt idx="41">
                  <c:v>41640</c:v>
                </c:pt>
                <c:pt idx="42">
                  <c:v>41671</c:v>
                </c:pt>
                <c:pt idx="43">
                  <c:v>41699</c:v>
                </c:pt>
                <c:pt idx="44">
                  <c:v>41730</c:v>
                </c:pt>
                <c:pt idx="45">
                  <c:v>41760</c:v>
                </c:pt>
                <c:pt idx="46">
                  <c:v>41791</c:v>
                </c:pt>
                <c:pt idx="47">
                  <c:v>41821</c:v>
                </c:pt>
                <c:pt idx="48">
                  <c:v>41852</c:v>
                </c:pt>
                <c:pt idx="49">
                  <c:v>41883</c:v>
                </c:pt>
                <c:pt idx="50">
                  <c:v>41913</c:v>
                </c:pt>
                <c:pt idx="51">
                  <c:v>41944</c:v>
                </c:pt>
                <c:pt idx="52">
                  <c:v>41974</c:v>
                </c:pt>
                <c:pt idx="53">
                  <c:v>42005</c:v>
                </c:pt>
                <c:pt idx="54">
                  <c:v>42036</c:v>
                </c:pt>
                <c:pt idx="55">
                  <c:v>42064</c:v>
                </c:pt>
                <c:pt idx="56">
                  <c:v>42095</c:v>
                </c:pt>
                <c:pt idx="57">
                  <c:v>42125</c:v>
                </c:pt>
                <c:pt idx="58">
                  <c:v>42156</c:v>
                </c:pt>
              </c:numCache>
            </c:numRef>
          </c:cat>
          <c:val>
            <c:numRef>
              <c:f>'Input-Non TBA'!$E$4:$E$62</c:f>
              <c:numCache>
                <c:formatCode>General</c:formatCode>
                <c:ptCount val="59"/>
                <c:pt idx="0">
                  <c:v>3347514541</c:v>
                </c:pt>
                <c:pt idx="1">
                  <c:v>4534053251</c:v>
                </c:pt>
                <c:pt idx="2">
                  <c:v>4710788842</c:v>
                </c:pt>
                <c:pt idx="3">
                  <c:v>4435127896</c:v>
                </c:pt>
                <c:pt idx="4">
                  <c:v>5168634747</c:v>
                </c:pt>
                <c:pt idx="5">
                  <c:v>4772517239</c:v>
                </c:pt>
                <c:pt idx="6">
                  <c:v>3322794637</c:v>
                </c:pt>
                <c:pt idx="7">
                  <c:v>2879069981</c:v>
                </c:pt>
                <c:pt idx="8">
                  <c:v>1365959263</c:v>
                </c:pt>
                <c:pt idx="9">
                  <c:v>1679348065</c:v>
                </c:pt>
                <c:pt idx="10">
                  <c:v>1470720552</c:v>
                </c:pt>
                <c:pt idx="11">
                  <c:v>1755684824</c:v>
                </c:pt>
                <c:pt idx="12">
                  <c:v>2242690757</c:v>
                </c:pt>
                <c:pt idx="13">
                  <c:v>4005917312</c:v>
                </c:pt>
                <c:pt idx="14">
                  <c:v>4409005394</c:v>
                </c:pt>
                <c:pt idx="15">
                  <c:v>4642886367</c:v>
                </c:pt>
                <c:pt idx="16">
                  <c:v>2231440428</c:v>
                </c:pt>
                <c:pt idx="17">
                  <c:v>1557100159</c:v>
                </c:pt>
                <c:pt idx="18">
                  <c:v>1459805763</c:v>
                </c:pt>
                <c:pt idx="19">
                  <c:v>2893315869</c:v>
                </c:pt>
                <c:pt idx="20">
                  <c:v>853289366</c:v>
                </c:pt>
                <c:pt idx="21">
                  <c:v>1671001392</c:v>
                </c:pt>
                <c:pt idx="22">
                  <c:v>1932118315</c:v>
                </c:pt>
                <c:pt idx="23">
                  <c:v>2752296610</c:v>
                </c:pt>
                <c:pt idx="24">
                  <c:v>3126742934</c:v>
                </c:pt>
                <c:pt idx="25">
                  <c:v>3245152246</c:v>
                </c:pt>
                <c:pt idx="26">
                  <c:v>2054054786</c:v>
                </c:pt>
                <c:pt idx="27">
                  <c:v>3993010447</c:v>
                </c:pt>
                <c:pt idx="28">
                  <c:v>1214802344</c:v>
                </c:pt>
                <c:pt idx="29">
                  <c:v>3321638962</c:v>
                </c:pt>
                <c:pt idx="30">
                  <c:v>1888075582</c:v>
                </c:pt>
                <c:pt idx="31">
                  <c:v>2116389422</c:v>
                </c:pt>
                <c:pt idx="32">
                  <c:v>2271806082</c:v>
                </c:pt>
                <c:pt idx="33">
                  <c:v>2019206225</c:v>
                </c:pt>
                <c:pt idx="34">
                  <c:v>2418493907</c:v>
                </c:pt>
                <c:pt idx="35">
                  <c:v>1885265938</c:v>
                </c:pt>
                <c:pt idx="36">
                  <c:v>1634700327</c:v>
                </c:pt>
                <c:pt idx="37">
                  <c:v>971826383</c:v>
                </c:pt>
                <c:pt idx="38">
                  <c:v>841860222</c:v>
                </c:pt>
                <c:pt idx="39">
                  <c:v>773960857</c:v>
                </c:pt>
                <c:pt idx="40">
                  <c:v>647887853</c:v>
                </c:pt>
                <c:pt idx="41">
                  <c:v>392754952</c:v>
                </c:pt>
                <c:pt idx="42">
                  <c:v>362334810</c:v>
                </c:pt>
                <c:pt idx="43">
                  <c:v>230227055</c:v>
                </c:pt>
                <c:pt idx="44">
                  <c:v>278280577</c:v>
                </c:pt>
                <c:pt idx="45">
                  <c:v>337688908</c:v>
                </c:pt>
                <c:pt idx="46">
                  <c:v>319731336</c:v>
                </c:pt>
                <c:pt idx="47">
                  <c:v>562390222</c:v>
                </c:pt>
                <c:pt idx="48">
                  <c:v>449797295</c:v>
                </c:pt>
                <c:pt idx="49">
                  <c:v>746264105</c:v>
                </c:pt>
                <c:pt idx="50">
                  <c:v>639001193</c:v>
                </c:pt>
                <c:pt idx="51">
                  <c:v>549347202</c:v>
                </c:pt>
                <c:pt idx="52">
                  <c:v>771028754</c:v>
                </c:pt>
                <c:pt idx="53">
                  <c:v>667434711</c:v>
                </c:pt>
                <c:pt idx="54">
                  <c:v>821128260</c:v>
                </c:pt>
                <c:pt idx="55">
                  <c:v>1012026911</c:v>
                </c:pt>
                <c:pt idx="56">
                  <c:v>1093740959</c:v>
                </c:pt>
                <c:pt idx="57">
                  <c:v>778540166</c:v>
                </c:pt>
                <c:pt idx="58">
                  <c:v>1612948251</c:v>
                </c:pt>
              </c:numCache>
            </c:numRef>
          </c:val>
        </c:ser>
        <c:ser>
          <c:idx val="1"/>
          <c:order val="1"/>
          <c:tx>
            <c:strRef>
              <c:f>'Input-Non TBA'!$F$3</c:f>
              <c:strCache>
                <c:ptCount val="1"/>
                <c:pt idx="0">
                  <c:v>CQ</c:v>
                </c:pt>
              </c:strCache>
            </c:strRef>
          </c:tx>
          <c:spPr>
            <a:solidFill>
              <a:srgbClr val="AD275C"/>
            </a:solidFill>
          </c:spPr>
          <c:invertIfNegative val="0"/>
          <c:cat>
            <c:numRef>
              <c:f>'Input-Non TBA'!$C$4:$C$62</c:f>
              <c:numCache>
                <c:formatCode>m/d/yyyy</c:formatCode>
                <c:ptCount val="59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40544</c:v>
                </c:pt>
                <c:pt idx="6">
                  <c:v>40575</c:v>
                </c:pt>
                <c:pt idx="7">
                  <c:v>40603</c:v>
                </c:pt>
                <c:pt idx="8">
                  <c:v>40634</c:v>
                </c:pt>
                <c:pt idx="9">
                  <c:v>40664</c:v>
                </c:pt>
                <c:pt idx="10">
                  <c:v>40695</c:v>
                </c:pt>
                <c:pt idx="11">
                  <c:v>40725</c:v>
                </c:pt>
                <c:pt idx="12">
                  <c:v>40756</c:v>
                </c:pt>
                <c:pt idx="13">
                  <c:v>40787</c:v>
                </c:pt>
                <c:pt idx="14">
                  <c:v>40817</c:v>
                </c:pt>
                <c:pt idx="15">
                  <c:v>40848</c:v>
                </c:pt>
                <c:pt idx="16">
                  <c:v>40878</c:v>
                </c:pt>
                <c:pt idx="17">
                  <c:v>40909</c:v>
                </c:pt>
                <c:pt idx="18">
                  <c:v>40940</c:v>
                </c:pt>
                <c:pt idx="19">
                  <c:v>40969</c:v>
                </c:pt>
                <c:pt idx="20">
                  <c:v>41000</c:v>
                </c:pt>
                <c:pt idx="21">
                  <c:v>41030</c:v>
                </c:pt>
                <c:pt idx="22">
                  <c:v>41061</c:v>
                </c:pt>
                <c:pt idx="23">
                  <c:v>41091</c:v>
                </c:pt>
                <c:pt idx="24">
                  <c:v>41122</c:v>
                </c:pt>
                <c:pt idx="25">
                  <c:v>41153</c:v>
                </c:pt>
                <c:pt idx="26">
                  <c:v>41183</c:v>
                </c:pt>
                <c:pt idx="27">
                  <c:v>41214</c:v>
                </c:pt>
                <c:pt idx="28">
                  <c:v>41244</c:v>
                </c:pt>
                <c:pt idx="29">
                  <c:v>41275</c:v>
                </c:pt>
                <c:pt idx="30">
                  <c:v>41306</c:v>
                </c:pt>
                <c:pt idx="31">
                  <c:v>41334</c:v>
                </c:pt>
                <c:pt idx="32">
                  <c:v>41365</c:v>
                </c:pt>
                <c:pt idx="33">
                  <c:v>41395</c:v>
                </c:pt>
                <c:pt idx="34">
                  <c:v>41426</c:v>
                </c:pt>
                <c:pt idx="35">
                  <c:v>41456</c:v>
                </c:pt>
                <c:pt idx="36">
                  <c:v>41487</c:v>
                </c:pt>
                <c:pt idx="37">
                  <c:v>41518</c:v>
                </c:pt>
                <c:pt idx="38">
                  <c:v>41548</c:v>
                </c:pt>
                <c:pt idx="39">
                  <c:v>41579</c:v>
                </c:pt>
                <c:pt idx="40">
                  <c:v>41609</c:v>
                </c:pt>
                <c:pt idx="41">
                  <c:v>41640</c:v>
                </c:pt>
                <c:pt idx="42">
                  <c:v>41671</c:v>
                </c:pt>
                <c:pt idx="43">
                  <c:v>41699</c:v>
                </c:pt>
                <c:pt idx="44">
                  <c:v>41730</c:v>
                </c:pt>
                <c:pt idx="45">
                  <c:v>41760</c:v>
                </c:pt>
                <c:pt idx="46">
                  <c:v>41791</c:v>
                </c:pt>
                <c:pt idx="47">
                  <c:v>41821</c:v>
                </c:pt>
                <c:pt idx="48">
                  <c:v>41852</c:v>
                </c:pt>
                <c:pt idx="49">
                  <c:v>41883</c:v>
                </c:pt>
                <c:pt idx="50">
                  <c:v>41913</c:v>
                </c:pt>
                <c:pt idx="51">
                  <c:v>41944</c:v>
                </c:pt>
                <c:pt idx="52">
                  <c:v>41974</c:v>
                </c:pt>
                <c:pt idx="53">
                  <c:v>42005</c:v>
                </c:pt>
                <c:pt idx="54">
                  <c:v>42036</c:v>
                </c:pt>
                <c:pt idx="55">
                  <c:v>42064</c:v>
                </c:pt>
                <c:pt idx="56">
                  <c:v>42095</c:v>
                </c:pt>
                <c:pt idx="57">
                  <c:v>42125</c:v>
                </c:pt>
                <c:pt idx="58">
                  <c:v>42156</c:v>
                </c:pt>
              </c:numCache>
            </c:numRef>
          </c:cat>
          <c:val>
            <c:numRef>
              <c:f>'Input-Non TBA'!$F$4:$F$62</c:f>
              <c:numCache>
                <c:formatCode>General</c:formatCode>
                <c:ptCount val="59"/>
                <c:pt idx="0">
                  <c:v>355715456</c:v>
                </c:pt>
                <c:pt idx="1">
                  <c:v>352412504</c:v>
                </c:pt>
                <c:pt idx="2">
                  <c:v>319947067</c:v>
                </c:pt>
                <c:pt idx="3">
                  <c:v>369679660</c:v>
                </c:pt>
                <c:pt idx="4">
                  <c:v>504226385</c:v>
                </c:pt>
                <c:pt idx="5">
                  <c:v>481880967</c:v>
                </c:pt>
                <c:pt idx="6">
                  <c:v>511593118</c:v>
                </c:pt>
                <c:pt idx="7">
                  <c:v>618688301</c:v>
                </c:pt>
                <c:pt idx="8">
                  <c:v>668998347</c:v>
                </c:pt>
                <c:pt idx="9">
                  <c:v>436513565</c:v>
                </c:pt>
                <c:pt idx="10">
                  <c:v>714756687</c:v>
                </c:pt>
                <c:pt idx="11">
                  <c:v>450007317</c:v>
                </c:pt>
                <c:pt idx="12">
                  <c:v>544964112</c:v>
                </c:pt>
                <c:pt idx="13">
                  <c:v>632560564</c:v>
                </c:pt>
                <c:pt idx="14">
                  <c:v>575215946</c:v>
                </c:pt>
                <c:pt idx="15">
                  <c:v>570846520</c:v>
                </c:pt>
                <c:pt idx="16">
                  <c:v>363856997</c:v>
                </c:pt>
                <c:pt idx="17">
                  <c:v>964656975</c:v>
                </c:pt>
                <c:pt idx="18">
                  <c:v>935368647</c:v>
                </c:pt>
                <c:pt idx="19">
                  <c:v>1830004532</c:v>
                </c:pt>
                <c:pt idx="20">
                  <c:v>1283593895</c:v>
                </c:pt>
                <c:pt idx="21">
                  <c:v>2238872332</c:v>
                </c:pt>
                <c:pt idx="22">
                  <c:v>2674159779</c:v>
                </c:pt>
                <c:pt idx="23">
                  <c:v>2691500965</c:v>
                </c:pt>
                <c:pt idx="24">
                  <c:v>2705488507</c:v>
                </c:pt>
                <c:pt idx="25">
                  <c:v>2507345171</c:v>
                </c:pt>
                <c:pt idx="26">
                  <c:v>1886237333</c:v>
                </c:pt>
                <c:pt idx="27">
                  <c:v>3089976460</c:v>
                </c:pt>
                <c:pt idx="28">
                  <c:v>1925814668</c:v>
                </c:pt>
                <c:pt idx="29">
                  <c:v>2387371027</c:v>
                </c:pt>
                <c:pt idx="30">
                  <c:v>2217599892</c:v>
                </c:pt>
                <c:pt idx="31">
                  <c:v>2074956858</c:v>
                </c:pt>
                <c:pt idx="32">
                  <c:v>2243146531</c:v>
                </c:pt>
                <c:pt idx="33">
                  <c:v>1541931533</c:v>
                </c:pt>
                <c:pt idx="34">
                  <c:v>1758314749</c:v>
                </c:pt>
                <c:pt idx="35">
                  <c:v>1616623154</c:v>
                </c:pt>
                <c:pt idx="36">
                  <c:v>1373502996</c:v>
                </c:pt>
                <c:pt idx="37">
                  <c:v>960260689</c:v>
                </c:pt>
                <c:pt idx="38">
                  <c:v>817694911</c:v>
                </c:pt>
                <c:pt idx="39">
                  <c:v>650781591</c:v>
                </c:pt>
                <c:pt idx="40">
                  <c:v>755691585</c:v>
                </c:pt>
                <c:pt idx="41">
                  <c:v>438784911</c:v>
                </c:pt>
                <c:pt idx="42">
                  <c:v>399641559</c:v>
                </c:pt>
                <c:pt idx="43">
                  <c:v>313566996</c:v>
                </c:pt>
                <c:pt idx="44">
                  <c:v>255206728</c:v>
                </c:pt>
                <c:pt idx="45">
                  <c:v>186037636</c:v>
                </c:pt>
                <c:pt idx="46">
                  <c:v>244291451</c:v>
                </c:pt>
                <c:pt idx="47">
                  <c:v>206481264</c:v>
                </c:pt>
                <c:pt idx="48">
                  <c:v>346554888</c:v>
                </c:pt>
                <c:pt idx="49">
                  <c:v>187308272</c:v>
                </c:pt>
                <c:pt idx="50">
                  <c:v>169366238</c:v>
                </c:pt>
                <c:pt idx="51">
                  <c:v>371096000</c:v>
                </c:pt>
                <c:pt idx="52">
                  <c:v>145992266</c:v>
                </c:pt>
                <c:pt idx="53">
                  <c:v>120675652</c:v>
                </c:pt>
                <c:pt idx="54">
                  <c:v>469334257</c:v>
                </c:pt>
                <c:pt idx="55">
                  <c:v>104946942</c:v>
                </c:pt>
                <c:pt idx="56">
                  <c:v>131358298</c:v>
                </c:pt>
                <c:pt idx="57">
                  <c:v>113644778</c:v>
                </c:pt>
                <c:pt idx="58">
                  <c:v>117291690</c:v>
                </c:pt>
              </c:numCache>
            </c:numRef>
          </c:val>
        </c:ser>
        <c:ser>
          <c:idx val="2"/>
          <c:order val="2"/>
          <c:tx>
            <c:strRef>
              <c:f>'Input-Non TBA'!$G$3</c:f>
              <c:strCache>
                <c:ptCount val="1"/>
                <c:pt idx="0">
                  <c:v>CR</c:v>
                </c:pt>
              </c:strCache>
            </c:strRef>
          </c:tx>
          <c:spPr>
            <a:solidFill>
              <a:srgbClr val="1B7A76"/>
            </a:solidFill>
          </c:spPr>
          <c:invertIfNegative val="0"/>
          <c:cat>
            <c:numRef>
              <c:f>'Input-Non TBA'!$C$4:$C$62</c:f>
              <c:numCache>
                <c:formatCode>m/d/yyyy</c:formatCode>
                <c:ptCount val="59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40544</c:v>
                </c:pt>
                <c:pt idx="6">
                  <c:v>40575</c:v>
                </c:pt>
                <c:pt idx="7">
                  <c:v>40603</c:v>
                </c:pt>
                <c:pt idx="8">
                  <c:v>40634</c:v>
                </c:pt>
                <c:pt idx="9">
                  <c:v>40664</c:v>
                </c:pt>
                <c:pt idx="10">
                  <c:v>40695</c:v>
                </c:pt>
                <c:pt idx="11">
                  <c:v>40725</c:v>
                </c:pt>
                <c:pt idx="12">
                  <c:v>40756</c:v>
                </c:pt>
                <c:pt idx="13">
                  <c:v>40787</c:v>
                </c:pt>
                <c:pt idx="14">
                  <c:v>40817</c:v>
                </c:pt>
                <c:pt idx="15">
                  <c:v>40848</c:v>
                </c:pt>
                <c:pt idx="16">
                  <c:v>40878</c:v>
                </c:pt>
                <c:pt idx="17">
                  <c:v>40909</c:v>
                </c:pt>
                <c:pt idx="18">
                  <c:v>40940</c:v>
                </c:pt>
                <c:pt idx="19">
                  <c:v>40969</c:v>
                </c:pt>
                <c:pt idx="20">
                  <c:v>41000</c:v>
                </c:pt>
                <c:pt idx="21">
                  <c:v>41030</c:v>
                </c:pt>
                <c:pt idx="22">
                  <c:v>41061</c:v>
                </c:pt>
                <c:pt idx="23">
                  <c:v>41091</c:v>
                </c:pt>
                <c:pt idx="24">
                  <c:v>41122</c:v>
                </c:pt>
                <c:pt idx="25">
                  <c:v>41153</c:v>
                </c:pt>
                <c:pt idx="26">
                  <c:v>41183</c:v>
                </c:pt>
                <c:pt idx="27">
                  <c:v>41214</c:v>
                </c:pt>
                <c:pt idx="28">
                  <c:v>41244</c:v>
                </c:pt>
                <c:pt idx="29">
                  <c:v>41275</c:v>
                </c:pt>
                <c:pt idx="30">
                  <c:v>41306</c:v>
                </c:pt>
                <c:pt idx="31">
                  <c:v>41334</c:v>
                </c:pt>
                <c:pt idx="32">
                  <c:v>41365</c:v>
                </c:pt>
                <c:pt idx="33">
                  <c:v>41395</c:v>
                </c:pt>
                <c:pt idx="34">
                  <c:v>41426</c:v>
                </c:pt>
                <c:pt idx="35">
                  <c:v>41456</c:v>
                </c:pt>
                <c:pt idx="36">
                  <c:v>41487</c:v>
                </c:pt>
                <c:pt idx="37">
                  <c:v>41518</c:v>
                </c:pt>
                <c:pt idx="38">
                  <c:v>41548</c:v>
                </c:pt>
                <c:pt idx="39">
                  <c:v>41579</c:v>
                </c:pt>
                <c:pt idx="40">
                  <c:v>41609</c:v>
                </c:pt>
                <c:pt idx="41">
                  <c:v>41640</c:v>
                </c:pt>
                <c:pt idx="42">
                  <c:v>41671</c:v>
                </c:pt>
                <c:pt idx="43">
                  <c:v>41699</c:v>
                </c:pt>
                <c:pt idx="44">
                  <c:v>41730</c:v>
                </c:pt>
                <c:pt idx="45">
                  <c:v>41760</c:v>
                </c:pt>
                <c:pt idx="46">
                  <c:v>41791</c:v>
                </c:pt>
                <c:pt idx="47">
                  <c:v>41821</c:v>
                </c:pt>
                <c:pt idx="48">
                  <c:v>41852</c:v>
                </c:pt>
                <c:pt idx="49">
                  <c:v>41883</c:v>
                </c:pt>
                <c:pt idx="50">
                  <c:v>41913</c:v>
                </c:pt>
                <c:pt idx="51">
                  <c:v>41944</c:v>
                </c:pt>
                <c:pt idx="52">
                  <c:v>41974</c:v>
                </c:pt>
                <c:pt idx="53">
                  <c:v>42005</c:v>
                </c:pt>
                <c:pt idx="54">
                  <c:v>42036</c:v>
                </c:pt>
                <c:pt idx="55">
                  <c:v>42064</c:v>
                </c:pt>
                <c:pt idx="56">
                  <c:v>42095</c:v>
                </c:pt>
                <c:pt idx="57">
                  <c:v>42125</c:v>
                </c:pt>
                <c:pt idx="58">
                  <c:v>42156</c:v>
                </c:pt>
              </c:numCache>
            </c:numRef>
          </c:cat>
          <c:val>
            <c:numRef>
              <c:f>'Input-Non TBA'!$G$4:$G$62</c:f>
              <c:numCache>
                <c:formatCode>General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5627164641</c:v>
                </c:pt>
                <c:pt idx="23">
                  <c:v>3713048773</c:v>
                </c:pt>
                <c:pt idx="24">
                  <c:v>3482283708</c:v>
                </c:pt>
                <c:pt idx="25">
                  <c:v>3393761631</c:v>
                </c:pt>
                <c:pt idx="26">
                  <c:v>2591936940</c:v>
                </c:pt>
                <c:pt idx="27">
                  <c:v>3531096335</c:v>
                </c:pt>
                <c:pt idx="28">
                  <c:v>2237392773</c:v>
                </c:pt>
                <c:pt idx="29">
                  <c:v>3299880097</c:v>
                </c:pt>
                <c:pt idx="30">
                  <c:v>2808516054</c:v>
                </c:pt>
                <c:pt idx="31">
                  <c:v>2186380753</c:v>
                </c:pt>
                <c:pt idx="32">
                  <c:v>2498076581</c:v>
                </c:pt>
                <c:pt idx="33">
                  <c:v>1858786075</c:v>
                </c:pt>
                <c:pt idx="34">
                  <c:v>1553402361</c:v>
                </c:pt>
                <c:pt idx="35">
                  <c:v>1434823555</c:v>
                </c:pt>
                <c:pt idx="36">
                  <c:v>1187325480</c:v>
                </c:pt>
                <c:pt idx="37">
                  <c:v>743460848</c:v>
                </c:pt>
                <c:pt idx="38">
                  <c:v>615254685</c:v>
                </c:pt>
                <c:pt idx="39">
                  <c:v>887067278</c:v>
                </c:pt>
                <c:pt idx="40">
                  <c:v>857597466</c:v>
                </c:pt>
                <c:pt idx="41">
                  <c:v>663943847</c:v>
                </c:pt>
                <c:pt idx="42">
                  <c:v>261049913</c:v>
                </c:pt>
                <c:pt idx="43">
                  <c:v>214559704</c:v>
                </c:pt>
                <c:pt idx="44">
                  <c:v>294932105</c:v>
                </c:pt>
                <c:pt idx="45">
                  <c:v>110770261</c:v>
                </c:pt>
                <c:pt idx="46">
                  <c:v>275221137</c:v>
                </c:pt>
                <c:pt idx="47">
                  <c:v>174927834</c:v>
                </c:pt>
                <c:pt idx="48">
                  <c:v>330911502</c:v>
                </c:pt>
                <c:pt idx="49">
                  <c:v>120745416</c:v>
                </c:pt>
                <c:pt idx="50">
                  <c:v>385881834</c:v>
                </c:pt>
                <c:pt idx="51">
                  <c:v>230866169</c:v>
                </c:pt>
                <c:pt idx="52">
                  <c:v>1261524465</c:v>
                </c:pt>
                <c:pt idx="53">
                  <c:v>143096287</c:v>
                </c:pt>
                <c:pt idx="54">
                  <c:v>127311006</c:v>
                </c:pt>
                <c:pt idx="55">
                  <c:v>155150153</c:v>
                </c:pt>
                <c:pt idx="56">
                  <c:v>219449239</c:v>
                </c:pt>
                <c:pt idx="57">
                  <c:v>431918408</c:v>
                </c:pt>
                <c:pt idx="58">
                  <c:v>135271888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6450944"/>
        <c:axId val="236452864"/>
      </c:barChart>
      <c:dateAx>
        <c:axId val="2364509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36452864"/>
        <c:crosses val="autoZero"/>
        <c:auto val="1"/>
        <c:lblOffset val="100"/>
        <c:baseTimeUnit val="months"/>
        <c:majorUnit val="2"/>
        <c:majorTimeUnit val="months"/>
      </c:dateAx>
      <c:valAx>
        <c:axId val="2364528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Billions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36450944"/>
        <c:crosses val="autoZero"/>
        <c:crossBetween val="between"/>
        <c:dispUnits>
          <c:builtInUnit val="billions"/>
        </c:dispUnits>
      </c:valAx>
      <c:spPr>
        <a:noFill/>
        <a:ln>
          <a:solidFill>
            <a:schemeClr val="tx1"/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'Input-Non TBA'!$E$3</c:f>
              <c:strCache>
                <c:ptCount val="1"/>
                <c:pt idx="0">
                  <c:v>issueAmount</c:v>
                </c:pt>
              </c:strCache>
            </c:strRef>
          </c:tx>
          <c:invertIfNegative val="0"/>
          <c:cat>
            <c:numRef>
              <c:f>'Input-Non TBA'!$C$4:$C$62</c:f>
              <c:numCache>
                <c:formatCode>m/d/yyyy</c:formatCode>
                <c:ptCount val="59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40544</c:v>
                </c:pt>
                <c:pt idx="6">
                  <c:v>40575</c:v>
                </c:pt>
                <c:pt idx="7">
                  <c:v>40603</c:v>
                </c:pt>
                <c:pt idx="8">
                  <c:v>40634</c:v>
                </c:pt>
                <c:pt idx="9">
                  <c:v>40664</c:v>
                </c:pt>
                <c:pt idx="10">
                  <c:v>40695</c:v>
                </c:pt>
                <c:pt idx="11">
                  <c:v>40725</c:v>
                </c:pt>
                <c:pt idx="12">
                  <c:v>40756</c:v>
                </c:pt>
                <c:pt idx="13">
                  <c:v>40787</c:v>
                </c:pt>
                <c:pt idx="14">
                  <c:v>40817</c:v>
                </c:pt>
                <c:pt idx="15">
                  <c:v>40848</c:v>
                </c:pt>
                <c:pt idx="16">
                  <c:v>40878</c:v>
                </c:pt>
                <c:pt idx="17">
                  <c:v>40909</c:v>
                </c:pt>
                <c:pt idx="18">
                  <c:v>40940</c:v>
                </c:pt>
                <c:pt idx="19">
                  <c:v>40969</c:v>
                </c:pt>
                <c:pt idx="20">
                  <c:v>41000</c:v>
                </c:pt>
                <c:pt idx="21">
                  <c:v>41030</c:v>
                </c:pt>
                <c:pt idx="22">
                  <c:v>41061</c:v>
                </c:pt>
                <c:pt idx="23">
                  <c:v>41091</c:v>
                </c:pt>
                <c:pt idx="24">
                  <c:v>41122</c:v>
                </c:pt>
                <c:pt idx="25">
                  <c:v>41153</c:v>
                </c:pt>
                <c:pt idx="26">
                  <c:v>41183</c:v>
                </c:pt>
                <c:pt idx="27">
                  <c:v>41214</c:v>
                </c:pt>
                <c:pt idx="28">
                  <c:v>41244</c:v>
                </c:pt>
                <c:pt idx="29">
                  <c:v>41275</c:v>
                </c:pt>
                <c:pt idx="30">
                  <c:v>41306</c:v>
                </c:pt>
                <c:pt idx="31">
                  <c:v>41334</c:v>
                </c:pt>
                <c:pt idx="32">
                  <c:v>41365</c:v>
                </c:pt>
                <c:pt idx="33">
                  <c:v>41395</c:v>
                </c:pt>
                <c:pt idx="34">
                  <c:v>41426</c:v>
                </c:pt>
                <c:pt idx="35">
                  <c:v>41456</c:v>
                </c:pt>
                <c:pt idx="36">
                  <c:v>41487</c:v>
                </c:pt>
                <c:pt idx="37">
                  <c:v>41518</c:v>
                </c:pt>
                <c:pt idx="38">
                  <c:v>41548</c:v>
                </c:pt>
                <c:pt idx="39">
                  <c:v>41579</c:v>
                </c:pt>
                <c:pt idx="40">
                  <c:v>41609</c:v>
                </c:pt>
                <c:pt idx="41">
                  <c:v>41640</c:v>
                </c:pt>
                <c:pt idx="42">
                  <c:v>41671</c:v>
                </c:pt>
                <c:pt idx="43">
                  <c:v>41699</c:v>
                </c:pt>
                <c:pt idx="44">
                  <c:v>41730</c:v>
                </c:pt>
                <c:pt idx="45">
                  <c:v>41760</c:v>
                </c:pt>
                <c:pt idx="46">
                  <c:v>41791</c:v>
                </c:pt>
                <c:pt idx="47">
                  <c:v>41821</c:v>
                </c:pt>
                <c:pt idx="48">
                  <c:v>41852</c:v>
                </c:pt>
                <c:pt idx="49">
                  <c:v>41883</c:v>
                </c:pt>
                <c:pt idx="50">
                  <c:v>41913</c:v>
                </c:pt>
                <c:pt idx="51">
                  <c:v>41944</c:v>
                </c:pt>
                <c:pt idx="52">
                  <c:v>41974</c:v>
                </c:pt>
                <c:pt idx="53">
                  <c:v>42005</c:v>
                </c:pt>
                <c:pt idx="54">
                  <c:v>42036</c:v>
                </c:pt>
                <c:pt idx="55">
                  <c:v>42064</c:v>
                </c:pt>
                <c:pt idx="56">
                  <c:v>42095</c:v>
                </c:pt>
                <c:pt idx="57">
                  <c:v>42125</c:v>
                </c:pt>
                <c:pt idx="58">
                  <c:v>42156</c:v>
                </c:pt>
              </c:numCache>
            </c:numRef>
          </c:cat>
          <c:val>
            <c:numRef>
              <c:f>'Input-Non TBA'!$E$4:$E$62</c:f>
              <c:numCache>
                <c:formatCode>General</c:formatCode>
                <c:ptCount val="59"/>
                <c:pt idx="0">
                  <c:v>3347514541</c:v>
                </c:pt>
                <c:pt idx="1">
                  <c:v>4534053251</c:v>
                </c:pt>
                <c:pt idx="2">
                  <c:v>4710788842</c:v>
                </c:pt>
                <c:pt idx="3">
                  <c:v>4435127896</c:v>
                </c:pt>
                <c:pt idx="4">
                  <c:v>5168634747</c:v>
                </c:pt>
                <c:pt idx="5">
                  <c:v>4772517239</c:v>
                </c:pt>
                <c:pt idx="6">
                  <c:v>3322794637</c:v>
                </c:pt>
                <c:pt idx="7">
                  <c:v>2879069981</c:v>
                </c:pt>
                <c:pt idx="8">
                  <c:v>1365959263</c:v>
                </c:pt>
                <c:pt idx="9">
                  <c:v>1679348065</c:v>
                </c:pt>
                <c:pt idx="10">
                  <c:v>1470720552</c:v>
                </c:pt>
                <c:pt idx="11">
                  <c:v>1755684824</c:v>
                </c:pt>
                <c:pt idx="12">
                  <c:v>2242690757</c:v>
                </c:pt>
                <c:pt idx="13">
                  <c:v>4005917312</c:v>
                </c:pt>
                <c:pt idx="14">
                  <c:v>4409005394</c:v>
                </c:pt>
                <c:pt idx="15">
                  <c:v>4642886367</c:v>
                </c:pt>
                <c:pt idx="16">
                  <c:v>2231440428</c:v>
                </c:pt>
                <c:pt idx="17">
                  <c:v>1557100159</c:v>
                </c:pt>
                <c:pt idx="18">
                  <c:v>1459805763</c:v>
                </c:pt>
                <c:pt idx="19">
                  <c:v>2893315869</c:v>
                </c:pt>
                <c:pt idx="20">
                  <c:v>853289366</c:v>
                </c:pt>
                <c:pt idx="21">
                  <c:v>1671001392</c:v>
                </c:pt>
                <c:pt idx="22">
                  <c:v>1932118315</c:v>
                </c:pt>
                <c:pt idx="23">
                  <c:v>2752296610</c:v>
                </c:pt>
                <c:pt idx="24">
                  <c:v>3126742934</c:v>
                </c:pt>
                <c:pt idx="25">
                  <c:v>3245152246</c:v>
                </c:pt>
                <c:pt idx="26">
                  <c:v>2054054786</c:v>
                </c:pt>
                <c:pt idx="27">
                  <c:v>3993010447</c:v>
                </c:pt>
                <c:pt idx="28">
                  <c:v>1214802344</c:v>
                </c:pt>
                <c:pt idx="29">
                  <c:v>3321638962</c:v>
                </c:pt>
                <c:pt idx="30">
                  <c:v>1888075582</c:v>
                </c:pt>
                <c:pt idx="31">
                  <c:v>2116389422</c:v>
                </c:pt>
                <c:pt idx="32">
                  <c:v>2271806082</c:v>
                </c:pt>
                <c:pt idx="33">
                  <c:v>2019206225</c:v>
                </c:pt>
                <c:pt idx="34">
                  <c:v>2418493907</c:v>
                </c:pt>
                <c:pt idx="35">
                  <c:v>1885265938</c:v>
                </c:pt>
                <c:pt idx="36">
                  <c:v>1634700327</c:v>
                </c:pt>
                <c:pt idx="37">
                  <c:v>971826383</c:v>
                </c:pt>
                <c:pt idx="38">
                  <c:v>841860222</c:v>
                </c:pt>
                <c:pt idx="39">
                  <c:v>773960857</c:v>
                </c:pt>
                <c:pt idx="40">
                  <c:v>647887853</c:v>
                </c:pt>
                <c:pt idx="41">
                  <c:v>392754952</c:v>
                </c:pt>
                <c:pt idx="42">
                  <c:v>362334810</c:v>
                </c:pt>
                <c:pt idx="43">
                  <c:v>230227055</c:v>
                </c:pt>
                <c:pt idx="44">
                  <c:v>278280577</c:v>
                </c:pt>
                <c:pt idx="45">
                  <c:v>337688908</c:v>
                </c:pt>
                <c:pt idx="46">
                  <c:v>319731336</c:v>
                </c:pt>
                <c:pt idx="47">
                  <c:v>562390222</c:v>
                </c:pt>
                <c:pt idx="48">
                  <c:v>449797295</c:v>
                </c:pt>
                <c:pt idx="49">
                  <c:v>746264105</c:v>
                </c:pt>
                <c:pt idx="50">
                  <c:v>639001193</c:v>
                </c:pt>
                <c:pt idx="51">
                  <c:v>549347202</c:v>
                </c:pt>
                <c:pt idx="52">
                  <c:v>771028754</c:v>
                </c:pt>
                <c:pt idx="53">
                  <c:v>667434711</c:v>
                </c:pt>
                <c:pt idx="54">
                  <c:v>821128260</c:v>
                </c:pt>
                <c:pt idx="55">
                  <c:v>1012026911</c:v>
                </c:pt>
                <c:pt idx="56">
                  <c:v>1093740959</c:v>
                </c:pt>
                <c:pt idx="57">
                  <c:v>778540166</c:v>
                </c:pt>
                <c:pt idx="58">
                  <c:v>1612948251</c:v>
                </c:pt>
              </c:numCache>
            </c:numRef>
          </c:val>
        </c:ser>
        <c:ser>
          <c:idx val="1"/>
          <c:order val="1"/>
          <c:tx>
            <c:strRef>
              <c:f>'Input-Non TBA'!$F$3</c:f>
              <c:strCache>
                <c:ptCount val="1"/>
                <c:pt idx="0">
                  <c:v>CQ</c:v>
                </c:pt>
              </c:strCache>
            </c:strRef>
          </c:tx>
          <c:invertIfNegative val="0"/>
          <c:cat>
            <c:numRef>
              <c:f>'Input-Non TBA'!$C$4:$C$62</c:f>
              <c:numCache>
                <c:formatCode>m/d/yyyy</c:formatCode>
                <c:ptCount val="59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40544</c:v>
                </c:pt>
                <c:pt idx="6">
                  <c:v>40575</c:v>
                </c:pt>
                <c:pt idx="7">
                  <c:v>40603</c:v>
                </c:pt>
                <c:pt idx="8">
                  <c:v>40634</c:v>
                </c:pt>
                <c:pt idx="9">
                  <c:v>40664</c:v>
                </c:pt>
                <c:pt idx="10">
                  <c:v>40695</c:v>
                </c:pt>
                <c:pt idx="11">
                  <c:v>40725</c:v>
                </c:pt>
                <c:pt idx="12">
                  <c:v>40756</c:v>
                </c:pt>
                <c:pt idx="13">
                  <c:v>40787</c:v>
                </c:pt>
                <c:pt idx="14">
                  <c:v>40817</c:v>
                </c:pt>
                <c:pt idx="15">
                  <c:v>40848</c:v>
                </c:pt>
                <c:pt idx="16">
                  <c:v>40878</c:v>
                </c:pt>
                <c:pt idx="17">
                  <c:v>40909</c:v>
                </c:pt>
                <c:pt idx="18">
                  <c:v>40940</c:v>
                </c:pt>
                <c:pt idx="19">
                  <c:v>40969</c:v>
                </c:pt>
                <c:pt idx="20">
                  <c:v>41000</c:v>
                </c:pt>
                <c:pt idx="21">
                  <c:v>41030</c:v>
                </c:pt>
                <c:pt idx="22">
                  <c:v>41061</c:v>
                </c:pt>
                <c:pt idx="23">
                  <c:v>41091</c:v>
                </c:pt>
                <c:pt idx="24">
                  <c:v>41122</c:v>
                </c:pt>
                <c:pt idx="25">
                  <c:v>41153</c:v>
                </c:pt>
                <c:pt idx="26">
                  <c:v>41183</c:v>
                </c:pt>
                <c:pt idx="27">
                  <c:v>41214</c:v>
                </c:pt>
                <c:pt idx="28">
                  <c:v>41244</c:v>
                </c:pt>
                <c:pt idx="29">
                  <c:v>41275</c:v>
                </c:pt>
                <c:pt idx="30">
                  <c:v>41306</c:v>
                </c:pt>
                <c:pt idx="31">
                  <c:v>41334</c:v>
                </c:pt>
                <c:pt idx="32">
                  <c:v>41365</c:v>
                </c:pt>
                <c:pt idx="33">
                  <c:v>41395</c:v>
                </c:pt>
                <c:pt idx="34">
                  <c:v>41426</c:v>
                </c:pt>
                <c:pt idx="35">
                  <c:v>41456</c:v>
                </c:pt>
                <c:pt idx="36">
                  <c:v>41487</c:v>
                </c:pt>
                <c:pt idx="37">
                  <c:v>41518</c:v>
                </c:pt>
                <c:pt idx="38">
                  <c:v>41548</c:v>
                </c:pt>
                <c:pt idx="39">
                  <c:v>41579</c:v>
                </c:pt>
                <c:pt idx="40">
                  <c:v>41609</c:v>
                </c:pt>
                <c:pt idx="41">
                  <c:v>41640</c:v>
                </c:pt>
                <c:pt idx="42">
                  <c:v>41671</c:v>
                </c:pt>
                <c:pt idx="43">
                  <c:v>41699</c:v>
                </c:pt>
                <c:pt idx="44">
                  <c:v>41730</c:v>
                </c:pt>
                <c:pt idx="45">
                  <c:v>41760</c:v>
                </c:pt>
                <c:pt idx="46">
                  <c:v>41791</c:v>
                </c:pt>
                <c:pt idx="47">
                  <c:v>41821</c:v>
                </c:pt>
                <c:pt idx="48">
                  <c:v>41852</c:v>
                </c:pt>
                <c:pt idx="49">
                  <c:v>41883</c:v>
                </c:pt>
                <c:pt idx="50">
                  <c:v>41913</c:v>
                </c:pt>
                <c:pt idx="51">
                  <c:v>41944</c:v>
                </c:pt>
                <c:pt idx="52">
                  <c:v>41974</c:v>
                </c:pt>
                <c:pt idx="53">
                  <c:v>42005</c:v>
                </c:pt>
                <c:pt idx="54">
                  <c:v>42036</c:v>
                </c:pt>
                <c:pt idx="55">
                  <c:v>42064</c:v>
                </c:pt>
                <c:pt idx="56">
                  <c:v>42095</c:v>
                </c:pt>
                <c:pt idx="57">
                  <c:v>42125</c:v>
                </c:pt>
                <c:pt idx="58">
                  <c:v>42156</c:v>
                </c:pt>
              </c:numCache>
            </c:numRef>
          </c:cat>
          <c:val>
            <c:numRef>
              <c:f>'Input-Non TBA'!$F$4:$F$62</c:f>
              <c:numCache>
                <c:formatCode>General</c:formatCode>
                <c:ptCount val="59"/>
                <c:pt idx="0">
                  <c:v>355715456</c:v>
                </c:pt>
                <c:pt idx="1">
                  <c:v>352412504</c:v>
                </c:pt>
                <c:pt idx="2">
                  <c:v>319947067</c:v>
                </c:pt>
                <c:pt idx="3">
                  <c:v>369679660</c:v>
                </c:pt>
                <c:pt idx="4">
                  <c:v>504226385</c:v>
                </c:pt>
                <c:pt idx="5">
                  <c:v>481880967</c:v>
                </c:pt>
                <c:pt idx="6">
                  <c:v>511593118</c:v>
                </c:pt>
                <c:pt idx="7">
                  <c:v>618688301</c:v>
                </c:pt>
                <c:pt idx="8">
                  <c:v>668998347</c:v>
                </c:pt>
                <c:pt idx="9">
                  <c:v>436513565</c:v>
                </c:pt>
                <c:pt idx="10">
                  <c:v>714756687</c:v>
                </c:pt>
                <c:pt idx="11">
                  <c:v>450007317</c:v>
                </c:pt>
                <c:pt idx="12">
                  <c:v>544964112</c:v>
                </c:pt>
                <c:pt idx="13">
                  <c:v>632560564</c:v>
                </c:pt>
                <c:pt idx="14">
                  <c:v>575215946</c:v>
                </c:pt>
                <c:pt idx="15">
                  <c:v>570846520</c:v>
                </c:pt>
                <c:pt idx="16">
                  <c:v>363856997</c:v>
                </c:pt>
                <c:pt idx="17">
                  <c:v>964656975</c:v>
                </c:pt>
                <c:pt idx="18">
                  <c:v>935368647</c:v>
                </c:pt>
                <c:pt idx="19">
                  <c:v>1830004532</c:v>
                </c:pt>
                <c:pt idx="20">
                  <c:v>1283593895</c:v>
                </c:pt>
                <c:pt idx="21">
                  <c:v>2238872332</c:v>
                </c:pt>
                <c:pt idx="22">
                  <c:v>2674159779</c:v>
                </c:pt>
                <c:pt idx="23">
                  <c:v>2691500965</c:v>
                </c:pt>
                <c:pt idx="24">
                  <c:v>2705488507</c:v>
                </c:pt>
                <c:pt idx="25">
                  <c:v>2507345171</c:v>
                </c:pt>
                <c:pt idx="26">
                  <c:v>1886237333</c:v>
                </c:pt>
                <c:pt idx="27">
                  <c:v>3089976460</c:v>
                </c:pt>
                <c:pt idx="28">
                  <c:v>1925814668</c:v>
                </c:pt>
                <c:pt idx="29">
                  <c:v>2387371027</c:v>
                </c:pt>
                <c:pt idx="30">
                  <c:v>2217599892</c:v>
                </c:pt>
                <c:pt idx="31">
                  <c:v>2074956858</c:v>
                </c:pt>
                <c:pt idx="32">
                  <c:v>2243146531</c:v>
                </c:pt>
                <c:pt idx="33">
                  <c:v>1541931533</c:v>
                </c:pt>
                <c:pt idx="34">
                  <c:v>1758314749</c:v>
                </c:pt>
                <c:pt idx="35">
                  <c:v>1616623154</c:v>
                </c:pt>
                <c:pt idx="36">
                  <c:v>1373502996</c:v>
                </c:pt>
                <c:pt idx="37">
                  <c:v>960260689</c:v>
                </c:pt>
                <c:pt idx="38">
                  <c:v>817694911</c:v>
                </c:pt>
                <c:pt idx="39">
                  <c:v>650781591</c:v>
                </c:pt>
                <c:pt idx="40">
                  <c:v>755691585</c:v>
                </c:pt>
                <c:pt idx="41">
                  <c:v>438784911</c:v>
                </c:pt>
                <c:pt idx="42">
                  <c:v>399641559</c:v>
                </c:pt>
                <c:pt idx="43">
                  <c:v>313566996</c:v>
                </c:pt>
                <c:pt idx="44">
                  <c:v>255206728</c:v>
                </c:pt>
                <c:pt idx="45">
                  <c:v>186037636</c:v>
                </c:pt>
                <c:pt idx="46">
                  <c:v>244291451</c:v>
                </c:pt>
                <c:pt idx="47">
                  <c:v>206481264</c:v>
                </c:pt>
                <c:pt idx="48">
                  <c:v>346554888</c:v>
                </c:pt>
                <c:pt idx="49">
                  <c:v>187308272</c:v>
                </c:pt>
                <c:pt idx="50">
                  <c:v>169366238</c:v>
                </c:pt>
                <c:pt idx="51">
                  <c:v>371096000</c:v>
                </c:pt>
                <c:pt idx="52">
                  <c:v>145992266</c:v>
                </c:pt>
                <c:pt idx="53">
                  <c:v>120675652</c:v>
                </c:pt>
                <c:pt idx="54">
                  <c:v>469334257</c:v>
                </c:pt>
                <c:pt idx="55">
                  <c:v>104946942</c:v>
                </c:pt>
                <c:pt idx="56">
                  <c:v>131358298</c:v>
                </c:pt>
                <c:pt idx="57">
                  <c:v>113644778</c:v>
                </c:pt>
                <c:pt idx="58">
                  <c:v>117291690</c:v>
                </c:pt>
              </c:numCache>
            </c:numRef>
          </c:val>
        </c:ser>
        <c:ser>
          <c:idx val="2"/>
          <c:order val="2"/>
          <c:tx>
            <c:strRef>
              <c:f>'Input-Non TBA'!$G$3</c:f>
              <c:strCache>
                <c:ptCount val="1"/>
                <c:pt idx="0">
                  <c:v>CR</c:v>
                </c:pt>
              </c:strCache>
            </c:strRef>
          </c:tx>
          <c:invertIfNegative val="0"/>
          <c:cat>
            <c:numRef>
              <c:f>'Input-Non TBA'!$C$4:$C$62</c:f>
              <c:numCache>
                <c:formatCode>m/d/yyyy</c:formatCode>
                <c:ptCount val="59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40544</c:v>
                </c:pt>
                <c:pt idx="6">
                  <c:v>40575</c:v>
                </c:pt>
                <c:pt idx="7">
                  <c:v>40603</c:v>
                </c:pt>
                <c:pt idx="8">
                  <c:v>40634</c:v>
                </c:pt>
                <c:pt idx="9">
                  <c:v>40664</c:v>
                </c:pt>
                <c:pt idx="10">
                  <c:v>40695</c:v>
                </c:pt>
                <c:pt idx="11">
                  <c:v>40725</c:v>
                </c:pt>
                <c:pt idx="12">
                  <c:v>40756</c:v>
                </c:pt>
                <c:pt idx="13">
                  <c:v>40787</c:v>
                </c:pt>
                <c:pt idx="14">
                  <c:v>40817</c:v>
                </c:pt>
                <c:pt idx="15">
                  <c:v>40848</c:v>
                </c:pt>
                <c:pt idx="16">
                  <c:v>40878</c:v>
                </c:pt>
                <c:pt idx="17">
                  <c:v>40909</c:v>
                </c:pt>
                <c:pt idx="18">
                  <c:v>40940</c:v>
                </c:pt>
                <c:pt idx="19">
                  <c:v>40969</c:v>
                </c:pt>
                <c:pt idx="20">
                  <c:v>41000</c:v>
                </c:pt>
                <c:pt idx="21">
                  <c:v>41030</c:v>
                </c:pt>
                <c:pt idx="22">
                  <c:v>41061</c:v>
                </c:pt>
                <c:pt idx="23">
                  <c:v>41091</c:v>
                </c:pt>
                <c:pt idx="24">
                  <c:v>41122</c:v>
                </c:pt>
                <c:pt idx="25">
                  <c:v>41153</c:v>
                </c:pt>
                <c:pt idx="26">
                  <c:v>41183</c:v>
                </c:pt>
                <c:pt idx="27">
                  <c:v>41214</c:v>
                </c:pt>
                <c:pt idx="28">
                  <c:v>41244</c:v>
                </c:pt>
                <c:pt idx="29">
                  <c:v>41275</c:v>
                </c:pt>
                <c:pt idx="30">
                  <c:v>41306</c:v>
                </c:pt>
                <c:pt idx="31">
                  <c:v>41334</c:v>
                </c:pt>
                <c:pt idx="32">
                  <c:v>41365</c:v>
                </c:pt>
                <c:pt idx="33">
                  <c:v>41395</c:v>
                </c:pt>
                <c:pt idx="34">
                  <c:v>41426</c:v>
                </c:pt>
                <c:pt idx="35">
                  <c:v>41456</c:v>
                </c:pt>
                <c:pt idx="36">
                  <c:v>41487</c:v>
                </c:pt>
                <c:pt idx="37">
                  <c:v>41518</c:v>
                </c:pt>
                <c:pt idx="38">
                  <c:v>41548</c:v>
                </c:pt>
                <c:pt idx="39">
                  <c:v>41579</c:v>
                </c:pt>
                <c:pt idx="40">
                  <c:v>41609</c:v>
                </c:pt>
                <c:pt idx="41">
                  <c:v>41640</c:v>
                </c:pt>
                <c:pt idx="42">
                  <c:v>41671</c:v>
                </c:pt>
                <c:pt idx="43">
                  <c:v>41699</c:v>
                </c:pt>
                <c:pt idx="44">
                  <c:v>41730</c:v>
                </c:pt>
                <c:pt idx="45">
                  <c:v>41760</c:v>
                </c:pt>
                <c:pt idx="46">
                  <c:v>41791</c:v>
                </c:pt>
                <c:pt idx="47">
                  <c:v>41821</c:v>
                </c:pt>
                <c:pt idx="48">
                  <c:v>41852</c:v>
                </c:pt>
                <c:pt idx="49">
                  <c:v>41883</c:v>
                </c:pt>
                <c:pt idx="50">
                  <c:v>41913</c:v>
                </c:pt>
                <c:pt idx="51">
                  <c:v>41944</c:v>
                </c:pt>
                <c:pt idx="52">
                  <c:v>41974</c:v>
                </c:pt>
                <c:pt idx="53">
                  <c:v>42005</c:v>
                </c:pt>
                <c:pt idx="54">
                  <c:v>42036</c:v>
                </c:pt>
                <c:pt idx="55">
                  <c:v>42064</c:v>
                </c:pt>
                <c:pt idx="56">
                  <c:v>42095</c:v>
                </c:pt>
                <c:pt idx="57">
                  <c:v>42125</c:v>
                </c:pt>
                <c:pt idx="58">
                  <c:v>42156</c:v>
                </c:pt>
              </c:numCache>
            </c:numRef>
          </c:cat>
          <c:val>
            <c:numRef>
              <c:f>'Input-Non TBA'!$G$4:$G$62</c:f>
              <c:numCache>
                <c:formatCode>General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5627164641</c:v>
                </c:pt>
                <c:pt idx="23">
                  <c:v>3713048773</c:v>
                </c:pt>
                <c:pt idx="24">
                  <c:v>3482283708</c:v>
                </c:pt>
                <c:pt idx="25">
                  <c:v>3393761631</c:v>
                </c:pt>
                <c:pt idx="26">
                  <c:v>2591936940</c:v>
                </c:pt>
                <c:pt idx="27">
                  <c:v>3531096335</c:v>
                </c:pt>
                <c:pt idx="28">
                  <c:v>2237392773</c:v>
                </c:pt>
                <c:pt idx="29">
                  <c:v>3299880097</c:v>
                </c:pt>
                <c:pt idx="30">
                  <c:v>2808516054</c:v>
                </c:pt>
                <c:pt idx="31">
                  <c:v>2186380753</c:v>
                </c:pt>
                <c:pt idx="32">
                  <c:v>2498076581</c:v>
                </c:pt>
                <c:pt idx="33">
                  <c:v>1858786075</c:v>
                </c:pt>
                <c:pt idx="34">
                  <c:v>1553402361</c:v>
                </c:pt>
                <c:pt idx="35">
                  <c:v>1434823555</c:v>
                </c:pt>
                <c:pt idx="36">
                  <c:v>1187325480</c:v>
                </c:pt>
                <c:pt idx="37">
                  <c:v>743460848</c:v>
                </c:pt>
                <c:pt idx="38">
                  <c:v>615254685</c:v>
                </c:pt>
                <c:pt idx="39">
                  <c:v>887067278</c:v>
                </c:pt>
                <c:pt idx="40">
                  <c:v>857597466</c:v>
                </c:pt>
                <c:pt idx="41">
                  <c:v>663943847</c:v>
                </c:pt>
                <c:pt idx="42">
                  <c:v>261049913</c:v>
                </c:pt>
                <c:pt idx="43">
                  <c:v>214559704</c:v>
                </c:pt>
                <c:pt idx="44">
                  <c:v>294932105</c:v>
                </c:pt>
                <c:pt idx="45">
                  <c:v>110770261</c:v>
                </c:pt>
                <c:pt idx="46">
                  <c:v>275221137</c:v>
                </c:pt>
                <c:pt idx="47">
                  <c:v>174927834</c:v>
                </c:pt>
                <c:pt idx="48">
                  <c:v>330911502</c:v>
                </c:pt>
                <c:pt idx="49">
                  <c:v>120745416</c:v>
                </c:pt>
                <c:pt idx="50">
                  <c:v>385881834</c:v>
                </c:pt>
                <c:pt idx="51">
                  <c:v>230866169</c:v>
                </c:pt>
                <c:pt idx="52">
                  <c:v>1261524465</c:v>
                </c:pt>
                <c:pt idx="53">
                  <c:v>143096287</c:v>
                </c:pt>
                <c:pt idx="54">
                  <c:v>127311006</c:v>
                </c:pt>
                <c:pt idx="55">
                  <c:v>155150153</c:v>
                </c:pt>
                <c:pt idx="56">
                  <c:v>219449239</c:v>
                </c:pt>
                <c:pt idx="57">
                  <c:v>431918408</c:v>
                </c:pt>
                <c:pt idx="58">
                  <c:v>135271888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9390464"/>
        <c:axId val="261513984"/>
      </c:barChart>
      <c:dateAx>
        <c:axId val="259390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61513984"/>
        <c:crosses val="autoZero"/>
        <c:auto val="1"/>
        <c:lblOffset val="100"/>
        <c:baseTimeUnit val="months"/>
      </c:dateAx>
      <c:valAx>
        <c:axId val="261513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3904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6"/>
          <c:order val="0"/>
          <c:tx>
            <c:strRef>
              <c:f>'Input-TBA LS'!$X$3</c:f>
              <c:strCache>
                <c:ptCount val="1"/>
                <c:pt idx="0">
                  <c:v>LLB</c:v>
                </c:pt>
              </c:strCache>
            </c:strRef>
          </c:tx>
          <c:invertIfNegative val="0"/>
          <c:cat>
            <c:numRef>
              <c:f>'Input-TBA LS'!$Q$28:$Q$39</c:f>
              <c:numCache>
                <c:formatCode>m/d/yyyy</c:formatCode>
                <c:ptCount val="12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  <c:pt idx="7">
                  <c:v>41334</c:v>
                </c:pt>
                <c:pt idx="8">
                  <c:v>41365</c:v>
                </c:pt>
                <c:pt idx="9">
                  <c:v>41395</c:v>
                </c:pt>
                <c:pt idx="10">
                  <c:v>41426</c:v>
                </c:pt>
                <c:pt idx="11">
                  <c:v>41456</c:v>
                </c:pt>
              </c:numCache>
            </c:numRef>
          </c:cat>
          <c:val>
            <c:numRef>
              <c:f>'Input-TBA LS'!$X$28:$X$39</c:f>
              <c:numCache>
                <c:formatCode>General</c:formatCode>
                <c:ptCount val="12"/>
                <c:pt idx="0">
                  <c:v>938861711</c:v>
                </c:pt>
                <c:pt idx="1">
                  <c:v>866473910</c:v>
                </c:pt>
                <c:pt idx="2">
                  <c:v>674003513</c:v>
                </c:pt>
                <c:pt idx="3">
                  <c:v>1360862416</c:v>
                </c:pt>
                <c:pt idx="4">
                  <c:v>763603729</c:v>
                </c:pt>
                <c:pt idx="5">
                  <c:v>1057109121</c:v>
                </c:pt>
                <c:pt idx="6">
                  <c:v>962399260</c:v>
                </c:pt>
                <c:pt idx="7">
                  <c:v>871349067</c:v>
                </c:pt>
                <c:pt idx="8">
                  <c:v>992634188</c:v>
                </c:pt>
                <c:pt idx="9">
                  <c:v>1059208914</c:v>
                </c:pt>
                <c:pt idx="10">
                  <c:v>1017147311</c:v>
                </c:pt>
                <c:pt idx="11">
                  <c:v>848431617</c:v>
                </c:pt>
              </c:numCache>
            </c:numRef>
          </c:val>
        </c:ser>
        <c:ser>
          <c:idx val="5"/>
          <c:order val="1"/>
          <c:tx>
            <c:strRef>
              <c:f>'Input-TBA LS'!$W$3</c:f>
              <c:strCache>
                <c:ptCount val="1"/>
                <c:pt idx="0">
                  <c:v>MLB</c:v>
                </c:pt>
              </c:strCache>
            </c:strRef>
          </c:tx>
          <c:invertIfNegative val="0"/>
          <c:cat>
            <c:numRef>
              <c:f>'Input-TBA LS'!$Q$28:$Q$39</c:f>
              <c:numCache>
                <c:formatCode>m/d/yyyy</c:formatCode>
                <c:ptCount val="12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  <c:pt idx="7">
                  <c:v>41334</c:v>
                </c:pt>
                <c:pt idx="8">
                  <c:v>41365</c:v>
                </c:pt>
                <c:pt idx="9">
                  <c:v>41395</c:v>
                </c:pt>
                <c:pt idx="10">
                  <c:v>41426</c:v>
                </c:pt>
                <c:pt idx="11">
                  <c:v>41456</c:v>
                </c:pt>
              </c:numCache>
            </c:numRef>
          </c:cat>
          <c:val>
            <c:numRef>
              <c:f>'Input-TBA LS'!$W$28:$W$39</c:f>
              <c:numCache>
                <c:formatCode>General</c:formatCode>
                <c:ptCount val="12"/>
                <c:pt idx="0">
                  <c:v>1332804528</c:v>
                </c:pt>
                <c:pt idx="1">
                  <c:v>1412162830</c:v>
                </c:pt>
                <c:pt idx="2">
                  <c:v>1074934170</c:v>
                </c:pt>
                <c:pt idx="3">
                  <c:v>2092345448</c:v>
                </c:pt>
                <c:pt idx="4">
                  <c:v>1221012156</c:v>
                </c:pt>
                <c:pt idx="5">
                  <c:v>1621872168</c:v>
                </c:pt>
                <c:pt idx="6">
                  <c:v>1326174750</c:v>
                </c:pt>
                <c:pt idx="7">
                  <c:v>1274631916</c:v>
                </c:pt>
                <c:pt idx="8">
                  <c:v>1489937515</c:v>
                </c:pt>
                <c:pt idx="9">
                  <c:v>1613997581</c:v>
                </c:pt>
                <c:pt idx="10">
                  <c:v>1488014533</c:v>
                </c:pt>
                <c:pt idx="11">
                  <c:v>1320498425</c:v>
                </c:pt>
              </c:numCache>
            </c:numRef>
          </c:val>
        </c:ser>
        <c:ser>
          <c:idx val="4"/>
          <c:order val="2"/>
          <c:tx>
            <c:strRef>
              <c:f>'Input-TBA LS'!$V$3</c:f>
              <c:strCache>
                <c:ptCount val="1"/>
                <c:pt idx="0">
                  <c:v>HLB</c:v>
                </c:pt>
              </c:strCache>
            </c:strRef>
          </c:tx>
          <c:invertIfNegative val="0"/>
          <c:cat>
            <c:numRef>
              <c:f>'Input-TBA LS'!$Q$28:$Q$39</c:f>
              <c:numCache>
                <c:formatCode>m/d/yyyy</c:formatCode>
                <c:ptCount val="12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  <c:pt idx="7">
                  <c:v>41334</c:v>
                </c:pt>
                <c:pt idx="8">
                  <c:v>41365</c:v>
                </c:pt>
                <c:pt idx="9">
                  <c:v>41395</c:v>
                </c:pt>
                <c:pt idx="10">
                  <c:v>41426</c:v>
                </c:pt>
                <c:pt idx="11">
                  <c:v>41456</c:v>
                </c:pt>
              </c:numCache>
            </c:numRef>
          </c:cat>
          <c:val>
            <c:numRef>
              <c:f>'Input-TBA LS'!$V$28:$V$39</c:f>
              <c:numCache>
                <c:formatCode>General</c:formatCode>
                <c:ptCount val="12"/>
                <c:pt idx="0">
                  <c:v>2800881284</c:v>
                </c:pt>
                <c:pt idx="1">
                  <c:v>3094496393</c:v>
                </c:pt>
                <c:pt idx="2">
                  <c:v>1750544385</c:v>
                </c:pt>
                <c:pt idx="3">
                  <c:v>3750861223</c:v>
                </c:pt>
                <c:pt idx="4">
                  <c:v>2422434894</c:v>
                </c:pt>
                <c:pt idx="5">
                  <c:v>3557232725</c:v>
                </c:pt>
                <c:pt idx="6">
                  <c:v>2559417623</c:v>
                </c:pt>
                <c:pt idx="7">
                  <c:v>2649041543</c:v>
                </c:pt>
                <c:pt idx="8">
                  <c:v>2788212008</c:v>
                </c:pt>
                <c:pt idx="9">
                  <c:v>3408933720</c:v>
                </c:pt>
                <c:pt idx="10">
                  <c:v>3451820960</c:v>
                </c:pt>
                <c:pt idx="11">
                  <c:v>2502466250</c:v>
                </c:pt>
              </c:numCache>
            </c:numRef>
          </c:val>
        </c:ser>
        <c:ser>
          <c:idx val="3"/>
          <c:order val="3"/>
          <c:tx>
            <c:strRef>
              <c:f>'Input-TBA LS'!$U$3</c:f>
              <c:strCache>
                <c:ptCount val="1"/>
                <c:pt idx="0">
                  <c:v>175K</c:v>
                </c:pt>
              </c:strCache>
            </c:strRef>
          </c:tx>
          <c:invertIfNegative val="0"/>
          <c:cat>
            <c:numRef>
              <c:f>'Input-TBA LS'!$Q$28:$Q$39</c:f>
              <c:numCache>
                <c:formatCode>m/d/yyyy</c:formatCode>
                <c:ptCount val="12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  <c:pt idx="7">
                  <c:v>41334</c:v>
                </c:pt>
                <c:pt idx="8">
                  <c:v>41365</c:v>
                </c:pt>
                <c:pt idx="9">
                  <c:v>41395</c:v>
                </c:pt>
                <c:pt idx="10">
                  <c:v>41426</c:v>
                </c:pt>
                <c:pt idx="11">
                  <c:v>41456</c:v>
                </c:pt>
              </c:numCache>
            </c:numRef>
          </c:cat>
          <c:val>
            <c:numRef>
              <c:f>'Input-TBA LS'!$U$28:$U$39</c:f>
              <c:numCache>
                <c:formatCode>General</c:formatCode>
                <c:ptCount val="12"/>
                <c:pt idx="0">
                  <c:v>1740229937</c:v>
                </c:pt>
                <c:pt idx="1">
                  <c:v>1747467554</c:v>
                </c:pt>
                <c:pt idx="2">
                  <c:v>885767358</c:v>
                </c:pt>
                <c:pt idx="3">
                  <c:v>1351050040</c:v>
                </c:pt>
                <c:pt idx="4">
                  <c:v>1378219207</c:v>
                </c:pt>
                <c:pt idx="5">
                  <c:v>1960322510</c:v>
                </c:pt>
                <c:pt idx="6">
                  <c:v>1424567527</c:v>
                </c:pt>
                <c:pt idx="7">
                  <c:v>1467961473</c:v>
                </c:pt>
                <c:pt idx="8">
                  <c:v>1543905672</c:v>
                </c:pt>
                <c:pt idx="9">
                  <c:v>2072685965</c:v>
                </c:pt>
                <c:pt idx="10">
                  <c:v>1781149410</c:v>
                </c:pt>
                <c:pt idx="11">
                  <c:v>1445312778</c:v>
                </c:pt>
              </c:numCache>
            </c:numRef>
          </c:val>
        </c:ser>
        <c:ser>
          <c:idx val="2"/>
          <c:order val="4"/>
          <c:tx>
            <c:strRef>
              <c:f>'Input-TBA LS'!$T$3</c:f>
              <c:strCache>
                <c:ptCount val="1"/>
                <c:pt idx="0">
                  <c:v>Investor</c:v>
                </c:pt>
              </c:strCache>
            </c:strRef>
          </c:tx>
          <c:invertIfNegative val="0"/>
          <c:cat>
            <c:numRef>
              <c:f>'Input-TBA LS'!$Q$28:$Q$39</c:f>
              <c:numCache>
                <c:formatCode>m/d/yyyy</c:formatCode>
                <c:ptCount val="12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  <c:pt idx="7">
                  <c:v>41334</c:v>
                </c:pt>
                <c:pt idx="8">
                  <c:v>41365</c:v>
                </c:pt>
                <c:pt idx="9">
                  <c:v>41395</c:v>
                </c:pt>
                <c:pt idx="10">
                  <c:v>41426</c:v>
                </c:pt>
                <c:pt idx="11">
                  <c:v>41456</c:v>
                </c:pt>
              </c:numCache>
            </c:numRef>
          </c:cat>
          <c:val>
            <c:numRef>
              <c:f>'Input-TBA LS'!$T$28:$T$39</c:f>
              <c:numCache>
                <c:formatCode>General</c:formatCode>
                <c:ptCount val="12"/>
                <c:pt idx="0">
                  <c:v>1427196427</c:v>
                </c:pt>
                <c:pt idx="1">
                  <c:v>1334351132</c:v>
                </c:pt>
                <c:pt idx="2">
                  <c:v>467542200</c:v>
                </c:pt>
                <c:pt idx="3">
                  <c:v>2080610275</c:v>
                </c:pt>
                <c:pt idx="4">
                  <c:v>1077406635</c:v>
                </c:pt>
                <c:pt idx="5">
                  <c:v>1485427177</c:v>
                </c:pt>
                <c:pt idx="6">
                  <c:v>1331254497</c:v>
                </c:pt>
                <c:pt idx="7">
                  <c:v>1055385357</c:v>
                </c:pt>
                <c:pt idx="8">
                  <c:v>1291214195</c:v>
                </c:pt>
                <c:pt idx="9">
                  <c:v>759951414</c:v>
                </c:pt>
                <c:pt idx="10">
                  <c:v>952742573</c:v>
                </c:pt>
                <c:pt idx="11">
                  <c:v>744523722</c:v>
                </c:pt>
              </c:numCache>
            </c:numRef>
          </c:val>
        </c:ser>
        <c:ser>
          <c:idx val="1"/>
          <c:order val="5"/>
          <c:tx>
            <c:strRef>
              <c:f>'Input-TBA LS'!$S$3</c:f>
              <c:strCache>
                <c:ptCount val="1"/>
                <c:pt idx="0">
                  <c:v>MHA</c:v>
                </c:pt>
              </c:strCache>
            </c:strRef>
          </c:tx>
          <c:invertIfNegative val="0"/>
          <c:cat>
            <c:numRef>
              <c:f>'Input-TBA LS'!$Q$28:$Q$39</c:f>
              <c:numCache>
                <c:formatCode>m/d/yyyy</c:formatCode>
                <c:ptCount val="12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  <c:pt idx="7">
                  <c:v>41334</c:v>
                </c:pt>
                <c:pt idx="8">
                  <c:v>41365</c:v>
                </c:pt>
                <c:pt idx="9">
                  <c:v>41395</c:v>
                </c:pt>
                <c:pt idx="10">
                  <c:v>41426</c:v>
                </c:pt>
                <c:pt idx="11">
                  <c:v>41456</c:v>
                </c:pt>
              </c:numCache>
            </c:numRef>
          </c:cat>
          <c:val>
            <c:numRef>
              <c:f>'Input-TBA LS'!$S$28:$S$39</c:f>
              <c:numCache>
                <c:formatCode>General</c:formatCode>
                <c:ptCount val="12"/>
                <c:pt idx="0">
                  <c:v>4005623745</c:v>
                </c:pt>
                <c:pt idx="1">
                  <c:v>3794875709</c:v>
                </c:pt>
                <c:pt idx="2">
                  <c:v>2866599095</c:v>
                </c:pt>
                <c:pt idx="3">
                  <c:v>4430765694</c:v>
                </c:pt>
                <c:pt idx="4">
                  <c:v>2825123329</c:v>
                </c:pt>
                <c:pt idx="5">
                  <c:v>3545408567</c:v>
                </c:pt>
                <c:pt idx="6">
                  <c:v>2993187224</c:v>
                </c:pt>
                <c:pt idx="7">
                  <c:v>2633670399</c:v>
                </c:pt>
                <c:pt idx="8">
                  <c:v>2852112763</c:v>
                </c:pt>
                <c:pt idx="9">
                  <c:v>2055564409</c:v>
                </c:pt>
                <c:pt idx="10">
                  <c:v>1943388196</c:v>
                </c:pt>
                <c:pt idx="11">
                  <c:v>1289489011</c:v>
                </c:pt>
              </c:numCache>
            </c:numRef>
          </c:val>
        </c:ser>
        <c:ser>
          <c:idx val="0"/>
          <c:order val="6"/>
          <c:tx>
            <c:strRef>
              <c:f>'Input-TBA LS'!$R$3</c:f>
              <c:strCache>
                <c:ptCount val="1"/>
                <c:pt idx="0">
                  <c:v>LowFICO</c:v>
                </c:pt>
              </c:strCache>
            </c:strRef>
          </c:tx>
          <c:invertIfNegative val="0"/>
          <c:cat>
            <c:numRef>
              <c:f>'Input-TBA LS'!$Q$28:$Q$39</c:f>
              <c:numCache>
                <c:formatCode>m/d/yyyy</c:formatCode>
                <c:ptCount val="12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  <c:pt idx="7">
                  <c:v>41334</c:v>
                </c:pt>
                <c:pt idx="8">
                  <c:v>41365</c:v>
                </c:pt>
                <c:pt idx="9">
                  <c:v>41395</c:v>
                </c:pt>
                <c:pt idx="10">
                  <c:v>41426</c:v>
                </c:pt>
                <c:pt idx="11">
                  <c:v>41456</c:v>
                </c:pt>
              </c:numCache>
            </c:numRef>
          </c:cat>
          <c:val>
            <c:numRef>
              <c:f>'Input-TBA LS'!$R$28:$R$39</c:f>
              <c:numCache>
                <c:formatCode>General</c:formatCode>
                <c:ptCount val="12"/>
                <c:pt idx="0">
                  <c:v>1507652848</c:v>
                </c:pt>
                <c:pt idx="1">
                  <c:v>1363121051</c:v>
                </c:pt>
                <c:pt idx="2">
                  <c:v>741027528</c:v>
                </c:pt>
                <c:pt idx="3">
                  <c:v>1745418744</c:v>
                </c:pt>
                <c:pt idx="4">
                  <c:v>779099080</c:v>
                </c:pt>
                <c:pt idx="5">
                  <c:v>1631971933</c:v>
                </c:pt>
                <c:pt idx="6">
                  <c:v>1473941813</c:v>
                </c:pt>
                <c:pt idx="7">
                  <c:v>1157795498</c:v>
                </c:pt>
                <c:pt idx="8">
                  <c:v>1492444337</c:v>
                </c:pt>
                <c:pt idx="9">
                  <c:v>1148597953</c:v>
                </c:pt>
                <c:pt idx="10">
                  <c:v>1334786513</c:v>
                </c:pt>
                <c:pt idx="11">
                  <c:v>1136852477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7228800"/>
        <c:axId val="237230336"/>
      </c:barChart>
      <c:dateAx>
        <c:axId val="2372288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37230336"/>
        <c:crosses val="autoZero"/>
        <c:auto val="1"/>
        <c:lblOffset val="100"/>
        <c:baseTimeUnit val="months"/>
      </c:dateAx>
      <c:valAx>
        <c:axId val="237230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228800"/>
        <c:crosses val="autoZero"/>
        <c:crossBetween val="between"/>
        <c:dispUnits>
          <c:builtInUnit val="billions"/>
          <c:dispUnitsLbl/>
        </c:dispUnits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466725</xdr:colOff>
      <xdr:row>9</xdr:row>
      <xdr:rowOff>63500</xdr:rowOff>
    </xdr:from>
    <xdr:to>
      <xdr:col>16</xdr:col>
      <xdr:colOff>676276</xdr:colOff>
      <xdr:row>39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847724</xdr:colOff>
      <xdr:row>38</xdr:row>
      <xdr:rowOff>152400</xdr:rowOff>
    </xdr:from>
    <xdr:to>
      <xdr:col>16</xdr:col>
      <xdr:colOff>609600</xdr:colOff>
      <xdr:row>40</xdr:row>
      <xdr:rowOff>0</xdr:rowOff>
    </xdr:to>
    <xdr:sp macro="" textlink="">
      <xdr:nvSpPr>
        <xdr:cNvPr id="5" name="TextBox 4"/>
        <xdr:cNvSpPr txBox="1"/>
      </xdr:nvSpPr>
      <xdr:spPr>
        <a:xfrm>
          <a:off x="12877799" y="6534150"/>
          <a:ext cx="1590676" cy="1714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Cello Database</a:t>
          </a:r>
        </a:p>
      </xdr:txBody>
    </xdr:sp>
    <xdr:clientData/>
  </xdr:twoCellAnchor>
  <xdr:twoCellAnchor>
    <xdr:from>
      <xdr:col>3</xdr:col>
      <xdr:colOff>76199</xdr:colOff>
      <xdr:row>38</xdr:row>
      <xdr:rowOff>152399</xdr:rowOff>
    </xdr:from>
    <xdr:to>
      <xdr:col>5</xdr:col>
      <xdr:colOff>180974</xdr:colOff>
      <xdr:row>40</xdr:row>
      <xdr:rowOff>114300</xdr:rowOff>
    </xdr:to>
    <xdr:sp macro="" textlink="">
      <xdr:nvSpPr>
        <xdr:cNvPr id="4" name="TextBox 3"/>
        <xdr:cNvSpPr txBox="1"/>
      </xdr:nvSpPr>
      <xdr:spPr>
        <a:xfrm>
          <a:off x="2047874" y="6534149"/>
          <a:ext cx="1933575" cy="2857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/>
            <a:t>Data only includes FNMA 30-Yr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57150</xdr:colOff>
      <xdr:row>5</xdr:row>
      <xdr:rowOff>76201</xdr:rowOff>
    </xdr:from>
    <xdr:to>
      <xdr:col>20</xdr:col>
      <xdr:colOff>2695575</xdr:colOff>
      <xdr:row>7</xdr:row>
      <xdr:rowOff>80011</xdr:rowOff>
    </xdr:to>
    <xdr:sp macro="[0]!RunSpecifiedPoolDaily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21</xdr:col>
      <xdr:colOff>276226</xdr:colOff>
      <xdr:row>3</xdr:row>
      <xdr:rowOff>180976</xdr:rowOff>
    </xdr:from>
    <xdr:to>
      <xdr:col>23</xdr:col>
      <xdr:colOff>47626</xdr:colOff>
      <xdr:row>5</xdr:row>
      <xdr:rowOff>165736</xdr:rowOff>
    </xdr:to>
    <xdr:sp macro="[1]!CreatePDFReport" textlink="">
      <xdr:nvSpPr>
        <xdr:cNvPr id="3" name="Rounded Rectangle 2"/>
        <xdr:cNvSpPr/>
      </xdr:nvSpPr>
      <xdr:spPr>
        <a:xfrm>
          <a:off x="18049876" y="752476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</xdr:col>
      <xdr:colOff>561974</xdr:colOff>
      <xdr:row>11</xdr:row>
      <xdr:rowOff>0</xdr:rowOff>
    </xdr:from>
    <xdr:to>
      <xdr:col>16</xdr:col>
      <xdr:colOff>561974</xdr:colOff>
      <xdr:row>39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847724</xdr:colOff>
      <xdr:row>38</xdr:row>
      <xdr:rowOff>152400</xdr:rowOff>
    </xdr:from>
    <xdr:to>
      <xdr:col>16</xdr:col>
      <xdr:colOff>609600</xdr:colOff>
      <xdr:row>40</xdr:row>
      <xdr:rowOff>123825</xdr:rowOff>
    </xdr:to>
    <xdr:sp macro="" textlink="">
      <xdr:nvSpPr>
        <xdr:cNvPr id="5" name="TextBox 4"/>
        <xdr:cNvSpPr txBox="1"/>
      </xdr:nvSpPr>
      <xdr:spPr>
        <a:xfrm>
          <a:off x="12877799" y="6305550"/>
          <a:ext cx="1590676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Cello Database</a:t>
          </a:r>
        </a:p>
      </xdr:txBody>
    </xdr:sp>
    <xdr:clientData/>
  </xdr:twoCellAnchor>
  <xdr:twoCellAnchor>
    <xdr:from>
      <xdr:col>3</xdr:col>
      <xdr:colOff>47625</xdr:colOff>
      <xdr:row>39</xdr:row>
      <xdr:rowOff>85725</xdr:rowOff>
    </xdr:from>
    <xdr:to>
      <xdr:col>5</xdr:col>
      <xdr:colOff>152400</xdr:colOff>
      <xdr:row>41</xdr:row>
      <xdr:rowOff>47625</xdr:rowOff>
    </xdr:to>
    <xdr:sp macro="" textlink="">
      <xdr:nvSpPr>
        <xdr:cNvPr id="6" name="TextBox 5"/>
        <xdr:cNvSpPr txBox="1"/>
      </xdr:nvSpPr>
      <xdr:spPr>
        <a:xfrm>
          <a:off x="2019300" y="6400800"/>
          <a:ext cx="1933575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/>
            <a:t>Data only includes FNMA</a:t>
          </a:r>
          <a:r>
            <a:rPr lang="en-US" sz="1000" b="1" baseline="0"/>
            <a:t> 30-Yr</a:t>
          </a:r>
          <a:endParaRPr lang="en-US" sz="10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409575</xdr:colOff>
      <xdr:row>40</xdr:row>
      <xdr:rowOff>23812</xdr:rowOff>
    </xdr:from>
    <xdr:to>
      <xdr:col>25</xdr:col>
      <xdr:colOff>104775</xdr:colOff>
      <xdr:row>54</xdr:row>
      <xdr:rowOff>100012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600074</xdr:colOff>
      <xdr:row>12</xdr:row>
      <xdr:rowOff>128586</xdr:rowOff>
    </xdr:from>
    <xdr:to>
      <xdr:col>13</xdr:col>
      <xdr:colOff>400050</xdr:colOff>
      <xdr:row>29</xdr:row>
      <xdr:rowOff>57150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definedNames>
      <definedName name="CreatePDFReport"/>
    </definedNames>
    <sheetDataSet>
      <sheetData sheetId="0">
        <row r="2">
          <cell r="V2">
            <v>42083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9" autoFormatId="16" applyNumberFormats="0" applyBorderFormats="0" applyFontFormats="0" applyPatternFormats="0" applyAlignmentFormats="0" applyWidthHeightFormats="0">
  <queryTableRefresh nextId="68" unboundColumnsRight="2">
    <queryTableFields count="6">
      <queryTableField id="62" name="marketTicker" tableColumnId="1"/>
      <queryTableField id="63" name="issueDate" tableColumnId="2"/>
      <queryTableField id="64" name="description" tableColumnId="3"/>
      <queryTableField id="65" name="issueAmount" tableColumnId="4"/>
      <queryTableField id="66" dataBound="0" tableColumnId="5"/>
      <queryTableField id="67" dataBound="0" tableColumnId="6"/>
    </queryTableFields>
  </queryTableRefresh>
</queryTable>
</file>

<file path=xl/queryTables/queryTable2.xml><?xml version="1.0" encoding="utf-8"?>
<queryTable xmlns="http://schemas.openxmlformats.org/spreadsheetml/2006/main" name="Query from Agency_9" backgroundRefresh="0" adjustColumnWidth="0" connectionId="3" autoFormatId="16" applyNumberFormats="0" applyBorderFormats="0" applyFontFormats="0" applyPatternFormats="0" applyAlignmentFormats="0" applyWidthHeightFormats="0">
  <queryTableRefresh nextId="66">
    <queryTableFields count="4">
      <queryTableField id="62" name="marketTicker" tableColumnId="1"/>
      <queryTableField id="63" name="issueDate" tableColumnId="2"/>
      <queryTableField id="64" name="description" tableColumnId="3"/>
      <queryTableField id="65" name="issueAmount" tableColumnId="4"/>
    </queryTableFields>
  </queryTableRefresh>
</queryTable>
</file>

<file path=xl/queryTables/queryTable3.xml><?xml version="1.0" encoding="utf-8"?>
<queryTable xmlns="http://schemas.openxmlformats.org/spreadsheetml/2006/main" name="Query from Agency_10" backgroundRefresh="0" adjustColumnWidth="0" connectionId="4" autoFormatId="16" applyNumberFormats="0" applyBorderFormats="0" applyFontFormats="0" applyPatternFormats="0" applyAlignmentFormats="0" applyWidthHeightFormats="0">
  <queryTableRefresh nextId="66">
    <queryTableFields count="4">
      <queryTableField id="62" name="marketTicker" tableColumnId="1"/>
      <queryTableField id="63" name="issueDate" tableColumnId="2"/>
      <queryTableField id="64" name="description" tableColumnId="3"/>
      <queryTableField id="65" name="issueAmount" tableColumnId="4"/>
    </queryTableFields>
  </queryTableRefresh>
</queryTable>
</file>

<file path=xl/queryTables/queryTable4.xml><?xml version="1.0" encoding="utf-8"?>
<queryTable xmlns="http://schemas.openxmlformats.org/spreadsheetml/2006/main" name="Query from Agency_6" backgroundRefresh="0" adjustColumnWidth="0" connectionId="1" autoFormatId="16" applyNumberFormats="0" applyBorderFormats="0" applyFontFormats="0" applyPatternFormats="0" applyAlignmentFormats="0" applyWidthHeightFormats="0">
  <queryTableRefresh nextId="71">
    <queryTableFields count="2">
      <queryTableField id="63" name="issueDate" tableColumnId="2"/>
      <queryTableField id="65" name="issueAmount" tableColumnId="4"/>
    </queryTableFields>
  </queryTableRefresh>
</queryTable>
</file>

<file path=xl/queryTables/queryTable5.xml><?xml version="1.0" encoding="utf-8"?>
<queryTable xmlns="http://schemas.openxmlformats.org/spreadsheetml/2006/main" name="Query from Agency_9" backgroundRefresh="0" adjustColumnWidth="0" connectionId="6" autoFormatId="16" applyNumberFormats="0" applyBorderFormats="0" applyFontFormats="0" applyPatternFormats="0" applyAlignmentFormats="0" applyWidthHeightFormats="0">
  <queryTableRefresh nextId="66">
    <queryTableFields count="2">
      <queryTableField id="63" name="issueDate" tableColumnId="2"/>
      <queryTableField id="65" name="issueAmount" tableColumnId="4"/>
    </queryTableFields>
  </queryTableRefresh>
</queryTable>
</file>

<file path=xl/queryTables/queryTable6.xml><?xml version="1.0" encoding="utf-8"?>
<queryTable xmlns="http://schemas.openxmlformats.org/spreadsheetml/2006/main" name="Query from Agency_10" backgroundRefresh="0" adjustColumnWidth="0" connectionId="13" autoFormatId="16" applyNumberFormats="0" applyBorderFormats="0" applyFontFormats="0" applyPatternFormats="0" applyAlignmentFormats="0" applyWidthHeightFormats="0">
  <queryTableRefresh nextId="66">
    <queryTableFields count="2">
      <queryTableField id="63" name="issueDate" tableColumnId="2"/>
      <queryTableField id="65" name="issueAmount" tableColumnId="4"/>
    </queryTableFields>
  </queryTableRefresh>
</queryTable>
</file>

<file path=xl/queryTables/queryTable7.xml><?xml version="1.0" encoding="utf-8"?>
<queryTable xmlns="http://schemas.openxmlformats.org/spreadsheetml/2006/main" name="Query from Agency_11" backgroundRefresh="0" adjustColumnWidth="0" connectionId="10" autoFormatId="16" applyNumberFormats="0" applyBorderFormats="0" applyFontFormats="0" applyPatternFormats="0" applyAlignmentFormats="0" applyWidthHeightFormats="0">
  <queryTableRefresh nextId="66">
    <queryTableFields count="2">
      <queryTableField id="63" name="issueDate" tableColumnId="2"/>
      <queryTableField id="65" name="issueAmount" tableColumnId="4"/>
    </queryTableFields>
  </queryTableRefresh>
</queryTable>
</file>

<file path=xl/queryTables/queryTable8.xml><?xml version="1.0" encoding="utf-8"?>
<queryTable xmlns="http://schemas.openxmlformats.org/spreadsheetml/2006/main" name="Query from Agency_12" backgroundRefresh="0" adjustColumnWidth="0" connectionId="11" autoFormatId="16" applyNumberFormats="0" applyBorderFormats="0" applyFontFormats="0" applyPatternFormats="0" applyAlignmentFormats="0" applyWidthHeightFormats="0">
  <queryTableRefresh nextId="75" unboundColumnsRight="8">
    <queryTableFields count="10">
      <queryTableField id="63" name="issueDate" tableColumnId="2"/>
      <queryTableField id="72" name="LowFICO" tableColumnId="9"/>
      <queryTableField id="66" dataBound="0" tableColumnId="1"/>
      <queryTableField id="67" dataBound="0" tableColumnId="3"/>
      <queryTableField id="68" dataBound="0" tableColumnId="5"/>
      <queryTableField id="69" dataBound="0" tableColumnId="6"/>
      <queryTableField id="70" dataBound="0" tableColumnId="7"/>
      <queryTableField id="71" dataBound="0" tableColumnId="8"/>
      <queryTableField id="73" dataBound="0" tableColumnId="10"/>
      <queryTableField id="74" dataBound="0" tableColumnId="4"/>
    </queryTableFields>
  </queryTableRefresh>
</queryTable>
</file>

<file path=xl/queryTables/queryTable9.xml><?xml version="1.0" encoding="utf-8"?>
<queryTable xmlns="http://schemas.openxmlformats.org/spreadsheetml/2006/main" name="Query from Agency_13" backgroundRefresh="0" adjustColumnWidth="0" connectionId="12" autoFormatId="16" applyNumberFormats="0" applyBorderFormats="0" applyFontFormats="0" applyPatternFormats="0" applyAlignmentFormats="0" applyWidthHeightFormats="0">
  <queryTableRefresh nextId="66">
    <queryTableFields count="2">
      <queryTableField id="63" name="issueDate" tableColumnId="2"/>
      <queryTableField id="65" name="issueAmount" tableColumnId="4"/>
    </queryTableFields>
  </queryTableRefresh>
</queryTable>
</file>

<file path=xl/queryTables/queryTable10.xml><?xml version="1.0" encoding="utf-8"?>
<queryTable xmlns="http://schemas.openxmlformats.org/spreadsheetml/2006/main" name="Query from Agency_14" backgroundRefresh="0" adjustColumnWidth="0" connectionId="7" autoFormatId="16" applyNumberFormats="0" applyBorderFormats="0" applyFontFormats="0" applyPatternFormats="0" applyAlignmentFormats="0" applyWidthHeightFormats="0">
  <queryTableRefresh nextId="66">
    <queryTableFields count="2">
      <queryTableField id="63" name="issueDate" tableColumnId="2"/>
      <queryTableField id="65" name="issueAmount" tableColumnId="4"/>
    </queryTableFields>
  </queryTableRefresh>
</queryTable>
</file>

<file path=xl/queryTables/queryTable11.xml><?xml version="1.0" encoding="utf-8"?>
<queryTable xmlns="http://schemas.openxmlformats.org/spreadsheetml/2006/main" name="Query from Agency_15" backgroundRefresh="0" adjustColumnWidth="0" connectionId="5" autoFormatId="16" applyNumberFormats="0" applyBorderFormats="0" applyFontFormats="0" applyPatternFormats="0" applyAlignmentFormats="0" applyWidthHeightFormats="0">
  <queryTableRefresh nextId="66">
    <queryTableFields count="2">
      <queryTableField id="63" name="issueDate" tableColumnId="2"/>
      <queryTableField id="65" name="issueAmount" tableColumnId="4"/>
    </queryTableFields>
  </queryTableRefresh>
</queryTable>
</file>

<file path=xl/queryTables/queryTable12.xml><?xml version="1.0" encoding="utf-8"?>
<queryTable xmlns="http://schemas.openxmlformats.org/spreadsheetml/2006/main" name="Query from Agency_16" backgroundRefresh="0" adjustColumnWidth="0" connectionId="22" autoFormatId="16" applyNumberFormats="0" applyBorderFormats="0" applyFontFormats="0" applyPatternFormats="0" applyAlignmentFormats="0" applyWidthHeightFormats="0">
  <queryTableRefresh nextId="66">
    <queryTableFields count="2">
      <queryTableField id="63" name="issueDate" tableColumnId="2"/>
      <queryTableField id="65" name="issueAmount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id="5" name="CurrentMtgRatesDataTable826" displayName="CurrentMtgRatesDataTable826" ref="B3:G62" tableType="queryTable" totalsRowShown="0" headerRowDxfId="63" dataDxfId="62">
  <tableColumns count="6">
    <tableColumn id="1" uniqueName="1" name="marketTicker" queryTableFieldId="62" dataDxfId="61"/>
    <tableColumn id="2" uniqueName="2" name="issueDate" queryTableFieldId="63" dataDxfId="60"/>
    <tableColumn id="3" uniqueName="3" name="description" queryTableFieldId="64" dataDxfId="59"/>
    <tableColumn id="4" uniqueName="4" name="issueAmount" queryTableFieldId="65" dataDxfId="58"/>
    <tableColumn id="5" uniqueName="5" name="CQ" queryTableFieldId="66" dataDxfId="57">
      <calculatedColumnFormula>VLOOKUP(CurrentMtgRatesDataTable826[[#This Row],[issueDate]],CurrentMtgRatesDataTable8267[[issueDate]:[issueAmount]],3,0)</calculatedColumnFormula>
    </tableColumn>
    <tableColumn id="6" uniqueName="6" name="CR" queryTableFieldId="67" dataDxfId="56">
      <calculatedColumnFormula>VLOOKUP(CurrentMtgRatesDataTable826[[#This Row],[issueDate]],CurrentMtgRatesDataTable8268[[issueDate]:[issueAmount]],3,0)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CurrentMtgRatesDataTable8267" displayName="CurrentMtgRatesDataTable8267" ref="I3:L62" tableType="queryTable" totalsRowShown="0" headerRowDxfId="55" dataDxfId="54">
  <tableColumns count="4">
    <tableColumn id="1" uniqueName="1" name="marketTicker" queryTableFieldId="62" dataDxfId="53"/>
    <tableColumn id="2" uniqueName="2" name="issueDate" queryTableFieldId="63" dataDxfId="52"/>
    <tableColumn id="3" uniqueName="3" name="description" queryTableFieldId="64" dataDxfId="51"/>
    <tableColumn id="4" uniqueName="4" name="issueAmount" queryTableFieldId="65" dataDxfId="50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7" name="CurrentMtgRatesDataTable8268" displayName="CurrentMtgRatesDataTable8268" ref="O3:R40" tableType="queryTable" totalsRowShown="0" headerRowDxfId="49" dataDxfId="48">
  <tableColumns count="4">
    <tableColumn id="1" uniqueName="1" name="marketTicker" queryTableFieldId="62" dataDxfId="47"/>
    <tableColumn id="2" uniqueName="2" name="issueDate" queryTableFieldId="63" dataDxfId="46"/>
    <tableColumn id="3" uniqueName="3" name="description" queryTableFieldId="64" dataDxfId="45"/>
    <tableColumn id="4" uniqueName="4" name="issueAmount" queryTableFieldId="65" dataDxfId="44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" name="CurrentMtgRatesDataTable8262" displayName="CurrentMtgRatesDataTable8262" ref="B3:C62" tableType="queryTable" totalsRowShown="0" headerRowDxfId="43" dataDxfId="42">
  <tableColumns count="2">
    <tableColumn id="2" uniqueName="2" name="issueDate" queryTableFieldId="63" dataDxfId="41"/>
    <tableColumn id="4" uniqueName="4" name="IssueAmount" queryTableFieldId="65" dataDxfId="4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2" name="CurrentMtgRatesDataTable82673" displayName="CurrentMtgRatesDataTable82673" ref="E3:F62" tableType="queryTable" totalsRowShown="0" headerRowDxfId="39" dataDxfId="38">
  <tableColumns count="2">
    <tableColumn id="2" uniqueName="2" name="issueDate" queryTableFieldId="63" dataDxfId="37"/>
    <tableColumn id="4" uniqueName="4" name="IssueAmount" queryTableFieldId="65" dataDxfId="36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3" name="CurrentMtgRatesDataTable82684" displayName="CurrentMtgRatesDataTable82684" ref="I3:J62" tableType="queryTable" totalsRowShown="0" headerRowDxfId="35" dataDxfId="34">
  <tableColumns count="2">
    <tableColumn id="2" uniqueName="2" name="issueDate" queryTableFieldId="63" dataDxfId="33"/>
    <tableColumn id="4" uniqueName="4" name="IssueAmount" queryTableFieldId="65" dataDxfId="32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4" name="CurrentMtgRatesDataTable826845" displayName="CurrentMtgRatesDataTable826845" ref="M3:N62" tableType="queryTable" totalsRowShown="0" headerRowDxfId="31" dataDxfId="30">
  <tableColumns count="2">
    <tableColumn id="2" uniqueName="2" name="issueDate" queryTableFieldId="63" dataDxfId="29"/>
    <tableColumn id="4" uniqueName="4" name="IssueAmount" queryTableFieldId="65" dataDxfId="28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8" name="CurrentMtgRatesDataTable8268459" displayName="CurrentMtgRatesDataTable8268459" ref="Q3:Z62" tableType="queryTable" totalsRowShown="0" headerRowDxfId="27" dataDxfId="26">
  <tableColumns count="10">
    <tableColumn id="2" uniqueName="2" name="issueDate" queryTableFieldId="63" dataDxfId="25"/>
    <tableColumn id="9" uniqueName="9" name="LowFICO" queryTableFieldId="72" dataDxfId="24"/>
    <tableColumn id="1" uniqueName="1" name="MHA" queryTableFieldId="66" dataDxfId="23">
      <calculatedColumnFormula>VLOOKUP(CurrentMtgRatesDataTable8268459[[#This Row],[issueDate]],CurrentMtgRatesDataTable82684510[#All],2,0)</calculatedColumnFormula>
    </tableColumn>
    <tableColumn id="3" uniqueName="3" name="Investor" queryTableFieldId="67" dataDxfId="22">
      <calculatedColumnFormula>VLOOKUP(CurrentMtgRatesDataTable8268459[[#This Row],[issueDate]],CurrentMtgRatesDataTable82684511[#All],2,0)</calculatedColumnFormula>
    </tableColumn>
    <tableColumn id="5" uniqueName="5" name="175K" queryTableFieldId="68" dataDxfId="21">
      <calculatedColumnFormula>VLOOKUP(CurrentMtgRatesDataTable8268459[[#This Row],[issueDate]],CurrentMtgRatesDataTable8262[#All],2,0)</calculatedColumnFormula>
    </tableColumn>
    <tableColumn id="6" uniqueName="6" name="HLB" queryTableFieldId="69" dataDxfId="20">
      <calculatedColumnFormula>VLOOKUP(CurrentMtgRatesDataTable8268459[[#This Row],[issueDate]],CurrentMtgRatesDataTable82673[#All],2,0)</calculatedColumnFormula>
    </tableColumn>
    <tableColumn id="7" uniqueName="7" name="MLB" queryTableFieldId="70" dataDxfId="19">
      <calculatedColumnFormula>VLOOKUP(CurrentMtgRatesDataTable8268459[[#This Row],[issueDate]],CurrentMtgRatesDataTable82684[#All],2,0)</calculatedColumnFormula>
    </tableColumn>
    <tableColumn id="8" uniqueName="8" name="LLB" queryTableFieldId="71" dataDxfId="18">
      <calculatedColumnFormula>VLOOKUP(CurrentMtgRatesDataTable8268459[[#This Row],[issueDate]],CurrentMtgRatesDataTable826845[#All],2,0)</calculatedColumnFormula>
    </tableColumn>
    <tableColumn id="10" uniqueName="10" name="Geo" queryTableFieldId="73" dataDxfId="17">
      <calculatedColumnFormula>VLOOKUP(CurrentMtgRatesDataTable8268459[[#This Row],[issueDate]],CurrentMtgRatesDataTable8268451112[#All],2,0)</calculatedColumnFormula>
    </tableColumn>
    <tableColumn id="4" uniqueName="4" name="%All" queryTableFieldId="74" dataDxfId="16" dataCellStyle="Percent">
      <calculatedColumnFormula>SUM(CurrentMtgRatesDataTable8268459[[#This Row],[LowFICO]:[Geo]])/VLOOKUP(CurrentMtgRatesDataTable8268459[[#This Row],[issueDate]],CurrentMtgRatesDataTable826845111213[#All],2,0)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id="9" name="CurrentMtgRatesDataTable82684510" displayName="CurrentMtgRatesDataTable82684510" ref="AC3:AD62" tableType="queryTable" totalsRowShown="0" headerRowDxfId="15" dataDxfId="14">
  <tableColumns count="2">
    <tableColumn id="2" uniqueName="2" name="issueDate" queryTableFieldId="63" dataDxfId="13"/>
    <tableColumn id="4" uniqueName="4" name="IssueAmount" queryTableFieldId="65" dataDxfId="12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id="10" name="CurrentMtgRatesDataTable82684511" displayName="CurrentMtgRatesDataTable82684511" ref="AG3:AH62" tableType="queryTable" totalsRowShown="0" headerRowDxfId="11" dataDxfId="10">
  <tableColumns count="2">
    <tableColumn id="2" uniqueName="2" name="issueDate" queryTableFieldId="63" dataDxfId="9"/>
    <tableColumn id="4" uniqueName="4" name="IssueAmount" queryTableFieldId="65" dataDxfId="8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id="11" name="CurrentMtgRatesDataTable8268451112" displayName="CurrentMtgRatesDataTable8268451112" ref="AJ3:AK62" tableType="queryTable" totalsRowShown="0" headerRowDxfId="7" dataDxfId="6">
  <tableColumns count="2">
    <tableColumn id="2" uniqueName="2" name="issueDate" queryTableFieldId="63" dataDxfId="5"/>
    <tableColumn id="4" uniqueName="4" name="IssueAmount" queryTableFieldId="65" dataDxfId="4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id="12" name="CurrentMtgRatesDataTable826845111213" displayName="CurrentMtgRatesDataTable826845111213" ref="AM3:AN62" tableType="queryTable" totalsRowShown="0" headerRowDxfId="3" dataDxfId="2">
  <tableColumns count="2">
    <tableColumn id="2" uniqueName="2" name="issueDate" queryTableFieldId="63" dataDxfId="1"/>
    <tableColumn id="4" uniqueName="4" name="IssueAmount" queryTableFieldId="65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www.quickenloans.com/home-loans/30-year-fixed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C1:U97"/>
  <sheetViews>
    <sheetView showGridLines="0" topLeftCell="A10" zoomScaleNormal="100" workbookViewId="0">
      <selection activeCell="T31" sqref="T31"/>
    </sheetView>
  </sheetViews>
  <sheetFormatPr defaultRowHeight="12.75"/>
  <cols>
    <col min="1" max="1" width="9.140625" style="5" customWidth="1"/>
    <col min="2" max="2" width="9.140625" style="5"/>
    <col min="3" max="3" width="11.28515625" style="5" customWidth="1"/>
    <col min="4" max="16" width="13.7109375" style="5" customWidth="1"/>
    <col min="17" max="17" width="12.5703125" style="5" customWidth="1"/>
    <col min="18" max="18" width="11.28515625" style="5" customWidth="1"/>
    <col min="19" max="19" width="9.140625" style="5"/>
    <col min="20" max="20" width="14.140625" style="5" customWidth="1"/>
    <col min="21" max="16384" width="9.140625" style="5"/>
  </cols>
  <sheetData>
    <row r="1" spans="3:21" ht="15">
      <c r="T1"/>
      <c r="U1"/>
    </row>
    <row r="2" spans="3:21" ht="15">
      <c r="T2"/>
      <c r="U2"/>
    </row>
    <row r="3" spans="3:21" ht="15">
      <c r="T3"/>
      <c r="U3"/>
    </row>
    <row r="4" spans="3:21" ht="15">
      <c r="T4"/>
      <c r="U4"/>
    </row>
    <row r="5" spans="3:21" ht="15">
      <c r="T5"/>
      <c r="U5"/>
    </row>
    <row r="6" spans="3:21" ht="15">
      <c r="T6"/>
      <c r="U6"/>
    </row>
    <row r="7" spans="3:21" ht="15">
      <c r="T7"/>
      <c r="U7"/>
    </row>
    <row r="8" spans="3:21" ht="15">
      <c r="T8"/>
      <c r="U8"/>
    </row>
    <row r="9" spans="3:21" s="10" customFormat="1">
      <c r="C9" s="5"/>
      <c r="D9" s="5"/>
      <c r="E9" s="5"/>
      <c r="F9" s="5"/>
      <c r="G9" s="5"/>
      <c r="H9" s="5"/>
      <c r="I9" s="5"/>
      <c r="J9" s="5"/>
      <c r="K9" s="5"/>
      <c r="L9" s="5"/>
      <c r="M9" s="5"/>
      <c r="Q9" s="5"/>
      <c r="R9" s="5"/>
    </row>
    <row r="10" spans="3:21" s="11" customFormat="1"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Q10" s="5"/>
      <c r="R10" s="5"/>
    </row>
    <row r="11" spans="3:21" s="11" customFormat="1"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Q11" s="5"/>
      <c r="R11" s="5"/>
    </row>
    <row r="12" spans="3:21" s="11" customForma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Q12" s="5"/>
      <c r="R12" s="5"/>
    </row>
    <row r="13" spans="3:21" s="11" customFormat="1"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Q13" s="5"/>
      <c r="R13" s="5"/>
    </row>
    <row r="14" spans="3:21" s="11" customFormat="1"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Q14" s="5"/>
      <c r="R14" s="5"/>
    </row>
    <row r="15" spans="3:21" s="11" customFormat="1"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Q15" s="5"/>
      <c r="R15" s="5"/>
    </row>
    <row r="16" spans="3:21" s="11" customFormat="1"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Q16" s="5"/>
      <c r="R16" s="5"/>
    </row>
    <row r="17" spans="3:18" s="11" customFormat="1"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Q17" s="5"/>
      <c r="R17" s="5"/>
    </row>
    <row r="18" spans="3:18" s="11" customFormat="1"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Q18" s="5"/>
      <c r="R18" s="5"/>
    </row>
    <row r="19" spans="3:18" s="11" customFormat="1"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Q19" s="5"/>
      <c r="R19" s="5"/>
    </row>
    <row r="20" spans="3:18" s="11" customForma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Q20" s="5"/>
      <c r="R20" s="5"/>
    </row>
    <row r="21" spans="3:18" s="11" customFormat="1"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Q21" s="5"/>
      <c r="R21" s="5"/>
    </row>
    <row r="42" spans="4:16" ht="15">
      <c r="D42" s="4" t="s">
        <v>33</v>
      </c>
      <c r="O42" s="45" t="s">
        <v>46</v>
      </c>
      <c r="P42" s="42">
        <f>E43</f>
        <v>42156</v>
      </c>
    </row>
    <row r="43" spans="4:16">
      <c r="D43" s="20"/>
      <c r="E43" s="21">
        <f>Historical!D3</f>
        <v>42156</v>
      </c>
      <c r="F43" s="21">
        <f>E43-DAY(E43-1)</f>
        <v>42125</v>
      </c>
      <c r="G43" s="21">
        <f t="shared" ref="G43:P43" si="0">F43-DAY(F43-1)</f>
        <v>42095</v>
      </c>
      <c r="H43" s="21">
        <f t="shared" si="0"/>
        <v>42064</v>
      </c>
      <c r="I43" s="21">
        <f t="shared" si="0"/>
        <v>42036</v>
      </c>
      <c r="J43" s="21">
        <f t="shared" si="0"/>
        <v>42005</v>
      </c>
      <c r="K43" s="21">
        <f t="shared" si="0"/>
        <v>41974</v>
      </c>
      <c r="L43" s="21">
        <f t="shared" si="0"/>
        <v>41944</v>
      </c>
      <c r="M43" s="21">
        <f t="shared" si="0"/>
        <v>41913</v>
      </c>
      <c r="N43" s="21">
        <f t="shared" si="0"/>
        <v>41883</v>
      </c>
      <c r="O43" s="21">
        <f t="shared" si="0"/>
        <v>41852</v>
      </c>
      <c r="P43" s="21">
        <f t="shared" si="0"/>
        <v>41821</v>
      </c>
    </row>
    <row r="44" spans="4:16">
      <c r="D44" s="25" t="s">
        <v>40</v>
      </c>
      <c r="E44" s="38">
        <f>Historical!D12</f>
        <v>1793.3484530000001</v>
      </c>
      <c r="F44" s="38">
        <f>Historical!E12</f>
        <v>1289.760612</v>
      </c>
      <c r="G44" s="38">
        <f>Historical!F12</f>
        <v>1500.8012639999999</v>
      </c>
      <c r="H44" s="38">
        <f>Historical!G12</f>
        <v>1271.9012419999999</v>
      </c>
      <c r="I44" s="38">
        <f>Historical!H12</f>
        <v>1869.668083</v>
      </c>
      <c r="J44" s="38">
        <f>Historical!I12</f>
        <v>1351.4870330000001</v>
      </c>
      <c r="K44" s="38">
        <f>Historical!J12</f>
        <v>1487.383145</v>
      </c>
      <c r="L44" s="38">
        <f>Historical!K12</f>
        <v>631.309303</v>
      </c>
      <c r="M44" s="38">
        <f>Historical!L12</f>
        <v>1806.3831130000001</v>
      </c>
      <c r="N44" s="38">
        <f>Historical!M12</f>
        <v>1381.851236</v>
      </c>
      <c r="O44" s="38">
        <f>Historical!N12</f>
        <v>1440.4477830000001</v>
      </c>
      <c r="P44" s="38">
        <f>Historical!O12</f>
        <v>1750.904626</v>
      </c>
    </row>
    <row r="45" spans="4:16">
      <c r="D45" s="25" t="s">
        <v>41</v>
      </c>
      <c r="E45" s="38">
        <f>Historical!D13</f>
        <v>113.02186399999999</v>
      </c>
      <c r="F45" s="38">
        <f>Historical!E13</f>
        <v>151.26353399999999</v>
      </c>
      <c r="G45" s="38">
        <f>Historical!F13</f>
        <v>90.901337999999996</v>
      </c>
      <c r="H45" s="38">
        <f>Historical!G13</f>
        <v>126.62054500000001</v>
      </c>
      <c r="I45" s="38">
        <f>Historical!H13</f>
        <v>88.755101999999994</v>
      </c>
      <c r="J45" s="38">
        <f>Historical!I13</f>
        <v>101.114385</v>
      </c>
      <c r="K45" s="38">
        <f>Historical!J13</f>
        <v>156.006867</v>
      </c>
      <c r="L45" s="38">
        <f>Historical!K13</f>
        <v>146.48360299999999</v>
      </c>
      <c r="M45" s="38">
        <f>Historical!L13</f>
        <v>191.321043</v>
      </c>
      <c r="N45" s="38">
        <f>Historical!M13</f>
        <v>178.03603699999999</v>
      </c>
      <c r="O45" s="38">
        <f>Historical!N13</f>
        <v>139.66367399999999</v>
      </c>
      <c r="P45" s="38">
        <f>Historical!O13</f>
        <v>165.89473000000001</v>
      </c>
    </row>
    <row r="46" spans="4:16">
      <c r="D46" s="25" t="s">
        <v>42</v>
      </c>
      <c r="E46" s="38">
        <f>Historical!D14</f>
        <v>296.07000199999999</v>
      </c>
      <c r="F46" s="38">
        <f>Historical!E14</f>
        <v>50.437618999999998</v>
      </c>
      <c r="G46" s="38">
        <f>Historical!F14</f>
        <v>40.597121999999999</v>
      </c>
      <c r="H46" s="38">
        <f>Historical!G14</f>
        <v>34.611970999999997</v>
      </c>
      <c r="I46" s="38">
        <f>Historical!H14</f>
        <v>100.420654</v>
      </c>
      <c r="J46" s="38">
        <f>Historical!I14</f>
        <v>116.714969</v>
      </c>
      <c r="K46" s="38">
        <f>Historical!J14</f>
        <v>523.01698199999998</v>
      </c>
      <c r="L46" s="38">
        <f>Historical!K14</f>
        <v>151.60493199999999</v>
      </c>
      <c r="M46" s="38">
        <f>Historical!L14</f>
        <v>276.556307</v>
      </c>
      <c r="N46" s="38">
        <f>Historical!M14</f>
        <v>119.56244599999999</v>
      </c>
      <c r="O46" s="38">
        <f>Historical!N14</f>
        <v>289.48586899999998</v>
      </c>
      <c r="P46" s="38">
        <f>Historical!O14</f>
        <v>257.15189299999997</v>
      </c>
    </row>
    <row r="47" spans="4:16">
      <c r="D47" s="25" t="s">
        <v>36</v>
      </c>
      <c r="E47" s="38">
        <f>Historical!D15</f>
        <v>1454.471487</v>
      </c>
      <c r="F47" s="38">
        <f>Historical!E15</f>
        <v>1332.4069460000001</v>
      </c>
      <c r="G47" s="38">
        <f>Historical!F15</f>
        <v>1286.157119</v>
      </c>
      <c r="H47" s="38">
        <f>Historical!G15</f>
        <v>1132.393996</v>
      </c>
      <c r="I47" s="38">
        <f>Historical!H15</f>
        <v>1158.064789</v>
      </c>
      <c r="J47" s="38">
        <f>Historical!I15</f>
        <v>925.24031400000001</v>
      </c>
      <c r="K47" s="38">
        <f>Historical!J15</f>
        <v>1010.410896</v>
      </c>
      <c r="L47" s="38">
        <f>Historical!K15</f>
        <v>1023.640722</v>
      </c>
      <c r="M47" s="38">
        <f>Historical!L15</f>
        <v>1266.6669059999999</v>
      </c>
      <c r="N47" s="38">
        <f>Historical!M15</f>
        <v>1414.3708039999999</v>
      </c>
      <c r="O47" s="38">
        <f>Historical!N15</f>
        <v>1177.9323870000001</v>
      </c>
      <c r="P47" s="38">
        <f>Historical!O15</f>
        <v>1362.312518</v>
      </c>
    </row>
    <row r="48" spans="4:16">
      <c r="D48" s="25" t="s">
        <v>37</v>
      </c>
      <c r="E48" s="38">
        <f>Historical!D16</f>
        <v>2196.9096650000001</v>
      </c>
      <c r="F48" s="38">
        <f>Historical!E16</f>
        <v>1886.7176460000001</v>
      </c>
      <c r="G48" s="38">
        <f>Historical!F16</f>
        <v>1948.4136599999999</v>
      </c>
      <c r="H48" s="38">
        <f>Historical!G16</f>
        <v>1671.922926</v>
      </c>
      <c r="I48" s="38">
        <f>Historical!H16</f>
        <v>1839.649584</v>
      </c>
      <c r="J48" s="38">
        <f>Historical!I16</f>
        <v>1865.2033469999999</v>
      </c>
      <c r="K48" s="38">
        <f>Historical!J16</f>
        <v>2069.0522599999999</v>
      </c>
      <c r="L48" s="38">
        <f>Historical!K16</f>
        <v>1978.634063</v>
      </c>
      <c r="M48" s="38">
        <f>Historical!L16</f>
        <v>2160.5422170000002</v>
      </c>
      <c r="N48" s="38">
        <f>Historical!M16</f>
        <v>2318.7049270000002</v>
      </c>
      <c r="O48" s="38">
        <f>Historical!N16</f>
        <v>1859.701155</v>
      </c>
      <c r="P48" s="38">
        <f>Historical!O16</f>
        <v>1970.336632</v>
      </c>
    </row>
    <row r="49" spans="4:16">
      <c r="D49" s="25" t="s">
        <v>38</v>
      </c>
      <c r="E49" s="38">
        <f>Historical!D17</f>
        <v>887.471181</v>
      </c>
      <c r="F49" s="38">
        <f>Historical!E17</f>
        <v>782.61145699999997</v>
      </c>
      <c r="G49" s="38">
        <f>Historical!F17</f>
        <v>782.45635200000004</v>
      </c>
      <c r="H49" s="38">
        <f>Historical!G17</f>
        <v>685.80228399999999</v>
      </c>
      <c r="I49" s="38">
        <f>Historical!H17</f>
        <v>820.42824800000005</v>
      </c>
      <c r="J49" s="38">
        <f>Historical!I17</f>
        <v>800.24946399999999</v>
      </c>
      <c r="K49" s="38">
        <f>Historical!J17</f>
        <v>997.89513699999998</v>
      </c>
      <c r="L49" s="38">
        <f>Historical!K17</f>
        <v>899.04130099999998</v>
      </c>
      <c r="M49" s="38">
        <f>Historical!L17</f>
        <v>964.28876100000002</v>
      </c>
      <c r="N49" s="38">
        <f>Historical!M17</f>
        <v>1016.058366</v>
      </c>
      <c r="O49" s="38">
        <f>Historical!N17</f>
        <v>838.62673299999994</v>
      </c>
      <c r="P49" s="38">
        <f>Historical!O17</f>
        <v>948.547505</v>
      </c>
    </row>
    <row r="50" spans="4:16">
      <c r="D50" s="25" t="s">
        <v>39</v>
      </c>
      <c r="E50" s="38">
        <f>Historical!D18</f>
        <v>565.85760000000005</v>
      </c>
      <c r="F50" s="38">
        <f>Historical!E18</f>
        <v>443.98695099999998</v>
      </c>
      <c r="G50" s="38">
        <f>Historical!F18</f>
        <v>506.82713000000001</v>
      </c>
      <c r="H50" s="38">
        <f>Historical!G18</f>
        <v>399.01280600000001</v>
      </c>
      <c r="I50" s="38">
        <f>Historical!H18</f>
        <v>527.56604000000004</v>
      </c>
      <c r="J50" s="38">
        <f>Historical!I18</f>
        <v>579.12251300000003</v>
      </c>
      <c r="K50" s="38">
        <f>Historical!J18</f>
        <v>622.88370899999995</v>
      </c>
      <c r="L50" s="38">
        <f>Historical!K18</f>
        <v>640.02457400000003</v>
      </c>
      <c r="M50" s="38">
        <f>Historical!L18</f>
        <v>684.93568900000002</v>
      </c>
      <c r="N50" s="38">
        <f>Historical!M18</f>
        <v>606.67093399999999</v>
      </c>
      <c r="O50" s="38">
        <f>Historical!N18</f>
        <v>539.72638300000006</v>
      </c>
      <c r="P50" s="38">
        <f>Historical!O18</f>
        <v>615.29756299999997</v>
      </c>
    </row>
    <row r="51" spans="4:16">
      <c r="D51" s="25" t="s">
        <v>45</v>
      </c>
      <c r="E51" s="38">
        <f>Historical!D19</f>
        <v>427.28330699999998</v>
      </c>
      <c r="F51" s="38">
        <f>Historical!E19</f>
        <v>394.177167</v>
      </c>
      <c r="G51" s="38">
        <f>Historical!F19</f>
        <v>322.40824900000001</v>
      </c>
      <c r="H51" s="38">
        <f>Historical!G19</f>
        <v>364.49334599999997</v>
      </c>
      <c r="I51" s="38">
        <f>Historical!H19</f>
        <v>406.48077999999998</v>
      </c>
      <c r="J51" s="38">
        <f>Historical!I19</f>
        <v>407.29637700000001</v>
      </c>
      <c r="K51" s="38">
        <f>Historical!J19</f>
        <v>703.71646299999998</v>
      </c>
      <c r="L51" s="38">
        <f>Historical!K19</f>
        <v>194.118752</v>
      </c>
      <c r="M51" s="38">
        <f>Historical!L19</f>
        <v>379.70020099999999</v>
      </c>
      <c r="N51" s="38">
        <f>Historical!M19</f>
        <v>462.31363599999997</v>
      </c>
      <c r="O51" s="38">
        <f>Historical!N19</f>
        <v>276.99817400000001</v>
      </c>
      <c r="P51" s="38">
        <f>Historical!O19</f>
        <v>211.430835</v>
      </c>
    </row>
    <row r="52" spans="4:16">
      <c r="D52" s="28" t="s">
        <v>32</v>
      </c>
      <c r="E52" s="39">
        <f>SUM(E44:E51)</f>
        <v>7734.4335590000001</v>
      </c>
      <c r="F52" s="39">
        <f t="shared" ref="F52:P52" si="1">SUM(F44:F51)</f>
        <v>6331.3619319999998</v>
      </c>
      <c r="G52" s="39">
        <f t="shared" si="1"/>
        <v>6478.562234</v>
      </c>
      <c r="H52" s="39">
        <f t="shared" si="1"/>
        <v>5686.7591160000002</v>
      </c>
      <c r="I52" s="39">
        <f t="shared" si="1"/>
        <v>6811.0332799999996</v>
      </c>
      <c r="J52" s="39">
        <f t="shared" si="1"/>
        <v>6146.4284020000005</v>
      </c>
      <c r="K52" s="39">
        <f t="shared" si="1"/>
        <v>7570.3654589999996</v>
      </c>
      <c r="L52" s="39">
        <f t="shared" si="1"/>
        <v>5664.85725</v>
      </c>
      <c r="M52" s="39">
        <f t="shared" si="1"/>
        <v>7730.3942369999995</v>
      </c>
      <c r="N52" s="39">
        <f t="shared" si="1"/>
        <v>7497.5683859999999</v>
      </c>
      <c r="O52" s="39">
        <f t="shared" si="1"/>
        <v>6562.5821580000002</v>
      </c>
      <c r="P52" s="39">
        <f t="shared" si="1"/>
        <v>7281.8763019999997</v>
      </c>
    </row>
    <row r="53" spans="4:16">
      <c r="D53" s="26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</row>
    <row r="54" spans="4:16" ht="15">
      <c r="D54" s="4" t="s">
        <v>34</v>
      </c>
      <c r="L54" s="4" t="s">
        <v>44</v>
      </c>
    </row>
    <row r="55" spans="4:16" customFormat="1" ht="15">
      <c r="D55" s="6"/>
      <c r="E55" s="7" t="str">
        <f>TEXT(E43,"mm/yyyy")&amp;" Balance"</f>
        <v>06/2015 Balance</v>
      </c>
      <c r="F55" s="8" t="s">
        <v>11</v>
      </c>
      <c r="G55" s="8" t="s">
        <v>12</v>
      </c>
      <c r="H55" s="8" t="s">
        <v>13</v>
      </c>
      <c r="I55" s="8" t="s">
        <v>14</v>
      </c>
      <c r="K55" s="5"/>
      <c r="L55" s="6"/>
      <c r="M55" s="8" t="s">
        <v>11</v>
      </c>
      <c r="N55" s="8" t="s">
        <v>12</v>
      </c>
      <c r="O55" s="8" t="s">
        <v>13</v>
      </c>
      <c r="P55" s="8" t="s">
        <v>14</v>
      </c>
    </row>
    <row r="56" spans="4:16" customFormat="1" ht="15">
      <c r="D56" s="25" t="s">
        <v>40</v>
      </c>
      <c r="E56" s="38">
        <f>E44</f>
        <v>1793.3484530000001</v>
      </c>
      <c r="F56" s="38">
        <f>E44-F44</f>
        <v>503.58784100000003</v>
      </c>
      <c r="G56" s="38">
        <f>E44-H44</f>
        <v>521.44721100000015</v>
      </c>
      <c r="H56" s="38">
        <f>E44-K44</f>
        <v>305.96530800000005</v>
      </c>
      <c r="I56" s="38">
        <f>E44-P44</f>
        <v>42.443827000000056</v>
      </c>
      <c r="K56" s="5"/>
      <c r="L56" s="25" t="s">
        <v>40</v>
      </c>
      <c r="M56" s="40">
        <f t="shared" ref="M56:M63" si="2">F56/F44*100</f>
        <v>39.045062805810041</v>
      </c>
      <c r="N56" s="40">
        <f t="shared" ref="N56:N63" si="3">G56/H44*100</f>
        <v>40.997460634604856</v>
      </c>
      <c r="O56" s="40">
        <f t="shared" ref="O56:O63" si="4">H56/K44*100</f>
        <v>20.570712329807936</v>
      </c>
      <c r="P56" s="40">
        <f t="shared" ref="P56:P63" si="5">I56/P44*100</f>
        <v>2.4241084505536086</v>
      </c>
    </row>
    <row r="57" spans="4:16" customFormat="1" ht="15">
      <c r="D57" s="25" t="s">
        <v>41</v>
      </c>
      <c r="E57" s="38">
        <f t="shared" ref="E57:E63" si="6">E45</f>
        <v>113.02186399999999</v>
      </c>
      <c r="F57" s="38">
        <f t="shared" ref="F57:F63" si="7">E45-F45</f>
        <v>-38.241669999999999</v>
      </c>
      <c r="G57" s="38">
        <f t="shared" ref="G57:G62" si="8">E45-H45</f>
        <v>-13.598681000000013</v>
      </c>
      <c r="H57" s="38">
        <f t="shared" ref="H57:H62" si="9">E45-K45</f>
        <v>-42.985003000000006</v>
      </c>
      <c r="I57" s="38">
        <f t="shared" ref="I57:I62" si="10">E45-P45</f>
        <v>-52.872866000000016</v>
      </c>
      <c r="K57" s="5"/>
      <c r="L57" s="25" t="s">
        <v>41</v>
      </c>
      <c r="M57" s="40">
        <f t="shared" si="2"/>
        <v>-25.28148654784173</v>
      </c>
      <c r="N57" s="40">
        <f t="shared" si="3"/>
        <v>-10.73971131620071</v>
      </c>
      <c r="O57" s="40">
        <f t="shared" si="4"/>
        <v>-27.553276228539353</v>
      </c>
      <c r="P57" s="40">
        <f t="shared" si="5"/>
        <v>-31.871335514997984</v>
      </c>
    </row>
    <row r="58" spans="4:16" customFormat="1" ht="15">
      <c r="D58" s="25" t="s">
        <v>42</v>
      </c>
      <c r="E58" s="38">
        <f t="shared" si="6"/>
        <v>296.07000199999999</v>
      </c>
      <c r="F58" s="38">
        <f t="shared" si="7"/>
        <v>245.632383</v>
      </c>
      <c r="G58" s="38">
        <f t="shared" si="8"/>
        <v>261.45803100000001</v>
      </c>
      <c r="H58" s="38">
        <f t="shared" si="9"/>
        <v>-226.94698</v>
      </c>
      <c r="I58" s="38">
        <f t="shared" si="10"/>
        <v>38.918109000000015</v>
      </c>
      <c r="K58" s="5"/>
      <c r="L58" s="25" t="s">
        <v>42</v>
      </c>
      <c r="M58" s="40">
        <f t="shared" si="2"/>
        <v>487.00233649015036</v>
      </c>
      <c r="N58" s="40">
        <f t="shared" si="3"/>
        <v>755.39769462998811</v>
      </c>
      <c r="O58" s="40">
        <f t="shared" si="4"/>
        <v>-43.391895064699831</v>
      </c>
      <c r="P58" s="40">
        <f t="shared" si="5"/>
        <v>15.134288356181777</v>
      </c>
    </row>
    <row r="59" spans="4:16" customFormat="1" ht="15">
      <c r="D59" s="25" t="s">
        <v>36</v>
      </c>
      <c r="E59" s="38">
        <f t="shared" si="6"/>
        <v>1454.471487</v>
      </c>
      <c r="F59" s="38">
        <f t="shared" si="7"/>
        <v>122.06454099999996</v>
      </c>
      <c r="G59" s="38">
        <f t="shared" si="8"/>
        <v>322.07749100000001</v>
      </c>
      <c r="H59" s="38">
        <f t="shared" si="9"/>
        <v>444.06059100000004</v>
      </c>
      <c r="I59" s="38">
        <f t="shared" si="10"/>
        <v>92.15896900000007</v>
      </c>
      <c r="K59" s="5"/>
      <c r="L59" s="25" t="s">
        <v>36</v>
      </c>
      <c r="M59" s="40">
        <f t="shared" si="2"/>
        <v>9.1612056936845132</v>
      </c>
      <c r="N59" s="40">
        <f t="shared" si="3"/>
        <v>28.442175791967024</v>
      </c>
      <c r="O59" s="40">
        <f t="shared" si="4"/>
        <v>43.948515673963996</v>
      </c>
      <c r="P59" s="40">
        <f t="shared" si="5"/>
        <v>6.7648918865766499</v>
      </c>
    </row>
    <row r="60" spans="4:16" customFormat="1" ht="15">
      <c r="D60" s="25" t="s">
        <v>37</v>
      </c>
      <c r="E60" s="38">
        <f t="shared" si="6"/>
        <v>2196.9096650000001</v>
      </c>
      <c r="F60" s="38">
        <f t="shared" si="7"/>
        <v>310.19201900000007</v>
      </c>
      <c r="G60" s="38">
        <f t="shared" si="8"/>
        <v>524.98673900000017</v>
      </c>
      <c r="H60" s="38">
        <f t="shared" si="9"/>
        <v>127.8574050000002</v>
      </c>
      <c r="I60" s="38">
        <f t="shared" si="10"/>
        <v>226.57303300000012</v>
      </c>
      <c r="K60" s="5"/>
      <c r="L60" s="25" t="s">
        <v>37</v>
      </c>
      <c r="M60" s="40">
        <f t="shared" si="2"/>
        <v>16.440828846734604</v>
      </c>
      <c r="N60" s="40">
        <f t="shared" si="3"/>
        <v>31.400175859541996</v>
      </c>
      <c r="O60" s="40">
        <f t="shared" si="4"/>
        <v>6.1795154946932174</v>
      </c>
      <c r="P60" s="40">
        <f t="shared" si="5"/>
        <v>11.499204213140779</v>
      </c>
    </row>
    <row r="61" spans="4:16" customFormat="1" ht="15">
      <c r="D61" s="25" t="s">
        <v>38</v>
      </c>
      <c r="E61" s="38">
        <f t="shared" si="6"/>
        <v>887.471181</v>
      </c>
      <c r="F61" s="38">
        <f t="shared" si="7"/>
        <v>104.85972400000003</v>
      </c>
      <c r="G61" s="38">
        <f t="shared" si="8"/>
        <v>201.66889700000002</v>
      </c>
      <c r="H61" s="38">
        <f t="shared" si="9"/>
        <v>-110.42395599999998</v>
      </c>
      <c r="I61" s="38">
        <f t="shared" si="10"/>
        <v>-61.076324</v>
      </c>
      <c r="K61" s="5"/>
      <c r="L61" s="25" t="s">
        <v>38</v>
      </c>
      <c r="M61" s="40">
        <f t="shared" si="2"/>
        <v>13.39869523530372</v>
      </c>
      <c r="N61" s="40">
        <f t="shared" si="3"/>
        <v>29.40627374755142</v>
      </c>
      <c r="O61" s="40">
        <f t="shared" si="4"/>
        <v>-11.065687355884968</v>
      </c>
      <c r="P61" s="40">
        <f t="shared" si="5"/>
        <v>-6.4389314903105452</v>
      </c>
    </row>
    <row r="62" spans="4:16" customFormat="1" ht="15">
      <c r="D62" s="25" t="s">
        <v>39</v>
      </c>
      <c r="E62" s="38">
        <f t="shared" si="6"/>
        <v>565.85760000000005</v>
      </c>
      <c r="F62" s="38">
        <f t="shared" si="7"/>
        <v>121.87064900000007</v>
      </c>
      <c r="G62" s="38">
        <f t="shared" si="8"/>
        <v>166.84479400000004</v>
      </c>
      <c r="H62" s="38">
        <f t="shared" si="9"/>
        <v>-57.026108999999906</v>
      </c>
      <c r="I62" s="38">
        <f t="shared" si="10"/>
        <v>-49.439962999999921</v>
      </c>
      <c r="K62" s="5"/>
      <c r="L62" s="25" t="s">
        <v>39</v>
      </c>
      <c r="M62" s="40">
        <f t="shared" si="2"/>
        <v>27.449151090028334</v>
      </c>
      <c r="N62" s="40">
        <f t="shared" si="3"/>
        <v>41.814395801622474</v>
      </c>
      <c r="O62" s="40">
        <f t="shared" si="4"/>
        <v>-9.1551774714981207</v>
      </c>
      <c r="P62" s="40">
        <f t="shared" si="5"/>
        <v>-8.0351306380844427</v>
      </c>
    </row>
    <row r="63" spans="4:16" customFormat="1" ht="15">
      <c r="D63" s="25" t="s">
        <v>45</v>
      </c>
      <c r="E63" s="38">
        <f t="shared" si="6"/>
        <v>427.28330699999998</v>
      </c>
      <c r="F63" s="38">
        <f t="shared" si="7"/>
        <v>33.106139999999982</v>
      </c>
      <c r="G63" s="38">
        <f t="shared" ref="G63" si="11">E51-H51</f>
        <v>62.789961000000005</v>
      </c>
      <c r="H63" s="38">
        <f t="shared" ref="H63" si="12">E51-K51</f>
        <v>-276.433156</v>
      </c>
      <c r="I63" s="38">
        <f t="shared" ref="I63" si="13">E51-P51</f>
        <v>215.85247199999998</v>
      </c>
      <c r="K63" s="5"/>
      <c r="L63" s="25" t="s">
        <v>45</v>
      </c>
      <c r="M63" s="40">
        <f t="shared" si="2"/>
        <v>8.3987969805465639</v>
      </c>
      <c r="N63" s="40">
        <f t="shared" si="3"/>
        <v>17.22664122378794</v>
      </c>
      <c r="O63" s="40">
        <f t="shared" si="4"/>
        <v>-39.281894134115205</v>
      </c>
      <c r="P63" s="40">
        <f t="shared" si="5"/>
        <v>102.09129240775121</v>
      </c>
    </row>
    <row r="64" spans="4:16" customFormat="1" ht="15">
      <c r="D64" s="28" t="s">
        <v>32</v>
      </c>
      <c r="E64" s="39">
        <f>SUM(E56:E63)</f>
        <v>7734.4335590000001</v>
      </c>
      <c r="F64" s="39">
        <f t="shared" ref="F64:I64" si="14">SUM(F56:F63)</f>
        <v>1403.0716269999998</v>
      </c>
      <c r="G64" s="39">
        <f t="shared" si="14"/>
        <v>2047.6744430000003</v>
      </c>
      <c r="H64" s="39">
        <f t="shared" si="14"/>
        <v>164.06810000000036</v>
      </c>
      <c r="I64" s="39">
        <f t="shared" si="14"/>
        <v>452.55725700000033</v>
      </c>
      <c r="K64" s="5"/>
      <c r="L64" s="28" t="s">
        <v>32</v>
      </c>
      <c r="M64" s="41">
        <f t="shared" ref="M64" si="15">F64/F52*100</f>
        <v>22.160660566703484</v>
      </c>
      <c r="N64" s="41">
        <f t="shared" ref="N64" si="16">G64/H52*100</f>
        <v>36.007757691701045</v>
      </c>
      <c r="O64" s="41">
        <f t="shared" ref="O64" si="17">H64/K52*100</f>
        <v>2.1672414745175694</v>
      </c>
      <c r="P64" s="41">
        <f t="shared" ref="P64" si="18">I64/P52*100</f>
        <v>6.2148440625900703</v>
      </c>
    </row>
    <row r="65" customFormat="1" ht="15"/>
    <row r="66" customFormat="1" ht="15"/>
    <row r="67" customFormat="1" ht="15"/>
    <row r="68" customFormat="1" ht="15"/>
    <row r="69" customFormat="1" ht="15"/>
    <row r="70" customFormat="1" ht="15"/>
    <row r="94" spans="16:17">
      <c r="P94" s="12" t="s">
        <v>10</v>
      </c>
      <c r="Q94" s="13" t="s">
        <v>6</v>
      </c>
    </row>
    <row r="95" spans="16:17">
      <c r="Q95" s="13" t="s">
        <v>7</v>
      </c>
    </row>
    <row r="96" spans="16:17">
      <c r="Q96" s="13" t="s">
        <v>8</v>
      </c>
    </row>
    <row r="97" spans="17:17">
      <c r="Q97" s="14" t="s">
        <v>9</v>
      </c>
    </row>
  </sheetData>
  <conditionalFormatting sqref="E56:I64 M56:P64">
    <cfRule type="cellIs" dxfId="66" priority="1" operator="lessThan">
      <formula>0</formula>
    </cfRule>
  </conditionalFormatting>
  <hyperlinks>
    <hyperlink ref="Q94" r:id="rId1" location="closeModal"/>
    <hyperlink ref="Q95" r:id="rId2"/>
    <hyperlink ref="Q97" r:id="rId3"/>
    <hyperlink ref="Q96" r:id="rId4" location="key-benefits"/>
  </hyperlinks>
  <pageMargins left="0.25" right="0.25" top="0.255" bottom="0.25" header="0.1" footer="0.1"/>
  <pageSetup scale="66" orientation="landscape" horizontalDpi="300" verticalDpi="300" r:id="rId5"/>
  <headerFooter scaleWithDoc="0">
    <oddHeader>&amp;L&amp;G&amp;C&amp;"-,Bold"&amp;10&amp;K2E398A
&amp;15Trends In Specified Pool Issuance - FNMA&amp;R&amp;"-,Bold"&amp;10&amp;K2E398A
As of 07/23/2015</oddHeader>
    <oddFooter>&amp;L&amp;10&amp;K2E398AReport created on &amp;D &amp;T&amp;C&amp;G
&amp;8&amp;K2E398APage &amp;P of &amp;N</oddFooter>
  </headerFooter>
  <colBreaks count="1" manualBreakCount="1">
    <brk id="18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W94"/>
  <sheetViews>
    <sheetView showGridLines="0" tabSelected="1" topLeftCell="B1" zoomScaleNormal="100" workbookViewId="0">
      <selection activeCell="F8" sqref="F8"/>
    </sheetView>
  </sheetViews>
  <sheetFormatPr defaultRowHeight="12.75"/>
  <cols>
    <col min="1" max="1" width="9.140625" style="5" customWidth="1"/>
    <col min="2" max="2" width="9.140625" style="5"/>
    <col min="3" max="3" width="11.28515625" style="5" customWidth="1"/>
    <col min="4" max="16" width="13.7109375" style="5" customWidth="1"/>
    <col min="17" max="17" width="12.5703125" style="5" customWidth="1"/>
    <col min="18" max="18" width="11.28515625" style="5" customWidth="1"/>
    <col min="19" max="19" width="9.140625" style="5"/>
    <col min="20" max="20" width="14.140625" style="5" customWidth="1"/>
    <col min="21" max="21" width="40.85546875" style="5" bestFit="1" customWidth="1"/>
    <col min="22" max="22" width="14.85546875" style="5" bestFit="1" customWidth="1"/>
    <col min="23" max="16384" width="9.140625" style="5"/>
  </cols>
  <sheetData>
    <row r="1" spans="3:23">
      <c r="T1" s="1" t="s">
        <v>0</v>
      </c>
      <c r="U1" s="2" t="s">
        <v>1</v>
      </c>
      <c r="V1" s="5" t="s">
        <v>2</v>
      </c>
      <c r="W1" s="2" t="s">
        <v>3</v>
      </c>
    </row>
    <row r="2" spans="3:23">
      <c r="T2" s="1" t="s">
        <v>4</v>
      </c>
      <c r="U2" s="3">
        <v>42208</v>
      </c>
    </row>
    <row r="3" spans="3:23">
      <c r="T3" s="1" t="s">
        <v>17</v>
      </c>
      <c r="U3" s="17" t="s">
        <v>18</v>
      </c>
    </row>
    <row r="4" spans="3:23">
      <c r="T4" s="1" t="s">
        <v>5</v>
      </c>
      <c r="U4" s="17" t="str">
        <f>PDFReportDir&amp;"Specified Pool " &amp; TEXT(CurrentCloseDate, "yyyy-mm-dd") &amp; ".pdf"</f>
        <v>S:\IT\Production\Daily Reports\Primary Market\tmp\Specified Pool 2015-07-23.pdf</v>
      </c>
    </row>
    <row r="5" spans="3:23">
      <c r="T5" s="9"/>
    </row>
    <row r="6" spans="3:23">
      <c r="T6" s="9"/>
    </row>
    <row r="9" spans="3:23" s="10" customFormat="1">
      <c r="C9" s="5"/>
      <c r="D9" s="5"/>
      <c r="E9" s="5"/>
      <c r="F9" s="5"/>
      <c r="G9" s="5"/>
      <c r="H9" s="5"/>
      <c r="I9" s="5"/>
      <c r="J9" s="5"/>
      <c r="K9" s="5"/>
      <c r="L9" s="5"/>
      <c r="M9" s="5"/>
      <c r="Q9" s="5"/>
      <c r="R9" s="5"/>
      <c r="T9" s="10" t="s">
        <v>15</v>
      </c>
      <c r="U9" s="15">
        <f>IF(DAY(CurrentCloseDate)&lt;31,(CurrentCloseDate-DAY(CurrentCloseDate))-DAY((CurrentCloseDate-DAY(CurrentCloseDate)))+1,CurrentCloseDate-DAY(CurrentCloseDate)+1)</f>
        <v>42156</v>
      </c>
    </row>
    <row r="10" spans="3:23" s="11" customFormat="1"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Q10" s="5"/>
      <c r="R10" s="5"/>
      <c r="T10" s="11" t="s">
        <v>16</v>
      </c>
      <c r="U10" s="16">
        <f>(U9-1)-DAY((U9-1))+1</f>
        <v>42125</v>
      </c>
    </row>
    <row r="11" spans="3:23" s="11" customFormat="1"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Q11" s="5"/>
      <c r="R11" s="5"/>
      <c r="U11" s="15">
        <f>IF(DAY(CurrentCloseDate)&lt;31,(CurrentCloseDate-DAY(CurrentCloseDate))-DAY((CurrentCloseDate-DAY(CurrentCloseDate)))+1,CurrentCloseDate-DAY(CurrentCloseDate)+1)</f>
        <v>42156</v>
      </c>
    </row>
    <row r="12" spans="3:23" s="11" customForma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Q12" s="5"/>
      <c r="R12" s="5"/>
      <c r="U12" s="16"/>
    </row>
    <row r="13" spans="3:23" s="11" customFormat="1"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Q13" s="5"/>
      <c r="R13" s="5"/>
    </row>
    <row r="14" spans="3:23" s="11" customFormat="1"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Q14" s="5"/>
      <c r="R14" s="5"/>
    </row>
    <row r="15" spans="3:23" s="11" customFormat="1"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Q15" s="5"/>
      <c r="R15" s="5"/>
    </row>
    <row r="16" spans="3:23" s="11" customFormat="1"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Q16" s="5"/>
      <c r="R16" s="5"/>
    </row>
    <row r="17" spans="3:18" s="11" customFormat="1"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Q17" s="5"/>
      <c r="R17" s="5"/>
    </row>
    <row r="18" spans="3:18" s="11" customFormat="1"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Q18" s="5"/>
      <c r="R18" s="5"/>
    </row>
    <row r="19" spans="3:18" s="11" customFormat="1"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Q19" s="5"/>
      <c r="R19" s="5"/>
    </row>
    <row r="20" spans="3:18" s="11" customForma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Q20" s="5"/>
      <c r="R20" s="5"/>
    </row>
    <row r="21" spans="3:18" s="11" customFormat="1"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Q21" s="5"/>
      <c r="R21" s="5"/>
    </row>
    <row r="43" spans="4:16" ht="15">
      <c r="D43" s="4" t="s">
        <v>33</v>
      </c>
      <c r="O43" s="45" t="s">
        <v>46</v>
      </c>
      <c r="P43" s="42">
        <f>E44</f>
        <v>42156</v>
      </c>
    </row>
    <row r="44" spans="4:16">
      <c r="D44" s="20"/>
      <c r="E44" s="21">
        <f>Historical!D3</f>
        <v>42156</v>
      </c>
      <c r="F44" s="21">
        <f>E44-DAY(E44-1)</f>
        <v>42125</v>
      </c>
      <c r="G44" s="21">
        <f t="shared" ref="G44:P44" si="0">F44-DAY(F44-1)</f>
        <v>42095</v>
      </c>
      <c r="H44" s="21">
        <f t="shared" si="0"/>
        <v>42064</v>
      </c>
      <c r="I44" s="21">
        <f t="shared" si="0"/>
        <v>42036</v>
      </c>
      <c r="J44" s="21">
        <f t="shared" si="0"/>
        <v>42005</v>
      </c>
      <c r="K44" s="21">
        <f t="shared" si="0"/>
        <v>41974</v>
      </c>
      <c r="L44" s="21">
        <f t="shared" si="0"/>
        <v>41944</v>
      </c>
      <c r="M44" s="21">
        <f t="shared" si="0"/>
        <v>41913</v>
      </c>
      <c r="N44" s="21">
        <f t="shared" si="0"/>
        <v>41883</v>
      </c>
      <c r="O44" s="21">
        <f t="shared" si="0"/>
        <v>41852</v>
      </c>
      <c r="P44" s="21">
        <f t="shared" si="0"/>
        <v>41821</v>
      </c>
    </row>
    <row r="45" spans="4:16">
      <c r="D45" s="25" t="s">
        <v>31</v>
      </c>
      <c r="E45" s="38">
        <f>Historical!D4</f>
        <v>1612.948251</v>
      </c>
      <c r="F45" s="38">
        <f>Historical!E4</f>
        <v>778.540166</v>
      </c>
      <c r="G45" s="38">
        <f>Historical!F4</f>
        <v>1093.740959</v>
      </c>
      <c r="H45" s="38">
        <f>Historical!G4</f>
        <v>1012.026911</v>
      </c>
      <c r="I45" s="38">
        <f>Historical!H4</f>
        <v>821.12825999999995</v>
      </c>
      <c r="J45" s="38">
        <f>Historical!I4</f>
        <v>667.43471099999999</v>
      </c>
      <c r="K45" s="38">
        <f>Historical!J4</f>
        <v>771.02875400000005</v>
      </c>
      <c r="L45" s="38">
        <f>Historical!K4</f>
        <v>549.34720200000004</v>
      </c>
      <c r="M45" s="38">
        <f>Historical!L4</f>
        <v>639.00119299999994</v>
      </c>
      <c r="N45" s="38">
        <f>Historical!M4</f>
        <v>746.26410499999997</v>
      </c>
      <c r="O45" s="38">
        <f>Historical!N4</f>
        <v>449.79729500000002</v>
      </c>
      <c r="P45" s="38">
        <f>Historical!O4</f>
        <v>562.39022199999999</v>
      </c>
    </row>
    <row r="46" spans="4:16">
      <c r="D46" s="25" t="s">
        <v>29</v>
      </c>
      <c r="E46" s="38">
        <f>Historical!D5</f>
        <v>117.29169</v>
      </c>
      <c r="F46" s="38">
        <f>Historical!E5</f>
        <v>113.644778</v>
      </c>
      <c r="G46" s="38">
        <f>Historical!F5</f>
        <v>131.35829799999999</v>
      </c>
      <c r="H46" s="38">
        <f>Historical!G5</f>
        <v>104.94694200000001</v>
      </c>
      <c r="I46" s="38">
        <f>Historical!H5</f>
        <v>469.33425699999998</v>
      </c>
      <c r="J46" s="38">
        <f>Historical!I5</f>
        <v>120.675652</v>
      </c>
      <c r="K46" s="38">
        <f>Historical!J5</f>
        <v>145.992266</v>
      </c>
      <c r="L46" s="38">
        <f>Historical!K5</f>
        <v>371.096</v>
      </c>
      <c r="M46" s="38">
        <f>Historical!L5</f>
        <v>169.36623800000001</v>
      </c>
      <c r="N46" s="38">
        <f>Historical!M5</f>
        <v>187.30827199999999</v>
      </c>
      <c r="O46" s="38">
        <f>Historical!N5</f>
        <v>346.55488800000001</v>
      </c>
      <c r="P46" s="38">
        <f>Historical!O5</f>
        <v>206.48126400000001</v>
      </c>
    </row>
    <row r="47" spans="4:16">
      <c r="D47" s="25" t="s">
        <v>30</v>
      </c>
      <c r="E47" s="38">
        <f>Historical!D6</f>
        <v>135.27188799999999</v>
      </c>
      <c r="F47" s="38">
        <f>Historical!E6</f>
        <v>431.918408</v>
      </c>
      <c r="G47" s="38">
        <f>Historical!F6</f>
        <v>219.44923900000001</v>
      </c>
      <c r="H47" s="38">
        <f>Historical!G6</f>
        <v>155.15015299999999</v>
      </c>
      <c r="I47" s="38">
        <f>Historical!H6</f>
        <v>127.31100600000001</v>
      </c>
      <c r="J47" s="38">
        <f>Historical!I6</f>
        <v>143.09628699999999</v>
      </c>
      <c r="K47" s="38">
        <f>Historical!J6</f>
        <v>1261.524465</v>
      </c>
      <c r="L47" s="38">
        <f>Historical!K6</f>
        <v>230.86616900000001</v>
      </c>
      <c r="M47" s="38">
        <f>Historical!L6</f>
        <v>385.88183400000003</v>
      </c>
      <c r="N47" s="38">
        <f>Historical!M6</f>
        <v>120.74541600000001</v>
      </c>
      <c r="O47" s="38">
        <f>Historical!N6</f>
        <v>330.91150199999998</v>
      </c>
      <c r="P47" s="38">
        <f>Historical!O6</f>
        <v>174.92783399999999</v>
      </c>
    </row>
    <row r="48" spans="4:16">
      <c r="D48" s="28" t="s">
        <v>32</v>
      </c>
      <c r="E48" s="39">
        <f>SUM(E45:E47)</f>
        <v>1865.511829</v>
      </c>
      <c r="F48" s="39">
        <f t="shared" ref="F48:P48" si="1">SUM(F45:F47)</f>
        <v>1324.1033520000001</v>
      </c>
      <c r="G48" s="39">
        <f t="shared" si="1"/>
        <v>1444.5484959999999</v>
      </c>
      <c r="H48" s="39">
        <f t="shared" si="1"/>
        <v>1272.124006</v>
      </c>
      <c r="I48" s="39">
        <f t="shared" si="1"/>
        <v>1417.7735229999998</v>
      </c>
      <c r="J48" s="39">
        <f t="shared" si="1"/>
        <v>931.20664999999997</v>
      </c>
      <c r="K48" s="39">
        <f t="shared" si="1"/>
        <v>2178.5454850000001</v>
      </c>
      <c r="L48" s="39">
        <f t="shared" si="1"/>
        <v>1151.3093710000001</v>
      </c>
      <c r="M48" s="39">
        <f t="shared" si="1"/>
        <v>1194.2492649999999</v>
      </c>
      <c r="N48" s="39">
        <f t="shared" si="1"/>
        <v>1054.3177929999999</v>
      </c>
      <c r="O48" s="39">
        <f t="shared" si="1"/>
        <v>1127.2636849999999</v>
      </c>
      <c r="P48" s="39">
        <f t="shared" si="1"/>
        <v>943.79931999999997</v>
      </c>
    </row>
    <row r="49" spans="4:16">
      <c r="D49" s="29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</row>
    <row r="50" spans="4:16">
      <c r="D50" s="29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</row>
    <row r="51" spans="4:16">
      <c r="D51" s="3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</row>
    <row r="52" spans="4:16" ht="15">
      <c r="D52" s="4" t="s">
        <v>34</v>
      </c>
      <c r="L52" s="4" t="s">
        <v>44</v>
      </c>
    </row>
    <row r="53" spans="4:16" customFormat="1" ht="15">
      <c r="D53" s="6"/>
      <c r="E53" s="7" t="str">
        <f>TEXT(E44,"mm/yyyy")&amp;" Balance"</f>
        <v>06/2015 Balance</v>
      </c>
      <c r="F53" s="8" t="s">
        <v>11</v>
      </c>
      <c r="G53" s="8" t="s">
        <v>12</v>
      </c>
      <c r="H53" s="8" t="s">
        <v>13</v>
      </c>
      <c r="I53" s="8" t="s">
        <v>14</v>
      </c>
      <c r="K53" s="5"/>
      <c r="L53" s="6"/>
      <c r="M53" s="8" t="s">
        <v>11</v>
      </c>
      <c r="N53" s="8" t="s">
        <v>12</v>
      </c>
      <c r="O53" s="8" t="s">
        <v>13</v>
      </c>
      <c r="P53" s="8" t="s">
        <v>14</v>
      </c>
    </row>
    <row r="54" spans="4:16" customFormat="1" ht="15">
      <c r="D54" s="25" t="s">
        <v>31</v>
      </c>
      <c r="E54" s="38">
        <f>E45</f>
        <v>1612.948251</v>
      </c>
      <c r="F54" s="38">
        <f>E45-F45</f>
        <v>834.40808500000003</v>
      </c>
      <c r="G54" s="38">
        <f>E45-H45</f>
        <v>600.92133999999999</v>
      </c>
      <c r="H54" s="38">
        <f>E45-K45</f>
        <v>841.91949699999998</v>
      </c>
      <c r="I54" s="38">
        <f>E45-P45</f>
        <v>1050.558029</v>
      </c>
      <c r="K54" s="5"/>
      <c r="L54" s="25" t="s">
        <v>31</v>
      </c>
      <c r="M54" s="38">
        <f>F54/F45*100</f>
        <v>107.17598416110492</v>
      </c>
      <c r="N54" s="38">
        <f>G54/H45*100</f>
        <v>59.378000077707412</v>
      </c>
      <c r="O54" s="38">
        <f>H54/K45*100</f>
        <v>109.19430600120003</v>
      </c>
      <c r="P54" s="38">
        <f>I54/P45*100</f>
        <v>186.80232833066577</v>
      </c>
    </row>
    <row r="55" spans="4:16" customFormat="1" ht="15">
      <c r="D55" s="25" t="s">
        <v>29</v>
      </c>
      <c r="E55" s="38">
        <f>E46</f>
        <v>117.29169</v>
      </c>
      <c r="F55" s="38">
        <f>E46-F46</f>
        <v>3.6469120000000004</v>
      </c>
      <c r="G55" s="38">
        <f>E46-H46</f>
        <v>12.344747999999996</v>
      </c>
      <c r="H55" s="38">
        <f>E46-K46</f>
        <v>-28.700575999999998</v>
      </c>
      <c r="I55" s="38">
        <f>E46-P46</f>
        <v>-89.189574000000007</v>
      </c>
      <c r="K55" s="5"/>
      <c r="L55" s="25" t="s">
        <v>29</v>
      </c>
      <c r="M55" s="38">
        <f t="shared" ref="M55:M56" si="2">F55/F46*100</f>
        <v>3.2090449417746232</v>
      </c>
      <c r="N55" s="38">
        <f t="shared" ref="N55:N56" si="3">G55/H46*100</f>
        <v>11.76284679166735</v>
      </c>
      <c r="O55" s="38">
        <f t="shared" ref="O55:O56" si="4">H55/K46*100</f>
        <v>-19.658970153939524</v>
      </c>
      <c r="P55" s="38">
        <f t="shared" ref="P55:P56" si="5">I55/P46*100</f>
        <v>-43.1949961329179</v>
      </c>
    </row>
    <row r="56" spans="4:16" customFormat="1" ht="15">
      <c r="D56" s="25" t="s">
        <v>30</v>
      </c>
      <c r="E56" s="38">
        <f>E47</f>
        <v>135.27188799999999</v>
      </c>
      <c r="F56" s="38">
        <f>E47-F47</f>
        <v>-296.64652000000001</v>
      </c>
      <c r="G56" s="38">
        <f>E47-H47</f>
        <v>-19.878264999999999</v>
      </c>
      <c r="H56" s="38">
        <f>E47-K47</f>
        <v>-1126.252577</v>
      </c>
      <c r="I56" s="38">
        <f>E47-P47</f>
        <v>-39.655946</v>
      </c>
      <c r="K56" s="5"/>
      <c r="L56" s="25" t="s">
        <v>30</v>
      </c>
      <c r="M56" s="38">
        <f t="shared" si="2"/>
        <v>-68.681147759740767</v>
      </c>
      <c r="N56" s="38">
        <f t="shared" si="3"/>
        <v>-12.812275473553674</v>
      </c>
      <c r="O56" s="38">
        <f t="shared" si="4"/>
        <v>-89.277109421734451</v>
      </c>
      <c r="P56" s="38">
        <f t="shared" si="5"/>
        <v>-22.669889115530921</v>
      </c>
    </row>
    <row r="57" spans="4:16" customFormat="1" ht="15">
      <c r="D57" s="28" t="s">
        <v>32</v>
      </c>
      <c r="E57" s="39">
        <f>SUM(E54:E56)</f>
        <v>1865.511829</v>
      </c>
      <c r="F57" s="39">
        <f t="shared" ref="F57" si="6">SUM(F54:F56)</f>
        <v>541.40847700000006</v>
      </c>
      <c r="G57" s="39">
        <f t="shared" ref="G57" si="7">SUM(G54:G56)</f>
        <v>593.38782300000003</v>
      </c>
      <c r="H57" s="39">
        <f t="shared" ref="H57" si="8">SUM(H54:H56)</f>
        <v>-313.03365599999995</v>
      </c>
      <c r="I57" s="39">
        <f t="shared" ref="I57" si="9">SUM(I54:I56)</f>
        <v>921.71250900000007</v>
      </c>
      <c r="L57" s="28" t="s">
        <v>32</v>
      </c>
      <c r="M57" s="39">
        <f t="shared" ref="M57" si="10">F57/F48*100</f>
        <v>40.888687139280051</v>
      </c>
      <c r="N57" s="39">
        <f t="shared" ref="N57" si="11">G57/H48*100</f>
        <v>46.645438668028724</v>
      </c>
      <c r="O57" s="39">
        <f t="shared" ref="O57" si="12">H57/K48*100</f>
        <v>-14.368929093073305</v>
      </c>
      <c r="P57" s="39">
        <f t="shared" ref="P57" si="13">I57/P48*100</f>
        <v>97.659797953658213</v>
      </c>
    </row>
    <row r="58" spans="4:16" customFormat="1" ht="15"/>
    <row r="59" spans="4:16" customFormat="1" ht="15"/>
    <row r="60" spans="4:16" customFormat="1" ht="15"/>
    <row r="61" spans="4:16" customFormat="1" ht="15"/>
    <row r="62" spans="4:16" customFormat="1" ht="15"/>
    <row r="63" spans="4:16" customFormat="1" ht="15"/>
    <row r="64" spans="4:16" customFormat="1" ht="15"/>
    <row r="65" customFormat="1" ht="15"/>
    <row r="66" customFormat="1" ht="15"/>
    <row r="67" customFormat="1" ht="15"/>
    <row r="91" spans="16:17">
      <c r="P91" s="12" t="s">
        <v>10</v>
      </c>
      <c r="Q91" s="13" t="s">
        <v>6</v>
      </c>
    </row>
    <row r="92" spans="16:17">
      <c r="Q92" s="13" t="s">
        <v>7</v>
      </c>
    </row>
    <row r="93" spans="16:17">
      <c r="Q93" s="13" t="s">
        <v>8</v>
      </c>
    </row>
    <row r="94" spans="16:17">
      <c r="Q94" s="14" t="s">
        <v>9</v>
      </c>
    </row>
  </sheetData>
  <conditionalFormatting sqref="E54:I57">
    <cfRule type="cellIs" dxfId="65" priority="2" operator="lessThan">
      <formula>0</formula>
    </cfRule>
  </conditionalFormatting>
  <conditionalFormatting sqref="M54:P57">
    <cfRule type="cellIs" dxfId="64" priority="1" operator="lessThan">
      <formula>0</formula>
    </cfRule>
  </conditionalFormatting>
  <dataValidations disablePrompts="1" count="2">
    <dataValidation type="list" allowBlank="1" showInputMessage="1" showErrorMessage="1" sqref="W1">
      <formula1>"Yes, No"</formula1>
    </dataValidation>
    <dataValidation type="list" allowBlank="1" showInputMessage="1" showErrorMessage="1" sqref="U1">
      <formula1>"PROD, DEV"</formula1>
    </dataValidation>
  </dataValidations>
  <hyperlinks>
    <hyperlink ref="Q91" r:id="rId1" location="closeModal"/>
    <hyperlink ref="Q92" r:id="rId2"/>
    <hyperlink ref="Q94" r:id="rId3"/>
    <hyperlink ref="Q93" r:id="rId4" location="key-benefits"/>
  </hyperlinks>
  <pageMargins left="0.25" right="0.25" top="0.255" bottom="0.25" header="0.1" footer="0.1"/>
  <pageSetup scale="66" orientation="landscape" horizontalDpi="1200" verticalDpi="1200" r:id="rId5"/>
  <headerFooter scaleWithDoc="0">
    <oddHeader>&amp;L&amp;G&amp;C&amp;"-,Bold"&amp;10&amp;K2E398A
&amp;15Trends In Specified Pool Issuance - FNMA&amp;R&amp;"-,Bold"&amp;10&amp;K2E398A
As of 07/23/2015</oddHeader>
    <oddFooter>&amp;L&amp;10&amp;K2E398AReport created on &amp;D &amp;T&amp;C&amp;G
&amp;8&amp;K2E398APage &amp;P of &amp;N</oddFooter>
  </headerFooter>
  <colBreaks count="1" manualBreakCount="1">
    <brk id="18" max="1048575" man="1"/>
  </colBreaks>
  <drawing r:id="rId6"/>
  <legacyDrawingHF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O19"/>
  <sheetViews>
    <sheetView workbookViewId="0">
      <selection activeCell="K25" sqref="K25"/>
    </sheetView>
  </sheetViews>
  <sheetFormatPr defaultRowHeight="15"/>
  <cols>
    <col min="3" max="3" width="12.7109375" bestFit="1" customWidth="1"/>
    <col min="4" max="4" width="15.85546875" bestFit="1" customWidth="1"/>
    <col min="7" max="9" width="9.7109375" bestFit="1" customWidth="1"/>
  </cols>
  <sheetData>
    <row r="3" spans="3:15">
      <c r="C3" s="20"/>
      <c r="D3" s="21">
        <f>Report!U9</f>
        <v>42156</v>
      </c>
      <c r="E3" s="21">
        <f>D3-DAY(D3-1)</f>
        <v>42125</v>
      </c>
      <c r="F3" s="21">
        <f t="shared" ref="F3:O3" si="0">E3-DAY(E3-1)</f>
        <v>42095</v>
      </c>
      <c r="G3" s="21">
        <f t="shared" si="0"/>
        <v>42064</v>
      </c>
      <c r="H3" s="21">
        <f t="shared" si="0"/>
        <v>42036</v>
      </c>
      <c r="I3" s="21">
        <f t="shared" si="0"/>
        <v>42005</v>
      </c>
      <c r="J3" s="21">
        <f t="shared" si="0"/>
        <v>41974</v>
      </c>
      <c r="K3" s="21">
        <f t="shared" si="0"/>
        <v>41944</v>
      </c>
      <c r="L3" s="21">
        <f t="shared" si="0"/>
        <v>41913</v>
      </c>
      <c r="M3" s="21">
        <f t="shared" si="0"/>
        <v>41883</v>
      </c>
      <c r="N3" s="21">
        <f t="shared" si="0"/>
        <v>41852</v>
      </c>
      <c r="O3" s="21">
        <f t="shared" si="0"/>
        <v>41821</v>
      </c>
    </row>
    <row r="4" spans="3:15">
      <c r="C4" s="22" t="s">
        <v>31</v>
      </c>
      <c r="D4" s="24">
        <f>VLOOKUP(D$3,CurrentMtgRatesDataTable826[[issueDate]:[CR]],3,0)/1000000</f>
        <v>1612.948251</v>
      </c>
      <c r="E4" s="24">
        <f>VLOOKUP(E$3,CurrentMtgRatesDataTable826[[issueDate]:[CR]],3,0)/1000000</f>
        <v>778.540166</v>
      </c>
      <c r="F4" s="24">
        <f>VLOOKUP(F$3,CurrentMtgRatesDataTable826[[issueDate]:[CR]],3,0)/1000000</f>
        <v>1093.740959</v>
      </c>
      <c r="G4" s="24">
        <f>VLOOKUP(G$3,CurrentMtgRatesDataTable826[[issueDate]:[CR]],3,0)/1000000</f>
        <v>1012.026911</v>
      </c>
      <c r="H4" s="24">
        <f>VLOOKUP(H$3,CurrentMtgRatesDataTable826[[issueDate]:[CR]],3,0)/1000000</f>
        <v>821.12825999999995</v>
      </c>
      <c r="I4" s="24">
        <f>VLOOKUP(I$3,CurrentMtgRatesDataTable826[[issueDate]:[CR]],3,0)/1000000</f>
        <v>667.43471099999999</v>
      </c>
      <c r="J4" s="24">
        <f>VLOOKUP(J$3,CurrentMtgRatesDataTable826[[issueDate]:[CR]],3,0)/1000000</f>
        <v>771.02875400000005</v>
      </c>
      <c r="K4" s="24">
        <f>VLOOKUP(K$3,CurrentMtgRatesDataTable826[[issueDate]:[CR]],3,0)/1000000</f>
        <v>549.34720200000004</v>
      </c>
      <c r="L4" s="24">
        <f>VLOOKUP(L$3,CurrentMtgRatesDataTable826[[issueDate]:[CR]],3,0)/1000000</f>
        <v>639.00119299999994</v>
      </c>
      <c r="M4" s="24">
        <f>VLOOKUP(M$3,CurrentMtgRatesDataTable826[[issueDate]:[CR]],3,0)/1000000</f>
        <v>746.26410499999997</v>
      </c>
      <c r="N4" s="24">
        <f>VLOOKUP(N$3,CurrentMtgRatesDataTable826[[issueDate]:[CR]],3,0)/1000000</f>
        <v>449.79729500000002</v>
      </c>
      <c r="O4" s="24">
        <f>VLOOKUP(O$3,CurrentMtgRatesDataTable826[[issueDate]:[CR]],3,0)/1000000</f>
        <v>562.39022199999999</v>
      </c>
    </row>
    <row r="5" spans="3:15">
      <c r="C5" s="22" t="s">
        <v>29</v>
      </c>
      <c r="D5" s="24">
        <f>VLOOKUP(D$3,CurrentMtgRatesDataTable826[[issueDate]:[CR]],4,0)/1000000</f>
        <v>117.29169</v>
      </c>
      <c r="E5" s="24">
        <f>VLOOKUP(E$3,CurrentMtgRatesDataTable826[[issueDate]:[CR]],4,0)/1000000</f>
        <v>113.644778</v>
      </c>
      <c r="F5" s="24">
        <f>VLOOKUP(F$3,CurrentMtgRatesDataTable826[[issueDate]:[CR]],4,0)/1000000</f>
        <v>131.35829799999999</v>
      </c>
      <c r="G5" s="24">
        <f>VLOOKUP(G$3,CurrentMtgRatesDataTable826[[issueDate]:[CR]],4,0)/1000000</f>
        <v>104.94694200000001</v>
      </c>
      <c r="H5" s="24">
        <f>VLOOKUP(H$3,CurrentMtgRatesDataTable826[[issueDate]:[CR]],4,0)/1000000</f>
        <v>469.33425699999998</v>
      </c>
      <c r="I5" s="24">
        <f>VLOOKUP(I$3,CurrentMtgRatesDataTable826[[issueDate]:[CR]],4,0)/1000000</f>
        <v>120.675652</v>
      </c>
      <c r="J5" s="24">
        <f>VLOOKUP(J$3,CurrentMtgRatesDataTable826[[issueDate]:[CR]],4,0)/1000000</f>
        <v>145.992266</v>
      </c>
      <c r="K5" s="24">
        <f>VLOOKUP(K$3,CurrentMtgRatesDataTable826[[issueDate]:[CR]],4,0)/1000000</f>
        <v>371.096</v>
      </c>
      <c r="L5" s="24">
        <f>VLOOKUP(L$3,CurrentMtgRatesDataTable826[[issueDate]:[CR]],4,0)/1000000</f>
        <v>169.36623800000001</v>
      </c>
      <c r="M5" s="24">
        <f>VLOOKUP(M$3,CurrentMtgRatesDataTable826[[issueDate]:[CR]],4,0)/1000000</f>
        <v>187.30827199999999</v>
      </c>
      <c r="N5" s="24">
        <f>VLOOKUP(N$3,CurrentMtgRatesDataTable826[[issueDate]:[CR]],4,0)/1000000</f>
        <v>346.55488800000001</v>
      </c>
      <c r="O5" s="24">
        <f>VLOOKUP(O$3,CurrentMtgRatesDataTable826[[issueDate]:[CR]],4,0)/1000000</f>
        <v>206.48126400000001</v>
      </c>
    </row>
    <row r="6" spans="3:15">
      <c r="C6" s="22" t="s">
        <v>30</v>
      </c>
      <c r="D6" s="24">
        <f>VLOOKUP(D$3,CurrentMtgRatesDataTable826[[issueDate]:[CR]],5,0)/1000000</f>
        <v>135.27188799999999</v>
      </c>
      <c r="E6" s="24">
        <f>VLOOKUP(E$3,CurrentMtgRatesDataTable826[[issueDate]:[CR]],5,0)/1000000</f>
        <v>431.918408</v>
      </c>
      <c r="F6" s="24">
        <f>VLOOKUP(F$3,CurrentMtgRatesDataTable826[[issueDate]:[CR]],5,0)/1000000</f>
        <v>219.44923900000001</v>
      </c>
      <c r="G6" s="24">
        <f>VLOOKUP(G$3,CurrentMtgRatesDataTable826[[issueDate]:[CR]],5,0)/1000000</f>
        <v>155.15015299999999</v>
      </c>
      <c r="H6" s="24">
        <f>VLOOKUP(H$3,CurrentMtgRatesDataTable826[[issueDate]:[CR]],5,0)/1000000</f>
        <v>127.31100600000001</v>
      </c>
      <c r="I6" s="24">
        <f>VLOOKUP(I$3,CurrentMtgRatesDataTable826[[issueDate]:[CR]],5,0)/1000000</f>
        <v>143.09628699999999</v>
      </c>
      <c r="J6" s="24">
        <f>VLOOKUP(J$3,CurrentMtgRatesDataTable826[[issueDate]:[CR]],5,0)/1000000</f>
        <v>1261.524465</v>
      </c>
      <c r="K6" s="24">
        <f>VLOOKUP(K$3,CurrentMtgRatesDataTable826[[issueDate]:[CR]],5,0)/1000000</f>
        <v>230.86616900000001</v>
      </c>
      <c r="L6" s="24">
        <f>VLOOKUP(L$3,CurrentMtgRatesDataTable826[[issueDate]:[CR]],5,0)/1000000</f>
        <v>385.88183400000003</v>
      </c>
      <c r="M6" s="24">
        <f>VLOOKUP(M$3,CurrentMtgRatesDataTable826[[issueDate]:[CR]],5,0)/1000000</f>
        <v>120.74541600000001</v>
      </c>
      <c r="N6" s="24">
        <f>VLOOKUP(N$3,CurrentMtgRatesDataTable826[[issueDate]:[CR]],5,0)/1000000</f>
        <v>330.91150199999998</v>
      </c>
      <c r="O6" s="24">
        <f>VLOOKUP(O$3,CurrentMtgRatesDataTable826[[issueDate]:[CR]],5,0)/1000000</f>
        <v>174.92783399999999</v>
      </c>
    </row>
    <row r="7" spans="3:15">
      <c r="C7" s="22" t="s">
        <v>32</v>
      </c>
      <c r="D7" s="23">
        <f>SUM(D4:D6)</f>
        <v>1865.511829</v>
      </c>
      <c r="E7" s="23">
        <f t="shared" ref="E7:O7" si="1">SUM(E4:E6)</f>
        <v>1324.1033520000001</v>
      </c>
      <c r="F7" s="23">
        <f t="shared" si="1"/>
        <v>1444.5484959999999</v>
      </c>
      <c r="G7" s="23">
        <f t="shared" si="1"/>
        <v>1272.124006</v>
      </c>
      <c r="H7" s="23">
        <f t="shared" si="1"/>
        <v>1417.7735229999998</v>
      </c>
      <c r="I7" s="23">
        <f t="shared" si="1"/>
        <v>931.20664999999997</v>
      </c>
      <c r="J7" s="23">
        <f t="shared" si="1"/>
        <v>2178.5454850000001</v>
      </c>
      <c r="K7" s="23">
        <f t="shared" si="1"/>
        <v>1151.3093710000001</v>
      </c>
      <c r="L7" s="23">
        <f t="shared" si="1"/>
        <v>1194.2492649999999</v>
      </c>
      <c r="M7" s="23">
        <f t="shared" si="1"/>
        <v>1054.3177929999999</v>
      </c>
      <c r="N7" s="23">
        <f t="shared" si="1"/>
        <v>1127.2636849999999</v>
      </c>
      <c r="O7" s="23">
        <f t="shared" si="1"/>
        <v>943.79931999999997</v>
      </c>
    </row>
    <row r="11" spans="3:15">
      <c r="C11" s="20"/>
      <c r="D11" s="21">
        <f>D3</f>
        <v>42156</v>
      </c>
      <c r="E11" s="21">
        <f>D11-DAY(D11-1)</f>
        <v>42125</v>
      </c>
      <c r="F11" s="21">
        <f t="shared" ref="F11" si="2">E11-DAY(E11-1)</f>
        <v>42095</v>
      </c>
      <c r="G11" s="21">
        <f t="shared" ref="G11" si="3">F11-DAY(F11-1)</f>
        <v>42064</v>
      </c>
      <c r="H11" s="21">
        <f t="shared" ref="H11" si="4">G11-DAY(G11-1)</f>
        <v>42036</v>
      </c>
      <c r="I11" s="21">
        <f t="shared" ref="I11" si="5">H11-DAY(H11-1)</f>
        <v>42005</v>
      </c>
      <c r="J11" s="21">
        <f t="shared" ref="J11" si="6">I11-DAY(I11-1)</f>
        <v>41974</v>
      </c>
      <c r="K11" s="21">
        <f t="shared" ref="K11" si="7">J11-DAY(J11-1)</f>
        <v>41944</v>
      </c>
      <c r="L11" s="21">
        <f t="shared" ref="L11" si="8">K11-DAY(K11-1)</f>
        <v>41913</v>
      </c>
      <c r="M11" s="21">
        <f t="shared" ref="M11" si="9">L11-DAY(L11-1)</f>
        <v>41883</v>
      </c>
      <c r="N11" s="21">
        <f t="shared" ref="N11" si="10">M11-DAY(M11-1)</f>
        <v>41852</v>
      </c>
      <c r="O11" s="21">
        <f t="shared" ref="O11" si="11">N11-DAY(N11-1)</f>
        <v>41821</v>
      </c>
    </row>
    <row r="12" spans="3:15">
      <c r="C12" s="22" t="s">
        <v>40</v>
      </c>
      <c r="D12" s="36">
        <f>VLOOKUP(D$3,CurrentMtgRatesDataTable8268459[#All],2,0)/1000000</f>
        <v>1793.3484530000001</v>
      </c>
      <c r="E12" s="36">
        <f>VLOOKUP(E$3,CurrentMtgRatesDataTable8268459[#All],2,0)/1000000</f>
        <v>1289.760612</v>
      </c>
      <c r="F12" s="36">
        <f>VLOOKUP(F$3,CurrentMtgRatesDataTable8268459[#All],2,0)/1000000</f>
        <v>1500.8012639999999</v>
      </c>
      <c r="G12" s="36">
        <f>VLOOKUP(G$3,CurrentMtgRatesDataTable8268459[#All],2,0)/1000000</f>
        <v>1271.9012419999999</v>
      </c>
      <c r="H12" s="36">
        <f>VLOOKUP(H$3,CurrentMtgRatesDataTable8268459[#All],2,0)/1000000</f>
        <v>1869.668083</v>
      </c>
      <c r="I12" s="36">
        <f>VLOOKUP(I$3,CurrentMtgRatesDataTable8268459[#All],2,0)/1000000</f>
        <v>1351.4870330000001</v>
      </c>
      <c r="J12" s="36">
        <f>VLOOKUP(J$3,CurrentMtgRatesDataTable8268459[#All],2,0)/1000000</f>
        <v>1487.383145</v>
      </c>
      <c r="K12" s="36">
        <f>VLOOKUP(K$3,CurrentMtgRatesDataTable8268459[#All],2,0)/1000000</f>
        <v>631.309303</v>
      </c>
      <c r="L12" s="36">
        <f>VLOOKUP(L$3,CurrentMtgRatesDataTable8268459[#All],2,0)/1000000</f>
        <v>1806.3831130000001</v>
      </c>
      <c r="M12" s="36">
        <f>VLOOKUP(M$3,CurrentMtgRatesDataTable8268459[#All],2,0)/1000000</f>
        <v>1381.851236</v>
      </c>
      <c r="N12" s="36">
        <f>VLOOKUP(N$3,CurrentMtgRatesDataTable8268459[#All],2,0)/1000000</f>
        <v>1440.4477830000001</v>
      </c>
      <c r="O12" s="36">
        <f>VLOOKUP(O$3,CurrentMtgRatesDataTable8268459[#All],2,0)/1000000</f>
        <v>1750.904626</v>
      </c>
    </row>
    <row r="13" spans="3:15">
      <c r="C13" s="22" t="s">
        <v>41</v>
      </c>
      <c r="D13" s="36">
        <f>VLOOKUP(D$3,CurrentMtgRatesDataTable8268459[#All],3,0)/1000000</f>
        <v>113.02186399999999</v>
      </c>
      <c r="E13" s="36">
        <f>VLOOKUP(E$3,CurrentMtgRatesDataTable8268459[#All],3,0)/1000000</f>
        <v>151.26353399999999</v>
      </c>
      <c r="F13" s="36">
        <f>VLOOKUP(F$3,CurrentMtgRatesDataTable8268459[#All],3,0)/1000000</f>
        <v>90.901337999999996</v>
      </c>
      <c r="G13" s="36">
        <f>VLOOKUP(G$3,CurrentMtgRatesDataTable8268459[#All],3,0)/1000000</f>
        <v>126.62054500000001</v>
      </c>
      <c r="H13" s="36">
        <f>VLOOKUP(H$3,CurrentMtgRatesDataTable8268459[#All],3,0)/1000000</f>
        <v>88.755101999999994</v>
      </c>
      <c r="I13" s="36">
        <f>VLOOKUP(I$3,CurrentMtgRatesDataTable8268459[#All],3,0)/1000000</f>
        <v>101.114385</v>
      </c>
      <c r="J13" s="36">
        <f>VLOOKUP(J$3,CurrentMtgRatesDataTable8268459[#All],3,0)/1000000</f>
        <v>156.006867</v>
      </c>
      <c r="K13" s="36">
        <f>VLOOKUP(K$3,CurrentMtgRatesDataTable8268459[#All],3,0)/1000000</f>
        <v>146.48360299999999</v>
      </c>
      <c r="L13" s="36">
        <f>VLOOKUP(L$3,CurrentMtgRatesDataTable8268459[#All],3,0)/1000000</f>
        <v>191.321043</v>
      </c>
      <c r="M13" s="36">
        <f>VLOOKUP(M$3,CurrentMtgRatesDataTable8268459[#All],3,0)/1000000</f>
        <v>178.03603699999999</v>
      </c>
      <c r="N13" s="36">
        <f>VLOOKUP(N$3,CurrentMtgRatesDataTable8268459[#All],3,0)/1000000</f>
        <v>139.66367399999999</v>
      </c>
      <c r="O13" s="36">
        <f>VLOOKUP(O$3,CurrentMtgRatesDataTable8268459[#All],3,0)/1000000</f>
        <v>165.89473000000001</v>
      </c>
    </row>
    <row r="14" spans="3:15">
      <c r="C14" s="22" t="s">
        <v>42</v>
      </c>
      <c r="D14" s="36">
        <f>VLOOKUP(D$3,CurrentMtgRatesDataTable8268459[#All],4,0)/1000000</f>
        <v>296.07000199999999</v>
      </c>
      <c r="E14" s="36">
        <f>VLOOKUP(E$3,CurrentMtgRatesDataTable8268459[#All],4,0)/1000000</f>
        <v>50.437618999999998</v>
      </c>
      <c r="F14" s="36">
        <f>VLOOKUP(F$3,CurrentMtgRatesDataTable8268459[#All],4,0)/1000000</f>
        <v>40.597121999999999</v>
      </c>
      <c r="G14" s="36">
        <f>VLOOKUP(G$3,CurrentMtgRatesDataTable8268459[#All],4,0)/1000000</f>
        <v>34.611970999999997</v>
      </c>
      <c r="H14" s="36">
        <f>VLOOKUP(H$3,CurrentMtgRatesDataTable8268459[#All],4,0)/1000000</f>
        <v>100.420654</v>
      </c>
      <c r="I14" s="36">
        <f>VLOOKUP(I$3,CurrentMtgRatesDataTable8268459[#All],4,0)/1000000</f>
        <v>116.714969</v>
      </c>
      <c r="J14" s="36">
        <f>VLOOKUP(J$3,CurrentMtgRatesDataTable8268459[#All],4,0)/1000000</f>
        <v>523.01698199999998</v>
      </c>
      <c r="K14" s="36">
        <f>VLOOKUP(K$3,CurrentMtgRatesDataTable8268459[#All],4,0)/1000000</f>
        <v>151.60493199999999</v>
      </c>
      <c r="L14" s="36">
        <f>VLOOKUP(L$3,CurrentMtgRatesDataTable8268459[#All],4,0)/1000000</f>
        <v>276.556307</v>
      </c>
      <c r="M14" s="36">
        <f>VLOOKUP(M$3,CurrentMtgRatesDataTable8268459[#All],4,0)/1000000</f>
        <v>119.56244599999999</v>
      </c>
      <c r="N14" s="36">
        <f>VLOOKUP(N$3,CurrentMtgRatesDataTable8268459[#All],4,0)/1000000</f>
        <v>289.48586899999998</v>
      </c>
      <c r="O14" s="36">
        <f>VLOOKUP(O$3,CurrentMtgRatesDataTable8268459[#All],4,0)/1000000</f>
        <v>257.15189299999997</v>
      </c>
    </row>
    <row r="15" spans="3:15">
      <c r="C15" s="22" t="s">
        <v>36</v>
      </c>
      <c r="D15" s="36">
        <f>VLOOKUP(D$3,CurrentMtgRatesDataTable8268459[#All],5,0)/1000000</f>
        <v>1454.471487</v>
      </c>
      <c r="E15" s="36">
        <f>VLOOKUP(E$3,CurrentMtgRatesDataTable8268459[#All],5,0)/1000000</f>
        <v>1332.4069460000001</v>
      </c>
      <c r="F15" s="36">
        <f>VLOOKUP(F$3,CurrentMtgRatesDataTable8268459[#All],5,0)/1000000</f>
        <v>1286.157119</v>
      </c>
      <c r="G15" s="36">
        <f>VLOOKUP(G$3,CurrentMtgRatesDataTable8268459[#All],5,0)/1000000</f>
        <v>1132.393996</v>
      </c>
      <c r="H15" s="36">
        <f>VLOOKUP(H$3,CurrentMtgRatesDataTable8268459[#All],5,0)/1000000</f>
        <v>1158.064789</v>
      </c>
      <c r="I15" s="36">
        <f>VLOOKUP(I$3,CurrentMtgRatesDataTable8268459[#All],5,0)/1000000</f>
        <v>925.24031400000001</v>
      </c>
      <c r="J15" s="36">
        <f>VLOOKUP(J$3,CurrentMtgRatesDataTable8268459[#All],5,0)/1000000</f>
        <v>1010.410896</v>
      </c>
      <c r="K15" s="36">
        <f>VLOOKUP(K$3,CurrentMtgRatesDataTable8268459[#All],5,0)/1000000</f>
        <v>1023.640722</v>
      </c>
      <c r="L15" s="36">
        <f>VLOOKUP(L$3,CurrentMtgRatesDataTable8268459[#All],5,0)/1000000</f>
        <v>1266.6669059999999</v>
      </c>
      <c r="M15" s="36">
        <f>VLOOKUP(M$3,CurrentMtgRatesDataTable8268459[#All],5,0)/1000000</f>
        <v>1414.3708039999999</v>
      </c>
      <c r="N15" s="36">
        <f>VLOOKUP(N$3,CurrentMtgRatesDataTable8268459[#All],5,0)/1000000</f>
        <v>1177.9323870000001</v>
      </c>
      <c r="O15" s="36">
        <f>VLOOKUP(O$3,CurrentMtgRatesDataTable8268459[#All],5,0)/1000000</f>
        <v>1362.312518</v>
      </c>
    </row>
    <row r="16" spans="3:15">
      <c r="C16" s="22" t="s">
        <v>37</v>
      </c>
      <c r="D16" s="36">
        <f>VLOOKUP(D$3,CurrentMtgRatesDataTable8268459[#All],6,0)/1000000</f>
        <v>2196.9096650000001</v>
      </c>
      <c r="E16" s="36">
        <f>VLOOKUP(E$3,CurrentMtgRatesDataTable8268459[#All],6,0)/1000000</f>
        <v>1886.7176460000001</v>
      </c>
      <c r="F16" s="36">
        <f>VLOOKUP(F$3,CurrentMtgRatesDataTable8268459[#All],6,0)/1000000</f>
        <v>1948.4136599999999</v>
      </c>
      <c r="G16" s="36">
        <f>VLOOKUP(G$3,CurrentMtgRatesDataTable8268459[#All],6,0)/1000000</f>
        <v>1671.922926</v>
      </c>
      <c r="H16" s="36">
        <f>VLOOKUP(H$3,CurrentMtgRatesDataTable8268459[#All],6,0)/1000000</f>
        <v>1839.649584</v>
      </c>
      <c r="I16" s="36">
        <f>VLOOKUP(I$3,CurrentMtgRatesDataTable8268459[#All],6,0)/1000000</f>
        <v>1865.2033469999999</v>
      </c>
      <c r="J16" s="36">
        <f>VLOOKUP(J$3,CurrentMtgRatesDataTable8268459[#All],6,0)/1000000</f>
        <v>2069.0522599999999</v>
      </c>
      <c r="K16" s="36">
        <f>VLOOKUP(K$3,CurrentMtgRatesDataTable8268459[#All],6,0)/1000000</f>
        <v>1978.634063</v>
      </c>
      <c r="L16" s="36">
        <f>VLOOKUP(L$3,CurrentMtgRatesDataTable8268459[#All],6,0)/1000000</f>
        <v>2160.5422170000002</v>
      </c>
      <c r="M16" s="36">
        <f>VLOOKUP(M$3,CurrentMtgRatesDataTable8268459[#All],6,0)/1000000</f>
        <v>2318.7049270000002</v>
      </c>
      <c r="N16" s="36">
        <f>VLOOKUP(N$3,CurrentMtgRatesDataTable8268459[#All],6,0)/1000000</f>
        <v>1859.701155</v>
      </c>
      <c r="O16" s="36">
        <f>VLOOKUP(O$3,CurrentMtgRatesDataTable8268459[#All],6,0)/1000000</f>
        <v>1970.336632</v>
      </c>
    </row>
    <row r="17" spans="3:15">
      <c r="C17" s="22" t="s">
        <v>38</v>
      </c>
      <c r="D17" s="36">
        <f>VLOOKUP(D$3,CurrentMtgRatesDataTable8268459[#All],7,0)/1000000</f>
        <v>887.471181</v>
      </c>
      <c r="E17" s="36">
        <f>VLOOKUP(E$3,CurrentMtgRatesDataTable8268459[#All],7,0)/1000000</f>
        <v>782.61145699999997</v>
      </c>
      <c r="F17" s="36">
        <f>VLOOKUP(F$3,CurrentMtgRatesDataTable8268459[#All],7,0)/1000000</f>
        <v>782.45635200000004</v>
      </c>
      <c r="G17" s="36">
        <f>VLOOKUP(G$3,CurrentMtgRatesDataTable8268459[#All],7,0)/1000000</f>
        <v>685.80228399999999</v>
      </c>
      <c r="H17" s="36">
        <f>VLOOKUP(H$3,CurrentMtgRatesDataTable8268459[#All],7,0)/1000000</f>
        <v>820.42824800000005</v>
      </c>
      <c r="I17" s="36">
        <f>VLOOKUP(I$3,CurrentMtgRatesDataTable8268459[#All],7,0)/1000000</f>
        <v>800.24946399999999</v>
      </c>
      <c r="J17" s="36">
        <f>VLOOKUP(J$3,CurrentMtgRatesDataTable8268459[#All],7,0)/1000000</f>
        <v>997.89513699999998</v>
      </c>
      <c r="K17" s="36">
        <f>VLOOKUP(K$3,CurrentMtgRatesDataTable8268459[#All],7,0)/1000000</f>
        <v>899.04130099999998</v>
      </c>
      <c r="L17" s="36">
        <f>VLOOKUP(L$3,CurrentMtgRatesDataTable8268459[#All],7,0)/1000000</f>
        <v>964.28876100000002</v>
      </c>
      <c r="M17" s="36">
        <f>VLOOKUP(M$3,CurrentMtgRatesDataTable8268459[#All],7,0)/1000000</f>
        <v>1016.058366</v>
      </c>
      <c r="N17" s="36">
        <f>VLOOKUP(N$3,CurrentMtgRatesDataTable8268459[#All],7,0)/1000000</f>
        <v>838.62673299999994</v>
      </c>
      <c r="O17" s="36">
        <f>VLOOKUP(O$3,CurrentMtgRatesDataTable8268459[#All],7,0)/1000000</f>
        <v>948.547505</v>
      </c>
    </row>
    <row r="18" spans="3:15">
      <c r="C18" s="22" t="s">
        <v>39</v>
      </c>
      <c r="D18" s="36">
        <f>VLOOKUP(D$3,CurrentMtgRatesDataTable8268459[#All],8,0)/1000000</f>
        <v>565.85760000000005</v>
      </c>
      <c r="E18" s="36">
        <f>VLOOKUP(E$3,CurrentMtgRatesDataTable8268459[#All],8,0)/1000000</f>
        <v>443.98695099999998</v>
      </c>
      <c r="F18" s="36">
        <f>VLOOKUP(F$3,CurrentMtgRatesDataTable8268459[#All],8,0)/1000000</f>
        <v>506.82713000000001</v>
      </c>
      <c r="G18" s="36">
        <f>VLOOKUP(G$3,CurrentMtgRatesDataTable8268459[#All],8,0)/1000000</f>
        <v>399.01280600000001</v>
      </c>
      <c r="H18" s="36">
        <f>VLOOKUP(H$3,CurrentMtgRatesDataTable8268459[#All],8,0)/1000000</f>
        <v>527.56604000000004</v>
      </c>
      <c r="I18" s="36">
        <f>VLOOKUP(I$3,CurrentMtgRatesDataTable8268459[#All],8,0)/1000000</f>
        <v>579.12251300000003</v>
      </c>
      <c r="J18" s="36">
        <f>VLOOKUP(J$3,CurrentMtgRatesDataTable8268459[#All],8,0)/1000000</f>
        <v>622.88370899999995</v>
      </c>
      <c r="K18" s="36">
        <f>VLOOKUP(K$3,CurrentMtgRatesDataTable8268459[#All],8,0)/1000000</f>
        <v>640.02457400000003</v>
      </c>
      <c r="L18" s="36">
        <f>VLOOKUP(L$3,CurrentMtgRatesDataTable8268459[#All],8,0)/1000000</f>
        <v>684.93568900000002</v>
      </c>
      <c r="M18" s="36">
        <f>VLOOKUP(M$3,CurrentMtgRatesDataTable8268459[#All],8,0)/1000000</f>
        <v>606.67093399999999</v>
      </c>
      <c r="N18" s="36">
        <f>VLOOKUP(N$3,CurrentMtgRatesDataTable8268459[#All],8,0)/1000000</f>
        <v>539.72638300000006</v>
      </c>
      <c r="O18" s="36">
        <f>VLOOKUP(O$3,CurrentMtgRatesDataTable8268459[#All],8,0)/1000000</f>
        <v>615.29756299999997</v>
      </c>
    </row>
    <row r="19" spans="3:15">
      <c r="C19" s="22" t="s">
        <v>45</v>
      </c>
      <c r="D19" s="36">
        <f>VLOOKUP(D$3,CurrentMtgRatesDataTable8268459[#All],9,0)/1000000</f>
        <v>427.28330699999998</v>
      </c>
      <c r="E19" s="36">
        <f>VLOOKUP(E$3,CurrentMtgRatesDataTable8268459[#All],9,0)/1000000</f>
        <v>394.177167</v>
      </c>
      <c r="F19" s="36">
        <f>VLOOKUP(F$3,CurrentMtgRatesDataTable8268459[#All],9,0)/1000000</f>
        <v>322.40824900000001</v>
      </c>
      <c r="G19" s="36">
        <f>VLOOKUP(G$3,CurrentMtgRatesDataTable8268459[#All],9,0)/1000000</f>
        <v>364.49334599999997</v>
      </c>
      <c r="H19" s="36">
        <f>VLOOKUP(H$3,CurrentMtgRatesDataTable8268459[#All],9,0)/1000000</f>
        <v>406.48077999999998</v>
      </c>
      <c r="I19" s="36">
        <f>VLOOKUP(I$3,CurrentMtgRatesDataTable8268459[#All],9,0)/1000000</f>
        <v>407.29637700000001</v>
      </c>
      <c r="J19" s="36">
        <f>VLOOKUP(J$3,CurrentMtgRatesDataTable8268459[#All],9,0)/1000000</f>
        <v>703.71646299999998</v>
      </c>
      <c r="K19" s="36">
        <f>VLOOKUP(K$3,CurrentMtgRatesDataTable8268459[#All],9,0)/1000000</f>
        <v>194.118752</v>
      </c>
      <c r="L19" s="36">
        <f>VLOOKUP(L$3,CurrentMtgRatesDataTable8268459[#All],9,0)/1000000</f>
        <v>379.70020099999999</v>
      </c>
      <c r="M19" s="36">
        <f>VLOOKUP(M$3,CurrentMtgRatesDataTable8268459[#All],9,0)/1000000</f>
        <v>462.31363599999997</v>
      </c>
      <c r="N19" s="36">
        <f>VLOOKUP(N$3,CurrentMtgRatesDataTable8268459[#All],9,0)/1000000</f>
        <v>276.99817400000001</v>
      </c>
      <c r="O19" s="36">
        <f>VLOOKUP(O$3,CurrentMtgRatesDataTable8268459[#All],9,0)/1000000</f>
        <v>211.430835</v>
      </c>
    </row>
  </sheetData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59999389629810485"/>
  </sheetPr>
  <dimension ref="B3:R62"/>
  <sheetViews>
    <sheetView showGridLines="0" workbookViewId="0">
      <selection activeCell="K25" sqref="K25"/>
    </sheetView>
  </sheetViews>
  <sheetFormatPr defaultRowHeight="15"/>
  <cols>
    <col min="12" max="12" width="12.28515625" customWidth="1"/>
  </cols>
  <sheetData>
    <row r="3" spans="2:18">
      <c r="B3" s="19" t="s">
        <v>19</v>
      </c>
      <c r="C3" s="19" t="s">
        <v>20</v>
      </c>
      <c r="D3" s="19" t="s">
        <v>21</v>
      </c>
      <c r="E3" s="19" t="s">
        <v>22</v>
      </c>
      <c r="F3" s="19" t="s">
        <v>29</v>
      </c>
      <c r="G3" s="19" t="s">
        <v>30</v>
      </c>
      <c r="I3" s="19" t="s">
        <v>19</v>
      </c>
      <c r="J3" s="19" t="s">
        <v>20</v>
      </c>
      <c r="K3" s="19" t="s">
        <v>21</v>
      </c>
      <c r="L3" s="19" t="s">
        <v>22</v>
      </c>
      <c r="O3" s="19" t="s">
        <v>19</v>
      </c>
      <c r="P3" s="19" t="s">
        <v>20</v>
      </c>
      <c r="Q3" s="19" t="s">
        <v>21</v>
      </c>
      <c r="R3" s="19" t="s">
        <v>22</v>
      </c>
    </row>
    <row r="4" spans="2:18">
      <c r="B4" t="s">
        <v>23</v>
      </c>
      <c r="C4" s="18">
        <v>40391</v>
      </c>
      <c r="D4" t="s">
        <v>24</v>
      </c>
      <c r="E4">
        <v>3347514541</v>
      </c>
      <c r="F4" s="19">
        <f>VLOOKUP(CurrentMtgRatesDataTable826[[#This Row],[issueDate]],CurrentMtgRatesDataTable8267[[issueDate]:[issueAmount]],3,0)</f>
        <v>355715456</v>
      </c>
      <c r="G4" s="19" t="e">
        <f>VLOOKUP(CurrentMtgRatesDataTable826[[#This Row],[issueDate]],CurrentMtgRatesDataTable8268[[issueDate]:[issueAmount]],3,0)</f>
        <v>#N/A</v>
      </c>
      <c r="I4" t="s">
        <v>25</v>
      </c>
      <c r="J4" s="18">
        <v>40391</v>
      </c>
      <c r="K4" t="s">
        <v>26</v>
      </c>
      <c r="L4">
        <v>355715456</v>
      </c>
      <c r="O4" t="s">
        <v>27</v>
      </c>
      <c r="P4" s="18">
        <v>41061</v>
      </c>
      <c r="Q4" t="s">
        <v>28</v>
      </c>
      <c r="R4">
        <v>5627164641</v>
      </c>
    </row>
    <row r="5" spans="2:18">
      <c r="B5" t="s">
        <v>23</v>
      </c>
      <c r="C5" s="18">
        <v>40422</v>
      </c>
      <c r="D5" t="s">
        <v>24</v>
      </c>
      <c r="E5">
        <v>4534053251</v>
      </c>
      <c r="F5" s="19">
        <f>VLOOKUP(CurrentMtgRatesDataTable826[[#This Row],[issueDate]],CurrentMtgRatesDataTable8267[[issueDate]:[issueAmount]],3,0)</f>
        <v>352412504</v>
      </c>
      <c r="G5" s="19" t="e">
        <f>VLOOKUP(CurrentMtgRatesDataTable826[[#This Row],[issueDate]],CurrentMtgRatesDataTable8268[[issueDate]:[issueAmount]],3,0)</f>
        <v>#N/A</v>
      </c>
      <c r="I5" t="s">
        <v>25</v>
      </c>
      <c r="J5" s="18">
        <v>40422</v>
      </c>
      <c r="K5" t="s">
        <v>26</v>
      </c>
      <c r="L5">
        <v>352412504</v>
      </c>
      <c r="O5" t="s">
        <v>27</v>
      </c>
      <c r="P5" s="18">
        <v>41091</v>
      </c>
      <c r="Q5" t="s">
        <v>28</v>
      </c>
      <c r="R5">
        <v>3713048773</v>
      </c>
    </row>
    <row r="6" spans="2:18">
      <c r="B6" t="s">
        <v>23</v>
      </c>
      <c r="C6" s="18">
        <v>40452</v>
      </c>
      <c r="D6" t="s">
        <v>24</v>
      </c>
      <c r="E6">
        <v>4710788842</v>
      </c>
      <c r="F6" s="19">
        <f>VLOOKUP(CurrentMtgRatesDataTable826[[#This Row],[issueDate]],CurrentMtgRatesDataTable8267[[issueDate]:[issueAmount]],3,0)</f>
        <v>319947067</v>
      </c>
      <c r="G6" s="19" t="e">
        <f>VLOOKUP(CurrentMtgRatesDataTable826[[#This Row],[issueDate]],CurrentMtgRatesDataTable8268[[issueDate]:[issueAmount]],3,0)</f>
        <v>#N/A</v>
      </c>
      <c r="I6" t="s">
        <v>25</v>
      </c>
      <c r="J6" s="18">
        <v>40452</v>
      </c>
      <c r="K6" t="s">
        <v>26</v>
      </c>
      <c r="L6">
        <v>319947067</v>
      </c>
      <c r="O6" t="s">
        <v>27</v>
      </c>
      <c r="P6" s="18">
        <v>41122</v>
      </c>
      <c r="Q6" t="s">
        <v>28</v>
      </c>
      <c r="R6">
        <v>3482283708</v>
      </c>
    </row>
    <row r="7" spans="2:18">
      <c r="B7" t="s">
        <v>23</v>
      </c>
      <c r="C7" s="18">
        <v>40483</v>
      </c>
      <c r="D7" t="s">
        <v>24</v>
      </c>
      <c r="E7">
        <v>4435127896</v>
      </c>
      <c r="F7" s="19">
        <f>VLOOKUP(CurrentMtgRatesDataTable826[[#This Row],[issueDate]],CurrentMtgRatesDataTable8267[[issueDate]:[issueAmount]],3,0)</f>
        <v>369679660</v>
      </c>
      <c r="G7" s="19" t="e">
        <f>VLOOKUP(CurrentMtgRatesDataTable826[[#This Row],[issueDate]],CurrentMtgRatesDataTable8268[[issueDate]:[issueAmount]],3,0)</f>
        <v>#N/A</v>
      </c>
      <c r="I7" t="s">
        <v>25</v>
      </c>
      <c r="J7" s="18">
        <v>40483</v>
      </c>
      <c r="K7" t="s">
        <v>26</v>
      </c>
      <c r="L7">
        <v>369679660</v>
      </c>
      <c r="O7" t="s">
        <v>27</v>
      </c>
      <c r="P7" s="18">
        <v>41153</v>
      </c>
      <c r="Q7" t="s">
        <v>28</v>
      </c>
      <c r="R7">
        <v>3393761631</v>
      </c>
    </row>
    <row r="8" spans="2:18">
      <c r="B8" t="s">
        <v>23</v>
      </c>
      <c r="C8" s="18">
        <v>40513</v>
      </c>
      <c r="D8" t="s">
        <v>24</v>
      </c>
      <c r="E8">
        <v>5168634747</v>
      </c>
      <c r="F8" s="19">
        <f>VLOOKUP(CurrentMtgRatesDataTable826[[#This Row],[issueDate]],CurrentMtgRatesDataTable8267[[issueDate]:[issueAmount]],3,0)</f>
        <v>504226385</v>
      </c>
      <c r="G8" s="19" t="e">
        <f>VLOOKUP(CurrentMtgRatesDataTable826[[#This Row],[issueDate]],CurrentMtgRatesDataTable8268[[issueDate]:[issueAmount]],3,0)</f>
        <v>#N/A</v>
      </c>
      <c r="I8" t="s">
        <v>25</v>
      </c>
      <c r="J8" s="18">
        <v>40513</v>
      </c>
      <c r="K8" t="s">
        <v>26</v>
      </c>
      <c r="L8">
        <v>504226385</v>
      </c>
      <c r="O8" t="s">
        <v>27</v>
      </c>
      <c r="P8" s="18">
        <v>41183</v>
      </c>
      <c r="Q8" t="s">
        <v>28</v>
      </c>
      <c r="R8">
        <v>2591936940</v>
      </c>
    </row>
    <row r="9" spans="2:18">
      <c r="B9" t="s">
        <v>23</v>
      </c>
      <c r="C9" s="18">
        <v>40544</v>
      </c>
      <c r="D9" t="s">
        <v>24</v>
      </c>
      <c r="E9">
        <v>4772517239</v>
      </c>
      <c r="F9" s="19">
        <f>VLOOKUP(CurrentMtgRatesDataTable826[[#This Row],[issueDate]],CurrentMtgRatesDataTable8267[[issueDate]:[issueAmount]],3,0)</f>
        <v>481880967</v>
      </c>
      <c r="G9" s="19" t="e">
        <f>VLOOKUP(CurrentMtgRatesDataTable826[[#This Row],[issueDate]],CurrentMtgRatesDataTable8268[[issueDate]:[issueAmount]],3,0)</f>
        <v>#N/A</v>
      </c>
      <c r="I9" t="s">
        <v>25</v>
      </c>
      <c r="J9" s="18">
        <v>40544</v>
      </c>
      <c r="K9" t="s">
        <v>26</v>
      </c>
      <c r="L9">
        <v>481880967</v>
      </c>
      <c r="O9" t="s">
        <v>27</v>
      </c>
      <c r="P9" s="18">
        <v>41214</v>
      </c>
      <c r="Q9" t="s">
        <v>28</v>
      </c>
      <c r="R9">
        <v>3531096335</v>
      </c>
    </row>
    <row r="10" spans="2:18">
      <c r="B10" t="s">
        <v>23</v>
      </c>
      <c r="C10" s="18">
        <v>40575</v>
      </c>
      <c r="D10" t="s">
        <v>24</v>
      </c>
      <c r="E10">
        <v>3322794637</v>
      </c>
      <c r="F10" s="19">
        <f>VLOOKUP(CurrentMtgRatesDataTable826[[#This Row],[issueDate]],CurrentMtgRatesDataTable8267[[issueDate]:[issueAmount]],3,0)</f>
        <v>511593118</v>
      </c>
      <c r="G10" s="19" t="e">
        <f>VLOOKUP(CurrentMtgRatesDataTable826[[#This Row],[issueDate]],CurrentMtgRatesDataTable8268[[issueDate]:[issueAmount]],3,0)</f>
        <v>#N/A</v>
      </c>
      <c r="I10" t="s">
        <v>25</v>
      </c>
      <c r="J10" s="18">
        <v>40575</v>
      </c>
      <c r="K10" t="s">
        <v>26</v>
      </c>
      <c r="L10">
        <v>511593118</v>
      </c>
      <c r="O10" t="s">
        <v>27</v>
      </c>
      <c r="P10" s="18">
        <v>41244</v>
      </c>
      <c r="Q10" t="s">
        <v>28</v>
      </c>
      <c r="R10">
        <v>2237392773</v>
      </c>
    </row>
    <row r="11" spans="2:18">
      <c r="B11" t="s">
        <v>23</v>
      </c>
      <c r="C11" s="18">
        <v>40603</v>
      </c>
      <c r="D11" t="s">
        <v>24</v>
      </c>
      <c r="E11">
        <v>2879069981</v>
      </c>
      <c r="F11" s="19">
        <f>VLOOKUP(CurrentMtgRatesDataTable826[[#This Row],[issueDate]],CurrentMtgRatesDataTable8267[[issueDate]:[issueAmount]],3,0)</f>
        <v>618688301</v>
      </c>
      <c r="G11" s="19" t="e">
        <f>VLOOKUP(CurrentMtgRatesDataTable826[[#This Row],[issueDate]],CurrentMtgRatesDataTable8268[[issueDate]:[issueAmount]],3,0)</f>
        <v>#N/A</v>
      </c>
      <c r="I11" t="s">
        <v>25</v>
      </c>
      <c r="J11" s="18">
        <v>40603</v>
      </c>
      <c r="K11" t="s">
        <v>26</v>
      </c>
      <c r="L11">
        <v>618688301</v>
      </c>
      <c r="O11" t="s">
        <v>27</v>
      </c>
      <c r="P11" s="18">
        <v>41275</v>
      </c>
      <c r="Q11" t="s">
        <v>28</v>
      </c>
      <c r="R11">
        <v>3299880097</v>
      </c>
    </row>
    <row r="12" spans="2:18">
      <c r="B12" t="s">
        <v>23</v>
      </c>
      <c r="C12" s="18">
        <v>40634</v>
      </c>
      <c r="D12" t="s">
        <v>24</v>
      </c>
      <c r="E12">
        <v>1365959263</v>
      </c>
      <c r="F12" s="19">
        <f>VLOOKUP(CurrentMtgRatesDataTable826[[#This Row],[issueDate]],CurrentMtgRatesDataTable8267[[issueDate]:[issueAmount]],3,0)</f>
        <v>668998347</v>
      </c>
      <c r="G12" s="19" t="e">
        <f>VLOOKUP(CurrentMtgRatesDataTable826[[#This Row],[issueDate]],CurrentMtgRatesDataTable8268[[issueDate]:[issueAmount]],3,0)</f>
        <v>#N/A</v>
      </c>
      <c r="I12" t="s">
        <v>25</v>
      </c>
      <c r="J12" s="18">
        <v>40634</v>
      </c>
      <c r="K12" t="s">
        <v>26</v>
      </c>
      <c r="L12">
        <v>668998347</v>
      </c>
      <c r="O12" t="s">
        <v>27</v>
      </c>
      <c r="P12" s="18">
        <v>41306</v>
      </c>
      <c r="Q12" t="s">
        <v>28</v>
      </c>
      <c r="R12">
        <v>2808516054</v>
      </c>
    </row>
    <row r="13" spans="2:18">
      <c r="B13" t="s">
        <v>23</v>
      </c>
      <c r="C13" s="18">
        <v>40664</v>
      </c>
      <c r="D13" t="s">
        <v>24</v>
      </c>
      <c r="E13">
        <v>1679348065</v>
      </c>
      <c r="F13" s="19">
        <f>VLOOKUP(CurrentMtgRatesDataTable826[[#This Row],[issueDate]],CurrentMtgRatesDataTable8267[[issueDate]:[issueAmount]],3,0)</f>
        <v>436513565</v>
      </c>
      <c r="G13" s="19" t="e">
        <f>VLOOKUP(CurrentMtgRatesDataTable826[[#This Row],[issueDate]],CurrentMtgRatesDataTable8268[[issueDate]:[issueAmount]],3,0)</f>
        <v>#N/A</v>
      </c>
      <c r="I13" t="s">
        <v>25</v>
      </c>
      <c r="J13" s="18">
        <v>40664</v>
      </c>
      <c r="K13" t="s">
        <v>26</v>
      </c>
      <c r="L13">
        <v>436513565</v>
      </c>
      <c r="O13" t="s">
        <v>27</v>
      </c>
      <c r="P13" s="18">
        <v>41334</v>
      </c>
      <c r="Q13" t="s">
        <v>28</v>
      </c>
      <c r="R13">
        <v>2186380753</v>
      </c>
    </row>
    <row r="14" spans="2:18">
      <c r="B14" t="s">
        <v>23</v>
      </c>
      <c r="C14" s="18">
        <v>40695</v>
      </c>
      <c r="D14" t="s">
        <v>24</v>
      </c>
      <c r="E14">
        <v>1470720552</v>
      </c>
      <c r="F14" s="19">
        <f>VLOOKUP(CurrentMtgRatesDataTable826[[#This Row],[issueDate]],CurrentMtgRatesDataTable8267[[issueDate]:[issueAmount]],3,0)</f>
        <v>714756687</v>
      </c>
      <c r="G14" s="19" t="e">
        <f>VLOOKUP(CurrentMtgRatesDataTable826[[#This Row],[issueDate]],CurrentMtgRatesDataTable8268[[issueDate]:[issueAmount]],3,0)</f>
        <v>#N/A</v>
      </c>
      <c r="I14" t="s">
        <v>25</v>
      </c>
      <c r="J14" s="18">
        <v>40695</v>
      </c>
      <c r="K14" t="s">
        <v>26</v>
      </c>
      <c r="L14">
        <v>714756687</v>
      </c>
      <c r="O14" t="s">
        <v>27</v>
      </c>
      <c r="P14" s="18">
        <v>41365</v>
      </c>
      <c r="Q14" t="s">
        <v>28</v>
      </c>
      <c r="R14">
        <v>2498076581</v>
      </c>
    </row>
    <row r="15" spans="2:18">
      <c r="B15" t="s">
        <v>23</v>
      </c>
      <c r="C15" s="18">
        <v>40725</v>
      </c>
      <c r="D15" t="s">
        <v>24</v>
      </c>
      <c r="E15">
        <v>1755684824</v>
      </c>
      <c r="F15" s="19">
        <f>VLOOKUP(CurrentMtgRatesDataTable826[[#This Row],[issueDate]],CurrentMtgRatesDataTable8267[[issueDate]:[issueAmount]],3,0)</f>
        <v>450007317</v>
      </c>
      <c r="G15" s="19" t="e">
        <f>VLOOKUP(CurrentMtgRatesDataTable826[[#This Row],[issueDate]],CurrentMtgRatesDataTable8268[[issueDate]:[issueAmount]],3,0)</f>
        <v>#N/A</v>
      </c>
      <c r="I15" t="s">
        <v>25</v>
      </c>
      <c r="J15" s="18">
        <v>40725</v>
      </c>
      <c r="K15" t="s">
        <v>26</v>
      </c>
      <c r="L15">
        <v>450007317</v>
      </c>
      <c r="O15" t="s">
        <v>27</v>
      </c>
      <c r="P15" s="18">
        <v>41395</v>
      </c>
      <c r="Q15" t="s">
        <v>28</v>
      </c>
      <c r="R15">
        <v>1858786075</v>
      </c>
    </row>
    <row r="16" spans="2:18">
      <c r="B16" t="s">
        <v>23</v>
      </c>
      <c r="C16" s="18">
        <v>40756</v>
      </c>
      <c r="D16" t="s">
        <v>24</v>
      </c>
      <c r="E16">
        <v>2242690757</v>
      </c>
      <c r="F16" s="19">
        <f>VLOOKUP(CurrentMtgRatesDataTable826[[#This Row],[issueDate]],CurrentMtgRatesDataTable8267[[issueDate]:[issueAmount]],3,0)</f>
        <v>544964112</v>
      </c>
      <c r="G16" s="19" t="e">
        <f>VLOOKUP(CurrentMtgRatesDataTable826[[#This Row],[issueDate]],CurrentMtgRatesDataTable8268[[issueDate]:[issueAmount]],3,0)</f>
        <v>#N/A</v>
      </c>
      <c r="I16" t="s">
        <v>25</v>
      </c>
      <c r="J16" s="18">
        <v>40756</v>
      </c>
      <c r="K16" t="s">
        <v>26</v>
      </c>
      <c r="L16">
        <v>544964112</v>
      </c>
      <c r="O16" t="s">
        <v>27</v>
      </c>
      <c r="P16" s="18">
        <v>41426</v>
      </c>
      <c r="Q16" t="s">
        <v>28</v>
      </c>
      <c r="R16">
        <v>1553402361</v>
      </c>
    </row>
    <row r="17" spans="2:18">
      <c r="B17" t="s">
        <v>23</v>
      </c>
      <c r="C17" s="18">
        <v>40787</v>
      </c>
      <c r="D17" t="s">
        <v>24</v>
      </c>
      <c r="E17">
        <v>4005917312</v>
      </c>
      <c r="F17" s="19">
        <f>VLOOKUP(CurrentMtgRatesDataTable826[[#This Row],[issueDate]],CurrentMtgRatesDataTable8267[[issueDate]:[issueAmount]],3,0)</f>
        <v>632560564</v>
      </c>
      <c r="G17" s="19" t="e">
        <f>VLOOKUP(CurrentMtgRatesDataTable826[[#This Row],[issueDate]],CurrentMtgRatesDataTable8268[[issueDate]:[issueAmount]],3,0)</f>
        <v>#N/A</v>
      </c>
      <c r="I17" t="s">
        <v>25</v>
      </c>
      <c r="J17" s="18">
        <v>40787</v>
      </c>
      <c r="K17" t="s">
        <v>26</v>
      </c>
      <c r="L17">
        <v>632560564</v>
      </c>
      <c r="O17" t="s">
        <v>27</v>
      </c>
      <c r="P17" s="18">
        <v>41456</v>
      </c>
      <c r="Q17" t="s">
        <v>28</v>
      </c>
      <c r="R17">
        <v>1434823555</v>
      </c>
    </row>
    <row r="18" spans="2:18">
      <c r="B18" t="s">
        <v>23</v>
      </c>
      <c r="C18" s="18">
        <v>40817</v>
      </c>
      <c r="D18" t="s">
        <v>24</v>
      </c>
      <c r="E18">
        <v>4409005394</v>
      </c>
      <c r="F18" s="19">
        <f>VLOOKUP(CurrentMtgRatesDataTable826[[#This Row],[issueDate]],CurrentMtgRatesDataTable8267[[issueDate]:[issueAmount]],3,0)</f>
        <v>575215946</v>
      </c>
      <c r="G18" s="19" t="e">
        <f>VLOOKUP(CurrentMtgRatesDataTable826[[#This Row],[issueDate]],CurrentMtgRatesDataTable8268[[issueDate]:[issueAmount]],3,0)</f>
        <v>#N/A</v>
      </c>
      <c r="I18" t="s">
        <v>25</v>
      </c>
      <c r="J18" s="18">
        <v>40817</v>
      </c>
      <c r="K18" t="s">
        <v>26</v>
      </c>
      <c r="L18">
        <v>575215946</v>
      </c>
      <c r="O18" t="s">
        <v>27</v>
      </c>
      <c r="P18" s="18">
        <v>41487</v>
      </c>
      <c r="Q18" t="s">
        <v>28</v>
      </c>
      <c r="R18">
        <v>1187325480</v>
      </c>
    </row>
    <row r="19" spans="2:18">
      <c r="B19" t="s">
        <v>23</v>
      </c>
      <c r="C19" s="18">
        <v>40848</v>
      </c>
      <c r="D19" t="s">
        <v>24</v>
      </c>
      <c r="E19">
        <v>4642886367</v>
      </c>
      <c r="F19" s="19">
        <f>VLOOKUP(CurrentMtgRatesDataTable826[[#This Row],[issueDate]],CurrentMtgRatesDataTable8267[[issueDate]:[issueAmount]],3,0)</f>
        <v>570846520</v>
      </c>
      <c r="G19" s="19" t="e">
        <f>VLOOKUP(CurrentMtgRatesDataTable826[[#This Row],[issueDate]],CurrentMtgRatesDataTable8268[[issueDate]:[issueAmount]],3,0)</f>
        <v>#N/A</v>
      </c>
      <c r="I19" t="s">
        <v>25</v>
      </c>
      <c r="J19" s="18">
        <v>40848</v>
      </c>
      <c r="K19" t="s">
        <v>26</v>
      </c>
      <c r="L19">
        <v>570846520</v>
      </c>
      <c r="O19" t="s">
        <v>27</v>
      </c>
      <c r="P19" s="18">
        <v>41518</v>
      </c>
      <c r="Q19" t="s">
        <v>28</v>
      </c>
      <c r="R19">
        <v>743460848</v>
      </c>
    </row>
    <row r="20" spans="2:18">
      <c r="B20" t="s">
        <v>23</v>
      </c>
      <c r="C20" s="18">
        <v>40878</v>
      </c>
      <c r="D20" t="s">
        <v>24</v>
      </c>
      <c r="E20">
        <v>2231440428</v>
      </c>
      <c r="F20" s="19">
        <f>VLOOKUP(CurrentMtgRatesDataTable826[[#This Row],[issueDate]],CurrentMtgRatesDataTable8267[[issueDate]:[issueAmount]],3,0)</f>
        <v>363856997</v>
      </c>
      <c r="G20" s="19" t="e">
        <f>VLOOKUP(CurrentMtgRatesDataTable826[[#This Row],[issueDate]],CurrentMtgRatesDataTable8268[[issueDate]:[issueAmount]],3,0)</f>
        <v>#N/A</v>
      </c>
      <c r="I20" t="s">
        <v>25</v>
      </c>
      <c r="J20" s="18">
        <v>40878</v>
      </c>
      <c r="K20" t="s">
        <v>26</v>
      </c>
      <c r="L20">
        <v>363856997</v>
      </c>
      <c r="O20" t="s">
        <v>27</v>
      </c>
      <c r="P20" s="18">
        <v>41548</v>
      </c>
      <c r="Q20" t="s">
        <v>28</v>
      </c>
      <c r="R20">
        <v>615254685</v>
      </c>
    </row>
    <row r="21" spans="2:18">
      <c r="B21" t="s">
        <v>23</v>
      </c>
      <c r="C21" s="18">
        <v>40909</v>
      </c>
      <c r="D21" t="s">
        <v>24</v>
      </c>
      <c r="E21">
        <v>1557100159</v>
      </c>
      <c r="F21" s="19">
        <f>VLOOKUP(CurrentMtgRatesDataTable826[[#This Row],[issueDate]],CurrentMtgRatesDataTable8267[[issueDate]:[issueAmount]],3,0)</f>
        <v>964656975</v>
      </c>
      <c r="G21" s="19" t="e">
        <f>VLOOKUP(CurrentMtgRatesDataTable826[[#This Row],[issueDate]],CurrentMtgRatesDataTable8268[[issueDate]:[issueAmount]],3,0)</f>
        <v>#N/A</v>
      </c>
      <c r="I21" t="s">
        <v>25</v>
      </c>
      <c r="J21" s="18">
        <v>40909</v>
      </c>
      <c r="K21" t="s">
        <v>26</v>
      </c>
      <c r="L21">
        <v>964656975</v>
      </c>
      <c r="O21" t="s">
        <v>27</v>
      </c>
      <c r="P21" s="18">
        <v>41579</v>
      </c>
      <c r="Q21" t="s">
        <v>28</v>
      </c>
      <c r="R21">
        <v>887067278</v>
      </c>
    </row>
    <row r="22" spans="2:18">
      <c r="B22" t="s">
        <v>23</v>
      </c>
      <c r="C22" s="18">
        <v>40940</v>
      </c>
      <c r="D22" t="s">
        <v>24</v>
      </c>
      <c r="E22">
        <v>1459805763</v>
      </c>
      <c r="F22" s="19">
        <f>VLOOKUP(CurrentMtgRatesDataTable826[[#This Row],[issueDate]],CurrentMtgRatesDataTable8267[[issueDate]:[issueAmount]],3,0)</f>
        <v>935368647</v>
      </c>
      <c r="G22" s="19" t="e">
        <f>VLOOKUP(CurrentMtgRatesDataTable826[[#This Row],[issueDate]],CurrentMtgRatesDataTable8268[[issueDate]:[issueAmount]],3,0)</f>
        <v>#N/A</v>
      </c>
      <c r="I22" t="s">
        <v>25</v>
      </c>
      <c r="J22" s="18">
        <v>40940</v>
      </c>
      <c r="K22" t="s">
        <v>26</v>
      </c>
      <c r="L22">
        <v>935368647</v>
      </c>
      <c r="O22" t="s">
        <v>27</v>
      </c>
      <c r="P22" s="18">
        <v>41609</v>
      </c>
      <c r="Q22" t="s">
        <v>28</v>
      </c>
      <c r="R22">
        <v>857597466</v>
      </c>
    </row>
    <row r="23" spans="2:18">
      <c r="B23" t="s">
        <v>23</v>
      </c>
      <c r="C23" s="18">
        <v>40969</v>
      </c>
      <c r="D23" t="s">
        <v>24</v>
      </c>
      <c r="E23">
        <v>2893315869</v>
      </c>
      <c r="F23" s="19">
        <f>VLOOKUP(CurrentMtgRatesDataTable826[[#This Row],[issueDate]],CurrentMtgRatesDataTable8267[[issueDate]:[issueAmount]],3,0)</f>
        <v>1830004532</v>
      </c>
      <c r="G23" s="19" t="e">
        <f>VLOOKUP(CurrentMtgRatesDataTable826[[#This Row],[issueDate]],CurrentMtgRatesDataTable8268[[issueDate]:[issueAmount]],3,0)</f>
        <v>#N/A</v>
      </c>
      <c r="I23" t="s">
        <v>25</v>
      </c>
      <c r="J23" s="18">
        <v>40969</v>
      </c>
      <c r="K23" t="s">
        <v>26</v>
      </c>
      <c r="L23">
        <v>1830004532</v>
      </c>
      <c r="O23" t="s">
        <v>27</v>
      </c>
      <c r="P23" s="18">
        <v>41640</v>
      </c>
      <c r="Q23" t="s">
        <v>28</v>
      </c>
      <c r="R23">
        <v>663943847</v>
      </c>
    </row>
    <row r="24" spans="2:18">
      <c r="B24" t="s">
        <v>23</v>
      </c>
      <c r="C24" s="18">
        <v>41000</v>
      </c>
      <c r="D24" t="s">
        <v>24</v>
      </c>
      <c r="E24">
        <v>853289366</v>
      </c>
      <c r="F24" s="19">
        <f>VLOOKUP(CurrentMtgRatesDataTable826[[#This Row],[issueDate]],CurrentMtgRatesDataTable8267[[issueDate]:[issueAmount]],3,0)</f>
        <v>1283593895</v>
      </c>
      <c r="G24" s="19" t="e">
        <f>VLOOKUP(CurrentMtgRatesDataTable826[[#This Row],[issueDate]],CurrentMtgRatesDataTable8268[[issueDate]:[issueAmount]],3,0)</f>
        <v>#N/A</v>
      </c>
      <c r="I24" t="s">
        <v>25</v>
      </c>
      <c r="J24" s="18">
        <v>41000</v>
      </c>
      <c r="K24" t="s">
        <v>26</v>
      </c>
      <c r="L24">
        <v>1283593895</v>
      </c>
      <c r="O24" t="s">
        <v>27</v>
      </c>
      <c r="P24" s="18">
        <v>41671</v>
      </c>
      <c r="Q24" t="s">
        <v>28</v>
      </c>
      <c r="R24">
        <v>261049913</v>
      </c>
    </row>
    <row r="25" spans="2:18">
      <c r="B25" t="s">
        <v>23</v>
      </c>
      <c r="C25" s="18">
        <v>41030</v>
      </c>
      <c r="D25" t="s">
        <v>24</v>
      </c>
      <c r="E25">
        <v>1671001392</v>
      </c>
      <c r="F25" s="19">
        <f>VLOOKUP(CurrentMtgRatesDataTable826[[#This Row],[issueDate]],CurrentMtgRatesDataTable8267[[issueDate]:[issueAmount]],3,0)</f>
        <v>2238872332</v>
      </c>
      <c r="G25" s="19" t="e">
        <f>VLOOKUP(CurrentMtgRatesDataTable826[[#This Row],[issueDate]],CurrentMtgRatesDataTable8268[[issueDate]:[issueAmount]],3,0)</f>
        <v>#N/A</v>
      </c>
      <c r="I25" t="s">
        <v>25</v>
      </c>
      <c r="J25" s="18">
        <v>41030</v>
      </c>
      <c r="K25" t="s">
        <v>26</v>
      </c>
      <c r="L25">
        <v>2238872332</v>
      </c>
      <c r="O25" t="s">
        <v>27</v>
      </c>
      <c r="P25" s="18">
        <v>41699</v>
      </c>
      <c r="Q25" t="s">
        <v>28</v>
      </c>
      <c r="R25">
        <v>214559704</v>
      </c>
    </row>
    <row r="26" spans="2:18">
      <c r="B26" t="s">
        <v>23</v>
      </c>
      <c r="C26" s="18">
        <v>41061</v>
      </c>
      <c r="D26" t="s">
        <v>24</v>
      </c>
      <c r="E26">
        <v>1932118315</v>
      </c>
      <c r="F26" s="19">
        <f>VLOOKUP(CurrentMtgRatesDataTable826[[#This Row],[issueDate]],CurrentMtgRatesDataTable8267[[issueDate]:[issueAmount]],3,0)</f>
        <v>2674159779</v>
      </c>
      <c r="G26" s="19">
        <f>VLOOKUP(CurrentMtgRatesDataTable826[[#This Row],[issueDate]],CurrentMtgRatesDataTable8268[[issueDate]:[issueAmount]],3,0)</f>
        <v>5627164641</v>
      </c>
      <c r="I26" t="s">
        <v>25</v>
      </c>
      <c r="J26" s="18">
        <v>41061</v>
      </c>
      <c r="K26" t="s">
        <v>26</v>
      </c>
      <c r="L26">
        <v>2674159779</v>
      </c>
      <c r="O26" t="s">
        <v>27</v>
      </c>
      <c r="P26" s="18">
        <v>41730</v>
      </c>
      <c r="Q26" t="s">
        <v>28</v>
      </c>
      <c r="R26">
        <v>294932105</v>
      </c>
    </row>
    <row r="27" spans="2:18">
      <c r="B27" t="s">
        <v>23</v>
      </c>
      <c r="C27" s="18">
        <v>41091</v>
      </c>
      <c r="D27" t="s">
        <v>24</v>
      </c>
      <c r="E27">
        <v>2752296610</v>
      </c>
      <c r="F27" s="19">
        <f>VLOOKUP(CurrentMtgRatesDataTable826[[#This Row],[issueDate]],CurrentMtgRatesDataTable8267[[issueDate]:[issueAmount]],3,0)</f>
        <v>2691500965</v>
      </c>
      <c r="G27" s="19">
        <f>VLOOKUP(CurrentMtgRatesDataTable826[[#This Row],[issueDate]],CurrentMtgRatesDataTable8268[[issueDate]:[issueAmount]],3,0)</f>
        <v>3713048773</v>
      </c>
      <c r="I27" t="s">
        <v>25</v>
      </c>
      <c r="J27" s="18">
        <v>41091</v>
      </c>
      <c r="K27" t="s">
        <v>26</v>
      </c>
      <c r="L27">
        <v>2691500965</v>
      </c>
      <c r="O27" t="s">
        <v>27</v>
      </c>
      <c r="P27" s="18">
        <v>41760</v>
      </c>
      <c r="Q27" t="s">
        <v>28</v>
      </c>
      <c r="R27">
        <v>110770261</v>
      </c>
    </row>
    <row r="28" spans="2:18">
      <c r="B28" t="s">
        <v>23</v>
      </c>
      <c r="C28" s="18">
        <v>41122</v>
      </c>
      <c r="D28" t="s">
        <v>24</v>
      </c>
      <c r="E28">
        <v>3126742934</v>
      </c>
      <c r="F28" s="19">
        <f>VLOOKUP(CurrentMtgRatesDataTable826[[#This Row],[issueDate]],CurrentMtgRatesDataTable8267[[issueDate]:[issueAmount]],3,0)</f>
        <v>2705488507</v>
      </c>
      <c r="G28" s="19">
        <f>VLOOKUP(CurrentMtgRatesDataTable826[[#This Row],[issueDate]],CurrentMtgRatesDataTable8268[[issueDate]:[issueAmount]],3,0)</f>
        <v>3482283708</v>
      </c>
      <c r="I28" t="s">
        <v>25</v>
      </c>
      <c r="J28" s="18">
        <v>41122</v>
      </c>
      <c r="K28" t="s">
        <v>26</v>
      </c>
      <c r="L28">
        <v>2705488507</v>
      </c>
      <c r="O28" t="s">
        <v>27</v>
      </c>
      <c r="P28" s="18">
        <v>41791</v>
      </c>
      <c r="Q28" t="s">
        <v>28</v>
      </c>
      <c r="R28">
        <v>275221137</v>
      </c>
    </row>
    <row r="29" spans="2:18">
      <c r="B29" t="s">
        <v>23</v>
      </c>
      <c r="C29" s="18">
        <v>41153</v>
      </c>
      <c r="D29" t="s">
        <v>24</v>
      </c>
      <c r="E29">
        <v>3245152246</v>
      </c>
      <c r="F29" s="19">
        <f>VLOOKUP(CurrentMtgRatesDataTable826[[#This Row],[issueDate]],CurrentMtgRatesDataTable8267[[issueDate]:[issueAmount]],3,0)</f>
        <v>2507345171</v>
      </c>
      <c r="G29" s="19">
        <f>VLOOKUP(CurrentMtgRatesDataTable826[[#This Row],[issueDate]],CurrentMtgRatesDataTable8268[[issueDate]:[issueAmount]],3,0)</f>
        <v>3393761631</v>
      </c>
      <c r="I29" t="s">
        <v>25</v>
      </c>
      <c r="J29" s="18">
        <v>41153</v>
      </c>
      <c r="K29" t="s">
        <v>26</v>
      </c>
      <c r="L29">
        <v>2507345171</v>
      </c>
      <c r="O29" t="s">
        <v>27</v>
      </c>
      <c r="P29" s="18">
        <v>41821</v>
      </c>
      <c r="Q29" t="s">
        <v>28</v>
      </c>
      <c r="R29">
        <v>174927834</v>
      </c>
    </row>
    <row r="30" spans="2:18">
      <c r="B30" t="s">
        <v>23</v>
      </c>
      <c r="C30" s="18">
        <v>41183</v>
      </c>
      <c r="D30" t="s">
        <v>24</v>
      </c>
      <c r="E30">
        <v>2054054786</v>
      </c>
      <c r="F30" s="19">
        <f>VLOOKUP(CurrentMtgRatesDataTable826[[#This Row],[issueDate]],CurrentMtgRatesDataTable8267[[issueDate]:[issueAmount]],3,0)</f>
        <v>1886237333</v>
      </c>
      <c r="G30" s="19">
        <f>VLOOKUP(CurrentMtgRatesDataTable826[[#This Row],[issueDate]],CurrentMtgRatesDataTable8268[[issueDate]:[issueAmount]],3,0)</f>
        <v>2591936940</v>
      </c>
      <c r="I30" t="s">
        <v>25</v>
      </c>
      <c r="J30" s="18">
        <v>41183</v>
      </c>
      <c r="K30" t="s">
        <v>26</v>
      </c>
      <c r="L30">
        <v>1886237333</v>
      </c>
      <c r="O30" t="s">
        <v>27</v>
      </c>
      <c r="P30" s="18">
        <v>41852</v>
      </c>
      <c r="Q30" t="s">
        <v>28</v>
      </c>
      <c r="R30">
        <v>330911502</v>
      </c>
    </row>
    <row r="31" spans="2:18">
      <c r="B31" t="s">
        <v>23</v>
      </c>
      <c r="C31" s="18">
        <v>41214</v>
      </c>
      <c r="D31" t="s">
        <v>24</v>
      </c>
      <c r="E31">
        <v>3993010447</v>
      </c>
      <c r="F31" s="19">
        <f>VLOOKUP(CurrentMtgRatesDataTable826[[#This Row],[issueDate]],CurrentMtgRatesDataTable8267[[issueDate]:[issueAmount]],3,0)</f>
        <v>3089976460</v>
      </c>
      <c r="G31" s="19">
        <f>VLOOKUP(CurrentMtgRatesDataTable826[[#This Row],[issueDate]],CurrentMtgRatesDataTable8268[[issueDate]:[issueAmount]],3,0)</f>
        <v>3531096335</v>
      </c>
      <c r="I31" t="s">
        <v>25</v>
      </c>
      <c r="J31" s="18">
        <v>41214</v>
      </c>
      <c r="K31" t="s">
        <v>26</v>
      </c>
      <c r="L31">
        <v>3089976460</v>
      </c>
      <c r="O31" t="s">
        <v>27</v>
      </c>
      <c r="P31" s="18">
        <v>41883</v>
      </c>
      <c r="Q31" t="s">
        <v>28</v>
      </c>
      <c r="R31">
        <v>120745416</v>
      </c>
    </row>
    <row r="32" spans="2:18">
      <c r="B32" t="s">
        <v>23</v>
      </c>
      <c r="C32" s="18">
        <v>41244</v>
      </c>
      <c r="D32" t="s">
        <v>24</v>
      </c>
      <c r="E32">
        <v>1214802344</v>
      </c>
      <c r="F32" s="19">
        <f>VLOOKUP(CurrentMtgRatesDataTable826[[#This Row],[issueDate]],CurrentMtgRatesDataTable8267[[issueDate]:[issueAmount]],3,0)</f>
        <v>1925814668</v>
      </c>
      <c r="G32" s="19">
        <f>VLOOKUP(CurrentMtgRatesDataTable826[[#This Row],[issueDate]],CurrentMtgRatesDataTable8268[[issueDate]:[issueAmount]],3,0)</f>
        <v>2237392773</v>
      </c>
      <c r="I32" t="s">
        <v>25</v>
      </c>
      <c r="J32" s="18">
        <v>41244</v>
      </c>
      <c r="K32" t="s">
        <v>26</v>
      </c>
      <c r="L32">
        <v>1925814668</v>
      </c>
      <c r="O32" t="s">
        <v>27</v>
      </c>
      <c r="P32" s="18">
        <v>41913</v>
      </c>
      <c r="Q32" t="s">
        <v>28</v>
      </c>
      <c r="R32">
        <v>385881834</v>
      </c>
    </row>
    <row r="33" spans="2:18">
      <c r="B33" t="s">
        <v>23</v>
      </c>
      <c r="C33" s="18">
        <v>41275</v>
      </c>
      <c r="D33" t="s">
        <v>24</v>
      </c>
      <c r="E33">
        <v>3321638962</v>
      </c>
      <c r="F33" s="19">
        <f>VLOOKUP(CurrentMtgRatesDataTable826[[#This Row],[issueDate]],CurrentMtgRatesDataTable8267[[issueDate]:[issueAmount]],3,0)</f>
        <v>2387371027</v>
      </c>
      <c r="G33" s="19">
        <f>VLOOKUP(CurrentMtgRatesDataTable826[[#This Row],[issueDate]],CurrentMtgRatesDataTable8268[[issueDate]:[issueAmount]],3,0)</f>
        <v>3299880097</v>
      </c>
      <c r="I33" t="s">
        <v>25</v>
      </c>
      <c r="J33" s="18">
        <v>41275</v>
      </c>
      <c r="K33" t="s">
        <v>26</v>
      </c>
      <c r="L33">
        <v>2387371027</v>
      </c>
      <c r="O33" t="s">
        <v>27</v>
      </c>
      <c r="P33" s="18">
        <v>41944</v>
      </c>
      <c r="Q33" t="s">
        <v>28</v>
      </c>
      <c r="R33">
        <v>230866169</v>
      </c>
    </row>
    <row r="34" spans="2:18">
      <c r="B34" t="s">
        <v>23</v>
      </c>
      <c r="C34" s="18">
        <v>41306</v>
      </c>
      <c r="D34" t="s">
        <v>24</v>
      </c>
      <c r="E34">
        <v>1888075582</v>
      </c>
      <c r="F34" s="19">
        <f>VLOOKUP(CurrentMtgRatesDataTable826[[#This Row],[issueDate]],CurrentMtgRatesDataTable8267[[issueDate]:[issueAmount]],3,0)</f>
        <v>2217599892</v>
      </c>
      <c r="G34" s="19">
        <f>VLOOKUP(CurrentMtgRatesDataTable826[[#This Row],[issueDate]],CurrentMtgRatesDataTable8268[[issueDate]:[issueAmount]],3,0)</f>
        <v>2808516054</v>
      </c>
      <c r="I34" t="s">
        <v>25</v>
      </c>
      <c r="J34" s="18">
        <v>41306</v>
      </c>
      <c r="K34" t="s">
        <v>26</v>
      </c>
      <c r="L34">
        <v>2217599892</v>
      </c>
      <c r="O34" t="s">
        <v>27</v>
      </c>
      <c r="P34" s="18">
        <v>41974</v>
      </c>
      <c r="Q34" t="s">
        <v>28</v>
      </c>
      <c r="R34">
        <v>1261524465</v>
      </c>
    </row>
    <row r="35" spans="2:18">
      <c r="B35" t="s">
        <v>23</v>
      </c>
      <c r="C35" s="18">
        <v>41334</v>
      </c>
      <c r="D35" t="s">
        <v>24</v>
      </c>
      <c r="E35">
        <v>2116389422</v>
      </c>
      <c r="F35" s="19">
        <f>VLOOKUP(CurrentMtgRatesDataTable826[[#This Row],[issueDate]],CurrentMtgRatesDataTable8267[[issueDate]:[issueAmount]],3,0)</f>
        <v>2074956858</v>
      </c>
      <c r="G35" s="19">
        <f>VLOOKUP(CurrentMtgRatesDataTable826[[#This Row],[issueDate]],CurrentMtgRatesDataTable8268[[issueDate]:[issueAmount]],3,0)</f>
        <v>2186380753</v>
      </c>
      <c r="I35" t="s">
        <v>25</v>
      </c>
      <c r="J35" s="18">
        <v>41334</v>
      </c>
      <c r="K35" t="s">
        <v>26</v>
      </c>
      <c r="L35">
        <v>2074956858</v>
      </c>
      <c r="O35" t="s">
        <v>27</v>
      </c>
      <c r="P35" s="18">
        <v>42005</v>
      </c>
      <c r="Q35" t="s">
        <v>28</v>
      </c>
      <c r="R35">
        <v>143096287</v>
      </c>
    </row>
    <row r="36" spans="2:18">
      <c r="B36" t="s">
        <v>23</v>
      </c>
      <c r="C36" s="18">
        <v>41365</v>
      </c>
      <c r="D36" t="s">
        <v>24</v>
      </c>
      <c r="E36">
        <v>2271806082</v>
      </c>
      <c r="F36" s="19">
        <f>VLOOKUP(CurrentMtgRatesDataTable826[[#This Row],[issueDate]],CurrentMtgRatesDataTable8267[[issueDate]:[issueAmount]],3,0)</f>
        <v>2243146531</v>
      </c>
      <c r="G36" s="19">
        <f>VLOOKUP(CurrentMtgRatesDataTable826[[#This Row],[issueDate]],CurrentMtgRatesDataTable8268[[issueDate]:[issueAmount]],3,0)</f>
        <v>2498076581</v>
      </c>
      <c r="I36" t="s">
        <v>25</v>
      </c>
      <c r="J36" s="18">
        <v>41365</v>
      </c>
      <c r="K36" t="s">
        <v>26</v>
      </c>
      <c r="L36">
        <v>2243146531</v>
      </c>
      <c r="O36" t="s">
        <v>27</v>
      </c>
      <c r="P36" s="18">
        <v>42036</v>
      </c>
      <c r="Q36" t="s">
        <v>28</v>
      </c>
      <c r="R36">
        <v>127311006</v>
      </c>
    </row>
    <row r="37" spans="2:18">
      <c r="B37" t="s">
        <v>23</v>
      </c>
      <c r="C37" s="18">
        <v>41395</v>
      </c>
      <c r="D37" t="s">
        <v>24</v>
      </c>
      <c r="E37">
        <v>2019206225</v>
      </c>
      <c r="F37" s="19">
        <f>VLOOKUP(CurrentMtgRatesDataTable826[[#This Row],[issueDate]],CurrentMtgRatesDataTable8267[[issueDate]:[issueAmount]],3,0)</f>
        <v>1541931533</v>
      </c>
      <c r="G37" s="19">
        <f>VLOOKUP(CurrentMtgRatesDataTable826[[#This Row],[issueDate]],CurrentMtgRatesDataTable8268[[issueDate]:[issueAmount]],3,0)</f>
        <v>1858786075</v>
      </c>
      <c r="I37" t="s">
        <v>25</v>
      </c>
      <c r="J37" s="18">
        <v>41395</v>
      </c>
      <c r="K37" t="s">
        <v>26</v>
      </c>
      <c r="L37">
        <v>1541931533</v>
      </c>
      <c r="O37" t="s">
        <v>27</v>
      </c>
      <c r="P37" s="18">
        <v>42064</v>
      </c>
      <c r="Q37" t="s">
        <v>28</v>
      </c>
      <c r="R37">
        <v>155150153</v>
      </c>
    </row>
    <row r="38" spans="2:18">
      <c r="B38" t="s">
        <v>23</v>
      </c>
      <c r="C38" s="18">
        <v>41426</v>
      </c>
      <c r="D38" t="s">
        <v>24</v>
      </c>
      <c r="E38">
        <v>2418493907</v>
      </c>
      <c r="F38" s="19">
        <f>VLOOKUP(CurrentMtgRatesDataTable826[[#This Row],[issueDate]],CurrentMtgRatesDataTable8267[[issueDate]:[issueAmount]],3,0)</f>
        <v>1758314749</v>
      </c>
      <c r="G38" s="19">
        <f>VLOOKUP(CurrentMtgRatesDataTable826[[#This Row],[issueDate]],CurrentMtgRatesDataTable8268[[issueDate]:[issueAmount]],3,0)</f>
        <v>1553402361</v>
      </c>
      <c r="I38" t="s">
        <v>25</v>
      </c>
      <c r="J38" s="18">
        <v>41426</v>
      </c>
      <c r="K38" t="s">
        <v>26</v>
      </c>
      <c r="L38">
        <v>1758314749</v>
      </c>
      <c r="O38" s="5" t="s">
        <v>27</v>
      </c>
      <c r="P38" s="30">
        <v>42095</v>
      </c>
      <c r="Q38" s="5" t="s">
        <v>28</v>
      </c>
      <c r="R38" s="5">
        <v>219449239</v>
      </c>
    </row>
    <row r="39" spans="2:18">
      <c r="B39" t="s">
        <v>23</v>
      </c>
      <c r="C39" s="18">
        <v>41456</v>
      </c>
      <c r="D39" t="s">
        <v>24</v>
      </c>
      <c r="E39">
        <v>1885265938</v>
      </c>
      <c r="F39" s="19">
        <f>VLOOKUP(CurrentMtgRatesDataTable826[[#This Row],[issueDate]],CurrentMtgRatesDataTable8267[[issueDate]:[issueAmount]],3,0)</f>
        <v>1616623154</v>
      </c>
      <c r="G39" s="19">
        <f>VLOOKUP(CurrentMtgRatesDataTable826[[#This Row],[issueDate]],CurrentMtgRatesDataTable8268[[issueDate]:[issueAmount]],3,0)</f>
        <v>1434823555</v>
      </c>
      <c r="I39" t="s">
        <v>25</v>
      </c>
      <c r="J39" s="18">
        <v>41456</v>
      </c>
      <c r="K39" t="s">
        <v>26</v>
      </c>
      <c r="L39">
        <v>1616623154</v>
      </c>
      <c r="O39" s="47" t="s">
        <v>27</v>
      </c>
      <c r="P39" s="48">
        <v>42125</v>
      </c>
      <c r="Q39" s="47" t="s">
        <v>28</v>
      </c>
      <c r="R39" s="47">
        <v>431918408</v>
      </c>
    </row>
    <row r="40" spans="2:18">
      <c r="B40" t="s">
        <v>23</v>
      </c>
      <c r="C40" s="18">
        <v>41487</v>
      </c>
      <c r="D40" t="s">
        <v>24</v>
      </c>
      <c r="E40">
        <v>1634700327</v>
      </c>
      <c r="F40" s="19">
        <f>VLOOKUP(CurrentMtgRatesDataTable826[[#This Row],[issueDate]],CurrentMtgRatesDataTable8267[[issueDate]:[issueAmount]],3,0)</f>
        <v>1373502996</v>
      </c>
      <c r="G40" s="19">
        <f>VLOOKUP(CurrentMtgRatesDataTable826[[#This Row],[issueDate]],CurrentMtgRatesDataTable8268[[issueDate]:[issueAmount]],3,0)</f>
        <v>1187325480</v>
      </c>
      <c r="I40" t="s">
        <v>25</v>
      </c>
      <c r="J40" s="18">
        <v>41487</v>
      </c>
      <c r="K40" t="s">
        <v>26</v>
      </c>
      <c r="L40">
        <v>1373502996</v>
      </c>
      <c r="O40" s="47" t="s">
        <v>27</v>
      </c>
      <c r="P40" s="48">
        <v>42156</v>
      </c>
      <c r="Q40" s="47" t="s">
        <v>28</v>
      </c>
      <c r="R40" s="47">
        <v>135271888</v>
      </c>
    </row>
    <row r="41" spans="2:18">
      <c r="B41" t="s">
        <v>23</v>
      </c>
      <c r="C41" s="18">
        <v>41518</v>
      </c>
      <c r="D41" t="s">
        <v>24</v>
      </c>
      <c r="E41">
        <v>971826383</v>
      </c>
      <c r="F41" s="19">
        <f>VLOOKUP(CurrentMtgRatesDataTable826[[#This Row],[issueDate]],CurrentMtgRatesDataTable8267[[issueDate]:[issueAmount]],3,0)</f>
        <v>960260689</v>
      </c>
      <c r="G41" s="19">
        <f>VLOOKUP(CurrentMtgRatesDataTable826[[#This Row],[issueDate]],CurrentMtgRatesDataTable8268[[issueDate]:[issueAmount]],3,0)</f>
        <v>743460848</v>
      </c>
      <c r="I41" t="s">
        <v>25</v>
      </c>
      <c r="J41" s="18">
        <v>41518</v>
      </c>
      <c r="K41" t="s">
        <v>26</v>
      </c>
      <c r="L41">
        <v>960260689</v>
      </c>
    </row>
    <row r="42" spans="2:18">
      <c r="B42" t="s">
        <v>23</v>
      </c>
      <c r="C42" s="18">
        <v>41548</v>
      </c>
      <c r="D42" t="s">
        <v>24</v>
      </c>
      <c r="E42">
        <v>841860222</v>
      </c>
      <c r="F42" s="19">
        <f>VLOOKUP(CurrentMtgRatesDataTable826[[#This Row],[issueDate]],CurrentMtgRatesDataTable8267[[issueDate]:[issueAmount]],3,0)</f>
        <v>817694911</v>
      </c>
      <c r="G42" s="19">
        <f>VLOOKUP(CurrentMtgRatesDataTable826[[#This Row],[issueDate]],CurrentMtgRatesDataTable8268[[issueDate]:[issueAmount]],3,0)</f>
        <v>615254685</v>
      </c>
      <c r="I42" t="s">
        <v>25</v>
      </c>
      <c r="J42" s="18">
        <v>41548</v>
      </c>
      <c r="K42" t="s">
        <v>26</v>
      </c>
      <c r="L42">
        <v>817694911</v>
      </c>
    </row>
    <row r="43" spans="2:18">
      <c r="B43" t="s">
        <v>23</v>
      </c>
      <c r="C43" s="18">
        <v>41579</v>
      </c>
      <c r="D43" t="s">
        <v>24</v>
      </c>
      <c r="E43">
        <v>773960857</v>
      </c>
      <c r="F43" s="19">
        <f>VLOOKUP(CurrentMtgRatesDataTable826[[#This Row],[issueDate]],CurrentMtgRatesDataTable8267[[issueDate]:[issueAmount]],3,0)</f>
        <v>650781591</v>
      </c>
      <c r="G43" s="19">
        <f>VLOOKUP(CurrentMtgRatesDataTable826[[#This Row],[issueDate]],CurrentMtgRatesDataTable8268[[issueDate]:[issueAmount]],3,0)</f>
        <v>887067278</v>
      </c>
      <c r="I43" t="s">
        <v>25</v>
      </c>
      <c r="J43" s="18">
        <v>41579</v>
      </c>
      <c r="K43" t="s">
        <v>26</v>
      </c>
      <c r="L43">
        <v>650781591</v>
      </c>
    </row>
    <row r="44" spans="2:18">
      <c r="B44" t="s">
        <v>23</v>
      </c>
      <c r="C44" s="18">
        <v>41609</v>
      </c>
      <c r="D44" t="s">
        <v>24</v>
      </c>
      <c r="E44">
        <v>647887853</v>
      </c>
      <c r="F44" s="19">
        <f>VLOOKUP(CurrentMtgRatesDataTable826[[#This Row],[issueDate]],CurrentMtgRatesDataTable8267[[issueDate]:[issueAmount]],3,0)</f>
        <v>755691585</v>
      </c>
      <c r="G44" s="19">
        <f>VLOOKUP(CurrentMtgRatesDataTable826[[#This Row],[issueDate]],CurrentMtgRatesDataTable8268[[issueDate]:[issueAmount]],3,0)</f>
        <v>857597466</v>
      </c>
      <c r="I44" t="s">
        <v>25</v>
      </c>
      <c r="J44" s="18">
        <v>41609</v>
      </c>
      <c r="K44" t="s">
        <v>26</v>
      </c>
      <c r="L44">
        <v>755691585</v>
      </c>
    </row>
    <row r="45" spans="2:18">
      <c r="B45" t="s">
        <v>23</v>
      </c>
      <c r="C45" s="18">
        <v>41640</v>
      </c>
      <c r="D45" t="s">
        <v>24</v>
      </c>
      <c r="E45">
        <v>392754952</v>
      </c>
      <c r="F45" s="19">
        <f>VLOOKUP(CurrentMtgRatesDataTable826[[#This Row],[issueDate]],CurrentMtgRatesDataTable8267[[issueDate]:[issueAmount]],3,0)</f>
        <v>438784911</v>
      </c>
      <c r="G45" s="19">
        <f>VLOOKUP(CurrentMtgRatesDataTable826[[#This Row],[issueDate]],CurrentMtgRatesDataTable8268[[issueDate]:[issueAmount]],3,0)</f>
        <v>663943847</v>
      </c>
      <c r="I45" t="s">
        <v>25</v>
      </c>
      <c r="J45" s="18">
        <v>41640</v>
      </c>
      <c r="K45" t="s">
        <v>26</v>
      </c>
      <c r="L45">
        <v>438784911</v>
      </c>
    </row>
    <row r="46" spans="2:18">
      <c r="B46" t="s">
        <v>23</v>
      </c>
      <c r="C46" s="18">
        <v>41671</v>
      </c>
      <c r="D46" t="s">
        <v>24</v>
      </c>
      <c r="E46">
        <v>362334810</v>
      </c>
      <c r="F46" s="19">
        <f>VLOOKUP(CurrentMtgRatesDataTable826[[#This Row],[issueDate]],CurrentMtgRatesDataTable8267[[issueDate]:[issueAmount]],3,0)</f>
        <v>399641559</v>
      </c>
      <c r="G46" s="19">
        <f>VLOOKUP(CurrentMtgRatesDataTable826[[#This Row],[issueDate]],CurrentMtgRatesDataTable8268[[issueDate]:[issueAmount]],3,0)</f>
        <v>261049913</v>
      </c>
      <c r="I46" t="s">
        <v>25</v>
      </c>
      <c r="J46" s="18">
        <v>41671</v>
      </c>
      <c r="K46" t="s">
        <v>26</v>
      </c>
      <c r="L46">
        <v>399641559</v>
      </c>
    </row>
    <row r="47" spans="2:18">
      <c r="B47" t="s">
        <v>23</v>
      </c>
      <c r="C47" s="18">
        <v>41699</v>
      </c>
      <c r="D47" t="s">
        <v>24</v>
      </c>
      <c r="E47">
        <v>230227055</v>
      </c>
      <c r="F47" s="19">
        <f>VLOOKUP(CurrentMtgRatesDataTable826[[#This Row],[issueDate]],CurrentMtgRatesDataTable8267[[issueDate]:[issueAmount]],3,0)</f>
        <v>313566996</v>
      </c>
      <c r="G47" s="19">
        <f>VLOOKUP(CurrentMtgRatesDataTable826[[#This Row],[issueDate]],CurrentMtgRatesDataTable8268[[issueDate]:[issueAmount]],3,0)</f>
        <v>214559704</v>
      </c>
      <c r="I47" t="s">
        <v>25</v>
      </c>
      <c r="J47" s="18">
        <v>41699</v>
      </c>
      <c r="K47" t="s">
        <v>26</v>
      </c>
      <c r="L47">
        <v>313566996</v>
      </c>
    </row>
    <row r="48" spans="2:18">
      <c r="B48" t="s">
        <v>23</v>
      </c>
      <c r="C48" s="18">
        <v>41730</v>
      </c>
      <c r="D48" t="s">
        <v>24</v>
      </c>
      <c r="E48">
        <v>278280577</v>
      </c>
      <c r="F48" s="19">
        <f>VLOOKUP(CurrentMtgRatesDataTable826[[#This Row],[issueDate]],CurrentMtgRatesDataTable8267[[issueDate]:[issueAmount]],3,0)</f>
        <v>255206728</v>
      </c>
      <c r="G48" s="19">
        <f>VLOOKUP(CurrentMtgRatesDataTable826[[#This Row],[issueDate]],CurrentMtgRatesDataTable8268[[issueDate]:[issueAmount]],3,0)</f>
        <v>294932105</v>
      </c>
      <c r="I48" t="s">
        <v>25</v>
      </c>
      <c r="J48" s="18">
        <v>41730</v>
      </c>
      <c r="K48" t="s">
        <v>26</v>
      </c>
      <c r="L48">
        <v>255206728</v>
      </c>
    </row>
    <row r="49" spans="2:12">
      <c r="B49" t="s">
        <v>23</v>
      </c>
      <c r="C49" s="18">
        <v>41760</v>
      </c>
      <c r="D49" t="s">
        <v>24</v>
      </c>
      <c r="E49">
        <v>337688908</v>
      </c>
      <c r="F49" s="19">
        <f>VLOOKUP(CurrentMtgRatesDataTable826[[#This Row],[issueDate]],CurrentMtgRatesDataTable8267[[issueDate]:[issueAmount]],3,0)</f>
        <v>186037636</v>
      </c>
      <c r="G49" s="19">
        <f>VLOOKUP(CurrentMtgRatesDataTable826[[#This Row],[issueDate]],CurrentMtgRatesDataTable8268[[issueDate]:[issueAmount]],3,0)</f>
        <v>110770261</v>
      </c>
      <c r="I49" t="s">
        <v>25</v>
      </c>
      <c r="J49" s="18">
        <v>41760</v>
      </c>
      <c r="K49" t="s">
        <v>26</v>
      </c>
      <c r="L49">
        <v>186037636</v>
      </c>
    </row>
    <row r="50" spans="2:12">
      <c r="B50" t="s">
        <v>23</v>
      </c>
      <c r="C50" s="18">
        <v>41791</v>
      </c>
      <c r="D50" t="s">
        <v>24</v>
      </c>
      <c r="E50">
        <v>319731336</v>
      </c>
      <c r="F50" s="19">
        <f>VLOOKUP(CurrentMtgRatesDataTable826[[#This Row],[issueDate]],CurrentMtgRatesDataTable8267[[issueDate]:[issueAmount]],3,0)</f>
        <v>244291451</v>
      </c>
      <c r="G50" s="19">
        <f>VLOOKUP(CurrentMtgRatesDataTable826[[#This Row],[issueDate]],CurrentMtgRatesDataTable8268[[issueDate]:[issueAmount]],3,0)</f>
        <v>275221137</v>
      </c>
      <c r="I50" t="s">
        <v>25</v>
      </c>
      <c r="J50" s="18">
        <v>41791</v>
      </c>
      <c r="K50" t="s">
        <v>26</v>
      </c>
      <c r="L50">
        <v>244291451</v>
      </c>
    </row>
    <row r="51" spans="2:12">
      <c r="B51" t="s">
        <v>23</v>
      </c>
      <c r="C51" s="18">
        <v>41821</v>
      </c>
      <c r="D51" t="s">
        <v>24</v>
      </c>
      <c r="E51">
        <v>562390222</v>
      </c>
      <c r="F51" s="19">
        <f>VLOOKUP(CurrentMtgRatesDataTable826[[#This Row],[issueDate]],CurrentMtgRatesDataTable8267[[issueDate]:[issueAmount]],3,0)</f>
        <v>206481264</v>
      </c>
      <c r="G51" s="19">
        <f>VLOOKUP(CurrentMtgRatesDataTable826[[#This Row],[issueDate]],CurrentMtgRatesDataTable8268[[issueDate]:[issueAmount]],3,0)</f>
        <v>174927834</v>
      </c>
      <c r="I51" t="s">
        <v>25</v>
      </c>
      <c r="J51" s="18">
        <v>41821</v>
      </c>
      <c r="K51" t="s">
        <v>26</v>
      </c>
      <c r="L51">
        <v>206481264</v>
      </c>
    </row>
    <row r="52" spans="2:12">
      <c r="B52" t="s">
        <v>23</v>
      </c>
      <c r="C52" s="18">
        <v>41852</v>
      </c>
      <c r="D52" t="s">
        <v>24</v>
      </c>
      <c r="E52">
        <v>449797295</v>
      </c>
      <c r="F52" s="19">
        <f>VLOOKUP(CurrentMtgRatesDataTable826[[#This Row],[issueDate]],CurrentMtgRatesDataTable8267[[issueDate]:[issueAmount]],3,0)</f>
        <v>346554888</v>
      </c>
      <c r="G52" s="19">
        <f>VLOOKUP(CurrentMtgRatesDataTable826[[#This Row],[issueDate]],CurrentMtgRatesDataTable8268[[issueDate]:[issueAmount]],3,0)</f>
        <v>330911502</v>
      </c>
      <c r="I52" t="s">
        <v>25</v>
      </c>
      <c r="J52" s="18">
        <v>41852</v>
      </c>
      <c r="K52" t="s">
        <v>26</v>
      </c>
      <c r="L52">
        <v>346554888</v>
      </c>
    </row>
    <row r="53" spans="2:12">
      <c r="B53" t="s">
        <v>23</v>
      </c>
      <c r="C53" s="18">
        <v>41883</v>
      </c>
      <c r="D53" t="s">
        <v>24</v>
      </c>
      <c r="E53">
        <v>746264105</v>
      </c>
      <c r="F53" s="19">
        <f>VLOOKUP(CurrentMtgRatesDataTable826[[#This Row],[issueDate]],CurrentMtgRatesDataTable8267[[issueDate]:[issueAmount]],3,0)</f>
        <v>187308272</v>
      </c>
      <c r="G53" s="19">
        <f>VLOOKUP(CurrentMtgRatesDataTable826[[#This Row],[issueDate]],CurrentMtgRatesDataTable8268[[issueDate]:[issueAmount]],3,0)</f>
        <v>120745416</v>
      </c>
      <c r="I53" t="s">
        <v>25</v>
      </c>
      <c r="J53" s="18">
        <v>41883</v>
      </c>
      <c r="K53" t="s">
        <v>26</v>
      </c>
      <c r="L53">
        <v>187308272</v>
      </c>
    </row>
    <row r="54" spans="2:12">
      <c r="B54" t="s">
        <v>23</v>
      </c>
      <c r="C54" s="18">
        <v>41913</v>
      </c>
      <c r="D54" t="s">
        <v>24</v>
      </c>
      <c r="E54">
        <v>639001193</v>
      </c>
      <c r="F54" s="19">
        <f>VLOOKUP(CurrentMtgRatesDataTable826[[#This Row],[issueDate]],CurrentMtgRatesDataTable8267[[issueDate]:[issueAmount]],3,0)</f>
        <v>169366238</v>
      </c>
      <c r="G54" s="19">
        <f>VLOOKUP(CurrentMtgRatesDataTable826[[#This Row],[issueDate]],CurrentMtgRatesDataTable8268[[issueDate]:[issueAmount]],3,0)</f>
        <v>385881834</v>
      </c>
      <c r="I54" t="s">
        <v>25</v>
      </c>
      <c r="J54" s="18">
        <v>41913</v>
      </c>
      <c r="K54" t="s">
        <v>26</v>
      </c>
      <c r="L54">
        <v>169366238</v>
      </c>
    </row>
    <row r="55" spans="2:12">
      <c r="B55" t="s">
        <v>23</v>
      </c>
      <c r="C55" s="18">
        <v>41944</v>
      </c>
      <c r="D55" t="s">
        <v>24</v>
      </c>
      <c r="E55">
        <v>549347202</v>
      </c>
      <c r="F55" s="19">
        <f>VLOOKUP(CurrentMtgRatesDataTable826[[#This Row],[issueDate]],CurrentMtgRatesDataTable8267[[issueDate]:[issueAmount]],3,0)</f>
        <v>371096000</v>
      </c>
      <c r="G55" s="19">
        <f>VLOOKUP(CurrentMtgRatesDataTable826[[#This Row],[issueDate]],CurrentMtgRatesDataTable8268[[issueDate]:[issueAmount]],3,0)</f>
        <v>230866169</v>
      </c>
      <c r="I55" t="s">
        <v>25</v>
      </c>
      <c r="J55" s="18">
        <v>41944</v>
      </c>
      <c r="K55" t="s">
        <v>26</v>
      </c>
      <c r="L55">
        <v>371096000</v>
      </c>
    </row>
    <row r="56" spans="2:12">
      <c r="B56" t="s">
        <v>23</v>
      </c>
      <c r="C56" s="18">
        <v>41974</v>
      </c>
      <c r="D56" t="s">
        <v>24</v>
      </c>
      <c r="E56">
        <v>771028754</v>
      </c>
      <c r="F56" s="19">
        <f>VLOOKUP(CurrentMtgRatesDataTable826[[#This Row],[issueDate]],CurrentMtgRatesDataTable8267[[issueDate]:[issueAmount]],3,0)</f>
        <v>145992266</v>
      </c>
      <c r="G56" s="19">
        <f>VLOOKUP(CurrentMtgRatesDataTable826[[#This Row],[issueDate]],CurrentMtgRatesDataTable8268[[issueDate]:[issueAmount]],3,0)</f>
        <v>1261524465</v>
      </c>
      <c r="I56" t="s">
        <v>25</v>
      </c>
      <c r="J56" s="18">
        <v>41974</v>
      </c>
      <c r="K56" t="s">
        <v>26</v>
      </c>
      <c r="L56">
        <v>145992266</v>
      </c>
    </row>
    <row r="57" spans="2:12">
      <c r="B57" t="s">
        <v>23</v>
      </c>
      <c r="C57" s="18">
        <v>42005</v>
      </c>
      <c r="D57" t="s">
        <v>24</v>
      </c>
      <c r="E57">
        <v>667434711</v>
      </c>
      <c r="F57" s="19">
        <f>VLOOKUP(CurrentMtgRatesDataTable826[[#This Row],[issueDate]],CurrentMtgRatesDataTable8267[[issueDate]:[issueAmount]],3,0)</f>
        <v>120675652</v>
      </c>
      <c r="G57" s="19">
        <f>VLOOKUP(CurrentMtgRatesDataTable826[[#This Row],[issueDate]],CurrentMtgRatesDataTable8268[[issueDate]:[issueAmount]],3,0)</f>
        <v>143096287</v>
      </c>
      <c r="I57" t="s">
        <v>25</v>
      </c>
      <c r="J57" s="18">
        <v>42005</v>
      </c>
      <c r="K57" t="s">
        <v>26</v>
      </c>
      <c r="L57">
        <v>120675652</v>
      </c>
    </row>
    <row r="58" spans="2:12">
      <c r="B58" t="s">
        <v>23</v>
      </c>
      <c r="C58" s="18">
        <v>42036</v>
      </c>
      <c r="D58" t="s">
        <v>24</v>
      </c>
      <c r="E58">
        <v>821128260</v>
      </c>
      <c r="F58" s="19">
        <f>VLOOKUP(CurrentMtgRatesDataTable826[[#This Row],[issueDate]],CurrentMtgRatesDataTable8267[[issueDate]:[issueAmount]],3,0)</f>
        <v>469334257</v>
      </c>
      <c r="G58" s="19">
        <f>VLOOKUP(CurrentMtgRatesDataTable826[[#This Row],[issueDate]],CurrentMtgRatesDataTable8268[[issueDate]:[issueAmount]],3,0)</f>
        <v>127311006</v>
      </c>
      <c r="I58" t="s">
        <v>25</v>
      </c>
      <c r="J58" s="18">
        <v>42036</v>
      </c>
      <c r="K58" t="s">
        <v>26</v>
      </c>
      <c r="L58">
        <v>469334257</v>
      </c>
    </row>
    <row r="59" spans="2:12">
      <c r="B59" t="s">
        <v>23</v>
      </c>
      <c r="C59" s="18">
        <v>42064</v>
      </c>
      <c r="D59" t="s">
        <v>24</v>
      </c>
      <c r="E59">
        <v>1012026911</v>
      </c>
      <c r="F59" s="19">
        <f>VLOOKUP(CurrentMtgRatesDataTable826[[#This Row],[issueDate]],CurrentMtgRatesDataTable8267[[issueDate]:[issueAmount]],3,0)</f>
        <v>104946942</v>
      </c>
      <c r="G59" s="19">
        <f>VLOOKUP(CurrentMtgRatesDataTable826[[#This Row],[issueDate]],CurrentMtgRatesDataTable8268[[issueDate]:[issueAmount]],3,0)</f>
        <v>155150153</v>
      </c>
      <c r="I59" t="s">
        <v>25</v>
      </c>
      <c r="J59" s="18">
        <v>42064</v>
      </c>
      <c r="K59" t="s">
        <v>26</v>
      </c>
      <c r="L59">
        <v>104946942</v>
      </c>
    </row>
    <row r="60" spans="2:12">
      <c r="B60" t="s">
        <v>23</v>
      </c>
      <c r="C60" s="18">
        <v>42095</v>
      </c>
      <c r="D60" t="s">
        <v>24</v>
      </c>
      <c r="E60">
        <v>1093740959</v>
      </c>
      <c r="F60" s="19">
        <f>VLOOKUP(CurrentMtgRatesDataTable826[[#This Row],[issueDate]],CurrentMtgRatesDataTable8267[[issueDate]:[issueAmount]],3,0)</f>
        <v>131358298</v>
      </c>
      <c r="G60" s="19">
        <f>VLOOKUP(CurrentMtgRatesDataTable826[[#This Row],[issueDate]],CurrentMtgRatesDataTable8268[[issueDate]:[issueAmount]],3,0)</f>
        <v>219449239</v>
      </c>
      <c r="I60" t="s">
        <v>25</v>
      </c>
      <c r="J60" s="18">
        <v>42095</v>
      </c>
      <c r="K60" t="s">
        <v>26</v>
      </c>
      <c r="L60">
        <v>131358298</v>
      </c>
    </row>
    <row r="61" spans="2:12">
      <c r="B61" s="47" t="s">
        <v>23</v>
      </c>
      <c r="C61" s="48">
        <v>42125</v>
      </c>
      <c r="D61" s="47" t="s">
        <v>24</v>
      </c>
      <c r="E61" s="47">
        <v>778540166</v>
      </c>
      <c r="F61" s="49">
        <f>VLOOKUP(CurrentMtgRatesDataTable826[[#This Row],[issueDate]],CurrentMtgRatesDataTable8267[[issueDate]:[issueAmount]],3,0)</f>
        <v>113644778</v>
      </c>
      <c r="G61" s="49">
        <f>VLOOKUP(CurrentMtgRatesDataTable826[[#This Row],[issueDate]],CurrentMtgRatesDataTable8268[[issueDate]:[issueAmount]],3,0)</f>
        <v>431918408</v>
      </c>
      <c r="I61" s="47" t="s">
        <v>25</v>
      </c>
      <c r="J61" s="48">
        <v>42125</v>
      </c>
      <c r="K61" s="47" t="s">
        <v>26</v>
      </c>
      <c r="L61" s="47">
        <v>113644778</v>
      </c>
    </row>
    <row r="62" spans="2:12">
      <c r="B62" s="47" t="s">
        <v>23</v>
      </c>
      <c r="C62" s="48">
        <v>42156</v>
      </c>
      <c r="D62" s="47" t="s">
        <v>24</v>
      </c>
      <c r="E62" s="47">
        <v>1612948251</v>
      </c>
      <c r="F62" s="49">
        <f>VLOOKUP(CurrentMtgRatesDataTable826[[#This Row],[issueDate]],CurrentMtgRatesDataTable8267[[issueDate]:[issueAmount]],3,0)</f>
        <v>117291690</v>
      </c>
      <c r="G62" s="49">
        <f>VLOOKUP(CurrentMtgRatesDataTable826[[#This Row],[issueDate]],CurrentMtgRatesDataTable8268[[issueDate]:[issueAmount]],3,0)</f>
        <v>135271888</v>
      </c>
      <c r="I62" s="47" t="s">
        <v>25</v>
      </c>
      <c r="J62" s="48">
        <v>42156</v>
      </c>
      <c r="K62" s="47" t="s">
        <v>26</v>
      </c>
      <c r="L62" s="47">
        <v>117291690</v>
      </c>
    </row>
  </sheetData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4" tint="0.59999389629810485"/>
  </sheetPr>
  <dimension ref="B2:AN67"/>
  <sheetViews>
    <sheetView showGridLines="0" topLeftCell="A13" workbookViewId="0">
      <selection activeCell="L64" sqref="L64"/>
    </sheetView>
  </sheetViews>
  <sheetFormatPr defaultRowHeight="15"/>
  <cols>
    <col min="10" max="10" width="12.28515625" customWidth="1"/>
    <col min="13" max="13" width="10.42578125" bestFit="1" customWidth="1"/>
    <col min="18" max="18" width="11" bestFit="1" customWidth="1"/>
    <col min="20" max="22" width="10" bestFit="1" customWidth="1"/>
    <col min="23" max="23" width="11" bestFit="1" customWidth="1"/>
    <col min="24" max="24" width="10" bestFit="1" customWidth="1"/>
    <col min="25" max="27" width="10" customWidth="1"/>
    <col min="28" max="28" width="10" bestFit="1" customWidth="1"/>
  </cols>
  <sheetData>
    <row r="2" spans="2:40">
      <c r="B2" t="s">
        <v>36</v>
      </c>
      <c r="E2" t="s">
        <v>37</v>
      </c>
      <c r="I2" t="s">
        <v>38</v>
      </c>
      <c r="M2" t="s">
        <v>39</v>
      </c>
      <c r="Q2" t="s">
        <v>40</v>
      </c>
      <c r="AC2" t="s">
        <v>41</v>
      </c>
      <c r="AG2" t="s">
        <v>42</v>
      </c>
      <c r="AJ2" t="s">
        <v>45</v>
      </c>
      <c r="AM2" t="s">
        <v>32</v>
      </c>
    </row>
    <row r="3" spans="2:40">
      <c r="B3" s="19" t="s">
        <v>20</v>
      </c>
      <c r="C3" s="19" t="s">
        <v>35</v>
      </c>
      <c r="E3" s="19" t="s">
        <v>20</v>
      </c>
      <c r="F3" s="19" t="s">
        <v>35</v>
      </c>
      <c r="I3" s="19" t="s">
        <v>20</v>
      </c>
      <c r="J3" s="19" t="s">
        <v>35</v>
      </c>
      <c r="M3" s="19" t="s">
        <v>20</v>
      </c>
      <c r="N3" s="19" t="s">
        <v>35</v>
      </c>
      <c r="Q3" s="32" t="s">
        <v>20</v>
      </c>
      <c r="R3" s="32" t="s">
        <v>43</v>
      </c>
      <c r="S3" s="32" t="s">
        <v>41</v>
      </c>
      <c r="T3" s="32" t="s">
        <v>42</v>
      </c>
      <c r="U3" s="32" t="s">
        <v>36</v>
      </c>
      <c r="V3" s="32" t="s">
        <v>37</v>
      </c>
      <c r="W3" s="32" t="s">
        <v>38</v>
      </c>
      <c r="X3" s="32" t="s">
        <v>39</v>
      </c>
      <c r="Y3" s="44" t="s">
        <v>45</v>
      </c>
      <c r="Z3" s="32" t="s">
        <v>47</v>
      </c>
      <c r="AA3" s="44"/>
      <c r="AC3" s="19" t="s">
        <v>20</v>
      </c>
      <c r="AD3" s="19" t="s">
        <v>35</v>
      </c>
      <c r="AE3" s="19"/>
      <c r="AG3" s="19" t="s">
        <v>20</v>
      </c>
      <c r="AH3" s="19" t="s">
        <v>35</v>
      </c>
      <c r="AJ3" s="19" t="s">
        <v>20</v>
      </c>
      <c r="AK3" s="19" t="s">
        <v>35</v>
      </c>
      <c r="AM3" s="19" t="s">
        <v>20</v>
      </c>
      <c r="AN3" s="19" t="s">
        <v>35</v>
      </c>
    </row>
    <row r="4" spans="2:40">
      <c r="B4" s="18">
        <v>40391</v>
      </c>
      <c r="C4">
        <v>706795312</v>
      </c>
      <c r="E4" s="18">
        <v>40391</v>
      </c>
      <c r="F4">
        <v>1579848396</v>
      </c>
      <c r="I4" s="18">
        <v>40391</v>
      </c>
      <c r="J4">
        <v>631591538</v>
      </c>
      <c r="M4" s="18">
        <v>40391</v>
      </c>
      <c r="N4">
        <v>475791854</v>
      </c>
      <c r="Q4" s="18">
        <v>40391</v>
      </c>
      <c r="R4" s="33">
        <v>108449929</v>
      </c>
      <c r="S4" s="31">
        <f>VLOOKUP(CurrentMtgRatesDataTable8268459[[#This Row],[issueDate]],CurrentMtgRatesDataTable82684510[#All],2,0)</f>
        <v>17557679</v>
      </c>
      <c r="T4" s="31">
        <f>VLOOKUP(CurrentMtgRatesDataTable8268459[[#This Row],[issueDate]],CurrentMtgRatesDataTable82684511[#All],2,0)</f>
        <v>589264392</v>
      </c>
      <c r="U4" s="31">
        <f>VLOOKUP(CurrentMtgRatesDataTable8268459[[#This Row],[issueDate]],CurrentMtgRatesDataTable8262[#All],2,0)</f>
        <v>706795312</v>
      </c>
      <c r="V4" s="34">
        <f>VLOOKUP(CurrentMtgRatesDataTable8268459[[#This Row],[issueDate]],CurrentMtgRatesDataTable82673[#All],2,0)</f>
        <v>1579848396</v>
      </c>
      <c r="W4" s="34">
        <f>VLOOKUP(CurrentMtgRatesDataTable8268459[[#This Row],[issueDate]],CurrentMtgRatesDataTable82684[#All],2,0)</f>
        <v>631591538</v>
      </c>
      <c r="X4" s="34">
        <f>VLOOKUP(CurrentMtgRatesDataTable8268459[[#This Row],[issueDate]],CurrentMtgRatesDataTable826845[#All],2,0)</f>
        <v>475791854</v>
      </c>
      <c r="Y4" s="43">
        <f>VLOOKUP(CurrentMtgRatesDataTable8268459[[#This Row],[issueDate]],CurrentMtgRatesDataTable8268451112[#All],2,0)</f>
        <v>78908357</v>
      </c>
      <c r="Z4" s="46">
        <f>SUM(CurrentMtgRatesDataTable8268459[[#This Row],[LowFICO]:[Geo]])/VLOOKUP(CurrentMtgRatesDataTable8268459[[#This Row],[issueDate]],CurrentMtgRatesDataTable826845111213[#All],2,0)</f>
        <v>0.15922453239501261</v>
      </c>
      <c r="AA4" s="43"/>
      <c r="AC4" s="18">
        <v>40391</v>
      </c>
      <c r="AD4">
        <v>17557679</v>
      </c>
      <c r="AG4" s="18">
        <v>40391</v>
      </c>
      <c r="AH4">
        <v>589264392</v>
      </c>
      <c r="AJ4" s="18">
        <v>40391</v>
      </c>
      <c r="AK4">
        <v>78908357</v>
      </c>
      <c r="AM4" s="18">
        <v>40391</v>
      </c>
      <c r="AN4">
        <v>26303782426</v>
      </c>
    </row>
    <row r="5" spans="2:40">
      <c r="B5" s="18">
        <v>40422</v>
      </c>
      <c r="C5">
        <v>1015749063</v>
      </c>
      <c r="E5" s="18">
        <v>40422</v>
      </c>
      <c r="F5">
        <v>2474281305</v>
      </c>
      <c r="I5" s="18">
        <v>40422</v>
      </c>
      <c r="J5">
        <v>1082222219</v>
      </c>
      <c r="M5" s="18">
        <v>40422</v>
      </c>
      <c r="N5">
        <v>636914317</v>
      </c>
      <c r="Q5" s="18">
        <v>40422</v>
      </c>
      <c r="R5" s="33">
        <v>388369694</v>
      </c>
      <c r="S5" s="31">
        <f>VLOOKUP(CurrentMtgRatesDataTable8268459[[#This Row],[issueDate]],CurrentMtgRatesDataTable82684510[#All],2,0)</f>
        <v>1392289312</v>
      </c>
      <c r="T5" s="31">
        <f>VLOOKUP(CurrentMtgRatesDataTable8268459[[#This Row],[issueDate]],CurrentMtgRatesDataTable82684511[#All],2,0)</f>
        <v>856676323</v>
      </c>
      <c r="U5" s="31">
        <f>VLOOKUP(CurrentMtgRatesDataTable8268459[[#This Row],[issueDate]],CurrentMtgRatesDataTable8262[#All],2,0)</f>
        <v>1015749063</v>
      </c>
      <c r="V5" s="34">
        <f>VLOOKUP(CurrentMtgRatesDataTable8268459[[#This Row],[issueDate]],CurrentMtgRatesDataTable82673[#All],2,0)</f>
        <v>2474281305</v>
      </c>
      <c r="W5" s="34">
        <f>VLOOKUP(CurrentMtgRatesDataTable8268459[[#This Row],[issueDate]],CurrentMtgRatesDataTable82684[#All],2,0)</f>
        <v>1082222219</v>
      </c>
      <c r="X5" s="34">
        <f>VLOOKUP(CurrentMtgRatesDataTable8268459[[#This Row],[issueDate]],CurrentMtgRatesDataTable826845[#All],2,0)</f>
        <v>636914317</v>
      </c>
      <c r="Y5" s="43">
        <f>VLOOKUP(CurrentMtgRatesDataTable8268459[[#This Row],[issueDate]],CurrentMtgRatesDataTable8268451112[#All],2,0)</f>
        <v>153044119</v>
      </c>
      <c r="Z5" s="46">
        <f>SUM(CurrentMtgRatesDataTable8268459[[#This Row],[LowFICO]:[Geo]])/VLOOKUP(CurrentMtgRatesDataTable8268459[[#This Row],[issueDate]],CurrentMtgRatesDataTable826845111213[#All],2,0)</f>
        <v>0.19335524052716319</v>
      </c>
      <c r="AA5" s="43"/>
      <c r="AC5" s="18">
        <v>40422</v>
      </c>
      <c r="AD5">
        <v>1392289312</v>
      </c>
      <c r="AG5" s="18">
        <v>40422</v>
      </c>
      <c r="AH5">
        <v>856676323</v>
      </c>
      <c r="AJ5" s="18">
        <v>40422</v>
      </c>
      <c r="AK5">
        <v>153044119</v>
      </c>
      <c r="AM5" s="18">
        <v>40422</v>
      </c>
      <c r="AN5">
        <v>41372275870</v>
      </c>
    </row>
    <row r="6" spans="2:40">
      <c r="B6" s="18">
        <v>40452</v>
      </c>
      <c r="C6">
        <v>1345059250</v>
      </c>
      <c r="E6" s="18">
        <v>40452</v>
      </c>
      <c r="F6">
        <v>2154320687</v>
      </c>
      <c r="I6" s="18">
        <v>40452</v>
      </c>
      <c r="J6">
        <v>1037833437</v>
      </c>
      <c r="M6" s="18">
        <v>40452</v>
      </c>
      <c r="N6">
        <v>670466824</v>
      </c>
      <c r="Q6" s="18">
        <v>40452</v>
      </c>
      <c r="R6" s="33">
        <v>362554018</v>
      </c>
      <c r="S6" s="31">
        <f>VLOOKUP(CurrentMtgRatesDataTable8268459[[#This Row],[issueDate]],CurrentMtgRatesDataTable82684510[#All],2,0)</f>
        <v>1858405398</v>
      </c>
      <c r="T6" s="31">
        <f>VLOOKUP(CurrentMtgRatesDataTable8268459[[#This Row],[issueDate]],CurrentMtgRatesDataTable82684511[#All],2,0)</f>
        <v>1062405884</v>
      </c>
      <c r="U6" s="31">
        <f>VLOOKUP(CurrentMtgRatesDataTable8268459[[#This Row],[issueDate]],CurrentMtgRatesDataTable8262[#All],2,0)</f>
        <v>1345059250</v>
      </c>
      <c r="V6" s="34">
        <f>VLOOKUP(CurrentMtgRatesDataTable8268459[[#This Row],[issueDate]],CurrentMtgRatesDataTable82673[#All],2,0)</f>
        <v>2154320687</v>
      </c>
      <c r="W6" s="34">
        <f>VLOOKUP(CurrentMtgRatesDataTable8268459[[#This Row],[issueDate]],CurrentMtgRatesDataTable82684[#All],2,0)</f>
        <v>1037833437</v>
      </c>
      <c r="X6" s="34">
        <f>VLOOKUP(CurrentMtgRatesDataTable8268459[[#This Row],[issueDate]],CurrentMtgRatesDataTable826845[#All],2,0)</f>
        <v>670466824</v>
      </c>
      <c r="Y6" s="43">
        <f>VLOOKUP(CurrentMtgRatesDataTable8268459[[#This Row],[issueDate]],CurrentMtgRatesDataTable8268451112[#All],2,0)</f>
        <v>270875174</v>
      </c>
      <c r="Z6" s="46">
        <f>SUM(CurrentMtgRatesDataTable8268459[[#This Row],[LowFICO]:[Geo]])/VLOOKUP(CurrentMtgRatesDataTable8268459[[#This Row],[issueDate]],CurrentMtgRatesDataTable826845111213[#All],2,0)</f>
        <v>0.22465196279767227</v>
      </c>
      <c r="AA6" s="43"/>
      <c r="AC6" s="18">
        <v>40452</v>
      </c>
      <c r="AD6">
        <v>1858405398</v>
      </c>
      <c r="AG6" s="18">
        <v>40452</v>
      </c>
      <c r="AH6">
        <v>1062405884</v>
      </c>
      <c r="AJ6" s="18">
        <v>40452</v>
      </c>
      <c r="AK6">
        <v>270875174</v>
      </c>
      <c r="AM6" s="18">
        <v>40452</v>
      </c>
      <c r="AN6">
        <v>39002199504</v>
      </c>
    </row>
    <row r="7" spans="2:40">
      <c r="B7" s="18">
        <v>40483</v>
      </c>
      <c r="C7">
        <v>1010009248</v>
      </c>
      <c r="E7" s="18">
        <v>40483</v>
      </c>
      <c r="F7">
        <v>2633760172</v>
      </c>
      <c r="I7" s="18">
        <v>40483</v>
      </c>
      <c r="J7">
        <v>1198485232</v>
      </c>
      <c r="M7" s="18">
        <v>40483</v>
      </c>
      <c r="N7">
        <v>708663087</v>
      </c>
      <c r="Q7" s="18">
        <v>40483</v>
      </c>
      <c r="R7" s="33">
        <v>295484717</v>
      </c>
      <c r="S7" s="31">
        <f>VLOOKUP(CurrentMtgRatesDataTable8268459[[#This Row],[issueDate]],CurrentMtgRatesDataTable82684510[#All],2,0)</f>
        <v>1853939539</v>
      </c>
      <c r="T7" s="31">
        <f>VLOOKUP(CurrentMtgRatesDataTable8268459[[#This Row],[issueDate]],CurrentMtgRatesDataTable82684511[#All],2,0)</f>
        <v>1055657547</v>
      </c>
      <c r="U7" s="31">
        <f>VLOOKUP(CurrentMtgRatesDataTable8268459[[#This Row],[issueDate]],CurrentMtgRatesDataTable8262[#All],2,0)</f>
        <v>1010009248</v>
      </c>
      <c r="V7" s="34">
        <f>VLOOKUP(CurrentMtgRatesDataTable8268459[[#This Row],[issueDate]],CurrentMtgRatesDataTable82673[#All],2,0)</f>
        <v>2633760172</v>
      </c>
      <c r="W7" s="34">
        <f>VLOOKUP(CurrentMtgRatesDataTable8268459[[#This Row],[issueDate]],CurrentMtgRatesDataTable82684[#All],2,0)</f>
        <v>1198485232</v>
      </c>
      <c r="X7" s="34">
        <f>VLOOKUP(CurrentMtgRatesDataTable8268459[[#This Row],[issueDate]],CurrentMtgRatesDataTable826845[#All],2,0)</f>
        <v>708663087</v>
      </c>
      <c r="Y7" s="43">
        <f>VLOOKUP(CurrentMtgRatesDataTable8268459[[#This Row],[issueDate]],CurrentMtgRatesDataTable8268451112[#All],2,0)</f>
        <v>299215590</v>
      </c>
      <c r="Z7" s="46">
        <f>SUM(CurrentMtgRatesDataTable8268459[[#This Row],[LowFICO]:[Geo]])/VLOOKUP(CurrentMtgRatesDataTable8268459[[#This Row],[issueDate]],CurrentMtgRatesDataTable826845111213[#All],2,0)</f>
        <v>0.23533316132756529</v>
      </c>
      <c r="AA7" s="43"/>
      <c r="AC7" s="18">
        <v>40483</v>
      </c>
      <c r="AD7">
        <v>1853939539</v>
      </c>
      <c r="AG7" s="18">
        <v>40483</v>
      </c>
      <c r="AH7">
        <v>1055657547</v>
      </c>
      <c r="AJ7" s="18">
        <v>40483</v>
      </c>
      <c r="AK7">
        <v>299215590</v>
      </c>
      <c r="AM7" s="18">
        <v>40483</v>
      </c>
      <c r="AN7">
        <v>38478279393</v>
      </c>
    </row>
    <row r="8" spans="2:40">
      <c r="B8" s="18">
        <v>40513</v>
      </c>
      <c r="C8">
        <v>1684767935</v>
      </c>
      <c r="E8" s="18">
        <v>40513</v>
      </c>
      <c r="F8">
        <v>2681507110</v>
      </c>
      <c r="I8" s="18">
        <v>40513</v>
      </c>
      <c r="J8">
        <v>1285535232</v>
      </c>
      <c r="M8" s="18">
        <v>40513</v>
      </c>
      <c r="N8">
        <v>838347587</v>
      </c>
      <c r="Q8" s="18">
        <v>40513</v>
      </c>
      <c r="R8" s="33">
        <v>443445215</v>
      </c>
      <c r="S8" s="31">
        <f>VLOOKUP(CurrentMtgRatesDataTable8268459[[#This Row],[issueDate]],CurrentMtgRatesDataTable82684510[#All],2,0)</f>
        <v>1772179506</v>
      </c>
      <c r="T8" s="31">
        <f>VLOOKUP(CurrentMtgRatesDataTable8268459[[#This Row],[issueDate]],CurrentMtgRatesDataTable82684511[#All],2,0)</f>
        <v>1221699541</v>
      </c>
      <c r="U8" s="31">
        <f>VLOOKUP(CurrentMtgRatesDataTable8268459[[#This Row],[issueDate]],CurrentMtgRatesDataTable8262[#All],2,0)</f>
        <v>1684767935</v>
      </c>
      <c r="V8" s="34">
        <f>VLOOKUP(CurrentMtgRatesDataTable8268459[[#This Row],[issueDate]],CurrentMtgRatesDataTable82673[#All],2,0)</f>
        <v>2681507110</v>
      </c>
      <c r="W8" s="34">
        <f>VLOOKUP(CurrentMtgRatesDataTable8268459[[#This Row],[issueDate]],CurrentMtgRatesDataTable82684[#All],2,0)</f>
        <v>1285535232</v>
      </c>
      <c r="X8" s="34">
        <f>VLOOKUP(CurrentMtgRatesDataTable8268459[[#This Row],[issueDate]],CurrentMtgRatesDataTable826845[#All],2,0)</f>
        <v>838347587</v>
      </c>
      <c r="Y8" s="43">
        <f>VLOOKUP(CurrentMtgRatesDataTable8268459[[#This Row],[issueDate]],CurrentMtgRatesDataTable8268451112[#All],2,0)</f>
        <v>438822333</v>
      </c>
      <c r="Z8" s="46">
        <f>SUM(CurrentMtgRatesDataTable8268459[[#This Row],[LowFICO]:[Geo]])/VLOOKUP(CurrentMtgRatesDataTable8268459[[#This Row],[issueDate]],CurrentMtgRatesDataTable826845111213[#All],2,0)</f>
        <v>0.23623351023071609</v>
      </c>
      <c r="AA8" s="43"/>
      <c r="AC8" s="18">
        <v>40513</v>
      </c>
      <c r="AD8">
        <v>1772179506</v>
      </c>
      <c r="AG8" s="18">
        <v>40513</v>
      </c>
      <c r="AH8">
        <v>1221699541</v>
      </c>
      <c r="AJ8" s="18">
        <v>40513</v>
      </c>
      <c r="AK8">
        <v>438822333</v>
      </c>
      <c r="AM8" s="18">
        <v>40513</v>
      </c>
      <c r="AN8">
        <v>43881600239</v>
      </c>
    </row>
    <row r="9" spans="2:40">
      <c r="B9" s="18">
        <v>40544</v>
      </c>
      <c r="C9">
        <v>322833781</v>
      </c>
      <c r="E9" s="18">
        <v>40544</v>
      </c>
      <c r="F9">
        <v>1704890203</v>
      </c>
      <c r="I9" s="18">
        <v>40544</v>
      </c>
      <c r="J9">
        <v>964043991</v>
      </c>
      <c r="M9" s="18">
        <v>40544</v>
      </c>
      <c r="N9">
        <v>683367639</v>
      </c>
      <c r="Q9" s="18">
        <v>40544</v>
      </c>
      <c r="R9" s="33">
        <v>323106997</v>
      </c>
      <c r="S9" s="31">
        <f>VLOOKUP(CurrentMtgRatesDataTable8268459[[#This Row],[issueDate]],CurrentMtgRatesDataTable82684510[#All],2,0)</f>
        <v>1443648463</v>
      </c>
      <c r="T9" s="31">
        <f>VLOOKUP(CurrentMtgRatesDataTable8268459[[#This Row],[issueDate]],CurrentMtgRatesDataTable82684511[#All],2,0)</f>
        <v>1046242428</v>
      </c>
      <c r="U9" s="31">
        <f>VLOOKUP(CurrentMtgRatesDataTable8268459[[#This Row],[issueDate]],CurrentMtgRatesDataTable8262[#All],2,0)</f>
        <v>322833781</v>
      </c>
      <c r="V9" s="34">
        <f>VLOOKUP(CurrentMtgRatesDataTable8268459[[#This Row],[issueDate]],CurrentMtgRatesDataTable82673[#All],2,0)</f>
        <v>1704890203</v>
      </c>
      <c r="W9" s="34">
        <f>VLOOKUP(CurrentMtgRatesDataTable8268459[[#This Row],[issueDate]],CurrentMtgRatesDataTable82684[#All],2,0)</f>
        <v>964043991</v>
      </c>
      <c r="X9" s="34">
        <f>VLOOKUP(CurrentMtgRatesDataTable8268459[[#This Row],[issueDate]],CurrentMtgRatesDataTable826845[#All],2,0)</f>
        <v>683367639</v>
      </c>
      <c r="Y9" s="43">
        <f>VLOOKUP(CurrentMtgRatesDataTable8268459[[#This Row],[issueDate]],CurrentMtgRatesDataTable8268451112[#All],2,0)</f>
        <v>311103932</v>
      </c>
      <c r="Z9" s="46">
        <f>SUM(CurrentMtgRatesDataTable8268459[[#This Row],[LowFICO]:[Geo]])/VLOOKUP(CurrentMtgRatesDataTable8268459[[#This Row],[issueDate]],CurrentMtgRatesDataTable826845111213[#All],2,0)</f>
        <v>0.19991120675918089</v>
      </c>
      <c r="AA9" s="43"/>
      <c r="AC9" s="18">
        <v>40544</v>
      </c>
      <c r="AD9">
        <v>1443648463</v>
      </c>
      <c r="AG9" s="18">
        <v>40544</v>
      </c>
      <c r="AH9">
        <v>1046242428</v>
      </c>
      <c r="AJ9" s="18">
        <v>40544</v>
      </c>
      <c r="AK9">
        <v>311103932</v>
      </c>
      <c r="AM9" s="18">
        <v>40544</v>
      </c>
      <c r="AN9">
        <v>34011287032</v>
      </c>
    </row>
    <row r="10" spans="2:40">
      <c r="B10" s="18">
        <v>40575</v>
      </c>
      <c r="C10">
        <v>1199506943</v>
      </c>
      <c r="E10" s="18">
        <v>40575</v>
      </c>
      <c r="F10">
        <v>1942706819</v>
      </c>
      <c r="I10" s="18">
        <v>40575</v>
      </c>
      <c r="J10">
        <v>963213700</v>
      </c>
      <c r="M10" s="18">
        <v>40575</v>
      </c>
      <c r="N10">
        <v>597808712</v>
      </c>
      <c r="Q10" s="18">
        <v>40575</v>
      </c>
      <c r="R10" s="33">
        <v>273557809</v>
      </c>
      <c r="S10" s="31">
        <f>VLOOKUP(CurrentMtgRatesDataTable8268459[[#This Row],[issueDate]],CurrentMtgRatesDataTable82684510[#All],2,0)</f>
        <v>1464783621</v>
      </c>
      <c r="T10" s="31">
        <f>VLOOKUP(CurrentMtgRatesDataTable8268459[[#This Row],[issueDate]],CurrentMtgRatesDataTable82684511[#All],2,0)</f>
        <v>1083809913</v>
      </c>
      <c r="U10" s="31">
        <f>VLOOKUP(CurrentMtgRatesDataTable8268459[[#This Row],[issueDate]],CurrentMtgRatesDataTable8262[#All],2,0)</f>
        <v>1199506943</v>
      </c>
      <c r="V10" s="34">
        <f>VLOOKUP(CurrentMtgRatesDataTable8268459[[#This Row],[issueDate]],CurrentMtgRatesDataTable82673[#All],2,0)</f>
        <v>1942706819</v>
      </c>
      <c r="W10" s="34">
        <f>VLOOKUP(CurrentMtgRatesDataTable8268459[[#This Row],[issueDate]],CurrentMtgRatesDataTable82684[#All],2,0)</f>
        <v>963213700</v>
      </c>
      <c r="X10" s="34">
        <f>VLOOKUP(CurrentMtgRatesDataTable8268459[[#This Row],[issueDate]],CurrentMtgRatesDataTable826845[#All],2,0)</f>
        <v>597808712</v>
      </c>
      <c r="Y10" s="43">
        <f>VLOOKUP(CurrentMtgRatesDataTable8268459[[#This Row],[issueDate]],CurrentMtgRatesDataTable8268451112[#All],2,0)</f>
        <v>259067817</v>
      </c>
      <c r="Z10" s="46">
        <f>SUM(CurrentMtgRatesDataTable8268459[[#This Row],[LowFICO]:[Geo]])/VLOOKUP(CurrentMtgRatesDataTable8268459[[#This Row],[issueDate]],CurrentMtgRatesDataTable826845111213[#All],2,0)</f>
        <v>0.27845212872409775</v>
      </c>
      <c r="AA10" s="43"/>
      <c r="AC10" s="18">
        <v>40575</v>
      </c>
      <c r="AD10">
        <v>1464783621</v>
      </c>
      <c r="AG10" s="18">
        <v>40575</v>
      </c>
      <c r="AH10">
        <v>1083809913</v>
      </c>
      <c r="AJ10" s="18">
        <v>40575</v>
      </c>
      <c r="AK10">
        <v>259067817</v>
      </c>
      <c r="AM10" s="18">
        <v>40575</v>
      </c>
      <c r="AN10">
        <v>27956171029</v>
      </c>
    </row>
    <row r="11" spans="2:40">
      <c r="B11" s="18">
        <v>40603</v>
      </c>
      <c r="C11">
        <v>1154399548</v>
      </c>
      <c r="E11" s="18">
        <v>40603</v>
      </c>
      <c r="F11">
        <v>2631670575</v>
      </c>
      <c r="I11" s="18">
        <v>40603</v>
      </c>
      <c r="J11">
        <v>1313320276</v>
      </c>
      <c r="M11" s="18">
        <v>40603</v>
      </c>
      <c r="N11">
        <v>818916287</v>
      </c>
      <c r="Q11" s="18">
        <v>40603</v>
      </c>
      <c r="R11" s="33">
        <v>581436059</v>
      </c>
      <c r="S11" s="31">
        <f>VLOOKUP(CurrentMtgRatesDataTable8268459[[#This Row],[issueDate]],CurrentMtgRatesDataTable82684510[#All],2,0)</f>
        <v>1323749778</v>
      </c>
      <c r="T11" s="31">
        <f>VLOOKUP(CurrentMtgRatesDataTable8268459[[#This Row],[issueDate]],CurrentMtgRatesDataTable82684511[#All],2,0)</f>
        <v>1178373166</v>
      </c>
      <c r="U11" s="31">
        <f>VLOOKUP(CurrentMtgRatesDataTable8268459[[#This Row],[issueDate]],CurrentMtgRatesDataTable8262[#All],2,0)</f>
        <v>1154399548</v>
      </c>
      <c r="V11" s="34">
        <f>VLOOKUP(CurrentMtgRatesDataTable8268459[[#This Row],[issueDate]],CurrentMtgRatesDataTable82673[#All],2,0)</f>
        <v>2631670575</v>
      </c>
      <c r="W11" s="34">
        <f>VLOOKUP(CurrentMtgRatesDataTable8268459[[#This Row],[issueDate]],CurrentMtgRatesDataTable82684[#All],2,0)</f>
        <v>1313320276</v>
      </c>
      <c r="X11" s="34">
        <f>VLOOKUP(CurrentMtgRatesDataTable8268459[[#This Row],[issueDate]],CurrentMtgRatesDataTable826845[#All],2,0)</f>
        <v>818916287</v>
      </c>
      <c r="Y11" s="43">
        <f>VLOOKUP(CurrentMtgRatesDataTable8268459[[#This Row],[issueDate]],CurrentMtgRatesDataTable8268451112[#All],2,0)</f>
        <v>293812942</v>
      </c>
      <c r="Z11" s="46">
        <f>SUM(CurrentMtgRatesDataTable8268459[[#This Row],[LowFICO]:[Geo]])/VLOOKUP(CurrentMtgRatesDataTable8268459[[#This Row],[issueDate]],CurrentMtgRatesDataTable826845111213[#All],2,0)</f>
        <v>0.29629792713990871</v>
      </c>
      <c r="AA11" s="43"/>
      <c r="AC11" s="18">
        <v>40603</v>
      </c>
      <c r="AD11">
        <v>1323749778</v>
      </c>
      <c r="AG11" s="18">
        <v>40603</v>
      </c>
      <c r="AH11">
        <v>1178373166</v>
      </c>
      <c r="AJ11" s="18">
        <v>40603</v>
      </c>
      <c r="AK11">
        <v>293812942</v>
      </c>
      <c r="AM11" s="18">
        <v>40603</v>
      </c>
      <c r="AN11">
        <v>31372742701</v>
      </c>
    </row>
    <row r="12" spans="2:40">
      <c r="B12" s="18">
        <v>40634</v>
      </c>
      <c r="C12">
        <v>623375110</v>
      </c>
      <c r="E12" s="18">
        <v>40634</v>
      </c>
      <c r="F12">
        <v>1636847989</v>
      </c>
      <c r="I12" s="18">
        <v>40634</v>
      </c>
      <c r="J12">
        <v>835462650</v>
      </c>
      <c r="M12" s="18">
        <v>40634</v>
      </c>
      <c r="N12">
        <v>602284037</v>
      </c>
      <c r="Q12" s="18">
        <v>40634</v>
      </c>
      <c r="R12" s="33">
        <v>523138257</v>
      </c>
      <c r="S12" s="31">
        <f>VLOOKUP(CurrentMtgRatesDataTable8268459[[#This Row],[issueDate]],CurrentMtgRatesDataTable82684510[#All],2,0)</f>
        <v>1194947665</v>
      </c>
      <c r="T12" s="31">
        <f>VLOOKUP(CurrentMtgRatesDataTable8268459[[#This Row],[issueDate]],CurrentMtgRatesDataTable82684511[#All],2,0)</f>
        <v>1028063805</v>
      </c>
      <c r="U12" s="31">
        <f>VLOOKUP(CurrentMtgRatesDataTable8268459[[#This Row],[issueDate]],CurrentMtgRatesDataTable8262[#All],2,0)</f>
        <v>623375110</v>
      </c>
      <c r="V12" s="34">
        <f>VLOOKUP(CurrentMtgRatesDataTable8268459[[#This Row],[issueDate]],CurrentMtgRatesDataTable82673[#All],2,0)</f>
        <v>1636847989</v>
      </c>
      <c r="W12" s="34">
        <f>VLOOKUP(CurrentMtgRatesDataTable8268459[[#This Row],[issueDate]],CurrentMtgRatesDataTable82684[#All],2,0)</f>
        <v>835462650</v>
      </c>
      <c r="X12" s="34">
        <f>VLOOKUP(CurrentMtgRatesDataTable8268459[[#This Row],[issueDate]],CurrentMtgRatesDataTable826845[#All],2,0)</f>
        <v>602284037</v>
      </c>
      <c r="Y12" s="43">
        <f>VLOOKUP(CurrentMtgRatesDataTable8268459[[#This Row],[issueDate]],CurrentMtgRatesDataTable8268451112[#All],2,0)</f>
        <v>168857801</v>
      </c>
      <c r="Z12" s="46">
        <f>SUM(CurrentMtgRatesDataTable8268459[[#This Row],[LowFICO]:[Geo]])/VLOOKUP(CurrentMtgRatesDataTable8268459[[#This Row],[issueDate]],CurrentMtgRatesDataTable826845111213[#All],2,0)</f>
        <v>0.36918928506523579</v>
      </c>
      <c r="AA12" s="43"/>
      <c r="AC12" s="18">
        <v>40634</v>
      </c>
      <c r="AD12">
        <v>1194947665</v>
      </c>
      <c r="AG12" s="18">
        <v>40634</v>
      </c>
      <c r="AH12">
        <v>1028063805</v>
      </c>
      <c r="AJ12" s="18">
        <v>40634</v>
      </c>
      <c r="AK12">
        <v>168857801</v>
      </c>
      <c r="AM12" s="18">
        <v>40634</v>
      </c>
      <c r="AN12">
        <v>17912159376</v>
      </c>
    </row>
    <row r="13" spans="2:40">
      <c r="B13" s="18">
        <v>40664</v>
      </c>
      <c r="C13">
        <v>729687773</v>
      </c>
      <c r="E13" s="18">
        <v>40664</v>
      </c>
      <c r="F13">
        <v>1579035556</v>
      </c>
      <c r="I13" s="18">
        <v>40664</v>
      </c>
      <c r="J13">
        <v>868682209</v>
      </c>
      <c r="M13" s="18">
        <v>40664</v>
      </c>
      <c r="N13">
        <v>603596717</v>
      </c>
      <c r="Q13" s="18">
        <v>40664</v>
      </c>
      <c r="R13" s="33">
        <v>363321355</v>
      </c>
      <c r="S13" s="31">
        <f>VLOOKUP(CurrentMtgRatesDataTable8268459[[#This Row],[issueDate]],CurrentMtgRatesDataTable82684510[#All],2,0)</f>
        <v>1021482111</v>
      </c>
      <c r="T13" s="31">
        <f>VLOOKUP(CurrentMtgRatesDataTable8268459[[#This Row],[issueDate]],CurrentMtgRatesDataTable82684511[#All],2,0)</f>
        <v>865363758</v>
      </c>
      <c r="U13" s="31">
        <f>VLOOKUP(CurrentMtgRatesDataTable8268459[[#This Row],[issueDate]],CurrentMtgRatesDataTable8262[#All],2,0)</f>
        <v>729687773</v>
      </c>
      <c r="V13" s="34">
        <f>VLOOKUP(CurrentMtgRatesDataTable8268459[[#This Row],[issueDate]],CurrentMtgRatesDataTable82673[#All],2,0)</f>
        <v>1579035556</v>
      </c>
      <c r="W13" s="34">
        <f>VLOOKUP(CurrentMtgRatesDataTable8268459[[#This Row],[issueDate]],CurrentMtgRatesDataTable82684[#All],2,0)</f>
        <v>868682209</v>
      </c>
      <c r="X13" s="34">
        <f>VLOOKUP(CurrentMtgRatesDataTable8268459[[#This Row],[issueDate]],CurrentMtgRatesDataTable826845[#All],2,0)</f>
        <v>603596717</v>
      </c>
      <c r="Y13" s="43">
        <f>VLOOKUP(CurrentMtgRatesDataTable8268459[[#This Row],[issueDate]],CurrentMtgRatesDataTable8268451112[#All],2,0)</f>
        <v>134087507</v>
      </c>
      <c r="Z13" s="46">
        <f>SUM(CurrentMtgRatesDataTable8268459[[#This Row],[LowFICO]:[Geo]])/VLOOKUP(CurrentMtgRatesDataTable8268459[[#This Row],[issueDate]],CurrentMtgRatesDataTable826845111213[#All],2,0)</f>
        <v>0.36117124386232813</v>
      </c>
      <c r="AA13" s="43"/>
      <c r="AC13" s="18">
        <v>40664</v>
      </c>
      <c r="AD13">
        <v>1021482111</v>
      </c>
      <c r="AG13" s="18">
        <v>40664</v>
      </c>
      <c r="AH13">
        <v>865363758</v>
      </c>
      <c r="AJ13" s="18">
        <v>40664</v>
      </c>
      <c r="AK13">
        <v>134087507</v>
      </c>
      <c r="AM13" s="18">
        <v>40664</v>
      </c>
      <c r="AN13">
        <v>17070176795</v>
      </c>
    </row>
    <row r="14" spans="2:40">
      <c r="B14" s="18">
        <v>40695</v>
      </c>
      <c r="C14">
        <v>977103582</v>
      </c>
      <c r="E14" s="18">
        <v>40695</v>
      </c>
      <c r="F14">
        <v>2108513267</v>
      </c>
      <c r="I14" s="18">
        <v>40695</v>
      </c>
      <c r="J14">
        <v>1066364823</v>
      </c>
      <c r="M14" s="18">
        <v>40695</v>
      </c>
      <c r="N14">
        <v>716402801</v>
      </c>
      <c r="Q14" s="18">
        <v>40695</v>
      </c>
      <c r="R14" s="33">
        <v>670947560</v>
      </c>
      <c r="S14" s="31">
        <f>VLOOKUP(CurrentMtgRatesDataTable8268459[[#This Row],[issueDate]],CurrentMtgRatesDataTable82684510[#All],2,0)</f>
        <v>1250601934</v>
      </c>
      <c r="T14" s="31">
        <f>VLOOKUP(CurrentMtgRatesDataTable8268459[[#This Row],[issueDate]],CurrentMtgRatesDataTable82684511[#All],2,0)</f>
        <v>888524552</v>
      </c>
      <c r="U14" s="31">
        <f>VLOOKUP(CurrentMtgRatesDataTable8268459[[#This Row],[issueDate]],CurrentMtgRatesDataTable8262[#All],2,0)</f>
        <v>977103582</v>
      </c>
      <c r="V14" s="34">
        <f>VLOOKUP(CurrentMtgRatesDataTable8268459[[#This Row],[issueDate]],CurrentMtgRatesDataTable82673[#All],2,0)</f>
        <v>2108513267</v>
      </c>
      <c r="W14" s="34">
        <f>VLOOKUP(CurrentMtgRatesDataTable8268459[[#This Row],[issueDate]],CurrentMtgRatesDataTable82684[#All],2,0)</f>
        <v>1066364823</v>
      </c>
      <c r="X14" s="34">
        <f>VLOOKUP(CurrentMtgRatesDataTable8268459[[#This Row],[issueDate]],CurrentMtgRatesDataTable826845[#All],2,0)</f>
        <v>716402801</v>
      </c>
      <c r="Y14" s="43">
        <f>VLOOKUP(CurrentMtgRatesDataTable8268459[[#This Row],[issueDate]],CurrentMtgRatesDataTable8268451112[#All],2,0)</f>
        <v>116486264</v>
      </c>
      <c r="Z14" s="46">
        <f>SUM(CurrentMtgRatesDataTable8268459[[#This Row],[LowFICO]:[Geo]])/VLOOKUP(CurrentMtgRatesDataTable8268459[[#This Row],[issueDate]],CurrentMtgRatesDataTable826845111213[#All],2,0)</f>
        <v>0.39781748978174963</v>
      </c>
      <c r="AA14" s="43"/>
      <c r="AC14" s="18">
        <v>40695</v>
      </c>
      <c r="AD14">
        <v>1250601934</v>
      </c>
      <c r="AG14" s="18">
        <v>40695</v>
      </c>
      <c r="AH14">
        <v>888524552</v>
      </c>
      <c r="AJ14" s="18">
        <v>40695</v>
      </c>
      <c r="AK14">
        <v>116486264</v>
      </c>
      <c r="AM14" s="18">
        <v>40695</v>
      </c>
      <c r="AN14">
        <v>19594273714</v>
      </c>
    </row>
    <row r="15" spans="2:40">
      <c r="B15" s="18">
        <v>40725</v>
      </c>
      <c r="C15">
        <v>615931446</v>
      </c>
      <c r="E15" s="18">
        <v>40725</v>
      </c>
      <c r="F15">
        <v>1420152762</v>
      </c>
      <c r="I15" s="18">
        <v>40725</v>
      </c>
      <c r="J15">
        <v>709625001</v>
      </c>
      <c r="M15" s="18">
        <v>40725</v>
      </c>
      <c r="N15">
        <v>509527717</v>
      </c>
      <c r="Q15" s="18">
        <v>40725</v>
      </c>
      <c r="R15" s="33">
        <v>544504441</v>
      </c>
      <c r="S15" s="31">
        <f>VLOOKUP(CurrentMtgRatesDataTable8268459[[#This Row],[issueDate]],CurrentMtgRatesDataTable82684510[#All],2,0)</f>
        <v>1233481435</v>
      </c>
      <c r="T15" s="31">
        <f>VLOOKUP(CurrentMtgRatesDataTable8268459[[#This Row],[issueDate]],CurrentMtgRatesDataTable82684511[#All],2,0)</f>
        <v>661753657</v>
      </c>
      <c r="U15" s="31">
        <f>VLOOKUP(CurrentMtgRatesDataTable8268459[[#This Row],[issueDate]],CurrentMtgRatesDataTable8262[#All],2,0)</f>
        <v>615931446</v>
      </c>
      <c r="V15" s="34">
        <f>VLOOKUP(CurrentMtgRatesDataTable8268459[[#This Row],[issueDate]],CurrentMtgRatesDataTable82673[#All],2,0)</f>
        <v>1420152762</v>
      </c>
      <c r="W15" s="34">
        <f>VLOOKUP(CurrentMtgRatesDataTable8268459[[#This Row],[issueDate]],CurrentMtgRatesDataTable82684[#All],2,0)</f>
        <v>709625001</v>
      </c>
      <c r="X15" s="34">
        <f>VLOOKUP(CurrentMtgRatesDataTable8268459[[#This Row],[issueDate]],CurrentMtgRatesDataTable826845[#All],2,0)</f>
        <v>509527717</v>
      </c>
      <c r="Y15" s="43">
        <f>VLOOKUP(CurrentMtgRatesDataTable8268459[[#This Row],[issueDate]],CurrentMtgRatesDataTable8268451112[#All],2,0)</f>
        <v>80281746</v>
      </c>
      <c r="Z15" s="46">
        <f>SUM(CurrentMtgRatesDataTable8268459[[#This Row],[LowFICO]:[Geo]])/VLOOKUP(CurrentMtgRatesDataTable8268459[[#This Row],[issueDate]],CurrentMtgRatesDataTable826845111213[#All],2,0)</f>
        <v>0.38050595931467912</v>
      </c>
      <c r="AA15" s="43"/>
      <c r="AC15" s="18">
        <v>40725</v>
      </c>
      <c r="AD15">
        <v>1233481435</v>
      </c>
      <c r="AG15" s="18">
        <v>40725</v>
      </c>
      <c r="AH15">
        <v>661753657</v>
      </c>
      <c r="AJ15" s="18">
        <v>40725</v>
      </c>
      <c r="AK15">
        <v>80281746</v>
      </c>
      <c r="AM15" s="18">
        <v>40725</v>
      </c>
      <c r="AN15">
        <v>15177839042</v>
      </c>
    </row>
    <row r="16" spans="2:40">
      <c r="B16" s="18">
        <v>40756</v>
      </c>
      <c r="C16">
        <v>700196687</v>
      </c>
      <c r="E16" s="18">
        <v>40756</v>
      </c>
      <c r="F16">
        <v>1665304166</v>
      </c>
      <c r="I16" s="18">
        <v>40756</v>
      </c>
      <c r="J16">
        <v>849708760</v>
      </c>
      <c r="M16" s="18">
        <v>40756</v>
      </c>
      <c r="N16">
        <v>624435737</v>
      </c>
      <c r="Q16" s="18">
        <v>40756</v>
      </c>
      <c r="R16" s="33">
        <v>597220400</v>
      </c>
      <c r="S16" s="31">
        <f>VLOOKUP(CurrentMtgRatesDataTable8268459[[#This Row],[issueDate]],CurrentMtgRatesDataTable82684510[#All],2,0)</f>
        <v>1409668759</v>
      </c>
      <c r="T16" s="31">
        <f>VLOOKUP(CurrentMtgRatesDataTable8268459[[#This Row],[issueDate]],CurrentMtgRatesDataTable82684511[#All],2,0)</f>
        <v>618316676</v>
      </c>
      <c r="U16" s="31">
        <f>VLOOKUP(CurrentMtgRatesDataTable8268459[[#This Row],[issueDate]],CurrentMtgRatesDataTable8262[#All],2,0)</f>
        <v>700196687</v>
      </c>
      <c r="V16" s="34">
        <f>VLOOKUP(CurrentMtgRatesDataTable8268459[[#This Row],[issueDate]],CurrentMtgRatesDataTable82673[#All],2,0)</f>
        <v>1665304166</v>
      </c>
      <c r="W16" s="34">
        <f>VLOOKUP(CurrentMtgRatesDataTable8268459[[#This Row],[issueDate]],CurrentMtgRatesDataTable82684[#All],2,0)</f>
        <v>849708760</v>
      </c>
      <c r="X16" s="34">
        <f>VLOOKUP(CurrentMtgRatesDataTable8268459[[#This Row],[issueDate]],CurrentMtgRatesDataTable826845[#All],2,0)</f>
        <v>624435737</v>
      </c>
      <c r="Y16" s="43">
        <f>VLOOKUP(CurrentMtgRatesDataTable8268459[[#This Row],[issueDate]],CurrentMtgRatesDataTable8268451112[#All],2,0)</f>
        <v>161674738</v>
      </c>
      <c r="Z16" s="46">
        <f>SUM(CurrentMtgRatesDataTable8268459[[#This Row],[LowFICO]:[Geo]])/VLOOKUP(CurrentMtgRatesDataTable8268459[[#This Row],[issueDate]],CurrentMtgRatesDataTable826845111213[#All],2,0)</f>
        <v>0.33084570873058766</v>
      </c>
      <c r="AA16" s="43"/>
      <c r="AC16" s="18">
        <v>40756</v>
      </c>
      <c r="AD16">
        <v>1409668759</v>
      </c>
      <c r="AG16" s="18">
        <v>40756</v>
      </c>
      <c r="AH16">
        <v>618316676</v>
      </c>
      <c r="AJ16" s="18">
        <v>40756</v>
      </c>
      <c r="AK16">
        <v>161674738</v>
      </c>
      <c r="AM16" s="18">
        <v>40756</v>
      </c>
      <c r="AN16">
        <v>20029052057</v>
      </c>
    </row>
    <row r="17" spans="2:40">
      <c r="B17" s="18">
        <v>40787</v>
      </c>
      <c r="C17">
        <v>1172583154</v>
      </c>
      <c r="E17" s="18">
        <v>40787</v>
      </c>
      <c r="F17">
        <v>2089320127</v>
      </c>
      <c r="I17" s="18">
        <v>40787</v>
      </c>
      <c r="J17">
        <v>1075911404</v>
      </c>
      <c r="M17" s="18">
        <v>40787</v>
      </c>
      <c r="N17">
        <v>749319829</v>
      </c>
      <c r="Q17" s="18">
        <v>40787</v>
      </c>
      <c r="R17" s="33">
        <v>1142247145</v>
      </c>
      <c r="S17" s="31">
        <f>VLOOKUP(CurrentMtgRatesDataTable8268459[[#This Row],[issueDate]],CurrentMtgRatesDataTable82684510[#All],2,0)</f>
        <v>1373391430</v>
      </c>
      <c r="T17" s="31">
        <f>VLOOKUP(CurrentMtgRatesDataTable8268459[[#This Row],[issueDate]],CurrentMtgRatesDataTable82684511[#All],2,0)</f>
        <v>744658251</v>
      </c>
      <c r="U17" s="31">
        <f>VLOOKUP(CurrentMtgRatesDataTable8268459[[#This Row],[issueDate]],CurrentMtgRatesDataTable8262[#All],2,0)</f>
        <v>1172583154</v>
      </c>
      <c r="V17" s="34">
        <f>VLOOKUP(CurrentMtgRatesDataTable8268459[[#This Row],[issueDate]],CurrentMtgRatesDataTable82673[#All],2,0)</f>
        <v>2089320127</v>
      </c>
      <c r="W17" s="34">
        <f>VLOOKUP(CurrentMtgRatesDataTable8268459[[#This Row],[issueDate]],CurrentMtgRatesDataTable82684[#All],2,0)</f>
        <v>1075911404</v>
      </c>
      <c r="X17" s="34">
        <f>VLOOKUP(CurrentMtgRatesDataTable8268459[[#This Row],[issueDate]],CurrentMtgRatesDataTable826845[#All],2,0)</f>
        <v>749319829</v>
      </c>
      <c r="Y17" s="43">
        <f>VLOOKUP(CurrentMtgRatesDataTable8268459[[#This Row],[issueDate]],CurrentMtgRatesDataTable8268451112[#All],2,0)</f>
        <v>154433053</v>
      </c>
      <c r="Z17" s="46">
        <f>SUM(CurrentMtgRatesDataTable8268459[[#This Row],[LowFICO]:[Geo]])/VLOOKUP(CurrentMtgRatesDataTable8268459[[#This Row],[issueDate]],CurrentMtgRatesDataTable826845111213[#All],2,0)</f>
        <v>0.35785606752258481</v>
      </c>
      <c r="AA17" s="43"/>
      <c r="AC17" s="18">
        <v>40787</v>
      </c>
      <c r="AD17">
        <v>1373391430</v>
      </c>
      <c r="AG17" s="18">
        <v>40787</v>
      </c>
      <c r="AH17">
        <v>744658251</v>
      </c>
      <c r="AJ17" s="18">
        <v>40787</v>
      </c>
      <c r="AK17">
        <v>154433053</v>
      </c>
      <c r="AM17" s="18">
        <v>40787</v>
      </c>
      <c r="AN17">
        <v>23757776281</v>
      </c>
    </row>
    <row r="18" spans="2:40">
      <c r="B18" s="18">
        <v>40817</v>
      </c>
      <c r="C18">
        <v>1053422473</v>
      </c>
      <c r="E18" s="18">
        <v>40817</v>
      </c>
      <c r="F18">
        <v>1776001224</v>
      </c>
      <c r="I18" s="18">
        <v>40817</v>
      </c>
      <c r="J18">
        <v>857963060</v>
      </c>
      <c r="M18" s="18">
        <v>40817</v>
      </c>
      <c r="N18">
        <v>612680365</v>
      </c>
      <c r="Q18" s="18">
        <v>40817</v>
      </c>
      <c r="R18" s="33">
        <v>904649967</v>
      </c>
      <c r="S18" s="31">
        <f>VLOOKUP(CurrentMtgRatesDataTable8268459[[#This Row],[issueDate]],CurrentMtgRatesDataTable82684510[#All],2,0)</f>
        <v>1371675072</v>
      </c>
      <c r="T18" s="31">
        <f>VLOOKUP(CurrentMtgRatesDataTable8268459[[#This Row],[issueDate]],CurrentMtgRatesDataTable82684511[#All],2,0)</f>
        <v>707129963</v>
      </c>
      <c r="U18" s="31">
        <f>VLOOKUP(CurrentMtgRatesDataTable8268459[[#This Row],[issueDate]],CurrentMtgRatesDataTable8262[#All],2,0)</f>
        <v>1053422473</v>
      </c>
      <c r="V18" s="34">
        <f>VLOOKUP(CurrentMtgRatesDataTable8268459[[#This Row],[issueDate]],CurrentMtgRatesDataTable82673[#All],2,0)</f>
        <v>1776001224</v>
      </c>
      <c r="W18" s="34">
        <f>VLOOKUP(CurrentMtgRatesDataTable8268459[[#This Row],[issueDate]],CurrentMtgRatesDataTable82684[#All],2,0)</f>
        <v>857963060</v>
      </c>
      <c r="X18" s="34">
        <f>VLOOKUP(CurrentMtgRatesDataTable8268459[[#This Row],[issueDate]],CurrentMtgRatesDataTable826845[#All],2,0)</f>
        <v>612680365</v>
      </c>
      <c r="Y18" s="43">
        <f>VLOOKUP(CurrentMtgRatesDataTable8268459[[#This Row],[issueDate]],CurrentMtgRatesDataTable8268451112[#All],2,0)</f>
        <v>114706349</v>
      </c>
      <c r="Z18" s="46">
        <f>SUM(CurrentMtgRatesDataTable8268459[[#This Row],[LowFICO]:[Geo]])/VLOOKUP(CurrentMtgRatesDataTable8268459[[#This Row],[issueDate]],CurrentMtgRatesDataTable826845111213[#All],2,0)</f>
        <v>0.32152590210399679</v>
      </c>
      <c r="AA18" s="43"/>
      <c r="AC18" s="18">
        <v>40817</v>
      </c>
      <c r="AD18">
        <v>1371675072</v>
      </c>
      <c r="AG18" s="18">
        <v>40817</v>
      </c>
      <c r="AH18">
        <v>707129963</v>
      </c>
      <c r="AJ18" s="18">
        <v>40817</v>
      </c>
      <c r="AK18">
        <v>114706349</v>
      </c>
      <c r="AM18" s="18">
        <v>40817</v>
      </c>
      <c r="AN18">
        <v>23009743304</v>
      </c>
    </row>
    <row r="19" spans="2:40">
      <c r="B19" s="18">
        <v>40848</v>
      </c>
      <c r="C19">
        <v>883509763</v>
      </c>
      <c r="E19" s="18">
        <v>40848</v>
      </c>
      <c r="F19">
        <v>2048922712</v>
      </c>
      <c r="I19" s="18">
        <v>40848</v>
      </c>
      <c r="J19">
        <v>916843872</v>
      </c>
      <c r="M19" s="18">
        <v>40848</v>
      </c>
      <c r="N19">
        <v>660088356</v>
      </c>
      <c r="Q19" s="18">
        <v>40848</v>
      </c>
      <c r="R19" s="33">
        <v>746449328</v>
      </c>
      <c r="S19" s="31">
        <f>VLOOKUP(CurrentMtgRatesDataTable8268459[[#This Row],[issueDate]],CurrentMtgRatesDataTable82684510[#All],2,0)</f>
        <v>2069110953</v>
      </c>
      <c r="T19" s="31">
        <f>VLOOKUP(CurrentMtgRatesDataTable8268459[[#This Row],[issueDate]],CurrentMtgRatesDataTable82684511[#All],2,0)</f>
        <v>913700422</v>
      </c>
      <c r="U19" s="31">
        <f>VLOOKUP(CurrentMtgRatesDataTable8268459[[#This Row],[issueDate]],CurrentMtgRatesDataTable8262[#All],2,0)</f>
        <v>883509763</v>
      </c>
      <c r="V19" s="34">
        <f>VLOOKUP(CurrentMtgRatesDataTable8268459[[#This Row],[issueDate]],CurrentMtgRatesDataTable82673[#All],2,0)</f>
        <v>2048922712</v>
      </c>
      <c r="W19" s="34">
        <f>VLOOKUP(CurrentMtgRatesDataTable8268459[[#This Row],[issueDate]],CurrentMtgRatesDataTable82684[#All],2,0)</f>
        <v>916843872</v>
      </c>
      <c r="X19" s="34">
        <f>VLOOKUP(CurrentMtgRatesDataTable8268459[[#This Row],[issueDate]],CurrentMtgRatesDataTable826845[#All],2,0)</f>
        <v>660088356</v>
      </c>
      <c r="Y19" s="43">
        <f>VLOOKUP(CurrentMtgRatesDataTable8268459[[#This Row],[issueDate]],CurrentMtgRatesDataTable8268451112[#All],2,0)</f>
        <v>74499428</v>
      </c>
      <c r="Z19" s="46">
        <f>SUM(CurrentMtgRatesDataTable8268459[[#This Row],[LowFICO]:[Geo]])/VLOOKUP(CurrentMtgRatesDataTable8268459[[#This Row],[issueDate]],CurrentMtgRatesDataTable826845111213[#All],2,0)</f>
        <v>0.27341261628762731</v>
      </c>
      <c r="AA19" s="43"/>
      <c r="AC19" s="18">
        <v>40848</v>
      </c>
      <c r="AD19">
        <v>2069110953</v>
      </c>
      <c r="AG19" s="18">
        <v>40848</v>
      </c>
      <c r="AH19">
        <v>913700422</v>
      </c>
      <c r="AJ19" s="18">
        <v>40848</v>
      </c>
      <c r="AK19">
        <v>74499428</v>
      </c>
      <c r="AM19" s="18">
        <v>40848</v>
      </c>
      <c r="AN19">
        <v>30405052067</v>
      </c>
    </row>
    <row r="20" spans="2:40">
      <c r="B20" s="18">
        <v>40878</v>
      </c>
      <c r="C20">
        <v>927109718</v>
      </c>
      <c r="E20" s="18">
        <v>40878</v>
      </c>
      <c r="F20">
        <v>2351497218</v>
      </c>
      <c r="I20" s="18">
        <v>40878</v>
      </c>
      <c r="J20">
        <v>1268334918</v>
      </c>
      <c r="M20" s="18">
        <v>40878</v>
      </c>
      <c r="N20">
        <v>964804971</v>
      </c>
      <c r="Q20" s="18">
        <v>40878</v>
      </c>
      <c r="R20" s="33">
        <v>630958608</v>
      </c>
      <c r="S20" s="31">
        <f>VLOOKUP(CurrentMtgRatesDataTable8268459[[#This Row],[issueDate]],CurrentMtgRatesDataTable82684510[#All],2,0)</f>
        <v>1545506017</v>
      </c>
      <c r="T20" s="31">
        <f>VLOOKUP(CurrentMtgRatesDataTable8268459[[#This Row],[issueDate]],CurrentMtgRatesDataTable82684511[#All],2,0)</f>
        <v>814006032</v>
      </c>
      <c r="U20" s="31">
        <f>VLOOKUP(CurrentMtgRatesDataTable8268459[[#This Row],[issueDate]],CurrentMtgRatesDataTable8262[#All],2,0)</f>
        <v>927109718</v>
      </c>
      <c r="V20" s="34">
        <f>VLOOKUP(CurrentMtgRatesDataTable8268459[[#This Row],[issueDate]],CurrentMtgRatesDataTable82673[#All],2,0)</f>
        <v>2351497218</v>
      </c>
      <c r="W20" s="34">
        <f>VLOOKUP(CurrentMtgRatesDataTable8268459[[#This Row],[issueDate]],CurrentMtgRatesDataTable82684[#All],2,0)</f>
        <v>1268334918</v>
      </c>
      <c r="X20" s="34">
        <f>VLOOKUP(CurrentMtgRatesDataTable8268459[[#This Row],[issueDate]],CurrentMtgRatesDataTable826845[#All],2,0)</f>
        <v>964804971</v>
      </c>
      <c r="Y20" s="43">
        <f>VLOOKUP(CurrentMtgRatesDataTable8268459[[#This Row],[issueDate]],CurrentMtgRatesDataTable8268451112[#All],2,0)</f>
        <v>219232419</v>
      </c>
      <c r="Z20" s="46">
        <f>SUM(CurrentMtgRatesDataTable8268459[[#This Row],[LowFICO]:[Geo]])/VLOOKUP(CurrentMtgRatesDataTable8268459[[#This Row],[issueDate]],CurrentMtgRatesDataTable826845111213[#All],2,0)</f>
        <v>0.1977940972980248</v>
      </c>
      <c r="AA20" s="43"/>
      <c r="AC20" s="18">
        <v>40878</v>
      </c>
      <c r="AD20">
        <v>1545506017</v>
      </c>
      <c r="AG20" s="18">
        <v>40878</v>
      </c>
      <c r="AH20">
        <v>814006032</v>
      </c>
      <c r="AJ20" s="18">
        <v>40878</v>
      </c>
      <c r="AK20">
        <v>219232419</v>
      </c>
      <c r="AM20" s="18">
        <v>40878</v>
      </c>
      <c r="AN20">
        <v>44093580244</v>
      </c>
    </row>
    <row r="21" spans="2:40">
      <c r="B21" s="18">
        <v>40909</v>
      </c>
      <c r="C21">
        <v>895155203</v>
      </c>
      <c r="E21" s="18">
        <v>40909</v>
      </c>
      <c r="F21">
        <v>2301286099</v>
      </c>
      <c r="I21" s="18">
        <v>40909</v>
      </c>
      <c r="J21">
        <v>1022202205</v>
      </c>
      <c r="M21" s="18">
        <v>40909</v>
      </c>
      <c r="N21">
        <v>646001264</v>
      </c>
      <c r="Q21" s="18">
        <v>40909</v>
      </c>
      <c r="R21" s="33">
        <v>1199227914</v>
      </c>
      <c r="S21" s="31">
        <f>VLOOKUP(CurrentMtgRatesDataTable8268459[[#This Row],[issueDate]],CurrentMtgRatesDataTable82684510[#All],2,0)</f>
        <v>2618325359</v>
      </c>
      <c r="T21" s="31">
        <f>VLOOKUP(CurrentMtgRatesDataTable8268459[[#This Row],[issueDate]],CurrentMtgRatesDataTable82684511[#All],2,0)</f>
        <v>881297951</v>
      </c>
      <c r="U21" s="31">
        <f>VLOOKUP(CurrentMtgRatesDataTable8268459[[#This Row],[issueDate]],CurrentMtgRatesDataTable8262[#All],2,0)</f>
        <v>895155203</v>
      </c>
      <c r="V21" s="34">
        <f>VLOOKUP(CurrentMtgRatesDataTable8268459[[#This Row],[issueDate]],CurrentMtgRatesDataTable82673[#All],2,0)</f>
        <v>2301286099</v>
      </c>
      <c r="W21" s="34">
        <f>VLOOKUP(CurrentMtgRatesDataTable8268459[[#This Row],[issueDate]],CurrentMtgRatesDataTable82684[#All],2,0)</f>
        <v>1022202205</v>
      </c>
      <c r="X21" s="34">
        <f>VLOOKUP(CurrentMtgRatesDataTable8268459[[#This Row],[issueDate]],CurrentMtgRatesDataTable826845[#All],2,0)</f>
        <v>646001264</v>
      </c>
      <c r="Y21" s="43">
        <f>VLOOKUP(CurrentMtgRatesDataTable8268459[[#This Row],[issueDate]],CurrentMtgRatesDataTable8268451112[#All],2,0)</f>
        <v>237166995</v>
      </c>
      <c r="Z21" s="46">
        <f>SUM(CurrentMtgRatesDataTable8268459[[#This Row],[LowFICO]:[Geo]])/VLOOKUP(CurrentMtgRatesDataTable8268459[[#This Row],[issueDate]],CurrentMtgRatesDataTable826845111213[#All],2,0)</f>
        <v>0.31322030734801148</v>
      </c>
      <c r="AA21" s="43"/>
      <c r="AC21" s="18">
        <v>40909</v>
      </c>
      <c r="AD21">
        <v>2618325359</v>
      </c>
      <c r="AG21" s="18">
        <v>40909</v>
      </c>
      <c r="AH21">
        <v>881297951</v>
      </c>
      <c r="AJ21" s="18">
        <v>40909</v>
      </c>
      <c r="AK21">
        <v>237166995</v>
      </c>
      <c r="AM21" s="18">
        <v>40909</v>
      </c>
      <c r="AN21">
        <v>31289998637</v>
      </c>
    </row>
    <row r="22" spans="2:40">
      <c r="B22" s="18">
        <v>40940</v>
      </c>
      <c r="C22">
        <v>1119679733</v>
      </c>
      <c r="E22" s="18">
        <v>40940</v>
      </c>
      <c r="F22">
        <v>2674571746</v>
      </c>
      <c r="I22" s="18">
        <v>40940</v>
      </c>
      <c r="J22">
        <v>1284539858</v>
      </c>
      <c r="M22" s="18">
        <v>40940</v>
      </c>
      <c r="N22">
        <v>856472475</v>
      </c>
      <c r="Q22" s="18">
        <v>40940</v>
      </c>
      <c r="R22" s="33">
        <v>858544665</v>
      </c>
      <c r="S22" s="31">
        <f>VLOOKUP(CurrentMtgRatesDataTable8268459[[#This Row],[issueDate]],CurrentMtgRatesDataTable82684510[#All],2,0)</f>
        <v>2549140693</v>
      </c>
      <c r="T22" s="31">
        <f>VLOOKUP(CurrentMtgRatesDataTable8268459[[#This Row],[issueDate]],CurrentMtgRatesDataTable82684511[#All],2,0)</f>
        <v>1070710499</v>
      </c>
      <c r="U22" s="31">
        <f>VLOOKUP(CurrentMtgRatesDataTable8268459[[#This Row],[issueDate]],CurrentMtgRatesDataTable8262[#All],2,0)</f>
        <v>1119679733</v>
      </c>
      <c r="V22" s="34">
        <f>VLOOKUP(CurrentMtgRatesDataTable8268459[[#This Row],[issueDate]],CurrentMtgRatesDataTable82673[#All],2,0)</f>
        <v>2674571746</v>
      </c>
      <c r="W22" s="34">
        <f>VLOOKUP(CurrentMtgRatesDataTable8268459[[#This Row],[issueDate]],CurrentMtgRatesDataTable82684[#All],2,0)</f>
        <v>1284539858</v>
      </c>
      <c r="X22" s="34">
        <f>VLOOKUP(CurrentMtgRatesDataTable8268459[[#This Row],[issueDate]],CurrentMtgRatesDataTable826845[#All],2,0)</f>
        <v>856472475</v>
      </c>
      <c r="Y22" s="43">
        <f>VLOOKUP(CurrentMtgRatesDataTable8268459[[#This Row],[issueDate]],CurrentMtgRatesDataTable8268451112[#All],2,0)</f>
        <v>251956511</v>
      </c>
      <c r="Z22" s="46">
        <f>SUM(CurrentMtgRatesDataTable8268459[[#This Row],[LowFICO]:[Geo]])/VLOOKUP(CurrentMtgRatesDataTable8268459[[#This Row],[issueDate]],CurrentMtgRatesDataTable826845111213[#All],2,0)</f>
        <v>0.32917083075448261</v>
      </c>
      <c r="AA22" s="43"/>
      <c r="AC22" s="18">
        <v>40940</v>
      </c>
      <c r="AD22">
        <v>2549140693</v>
      </c>
      <c r="AG22" s="18">
        <v>40940</v>
      </c>
      <c r="AH22">
        <v>1070710499</v>
      </c>
      <c r="AJ22" s="18">
        <v>40940</v>
      </c>
      <c r="AK22">
        <v>251956511</v>
      </c>
      <c r="AM22" s="18">
        <v>40940</v>
      </c>
      <c r="AN22">
        <v>32401462048</v>
      </c>
    </row>
    <row r="23" spans="2:40">
      <c r="B23" s="18">
        <v>40969</v>
      </c>
      <c r="C23">
        <v>2071647847</v>
      </c>
      <c r="E23" s="18">
        <v>40969</v>
      </c>
      <c r="F23">
        <v>3841087144</v>
      </c>
      <c r="I23" s="18">
        <v>40969</v>
      </c>
      <c r="J23">
        <v>1735119323</v>
      </c>
      <c r="M23" s="18">
        <v>40969</v>
      </c>
      <c r="N23">
        <v>1094708047</v>
      </c>
      <c r="Q23" s="18">
        <v>40969</v>
      </c>
      <c r="R23" s="33">
        <v>1316407997</v>
      </c>
      <c r="S23" s="31">
        <f>VLOOKUP(CurrentMtgRatesDataTable8268459[[#This Row],[issueDate]],CurrentMtgRatesDataTable82684510[#All],2,0)</f>
        <v>4280168236</v>
      </c>
      <c r="T23" s="31">
        <f>VLOOKUP(CurrentMtgRatesDataTable8268459[[#This Row],[issueDate]],CurrentMtgRatesDataTable82684511[#All],2,0)</f>
        <v>1907637512</v>
      </c>
      <c r="U23" s="31">
        <f>VLOOKUP(CurrentMtgRatesDataTable8268459[[#This Row],[issueDate]],CurrentMtgRatesDataTable8262[#All],2,0)</f>
        <v>2071647847</v>
      </c>
      <c r="V23" s="34">
        <f>VLOOKUP(CurrentMtgRatesDataTable8268459[[#This Row],[issueDate]],CurrentMtgRatesDataTable82673[#All],2,0)</f>
        <v>3841087144</v>
      </c>
      <c r="W23" s="34">
        <f>VLOOKUP(CurrentMtgRatesDataTable8268459[[#This Row],[issueDate]],CurrentMtgRatesDataTable82684[#All],2,0)</f>
        <v>1735119323</v>
      </c>
      <c r="X23" s="34">
        <f>VLOOKUP(CurrentMtgRatesDataTable8268459[[#This Row],[issueDate]],CurrentMtgRatesDataTable826845[#All],2,0)</f>
        <v>1094708047</v>
      </c>
      <c r="Y23" s="43">
        <f>VLOOKUP(CurrentMtgRatesDataTable8268459[[#This Row],[issueDate]],CurrentMtgRatesDataTable8268451112[#All],2,0)</f>
        <v>232328653</v>
      </c>
      <c r="Z23" s="46">
        <f>SUM(CurrentMtgRatesDataTable8268459[[#This Row],[LowFICO]:[Geo]])/VLOOKUP(CurrentMtgRatesDataTable8268459[[#This Row],[issueDate]],CurrentMtgRatesDataTable826845111213[#All],2,0)</f>
        <v>0.30024274669984202</v>
      </c>
      <c r="AA23" s="43"/>
      <c r="AC23" s="18">
        <v>40969</v>
      </c>
      <c r="AD23">
        <v>4280168236</v>
      </c>
      <c r="AG23" s="18">
        <v>40969</v>
      </c>
      <c r="AH23">
        <v>1907637512</v>
      </c>
      <c r="AJ23" s="18">
        <v>40969</v>
      </c>
      <c r="AK23">
        <v>232328653</v>
      </c>
      <c r="AM23" s="18">
        <v>40969</v>
      </c>
      <c r="AN23">
        <v>54885937929</v>
      </c>
    </row>
    <row r="24" spans="2:40">
      <c r="B24" s="18">
        <v>41000</v>
      </c>
      <c r="C24">
        <v>1142559870</v>
      </c>
      <c r="E24" s="18">
        <v>41000</v>
      </c>
      <c r="F24">
        <v>2181147527</v>
      </c>
      <c r="I24" s="18">
        <v>41000</v>
      </c>
      <c r="J24">
        <v>987980929</v>
      </c>
      <c r="M24" s="18">
        <v>41000</v>
      </c>
      <c r="N24">
        <v>638284668</v>
      </c>
      <c r="Q24" s="18">
        <v>41000</v>
      </c>
      <c r="R24" s="33">
        <v>619429599</v>
      </c>
      <c r="S24" s="31">
        <f>VLOOKUP(CurrentMtgRatesDataTable8268459[[#This Row],[issueDate]],CurrentMtgRatesDataTable82684510[#All],2,0)</f>
        <v>2344147071</v>
      </c>
      <c r="T24" s="31">
        <f>VLOOKUP(CurrentMtgRatesDataTable8268459[[#This Row],[issueDate]],CurrentMtgRatesDataTable82684511[#All],2,0)</f>
        <v>924196729</v>
      </c>
      <c r="U24" s="31">
        <f>VLOOKUP(CurrentMtgRatesDataTable8268459[[#This Row],[issueDate]],CurrentMtgRatesDataTable8262[#All],2,0)</f>
        <v>1142559870</v>
      </c>
      <c r="V24" s="34">
        <f>VLOOKUP(CurrentMtgRatesDataTable8268459[[#This Row],[issueDate]],CurrentMtgRatesDataTable82673[#All],2,0)</f>
        <v>2181147527</v>
      </c>
      <c r="W24" s="34">
        <f>VLOOKUP(CurrentMtgRatesDataTable8268459[[#This Row],[issueDate]],CurrentMtgRatesDataTable82684[#All],2,0)</f>
        <v>987980929</v>
      </c>
      <c r="X24" s="34">
        <f>VLOOKUP(CurrentMtgRatesDataTable8268459[[#This Row],[issueDate]],CurrentMtgRatesDataTable826845[#All],2,0)</f>
        <v>638284668</v>
      </c>
      <c r="Y24" s="43">
        <f>VLOOKUP(CurrentMtgRatesDataTable8268459[[#This Row],[issueDate]],CurrentMtgRatesDataTable8268451112[#All],2,0)</f>
        <v>277398767</v>
      </c>
      <c r="Z24" s="46">
        <f>SUM(CurrentMtgRatesDataTable8268459[[#This Row],[LowFICO]:[Geo]])/VLOOKUP(CurrentMtgRatesDataTable8268459[[#This Row],[issueDate]],CurrentMtgRatesDataTable826845111213[#All],2,0)</f>
        <v>0.33388238910503099</v>
      </c>
      <c r="AA24" s="43"/>
      <c r="AC24" s="18">
        <v>41000</v>
      </c>
      <c r="AD24">
        <v>2344147071</v>
      </c>
      <c r="AG24" s="18">
        <v>41000</v>
      </c>
      <c r="AH24">
        <v>924196729</v>
      </c>
      <c r="AJ24" s="18">
        <v>41000</v>
      </c>
      <c r="AK24">
        <v>277398767</v>
      </c>
      <c r="AM24" s="18">
        <v>41000</v>
      </c>
      <c r="AN24">
        <v>27300467043</v>
      </c>
    </row>
    <row r="25" spans="2:40">
      <c r="B25" s="18">
        <v>41030</v>
      </c>
      <c r="C25">
        <v>1739950443</v>
      </c>
      <c r="E25" s="18">
        <v>41030</v>
      </c>
      <c r="F25">
        <v>3139002806</v>
      </c>
      <c r="I25" s="18">
        <v>41030</v>
      </c>
      <c r="J25">
        <v>1484383778</v>
      </c>
      <c r="M25" s="18">
        <v>41030</v>
      </c>
      <c r="N25">
        <v>965308651</v>
      </c>
      <c r="Q25" s="18">
        <v>41030</v>
      </c>
      <c r="R25" s="33">
        <v>1030015691</v>
      </c>
      <c r="S25" s="31">
        <f>VLOOKUP(CurrentMtgRatesDataTable8268459[[#This Row],[issueDate]],CurrentMtgRatesDataTable82684510[#All],2,0)</f>
        <v>3652827367</v>
      </c>
      <c r="T25" s="31">
        <f>VLOOKUP(CurrentMtgRatesDataTable8268459[[#This Row],[issueDate]],CurrentMtgRatesDataTable82684511[#All],2,0)</f>
        <v>1284353878</v>
      </c>
      <c r="U25" s="31">
        <f>VLOOKUP(CurrentMtgRatesDataTable8268459[[#This Row],[issueDate]],CurrentMtgRatesDataTable8262[#All],2,0)</f>
        <v>1739950443</v>
      </c>
      <c r="V25" s="34">
        <f>VLOOKUP(CurrentMtgRatesDataTable8268459[[#This Row],[issueDate]],CurrentMtgRatesDataTable82673[#All],2,0)</f>
        <v>3139002806</v>
      </c>
      <c r="W25" s="34">
        <f>VLOOKUP(CurrentMtgRatesDataTable8268459[[#This Row],[issueDate]],CurrentMtgRatesDataTable82684[#All],2,0)</f>
        <v>1484383778</v>
      </c>
      <c r="X25" s="34">
        <f>VLOOKUP(CurrentMtgRatesDataTable8268459[[#This Row],[issueDate]],CurrentMtgRatesDataTable826845[#All],2,0)</f>
        <v>965308651</v>
      </c>
      <c r="Y25" s="43">
        <f>VLOOKUP(CurrentMtgRatesDataTable8268459[[#This Row],[issueDate]],CurrentMtgRatesDataTable8268451112[#All],2,0)</f>
        <v>280166807</v>
      </c>
      <c r="Z25" s="46">
        <f>SUM(CurrentMtgRatesDataTable8268459[[#This Row],[LowFICO]:[Geo]])/VLOOKUP(CurrentMtgRatesDataTable8268459[[#This Row],[issueDate]],CurrentMtgRatesDataTable826845111213[#All],2,0)</f>
        <v>0.32418154453854631</v>
      </c>
      <c r="AA25" s="43"/>
      <c r="AC25" s="18">
        <v>41030</v>
      </c>
      <c r="AD25">
        <v>3652827367</v>
      </c>
      <c r="AG25" s="18">
        <v>41030</v>
      </c>
      <c r="AH25">
        <v>1284353878</v>
      </c>
      <c r="AJ25" s="18">
        <v>41030</v>
      </c>
      <c r="AK25">
        <v>280166807</v>
      </c>
      <c r="AM25" s="18">
        <v>41030</v>
      </c>
      <c r="AN25">
        <v>41877798566</v>
      </c>
    </row>
    <row r="26" spans="2:40">
      <c r="B26" s="18">
        <v>41061</v>
      </c>
      <c r="C26">
        <v>1341442478</v>
      </c>
      <c r="E26" s="18">
        <v>41061</v>
      </c>
      <c r="F26">
        <v>2589334638</v>
      </c>
      <c r="I26" s="18">
        <v>41061</v>
      </c>
      <c r="J26">
        <v>1316392694</v>
      </c>
      <c r="M26" s="18">
        <v>41061</v>
      </c>
      <c r="N26">
        <v>869933090</v>
      </c>
      <c r="Q26" s="18">
        <v>41061</v>
      </c>
      <c r="R26" s="33">
        <v>1023641491</v>
      </c>
      <c r="S26" s="31">
        <f>VLOOKUP(CurrentMtgRatesDataTable8268459[[#This Row],[issueDate]],CurrentMtgRatesDataTable82684510[#All],2,0)</f>
        <v>3645341345</v>
      </c>
      <c r="T26" s="31">
        <f>VLOOKUP(CurrentMtgRatesDataTable8268459[[#This Row],[issueDate]],CurrentMtgRatesDataTable82684511[#All],2,0)</f>
        <v>1249456220</v>
      </c>
      <c r="U26" s="31">
        <f>VLOOKUP(CurrentMtgRatesDataTable8268459[[#This Row],[issueDate]],CurrentMtgRatesDataTable8262[#All],2,0)</f>
        <v>1341442478</v>
      </c>
      <c r="V26" s="34">
        <f>VLOOKUP(CurrentMtgRatesDataTable8268459[[#This Row],[issueDate]],CurrentMtgRatesDataTable82673[#All],2,0)</f>
        <v>2589334638</v>
      </c>
      <c r="W26" s="34">
        <f>VLOOKUP(CurrentMtgRatesDataTable8268459[[#This Row],[issueDate]],CurrentMtgRatesDataTable82684[#All],2,0)</f>
        <v>1316392694</v>
      </c>
      <c r="X26" s="34">
        <f>VLOOKUP(CurrentMtgRatesDataTable8268459[[#This Row],[issueDate]],CurrentMtgRatesDataTable826845[#All],2,0)</f>
        <v>869933090</v>
      </c>
      <c r="Y26" s="43">
        <f>VLOOKUP(CurrentMtgRatesDataTable8268459[[#This Row],[issueDate]],CurrentMtgRatesDataTable8268451112[#All],2,0)</f>
        <v>329024965</v>
      </c>
      <c r="Z26" s="46">
        <f>SUM(CurrentMtgRatesDataTable8268459[[#This Row],[LowFICO]:[Geo]])/VLOOKUP(CurrentMtgRatesDataTable8268459[[#This Row],[issueDate]],CurrentMtgRatesDataTable826845111213[#All],2,0)</f>
        <v>0.37755394734625408</v>
      </c>
      <c r="AA26" s="43"/>
      <c r="AC26" s="18">
        <v>41061</v>
      </c>
      <c r="AD26">
        <v>3645341345</v>
      </c>
      <c r="AG26" s="18">
        <v>41061</v>
      </c>
      <c r="AH26">
        <v>1249456220</v>
      </c>
      <c r="AJ26" s="18">
        <v>41061</v>
      </c>
      <c r="AK26">
        <v>329024965</v>
      </c>
      <c r="AM26" s="18">
        <v>41061</v>
      </c>
      <c r="AN26">
        <v>32749139581</v>
      </c>
    </row>
    <row r="27" spans="2:40">
      <c r="B27" s="18">
        <v>41091</v>
      </c>
      <c r="C27">
        <v>1676373437</v>
      </c>
      <c r="E27" s="18">
        <v>41091</v>
      </c>
      <c r="F27">
        <v>3037145756</v>
      </c>
      <c r="I27" s="18">
        <v>41091</v>
      </c>
      <c r="J27">
        <v>1391950040</v>
      </c>
      <c r="M27" s="18">
        <v>41091</v>
      </c>
      <c r="N27">
        <v>916631007</v>
      </c>
      <c r="Q27" s="18">
        <v>41091</v>
      </c>
      <c r="R27" s="33">
        <v>1486802071</v>
      </c>
      <c r="S27" s="31">
        <f>VLOOKUP(CurrentMtgRatesDataTable8268459[[#This Row],[issueDate]],CurrentMtgRatesDataTable82684510[#All],2,0)</f>
        <v>3672143704</v>
      </c>
      <c r="T27" s="31">
        <f>VLOOKUP(CurrentMtgRatesDataTable8268459[[#This Row],[issueDate]],CurrentMtgRatesDataTable82684511[#All],2,0)</f>
        <v>1368636075</v>
      </c>
      <c r="U27" s="31">
        <f>VLOOKUP(CurrentMtgRatesDataTable8268459[[#This Row],[issueDate]],CurrentMtgRatesDataTable8262[#All],2,0)</f>
        <v>1676373437</v>
      </c>
      <c r="V27" s="34">
        <f>VLOOKUP(CurrentMtgRatesDataTable8268459[[#This Row],[issueDate]],CurrentMtgRatesDataTable82673[#All],2,0)</f>
        <v>3037145756</v>
      </c>
      <c r="W27" s="34">
        <f>VLOOKUP(CurrentMtgRatesDataTable8268459[[#This Row],[issueDate]],CurrentMtgRatesDataTable82684[#All],2,0)</f>
        <v>1391950040</v>
      </c>
      <c r="X27" s="34">
        <f>VLOOKUP(CurrentMtgRatesDataTable8268459[[#This Row],[issueDate]],CurrentMtgRatesDataTable826845[#All],2,0)</f>
        <v>916631007</v>
      </c>
      <c r="Y27" s="43">
        <f>VLOOKUP(CurrentMtgRatesDataTable8268459[[#This Row],[issueDate]],CurrentMtgRatesDataTable8268451112[#All],2,0)</f>
        <v>307965127</v>
      </c>
      <c r="Z27" s="46">
        <f>SUM(CurrentMtgRatesDataTable8268459[[#This Row],[LowFICO]:[Geo]])/VLOOKUP(CurrentMtgRatesDataTable8268459[[#This Row],[issueDate]],CurrentMtgRatesDataTable826845111213[#All],2,0)</f>
        <v>0.35272179935927161</v>
      </c>
      <c r="AA27" s="43"/>
      <c r="AC27" s="18">
        <v>41091</v>
      </c>
      <c r="AD27">
        <v>3672143704</v>
      </c>
      <c r="AG27" s="18">
        <v>41091</v>
      </c>
      <c r="AH27">
        <v>1368636075</v>
      </c>
      <c r="AJ27" s="18">
        <v>41091</v>
      </c>
      <c r="AK27">
        <v>307965127</v>
      </c>
      <c r="AM27" s="18">
        <v>41091</v>
      </c>
      <c r="AN27">
        <v>39287753811</v>
      </c>
    </row>
    <row r="28" spans="2:40">
      <c r="B28" s="18">
        <v>41122</v>
      </c>
      <c r="C28">
        <v>1740229937</v>
      </c>
      <c r="E28" s="18">
        <v>41122</v>
      </c>
      <c r="F28">
        <v>2800881284</v>
      </c>
      <c r="I28" s="18">
        <v>41122</v>
      </c>
      <c r="J28">
        <v>1332804528</v>
      </c>
      <c r="M28" s="18">
        <v>41122</v>
      </c>
      <c r="N28">
        <v>938861711</v>
      </c>
      <c r="Q28" s="18">
        <v>41122</v>
      </c>
      <c r="R28" s="33">
        <v>1507652848</v>
      </c>
      <c r="S28" s="31">
        <f>VLOOKUP(CurrentMtgRatesDataTable8268459[[#This Row],[issueDate]],CurrentMtgRatesDataTable82684510[#All],2,0)</f>
        <v>4005623745</v>
      </c>
      <c r="T28" s="31">
        <f>VLOOKUP(CurrentMtgRatesDataTable8268459[[#This Row],[issueDate]],CurrentMtgRatesDataTable82684511[#All],2,0)</f>
        <v>1427196427</v>
      </c>
      <c r="U28" s="31">
        <f>VLOOKUP(CurrentMtgRatesDataTable8268459[[#This Row],[issueDate]],CurrentMtgRatesDataTable8262[#All],2,0)</f>
        <v>1740229937</v>
      </c>
      <c r="V28" s="34">
        <f>VLOOKUP(CurrentMtgRatesDataTable8268459[[#This Row],[issueDate]],CurrentMtgRatesDataTable82673[#All],2,0)</f>
        <v>2800881284</v>
      </c>
      <c r="W28" s="34">
        <f>VLOOKUP(CurrentMtgRatesDataTable8268459[[#This Row],[issueDate]],CurrentMtgRatesDataTable82684[#All],2,0)</f>
        <v>1332804528</v>
      </c>
      <c r="X28" s="34">
        <f>VLOOKUP(CurrentMtgRatesDataTable8268459[[#This Row],[issueDate]],CurrentMtgRatesDataTable826845[#All],2,0)</f>
        <v>938861711</v>
      </c>
      <c r="Y28" s="43">
        <f>VLOOKUP(CurrentMtgRatesDataTable8268459[[#This Row],[issueDate]],CurrentMtgRatesDataTable8268451112[#All],2,0)</f>
        <v>484822953</v>
      </c>
      <c r="Z28" s="46">
        <f>SUM(CurrentMtgRatesDataTable8268459[[#This Row],[LowFICO]:[Geo]])/VLOOKUP(CurrentMtgRatesDataTable8268459[[#This Row],[issueDate]],CurrentMtgRatesDataTable826845111213[#All],2,0)</f>
        <v>0.32248278307592104</v>
      </c>
      <c r="AA28" s="43"/>
      <c r="AC28" s="18">
        <v>41122</v>
      </c>
      <c r="AD28">
        <v>4005623745</v>
      </c>
      <c r="AG28" s="18">
        <v>41122</v>
      </c>
      <c r="AH28">
        <v>1427196427</v>
      </c>
      <c r="AJ28" s="18">
        <v>41122</v>
      </c>
      <c r="AK28">
        <v>484822953</v>
      </c>
      <c r="AM28" s="18">
        <v>41122</v>
      </c>
      <c r="AN28">
        <v>44151421968</v>
      </c>
    </row>
    <row r="29" spans="2:40">
      <c r="B29" s="18">
        <v>41153</v>
      </c>
      <c r="C29">
        <v>1747467554</v>
      </c>
      <c r="E29" s="18">
        <v>41153</v>
      </c>
      <c r="F29">
        <v>3094496393</v>
      </c>
      <c r="I29" s="18">
        <v>41153</v>
      </c>
      <c r="J29">
        <v>1412162830</v>
      </c>
      <c r="M29" s="18">
        <v>41153</v>
      </c>
      <c r="N29">
        <v>866473910</v>
      </c>
      <c r="Q29" s="18">
        <v>41153</v>
      </c>
      <c r="R29" s="33">
        <v>1363121051</v>
      </c>
      <c r="S29" s="31">
        <f>VLOOKUP(CurrentMtgRatesDataTable8268459[[#This Row],[issueDate]],CurrentMtgRatesDataTable82684510[#All],2,0)</f>
        <v>3794875709</v>
      </c>
      <c r="T29" s="31">
        <f>VLOOKUP(CurrentMtgRatesDataTable8268459[[#This Row],[issueDate]],CurrentMtgRatesDataTable82684511[#All],2,0)</f>
        <v>1334351132</v>
      </c>
      <c r="U29" s="31">
        <f>VLOOKUP(CurrentMtgRatesDataTable8268459[[#This Row],[issueDate]],CurrentMtgRatesDataTable8262[#All],2,0)</f>
        <v>1747467554</v>
      </c>
      <c r="V29" s="34">
        <f>VLOOKUP(CurrentMtgRatesDataTable8268459[[#This Row],[issueDate]],CurrentMtgRatesDataTable82673[#All],2,0)</f>
        <v>3094496393</v>
      </c>
      <c r="W29" s="34">
        <f>VLOOKUP(CurrentMtgRatesDataTable8268459[[#This Row],[issueDate]],CurrentMtgRatesDataTable82684[#All],2,0)</f>
        <v>1412162830</v>
      </c>
      <c r="X29" s="34">
        <f>VLOOKUP(CurrentMtgRatesDataTable8268459[[#This Row],[issueDate]],CurrentMtgRatesDataTable826845[#All],2,0)</f>
        <v>866473910</v>
      </c>
      <c r="Y29" s="43">
        <f>VLOOKUP(CurrentMtgRatesDataTable8268459[[#This Row],[issueDate]],CurrentMtgRatesDataTable8268451112[#All],2,0)</f>
        <v>611475515</v>
      </c>
      <c r="Z29" s="46">
        <f>SUM(CurrentMtgRatesDataTable8268459[[#This Row],[LowFICO]:[Geo]])/VLOOKUP(CurrentMtgRatesDataTable8268459[[#This Row],[issueDate]],CurrentMtgRatesDataTable826845111213[#All],2,0)</f>
        <v>0.29548977613791227</v>
      </c>
      <c r="AA29" s="43"/>
      <c r="AC29" s="18">
        <v>41153</v>
      </c>
      <c r="AD29">
        <v>3794875709</v>
      </c>
      <c r="AG29" s="18">
        <v>41153</v>
      </c>
      <c r="AH29">
        <v>1334351132</v>
      </c>
      <c r="AJ29" s="18">
        <v>41153</v>
      </c>
      <c r="AK29">
        <v>611475515</v>
      </c>
      <c r="AM29" s="18">
        <v>41153</v>
      </c>
      <c r="AN29">
        <v>48138464484</v>
      </c>
    </row>
    <row r="30" spans="2:40">
      <c r="B30" s="18">
        <v>41183</v>
      </c>
      <c r="C30">
        <v>885767358</v>
      </c>
      <c r="E30" s="18">
        <v>41183</v>
      </c>
      <c r="F30">
        <v>1750544385</v>
      </c>
      <c r="I30" s="18">
        <v>41183</v>
      </c>
      <c r="J30">
        <v>1074934170</v>
      </c>
      <c r="M30" s="18">
        <v>41183</v>
      </c>
      <c r="N30">
        <v>674003513</v>
      </c>
      <c r="Q30" s="18">
        <v>41183</v>
      </c>
      <c r="R30" s="33">
        <v>741027528</v>
      </c>
      <c r="S30" s="31">
        <f>VLOOKUP(CurrentMtgRatesDataTable8268459[[#This Row],[issueDate]],CurrentMtgRatesDataTable82684510[#All],2,0)</f>
        <v>2866599095</v>
      </c>
      <c r="T30" s="31">
        <f>VLOOKUP(CurrentMtgRatesDataTable8268459[[#This Row],[issueDate]],CurrentMtgRatesDataTable82684511[#All],2,0)</f>
        <v>467542200</v>
      </c>
      <c r="U30" s="31">
        <f>VLOOKUP(CurrentMtgRatesDataTable8268459[[#This Row],[issueDate]],CurrentMtgRatesDataTable8262[#All],2,0)</f>
        <v>885767358</v>
      </c>
      <c r="V30" s="34">
        <f>VLOOKUP(CurrentMtgRatesDataTable8268459[[#This Row],[issueDate]],CurrentMtgRatesDataTable82673[#All],2,0)</f>
        <v>1750544385</v>
      </c>
      <c r="W30" s="34">
        <f>VLOOKUP(CurrentMtgRatesDataTable8268459[[#This Row],[issueDate]],CurrentMtgRatesDataTable82684[#All],2,0)</f>
        <v>1074934170</v>
      </c>
      <c r="X30" s="34">
        <f>VLOOKUP(CurrentMtgRatesDataTable8268459[[#This Row],[issueDate]],CurrentMtgRatesDataTable826845[#All],2,0)</f>
        <v>674003513</v>
      </c>
      <c r="Y30" s="43">
        <f>VLOOKUP(CurrentMtgRatesDataTable8268459[[#This Row],[issueDate]],CurrentMtgRatesDataTable8268451112[#All],2,0)</f>
        <v>283236297</v>
      </c>
      <c r="Z30" s="46">
        <f>SUM(CurrentMtgRatesDataTable8268459[[#This Row],[LowFICO]:[Geo]])/VLOOKUP(CurrentMtgRatesDataTable8268459[[#This Row],[issueDate]],CurrentMtgRatesDataTable826845111213[#All],2,0)</f>
        <v>0.26620497039221447</v>
      </c>
      <c r="AA30" s="43"/>
      <c r="AC30" s="18">
        <v>41183</v>
      </c>
      <c r="AD30">
        <v>2866599095</v>
      </c>
      <c r="AG30" s="18">
        <v>41183</v>
      </c>
      <c r="AH30">
        <v>467542200</v>
      </c>
      <c r="AJ30" s="18">
        <v>41183</v>
      </c>
      <c r="AK30">
        <v>283236297</v>
      </c>
      <c r="AM30" s="18">
        <v>41183</v>
      </c>
      <c r="AN30">
        <v>32845572091</v>
      </c>
    </row>
    <row r="31" spans="2:40">
      <c r="B31" s="18">
        <v>41214</v>
      </c>
      <c r="C31">
        <v>1351050040</v>
      </c>
      <c r="E31" s="18">
        <v>41214</v>
      </c>
      <c r="F31">
        <v>3750861223</v>
      </c>
      <c r="I31" s="18">
        <v>41214</v>
      </c>
      <c r="J31">
        <v>2092345448</v>
      </c>
      <c r="M31" s="18">
        <v>41214</v>
      </c>
      <c r="N31">
        <v>1360862416</v>
      </c>
      <c r="Q31" s="18">
        <v>41214</v>
      </c>
      <c r="R31" s="33">
        <v>1745418744</v>
      </c>
      <c r="S31" s="31">
        <f>VLOOKUP(CurrentMtgRatesDataTable8268459[[#This Row],[issueDate]],CurrentMtgRatesDataTable82684510[#All],2,0)</f>
        <v>4430765694</v>
      </c>
      <c r="T31" s="31">
        <f>VLOOKUP(CurrentMtgRatesDataTable8268459[[#This Row],[issueDate]],CurrentMtgRatesDataTable82684511[#All],2,0)</f>
        <v>2080610275</v>
      </c>
      <c r="U31" s="31">
        <f>VLOOKUP(CurrentMtgRatesDataTable8268459[[#This Row],[issueDate]],CurrentMtgRatesDataTable8262[#All],2,0)</f>
        <v>1351050040</v>
      </c>
      <c r="V31" s="34">
        <f>VLOOKUP(CurrentMtgRatesDataTable8268459[[#This Row],[issueDate]],CurrentMtgRatesDataTable82673[#All],2,0)</f>
        <v>3750861223</v>
      </c>
      <c r="W31" s="34">
        <f>VLOOKUP(CurrentMtgRatesDataTable8268459[[#This Row],[issueDate]],CurrentMtgRatesDataTable82684[#All],2,0)</f>
        <v>2092345448</v>
      </c>
      <c r="X31" s="34">
        <f>VLOOKUP(CurrentMtgRatesDataTable8268459[[#This Row],[issueDate]],CurrentMtgRatesDataTable826845[#All],2,0)</f>
        <v>1360862416</v>
      </c>
      <c r="Y31" s="43">
        <f>VLOOKUP(CurrentMtgRatesDataTable8268459[[#This Row],[issueDate]],CurrentMtgRatesDataTable8268451112[#All],2,0)</f>
        <v>361734364</v>
      </c>
      <c r="Z31" s="46">
        <f>SUM(CurrentMtgRatesDataTable8268459[[#This Row],[LowFICO]:[Geo]])/VLOOKUP(CurrentMtgRatesDataTable8268459[[#This Row],[issueDate]],CurrentMtgRatesDataTable826845111213[#All],2,0)</f>
        <v>0.27049356492343579</v>
      </c>
      <c r="AA31" s="43"/>
      <c r="AC31" s="18">
        <v>41214</v>
      </c>
      <c r="AD31">
        <v>4430765694</v>
      </c>
      <c r="AG31" s="18">
        <v>41214</v>
      </c>
      <c r="AH31">
        <v>2080610275</v>
      </c>
      <c r="AJ31" s="18">
        <v>41214</v>
      </c>
      <c r="AK31">
        <v>361734364</v>
      </c>
      <c r="AM31" s="18">
        <v>41214</v>
      </c>
      <c r="AN31">
        <v>63490043502</v>
      </c>
    </row>
    <row r="32" spans="2:40">
      <c r="B32" s="18">
        <v>41244</v>
      </c>
      <c r="C32">
        <v>1378219207</v>
      </c>
      <c r="E32" s="18">
        <v>41244</v>
      </c>
      <c r="F32">
        <v>2422434894</v>
      </c>
      <c r="I32" s="18">
        <v>41244</v>
      </c>
      <c r="J32">
        <v>1221012156</v>
      </c>
      <c r="M32" s="18">
        <v>41244</v>
      </c>
      <c r="N32">
        <v>763603729</v>
      </c>
      <c r="Q32" s="18">
        <v>41244</v>
      </c>
      <c r="R32" s="33">
        <v>779099080</v>
      </c>
      <c r="S32" s="31">
        <f>VLOOKUP(CurrentMtgRatesDataTable8268459[[#This Row],[issueDate]],CurrentMtgRatesDataTable82684510[#All],2,0)</f>
        <v>2825123329</v>
      </c>
      <c r="T32" s="31">
        <f>VLOOKUP(CurrentMtgRatesDataTable8268459[[#This Row],[issueDate]],CurrentMtgRatesDataTable82684511[#All],2,0)</f>
        <v>1077406635</v>
      </c>
      <c r="U32" s="31">
        <f>VLOOKUP(CurrentMtgRatesDataTable8268459[[#This Row],[issueDate]],CurrentMtgRatesDataTable8262[#All],2,0)</f>
        <v>1378219207</v>
      </c>
      <c r="V32" s="34">
        <f>VLOOKUP(CurrentMtgRatesDataTable8268459[[#This Row],[issueDate]],CurrentMtgRatesDataTable82673[#All],2,0)</f>
        <v>2422434894</v>
      </c>
      <c r="W32" s="34">
        <f>VLOOKUP(CurrentMtgRatesDataTable8268459[[#This Row],[issueDate]],CurrentMtgRatesDataTable82684[#All],2,0)</f>
        <v>1221012156</v>
      </c>
      <c r="X32" s="34">
        <f>VLOOKUP(CurrentMtgRatesDataTable8268459[[#This Row],[issueDate]],CurrentMtgRatesDataTable826845[#All],2,0)</f>
        <v>763603729</v>
      </c>
      <c r="Y32" s="43">
        <f>VLOOKUP(CurrentMtgRatesDataTable8268459[[#This Row],[issueDate]],CurrentMtgRatesDataTable8268451112[#All],2,0)</f>
        <v>426598011</v>
      </c>
      <c r="Z32" s="46">
        <f>SUM(CurrentMtgRatesDataTable8268459[[#This Row],[LowFICO]:[Geo]])/VLOOKUP(CurrentMtgRatesDataTable8268459[[#This Row],[issueDate]],CurrentMtgRatesDataTable826845111213[#All],2,0)</f>
        <v>0.29360876737334918</v>
      </c>
      <c r="AA32" s="43"/>
      <c r="AC32" s="18">
        <v>41244</v>
      </c>
      <c r="AD32">
        <v>2825123329</v>
      </c>
      <c r="AG32" s="18">
        <v>41244</v>
      </c>
      <c r="AH32">
        <v>1077406635</v>
      </c>
      <c r="AJ32" s="18">
        <v>41244</v>
      </c>
      <c r="AK32">
        <v>426598011</v>
      </c>
      <c r="AM32" s="18">
        <v>41244</v>
      </c>
      <c r="AN32">
        <v>37102083628</v>
      </c>
    </row>
    <row r="33" spans="2:40">
      <c r="B33" s="18">
        <v>41275</v>
      </c>
      <c r="C33">
        <v>1960322510</v>
      </c>
      <c r="E33" s="18">
        <v>41275</v>
      </c>
      <c r="F33">
        <v>3557232725</v>
      </c>
      <c r="I33" s="18">
        <v>41275</v>
      </c>
      <c r="J33">
        <v>1621872168</v>
      </c>
      <c r="M33" s="18">
        <v>41275</v>
      </c>
      <c r="N33">
        <v>1057109121</v>
      </c>
      <c r="Q33" s="18">
        <v>41275</v>
      </c>
      <c r="R33" s="33">
        <v>1631971933</v>
      </c>
      <c r="S33" s="31">
        <f>VLOOKUP(CurrentMtgRatesDataTable8268459[[#This Row],[issueDate]],CurrentMtgRatesDataTable82684510[#All],2,0)</f>
        <v>3545408567</v>
      </c>
      <c r="T33" s="31">
        <f>VLOOKUP(CurrentMtgRatesDataTable8268459[[#This Row],[issueDate]],CurrentMtgRatesDataTable82684511[#All],2,0)</f>
        <v>1485427177</v>
      </c>
      <c r="U33" s="31">
        <f>VLOOKUP(CurrentMtgRatesDataTable8268459[[#This Row],[issueDate]],CurrentMtgRatesDataTable8262[#All],2,0)</f>
        <v>1960322510</v>
      </c>
      <c r="V33" s="34">
        <f>VLOOKUP(CurrentMtgRatesDataTable8268459[[#This Row],[issueDate]],CurrentMtgRatesDataTable82673[#All],2,0)</f>
        <v>3557232725</v>
      </c>
      <c r="W33" s="34">
        <f>VLOOKUP(CurrentMtgRatesDataTable8268459[[#This Row],[issueDate]],CurrentMtgRatesDataTable82684[#All],2,0)</f>
        <v>1621872168</v>
      </c>
      <c r="X33" s="34">
        <f>VLOOKUP(CurrentMtgRatesDataTable8268459[[#This Row],[issueDate]],CurrentMtgRatesDataTable826845[#All],2,0)</f>
        <v>1057109121</v>
      </c>
      <c r="Y33" s="43">
        <f>VLOOKUP(CurrentMtgRatesDataTable8268459[[#This Row],[issueDate]],CurrentMtgRatesDataTable8268451112[#All],2,0)</f>
        <v>508263805</v>
      </c>
      <c r="Z33" s="46">
        <f>SUM(CurrentMtgRatesDataTable8268459[[#This Row],[LowFICO]:[Geo]])/VLOOKUP(CurrentMtgRatesDataTable8268459[[#This Row],[issueDate]],CurrentMtgRatesDataTable826845111213[#All],2,0)</f>
        <v>0.31475008234614837</v>
      </c>
      <c r="AA33" s="43"/>
      <c r="AC33" s="18">
        <v>41275</v>
      </c>
      <c r="AD33">
        <v>3545408567</v>
      </c>
      <c r="AG33" s="18">
        <v>41275</v>
      </c>
      <c r="AH33">
        <v>1485427177</v>
      </c>
      <c r="AJ33" s="18">
        <v>41275</v>
      </c>
      <c r="AK33">
        <v>508263805</v>
      </c>
      <c r="AM33" s="18">
        <v>41275</v>
      </c>
      <c r="AN33">
        <v>48824794235</v>
      </c>
    </row>
    <row r="34" spans="2:40">
      <c r="B34" s="18">
        <v>41306</v>
      </c>
      <c r="C34">
        <v>1424567527</v>
      </c>
      <c r="E34" s="18">
        <v>41306</v>
      </c>
      <c r="F34">
        <v>2559417623</v>
      </c>
      <c r="I34" s="18">
        <v>41306</v>
      </c>
      <c r="J34">
        <v>1326174750</v>
      </c>
      <c r="M34" s="18">
        <v>41306</v>
      </c>
      <c r="N34">
        <v>962399260</v>
      </c>
      <c r="Q34" s="18">
        <v>41306</v>
      </c>
      <c r="R34" s="33">
        <v>1473941813</v>
      </c>
      <c r="S34" s="31">
        <f>VLOOKUP(CurrentMtgRatesDataTable8268459[[#This Row],[issueDate]],CurrentMtgRatesDataTable82684510[#All],2,0)</f>
        <v>2993187224</v>
      </c>
      <c r="T34" s="31">
        <f>VLOOKUP(CurrentMtgRatesDataTable8268459[[#This Row],[issueDate]],CurrentMtgRatesDataTable82684511[#All],2,0)</f>
        <v>1331254497</v>
      </c>
      <c r="U34" s="31">
        <f>VLOOKUP(CurrentMtgRatesDataTable8268459[[#This Row],[issueDate]],CurrentMtgRatesDataTable8262[#All],2,0)</f>
        <v>1424567527</v>
      </c>
      <c r="V34" s="34">
        <f>VLOOKUP(CurrentMtgRatesDataTable8268459[[#This Row],[issueDate]],CurrentMtgRatesDataTable82673[#All],2,0)</f>
        <v>2559417623</v>
      </c>
      <c r="W34" s="34">
        <f>VLOOKUP(CurrentMtgRatesDataTable8268459[[#This Row],[issueDate]],CurrentMtgRatesDataTable82684[#All],2,0)</f>
        <v>1326174750</v>
      </c>
      <c r="X34" s="34">
        <f>VLOOKUP(CurrentMtgRatesDataTable8268459[[#This Row],[issueDate]],CurrentMtgRatesDataTable826845[#All],2,0)</f>
        <v>962399260</v>
      </c>
      <c r="Y34" s="43">
        <f>VLOOKUP(CurrentMtgRatesDataTable8268459[[#This Row],[issueDate]],CurrentMtgRatesDataTable8268451112[#All],2,0)</f>
        <v>471227780</v>
      </c>
      <c r="Z34" s="46">
        <f>SUM(CurrentMtgRatesDataTable8268459[[#This Row],[LowFICO]:[Geo]])/VLOOKUP(CurrentMtgRatesDataTable8268459[[#This Row],[issueDate]],CurrentMtgRatesDataTable826845111213[#All],2,0)</f>
        <v>0.26472209099335525</v>
      </c>
      <c r="AA34" s="43"/>
      <c r="AC34" s="18">
        <v>41306</v>
      </c>
      <c r="AD34">
        <v>2993187224</v>
      </c>
      <c r="AG34" s="18">
        <v>41306</v>
      </c>
      <c r="AH34">
        <v>1331254497</v>
      </c>
      <c r="AJ34" s="18">
        <v>41306</v>
      </c>
      <c r="AK34">
        <v>471227780</v>
      </c>
      <c r="AM34" s="18">
        <v>41306</v>
      </c>
      <c r="AN34">
        <v>47378631783</v>
      </c>
    </row>
    <row r="35" spans="2:40">
      <c r="B35" s="18">
        <v>41334</v>
      </c>
      <c r="C35">
        <v>1467961473</v>
      </c>
      <c r="E35" s="18">
        <v>41334</v>
      </c>
      <c r="F35">
        <v>2649041543</v>
      </c>
      <c r="I35" s="18">
        <v>41334</v>
      </c>
      <c r="J35">
        <v>1274631916</v>
      </c>
      <c r="M35" s="18">
        <v>41334</v>
      </c>
      <c r="N35">
        <v>871349067</v>
      </c>
      <c r="Q35" s="18">
        <v>41334</v>
      </c>
      <c r="R35" s="33">
        <v>1157795498</v>
      </c>
      <c r="S35" s="31">
        <f>VLOOKUP(CurrentMtgRatesDataTable8268459[[#This Row],[issueDate]],CurrentMtgRatesDataTable82684510[#All],2,0)</f>
        <v>2633670399</v>
      </c>
      <c r="T35" s="31">
        <f>VLOOKUP(CurrentMtgRatesDataTable8268459[[#This Row],[issueDate]],CurrentMtgRatesDataTable82684511[#All],2,0)</f>
        <v>1055385357</v>
      </c>
      <c r="U35" s="31">
        <f>VLOOKUP(CurrentMtgRatesDataTable8268459[[#This Row],[issueDate]],CurrentMtgRatesDataTable8262[#All],2,0)</f>
        <v>1467961473</v>
      </c>
      <c r="V35" s="34">
        <f>VLOOKUP(CurrentMtgRatesDataTable8268459[[#This Row],[issueDate]],CurrentMtgRatesDataTable82673[#All],2,0)</f>
        <v>2649041543</v>
      </c>
      <c r="W35" s="34">
        <f>VLOOKUP(CurrentMtgRatesDataTable8268459[[#This Row],[issueDate]],CurrentMtgRatesDataTable82684[#All],2,0)</f>
        <v>1274631916</v>
      </c>
      <c r="X35" s="34">
        <f>VLOOKUP(CurrentMtgRatesDataTable8268459[[#This Row],[issueDate]],CurrentMtgRatesDataTable826845[#All],2,0)</f>
        <v>871349067</v>
      </c>
      <c r="Y35" s="43">
        <f>VLOOKUP(CurrentMtgRatesDataTable8268459[[#This Row],[issueDate]],CurrentMtgRatesDataTable8268451112[#All],2,0)</f>
        <v>384876889</v>
      </c>
      <c r="Z35" s="46">
        <f>SUM(CurrentMtgRatesDataTable8268459[[#This Row],[LowFICO]:[Geo]])/VLOOKUP(CurrentMtgRatesDataTable8268459[[#This Row],[issueDate]],CurrentMtgRatesDataTable826845111213[#All],2,0)</f>
        <v>0.30623865139104089</v>
      </c>
      <c r="AA35" s="43"/>
      <c r="AC35" s="18">
        <v>41334</v>
      </c>
      <c r="AD35">
        <v>2633670399</v>
      </c>
      <c r="AG35" s="18">
        <v>41334</v>
      </c>
      <c r="AH35">
        <v>1055385357</v>
      </c>
      <c r="AJ35" s="18">
        <v>41334</v>
      </c>
      <c r="AK35">
        <v>384876889</v>
      </c>
      <c r="AM35" s="18">
        <v>41334</v>
      </c>
      <c r="AN35">
        <v>37535144861</v>
      </c>
    </row>
    <row r="36" spans="2:40">
      <c r="B36" s="18">
        <v>41365</v>
      </c>
      <c r="C36">
        <v>1543905672</v>
      </c>
      <c r="E36" s="18">
        <v>41365</v>
      </c>
      <c r="F36">
        <v>2788212008</v>
      </c>
      <c r="I36" s="18">
        <v>41365</v>
      </c>
      <c r="J36">
        <v>1489937515</v>
      </c>
      <c r="M36" s="18">
        <v>41365</v>
      </c>
      <c r="N36">
        <v>992634188</v>
      </c>
      <c r="Q36" s="18">
        <v>41365</v>
      </c>
      <c r="R36" s="33">
        <v>1492444337</v>
      </c>
      <c r="S36" s="31">
        <f>VLOOKUP(CurrentMtgRatesDataTable8268459[[#This Row],[issueDate]],CurrentMtgRatesDataTable82684510[#All],2,0)</f>
        <v>2852112763</v>
      </c>
      <c r="T36" s="31">
        <f>VLOOKUP(CurrentMtgRatesDataTable8268459[[#This Row],[issueDate]],CurrentMtgRatesDataTable82684511[#All],2,0)</f>
        <v>1291214195</v>
      </c>
      <c r="U36" s="31">
        <f>VLOOKUP(CurrentMtgRatesDataTable8268459[[#This Row],[issueDate]],CurrentMtgRatesDataTable8262[#All],2,0)</f>
        <v>1543905672</v>
      </c>
      <c r="V36" s="34">
        <f>VLOOKUP(CurrentMtgRatesDataTable8268459[[#This Row],[issueDate]],CurrentMtgRatesDataTable82673[#All],2,0)</f>
        <v>2788212008</v>
      </c>
      <c r="W36" s="34">
        <f>VLOOKUP(CurrentMtgRatesDataTable8268459[[#This Row],[issueDate]],CurrentMtgRatesDataTable82684[#All],2,0)</f>
        <v>1489937515</v>
      </c>
      <c r="X36" s="34">
        <f>VLOOKUP(CurrentMtgRatesDataTable8268459[[#This Row],[issueDate]],CurrentMtgRatesDataTable826845[#All],2,0)</f>
        <v>992634188</v>
      </c>
      <c r="Y36" s="43">
        <f>VLOOKUP(CurrentMtgRatesDataTable8268459[[#This Row],[issueDate]],CurrentMtgRatesDataTable8268451112[#All],2,0)</f>
        <v>566512539</v>
      </c>
      <c r="Z36" s="46">
        <f>SUM(CurrentMtgRatesDataTable8268459[[#This Row],[LowFICO]:[Geo]])/VLOOKUP(CurrentMtgRatesDataTable8268459[[#This Row],[issueDate]],CurrentMtgRatesDataTable826845111213[#All],2,0)</f>
        <v>0.30700631630123032</v>
      </c>
      <c r="AA36" s="43"/>
      <c r="AC36" s="18">
        <v>41365</v>
      </c>
      <c r="AD36">
        <v>2852112763</v>
      </c>
      <c r="AG36" s="18">
        <v>41365</v>
      </c>
      <c r="AH36">
        <v>1291214195</v>
      </c>
      <c r="AJ36" s="18">
        <v>41365</v>
      </c>
      <c r="AK36">
        <v>566512539</v>
      </c>
      <c r="AM36" s="18">
        <v>41365</v>
      </c>
      <c r="AN36">
        <v>42399691882</v>
      </c>
    </row>
    <row r="37" spans="2:40">
      <c r="B37" s="18">
        <v>41395</v>
      </c>
      <c r="C37">
        <v>2072685965</v>
      </c>
      <c r="E37" s="18">
        <v>41395</v>
      </c>
      <c r="F37">
        <v>3408933720</v>
      </c>
      <c r="I37" s="18">
        <v>41395</v>
      </c>
      <c r="J37">
        <v>1613997581</v>
      </c>
      <c r="M37" s="18">
        <v>41395</v>
      </c>
      <c r="N37">
        <v>1059208914</v>
      </c>
      <c r="Q37" s="18">
        <v>41395</v>
      </c>
      <c r="R37" s="33">
        <v>1148597953</v>
      </c>
      <c r="S37" s="31">
        <f>VLOOKUP(CurrentMtgRatesDataTable8268459[[#This Row],[issueDate]],CurrentMtgRatesDataTable82684510[#All],2,0)</f>
        <v>2055564409</v>
      </c>
      <c r="T37" s="31">
        <f>VLOOKUP(CurrentMtgRatesDataTable8268459[[#This Row],[issueDate]],CurrentMtgRatesDataTable82684511[#All],2,0)</f>
        <v>759951414</v>
      </c>
      <c r="U37" s="31">
        <f>VLOOKUP(CurrentMtgRatesDataTable8268459[[#This Row],[issueDate]],CurrentMtgRatesDataTable8262[#All],2,0)</f>
        <v>2072685965</v>
      </c>
      <c r="V37" s="34">
        <f>VLOOKUP(CurrentMtgRatesDataTable8268459[[#This Row],[issueDate]],CurrentMtgRatesDataTable82673[#All],2,0)</f>
        <v>3408933720</v>
      </c>
      <c r="W37" s="34">
        <f>VLOOKUP(CurrentMtgRatesDataTable8268459[[#This Row],[issueDate]],CurrentMtgRatesDataTable82684[#All],2,0)</f>
        <v>1613997581</v>
      </c>
      <c r="X37" s="34">
        <f>VLOOKUP(CurrentMtgRatesDataTable8268459[[#This Row],[issueDate]],CurrentMtgRatesDataTable826845[#All],2,0)</f>
        <v>1059208914</v>
      </c>
      <c r="Y37" s="43">
        <f>VLOOKUP(CurrentMtgRatesDataTable8268459[[#This Row],[issueDate]],CurrentMtgRatesDataTable8268451112[#All],2,0)</f>
        <v>613845982</v>
      </c>
      <c r="Z37" s="46">
        <f>SUM(CurrentMtgRatesDataTable8268459[[#This Row],[LowFICO]:[Geo]])/VLOOKUP(CurrentMtgRatesDataTable8268459[[#This Row],[issueDate]],CurrentMtgRatesDataTable826845111213[#All],2,0)</f>
        <v>0.28004804955142054</v>
      </c>
      <c r="AA37" s="43"/>
      <c r="AC37" s="18">
        <v>41395</v>
      </c>
      <c r="AD37">
        <v>2055564409</v>
      </c>
      <c r="AG37" s="18">
        <v>41395</v>
      </c>
      <c r="AH37">
        <v>759951414</v>
      </c>
      <c r="AJ37" s="18">
        <v>41395</v>
      </c>
      <c r="AK37">
        <v>613845982</v>
      </c>
      <c r="AM37" s="18">
        <v>41395</v>
      </c>
      <c r="AN37">
        <v>45466433201</v>
      </c>
    </row>
    <row r="38" spans="2:40">
      <c r="B38" s="18">
        <v>41426</v>
      </c>
      <c r="C38">
        <v>1781149410</v>
      </c>
      <c r="E38" s="18">
        <v>41426</v>
      </c>
      <c r="F38">
        <v>3451820960</v>
      </c>
      <c r="I38" s="18">
        <v>41426</v>
      </c>
      <c r="J38">
        <v>1488014533</v>
      </c>
      <c r="M38" s="18">
        <v>41426</v>
      </c>
      <c r="N38">
        <v>1017147311</v>
      </c>
      <c r="Q38" s="18">
        <v>41426</v>
      </c>
      <c r="R38" s="33">
        <v>1334786513</v>
      </c>
      <c r="S38" s="31">
        <f>VLOOKUP(CurrentMtgRatesDataTable8268459[[#This Row],[issueDate]],CurrentMtgRatesDataTable82684510[#All],2,0)</f>
        <v>1943388196</v>
      </c>
      <c r="T38" s="31">
        <f>VLOOKUP(CurrentMtgRatesDataTable8268459[[#This Row],[issueDate]],CurrentMtgRatesDataTable82684511[#All],2,0)</f>
        <v>952742573</v>
      </c>
      <c r="U38" s="31">
        <f>VLOOKUP(CurrentMtgRatesDataTable8268459[[#This Row],[issueDate]],CurrentMtgRatesDataTable8262[#All],2,0)</f>
        <v>1781149410</v>
      </c>
      <c r="V38" s="34">
        <f>VLOOKUP(CurrentMtgRatesDataTable8268459[[#This Row],[issueDate]],CurrentMtgRatesDataTable82673[#All],2,0)</f>
        <v>3451820960</v>
      </c>
      <c r="W38" s="34">
        <f>VLOOKUP(CurrentMtgRatesDataTable8268459[[#This Row],[issueDate]],CurrentMtgRatesDataTable82684[#All],2,0)</f>
        <v>1488014533</v>
      </c>
      <c r="X38" s="34">
        <f>VLOOKUP(CurrentMtgRatesDataTable8268459[[#This Row],[issueDate]],CurrentMtgRatesDataTable826845[#All],2,0)</f>
        <v>1017147311</v>
      </c>
      <c r="Y38" s="43">
        <f>VLOOKUP(CurrentMtgRatesDataTable8268459[[#This Row],[issueDate]],CurrentMtgRatesDataTable8268451112[#All],2,0)</f>
        <v>270565881</v>
      </c>
      <c r="Z38" s="46">
        <f>SUM(CurrentMtgRatesDataTable8268459[[#This Row],[LowFICO]:[Geo]])/VLOOKUP(CurrentMtgRatesDataTable8268459[[#This Row],[issueDate]],CurrentMtgRatesDataTable826845111213[#All],2,0)</f>
        <v>0.29895149285660588</v>
      </c>
      <c r="AA38" s="43"/>
      <c r="AC38" s="18">
        <v>41426</v>
      </c>
      <c r="AD38">
        <v>1943388196</v>
      </c>
      <c r="AG38" s="18">
        <v>41426</v>
      </c>
      <c r="AH38">
        <v>952742573</v>
      </c>
      <c r="AJ38" s="18">
        <v>41426</v>
      </c>
      <c r="AK38">
        <v>270565881</v>
      </c>
      <c r="AM38" s="18">
        <v>41426</v>
      </c>
      <c r="AN38">
        <v>40941810526</v>
      </c>
    </row>
    <row r="39" spans="2:40">
      <c r="B39" s="18">
        <v>41456</v>
      </c>
      <c r="C39">
        <v>1445312778</v>
      </c>
      <c r="E39" s="18">
        <v>41456</v>
      </c>
      <c r="F39">
        <v>2502466250</v>
      </c>
      <c r="I39" s="30">
        <v>41456</v>
      </c>
      <c r="J39" s="5">
        <v>1320498425</v>
      </c>
      <c r="M39" s="30">
        <v>41456</v>
      </c>
      <c r="N39" s="5">
        <v>848431617</v>
      </c>
      <c r="Q39" s="30">
        <v>41456</v>
      </c>
      <c r="R39" s="35">
        <v>1136852477</v>
      </c>
      <c r="S39" s="31">
        <f>VLOOKUP(CurrentMtgRatesDataTable8268459[[#This Row],[issueDate]],CurrentMtgRatesDataTable82684510[#All],2,0)</f>
        <v>1289489011</v>
      </c>
      <c r="T39" s="31">
        <f>VLOOKUP(CurrentMtgRatesDataTable8268459[[#This Row],[issueDate]],CurrentMtgRatesDataTable82684511[#All],2,0)</f>
        <v>744523722</v>
      </c>
      <c r="U39" s="31">
        <f>VLOOKUP(CurrentMtgRatesDataTable8268459[[#This Row],[issueDate]],CurrentMtgRatesDataTable8262[#All],2,0)</f>
        <v>1445312778</v>
      </c>
      <c r="V39" s="34">
        <f>VLOOKUP(CurrentMtgRatesDataTable8268459[[#This Row],[issueDate]],CurrentMtgRatesDataTable82673[#All],2,0)</f>
        <v>2502466250</v>
      </c>
      <c r="W39" s="34">
        <f>VLOOKUP(CurrentMtgRatesDataTable8268459[[#This Row],[issueDate]],CurrentMtgRatesDataTable82684[#All],2,0)</f>
        <v>1320498425</v>
      </c>
      <c r="X39" s="34">
        <f>VLOOKUP(CurrentMtgRatesDataTable8268459[[#This Row],[issueDate]],CurrentMtgRatesDataTable826845[#All],2,0)</f>
        <v>848431617</v>
      </c>
      <c r="Y39" s="43">
        <f>VLOOKUP(CurrentMtgRatesDataTable8268459[[#This Row],[issueDate]],CurrentMtgRatesDataTable8268451112[#All],2,0)</f>
        <v>367541109</v>
      </c>
      <c r="Z39" s="46">
        <f>SUM(CurrentMtgRatesDataTable8268459[[#This Row],[LowFICO]:[Geo]])/VLOOKUP(CurrentMtgRatesDataTable8268459[[#This Row],[issueDate]],CurrentMtgRatesDataTable826845111213[#All],2,0)</f>
        <v>0.21196524887597057</v>
      </c>
      <c r="AA39" s="43"/>
      <c r="AC39" s="30">
        <v>41456</v>
      </c>
      <c r="AD39" s="5">
        <v>1289489011</v>
      </c>
      <c r="AE39" s="5"/>
      <c r="AG39" s="30">
        <v>41456</v>
      </c>
      <c r="AH39" s="5">
        <v>744523722</v>
      </c>
      <c r="AJ39" s="30">
        <v>41456</v>
      </c>
      <c r="AK39" s="5">
        <v>367541109</v>
      </c>
      <c r="AM39" s="30">
        <v>41456</v>
      </c>
      <c r="AN39" s="5">
        <v>45550463768</v>
      </c>
    </row>
    <row r="40" spans="2:40">
      <c r="B40" s="18">
        <v>41487</v>
      </c>
      <c r="C40" s="19">
        <v>1246111687</v>
      </c>
      <c r="E40" s="18">
        <v>41487</v>
      </c>
      <c r="F40" s="19">
        <v>2334148457</v>
      </c>
      <c r="I40" s="18">
        <v>41487</v>
      </c>
      <c r="J40" s="19">
        <v>1276109957</v>
      </c>
      <c r="M40" s="18">
        <v>41487</v>
      </c>
      <c r="N40" s="19">
        <v>850030342</v>
      </c>
      <c r="Q40" s="18">
        <v>41487</v>
      </c>
      <c r="R40" s="33">
        <v>1693674201</v>
      </c>
      <c r="S40" s="31">
        <f>VLOOKUP(CurrentMtgRatesDataTable8268459[[#This Row],[issueDate]],CurrentMtgRatesDataTable82684510[#All],2,0)</f>
        <v>1100083337</v>
      </c>
      <c r="T40" s="31">
        <f>VLOOKUP(CurrentMtgRatesDataTable8268459[[#This Row],[issueDate]],CurrentMtgRatesDataTable82684511[#All],2,0)</f>
        <v>765859354</v>
      </c>
      <c r="U40" s="31">
        <f>VLOOKUP(CurrentMtgRatesDataTable8268459[[#This Row],[issueDate]],CurrentMtgRatesDataTable8262[#All],2,0)</f>
        <v>1246111687</v>
      </c>
      <c r="V40" s="34">
        <f>VLOOKUP(CurrentMtgRatesDataTable8268459[[#This Row],[issueDate]],CurrentMtgRatesDataTable82673[#All],2,0)</f>
        <v>2334148457</v>
      </c>
      <c r="W40" s="34">
        <f>VLOOKUP(CurrentMtgRatesDataTable8268459[[#This Row],[issueDate]],CurrentMtgRatesDataTable82684[#All],2,0)</f>
        <v>1276109957</v>
      </c>
      <c r="X40" s="34">
        <f>VLOOKUP(CurrentMtgRatesDataTable8268459[[#This Row],[issueDate]],CurrentMtgRatesDataTable826845[#All],2,0)</f>
        <v>850030342</v>
      </c>
      <c r="Y40" s="43">
        <f>VLOOKUP(CurrentMtgRatesDataTable8268459[[#This Row],[issueDate]],CurrentMtgRatesDataTable8268451112[#All],2,0)</f>
        <v>413955664</v>
      </c>
      <c r="Z40" s="46">
        <f>SUM(CurrentMtgRatesDataTable8268459[[#This Row],[LowFICO]:[Geo]])/VLOOKUP(CurrentMtgRatesDataTable8268459[[#This Row],[issueDate]],CurrentMtgRatesDataTable826845111213[#All],2,0)</f>
        <v>0.23849480701768344</v>
      </c>
      <c r="AA40" s="43"/>
      <c r="AC40" s="18">
        <v>41487</v>
      </c>
      <c r="AD40" s="19">
        <v>1100083337</v>
      </c>
      <c r="AE40" s="19"/>
      <c r="AG40" s="18">
        <v>41487</v>
      </c>
      <c r="AH40" s="19">
        <v>765859354</v>
      </c>
      <c r="AJ40" s="18">
        <v>41487</v>
      </c>
      <c r="AK40" s="19">
        <v>413955664</v>
      </c>
      <c r="AM40" s="18">
        <v>41487</v>
      </c>
      <c r="AN40" s="19">
        <v>40587772623</v>
      </c>
    </row>
    <row r="41" spans="2:40">
      <c r="B41" s="18">
        <v>41518</v>
      </c>
      <c r="C41" s="19">
        <v>1501130196</v>
      </c>
      <c r="E41" s="18">
        <v>41518</v>
      </c>
      <c r="F41" s="19">
        <v>2584814804</v>
      </c>
      <c r="I41" s="18">
        <v>41518</v>
      </c>
      <c r="J41" s="19">
        <v>1266093495</v>
      </c>
      <c r="M41" s="18">
        <v>41518</v>
      </c>
      <c r="N41" s="19">
        <v>814311406</v>
      </c>
      <c r="Q41" s="18">
        <v>41518</v>
      </c>
      <c r="R41" s="33">
        <v>1340563412</v>
      </c>
      <c r="S41" s="31">
        <f>VLOOKUP(CurrentMtgRatesDataTable8268459[[#This Row],[issueDate]],CurrentMtgRatesDataTable82684510[#All],2,0)</f>
        <v>870671088</v>
      </c>
      <c r="T41" s="31">
        <f>VLOOKUP(CurrentMtgRatesDataTable8268459[[#This Row],[issueDate]],CurrentMtgRatesDataTable82684511[#All],2,0)</f>
        <v>606944301</v>
      </c>
      <c r="U41" s="31">
        <f>VLOOKUP(CurrentMtgRatesDataTable8268459[[#This Row],[issueDate]],CurrentMtgRatesDataTable8262[#All],2,0)</f>
        <v>1501130196</v>
      </c>
      <c r="V41" s="34">
        <f>VLOOKUP(CurrentMtgRatesDataTable8268459[[#This Row],[issueDate]],CurrentMtgRatesDataTable82673[#All],2,0)</f>
        <v>2584814804</v>
      </c>
      <c r="W41" s="34">
        <f>VLOOKUP(CurrentMtgRatesDataTable8268459[[#This Row],[issueDate]],CurrentMtgRatesDataTable82684[#All],2,0)</f>
        <v>1266093495</v>
      </c>
      <c r="X41" s="34">
        <f>VLOOKUP(CurrentMtgRatesDataTable8268459[[#This Row],[issueDate]],CurrentMtgRatesDataTable826845[#All],2,0)</f>
        <v>814311406</v>
      </c>
      <c r="Y41" s="43">
        <f>VLOOKUP(CurrentMtgRatesDataTable8268459[[#This Row],[issueDate]],CurrentMtgRatesDataTable8268451112[#All],2,0)</f>
        <v>309971154</v>
      </c>
      <c r="Z41" s="46">
        <f>SUM(CurrentMtgRatesDataTable8268459[[#This Row],[LowFICO]:[Geo]])/VLOOKUP(CurrentMtgRatesDataTable8268459[[#This Row],[issueDate]],CurrentMtgRatesDataTable826845111213[#All],2,0)</f>
        <v>0.27310764663321929</v>
      </c>
      <c r="AA41" s="43"/>
      <c r="AC41" s="18">
        <v>41518</v>
      </c>
      <c r="AD41" s="19">
        <v>870671088</v>
      </c>
      <c r="AE41" s="19"/>
      <c r="AG41" s="18">
        <v>41518</v>
      </c>
      <c r="AH41" s="19">
        <v>606944301</v>
      </c>
      <c r="AJ41" s="18">
        <v>41518</v>
      </c>
      <c r="AK41" s="19">
        <v>309971154</v>
      </c>
      <c r="AM41" s="18">
        <v>41518</v>
      </c>
      <c r="AN41" s="19">
        <v>34032367715</v>
      </c>
    </row>
    <row r="42" spans="2:40">
      <c r="B42" s="18">
        <v>41548</v>
      </c>
      <c r="C42" s="19">
        <v>1456266951</v>
      </c>
      <c r="E42" s="18">
        <v>41548</v>
      </c>
      <c r="F42" s="19">
        <v>2717052166</v>
      </c>
      <c r="I42" s="18">
        <v>41548</v>
      </c>
      <c r="J42" s="19">
        <v>1245020429</v>
      </c>
      <c r="M42" s="18">
        <v>41548</v>
      </c>
      <c r="N42" s="19">
        <v>831380729</v>
      </c>
      <c r="Q42" s="18">
        <v>41548</v>
      </c>
      <c r="R42" s="33">
        <v>1306448482</v>
      </c>
      <c r="S42" s="31">
        <f>VLOOKUP(CurrentMtgRatesDataTable8268459[[#This Row],[issueDate]],CurrentMtgRatesDataTable82684510[#All],2,0)</f>
        <v>612902147</v>
      </c>
      <c r="T42" s="31">
        <f>VLOOKUP(CurrentMtgRatesDataTable8268459[[#This Row],[issueDate]],CurrentMtgRatesDataTable82684511[#All],2,0)</f>
        <v>542776506</v>
      </c>
      <c r="U42" s="31">
        <f>VLOOKUP(CurrentMtgRatesDataTable8268459[[#This Row],[issueDate]],CurrentMtgRatesDataTable8262[#All],2,0)</f>
        <v>1456266951</v>
      </c>
      <c r="V42" s="34">
        <f>VLOOKUP(CurrentMtgRatesDataTable8268459[[#This Row],[issueDate]],CurrentMtgRatesDataTable82673[#All],2,0)</f>
        <v>2717052166</v>
      </c>
      <c r="W42" s="34">
        <f>VLOOKUP(CurrentMtgRatesDataTable8268459[[#This Row],[issueDate]],CurrentMtgRatesDataTable82684[#All],2,0)</f>
        <v>1245020429</v>
      </c>
      <c r="X42" s="34">
        <f>VLOOKUP(CurrentMtgRatesDataTable8268459[[#This Row],[issueDate]],CurrentMtgRatesDataTable826845[#All],2,0)</f>
        <v>831380729</v>
      </c>
      <c r="Y42" s="43">
        <f>VLOOKUP(CurrentMtgRatesDataTable8268459[[#This Row],[issueDate]],CurrentMtgRatesDataTable8268451112[#All],2,0)</f>
        <v>350101226</v>
      </c>
      <c r="Z42" s="46">
        <f>SUM(CurrentMtgRatesDataTable8268459[[#This Row],[LowFICO]:[Geo]])/VLOOKUP(CurrentMtgRatesDataTable8268459[[#This Row],[issueDate]],CurrentMtgRatesDataTable826845111213[#All],2,0)</f>
        <v>0.29117227197194057</v>
      </c>
      <c r="AA42" s="43"/>
      <c r="AC42" s="18">
        <v>41548</v>
      </c>
      <c r="AD42" s="19">
        <v>612902147</v>
      </c>
      <c r="AE42" s="19"/>
      <c r="AG42" s="18">
        <v>41548</v>
      </c>
      <c r="AH42" s="19">
        <v>542776506</v>
      </c>
      <c r="AJ42" s="18">
        <v>41548</v>
      </c>
      <c r="AK42" s="19">
        <v>350101226</v>
      </c>
      <c r="AM42" s="18">
        <v>41548</v>
      </c>
      <c r="AN42" s="19">
        <v>31122292568</v>
      </c>
    </row>
    <row r="43" spans="2:40">
      <c r="B43" s="18">
        <v>41579</v>
      </c>
      <c r="C43" s="19">
        <v>1082707660</v>
      </c>
      <c r="E43" s="18">
        <v>41579</v>
      </c>
      <c r="F43" s="19">
        <v>2246188518</v>
      </c>
      <c r="I43" s="18">
        <v>41579</v>
      </c>
      <c r="J43" s="19">
        <v>1031662262</v>
      </c>
      <c r="M43" s="18">
        <v>41579</v>
      </c>
      <c r="N43" s="19">
        <v>739554790</v>
      </c>
      <c r="Q43" s="18">
        <v>41579</v>
      </c>
      <c r="R43" s="33">
        <v>1123781504</v>
      </c>
      <c r="S43" s="31">
        <f>VLOOKUP(CurrentMtgRatesDataTable8268459[[#This Row],[issueDate]],CurrentMtgRatesDataTable82684510[#All],2,0)</f>
        <v>461441626</v>
      </c>
      <c r="T43" s="31">
        <f>VLOOKUP(CurrentMtgRatesDataTable8268459[[#This Row],[issueDate]],CurrentMtgRatesDataTable82684511[#All],2,0)</f>
        <v>538507910</v>
      </c>
      <c r="U43" s="31">
        <f>VLOOKUP(CurrentMtgRatesDataTable8268459[[#This Row],[issueDate]],CurrentMtgRatesDataTable8262[#All],2,0)</f>
        <v>1082707660</v>
      </c>
      <c r="V43" s="34">
        <f>VLOOKUP(CurrentMtgRatesDataTable8268459[[#This Row],[issueDate]],CurrentMtgRatesDataTable82673[#All],2,0)</f>
        <v>2246188518</v>
      </c>
      <c r="W43" s="34">
        <f>VLOOKUP(CurrentMtgRatesDataTable8268459[[#This Row],[issueDate]],CurrentMtgRatesDataTable82684[#All],2,0)</f>
        <v>1031662262</v>
      </c>
      <c r="X43" s="34">
        <f>VLOOKUP(CurrentMtgRatesDataTable8268459[[#This Row],[issueDate]],CurrentMtgRatesDataTable826845[#All],2,0)</f>
        <v>739554790</v>
      </c>
      <c r="Y43" s="43">
        <f>VLOOKUP(CurrentMtgRatesDataTable8268459[[#This Row],[issueDate]],CurrentMtgRatesDataTable8268451112[#All],2,0)</f>
        <v>150582671</v>
      </c>
      <c r="Z43" s="46">
        <f>SUM(CurrentMtgRatesDataTable8268459[[#This Row],[LowFICO]:[Geo]])/VLOOKUP(CurrentMtgRatesDataTable8268459[[#This Row],[issueDate]],CurrentMtgRatesDataTable826845111213[#All],2,0)</f>
        <v>0.28355450408107558</v>
      </c>
      <c r="AA43" s="43"/>
      <c r="AC43" s="18">
        <v>41579</v>
      </c>
      <c r="AD43" s="19">
        <v>461441626</v>
      </c>
      <c r="AE43" s="19"/>
      <c r="AG43" s="18">
        <v>41579</v>
      </c>
      <c r="AH43" s="19">
        <v>538507910</v>
      </c>
      <c r="AJ43" s="18">
        <v>41579</v>
      </c>
      <c r="AK43" s="19">
        <v>150582671</v>
      </c>
      <c r="AM43" s="18">
        <v>41579</v>
      </c>
      <c r="AN43" s="19">
        <v>26007088002</v>
      </c>
    </row>
    <row r="44" spans="2:40">
      <c r="B44" s="18">
        <v>41609</v>
      </c>
      <c r="C44" s="19">
        <v>912715644</v>
      </c>
      <c r="E44" s="18">
        <v>41609</v>
      </c>
      <c r="F44" s="19">
        <v>1968902998</v>
      </c>
      <c r="I44" s="18">
        <v>41609</v>
      </c>
      <c r="J44" s="19">
        <v>927091459</v>
      </c>
      <c r="M44" s="18">
        <v>41609</v>
      </c>
      <c r="N44" s="19">
        <v>653400386</v>
      </c>
      <c r="Q44" s="18">
        <v>41609</v>
      </c>
      <c r="R44" s="33">
        <v>978325690</v>
      </c>
      <c r="S44" s="31">
        <f>VLOOKUP(CurrentMtgRatesDataTable8268459[[#This Row],[issueDate]],CurrentMtgRatesDataTable82684510[#All],2,0)</f>
        <v>391322877</v>
      </c>
      <c r="T44" s="31">
        <f>VLOOKUP(CurrentMtgRatesDataTable8268459[[#This Row],[issueDate]],CurrentMtgRatesDataTable82684511[#All],2,0)</f>
        <v>202710742</v>
      </c>
      <c r="U44" s="31">
        <f>VLOOKUP(CurrentMtgRatesDataTable8268459[[#This Row],[issueDate]],CurrentMtgRatesDataTable8262[#All],2,0)</f>
        <v>912715644</v>
      </c>
      <c r="V44" s="34">
        <f>VLOOKUP(CurrentMtgRatesDataTable8268459[[#This Row],[issueDate]],CurrentMtgRatesDataTable82673[#All],2,0)</f>
        <v>1968902998</v>
      </c>
      <c r="W44" s="34">
        <f>VLOOKUP(CurrentMtgRatesDataTable8268459[[#This Row],[issueDate]],CurrentMtgRatesDataTable82684[#All],2,0)</f>
        <v>927091459</v>
      </c>
      <c r="X44" s="34">
        <f>VLOOKUP(CurrentMtgRatesDataTable8268459[[#This Row],[issueDate]],CurrentMtgRatesDataTable826845[#All],2,0)</f>
        <v>653400386</v>
      </c>
      <c r="Y44" s="43">
        <f>VLOOKUP(CurrentMtgRatesDataTable8268459[[#This Row],[issueDate]],CurrentMtgRatesDataTable8268451112[#All],2,0)</f>
        <v>127556041</v>
      </c>
      <c r="Z44" s="46">
        <f>SUM(CurrentMtgRatesDataTable8268459[[#This Row],[LowFICO]:[Geo]])/VLOOKUP(CurrentMtgRatesDataTable8268459[[#This Row],[issueDate]],CurrentMtgRatesDataTable826845111213[#All],2,0)</f>
        <v>0.26709395001239211</v>
      </c>
      <c r="AA44" s="43"/>
      <c r="AC44" s="18">
        <v>41609</v>
      </c>
      <c r="AD44" s="19">
        <v>391322877</v>
      </c>
      <c r="AE44" s="19"/>
      <c r="AG44" s="18">
        <v>41609</v>
      </c>
      <c r="AH44" s="19">
        <v>202710742</v>
      </c>
      <c r="AJ44" s="18">
        <v>41609</v>
      </c>
      <c r="AK44" s="19">
        <v>127556041</v>
      </c>
      <c r="AM44" s="18">
        <v>41609</v>
      </c>
      <c r="AN44" s="19">
        <v>23070630528</v>
      </c>
    </row>
    <row r="45" spans="2:40">
      <c r="B45" s="18">
        <v>41640</v>
      </c>
      <c r="C45" s="19">
        <v>753233777</v>
      </c>
      <c r="E45" s="18">
        <v>41640</v>
      </c>
      <c r="F45" s="19">
        <v>1422002021</v>
      </c>
      <c r="I45" s="18">
        <v>41640</v>
      </c>
      <c r="J45" s="19">
        <v>774247579</v>
      </c>
      <c r="M45" s="18">
        <v>41640</v>
      </c>
      <c r="N45" s="19">
        <v>547635567</v>
      </c>
      <c r="Q45" s="18">
        <v>41640</v>
      </c>
      <c r="R45" s="33">
        <v>572432177</v>
      </c>
      <c r="S45" s="31">
        <f>VLOOKUP(CurrentMtgRatesDataTable8268459[[#This Row],[issueDate]],CurrentMtgRatesDataTable82684510[#All],2,0)</f>
        <v>416855275</v>
      </c>
      <c r="T45" s="31">
        <f>VLOOKUP(CurrentMtgRatesDataTable8268459[[#This Row],[issueDate]],CurrentMtgRatesDataTable82684511[#All],2,0)</f>
        <v>149971420</v>
      </c>
      <c r="U45" s="31">
        <f>VLOOKUP(CurrentMtgRatesDataTable8268459[[#This Row],[issueDate]],CurrentMtgRatesDataTable8262[#All],2,0)</f>
        <v>753233777</v>
      </c>
      <c r="V45" s="34">
        <f>VLOOKUP(CurrentMtgRatesDataTable8268459[[#This Row],[issueDate]],CurrentMtgRatesDataTable82673[#All],2,0)</f>
        <v>1422002021</v>
      </c>
      <c r="W45" s="34">
        <f>VLOOKUP(CurrentMtgRatesDataTable8268459[[#This Row],[issueDate]],CurrentMtgRatesDataTable82684[#All],2,0)</f>
        <v>774247579</v>
      </c>
      <c r="X45" s="34">
        <f>VLOOKUP(CurrentMtgRatesDataTable8268459[[#This Row],[issueDate]],CurrentMtgRatesDataTable826845[#All],2,0)</f>
        <v>547635567</v>
      </c>
      <c r="Y45" s="43">
        <f>VLOOKUP(CurrentMtgRatesDataTable8268459[[#This Row],[issueDate]],CurrentMtgRatesDataTable8268451112[#All],2,0)</f>
        <v>170746135</v>
      </c>
      <c r="Z45" s="46">
        <f>SUM(CurrentMtgRatesDataTable8268459[[#This Row],[LowFICO]:[Geo]])/VLOOKUP(CurrentMtgRatesDataTable8268459[[#This Row],[issueDate]],CurrentMtgRatesDataTable826845111213[#All],2,0)</f>
        <v>0.27140329627414245</v>
      </c>
      <c r="AA45" s="43"/>
      <c r="AC45" s="18">
        <v>41640</v>
      </c>
      <c r="AD45" s="19">
        <v>416855275</v>
      </c>
      <c r="AE45" s="19"/>
      <c r="AG45" s="18">
        <v>41640</v>
      </c>
      <c r="AH45" s="19">
        <v>149971420</v>
      </c>
      <c r="AJ45" s="18">
        <v>41640</v>
      </c>
      <c r="AK45" s="19">
        <v>170746135</v>
      </c>
      <c r="AM45" s="18">
        <v>41640</v>
      </c>
      <c r="AN45" s="19">
        <v>17712105995</v>
      </c>
    </row>
    <row r="46" spans="2:40">
      <c r="B46" s="18">
        <v>41671</v>
      </c>
      <c r="C46" s="19">
        <v>692698264</v>
      </c>
      <c r="E46" s="18">
        <v>41671</v>
      </c>
      <c r="F46" s="19">
        <v>1533737258</v>
      </c>
      <c r="I46" s="18">
        <v>41671</v>
      </c>
      <c r="J46" s="19">
        <v>762318805</v>
      </c>
      <c r="M46" s="18">
        <v>41671</v>
      </c>
      <c r="N46" s="19">
        <v>530622614</v>
      </c>
      <c r="Q46" s="18">
        <v>41671</v>
      </c>
      <c r="R46" s="33">
        <v>946386040</v>
      </c>
      <c r="S46" s="31">
        <f>VLOOKUP(CurrentMtgRatesDataTable8268459[[#This Row],[issueDate]],CurrentMtgRatesDataTable82684510[#All],2,0)</f>
        <v>241808690</v>
      </c>
      <c r="T46" s="31">
        <f>VLOOKUP(CurrentMtgRatesDataTable8268459[[#This Row],[issueDate]],CurrentMtgRatesDataTable82684511[#All],2,0)</f>
        <v>366698500</v>
      </c>
      <c r="U46" s="31">
        <f>VLOOKUP(CurrentMtgRatesDataTable8268459[[#This Row],[issueDate]],CurrentMtgRatesDataTable8262[#All],2,0)</f>
        <v>692698264</v>
      </c>
      <c r="V46" s="34">
        <f>VLOOKUP(CurrentMtgRatesDataTable8268459[[#This Row],[issueDate]],CurrentMtgRatesDataTable82673[#All],2,0)</f>
        <v>1533737258</v>
      </c>
      <c r="W46" s="34">
        <f>VLOOKUP(CurrentMtgRatesDataTable8268459[[#This Row],[issueDate]],CurrentMtgRatesDataTable82684[#All],2,0)</f>
        <v>762318805</v>
      </c>
      <c r="X46" s="34">
        <f>VLOOKUP(CurrentMtgRatesDataTable8268459[[#This Row],[issueDate]],CurrentMtgRatesDataTable826845[#All],2,0)</f>
        <v>530622614</v>
      </c>
      <c r="Y46" s="43">
        <f>VLOOKUP(CurrentMtgRatesDataTable8268459[[#This Row],[issueDate]],CurrentMtgRatesDataTable8268451112[#All],2,0)</f>
        <v>240141159</v>
      </c>
      <c r="Z46" s="46">
        <f>SUM(CurrentMtgRatesDataTable8268459[[#This Row],[LowFICO]:[Geo]])/VLOOKUP(CurrentMtgRatesDataTable8268459[[#This Row],[issueDate]],CurrentMtgRatesDataTable826845111213[#All],2,0)</f>
        <v>0.29688183817145353</v>
      </c>
      <c r="AA46" s="43"/>
      <c r="AC46" s="18">
        <v>41671</v>
      </c>
      <c r="AD46" s="19">
        <v>241808690</v>
      </c>
      <c r="AE46" s="19"/>
      <c r="AG46" s="18">
        <v>41671</v>
      </c>
      <c r="AH46" s="19">
        <v>366698500</v>
      </c>
      <c r="AJ46" s="18">
        <v>41671</v>
      </c>
      <c r="AK46" s="19">
        <v>240141159</v>
      </c>
      <c r="AM46" s="18">
        <v>41671</v>
      </c>
      <c r="AN46" s="19">
        <v>17900762683</v>
      </c>
    </row>
    <row r="47" spans="2:40">
      <c r="B47" s="18">
        <v>41699</v>
      </c>
      <c r="C47" s="19">
        <v>790379142</v>
      </c>
      <c r="E47" s="18">
        <v>41699</v>
      </c>
      <c r="F47" s="19">
        <v>1420307904</v>
      </c>
      <c r="I47" s="18">
        <v>41699</v>
      </c>
      <c r="J47" s="19">
        <v>640834869</v>
      </c>
      <c r="M47" s="18">
        <v>41699</v>
      </c>
      <c r="N47" s="19">
        <v>451781700</v>
      </c>
      <c r="Q47" s="18">
        <v>41699</v>
      </c>
      <c r="R47" s="33">
        <v>897364263</v>
      </c>
      <c r="S47" s="31">
        <f>VLOOKUP(CurrentMtgRatesDataTable8268459[[#This Row],[issueDate]],CurrentMtgRatesDataTable82684510[#All],2,0)</f>
        <v>170464932</v>
      </c>
      <c r="T47" s="31">
        <f>VLOOKUP(CurrentMtgRatesDataTable8268459[[#This Row],[issueDate]],CurrentMtgRatesDataTable82684511[#All],2,0)</f>
        <v>310202041</v>
      </c>
      <c r="U47" s="31">
        <f>VLOOKUP(CurrentMtgRatesDataTable8268459[[#This Row],[issueDate]],CurrentMtgRatesDataTable8262[#All],2,0)</f>
        <v>790379142</v>
      </c>
      <c r="V47" s="34">
        <f>VLOOKUP(CurrentMtgRatesDataTable8268459[[#This Row],[issueDate]],CurrentMtgRatesDataTable82673[#All],2,0)</f>
        <v>1420307904</v>
      </c>
      <c r="W47" s="34">
        <f>VLOOKUP(CurrentMtgRatesDataTable8268459[[#This Row],[issueDate]],CurrentMtgRatesDataTable82684[#All],2,0)</f>
        <v>640834869</v>
      </c>
      <c r="X47" s="34">
        <f>VLOOKUP(CurrentMtgRatesDataTable8268459[[#This Row],[issueDate]],CurrentMtgRatesDataTable826845[#All],2,0)</f>
        <v>451781700</v>
      </c>
      <c r="Y47" s="43">
        <f>VLOOKUP(CurrentMtgRatesDataTable8268459[[#This Row],[issueDate]],CurrentMtgRatesDataTable8268451112[#All],2,0)</f>
        <v>250520733</v>
      </c>
      <c r="Z47" s="46">
        <f>SUM(CurrentMtgRatesDataTable8268459[[#This Row],[LowFICO]:[Geo]])/VLOOKUP(CurrentMtgRatesDataTable8268459[[#This Row],[issueDate]],CurrentMtgRatesDataTable826845111213[#All],2,0)</f>
        <v>0.32128737093331111</v>
      </c>
      <c r="AA47" s="43"/>
      <c r="AC47" s="18">
        <v>41699</v>
      </c>
      <c r="AD47" s="19">
        <v>170464932</v>
      </c>
      <c r="AE47" s="19"/>
      <c r="AG47" s="18">
        <v>41699</v>
      </c>
      <c r="AH47" s="19">
        <v>310202041</v>
      </c>
      <c r="AJ47" s="18">
        <v>41699</v>
      </c>
      <c r="AK47" s="19">
        <v>250520733</v>
      </c>
      <c r="AM47" s="18">
        <v>41699</v>
      </c>
      <c r="AN47" s="19">
        <v>15350293943</v>
      </c>
    </row>
    <row r="48" spans="2:40">
      <c r="B48" s="18">
        <v>41730</v>
      </c>
      <c r="C48" s="19">
        <v>646472868</v>
      </c>
      <c r="E48" s="18">
        <v>41730</v>
      </c>
      <c r="F48" s="19">
        <v>1497603189</v>
      </c>
      <c r="I48" s="18">
        <v>41730</v>
      </c>
      <c r="J48" s="19">
        <v>691225048</v>
      </c>
      <c r="M48" s="18">
        <v>41730</v>
      </c>
      <c r="N48" s="19">
        <v>487340334</v>
      </c>
      <c r="Q48" s="18">
        <v>41730</v>
      </c>
      <c r="R48" s="33">
        <v>1001427874</v>
      </c>
      <c r="S48" s="31">
        <f>VLOOKUP(CurrentMtgRatesDataTable8268459[[#This Row],[issueDate]],CurrentMtgRatesDataTable82684510[#All],2,0)</f>
        <v>113376698</v>
      </c>
      <c r="T48" s="31">
        <f>VLOOKUP(CurrentMtgRatesDataTable8268459[[#This Row],[issueDate]],CurrentMtgRatesDataTable82684511[#All],2,0)</f>
        <v>120692903</v>
      </c>
      <c r="U48" s="31">
        <f>VLOOKUP(CurrentMtgRatesDataTable8268459[[#This Row],[issueDate]],CurrentMtgRatesDataTable8262[#All],2,0)</f>
        <v>646472868</v>
      </c>
      <c r="V48" s="34">
        <f>VLOOKUP(CurrentMtgRatesDataTable8268459[[#This Row],[issueDate]],CurrentMtgRatesDataTable82673[#All],2,0)</f>
        <v>1497603189</v>
      </c>
      <c r="W48" s="34">
        <f>VLOOKUP(CurrentMtgRatesDataTable8268459[[#This Row],[issueDate]],CurrentMtgRatesDataTable82684[#All],2,0)</f>
        <v>691225048</v>
      </c>
      <c r="X48" s="34">
        <f>VLOOKUP(CurrentMtgRatesDataTable8268459[[#This Row],[issueDate]],CurrentMtgRatesDataTable826845[#All],2,0)</f>
        <v>487340334</v>
      </c>
      <c r="Y48" s="43">
        <f>VLOOKUP(CurrentMtgRatesDataTable8268459[[#This Row],[issueDate]],CurrentMtgRatesDataTable8268451112[#All],2,0)</f>
        <v>202186828</v>
      </c>
      <c r="Z48" s="46">
        <f>SUM(CurrentMtgRatesDataTable8268459[[#This Row],[LowFICO]:[Geo]])/VLOOKUP(CurrentMtgRatesDataTable8268459[[#This Row],[issueDate]],CurrentMtgRatesDataTable826845111213[#All],2,0)</f>
        <v>0.26223182299536663</v>
      </c>
      <c r="AA48" s="43"/>
      <c r="AC48" s="18">
        <v>41730</v>
      </c>
      <c r="AD48" s="19">
        <v>113376698</v>
      </c>
      <c r="AE48" s="19"/>
      <c r="AG48" s="18">
        <v>41730</v>
      </c>
      <c r="AH48" s="19">
        <v>120692903</v>
      </c>
      <c r="AJ48" s="18">
        <v>41730</v>
      </c>
      <c r="AK48" s="19">
        <v>202186828</v>
      </c>
      <c r="AM48" s="18">
        <v>41730</v>
      </c>
      <c r="AN48" s="19">
        <v>18153119967</v>
      </c>
    </row>
    <row r="49" spans="2:40">
      <c r="B49" s="18">
        <v>41760</v>
      </c>
      <c r="C49" s="19">
        <v>948228084</v>
      </c>
      <c r="E49" s="18">
        <v>41760</v>
      </c>
      <c r="F49" s="19">
        <v>1628653688</v>
      </c>
      <c r="I49" s="18">
        <v>41760</v>
      </c>
      <c r="J49" s="19">
        <v>741338946</v>
      </c>
      <c r="M49" s="18">
        <v>41760</v>
      </c>
      <c r="N49" s="19">
        <v>509914149</v>
      </c>
      <c r="Q49" s="18">
        <v>41760</v>
      </c>
      <c r="R49" s="33">
        <v>1092791433</v>
      </c>
      <c r="S49" s="31">
        <f>VLOOKUP(CurrentMtgRatesDataTable8268459[[#This Row],[issueDate]],CurrentMtgRatesDataTable82684510[#All],2,0)</f>
        <v>129006135</v>
      </c>
      <c r="T49" s="31">
        <f>VLOOKUP(CurrentMtgRatesDataTable8268459[[#This Row],[issueDate]],CurrentMtgRatesDataTable82684511[#All],2,0)</f>
        <v>138342395</v>
      </c>
      <c r="U49" s="31">
        <f>VLOOKUP(CurrentMtgRatesDataTable8268459[[#This Row],[issueDate]],CurrentMtgRatesDataTable8262[#All],2,0)</f>
        <v>948228084</v>
      </c>
      <c r="V49" s="34">
        <f>VLOOKUP(CurrentMtgRatesDataTable8268459[[#This Row],[issueDate]],CurrentMtgRatesDataTable82673[#All],2,0)</f>
        <v>1628653688</v>
      </c>
      <c r="W49" s="34">
        <f>VLOOKUP(CurrentMtgRatesDataTable8268459[[#This Row],[issueDate]],CurrentMtgRatesDataTable82684[#All],2,0)</f>
        <v>741338946</v>
      </c>
      <c r="X49" s="34">
        <f>VLOOKUP(CurrentMtgRatesDataTable8268459[[#This Row],[issueDate]],CurrentMtgRatesDataTable826845[#All],2,0)</f>
        <v>509914149</v>
      </c>
      <c r="Y49" s="43">
        <f>VLOOKUP(CurrentMtgRatesDataTable8268459[[#This Row],[issueDate]],CurrentMtgRatesDataTable8268451112[#All],2,0)</f>
        <v>203658897</v>
      </c>
      <c r="Z49" s="46">
        <f>SUM(CurrentMtgRatesDataTable8268459[[#This Row],[LowFICO]:[Geo]])/VLOOKUP(CurrentMtgRatesDataTable8268459[[#This Row],[issueDate]],CurrentMtgRatesDataTable826845111213[#All],2,0)</f>
        <v>0.29654773584729865</v>
      </c>
      <c r="AA49" s="43"/>
      <c r="AC49" s="18">
        <v>41760</v>
      </c>
      <c r="AD49" s="19">
        <v>129006135</v>
      </c>
      <c r="AE49" s="19"/>
      <c r="AG49" s="18">
        <v>41760</v>
      </c>
      <c r="AH49" s="19">
        <v>138342395</v>
      </c>
      <c r="AJ49" s="18">
        <v>41760</v>
      </c>
      <c r="AK49" s="19">
        <v>203658897</v>
      </c>
      <c r="AM49" s="18">
        <v>41760</v>
      </c>
      <c r="AN49" s="19">
        <v>18182346635</v>
      </c>
    </row>
    <row r="50" spans="2:40">
      <c r="B50" s="18">
        <v>41791</v>
      </c>
      <c r="C50" s="19">
        <v>1098455565</v>
      </c>
      <c r="E50" s="18">
        <v>41791</v>
      </c>
      <c r="F50" s="19">
        <v>1825687394</v>
      </c>
      <c r="I50" s="18">
        <v>41791</v>
      </c>
      <c r="J50" s="19">
        <v>841543380</v>
      </c>
      <c r="M50" s="18">
        <v>41791</v>
      </c>
      <c r="N50" s="19">
        <v>536380498</v>
      </c>
      <c r="Q50" s="18">
        <v>41791</v>
      </c>
      <c r="R50" s="33">
        <v>1270617090</v>
      </c>
      <c r="S50" s="31">
        <f>VLOOKUP(CurrentMtgRatesDataTable8268459[[#This Row],[issueDate]],CurrentMtgRatesDataTable82684510[#All],2,0)</f>
        <v>154253949</v>
      </c>
      <c r="T50" s="31">
        <f>VLOOKUP(CurrentMtgRatesDataTable8268459[[#This Row],[issueDate]],CurrentMtgRatesDataTable82684511[#All],2,0)</f>
        <v>179699486</v>
      </c>
      <c r="U50" s="31">
        <f>VLOOKUP(CurrentMtgRatesDataTable8268459[[#This Row],[issueDate]],CurrentMtgRatesDataTable8262[#All],2,0)</f>
        <v>1098455565</v>
      </c>
      <c r="V50" s="34">
        <f>VLOOKUP(CurrentMtgRatesDataTable8268459[[#This Row],[issueDate]],CurrentMtgRatesDataTable82673[#All],2,0)</f>
        <v>1825687394</v>
      </c>
      <c r="W50" s="34">
        <f>VLOOKUP(CurrentMtgRatesDataTable8268459[[#This Row],[issueDate]],CurrentMtgRatesDataTable82684[#All],2,0)</f>
        <v>841543380</v>
      </c>
      <c r="X50" s="34">
        <f>VLOOKUP(CurrentMtgRatesDataTable8268459[[#This Row],[issueDate]],CurrentMtgRatesDataTable826845[#All],2,0)</f>
        <v>536380498</v>
      </c>
      <c r="Y50" s="43">
        <f>VLOOKUP(CurrentMtgRatesDataTable8268459[[#This Row],[issueDate]],CurrentMtgRatesDataTable8268451112[#All],2,0)</f>
        <v>246872778</v>
      </c>
      <c r="Z50" s="46">
        <f>SUM(CurrentMtgRatesDataTable8268459[[#This Row],[LowFICO]:[Geo]])/VLOOKUP(CurrentMtgRatesDataTable8268459[[#This Row],[issueDate]],CurrentMtgRatesDataTable826845111213[#All],2,0)</f>
        <v>0.2869875553991264</v>
      </c>
      <c r="AA50" s="43"/>
      <c r="AC50" s="18">
        <v>41791</v>
      </c>
      <c r="AD50" s="19">
        <v>154253949</v>
      </c>
      <c r="AE50" s="19"/>
      <c r="AG50" s="18">
        <v>41791</v>
      </c>
      <c r="AH50" s="19">
        <v>179699486</v>
      </c>
      <c r="AJ50" s="18">
        <v>41791</v>
      </c>
      <c r="AK50" s="19">
        <v>246872778</v>
      </c>
      <c r="AM50" s="18">
        <v>41791</v>
      </c>
      <c r="AN50" s="19">
        <v>21441731616</v>
      </c>
    </row>
    <row r="51" spans="2:40">
      <c r="B51" s="18">
        <v>41821</v>
      </c>
      <c r="C51" s="19">
        <v>1362312518</v>
      </c>
      <c r="E51" s="18">
        <v>41821</v>
      </c>
      <c r="F51" s="19">
        <v>1970336632</v>
      </c>
      <c r="I51" s="18">
        <v>41821</v>
      </c>
      <c r="J51" s="19">
        <v>948547505</v>
      </c>
      <c r="M51" s="18">
        <v>41821</v>
      </c>
      <c r="N51" s="19">
        <v>615297563</v>
      </c>
      <c r="Q51" s="18">
        <v>41821</v>
      </c>
      <c r="R51" s="33">
        <v>1750904626</v>
      </c>
      <c r="S51" s="31">
        <f>VLOOKUP(CurrentMtgRatesDataTable8268459[[#This Row],[issueDate]],CurrentMtgRatesDataTable82684510[#All],2,0)</f>
        <v>165894730</v>
      </c>
      <c r="T51" s="31">
        <f>VLOOKUP(CurrentMtgRatesDataTable8268459[[#This Row],[issueDate]],CurrentMtgRatesDataTable82684511[#All],2,0)</f>
        <v>257151893</v>
      </c>
      <c r="U51" s="31">
        <f>VLOOKUP(CurrentMtgRatesDataTable8268459[[#This Row],[issueDate]],CurrentMtgRatesDataTable8262[#All],2,0)</f>
        <v>1362312518</v>
      </c>
      <c r="V51" s="34">
        <f>VLOOKUP(CurrentMtgRatesDataTable8268459[[#This Row],[issueDate]],CurrentMtgRatesDataTable82673[#All],2,0)</f>
        <v>1970336632</v>
      </c>
      <c r="W51" s="34">
        <f>VLOOKUP(CurrentMtgRatesDataTable8268459[[#This Row],[issueDate]],CurrentMtgRatesDataTable82684[#All],2,0)</f>
        <v>948547505</v>
      </c>
      <c r="X51" s="34">
        <f>VLOOKUP(CurrentMtgRatesDataTable8268459[[#This Row],[issueDate]],CurrentMtgRatesDataTable826845[#All],2,0)</f>
        <v>615297563</v>
      </c>
      <c r="Y51" s="43">
        <f>VLOOKUP(CurrentMtgRatesDataTable8268459[[#This Row],[issueDate]],CurrentMtgRatesDataTable8268451112[#All],2,0)</f>
        <v>211430835</v>
      </c>
      <c r="Z51" s="46">
        <f>SUM(CurrentMtgRatesDataTable8268459[[#This Row],[LowFICO]:[Geo]])/VLOOKUP(CurrentMtgRatesDataTable8268459[[#This Row],[issueDate]],CurrentMtgRatesDataTable826845111213[#All],2,0)</f>
        <v>0.29399243838191902</v>
      </c>
      <c r="AA51" s="43"/>
      <c r="AC51" s="18">
        <v>41821</v>
      </c>
      <c r="AD51" s="19">
        <v>165894730</v>
      </c>
      <c r="AE51" s="19"/>
      <c r="AG51" s="18">
        <v>41821</v>
      </c>
      <c r="AH51" s="19">
        <v>257151893</v>
      </c>
      <c r="AJ51" s="18">
        <v>41821</v>
      </c>
      <c r="AK51" s="19">
        <v>211430835</v>
      </c>
      <c r="AM51" s="18">
        <v>41821</v>
      </c>
      <c r="AN51" s="19">
        <v>24768923793</v>
      </c>
    </row>
    <row r="52" spans="2:40">
      <c r="B52" s="18">
        <v>41852</v>
      </c>
      <c r="C52" s="19">
        <v>1177932387</v>
      </c>
      <c r="E52" s="18">
        <v>41852</v>
      </c>
      <c r="F52" s="19">
        <v>1859701155</v>
      </c>
      <c r="I52" s="18">
        <v>41852</v>
      </c>
      <c r="J52" s="19">
        <v>838626733</v>
      </c>
      <c r="M52" s="18">
        <v>41852</v>
      </c>
      <c r="N52" s="19">
        <v>539726383</v>
      </c>
      <c r="Q52" s="18">
        <v>41852</v>
      </c>
      <c r="R52" s="33">
        <v>1440447783</v>
      </c>
      <c r="S52" s="31">
        <f>VLOOKUP(CurrentMtgRatesDataTable8268459[[#This Row],[issueDate]],CurrentMtgRatesDataTable82684510[#All],2,0)</f>
        <v>139663674</v>
      </c>
      <c r="T52" s="31">
        <f>VLOOKUP(CurrentMtgRatesDataTable8268459[[#This Row],[issueDate]],CurrentMtgRatesDataTable82684511[#All],2,0)</f>
        <v>289485869</v>
      </c>
      <c r="U52" s="31">
        <f>VLOOKUP(CurrentMtgRatesDataTable8268459[[#This Row],[issueDate]],CurrentMtgRatesDataTable8262[#All],2,0)</f>
        <v>1177932387</v>
      </c>
      <c r="V52" s="34">
        <f>VLOOKUP(CurrentMtgRatesDataTable8268459[[#This Row],[issueDate]],CurrentMtgRatesDataTable82673[#All],2,0)</f>
        <v>1859701155</v>
      </c>
      <c r="W52" s="34">
        <f>VLOOKUP(CurrentMtgRatesDataTable8268459[[#This Row],[issueDate]],CurrentMtgRatesDataTable82684[#All],2,0)</f>
        <v>838626733</v>
      </c>
      <c r="X52" s="34">
        <f>VLOOKUP(CurrentMtgRatesDataTable8268459[[#This Row],[issueDate]],CurrentMtgRatesDataTable826845[#All],2,0)</f>
        <v>539726383</v>
      </c>
      <c r="Y52" s="43">
        <f>VLOOKUP(CurrentMtgRatesDataTable8268459[[#This Row],[issueDate]],CurrentMtgRatesDataTable8268451112[#All],2,0)</f>
        <v>276998174</v>
      </c>
      <c r="Z52" s="46">
        <f>SUM(CurrentMtgRatesDataTable8268459[[#This Row],[LowFICO]:[Geo]])/VLOOKUP(CurrentMtgRatesDataTable8268459[[#This Row],[issueDate]],CurrentMtgRatesDataTable826845111213[#All],2,0)</f>
        <v>0.27898212098014286</v>
      </c>
      <c r="AA52" s="43"/>
      <c r="AC52" s="18">
        <v>41852</v>
      </c>
      <c r="AD52" s="19">
        <v>139663674</v>
      </c>
      <c r="AE52" s="19"/>
      <c r="AG52" s="18">
        <v>41852</v>
      </c>
      <c r="AH52" s="19">
        <v>289485869</v>
      </c>
      <c r="AJ52" s="18">
        <v>41852</v>
      </c>
      <c r="AK52" s="19">
        <v>276998174</v>
      </c>
      <c r="AM52" s="18">
        <v>41852</v>
      </c>
      <c r="AN52" s="19">
        <v>23523307282</v>
      </c>
    </row>
    <row r="53" spans="2:40">
      <c r="B53" s="18">
        <v>41883</v>
      </c>
      <c r="C53" s="19">
        <v>1414370804</v>
      </c>
      <c r="E53" s="18">
        <v>41883</v>
      </c>
      <c r="F53" s="19">
        <v>2318704927</v>
      </c>
      <c r="I53" s="18">
        <v>41883</v>
      </c>
      <c r="J53" s="19">
        <v>1016058366</v>
      </c>
      <c r="M53" s="18">
        <v>41883</v>
      </c>
      <c r="N53" s="19">
        <v>606670934</v>
      </c>
      <c r="Q53" s="18">
        <v>41883</v>
      </c>
      <c r="R53" s="33">
        <v>1381851236</v>
      </c>
      <c r="S53" s="31">
        <f>VLOOKUP(CurrentMtgRatesDataTable8268459[[#This Row],[issueDate]],CurrentMtgRatesDataTable82684510[#All],2,0)</f>
        <v>178036037</v>
      </c>
      <c r="T53" s="31">
        <f>VLOOKUP(CurrentMtgRatesDataTable8268459[[#This Row],[issueDate]],CurrentMtgRatesDataTable82684511[#All],2,0)</f>
        <v>119562446</v>
      </c>
      <c r="U53" s="31">
        <f>VLOOKUP(CurrentMtgRatesDataTable8268459[[#This Row],[issueDate]],CurrentMtgRatesDataTable8262[#All],2,0)</f>
        <v>1414370804</v>
      </c>
      <c r="V53" s="34">
        <f>VLOOKUP(CurrentMtgRatesDataTable8268459[[#This Row],[issueDate]],CurrentMtgRatesDataTable82673[#All],2,0)</f>
        <v>2318704927</v>
      </c>
      <c r="W53" s="34">
        <f>VLOOKUP(CurrentMtgRatesDataTable8268459[[#This Row],[issueDate]],CurrentMtgRatesDataTable82684[#All],2,0)</f>
        <v>1016058366</v>
      </c>
      <c r="X53" s="34">
        <f>VLOOKUP(CurrentMtgRatesDataTable8268459[[#This Row],[issueDate]],CurrentMtgRatesDataTable826845[#All],2,0)</f>
        <v>606670934</v>
      </c>
      <c r="Y53" s="43">
        <f>VLOOKUP(CurrentMtgRatesDataTable8268459[[#This Row],[issueDate]],CurrentMtgRatesDataTable8268451112[#All],2,0)</f>
        <v>462313636</v>
      </c>
      <c r="Z53" s="46">
        <f>SUM(CurrentMtgRatesDataTable8268459[[#This Row],[LowFICO]:[Geo]])/VLOOKUP(CurrentMtgRatesDataTable8268459[[#This Row],[issueDate]],CurrentMtgRatesDataTable826845111213[#All],2,0)</f>
        <v>0.27397472772012665</v>
      </c>
      <c r="AA53" s="43"/>
      <c r="AC53" s="18">
        <v>41883</v>
      </c>
      <c r="AD53" s="19">
        <v>178036037</v>
      </c>
      <c r="AE53" s="19"/>
      <c r="AG53" s="18">
        <v>41883</v>
      </c>
      <c r="AH53" s="19">
        <v>119562446</v>
      </c>
      <c r="AJ53" s="18">
        <v>41883</v>
      </c>
      <c r="AK53" s="19">
        <v>462313636</v>
      </c>
      <c r="AM53" s="18">
        <v>41883</v>
      </c>
      <c r="AN53" s="19">
        <v>27365912354</v>
      </c>
    </row>
    <row r="54" spans="2:40">
      <c r="B54" s="18">
        <v>41913</v>
      </c>
      <c r="C54" s="19">
        <v>1266666906</v>
      </c>
      <c r="E54" s="18">
        <v>41913</v>
      </c>
      <c r="F54" s="19">
        <v>2160542217</v>
      </c>
      <c r="I54" s="18">
        <v>41913</v>
      </c>
      <c r="J54" s="19">
        <v>964288761</v>
      </c>
      <c r="M54" s="18">
        <v>41913</v>
      </c>
      <c r="N54" s="19">
        <v>684935689</v>
      </c>
      <c r="Q54" s="18">
        <v>41913</v>
      </c>
      <c r="R54" s="33">
        <v>1806383113</v>
      </c>
      <c r="S54" s="31">
        <f>VLOOKUP(CurrentMtgRatesDataTable8268459[[#This Row],[issueDate]],CurrentMtgRatesDataTable82684510[#All],2,0)</f>
        <v>191321043</v>
      </c>
      <c r="T54" s="31">
        <f>VLOOKUP(CurrentMtgRatesDataTable8268459[[#This Row],[issueDate]],CurrentMtgRatesDataTable82684511[#All],2,0)</f>
        <v>276556307</v>
      </c>
      <c r="U54" s="31">
        <f>VLOOKUP(CurrentMtgRatesDataTable8268459[[#This Row],[issueDate]],CurrentMtgRatesDataTable8262[#All],2,0)</f>
        <v>1266666906</v>
      </c>
      <c r="V54" s="34">
        <f>VLOOKUP(CurrentMtgRatesDataTable8268459[[#This Row],[issueDate]],CurrentMtgRatesDataTable82673[#All],2,0)</f>
        <v>2160542217</v>
      </c>
      <c r="W54" s="34">
        <f>VLOOKUP(CurrentMtgRatesDataTable8268459[[#This Row],[issueDate]],CurrentMtgRatesDataTable82684[#All],2,0)</f>
        <v>964288761</v>
      </c>
      <c r="X54" s="34">
        <f>VLOOKUP(CurrentMtgRatesDataTable8268459[[#This Row],[issueDate]],CurrentMtgRatesDataTable826845[#All],2,0)</f>
        <v>684935689</v>
      </c>
      <c r="Y54" s="43">
        <f>VLOOKUP(CurrentMtgRatesDataTable8268459[[#This Row],[issueDate]],CurrentMtgRatesDataTable8268451112[#All],2,0)</f>
        <v>379700201</v>
      </c>
      <c r="Z54" s="46">
        <f>SUM(CurrentMtgRatesDataTable8268459[[#This Row],[LowFICO]:[Geo]])/VLOOKUP(CurrentMtgRatesDataTable8268459[[#This Row],[issueDate]],CurrentMtgRatesDataTable826845111213[#All],2,0)</f>
        <v>0.27695588312855357</v>
      </c>
      <c r="AA54" s="43"/>
      <c r="AC54" s="18">
        <v>41913</v>
      </c>
      <c r="AD54" s="19">
        <v>191321043</v>
      </c>
      <c r="AE54" s="19"/>
      <c r="AG54" s="18">
        <v>41913</v>
      </c>
      <c r="AH54" s="19">
        <v>276556307</v>
      </c>
      <c r="AJ54" s="18">
        <v>41913</v>
      </c>
      <c r="AK54" s="19">
        <v>379700201</v>
      </c>
      <c r="AM54" s="18">
        <v>41913</v>
      </c>
      <c r="AN54" s="19">
        <v>27912005875</v>
      </c>
    </row>
    <row r="55" spans="2:40">
      <c r="B55" s="18">
        <v>41944</v>
      </c>
      <c r="C55" s="19">
        <v>1023640722</v>
      </c>
      <c r="E55" s="18">
        <v>41944</v>
      </c>
      <c r="F55" s="19">
        <v>1978634063</v>
      </c>
      <c r="I55" s="18">
        <v>41944</v>
      </c>
      <c r="J55" s="19">
        <v>899041301</v>
      </c>
      <c r="M55" s="18">
        <v>41944</v>
      </c>
      <c r="N55" s="19">
        <v>640024574</v>
      </c>
      <c r="Q55" s="18">
        <v>41944</v>
      </c>
      <c r="R55" s="33">
        <v>631309303</v>
      </c>
      <c r="S55" s="31">
        <f>VLOOKUP(CurrentMtgRatesDataTable8268459[[#This Row],[issueDate]],CurrentMtgRatesDataTable82684510[#All],2,0)</f>
        <v>146483603</v>
      </c>
      <c r="T55" s="31">
        <f>VLOOKUP(CurrentMtgRatesDataTable8268459[[#This Row],[issueDate]],CurrentMtgRatesDataTable82684511[#All],2,0)</f>
        <v>151604932</v>
      </c>
      <c r="U55" s="31">
        <f>VLOOKUP(CurrentMtgRatesDataTable8268459[[#This Row],[issueDate]],CurrentMtgRatesDataTable8262[#All],2,0)</f>
        <v>1023640722</v>
      </c>
      <c r="V55" s="34">
        <f>VLOOKUP(CurrentMtgRatesDataTable8268459[[#This Row],[issueDate]],CurrentMtgRatesDataTable82673[#All],2,0)</f>
        <v>1978634063</v>
      </c>
      <c r="W55" s="34">
        <f>VLOOKUP(CurrentMtgRatesDataTable8268459[[#This Row],[issueDate]],CurrentMtgRatesDataTable82684[#All],2,0)</f>
        <v>899041301</v>
      </c>
      <c r="X55" s="34">
        <f>VLOOKUP(CurrentMtgRatesDataTable8268459[[#This Row],[issueDate]],CurrentMtgRatesDataTable826845[#All],2,0)</f>
        <v>640024574</v>
      </c>
      <c r="Y55" s="43">
        <f>VLOOKUP(CurrentMtgRatesDataTable8268459[[#This Row],[issueDate]],CurrentMtgRatesDataTable8268451112[#All],2,0)</f>
        <v>194118752</v>
      </c>
      <c r="Z55" s="46">
        <f>SUM(CurrentMtgRatesDataTable8268459[[#This Row],[LowFICO]:[Geo]])/VLOOKUP(CurrentMtgRatesDataTable8268459[[#This Row],[issueDate]],CurrentMtgRatesDataTable826845111213[#All],2,0)</f>
        <v>0.26413743050985727</v>
      </c>
      <c r="AA55" s="43"/>
      <c r="AC55" s="18">
        <v>41944</v>
      </c>
      <c r="AD55" s="19">
        <v>146483603</v>
      </c>
      <c r="AE55" s="19"/>
      <c r="AG55" s="18">
        <v>41944</v>
      </c>
      <c r="AH55" s="19">
        <v>151604932</v>
      </c>
      <c r="AJ55" s="18">
        <v>41944</v>
      </c>
      <c r="AK55" s="19">
        <v>194118752</v>
      </c>
      <c r="AM55" s="18">
        <v>41944</v>
      </c>
      <c r="AN55" s="19">
        <v>21446628140</v>
      </c>
    </row>
    <row r="56" spans="2:40">
      <c r="B56" s="18">
        <v>41974</v>
      </c>
      <c r="C56" s="19">
        <v>1010410896</v>
      </c>
      <c r="E56" s="18">
        <v>41974</v>
      </c>
      <c r="F56" s="19">
        <v>2069052260</v>
      </c>
      <c r="I56" s="18">
        <v>41974</v>
      </c>
      <c r="J56" s="19">
        <v>997895137</v>
      </c>
      <c r="M56" s="18">
        <v>41974</v>
      </c>
      <c r="N56" s="19">
        <v>622883709</v>
      </c>
      <c r="Q56" s="18">
        <v>41974</v>
      </c>
      <c r="R56" s="33">
        <v>1487383145</v>
      </c>
      <c r="S56" s="31">
        <f>VLOOKUP(CurrentMtgRatesDataTable8268459[[#This Row],[issueDate]],CurrentMtgRatesDataTable82684510[#All],2,0)</f>
        <v>156006867</v>
      </c>
      <c r="T56" s="31">
        <f>VLOOKUP(CurrentMtgRatesDataTable8268459[[#This Row],[issueDate]],CurrentMtgRatesDataTable82684511[#All],2,0)</f>
        <v>523016982</v>
      </c>
      <c r="U56" s="31">
        <f>VLOOKUP(CurrentMtgRatesDataTable8268459[[#This Row],[issueDate]],CurrentMtgRatesDataTable8262[#All],2,0)</f>
        <v>1010410896</v>
      </c>
      <c r="V56" s="34">
        <f>VLOOKUP(CurrentMtgRatesDataTable8268459[[#This Row],[issueDate]],CurrentMtgRatesDataTable82673[#All],2,0)</f>
        <v>2069052260</v>
      </c>
      <c r="W56" s="34">
        <f>VLOOKUP(CurrentMtgRatesDataTable8268459[[#This Row],[issueDate]],CurrentMtgRatesDataTable82684[#All],2,0)</f>
        <v>997895137</v>
      </c>
      <c r="X56" s="34">
        <f>VLOOKUP(CurrentMtgRatesDataTable8268459[[#This Row],[issueDate]],CurrentMtgRatesDataTable826845[#All],2,0)</f>
        <v>622883709</v>
      </c>
      <c r="Y56" s="43">
        <f>VLOOKUP(CurrentMtgRatesDataTable8268459[[#This Row],[issueDate]],CurrentMtgRatesDataTable8268451112[#All],2,0)</f>
        <v>703716463</v>
      </c>
      <c r="Z56" s="46">
        <f>SUM(CurrentMtgRatesDataTable8268459[[#This Row],[LowFICO]:[Geo]])/VLOOKUP(CurrentMtgRatesDataTable8268459[[#This Row],[issueDate]],CurrentMtgRatesDataTable826845111213[#All],2,0)</f>
        <v>0.24855413814151092</v>
      </c>
      <c r="AA56" s="43"/>
      <c r="AC56" s="18">
        <v>41974</v>
      </c>
      <c r="AD56" s="19">
        <v>156006867</v>
      </c>
      <c r="AE56" s="19"/>
      <c r="AG56" s="18">
        <v>41974</v>
      </c>
      <c r="AH56" s="19">
        <v>523016982</v>
      </c>
      <c r="AJ56" s="18">
        <v>41974</v>
      </c>
      <c r="AK56" s="19">
        <v>703716463</v>
      </c>
      <c r="AM56" s="18">
        <v>41974</v>
      </c>
      <c r="AN56" s="19">
        <v>30457611833</v>
      </c>
    </row>
    <row r="57" spans="2:40">
      <c r="B57" s="18">
        <v>42005</v>
      </c>
      <c r="C57" s="19">
        <v>925240314</v>
      </c>
      <c r="E57" s="18">
        <v>42005</v>
      </c>
      <c r="F57" s="19">
        <v>1865203347</v>
      </c>
      <c r="I57" s="18">
        <v>42005</v>
      </c>
      <c r="J57" s="19">
        <v>800249464</v>
      </c>
      <c r="M57" s="18">
        <v>42005</v>
      </c>
      <c r="N57" s="19">
        <v>579122513</v>
      </c>
      <c r="Q57" s="18">
        <v>42005</v>
      </c>
      <c r="R57" s="33">
        <v>1351487033</v>
      </c>
      <c r="S57" s="31">
        <f>VLOOKUP(CurrentMtgRatesDataTable8268459[[#This Row],[issueDate]],CurrentMtgRatesDataTable82684510[#All],2,0)</f>
        <v>101114385</v>
      </c>
      <c r="T57" s="31">
        <f>VLOOKUP(CurrentMtgRatesDataTable8268459[[#This Row],[issueDate]],CurrentMtgRatesDataTable82684511[#All],2,0)</f>
        <v>116714969</v>
      </c>
      <c r="U57" s="31">
        <f>VLOOKUP(CurrentMtgRatesDataTable8268459[[#This Row],[issueDate]],CurrentMtgRatesDataTable8262[#All],2,0)</f>
        <v>925240314</v>
      </c>
      <c r="V57" s="34">
        <f>VLOOKUP(CurrentMtgRatesDataTable8268459[[#This Row],[issueDate]],CurrentMtgRatesDataTable82673[#All],2,0)</f>
        <v>1865203347</v>
      </c>
      <c r="W57" s="34">
        <f>VLOOKUP(CurrentMtgRatesDataTable8268459[[#This Row],[issueDate]],CurrentMtgRatesDataTable82684[#All],2,0)</f>
        <v>800249464</v>
      </c>
      <c r="X57" s="34">
        <f>VLOOKUP(CurrentMtgRatesDataTable8268459[[#This Row],[issueDate]],CurrentMtgRatesDataTable826845[#All],2,0)</f>
        <v>579122513</v>
      </c>
      <c r="Y57" s="43">
        <f>VLOOKUP(CurrentMtgRatesDataTable8268459[[#This Row],[issueDate]],CurrentMtgRatesDataTable8268451112[#All],2,0)</f>
        <v>407296377</v>
      </c>
      <c r="Z57" s="46">
        <f>SUM(CurrentMtgRatesDataTable8268459[[#This Row],[LowFICO]:[Geo]])/VLOOKUP(CurrentMtgRatesDataTable8268459[[#This Row],[issueDate]],CurrentMtgRatesDataTable826845111213[#All],2,0)</f>
        <v>0.24060494379489905</v>
      </c>
      <c r="AA57" s="43"/>
      <c r="AC57" s="18">
        <v>42005</v>
      </c>
      <c r="AD57" s="19">
        <v>101114385</v>
      </c>
      <c r="AE57" s="19"/>
      <c r="AG57" s="18">
        <v>42005</v>
      </c>
      <c r="AH57" s="19">
        <v>116714969</v>
      </c>
      <c r="AJ57" s="18">
        <v>42005</v>
      </c>
      <c r="AK57" s="19">
        <v>407296377</v>
      </c>
      <c r="AM57" s="18">
        <v>42005</v>
      </c>
      <c r="AN57" s="19">
        <v>25545727802</v>
      </c>
    </row>
    <row r="58" spans="2:40">
      <c r="B58" s="18">
        <v>42036</v>
      </c>
      <c r="C58" s="19">
        <v>1158064789</v>
      </c>
      <c r="E58" s="18">
        <v>42036</v>
      </c>
      <c r="F58" s="19">
        <v>1839649584</v>
      </c>
      <c r="I58" s="18">
        <v>42036</v>
      </c>
      <c r="J58" s="19">
        <v>820428248</v>
      </c>
      <c r="M58" s="18">
        <v>42036</v>
      </c>
      <c r="N58" s="19">
        <v>527566040</v>
      </c>
      <c r="Q58" s="18">
        <v>42036</v>
      </c>
      <c r="R58" s="33">
        <v>1869668083</v>
      </c>
      <c r="S58" s="31">
        <f>VLOOKUP(CurrentMtgRatesDataTable8268459[[#This Row],[issueDate]],CurrentMtgRatesDataTable82684510[#All],2,0)</f>
        <v>88755102</v>
      </c>
      <c r="T58" s="31">
        <f>VLOOKUP(CurrentMtgRatesDataTable8268459[[#This Row],[issueDate]],CurrentMtgRatesDataTable82684511[#All],2,0)</f>
        <v>100420654</v>
      </c>
      <c r="U58" s="31">
        <f>VLOOKUP(CurrentMtgRatesDataTable8268459[[#This Row],[issueDate]],CurrentMtgRatesDataTable8262[#All],2,0)</f>
        <v>1158064789</v>
      </c>
      <c r="V58" s="34">
        <f>VLOOKUP(CurrentMtgRatesDataTable8268459[[#This Row],[issueDate]],CurrentMtgRatesDataTable82673[#All],2,0)</f>
        <v>1839649584</v>
      </c>
      <c r="W58" s="34">
        <f>VLOOKUP(CurrentMtgRatesDataTable8268459[[#This Row],[issueDate]],CurrentMtgRatesDataTable82684[#All],2,0)</f>
        <v>820428248</v>
      </c>
      <c r="X58" s="34">
        <f>VLOOKUP(CurrentMtgRatesDataTable8268459[[#This Row],[issueDate]],CurrentMtgRatesDataTable826845[#All],2,0)</f>
        <v>527566040</v>
      </c>
      <c r="Y58" s="43">
        <f>VLOOKUP(CurrentMtgRatesDataTable8268459[[#This Row],[issueDate]],CurrentMtgRatesDataTable8268451112[#All],2,0)</f>
        <v>406480780</v>
      </c>
      <c r="Z58" s="46">
        <f>SUM(CurrentMtgRatesDataTable8268459[[#This Row],[LowFICO]:[Geo]])/VLOOKUP(CurrentMtgRatesDataTable8268459[[#This Row],[issueDate]],CurrentMtgRatesDataTable826845111213[#All],2,0)</f>
        <v>0.2780123054479709</v>
      </c>
      <c r="AA58" s="43"/>
      <c r="AC58" s="18">
        <v>42036</v>
      </c>
      <c r="AD58" s="19">
        <v>88755102</v>
      </c>
      <c r="AE58" s="19"/>
      <c r="AG58" s="18">
        <v>42036</v>
      </c>
      <c r="AH58" s="19">
        <v>100420654</v>
      </c>
      <c r="AJ58" s="18">
        <v>42036</v>
      </c>
      <c r="AK58" s="19">
        <v>406480780</v>
      </c>
      <c r="AM58" s="18">
        <v>42036</v>
      </c>
      <c r="AN58" s="19">
        <v>24499035282</v>
      </c>
    </row>
    <row r="59" spans="2:40">
      <c r="B59" s="18">
        <v>42064</v>
      </c>
      <c r="C59" s="19">
        <v>1132393996</v>
      </c>
      <c r="E59" s="18">
        <v>42064</v>
      </c>
      <c r="F59" s="19">
        <v>1671922926</v>
      </c>
      <c r="I59" s="18">
        <v>42064</v>
      </c>
      <c r="J59" s="19">
        <v>685802284</v>
      </c>
      <c r="M59" s="18">
        <v>42064</v>
      </c>
      <c r="N59" s="19">
        <v>399012806</v>
      </c>
      <c r="Q59" s="18">
        <v>42064</v>
      </c>
      <c r="R59" s="33">
        <v>1271901242</v>
      </c>
      <c r="S59" s="31">
        <f>VLOOKUP(CurrentMtgRatesDataTable8268459[[#This Row],[issueDate]],CurrentMtgRatesDataTable82684510[#All],2,0)</f>
        <v>126620545</v>
      </c>
      <c r="T59" s="31">
        <f>VLOOKUP(CurrentMtgRatesDataTable8268459[[#This Row],[issueDate]],CurrentMtgRatesDataTable82684511[#All],2,0)</f>
        <v>34611971</v>
      </c>
      <c r="U59" s="31">
        <f>VLOOKUP(CurrentMtgRatesDataTable8268459[[#This Row],[issueDate]],CurrentMtgRatesDataTable8262[#All],2,0)</f>
        <v>1132393996</v>
      </c>
      <c r="V59" s="34">
        <f>VLOOKUP(CurrentMtgRatesDataTable8268459[[#This Row],[issueDate]],CurrentMtgRatesDataTable82673[#All],2,0)</f>
        <v>1671922926</v>
      </c>
      <c r="W59" s="34">
        <f>VLOOKUP(CurrentMtgRatesDataTable8268459[[#This Row],[issueDate]],CurrentMtgRatesDataTable82684[#All],2,0)</f>
        <v>685802284</v>
      </c>
      <c r="X59" s="34">
        <f>VLOOKUP(CurrentMtgRatesDataTable8268459[[#This Row],[issueDate]],CurrentMtgRatesDataTable826845[#All],2,0)</f>
        <v>399012806</v>
      </c>
      <c r="Y59" s="43">
        <f>VLOOKUP(CurrentMtgRatesDataTable8268459[[#This Row],[issueDate]],CurrentMtgRatesDataTable8268451112[#All],2,0)</f>
        <v>364493346</v>
      </c>
      <c r="Z59" s="46">
        <f>SUM(CurrentMtgRatesDataTable8268459[[#This Row],[LowFICO]:[Geo]])/VLOOKUP(CurrentMtgRatesDataTable8268459[[#This Row],[issueDate]],CurrentMtgRatesDataTable826845111213[#All],2,0)</f>
        <v>0.18380860125843021</v>
      </c>
      <c r="AA59" s="43"/>
      <c r="AC59" s="18">
        <v>42064</v>
      </c>
      <c r="AD59" s="19">
        <v>126620545</v>
      </c>
      <c r="AE59" s="19"/>
      <c r="AG59" s="18">
        <v>42064</v>
      </c>
      <c r="AH59" s="19">
        <v>34611971</v>
      </c>
      <c r="AJ59" s="18">
        <v>42064</v>
      </c>
      <c r="AK59" s="19">
        <v>364493346</v>
      </c>
      <c r="AM59" s="18">
        <v>42064</v>
      </c>
      <c r="AN59" s="19">
        <v>30938482079</v>
      </c>
    </row>
    <row r="60" spans="2:40">
      <c r="B60" s="18">
        <v>42095</v>
      </c>
      <c r="C60" s="19">
        <v>1286157119</v>
      </c>
      <c r="E60" s="18">
        <v>42095</v>
      </c>
      <c r="F60" s="19">
        <v>1948413660</v>
      </c>
      <c r="I60" s="18">
        <v>42095</v>
      </c>
      <c r="J60" s="19">
        <v>782456352</v>
      </c>
      <c r="M60" s="18">
        <v>42095</v>
      </c>
      <c r="N60" s="19">
        <v>506827130</v>
      </c>
      <c r="Q60" s="18">
        <v>42095</v>
      </c>
      <c r="R60" s="33">
        <v>1500801264</v>
      </c>
      <c r="S60" s="31">
        <f>VLOOKUP(CurrentMtgRatesDataTable8268459[[#This Row],[issueDate]],CurrentMtgRatesDataTable82684510[#All],2,0)</f>
        <v>90901338</v>
      </c>
      <c r="T60" s="31">
        <f>VLOOKUP(CurrentMtgRatesDataTable8268459[[#This Row],[issueDate]],CurrentMtgRatesDataTable82684511[#All],2,0)</f>
        <v>40597122</v>
      </c>
      <c r="U60" s="31">
        <f>VLOOKUP(CurrentMtgRatesDataTable8268459[[#This Row],[issueDate]],CurrentMtgRatesDataTable8262[#All],2,0)</f>
        <v>1286157119</v>
      </c>
      <c r="V60" s="34">
        <f>VLOOKUP(CurrentMtgRatesDataTable8268459[[#This Row],[issueDate]],CurrentMtgRatesDataTable82673[#All],2,0)</f>
        <v>1948413660</v>
      </c>
      <c r="W60" s="34">
        <f>VLOOKUP(CurrentMtgRatesDataTable8268459[[#This Row],[issueDate]],CurrentMtgRatesDataTable82684[#All],2,0)</f>
        <v>782456352</v>
      </c>
      <c r="X60" s="34">
        <f>VLOOKUP(CurrentMtgRatesDataTable8268459[[#This Row],[issueDate]],CurrentMtgRatesDataTable826845[#All],2,0)</f>
        <v>506827130</v>
      </c>
      <c r="Y60" s="43">
        <f>VLOOKUP(CurrentMtgRatesDataTable8268459[[#This Row],[issueDate]],CurrentMtgRatesDataTable8268451112[#All],2,0)</f>
        <v>322408249</v>
      </c>
      <c r="Z60" s="46">
        <f>SUM(CurrentMtgRatesDataTable8268459[[#This Row],[LowFICO]:[Geo]])/VLOOKUP(CurrentMtgRatesDataTable8268459[[#This Row],[issueDate]],CurrentMtgRatesDataTable826845111213[#All],2,0)</f>
        <v>0.19691232516379856</v>
      </c>
      <c r="AA60" s="43"/>
      <c r="AC60" s="18">
        <v>42095</v>
      </c>
      <c r="AD60" s="19">
        <v>90901338</v>
      </c>
      <c r="AE60" s="19"/>
      <c r="AG60" s="18">
        <v>42095</v>
      </c>
      <c r="AH60" s="19">
        <v>40597122</v>
      </c>
      <c r="AJ60" s="18">
        <v>42095</v>
      </c>
      <c r="AK60" s="19">
        <v>322408249</v>
      </c>
      <c r="AM60" s="18">
        <v>42095</v>
      </c>
      <c r="AN60" s="19">
        <v>32900745185</v>
      </c>
    </row>
    <row r="61" spans="2:40">
      <c r="B61" s="48">
        <v>42125</v>
      </c>
      <c r="C61" s="47">
        <v>1332406946</v>
      </c>
      <c r="E61" s="48">
        <v>42125</v>
      </c>
      <c r="F61" s="47">
        <v>1886717646</v>
      </c>
      <c r="I61" s="48">
        <v>42125</v>
      </c>
      <c r="J61" s="47">
        <v>782611457</v>
      </c>
      <c r="M61" s="48">
        <v>42125</v>
      </c>
      <c r="N61" s="47">
        <v>443986951</v>
      </c>
      <c r="Q61" s="48">
        <v>42125</v>
      </c>
      <c r="R61" s="49">
        <v>1289760612</v>
      </c>
      <c r="S61" s="50">
        <f>VLOOKUP(CurrentMtgRatesDataTable8268459[[#This Row],[issueDate]],CurrentMtgRatesDataTable82684510[#All],2,0)</f>
        <v>151263534</v>
      </c>
      <c r="T61" s="50">
        <f>VLOOKUP(CurrentMtgRatesDataTable8268459[[#This Row],[issueDate]],CurrentMtgRatesDataTable82684511[#All],2,0)</f>
        <v>50437619</v>
      </c>
      <c r="U61" s="50">
        <f>VLOOKUP(CurrentMtgRatesDataTable8268459[[#This Row],[issueDate]],CurrentMtgRatesDataTable8262[#All],2,0)</f>
        <v>1332406946</v>
      </c>
      <c r="V61" s="50">
        <f>VLOOKUP(CurrentMtgRatesDataTable8268459[[#This Row],[issueDate]],CurrentMtgRatesDataTable82673[#All],2,0)</f>
        <v>1886717646</v>
      </c>
      <c r="W61" s="50">
        <f>VLOOKUP(CurrentMtgRatesDataTable8268459[[#This Row],[issueDate]],CurrentMtgRatesDataTable82684[#All],2,0)</f>
        <v>782611457</v>
      </c>
      <c r="X61" s="50">
        <f>VLOOKUP(CurrentMtgRatesDataTable8268459[[#This Row],[issueDate]],CurrentMtgRatesDataTable826845[#All],2,0)</f>
        <v>443986951</v>
      </c>
      <c r="Y61" s="50">
        <f>VLOOKUP(CurrentMtgRatesDataTable8268459[[#This Row],[issueDate]],CurrentMtgRatesDataTable8268451112[#All],2,0)</f>
        <v>394177167</v>
      </c>
      <c r="Z61" s="51">
        <f>SUM(CurrentMtgRatesDataTable8268459[[#This Row],[LowFICO]:[Geo]])/VLOOKUP(CurrentMtgRatesDataTable8268459[[#This Row],[issueDate]],CurrentMtgRatesDataTable826845111213[#All],2,0)</f>
        <v>0.20793206390465219</v>
      </c>
      <c r="AA61" s="43"/>
      <c r="AC61" s="48">
        <v>42125</v>
      </c>
      <c r="AD61" s="47">
        <v>151263534</v>
      </c>
      <c r="AE61" s="19"/>
      <c r="AG61" s="48">
        <v>42125</v>
      </c>
      <c r="AH61" s="47">
        <v>50437619</v>
      </c>
      <c r="AJ61" s="48">
        <v>42125</v>
      </c>
      <c r="AK61" s="47">
        <v>394177167</v>
      </c>
      <c r="AM61" s="18">
        <v>42125</v>
      </c>
      <c r="AN61" s="19">
        <v>30449185244</v>
      </c>
    </row>
    <row r="62" spans="2:40">
      <c r="B62" s="48">
        <v>42156</v>
      </c>
      <c r="C62" s="47">
        <v>1454471487</v>
      </c>
      <c r="E62" s="48">
        <v>42156</v>
      </c>
      <c r="F62" s="47">
        <v>2196909665</v>
      </c>
      <c r="I62" s="48">
        <v>42156</v>
      </c>
      <c r="J62" s="47">
        <v>887471181</v>
      </c>
      <c r="M62" s="48">
        <v>42156</v>
      </c>
      <c r="N62" s="47">
        <v>565857600</v>
      </c>
      <c r="Q62" s="48">
        <v>42156</v>
      </c>
      <c r="R62" s="49">
        <v>1793348453</v>
      </c>
      <c r="S62" s="50">
        <f>VLOOKUP(CurrentMtgRatesDataTable8268459[[#This Row],[issueDate]],CurrentMtgRatesDataTable82684510[#All],2,0)</f>
        <v>113021864</v>
      </c>
      <c r="T62" s="50">
        <f>VLOOKUP(CurrentMtgRatesDataTable8268459[[#This Row],[issueDate]],CurrentMtgRatesDataTable82684511[#All],2,0)</f>
        <v>296070002</v>
      </c>
      <c r="U62" s="50">
        <f>VLOOKUP(CurrentMtgRatesDataTable8268459[[#This Row],[issueDate]],CurrentMtgRatesDataTable8262[#All],2,0)</f>
        <v>1454471487</v>
      </c>
      <c r="V62" s="50">
        <f>VLOOKUP(CurrentMtgRatesDataTable8268459[[#This Row],[issueDate]],CurrentMtgRatesDataTable82673[#All],2,0)</f>
        <v>2196909665</v>
      </c>
      <c r="W62" s="50">
        <f>VLOOKUP(CurrentMtgRatesDataTable8268459[[#This Row],[issueDate]],CurrentMtgRatesDataTable82684[#All],2,0)</f>
        <v>887471181</v>
      </c>
      <c r="X62" s="50">
        <f>VLOOKUP(CurrentMtgRatesDataTable8268459[[#This Row],[issueDate]],CurrentMtgRatesDataTable826845[#All],2,0)</f>
        <v>565857600</v>
      </c>
      <c r="Y62" s="50">
        <f>VLOOKUP(CurrentMtgRatesDataTable8268459[[#This Row],[issueDate]],CurrentMtgRatesDataTable8268451112[#All],2,0)</f>
        <v>427283307</v>
      </c>
      <c r="Z62" s="51">
        <f>SUM(CurrentMtgRatesDataTable8268459[[#This Row],[LowFICO]:[Geo]])/VLOOKUP(CurrentMtgRatesDataTable8268459[[#This Row],[issueDate]],CurrentMtgRatesDataTable826845111213[#All],2,0)</f>
        <v>0.25378764599855336</v>
      </c>
      <c r="AA62" s="43"/>
      <c r="AC62" s="48">
        <v>42156</v>
      </c>
      <c r="AD62" s="47">
        <v>113021864</v>
      </c>
      <c r="AE62" s="19"/>
      <c r="AG62" s="48">
        <v>42156</v>
      </c>
      <c r="AH62" s="47">
        <v>296070002</v>
      </c>
      <c r="AJ62" s="48">
        <v>42156</v>
      </c>
      <c r="AK62" s="47">
        <v>427283307</v>
      </c>
      <c r="AM62" s="48">
        <v>42156</v>
      </c>
      <c r="AN62" s="47">
        <v>30476004963</v>
      </c>
    </row>
    <row r="63" spans="2:40">
      <c r="AA63" s="43"/>
      <c r="AE63" s="19"/>
    </row>
    <row r="64" spans="2:40">
      <c r="AA64" s="43"/>
      <c r="AE64" s="19"/>
    </row>
    <row r="65" spans="27:31">
      <c r="AA65" s="43"/>
      <c r="AE65" s="19"/>
    </row>
    <row r="66" spans="27:31">
      <c r="AA66" s="43"/>
      <c r="AE66" s="19"/>
    </row>
    <row r="67" spans="27:31">
      <c r="AA67" s="43"/>
      <c r="AE67" s="19"/>
    </row>
  </sheetData>
  <pageMargins left="0.7" right="0.7" top="0.75" bottom="0.75" header="0.3" footer="0.3"/>
  <pageSetup orientation="portrait" horizontalDpi="300" verticalDpi="300" r:id="rId1"/>
  <drawing r:id="rId2"/>
  <tableParts count="9"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Report Page2</vt:lpstr>
      <vt:lpstr>Report</vt:lpstr>
      <vt:lpstr>Historical</vt:lpstr>
      <vt:lpstr>Input-Non TBA</vt:lpstr>
      <vt:lpstr>Input-TBA LS</vt:lpstr>
      <vt:lpstr>CurrentCloseDate</vt:lpstr>
      <vt:lpstr>CurrentMonth</vt:lpstr>
      <vt:lpstr>CurrentMonth2</vt:lpstr>
      <vt:lpstr>DatabaseEnv</vt:lpstr>
      <vt:lpstr>DateToChangeLag</vt:lpstr>
      <vt:lpstr>PDFReportDir</vt:lpstr>
      <vt:lpstr>PDFReportName</vt:lpstr>
      <vt:lpstr>Report!Print_Area</vt:lpstr>
      <vt:lpstr>'Report Page2'!Print_Area</vt:lpstr>
      <vt:lpstr>'Report Page2'!SaveRatesToDB</vt:lpstr>
      <vt:lpstr>SaveRatesToDB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Hongzhuo Zhang</cp:lastModifiedBy>
  <cp:lastPrinted>2015-07-27T17:49:05Z</cp:lastPrinted>
  <dcterms:created xsi:type="dcterms:W3CDTF">2006-09-16T00:00:00Z</dcterms:created>
  <dcterms:modified xsi:type="dcterms:W3CDTF">2016-03-04T20:16:11Z</dcterms:modified>
</cp:coreProperties>
</file>